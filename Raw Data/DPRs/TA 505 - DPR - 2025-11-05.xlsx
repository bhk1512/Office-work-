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Palp04\Desktop\Meeting-31-07-2025\"/>
    </mc:Choice>
  </mc:AlternateContent>
  <xr:revisionPtr revIDLastSave="0" documentId="13_ncr:1_{8F98B050-AD40-49FB-ACED-A82DBD2C0983}" xr6:coauthVersionLast="47" xr6:coauthVersionMax="47" xr10:uidLastSave="{00000000-0000-0000-0000-000000000000}"/>
  <bookViews>
    <workbookView xWindow="-110" yWindow="-110" windowWidth="19420" windowHeight="11500" firstSheet="9" activeTab="10" xr2:uid="{00000000-000D-0000-FFFF-FFFF00000000}"/>
  </bookViews>
  <sheets>
    <sheet name="Summary" sheetId="8" r:id="rId1"/>
    <sheet name="FDN-ERC Status" sheetId="32" r:id="rId2"/>
    <sheet name="Balance Fdn Plan" sheetId="27" state="hidden" r:id="rId3"/>
    <sheet name="Visual Chart" sheetId="10" state="hidden" r:id="rId4"/>
    <sheet name="Supply Status" sheetId="53" state="hidden" r:id="rId5"/>
    <sheet name="Survey Details" sheetId="1" r:id="rId6"/>
    <sheet name="Statutory Detail-TA 505" sheetId="5" state="hidden" r:id="rId7"/>
    <sheet name="X-ing Detail New" sheetId="23" r:id="rId8"/>
    <sheet name="RC-ULE &amp; Benching Status" sheetId="2" state="hidden" r:id="rId9"/>
    <sheet name="RC-ULE &amp; Benching status New" sheetId="24" r:id="rId10"/>
    <sheet name="FDN Drgs" sheetId="65" r:id="rId11"/>
    <sheet name="PRS-RC Stub" sheetId="21" state="hidden" r:id="rId12"/>
    <sheet name="PRS VS Supply" sheetId="54" r:id="rId13"/>
    <sheet name="QCS Status" sheetId="7" r:id="rId14"/>
    <sheet name="PRS &amp; Supply-Tower &amp; Stub" sheetId="3" r:id="rId15"/>
    <sheet name="PRS-RC STUBS" sheetId="22" r:id="rId16"/>
    <sheet name="DRGS Req REV" sheetId="67" r:id="rId17"/>
    <sheet name="RC-ULE_DRGS" sheetId="19" state="hidden" r:id="rId18"/>
    <sheet name="Revised Tower Qty" sheetId="4" state="hidden" r:id="rId19"/>
    <sheet name="Comp. Plan (Revised)" sheetId="55" state="hidden" r:id="rId20"/>
    <sheet name="Catch up Plan" sheetId="60" r:id="rId21"/>
    <sheet name="AOT Plan" sheetId="26" state="hidden" r:id="rId22"/>
    <sheet name="Project Stringing Plan" sheetId="57" state="hidden" r:id="rId23"/>
    <sheet name="Priority Stringing Stretches" sheetId="66" r:id="rId24"/>
    <sheet name="Drgs required" sheetId="25" r:id="rId25"/>
    <sheet name="ERC_Plan" sheetId="51" state="hidden" r:id="rId26"/>
    <sheet name="Gang deployment Plan" sheetId="40" state="hidden" r:id="rId27"/>
    <sheet name="Gang List" sheetId="59" state="hidden" r:id="rId28"/>
    <sheet name="Tower Availability at Store" sheetId="61" r:id="rId29"/>
    <sheet name="Issues &amp; Support reqn" sheetId="13" r:id="rId30"/>
    <sheet name="Sheet1" sheetId="62" state="hidden" r:id="rId31"/>
  </sheets>
  <definedNames>
    <definedName name="_xlnm._FilterDatabase" localSheetId="2" hidden="1">'Balance Fdn Plan'!$A$3:$F$103</definedName>
    <definedName name="_xlnm._FilterDatabase" localSheetId="11" hidden="1">'PRS-RC Stub'!$A$3:$M$27</definedName>
    <definedName name="_xlnm._FilterDatabase" localSheetId="8" hidden="1">'RC-ULE &amp; Benching Status'!$A$3:$O$37</definedName>
    <definedName name="_xlnm._FilterDatabase" localSheetId="9" hidden="1">'RC-ULE &amp; Benching status New'!$A$3:$O$38</definedName>
    <definedName name="_xlnm._FilterDatabase" localSheetId="17" hidden="1">'RC-ULE_DRGS'!$A$1:$O$25</definedName>
    <definedName name="_xlnm._FilterDatabase" localSheetId="5" hidden="1">'Survey Details'!$A$2:$U$2</definedName>
    <definedName name="_xlnm.Print_Area" localSheetId="14">'PRS &amp; Supply-Tower &amp; Stub'!$A$1:$R$71</definedName>
    <definedName name="_xlnm.Print_Area" localSheetId="8">'RC-ULE &amp; Benching Status'!$A$1:$O$37</definedName>
    <definedName name="_xlnm.Print_Area" localSheetId="6">'Statutory Detail-TA 505'!$A$1:$I$50</definedName>
    <definedName name="_xlnm.Print_Area" localSheetId="5">'Survey Details'!$A$1:$U$79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4" l="1"/>
  <c r="L20" i="32"/>
  <c r="K38" i="66"/>
  <c r="K39" i="66"/>
  <c r="E35" i="66"/>
  <c r="H20" i="32"/>
  <c r="F20" i="32"/>
  <c r="K40" i="66" l="1"/>
  <c r="J40" i="66"/>
  <c r="AC7" i="60"/>
  <c r="AC9" i="60"/>
  <c r="AC5" i="60"/>
  <c r="L64" i="1" l="1"/>
  <c r="M64" i="1"/>
  <c r="N64" i="1"/>
  <c r="K64" i="1"/>
  <c r="D64" i="1"/>
  <c r="E64" i="1"/>
  <c r="F64" i="1"/>
  <c r="C64" i="1"/>
  <c r="L9" i="54"/>
  <c r="L8" i="54"/>
  <c r="K10" i="54"/>
  <c r="J10" i="54"/>
  <c r="L10" i="54" s="1"/>
  <c r="F8" i="54"/>
  <c r="F7" i="54"/>
  <c r="H3" i="3" l="1"/>
  <c r="G56" i="3"/>
  <c r="G9" i="3"/>
  <c r="G7" i="3"/>
  <c r="G4" i="3"/>
  <c r="G3" i="3"/>
  <c r="G42" i="3"/>
  <c r="G41" i="3"/>
  <c r="G39" i="3"/>
  <c r="G46" i="3"/>
  <c r="G50" i="3"/>
  <c r="G25" i="3"/>
  <c r="G24" i="3"/>
  <c r="D68" i="3" l="1"/>
  <c r="D66" i="3"/>
  <c r="D62" i="3"/>
  <c r="D58" i="3"/>
  <c r="E57" i="3"/>
  <c r="D57" i="3"/>
  <c r="E56" i="3"/>
  <c r="D56" i="3"/>
  <c r="F38" i="3"/>
  <c r="E53" i="3"/>
  <c r="D53" i="3"/>
  <c r="D5" i="3" l="1"/>
  <c r="D4" i="3"/>
  <c r="D3" i="3"/>
  <c r="F20" i="54" l="1"/>
  <c r="D20" i="54"/>
  <c r="AC11" i="60"/>
  <c r="G9" i="60"/>
  <c r="J9" i="60" s="1"/>
  <c r="G7" i="60"/>
  <c r="J7" i="60" s="1"/>
  <c r="G5" i="60"/>
  <c r="J5" i="60" s="1"/>
  <c r="K3" i="60"/>
  <c r="N3" i="60" s="1"/>
  <c r="Q3" i="60" s="1"/>
  <c r="T3" i="60" s="1"/>
  <c r="W3" i="60" s="1"/>
  <c r="Z3" i="60" s="1"/>
  <c r="E52" i="57"/>
  <c r="C41" i="57"/>
  <c r="C42" i="57" s="1"/>
  <c r="C43" i="57" s="1"/>
  <c r="C44" i="57" s="1"/>
  <c r="C45" i="57" s="1"/>
  <c r="E34" i="57"/>
  <c r="M5" i="60" l="1"/>
  <c r="P5" i="60" s="1"/>
  <c r="S5" i="60" s="1"/>
  <c r="V5" i="60" s="1"/>
  <c r="Y5" i="60" s="1"/>
  <c r="AB5" i="60" s="1"/>
  <c r="M7" i="60"/>
  <c r="P7" i="60" s="1"/>
  <c r="S7" i="60" s="1"/>
  <c r="V7" i="60" s="1"/>
  <c r="M9" i="60"/>
  <c r="P9" i="60" s="1"/>
  <c r="S9" i="60" s="1"/>
  <c r="V9" i="60" s="1"/>
  <c r="Y9" i="60" s="1"/>
  <c r="AB9" i="60" s="1"/>
  <c r="AG21" i="26"/>
  <c r="AG14" i="26"/>
  <c r="R25" i="26"/>
  <c r="R21" i="26"/>
  <c r="R18" i="26"/>
  <c r="R14" i="26"/>
  <c r="H13" i="55"/>
  <c r="H11" i="55"/>
  <c r="H9" i="55"/>
  <c r="H7" i="55"/>
  <c r="H6" i="55"/>
  <c r="H5" i="55"/>
  <c r="H6" i="7"/>
  <c r="H7" i="7"/>
  <c r="H8" i="7"/>
  <c r="H9" i="7"/>
  <c r="H10" i="7"/>
  <c r="H5" i="7"/>
  <c r="G7" i="54"/>
  <c r="G6" i="54"/>
  <c r="G5" i="54"/>
  <c r="G4" i="54"/>
  <c r="A6" i="27" l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A35" i="27" s="1"/>
  <c r="A36" i="27" s="1"/>
  <c r="A37" i="27" s="1"/>
  <c r="A38" i="27" s="1"/>
  <c r="A39" i="27" s="1"/>
  <c r="A40" i="27" s="1"/>
  <c r="A41" i="27" s="1"/>
  <c r="A42" i="27" s="1"/>
  <c r="A43" i="27" s="1"/>
  <c r="A44" i="27" s="1"/>
  <c r="A45" i="27" s="1"/>
  <c r="A46" i="27" s="1"/>
  <c r="A47" i="27" s="1"/>
  <c r="A48" i="27" s="1"/>
  <c r="A49" i="27" s="1"/>
  <c r="A50" i="27" s="1"/>
  <c r="A51" i="27" s="1"/>
  <c r="A52" i="27" s="1"/>
  <c r="A53" i="27" s="1"/>
  <c r="A54" i="27" s="1"/>
  <c r="A55" i="27" s="1"/>
  <c r="A56" i="27" s="1"/>
  <c r="A57" i="27" s="1"/>
  <c r="A58" i="27" s="1"/>
  <c r="A59" i="27" s="1"/>
  <c r="A60" i="27" s="1"/>
  <c r="A61" i="27" s="1"/>
  <c r="A62" i="27" s="1"/>
  <c r="A63" i="27" s="1"/>
  <c r="A64" i="27" s="1"/>
  <c r="A65" i="27" s="1"/>
  <c r="A66" i="27" s="1"/>
  <c r="A67" i="27" s="1"/>
  <c r="A68" i="27" s="1"/>
  <c r="A69" i="27" s="1"/>
  <c r="A70" i="27" s="1"/>
  <c r="A71" i="27" s="1"/>
  <c r="A72" i="27" s="1"/>
  <c r="A73" i="27" s="1"/>
  <c r="A74" i="27" s="1"/>
  <c r="A75" i="27" s="1"/>
  <c r="A76" i="27" s="1"/>
  <c r="P16" i="32"/>
  <c r="A77" i="27" l="1"/>
  <c r="A78" i="27" s="1"/>
  <c r="A79" i="27" s="1"/>
  <c r="A80" i="27" s="1"/>
  <c r="A81" i="27" s="1"/>
  <c r="A82" i="27" s="1"/>
  <c r="A83" i="27" s="1"/>
  <c r="A84" i="27" s="1"/>
  <c r="A85" i="27" s="1"/>
  <c r="A86" i="27" s="1"/>
  <c r="A87" i="27" s="1"/>
  <c r="A88" i="27" s="1"/>
  <c r="A89" i="27" s="1"/>
  <c r="A90" i="27" s="1"/>
  <c r="A91" i="27" s="1"/>
  <c r="A92" i="27" s="1"/>
  <c r="A93" i="27" s="1"/>
  <c r="A94" i="27" s="1"/>
  <c r="A95" i="27" s="1"/>
  <c r="A96" i="27" s="1"/>
  <c r="A97" i="27" s="1"/>
  <c r="A98" i="27" s="1"/>
  <c r="A99" i="27" s="1"/>
  <c r="A100" i="27" s="1"/>
  <c r="A101" i="27" s="1"/>
  <c r="A102" i="27" s="1"/>
  <c r="A103" i="27" s="1"/>
  <c r="H11" i="22"/>
  <c r="H3" i="22"/>
  <c r="H10" i="22"/>
  <c r="L53" i="3" l="1"/>
  <c r="M52" i="3"/>
  <c r="M50" i="3"/>
  <c r="M51" i="3"/>
  <c r="C53" i="3"/>
  <c r="M42" i="3"/>
  <c r="M44" i="3"/>
  <c r="K38" i="3"/>
  <c r="M38" i="3" s="1"/>
  <c r="M32" i="3"/>
  <c r="M33" i="3"/>
  <c r="M34" i="3"/>
  <c r="M37" i="3"/>
  <c r="L71" i="3" l="1"/>
  <c r="I65" i="3"/>
  <c r="F65" i="3"/>
  <c r="J65" i="3" s="1"/>
  <c r="K65" i="3" l="1"/>
  <c r="M65" i="3" s="1"/>
  <c r="H39" i="8"/>
  <c r="H40" i="8"/>
  <c r="H41" i="8"/>
  <c r="H42" i="8"/>
  <c r="H38" i="8"/>
  <c r="A11" i="51"/>
  <c r="A12" i="51"/>
  <c r="A5" i="51"/>
  <c r="A6" i="51"/>
  <c r="A7" i="51"/>
  <c r="A8" i="51"/>
  <c r="A9" i="51"/>
  <c r="A10" i="51"/>
  <c r="A4" i="51"/>
  <c r="Q16" i="32" l="1"/>
  <c r="O16" i="32"/>
  <c r="N16" i="32"/>
  <c r="M16" i="32"/>
  <c r="L16" i="32"/>
  <c r="K16" i="32"/>
  <c r="J16" i="32"/>
  <c r="I16" i="32"/>
  <c r="H16" i="32"/>
  <c r="F16" i="32"/>
  <c r="D16" i="32"/>
  <c r="E15" i="32"/>
  <c r="E10" i="32"/>
  <c r="G10" i="32" s="1"/>
  <c r="R10" i="32" s="1"/>
  <c r="E16" i="32" l="1"/>
  <c r="G15" i="32"/>
  <c r="R15" i="32" s="1"/>
  <c r="C16" i="32"/>
  <c r="G16" i="32" l="1"/>
  <c r="R16" i="32"/>
  <c r="D6" i="8" s="1"/>
  <c r="AF38" i="26" l="1"/>
  <c r="AG37" i="26"/>
  <c r="AF37" i="26"/>
  <c r="AF29" i="26"/>
  <c r="AF28" i="26"/>
  <c r="D28" i="26"/>
  <c r="AG28" i="26" s="1"/>
  <c r="AF22" i="26"/>
  <c r="AF21" i="26"/>
  <c r="D21" i="26"/>
  <c r="A21" i="26"/>
  <c r="A28" i="26" s="1"/>
  <c r="A37" i="26" s="1"/>
  <c r="AF15" i="26"/>
  <c r="AF14" i="26"/>
  <c r="AF10" i="26"/>
  <c r="AF9" i="26"/>
  <c r="D9" i="26"/>
  <c r="AG9" i="26" s="1"/>
  <c r="A9" i="26"/>
  <c r="AF5" i="26"/>
  <c r="AG4" i="26"/>
  <c r="AF4" i="26"/>
  <c r="F3" i="26"/>
  <c r="G3" i="26" s="1"/>
  <c r="H3" i="26" s="1"/>
  <c r="I3" i="26" s="1"/>
  <c r="J3" i="26" s="1"/>
  <c r="K3" i="26" s="1"/>
  <c r="L3" i="26" s="1"/>
  <c r="M3" i="26" s="1"/>
  <c r="N3" i="26" s="1"/>
  <c r="O3" i="26" s="1"/>
  <c r="P3" i="26" s="1"/>
  <c r="Q3" i="26" s="1"/>
  <c r="S3" i="26" s="1"/>
  <c r="T3" i="26" s="1"/>
  <c r="U3" i="26" s="1"/>
  <c r="V3" i="26" s="1"/>
  <c r="W3" i="26" s="1"/>
  <c r="X3" i="26" s="1"/>
  <c r="Y3" i="26" s="1"/>
  <c r="Z3" i="26" s="1"/>
  <c r="AA3" i="26" s="1"/>
  <c r="AB3" i="26" s="1"/>
  <c r="AC3" i="26" s="1"/>
  <c r="AD3" i="26" s="1"/>
  <c r="G12" i="23" l="1"/>
  <c r="F12" i="23"/>
  <c r="E12" i="23"/>
  <c r="H10" i="23"/>
  <c r="H9" i="23"/>
  <c r="H8" i="23"/>
  <c r="H7" i="23"/>
  <c r="H12" i="23" s="1"/>
  <c r="I4" i="23"/>
  <c r="G66" i="3" l="1"/>
  <c r="G61" i="3"/>
  <c r="G58" i="3"/>
  <c r="G57" i="3"/>
  <c r="H68" i="3"/>
  <c r="H62" i="3"/>
  <c r="H61" i="3"/>
  <c r="H57" i="3"/>
  <c r="H56" i="3"/>
  <c r="D18" i="8"/>
  <c r="H4" i="22"/>
  <c r="H5" i="22"/>
  <c r="H6" i="22"/>
  <c r="H7" i="22"/>
  <c r="H8" i="22"/>
  <c r="H9" i="22"/>
  <c r="H12" i="22"/>
  <c r="H13" i="22"/>
  <c r="H14" i="22"/>
  <c r="H15" i="22"/>
  <c r="H16" i="22"/>
  <c r="H17" i="22"/>
  <c r="A33" i="19"/>
  <c r="A34" i="19"/>
  <c r="A35" i="19"/>
  <c r="A36" i="19"/>
  <c r="A37" i="19"/>
  <c r="A38" i="19"/>
  <c r="A39" i="19"/>
  <c r="A40" i="19"/>
  <c r="A32" i="19"/>
  <c r="G11" i="3" l="1"/>
  <c r="T64" i="1" l="1"/>
  <c r="S64" i="1"/>
  <c r="R64" i="1"/>
  <c r="Q64" i="1"/>
  <c r="U64" i="1" s="1"/>
  <c r="N66" i="1"/>
  <c r="D76" i="1"/>
  <c r="D74" i="1"/>
  <c r="D73" i="1"/>
  <c r="D72" i="1"/>
  <c r="U62" i="1"/>
  <c r="U60" i="1"/>
  <c r="U59" i="1"/>
  <c r="U58" i="1"/>
  <c r="U57" i="1"/>
  <c r="U56" i="1"/>
  <c r="U55" i="1"/>
  <c r="U54" i="1"/>
  <c r="U53" i="1"/>
  <c r="U52" i="1"/>
  <c r="U51" i="1"/>
  <c r="U50" i="1"/>
  <c r="U46" i="1"/>
  <c r="U45" i="1"/>
  <c r="U44" i="1"/>
  <c r="U43" i="1"/>
  <c r="U42" i="1"/>
  <c r="U41" i="1"/>
  <c r="U40" i="1"/>
  <c r="U39" i="1"/>
  <c r="U38" i="1"/>
  <c r="U37" i="1"/>
  <c r="U35" i="1"/>
  <c r="U34" i="1"/>
  <c r="U33" i="1"/>
  <c r="U32" i="1"/>
  <c r="U29" i="1"/>
  <c r="U27" i="1"/>
  <c r="U26" i="1"/>
  <c r="U25" i="1"/>
  <c r="U24" i="1"/>
  <c r="U23" i="1"/>
  <c r="U22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H12" i="5"/>
  <c r="G12" i="5"/>
  <c r="F12" i="5"/>
  <c r="E12" i="5"/>
  <c r="H11" i="5"/>
  <c r="H10" i="5"/>
  <c r="H9" i="5"/>
  <c r="H8" i="5"/>
  <c r="H7" i="5"/>
  <c r="I4" i="5"/>
  <c r="D75" i="1" l="1"/>
  <c r="F65" i="1"/>
  <c r="E75" i="1"/>
  <c r="D77" i="1"/>
  <c r="D78" i="1"/>
  <c r="N65" i="1"/>
  <c r="G6" i="3" l="1"/>
  <c r="H53" i="3" l="1"/>
  <c r="G69" i="3"/>
  <c r="I6" i="3" l="1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7" i="3"/>
  <c r="I5" i="3"/>
  <c r="I9" i="3"/>
  <c r="G8" i="3"/>
  <c r="I8" i="3" s="1"/>
  <c r="I4" i="3"/>
  <c r="G53" i="3"/>
  <c r="I59" i="3"/>
  <c r="I60" i="3"/>
  <c r="I61" i="3"/>
  <c r="I62" i="3"/>
  <c r="I63" i="3"/>
  <c r="I64" i="3"/>
  <c r="I66" i="3"/>
  <c r="I67" i="3"/>
  <c r="I68" i="3"/>
  <c r="I69" i="3"/>
  <c r="I70" i="3"/>
  <c r="I58" i="3"/>
  <c r="I57" i="3"/>
  <c r="I56" i="3"/>
  <c r="AE324" i="10" l="1"/>
  <c r="AE323" i="10"/>
  <c r="AA321" i="10"/>
  <c r="AE321" i="10" s="1"/>
  <c r="AC317" i="10"/>
  <c r="AA317" i="10"/>
  <c r="AE317" i="10" s="1"/>
  <c r="AC315" i="10"/>
  <c r="AE315" i="10" s="1"/>
  <c r="AJ307" i="10"/>
  <c r="AC319" i="10" s="1"/>
  <c r="AE319" i="10" s="1"/>
  <c r="AI307" i="10"/>
  <c r="AH307" i="10"/>
  <c r="AG307" i="10"/>
  <c r="AE10" i="10"/>
  <c r="AC10" i="10"/>
  <c r="AA10" i="10"/>
  <c r="Y10" i="10"/>
  <c r="W10" i="10"/>
  <c r="U10" i="10"/>
  <c r="O10" i="10"/>
  <c r="M10" i="10"/>
  <c r="I10" i="10"/>
  <c r="D23" i="8" l="1"/>
  <c r="G43" i="8"/>
  <c r="F43" i="8"/>
  <c r="E43" i="8"/>
  <c r="D30" i="8"/>
  <c r="H43" i="8" l="1"/>
  <c r="C69" i="4" l="1"/>
  <c r="C52" i="4"/>
  <c r="H71" i="3"/>
  <c r="G71" i="3"/>
  <c r="C71" i="3"/>
  <c r="F70" i="3"/>
  <c r="K70" i="3" s="1"/>
  <c r="M70" i="3" s="1"/>
  <c r="F69" i="3"/>
  <c r="E68" i="3"/>
  <c r="F68" i="3"/>
  <c r="F67" i="3"/>
  <c r="K67" i="3" s="1"/>
  <c r="M67" i="3" s="1"/>
  <c r="F66" i="3"/>
  <c r="F64" i="3"/>
  <c r="E63" i="3"/>
  <c r="F63" i="3" s="1"/>
  <c r="F62" i="3"/>
  <c r="J62" i="3" s="1"/>
  <c r="D61" i="3"/>
  <c r="F61" i="3" s="1"/>
  <c r="F60" i="3"/>
  <c r="J60" i="3" s="1"/>
  <c r="F59" i="3"/>
  <c r="J59" i="3" s="1"/>
  <c r="F58" i="3"/>
  <c r="F52" i="3"/>
  <c r="J52" i="3" s="1"/>
  <c r="F51" i="3"/>
  <c r="C51" i="3"/>
  <c r="F50" i="3"/>
  <c r="K50" i="3" s="1"/>
  <c r="F49" i="3"/>
  <c r="F48" i="3"/>
  <c r="K48" i="3" s="1"/>
  <c r="M48" i="3" s="1"/>
  <c r="D47" i="3"/>
  <c r="F47" i="3" s="1"/>
  <c r="E46" i="3"/>
  <c r="F46" i="3"/>
  <c r="E45" i="3"/>
  <c r="F44" i="3"/>
  <c r="J44" i="3" s="1"/>
  <c r="C44" i="3"/>
  <c r="E43" i="3"/>
  <c r="F43" i="3" s="1"/>
  <c r="F42" i="3"/>
  <c r="K42" i="3" s="1"/>
  <c r="F41" i="3"/>
  <c r="K41" i="3" s="1"/>
  <c r="M41" i="3" s="1"/>
  <c r="E40" i="3"/>
  <c r="F40" i="3"/>
  <c r="E39" i="3"/>
  <c r="D37" i="3"/>
  <c r="F37" i="3" s="1"/>
  <c r="F36" i="3"/>
  <c r="F35" i="3"/>
  <c r="D34" i="3"/>
  <c r="F34" i="3" s="1"/>
  <c r="F33" i="3"/>
  <c r="J33" i="3" s="1"/>
  <c r="C33" i="3"/>
  <c r="K33" i="3" s="1"/>
  <c r="F32" i="3"/>
  <c r="K32" i="3" s="1"/>
  <c r="E29" i="3"/>
  <c r="F29" i="3" s="1"/>
  <c r="F28" i="3"/>
  <c r="K28" i="3" s="1"/>
  <c r="M28" i="3" s="1"/>
  <c r="F27" i="3"/>
  <c r="F26" i="3"/>
  <c r="K26" i="3" s="1"/>
  <c r="M26" i="3" s="1"/>
  <c r="D25" i="3"/>
  <c r="F23" i="3"/>
  <c r="K23" i="3" s="1"/>
  <c r="M23" i="3" s="1"/>
  <c r="F22" i="3"/>
  <c r="F21" i="3"/>
  <c r="K21" i="3" s="1"/>
  <c r="M21" i="3" s="1"/>
  <c r="F20" i="3"/>
  <c r="K20" i="3" s="1"/>
  <c r="M20" i="3" s="1"/>
  <c r="F18" i="3"/>
  <c r="D17" i="3"/>
  <c r="F17" i="3" s="1"/>
  <c r="F16" i="3"/>
  <c r="K16" i="3" s="1"/>
  <c r="M16" i="3" s="1"/>
  <c r="D15" i="3"/>
  <c r="F15" i="3" s="1"/>
  <c r="F14" i="3"/>
  <c r="K14" i="3" s="1"/>
  <c r="M14" i="3" s="1"/>
  <c r="F13" i="3"/>
  <c r="D12" i="3"/>
  <c r="F12" i="3" s="1"/>
  <c r="F10" i="3"/>
  <c r="F53" i="3" s="1"/>
  <c r="F9" i="3"/>
  <c r="K9" i="3" s="1"/>
  <c r="M9" i="3" s="1"/>
  <c r="F8" i="3"/>
  <c r="K8" i="3" s="1"/>
  <c r="M8" i="3" s="1"/>
  <c r="F7" i="3"/>
  <c r="K7" i="3" s="1"/>
  <c r="M7" i="3" s="1"/>
  <c r="F6" i="3"/>
  <c r="K6" i="3" s="1"/>
  <c r="M6" i="3" s="1"/>
  <c r="F5" i="3"/>
  <c r="F4" i="3"/>
  <c r="I3" i="3"/>
  <c r="I53" i="3" s="1"/>
  <c r="F31" i="3" l="1"/>
  <c r="J31" i="3" s="1"/>
  <c r="F11" i="3"/>
  <c r="K11" i="3" s="1"/>
  <c r="M11" i="3" s="1"/>
  <c r="F30" i="3"/>
  <c r="K30" i="3" s="1"/>
  <c r="M30" i="3" s="1"/>
  <c r="E71" i="3"/>
  <c r="F56" i="3"/>
  <c r="K56" i="3" s="1"/>
  <c r="M56" i="3" s="1"/>
  <c r="K51" i="3"/>
  <c r="K52" i="3"/>
  <c r="J32" i="3"/>
  <c r="D71" i="3"/>
  <c r="K59" i="3"/>
  <c r="M59" i="3" s="1"/>
  <c r="F45" i="3"/>
  <c r="K45" i="3" s="1"/>
  <c r="M45" i="3" s="1"/>
  <c r="J48" i="3"/>
  <c r="J66" i="3"/>
  <c r="K66" i="3"/>
  <c r="M66" i="3" s="1"/>
  <c r="I71" i="3"/>
  <c r="J14" i="3"/>
  <c r="J23" i="3"/>
  <c r="K62" i="3"/>
  <c r="M62" i="3" s="1"/>
  <c r="F19" i="3"/>
  <c r="J19" i="3" s="1"/>
  <c r="J28" i="3"/>
  <c r="J51" i="3"/>
  <c r="F57" i="3"/>
  <c r="F24" i="3"/>
  <c r="J24" i="3" s="1"/>
  <c r="J21" i="3"/>
  <c r="F25" i="3"/>
  <c r="K25" i="3" s="1"/>
  <c r="M25" i="3" s="1"/>
  <c r="F39" i="3"/>
  <c r="K44" i="3"/>
  <c r="J43" i="3"/>
  <c r="K43" i="3"/>
  <c r="M43" i="3" s="1"/>
  <c r="K47" i="3"/>
  <c r="M47" i="3" s="1"/>
  <c r="J47" i="3"/>
  <c r="J58" i="3"/>
  <c r="K58" i="3"/>
  <c r="M58" i="3" s="1"/>
  <c r="K29" i="3"/>
  <c r="M29" i="3" s="1"/>
  <c r="J29" i="3"/>
  <c r="K12" i="3"/>
  <c r="M12" i="3" s="1"/>
  <c r="J12" i="3"/>
  <c r="J17" i="3"/>
  <c r="K17" i="3"/>
  <c r="M17" i="3" s="1"/>
  <c r="K40" i="3"/>
  <c r="M40" i="3" s="1"/>
  <c r="J40" i="3"/>
  <c r="K68" i="3"/>
  <c r="M68" i="3" s="1"/>
  <c r="J68" i="3"/>
  <c r="J13" i="3"/>
  <c r="K13" i="3"/>
  <c r="M13" i="3" s="1"/>
  <c r="K22" i="3"/>
  <c r="M22" i="3" s="1"/>
  <c r="J22" i="3"/>
  <c r="K34" i="3"/>
  <c r="J34" i="3"/>
  <c r="K49" i="3"/>
  <c r="M49" i="3" s="1"/>
  <c r="J49" i="3"/>
  <c r="K61" i="3"/>
  <c r="M61" i="3" s="1"/>
  <c r="J61" i="3"/>
  <c r="K18" i="3"/>
  <c r="M18" i="3" s="1"/>
  <c r="J18" i="3"/>
  <c r="J35" i="3"/>
  <c r="K35" i="3"/>
  <c r="M35" i="3" s="1"/>
  <c r="K69" i="3"/>
  <c r="M69" i="3" s="1"/>
  <c r="J69" i="3"/>
  <c r="K4" i="3"/>
  <c r="M4" i="3" s="1"/>
  <c r="J4" i="3"/>
  <c r="K10" i="3"/>
  <c r="M10" i="3" s="1"/>
  <c r="J10" i="3"/>
  <c r="K27" i="3"/>
  <c r="M27" i="3" s="1"/>
  <c r="J27" i="3"/>
  <c r="K36" i="3"/>
  <c r="M36" i="3" s="1"/>
  <c r="J36" i="3"/>
  <c r="K46" i="3"/>
  <c r="M46" i="3" s="1"/>
  <c r="J46" i="3"/>
  <c r="K5" i="3"/>
  <c r="M5" i="3" s="1"/>
  <c r="J5" i="3"/>
  <c r="K63" i="3"/>
  <c r="M63" i="3" s="1"/>
  <c r="J63" i="3"/>
  <c r="K15" i="3"/>
  <c r="M15" i="3" s="1"/>
  <c r="J15" i="3"/>
  <c r="K37" i="3"/>
  <c r="J37" i="3"/>
  <c r="K64" i="3"/>
  <c r="M64" i="3" s="1"/>
  <c r="J64" i="3"/>
  <c r="K60" i="3"/>
  <c r="M60" i="3" s="1"/>
  <c r="J70" i="3"/>
  <c r="F3" i="3"/>
  <c r="J8" i="3"/>
  <c r="J42" i="3"/>
  <c r="J20" i="3"/>
  <c r="J41" i="3"/>
  <c r="J7" i="3"/>
  <c r="J26" i="3"/>
  <c r="J67" i="3"/>
  <c r="J6" i="3"/>
  <c r="J9" i="3"/>
  <c r="J16" i="3"/>
  <c r="J50" i="3"/>
  <c r="J39" i="3" l="1"/>
  <c r="K39" i="3"/>
  <c r="M39" i="3" s="1"/>
  <c r="J11" i="3"/>
  <c r="K31" i="3"/>
  <c r="M31" i="3" s="1"/>
  <c r="J30" i="3"/>
  <c r="F71" i="3"/>
  <c r="J56" i="3"/>
  <c r="K19" i="3"/>
  <c r="M19" i="3" s="1"/>
  <c r="J25" i="3"/>
  <c r="J45" i="3"/>
  <c r="J57" i="3"/>
  <c r="K57" i="3"/>
  <c r="K24" i="3"/>
  <c r="M24" i="3" s="1"/>
  <c r="J3" i="3"/>
  <c r="K53" i="3"/>
  <c r="K3" i="3"/>
  <c r="M3" i="3" s="1"/>
  <c r="D79" i="1"/>
  <c r="E79" i="1" s="1"/>
  <c r="N67" i="1"/>
  <c r="N68" i="1" s="1"/>
  <c r="M53" i="3" l="1"/>
  <c r="K71" i="3"/>
  <c r="M57" i="3"/>
  <c r="M71" i="3" s="1"/>
  <c r="J71" i="3"/>
  <c r="J53" i="3"/>
</calcChain>
</file>

<file path=xl/sharedStrings.xml><?xml version="1.0" encoding="utf-8"?>
<sst xmlns="http://schemas.openxmlformats.org/spreadsheetml/2006/main" count="5994" uniqueCount="1337">
  <si>
    <t>Activity</t>
  </si>
  <si>
    <t>Section</t>
  </si>
  <si>
    <t>Length  (km)</t>
  </si>
  <si>
    <t>Site Survey Completed</t>
  </si>
  <si>
    <t>Submitted to PGCIL</t>
  </si>
  <si>
    <t>Approved by PGCIL</t>
  </si>
  <si>
    <t>Remarks</t>
  </si>
  <si>
    <t>A</t>
  </si>
  <si>
    <t>B</t>
  </si>
  <si>
    <t>C</t>
  </si>
  <si>
    <t>D</t>
  </si>
  <si>
    <t>Total</t>
  </si>
  <si>
    <t>Route Alignment</t>
  </si>
  <si>
    <t>AP100-Mndsr Gantry</t>
  </si>
  <si>
    <t>Approved on Dtd 06-08-2024</t>
  </si>
  <si>
    <t>Details Survey</t>
  </si>
  <si>
    <t>AP100 (CP)-AP103</t>
  </si>
  <si>
    <t>Approved on Dtd 7.09.24</t>
  </si>
  <si>
    <t>Rajasthan</t>
  </si>
  <si>
    <t>Check Survey</t>
  </si>
  <si>
    <t>Approved on 28.09.24</t>
  </si>
  <si>
    <t>AP103-AP104</t>
  </si>
  <si>
    <t>Approved on 05.04.25</t>
  </si>
  <si>
    <t>AP104-AP108</t>
  </si>
  <si>
    <t>AP108-AP110</t>
  </si>
  <si>
    <t>Approved on Dtd 25.08.24</t>
  </si>
  <si>
    <t>Approved on 31.08.24</t>
  </si>
  <si>
    <t>AP110-AP111</t>
  </si>
  <si>
    <t>Approved on Dtd 27.09.24</t>
  </si>
  <si>
    <t>AP111-AP112</t>
  </si>
  <si>
    <t>Approved on 07.10.24</t>
  </si>
  <si>
    <t>AP112-AP113</t>
  </si>
  <si>
    <t>AP113-AP114</t>
  </si>
  <si>
    <t>AP114-AP115</t>
  </si>
  <si>
    <t>Approved on 14.10.24</t>
  </si>
  <si>
    <t>AP115-AP121</t>
  </si>
  <si>
    <t>AP121-AP122</t>
  </si>
  <si>
    <t>AP122-AP124</t>
  </si>
  <si>
    <t>AP124-AP125</t>
  </si>
  <si>
    <t>AP125-AP126</t>
  </si>
  <si>
    <t>AP126-AP128</t>
  </si>
  <si>
    <t>Approved on Dtd 21.09.24</t>
  </si>
  <si>
    <t>Approved on 05.12.24</t>
  </si>
  <si>
    <t>AP128-AP129</t>
  </si>
  <si>
    <t>Approved on 30.08.24</t>
  </si>
  <si>
    <t>AP-129- AP-129A</t>
  </si>
  <si>
    <t>Approved on 31.01.25</t>
  </si>
  <si>
    <t>AP129A-AP130</t>
  </si>
  <si>
    <t>AP130-AP132</t>
  </si>
  <si>
    <t>Approved on 30-08-24</t>
  </si>
  <si>
    <t>AP132-AP133</t>
  </si>
  <si>
    <t>AP133-AP134</t>
  </si>
  <si>
    <t>AP134-AP135</t>
  </si>
  <si>
    <t>AP135-AP136</t>
  </si>
  <si>
    <t>AP136-AP137</t>
  </si>
  <si>
    <t>AP137-AP137A</t>
  </si>
  <si>
    <t>AP137A-AP140</t>
  </si>
  <si>
    <t>AP140-AP141</t>
  </si>
  <si>
    <t>AP141-AP144A</t>
  </si>
  <si>
    <t>AP144A-AP145</t>
  </si>
  <si>
    <t>AP145-AP147</t>
  </si>
  <si>
    <t>Approved on 03.09.24</t>
  </si>
  <si>
    <t>AP147-AP148</t>
  </si>
  <si>
    <t>AP148-AP148A</t>
  </si>
  <si>
    <t>AP148A-AP149</t>
  </si>
  <si>
    <t>AP149-AP150</t>
  </si>
  <si>
    <t>MP &amp; RAJ</t>
  </si>
  <si>
    <t>AP150-AP151</t>
  </si>
  <si>
    <t>Approved on Dtd 03.09.24</t>
  </si>
  <si>
    <t>AP151-AP152</t>
  </si>
  <si>
    <t>AP152-AP152A</t>
  </si>
  <si>
    <t>AP152A-AP153</t>
  </si>
  <si>
    <t>AP153-AP154</t>
  </si>
  <si>
    <t>AP154-AP155</t>
  </si>
  <si>
    <t>AP155-AP156</t>
  </si>
  <si>
    <t>AP156-AP156/4</t>
  </si>
  <si>
    <t>Approved on 06-01-2025</t>
  </si>
  <si>
    <t>AP156/4-AP157/0</t>
  </si>
  <si>
    <t>AP157-AP158</t>
  </si>
  <si>
    <t>MP</t>
  </si>
  <si>
    <t>AP158-AP159</t>
  </si>
  <si>
    <t>AP159-AP161</t>
  </si>
  <si>
    <t>AP161-AP162</t>
  </si>
  <si>
    <t>Approved on 08.02.25</t>
  </si>
  <si>
    <t>AP162-AP165</t>
  </si>
  <si>
    <t>AP165-AP166</t>
  </si>
  <si>
    <t>Approved on 04.03.25</t>
  </si>
  <si>
    <t>AP166-AP168</t>
  </si>
  <si>
    <t>Approved on 15.02.25</t>
  </si>
  <si>
    <t>AP168-AP169</t>
  </si>
  <si>
    <t>AP169-AP170</t>
  </si>
  <si>
    <t>AP176-AP178</t>
  </si>
  <si>
    <t>AP178-AP180</t>
  </si>
  <si>
    <t xml:space="preserve">Approved on 15.02.25 </t>
  </si>
  <si>
    <t>AP180-AP181</t>
  </si>
  <si>
    <t xml:space="preserve">Approved on 05.04.25 </t>
  </si>
  <si>
    <t>AP181-AP182B</t>
  </si>
  <si>
    <t>AP181-AP-182B</t>
  </si>
  <si>
    <t>AP182B- Mandsaur GSS</t>
  </si>
  <si>
    <t>Balance DS Approval Pending</t>
  </si>
  <si>
    <t>Balance CS to be done at Site</t>
  </si>
  <si>
    <t>Balance CS to Be Submitted To Client</t>
  </si>
  <si>
    <t>Balance CS to be approved By Client</t>
  </si>
  <si>
    <t>Cumm/Total CS Pending</t>
  </si>
  <si>
    <t>SL</t>
  </si>
  <si>
    <t>Description</t>
  </si>
  <si>
    <t>UOM</t>
  </si>
  <si>
    <t>Length</t>
  </si>
  <si>
    <t>Balance Survey Approval Pending</t>
  </si>
  <si>
    <t>Detailed Survey</t>
  </si>
  <si>
    <t>KM</t>
  </si>
  <si>
    <t>1A</t>
  </si>
  <si>
    <t xml:space="preserve"> Completed</t>
  </si>
  <si>
    <t>1B</t>
  </si>
  <si>
    <t xml:space="preserve"> Submitted</t>
  </si>
  <si>
    <t>1C</t>
  </si>
  <si>
    <t xml:space="preserve"> Approved</t>
  </si>
  <si>
    <t>2A</t>
  </si>
  <si>
    <t>2B</t>
  </si>
  <si>
    <t>2C</t>
  </si>
  <si>
    <t>765 KV BEAWAR MANDSAUR TRANSMISSION  LINE</t>
  </si>
  <si>
    <t>Sr. No.</t>
  </si>
  <si>
    <t>Loc No.</t>
  </si>
  <si>
    <t>TOT</t>
  </si>
  <si>
    <t>Proposed Drawing</t>
  </si>
  <si>
    <t>103/5</t>
  </si>
  <si>
    <t>DA+3</t>
  </si>
  <si>
    <t>Un-equal RC &amp; Benching</t>
  </si>
  <si>
    <t>103/6A</t>
  </si>
  <si>
    <t>DD45+0</t>
  </si>
  <si>
    <t>Benching</t>
  </si>
  <si>
    <t>110A/2</t>
  </si>
  <si>
    <t>DA-1.5</t>
  </si>
  <si>
    <t>113/0</t>
  </si>
  <si>
    <t>DD60+9</t>
  </si>
  <si>
    <t>Equal - RC</t>
  </si>
  <si>
    <t>114/5</t>
  </si>
  <si>
    <t>DA+6</t>
  </si>
  <si>
    <t>126/1</t>
  </si>
  <si>
    <t>DA+9</t>
  </si>
  <si>
    <t xml:space="preserve">Un-equal RC </t>
  </si>
  <si>
    <t>127/1</t>
  </si>
  <si>
    <t>DA+0</t>
  </si>
  <si>
    <t>129/0</t>
  </si>
  <si>
    <t>DB1+3</t>
  </si>
  <si>
    <t>129/1</t>
  </si>
  <si>
    <t>DB1+9</t>
  </si>
  <si>
    <t>Un-equal RC,ULE  &amp; Benching</t>
  </si>
  <si>
    <t>133/0</t>
  </si>
  <si>
    <t>DB2+3</t>
  </si>
  <si>
    <t>134/0</t>
  </si>
  <si>
    <t>DC1+0</t>
  </si>
  <si>
    <t>Un-Equal RC</t>
  </si>
  <si>
    <t>135/3</t>
  </si>
  <si>
    <t>137/0</t>
  </si>
  <si>
    <t>137A/0</t>
  </si>
  <si>
    <t>DC2+25</t>
  </si>
  <si>
    <t>138/0</t>
  </si>
  <si>
    <t>138/2</t>
  </si>
  <si>
    <t>138/3</t>
  </si>
  <si>
    <t>142/1</t>
  </si>
  <si>
    <t>DA-3</t>
  </si>
  <si>
    <t>143/0</t>
  </si>
  <si>
    <t>144/0</t>
  </si>
  <si>
    <t>146/0</t>
  </si>
  <si>
    <t>DD60+18</t>
  </si>
  <si>
    <t>148B/0</t>
  </si>
  <si>
    <t>DB1+0</t>
  </si>
  <si>
    <t>148B/1</t>
  </si>
  <si>
    <t>148C/0</t>
  </si>
  <si>
    <t>149B/2</t>
  </si>
  <si>
    <t>149B/3</t>
  </si>
  <si>
    <t>149B/4</t>
  </si>
  <si>
    <t>157/0</t>
  </si>
  <si>
    <t>DB2+9</t>
  </si>
  <si>
    <t>165/0</t>
  </si>
  <si>
    <t>DC2+0</t>
  </si>
  <si>
    <t>182/0</t>
  </si>
  <si>
    <t>DD60+6</t>
  </si>
  <si>
    <t>165/2</t>
  </si>
  <si>
    <t>TOWER PRS -TA 505</t>
  </si>
  <si>
    <t>Tower Type</t>
  </si>
  <si>
    <t>Tower Type With Extn</t>
  </si>
  <si>
    <t>Tentative Tower</t>
  </si>
  <si>
    <t>Tower Released in (Rajasthan)</t>
  </si>
  <si>
    <t>Tower Released in (MP)</t>
  </si>
  <si>
    <t xml:space="preserve"> Tower Supplied in (RAJ)</t>
  </si>
  <si>
    <t>Tower Supplied in (MP)</t>
  </si>
  <si>
    <t>Total Tower Supplied till Date</t>
  </si>
  <si>
    <t>Balance to be supplied against release qty.</t>
  </si>
  <si>
    <t>Total Tower Tonnage</t>
  </si>
  <si>
    <t>DA</t>
  </si>
  <si>
    <t>DA-BTB</t>
  </si>
  <si>
    <t>TOWER PRS RELEASED IN MT</t>
  </si>
  <si>
    <t>+0M Ext. DA-Type</t>
  </si>
  <si>
    <t>TOTAL TOWERS IN NOS</t>
  </si>
  <si>
    <t>+3M Ext. DA-Type</t>
  </si>
  <si>
    <t xml:space="preserve"> TOWER PRS RELEASED IN NOS </t>
  </si>
  <si>
    <t>+6M Ext. DA-Type</t>
  </si>
  <si>
    <t>+9M Ext. DA-Type</t>
  </si>
  <si>
    <t>-1.5 M Ext. DA-Type</t>
  </si>
  <si>
    <t>-3M Ext. DA-Type</t>
  </si>
  <si>
    <t>DB1</t>
  </si>
  <si>
    <t>DB1-BTB</t>
  </si>
  <si>
    <t>+0M Ext. DB1-Type</t>
  </si>
  <si>
    <t>+3M Ext. DB1-Type</t>
  </si>
  <si>
    <t>+6M Ext. DB1-Type</t>
  </si>
  <si>
    <t>+9M Ext. DB1-Type</t>
  </si>
  <si>
    <t>+15M Ext. DB1-Type</t>
  </si>
  <si>
    <t>+18M Ext. DB1-Type</t>
  </si>
  <si>
    <t>+25M Ext. DB1-Type</t>
  </si>
  <si>
    <t>DB2</t>
  </si>
  <si>
    <t>DB2-BTB</t>
  </si>
  <si>
    <t>+0M Ext. DB2-Type</t>
  </si>
  <si>
    <t>+3M Ext. DB2-Type</t>
  </si>
  <si>
    <t>+6M Ext. DB2-Type</t>
  </si>
  <si>
    <t>+9M Ext. DB2-Type</t>
  </si>
  <si>
    <t>+18M Ext. DB2-Type</t>
  </si>
  <si>
    <t>DC1</t>
  </si>
  <si>
    <t>DC1-BTB</t>
  </si>
  <si>
    <t>+0M Ext. DC1-Type</t>
  </si>
  <si>
    <t>+3M Ext. DC1-Type</t>
  </si>
  <si>
    <t>+6M Ext. DC1-Type</t>
  </si>
  <si>
    <t>+9M Ext. DC1-Type</t>
  </si>
  <si>
    <t>+18M Ext. DC1-Type</t>
  </si>
  <si>
    <t>DC2</t>
  </si>
  <si>
    <t>DC2-BTB</t>
  </si>
  <si>
    <t>+0M Ext. DC2-Type</t>
  </si>
  <si>
    <t>+3M Ext. DC2-Type</t>
  </si>
  <si>
    <t>+6M Ext. DC2-Type</t>
  </si>
  <si>
    <t>+9M Ext. DC2-Type</t>
  </si>
  <si>
    <t>+15M Ext. DC2-Type</t>
  </si>
  <si>
    <t>+18M Ext. DC2-Type</t>
  </si>
  <si>
    <t>+25M Ext. DC2-Type</t>
  </si>
  <si>
    <t>DD45</t>
  </si>
  <si>
    <t>DD45-BTB</t>
  </si>
  <si>
    <t>+0M Ext. DD45-Type</t>
  </si>
  <si>
    <t>+3M Ext. DD45-Type</t>
  </si>
  <si>
    <t>+6M Ext. DD45-Type</t>
  </si>
  <si>
    <t>+9M Ext. DD45-Type</t>
  </si>
  <si>
    <t>+18M Ext. DD45-Type</t>
  </si>
  <si>
    <t>DD60</t>
  </si>
  <si>
    <t>DD60-BTB</t>
  </si>
  <si>
    <t>+0M Ext. DD60-Type</t>
  </si>
  <si>
    <t>+3M Ext. DD60-Type</t>
  </si>
  <si>
    <t>+6M Ext. DD60-Type</t>
  </si>
  <si>
    <t>+9M Ext. DD60-Type</t>
  </si>
  <si>
    <t>+18M Ext. DD60-Type</t>
  </si>
  <si>
    <t>+25M Ext. DD60-Type</t>
  </si>
  <si>
    <t>+35M Ext. DD60-Type</t>
  </si>
  <si>
    <t>STUB PRS - TA 505</t>
  </si>
  <si>
    <t>Stub Type</t>
  </si>
  <si>
    <t xml:space="preserve"> Stub Supplied in (RAJ)</t>
  </si>
  <si>
    <t>Stub Supplied in (MP)</t>
  </si>
  <si>
    <t>Total Stub Supplied</t>
  </si>
  <si>
    <t>Total STUB Tonnage</t>
  </si>
  <si>
    <t>STUB DA</t>
  </si>
  <si>
    <t>DA UPTO 9 MTR</t>
  </si>
  <si>
    <t>STUB PRS RELEASED IN MT</t>
  </si>
  <si>
    <t>STUB DB1</t>
  </si>
  <si>
    <t>DB1 UPTO 9 MTR</t>
  </si>
  <si>
    <t>TOTAL STUB IN NOS</t>
  </si>
  <si>
    <t>STUB DB2</t>
  </si>
  <si>
    <t>DB2 UPTO 9 MTR</t>
  </si>
  <si>
    <t xml:space="preserve">STUB PRS RELEASED IN NOS </t>
  </si>
  <si>
    <t>DB1 +18/25 MTR</t>
  </si>
  <si>
    <t>DB2 +18/25 MTR</t>
  </si>
  <si>
    <t>STUB DC1</t>
  </si>
  <si>
    <t>DC1 UPTO 9 MTR</t>
  </si>
  <si>
    <t>STUB DC2</t>
  </si>
  <si>
    <t>DC2 UPTO 9 MTR</t>
  </si>
  <si>
    <t>DC1 +18/25 MTR</t>
  </si>
  <si>
    <t>DC2 +18/25 MTR</t>
  </si>
  <si>
    <t>STUB DD45</t>
  </si>
  <si>
    <t>DD45 UPTO 9 MTR</t>
  </si>
  <si>
    <t>DD45 +18/25 MTR</t>
  </si>
  <si>
    <t>STUB DD60</t>
  </si>
  <si>
    <t>DD60 UPTO 9 MTR</t>
  </si>
  <si>
    <t>DD60 +18/+25 MTR</t>
  </si>
  <si>
    <t>DD60 +30/+35 MTR</t>
  </si>
  <si>
    <t>765 KV D/C Hexa BEAWAR-MANDSAUR TL TA-505</t>
  </si>
  <si>
    <t>Sl No</t>
  </si>
  <si>
    <t>Power Line Crossing</t>
  </si>
  <si>
    <t xml:space="preserve"> National Highway Crossing</t>
  </si>
  <si>
    <t>Rail Line</t>
  </si>
  <si>
    <t>Gas Pipe Line</t>
  </si>
  <si>
    <t xml:space="preserve"> Forest Crossings</t>
  </si>
  <si>
    <t>132KV</t>
  </si>
  <si>
    <t>220KV</t>
  </si>
  <si>
    <t>400KV</t>
  </si>
  <si>
    <t>Sl.No</t>
  </si>
  <si>
    <t>Summary</t>
  </si>
  <si>
    <t>Total Nos</t>
  </si>
  <si>
    <t>Proposals Submitted</t>
  </si>
  <si>
    <t>Approval/NOC Obtained</t>
  </si>
  <si>
    <t>Balance</t>
  </si>
  <si>
    <t xml:space="preserve"> Power Line Crossings</t>
  </si>
  <si>
    <t xml:space="preserve"> NH Crossings</t>
  </si>
  <si>
    <t>Railway Crossing</t>
  </si>
  <si>
    <t xml:space="preserve">CROSSING PROPOSAL STATUS </t>
  </si>
  <si>
    <t>Sl No.</t>
  </si>
  <si>
    <t xml:space="preserve">Name of Crossing </t>
  </si>
  <si>
    <t>Crossing Section 765 KV DC BMTL PROPOSED LINE</t>
  </si>
  <si>
    <t>Type of Tower</t>
  </si>
  <si>
    <t>Owner</t>
  </si>
  <si>
    <t>PROPOSAL STATUS</t>
  </si>
  <si>
    <t xml:space="preserve">GAS PIPE LINE </t>
  </si>
  <si>
    <t>AP-106</t>
  </si>
  <si>
    <t>DD60+0</t>
  </si>
  <si>
    <t>GAIL</t>
  </si>
  <si>
    <t>AP-108</t>
  </si>
  <si>
    <t>400 KV D/C RAP-KNK TL (power line)</t>
  </si>
  <si>
    <t>AP-112</t>
  </si>
  <si>
    <t>POWERGRID</t>
  </si>
  <si>
    <t>Site visit Completed,Awaiting for final Approval Of PGCIL</t>
  </si>
  <si>
    <t>AP-113</t>
  </si>
  <si>
    <t>132 KV D/C BASSI-AKK TL (power line)</t>
  </si>
  <si>
    <t>AP-115</t>
  </si>
  <si>
    <t>DD60+3</t>
  </si>
  <si>
    <t>AP-116</t>
  </si>
  <si>
    <t>DD45+3</t>
  </si>
  <si>
    <t>220 KV D/C RPB-CGH TL (power line)</t>
  </si>
  <si>
    <t>AP-117</t>
  </si>
  <si>
    <t>DD45+6</t>
  </si>
  <si>
    <t>AP-118</t>
  </si>
  <si>
    <t>220 KV S/C RPH-UPD TL (power line)</t>
  </si>
  <si>
    <t>AP-119</t>
  </si>
  <si>
    <t>AP-120</t>
  </si>
  <si>
    <t>SINGLE TRACK RAILWAY LINE CROSSING(WCR,KOTA DIVISION)</t>
  </si>
  <si>
    <t>AP-122</t>
  </si>
  <si>
    <t>INDIAN RAILWAY</t>
  </si>
  <si>
    <t>AP-123</t>
  </si>
  <si>
    <t>NH-27</t>
  </si>
  <si>
    <t>AP 124</t>
  </si>
  <si>
    <t>NHAI (UDAIPUR)</t>
  </si>
  <si>
    <t>AP 125</t>
  </si>
  <si>
    <t>132 KV SC VIJAYPUR-NIMBAHERA TL (power line)</t>
  </si>
  <si>
    <t>AP-141</t>
  </si>
  <si>
    <t>Site visit Completed,awaiting for final Approval Of  RRVNL</t>
  </si>
  <si>
    <t>AP-142</t>
  </si>
  <si>
    <t>400 KV D/C NMC-CHR TL (power line)</t>
  </si>
  <si>
    <t>AP-145</t>
  </si>
  <si>
    <t>Site visit Completed,awaiting for final Approval Of PGCIL</t>
  </si>
  <si>
    <t>AP-146</t>
  </si>
  <si>
    <t>132 KV SC KANERA-NIMBAHERA TL (power line)</t>
  </si>
  <si>
    <t>AP-151</t>
  </si>
  <si>
    <t>AP-152</t>
  </si>
  <si>
    <t>220 kV S/C RAPP-DEBARI  TL (power line)</t>
  </si>
  <si>
    <t>AP-153</t>
  </si>
  <si>
    <t>DB1+6</t>
  </si>
  <si>
    <t>AP-154</t>
  </si>
  <si>
    <t>132 kV D/C NEEMUCH-RATANGARH TL (power line)</t>
  </si>
  <si>
    <t>AP-163</t>
  </si>
  <si>
    <t>DB1+18</t>
  </si>
  <si>
    <t>MPPTCL</t>
  </si>
  <si>
    <t>AP-164</t>
  </si>
  <si>
    <t xml:space="preserve"> DC2+18</t>
  </si>
  <si>
    <t>220 kV D/C NEEMUCH-RATANGARH TL (power line)</t>
  </si>
  <si>
    <t>NH CROSSING</t>
  </si>
  <si>
    <t>AP-174B</t>
  </si>
  <si>
    <t>DB2+0</t>
  </si>
  <si>
    <t>NHAI</t>
  </si>
  <si>
    <t>AP-175</t>
  </si>
  <si>
    <t>132 KV S/C NEEMUCH-MANASA TL (power line)</t>
  </si>
  <si>
    <t>AP-168</t>
  </si>
  <si>
    <t>AP-169</t>
  </si>
  <si>
    <t>DC1+3</t>
  </si>
  <si>
    <t>132 KV D/C NEEMUCH-BUDHA TL (power line)</t>
  </si>
  <si>
    <t>AP-180</t>
  </si>
  <si>
    <t>DC2+15</t>
  </si>
  <si>
    <t>AP-181</t>
  </si>
  <si>
    <t>RVNL</t>
  </si>
  <si>
    <t>Site visit Completed,Awaiting for final Approval Of  RVNL</t>
  </si>
  <si>
    <t>Site visit Completed,awaiting for final Approval Of  RVNL</t>
  </si>
  <si>
    <t>Stub Type With Extn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</si>
  <si>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</si>
  <si>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</si>
  <si>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</si>
  <si>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</si>
  <si>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</si>
  <si>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</si>
  <si>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Contractor:</t>
  </si>
  <si>
    <t>M/s. KEC INTERNATIONAL LTD.</t>
  </si>
  <si>
    <t>FDN</t>
  </si>
  <si>
    <t>Ear</t>
  </si>
  <si>
    <t>ERE</t>
  </si>
  <si>
    <t>STR</t>
  </si>
  <si>
    <t>COMMON TOWER</t>
  </si>
  <si>
    <t>100/0</t>
  </si>
  <si>
    <t>101/0</t>
  </si>
  <si>
    <t>101/1</t>
  </si>
  <si>
    <t>101/2</t>
  </si>
  <si>
    <t>101/3</t>
  </si>
  <si>
    <t>101/4</t>
  </si>
  <si>
    <t>101/5</t>
  </si>
  <si>
    <t>101/6</t>
  </si>
  <si>
    <t>101/7</t>
  </si>
  <si>
    <t>101/8</t>
  </si>
  <si>
    <t>102/0</t>
  </si>
  <si>
    <t>Hold</t>
  </si>
  <si>
    <t>Completed</t>
  </si>
  <si>
    <t>DC2+3</t>
  </si>
  <si>
    <t>WFR</t>
  </si>
  <si>
    <t>DRY</t>
  </si>
  <si>
    <t>RAJASTHAN REGION</t>
  </si>
  <si>
    <t>103/0</t>
  </si>
  <si>
    <t>103/1</t>
  </si>
  <si>
    <t>103/2</t>
  </si>
  <si>
    <t>103/3</t>
  </si>
  <si>
    <t>103/4</t>
  </si>
  <si>
    <t>103/5A</t>
  </si>
  <si>
    <t>103/5A1</t>
  </si>
  <si>
    <t>103/7</t>
  </si>
  <si>
    <t>103/8</t>
  </si>
  <si>
    <t>103/9</t>
  </si>
  <si>
    <t>104/0</t>
  </si>
  <si>
    <t>104/1</t>
  </si>
  <si>
    <t>104/2</t>
  </si>
  <si>
    <t>WIP</t>
  </si>
  <si>
    <t>DC1+6</t>
  </si>
  <si>
    <t>ROUTE TO BE DIVERTED TO AVOID MINES</t>
  </si>
  <si>
    <t>DFR</t>
  </si>
  <si>
    <t>WET</t>
  </si>
  <si>
    <t>Rajesh Suwalkar</t>
  </si>
  <si>
    <t>HR</t>
  </si>
  <si>
    <t>GAS PIPE LINE</t>
  </si>
  <si>
    <t>105/0</t>
  </si>
  <si>
    <t>105/1</t>
  </si>
  <si>
    <t>106/0</t>
  </si>
  <si>
    <t xml:space="preserve">108/0 </t>
  </si>
  <si>
    <t>108/1</t>
  </si>
  <si>
    <t>108/2</t>
  </si>
  <si>
    <t>108/3</t>
  </si>
  <si>
    <t>108/4</t>
  </si>
  <si>
    <t>109/0</t>
  </si>
  <si>
    <t>109/1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</si>
  <si>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</si>
  <si>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</si>
  <si>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</si>
  <si>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</si>
  <si>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</si>
  <si>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</si>
  <si>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</si>
  <si>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</si>
  <si>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</si>
  <si>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</si>
  <si>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</si>
  <si>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</si>
  <si>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</si>
  <si>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110A/1</t>
  </si>
  <si>
    <t>111/0</t>
  </si>
  <si>
    <t>111/1</t>
  </si>
  <si>
    <t>111/2</t>
  </si>
  <si>
    <t>Jwala Singh</t>
  </si>
  <si>
    <t>ROW</t>
  </si>
  <si>
    <t>400 kV</t>
  </si>
  <si>
    <t>111/3</t>
  </si>
  <si>
    <t>111/4</t>
  </si>
  <si>
    <t>112/0</t>
  </si>
  <si>
    <t>113/1</t>
  </si>
  <si>
    <t>113/2</t>
  </si>
  <si>
    <t>113/3</t>
  </si>
  <si>
    <t>113/4</t>
  </si>
  <si>
    <t>113/5</t>
  </si>
  <si>
    <t>113/6</t>
  </si>
  <si>
    <t>114/0</t>
  </si>
  <si>
    <t>114/1</t>
  </si>
  <si>
    <t>114/2</t>
  </si>
  <si>
    <t>114/3</t>
  </si>
  <si>
    <t>132 kV</t>
  </si>
  <si>
    <t>220kV</t>
  </si>
  <si>
    <t>114/4</t>
  </si>
  <si>
    <t>114/6</t>
  </si>
  <si>
    <t>114/7</t>
  </si>
  <si>
    <t>114/8</t>
  </si>
  <si>
    <t>114/9</t>
  </si>
  <si>
    <t>114/10</t>
  </si>
  <si>
    <t>115/0</t>
  </si>
  <si>
    <t>116/0</t>
  </si>
  <si>
    <t>116/1</t>
  </si>
  <si>
    <t>116/2</t>
  </si>
  <si>
    <t>117/0</t>
  </si>
  <si>
    <t>118/0</t>
  </si>
  <si>
    <t>119/0</t>
  </si>
  <si>
    <t>SUMIT</t>
  </si>
  <si>
    <t>NH</t>
  </si>
  <si>
    <t>120/0</t>
  </si>
  <si>
    <t>120/1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</si>
  <si>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</si>
  <si>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</si>
  <si>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</si>
  <si>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</si>
  <si>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</si>
  <si>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</si>
  <si>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</si>
  <si>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</si>
  <si>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</si>
  <si>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</si>
  <si>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</si>
  <si>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</si>
  <si>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RAJ FOREST</t>
  </si>
  <si>
    <t>Proposed 132kV</t>
  </si>
  <si>
    <t>126/2</t>
  </si>
  <si>
    <t>126/3</t>
  </si>
  <si>
    <t>126/4</t>
  </si>
  <si>
    <t>127/0</t>
  </si>
  <si>
    <t>127/2</t>
  </si>
  <si>
    <t>127/3</t>
  </si>
  <si>
    <t>128/0</t>
  </si>
  <si>
    <t>129A/0</t>
  </si>
  <si>
    <t>129A/1</t>
  </si>
  <si>
    <t>129A/2</t>
  </si>
  <si>
    <t>DC2+9</t>
  </si>
  <si>
    <t>Temple</t>
  </si>
  <si>
    <t>129A/3</t>
  </si>
  <si>
    <t>130/0</t>
  </si>
  <si>
    <t>130/1</t>
  </si>
  <si>
    <t>130/2</t>
  </si>
  <si>
    <t>131/0</t>
  </si>
  <si>
    <t>132/0</t>
  </si>
  <si>
    <t>135/0</t>
  </si>
  <si>
    <t>135/1</t>
  </si>
  <si>
    <t>135/2</t>
  </si>
  <si>
    <t>136/0</t>
  </si>
  <si>
    <t>136/1</t>
  </si>
  <si>
    <t>DD45+9</t>
  </si>
  <si>
    <t>RST</t>
  </si>
  <si>
    <t>TP Tower</t>
  </si>
  <si>
    <t>136/2</t>
  </si>
  <si>
    <t>136/3</t>
  </si>
  <si>
    <t xml:space="preserve">136/4 </t>
  </si>
  <si>
    <t>136/5</t>
  </si>
  <si>
    <t>138/1</t>
  </si>
  <si>
    <t>139/0</t>
  </si>
  <si>
    <t>139/1</t>
  </si>
  <si>
    <t>140/0</t>
  </si>
  <si>
    <t>140/1</t>
  </si>
  <si>
    <t>DC1+9</t>
  </si>
  <si>
    <t>141/0</t>
  </si>
  <si>
    <t>142/0</t>
  </si>
  <si>
    <t>144A/0</t>
  </si>
  <si>
    <t>144A/1</t>
  </si>
  <si>
    <t>144A/2</t>
  </si>
  <si>
    <t>144A/3</t>
  </si>
  <si>
    <t>145/0</t>
  </si>
  <si>
    <t>146/1</t>
  </si>
  <si>
    <t>147/0</t>
  </si>
  <si>
    <t>147/1</t>
  </si>
  <si>
    <t>`</t>
  </si>
  <si>
    <t>DB2+6</t>
  </si>
  <si>
    <t>MP FOREST</t>
  </si>
  <si>
    <t>147A/0</t>
  </si>
  <si>
    <t>147A/1</t>
  </si>
  <si>
    <t>147A/2</t>
  </si>
  <si>
    <t>147A/3</t>
  </si>
  <si>
    <t>147A/4</t>
  </si>
  <si>
    <t>147A/5</t>
  </si>
  <si>
    <t>148/0</t>
  </si>
  <si>
    <t>148/1</t>
  </si>
  <si>
    <t>148A/0</t>
  </si>
  <si>
    <t>148B/2</t>
  </si>
  <si>
    <t>149/0</t>
  </si>
  <si>
    <t>MP REGION</t>
  </si>
  <si>
    <t>149/1</t>
  </si>
  <si>
    <t>149/2</t>
  </si>
  <si>
    <t>149A/0</t>
  </si>
  <si>
    <t>149B/0</t>
  </si>
  <si>
    <t>149B/1</t>
  </si>
  <si>
    <t>150/0</t>
  </si>
  <si>
    <t>150/1</t>
  </si>
  <si>
    <t>150/2</t>
  </si>
  <si>
    <t>150/3</t>
  </si>
  <si>
    <t>150/4</t>
  </si>
  <si>
    <t>150/5</t>
  </si>
  <si>
    <t>DC1+18</t>
  </si>
  <si>
    <t>DB1+25</t>
  </si>
  <si>
    <t>DB1+15</t>
  </si>
  <si>
    <t>151/0</t>
  </si>
  <si>
    <t>152/0</t>
  </si>
  <si>
    <t>152/1</t>
  </si>
  <si>
    <t>152/2</t>
  </si>
  <si>
    <t>152/3</t>
  </si>
  <si>
    <t>152A/0</t>
  </si>
  <si>
    <t>152A/1</t>
  </si>
  <si>
    <t>152A/2</t>
  </si>
  <si>
    <t>152A/3</t>
  </si>
  <si>
    <t>152A/4</t>
  </si>
  <si>
    <t>152A/5</t>
  </si>
  <si>
    <t>152A/6</t>
  </si>
  <si>
    <t>152A/7</t>
  </si>
  <si>
    <t>152A/8</t>
  </si>
  <si>
    <t>220 kV</t>
  </si>
  <si>
    <t>152A/9</t>
  </si>
  <si>
    <t>152A/10</t>
  </si>
  <si>
    <t>152A/11</t>
  </si>
  <si>
    <t>152A/12</t>
  </si>
  <si>
    <t>153/0</t>
  </si>
  <si>
    <t>154/0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</si>
  <si>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</si>
  <si>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</si>
  <si>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</si>
  <si>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</si>
  <si>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</si>
  <si>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</si>
  <si>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</si>
  <si>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</si>
  <si>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</si>
  <si>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</si>
  <si>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</si>
  <si>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</si>
  <si>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156/1</t>
  </si>
  <si>
    <t>156/2</t>
  </si>
  <si>
    <t>156/3</t>
  </si>
  <si>
    <t>156/4</t>
  </si>
  <si>
    <t>156/5</t>
  </si>
  <si>
    <t>156/6</t>
  </si>
  <si>
    <t xml:space="preserve">158/0 </t>
  </si>
  <si>
    <t>158/1</t>
  </si>
  <si>
    <t>158/2</t>
  </si>
  <si>
    <t>DC2+18</t>
  </si>
  <si>
    <t>158/3</t>
  </si>
  <si>
    <t>159/0</t>
  </si>
  <si>
    <t>159/1</t>
  </si>
  <si>
    <t>159/2</t>
  </si>
  <si>
    <t>159/3</t>
  </si>
  <si>
    <t>160/0</t>
  </si>
  <si>
    <t>160/1</t>
  </si>
  <si>
    <t>160/2</t>
  </si>
  <si>
    <t>160/3</t>
  </si>
  <si>
    <t>160/4</t>
  </si>
  <si>
    <t>160/5</t>
  </si>
  <si>
    <t>161/0</t>
  </si>
  <si>
    <t>161/1</t>
  </si>
  <si>
    <t>161/2</t>
  </si>
  <si>
    <t>Reshmi Devi</t>
  </si>
  <si>
    <t>Yash</t>
  </si>
  <si>
    <t>Reshmi devi</t>
  </si>
  <si>
    <t>132 &amp; 220 kV</t>
  </si>
  <si>
    <t>161/3</t>
  </si>
  <si>
    <t>161/4</t>
  </si>
  <si>
    <t>161/5</t>
  </si>
  <si>
    <t>162/0</t>
  </si>
  <si>
    <t>162/1</t>
  </si>
  <si>
    <t>162/2</t>
  </si>
  <si>
    <t>163/0</t>
  </si>
  <si>
    <t>164/0</t>
  </si>
  <si>
    <t>164/1</t>
  </si>
  <si>
    <t>164/2</t>
  </si>
  <si>
    <t>164/3</t>
  </si>
  <si>
    <t>164/4</t>
  </si>
  <si>
    <t>164/5</t>
  </si>
  <si>
    <t>164/6</t>
  </si>
  <si>
    <t>Punia Const.</t>
  </si>
  <si>
    <t>Saktawar</t>
  </si>
  <si>
    <t>RC</t>
  </si>
  <si>
    <t>164/7</t>
  </si>
  <si>
    <t>164/8</t>
  </si>
  <si>
    <t>165/1</t>
  </si>
  <si>
    <t>165/3</t>
  </si>
  <si>
    <t>165/4</t>
  </si>
  <si>
    <t>165/5</t>
  </si>
  <si>
    <t>165/6</t>
  </si>
  <si>
    <t>166/0</t>
  </si>
  <si>
    <t>166/1</t>
  </si>
  <si>
    <t>166/2</t>
  </si>
  <si>
    <t>166/3</t>
  </si>
  <si>
    <t>166/4</t>
  </si>
  <si>
    <t>HOLD</t>
  </si>
  <si>
    <t>ROUTE DIVERTED</t>
  </si>
  <si>
    <t>Garg</t>
  </si>
  <si>
    <t>166/5</t>
  </si>
  <si>
    <t>166/6</t>
  </si>
  <si>
    <t>166/7</t>
  </si>
  <si>
    <t>166/8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</si>
  <si>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</si>
  <si>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</si>
  <si>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</si>
  <si>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</si>
  <si>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</si>
  <si>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</si>
  <si>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</si>
  <si>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</si>
  <si>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</si>
  <si>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</si>
  <si>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</si>
  <si>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GARG</t>
  </si>
  <si>
    <t>Shree Shyam</t>
  </si>
  <si>
    <t>169/2</t>
  </si>
  <si>
    <t>169/3</t>
  </si>
  <si>
    <t>169/4</t>
  </si>
  <si>
    <t>169/5</t>
  </si>
  <si>
    <t>169/6</t>
  </si>
  <si>
    <t>169/7</t>
  </si>
  <si>
    <t>169/8</t>
  </si>
  <si>
    <t xml:space="preserve">169/9 </t>
  </si>
  <si>
    <t>170/0</t>
  </si>
  <si>
    <t>170/1</t>
  </si>
  <si>
    <t>170/2</t>
  </si>
  <si>
    <t>170/3</t>
  </si>
  <si>
    <t>170/4</t>
  </si>
  <si>
    <t>170/5</t>
  </si>
  <si>
    <t>Manoj Kumar</t>
  </si>
  <si>
    <t>SHUKLA</t>
  </si>
  <si>
    <t>170/6</t>
  </si>
  <si>
    <t>170/7</t>
  </si>
  <si>
    <t>170/8</t>
  </si>
  <si>
    <t>170/9</t>
  </si>
  <si>
    <t xml:space="preserve">170/10 </t>
  </si>
  <si>
    <t>171/0</t>
  </si>
  <si>
    <t>171/1</t>
  </si>
  <si>
    <t>171/2</t>
  </si>
  <si>
    <t>171/3</t>
  </si>
  <si>
    <t>171/4</t>
  </si>
  <si>
    <t>171/5</t>
  </si>
  <si>
    <t>171/6</t>
  </si>
  <si>
    <t>171/7</t>
  </si>
  <si>
    <t>171/8</t>
  </si>
  <si>
    <t>JSR</t>
  </si>
  <si>
    <t>171/9</t>
  </si>
  <si>
    <t xml:space="preserve">171/10 </t>
  </si>
  <si>
    <t>172/0</t>
  </si>
  <si>
    <t>172/1</t>
  </si>
  <si>
    <t>172/2</t>
  </si>
  <si>
    <t>172/3</t>
  </si>
  <si>
    <t>172/4</t>
  </si>
  <si>
    <t>172/5</t>
  </si>
  <si>
    <t>172/6</t>
  </si>
  <si>
    <t>173/0</t>
  </si>
  <si>
    <t>173/1</t>
  </si>
  <si>
    <t>173/2</t>
  </si>
  <si>
    <t>173/3</t>
  </si>
  <si>
    <t>173/4</t>
  </si>
  <si>
    <t>RAJARAM</t>
  </si>
  <si>
    <t>Surinder</t>
  </si>
  <si>
    <t>Proposed NH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</si>
  <si>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</si>
  <si>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</si>
  <si>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</si>
  <si>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</si>
  <si>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</si>
  <si>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</si>
  <si>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</si>
  <si>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</si>
  <si>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</si>
  <si>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</si>
  <si>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</si>
  <si>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 xml:space="preserve">175/4 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</si>
  <si>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</si>
  <si>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</si>
  <si>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</si>
  <si>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</si>
  <si>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</si>
  <si>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</si>
  <si>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</si>
  <si>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</si>
  <si>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</si>
  <si>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</si>
  <si>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</si>
  <si>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</si>
  <si>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 xml:space="preserve">177/8 </t>
  </si>
  <si>
    <t>178/0</t>
  </si>
  <si>
    <t>178/1</t>
  </si>
  <si>
    <t>178/2</t>
  </si>
  <si>
    <t>178/3</t>
  </si>
  <si>
    <t>178/4</t>
  </si>
  <si>
    <t>178/5</t>
  </si>
  <si>
    <t>179/0</t>
  </si>
  <si>
    <t>179/1</t>
  </si>
  <si>
    <t>179/2</t>
  </si>
  <si>
    <t>179/3</t>
  </si>
  <si>
    <t>179/4</t>
  </si>
  <si>
    <t>179/5</t>
  </si>
  <si>
    <t>179/6</t>
  </si>
  <si>
    <t>179/7</t>
  </si>
  <si>
    <t>179/8</t>
  </si>
  <si>
    <t xml:space="preserve">179/9 </t>
  </si>
  <si>
    <t>180/0</t>
  </si>
  <si>
    <t>132 KV</t>
  </si>
  <si>
    <t>181/0</t>
  </si>
  <si>
    <t>181/1</t>
  </si>
  <si>
    <t>181/2</t>
  </si>
  <si>
    <t>181/3</t>
  </si>
  <si>
    <t>181/4</t>
  </si>
  <si>
    <t>181/5</t>
  </si>
  <si>
    <t>181/6</t>
  </si>
  <si>
    <t>182A/0</t>
  </si>
  <si>
    <t>182B/0(DE)</t>
  </si>
  <si>
    <t>GANTRY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</si>
  <si>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</si>
  <si>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</si>
  <si>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</si>
  <si>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</si>
  <si>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</si>
  <si>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</si>
  <si>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</si>
  <si>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</si>
  <si>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</si>
  <si>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</si>
  <si>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</si>
  <si>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</si>
  <si>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</si>
  <si>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</si>
  <si>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</si>
  <si>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</si>
  <si>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</si>
  <si>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Foundation</t>
  </si>
  <si>
    <t>Nos.</t>
  </si>
  <si>
    <t>EAR.COMP.</t>
  </si>
  <si>
    <t>Erection</t>
  </si>
  <si>
    <t>Stringing
(Final Sag)</t>
  </si>
  <si>
    <t>Km.</t>
  </si>
  <si>
    <t>Earthing</t>
  </si>
  <si>
    <t>NH/SH Xing</t>
  </si>
  <si>
    <t xml:space="preserve">   RAILWAY Xing</t>
  </si>
  <si>
    <t>11/33 KV X-ING</t>
  </si>
  <si>
    <t xml:space="preserve">     RIVER X-ING</t>
  </si>
  <si>
    <t>METAL ROADS</t>
  </si>
  <si>
    <t>66/132/ 220/400KV CROSSING</t>
  </si>
  <si>
    <t>TAR ROAD</t>
  </si>
  <si>
    <t>Revetment</t>
  </si>
  <si>
    <t>Project</t>
  </si>
  <si>
    <t>TA-505</t>
  </si>
  <si>
    <t>Item  Description</t>
  </si>
  <si>
    <t>Unit</t>
  </si>
  <si>
    <t>LOA/Final/ LE Quantity</t>
  </si>
  <si>
    <t>Quantity</t>
  </si>
  <si>
    <t>Released till Jan-25</t>
  </si>
  <si>
    <t>Released in Feb-25</t>
  </si>
  <si>
    <t>Balance to release</t>
  </si>
  <si>
    <t>8 = (4-6-7)</t>
  </si>
  <si>
    <t>CONDUCTOR (….....)</t>
  </si>
  <si>
    <t>Insulators</t>
  </si>
  <si>
    <t>Nos</t>
  </si>
  <si>
    <t>Hardwares &amp; Accessories</t>
  </si>
  <si>
    <t>%</t>
  </si>
  <si>
    <t>GS EARTHWIRE</t>
  </si>
  <si>
    <t xml:space="preserve">KM </t>
  </si>
  <si>
    <t>OPGW FIBRE OPTIC CABLE</t>
  </si>
  <si>
    <t>OPGW Hardware</t>
  </si>
  <si>
    <t>TOWER QTY-REVISED (TA-505)</t>
  </si>
  <si>
    <t>STUB QTY-REVISED (TA-505)</t>
  </si>
  <si>
    <t>765 kV D/C BEAWAR - MANDSAUR TL</t>
  </si>
  <si>
    <t>Stub released in (Rajasthan)</t>
  </si>
  <si>
    <t>Stub released in (MP)</t>
  </si>
  <si>
    <t xml:space="preserve"> Stub PRS Released till Date</t>
  </si>
  <si>
    <t>Tower PRS Released Till Date</t>
  </si>
  <si>
    <t>KMS</t>
  </si>
  <si>
    <t xml:space="preserve">Total Foundation Completed </t>
  </si>
  <si>
    <t>Work Front</t>
  </si>
  <si>
    <t>Foundation Work in Progress</t>
  </si>
  <si>
    <t>Total Number of ROW Locations</t>
  </si>
  <si>
    <t>a</t>
  </si>
  <si>
    <t>b</t>
  </si>
  <si>
    <t>FOREST</t>
  </si>
  <si>
    <t>c</t>
  </si>
  <si>
    <t>ULE/RC</t>
  </si>
  <si>
    <t>d</t>
  </si>
  <si>
    <t>e</t>
  </si>
  <si>
    <t>f</t>
  </si>
  <si>
    <t>i</t>
  </si>
  <si>
    <t>Total Locations</t>
  </si>
  <si>
    <t>WIP location</t>
  </si>
  <si>
    <t>Balance W.r.t Foundation Completed</t>
  </si>
  <si>
    <t>Erection Gang Mobilization</t>
  </si>
  <si>
    <t>RC/Benching/ULE proposal</t>
  </si>
  <si>
    <t>Total submitted</t>
  </si>
  <si>
    <t xml:space="preserve">Total Approved </t>
  </si>
  <si>
    <t>Balance to be Approved</t>
  </si>
  <si>
    <t>Jaipur engg.</t>
  </si>
  <si>
    <t>Proposal making under progress</t>
  </si>
  <si>
    <t>CROSSING DETAILS</t>
  </si>
  <si>
    <t xml:space="preserve"> 765 KV D/C Beawar Mandsaur T/L (TA-505)</t>
  </si>
  <si>
    <t>Foundation Completed till date</t>
  </si>
  <si>
    <t>Erection Completed till date</t>
  </si>
  <si>
    <t>Gang</t>
  </si>
  <si>
    <t>Total Tower</t>
  </si>
  <si>
    <t>Total Line length</t>
  </si>
  <si>
    <t>PGCIL Chittorgarh</t>
  </si>
  <si>
    <t>RLY X-ing</t>
  </si>
  <si>
    <t>NH X-ing</t>
  </si>
  <si>
    <t>GPL X-ing</t>
  </si>
  <si>
    <t>PL X-ing</t>
  </si>
  <si>
    <t>Gurgaon cc</t>
  </si>
  <si>
    <t>Locations on Hold &amp; Approval to be done By PGCIL</t>
  </si>
  <si>
    <t>RAJ- 79.97 KM &amp; MP-56.73 KM</t>
  </si>
  <si>
    <t>NB:  1. Civil Aviation &amp; Defence Aviation Propoasal Submitted at Concerned Dept. for final Clearance Certificate.</t>
  </si>
  <si>
    <t>RAJ- 19 &amp; MP-6</t>
  </si>
  <si>
    <t>TP TOWER</t>
  </si>
  <si>
    <t>j</t>
  </si>
  <si>
    <t>SL No</t>
  </si>
  <si>
    <t>Rajaram</t>
  </si>
  <si>
    <t>QCS Balance Release Plan</t>
  </si>
  <si>
    <t>765 KV D/C Hexa Beawar-Mandsaur T/L</t>
  </si>
  <si>
    <t>QCS Released Till Date</t>
  </si>
  <si>
    <t>AP170-AP174A</t>
  </si>
  <si>
    <t>AP174A-AP176</t>
  </si>
  <si>
    <t>Online Submission Completed. Site Visit done.</t>
  </si>
  <si>
    <t xml:space="preserve">        2. PTCC Proposal Submitted at Concerned Dept. for final Clearance Certificate.</t>
  </si>
  <si>
    <t>To be Checked</t>
  </si>
  <si>
    <t>Approved.</t>
  </si>
  <si>
    <t>Approved on 17.04.25</t>
  </si>
  <si>
    <t>Approved on 06.01.25</t>
  </si>
  <si>
    <t>Approved on 10.01.25</t>
  </si>
  <si>
    <t>Forest &amp; RC</t>
  </si>
  <si>
    <t>Document submitted to MPPTCL, joint visit Completed.</t>
  </si>
  <si>
    <t>Online submission completed, offline hardcopy submission U/P.</t>
  </si>
  <si>
    <t>Document submitted to MPPTCL, joint visit completed.</t>
  </si>
  <si>
    <t>NH Crossings</t>
  </si>
  <si>
    <t>Forest Crossings</t>
  </si>
  <si>
    <t>Power Line Crossings</t>
  </si>
  <si>
    <t xml:space="preserve"> Name of Transmission Line: 765 KV D/C BEAWAR - MANDSAUR TL PKG TL02 (KEC)</t>
  </si>
  <si>
    <t>Site visit Completed,Awaiting for final Approval Of PGCIL.</t>
  </si>
  <si>
    <t>DD60+9 (WITH 3 M RC)</t>
  </si>
  <si>
    <t>FOREST,NON-FOREST</t>
  </si>
  <si>
    <t>REMARKS</t>
  </si>
  <si>
    <t>Benching Qty in Cu.M</t>
  </si>
  <si>
    <t>-</t>
  </si>
  <si>
    <t>NON-FOREST</t>
  </si>
  <si>
    <t>Online Submission completed, hardcopy submitted at NHAI office udaipur. After joint visit, NHAI proposed for revision of route with crossing angle of 90 degree.</t>
  </si>
  <si>
    <t>Issues &amp; Support Required for PGCIL</t>
  </si>
  <si>
    <t>Raised Chimeny Details (M)</t>
  </si>
  <si>
    <t>ULE Details (M)</t>
  </si>
  <si>
    <t>Cross arm strengthening required</t>
  </si>
  <si>
    <t>ULE used with+6 Body extn at A LEG</t>
  </si>
  <si>
    <t>Approved on 31.05.25</t>
  </si>
  <si>
    <t>Required Stub &amp; Structural Drawings.</t>
  </si>
  <si>
    <t>Classification</t>
  </si>
  <si>
    <t>DA(-3/-1.5/0)</t>
  </si>
  <si>
    <t>DRY/WET/DFR/WFR/PS/FS</t>
  </si>
  <si>
    <t>RC detail</t>
  </si>
  <si>
    <t>upto 2 M</t>
  </si>
  <si>
    <t>Reqd. Foundation Drawings</t>
  </si>
  <si>
    <t>DA(Upto 9M)</t>
  </si>
  <si>
    <t>DB1(Upto 9M)</t>
  </si>
  <si>
    <t>DB2(Upto 9M)</t>
  </si>
  <si>
    <t>upto 1.5 M</t>
  </si>
  <si>
    <t>DD45(-3/-1.5/0)</t>
  </si>
  <si>
    <t>DD60(Upto 9M)</t>
  </si>
  <si>
    <t>upto 1 M</t>
  </si>
  <si>
    <t>DD60(18/25 M)</t>
  </si>
  <si>
    <t>upto 3 M</t>
  </si>
  <si>
    <t>upto 4 M</t>
  </si>
  <si>
    <t>upto 2.5 M</t>
  </si>
  <si>
    <t>upto  1M</t>
  </si>
  <si>
    <t>DB1( -3/6/-9)</t>
  </si>
  <si>
    <t>Approved by PGCIL except the Benching Qty.</t>
  </si>
  <si>
    <t>(27 -RC/ULE/Benching, 5- only Benching)</t>
  </si>
  <si>
    <t>Un-equal RC,ULE &amp; Benching</t>
  </si>
  <si>
    <t>ULE &amp; Benching</t>
  </si>
  <si>
    <t>Un-equal RC, ULE &amp; Benching</t>
  </si>
  <si>
    <t>1.5 M</t>
  </si>
  <si>
    <t>2.0 M</t>
  </si>
  <si>
    <t>1.0 M</t>
  </si>
  <si>
    <t>2.5 M</t>
  </si>
  <si>
    <t>3.0 M</t>
  </si>
  <si>
    <t>4.0 M</t>
  </si>
  <si>
    <t>Pit A</t>
  </si>
  <si>
    <t>Pit B</t>
  </si>
  <si>
    <t>Pit C</t>
  </si>
  <si>
    <t>Pit D</t>
  </si>
  <si>
    <t>DD1</t>
  </si>
  <si>
    <t>DD2</t>
  </si>
  <si>
    <t>DD2 +18</t>
  </si>
  <si>
    <t>Raised Chimney</t>
  </si>
  <si>
    <t>Qty. of RC Extender (Pit Wise)</t>
  </si>
  <si>
    <t>R</t>
  </si>
  <si>
    <t>Location on hold due pending drawings of RC/ULE.</t>
  </si>
  <si>
    <r>
      <t xml:space="preserve">22 out of 27 RC/ULE locations are approved by PGCIL. </t>
    </r>
    <r>
      <rPr>
        <sz val="11"/>
        <color rgb="FFFF0000"/>
        <rFont val="Times New Roman"/>
        <family val="1"/>
      </rPr>
      <t>Stub</t>
    </r>
    <r>
      <rPr>
        <sz val="11"/>
        <color theme="1"/>
        <rFont val="Times New Roman"/>
        <family val="1"/>
      </rPr>
      <t xml:space="preserve"> </t>
    </r>
    <r>
      <rPr>
        <sz val="11"/>
        <color rgb="FFFF0000"/>
        <rFont val="Times New Roman"/>
        <family val="1"/>
      </rPr>
      <t>Drawings pending from KEC/PGCIL Engg.</t>
    </r>
  </si>
  <si>
    <t>RC Stub Drawings Pending from KEC Engg. &amp; ULE Foundation drawings pending from PGCIL Engg.</t>
  </si>
  <si>
    <t xml:space="preserve">Online Submission Completed. Site Visit done. </t>
  </si>
  <si>
    <t>Awaiting approval from Concerned Authority. Expected by 22.07.2025.</t>
  </si>
  <si>
    <t>8 Nos approval awaiting with PGCIL &amp; 4 Nos approval awaiting with the Concerned Authority. Expected by 10.07.2025.</t>
  </si>
  <si>
    <t>Awaiting Approval from DRM- Kota. Expected by 20.07.2025.</t>
  </si>
  <si>
    <t>Raj-7.272 Km (19 Towers) &amp; MP-2.102 Km (6 Towers). PSE-1 approved, PSE-2 U/P.</t>
  </si>
  <si>
    <t>Approval Awaiting from NHAI. Expected by 15.07.2025. Site Visit Pending for NH in MP Portion.</t>
  </si>
  <si>
    <t>SL.No</t>
  </si>
  <si>
    <t>SL.</t>
  </si>
  <si>
    <t>Project Physical Progress: TA-505 765 Kv D/C Beawar-Mandsaur Transmission Line.</t>
  </si>
  <si>
    <t>Month No</t>
  </si>
  <si>
    <t>M-1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</si>
  <si>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</si>
  <si>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</si>
  <si>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</si>
  <si>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</si>
  <si>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</si>
  <si>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</si>
  <si>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</si>
  <si>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</si>
  <si>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</si>
  <si>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</si>
  <si>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</si>
  <si>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</si>
  <si>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</si>
  <si>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</si>
  <si>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</si>
  <si>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</si>
  <si>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</si>
  <si>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</si>
  <si>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</si>
  <si>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</si>
  <si>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</si>
  <si>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</si>
  <si>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</si>
  <si>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</si>
  <si>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Sr No.</t>
  </si>
  <si>
    <t>As on 
21 Mar 2021</t>
  </si>
  <si>
    <t>Total Qty</t>
  </si>
  <si>
    <t>Original Plan</t>
  </si>
  <si>
    <t>136.504/136.581 DS approval completed. Balance portion kept on hold due to non finalization of Gantry Bay Point.</t>
  </si>
  <si>
    <t>Current Plan</t>
  </si>
  <si>
    <t>Month Start Plan</t>
  </si>
  <si>
    <t>Actual</t>
  </si>
  <si>
    <t>No of Teams</t>
  </si>
  <si>
    <t>136.504/136.581 CS approval completed. Balance portion kept on hold due to non finalization of Gantry Bay Point.</t>
  </si>
  <si>
    <t>As per L2</t>
  </si>
  <si>
    <t>Plan</t>
  </si>
  <si>
    <t>Gangs Required.</t>
  </si>
  <si>
    <t>Staff Required.</t>
  </si>
  <si>
    <t>Gangs Available.</t>
  </si>
  <si>
    <t>Staff Available.</t>
  </si>
  <si>
    <t>Stringing</t>
  </si>
  <si>
    <t>TSE Required.</t>
  </si>
  <si>
    <t>TSE Available.</t>
  </si>
  <si>
    <t>OPGW Stringing</t>
  </si>
  <si>
    <t>PLAN for Balance Location</t>
  </si>
  <si>
    <t>Sl.no</t>
  </si>
  <si>
    <t>Location No</t>
  </si>
  <si>
    <t>Aug</t>
  </si>
  <si>
    <t>Sept</t>
  </si>
  <si>
    <t>Remark</t>
  </si>
  <si>
    <t>Common Point</t>
  </si>
  <si>
    <t xml:space="preserve">RC </t>
  </si>
  <si>
    <t>Y</t>
  </si>
  <si>
    <t>Front Available</t>
  </si>
  <si>
    <t>Forest</t>
  </si>
  <si>
    <t>Due to TP Tower</t>
  </si>
  <si>
    <t>Hold due to Non Finalisation of Gantry</t>
  </si>
  <si>
    <t>RC/ULE</t>
  </si>
  <si>
    <t>Power line X-ing</t>
  </si>
  <si>
    <t>MP-Forest</t>
  </si>
  <si>
    <t>RC &amp; Forest</t>
  </si>
  <si>
    <t>Stub not Available</t>
  </si>
  <si>
    <t>RC &amp; Hold due to Non Finalisation of Gantry</t>
  </si>
  <si>
    <t>NH x-ing (MP)</t>
  </si>
  <si>
    <t>765 KV D/C HEXA BEAWAR-MANDSAUR TRANSMISSION LINE</t>
  </si>
  <si>
    <t>MP SECTION</t>
  </si>
  <si>
    <t xml:space="preserve">FOUNDATION </t>
  </si>
  <si>
    <t>TOTAL LOCATION</t>
  </si>
  <si>
    <t>Available Work front</t>
  </si>
  <si>
    <t xml:space="preserve">ROW </t>
  </si>
  <si>
    <t>TP tower</t>
  </si>
  <si>
    <t>Non finalisation of Gantry Route</t>
  </si>
  <si>
    <t xml:space="preserve">RAJASTHAN </t>
  </si>
  <si>
    <t>Locations on Hold</t>
  </si>
  <si>
    <t>Stub not available</t>
  </si>
  <si>
    <t>Current gangs</t>
  </si>
  <si>
    <t>August'25</t>
  </si>
  <si>
    <t>September'25</t>
  </si>
  <si>
    <t>Target</t>
  </si>
  <si>
    <t>Gang Plan</t>
  </si>
  <si>
    <t>wk-01
(4 aug - 10 aug)</t>
  </si>
  <si>
    <t>wk-02
(11 aug - 17 aug)</t>
  </si>
  <si>
    <t>wk-03
(18 aug - 24 aug)</t>
  </si>
  <si>
    <t>wk-04
(25 aug - 31 aug)</t>
  </si>
  <si>
    <t>wk-01
(1 sep - 7 sep)</t>
  </si>
  <si>
    <t>wk-02
(8 sep - 14 sep)</t>
  </si>
  <si>
    <t>wk-03
(15 sep - 21 sep)</t>
  </si>
  <si>
    <t>wk-04
(22sep - 28 sep)</t>
  </si>
  <si>
    <t>No of gangs</t>
  </si>
  <si>
    <t>Gang Source</t>
  </si>
  <si>
    <t>TB501</t>
  </si>
  <si>
    <t>Fdn</t>
  </si>
  <si>
    <t>Ern</t>
  </si>
  <si>
    <t>Str</t>
  </si>
  <si>
    <t>1. RST Const
 2. Neelkamal  
3. Garg Const 
4. Ram Singh 
5. Shaktawat 6.Reshmi Devi</t>
  </si>
  <si>
    <t>1. RST Const 
2. Neelkamal  
3. Garg Const 
4. Ram Singh 
5. Shaktawat 6.Reshmi Devi</t>
  </si>
  <si>
    <t>1. RST Const 
2. Neelkamal  
3. Garg Const 
4. Ram Singh 
5. Shaktawat 6.Reshmi Devi 
7. Sumit Const 
8. Shree Balaji</t>
  </si>
  <si>
    <t>1. RST Const 
2. Neelkamal 
 3. Garg Const 
4. Ram Singh 
5. Shaktawat 6.Reshmi Devi 
7. Sumit Const 
8. Shree Balaji</t>
  </si>
  <si>
    <t>1. Alimuddin Khan</t>
  </si>
  <si>
    <t>1. Alimuddin Khan
2. Muslimuddin Khan</t>
  </si>
  <si>
    <t>TA509</t>
  </si>
  <si>
    <t>108/0</t>
  </si>
  <si>
    <t>Erection Approachable Locations</t>
  </si>
  <si>
    <t>MAPPING REQD.</t>
  </si>
  <si>
    <t>DB2 +15 MTR</t>
  </si>
  <si>
    <t>DC2 +15 MTR</t>
  </si>
  <si>
    <t>To be accomodated   from TA-504</t>
  </si>
  <si>
    <t>Balance Stub to be released against Actual Qty.</t>
  </si>
  <si>
    <t>Balance Tower to be released against Actual Qty.</t>
  </si>
  <si>
    <t>All 12 PLCs are approved.</t>
  </si>
  <si>
    <t>+15M Ext. DB2-Type</t>
  </si>
  <si>
    <t>DCT (Full tower Set)</t>
  </si>
  <si>
    <t>DD60+0 (Auxliary X-arm-Full Tower Set)</t>
  </si>
  <si>
    <t>158/0</t>
  </si>
  <si>
    <t>Un-equal RC, Benching &amp; X-Arm Strengthening.</t>
  </si>
  <si>
    <t>Equal - RC &amp; X- Arm Strengthening.</t>
  </si>
  <si>
    <t>To be checked in SAP-OK</t>
  </si>
  <si>
    <t>1 NOS EXTRA B/B RELEASED IN SAP</t>
  </si>
  <si>
    <t>Transposition Tower</t>
  </si>
  <si>
    <t>Auxiliary X-arm</t>
  </si>
  <si>
    <t>182B/0</t>
  </si>
  <si>
    <t>136/4</t>
  </si>
  <si>
    <t>Angle Tower</t>
  </si>
  <si>
    <t>Mapping Reqd.</t>
  </si>
  <si>
    <t>Approval pending from PGCIL.</t>
  </si>
  <si>
    <t>Water Logged Locations/Approach Issue</t>
  </si>
  <si>
    <t>Water Logged Locs-Appraoch unavailable</t>
  </si>
  <si>
    <t>Hold due to NH X-ing</t>
  </si>
  <si>
    <t>Supply Status TA-505</t>
  </si>
  <si>
    <t>Supply</t>
  </si>
  <si>
    <t>Total Supplied Qty.</t>
  </si>
  <si>
    <t>Stub</t>
  </si>
  <si>
    <t>SET</t>
  </si>
  <si>
    <t>Tower</t>
  </si>
  <si>
    <t>Conductor</t>
  </si>
  <si>
    <t>Insulator</t>
  </si>
  <si>
    <t>NOS</t>
  </si>
  <si>
    <t>Hardware</t>
  </si>
  <si>
    <t>Earthwire</t>
  </si>
  <si>
    <t>OPGW</t>
  </si>
  <si>
    <t>Supply in L2 (till August-25)</t>
  </si>
  <si>
    <t>Balance to be supplied against PRS</t>
  </si>
  <si>
    <t>Released in Aug-25</t>
  </si>
  <si>
    <t>Sept-25</t>
  </si>
  <si>
    <t>Oct-25</t>
  </si>
  <si>
    <t>Nov-25</t>
  </si>
  <si>
    <t>TA-505 - 765 KV D/C Beawar - Mandsaur TL</t>
  </si>
  <si>
    <t>LoA Qty</t>
  </si>
  <si>
    <t>Line Qty</t>
  </si>
  <si>
    <t xml:space="preserve">Balance </t>
  </si>
  <si>
    <t>Aug'25</t>
  </si>
  <si>
    <t>Sep'25</t>
  </si>
  <si>
    <t>Oct'25</t>
  </si>
  <si>
    <t>Nov'25</t>
  </si>
  <si>
    <t>Dec'25</t>
  </si>
  <si>
    <t>Jan'26</t>
  </si>
  <si>
    <t>Feb'26</t>
  </si>
  <si>
    <t>Mar'25</t>
  </si>
  <si>
    <t>Challenges for Completion of project ahead of Schedule</t>
  </si>
  <si>
    <t>31.07.25</t>
  </si>
  <si>
    <t>01.08.25</t>
  </si>
  <si>
    <t>Detail Survey</t>
  </si>
  <si>
    <t>Kms</t>
  </si>
  <si>
    <t>TSE2 M2</t>
  </si>
  <si>
    <t>TSE2
M2</t>
  </si>
  <si>
    <t>Approx 10 kms of Forest Clearance awaited from PGCIL.</t>
  </si>
  <si>
    <t>Cummulative Progress upto JULY-25</t>
  </si>
  <si>
    <t>X-Arm Strengthening.</t>
  </si>
  <si>
    <t>KEC INTERNATIONAL LIMITED</t>
  </si>
  <si>
    <t>Project Stringing Plan (TA-505)</t>
  </si>
  <si>
    <t>Section Length</t>
  </si>
  <si>
    <t xml:space="preserve"> Towers in Section</t>
  </si>
  <si>
    <t>Section Length (in M)</t>
  </si>
  <si>
    <t>Balance Foundation</t>
  </si>
  <si>
    <t xml:space="preserve">Balance Tower Erection </t>
  </si>
  <si>
    <t>Tower Required</t>
  </si>
  <si>
    <t>Tower Supply Month Plan</t>
  </si>
  <si>
    <t>TSE/Manual</t>
  </si>
  <si>
    <t>101/0-102/0</t>
  </si>
  <si>
    <t>101/0-DC1+3  102/0- DC2+3</t>
  </si>
  <si>
    <t>TSE-1</t>
  </si>
  <si>
    <t>108/0-109/0</t>
  </si>
  <si>
    <t>109/0-DC1+0</t>
  </si>
  <si>
    <t>109/0-110/0</t>
  </si>
  <si>
    <t>110/0-DC2+3</t>
  </si>
  <si>
    <t>110/0-110A/0</t>
  </si>
  <si>
    <t>110A/0-111/0</t>
  </si>
  <si>
    <t>111/0-112/0</t>
  </si>
  <si>
    <t>113/0-114/0</t>
  </si>
  <si>
    <t>113/0-DD60+9</t>
  </si>
  <si>
    <t>114/0-DC2+0</t>
  </si>
  <si>
    <t>114/0-115/0</t>
  </si>
  <si>
    <t>114/4-DA+3</t>
  </si>
  <si>
    <t>114/8-DA+6</t>
  </si>
  <si>
    <t>116/0-117/0</t>
  </si>
  <si>
    <t>117/0-DD45+6</t>
  </si>
  <si>
    <t>120/0-121/0</t>
  </si>
  <si>
    <t>121/0-DB1+6</t>
  </si>
  <si>
    <t>126/0-127/0</t>
  </si>
  <si>
    <t>127/0-128/0</t>
  </si>
  <si>
    <t xml:space="preserve">Section </t>
  </si>
  <si>
    <t>Section Length
(Mtr)</t>
  </si>
  <si>
    <t xml:space="preserve">TSE </t>
  </si>
  <si>
    <t>Total (in KM)</t>
  </si>
  <si>
    <t>1. Jwala Singh
 2. Parmanand 
3. Shila Devi/Ramesh Mandal
4. Gokul Sarkar
5. Anil Kumar
6. Jyoti Enterprises</t>
  </si>
  <si>
    <t>Erection Gangs</t>
  </si>
  <si>
    <t>Sub-Contractor Name</t>
  </si>
  <si>
    <t>Contact No</t>
  </si>
  <si>
    <t>Jhemon Mahato</t>
  </si>
  <si>
    <t>Sintu</t>
  </si>
  <si>
    <t>Jay Kishor Chaurasia</t>
  </si>
  <si>
    <t>Subham Yadav</t>
  </si>
  <si>
    <t>Baidyanath Mahato</t>
  </si>
  <si>
    <t>Nityanand</t>
  </si>
  <si>
    <t>Rampukar</t>
  </si>
  <si>
    <t>Jyoti Construction</t>
  </si>
  <si>
    <t>Heeralal Mahto</t>
  </si>
  <si>
    <t>Mohan Saw</t>
  </si>
  <si>
    <t>Ruplal Sahu</t>
  </si>
  <si>
    <t>Sheela Devi</t>
  </si>
  <si>
    <t>Parmanand</t>
  </si>
  <si>
    <t>Gokul Sarkar</t>
  </si>
  <si>
    <t>Jugal Mahato</t>
  </si>
  <si>
    <t>Karam Mahato</t>
  </si>
  <si>
    <t>Pankaj Kumar</t>
  </si>
  <si>
    <t>Birendra Saw</t>
  </si>
  <si>
    <t>Balbanda Singh</t>
  </si>
  <si>
    <t>Shiv Shakti Enterprises</t>
  </si>
  <si>
    <t>Karni Construction</t>
  </si>
  <si>
    <t>Shabnam Pravin</t>
  </si>
  <si>
    <t>Poonam Kumari</t>
  </si>
  <si>
    <t>Mohan Mahato</t>
  </si>
  <si>
    <t>Mukkhilal Singh</t>
  </si>
  <si>
    <t>Daulat Mahato</t>
  </si>
  <si>
    <t>1. Jwala Singh
 2. Parmanand 
3. Shila Devi/Ramesh Mandal
4. Gokul Sarkar
5. Anil Kumar
6. Jyoti Enterprises
7. Jhemon Mahto
8. Deglal Mahto</t>
  </si>
  <si>
    <t>SL No.</t>
  </si>
  <si>
    <t xml:space="preserve">Description </t>
  </si>
  <si>
    <t>Approved Qty</t>
  </si>
  <si>
    <t>L2 Upto August</t>
  </si>
  <si>
    <t>L2</t>
  </si>
  <si>
    <t>Cumm. Backlog</t>
  </si>
  <si>
    <t>Gang Deployment Plan</t>
  </si>
  <si>
    <t>Revenue (in Crores)</t>
  </si>
  <si>
    <t>INR 83/109</t>
  </si>
  <si>
    <t>Note: Revenue values are in Cr.</t>
  </si>
  <si>
    <t>400 KV D/C Beawar - Mandsaur TL</t>
  </si>
  <si>
    <t>1. Jwala Singh
 2. Parmanand 
3. Shila Devi/Ramesh Mandal
4. Gokul Sarkar
5. Anil Kumar
6. Jyoti Enterprises
7. Jhemon Mahto
8. Deglal Mahto
9. Brijesh Mahto
10. Tarakeswar Mahto</t>
  </si>
  <si>
    <t>Approved on Dtd 05.04.25 (ULE/RC/Benching)</t>
  </si>
  <si>
    <t>Approved on 09.08.25.</t>
  </si>
  <si>
    <t>PRS Pending due to SAP mapping issue</t>
  </si>
  <si>
    <t>PRS/QCS Raised</t>
  </si>
  <si>
    <t>25 Towers kept on hold due pending forest approval. . 4 Towers kept on hold due to NH X-ing. 2 Towers kept on hold due to Gas Pipe line. 05 Towers kept on hold due to pending approval of RC/ULE. Total Hold -36</t>
  </si>
  <si>
    <t>Additional 5 Nos of Erection gangs likely to be mobilized by AUG-25 end.</t>
  </si>
  <si>
    <t>Stringable Stretch will be ready on availablity of shotages of angle tower.</t>
  </si>
  <si>
    <t xml:space="preserve"> Approved by PGCIL.</t>
  </si>
  <si>
    <t>101/0-DC1+3- Shortages Reqd.</t>
  </si>
  <si>
    <t>Shortages Reqd.</t>
  </si>
  <si>
    <t>Stringing Plan</t>
  </si>
  <si>
    <t>Towers</t>
  </si>
  <si>
    <t>Stubs</t>
  </si>
  <si>
    <t>Qty (Sets)</t>
  </si>
  <si>
    <t>Auxiliary X-arm Tower</t>
  </si>
  <si>
    <t xml:space="preserve">X-arm Strengthening Tower </t>
  </si>
  <si>
    <t xml:space="preserve">ULE Towers </t>
  </si>
  <si>
    <t xml:space="preserve">DB1+18 </t>
  </si>
  <si>
    <t xml:space="preserve">DB1+25 </t>
  </si>
  <si>
    <t xml:space="preserve">DCT </t>
  </si>
  <si>
    <t>Balance PRS Detail</t>
  </si>
  <si>
    <t>RELEASED.</t>
  </si>
  <si>
    <t>Approved all 27 RC/ULE locations except the benching Qty.</t>
  </si>
  <si>
    <t>PRS to be released</t>
  </si>
  <si>
    <t>SATKHANDA STORE</t>
  </si>
  <si>
    <t>BB</t>
  </si>
  <si>
    <t xml:space="preserve">DA </t>
  </si>
  <si>
    <t>MANASA STORE</t>
  </si>
  <si>
    <t>Approved by PGCIL except the benching Qty. ULE used with+6 Body extn at A LEG</t>
  </si>
  <si>
    <r>
      <t xml:space="preserve">Cross arm strengthening </t>
    </r>
    <r>
      <rPr>
        <sz val="11"/>
        <color rgb="FFFF0000"/>
        <rFont val="Calibri"/>
        <family val="2"/>
        <scheme val="minor"/>
      </rPr>
      <t>not</t>
    </r>
    <r>
      <rPr>
        <sz val="11"/>
        <rFont val="Calibri"/>
        <family val="2"/>
        <scheme val="minor"/>
      </rPr>
      <t xml:space="preserve"> required. Approved by PGCIL except the benching Qty.</t>
    </r>
  </si>
  <si>
    <r>
      <t xml:space="preserve">Additional PRS of </t>
    </r>
    <r>
      <rPr>
        <b/>
        <sz val="11"/>
        <color rgb="FFFF0000"/>
        <rFont val="Calibri"/>
        <family val="2"/>
        <scheme val="minor"/>
      </rPr>
      <t>4.5 RC</t>
    </r>
    <r>
      <rPr>
        <b/>
        <sz val="11"/>
        <color theme="1"/>
        <rFont val="Calibri"/>
        <family val="2"/>
        <scheme val="minor"/>
      </rPr>
      <t xml:space="preserve"> locs released.</t>
    </r>
  </si>
  <si>
    <t xml:space="preserve">
126/1- DA+9
126/3- DA+3
</t>
  </si>
  <si>
    <t>113/0-RC</t>
  </si>
  <si>
    <t xml:space="preserve">
1. Balance PRS of 9 Towers can be released after Mapping of BOM in SAP.
</t>
  </si>
  <si>
    <t>All Stubs PRS released.</t>
  </si>
  <si>
    <t>Required Mapping of BOM in SAP, in order to proceed with the balance PRS release for Towers.</t>
  </si>
  <si>
    <t>3+3</t>
  </si>
  <si>
    <t>DFR/WFR</t>
  </si>
  <si>
    <t>DRY/DFR</t>
  </si>
  <si>
    <t xml:space="preserve">Required Foundation Drgs </t>
  </si>
  <si>
    <t>RAJ+MP</t>
  </si>
  <si>
    <t>160 KN</t>
  </si>
  <si>
    <t>210 KN</t>
  </si>
  <si>
    <t>RAJ</t>
  </si>
  <si>
    <t>FDN Gang Moblized-07</t>
  </si>
  <si>
    <t>AP99- AP100</t>
  </si>
  <si>
    <t>New Awarded Section.</t>
  </si>
  <si>
    <t>Stage I approval received. Working Permission Expected by last week of November-25.</t>
  </si>
  <si>
    <t>Supply in L2 (till Oct-25)</t>
  </si>
  <si>
    <t>PRS pending.</t>
  </si>
  <si>
    <t>Upto 30.09.2025</t>
  </si>
  <si>
    <t>218</t>
  </si>
  <si>
    <t>3 sets-110A/0130/0 &amp; 126/0 at Raj Section.</t>
  </si>
  <si>
    <t>1 BB at Raj Section.</t>
  </si>
  <si>
    <t>DA BB-5, -3-1 set, +0-4 set,-1.5-1 set,+3-3 set,+6-1 set at TA-504. +3-2 set at Manasa.</t>
  </si>
  <si>
    <t>Achieved</t>
  </si>
  <si>
    <t>Gang Deployment Plan (TSE+Manual)</t>
  </si>
  <si>
    <t>102/0-103/0</t>
  </si>
  <si>
    <t>Manual</t>
  </si>
  <si>
    <t>103/5A-103/6A</t>
  </si>
  <si>
    <t>104/0-105/0</t>
  </si>
  <si>
    <t>105/0-106/0</t>
  </si>
  <si>
    <t>106/0-108/0</t>
  </si>
  <si>
    <t>126/1- DA+9</t>
  </si>
  <si>
    <t>126/3- DA+3</t>
  </si>
  <si>
    <t>Sections</t>
  </si>
  <si>
    <t>Length (In KM)</t>
  </si>
  <si>
    <t>TSE</t>
  </si>
  <si>
    <t>30 Nos of location are on hold due to forest (Rajasthan- 7.272 Km, 19 Locations, MP-2.102 Km, 6 Locations) = 9.374 Kms</t>
  </si>
  <si>
    <t>Water Logged</t>
  </si>
  <si>
    <t>BOM approval awaited.</t>
  </si>
  <si>
    <t>Severe RoW-PP reqd.</t>
  </si>
  <si>
    <t>Balance excluding WIP</t>
  </si>
  <si>
    <t>Opium</t>
  </si>
  <si>
    <t>Water logged/approach issue</t>
  </si>
  <si>
    <t>Erection Completed</t>
  </si>
  <si>
    <t>Foundation Completed</t>
  </si>
  <si>
    <t>Balance Wrt Foundation</t>
  </si>
  <si>
    <t>11 kV/33kV line shifting</t>
  </si>
  <si>
    <t>Balance Tower Parts Available in store</t>
  </si>
  <si>
    <t>1+3</t>
  </si>
  <si>
    <t>130/0-131/0</t>
  </si>
  <si>
    <t>131/0-132/0</t>
  </si>
  <si>
    <t>147/0-147A/0</t>
  </si>
  <si>
    <t>147A/0-148/0</t>
  </si>
  <si>
    <t>150/0-151/0</t>
  </si>
  <si>
    <t>159/0-160/0</t>
  </si>
  <si>
    <t>160/0-161/0</t>
  </si>
  <si>
    <t>167/0-168/0</t>
  </si>
  <si>
    <t>130/2-DA-1.5</t>
  </si>
  <si>
    <t>132/0-DD60+6</t>
  </si>
  <si>
    <t>147/0-DB2+6</t>
  </si>
  <si>
    <t>148/0-DD60+6</t>
  </si>
  <si>
    <t>Tower Reqd.</t>
  </si>
  <si>
    <t>151/0-DD45+3</t>
  </si>
  <si>
    <t>159/0-DB2+0 159/3-DA+0</t>
  </si>
  <si>
    <t>161/0-DB2+3</t>
  </si>
  <si>
    <t>167/1-DA+0 168/0-DC2+0</t>
  </si>
  <si>
    <t>Available Erection front</t>
  </si>
  <si>
    <t>Approval Awaited. Expected by 15.11.2025.</t>
  </si>
  <si>
    <t>Date:-30/10/2025</t>
  </si>
  <si>
    <t>22 Nos of Location are on hold due to severe ROW.</t>
  </si>
  <si>
    <t>Required Tower Structural Drgs &amp; BOM</t>
  </si>
  <si>
    <t>RC Stub</t>
  </si>
  <si>
    <t>Required RC Stub drawings &amp; BOM</t>
  </si>
  <si>
    <t>06 Nos Locations are on hold due to NH Xing.</t>
  </si>
  <si>
    <t>FDN Drg available, adoption approval required for TA-505, 765 KV BMTL Project.</t>
  </si>
  <si>
    <t>DFR &amp; WFR</t>
  </si>
  <si>
    <t>Foundation Drgs not Available.</t>
  </si>
  <si>
    <t>DFR &amp;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</si>
</sst>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₹&quot;\ #,##0;&quot;₹&quot;\ \-#,##0"/>
    <numFmt numFmtId="43" formatCode="_ * #,##0.00_ ;_ * \-#,##0.00_ ;_ * &quot;-&quot;??_ ;_ @_ "/>
    <numFmt numFmtId="164" formatCode="0.000"/>
    <numFmt numFmtId="165" formatCode="dd/mmm/yyyy"/>
    <numFmt numFmtId="166" formatCode="0.0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b/>
      <sz val="9"/>
      <name val="Tahom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0C0C0C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8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8"/>
      <name val="Calibri"/>
      <family val="2"/>
      <scheme val="minor"/>
    </font>
    <font>
      <sz val="14"/>
      <name val="Calibri"/>
      <family val="2"/>
      <scheme val="minor"/>
    </font>
    <font>
      <b/>
      <sz val="10"/>
      <color indexed="17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indexed="12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1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Calibri"/>
      <family val="2"/>
      <scheme val="minor"/>
    </font>
    <font>
      <b/>
      <sz val="11"/>
      <color rgb="FF0C0C0C"/>
      <name val="Calibri"/>
      <family val="2"/>
      <scheme val="minor"/>
    </font>
    <font>
      <b/>
      <sz val="12"/>
      <color theme="1"/>
      <name val="Calibri"/>
      <family val="2"/>
    </font>
    <font>
      <sz val="10"/>
      <color rgb="FFFF0000"/>
      <name val="Calibri"/>
      <family val="2"/>
      <scheme val="minor"/>
    </font>
    <font>
      <sz val="11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70C0"/>
      <name val="Calibri"/>
      <family val="2"/>
      <scheme val="minor"/>
    </font>
    <font>
      <b/>
      <u/>
      <sz val="12"/>
      <color theme="1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2"/>
      <color rgb="FF000000"/>
      <name val="Aptos"/>
      <family val="2"/>
    </font>
    <font>
      <sz val="11"/>
      <color rgb="FF000000"/>
      <name val="Aptos"/>
      <family val="2"/>
    </font>
  </fonts>
  <fills count="3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4"/>
      </left>
      <right style="thin">
        <color indexed="64"/>
      </right>
      <top style="medium">
        <color theme="4"/>
      </top>
      <bottom/>
      <diagonal/>
    </border>
    <border>
      <left style="thin">
        <color indexed="64"/>
      </left>
      <right style="thin">
        <color indexed="64"/>
      </right>
      <top style="medium">
        <color theme="4"/>
      </top>
      <bottom/>
      <diagonal/>
    </border>
    <border>
      <left style="thin">
        <color auto="1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thin">
        <color auto="1"/>
      </right>
      <top/>
      <bottom/>
      <diagonal/>
    </border>
    <border>
      <left style="thin">
        <color auto="1"/>
      </left>
      <right style="medium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theme="4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auto="1"/>
      </left>
      <right style="medium">
        <color theme="4"/>
      </right>
      <top style="medium">
        <color rgb="FF0000FF"/>
      </top>
      <bottom style="medium">
        <color rgb="FF0000FF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theme="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theme="4"/>
      </left>
      <right style="thin">
        <color auto="1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rgb="FF0000FF"/>
      </top>
      <bottom style="medium">
        <color theme="4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thin">
        <color auto="1"/>
      </left>
      <right/>
      <top style="medium">
        <color rgb="FF0000FF"/>
      </top>
      <bottom/>
      <diagonal/>
    </border>
    <border>
      <left style="thin">
        <color auto="1"/>
      </left>
      <right style="thin">
        <color auto="1"/>
      </right>
      <top style="medium">
        <color rgb="FF0000FF"/>
      </top>
      <bottom/>
      <diagonal/>
    </border>
    <border>
      <left style="thin">
        <color auto="1"/>
      </left>
      <right style="thin">
        <color auto="1"/>
      </right>
      <top style="medium">
        <color rgb="FF0000FF"/>
      </top>
      <bottom style="thin">
        <color auto="1"/>
      </bottom>
      <diagonal/>
    </border>
    <border>
      <left style="thin">
        <color auto="1"/>
      </left>
      <right style="medium">
        <color rgb="FF0000FF"/>
      </right>
      <top style="medium">
        <color rgb="FF0000FF"/>
      </top>
      <bottom style="thin">
        <color auto="1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FF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/>
      <right style="thin">
        <color indexed="64"/>
      </right>
      <top/>
      <bottom style="medium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rgb="FF0000FF"/>
      </bottom>
      <diagonal/>
    </border>
    <border>
      <left/>
      <right/>
      <top style="thin">
        <color auto="1"/>
      </top>
      <bottom style="medium">
        <color rgb="FF0000FF"/>
      </bottom>
      <diagonal/>
    </border>
    <border>
      <left/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FF"/>
      </bottom>
      <diagonal/>
    </border>
    <border>
      <left style="thin">
        <color auto="1"/>
      </left>
      <right style="medium">
        <color rgb="FF0000FF"/>
      </right>
      <top style="thin">
        <color auto="1"/>
      </top>
      <bottom style="medium">
        <color rgb="FF0000F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5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72" fillId="0" borderId="0"/>
    <xf numFmtId="0" fontId="1" fillId="0" borderId="0"/>
    <xf numFmtId="0" fontId="13" fillId="0" borderId="0"/>
    <xf numFmtId="43" fontId="1" fillId="0" borderId="0" applyFont="0" applyFill="0" applyBorder="0" applyAlignment="0" applyProtection="0"/>
  </cellStyleXfs>
  <cellXfs count="1421">
    <xf numFmtId="0" fontId="0" fillId="0" borderId="0" xfId="0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left" vertical="center" wrapText="1" indent="1"/>
    </xf>
    <xf numFmtId="0" fontId="0" fillId="0" borderId="1" xfId="0" applyBorder="1"/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 wrapText="1"/>
    </xf>
    <xf numFmtId="0" fontId="4" fillId="0" borderId="1" xfId="1" quotePrefix="1" applyNumberFormat="1" applyFont="1" applyFill="1" applyBorder="1" applyAlignment="1">
      <alignment horizontal="center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left" vertical="center" wrapText="1" indent="1"/>
    </xf>
    <xf numFmtId="16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 indent="1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/>
    </xf>
    <xf numFmtId="0" fontId="6" fillId="0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164" fontId="0" fillId="0" borderId="0" xfId="0" applyNumberFormat="1"/>
    <xf numFmtId="164" fontId="5" fillId="3" borderId="1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42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 wrapText="1"/>
    </xf>
    <xf numFmtId="1" fontId="12" fillId="2" borderId="36" xfId="0" quotePrefix="1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5" fillId="2" borderId="21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vertical="center"/>
    </xf>
    <xf numFmtId="0" fontId="2" fillId="2" borderId="36" xfId="0" applyFont="1" applyFill="1" applyBorder="1" applyAlignment="1">
      <alignment vertical="center"/>
    </xf>
    <xf numFmtId="1" fontId="2" fillId="2" borderId="36" xfId="0" applyNumberFormat="1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0" fillId="7" borderId="0" xfId="0" applyFill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28" fillId="7" borderId="48" xfId="4" applyFont="1" applyFill="1" applyBorder="1" applyAlignment="1" applyProtection="1">
      <alignment horizontal="left" vertical="center"/>
      <protection locked="0"/>
    </xf>
    <xf numFmtId="0" fontId="28" fillId="7" borderId="28" xfId="4" applyFont="1" applyFill="1" applyBorder="1" applyAlignment="1" applyProtection="1">
      <alignment horizontal="left" vertical="center"/>
      <protection locked="0"/>
    </xf>
    <xf numFmtId="0" fontId="0" fillId="7" borderId="28" xfId="0" applyFill="1" applyBorder="1" applyAlignment="1">
      <alignment horizontal="left" vertical="center"/>
    </xf>
    <xf numFmtId="0" fontId="28" fillId="7" borderId="39" xfId="4" applyFont="1" applyFill="1" applyBorder="1" applyAlignment="1" applyProtection="1">
      <alignment horizontal="left" vertical="center"/>
      <protection locked="0"/>
    </xf>
    <xf numFmtId="0" fontId="28" fillId="7" borderId="0" xfId="4" applyFont="1" applyFill="1" applyAlignment="1" applyProtection="1">
      <alignment horizontal="left" vertical="center"/>
      <protection locked="0"/>
    </xf>
    <xf numFmtId="22" fontId="28" fillId="7" borderId="0" xfId="4" applyNumberFormat="1" applyFont="1" applyFill="1" applyAlignment="1" applyProtection="1">
      <alignment horizontal="left" vertical="center"/>
      <protection locked="0"/>
    </xf>
    <xf numFmtId="0" fontId="16" fillId="7" borderId="0" xfId="4" applyFont="1" applyFill="1" applyAlignment="1" applyProtection="1">
      <alignment horizontal="left" vertical="center" wrapText="1"/>
      <protection locked="0"/>
    </xf>
    <xf numFmtId="0" fontId="28" fillId="7" borderId="31" xfId="4" applyFont="1" applyFill="1" applyBorder="1" applyAlignment="1" applyProtection="1">
      <alignment horizontal="left" vertical="center"/>
      <protection locked="0"/>
    </xf>
    <xf numFmtId="0" fontId="16" fillId="7" borderId="39" xfId="4" applyFont="1" applyFill="1" applyBorder="1" applyAlignment="1" applyProtection="1">
      <alignment horizontal="left" vertical="center"/>
      <protection locked="0"/>
    </xf>
    <xf numFmtId="0" fontId="16" fillId="7" borderId="0" xfId="4" applyFont="1" applyFill="1" applyAlignment="1" applyProtection="1">
      <alignment horizontal="left" vertical="center"/>
      <protection locked="0"/>
    </xf>
    <xf numFmtId="165" fontId="16" fillId="7" borderId="0" xfId="4" applyNumberFormat="1" applyFont="1" applyFill="1" applyAlignment="1" applyProtection="1">
      <alignment horizontal="left" vertical="center"/>
      <protection locked="0"/>
    </xf>
    <xf numFmtId="0" fontId="22" fillId="7" borderId="0" xfId="4" applyFont="1" applyFill="1" applyAlignment="1" applyProtection="1">
      <alignment horizontal="left" vertical="center"/>
      <protection locked="0"/>
    </xf>
    <xf numFmtId="0" fontId="16" fillId="7" borderId="31" xfId="4" applyFont="1" applyFill="1" applyBorder="1" applyAlignment="1" applyProtection="1">
      <alignment horizontal="left" vertical="center"/>
      <protection locked="0"/>
    </xf>
    <xf numFmtId="0" fontId="29" fillId="7" borderId="31" xfId="4" applyFont="1" applyFill="1" applyBorder="1" applyAlignment="1" applyProtection="1">
      <alignment horizontal="left" vertical="center"/>
      <protection locked="0"/>
    </xf>
    <xf numFmtId="0" fontId="16" fillId="7" borderId="49" xfId="4" applyFont="1" applyFill="1" applyBorder="1" applyAlignment="1" applyProtection="1">
      <alignment horizontal="left" vertical="center"/>
      <protection locked="0"/>
    </xf>
    <xf numFmtId="0" fontId="16" fillId="7" borderId="22" xfId="4" applyFont="1" applyFill="1" applyBorder="1" applyAlignment="1" applyProtection="1">
      <alignment horizontal="left" vertical="center"/>
      <protection locked="0"/>
    </xf>
    <xf numFmtId="0" fontId="0" fillId="7" borderId="22" xfId="0" applyFill="1" applyBorder="1" applyAlignment="1" applyProtection="1">
      <alignment horizontal="left" vertical="center"/>
      <protection locked="0"/>
    </xf>
    <xf numFmtId="0" fontId="24" fillId="7" borderId="31" xfId="4" applyFont="1" applyFill="1" applyBorder="1" applyAlignment="1" applyProtection="1">
      <alignment horizontal="left" vertical="center"/>
      <protection locked="0"/>
    </xf>
    <xf numFmtId="0" fontId="30" fillId="7" borderId="0" xfId="4" applyFont="1" applyFill="1" applyAlignment="1" applyProtection="1">
      <alignment horizontal="left" vertical="center"/>
      <protection locked="0"/>
    </xf>
    <xf numFmtId="0" fontId="0" fillId="7" borderId="0" xfId="0" applyFill="1" applyAlignment="1" applyProtection="1">
      <alignment horizontal="center" vertical="center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0" fontId="3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7" borderId="55" xfId="0" applyFill="1" applyBorder="1" applyAlignment="1" applyProtection="1">
      <alignment horizontal="center" vertical="center"/>
      <protection locked="0"/>
    </xf>
    <xf numFmtId="0" fontId="0" fillId="7" borderId="56" xfId="0" applyFill="1" applyBorder="1" applyAlignment="1" applyProtection="1">
      <alignment horizontal="center" vertical="center"/>
      <protection locked="0"/>
    </xf>
    <xf numFmtId="0" fontId="0" fillId="7" borderId="57" xfId="0" applyFill="1" applyBorder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33" fillId="7" borderId="58" xfId="4" applyFont="1" applyFill="1" applyBorder="1" applyAlignment="1" applyProtection="1">
      <alignment horizontal="center" vertical="center"/>
      <protection locked="0"/>
    </xf>
    <xf numFmtId="0" fontId="33" fillId="7" borderId="0" xfId="4" applyFont="1" applyFill="1" applyAlignment="1" applyProtection="1">
      <alignment horizontal="center" vertical="center"/>
      <protection locked="0"/>
    </xf>
    <xf numFmtId="0" fontId="34" fillId="7" borderId="0" xfId="4" applyFont="1" applyFill="1" applyAlignment="1" applyProtection="1">
      <alignment horizontal="center" vertical="center"/>
      <protection locked="0"/>
    </xf>
    <xf numFmtId="0" fontId="0" fillId="7" borderId="59" xfId="0" applyFill="1" applyBorder="1" applyAlignment="1" applyProtection="1">
      <alignment horizontal="center" vertical="center"/>
      <protection locked="0"/>
    </xf>
    <xf numFmtId="0" fontId="9" fillId="7" borderId="0" xfId="0" applyFont="1" applyFill="1" applyAlignment="1" applyProtection="1">
      <alignment horizontal="center" vertical="center"/>
      <protection locked="0"/>
    </xf>
    <xf numFmtId="0" fontId="35" fillId="7" borderId="0" xfId="0" applyFont="1" applyFill="1" applyAlignment="1" applyProtection="1">
      <alignment horizontal="center" vertical="center"/>
      <protection locked="0"/>
    </xf>
    <xf numFmtId="0" fontId="36" fillId="7" borderId="58" xfId="4" applyFont="1" applyFill="1" applyBorder="1" applyAlignment="1" applyProtection="1">
      <alignment horizontal="center" vertical="center"/>
      <protection locked="0"/>
    </xf>
    <xf numFmtId="0" fontId="36" fillId="7" borderId="0" xfId="4" applyFont="1" applyFill="1" applyAlignment="1" applyProtection="1">
      <alignment horizontal="center" vertical="center"/>
      <protection locked="0"/>
    </xf>
    <xf numFmtId="0" fontId="37" fillId="7" borderId="0" xfId="4" applyFont="1" applyFill="1" applyAlignment="1" applyProtection="1">
      <alignment horizontal="center" vertical="center"/>
      <protection locked="0"/>
    </xf>
    <xf numFmtId="0" fontId="10" fillId="7" borderId="59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" fontId="2" fillId="7" borderId="0" xfId="0" applyNumberFormat="1" applyFont="1" applyFill="1" applyAlignment="1" applyProtection="1">
      <alignment horizontal="center" vertical="center"/>
      <protection locked="0"/>
    </xf>
    <xf numFmtId="2" fontId="38" fillId="7" borderId="0" xfId="0" applyNumberFormat="1" applyFont="1" applyFill="1" applyAlignment="1">
      <alignment horizontal="center" vertical="center"/>
    </xf>
    <xf numFmtId="1" fontId="32" fillId="7" borderId="0" xfId="0" applyNumberFormat="1" applyFont="1" applyFill="1" applyAlignment="1">
      <alignment horizontal="center" vertical="center"/>
    </xf>
    <xf numFmtId="0" fontId="32" fillId="7" borderId="61" xfId="4" applyFont="1" applyFill="1" applyBorder="1" applyAlignment="1" applyProtection="1">
      <alignment horizontal="center" vertical="center"/>
      <protection locked="0"/>
    </xf>
    <xf numFmtId="0" fontId="32" fillId="7" borderId="62" xfId="4" applyFont="1" applyFill="1" applyBorder="1" applyAlignment="1" applyProtection="1">
      <alignment horizontal="center" vertical="center"/>
      <protection locked="0"/>
    </xf>
    <xf numFmtId="2" fontId="7" fillId="7" borderId="63" xfId="0" applyNumberFormat="1" applyFont="1" applyFill="1" applyBorder="1" applyAlignment="1" applyProtection="1">
      <alignment horizontal="center" vertical="center"/>
      <protection locked="0"/>
    </xf>
    <xf numFmtId="0" fontId="32" fillId="7" borderId="58" xfId="4" applyFont="1" applyFill="1" applyBorder="1" applyAlignment="1" applyProtection="1">
      <alignment horizontal="center" vertical="center"/>
      <protection locked="0"/>
    </xf>
    <xf numFmtId="0" fontId="32" fillId="7" borderId="0" xfId="4" applyFont="1" applyFill="1" applyAlignment="1" applyProtection="1">
      <alignment horizontal="center" vertical="center"/>
      <protection locked="0"/>
    </xf>
    <xf numFmtId="0" fontId="7" fillId="7" borderId="59" xfId="0" applyFont="1" applyFill="1" applyBorder="1" applyAlignment="1" applyProtection="1">
      <alignment horizontal="center" vertical="center"/>
      <protection locked="0"/>
    </xf>
    <xf numFmtId="0" fontId="37" fillId="7" borderId="1" xfId="4" applyFont="1" applyFill="1" applyBorder="1" applyAlignment="1" applyProtection="1">
      <alignment horizontal="center" vertical="center"/>
      <protection locked="0"/>
    </xf>
    <xf numFmtId="0" fontId="39" fillId="7" borderId="0" xfId="0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16" fillId="7" borderId="59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7" borderId="48" xfId="0" applyFill="1" applyBorder="1" applyAlignment="1" applyProtection="1">
      <alignment horizontal="center" vertical="center"/>
      <protection locked="0"/>
    </xf>
    <xf numFmtId="0" fontId="0" fillId="7" borderId="28" xfId="0" applyFill="1" applyBorder="1" applyAlignment="1" applyProtection="1">
      <alignment horizontal="center" vertical="center"/>
      <protection locked="0"/>
    </xf>
    <xf numFmtId="0" fontId="10" fillId="7" borderId="28" xfId="0" applyFont="1" applyFill="1" applyBorder="1" applyAlignment="1" applyProtection="1">
      <alignment horizontal="center" vertical="center"/>
      <protection locked="0"/>
    </xf>
    <xf numFmtId="0" fontId="32" fillId="7" borderId="28" xfId="0" applyFont="1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7" borderId="28" xfId="0" applyFont="1" applyFill="1" applyBorder="1" applyAlignment="1" applyProtection="1">
      <alignment horizontal="center" vertical="center"/>
      <protection locked="0"/>
    </xf>
    <xf numFmtId="0" fontId="2" fillId="7" borderId="28" xfId="0" applyFont="1" applyFill="1" applyBorder="1" applyAlignment="1">
      <alignment horizontal="center" vertical="center"/>
    </xf>
    <xf numFmtId="0" fontId="0" fillId="0" borderId="28" xfId="0" applyBorder="1" applyAlignment="1" applyProtection="1">
      <alignment horizontal="center" vertical="center"/>
      <protection locked="0"/>
    </xf>
    <xf numFmtId="0" fontId="32" fillId="7" borderId="65" xfId="4" applyFont="1" applyFill="1" applyBorder="1" applyAlignment="1" applyProtection="1">
      <alignment horizontal="center" vertical="center"/>
      <protection locked="0"/>
    </xf>
    <xf numFmtId="0" fontId="32" fillId="7" borderId="28" xfId="4" applyFont="1" applyFill="1" applyBorder="1" applyAlignment="1" applyProtection="1">
      <alignment horizontal="center" vertical="center"/>
      <protection locked="0"/>
    </xf>
    <xf numFmtId="0" fontId="7" fillId="7" borderId="29" xfId="0" applyFont="1" applyFill="1" applyBorder="1" applyAlignment="1" applyProtection="1">
      <alignment horizontal="center" vertical="center"/>
      <protection locked="0"/>
    </xf>
    <xf numFmtId="0" fontId="0" fillId="7" borderId="39" xfId="0" applyFill="1" applyBorder="1" applyAlignment="1" applyProtection="1">
      <alignment horizontal="center" vertical="center"/>
      <protection locked="0"/>
    </xf>
    <xf numFmtId="0" fontId="7" fillId="7" borderId="58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 vertical="center"/>
      <protection locked="0"/>
    </xf>
    <xf numFmtId="0" fontId="7" fillId="7" borderId="31" xfId="0" applyFont="1" applyFill="1" applyBorder="1" applyAlignment="1" applyProtection="1">
      <alignment horizontal="center" vertical="center"/>
      <protection locked="0"/>
    </xf>
    <xf numFmtId="0" fontId="2" fillId="7" borderId="39" xfId="0" applyFont="1" applyFill="1" applyBorder="1" applyAlignment="1" applyProtection="1">
      <alignment horizontal="center" vertical="center"/>
      <protection locked="0"/>
    </xf>
    <xf numFmtId="0" fontId="26" fillId="7" borderId="58" xfId="4" applyFont="1" applyFill="1" applyBorder="1" applyAlignment="1" applyProtection="1">
      <alignment horizontal="center" vertical="center"/>
      <protection locked="0"/>
    </xf>
    <xf numFmtId="0" fontId="26" fillId="7" borderId="0" xfId="4" applyFont="1" applyFill="1" applyAlignment="1" applyProtection="1">
      <alignment horizontal="center" vertical="center"/>
      <protection locked="0"/>
    </xf>
    <xf numFmtId="0" fontId="24" fillId="7" borderId="0" xfId="4" applyFont="1" applyFill="1" applyAlignment="1" applyProtection="1">
      <alignment horizontal="center" vertical="center"/>
      <protection locked="0"/>
    </xf>
    <xf numFmtId="0" fontId="10" fillId="7" borderId="39" xfId="0" applyFont="1" applyFill="1" applyBorder="1" applyAlignment="1" applyProtection="1">
      <alignment horizontal="center" vertical="center"/>
      <protection locked="0"/>
    </xf>
    <xf numFmtId="0" fontId="40" fillId="7" borderId="0" xfId="4" applyFont="1" applyFill="1" applyAlignment="1" applyProtection="1">
      <alignment horizontal="center" vertical="center"/>
      <protection locked="0"/>
    </xf>
    <xf numFmtId="0" fontId="30" fillId="7" borderId="0" xfId="4" applyFont="1" applyFill="1" applyAlignment="1" applyProtection="1">
      <alignment horizontal="center" vertical="center"/>
      <protection locked="0"/>
    </xf>
    <xf numFmtId="2" fontId="7" fillId="7" borderId="66" xfId="0" applyNumberFormat="1" applyFont="1" applyFill="1" applyBorder="1" applyAlignment="1" applyProtection="1">
      <alignment horizontal="center" vertical="center"/>
      <protection locked="0"/>
    </xf>
    <xf numFmtId="0" fontId="32" fillId="9" borderId="0" xfId="0" applyFont="1" applyFill="1" applyAlignment="1">
      <alignment horizontal="center" vertical="center"/>
    </xf>
    <xf numFmtId="0" fontId="16" fillId="7" borderId="31" xfId="0" applyFont="1" applyFill="1" applyBorder="1" applyAlignment="1" applyProtection="1">
      <alignment horizontal="center" vertical="center"/>
      <protection locked="0"/>
    </xf>
    <xf numFmtId="0" fontId="2" fillId="0" borderId="39" xfId="0" applyFont="1" applyBorder="1" applyAlignment="1" applyProtection="1">
      <alignment horizontal="center" vertical="center"/>
      <protection locked="0"/>
    </xf>
    <xf numFmtId="0" fontId="39" fillId="11" borderId="0" xfId="0" applyFont="1" applyFill="1" applyAlignment="1">
      <alignment horizontal="center" vertical="center"/>
    </xf>
    <xf numFmtId="0" fontId="16" fillId="0" borderId="0" xfId="0" applyFont="1" applyAlignment="1" applyProtection="1">
      <alignment horizontal="center" vertical="center"/>
      <protection locked="0"/>
    </xf>
    <xf numFmtId="0" fontId="2" fillId="0" borderId="49" xfId="0" applyFont="1" applyBorder="1" applyAlignment="1" applyProtection="1">
      <alignment horizontal="center" vertical="center"/>
      <protection locked="0"/>
    </xf>
    <xf numFmtId="0" fontId="2" fillId="7" borderId="22" xfId="0" applyFont="1" applyFill="1" applyBorder="1" applyAlignment="1" applyProtection="1">
      <alignment horizontal="center" vertical="center"/>
      <protection locked="0"/>
    </xf>
    <xf numFmtId="0" fontId="32" fillId="7" borderId="67" xfId="4" applyFont="1" applyFill="1" applyBorder="1" applyAlignment="1" applyProtection="1">
      <alignment horizontal="center" vertical="center"/>
      <protection locked="0"/>
    </xf>
    <xf numFmtId="0" fontId="32" fillId="7" borderId="22" xfId="4" applyFont="1" applyFill="1" applyBorder="1" applyAlignment="1" applyProtection="1">
      <alignment horizontal="center" vertical="center"/>
      <protection locked="0"/>
    </xf>
    <xf numFmtId="0" fontId="16" fillId="7" borderId="32" xfId="0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2" fillId="0" borderId="39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2" fillId="0" borderId="58" xfId="4" applyFont="1" applyBorder="1" applyAlignment="1" applyProtection="1">
      <alignment horizontal="center" vertical="center"/>
      <protection locked="0"/>
    </xf>
    <xf numFmtId="0" fontId="32" fillId="0" borderId="0" xfId="4" applyFont="1" applyAlignment="1" applyProtection="1">
      <alignment horizontal="center" vertical="center"/>
      <protection locked="0"/>
    </xf>
    <xf numFmtId="0" fontId="16" fillId="0" borderId="31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0" fontId="0" fillId="7" borderId="49" xfId="0" applyFill="1" applyBorder="1" applyAlignment="1" applyProtection="1">
      <alignment horizontal="center" vertical="center"/>
      <protection locked="0"/>
    </xf>
    <xf numFmtId="0" fontId="0" fillId="7" borderId="22" xfId="0" applyFill="1" applyBorder="1" applyAlignment="1" applyProtection="1">
      <alignment horizontal="center" vertical="center"/>
      <protection locked="0"/>
    </xf>
    <xf numFmtId="0" fontId="7" fillId="7" borderId="32" xfId="0" applyFont="1" applyFill="1" applyBorder="1" applyAlignment="1" applyProtection="1">
      <alignment horizontal="center" vertical="center"/>
      <protection locked="0"/>
    </xf>
    <xf numFmtId="0" fontId="7" fillId="7" borderId="65" xfId="0" applyFont="1" applyFill="1" applyBorder="1" applyAlignment="1" applyProtection="1">
      <alignment horizontal="center" vertical="center"/>
      <protection locked="0"/>
    </xf>
    <xf numFmtId="0" fontId="7" fillId="7" borderId="28" xfId="0" applyFont="1" applyFill="1" applyBorder="1" applyAlignment="1" applyProtection="1">
      <alignment horizontal="center" vertical="center"/>
      <protection locked="0"/>
    </xf>
    <xf numFmtId="0" fontId="2" fillId="7" borderId="49" xfId="0" applyFont="1" applyFill="1" applyBorder="1" applyAlignment="1" applyProtection="1">
      <alignment horizontal="center" vertical="center"/>
      <protection locked="0"/>
    </xf>
    <xf numFmtId="0" fontId="2" fillId="7" borderId="28" xfId="0" applyFont="1" applyFill="1" applyBorder="1" applyAlignment="1" applyProtection="1">
      <alignment vertical="center" wrapText="1"/>
      <protection locked="0"/>
    </xf>
    <xf numFmtId="0" fontId="41" fillId="0" borderId="28" xfId="0" applyFont="1" applyBorder="1" applyAlignment="1" applyProtection="1">
      <alignment horizontal="center" vertical="center" wrapText="1"/>
      <protection locked="0"/>
    </xf>
    <xf numFmtId="0" fontId="39" fillId="7" borderId="28" xfId="0" applyFont="1" applyFill="1" applyBorder="1" applyAlignment="1">
      <alignment horizontal="center" vertical="center"/>
    </xf>
    <xf numFmtId="0" fontId="39" fillId="7" borderId="28" xfId="0" applyFont="1" applyFill="1" applyBorder="1" applyAlignment="1" applyProtection="1">
      <alignment vertical="center"/>
      <protection locked="0"/>
    </xf>
    <xf numFmtId="0" fontId="2" fillId="7" borderId="28" xfId="0" applyFont="1" applyFill="1" applyBorder="1" applyAlignment="1" applyProtection="1">
      <alignment vertical="center"/>
      <protection locked="0"/>
    </xf>
    <xf numFmtId="0" fontId="7" fillId="0" borderId="28" xfId="0" applyFont="1" applyBorder="1" applyAlignment="1" applyProtection="1">
      <alignment vertical="center"/>
      <protection locked="0"/>
    </xf>
    <xf numFmtId="0" fontId="9" fillId="0" borderId="28" xfId="0" applyFont="1" applyBorder="1" applyAlignment="1" applyProtection="1">
      <alignment horizontal="center" vertical="center"/>
      <protection locked="0"/>
    </xf>
    <xf numFmtId="0" fontId="10" fillId="0" borderId="39" xfId="0" applyFont="1" applyBorder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0" fontId="26" fillId="0" borderId="58" xfId="4" applyFont="1" applyBorder="1" applyAlignment="1" applyProtection="1">
      <alignment horizontal="center" vertical="center"/>
      <protection locked="0"/>
    </xf>
    <xf numFmtId="0" fontId="26" fillId="0" borderId="0" xfId="4" applyFont="1" applyAlignment="1" applyProtection="1">
      <alignment horizontal="center" vertical="center"/>
      <protection locked="0"/>
    </xf>
    <xf numFmtId="0" fontId="40" fillId="0" borderId="0" xfId="4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7" borderId="48" xfId="0" applyFont="1" applyFill="1" applyBorder="1" applyAlignment="1" applyProtection="1">
      <alignment horizontal="center" vertical="center"/>
      <protection locked="0"/>
    </xf>
    <xf numFmtId="0" fontId="2" fillId="0" borderId="28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8" xfId="0" applyFont="1" applyBorder="1" applyAlignment="1" applyProtection="1">
      <alignment horizontal="center" vertical="center" wrapText="1"/>
      <protection locked="0"/>
    </xf>
    <xf numFmtId="0" fontId="2" fillId="0" borderId="28" xfId="0" applyFont="1" applyBorder="1" applyAlignment="1" applyProtection="1">
      <alignment vertical="center"/>
      <protection locked="0"/>
    </xf>
    <xf numFmtId="0" fontId="39" fillId="0" borderId="28" xfId="0" applyFont="1" applyBorder="1" applyAlignment="1" applyProtection="1">
      <alignment horizontal="center" vertical="center"/>
      <protection locked="0"/>
    </xf>
    <xf numFmtId="0" fontId="16" fillId="7" borderId="29" xfId="0" applyFont="1" applyFill="1" applyBorder="1" applyAlignment="1" applyProtection="1">
      <alignment horizontal="center" vertical="center"/>
      <protection locked="0"/>
    </xf>
    <xf numFmtId="0" fontId="16" fillId="6" borderId="0" xfId="0" applyFont="1" applyFill="1" applyAlignment="1" applyProtection="1">
      <alignment horizontal="center" vertical="center" wrapText="1"/>
      <protection locked="0"/>
    </xf>
    <xf numFmtId="0" fontId="2" fillId="7" borderId="0" xfId="0" applyFont="1" applyFill="1" applyAlignment="1" applyProtection="1">
      <alignment vertical="center"/>
      <protection locked="0"/>
    </xf>
    <xf numFmtId="0" fontId="2" fillId="7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6" fillId="0" borderId="39" xfId="0" applyFont="1" applyBorder="1" applyAlignment="1" applyProtection="1">
      <alignment horizontal="center" vertical="center" wrapTex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32" fillId="7" borderId="39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10" fillId="7" borderId="31" xfId="0" applyFont="1" applyFill="1" applyBorder="1" applyAlignment="1" applyProtection="1">
      <alignment horizontal="center" vertical="center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164" fontId="7" fillId="7" borderId="66" xfId="0" applyNumberFormat="1" applyFont="1" applyFill="1" applyBorder="1" applyAlignment="1" applyProtection="1">
      <alignment horizontal="center" vertical="center"/>
      <protection locked="0"/>
    </xf>
    <xf numFmtId="0" fontId="37" fillId="7" borderId="8" xfId="4" applyFont="1" applyFill="1" applyBorder="1" applyAlignment="1" applyProtection="1">
      <alignment horizontal="center" vertical="center"/>
      <protection locked="0"/>
    </xf>
    <xf numFmtId="0" fontId="37" fillId="7" borderId="9" xfId="4" applyFont="1" applyFill="1" applyBorder="1" applyAlignment="1" applyProtection="1">
      <alignment horizontal="center" vertical="center"/>
      <protection locked="0"/>
    </xf>
    <xf numFmtId="0" fontId="32" fillId="7" borderId="49" xfId="0" applyFont="1" applyFill="1" applyBorder="1" applyAlignment="1">
      <alignment horizontal="center" vertical="center"/>
    </xf>
    <xf numFmtId="0" fontId="32" fillId="7" borderId="32" xfId="0" applyFont="1" applyFill="1" applyBorder="1" applyAlignment="1">
      <alignment horizontal="center" vertical="center"/>
    </xf>
    <xf numFmtId="0" fontId="37" fillId="7" borderId="47" xfId="4" applyFont="1" applyFill="1" applyBorder="1" applyAlignment="1" applyProtection="1">
      <alignment horizontal="center" vertical="center"/>
      <protection locked="0"/>
    </xf>
    <xf numFmtId="0" fontId="32" fillId="7" borderId="22" xfId="0" applyFont="1" applyFill="1" applyBorder="1" applyAlignment="1">
      <alignment horizontal="center" vertical="center"/>
    </xf>
    <xf numFmtId="0" fontId="32" fillId="7" borderId="28" xfId="0" applyFont="1" applyFill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6" fillId="0" borderId="28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6" borderId="0" xfId="0" applyFont="1" applyFill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6" fillId="0" borderId="0" xfId="0" applyFont="1" applyAlignment="1" applyProtection="1">
      <alignment vertical="center"/>
      <protection locked="0"/>
    </xf>
    <xf numFmtId="0" fontId="39" fillId="0" borderId="28" xfId="0" applyFont="1" applyBorder="1" applyAlignment="1">
      <alignment vertical="center"/>
    </xf>
    <xf numFmtId="0" fontId="2" fillId="0" borderId="0" xfId="0" applyFont="1" applyAlignment="1" applyProtection="1">
      <alignment horizontal="right" vertical="top"/>
      <protection locked="0"/>
    </xf>
    <xf numFmtId="0" fontId="16" fillId="0" borderId="39" xfId="0" applyFont="1" applyBorder="1" applyAlignment="1" applyProtection="1">
      <alignment vertical="center"/>
      <protection locked="0"/>
    </xf>
    <xf numFmtId="0" fontId="16" fillId="0" borderId="31" xfId="0" applyFont="1" applyBorder="1" applyAlignment="1" applyProtection="1">
      <alignment vertical="center"/>
      <protection locked="0"/>
    </xf>
    <xf numFmtId="0" fontId="32" fillId="7" borderId="49" xfId="0" applyFont="1" applyFill="1" applyBorder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32" fillId="0" borderId="67" xfId="4" applyFont="1" applyBorder="1" applyAlignment="1" applyProtection="1">
      <alignment horizontal="center" vertical="center"/>
      <protection locked="0"/>
    </xf>
    <xf numFmtId="0" fontId="32" fillId="0" borderId="22" xfId="4" applyFont="1" applyBorder="1" applyAlignment="1" applyProtection="1">
      <alignment horizontal="center" vertical="center"/>
      <protection locked="0"/>
    </xf>
    <xf numFmtId="0" fontId="16" fillId="0" borderId="32" xfId="0" applyFont="1" applyBorder="1" applyAlignment="1" applyProtection="1">
      <alignment horizontal="center" vertical="center"/>
      <protection locked="0"/>
    </xf>
    <xf numFmtId="0" fontId="2" fillId="0" borderId="48" xfId="0" applyFont="1" applyBorder="1" applyAlignment="1" applyProtection="1">
      <alignment horizontal="center" vertical="center"/>
      <protection locked="0"/>
    </xf>
    <xf numFmtId="0" fontId="32" fillId="0" borderId="65" xfId="4" applyFont="1" applyBorder="1" applyAlignment="1" applyProtection="1">
      <alignment horizontal="center" vertical="center"/>
      <protection locked="0"/>
    </xf>
    <xf numFmtId="0" fontId="32" fillId="0" borderId="28" xfId="4" applyFont="1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0" fillId="0" borderId="48" xfId="0" applyBorder="1" applyAlignment="1" applyProtection="1">
      <alignment horizontal="center" vertical="center"/>
      <protection locked="0"/>
    </xf>
    <xf numFmtId="0" fontId="16" fillId="0" borderId="29" xfId="0" applyFont="1" applyBorder="1" applyAlignment="1" applyProtection="1">
      <alignment horizontal="center" vertical="center" wrapText="1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32" fillId="7" borderId="32" xfId="0" applyFont="1" applyFill="1" applyBorder="1" applyAlignment="1">
      <alignment horizontal="right" vertical="center"/>
    </xf>
    <xf numFmtId="0" fontId="8" fillId="7" borderId="28" xfId="0" applyFont="1" applyFill="1" applyBorder="1" applyAlignment="1" applyProtection="1">
      <alignment horizontal="center" vertical="center"/>
      <protection locked="0"/>
    </xf>
    <xf numFmtId="0" fontId="32" fillId="7" borderId="31" xfId="0" applyFont="1" applyFill="1" applyBorder="1" applyAlignment="1">
      <alignment horizontal="right" vertical="center"/>
    </xf>
    <xf numFmtId="1" fontId="32" fillId="7" borderId="39" xfId="0" applyNumberFormat="1" applyFont="1" applyFill="1" applyBorder="1" applyAlignment="1">
      <alignment horizontal="center" vertical="center"/>
    </xf>
    <xf numFmtId="0" fontId="39" fillId="14" borderId="25" xfId="0" applyFont="1" applyFill="1" applyBorder="1" applyAlignment="1">
      <alignment vertical="center"/>
    </xf>
    <xf numFmtId="0" fontId="2" fillId="7" borderId="28" xfId="0" applyFont="1" applyFill="1" applyBorder="1" applyAlignment="1" applyProtection="1">
      <alignment horizontal="right" vertical="center"/>
      <protection locked="0"/>
    </xf>
    <xf numFmtId="0" fontId="16" fillId="7" borderId="28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32" fillId="7" borderId="58" xfId="0" applyFont="1" applyFill="1" applyBorder="1" applyAlignment="1">
      <alignment horizontal="center" vertical="center"/>
    </xf>
    <xf numFmtId="0" fontId="7" fillId="7" borderId="0" xfId="0" applyFont="1" applyFill="1"/>
    <xf numFmtId="0" fontId="26" fillId="7" borderId="31" xfId="4" applyFont="1" applyFill="1" applyBorder="1" applyAlignment="1" applyProtection="1">
      <alignment horizontal="center" vertical="center"/>
      <protection locked="0"/>
    </xf>
    <xf numFmtId="0" fontId="32" fillId="7" borderId="66" xfId="4" applyFont="1" applyFill="1" applyBorder="1" applyAlignment="1" applyProtection="1">
      <alignment horizontal="center" vertical="center"/>
      <protection locked="0"/>
    </xf>
    <xf numFmtId="2" fontId="32" fillId="7" borderId="31" xfId="4" applyNumberFormat="1" applyFont="1" applyFill="1" applyBorder="1" applyAlignment="1" applyProtection="1">
      <alignment horizontal="center" vertical="center"/>
      <protection locked="0"/>
    </xf>
    <xf numFmtId="0" fontId="40" fillId="7" borderId="58" xfId="4" applyFont="1" applyFill="1" applyBorder="1" applyAlignment="1" applyProtection="1">
      <alignment horizontal="center" vertical="center"/>
      <protection locked="0"/>
    </xf>
    <xf numFmtId="0" fontId="32" fillId="7" borderId="31" xfId="4" applyFont="1" applyFill="1" applyBorder="1" applyAlignment="1" applyProtection="1">
      <alignment horizontal="center" vertical="center"/>
      <protection locked="0"/>
    </xf>
    <xf numFmtId="0" fontId="8" fillId="7" borderId="0" xfId="0" applyFont="1" applyFill="1" applyAlignment="1" applyProtection="1">
      <alignment horizontal="center" vertical="center"/>
      <protection locked="0"/>
    </xf>
    <xf numFmtId="0" fontId="16" fillId="0" borderId="28" xfId="0" applyFont="1" applyBorder="1" applyAlignment="1">
      <alignment vertical="center"/>
    </xf>
    <xf numFmtId="0" fontId="30" fillId="0" borderId="0" xfId="0" applyFont="1" applyAlignment="1" applyProtection="1">
      <alignment horizontal="center" vertical="center"/>
      <protection locked="0"/>
    </xf>
    <xf numFmtId="0" fontId="39" fillId="0" borderId="22" xfId="0" applyFont="1" applyBorder="1" applyAlignment="1">
      <alignment horizontal="center" vertical="center"/>
    </xf>
    <xf numFmtId="0" fontId="39" fillId="0" borderId="22" xfId="0" applyFont="1" applyBorder="1" applyAlignment="1">
      <alignment vertical="center"/>
    </xf>
    <xf numFmtId="0" fontId="39" fillId="11" borderId="22" xfId="0" applyFont="1" applyFill="1" applyBorder="1" applyAlignment="1">
      <alignment horizontal="center" vertical="center"/>
    </xf>
    <xf numFmtId="0" fontId="2" fillId="0" borderId="49" xfId="0" applyFont="1" applyBorder="1" applyAlignment="1" applyProtection="1">
      <alignment vertical="center"/>
      <protection locked="0"/>
    </xf>
    <xf numFmtId="0" fontId="7" fillId="6" borderId="28" xfId="0" applyFont="1" applyFill="1" applyBorder="1" applyAlignment="1" applyProtection="1">
      <alignment horizontal="center" vertical="center"/>
      <protection locked="0"/>
    </xf>
    <xf numFmtId="0" fontId="32" fillId="10" borderId="0" xfId="0" applyFont="1" applyFill="1" applyAlignment="1">
      <alignment horizontal="center" vertical="center"/>
    </xf>
    <xf numFmtId="0" fontId="0" fillId="10" borderId="0" xfId="0" applyFill="1" applyAlignment="1" applyProtection="1">
      <alignment horizontal="center" vertical="center"/>
      <protection locked="0"/>
    </xf>
    <xf numFmtId="0" fontId="37" fillId="7" borderId="45" xfId="4" applyFont="1" applyFill="1" applyBorder="1" applyAlignment="1" applyProtection="1">
      <alignment horizontal="center" vertical="center"/>
      <protection locked="0"/>
    </xf>
    <xf numFmtId="0" fontId="30" fillId="7" borderId="0" xfId="0" applyFont="1" applyFill="1" applyAlignment="1" applyProtection="1">
      <alignment horizontal="center" vertical="center"/>
      <protection locked="0"/>
    </xf>
    <xf numFmtId="0" fontId="10" fillId="7" borderId="0" xfId="0" applyFont="1" applyFill="1" applyAlignment="1">
      <alignment horizontal="center" vertical="center"/>
    </xf>
    <xf numFmtId="0" fontId="32" fillId="11" borderId="0" xfId="0" applyFont="1" applyFill="1" applyAlignment="1">
      <alignment horizontal="center" vertical="center"/>
    </xf>
    <xf numFmtId="0" fontId="43" fillId="7" borderId="0" xfId="0" applyFont="1" applyFill="1" applyAlignment="1">
      <alignment vertical="center" wrapText="1"/>
    </xf>
    <xf numFmtId="0" fontId="0" fillId="10" borderId="0" xfId="0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0" fillId="7" borderId="49" xfId="0" applyFont="1" applyFill="1" applyBorder="1" applyAlignment="1" applyProtection="1">
      <alignment horizontal="center" vertical="center"/>
      <protection locked="0"/>
    </xf>
    <xf numFmtId="0" fontId="0" fillId="7" borderId="22" xfId="0" applyFill="1" applyBorder="1" applyAlignment="1">
      <alignment horizontal="center" vertical="center"/>
    </xf>
    <xf numFmtId="0" fontId="10" fillId="7" borderId="48" xfId="0" applyFont="1" applyFill="1" applyBorder="1" applyAlignment="1" applyProtection="1">
      <alignment horizontal="center" vertical="center"/>
      <protection locked="0"/>
    </xf>
    <xf numFmtId="0" fontId="43" fillId="7" borderId="28" xfId="0" applyFont="1" applyFill="1" applyBorder="1" applyAlignment="1">
      <alignment vertical="center" wrapText="1"/>
    </xf>
    <xf numFmtId="0" fontId="7" fillId="0" borderId="28" xfId="0" applyFont="1" applyBorder="1" applyAlignment="1" applyProtection="1">
      <alignment horizontal="center" vertical="center"/>
      <protection locked="0"/>
    </xf>
    <xf numFmtId="0" fontId="32" fillId="0" borderId="28" xfId="0" applyFont="1" applyBorder="1" applyAlignment="1">
      <alignment horizontal="center" vertical="center"/>
    </xf>
    <xf numFmtId="1" fontId="32" fillId="7" borderId="28" xfId="4" applyNumberFormat="1" applyFont="1" applyFill="1" applyBorder="1" applyAlignment="1" applyProtection="1">
      <alignment horizontal="center" vertical="center"/>
      <protection locked="0"/>
    </xf>
    <xf numFmtId="2" fontId="32" fillId="7" borderId="29" xfId="4" applyNumberFormat="1" applyFont="1" applyFill="1" applyBorder="1" applyAlignment="1" applyProtection="1">
      <alignment horizontal="center" vertical="center"/>
      <protection locked="0"/>
    </xf>
    <xf numFmtId="0" fontId="32" fillId="7" borderId="70" xfId="4" applyFont="1" applyFill="1" applyBorder="1" applyAlignment="1" applyProtection="1">
      <alignment horizontal="center" vertical="center"/>
      <protection locked="0"/>
    </xf>
    <xf numFmtId="0" fontId="32" fillId="7" borderId="71" xfId="4" applyFont="1" applyFill="1" applyBorder="1" applyAlignment="1" applyProtection="1">
      <alignment horizontal="center" vertical="center"/>
      <protection locked="0"/>
    </xf>
    <xf numFmtId="0" fontId="28" fillId="7" borderId="0" xfId="4" applyFont="1" applyFill="1" applyAlignment="1" applyProtection="1">
      <alignment horizontal="center" vertical="center"/>
      <protection locked="0"/>
    </xf>
    <xf numFmtId="0" fontId="44" fillId="7" borderId="0" xfId="4" applyFont="1" applyFill="1" applyAlignment="1" applyProtection="1">
      <alignment horizontal="center" vertical="center"/>
      <protection locked="0"/>
    </xf>
    <xf numFmtId="0" fontId="40" fillId="0" borderId="72" xfId="4" applyFont="1" applyBorder="1" applyAlignment="1" applyProtection="1">
      <alignment horizontal="center" vertical="center"/>
      <protection locked="0"/>
    </xf>
    <xf numFmtId="0" fontId="40" fillId="0" borderId="73" xfId="4" applyFont="1" applyBorder="1" applyAlignment="1" applyProtection="1">
      <alignment horizontal="center" vertical="center"/>
      <protection locked="0"/>
    </xf>
    <xf numFmtId="0" fontId="40" fillId="0" borderId="73" xfId="4" applyFont="1" applyBorder="1" applyAlignment="1" applyProtection="1">
      <alignment horizontal="center" vertical="center" wrapText="1"/>
      <protection locked="0"/>
    </xf>
    <xf numFmtId="0" fontId="40" fillId="0" borderId="74" xfId="4" applyFont="1" applyBorder="1" applyAlignment="1" applyProtection="1">
      <alignment horizontal="center" vertical="center" wrapText="1"/>
      <protection locked="0"/>
    </xf>
    <xf numFmtId="0" fontId="45" fillId="0" borderId="0" xfId="4" applyFont="1" applyAlignment="1" applyProtection="1">
      <alignment horizontal="center" vertical="center" wrapText="1"/>
      <protection locked="0"/>
    </xf>
    <xf numFmtId="0" fontId="40" fillId="0" borderId="80" xfId="4" applyFont="1" applyBorder="1" applyAlignment="1" applyProtection="1">
      <alignment horizontal="center" vertical="center"/>
      <protection locked="0"/>
    </xf>
    <xf numFmtId="0" fontId="40" fillId="0" borderId="0" xfId="4" applyFont="1" applyAlignment="1" applyProtection="1">
      <alignment horizontal="center" vertical="center" wrapText="1"/>
      <protection locked="0"/>
    </xf>
    <xf numFmtId="0" fontId="40" fillId="0" borderId="81" xfId="4" applyFont="1" applyBorder="1" applyAlignment="1" applyProtection="1">
      <alignment horizontal="center" vertical="center" wrapText="1"/>
      <protection locked="0"/>
    </xf>
    <xf numFmtId="0" fontId="32" fillId="0" borderId="1" xfId="4" applyFont="1" applyBorder="1" applyAlignment="1" applyProtection="1">
      <alignment horizontal="center" vertical="center" wrapText="1"/>
      <protection locked="0"/>
    </xf>
    <xf numFmtId="0" fontId="40" fillId="0" borderId="81" xfId="4" applyFont="1" applyBorder="1" applyAlignment="1" applyProtection="1">
      <alignment horizontal="center" vertical="center"/>
      <protection locked="0"/>
    </xf>
    <xf numFmtId="0" fontId="40" fillId="15" borderId="0" xfId="4" applyFont="1" applyFill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locked="0"/>
    </xf>
    <xf numFmtId="0" fontId="47" fillId="9" borderId="0" xfId="4" applyFont="1" applyFill="1" applyAlignment="1" applyProtection="1">
      <alignment horizontal="center" vertical="center"/>
      <protection locked="0"/>
    </xf>
    <xf numFmtId="0" fontId="24" fillId="0" borderId="0" xfId="4" applyFont="1" applyAlignment="1" applyProtection="1">
      <alignment horizontal="center" vertical="center"/>
      <protection locked="0"/>
    </xf>
    <xf numFmtId="0" fontId="43" fillId="0" borderId="80" xfId="4" applyFont="1" applyBorder="1" applyAlignment="1" applyProtection="1">
      <alignment horizontal="center" vertical="center"/>
      <protection locked="0"/>
    </xf>
    <xf numFmtId="0" fontId="43" fillId="0" borderId="0" xfId="4" applyFont="1" applyAlignment="1" applyProtection="1">
      <alignment horizontal="center" vertical="center"/>
      <protection locked="0"/>
    </xf>
    <xf numFmtId="0" fontId="43" fillId="0" borderId="81" xfId="4" applyFont="1" applyBorder="1" applyAlignment="1" applyProtection="1">
      <alignment horizontal="center" vertical="center"/>
      <protection locked="0"/>
    </xf>
    <xf numFmtId="0" fontId="24" fillId="0" borderId="90" xfId="4" applyFont="1" applyBorder="1" applyAlignment="1" applyProtection="1">
      <alignment horizontal="center" vertical="center"/>
      <protection locked="0"/>
    </xf>
    <xf numFmtId="0" fontId="48" fillId="0" borderId="91" xfId="4" applyFont="1" applyBorder="1" applyAlignment="1" applyProtection="1">
      <alignment horizontal="center" vertical="center"/>
      <protection locked="0"/>
    </xf>
    <xf numFmtId="0" fontId="24" fillId="0" borderId="91" xfId="4" applyFont="1" applyBorder="1" applyAlignment="1" applyProtection="1">
      <alignment horizontal="center" vertical="center"/>
      <protection locked="0"/>
    </xf>
    <xf numFmtId="0" fontId="24" fillId="0" borderId="92" xfId="4" applyFont="1" applyBorder="1" applyAlignment="1" applyProtection="1">
      <alignment horizontal="center" vertical="center"/>
      <protection locked="0"/>
    </xf>
    <xf numFmtId="0" fontId="40" fillId="0" borderId="97" xfId="4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50" fillId="17" borderId="1" xfId="0" applyFont="1" applyFill="1" applyBorder="1" applyAlignment="1">
      <alignment horizontal="center" vertical="center" wrapText="1"/>
    </xf>
    <xf numFmtId="16" fontId="51" fillId="17" borderId="1" xfId="0" quotePrefix="1" applyNumberFormat="1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/>
    </xf>
    <xf numFmtId="0" fontId="49" fillId="0" borderId="11" xfId="0" quotePrefix="1" applyFont="1" applyBorder="1" applyAlignment="1">
      <alignment horizontal="center" vertical="center"/>
    </xf>
    <xf numFmtId="10" fontId="0" fillId="0" borderId="6" xfId="0" applyNumberFormat="1" applyBorder="1" applyAlignment="1">
      <alignment horizontal="left" vertical="center" wrapText="1" indent="1"/>
    </xf>
    <xf numFmtId="10" fontId="0" fillId="0" borderId="6" xfId="0" applyNumberForma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0" fontId="0" fillId="0" borderId="1" xfId="0" applyNumberFormat="1" applyBorder="1" applyAlignment="1">
      <alignment horizontal="left" vertical="center" wrapText="1" indent="1"/>
    </xf>
    <xf numFmtId="10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16" fontId="51" fillId="17" borderId="9" xfId="0" quotePrefix="1" applyNumberFormat="1" applyFont="1" applyFill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/>
    </xf>
    <xf numFmtId="0" fontId="49" fillId="0" borderId="12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52" fillId="0" borderId="2" xfId="0" applyFont="1" applyBorder="1" applyAlignment="1">
      <alignment horizontal="center" vertical="center"/>
    </xf>
    <xf numFmtId="10" fontId="0" fillId="0" borderId="3" xfId="0" applyNumberFormat="1" applyBorder="1" applyAlignment="1">
      <alignment horizontal="left" vertical="center" wrapText="1" indent="1"/>
    </xf>
    <xf numFmtId="10" fontId="0" fillId="0" borderId="3" xfId="0" applyNumberForma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inden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1" xfId="0" quotePrefix="1" applyFont="1" applyFill="1" applyBorder="1" applyAlignment="1">
      <alignment horizontal="left" vertical="center" indent="1"/>
    </xf>
    <xf numFmtId="0" fontId="12" fillId="6" borderId="9" xfId="0" applyFont="1" applyFill="1" applyBorder="1" applyAlignment="1">
      <alignment horizontal="center" vertical="center"/>
    </xf>
    <xf numFmtId="0" fontId="12" fillId="6" borderId="9" xfId="0" quotePrefix="1" applyFont="1" applyFill="1" applyBorder="1" applyAlignment="1">
      <alignment horizontal="center" vertical="center"/>
    </xf>
    <xf numFmtId="0" fontId="16" fillId="6" borderId="1" xfId="0" quotePrefix="1" applyFont="1" applyFill="1" applyBorder="1" applyAlignment="1">
      <alignment horizontal="left" vertical="center" indent="1"/>
    </xf>
    <xf numFmtId="0" fontId="14" fillId="6" borderId="9" xfId="2" applyFont="1" applyFill="1" applyBorder="1" applyAlignment="1">
      <alignment horizontal="center" vertical="center" wrapText="1"/>
    </xf>
    <xf numFmtId="0" fontId="12" fillId="6" borderId="16" xfId="0" quotePrefix="1" applyFont="1" applyFill="1" applyBorder="1" applyAlignment="1">
      <alignment horizontal="left" vertical="center" indent="1"/>
    </xf>
    <xf numFmtId="0" fontId="12" fillId="6" borderId="34" xfId="0" quotePrefix="1" applyFont="1" applyFill="1" applyBorder="1" applyAlignment="1">
      <alignment horizontal="center" vertical="center"/>
    </xf>
    <xf numFmtId="0" fontId="2" fillId="6" borderId="35" xfId="0" applyFont="1" applyFill="1" applyBorder="1"/>
    <xf numFmtId="0" fontId="2" fillId="6" borderId="36" xfId="0" applyFont="1" applyFill="1" applyBorder="1"/>
    <xf numFmtId="0" fontId="2" fillId="6" borderId="38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2" fillId="2" borderId="23" xfId="0" applyFont="1" applyFill="1" applyBorder="1"/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0" fontId="0" fillId="0" borderId="9" xfId="0" applyBorder="1"/>
    <xf numFmtId="0" fontId="21" fillId="0" borderId="16" xfId="0" applyFont="1" applyBorder="1" applyAlignment="1">
      <alignment horizontal="center" vertical="center"/>
    </xf>
    <xf numFmtId="0" fontId="21" fillId="19" borderId="35" xfId="0" applyFont="1" applyFill="1" applyBorder="1" applyAlignment="1">
      <alignment horizontal="center" vertical="center"/>
    </xf>
    <xf numFmtId="0" fontId="55" fillId="19" borderId="36" xfId="0" applyFont="1" applyFill="1" applyBorder="1" applyAlignment="1">
      <alignment horizontal="center" vertical="center"/>
    </xf>
    <xf numFmtId="0" fontId="21" fillId="19" borderId="36" xfId="0" applyFont="1" applyFill="1" applyBorder="1" applyAlignment="1">
      <alignment horizontal="center" vertical="center"/>
    </xf>
    <xf numFmtId="0" fontId="0" fillId="19" borderId="38" xfId="0" applyFill="1" applyBorder="1" applyAlignment="1">
      <alignment horizontal="center" vertical="center"/>
    </xf>
    <xf numFmtId="0" fontId="56" fillId="20" borderId="1" xfId="6" applyFont="1" applyFill="1" applyBorder="1" applyAlignment="1">
      <alignment horizontal="left" vertical="center"/>
    </xf>
    <xf numFmtId="0" fontId="13" fillId="20" borderId="1" xfId="6" applyFill="1" applyBorder="1"/>
    <xf numFmtId="0" fontId="21" fillId="0" borderId="21" xfId="0" applyFont="1" applyBorder="1" applyAlignment="1">
      <alignment horizontal="center" vertical="center"/>
    </xf>
    <xf numFmtId="0" fontId="57" fillId="0" borderId="1" xfId="6" applyFont="1" applyBorder="1" applyAlignment="1">
      <alignment horizontal="left" vertical="center"/>
    </xf>
    <xf numFmtId="0" fontId="57" fillId="0" borderId="1" xfId="6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horizontal="left" wrapText="1"/>
    </xf>
    <xf numFmtId="0" fontId="21" fillId="0" borderId="8" xfId="6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/>
    </xf>
    <xf numFmtId="0" fontId="13" fillId="0" borderId="1" xfId="6" applyBorder="1" applyAlignment="1">
      <alignment horizontal="center" vertical="center"/>
    </xf>
    <xf numFmtId="0" fontId="21" fillId="3" borderId="11" xfId="6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3" fillId="20" borderId="8" xfId="6" applyFill="1" applyBorder="1" applyAlignment="1">
      <alignment horizontal="center"/>
    </xf>
    <xf numFmtId="0" fontId="0" fillId="20" borderId="31" xfId="0" applyFill="1" applyBorder="1"/>
    <xf numFmtId="0" fontId="21" fillId="0" borderId="10" xfId="0" applyFont="1" applyBorder="1" applyAlignment="1">
      <alignment horizontal="center" vertical="center"/>
    </xf>
    <xf numFmtId="0" fontId="57" fillId="0" borderId="11" xfId="6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57" fillId="0" borderId="11" xfId="6" applyFont="1" applyBorder="1" applyAlignment="1">
      <alignment horizontal="center" vertical="center"/>
    </xf>
    <xf numFmtId="0" fontId="0" fillId="0" borderId="12" xfId="0" applyBorder="1"/>
    <xf numFmtId="0" fontId="0" fillId="0" borderId="9" xfId="0" applyBorder="1" applyAlignment="1">
      <alignment horizontal="center"/>
    </xf>
    <xf numFmtId="0" fontId="41" fillId="0" borderId="0" xfId="0" applyFont="1"/>
    <xf numFmtId="0" fontId="54" fillId="0" borderId="1" xfId="7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9" fillId="3" borderId="5" xfId="6" applyFont="1" applyFill="1" applyBorder="1" applyAlignment="1">
      <alignment horizontal="center" vertical="center"/>
    </xf>
    <xf numFmtId="0" fontId="19" fillId="3" borderId="6" xfId="6" applyFont="1" applyFill="1" applyBorder="1" applyAlignment="1">
      <alignment horizontal="center" vertical="center"/>
    </xf>
    <xf numFmtId="0" fontId="19" fillId="3" borderId="6" xfId="6" applyFont="1" applyFill="1" applyBorder="1" applyAlignment="1">
      <alignment horizontal="center" vertical="center" wrapText="1"/>
    </xf>
    <xf numFmtId="0" fontId="2" fillId="2" borderId="109" xfId="0" applyFont="1" applyFill="1" applyBorder="1"/>
    <xf numFmtId="0" fontId="2" fillId="2" borderId="2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1" fillId="2" borderId="9" xfId="0" applyFont="1" applyFill="1" applyBorder="1" applyAlignment="1">
      <alignment horizontal="center"/>
    </xf>
    <xf numFmtId="1" fontId="41" fillId="2" borderId="9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left" vertical="center" indent="1"/>
    </xf>
    <xf numFmtId="0" fontId="1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3" borderId="9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0" fontId="61" fillId="0" borderId="1" xfId="1" applyNumberFormat="1" applyFont="1" applyBorder="1" applyAlignment="1">
      <alignment horizontal="center" vertical="center" wrapText="1"/>
    </xf>
    <xf numFmtId="0" fontId="21" fillId="0" borderId="30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63" fillId="0" borderId="107" xfId="0" applyFont="1" applyBorder="1" applyAlignment="1">
      <alignment vertical="center"/>
    </xf>
    <xf numFmtId="0" fontId="63" fillId="0" borderId="10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" fontId="7" fillId="7" borderId="1" xfId="0" applyNumberFormat="1" applyFont="1" applyFill="1" applyBorder="1" applyAlignment="1">
      <alignment horizontal="center" vertical="center" wrapText="1"/>
    </xf>
    <xf numFmtId="0" fontId="0" fillId="12" borderId="0" xfId="0" applyFill="1"/>
    <xf numFmtId="0" fontId="0" fillId="7" borderId="9" xfId="0" applyFill="1" applyBorder="1" applyAlignment="1">
      <alignment horizontal="center" vertical="center" wrapText="1"/>
    </xf>
    <xf numFmtId="0" fontId="0" fillId="3" borderId="0" xfId="0" applyFill="1"/>
    <xf numFmtId="0" fontId="0" fillId="7" borderId="1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wrapText="1"/>
    </xf>
    <xf numFmtId="0" fontId="61" fillId="0" borderId="1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7" borderId="0" xfId="0" applyFill="1"/>
    <xf numFmtId="0" fontId="0" fillId="7" borderId="9" xfId="0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/>
    </xf>
    <xf numFmtId="0" fontId="0" fillId="7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7" fillId="12" borderId="8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166" fontId="0" fillId="12" borderId="1" xfId="0" applyNumberFormat="1" applyFill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0" xfId="0" applyFont="1" applyAlignment="1">
      <alignment wrapText="1"/>
    </xf>
    <xf numFmtId="0" fontId="21" fillId="0" borderId="42" xfId="0" applyFont="1" applyBorder="1"/>
    <xf numFmtId="0" fontId="21" fillId="0" borderId="9" xfId="0" applyFont="1" applyBorder="1" applyAlignment="1">
      <alignment wrapText="1"/>
    </xf>
    <xf numFmtId="0" fontId="21" fillId="0" borderId="9" xfId="0" applyFont="1" applyBorder="1" applyAlignment="1">
      <alignment horizontal="left" wrapText="1"/>
    </xf>
    <xf numFmtId="0" fontId="21" fillId="0" borderId="9" xfId="0" applyFont="1" applyBorder="1" applyAlignment="1">
      <alignment horizontal="center" wrapText="1"/>
    </xf>
    <xf numFmtId="0" fontId="65" fillId="0" borderId="9" xfId="0" applyFont="1" applyBorder="1" applyAlignment="1">
      <alignment horizontal="center" vertical="center" wrapText="1"/>
    </xf>
    <xf numFmtId="0" fontId="65" fillId="0" borderId="43" xfId="0" applyFont="1" applyBorder="1" applyAlignment="1">
      <alignment horizontal="center" vertical="center"/>
    </xf>
    <xf numFmtId="0" fontId="65" fillId="0" borderId="17" xfId="0" applyFont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" xfId="0" applyFill="1" applyBorder="1" applyAlignment="1">
      <alignment vertic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20" fillId="0" borderId="30" xfId="0" applyFont="1" applyBorder="1"/>
    <xf numFmtId="0" fontId="26" fillId="5" borderId="1" xfId="0" applyFont="1" applyFill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6" fillId="5" borderId="11" xfId="0" applyFont="1" applyFill="1" applyBorder="1" applyAlignment="1">
      <alignment horizontal="center" wrapText="1"/>
    </xf>
    <xf numFmtId="0" fontId="54" fillId="0" borderId="1" xfId="3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/>
    </xf>
    <xf numFmtId="0" fontId="19" fillId="0" borderId="10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99" xfId="0" applyFont="1" applyBorder="1" applyAlignment="1">
      <alignment horizontal="center" vertical="center"/>
    </xf>
    <xf numFmtId="0" fontId="2" fillId="3" borderId="99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19" fillId="0" borderId="1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34" xfId="0" applyFont="1" applyBorder="1" applyAlignment="1">
      <alignment horizontal="center"/>
    </xf>
    <xf numFmtId="0" fontId="20" fillId="0" borderId="8" xfId="0" applyFont="1" applyBorder="1"/>
    <xf numFmtId="0" fontId="20" fillId="0" borderId="10" xfId="0" applyFont="1" applyBorder="1"/>
    <xf numFmtId="0" fontId="20" fillId="0" borderId="100" xfId="0" applyFont="1" applyBorder="1"/>
    <xf numFmtId="0" fontId="0" fillId="0" borderId="9" xfId="0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54" fillId="0" borderId="1" xfId="5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22" borderId="23" xfId="0" applyFont="1" applyFill="1" applyBorder="1" applyAlignment="1">
      <alignment vertical="center"/>
    </xf>
    <xf numFmtId="0" fontId="8" fillId="22" borderId="24" xfId="0" applyFont="1" applyFill="1" applyBorder="1" applyAlignment="1">
      <alignment vertical="center"/>
    </xf>
    <xf numFmtId="0" fontId="8" fillId="22" borderId="25" xfId="0" applyFont="1" applyFill="1" applyBorder="1" applyAlignment="1">
      <alignment vertical="center"/>
    </xf>
    <xf numFmtId="0" fontId="0" fillId="0" borderId="28" xfId="0" applyBorder="1"/>
    <xf numFmtId="0" fontId="8" fillId="22" borderId="24" xfId="0" applyFont="1" applyFill="1" applyBorder="1" applyAlignment="1">
      <alignment horizontal="center" vertical="center"/>
    </xf>
    <xf numFmtId="0" fontId="39" fillId="23" borderId="35" xfId="0" applyFont="1" applyFill="1" applyBorder="1" applyAlignment="1">
      <alignment horizontal="center" vertical="center" wrapText="1"/>
    </xf>
    <xf numFmtId="0" fontId="39" fillId="23" borderId="36" xfId="0" applyFont="1" applyFill="1" applyBorder="1" applyAlignment="1">
      <alignment vertical="center"/>
    </xf>
    <xf numFmtId="0" fontId="39" fillId="23" borderId="36" xfId="0" applyFont="1" applyFill="1" applyBorder="1" applyAlignment="1">
      <alignment vertical="center" wrapText="1"/>
    </xf>
    <xf numFmtId="0" fontId="39" fillId="23" borderId="36" xfId="0" applyFont="1" applyFill="1" applyBorder="1" applyAlignment="1">
      <alignment horizontal="center" vertical="center" textRotation="90" wrapText="1"/>
    </xf>
    <xf numFmtId="17" fontId="39" fillId="23" borderId="36" xfId="0" applyNumberFormat="1" applyFont="1" applyFill="1" applyBorder="1" applyAlignment="1">
      <alignment horizontal="center" vertical="center" textRotation="90"/>
    </xf>
    <xf numFmtId="17" fontId="39" fillId="23" borderId="36" xfId="0" applyNumberFormat="1" applyFont="1" applyFill="1" applyBorder="1" applyAlignment="1">
      <alignment horizontal="center" vertical="center" textRotation="90" wrapText="1"/>
    </xf>
    <xf numFmtId="17" fontId="39" fillId="23" borderId="38" xfId="0" applyNumberFormat="1" applyFont="1" applyFill="1" applyBorder="1" applyAlignment="1">
      <alignment horizontal="center" vertical="center" textRotation="90"/>
    </xf>
    <xf numFmtId="17" fontId="39" fillId="23" borderId="25" xfId="0" applyNumberFormat="1" applyFont="1" applyFill="1" applyBorder="1" applyAlignment="1">
      <alignment horizontal="center" vertical="center" textRotation="90" wrapText="1"/>
    </xf>
    <xf numFmtId="0" fontId="66" fillId="0" borderId="6" xfId="0" applyFont="1" applyBorder="1" applyAlignment="1">
      <alignment horizontal="left" vertical="center"/>
    </xf>
    <xf numFmtId="1" fontId="66" fillId="0" borderId="6" xfId="0" applyNumberFormat="1" applyFont="1" applyBorder="1" applyAlignment="1">
      <alignment horizontal="center" vertical="center"/>
    </xf>
    <xf numFmtId="1" fontId="66" fillId="24" borderId="6" xfId="0" applyNumberFormat="1" applyFont="1" applyFill="1" applyBorder="1" applyAlignment="1">
      <alignment horizontal="center" vertical="center"/>
    </xf>
    <xf numFmtId="1" fontId="39" fillId="0" borderId="7" xfId="0" applyNumberFormat="1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/>
    </xf>
    <xf numFmtId="1" fontId="66" fillId="0" borderId="17" xfId="0" applyNumberFormat="1" applyFont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vertical="center"/>
    </xf>
    <xf numFmtId="1" fontId="39" fillId="0" borderId="9" xfId="0" applyNumberFormat="1" applyFont="1" applyBorder="1" applyAlignment="1">
      <alignment horizontal="center" vertical="center"/>
    </xf>
    <xf numFmtId="1" fontId="66" fillId="24" borderId="1" xfId="0" applyNumberFormat="1" applyFont="1" applyFill="1" applyBorder="1" applyAlignment="1">
      <alignment horizontal="center" vertical="center"/>
    </xf>
    <xf numFmtId="1" fontId="39" fillId="0" borderId="31" xfId="0" applyNumberFormat="1" applyFont="1" applyBorder="1" applyAlignment="1">
      <alignment horizontal="center" vertical="center"/>
    </xf>
    <xf numFmtId="0" fontId="66" fillId="0" borderId="3" xfId="0" applyFont="1" applyBorder="1" applyAlignment="1">
      <alignment horizontal="left" vertical="center"/>
    </xf>
    <xf numFmtId="1" fontId="66" fillId="0" borderId="3" xfId="0" applyNumberFormat="1" applyFont="1" applyBorder="1" applyAlignment="1">
      <alignment horizontal="center" vertical="center"/>
    </xf>
    <xf numFmtId="1" fontId="66" fillId="24" borderId="3" xfId="0" applyNumberFormat="1" applyFont="1" applyFill="1" applyBorder="1" applyAlignment="1">
      <alignment horizontal="center" vertical="center"/>
    </xf>
    <xf numFmtId="1" fontId="39" fillId="0" borderId="4" xfId="0" applyNumberFormat="1" applyFont="1" applyBorder="1" applyAlignment="1">
      <alignment horizontal="center" vertical="center"/>
    </xf>
    <xf numFmtId="1" fontId="39" fillId="0" borderId="44" xfId="0" applyNumberFormat="1" applyFont="1" applyBorder="1" applyAlignment="1">
      <alignment horizontal="center" vertical="center"/>
    </xf>
    <xf numFmtId="0" fontId="66" fillId="0" borderId="17" xfId="0" applyFont="1" applyBorder="1" applyAlignment="1">
      <alignment horizontal="left" vertical="center"/>
    </xf>
    <xf numFmtId="1" fontId="66" fillId="24" borderId="17" xfId="0" applyNumberFormat="1" applyFont="1" applyFill="1" applyBorder="1" applyAlignment="1">
      <alignment horizontal="center" vertical="center"/>
    </xf>
    <xf numFmtId="0" fontId="66" fillId="0" borderId="14" xfId="0" applyFont="1" applyBorder="1" applyAlignment="1">
      <alignment horizontal="left" vertical="center" wrapText="1"/>
    </xf>
    <xf numFmtId="1" fontId="66" fillId="0" borderId="14" xfId="0" applyNumberFormat="1" applyFont="1" applyBorder="1" applyAlignment="1">
      <alignment horizontal="center" vertical="center"/>
    </xf>
    <xf numFmtId="0" fontId="52" fillId="7" borderId="14" xfId="0" applyFont="1" applyFill="1" applyBorder="1" applyAlignment="1">
      <alignment horizontal="center" vertical="center" wrapText="1"/>
    </xf>
    <xf numFmtId="0" fontId="52" fillId="7" borderId="14" xfId="0" applyFont="1" applyFill="1" applyBorder="1" applyAlignment="1">
      <alignment horizontal="center" vertical="center"/>
    </xf>
    <xf numFmtId="1" fontId="39" fillId="0" borderId="110" xfId="0" applyNumberFormat="1" applyFont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vertical="center" wrapText="1"/>
    </xf>
    <xf numFmtId="1" fontId="66" fillId="24" borderId="1" xfId="0" applyNumberFormat="1" applyFont="1" applyFill="1" applyBorder="1" applyAlignment="1">
      <alignment horizontal="center" vertical="center" wrapText="1"/>
    </xf>
    <xf numFmtId="1" fontId="39" fillId="0" borderId="30" xfId="0" applyNumberFormat="1" applyFont="1" applyBorder="1" applyAlignment="1">
      <alignment horizontal="center" vertical="center"/>
    </xf>
    <xf numFmtId="0" fontId="66" fillId="0" borderId="11" xfId="0" applyFont="1" applyBorder="1" applyAlignment="1">
      <alignment horizontal="left" vertical="center"/>
    </xf>
    <xf numFmtId="1" fontId="66" fillId="0" borderId="11" xfId="0" applyNumberFormat="1" applyFont="1" applyBorder="1" applyAlignment="1">
      <alignment horizontal="center" vertical="center"/>
    </xf>
    <xf numFmtId="1" fontId="66" fillId="24" borderId="11" xfId="0" applyNumberFormat="1" applyFont="1" applyFill="1" applyBorder="1" applyAlignment="1">
      <alignment horizontal="center" vertical="center"/>
    </xf>
    <xf numFmtId="1" fontId="39" fillId="0" borderId="100" xfId="0" applyNumberFormat="1" applyFont="1" applyBorder="1" applyAlignment="1">
      <alignment horizontal="center" vertical="center"/>
    </xf>
    <xf numFmtId="0" fontId="52" fillId="7" borderId="14" xfId="0" applyFont="1" applyFill="1" applyBorder="1" applyAlignment="1">
      <alignment horizontal="center" vertical="top"/>
    </xf>
    <xf numFmtId="1" fontId="39" fillId="0" borderId="15" xfId="0" applyNumberFormat="1" applyFont="1" applyBorder="1" applyAlignment="1">
      <alignment horizontal="center" vertical="center"/>
    </xf>
    <xf numFmtId="1" fontId="66" fillId="0" borderId="6" xfId="0" applyNumberFormat="1" applyFont="1" applyBorder="1" applyAlignment="1">
      <alignment horizontal="center" vertical="center" wrapText="1"/>
    </xf>
    <xf numFmtId="1" fontId="66" fillId="24" borderId="6" xfId="0" applyNumberFormat="1" applyFont="1" applyFill="1" applyBorder="1" applyAlignment="1">
      <alignment horizontal="center" vertical="center" wrapText="1"/>
    </xf>
    <xf numFmtId="0" fontId="0" fillId="0" borderId="22" xfId="0" applyBorder="1"/>
    <xf numFmtId="1" fontId="66" fillId="24" borderId="14" xfId="0" applyNumberFormat="1" applyFont="1" applyFill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66" fillId="0" borderId="0" xfId="0" applyFont="1"/>
    <xf numFmtId="1" fontId="39" fillId="0" borderId="0" xfId="0" applyNumberFormat="1" applyFont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7" fillId="0" borderId="1" xfId="0" quotePrefix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7" fillId="12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65" fillId="0" borderId="17" xfId="0" applyFont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 indent="1"/>
    </xf>
    <xf numFmtId="164" fontId="6" fillId="13" borderId="1" xfId="1" applyNumberFormat="1" applyFont="1" applyFill="1" applyBorder="1" applyAlignment="1">
      <alignment horizontal="center" vertical="center" wrapText="1"/>
    </xf>
    <xf numFmtId="0" fontId="6" fillId="13" borderId="1" xfId="1" applyNumberFormat="1" applyFont="1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/>
    </xf>
    <xf numFmtId="0" fontId="0" fillId="23" borderId="1" xfId="0" applyFill="1" applyBorder="1" applyAlignment="1">
      <alignment vertical="center"/>
    </xf>
    <xf numFmtId="0" fontId="0" fillId="23" borderId="1" xfId="0" applyFill="1" applyBorder="1" applyAlignment="1">
      <alignment horizontal="center" vertical="center"/>
    </xf>
    <xf numFmtId="0" fontId="70" fillId="0" borderId="0" xfId="0" applyFont="1"/>
    <xf numFmtId="0" fontId="0" fillId="0" borderId="6" xfId="0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3" borderId="6" xfId="0" applyFill="1" applyBorder="1" applyAlignment="1">
      <alignment vertical="center"/>
    </xf>
    <xf numFmtId="0" fontId="0" fillId="26" borderId="11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12" borderId="45" xfId="0" applyFont="1" applyFill="1" applyBorder="1"/>
    <xf numFmtId="0" fontId="69" fillId="25" borderId="41" xfId="0" applyFont="1" applyFill="1" applyBorder="1"/>
    <xf numFmtId="0" fontId="69" fillId="25" borderId="42" xfId="0" applyFont="1" applyFill="1" applyBorder="1"/>
    <xf numFmtId="0" fontId="2" fillId="15" borderId="45" xfId="0" applyFont="1" applyFill="1" applyBorder="1"/>
    <xf numFmtId="0" fontId="0" fillId="0" borderId="8" xfId="0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2" borderId="30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12" fillId="9" borderId="1" xfId="0" quotePrefix="1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/>
    </xf>
    <xf numFmtId="1" fontId="2" fillId="9" borderId="30" xfId="0" applyNumberFormat="1" applyFont="1" applyFill="1" applyBorder="1" applyAlignment="1">
      <alignment horizontal="center"/>
    </xf>
    <xf numFmtId="0" fontId="12" fillId="3" borderId="1" xfId="0" quotePrefix="1" applyFont="1" applyFill="1" applyBorder="1" applyAlignment="1">
      <alignment horizontal="left" vertical="center" indent="1"/>
    </xf>
    <xf numFmtId="0" fontId="12" fillId="3" borderId="16" xfId="0" quotePrefix="1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1" fontId="2" fillId="3" borderId="16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" fontId="2" fillId="3" borderId="34" xfId="0" applyNumberFormat="1" applyFont="1" applyFill="1" applyBorder="1" applyAlignment="1">
      <alignment horizontal="center"/>
    </xf>
    <xf numFmtId="1" fontId="2" fillId="2" borderId="37" xfId="0" applyNumberFormat="1" applyFont="1" applyFill="1" applyBorder="1" applyAlignment="1">
      <alignment horizontal="center" vertical="center"/>
    </xf>
    <xf numFmtId="0" fontId="12" fillId="9" borderId="1" xfId="0" quotePrefix="1" applyFont="1" applyFill="1" applyBorder="1" applyAlignment="1">
      <alignment horizontal="center" vertical="center"/>
    </xf>
    <xf numFmtId="0" fontId="12" fillId="3" borderId="16" xfId="0" quotePrefix="1" applyFont="1" applyFill="1" applyBorder="1" applyAlignment="1">
      <alignment horizontal="left" vertical="center" wrapText="1" indent="1"/>
    </xf>
    <xf numFmtId="0" fontId="5" fillId="27" borderId="27" xfId="0" applyFont="1" applyFill="1" applyBorder="1" applyAlignment="1">
      <alignment horizontal="center" vertical="center" wrapText="1"/>
    </xf>
    <xf numFmtId="1" fontId="2" fillId="27" borderId="37" xfId="0" applyNumberFormat="1" applyFont="1" applyFill="1" applyBorder="1" applyAlignment="1">
      <alignment horizontal="center" vertical="center"/>
    </xf>
    <xf numFmtId="0" fontId="2" fillId="27" borderId="37" xfId="0" applyFont="1" applyFill="1" applyBorder="1" applyAlignment="1">
      <alignment horizontal="center" vertical="center"/>
    </xf>
    <xf numFmtId="0" fontId="0" fillId="0" borderId="49" xfId="0" applyBorder="1"/>
    <xf numFmtId="1" fontId="16" fillId="2" borderId="30" xfId="0" applyNumberFormat="1" applyFont="1" applyFill="1" applyBorder="1" applyAlignment="1">
      <alignment horizontal="center"/>
    </xf>
    <xf numFmtId="1" fontId="16" fillId="2" borderId="9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" fontId="0" fillId="0" borderId="0" xfId="0" applyNumberFormat="1"/>
    <xf numFmtId="0" fontId="21" fillId="0" borderId="1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74" fillId="6" borderId="14" xfId="0" applyFont="1" applyFill="1" applyBorder="1" applyAlignment="1">
      <alignment horizontal="center" vertical="center"/>
    </xf>
    <xf numFmtId="0" fontId="74" fillId="6" borderId="14" xfId="0" applyFont="1" applyFill="1" applyBorder="1" applyAlignment="1">
      <alignment horizontal="center" vertical="center" wrapText="1"/>
    </xf>
    <xf numFmtId="0" fontId="74" fillId="6" borderId="15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9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74" fillId="6" borderId="1" xfId="0" applyFont="1" applyFill="1" applyBorder="1" applyAlignment="1">
      <alignment horizontal="center" vertical="center"/>
    </xf>
    <xf numFmtId="0" fontId="74" fillId="6" borderId="1" xfId="0" applyFont="1" applyFill="1" applyBorder="1" applyAlignment="1">
      <alignment horizontal="center" vertical="center" wrapText="1"/>
    </xf>
    <xf numFmtId="0" fontId="69" fillId="6" borderId="9" xfId="0" applyFont="1" applyFill="1" applyBorder="1" applyAlignment="1">
      <alignment horizontal="center" vertical="center"/>
    </xf>
    <xf numFmtId="2" fontId="0" fillId="18" borderId="6" xfId="0" applyNumberFormat="1" applyFill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0" fillId="18" borderId="3" xfId="0" applyNumberFormat="1" applyFill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0" fontId="39" fillId="23" borderId="1" xfId="0" applyFont="1" applyFill="1" applyBorder="1" applyAlignment="1">
      <alignment horizontal="center" vertical="center"/>
    </xf>
    <xf numFmtId="0" fontId="39" fillId="2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9" fillId="23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7" borderId="6" xfId="0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/>
    </xf>
    <xf numFmtId="0" fontId="41" fillId="18" borderId="1" xfId="0" applyFont="1" applyFill="1" applyBorder="1" applyAlignment="1">
      <alignment horizontal="left" vertical="center"/>
    </xf>
    <xf numFmtId="0" fontId="9" fillId="18" borderId="1" xfId="0" applyFont="1" applyFill="1" applyBorder="1" applyAlignment="1">
      <alignment horizontal="center" vertical="center"/>
    </xf>
    <xf numFmtId="0" fontId="9" fillId="18" borderId="9" xfId="0" applyFont="1" applyFill="1" applyBorder="1" applyAlignment="1">
      <alignment vertical="center" wrapText="1"/>
    </xf>
    <xf numFmtId="0" fontId="0" fillId="7" borderId="9" xfId="0" applyFill="1" applyBorder="1" applyAlignment="1">
      <alignment vertical="center"/>
    </xf>
    <xf numFmtId="0" fontId="41" fillId="18" borderId="9" xfId="0" applyFont="1" applyFill="1" applyBorder="1" applyAlignment="1">
      <alignment vertical="center" wrapText="1"/>
    </xf>
    <xf numFmtId="0" fontId="0" fillId="7" borderId="9" xfId="0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41" fillId="0" borderId="9" xfId="0" applyFont="1" applyBorder="1" applyAlignment="1">
      <alignment horizontal="left" vertical="center" wrapText="1"/>
    </xf>
    <xf numFmtId="0" fontId="9" fillId="18" borderId="10" xfId="0" applyFont="1" applyFill="1" applyBorder="1" applyAlignment="1">
      <alignment horizontal="center" vertical="center"/>
    </xf>
    <xf numFmtId="0" fontId="41" fillId="18" borderId="11" xfId="0" applyFont="1" applyFill="1" applyBorder="1" applyAlignment="1">
      <alignment horizontal="left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 wrapText="1"/>
    </xf>
    <xf numFmtId="0" fontId="9" fillId="18" borderId="12" xfId="0" applyFont="1" applyFill="1" applyBorder="1" applyAlignment="1">
      <alignment vertical="center" wrapText="1"/>
    </xf>
    <xf numFmtId="0" fontId="70" fillId="0" borderId="0" xfId="0" applyFont="1" applyAlignment="1">
      <alignment horizontal="left" vertical="center"/>
    </xf>
    <xf numFmtId="0" fontId="70" fillId="0" borderId="0" xfId="0" applyFont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7" fillId="7" borderId="14" xfId="0" applyFont="1" applyFill="1" applyBorder="1" applyAlignment="1">
      <alignment horizontal="center" vertical="center" wrapText="1"/>
    </xf>
    <xf numFmtId="0" fontId="67" fillId="7" borderId="14" xfId="0" applyFont="1" applyFill="1" applyBorder="1" applyAlignment="1">
      <alignment horizontal="center" vertical="center"/>
    </xf>
    <xf numFmtId="0" fontId="68" fillId="7" borderId="14" xfId="0" applyFont="1" applyFill="1" applyBorder="1" applyAlignment="1">
      <alignment horizontal="center" vertical="center" wrapText="1"/>
    </xf>
    <xf numFmtId="1" fontId="64" fillId="18" borderId="6" xfId="0" applyNumberFormat="1" applyFont="1" applyFill="1" applyBorder="1" applyAlignment="1">
      <alignment horizontal="center" vertical="center"/>
    </xf>
    <xf numFmtId="0" fontId="66" fillId="7" borderId="1" xfId="0" applyFont="1" applyFill="1" applyBorder="1" applyAlignment="1">
      <alignment horizontal="center" vertical="center"/>
    </xf>
    <xf numFmtId="0" fontId="66" fillId="7" borderId="1" xfId="0" applyFont="1" applyFill="1" applyBorder="1" applyAlignment="1">
      <alignment horizontal="center" vertical="center" wrapText="1"/>
    </xf>
    <xf numFmtId="0" fontId="64" fillId="18" borderId="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8" borderId="27" xfId="0" applyFill="1" applyBorder="1" applyAlignment="1">
      <alignment horizontal="center" vertical="center"/>
    </xf>
    <xf numFmtId="0" fontId="0" fillId="28" borderId="33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" fontId="0" fillId="27" borderId="34" xfId="0" applyNumberFormat="1" applyFill="1" applyBorder="1" applyAlignment="1">
      <alignment horizontal="center" vertical="center"/>
    </xf>
    <xf numFmtId="0" fontId="0" fillId="28" borderId="100" xfId="0" applyFill="1" applyBorder="1" applyAlignment="1">
      <alignment horizontal="center" vertical="center"/>
    </xf>
    <xf numFmtId="17" fontId="0" fillId="27" borderId="12" xfId="0" applyNumberFormat="1" applyFill="1" applyBorder="1" applyAlignment="1">
      <alignment horizontal="center" vertical="center"/>
    </xf>
    <xf numFmtId="0" fontId="76" fillId="6" borderId="35" xfId="0" applyFont="1" applyFill="1" applyBorder="1" applyAlignment="1">
      <alignment horizontal="center" vertical="center" wrapText="1"/>
    </xf>
    <xf numFmtId="0" fontId="76" fillId="6" borderId="36" xfId="0" applyFont="1" applyFill="1" applyBorder="1" applyAlignment="1">
      <alignment horizontal="center" vertical="center" wrapText="1"/>
    </xf>
    <xf numFmtId="0" fontId="76" fillId="6" borderId="38" xfId="0" applyFont="1" applyFill="1" applyBorder="1" applyAlignment="1">
      <alignment horizontal="center" vertical="center" wrapText="1"/>
    </xf>
    <xf numFmtId="2" fontId="32" fillId="0" borderId="6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" fontId="32" fillId="0" borderId="1" xfId="0" applyNumberFormat="1" applyFont="1" applyBorder="1" applyAlignment="1">
      <alignment horizontal="center" vertical="center" wrapText="1"/>
    </xf>
    <xf numFmtId="2" fontId="32" fillId="0" borderId="16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2" fontId="2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76" fillId="0" borderId="0" xfId="0" applyFont="1" applyAlignment="1">
      <alignment vertical="center" wrapText="1"/>
    </xf>
    <xf numFmtId="0" fontId="76" fillId="6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left" vertical="center"/>
    </xf>
    <xf numFmtId="1" fontId="2" fillId="24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5" fillId="13" borderId="1" xfId="0" applyNumberFormat="1" applyFont="1" applyFill="1" applyBorder="1" applyAlignment="1">
      <alignment horizontal="center" vertical="center"/>
    </xf>
    <xf numFmtId="2" fontId="5" fillId="0" borderId="1" xfId="34" applyNumberFormat="1" applyFont="1" applyFill="1" applyBorder="1" applyAlignment="1">
      <alignment horizontal="center" vertical="center"/>
    </xf>
    <xf numFmtId="1" fontId="5" fillId="0" borderId="1" xfId="34" applyNumberFormat="1" applyFont="1" applyBorder="1" applyAlignment="1">
      <alignment horizontal="center" vertical="center"/>
    </xf>
    <xf numFmtId="1" fontId="5" fillId="0" borderId="1" xfId="34" applyNumberFormat="1" applyFont="1" applyFill="1" applyBorder="1" applyAlignment="1">
      <alignment horizontal="center" vertical="center"/>
    </xf>
    <xf numFmtId="49" fontId="0" fillId="0" borderId="1" xfId="34" applyNumberFormat="1" applyFont="1" applyFill="1" applyBorder="1" applyAlignment="1">
      <alignment horizontal="center" vertical="center"/>
    </xf>
    <xf numFmtId="1" fontId="2" fillId="3" borderId="1" xfId="34" applyNumberFormat="1" applyFont="1" applyFill="1" applyBorder="1" applyAlignment="1">
      <alignment horizontal="center" vertical="center"/>
    </xf>
    <xf numFmtId="1" fontId="0" fillId="0" borderId="1" xfId="34" applyNumberFormat="1" applyFont="1" applyBorder="1" applyAlignment="1">
      <alignment horizontal="center" vertical="center"/>
    </xf>
    <xf numFmtId="1" fontId="0" fillId="0" borderId="1" xfId="34" applyNumberFormat="1" applyFont="1" applyFill="1" applyBorder="1" applyAlignment="1">
      <alignment horizontal="center" vertical="center"/>
    </xf>
    <xf numFmtId="1" fontId="2" fillId="13" borderId="1" xfId="34" applyNumberFormat="1" applyFont="1" applyFill="1" applyBorder="1" applyAlignment="1">
      <alignment horizontal="center" vertical="center"/>
    </xf>
    <xf numFmtId="0" fontId="5" fillId="0" borderId="1" xfId="34" applyNumberFormat="1" applyFont="1" applyFill="1" applyBorder="1" applyAlignment="1">
      <alignment horizontal="center" vertical="center"/>
    </xf>
    <xf numFmtId="5" fontId="2" fillId="24" borderId="6" xfId="34" quotePrefix="1" applyNumberFormat="1" applyFont="1" applyFill="1" applyBorder="1" applyAlignment="1">
      <alignment horizontal="center" vertical="center"/>
    </xf>
    <xf numFmtId="166" fontId="2" fillId="6" borderId="6" xfId="34" applyNumberFormat="1" applyFont="1" applyFill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0" fontId="5" fillId="0" borderId="3" xfId="34" applyNumberFormat="1" applyFont="1" applyFill="1" applyBorder="1" applyAlignment="1">
      <alignment horizontal="center" vertical="center"/>
    </xf>
    <xf numFmtId="0" fontId="5" fillId="0" borderId="3" xfId="34" applyNumberFormat="1" applyFont="1" applyBorder="1" applyAlignment="1">
      <alignment horizontal="center" vertical="center"/>
    </xf>
    <xf numFmtId="2" fontId="5" fillId="0" borderId="3" xfId="34" applyNumberFormat="1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78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12" fillId="15" borderId="1" xfId="0" quotePrefix="1" applyFont="1" applyFill="1" applyBorder="1" applyAlignment="1">
      <alignment horizontal="left" vertical="center" indent="1"/>
    </xf>
    <xf numFmtId="0" fontId="12" fillId="15" borderId="1" xfId="0" quotePrefix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" fontId="2" fillId="15" borderId="1" xfId="0" applyNumberFormat="1" applyFont="1" applyFill="1" applyBorder="1" applyAlignment="1">
      <alignment horizontal="center"/>
    </xf>
    <xf numFmtId="1" fontId="2" fillId="15" borderId="30" xfId="0" applyNumberFormat="1" applyFont="1" applyFill="1" applyBorder="1" applyAlignment="1">
      <alignment horizontal="center"/>
    </xf>
    <xf numFmtId="0" fontId="41" fillId="15" borderId="9" xfId="0" applyFont="1" applyFill="1" applyBorder="1" applyAlignment="1">
      <alignment horizontal="center"/>
    </xf>
    <xf numFmtId="0" fontId="73" fillId="3" borderId="1" xfId="0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3" fillId="0" borderId="1" xfId="0" applyFont="1" applyBorder="1" applyAlignment="1">
      <alignment horizontal="center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5" fillId="3" borderId="1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vertical="center"/>
    </xf>
    <xf numFmtId="0" fontId="7" fillId="0" borderId="30" xfId="0" applyFont="1" applyBorder="1" applyAlignment="1">
      <alignment horizontal="center" vertical="center"/>
    </xf>
    <xf numFmtId="0" fontId="75" fillId="3" borderId="30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69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69" fillId="3" borderId="8" xfId="0" applyFont="1" applyFill="1" applyBorder="1" applyAlignment="1">
      <alignment horizontal="center" vertical="center" wrapText="1"/>
    </xf>
    <xf numFmtId="0" fontId="69" fillId="3" borderId="9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vertical="center"/>
    </xf>
    <xf numFmtId="0" fontId="75" fillId="0" borderId="30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0" fillId="7" borderId="9" xfId="0" applyFill="1" applyBorder="1"/>
    <xf numFmtId="0" fontId="73" fillId="3" borderId="9" xfId="0" applyFont="1" applyFill="1" applyBorder="1" applyAlignment="1">
      <alignment horizontal="center" vertical="center" wrapText="1"/>
    </xf>
    <xf numFmtId="0" fontId="0" fillId="7" borderId="31" xfId="0" applyFill="1" applyBorder="1" applyAlignment="1">
      <alignment vertical="center"/>
    </xf>
    <xf numFmtId="0" fontId="0" fillId="0" borderId="8" xfId="0" applyBorder="1"/>
    <xf numFmtId="0" fontId="0" fillId="3" borderId="11" xfId="0" applyFill="1" applyBorder="1" applyAlignment="1">
      <alignment vertical="center"/>
    </xf>
    <xf numFmtId="0" fontId="75" fillId="3" borderId="100" xfId="0" applyFont="1" applyFill="1" applyBorder="1" applyAlignment="1">
      <alignment horizontal="center" vertical="center" wrapText="1"/>
    </xf>
    <xf numFmtId="0" fontId="73" fillId="3" borderId="12" xfId="0" applyFont="1" applyFill="1" applyBorder="1" applyAlignment="1">
      <alignment horizontal="center" vertical="center" wrapText="1"/>
    </xf>
    <xf numFmtId="0" fontId="76" fillId="6" borderId="37" xfId="0" applyFont="1" applyFill="1" applyBorder="1" applyAlignment="1">
      <alignment horizontal="center" vertical="center" wrapText="1"/>
    </xf>
    <xf numFmtId="0" fontId="26" fillId="7" borderId="6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2" fillId="7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2" borderId="21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7" fillId="12" borderId="34" xfId="0" applyFont="1" applyFill="1" applyBorder="1" applyAlignment="1">
      <alignment horizontal="center" vertical="center"/>
    </xf>
    <xf numFmtId="0" fontId="2" fillId="3" borderId="101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0" borderId="103" xfId="0" applyFont="1" applyBorder="1" applyAlignment="1">
      <alignment vertical="center"/>
    </xf>
    <xf numFmtId="0" fontId="2" fillId="0" borderId="104" xfId="0" applyFont="1" applyBorder="1" applyAlignment="1">
      <alignment vertical="center"/>
    </xf>
    <xf numFmtId="0" fontId="2" fillId="0" borderId="105" xfId="0" applyFont="1" applyBorder="1" applyAlignment="1">
      <alignment vertical="center"/>
    </xf>
    <xf numFmtId="0" fontId="2" fillId="0" borderId="114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12" borderId="11" xfId="0" applyFont="1" applyFill="1" applyBorder="1" applyAlignment="1">
      <alignment horizontal="center"/>
    </xf>
    <xf numFmtId="0" fontId="7" fillId="12" borderId="1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7" fillId="3" borderId="11" xfId="0" applyNumberFormat="1" applyFont="1" applyFill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100" xfId="0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5" fillId="6" borderId="1" xfId="1" applyNumberFormat="1" applyFont="1" applyFill="1" applyBorder="1" applyAlignment="1">
      <alignment horizontal="center" vertical="center" wrapText="1"/>
    </xf>
    <xf numFmtId="0" fontId="16" fillId="3" borderId="99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/>
    </xf>
    <xf numFmtId="0" fontId="0" fillId="3" borderId="38" xfId="0" applyFill="1" applyBorder="1" applyAlignment="1">
      <alignment horizontal="center" vertical="center"/>
    </xf>
    <xf numFmtId="17" fontId="13" fillId="29" borderId="44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 wrapText="1"/>
    </xf>
    <xf numFmtId="0" fontId="0" fillId="28" borderId="1" xfId="0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" fillId="15" borderId="99" xfId="0" applyFont="1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1" xfId="0" applyFill="1" applyBorder="1" applyAlignment="1">
      <alignment vertical="center"/>
    </xf>
    <xf numFmtId="0" fontId="2" fillId="15" borderId="10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6" fillId="6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25" borderId="45" xfId="0" applyFont="1" applyFill="1" applyBorder="1"/>
    <xf numFmtId="0" fontId="2" fillId="7" borderId="35" xfId="0" applyFont="1" applyFill="1" applyBorder="1"/>
    <xf numFmtId="0" fontId="71" fillId="7" borderId="36" xfId="0" applyFont="1" applyFill="1" applyBorder="1"/>
    <xf numFmtId="0" fontId="71" fillId="7" borderId="38" xfId="0" applyFont="1" applyFill="1" applyBorder="1"/>
    <xf numFmtId="0" fontId="0" fillId="3" borderId="9" xfId="0" applyFill="1" applyBorder="1" applyAlignment="1">
      <alignment vertical="center"/>
    </xf>
    <xf numFmtId="0" fontId="7" fillId="0" borderId="9" xfId="0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21" fillId="0" borderId="102" xfId="0" applyFont="1" applyBorder="1" applyAlignment="1">
      <alignment vertical="center"/>
    </xf>
    <xf numFmtId="0" fontId="21" fillId="0" borderId="47" xfId="0" applyFont="1" applyBorder="1" applyAlignment="1">
      <alignment vertical="center"/>
    </xf>
    <xf numFmtId="0" fontId="21" fillId="0" borderId="103" xfId="0" applyFont="1" applyBorder="1" applyAlignment="1">
      <alignment vertical="center"/>
    </xf>
    <xf numFmtId="0" fontId="21" fillId="0" borderId="105" xfId="0" applyFont="1" applyBorder="1" applyAlignment="1">
      <alignment vertical="center"/>
    </xf>
    <xf numFmtId="0" fontId="17" fillId="0" borderId="13" xfId="6" applyFont="1" applyBorder="1" applyAlignment="1">
      <alignment horizontal="center" vertical="center"/>
    </xf>
    <xf numFmtId="0" fontId="17" fillId="0" borderId="14" xfId="6" applyFont="1" applyBorder="1" applyAlignment="1">
      <alignment horizontal="center" vertical="center"/>
    </xf>
    <xf numFmtId="0" fontId="17" fillId="0" borderId="15" xfId="6" applyFont="1" applyBorder="1" applyAlignment="1">
      <alignment horizontal="center" vertical="center"/>
    </xf>
    <xf numFmtId="0" fontId="59" fillId="21" borderId="18" xfId="0" applyFont="1" applyFill="1" applyBorder="1" applyAlignment="1">
      <alignment horizontal="center" vertical="center"/>
    </xf>
    <xf numFmtId="0" fontId="59" fillId="21" borderId="19" xfId="0" applyFont="1" applyFill="1" applyBorder="1" applyAlignment="1">
      <alignment horizontal="center" vertical="center"/>
    </xf>
    <xf numFmtId="0" fontId="59" fillId="21" borderId="20" xfId="0" applyFont="1" applyFill="1" applyBorder="1" applyAlignment="1">
      <alignment horizontal="center" vertical="center"/>
    </xf>
    <xf numFmtId="0" fontId="58" fillId="2" borderId="13" xfId="0" applyFont="1" applyFill="1" applyBorder="1" applyAlignment="1">
      <alignment horizontal="center" vertical="center"/>
    </xf>
    <xf numFmtId="0" fontId="58" fillId="2" borderId="14" xfId="0" applyFont="1" applyFill="1" applyBorder="1" applyAlignment="1">
      <alignment horizontal="center" vertical="center"/>
    </xf>
    <xf numFmtId="0" fontId="21" fillId="3" borderId="100" xfId="6" applyFont="1" applyFill="1" applyBorder="1" applyAlignment="1">
      <alignment horizontal="center" vertical="center"/>
    </xf>
    <xf numFmtId="0" fontId="21" fillId="3" borderId="101" xfId="6" applyFont="1" applyFill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0" borderId="99" xfId="0" applyFont="1" applyBorder="1" applyAlignment="1">
      <alignment horizontal="center" vertical="center"/>
    </xf>
    <xf numFmtId="0" fontId="21" fillId="3" borderId="103" xfId="6" applyFont="1" applyFill="1" applyBorder="1" applyAlignment="1">
      <alignment horizontal="center" vertical="center"/>
    </xf>
    <xf numFmtId="0" fontId="21" fillId="3" borderId="104" xfId="6" applyFont="1" applyFill="1" applyBorder="1" applyAlignment="1">
      <alignment horizontal="center" vertical="center"/>
    </xf>
    <xf numFmtId="0" fontId="21" fillId="3" borderId="105" xfId="6" applyFont="1" applyFill="1" applyBorder="1" applyAlignment="1">
      <alignment horizontal="center" vertical="center"/>
    </xf>
    <xf numFmtId="0" fontId="21" fillId="0" borderId="30" xfId="6" applyFont="1" applyBorder="1" applyAlignment="1">
      <alignment horizontal="left" vertical="center"/>
    </xf>
    <xf numFmtId="0" fontId="21" fillId="0" borderId="46" xfId="6" applyFont="1" applyBorder="1" applyAlignment="1">
      <alignment horizontal="left" vertical="center"/>
    </xf>
    <xf numFmtId="0" fontId="21" fillId="0" borderId="47" xfId="6" applyFont="1" applyBorder="1" applyAlignment="1">
      <alignment horizontal="left" vertical="center"/>
    </xf>
    <xf numFmtId="0" fontId="21" fillId="0" borderId="30" xfId="6" applyFont="1" applyBorder="1" applyAlignment="1">
      <alignment horizontal="center" vertical="center"/>
    </xf>
    <xf numFmtId="0" fontId="21" fillId="0" borderId="99" xfId="6" applyFont="1" applyBorder="1" applyAlignment="1">
      <alignment horizontal="center" vertical="center"/>
    </xf>
    <xf numFmtId="0" fontId="19" fillId="3" borderId="6" xfId="6" applyFont="1" applyFill="1" applyBorder="1" applyAlignment="1">
      <alignment horizontal="center" vertical="center"/>
    </xf>
    <xf numFmtId="0" fontId="19" fillId="3" borderId="7" xfId="6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0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6" xfId="0" applyFont="1" applyFill="1" applyBorder="1" applyAlignment="1">
      <alignment horizontal="center" vertical="center" wrapText="1"/>
    </xf>
    <xf numFmtId="0" fontId="2" fillId="3" borderId="1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0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1" fillId="12" borderId="107" xfId="0" applyFont="1" applyFill="1" applyBorder="1" applyAlignment="1">
      <alignment horizontal="center"/>
    </xf>
    <xf numFmtId="0" fontId="71" fillId="12" borderId="113" xfId="0" applyFont="1" applyFill="1" applyBorder="1" applyAlignment="1">
      <alignment horizontal="center"/>
    </xf>
    <xf numFmtId="0" fontId="23" fillId="7" borderId="51" xfId="4" applyFont="1" applyFill="1" applyBorder="1" applyAlignment="1" applyProtection="1">
      <alignment horizontal="center" vertical="center"/>
      <protection locked="0"/>
    </xf>
    <xf numFmtId="0" fontId="23" fillId="7" borderId="17" xfId="4" applyFont="1" applyFill="1" applyBorder="1" applyAlignment="1" applyProtection="1">
      <alignment horizontal="center" vertical="center"/>
      <protection locked="0"/>
    </xf>
    <xf numFmtId="0" fontId="23" fillId="7" borderId="52" xfId="0" applyFont="1" applyFill="1" applyBorder="1" applyAlignment="1" applyProtection="1">
      <alignment horizontal="center" vertical="center"/>
      <protection locked="0"/>
    </xf>
    <xf numFmtId="0" fontId="23" fillId="7" borderId="54" xfId="0" applyFont="1" applyFill="1" applyBorder="1" applyAlignment="1" applyProtection="1">
      <alignment horizontal="center" vertical="center"/>
      <protection locked="0"/>
    </xf>
    <xf numFmtId="0" fontId="37" fillId="7" borderId="60" xfId="4" applyFont="1" applyFill="1" applyBorder="1" applyAlignment="1" applyProtection="1">
      <alignment horizontal="center" vertical="center"/>
      <protection locked="0"/>
    </xf>
    <xf numFmtId="0" fontId="37" fillId="7" borderId="64" xfId="4" applyFont="1" applyFill="1" applyBorder="1" applyAlignment="1" applyProtection="1">
      <alignment horizontal="center" vertical="center"/>
      <protection locked="0"/>
    </xf>
    <xf numFmtId="0" fontId="37" fillId="7" borderId="40" xfId="4" applyFont="1" applyFill="1" applyBorder="1" applyAlignment="1" applyProtection="1">
      <alignment horizontal="center" vertical="center"/>
      <protection locked="0"/>
    </xf>
    <xf numFmtId="0" fontId="37" fillId="7" borderId="41" xfId="4" applyFont="1" applyFill="1" applyBorder="1" applyAlignment="1" applyProtection="1">
      <alignment horizontal="center" vertical="center"/>
      <protection locked="0"/>
    </xf>
    <xf numFmtId="0" fontId="28" fillId="7" borderId="28" xfId="4" applyFont="1" applyFill="1" applyBorder="1" applyAlignment="1" applyProtection="1">
      <alignment horizontal="left" vertical="center"/>
      <protection locked="0"/>
    </xf>
    <xf numFmtId="0" fontId="28" fillId="7" borderId="28" xfId="4" applyFont="1" applyFill="1" applyBorder="1" applyAlignment="1" applyProtection="1">
      <alignment horizontal="left" vertical="center" wrapText="1"/>
      <protection locked="0"/>
    </xf>
    <xf numFmtId="0" fontId="28" fillId="7" borderId="0" xfId="4" applyFont="1" applyFill="1" applyAlignment="1" applyProtection="1">
      <alignment horizontal="left" vertical="center" wrapText="1"/>
      <protection locked="0"/>
    </xf>
    <xf numFmtId="0" fontId="29" fillId="7" borderId="28" xfId="4" applyFont="1" applyFill="1" applyBorder="1" applyAlignment="1" applyProtection="1">
      <alignment horizontal="left" vertical="center" wrapText="1"/>
      <protection locked="0"/>
    </xf>
    <xf numFmtId="0" fontId="29" fillId="7" borderId="0" xfId="4" applyFont="1" applyFill="1" applyAlignment="1" applyProtection="1">
      <alignment horizontal="left" vertical="center" wrapText="1"/>
      <protection locked="0"/>
    </xf>
    <xf numFmtId="0" fontId="28" fillId="7" borderId="29" xfId="4" applyFont="1" applyFill="1" applyBorder="1" applyAlignment="1" applyProtection="1">
      <alignment horizontal="left" vertical="center" wrapText="1"/>
      <protection locked="0"/>
    </xf>
    <xf numFmtId="0" fontId="28" fillId="7" borderId="31" xfId="4" applyFont="1" applyFill="1" applyBorder="1" applyAlignment="1" applyProtection="1">
      <alignment horizontal="left" vertical="center" wrapText="1"/>
      <protection locked="0"/>
    </xf>
    <xf numFmtId="165" fontId="16" fillId="7" borderId="0" xfId="4" applyNumberFormat="1" applyFont="1" applyFill="1" applyAlignment="1" applyProtection="1">
      <alignment horizontal="left" vertical="center"/>
      <protection locked="0"/>
    </xf>
    <xf numFmtId="0" fontId="22" fillId="7" borderId="0" xfId="4" applyFont="1" applyFill="1" applyAlignment="1" applyProtection="1">
      <alignment horizontal="left" vertical="center"/>
      <protection locked="0"/>
    </xf>
    <xf numFmtId="0" fontId="2" fillId="7" borderId="0" xfId="0" applyFont="1" applyFill="1" applyAlignment="1" applyProtection="1">
      <alignment horizontal="left" vertical="center"/>
      <protection locked="0"/>
    </xf>
    <xf numFmtId="0" fontId="31" fillId="7" borderId="50" xfId="4" applyFont="1" applyFill="1" applyBorder="1" applyAlignment="1" applyProtection="1">
      <alignment horizontal="center" vertical="center"/>
      <protection locked="0"/>
    </xf>
    <xf numFmtId="0" fontId="31" fillId="7" borderId="53" xfId="4" applyFont="1" applyFill="1" applyBorder="1" applyAlignment="1" applyProtection="1">
      <alignment horizontal="center" vertical="center"/>
      <protection locked="0"/>
    </xf>
    <xf numFmtId="0" fontId="39" fillId="8" borderId="48" xfId="0" applyFont="1" applyFill="1" applyBorder="1" applyAlignment="1">
      <alignment horizontal="center" vertical="center"/>
    </xf>
    <xf numFmtId="0" fontId="39" fillId="8" borderId="28" xfId="0" applyFont="1" applyFill="1" applyBorder="1" applyAlignment="1">
      <alignment horizontal="center" vertical="center"/>
    </xf>
    <xf numFmtId="0" fontId="39" fillId="8" borderId="29" xfId="0" applyFont="1" applyFill="1" applyBorder="1" applyAlignment="1">
      <alignment horizontal="center" vertical="center"/>
    </xf>
    <xf numFmtId="0" fontId="37" fillId="3" borderId="60" xfId="4" applyFont="1" applyFill="1" applyBorder="1" applyAlignment="1" applyProtection="1">
      <alignment horizontal="center" vertical="center"/>
      <protection locked="0"/>
    </xf>
    <xf numFmtId="0" fontId="37" fillId="3" borderId="64" xfId="4" applyFont="1" applyFill="1" applyBorder="1" applyAlignment="1" applyProtection="1">
      <alignment horizontal="center" vertical="center"/>
      <protection locked="0"/>
    </xf>
    <xf numFmtId="0" fontId="39" fillId="10" borderId="0" xfId="0" applyFont="1" applyFill="1" applyAlignment="1">
      <alignment horizontal="center" vertical="center"/>
    </xf>
    <xf numFmtId="0" fontId="39" fillId="8" borderId="23" xfId="0" applyFont="1" applyFill="1" applyBorder="1" applyAlignment="1">
      <alignment horizontal="center" vertical="center"/>
    </xf>
    <xf numFmtId="0" fontId="39" fillId="8" borderId="24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 vertical="center"/>
    </xf>
    <xf numFmtId="0" fontId="39" fillId="7" borderId="28" xfId="0" applyFont="1" applyFill="1" applyBorder="1" applyAlignment="1" applyProtection="1">
      <alignment horizontal="center" vertical="center"/>
      <protection locked="0"/>
    </xf>
    <xf numFmtId="0" fontId="37" fillId="7" borderId="68" xfId="4" applyFont="1" applyFill="1" applyBorder="1" applyAlignment="1" applyProtection="1">
      <alignment horizontal="center" vertical="center"/>
      <protection locked="0"/>
    </xf>
    <xf numFmtId="0" fontId="37" fillId="12" borderId="60" xfId="4" applyFont="1" applyFill="1" applyBorder="1" applyAlignment="1" applyProtection="1">
      <alignment horizontal="center" vertical="center"/>
      <protection locked="0"/>
    </xf>
    <xf numFmtId="0" fontId="37" fillId="12" borderId="64" xfId="4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 wrapText="1"/>
      <protection locked="0"/>
    </xf>
    <xf numFmtId="0" fontId="2" fillId="13" borderId="23" xfId="0" applyFont="1" applyFill="1" applyBorder="1" applyAlignment="1">
      <alignment horizontal="center" vertical="center"/>
    </xf>
    <xf numFmtId="0" fontId="2" fillId="13" borderId="24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37" fillId="3" borderId="69" xfId="4" applyFont="1" applyFill="1" applyBorder="1" applyAlignment="1" applyProtection="1">
      <alignment horizontal="center" vertical="center"/>
      <protection locked="0"/>
    </xf>
    <xf numFmtId="0" fontId="37" fillId="7" borderId="69" xfId="4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locked="0"/>
    </xf>
    <xf numFmtId="0" fontId="16" fillId="13" borderId="23" xfId="0" applyFont="1" applyFill="1" applyBorder="1" applyAlignment="1" applyProtection="1">
      <alignment horizontal="center" vertical="center"/>
      <protection locked="0"/>
    </xf>
    <xf numFmtId="0" fontId="16" fillId="13" borderId="24" xfId="0" applyFont="1" applyFill="1" applyBorder="1" applyAlignment="1" applyProtection="1">
      <alignment horizontal="center" vertical="center"/>
      <protection locked="0"/>
    </xf>
    <xf numFmtId="0" fontId="16" fillId="13" borderId="25" xfId="0" applyFont="1" applyFill="1" applyBorder="1" applyAlignment="1" applyProtection="1">
      <alignment horizontal="center" vertical="center"/>
      <protection locked="0"/>
    </xf>
    <xf numFmtId="0" fontId="16" fillId="13" borderId="48" xfId="0" applyFont="1" applyFill="1" applyBorder="1" applyAlignment="1" applyProtection="1">
      <alignment horizontal="center" vertical="center"/>
      <protection locked="0"/>
    </xf>
    <xf numFmtId="0" fontId="16" fillId="13" borderId="28" xfId="0" applyFont="1" applyFill="1" applyBorder="1" applyAlignment="1" applyProtection="1">
      <alignment horizontal="center" vertical="center"/>
      <protection locked="0"/>
    </xf>
    <xf numFmtId="0" fontId="16" fillId="13" borderId="29" xfId="0" applyFont="1" applyFill="1" applyBorder="1" applyAlignment="1" applyProtection="1">
      <alignment horizontal="center" vertical="center"/>
      <protection locked="0"/>
    </xf>
    <xf numFmtId="0" fontId="16" fillId="14" borderId="24" xfId="0" applyFont="1" applyFill="1" applyBorder="1" applyAlignment="1" applyProtection="1">
      <alignment horizontal="center" vertical="center"/>
      <protection locked="0"/>
    </xf>
    <xf numFmtId="0" fontId="16" fillId="14" borderId="25" xfId="0" applyFont="1" applyFill="1" applyBorder="1" applyAlignment="1" applyProtection="1">
      <alignment horizontal="center" vertical="center"/>
      <protection locked="0"/>
    </xf>
    <xf numFmtId="0" fontId="37" fillId="12" borderId="69" xfId="4" applyFont="1" applyFill="1" applyBorder="1" applyAlignment="1" applyProtection="1">
      <alignment horizontal="center" vertical="center"/>
      <protection locked="0"/>
    </xf>
    <xf numFmtId="0" fontId="39" fillId="14" borderId="23" xfId="0" applyFont="1" applyFill="1" applyBorder="1" applyAlignment="1">
      <alignment horizontal="center" vertical="center"/>
    </xf>
    <xf numFmtId="0" fontId="39" fillId="14" borderId="25" xfId="0" applyFont="1" applyFill="1" applyBorder="1" applyAlignment="1">
      <alignment horizontal="center" vertical="center"/>
    </xf>
    <xf numFmtId="0" fontId="16" fillId="14" borderId="23" xfId="0" applyFont="1" applyFill="1" applyBorder="1" applyAlignment="1" applyProtection="1">
      <alignment horizontal="center" vertical="center"/>
      <protection locked="0"/>
    </xf>
    <xf numFmtId="0" fontId="39" fillId="14" borderId="24" xfId="0" applyFont="1" applyFill="1" applyBorder="1" applyAlignment="1">
      <alignment horizontal="center" vertical="center"/>
    </xf>
    <xf numFmtId="0" fontId="37" fillId="7" borderId="42" xfId="4" applyFont="1" applyFill="1" applyBorder="1" applyAlignment="1" applyProtection="1">
      <alignment horizontal="center" vertical="center"/>
      <protection locked="0"/>
    </xf>
    <xf numFmtId="0" fontId="16" fillId="13" borderId="23" xfId="0" applyFont="1" applyFill="1" applyBorder="1" applyAlignment="1">
      <alignment horizontal="center" vertical="center"/>
    </xf>
    <xf numFmtId="0" fontId="16" fillId="13" borderId="24" xfId="0" applyFont="1" applyFill="1" applyBorder="1" applyAlignment="1">
      <alignment horizontal="center" vertical="center"/>
    </xf>
    <xf numFmtId="0" fontId="16" fillId="13" borderId="25" xfId="0" applyFont="1" applyFill="1" applyBorder="1" applyAlignment="1">
      <alignment horizontal="center" vertical="center"/>
    </xf>
    <xf numFmtId="0" fontId="16" fillId="14" borderId="23" xfId="0" applyFont="1" applyFill="1" applyBorder="1" applyAlignment="1">
      <alignment horizontal="center" vertical="center"/>
    </xf>
    <xf numFmtId="0" fontId="16" fillId="14" borderId="24" xfId="0" applyFont="1" applyFill="1" applyBorder="1" applyAlignment="1">
      <alignment horizontal="center" vertical="center"/>
    </xf>
    <xf numFmtId="0" fontId="16" fillId="14" borderId="25" xfId="0" applyFont="1" applyFill="1" applyBorder="1" applyAlignment="1">
      <alignment horizontal="center" vertical="center"/>
    </xf>
    <xf numFmtId="0" fontId="37" fillId="0" borderId="60" xfId="4" applyFont="1" applyBorder="1" applyAlignment="1" applyProtection="1">
      <alignment horizontal="center" vertical="center"/>
      <protection locked="0"/>
    </xf>
    <xf numFmtId="0" fontId="37" fillId="0" borderId="69" xfId="4" applyFont="1" applyBorder="1" applyAlignment="1" applyProtection="1">
      <alignment horizontal="center" vertical="center"/>
      <protection locked="0"/>
    </xf>
    <xf numFmtId="0" fontId="2" fillId="14" borderId="23" xfId="0" applyFont="1" applyFill="1" applyBorder="1" applyAlignment="1" applyProtection="1">
      <alignment horizontal="center" vertical="center"/>
      <protection locked="0"/>
    </xf>
    <xf numFmtId="0" fontId="2" fillId="14" borderId="24" xfId="0" applyFont="1" applyFill="1" applyBorder="1" applyAlignment="1" applyProtection="1">
      <alignment horizontal="center" vertical="center"/>
      <protection locked="0"/>
    </xf>
    <xf numFmtId="0" fontId="2" fillId="14" borderId="25" xfId="0" applyFont="1" applyFill="1" applyBorder="1" applyAlignment="1" applyProtection="1">
      <alignment horizontal="center" vertical="center"/>
      <protection locked="0"/>
    </xf>
    <xf numFmtId="0" fontId="37" fillId="2" borderId="60" xfId="4" applyFont="1" applyFill="1" applyBorder="1" applyAlignment="1" applyProtection="1">
      <alignment horizontal="center" vertical="center"/>
      <protection locked="0"/>
    </xf>
    <xf numFmtId="0" fontId="37" fillId="2" borderId="64" xfId="4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40" fillId="12" borderId="60" xfId="4" applyFont="1" applyFill="1" applyBorder="1" applyAlignment="1" applyProtection="1">
      <alignment horizontal="center" vertical="center"/>
      <protection locked="0"/>
    </xf>
    <xf numFmtId="0" fontId="40" fillId="12" borderId="64" xfId="4" applyFont="1" applyFill="1" applyBorder="1" applyAlignment="1" applyProtection="1">
      <alignment horizontal="center" vertical="center"/>
      <protection locked="0"/>
    </xf>
    <xf numFmtId="0" fontId="2" fillId="14" borderId="48" xfId="0" applyFont="1" applyFill="1" applyBorder="1" applyAlignment="1" applyProtection="1">
      <alignment horizontal="center" vertical="center"/>
      <protection locked="0"/>
    </xf>
    <xf numFmtId="0" fontId="2" fillId="14" borderId="28" xfId="0" applyFont="1" applyFill="1" applyBorder="1" applyAlignment="1" applyProtection="1">
      <alignment horizontal="center" vertical="center"/>
      <protection locked="0"/>
    </xf>
    <xf numFmtId="0" fontId="2" fillId="14" borderId="29" xfId="0" applyFont="1" applyFill="1" applyBorder="1" applyAlignment="1" applyProtection="1">
      <alignment horizontal="center" vertical="center"/>
      <protection locked="0"/>
    </xf>
    <xf numFmtId="0" fontId="37" fillId="0" borderId="64" xfId="4" applyFont="1" applyBorder="1" applyAlignment="1" applyProtection="1">
      <alignment horizontal="center" vertical="center"/>
      <protection locked="0"/>
    </xf>
    <xf numFmtId="0" fontId="37" fillId="7" borderId="0" xfId="4" applyFont="1" applyFill="1" applyAlignment="1" applyProtection="1">
      <alignment horizontal="center" vertical="center"/>
      <protection locked="0"/>
    </xf>
    <xf numFmtId="0" fontId="32" fillId="0" borderId="77" xfId="4" applyFont="1" applyBorder="1" applyAlignment="1" applyProtection="1">
      <alignment horizontal="center" vertical="center" wrapText="1"/>
      <protection locked="0"/>
    </xf>
    <xf numFmtId="0" fontId="32" fillId="0" borderId="17" xfId="4" applyFont="1" applyBorder="1" applyAlignment="1" applyProtection="1">
      <alignment horizontal="center" vertical="center" wrapText="1"/>
      <protection locked="0"/>
    </xf>
    <xf numFmtId="0" fontId="32" fillId="0" borderId="6" xfId="4" applyFont="1" applyBorder="1" applyAlignment="1" applyProtection="1">
      <alignment horizontal="center" vertical="center" wrapText="1"/>
      <protection locked="0"/>
    </xf>
    <xf numFmtId="0" fontId="32" fillId="0" borderId="76" xfId="4" applyFont="1" applyBorder="1" applyAlignment="1" applyProtection="1">
      <alignment horizontal="center" vertical="center" wrapText="1"/>
      <protection locked="0"/>
    </xf>
    <xf numFmtId="0" fontId="32" fillId="0" borderId="75" xfId="4" applyFont="1" applyBorder="1" applyAlignment="1" applyProtection="1">
      <alignment horizontal="center" vertical="center" wrapText="1"/>
      <protection locked="0"/>
    </xf>
    <xf numFmtId="0" fontId="32" fillId="0" borderId="27" xfId="4" applyFont="1" applyBorder="1" applyAlignment="1" applyProtection="1">
      <alignment horizontal="center" vertical="center" wrapText="1"/>
      <protection locked="0"/>
    </xf>
    <xf numFmtId="0" fontId="32" fillId="0" borderId="82" xfId="4" applyFont="1" applyBorder="1" applyAlignment="1" applyProtection="1">
      <alignment horizontal="center" vertical="center" wrapText="1"/>
      <protection locked="0"/>
    </xf>
    <xf numFmtId="0" fontId="32" fillId="0" borderId="26" xfId="4" applyFont="1" applyBorder="1" applyAlignment="1" applyProtection="1">
      <alignment horizontal="center" vertical="center" wrapText="1"/>
      <protection locked="0"/>
    </xf>
    <xf numFmtId="0" fontId="32" fillId="0" borderId="85" xfId="4" applyFont="1" applyBorder="1" applyAlignment="1" applyProtection="1">
      <alignment horizontal="center" vertical="center" wrapText="1"/>
      <protection locked="0"/>
    </xf>
    <xf numFmtId="0" fontId="32" fillId="0" borderId="78" xfId="4" applyFont="1" applyBorder="1" applyAlignment="1" applyProtection="1">
      <alignment horizontal="center" vertical="center" wrapText="1"/>
      <protection locked="0"/>
    </xf>
    <xf numFmtId="0" fontId="32" fillId="0" borderId="1" xfId="4" applyFont="1" applyBorder="1" applyAlignment="1" applyProtection="1">
      <alignment horizontal="center" vertical="center" wrapText="1"/>
      <protection locked="0"/>
    </xf>
    <xf numFmtId="0" fontId="32" fillId="0" borderId="79" xfId="4" applyFont="1" applyBorder="1" applyAlignment="1" applyProtection="1">
      <alignment horizontal="center" vertical="center" wrapText="1"/>
      <protection locked="0"/>
    </xf>
    <xf numFmtId="0" fontId="32" fillId="0" borderId="83" xfId="4" applyFont="1" applyBorder="1" applyAlignment="1" applyProtection="1">
      <alignment horizontal="center" vertical="center" wrapText="1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28" fillId="7" borderId="0" xfId="4" applyFont="1" applyFill="1" applyAlignment="1" applyProtection="1">
      <alignment horizontal="center" vertical="center" wrapText="1"/>
      <protection locked="0"/>
    </xf>
    <xf numFmtId="0" fontId="40" fillId="0" borderId="73" xfId="4" applyFont="1" applyBorder="1" applyAlignment="1" applyProtection="1">
      <alignment horizontal="center" vertical="center"/>
      <protection locked="0"/>
    </xf>
    <xf numFmtId="0" fontId="40" fillId="0" borderId="22" xfId="4" applyFont="1" applyBorder="1" applyAlignment="1" applyProtection="1">
      <alignment horizontal="center" vertical="center"/>
      <protection locked="0"/>
    </xf>
    <xf numFmtId="0" fontId="32" fillId="0" borderId="73" xfId="4" applyFont="1" applyBorder="1" applyAlignment="1" applyProtection="1">
      <alignment horizontal="center" vertical="center"/>
      <protection locked="0"/>
    </xf>
    <xf numFmtId="0" fontId="32" fillId="0" borderId="22" xfId="4" applyFont="1" applyBorder="1" applyAlignment="1" applyProtection="1">
      <alignment horizontal="center" vertical="center"/>
      <protection locked="0"/>
    </xf>
    <xf numFmtId="0" fontId="32" fillId="0" borderId="73" xfId="4" applyFont="1" applyBorder="1" applyAlignment="1" applyProtection="1">
      <alignment horizontal="center" vertical="center" wrapText="1"/>
      <protection locked="0"/>
    </xf>
    <xf numFmtId="0" fontId="32" fillId="0" borderId="22" xfId="4" applyFont="1" applyBorder="1" applyAlignment="1" applyProtection="1">
      <alignment horizontal="center" vertical="center" wrapText="1"/>
      <protection locked="0"/>
    </xf>
    <xf numFmtId="0" fontId="40" fillId="0" borderId="73" xfId="4" applyFont="1" applyBorder="1" applyAlignment="1" applyProtection="1">
      <alignment horizontal="center" vertical="center" wrapText="1"/>
      <protection locked="0"/>
    </xf>
    <xf numFmtId="0" fontId="40" fillId="0" borderId="22" xfId="4" applyFont="1" applyBorder="1" applyAlignment="1" applyProtection="1">
      <alignment horizontal="center" vertical="center" wrapText="1"/>
      <protection locked="0"/>
    </xf>
    <xf numFmtId="0" fontId="32" fillId="0" borderId="72" xfId="4" applyFont="1" applyBorder="1" applyAlignment="1" applyProtection="1">
      <alignment horizontal="center" vertical="center" wrapText="1"/>
      <protection locked="0"/>
    </xf>
    <xf numFmtId="0" fontId="32" fillId="0" borderId="80" xfId="4" applyFont="1" applyBorder="1" applyAlignment="1" applyProtection="1">
      <alignment horizontal="center" vertical="center" wrapText="1"/>
      <protection locked="0"/>
    </xf>
    <xf numFmtId="0" fontId="32" fillId="0" borderId="84" xfId="4" applyFont="1" applyBorder="1" applyAlignment="1" applyProtection="1">
      <alignment horizontal="center" vertical="center" wrapText="1"/>
      <protection locked="0"/>
    </xf>
    <xf numFmtId="0" fontId="32" fillId="0" borderId="0" xfId="4" applyFont="1" applyAlignment="1" applyProtection="1">
      <alignment horizontal="center" vertical="center" wrapText="1"/>
      <protection locked="0"/>
    </xf>
    <xf numFmtId="0" fontId="32" fillId="0" borderId="86" xfId="4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0" fillId="0" borderId="0" xfId="4" applyFont="1" applyAlignment="1" applyProtection="1">
      <alignment horizontal="center" vertical="center"/>
      <protection locked="0"/>
    </xf>
    <xf numFmtId="0" fontId="32" fillId="0" borderId="87" xfId="4" applyFont="1" applyBorder="1" applyAlignment="1" applyProtection="1">
      <alignment horizontal="center" vertical="center" wrapText="1"/>
      <protection locked="0"/>
    </xf>
    <xf numFmtId="0" fontId="32" fillId="0" borderId="88" xfId="4" applyFont="1" applyBorder="1" applyAlignment="1" applyProtection="1">
      <alignment horizontal="center" vertical="center" wrapText="1"/>
      <protection locked="0"/>
    </xf>
    <xf numFmtId="0" fontId="32" fillId="0" borderId="33" xfId="4" applyFont="1" applyBorder="1" applyAlignment="1" applyProtection="1">
      <alignment horizontal="center" vertical="center" wrapText="1"/>
      <protection locked="0"/>
    </xf>
    <xf numFmtId="0" fontId="32" fillId="0" borderId="89" xfId="4" applyFont="1" applyBorder="1" applyAlignment="1" applyProtection="1">
      <alignment horizontal="center" vertical="center" wrapText="1"/>
      <protection locked="0"/>
    </xf>
    <xf numFmtId="0" fontId="32" fillId="0" borderId="16" xfId="4" applyFont="1" applyBorder="1" applyAlignment="1" applyProtection="1">
      <alignment horizontal="center" vertical="center" wrapText="1"/>
      <protection locked="0"/>
    </xf>
    <xf numFmtId="0" fontId="46" fillId="0" borderId="33" xfId="4" applyFont="1" applyBorder="1" applyAlignment="1" applyProtection="1">
      <alignment horizontal="center" vertical="center" wrapText="1"/>
      <protection locked="0"/>
    </xf>
    <xf numFmtId="0" fontId="46" fillId="0" borderId="88" xfId="4" applyFont="1" applyBorder="1" applyAlignment="1" applyProtection="1">
      <alignment horizontal="center" vertical="center" wrapText="1"/>
      <protection locked="0"/>
    </xf>
    <xf numFmtId="0" fontId="46" fillId="0" borderId="26" xfId="4" applyFont="1" applyBorder="1" applyAlignment="1" applyProtection="1">
      <alignment horizontal="center" vertical="center" wrapText="1"/>
      <protection locked="0"/>
    </xf>
    <xf numFmtId="0" fontId="46" fillId="0" borderId="85" xfId="4" applyFont="1" applyBorder="1" applyAlignment="1" applyProtection="1">
      <alignment horizontal="center" vertical="center" wrapText="1"/>
      <protection locked="0"/>
    </xf>
    <xf numFmtId="0" fontId="46" fillId="0" borderId="1" xfId="4" applyFont="1" applyBorder="1" applyAlignment="1" applyProtection="1">
      <alignment horizontal="center" vertical="center" wrapText="1"/>
      <protection locked="0"/>
    </xf>
    <xf numFmtId="0" fontId="46" fillId="0" borderId="83" xfId="4" applyFont="1" applyBorder="1" applyAlignment="1" applyProtection="1">
      <alignment horizontal="center" vertical="center" wrapText="1"/>
      <protection locked="0"/>
    </xf>
    <xf numFmtId="0" fontId="40" fillId="16" borderId="1" xfId="4" applyFont="1" applyFill="1" applyBorder="1" applyAlignment="1" applyProtection="1">
      <alignment horizontal="center" vertical="center"/>
      <protection locked="0"/>
    </xf>
    <xf numFmtId="0" fontId="40" fillId="3" borderId="1" xfId="4" applyFont="1" applyFill="1" applyBorder="1" applyAlignment="1" applyProtection="1">
      <alignment horizontal="center" vertical="center"/>
      <protection locked="0"/>
    </xf>
    <xf numFmtId="2" fontId="46" fillId="0" borderId="33" xfId="4" applyNumberFormat="1" applyFont="1" applyBorder="1" applyAlignment="1" applyProtection="1">
      <alignment horizontal="center" vertical="center" wrapText="1"/>
      <protection locked="0"/>
    </xf>
    <xf numFmtId="2" fontId="46" fillId="0" borderId="88" xfId="4" applyNumberFormat="1" applyFont="1" applyBorder="1" applyAlignment="1" applyProtection="1">
      <alignment horizontal="center" vertical="center" wrapText="1"/>
      <protection locked="0"/>
    </xf>
    <xf numFmtId="2" fontId="46" fillId="0" borderId="26" xfId="4" applyNumberFormat="1" applyFont="1" applyBorder="1" applyAlignment="1" applyProtection="1">
      <alignment horizontal="center" vertical="center" wrapText="1"/>
      <protection locked="0"/>
    </xf>
    <xf numFmtId="2" fontId="46" fillId="0" borderId="85" xfId="4" applyNumberFormat="1" applyFont="1" applyBorder="1" applyAlignment="1" applyProtection="1">
      <alignment horizontal="center" vertical="center" wrapText="1"/>
      <protection locked="0"/>
    </xf>
    <xf numFmtId="2" fontId="46" fillId="0" borderId="1" xfId="4" applyNumberFormat="1" applyFont="1" applyBorder="1" applyAlignment="1" applyProtection="1">
      <alignment horizontal="center" vertical="center" wrapText="1"/>
      <protection locked="0"/>
    </xf>
    <xf numFmtId="2" fontId="46" fillId="0" borderId="83" xfId="4" applyNumberFormat="1" applyFont="1" applyBorder="1" applyAlignment="1" applyProtection="1">
      <alignment horizontal="center" vertical="center" wrapText="1"/>
      <protection locked="0"/>
    </xf>
    <xf numFmtId="0" fontId="46" fillId="0" borderId="97" xfId="4" applyFont="1" applyBorder="1" applyAlignment="1" applyProtection="1">
      <alignment horizontal="center" vertical="center" wrapText="1"/>
      <protection locked="0"/>
    </xf>
    <xf numFmtId="0" fontId="46" fillId="0" borderId="98" xfId="4" applyFont="1" applyBorder="1" applyAlignment="1" applyProtection="1">
      <alignment horizontal="center" vertical="center" wrapText="1"/>
      <protection locked="0"/>
    </xf>
    <xf numFmtId="0" fontId="43" fillId="0" borderId="80" xfId="4" applyFont="1" applyBorder="1" applyAlignment="1" applyProtection="1">
      <alignment horizontal="center" vertical="center"/>
      <protection locked="0"/>
    </xf>
    <xf numFmtId="0" fontId="43" fillId="0" borderId="0" xfId="4" applyFont="1" applyAlignment="1" applyProtection="1">
      <alignment horizontal="center" vertical="center"/>
      <protection locked="0"/>
    </xf>
    <xf numFmtId="0" fontId="32" fillId="0" borderId="90" xfId="4" applyFont="1" applyBorder="1" applyAlignment="1" applyProtection="1">
      <alignment horizontal="center" vertical="center" wrapText="1"/>
      <protection locked="0"/>
    </xf>
    <xf numFmtId="0" fontId="32" fillId="0" borderId="93" xfId="4" applyFont="1" applyBorder="1" applyAlignment="1" applyProtection="1">
      <alignment horizontal="center" vertical="center" wrapText="1"/>
      <protection locked="0"/>
    </xf>
    <xf numFmtId="0" fontId="32" fillId="0" borderId="30" xfId="4" applyFont="1" applyBorder="1" applyAlignment="1" applyProtection="1">
      <alignment horizontal="center" vertical="center" wrapText="1"/>
      <protection locked="0"/>
    </xf>
    <xf numFmtId="0" fontId="32" fillId="0" borderId="46" xfId="4" applyFont="1" applyBorder="1" applyAlignment="1" applyProtection="1">
      <alignment horizontal="center" vertical="center" wrapText="1"/>
      <protection locked="0"/>
    </xf>
    <xf numFmtId="0" fontId="32" fillId="0" borderId="47" xfId="4" applyFont="1" applyBorder="1" applyAlignment="1" applyProtection="1">
      <alignment horizontal="center" vertical="center" wrapText="1"/>
      <protection locked="0"/>
    </xf>
    <xf numFmtId="0" fontId="46" fillId="0" borderId="30" xfId="4" applyFont="1" applyBorder="1" applyAlignment="1" applyProtection="1">
      <alignment horizontal="center" vertical="center" wrapText="1"/>
      <protection locked="0"/>
    </xf>
    <xf numFmtId="0" fontId="46" fillId="0" borderId="47" xfId="4" applyFont="1" applyBorder="1" applyAlignment="1" applyProtection="1">
      <alignment horizontal="center" vertical="center" wrapText="1"/>
      <protection locked="0"/>
    </xf>
    <xf numFmtId="0" fontId="40" fillId="0" borderId="94" xfId="4" applyFont="1" applyBorder="1" applyAlignment="1" applyProtection="1">
      <alignment horizontal="center" vertical="center"/>
      <protection locked="0"/>
    </xf>
    <xf numFmtId="0" fontId="40" fillId="0" borderId="95" xfId="4" applyFont="1" applyBorder="1" applyAlignment="1" applyProtection="1">
      <alignment horizontal="center" vertical="center"/>
      <protection locked="0"/>
    </xf>
    <xf numFmtId="0" fontId="40" fillId="0" borderId="96" xfId="4" applyFont="1" applyBorder="1" applyAlignment="1" applyProtection="1">
      <alignment horizontal="center" vertical="center"/>
      <protection locked="0"/>
    </xf>
    <xf numFmtId="0" fontId="46" fillId="0" borderId="94" xfId="4" applyFont="1" applyBorder="1" applyAlignment="1" applyProtection="1">
      <alignment horizontal="center" vertical="center" wrapText="1"/>
      <protection locked="0"/>
    </xf>
    <xf numFmtId="0" fontId="46" fillId="0" borderId="96" xfId="4" applyFont="1" applyBorder="1" applyAlignment="1" applyProtection="1">
      <alignment horizontal="center" vertical="center" wrapText="1"/>
      <protection locked="0"/>
    </xf>
    <xf numFmtId="0" fontId="3" fillId="6" borderId="2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 vertical="center" textRotation="90"/>
    </xf>
    <xf numFmtId="0" fontId="2" fillId="0" borderId="17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8" fillId="0" borderId="9" xfId="0" applyFont="1" applyBorder="1" applyAlignment="1">
      <alignment horizontal="center"/>
    </xf>
    <xf numFmtId="0" fontId="62" fillId="0" borderId="1" xfId="0" applyFont="1" applyBorder="1" applyAlignment="1">
      <alignment horizontal="center" wrapText="1"/>
    </xf>
    <xf numFmtId="0" fontId="25" fillId="0" borderId="8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62" fillId="0" borderId="8" xfId="0" applyFont="1" applyBorder="1" applyAlignment="1">
      <alignment horizontal="center" wrapText="1"/>
    </xf>
    <xf numFmtId="0" fontId="26" fillId="5" borderId="1" xfId="0" applyFont="1" applyFill="1" applyBorder="1" applyAlignment="1">
      <alignment horizontal="center" wrapText="1"/>
    </xf>
    <xf numFmtId="0" fontId="27" fillId="0" borderId="8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26" fillId="0" borderId="9" xfId="0" applyFont="1" applyBorder="1" applyAlignment="1">
      <alignment horizontal="center" wrapText="1"/>
    </xf>
    <xf numFmtId="0" fontId="25" fillId="0" borderId="10" xfId="0" applyFont="1" applyBorder="1" applyAlignment="1">
      <alignment horizontal="center" wrapText="1"/>
    </xf>
    <xf numFmtId="0" fontId="25" fillId="0" borderId="11" xfId="0" applyFont="1" applyBorder="1" applyAlignment="1">
      <alignment horizontal="center" wrapText="1"/>
    </xf>
    <xf numFmtId="0" fontId="26" fillId="5" borderId="11" xfId="0" applyFont="1" applyFill="1" applyBorder="1" applyAlignment="1">
      <alignment horizontal="center" wrapText="1"/>
    </xf>
    <xf numFmtId="0" fontId="19" fillId="0" borderId="103" xfId="0" applyFont="1" applyBorder="1" applyAlignment="1">
      <alignment horizontal="center"/>
    </xf>
    <xf numFmtId="0" fontId="19" fillId="0" borderId="105" xfId="0" applyFont="1" applyBorder="1" applyAlignment="1">
      <alignment horizontal="center"/>
    </xf>
    <xf numFmtId="0" fontId="26" fillId="0" borderId="11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53" fillId="0" borderId="8" xfId="0" applyFont="1" applyBorder="1" applyAlignment="1">
      <alignment horizontal="center" wrapText="1"/>
    </xf>
    <xf numFmtId="0" fontId="53" fillId="0" borderId="1" xfId="0" applyFont="1" applyBorder="1" applyAlignment="1">
      <alignment horizontal="center" wrapText="1"/>
    </xf>
    <xf numFmtId="0" fontId="53" fillId="0" borderId="9" xfId="0" applyFont="1" applyBorder="1" applyAlignment="1">
      <alignment horizontal="center" wrapText="1"/>
    </xf>
    <xf numFmtId="0" fontId="62" fillId="0" borderId="9" xfId="0" applyFont="1" applyBorder="1" applyAlignment="1">
      <alignment horizontal="center" wrapText="1"/>
    </xf>
    <xf numFmtId="0" fontId="25" fillId="0" borderId="9" xfId="0" applyFont="1" applyBorder="1" applyAlignment="1">
      <alignment horizontal="center" wrapText="1"/>
    </xf>
    <xf numFmtId="0" fontId="64" fillId="0" borderId="1" xfId="0" applyFont="1" applyBorder="1" applyAlignment="1">
      <alignment horizontal="center" wrapText="1"/>
    </xf>
    <xf numFmtId="0" fontId="64" fillId="0" borderId="9" xfId="0" applyFont="1" applyBorder="1" applyAlignment="1">
      <alignment horizontal="center" wrapText="1"/>
    </xf>
    <xf numFmtId="0" fontId="3" fillId="0" borderId="4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12" xfId="0" applyFont="1" applyBorder="1" applyAlignment="1">
      <alignment horizontal="center" vertical="center"/>
    </xf>
    <xf numFmtId="0" fontId="3" fillId="0" borderId="111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center" vertical="center" wrapText="1"/>
    </xf>
    <xf numFmtId="0" fontId="2" fillId="0" borderId="8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6" xfId="0" applyFont="1" applyBorder="1" applyAlignment="1">
      <alignment horizontal="center" vertical="center" wrapText="1"/>
    </xf>
    <xf numFmtId="0" fontId="2" fillId="0" borderId="85" xfId="0" applyFont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7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9" fillId="0" borderId="33" xfId="0" applyFont="1" applyBorder="1" applyAlignment="1">
      <alignment horizontal="center" vertical="center" wrapText="1"/>
    </xf>
    <xf numFmtId="0" fontId="79" fillId="0" borderId="88" xfId="0" applyFont="1" applyBorder="1" applyAlignment="1">
      <alignment horizontal="center" vertical="center" wrapText="1"/>
    </xf>
    <xf numFmtId="0" fontId="79" fillId="0" borderId="27" xfId="0" applyFont="1" applyBorder="1" applyAlignment="1">
      <alignment horizontal="center" vertical="center" wrapText="1"/>
    </xf>
    <xf numFmtId="0" fontId="79" fillId="0" borderId="82" xfId="0" applyFont="1" applyBorder="1" applyAlignment="1">
      <alignment horizontal="center" vertical="center" wrapText="1"/>
    </xf>
    <xf numFmtId="0" fontId="79" fillId="0" borderId="26" xfId="0" applyFont="1" applyBorder="1" applyAlignment="1">
      <alignment horizontal="center" vertical="center" wrapText="1"/>
    </xf>
    <xf numFmtId="0" fontId="79" fillId="0" borderId="85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3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3" fillId="0" borderId="37" xfId="0" applyFont="1" applyBorder="1" applyAlignment="1">
      <alignment horizontal="center" vertical="center"/>
    </xf>
    <xf numFmtId="0" fontId="63" fillId="0" borderId="24" xfId="0" applyFont="1" applyBorder="1" applyAlignment="1">
      <alignment horizontal="center" vertical="center"/>
    </xf>
    <xf numFmtId="0" fontId="51" fillId="17" borderId="19" xfId="0" applyFont="1" applyFill="1" applyBorder="1" applyAlignment="1">
      <alignment horizontal="center" vertical="center" wrapText="1"/>
    </xf>
    <xf numFmtId="0" fontId="51" fillId="17" borderId="20" xfId="0" applyFont="1" applyFill="1" applyBorder="1" applyAlignment="1">
      <alignment horizontal="center" vertical="center" wrapText="1"/>
    </xf>
    <xf numFmtId="0" fontId="50" fillId="17" borderId="13" xfId="0" applyFont="1" applyFill="1" applyBorder="1" applyAlignment="1">
      <alignment horizontal="center" vertical="center" wrapText="1"/>
    </xf>
    <xf numFmtId="0" fontId="50" fillId="17" borderId="8" xfId="0" applyFont="1" applyFill="1" applyBorder="1" applyAlignment="1">
      <alignment horizontal="center" vertical="center" wrapText="1"/>
    </xf>
    <xf numFmtId="0" fontId="50" fillId="17" borderId="14" xfId="0" applyFont="1" applyFill="1" applyBorder="1" applyAlignment="1">
      <alignment horizontal="left" vertical="center" wrapText="1" indent="1"/>
    </xf>
    <xf numFmtId="0" fontId="50" fillId="17" borderId="1" xfId="0" applyFont="1" applyFill="1" applyBorder="1" applyAlignment="1">
      <alignment horizontal="left" vertical="center" wrapText="1" indent="1"/>
    </xf>
    <xf numFmtId="0" fontId="50" fillId="17" borderId="14" xfId="0" applyFont="1" applyFill="1" applyBorder="1" applyAlignment="1">
      <alignment horizontal="center" vertical="center" wrapText="1"/>
    </xf>
    <xf numFmtId="0" fontId="50" fillId="17" borderId="1" xfId="0" applyFont="1" applyFill="1" applyBorder="1" applyAlignment="1">
      <alignment horizontal="center" vertical="center" wrapText="1"/>
    </xf>
    <xf numFmtId="0" fontId="51" fillId="17" borderId="1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2" fillId="0" borderId="11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8" xfId="0" applyFont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41" fillId="7" borderId="7" xfId="0" applyFont="1" applyFill="1" applyBorder="1" applyAlignment="1">
      <alignment horizontal="left" vertical="center" wrapText="1"/>
    </xf>
    <xf numFmtId="0" fontId="41" fillId="7" borderId="9" xfId="0" applyFont="1" applyFill="1" applyBorder="1" applyAlignment="1">
      <alignment horizontal="left" vertical="center" wrapText="1"/>
    </xf>
    <xf numFmtId="0" fontId="39" fillId="23" borderId="13" xfId="0" applyFont="1" applyFill="1" applyBorder="1" applyAlignment="1">
      <alignment horizontal="center" vertical="center"/>
    </xf>
    <xf numFmtId="0" fontId="39" fillId="23" borderId="14" xfId="0" applyFont="1" applyFill="1" applyBorder="1" applyAlignment="1">
      <alignment horizontal="center" vertical="center"/>
    </xf>
    <xf numFmtId="0" fontId="39" fillId="23" borderId="15" xfId="0" applyFont="1" applyFill="1" applyBorder="1" applyAlignment="1">
      <alignment horizontal="center" vertical="center"/>
    </xf>
    <xf numFmtId="0" fontId="39" fillId="23" borderId="8" xfId="0" applyFont="1" applyFill="1" applyBorder="1" applyAlignment="1">
      <alignment horizontal="center" vertical="center"/>
    </xf>
    <xf numFmtId="0" fontId="39" fillId="23" borderId="10" xfId="0" applyFont="1" applyFill="1" applyBorder="1" applyAlignment="1">
      <alignment horizontal="center" vertical="center"/>
    </xf>
    <xf numFmtId="0" fontId="39" fillId="23" borderId="1" xfId="0" applyFont="1" applyFill="1" applyBorder="1" applyAlignment="1">
      <alignment horizontal="center" vertical="center"/>
    </xf>
    <xf numFmtId="0" fontId="39" fillId="23" borderId="11" xfId="0" applyFont="1" applyFill="1" applyBorder="1" applyAlignment="1">
      <alignment horizontal="center" vertical="center"/>
    </xf>
    <xf numFmtId="0" fontId="39" fillId="23" borderId="9" xfId="0" applyFont="1" applyFill="1" applyBorder="1" applyAlignment="1">
      <alignment horizontal="center" vertical="center" wrapText="1"/>
    </xf>
    <xf numFmtId="0" fontId="39" fillId="23" borderId="12" xfId="0" applyFont="1" applyFill="1" applyBorder="1" applyAlignment="1">
      <alignment horizontal="center" vertical="center" wrapText="1"/>
    </xf>
    <xf numFmtId="0" fontId="39" fillId="23" borderId="100" xfId="0" applyFont="1" applyFill="1" applyBorder="1" applyAlignment="1">
      <alignment horizontal="center" vertical="center" wrapText="1"/>
    </xf>
    <xf numFmtId="0" fontId="39" fillId="23" borderId="104" xfId="0" applyFont="1" applyFill="1" applyBorder="1" applyAlignment="1">
      <alignment horizontal="center" vertical="center" wrapText="1"/>
    </xf>
    <xf numFmtId="0" fontId="39" fillId="23" borderId="105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left" vertical="center"/>
    </xf>
    <xf numFmtId="0" fontId="3" fillId="24" borderId="14" xfId="0" applyFont="1" applyFill="1" applyBorder="1" applyAlignment="1">
      <alignment horizontal="left" vertical="center"/>
    </xf>
    <xf numFmtId="0" fontId="3" fillId="24" borderId="15" xfId="0" applyFont="1" applyFill="1" applyBorder="1" applyAlignment="1">
      <alignment horizontal="left" vertical="center"/>
    </xf>
    <xf numFmtId="0" fontId="2" fillId="24" borderId="8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/>
    </xf>
    <xf numFmtId="0" fontId="2" fillId="24" borderId="16" xfId="0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17" fontId="5" fillId="24" borderId="1" xfId="0" applyNumberFormat="1" applyFont="1" applyFill="1" applyBorder="1" applyAlignment="1">
      <alignment horizontal="center" vertical="center"/>
    </xf>
    <xf numFmtId="17" fontId="5" fillId="24" borderId="30" xfId="0" applyNumberFormat="1" applyFont="1" applyFill="1" applyBorder="1" applyAlignment="1">
      <alignment horizontal="center" vertical="center"/>
    </xf>
    <xf numFmtId="17" fontId="5" fillId="24" borderId="46" xfId="0" applyNumberFormat="1" applyFont="1" applyFill="1" applyBorder="1" applyAlignment="1">
      <alignment horizontal="center" vertical="center"/>
    </xf>
    <xf numFmtId="17" fontId="5" fillId="24" borderId="47" xfId="0" applyNumberFormat="1" applyFont="1" applyFill="1" applyBorder="1" applyAlignment="1">
      <alignment horizontal="center" vertical="center"/>
    </xf>
    <xf numFmtId="17" fontId="5" fillId="24" borderId="34" xfId="0" applyNumberFormat="1" applyFont="1" applyFill="1" applyBorder="1" applyAlignment="1">
      <alignment horizontal="center" vertical="center"/>
    </xf>
    <xf numFmtId="17" fontId="5" fillId="24" borderId="7" xfId="0" applyNumberFormat="1" applyFont="1" applyFill="1" applyBorder="1" applyAlignment="1">
      <alignment horizontal="center" vertical="center"/>
    </xf>
    <xf numFmtId="0" fontId="2" fillId="0" borderId="102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1" fontId="2" fillId="30" borderId="26" xfId="34" applyNumberFormat="1" applyFont="1" applyFill="1" applyBorder="1" applyAlignment="1">
      <alignment horizontal="center" vertical="center"/>
    </xf>
    <xf numFmtId="1" fontId="2" fillId="30" borderId="86" xfId="34" applyNumberFormat="1" applyFont="1" applyFill="1" applyBorder="1" applyAlignment="1">
      <alignment horizontal="center" vertical="center"/>
    </xf>
    <xf numFmtId="1" fontId="2" fillId="30" borderId="85" xfId="34" applyNumberFormat="1" applyFont="1" applyFill="1" applyBorder="1" applyAlignment="1">
      <alignment horizontal="center" vertical="center"/>
    </xf>
    <xf numFmtId="0" fontId="8" fillId="22" borderId="40" xfId="0" applyFont="1" applyFill="1" applyBorder="1" applyAlignment="1">
      <alignment horizontal="center" vertical="center" wrapText="1"/>
    </xf>
    <xf numFmtId="0" fontId="8" fillId="22" borderId="41" xfId="0" applyFont="1" applyFill="1" applyBorder="1" applyAlignment="1">
      <alignment horizontal="center" vertical="center" wrapText="1"/>
    </xf>
    <xf numFmtId="0" fontId="8" fillId="22" borderId="42" xfId="0" applyFont="1" applyFill="1" applyBorder="1" applyAlignment="1">
      <alignment horizontal="center" vertical="center" wrapText="1"/>
    </xf>
    <xf numFmtId="0" fontId="39" fillId="0" borderId="107" xfId="0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08" xfId="0" applyFont="1" applyBorder="1" applyAlignment="1">
      <alignment horizontal="center" vertical="center" wrapText="1"/>
    </xf>
    <xf numFmtId="0" fontId="39" fillId="0" borderId="17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 wrapText="1"/>
    </xf>
    <xf numFmtId="1" fontId="66" fillId="0" borderId="108" xfId="0" applyNumberFormat="1" applyFont="1" applyBorder="1" applyAlignment="1">
      <alignment horizontal="center" vertical="center"/>
    </xf>
    <xf numFmtId="1" fontId="66" fillId="0" borderId="17" xfId="0" applyNumberFormat="1" applyFont="1" applyBorder="1" applyAlignment="1">
      <alignment horizontal="center" vertical="center"/>
    </xf>
    <xf numFmtId="1" fontId="66" fillId="0" borderId="3" xfId="0" applyNumberFormat="1" applyFont="1" applyBorder="1" applyAlignment="1">
      <alignment horizontal="center" vertical="center"/>
    </xf>
    <xf numFmtId="1" fontId="39" fillId="23" borderId="40" xfId="0" applyNumberFormat="1" applyFont="1" applyFill="1" applyBorder="1" applyAlignment="1">
      <alignment horizontal="center" vertical="center"/>
    </xf>
    <xf numFmtId="1" fontId="39" fillId="23" borderId="41" xfId="0" applyNumberFormat="1" applyFont="1" applyFill="1" applyBorder="1" applyAlignment="1">
      <alignment horizontal="center" vertical="center"/>
    </xf>
    <xf numFmtId="1" fontId="39" fillId="23" borderId="42" xfId="0" applyNumberFormat="1" applyFont="1" applyFill="1" applyBorder="1" applyAlignment="1">
      <alignment horizontal="center" vertical="center"/>
    </xf>
    <xf numFmtId="0" fontId="66" fillId="0" borderId="40" xfId="0" quotePrefix="1" applyFont="1" applyBorder="1" applyAlignment="1">
      <alignment horizontal="center" vertical="center" wrapText="1"/>
    </xf>
    <xf numFmtId="0" fontId="66" fillId="0" borderId="41" xfId="0" quotePrefix="1" applyFont="1" applyBorder="1" applyAlignment="1">
      <alignment horizontal="center" vertical="center" wrapText="1"/>
    </xf>
    <xf numFmtId="0" fontId="8" fillId="22" borderId="23" xfId="0" applyFont="1" applyFill="1" applyBorder="1" applyAlignment="1">
      <alignment horizontal="center" vertical="center"/>
    </xf>
    <xf numFmtId="0" fontId="8" fillId="22" borderId="24" xfId="0" applyFont="1" applyFill="1" applyBorder="1" applyAlignment="1">
      <alignment horizontal="center" vertical="center"/>
    </xf>
    <xf numFmtId="0" fontId="8" fillId="22" borderId="25" xfId="0" applyFont="1" applyFill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1" fontId="66" fillId="0" borderId="14" xfId="0" applyNumberFormat="1" applyFont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 vertical="center"/>
    </xf>
    <xf numFmtId="1" fontId="66" fillId="0" borderId="11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66" fillId="0" borderId="29" xfId="0" quotePrefix="1" applyFont="1" applyBorder="1" applyAlignment="1">
      <alignment horizontal="center" vertical="center" wrapText="1"/>
    </xf>
    <xf numFmtId="0" fontId="66" fillId="0" borderId="31" xfId="0" quotePrefix="1" applyFont="1" applyBorder="1" applyAlignment="1">
      <alignment horizontal="center" vertical="center" wrapText="1"/>
    </xf>
    <xf numFmtId="0" fontId="66" fillId="0" borderId="32" xfId="0" quotePrefix="1" applyFont="1" applyBorder="1" applyAlignment="1">
      <alignment horizontal="center" vertical="center" wrapText="1"/>
    </xf>
    <xf numFmtId="0" fontId="66" fillId="0" borderId="42" xfId="0" quotePrefix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6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8" borderId="1" xfId="0" applyFill="1" applyBorder="1" applyAlignment="1">
      <alignment horizontal="center" vertical="center"/>
    </xf>
    <xf numFmtId="17" fontId="0" fillId="27" borderId="9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8" borderId="33" xfId="0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28" borderId="26" xfId="0" applyFill="1" applyBorder="1" applyAlignment="1">
      <alignment horizontal="center" vertical="center"/>
    </xf>
    <xf numFmtId="17" fontId="0" fillId="27" borderId="34" xfId="0" applyNumberFormat="1" applyFill="1" applyBorder="1" applyAlignment="1">
      <alignment horizontal="center" vertical="center"/>
    </xf>
    <xf numFmtId="17" fontId="0" fillId="27" borderId="44" xfId="0" applyNumberFormat="1" applyFill="1" applyBorder="1" applyAlignment="1">
      <alignment horizontal="center" vertical="center"/>
    </xf>
    <xf numFmtId="17" fontId="0" fillId="27" borderId="7" xfId="0" applyNumberFormat="1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17" fontId="0" fillId="29" borderId="34" xfId="0" applyNumberFormat="1" applyFill="1" applyBorder="1" applyAlignment="1">
      <alignment horizontal="center" vertical="center"/>
    </xf>
    <xf numFmtId="17" fontId="0" fillId="29" borderId="44" xfId="0" applyNumberFormat="1" applyFill="1" applyBorder="1" applyAlignment="1">
      <alignment horizontal="center" vertical="center"/>
    </xf>
    <xf numFmtId="17" fontId="0" fillId="29" borderId="7" xfId="0" applyNumberForma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8" borderId="30" xfId="0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2" fillId="6" borderId="35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17" fontId="13" fillId="12" borderId="34" xfId="0" applyNumberFormat="1" applyFont="1" applyFill="1" applyBorder="1" applyAlignment="1">
      <alignment horizontal="center" vertical="center" wrapText="1"/>
    </xf>
    <xf numFmtId="17" fontId="13" fillId="12" borderId="44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0" fillId="15" borderId="34" xfId="0" applyNumberFormat="1" applyFill="1" applyBorder="1" applyAlignment="1">
      <alignment horizontal="center" vertical="center"/>
    </xf>
    <xf numFmtId="17" fontId="0" fillId="15" borderId="44" xfId="0" applyNumberFormat="1" applyFill="1" applyBorder="1" applyAlignment="1">
      <alignment horizontal="center" vertical="center"/>
    </xf>
    <xf numFmtId="17" fontId="0" fillId="15" borderId="7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2" fillId="0" borderId="11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14" xfId="0" applyFont="1" applyBorder="1" applyAlignment="1">
      <alignment horizontal="center" vertical="center" wrapText="1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2" fillId="26" borderId="16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2" fillId="23" borderId="16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10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6" xfId="0" applyFont="1" applyBorder="1" applyAlignment="1">
      <alignment horizontal="center" vertical="center"/>
    </xf>
    <xf numFmtId="0" fontId="77" fillId="0" borderId="18" xfId="0" applyFont="1" applyBorder="1" applyAlignment="1">
      <alignment horizontal="center" vertical="center"/>
    </xf>
    <xf numFmtId="0" fontId="77" fillId="0" borderId="19" xfId="0" applyFont="1" applyBorder="1" applyAlignment="1">
      <alignment horizontal="center" vertical="center"/>
    </xf>
    <xf numFmtId="0" fontId="77" fillId="0" borderId="20" xfId="0" applyFont="1" applyBorder="1" applyAlignment="1">
      <alignment horizontal="center" vertical="center"/>
    </xf>
    <xf numFmtId="0" fontId="71" fillId="0" borderId="102" xfId="0" applyFont="1" applyBorder="1" applyAlignment="1">
      <alignment horizontal="center" vertical="center"/>
    </xf>
    <xf numFmtId="0" fontId="71" fillId="0" borderId="46" xfId="0" applyFont="1" applyBorder="1" applyAlignment="1">
      <alignment horizontal="center" vertical="center"/>
    </xf>
    <xf numFmtId="0" fontId="71" fillId="0" borderId="99" xfId="0" applyFont="1" applyBorder="1" applyAlignment="1">
      <alignment horizontal="center" vertical="center"/>
    </xf>
    <xf numFmtId="0" fontId="71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77" fillId="0" borderId="13" xfId="0" applyFont="1" applyBorder="1" applyAlignment="1">
      <alignment horizontal="center" vertical="center"/>
    </xf>
    <xf numFmtId="0" fontId="77" fillId="0" borderId="14" xfId="0" applyFont="1" applyBorder="1" applyAlignment="1">
      <alignment horizontal="center" vertical="center"/>
    </xf>
    <xf numFmtId="0" fontId="77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0" xfId="0" applyFont="1" applyBorder="1" applyAlignment="1">
      <alignment horizontal="left" vertical="center"/>
    </xf>
    <xf numFmtId="0" fontId="4" fillId="0" borderId="104" xfId="0" applyFont="1" applyBorder="1" applyAlignment="1">
      <alignment horizontal="left" vertical="center"/>
    </xf>
    <xf numFmtId="0" fontId="4" fillId="0" borderId="101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99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</cellXfs>
  <cellStyles count="35">
    <cellStyle name="Comma" xfId="34" builtinId="3"/>
    <cellStyle name="Comma 2" xfId="8" xr:uid="{8AAB6529-EA70-4582-AFD3-8899A6719B5F}"/>
    <cellStyle name="Comma 3" xfId="9" xr:uid="{BA84624E-B27C-47C5-BBA2-7B8A3002DDDA}"/>
    <cellStyle name="Comma 4" xfId="10" xr:uid="{6A6D8B07-5FCB-4F82-8BED-572BBB5B8BE4}"/>
    <cellStyle name="Comma 9 3" xfId="11" xr:uid="{ED58EE3D-B5D2-4D61-825F-B4C434FF5901}"/>
    <cellStyle name="Normal" xfId="0" builtinId="0"/>
    <cellStyle name="Normal 103" xfId="3" xr:uid="{5A111066-C8CF-40FF-B073-0C6D45C3ABF8}"/>
    <cellStyle name="Normal 103 2" xfId="7" xr:uid="{0E5CC939-5821-4DF3-B187-E991ECA3DCC0}"/>
    <cellStyle name="Normal 12" xfId="12" xr:uid="{B380EDD0-54B7-42AF-BF3A-415E6710DF6A}"/>
    <cellStyle name="Normal 120" xfId="13" xr:uid="{1AA2D0D5-DA43-444A-83E2-7EBDB4513F1D}"/>
    <cellStyle name="Normal 17" xfId="14" xr:uid="{CCB5565D-DA12-4ADA-9251-D0D14906798B}"/>
    <cellStyle name="Normal 188" xfId="15" xr:uid="{7DEFC1D1-A8D1-4DAF-B5F5-1DE77EDD5652}"/>
    <cellStyle name="Normal 191" xfId="16" xr:uid="{68D4307A-B612-4696-8826-BA1F69BAFC3C}"/>
    <cellStyle name="Normal 192" xfId="17" xr:uid="{98619AD2-D6A8-496B-8FDB-011C906D8FFB}"/>
    <cellStyle name="Normal 195" xfId="18" xr:uid="{4B4C8992-6C84-4D5E-80AB-827427F3E770}"/>
    <cellStyle name="Normal 196" xfId="19" xr:uid="{A2BD3EEB-D113-4C15-BF13-4E1D6C7C0BF6}"/>
    <cellStyle name="Normal 2" xfId="20" xr:uid="{360C0739-41BB-465B-978E-FDB79EE58232}"/>
    <cellStyle name="Normal 2 2" xfId="6" xr:uid="{742EB55E-BAD9-4CD9-9D83-75DBE164C916}"/>
    <cellStyle name="Normal 2 3" xfId="5" xr:uid="{EF946E4F-3FE1-4C5A-B72C-75EBF4DA33E2}"/>
    <cellStyle name="Normal 2 4" xfId="21" xr:uid="{DE493519-8AAF-40FA-954C-D9FDAE2AC01A}"/>
    <cellStyle name="Normal 201 2" xfId="22" xr:uid="{C07787EB-5B07-4B57-B6D9-175907832700}"/>
    <cellStyle name="Normal 207" xfId="23" xr:uid="{79593284-0CB1-4142-871C-5C74636D799E}"/>
    <cellStyle name="Normal 211" xfId="24" xr:uid="{0A0232E7-9FE2-4888-A329-908E09BE6F72}"/>
    <cellStyle name="Normal 218" xfId="25" xr:uid="{44D5424B-8BD5-4306-9993-E0A6544A6C95}"/>
    <cellStyle name="Normal 219" xfId="26" xr:uid="{E788CA31-8BB9-4A2C-8776-0D6C163DA4DA}"/>
    <cellStyle name="Normal 222" xfId="27" xr:uid="{2DA536C6-B5D5-454B-B20B-B01DA8546309}"/>
    <cellStyle name="Normal 23 3" xfId="28" xr:uid="{F156372E-18BD-42EA-B793-D1378722071F}"/>
    <cellStyle name="Normal 3" xfId="2" xr:uid="{1B10D015-D2A9-4B47-89D9-2E9C436646BB}"/>
    <cellStyle name="Normal 3 2" xfId="30" xr:uid="{72CDCA35-9057-411C-978F-0AD71D0BEC89}"/>
    <cellStyle name="Normal 3 3" xfId="29" xr:uid="{84DE65FF-16DC-47DB-90E3-3508282472F5}"/>
    <cellStyle name="Normal 4" xfId="31" xr:uid="{F60DC6C7-B7A8-4B3E-A583-7BB7CF6FBD3F}"/>
    <cellStyle name="Normal 42" xfId="32" xr:uid="{2C198752-394B-46EF-BF8A-B65ED7C2CDA1}"/>
    <cellStyle name="Normal 48" xfId="33" xr:uid="{2AFB434B-1F20-453B-91DF-DC582A6B2F6B}"/>
    <cellStyle name="Normal 5" xfId="4" xr:uid="{06F856D6-B7A1-4A8C-8EE5-919FFB9E8263}"/>
    <cellStyle name="Percent" xfId="1" builtinId="5"/>
  </cellStyles>
  <dxfs count="212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96926</xdr:colOff>
      <xdr:row>318</xdr:row>
      <xdr:rowOff>57150</xdr:rowOff>
    </xdr:from>
    <xdr:ext cx="85725" cy="390525"/>
    <xdr:pic>
      <xdr:nvPicPr>
        <xdr:cNvPr id="2" name="Picture 11597">
          <a:extLst>
            <a:ext uri="{FF2B5EF4-FFF2-40B4-BE49-F238E27FC236}">
              <a16:creationId xmlns:a16="http://schemas.microsoft.com/office/drawing/2014/main" id="{8C307EC2-F19C-4765-8B93-DA46C977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5326" y="569976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0</xdr:colOff>
      <xdr:row>312</xdr:row>
      <xdr:rowOff>28575</xdr:rowOff>
    </xdr:from>
    <xdr:to>
      <xdr:col>8</xdr:col>
      <xdr:colOff>13921</xdr:colOff>
      <xdr:row>314</xdr:row>
      <xdr:rowOff>9525</xdr:rowOff>
    </xdr:to>
    <xdr:sp macro="" textlink="">
      <xdr:nvSpPr>
        <xdr:cNvPr id="3" name="7/9">
          <a:extLst>
            <a:ext uri="{FF2B5EF4-FFF2-40B4-BE49-F238E27FC236}">
              <a16:creationId xmlns:a16="http://schemas.microsoft.com/office/drawing/2014/main" id="{D03D789D-737C-42D2-BAB5-1B017903D239}"/>
            </a:ext>
          </a:extLst>
        </xdr:cNvPr>
        <xdr:cNvSpPr>
          <a:spLocks noChangeArrowheads="1"/>
        </xdr:cNvSpPr>
      </xdr:nvSpPr>
      <xdr:spPr bwMode="auto">
        <a:xfrm>
          <a:off x="2438400" y="55889525"/>
          <a:ext cx="401271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173126</xdr:colOff>
      <xdr:row>312</xdr:row>
      <xdr:rowOff>28575</xdr:rowOff>
    </xdr:from>
    <xdr:to>
      <xdr:col>7</xdr:col>
      <xdr:colOff>182651</xdr:colOff>
      <xdr:row>312</xdr:row>
      <xdr:rowOff>133350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8D295362-5676-4963-B901-884B376EEF10}"/>
            </a:ext>
          </a:extLst>
        </xdr:cNvPr>
        <xdr:cNvSpPr>
          <a:spLocks/>
        </xdr:cNvSpPr>
      </xdr:nvSpPr>
      <xdr:spPr bwMode="auto">
        <a:xfrm>
          <a:off x="1849526" y="55889525"/>
          <a:ext cx="771525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376513</xdr:colOff>
      <xdr:row>312</xdr:row>
      <xdr:rowOff>38100</xdr:rowOff>
    </xdr:from>
    <xdr:to>
      <xdr:col>9</xdr:col>
      <xdr:colOff>383146</xdr:colOff>
      <xdr:row>314</xdr:row>
      <xdr:rowOff>19050</xdr:rowOff>
    </xdr:to>
    <xdr:sp macro="" textlink="">
      <xdr:nvSpPr>
        <xdr:cNvPr id="5" name="AutoShape 10700">
          <a:extLst>
            <a:ext uri="{FF2B5EF4-FFF2-40B4-BE49-F238E27FC236}">
              <a16:creationId xmlns:a16="http://schemas.microsoft.com/office/drawing/2014/main" id="{2CDBF066-5A2B-4DB0-A84E-9877F12153DF}"/>
            </a:ext>
          </a:extLst>
        </xdr:cNvPr>
        <xdr:cNvSpPr>
          <a:spLocks noChangeArrowheads="1"/>
        </xdr:cNvSpPr>
      </xdr:nvSpPr>
      <xdr:spPr bwMode="auto">
        <a:xfrm>
          <a:off x="3202263" y="55899050"/>
          <a:ext cx="393983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365779</xdr:colOff>
      <xdr:row>312</xdr:row>
      <xdr:rowOff>6733</xdr:rowOff>
    </xdr:from>
    <xdr:to>
      <xdr:col>12</xdr:col>
      <xdr:colOff>0</xdr:colOff>
      <xdr:row>313</xdr:row>
      <xdr:rowOff>166689</xdr:rowOff>
    </xdr:to>
    <xdr:sp macro="" textlink="">
      <xdr:nvSpPr>
        <xdr:cNvPr id="6" name="AutoShape 10705">
          <a:extLst>
            <a:ext uri="{FF2B5EF4-FFF2-40B4-BE49-F238E27FC236}">
              <a16:creationId xmlns:a16="http://schemas.microsoft.com/office/drawing/2014/main" id="{00CFEA16-B86E-4D5D-B48E-D741B2473A5A}"/>
            </a:ext>
          </a:extLst>
        </xdr:cNvPr>
        <xdr:cNvSpPr>
          <a:spLocks noChangeArrowheads="1"/>
        </xdr:cNvSpPr>
      </xdr:nvSpPr>
      <xdr:spPr bwMode="auto">
        <a:xfrm>
          <a:off x="3959879" y="55867683"/>
          <a:ext cx="370821" cy="344106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173126</xdr:colOff>
      <xdr:row>312</xdr:row>
      <xdr:rowOff>28575</xdr:rowOff>
    </xdr:from>
    <xdr:to>
      <xdr:col>11</xdr:col>
      <xdr:colOff>182651</xdr:colOff>
      <xdr:row>312</xdr:row>
      <xdr:rowOff>133350</xdr:rowOff>
    </xdr:to>
    <xdr:sp macro="" textlink="">
      <xdr:nvSpPr>
        <xdr:cNvPr id="7" name="Freeform 10706">
          <a:extLst>
            <a:ext uri="{FF2B5EF4-FFF2-40B4-BE49-F238E27FC236}">
              <a16:creationId xmlns:a16="http://schemas.microsoft.com/office/drawing/2014/main" id="{781624DE-5E5A-40C9-B8C5-5FD1A8E017E1}"/>
            </a:ext>
          </a:extLst>
        </xdr:cNvPr>
        <xdr:cNvSpPr>
          <a:spLocks/>
        </xdr:cNvSpPr>
      </xdr:nvSpPr>
      <xdr:spPr bwMode="auto">
        <a:xfrm>
          <a:off x="3398926" y="55889525"/>
          <a:ext cx="765175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154076</xdr:colOff>
      <xdr:row>312</xdr:row>
      <xdr:rowOff>28575</xdr:rowOff>
    </xdr:from>
    <xdr:to>
      <xdr:col>9</xdr:col>
      <xdr:colOff>163601</xdr:colOff>
      <xdr:row>312</xdr:row>
      <xdr:rowOff>133350</xdr:rowOff>
    </xdr:to>
    <xdr:sp macro="" textlink="">
      <xdr:nvSpPr>
        <xdr:cNvPr id="8" name="Freeform 10707">
          <a:extLst>
            <a:ext uri="{FF2B5EF4-FFF2-40B4-BE49-F238E27FC236}">
              <a16:creationId xmlns:a16="http://schemas.microsoft.com/office/drawing/2014/main" id="{E27C59DA-0F47-4085-AC74-57D91B6CEDB7}"/>
            </a:ext>
          </a:extLst>
        </xdr:cNvPr>
        <xdr:cNvSpPr>
          <a:spLocks/>
        </xdr:cNvSpPr>
      </xdr:nvSpPr>
      <xdr:spPr bwMode="auto">
        <a:xfrm>
          <a:off x="2592476" y="55889525"/>
          <a:ext cx="796925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154076</xdr:colOff>
      <xdr:row>312</xdr:row>
      <xdr:rowOff>28575</xdr:rowOff>
    </xdr:from>
    <xdr:to>
      <xdr:col>13</xdr:col>
      <xdr:colOff>163601</xdr:colOff>
      <xdr:row>312</xdr:row>
      <xdr:rowOff>133350</xdr:rowOff>
    </xdr:to>
    <xdr:sp macro="" textlink="">
      <xdr:nvSpPr>
        <xdr:cNvPr id="9" name="Freeform 10708">
          <a:extLst>
            <a:ext uri="{FF2B5EF4-FFF2-40B4-BE49-F238E27FC236}">
              <a16:creationId xmlns:a16="http://schemas.microsoft.com/office/drawing/2014/main" id="{9AC8BF0B-444F-4119-921E-50C70CA1266A}"/>
            </a:ext>
          </a:extLst>
        </xdr:cNvPr>
        <xdr:cNvSpPr>
          <a:spLocks/>
        </xdr:cNvSpPr>
      </xdr:nvSpPr>
      <xdr:spPr bwMode="auto">
        <a:xfrm>
          <a:off x="4135526" y="55889525"/>
          <a:ext cx="746125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163601</xdr:colOff>
      <xdr:row>310</xdr:row>
      <xdr:rowOff>142875</xdr:rowOff>
    </xdr:from>
    <xdr:to>
      <xdr:col>8</xdr:col>
      <xdr:colOff>163601</xdr:colOff>
      <xdr:row>312</xdr:row>
      <xdr:rowOff>66675</xdr:rowOff>
    </xdr:to>
    <xdr:sp macro="" textlink="">
      <xdr:nvSpPr>
        <xdr:cNvPr id="10" name="Line 10711">
          <a:extLst>
            <a:ext uri="{FF2B5EF4-FFF2-40B4-BE49-F238E27FC236}">
              <a16:creationId xmlns:a16="http://schemas.microsoft.com/office/drawing/2014/main" id="{F4796B7A-B680-4585-9B7A-38436585CBE6}"/>
            </a:ext>
          </a:extLst>
        </xdr:cNvPr>
        <xdr:cNvSpPr>
          <a:spLocks noChangeShapeType="1"/>
        </xdr:cNvSpPr>
      </xdr:nvSpPr>
      <xdr:spPr bwMode="auto">
        <a:xfrm flipV="1">
          <a:off x="2989351" y="55533925"/>
          <a:ext cx="0" cy="393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192176</xdr:colOff>
      <xdr:row>311</xdr:row>
      <xdr:rowOff>9525</xdr:rowOff>
    </xdr:from>
    <xdr:to>
      <xdr:col>10</xdr:col>
      <xdr:colOff>201701</xdr:colOff>
      <xdr:row>312</xdr:row>
      <xdr:rowOff>57150</xdr:rowOff>
    </xdr:to>
    <xdr:sp macro="" textlink="">
      <xdr:nvSpPr>
        <xdr:cNvPr id="11" name="Line 10712">
          <a:extLst>
            <a:ext uri="{FF2B5EF4-FFF2-40B4-BE49-F238E27FC236}">
              <a16:creationId xmlns:a16="http://schemas.microsoft.com/office/drawing/2014/main" id="{F047288C-2877-4B50-9EE6-28B86EDB9810}"/>
            </a:ext>
          </a:extLst>
        </xdr:cNvPr>
        <xdr:cNvSpPr>
          <a:spLocks noChangeShapeType="1"/>
        </xdr:cNvSpPr>
      </xdr:nvSpPr>
      <xdr:spPr bwMode="auto">
        <a:xfrm flipH="1" flipV="1">
          <a:off x="3786276" y="55686325"/>
          <a:ext cx="9525" cy="231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316001</xdr:colOff>
      <xdr:row>314</xdr:row>
      <xdr:rowOff>114300</xdr:rowOff>
    </xdr:from>
    <xdr:to>
      <xdr:col>6</xdr:col>
      <xdr:colOff>335051</xdr:colOff>
      <xdr:row>314</xdr:row>
      <xdr:rowOff>114300</xdr:rowOff>
    </xdr:to>
    <xdr:sp macro="" textlink="">
      <xdr:nvSpPr>
        <xdr:cNvPr id="12" name="Line 10717">
          <a:extLst>
            <a:ext uri="{FF2B5EF4-FFF2-40B4-BE49-F238E27FC236}">
              <a16:creationId xmlns:a16="http://schemas.microsoft.com/office/drawing/2014/main" id="{BA5D3D1A-A2AA-4E45-A6F4-18DB4EBD1AD0}"/>
            </a:ext>
          </a:extLst>
        </xdr:cNvPr>
        <xdr:cNvSpPr>
          <a:spLocks noChangeShapeType="1"/>
        </xdr:cNvSpPr>
      </xdr:nvSpPr>
      <xdr:spPr bwMode="auto">
        <a:xfrm flipH="1">
          <a:off x="1992401" y="563435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296951</xdr:colOff>
      <xdr:row>313</xdr:row>
      <xdr:rowOff>123825</xdr:rowOff>
    </xdr:from>
    <xdr:to>
      <xdr:col>7</xdr:col>
      <xdr:colOff>77876</xdr:colOff>
      <xdr:row>313</xdr:row>
      <xdr:rowOff>123825</xdr:rowOff>
    </xdr:to>
    <xdr:sp macro="" textlink="">
      <xdr:nvSpPr>
        <xdr:cNvPr id="13" name="Line 10718">
          <a:extLst>
            <a:ext uri="{FF2B5EF4-FFF2-40B4-BE49-F238E27FC236}">
              <a16:creationId xmlns:a16="http://schemas.microsoft.com/office/drawing/2014/main" id="{D6115662-702A-422E-B2CA-A4F8B413955B}"/>
            </a:ext>
          </a:extLst>
        </xdr:cNvPr>
        <xdr:cNvSpPr>
          <a:spLocks noChangeShapeType="1"/>
        </xdr:cNvSpPr>
      </xdr:nvSpPr>
      <xdr:spPr bwMode="auto">
        <a:xfrm flipH="1">
          <a:off x="1973351" y="56168925"/>
          <a:ext cx="542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316001</xdr:colOff>
      <xdr:row>316</xdr:row>
      <xdr:rowOff>28575</xdr:rowOff>
    </xdr:from>
    <xdr:to>
      <xdr:col>6</xdr:col>
      <xdr:colOff>335051</xdr:colOff>
      <xdr:row>316</xdr:row>
      <xdr:rowOff>28575</xdr:rowOff>
    </xdr:to>
    <xdr:sp macro="" textlink="">
      <xdr:nvSpPr>
        <xdr:cNvPr id="14" name="Line 10719">
          <a:extLst>
            <a:ext uri="{FF2B5EF4-FFF2-40B4-BE49-F238E27FC236}">
              <a16:creationId xmlns:a16="http://schemas.microsoft.com/office/drawing/2014/main" id="{F8164F5F-BBF2-4C2B-9E7E-9A1C3B804130}"/>
            </a:ext>
          </a:extLst>
        </xdr:cNvPr>
        <xdr:cNvSpPr>
          <a:spLocks noChangeShapeType="1"/>
        </xdr:cNvSpPr>
      </xdr:nvSpPr>
      <xdr:spPr bwMode="auto">
        <a:xfrm flipH="1">
          <a:off x="1992401" y="56626125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287426</xdr:colOff>
      <xdr:row>313</xdr:row>
      <xdr:rowOff>57150</xdr:rowOff>
    </xdr:from>
    <xdr:to>
      <xdr:col>12</xdr:col>
      <xdr:colOff>316001</xdr:colOff>
      <xdr:row>313</xdr:row>
      <xdr:rowOff>57150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C80B1920-7E79-4FF7-9FAC-CD63F017A324}"/>
            </a:ext>
          </a:extLst>
        </xdr:cNvPr>
        <xdr:cNvSpPr>
          <a:spLocks noChangeShapeType="1"/>
        </xdr:cNvSpPr>
      </xdr:nvSpPr>
      <xdr:spPr bwMode="auto">
        <a:xfrm>
          <a:off x="4268876" y="56102250"/>
          <a:ext cx="377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18345</xdr:colOff>
      <xdr:row>317</xdr:row>
      <xdr:rowOff>133351</xdr:rowOff>
    </xdr:from>
    <xdr:to>
      <xdr:col>13</xdr:col>
      <xdr:colOff>85020</xdr:colOff>
      <xdr:row>320</xdr:row>
      <xdr:rowOff>152401</xdr:rowOff>
    </xdr:to>
    <xdr:sp macro="" textlink="">
      <xdr:nvSpPr>
        <xdr:cNvPr id="16" name="AutoShape 10732">
          <a:extLst>
            <a:ext uri="{FF2B5EF4-FFF2-40B4-BE49-F238E27FC236}">
              <a16:creationId xmlns:a16="http://schemas.microsoft.com/office/drawing/2014/main" id="{8F632B4C-2CB6-4ABF-B905-57101528CF31}"/>
            </a:ext>
          </a:extLst>
        </xdr:cNvPr>
        <xdr:cNvSpPr>
          <a:spLocks noChangeArrowheads="1"/>
        </xdr:cNvSpPr>
      </xdr:nvSpPr>
      <xdr:spPr bwMode="auto">
        <a:xfrm rot="5400000">
          <a:off x="4483983" y="57142063"/>
          <a:ext cx="5715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360734</xdr:colOff>
      <xdr:row>318</xdr:row>
      <xdr:rowOff>19050</xdr:rowOff>
    </xdr:from>
    <xdr:to>
      <xdr:col>18</xdr:col>
      <xdr:colOff>30251</xdr:colOff>
      <xdr:row>321</xdr:row>
      <xdr:rowOff>9525</xdr:rowOff>
    </xdr:to>
    <xdr:sp macro="" textlink="">
      <xdr:nvSpPr>
        <xdr:cNvPr id="17" name="AutoShape 10733">
          <a:extLst>
            <a:ext uri="{FF2B5EF4-FFF2-40B4-BE49-F238E27FC236}">
              <a16:creationId xmlns:a16="http://schemas.microsoft.com/office/drawing/2014/main" id="{EBFB1F17-DAC9-477B-8D01-573C1355E02B}"/>
            </a:ext>
          </a:extLst>
        </xdr:cNvPr>
        <xdr:cNvSpPr>
          <a:spLocks noChangeArrowheads="1"/>
        </xdr:cNvSpPr>
      </xdr:nvSpPr>
      <xdr:spPr bwMode="auto">
        <a:xfrm rot="5400000">
          <a:off x="6343880" y="57193004"/>
          <a:ext cx="542925" cy="75917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11200</xdr:colOff>
      <xdr:row>317</xdr:row>
      <xdr:rowOff>152401</xdr:rowOff>
    </xdr:from>
    <xdr:to>
      <xdr:col>2</xdr:col>
      <xdr:colOff>130972</xdr:colOff>
      <xdr:row>320</xdr:row>
      <xdr:rowOff>104776</xdr:rowOff>
    </xdr:to>
    <xdr:sp macro="" textlink="">
      <xdr:nvSpPr>
        <xdr:cNvPr id="18" name="AutoShape 10734">
          <a:extLst>
            <a:ext uri="{FF2B5EF4-FFF2-40B4-BE49-F238E27FC236}">
              <a16:creationId xmlns:a16="http://schemas.microsoft.com/office/drawing/2014/main" id="{BB5E799F-83D8-40D7-87EC-2924F10B794D}"/>
            </a:ext>
          </a:extLst>
        </xdr:cNvPr>
        <xdr:cNvSpPr>
          <a:spLocks noChangeArrowheads="1"/>
        </xdr:cNvSpPr>
      </xdr:nvSpPr>
      <xdr:spPr bwMode="auto">
        <a:xfrm rot="5400000" flipV="1">
          <a:off x="326673" y="57101228"/>
          <a:ext cx="504825" cy="119772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135026</xdr:colOff>
      <xdr:row>317</xdr:row>
      <xdr:rowOff>133350</xdr:rowOff>
    </xdr:from>
    <xdr:to>
      <xdr:col>4</xdr:col>
      <xdr:colOff>192176</xdr:colOff>
      <xdr:row>320</xdr:row>
      <xdr:rowOff>114300</xdr:rowOff>
    </xdr:to>
    <xdr:sp macro="" textlink="">
      <xdr:nvSpPr>
        <xdr:cNvPr id="19" name="Rectangle 11590" descr="Light horizontal">
          <a:extLst>
            <a:ext uri="{FF2B5EF4-FFF2-40B4-BE49-F238E27FC236}">
              <a16:creationId xmlns:a16="http://schemas.microsoft.com/office/drawing/2014/main" id="{F8A76C25-26D6-4DEF-9AE1-A81DE1D0B31B}"/>
            </a:ext>
          </a:extLst>
        </xdr:cNvPr>
        <xdr:cNvSpPr>
          <a:spLocks noChangeArrowheads="1"/>
        </xdr:cNvSpPr>
      </xdr:nvSpPr>
      <xdr:spPr bwMode="auto">
        <a:xfrm>
          <a:off x="1411376" y="56889650"/>
          <a:ext cx="57150" cy="53340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9</xdr:col>
      <xdr:colOff>58826</xdr:colOff>
      <xdr:row>319</xdr:row>
      <xdr:rowOff>61913</xdr:rowOff>
    </xdr:from>
    <xdr:ext cx="144236" cy="466725"/>
    <xdr:pic>
      <xdr:nvPicPr>
        <xdr:cNvPr id="20" name="Picture 11595">
          <a:extLst>
            <a:ext uri="{FF2B5EF4-FFF2-40B4-BE49-F238E27FC236}">
              <a16:creationId xmlns:a16="http://schemas.microsoft.com/office/drawing/2014/main" id="{D64EC057-C9D6-4BF0-861A-AF34CC02A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626" y="57186513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10</xdr:col>
      <xdr:colOff>49301</xdr:colOff>
      <xdr:row>311</xdr:row>
      <xdr:rowOff>142875</xdr:rowOff>
    </xdr:from>
    <xdr:to>
      <xdr:col>12</xdr:col>
      <xdr:colOff>258851</xdr:colOff>
      <xdr:row>317</xdr:row>
      <xdr:rowOff>28575</xdr:rowOff>
    </xdr:to>
    <xdr:sp macro="" textlink="">
      <xdr:nvSpPr>
        <xdr:cNvPr id="21" name="Oval 4249">
          <a:extLst>
            <a:ext uri="{FF2B5EF4-FFF2-40B4-BE49-F238E27FC236}">
              <a16:creationId xmlns:a16="http://schemas.microsoft.com/office/drawing/2014/main" id="{DFE737E6-EA62-47BC-AA42-B22FDE05C7D3}"/>
            </a:ext>
          </a:extLst>
        </xdr:cNvPr>
        <xdr:cNvSpPr>
          <a:spLocks noChangeArrowheads="1"/>
        </xdr:cNvSpPr>
      </xdr:nvSpPr>
      <xdr:spPr bwMode="auto">
        <a:xfrm>
          <a:off x="3643401" y="55819675"/>
          <a:ext cx="946150" cy="965200"/>
        </a:xfrm>
        <a:prstGeom prst="ellips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192176</xdr:colOff>
      <xdr:row>310</xdr:row>
      <xdr:rowOff>142875</xdr:rowOff>
    </xdr:from>
    <xdr:to>
      <xdr:col>6</xdr:col>
      <xdr:colOff>192176</xdr:colOff>
      <xdr:row>312</xdr:row>
      <xdr:rowOff>66675</xdr:rowOff>
    </xdr:to>
    <xdr:sp macro="" textlink="">
      <xdr:nvSpPr>
        <xdr:cNvPr id="22" name="Line 10711">
          <a:extLst>
            <a:ext uri="{FF2B5EF4-FFF2-40B4-BE49-F238E27FC236}">
              <a16:creationId xmlns:a16="http://schemas.microsoft.com/office/drawing/2014/main" id="{E1C2C680-0378-4B7B-A3DB-C51713254540}"/>
            </a:ext>
          </a:extLst>
        </xdr:cNvPr>
        <xdr:cNvSpPr>
          <a:spLocks noChangeShapeType="1"/>
        </xdr:cNvSpPr>
      </xdr:nvSpPr>
      <xdr:spPr bwMode="auto">
        <a:xfrm flipV="1">
          <a:off x="2249576" y="55533925"/>
          <a:ext cx="0" cy="393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306476</xdr:colOff>
      <xdr:row>314</xdr:row>
      <xdr:rowOff>114300</xdr:rowOff>
    </xdr:from>
    <xdr:to>
      <xdr:col>12</xdr:col>
      <xdr:colOff>335051</xdr:colOff>
      <xdr:row>314</xdr:row>
      <xdr:rowOff>114300</xdr:rowOff>
    </xdr:to>
    <xdr:sp macro="" textlink="">
      <xdr:nvSpPr>
        <xdr:cNvPr id="23" name="Line 10720">
          <a:extLst>
            <a:ext uri="{FF2B5EF4-FFF2-40B4-BE49-F238E27FC236}">
              <a16:creationId xmlns:a16="http://schemas.microsoft.com/office/drawing/2014/main" id="{589D9624-FC90-425F-AA64-F2C71CB8DF56}"/>
            </a:ext>
          </a:extLst>
        </xdr:cNvPr>
        <xdr:cNvSpPr>
          <a:spLocks noChangeShapeType="1"/>
        </xdr:cNvSpPr>
      </xdr:nvSpPr>
      <xdr:spPr bwMode="auto">
        <a:xfrm>
          <a:off x="4287926" y="56343550"/>
          <a:ext cx="377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163600</xdr:colOff>
      <xdr:row>312</xdr:row>
      <xdr:rowOff>28574</xdr:rowOff>
    </xdr:from>
    <xdr:to>
      <xdr:col>17</xdr:col>
      <xdr:colOff>287425</xdr:colOff>
      <xdr:row>312</xdr:row>
      <xdr:rowOff>152399</xdr:rowOff>
    </xdr:to>
    <xdr:sp macro="" textlink="">
      <xdr:nvSpPr>
        <xdr:cNvPr id="24" name="Freeform 2950">
          <a:extLst>
            <a:ext uri="{FF2B5EF4-FFF2-40B4-BE49-F238E27FC236}">
              <a16:creationId xmlns:a16="http://schemas.microsoft.com/office/drawing/2014/main" id="{9CB820ED-825D-4E66-903C-420D3C957913}"/>
            </a:ext>
          </a:extLst>
        </xdr:cNvPr>
        <xdr:cNvSpPr>
          <a:spLocks noChangeArrowheads="1"/>
        </xdr:cNvSpPr>
      </xdr:nvSpPr>
      <xdr:spPr bwMode="auto">
        <a:xfrm>
          <a:off x="4881650" y="55889524"/>
          <a:ext cx="1622425" cy="123825"/>
        </a:xfrm>
        <a:custGeom>
          <a:avLst/>
          <a:gdLst>
            <a:gd name="T0" fmla="*/ 729 w 708025"/>
            <a:gd name="T1" fmla="*/ 864 h 115888"/>
            <a:gd name="T2" fmla="*/ 179382 w 708025"/>
            <a:gd name="T3" fmla="*/ 5181 h 115888"/>
            <a:gd name="T4" fmla="*/ 323181 w 708025"/>
            <a:gd name="T5" fmla="*/ 864 h 115888"/>
            <a:gd name="T6" fmla="*/ 175027 w 708025"/>
            <a:gd name="T7" fmla="*/ 10361 h 115888"/>
            <a:gd name="T8" fmla="*/ 729 w 708025"/>
            <a:gd name="T9" fmla="*/ 864 h 115888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08025"/>
            <a:gd name="T16" fmla="*/ 0 h 115888"/>
            <a:gd name="T17" fmla="*/ 708025 w 708025"/>
            <a:gd name="T18" fmla="*/ 115888 h 115888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708025" h="115888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135026</xdr:colOff>
      <xdr:row>311</xdr:row>
      <xdr:rowOff>0</xdr:rowOff>
    </xdr:from>
    <xdr:to>
      <xdr:col>12</xdr:col>
      <xdr:colOff>135026</xdr:colOff>
      <xdr:row>312</xdr:row>
      <xdr:rowOff>114300</xdr:rowOff>
    </xdr:to>
    <xdr:sp macro="" textlink="">
      <xdr:nvSpPr>
        <xdr:cNvPr id="25" name="Line 10711">
          <a:extLst>
            <a:ext uri="{FF2B5EF4-FFF2-40B4-BE49-F238E27FC236}">
              <a16:creationId xmlns:a16="http://schemas.microsoft.com/office/drawing/2014/main" id="{85FB8DB5-DFC8-45F8-A3DF-CD057278DF64}"/>
            </a:ext>
          </a:extLst>
        </xdr:cNvPr>
        <xdr:cNvSpPr>
          <a:spLocks noChangeShapeType="1"/>
        </xdr:cNvSpPr>
      </xdr:nvSpPr>
      <xdr:spPr bwMode="auto">
        <a:xfrm flipV="1">
          <a:off x="4465726" y="55676800"/>
          <a:ext cx="0" cy="298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344576</xdr:colOff>
      <xdr:row>310</xdr:row>
      <xdr:rowOff>171450</xdr:rowOff>
    </xdr:from>
    <xdr:to>
      <xdr:col>14</xdr:col>
      <xdr:colOff>344576</xdr:colOff>
      <xdr:row>312</xdr:row>
      <xdr:rowOff>95250</xdr:rowOff>
    </xdr:to>
    <xdr:sp macro="" textlink="">
      <xdr:nvSpPr>
        <xdr:cNvPr id="26" name="Line 10711">
          <a:extLst>
            <a:ext uri="{FF2B5EF4-FFF2-40B4-BE49-F238E27FC236}">
              <a16:creationId xmlns:a16="http://schemas.microsoft.com/office/drawing/2014/main" id="{C70CA804-7D26-4E0A-B085-D1BAF689E169}"/>
            </a:ext>
          </a:extLst>
        </xdr:cNvPr>
        <xdr:cNvSpPr>
          <a:spLocks noChangeShapeType="1"/>
        </xdr:cNvSpPr>
      </xdr:nvSpPr>
      <xdr:spPr bwMode="auto">
        <a:xfrm flipV="1">
          <a:off x="5361076" y="55562500"/>
          <a:ext cx="0" cy="393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345926</xdr:colOff>
      <xdr:row>10</xdr:row>
      <xdr:rowOff>156151</xdr:rowOff>
    </xdr:from>
    <xdr:to>
      <xdr:col>10</xdr:col>
      <xdr:colOff>386094</xdr:colOff>
      <xdr:row>12</xdr:row>
      <xdr:rowOff>182821</xdr:rowOff>
    </xdr:to>
    <xdr:sp macro="" textlink="">
      <xdr:nvSpPr>
        <xdr:cNvPr id="27" name="3">
          <a:extLst>
            <a:ext uri="{FF2B5EF4-FFF2-40B4-BE49-F238E27FC236}">
              <a16:creationId xmlns:a16="http://schemas.microsoft.com/office/drawing/2014/main" id="{4D897DF3-8D84-47EB-8570-3548F946565A}"/>
            </a:ext>
          </a:extLst>
        </xdr:cNvPr>
        <xdr:cNvSpPr>
          <a:spLocks noChangeArrowheads="1"/>
        </xdr:cNvSpPr>
      </xdr:nvSpPr>
      <xdr:spPr bwMode="auto">
        <a:xfrm>
          <a:off x="3571726" y="2277051"/>
          <a:ext cx="40846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4263</xdr:colOff>
      <xdr:row>10</xdr:row>
      <xdr:rowOff>175113</xdr:rowOff>
    </xdr:from>
    <xdr:to>
      <xdr:col>8</xdr:col>
      <xdr:colOff>380155</xdr:colOff>
      <xdr:row>12</xdr:row>
      <xdr:rowOff>180550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0C471A21-D1CF-4745-9937-0BD5E98E025B}"/>
            </a:ext>
          </a:extLst>
        </xdr:cNvPr>
        <xdr:cNvSpPr>
          <a:spLocks noChangeArrowheads="1"/>
        </xdr:cNvSpPr>
      </xdr:nvSpPr>
      <xdr:spPr bwMode="auto">
        <a:xfrm>
          <a:off x="2830013" y="2296013"/>
          <a:ext cx="37589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163746</xdr:colOff>
      <xdr:row>10</xdr:row>
      <xdr:rowOff>170173</xdr:rowOff>
    </xdr:from>
    <xdr:to>
      <xdr:col>12</xdr:col>
      <xdr:colOff>252689</xdr:colOff>
      <xdr:row>11</xdr:row>
      <xdr:rowOff>94918</xdr:rowOff>
    </xdr:to>
    <xdr:sp macro="" textlink="">
      <xdr:nvSpPr>
        <xdr:cNvPr id="29" name="Freeform 10708">
          <a:extLst>
            <a:ext uri="{FF2B5EF4-FFF2-40B4-BE49-F238E27FC236}">
              <a16:creationId xmlns:a16="http://schemas.microsoft.com/office/drawing/2014/main" id="{EDB1385F-20BF-468F-B17A-F8FAA31389B1}"/>
            </a:ext>
          </a:extLst>
        </xdr:cNvPr>
        <xdr:cNvSpPr>
          <a:spLocks/>
        </xdr:cNvSpPr>
      </xdr:nvSpPr>
      <xdr:spPr bwMode="auto">
        <a:xfrm>
          <a:off x="3757846" y="2291073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178215</xdr:colOff>
      <xdr:row>10</xdr:row>
      <xdr:rowOff>170173</xdr:rowOff>
    </xdr:from>
    <xdr:to>
      <xdr:col>10</xdr:col>
      <xdr:colOff>185716</xdr:colOff>
      <xdr:row>11</xdr:row>
      <xdr:rowOff>83012</xdr:rowOff>
    </xdr:to>
    <xdr:sp macro="" textlink="">
      <xdr:nvSpPr>
        <xdr:cNvPr id="30" name="Freeform 10708">
          <a:extLst>
            <a:ext uri="{FF2B5EF4-FFF2-40B4-BE49-F238E27FC236}">
              <a16:creationId xmlns:a16="http://schemas.microsoft.com/office/drawing/2014/main" id="{73DD53BB-022C-4CF0-A02C-02D50CEE63EF}"/>
            </a:ext>
          </a:extLst>
        </xdr:cNvPr>
        <xdr:cNvSpPr>
          <a:spLocks/>
        </xdr:cNvSpPr>
      </xdr:nvSpPr>
      <xdr:spPr bwMode="auto">
        <a:xfrm>
          <a:off x="3003965" y="2291073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342702</xdr:colOff>
      <xdr:row>10</xdr:row>
      <xdr:rowOff>158505</xdr:rowOff>
    </xdr:from>
    <xdr:to>
      <xdr:col>14</xdr:col>
      <xdr:colOff>380340</xdr:colOff>
      <xdr:row>12</xdr:row>
      <xdr:rowOff>185175</xdr:rowOff>
    </xdr:to>
    <xdr:sp macro="" textlink="">
      <xdr:nvSpPr>
        <xdr:cNvPr id="31" name="3">
          <a:extLst>
            <a:ext uri="{FF2B5EF4-FFF2-40B4-BE49-F238E27FC236}">
              <a16:creationId xmlns:a16="http://schemas.microsoft.com/office/drawing/2014/main" id="{7F4B438E-7A99-42D3-BF6C-1194FAD4FB05}"/>
            </a:ext>
          </a:extLst>
        </xdr:cNvPr>
        <xdr:cNvSpPr>
          <a:spLocks noChangeArrowheads="1"/>
        </xdr:cNvSpPr>
      </xdr:nvSpPr>
      <xdr:spPr bwMode="auto">
        <a:xfrm>
          <a:off x="5016302" y="2279405"/>
          <a:ext cx="380538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333660</xdr:colOff>
      <xdr:row>10</xdr:row>
      <xdr:rowOff>174684</xdr:rowOff>
    </xdr:from>
    <xdr:to>
      <xdr:col>13</xdr:col>
      <xdr:colOff>2054</xdr:colOff>
      <xdr:row>12</xdr:row>
      <xdr:rowOff>180121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0ADEC641-B231-4BE6-9176-975F54EAA669}"/>
            </a:ext>
          </a:extLst>
        </xdr:cNvPr>
        <xdr:cNvSpPr>
          <a:spLocks noChangeArrowheads="1"/>
        </xdr:cNvSpPr>
      </xdr:nvSpPr>
      <xdr:spPr bwMode="auto">
        <a:xfrm>
          <a:off x="4315110" y="2295584"/>
          <a:ext cx="404994" cy="3737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161370</xdr:colOff>
      <xdr:row>11</xdr:row>
      <xdr:rowOff>0</xdr:rowOff>
    </xdr:from>
    <xdr:to>
      <xdr:col>18</xdr:col>
      <xdr:colOff>178593</xdr:colOff>
      <xdr:row>11</xdr:row>
      <xdr:rowOff>97272</xdr:rowOff>
    </xdr:to>
    <xdr:sp macro="" textlink="">
      <xdr:nvSpPr>
        <xdr:cNvPr id="33" name="Freeform 10708">
          <a:extLst>
            <a:ext uri="{FF2B5EF4-FFF2-40B4-BE49-F238E27FC236}">
              <a16:creationId xmlns:a16="http://schemas.microsoft.com/office/drawing/2014/main" id="{8912D255-009D-4AA3-92D8-B05F174EABFE}"/>
            </a:ext>
          </a:extLst>
        </xdr:cNvPr>
        <xdr:cNvSpPr>
          <a:spLocks/>
        </xdr:cNvSpPr>
      </xdr:nvSpPr>
      <xdr:spPr bwMode="auto">
        <a:xfrm>
          <a:off x="5177870" y="2305050"/>
          <a:ext cx="1623773" cy="9727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190842</xdr:colOff>
      <xdr:row>10</xdr:row>
      <xdr:rowOff>172527</xdr:rowOff>
    </xdr:from>
    <xdr:to>
      <xdr:col>14</xdr:col>
      <xdr:colOff>183340</xdr:colOff>
      <xdr:row>11</xdr:row>
      <xdr:rowOff>85366</xdr:rowOff>
    </xdr:to>
    <xdr:sp macro="" textlink="">
      <xdr:nvSpPr>
        <xdr:cNvPr id="34" name="Freeform 10708">
          <a:extLst>
            <a:ext uri="{FF2B5EF4-FFF2-40B4-BE49-F238E27FC236}">
              <a16:creationId xmlns:a16="http://schemas.microsoft.com/office/drawing/2014/main" id="{86E89067-7E4A-4F65-85AA-1C45DE6A5DDC}"/>
            </a:ext>
          </a:extLst>
        </xdr:cNvPr>
        <xdr:cNvSpPr>
          <a:spLocks/>
        </xdr:cNvSpPr>
      </xdr:nvSpPr>
      <xdr:spPr bwMode="auto">
        <a:xfrm>
          <a:off x="4521542" y="2293427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359053</xdr:colOff>
      <xdr:row>10</xdr:row>
      <xdr:rowOff>156997</xdr:rowOff>
    </xdr:from>
    <xdr:to>
      <xdr:col>20</xdr:col>
      <xdr:colOff>390595</xdr:colOff>
      <xdr:row>12</xdr:row>
      <xdr:rowOff>183667</xdr:rowOff>
    </xdr:to>
    <xdr:sp macro="" textlink="">
      <xdr:nvSpPr>
        <xdr:cNvPr id="35" name="3">
          <a:extLst>
            <a:ext uri="{FF2B5EF4-FFF2-40B4-BE49-F238E27FC236}">
              <a16:creationId xmlns:a16="http://schemas.microsoft.com/office/drawing/2014/main" id="{E9BA5D98-4F0F-4395-9F4F-A9D1260478D7}"/>
            </a:ext>
          </a:extLst>
        </xdr:cNvPr>
        <xdr:cNvSpPr>
          <a:spLocks noChangeArrowheads="1"/>
        </xdr:cNvSpPr>
      </xdr:nvSpPr>
      <xdr:spPr bwMode="auto">
        <a:xfrm>
          <a:off x="7382153" y="2277897"/>
          <a:ext cx="399842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381000</xdr:colOff>
      <xdr:row>10</xdr:row>
      <xdr:rowOff>175959</xdr:rowOff>
    </xdr:from>
    <xdr:to>
      <xdr:col>19</xdr:col>
      <xdr:colOff>4530</xdr:colOff>
      <xdr:row>12</xdr:row>
      <xdr:rowOff>178594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CA5A3789-FABC-4F50-9402-8D60939C0C5D}"/>
            </a:ext>
          </a:extLst>
        </xdr:cNvPr>
        <xdr:cNvSpPr>
          <a:spLocks noChangeArrowheads="1"/>
        </xdr:cNvSpPr>
      </xdr:nvSpPr>
      <xdr:spPr bwMode="auto">
        <a:xfrm>
          <a:off x="6597650" y="2296859"/>
          <a:ext cx="429980" cy="37093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176268</xdr:colOff>
      <xdr:row>10</xdr:row>
      <xdr:rowOff>178094</xdr:rowOff>
    </xdr:from>
    <xdr:to>
      <xdr:col>22</xdr:col>
      <xdr:colOff>181376</xdr:colOff>
      <xdr:row>11</xdr:row>
      <xdr:rowOff>95763</xdr:rowOff>
    </xdr:to>
    <xdr:sp macro="" textlink="">
      <xdr:nvSpPr>
        <xdr:cNvPr id="37" name="Freeform 10708">
          <a:extLst>
            <a:ext uri="{FF2B5EF4-FFF2-40B4-BE49-F238E27FC236}">
              <a16:creationId xmlns:a16="http://schemas.microsoft.com/office/drawing/2014/main" id="{44185E95-3EE5-42E5-8ECC-AAB819927E94}"/>
            </a:ext>
          </a:extLst>
        </xdr:cNvPr>
        <xdr:cNvSpPr>
          <a:spLocks/>
        </xdr:cNvSpPr>
      </xdr:nvSpPr>
      <xdr:spPr bwMode="auto">
        <a:xfrm>
          <a:off x="7567668" y="2298994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187108</xdr:colOff>
      <xdr:row>11</xdr:row>
      <xdr:rowOff>1272</xdr:rowOff>
    </xdr:from>
    <xdr:to>
      <xdr:col>20</xdr:col>
      <xdr:colOff>187107</xdr:colOff>
      <xdr:row>11</xdr:row>
      <xdr:rowOff>94988</xdr:rowOff>
    </xdr:to>
    <xdr:sp macro="" textlink="">
      <xdr:nvSpPr>
        <xdr:cNvPr id="38" name="Freeform 10708">
          <a:extLst>
            <a:ext uri="{FF2B5EF4-FFF2-40B4-BE49-F238E27FC236}">
              <a16:creationId xmlns:a16="http://schemas.microsoft.com/office/drawing/2014/main" id="{E4A1E82F-F67F-4722-9B22-8B7D4F2E06D9}"/>
            </a:ext>
          </a:extLst>
        </xdr:cNvPr>
        <xdr:cNvSpPr>
          <a:spLocks/>
        </xdr:cNvSpPr>
      </xdr:nvSpPr>
      <xdr:spPr bwMode="auto">
        <a:xfrm>
          <a:off x="6810158" y="2306322"/>
          <a:ext cx="768349" cy="9371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381000</xdr:colOff>
      <xdr:row>10</xdr:row>
      <xdr:rowOff>159781</xdr:rowOff>
    </xdr:from>
    <xdr:to>
      <xdr:col>25</xdr:col>
      <xdr:colOff>4266</xdr:colOff>
      <xdr:row>12</xdr:row>
      <xdr:rowOff>186451</xdr:rowOff>
    </xdr:to>
    <xdr:sp macro="" textlink="">
      <xdr:nvSpPr>
        <xdr:cNvPr id="39" name="3">
          <a:extLst>
            <a:ext uri="{FF2B5EF4-FFF2-40B4-BE49-F238E27FC236}">
              <a16:creationId xmlns:a16="http://schemas.microsoft.com/office/drawing/2014/main" id="{F1192592-45AF-4F1E-843C-17F3400B1166}"/>
            </a:ext>
          </a:extLst>
        </xdr:cNvPr>
        <xdr:cNvSpPr>
          <a:spLocks noChangeArrowheads="1"/>
        </xdr:cNvSpPr>
      </xdr:nvSpPr>
      <xdr:spPr bwMode="auto">
        <a:xfrm>
          <a:off x="8947150" y="2280681"/>
          <a:ext cx="410666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361827</xdr:colOff>
      <xdr:row>10</xdr:row>
      <xdr:rowOff>178743</xdr:rowOff>
    </xdr:from>
    <xdr:to>
      <xdr:col>22</xdr:col>
      <xdr:colOff>381606</xdr:colOff>
      <xdr:row>12</xdr:row>
      <xdr:rowOff>184180</xdr:rowOff>
    </xdr:to>
    <xdr:sp macro="" textlink="">
      <xdr:nvSpPr>
        <xdr:cNvPr id="40" name="0/0">
          <a:extLst>
            <a:ext uri="{FF2B5EF4-FFF2-40B4-BE49-F238E27FC236}">
              <a16:creationId xmlns:a16="http://schemas.microsoft.com/office/drawing/2014/main" id="{DF8DBC0A-9929-415C-8F9B-EF9BC818DEFB}"/>
            </a:ext>
          </a:extLst>
        </xdr:cNvPr>
        <xdr:cNvSpPr>
          <a:spLocks noChangeArrowheads="1"/>
        </xdr:cNvSpPr>
      </xdr:nvSpPr>
      <xdr:spPr bwMode="auto">
        <a:xfrm>
          <a:off x="8159627" y="2299643"/>
          <a:ext cx="388079" cy="3737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171246</xdr:colOff>
      <xdr:row>10</xdr:row>
      <xdr:rowOff>172528</xdr:rowOff>
    </xdr:from>
    <xdr:to>
      <xdr:col>26</xdr:col>
      <xdr:colOff>184159</xdr:colOff>
      <xdr:row>11</xdr:row>
      <xdr:rowOff>87416</xdr:rowOff>
    </xdr:to>
    <xdr:sp macro="" textlink="">
      <xdr:nvSpPr>
        <xdr:cNvPr id="41" name="Freeform 10708">
          <a:extLst>
            <a:ext uri="{FF2B5EF4-FFF2-40B4-BE49-F238E27FC236}">
              <a16:creationId xmlns:a16="http://schemas.microsoft.com/office/drawing/2014/main" id="{C682E576-942D-448F-B7C5-5EB030CB4870}"/>
            </a:ext>
          </a:extLst>
        </xdr:cNvPr>
        <xdr:cNvSpPr>
          <a:spLocks/>
        </xdr:cNvSpPr>
      </xdr:nvSpPr>
      <xdr:spPr bwMode="auto">
        <a:xfrm>
          <a:off x="9124746" y="2293428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190435</xdr:colOff>
      <xdr:row>10</xdr:row>
      <xdr:rowOff>169746</xdr:rowOff>
    </xdr:from>
    <xdr:to>
      <xdr:col>24</xdr:col>
      <xdr:colOff>170245</xdr:colOff>
      <xdr:row>11</xdr:row>
      <xdr:rowOff>92207</xdr:rowOff>
    </xdr:to>
    <xdr:sp macro="" textlink="">
      <xdr:nvSpPr>
        <xdr:cNvPr id="42" name="Freeform 10708">
          <a:extLst>
            <a:ext uri="{FF2B5EF4-FFF2-40B4-BE49-F238E27FC236}">
              <a16:creationId xmlns:a16="http://schemas.microsoft.com/office/drawing/2014/main" id="{22E4A75A-D0C5-4D54-8B50-10453F604AF9}"/>
            </a:ext>
          </a:extLst>
        </xdr:cNvPr>
        <xdr:cNvSpPr>
          <a:spLocks/>
        </xdr:cNvSpPr>
      </xdr:nvSpPr>
      <xdr:spPr bwMode="auto">
        <a:xfrm>
          <a:off x="8356535" y="2290646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409221</xdr:colOff>
      <xdr:row>10</xdr:row>
      <xdr:rowOff>156590</xdr:rowOff>
    </xdr:from>
    <xdr:to>
      <xdr:col>28</xdr:col>
      <xdr:colOff>391854</xdr:colOff>
      <xdr:row>12</xdr:row>
      <xdr:rowOff>183260</xdr:rowOff>
    </xdr:to>
    <xdr:sp macro="" textlink="">
      <xdr:nvSpPr>
        <xdr:cNvPr id="43" name="3">
          <a:extLst>
            <a:ext uri="{FF2B5EF4-FFF2-40B4-BE49-F238E27FC236}">
              <a16:creationId xmlns:a16="http://schemas.microsoft.com/office/drawing/2014/main" id="{D96000A2-82DE-49A6-A2B7-7C956D00D31E}"/>
            </a:ext>
          </a:extLst>
        </xdr:cNvPr>
        <xdr:cNvSpPr>
          <a:spLocks noChangeArrowheads="1"/>
        </xdr:cNvSpPr>
      </xdr:nvSpPr>
      <xdr:spPr bwMode="auto">
        <a:xfrm>
          <a:off x="10569221" y="2277490"/>
          <a:ext cx="389033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395111</xdr:colOff>
      <xdr:row>10</xdr:row>
      <xdr:rowOff>182317</xdr:rowOff>
    </xdr:from>
    <xdr:to>
      <xdr:col>27</xdr:col>
      <xdr:colOff>22816</xdr:colOff>
      <xdr:row>13</xdr:row>
      <xdr:rowOff>112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4C4F4C76-F5A5-45B6-B855-C4937CEB62BF}"/>
            </a:ext>
          </a:extLst>
        </xdr:cNvPr>
        <xdr:cNvSpPr>
          <a:spLocks noChangeArrowheads="1"/>
        </xdr:cNvSpPr>
      </xdr:nvSpPr>
      <xdr:spPr bwMode="auto">
        <a:xfrm>
          <a:off x="9748661" y="2303217"/>
          <a:ext cx="434155" cy="37659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198072</xdr:colOff>
      <xdr:row>10</xdr:row>
      <xdr:rowOff>169746</xdr:rowOff>
    </xdr:from>
    <xdr:to>
      <xdr:col>30</xdr:col>
      <xdr:colOff>190094</xdr:colOff>
      <xdr:row>11</xdr:row>
      <xdr:rowOff>89791</xdr:rowOff>
    </xdr:to>
    <xdr:sp macro="" textlink="">
      <xdr:nvSpPr>
        <xdr:cNvPr id="45" name="Freeform 10708">
          <a:extLst>
            <a:ext uri="{FF2B5EF4-FFF2-40B4-BE49-F238E27FC236}">
              <a16:creationId xmlns:a16="http://schemas.microsoft.com/office/drawing/2014/main" id="{470F86C7-5E5A-4C9B-BAA0-5489EC2A3195}"/>
            </a:ext>
          </a:extLst>
        </xdr:cNvPr>
        <xdr:cNvSpPr>
          <a:spLocks/>
        </xdr:cNvSpPr>
      </xdr:nvSpPr>
      <xdr:spPr bwMode="auto">
        <a:xfrm>
          <a:off x="10764472" y="2290646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188092</xdr:colOff>
      <xdr:row>10</xdr:row>
      <xdr:rowOff>172529</xdr:rowOff>
    </xdr:from>
    <xdr:to>
      <xdr:col>28</xdr:col>
      <xdr:colOff>186941</xdr:colOff>
      <xdr:row>11</xdr:row>
      <xdr:rowOff>77886</xdr:rowOff>
    </xdr:to>
    <xdr:sp macro="" textlink="">
      <xdr:nvSpPr>
        <xdr:cNvPr id="46" name="Freeform 10708">
          <a:extLst>
            <a:ext uri="{FF2B5EF4-FFF2-40B4-BE49-F238E27FC236}">
              <a16:creationId xmlns:a16="http://schemas.microsoft.com/office/drawing/2014/main" id="{5FBCD451-E105-4A7B-A40D-9B3EF4049672}"/>
            </a:ext>
          </a:extLst>
        </xdr:cNvPr>
        <xdr:cNvSpPr>
          <a:spLocks/>
        </xdr:cNvSpPr>
      </xdr:nvSpPr>
      <xdr:spPr bwMode="auto">
        <a:xfrm>
          <a:off x="9948042" y="2293429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4772</xdr:colOff>
      <xdr:row>10</xdr:row>
      <xdr:rowOff>153401</xdr:rowOff>
    </xdr:from>
    <xdr:to>
      <xdr:col>30</xdr:col>
      <xdr:colOff>384091</xdr:colOff>
      <xdr:row>12</xdr:row>
      <xdr:rowOff>180071</xdr:rowOff>
    </xdr:to>
    <xdr:sp macro="" textlink="">
      <xdr:nvSpPr>
        <xdr:cNvPr id="47" name="3">
          <a:extLst>
            <a:ext uri="{FF2B5EF4-FFF2-40B4-BE49-F238E27FC236}">
              <a16:creationId xmlns:a16="http://schemas.microsoft.com/office/drawing/2014/main" id="{2F2A7DB1-3BB1-4405-8DFB-A0135CE5BB60}"/>
            </a:ext>
          </a:extLst>
        </xdr:cNvPr>
        <xdr:cNvSpPr>
          <a:spLocks noChangeArrowheads="1"/>
        </xdr:cNvSpPr>
      </xdr:nvSpPr>
      <xdr:spPr bwMode="auto">
        <a:xfrm>
          <a:off x="11333172" y="2274301"/>
          <a:ext cx="379319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1646</xdr:colOff>
      <xdr:row>21</xdr:row>
      <xdr:rowOff>178285</xdr:rowOff>
    </xdr:from>
    <xdr:to>
      <xdr:col>6</xdr:col>
      <xdr:colOff>379188</xdr:colOff>
      <xdr:row>24</xdr:row>
      <xdr:rowOff>3806</xdr:rowOff>
    </xdr:to>
    <xdr:sp macro="" textlink="">
      <xdr:nvSpPr>
        <xdr:cNvPr id="48" name="3">
          <a:extLst>
            <a:ext uri="{FF2B5EF4-FFF2-40B4-BE49-F238E27FC236}">
              <a16:creationId xmlns:a16="http://schemas.microsoft.com/office/drawing/2014/main" id="{ADE625CC-C1B2-4AC0-8238-9A517DEEF45F}"/>
            </a:ext>
          </a:extLst>
        </xdr:cNvPr>
        <xdr:cNvSpPr>
          <a:spLocks noChangeArrowheads="1"/>
        </xdr:cNvSpPr>
      </xdr:nvSpPr>
      <xdr:spPr bwMode="auto">
        <a:xfrm>
          <a:off x="2059046" y="4242285"/>
          <a:ext cx="377542" cy="38432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23</xdr:colOff>
      <xdr:row>21</xdr:row>
      <xdr:rowOff>173177</xdr:rowOff>
    </xdr:from>
    <xdr:to>
      <xdr:col>5</xdr:col>
      <xdr:colOff>4304</xdr:colOff>
      <xdr:row>23</xdr:row>
      <xdr:rowOff>177490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8CD14070-9147-40D8-9352-DE9A71E17BCE}"/>
            </a:ext>
          </a:extLst>
        </xdr:cNvPr>
        <xdr:cNvSpPr>
          <a:spLocks noChangeArrowheads="1"/>
        </xdr:cNvSpPr>
      </xdr:nvSpPr>
      <xdr:spPr bwMode="auto">
        <a:xfrm>
          <a:off x="1276373" y="4237177"/>
          <a:ext cx="404331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189444</xdr:colOff>
      <xdr:row>21</xdr:row>
      <xdr:rowOff>171019</xdr:rowOff>
    </xdr:from>
    <xdr:to>
      <xdr:col>4</xdr:col>
      <xdr:colOff>189444</xdr:colOff>
      <xdr:row>22</xdr:row>
      <xdr:rowOff>82733</xdr:rowOff>
    </xdr:to>
    <xdr:sp macro="" textlink="">
      <xdr:nvSpPr>
        <xdr:cNvPr id="50" name="Freeform 10708">
          <a:extLst>
            <a:ext uri="{FF2B5EF4-FFF2-40B4-BE49-F238E27FC236}">
              <a16:creationId xmlns:a16="http://schemas.microsoft.com/office/drawing/2014/main" id="{4B1EB99C-F300-4BAE-BFBD-B2C730CA8FD1}"/>
            </a:ext>
          </a:extLst>
        </xdr:cNvPr>
        <xdr:cNvSpPr>
          <a:spLocks/>
        </xdr:cNvSpPr>
      </xdr:nvSpPr>
      <xdr:spPr bwMode="auto">
        <a:xfrm>
          <a:off x="697444" y="4235019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291571</xdr:colOff>
      <xdr:row>21</xdr:row>
      <xdr:rowOff>172551</xdr:rowOff>
    </xdr:from>
    <xdr:to>
      <xdr:col>2</xdr:col>
      <xdr:colOff>379992</xdr:colOff>
      <xdr:row>23</xdr:row>
      <xdr:rowOff>176308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3B9D90E-92F5-40D0-BEEF-0DF9A5F66879}"/>
            </a:ext>
          </a:extLst>
        </xdr:cNvPr>
        <xdr:cNvSpPr>
          <a:spLocks noChangeArrowheads="1"/>
        </xdr:cNvSpPr>
      </xdr:nvSpPr>
      <xdr:spPr bwMode="auto">
        <a:xfrm>
          <a:off x="501121" y="4236551"/>
          <a:ext cx="386871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191602</xdr:colOff>
      <xdr:row>21</xdr:row>
      <xdr:rowOff>171020</xdr:rowOff>
    </xdr:from>
    <xdr:to>
      <xdr:col>6</xdr:col>
      <xdr:colOff>191602</xdr:colOff>
      <xdr:row>22</xdr:row>
      <xdr:rowOff>82734</xdr:rowOff>
    </xdr:to>
    <xdr:sp macro="" textlink="">
      <xdr:nvSpPr>
        <xdr:cNvPr id="52" name="Freeform 10708">
          <a:extLst>
            <a:ext uri="{FF2B5EF4-FFF2-40B4-BE49-F238E27FC236}">
              <a16:creationId xmlns:a16="http://schemas.microsoft.com/office/drawing/2014/main" id="{2330D0DB-1EE5-4D76-8504-E0FAFA873F6F}"/>
            </a:ext>
          </a:extLst>
        </xdr:cNvPr>
        <xdr:cNvSpPr>
          <a:spLocks/>
        </xdr:cNvSpPr>
      </xdr:nvSpPr>
      <xdr:spPr bwMode="auto">
        <a:xfrm>
          <a:off x="1467952" y="4235020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341227</xdr:colOff>
      <xdr:row>21</xdr:row>
      <xdr:rowOff>168428</xdr:rowOff>
    </xdr:from>
    <xdr:to>
      <xdr:col>10</xdr:col>
      <xdr:colOff>429804</xdr:colOff>
      <xdr:row>23</xdr:row>
      <xdr:rowOff>195099</xdr:rowOff>
    </xdr:to>
    <xdr:sp macro="" textlink="">
      <xdr:nvSpPr>
        <xdr:cNvPr id="53" name="3">
          <a:extLst>
            <a:ext uri="{FF2B5EF4-FFF2-40B4-BE49-F238E27FC236}">
              <a16:creationId xmlns:a16="http://schemas.microsoft.com/office/drawing/2014/main" id="{DB38400A-26B9-47F0-8B1E-96F9DA18CD5D}"/>
            </a:ext>
          </a:extLst>
        </xdr:cNvPr>
        <xdr:cNvSpPr>
          <a:spLocks noChangeArrowheads="1"/>
        </xdr:cNvSpPr>
      </xdr:nvSpPr>
      <xdr:spPr bwMode="auto">
        <a:xfrm>
          <a:off x="3567027" y="4232428"/>
          <a:ext cx="412427" cy="38862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417767</xdr:colOff>
      <xdr:row>21</xdr:row>
      <xdr:rowOff>172598</xdr:rowOff>
    </xdr:from>
    <xdr:to>
      <xdr:col>8</xdr:col>
      <xdr:colOff>379042</xdr:colOff>
      <xdr:row>23</xdr:row>
      <xdr:rowOff>178036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ABFFDE47-EC45-4AE0-86D1-C74554F3293A}"/>
            </a:ext>
          </a:extLst>
        </xdr:cNvPr>
        <xdr:cNvSpPr>
          <a:spLocks noChangeArrowheads="1"/>
        </xdr:cNvSpPr>
      </xdr:nvSpPr>
      <xdr:spPr bwMode="auto">
        <a:xfrm>
          <a:off x="2824417" y="4236598"/>
          <a:ext cx="380375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162633</xdr:colOff>
      <xdr:row>21</xdr:row>
      <xdr:rowOff>160038</xdr:rowOff>
    </xdr:from>
    <xdr:to>
      <xdr:col>12</xdr:col>
      <xdr:colOff>251576</xdr:colOff>
      <xdr:row>22</xdr:row>
      <xdr:rowOff>84783</xdr:rowOff>
    </xdr:to>
    <xdr:sp macro="" textlink="">
      <xdr:nvSpPr>
        <xdr:cNvPr id="55" name="Freeform 10708">
          <a:extLst>
            <a:ext uri="{FF2B5EF4-FFF2-40B4-BE49-F238E27FC236}">
              <a16:creationId xmlns:a16="http://schemas.microsoft.com/office/drawing/2014/main" id="{D5450FBC-39C9-41EE-8224-685318B3A397}"/>
            </a:ext>
          </a:extLst>
        </xdr:cNvPr>
        <xdr:cNvSpPr>
          <a:spLocks/>
        </xdr:cNvSpPr>
      </xdr:nvSpPr>
      <xdr:spPr bwMode="auto">
        <a:xfrm>
          <a:off x="3756733" y="4224038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177102</xdr:colOff>
      <xdr:row>21</xdr:row>
      <xdr:rowOff>160038</xdr:rowOff>
    </xdr:from>
    <xdr:to>
      <xdr:col>10</xdr:col>
      <xdr:colOff>184603</xdr:colOff>
      <xdr:row>22</xdr:row>
      <xdr:rowOff>72877</xdr:rowOff>
    </xdr:to>
    <xdr:sp macro="" textlink="">
      <xdr:nvSpPr>
        <xdr:cNvPr id="56" name="Freeform 10708">
          <a:extLst>
            <a:ext uri="{FF2B5EF4-FFF2-40B4-BE49-F238E27FC236}">
              <a16:creationId xmlns:a16="http://schemas.microsoft.com/office/drawing/2014/main" id="{7567DF0F-4AC7-4C9C-881C-9A71CE1CE96A}"/>
            </a:ext>
          </a:extLst>
        </xdr:cNvPr>
        <xdr:cNvSpPr>
          <a:spLocks/>
        </xdr:cNvSpPr>
      </xdr:nvSpPr>
      <xdr:spPr bwMode="auto">
        <a:xfrm>
          <a:off x="3002852" y="4224038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349209</xdr:colOff>
      <xdr:row>21</xdr:row>
      <xdr:rowOff>148370</xdr:rowOff>
    </xdr:from>
    <xdr:to>
      <xdr:col>14</xdr:col>
      <xdr:colOff>386847</xdr:colOff>
      <xdr:row>23</xdr:row>
      <xdr:rowOff>175041</xdr:rowOff>
    </xdr:to>
    <xdr:sp macro="" textlink="">
      <xdr:nvSpPr>
        <xdr:cNvPr id="57" name="3">
          <a:extLst>
            <a:ext uri="{FF2B5EF4-FFF2-40B4-BE49-F238E27FC236}">
              <a16:creationId xmlns:a16="http://schemas.microsoft.com/office/drawing/2014/main" id="{1256C6D5-3B2F-453E-B509-11D49963FA8B}"/>
            </a:ext>
          </a:extLst>
        </xdr:cNvPr>
        <xdr:cNvSpPr>
          <a:spLocks noChangeArrowheads="1"/>
        </xdr:cNvSpPr>
      </xdr:nvSpPr>
      <xdr:spPr bwMode="auto">
        <a:xfrm>
          <a:off x="5016459" y="4212370"/>
          <a:ext cx="38688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2982</xdr:colOff>
      <xdr:row>21</xdr:row>
      <xdr:rowOff>172169</xdr:rowOff>
    </xdr:from>
    <xdr:to>
      <xdr:col>12</xdr:col>
      <xdr:colOff>387880</xdr:colOff>
      <xdr:row>23</xdr:row>
      <xdr:rowOff>177607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8126952B-72A6-4496-A36C-2890A8260FEE}"/>
            </a:ext>
          </a:extLst>
        </xdr:cNvPr>
        <xdr:cNvSpPr>
          <a:spLocks noChangeArrowheads="1"/>
        </xdr:cNvSpPr>
      </xdr:nvSpPr>
      <xdr:spPr bwMode="auto">
        <a:xfrm>
          <a:off x="4333682" y="4236169"/>
          <a:ext cx="384898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189729</xdr:colOff>
      <xdr:row>21</xdr:row>
      <xdr:rowOff>162392</xdr:rowOff>
    </xdr:from>
    <xdr:to>
      <xdr:col>14</xdr:col>
      <xdr:colOff>182227</xdr:colOff>
      <xdr:row>22</xdr:row>
      <xdr:rowOff>75231</xdr:rowOff>
    </xdr:to>
    <xdr:sp macro="" textlink="">
      <xdr:nvSpPr>
        <xdr:cNvPr id="59" name="Freeform 10708">
          <a:extLst>
            <a:ext uri="{FF2B5EF4-FFF2-40B4-BE49-F238E27FC236}">
              <a16:creationId xmlns:a16="http://schemas.microsoft.com/office/drawing/2014/main" id="{2A684AAA-D51D-4667-A763-B056A10A7AEB}"/>
            </a:ext>
          </a:extLst>
        </xdr:cNvPr>
        <xdr:cNvSpPr>
          <a:spLocks/>
        </xdr:cNvSpPr>
      </xdr:nvSpPr>
      <xdr:spPr bwMode="auto">
        <a:xfrm>
          <a:off x="4520429" y="4226392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360721</xdr:colOff>
      <xdr:row>21</xdr:row>
      <xdr:rowOff>173444</xdr:rowOff>
    </xdr:from>
    <xdr:to>
      <xdr:col>19</xdr:col>
      <xdr:colOff>3417</xdr:colOff>
      <xdr:row>23</xdr:row>
      <xdr:rowOff>178882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BD64415-3091-4E65-A4C9-26F63866C5CB}"/>
            </a:ext>
          </a:extLst>
        </xdr:cNvPr>
        <xdr:cNvSpPr>
          <a:spLocks noChangeArrowheads="1"/>
        </xdr:cNvSpPr>
      </xdr:nvSpPr>
      <xdr:spPr bwMode="auto">
        <a:xfrm>
          <a:off x="6577371" y="4237444"/>
          <a:ext cx="44914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175155</xdr:colOff>
      <xdr:row>21</xdr:row>
      <xdr:rowOff>167959</xdr:rowOff>
    </xdr:from>
    <xdr:to>
      <xdr:col>22</xdr:col>
      <xdr:colOff>180263</xdr:colOff>
      <xdr:row>22</xdr:row>
      <xdr:rowOff>85628</xdr:rowOff>
    </xdr:to>
    <xdr:sp macro="" textlink="">
      <xdr:nvSpPr>
        <xdr:cNvPr id="61" name="Freeform 10708">
          <a:extLst>
            <a:ext uri="{FF2B5EF4-FFF2-40B4-BE49-F238E27FC236}">
              <a16:creationId xmlns:a16="http://schemas.microsoft.com/office/drawing/2014/main" id="{935B4232-BA3D-46D3-BA4B-06F2DED143A5}"/>
            </a:ext>
          </a:extLst>
        </xdr:cNvPr>
        <xdr:cNvSpPr>
          <a:spLocks/>
        </xdr:cNvSpPr>
      </xdr:nvSpPr>
      <xdr:spPr bwMode="auto">
        <a:xfrm>
          <a:off x="7566555" y="4231959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185995</xdr:colOff>
      <xdr:row>21</xdr:row>
      <xdr:rowOff>172292</xdr:rowOff>
    </xdr:from>
    <xdr:to>
      <xdr:col>20</xdr:col>
      <xdr:colOff>185994</xdr:colOff>
      <xdr:row>22</xdr:row>
      <xdr:rowOff>84853</xdr:rowOff>
    </xdr:to>
    <xdr:sp macro="" textlink="">
      <xdr:nvSpPr>
        <xdr:cNvPr id="62" name="Freeform 10708">
          <a:extLst>
            <a:ext uri="{FF2B5EF4-FFF2-40B4-BE49-F238E27FC236}">
              <a16:creationId xmlns:a16="http://schemas.microsoft.com/office/drawing/2014/main" id="{74171966-1C6E-4F8F-8300-E23AD746203A}"/>
            </a:ext>
          </a:extLst>
        </xdr:cNvPr>
        <xdr:cNvSpPr>
          <a:spLocks/>
        </xdr:cNvSpPr>
      </xdr:nvSpPr>
      <xdr:spPr bwMode="auto">
        <a:xfrm>
          <a:off x="6809045" y="4236292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355096</xdr:colOff>
      <xdr:row>21</xdr:row>
      <xdr:rowOff>149646</xdr:rowOff>
    </xdr:from>
    <xdr:to>
      <xdr:col>25</xdr:col>
      <xdr:colOff>3153</xdr:colOff>
      <xdr:row>23</xdr:row>
      <xdr:rowOff>176317</xdr:rowOff>
    </xdr:to>
    <xdr:sp macro="" textlink="">
      <xdr:nvSpPr>
        <xdr:cNvPr id="63" name="3">
          <a:extLst>
            <a:ext uri="{FF2B5EF4-FFF2-40B4-BE49-F238E27FC236}">
              <a16:creationId xmlns:a16="http://schemas.microsoft.com/office/drawing/2014/main" id="{ACB328EF-9D4D-45AB-B22D-5DD123CA1DA9}"/>
            </a:ext>
          </a:extLst>
        </xdr:cNvPr>
        <xdr:cNvSpPr>
          <a:spLocks noChangeArrowheads="1"/>
        </xdr:cNvSpPr>
      </xdr:nvSpPr>
      <xdr:spPr bwMode="auto">
        <a:xfrm>
          <a:off x="8921246" y="4213646"/>
          <a:ext cx="435457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21</xdr:col>
      <xdr:colOff>319924</xdr:colOff>
      <xdr:row>21</xdr:row>
      <xdr:rowOff>168608</xdr:rowOff>
    </xdr:from>
    <xdr:to>
      <xdr:col>22</xdr:col>
      <xdr:colOff>350795</xdr:colOff>
      <xdr:row>23</xdr:row>
      <xdr:rowOff>174046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0D5709AC-F56C-48EF-ACA1-072B0F3D7EBC}"/>
            </a:ext>
          </a:extLst>
        </xdr:cNvPr>
        <xdr:cNvSpPr>
          <a:spLocks noChangeArrowheads="1"/>
        </xdr:cNvSpPr>
      </xdr:nvSpPr>
      <xdr:spPr bwMode="auto">
        <a:xfrm>
          <a:off x="8117724" y="4232608"/>
          <a:ext cx="399171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170133</xdr:colOff>
      <xdr:row>21</xdr:row>
      <xdr:rowOff>162393</xdr:rowOff>
    </xdr:from>
    <xdr:to>
      <xdr:col>26</xdr:col>
      <xdr:colOff>183046</xdr:colOff>
      <xdr:row>22</xdr:row>
      <xdr:rowOff>77281</xdr:rowOff>
    </xdr:to>
    <xdr:sp macro="" textlink="">
      <xdr:nvSpPr>
        <xdr:cNvPr id="65" name="Freeform 10708">
          <a:extLst>
            <a:ext uri="{FF2B5EF4-FFF2-40B4-BE49-F238E27FC236}">
              <a16:creationId xmlns:a16="http://schemas.microsoft.com/office/drawing/2014/main" id="{17278F2E-0132-4527-B1A2-350EACCC7F23}"/>
            </a:ext>
          </a:extLst>
        </xdr:cNvPr>
        <xdr:cNvSpPr>
          <a:spLocks/>
        </xdr:cNvSpPr>
      </xdr:nvSpPr>
      <xdr:spPr bwMode="auto">
        <a:xfrm>
          <a:off x="9123633" y="4226393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189322</xdr:colOff>
      <xdr:row>21</xdr:row>
      <xdr:rowOff>159611</xdr:rowOff>
    </xdr:from>
    <xdr:to>
      <xdr:col>24</xdr:col>
      <xdr:colOff>169132</xdr:colOff>
      <xdr:row>22</xdr:row>
      <xdr:rowOff>82072</xdr:rowOff>
    </xdr:to>
    <xdr:sp macro="" textlink="">
      <xdr:nvSpPr>
        <xdr:cNvPr id="66" name="Freeform 10708">
          <a:extLst>
            <a:ext uri="{FF2B5EF4-FFF2-40B4-BE49-F238E27FC236}">
              <a16:creationId xmlns:a16="http://schemas.microsoft.com/office/drawing/2014/main" id="{CB92808A-63DC-4F60-8DD0-E2E0F52B7D07}"/>
            </a:ext>
          </a:extLst>
        </xdr:cNvPr>
        <xdr:cNvSpPr>
          <a:spLocks/>
        </xdr:cNvSpPr>
      </xdr:nvSpPr>
      <xdr:spPr bwMode="auto">
        <a:xfrm>
          <a:off x="8355422" y="4223611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373078</xdr:colOff>
      <xdr:row>21</xdr:row>
      <xdr:rowOff>157661</xdr:rowOff>
    </xdr:from>
    <xdr:to>
      <xdr:col>29</xdr:col>
      <xdr:colOff>217</xdr:colOff>
      <xdr:row>23</xdr:row>
      <xdr:rowOff>184332</xdr:rowOff>
    </xdr:to>
    <xdr:sp macro="" textlink="">
      <xdr:nvSpPr>
        <xdr:cNvPr id="67" name="3">
          <a:extLst>
            <a:ext uri="{FF2B5EF4-FFF2-40B4-BE49-F238E27FC236}">
              <a16:creationId xmlns:a16="http://schemas.microsoft.com/office/drawing/2014/main" id="{9C89623C-7AD5-4C74-B364-B6501C955F0A}"/>
            </a:ext>
          </a:extLst>
        </xdr:cNvPr>
        <xdr:cNvSpPr>
          <a:spLocks noChangeArrowheads="1"/>
        </xdr:cNvSpPr>
      </xdr:nvSpPr>
      <xdr:spPr bwMode="auto">
        <a:xfrm>
          <a:off x="10533078" y="4221661"/>
          <a:ext cx="43358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25</xdr:col>
      <xdr:colOff>360131</xdr:colOff>
      <xdr:row>21</xdr:row>
      <xdr:rowOff>174043</xdr:rowOff>
    </xdr:from>
    <xdr:to>
      <xdr:col>26</xdr:col>
      <xdr:colOff>380292</xdr:colOff>
      <xdr:row>23</xdr:row>
      <xdr:rowOff>179759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5BF37F37-1635-47D3-ACF8-8269E42ED7B9}"/>
            </a:ext>
          </a:extLst>
        </xdr:cNvPr>
        <xdr:cNvSpPr>
          <a:spLocks noChangeArrowheads="1"/>
        </xdr:cNvSpPr>
      </xdr:nvSpPr>
      <xdr:spPr bwMode="auto">
        <a:xfrm>
          <a:off x="9713681" y="4238043"/>
          <a:ext cx="426561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186979</xdr:colOff>
      <xdr:row>21</xdr:row>
      <xdr:rowOff>162394</xdr:rowOff>
    </xdr:from>
    <xdr:to>
      <xdr:col>28</xdr:col>
      <xdr:colOff>185828</xdr:colOff>
      <xdr:row>22</xdr:row>
      <xdr:rowOff>67751</xdr:rowOff>
    </xdr:to>
    <xdr:sp macro="" textlink="">
      <xdr:nvSpPr>
        <xdr:cNvPr id="69" name="Freeform 10708">
          <a:extLst>
            <a:ext uri="{FF2B5EF4-FFF2-40B4-BE49-F238E27FC236}">
              <a16:creationId xmlns:a16="http://schemas.microsoft.com/office/drawing/2014/main" id="{883144CE-6805-4B7F-B378-4709D92928D1}"/>
            </a:ext>
          </a:extLst>
        </xdr:cNvPr>
        <xdr:cNvSpPr>
          <a:spLocks/>
        </xdr:cNvSpPr>
      </xdr:nvSpPr>
      <xdr:spPr bwMode="auto">
        <a:xfrm>
          <a:off x="9946929" y="4226394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3659</xdr:colOff>
      <xdr:row>21</xdr:row>
      <xdr:rowOff>143266</xdr:rowOff>
    </xdr:from>
    <xdr:to>
      <xdr:col>30</xdr:col>
      <xdr:colOff>386900</xdr:colOff>
      <xdr:row>23</xdr:row>
      <xdr:rowOff>169937</xdr:rowOff>
    </xdr:to>
    <xdr:sp macro="" textlink="">
      <xdr:nvSpPr>
        <xdr:cNvPr id="70" name="3">
          <a:extLst>
            <a:ext uri="{FF2B5EF4-FFF2-40B4-BE49-F238E27FC236}">
              <a16:creationId xmlns:a16="http://schemas.microsoft.com/office/drawing/2014/main" id="{B2782CFB-91DC-4343-A54E-BAFBAC4EB1ED}"/>
            </a:ext>
          </a:extLst>
        </xdr:cNvPr>
        <xdr:cNvSpPr>
          <a:spLocks noChangeArrowheads="1"/>
        </xdr:cNvSpPr>
      </xdr:nvSpPr>
      <xdr:spPr bwMode="auto">
        <a:xfrm>
          <a:off x="11332059" y="4207266"/>
          <a:ext cx="38324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5</xdr:col>
      <xdr:colOff>360795</xdr:colOff>
      <xdr:row>32</xdr:row>
      <xdr:rowOff>161619</xdr:rowOff>
    </xdr:from>
    <xdr:to>
      <xdr:col>6</xdr:col>
      <xdr:colOff>379494</xdr:colOff>
      <xdr:row>35</xdr:row>
      <xdr:rowOff>633</xdr:rowOff>
    </xdr:to>
    <xdr:sp macro="" textlink="">
      <xdr:nvSpPr>
        <xdr:cNvPr id="71" name="3">
          <a:extLst>
            <a:ext uri="{FF2B5EF4-FFF2-40B4-BE49-F238E27FC236}">
              <a16:creationId xmlns:a16="http://schemas.microsoft.com/office/drawing/2014/main" id="{90B6F48B-8E7B-4DDA-81AA-E058922660F5}"/>
            </a:ext>
          </a:extLst>
        </xdr:cNvPr>
        <xdr:cNvSpPr>
          <a:spLocks noChangeArrowheads="1"/>
        </xdr:cNvSpPr>
      </xdr:nvSpPr>
      <xdr:spPr bwMode="auto">
        <a:xfrm>
          <a:off x="2037195" y="6168719"/>
          <a:ext cx="399699" cy="397814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</xdr:col>
      <xdr:colOff>359104</xdr:colOff>
      <xdr:row>32</xdr:row>
      <xdr:rowOff>178923</xdr:rowOff>
    </xdr:from>
    <xdr:to>
      <xdr:col>4</xdr:col>
      <xdr:colOff>378514</xdr:colOff>
      <xdr:row>34</xdr:row>
      <xdr:rowOff>183236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37C9FFB8-FC51-4E39-A475-9D2BCA01CA87}"/>
            </a:ext>
          </a:extLst>
        </xdr:cNvPr>
        <xdr:cNvSpPr>
          <a:spLocks noChangeArrowheads="1"/>
        </xdr:cNvSpPr>
      </xdr:nvSpPr>
      <xdr:spPr bwMode="auto">
        <a:xfrm>
          <a:off x="1267154" y="6186023"/>
          <a:ext cx="387710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186575</xdr:colOff>
      <xdr:row>32</xdr:row>
      <xdr:rowOff>176765</xdr:rowOff>
    </xdr:from>
    <xdr:to>
      <xdr:col>4</xdr:col>
      <xdr:colOff>186575</xdr:colOff>
      <xdr:row>33</xdr:row>
      <xdr:rowOff>88480</xdr:rowOff>
    </xdr:to>
    <xdr:sp macro="" textlink="">
      <xdr:nvSpPr>
        <xdr:cNvPr id="73" name="Freeform 10708">
          <a:extLst>
            <a:ext uri="{FF2B5EF4-FFF2-40B4-BE49-F238E27FC236}">
              <a16:creationId xmlns:a16="http://schemas.microsoft.com/office/drawing/2014/main" id="{BBEE93AE-0D2F-4E6F-A61E-0C8A34F79172}"/>
            </a:ext>
          </a:extLst>
        </xdr:cNvPr>
        <xdr:cNvSpPr>
          <a:spLocks/>
        </xdr:cNvSpPr>
      </xdr:nvSpPr>
      <xdr:spPr bwMode="auto">
        <a:xfrm>
          <a:off x="694575" y="6183865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166763</xdr:colOff>
      <xdr:row>32</xdr:row>
      <xdr:rowOff>176766</xdr:rowOff>
    </xdr:from>
    <xdr:to>
      <xdr:col>8</xdr:col>
      <xdr:colOff>188195</xdr:colOff>
      <xdr:row>33</xdr:row>
      <xdr:rowOff>100387</xdr:rowOff>
    </xdr:to>
    <xdr:sp macro="" textlink="">
      <xdr:nvSpPr>
        <xdr:cNvPr id="74" name="Freeform 10708">
          <a:extLst>
            <a:ext uri="{FF2B5EF4-FFF2-40B4-BE49-F238E27FC236}">
              <a16:creationId xmlns:a16="http://schemas.microsoft.com/office/drawing/2014/main" id="{56FD1227-5E43-4B74-948D-CB6EE8985E73}"/>
            </a:ext>
          </a:extLst>
        </xdr:cNvPr>
        <xdr:cNvSpPr>
          <a:spLocks/>
        </xdr:cNvSpPr>
      </xdr:nvSpPr>
      <xdr:spPr bwMode="auto">
        <a:xfrm>
          <a:off x="2224163" y="6183866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288702</xdr:colOff>
      <xdr:row>32</xdr:row>
      <xdr:rowOff>178297</xdr:rowOff>
    </xdr:from>
    <xdr:to>
      <xdr:col>2</xdr:col>
      <xdr:colOff>377123</xdr:colOff>
      <xdr:row>34</xdr:row>
      <xdr:rowOff>182054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C00A0AF5-44D6-4278-85E9-867DF8B42C0D}"/>
            </a:ext>
          </a:extLst>
        </xdr:cNvPr>
        <xdr:cNvSpPr>
          <a:spLocks noChangeArrowheads="1"/>
        </xdr:cNvSpPr>
      </xdr:nvSpPr>
      <xdr:spPr bwMode="auto">
        <a:xfrm>
          <a:off x="498252" y="6185397"/>
          <a:ext cx="386871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7056</xdr:colOff>
      <xdr:row>32</xdr:row>
      <xdr:rowOff>151762</xdr:rowOff>
    </xdr:from>
    <xdr:to>
      <xdr:col>10</xdr:col>
      <xdr:colOff>378190</xdr:colOff>
      <xdr:row>34</xdr:row>
      <xdr:rowOff>178433</xdr:rowOff>
    </xdr:to>
    <xdr:sp macro="" textlink="">
      <xdr:nvSpPr>
        <xdr:cNvPr id="76" name="3">
          <a:extLst>
            <a:ext uri="{FF2B5EF4-FFF2-40B4-BE49-F238E27FC236}">
              <a16:creationId xmlns:a16="http://schemas.microsoft.com/office/drawing/2014/main" id="{87C46F34-346B-4B54-9788-73F6F1DCECEC}"/>
            </a:ext>
          </a:extLst>
        </xdr:cNvPr>
        <xdr:cNvSpPr>
          <a:spLocks noChangeArrowheads="1"/>
        </xdr:cNvSpPr>
      </xdr:nvSpPr>
      <xdr:spPr bwMode="auto">
        <a:xfrm>
          <a:off x="3601156" y="6158862"/>
          <a:ext cx="37113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414898</xdr:colOff>
      <xdr:row>32</xdr:row>
      <xdr:rowOff>170724</xdr:rowOff>
    </xdr:from>
    <xdr:to>
      <xdr:col>8</xdr:col>
      <xdr:colOff>376173</xdr:colOff>
      <xdr:row>34</xdr:row>
      <xdr:rowOff>176162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06443D68-F4D5-431B-820F-650442AB2FBF}"/>
            </a:ext>
          </a:extLst>
        </xdr:cNvPr>
        <xdr:cNvSpPr>
          <a:spLocks noChangeArrowheads="1"/>
        </xdr:cNvSpPr>
      </xdr:nvSpPr>
      <xdr:spPr bwMode="auto">
        <a:xfrm>
          <a:off x="2827898" y="6177824"/>
          <a:ext cx="374025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159764</xdr:colOff>
      <xdr:row>32</xdr:row>
      <xdr:rowOff>165784</xdr:rowOff>
    </xdr:from>
    <xdr:to>
      <xdr:col>12</xdr:col>
      <xdr:colOff>248707</xdr:colOff>
      <xdr:row>33</xdr:row>
      <xdr:rowOff>90530</xdr:rowOff>
    </xdr:to>
    <xdr:sp macro="" textlink="">
      <xdr:nvSpPr>
        <xdr:cNvPr id="78" name="Freeform 10708">
          <a:extLst>
            <a:ext uri="{FF2B5EF4-FFF2-40B4-BE49-F238E27FC236}">
              <a16:creationId xmlns:a16="http://schemas.microsoft.com/office/drawing/2014/main" id="{CC4DED2C-9838-40EE-A6A9-36BF1C2C3A3C}"/>
            </a:ext>
          </a:extLst>
        </xdr:cNvPr>
        <xdr:cNvSpPr>
          <a:spLocks/>
        </xdr:cNvSpPr>
      </xdr:nvSpPr>
      <xdr:spPr bwMode="auto">
        <a:xfrm>
          <a:off x="3753864" y="6172884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174233</xdr:colOff>
      <xdr:row>32</xdr:row>
      <xdr:rowOff>165784</xdr:rowOff>
    </xdr:from>
    <xdr:to>
      <xdr:col>10</xdr:col>
      <xdr:colOff>181734</xdr:colOff>
      <xdr:row>33</xdr:row>
      <xdr:rowOff>78624</xdr:rowOff>
    </xdr:to>
    <xdr:sp macro="" textlink="">
      <xdr:nvSpPr>
        <xdr:cNvPr id="79" name="Freeform 10708">
          <a:extLst>
            <a:ext uri="{FF2B5EF4-FFF2-40B4-BE49-F238E27FC236}">
              <a16:creationId xmlns:a16="http://schemas.microsoft.com/office/drawing/2014/main" id="{15E4BA3B-1551-48E1-883D-407475772E0A}"/>
            </a:ext>
          </a:extLst>
        </xdr:cNvPr>
        <xdr:cNvSpPr>
          <a:spLocks/>
        </xdr:cNvSpPr>
      </xdr:nvSpPr>
      <xdr:spPr bwMode="auto">
        <a:xfrm>
          <a:off x="2999983" y="6172884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338720</xdr:colOff>
      <xdr:row>32</xdr:row>
      <xdr:rowOff>154116</xdr:rowOff>
    </xdr:from>
    <xdr:to>
      <xdr:col>14</xdr:col>
      <xdr:colOff>376358</xdr:colOff>
      <xdr:row>34</xdr:row>
      <xdr:rowOff>180787</xdr:rowOff>
    </xdr:to>
    <xdr:sp macro="" textlink="">
      <xdr:nvSpPr>
        <xdr:cNvPr id="80" name="3">
          <a:extLst>
            <a:ext uri="{FF2B5EF4-FFF2-40B4-BE49-F238E27FC236}">
              <a16:creationId xmlns:a16="http://schemas.microsoft.com/office/drawing/2014/main" id="{CE3B19F6-A48D-498B-9226-8FD7A4120DB0}"/>
            </a:ext>
          </a:extLst>
        </xdr:cNvPr>
        <xdr:cNvSpPr>
          <a:spLocks noChangeArrowheads="1"/>
        </xdr:cNvSpPr>
      </xdr:nvSpPr>
      <xdr:spPr bwMode="auto">
        <a:xfrm>
          <a:off x="5018670" y="6161216"/>
          <a:ext cx="374188" cy="394971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360606</xdr:colOff>
      <xdr:row>32</xdr:row>
      <xdr:rowOff>170295</xdr:rowOff>
    </xdr:from>
    <xdr:to>
      <xdr:col>12</xdr:col>
      <xdr:colOff>377391</xdr:colOff>
      <xdr:row>34</xdr:row>
      <xdr:rowOff>175733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782724EB-F75C-4EC0-819A-23F8FD4856B2}"/>
            </a:ext>
          </a:extLst>
        </xdr:cNvPr>
        <xdr:cNvSpPr>
          <a:spLocks noChangeArrowheads="1"/>
        </xdr:cNvSpPr>
      </xdr:nvSpPr>
      <xdr:spPr bwMode="auto">
        <a:xfrm>
          <a:off x="4329356" y="6177395"/>
          <a:ext cx="378735" cy="373738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157388</xdr:colOff>
      <xdr:row>32</xdr:row>
      <xdr:rowOff>176766</xdr:rowOff>
    </xdr:from>
    <xdr:to>
      <xdr:col>18</xdr:col>
      <xdr:colOff>174611</xdr:colOff>
      <xdr:row>33</xdr:row>
      <xdr:rowOff>92884</xdr:rowOff>
    </xdr:to>
    <xdr:sp macro="" textlink="">
      <xdr:nvSpPr>
        <xdr:cNvPr id="82" name="Freeform 10708">
          <a:extLst>
            <a:ext uri="{FF2B5EF4-FFF2-40B4-BE49-F238E27FC236}">
              <a16:creationId xmlns:a16="http://schemas.microsoft.com/office/drawing/2014/main" id="{A6BA72BC-D09E-4ED9-A36B-1C8E760DA269}"/>
            </a:ext>
          </a:extLst>
        </xdr:cNvPr>
        <xdr:cNvSpPr>
          <a:spLocks/>
        </xdr:cNvSpPr>
      </xdr:nvSpPr>
      <xdr:spPr bwMode="auto">
        <a:xfrm>
          <a:off x="5173888" y="6183866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186860</xdr:colOff>
      <xdr:row>32</xdr:row>
      <xdr:rowOff>168138</xdr:rowOff>
    </xdr:from>
    <xdr:to>
      <xdr:col>14</xdr:col>
      <xdr:colOff>179358</xdr:colOff>
      <xdr:row>33</xdr:row>
      <xdr:rowOff>80978</xdr:rowOff>
    </xdr:to>
    <xdr:sp macro="" textlink="">
      <xdr:nvSpPr>
        <xdr:cNvPr id="83" name="Freeform 10708">
          <a:extLst>
            <a:ext uri="{FF2B5EF4-FFF2-40B4-BE49-F238E27FC236}">
              <a16:creationId xmlns:a16="http://schemas.microsoft.com/office/drawing/2014/main" id="{9E217A29-0280-4AF6-B456-4A9EFB437C81}"/>
            </a:ext>
          </a:extLst>
        </xdr:cNvPr>
        <xdr:cNvSpPr>
          <a:spLocks/>
        </xdr:cNvSpPr>
      </xdr:nvSpPr>
      <xdr:spPr bwMode="auto">
        <a:xfrm>
          <a:off x="4517560" y="6175238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355071</xdr:colOff>
      <xdr:row>32</xdr:row>
      <xdr:rowOff>152608</xdr:rowOff>
    </xdr:from>
    <xdr:to>
      <xdr:col>20</xdr:col>
      <xdr:colOff>386613</xdr:colOff>
      <xdr:row>34</xdr:row>
      <xdr:rowOff>179279</xdr:rowOff>
    </xdr:to>
    <xdr:sp macro="" textlink="">
      <xdr:nvSpPr>
        <xdr:cNvPr id="84" name="3">
          <a:extLst>
            <a:ext uri="{FF2B5EF4-FFF2-40B4-BE49-F238E27FC236}">
              <a16:creationId xmlns:a16="http://schemas.microsoft.com/office/drawing/2014/main" id="{F89ACDC3-9E64-445C-9DD5-7C47849EA877}"/>
            </a:ext>
          </a:extLst>
        </xdr:cNvPr>
        <xdr:cNvSpPr>
          <a:spLocks noChangeArrowheads="1"/>
        </xdr:cNvSpPr>
      </xdr:nvSpPr>
      <xdr:spPr bwMode="auto">
        <a:xfrm>
          <a:off x="7378171" y="6159708"/>
          <a:ext cx="399842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18</xdr:col>
      <xdr:colOff>0</xdr:colOff>
      <xdr:row>32</xdr:row>
      <xdr:rowOff>171570</xdr:rowOff>
    </xdr:from>
    <xdr:to>
      <xdr:col>18</xdr:col>
      <xdr:colOff>395112</xdr:colOff>
      <xdr:row>34</xdr:row>
      <xdr:rowOff>177008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1B7B1372-7D14-43E5-A879-9F0DEE753656}"/>
            </a:ext>
          </a:extLst>
        </xdr:cNvPr>
        <xdr:cNvSpPr>
          <a:spLocks noChangeArrowheads="1"/>
        </xdr:cNvSpPr>
      </xdr:nvSpPr>
      <xdr:spPr bwMode="auto">
        <a:xfrm>
          <a:off x="6623050" y="6178670"/>
          <a:ext cx="395112" cy="373738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172286</xdr:colOff>
      <xdr:row>32</xdr:row>
      <xdr:rowOff>173705</xdr:rowOff>
    </xdr:from>
    <xdr:to>
      <xdr:col>22</xdr:col>
      <xdr:colOff>177394</xdr:colOff>
      <xdr:row>33</xdr:row>
      <xdr:rowOff>91375</xdr:rowOff>
    </xdr:to>
    <xdr:sp macro="" textlink="">
      <xdr:nvSpPr>
        <xdr:cNvPr id="86" name="Freeform 10708">
          <a:extLst>
            <a:ext uri="{FF2B5EF4-FFF2-40B4-BE49-F238E27FC236}">
              <a16:creationId xmlns:a16="http://schemas.microsoft.com/office/drawing/2014/main" id="{94E70C54-6EC2-406C-B60B-0BEFFF1E1AB3}"/>
            </a:ext>
          </a:extLst>
        </xdr:cNvPr>
        <xdr:cNvSpPr>
          <a:spLocks/>
        </xdr:cNvSpPr>
      </xdr:nvSpPr>
      <xdr:spPr bwMode="auto">
        <a:xfrm>
          <a:off x="7563686" y="6180805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183126</xdr:colOff>
      <xdr:row>32</xdr:row>
      <xdr:rowOff>178038</xdr:rowOff>
    </xdr:from>
    <xdr:to>
      <xdr:col>20</xdr:col>
      <xdr:colOff>183125</xdr:colOff>
      <xdr:row>33</xdr:row>
      <xdr:rowOff>90600</xdr:rowOff>
    </xdr:to>
    <xdr:sp macro="" textlink="">
      <xdr:nvSpPr>
        <xdr:cNvPr id="87" name="Freeform 10708">
          <a:extLst>
            <a:ext uri="{FF2B5EF4-FFF2-40B4-BE49-F238E27FC236}">
              <a16:creationId xmlns:a16="http://schemas.microsoft.com/office/drawing/2014/main" id="{389B5532-2A78-452A-BA7A-C3EDA1410EA9}"/>
            </a:ext>
          </a:extLst>
        </xdr:cNvPr>
        <xdr:cNvSpPr>
          <a:spLocks/>
        </xdr:cNvSpPr>
      </xdr:nvSpPr>
      <xdr:spPr bwMode="auto">
        <a:xfrm>
          <a:off x="6806176" y="6185138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352227</xdr:colOff>
      <xdr:row>32</xdr:row>
      <xdr:rowOff>155392</xdr:rowOff>
    </xdr:from>
    <xdr:to>
      <xdr:col>25</xdr:col>
      <xdr:colOff>284</xdr:colOff>
      <xdr:row>34</xdr:row>
      <xdr:rowOff>182063</xdr:rowOff>
    </xdr:to>
    <xdr:sp macro="" textlink="">
      <xdr:nvSpPr>
        <xdr:cNvPr id="88" name="3">
          <a:extLst>
            <a:ext uri="{FF2B5EF4-FFF2-40B4-BE49-F238E27FC236}">
              <a16:creationId xmlns:a16="http://schemas.microsoft.com/office/drawing/2014/main" id="{280A3F89-DC99-48AA-B486-DD11AF4067B0}"/>
            </a:ext>
          </a:extLst>
        </xdr:cNvPr>
        <xdr:cNvSpPr>
          <a:spLocks noChangeArrowheads="1"/>
        </xdr:cNvSpPr>
      </xdr:nvSpPr>
      <xdr:spPr bwMode="auto">
        <a:xfrm>
          <a:off x="8918377" y="6162492"/>
          <a:ext cx="435457" cy="394971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360198</xdr:colOff>
      <xdr:row>32</xdr:row>
      <xdr:rowOff>174354</xdr:rowOff>
    </xdr:from>
    <xdr:to>
      <xdr:col>22</xdr:col>
      <xdr:colOff>377624</xdr:colOff>
      <xdr:row>34</xdr:row>
      <xdr:rowOff>179792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CDAC1747-68D3-4D2B-916C-01A790EF6188}"/>
            </a:ext>
          </a:extLst>
        </xdr:cNvPr>
        <xdr:cNvSpPr>
          <a:spLocks noChangeArrowheads="1"/>
        </xdr:cNvSpPr>
      </xdr:nvSpPr>
      <xdr:spPr bwMode="auto">
        <a:xfrm>
          <a:off x="8157998" y="6181454"/>
          <a:ext cx="385726" cy="373738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167264</xdr:colOff>
      <xdr:row>32</xdr:row>
      <xdr:rowOff>168139</xdr:rowOff>
    </xdr:from>
    <xdr:to>
      <xdr:col>26</xdr:col>
      <xdr:colOff>180177</xdr:colOff>
      <xdr:row>33</xdr:row>
      <xdr:rowOff>83028</xdr:rowOff>
    </xdr:to>
    <xdr:sp macro="" textlink="">
      <xdr:nvSpPr>
        <xdr:cNvPr id="90" name="Freeform 10708">
          <a:extLst>
            <a:ext uri="{FF2B5EF4-FFF2-40B4-BE49-F238E27FC236}">
              <a16:creationId xmlns:a16="http://schemas.microsoft.com/office/drawing/2014/main" id="{846F6D14-4537-4EA7-B794-78AF65065C17}"/>
            </a:ext>
          </a:extLst>
        </xdr:cNvPr>
        <xdr:cNvSpPr>
          <a:spLocks/>
        </xdr:cNvSpPr>
      </xdr:nvSpPr>
      <xdr:spPr bwMode="auto">
        <a:xfrm>
          <a:off x="9120764" y="6175239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186453</xdr:colOff>
      <xdr:row>32</xdr:row>
      <xdr:rowOff>165357</xdr:rowOff>
    </xdr:from>
    <xdr:to>
      <xdr:col>24</xdr:col>
      <xdr:colOff>166263</xdr:colOff>
      <xdr:row>33</xdr:row>
      <xdr:rowOff>87819</xdr:rowOff>
    </xdr:to>
    <xdr:sp macro="" textlink="">
      <xdr:nvSpPr>
        <xdr:cNvPr id="91" name="Freeform 10708">
          <a:extLst>
            <a:ext uri="{FF2B5EF4-FFF2-40B4-BE49-F238E27FC236}">
              <a16:creationId xmlns:a16="http://schemas.microsoft.com/office/drawing/2014/main" id="{1B3FF330-78DA-4CFF-A949-EEF5D845E9EF}"/>
            </a:ext>
          </a:extLst>
        </xdr:cNvPr>
        <xdr:cNvSpPr>
          <a:spLocks/>
        </xdr:cNvSpPr>
      </xdr:nvSpPr>
      <xdr:spPr bwMode="auto">
        <a:xfrm>
          <a:off x="8352553" y="6172457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402167</xdr:colOff>
      <xdr:row>32</xdr:row>
      <xdr:rowOff>152201</xdr:rowOff>
    </xdr:from>
    <xdr:to>
      <xdr:col>28</xdr:col>
      <xdr:colOff>387873</xdr:colOff>
      <xdr:row>34</xdr:row>
      <xdr:rowOff>178872</xdr:rowOff>
    </xdr:to>
    <xdr:sp macro="" textlink="">
      <xdr:nvSpPr>
        <xdr:cNvPr id="92" name="3">
          <a:extLst>
            <a:ext uri="{FF2B5EF4-FFF2-40B4-BE49-F238E27FC236}">
              <a16:creationId xmlns:a16="http://schemas.microsoft.com/office/drawing/2014/main" id="{0E525C6C-7CCE-4278-B329-0B33E08F8B3B}"/>
            </a:ext>
          </a:extLst>
        </xdr:cNvPr>
        <xdr:cNvSpPr>
          <a:spLocks noChangeArrowheads="1"/>
        </xdr:cNvSpPr>
      </xdr:nvSpPr>
      <xdr:spPr bwMode="auto">
        <a:xfrm>
          <a:off x="10562167" y="6159301"/>
          <a:ext cx="392106" cy="394971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351</xdr:colOff>
      <xdr:row>32</xdr:row>
      <xdr:rowOff>179789</xdr:rowOff>
    </xdr:from>
    <xdr:to>
      <xdr:col>26</xdr:col>
      <xdr:colOff>395110</xdr:colOff>
      <xdr:row>34</xdr:row>
      <xdr:rowOff>180975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B8D8927E-BF6A-426E-8E3A-BC77070AD3FE}"/>
            </a:ext>
          </a:extLst>
        </xdr:cNvPr>
        <xdr:cNvSpPr>
          <a:spLocks noChangeArrowheads="1"/>
        </xdr:cNvSpPr>
      </xdr:nvSpPr>
      <xdr:spPr bwMode="auto">
        <a:xfrm>
          <a:off x="9760301" y="6186889"/>
          <a:ext cx="394759" cy="369486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194090</xdr:colOff>
      <xdr:row>32</xdr:row>
      <xdr:rowOff>165357</xdr:rowOff>
    </xdr:from>
    <xdr:to>
      <xdr:col>30</xdr:col>
      <xdr:colOff>186112</xdr:colOff>
      <xdr:row>33</xdr:row>
      <xdr:rowOff>85403</xdr:rowOff>
    </xdr:to>
    <xdr:sp macro="" textlink="">
      <xdr:nvSpPr>
        <xdr:cNvPr id="94" name="Freeform 10708">
          <a:extLst>
            <a:ext uri="{FF2B5EF4-FFF2-40B4-BE49-F238E27FC236}">
              <a16:creationId xmlns:a16="http://schemas.microsoft.com/office/drawing/2014/main" id="{FE329C48-1380-4BF6-A2FD-8F8A4B5DF69F}"/>
            </a:ext>
          </a:extLst>
        </xdr:cNvPr>
        <xdr:cNvSpPr>
          <a:spLocks/>
        </xdr:cNvSpPr>
      </xdr:nvSpPr>
      <xdr:spPr bwMode="auto">
        <a:xfrm>
          <a:off x="10760490" y="6172457"/>
          <a:ext cx="754022" cy="1041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790</xdr:colOff>
      <xdr:row>32</xdr:row>
      <xdr:rowOff>149012</xdr:rowOff>
    </xdr:from>
    <xdr:to>
      <xdr:col>30</xdr:col>
      <xdr:colOff>380109</xdr:colOff>
      <xdr:row>34</xdr:row>
      <xdr:rowOff>175683</xdr:rowOff>
    </xdr:to>
    <xdr:sp macro="" textlink="">
      <xdr:nvSpPr>
        <xdr:cNvPr id="95" name="3">
          <a:extLst>
            <a:ext uri="{FF2B5EF4-FFF2-40B4-BE49-F238E27FC236}">
              <a16:creationId xmlns:a16="http://schemas.microsoft.com/office/drawing/2014/main" id="{F56F7900-127A-41A0-9527-8D056FFF426C}"/>
            </a:ext>
          </a:extLst>
        </xdr:cNvPr>
        <xdr:cNvSpPr>
          <a:spLocks noChangeArrowheads="1"/>
        </xdr:cNvSpPr>
      </xdr:nvSpPr>
      <xdr:spPr bwMode="auto">
        <a:xfrm>
          <a:off x="11329190" y="6156112"/>
          <a:ext cx="37931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5</xdr:col>
      <xdr:colOff>360540</xdr:colOff>
      <xdr:row>42</xdr:row>
      <xdr:rowOff>167370</xdr:rowOff>
    </xdr:from>
    <xdr:to>
      <xdr:col>7</xdr:col>
      <xdr:colOff>8115</xdr:colOff>
      <xdr:row>45</xdr:row>
      <xdr:rowOff>4815</xdr:rowOff>
    </xdr:to>
    <xdr:sp macro="" textlink="">
      <xdr:nvSpPr>
        <xdr:cNvPr id="96" name="3">
          <a:extLst>
            <a:ext uri="{FF2B5EF4-FFF2-40B4-BE49-F238E27FC236}">
              <a16:creationId xmlns:a16="http://schemas.microsoft.com/office/drawing/2014/main" id="{C0E07C7E-B6F1-47CE-9D65-82A2F654B174}"/>
            </a:ext>
          </a:extLst>
        </xdr:cNvPr>
        <xdr:cNvSpPr>
          <a:spLocks noChangeArrowheads="1"/>
        </xdr:cNvSpPr>
      </xdr:nvSpPr>
      <xdr:spPr bwMode="auto">
        <a:xfrm>
          <a:off x="2036940" y="7933420"/>
          <a:ext cx="409575" cy="39624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43</xdr:row>
      <xdr:rowOff>3519</xdr:rowOff>
    </xdr:from>
    <xdr:to>
      <xdr:col>5</xdr:col>
      <xdr:colOff>4705</xdr:colOff>
      <xdr:row>45</xdr:row>
      <xdr:rowOff>774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52E65925-26C8-483C-A1E6-259874EB267F}"/>
            </a:ext>
          </a:extLst>
        </xdr:cNvPr>
        <xdr:cNvSpPr>
          <a:spLocks noChangeArrowheads="1"/>
        </xdr:cNvSpPr>
      </xdr:nvSpPr>
      <xdr:spPr bwMode="auto">
        <a:xfrm>
          <a:off x="1278898" y="7953719"/>
          <a:ext cx="402207" cy="371905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200955</xdr:colOff>
      <xdr:row>43</xdr:row>
      <xdr:rowOff>1361</xdr:rowOff>
    </xdr:from>
    <xdr:to>
      <xdr:col>4</xdr:col>
      <xdr:colOff>200955</xdr:colOff>
      <xdr:row>43</xdr:row>
      <xdr:rowOff>94230</xdr:rowOff>
    </xdr:to>
    <xdr:sp macro="" textlink="">
      <xdr:nvSpPr>
        <xdr:cNvPr id="98" name="Freeform 10708">
          <a:extLst>
            <a:ext uri="{FF2B5EF4-FFF2-40B4-BE49-F238E27FC236}">
              <a16:creationId xmlns:a16="http://schemas.microsoft.com/office/drawing/2014/main" id="{E1B6043B-AAC2-4901-AA48-BF9B023CC609}"/>
            </a:ext>
          </a:extLst>
        </xdr:cNvPr>
        <xdr:cNvSpPr>
          <a:spLocks/>
        </xdr:cNvSpPr>
      </xdr:nvSpPr>
      <xdr:spPr bwMode="auto">
        <a:xfrm>
          <a:off x="708955" y="7951561"/>
          <a:ext cx="7683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43</xdr:row>
      <xdr:rowOff>1362</xdr:rowOff>
    </xdr:from>
    <xdr:to>
      <xdr:col>8</xdr:col>
      <xdr:colOff>202575</xdr:colOff>
      <xdr:row>43</xdr:row>
      <xdr:rowOff>106137</xdr:rowOff>
    </xdr:to>
    <xdr:sp macro="" textlink="">
      <xdr:nvSpPr>
        <xdr:cNvPr id="99" name="Freeform 10708">
          <a:extLst>
            <a:ext uri="{FF2B5EF4-FFF2-40B4-BE49-F238E27FC236}">
              <a16:creationId xmlns:a16="http://schemas.microsoft.com/office/drawing/2014/main" id="{53C075C5-2964-4CDC-AD2A-62B534491EE9}"/>
            </a:ext>
          </a:extLst>
        </xdr:cNvPr>
        <xdr:cNvSpPr>
          <a:spLocks/>
        </xdr:cNvSpPr>
      </xdr:nvSpPr>
      <xdr:spPr bwMode="auto">
        <a:xfrm>
          <a:off x="2238543" y="7951562"/>
          <a:ext cx="789782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43</xdr:row>
      <xdr:rowOff>2893</xdr:rowOff>
    </xdr:from>
    <xdr:to>
      <xdr:col>3</xdr:col>
      <xdr:colOff>3314</xdr:colOff>
      <xdr:row>44</xdr:row>
      <xdr:rowOff>187804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E8564EA-B591-4336-BC85-359E319759F5}"/>
            </a:ext>
          </a:extLst>
        </xdr:cNvPr>
        <xdr:cNvSpPr>
          <a:spLocks noChangeArrowheads="1"/>
        </xdr:cNvSpPr>
      </xdr:nvSpPr>
      <xdr:spPr bwMode="auto">
        <a:xfrm>
          <a:off x="509158" y="7953093"/>
          <a:ext cx="402206" cy="369061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43</xdr:row>
      <xdr:rowOff>1362</xdr:rowOff>
    </xdr:from>
    <xdr:to>
      <xdr:col>6</xdr:col>
      <xdr:colOff>203113</xdr:colOff>
      <xdr:row>43</xdr:row>
      <xdr:rowOff>94231</xdr:rowOff>
    </xdr:to>
    <xdr:sp macro="" textlink="">
      <xdr:nvSpPr>
        <xdr:cNvPr id="101" name="Freeform 10708">
          <a:extLst>
            <a:ext uri="{FF2B5EF4-FFF2-40B4-BE49-F238E27FC236}">
              <a16:creationId xmlns:a16="http://schemas.microsoft.com/office/drawing/2014/main" id="{96AC4131-BD61-4C44-8A47-236B39A7BA72}"/>
            </a:ext>
          </a:extLst>
        </xdr:cNvPr>
        <xdr:cNvSpPr>
          <a:spLocks/>
        </xdr:cNvSpPr>
      </xdr:nvSpPr>
      <xdr:spPr bwMode="auto">
        <a:xfrm>
          <a:off x="1479463" y="7951562"/>
          <a:ext cx="7810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42</xdr:row>
      <xdr:rowOff>157513</xdr:rowOff>
    </xdr:from>
    <xdr:to>
      <xdr:col>11</xdr:col>
      <xdr:colOff>4382</xdr:colOff>
      <xdr:row>44</xdr:row>
      <xdr:rowOff>184183</xdr:rowOff>
    </xdr:to>
    <xdr:sp macro="" textlink="">
      <xdr:nvSpPr>
        <xdr:cNvPr id="102" name="3">
          <a:extLst>
            <a:ext uri="{FF2B5EF4-FFF2-40B4-BE49-F238E27FC236}">
              <a16:creationId xmlns:a16="http://schemas.microsoft.com/office/drawing/2014/main" id="{A06DA240-3C82-4C29-804C-2BA6EB7F0DFE}"/>
            </a:ext>
          </a:extLst>
        </xdr:cNvPr>
        <xdr:cNvSpPr>
          <a:spLocks noChangeArrowheads="1"/>
        </xdr:cNvSpPr>
      </xdr:nvSpPr>
      <xdr:spPr bwMode="auto">
        <a:xfrm>
          <a:off x="3582124" y="7923563"/>
          <a:ext cx="403708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42</xdr:row>
      <xdr:rowOff>176475</xdr:rowOff>
    </xdr:from>
    <xdr:to>
      <xdr:col>9</xdr:col>
      <xdr:colOff>2364</xdr:colOff>
      <xdr:row>44</xdr:row>
      <xdr:rowOff>181912</xdr:rowOff>
    </xdr:to>
    <xdr:sp macro="" textlink="">
      <xdr:nvSpPr>
        <xdr:cNvPr id="103" name="0/0">
          <a:extLst>
            <a:ext uri="{FF2B5EF4-FFF2-40B4-BE49-F238E27FC236}">
              <a16:creationId xmlns:a16="http://schemas.microsoft.com/office/drawing/2014/main" id="{47D4FA38-22E4-4EB4-8563-18F7F8064395}"/>
            </a:ext>
          </a:extLst>
        </xdr:cNvPr>
        <xdr:cNvSpPr>
          <a:spLocks noChangeArrowheads="1"/>
        </xdr:cNvSpPr>
      </xdr:nvSpPr>
      <xdr:spPr bwMode="auto">
        <a:xfrm>
          <a:off x="2823228" y="7942525"/>
          <a:ext cx="404936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42</xdr:row>
      <xdr:rowOff>171535</xdr:rowOff>
    </xdr:from>
    <xdr:to>
      <xdr:col>12</xdr:col>
      <xdr:colOff>263087</xdr:colOff>
      <xdr:row>43</xdr:row>
      <xdr:rowOff>96280</xdr:rowOff>
    </xdr:to>
    <xdr:sp macro="" textlink="">
      <xdr:nvSpPr>
        <xdr:cNvPr id="104" name="Freeform 10708">
          <a:extLst>
            <a:ext uri="{FF2B5EF4-FFF2-40B4-BE49-F238E27FC236}">
              <a16:creationId xmlns:a16="http://schemas.microsoft.com/office/drawing/2014/main" id="{8EB009EF-57E2-489B-9445-3033A94BF20A}"/>
            </a:ext>
          </a:extLst>
        </xdr:cNvPr>
        <xdr:cNvSpPr>
          <a:spLocks/>
        </xdr:cNvSpPr>
      </xdr:nvSpPr>
      <xdr:spPr bwMode="auto">
        <a:xfrm>
          <a:off x="3768244" y="7937585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42</xdr:row>
      <xdr:rowOff>159867</xdr:rowOff>
    </xdr:from>
    <xdr:to>
      <xdr:col>15</xdr:col>
      <xdr:colOff>13956</xdr:colOff>
      <xdr:row>44</xdr:row>
      <xdr:rowOff>186537</xdr:rowOff>
    </xdr:to>
    <xdr:sp macro="" textlink="">
      <xdr:nvSpPr>
        <xdr:cNvPr id="105" name="3">
          <a:extLst>
            <a:ext uri="{FF2B5EF4-FFF2-40B4-BE49-F238E27FC236}">
              <a16:creationId xmlns:a16="http://schemas.microsoft.com/office/drawing/2014/main" id="{6DAC68D5-4FAD-4877-9842-A55C8E1F613E}"/>
            </a:ext>
          </a:extLst>
        </xdr:cNvPr>
        <xdr:cNvSpPr>
          <a:spLocks noChangeArrowheads="1"/>
        </xdr:cNvSpPr>
      </xdr:nvSpPr>
      <xdr:spPr bwMode="auto">
        <a:xfrm>
          <a:off x="5014001" y="7925917"/>
          <a:ext cx="416505" cy="39497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42</xdr:row>
      <xdr:rowOff>176046</xdr:rowOff>
    </xdr:from>
    <xdr:to>
      <xdr:col>13</xdr:col>
      <xdr:colOff>3582</xdr:colOff>
      <xdr:row>44</xdr:row>
      <xdr:rowOff>181483</xdr:rowOff>
    </xdr:to>
    <xdr:sp macro="" textlink="">
      <xdr:nvSpPr>
        <xdr:cNvPr id="106" name="0/0">
          <a:extLst>
            <a:ext uri="{FF2B5EF4-FFF2-40B4-BE49-F238E27FC236}">
              <a16:creationId xmlns:a16="http://schemas.microsoft.com/office/drawing/2014/main" id="{BC2D3890-DCE9-49E0-8B38-8B7675D734FF}"/>
            </a:ext>
          </a:extLst>
        </xdr:cNvPr>
        <xdr:cNvSpPr>
          <a:spLocks noChangeArrowheads="1"/>
        </xdr:cNvSpPr>
      </xdr:nvSpPr>
      <xdr:spPr bwMode="auto">
        <a:xfrm>
          <a:off x="4334750" y="7942096"/>
          <a:ext cx="386882" cy="3737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>
            <a:solidFill>
              <a:srgbClr val="00B0F0"/>
            </a:solidFill>
          </a:endParaRPr>
        </a:p>
      </xdr:txBody>
    </xdr:sp>
    <xdr:clientData/>
  </xdr:twoCellAnchor>
  <xdr:twoCellAnchor>
    <xdr:from>
      <xdr:col>12</xdr:col>
      <xdr:colOff>201240</xdr:colOff>
      <xdr:row>42</xdr:row>
      <xdr:rowOff>173889</xdr:rowOff>
    </xdr:from>
    <xdr:to>
      <xdr:col>14</xdr:col>
      <xdr:colOff>193738</xdr:colOff>
      <xdr:row>43</xdr:row>
      <xdr:rowOff>86728</xdr:rowOff>
    </xdr:to>
    <xdr:sp macro="" textlink="">
      <xdr:nvSpPr>
        <xdr:cNvPr id="107" name="Freeform 10708">
          <a:extLst>
            <a:ext uri="{FF2B5EF4-FFF2-40B4-BE49-F238E27FC236}">
              <a16:creationId xmlns:a16="http://schemas.microsoft.com/office/drawing/2014/main" id="{39E5F839-A3D3-4F63-8335-1C1033BD6FF1}"/>
            </a:ext>
          </a:extLst>
        </xdr:cNvPr>
        <xdr:cNvSpPr>
          <a:spLocks/>
        </xdr:cNvSpPr>
      </xdr:nvSpPr>
      <xdr:spPr bwMode="auto">
        <a:xfrm>
          <a:off x="4531940" y="7939939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42</xdr:row>
      <xdr:rowOff>158359</xdr:rowOff>
    </xdr:from>
    <xdr:to>
      <xdr:col>21</xdr:col>
      <xdr:colOff>8883</xdr:colOff>
      <xdr:row>44</xdr:row>
      <xdr:rowOff>185029</xdr:rowOff>
    </xdr:to>
    <xdr:sp macro="" textlink="">
      <xdr:nvSpPr>
        <xdr:cNvPr id="108" name="3">
          <a:extLst>
            <a:ext uri="{FF2B5EF4-FFF2-40B4-BE49-F238E27FC236}">
              <a16:creationId xmlns:a16="http://schemas.microsoft.com/office/drawing/2014/main" id="{5A6BE889-DA97-48C7-B667-55E8D2152BA0}"/>
            </a:ext>
          </a:extLst>
        </xdr:cNvPr>
        <xdr:cNvSpPr>
          <a:spLocks noChangeArrowheads="1"/>
        </xdr:cNvSpPr>
      </xdr:nvSpPr>
      <xdr:spPr bwMode="auto">
        <a:xfrm>
          <a:off x="7390198" y="7924409"/>
          <a:ext cx="416485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362259</xdr:colOff>
      <xdr:row>42</xdr:row>
      <xdr:rowOff>177321</xdr:rowOff>
    </xdr:from>
    <xdr:to>
      <xdr:col>19</xdr:col>
      <xdr:colOff>3818</xdr:colOff>
      <xdr:row>44</xdr:row>
      <xdr:rowOff>182758</xdr:rowOff>
    </xdr:to>
    <xdr:sp macro="" textlink="">
      <xdr:nvSpPr>
        <xdr:cNvPr id="109" name="0/0">
          <a:extLst>
            <a:ext uri="{FF2B5EF4-FFF2-40B4-BE49-F238E27FC236}">
              <a16:creationId xmlns:a16="http://schemas.microsoft.com/office/drawing/2014/main" id="{0F1FD1C2-19CE-4C06-A833-BECDCAB88A28}"/>
            </a:ext>
          </a:extLst>
        </xdr:cNvPr>
        <xdr:cNvSpPr>
          <a:spLocks noChangeArrowheads="1"/>
        </xdr:cNvSpPr>
      </xdr:nvSpPr>
      <xdr:spPr bwMode="auto">
        <a:xfrm>
          <a:off x="6578909" y="7943371"/>
          <a:ext cx="448009" cy="3737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23</xdr:col>
      <xdr:colOff>364255</xdr:colOff>
      <xdr:row>42</xdr:row>
      <xdr:rowOff>161143</xdr:rowOff>
    </xdr:from>
    <xdr:to>
      <xdr:col>25</xdr:col>
      <xdr:colOff>14664</xdr:colOff>
      <xdr:row>44</xdr:row>
      <xdr:rowOff>187813</xdr:rowOff>
    </xdr:to>
    <xdr:sp macro="" textlink="">
      <xdr:nvSpPr>
        <xdr:cNvPr id="110" name="3">
          <a:extLst>
            <a:ext uri="{FF2B5EF4-FFF2-40B4-BE49-F238E27FC236}">
              <a16:creationId xmlns:a16="http://schemas.microsoft.com/office/drawing/2014/main" id="{6972DBE3-0602-4829-BE2B-5B6A635EA4CA}"/>
            </a:ext>
          </a:extLst>
        </xdr:cNvPr>
        <xdr:cNvSpPr>
          <a:spLocks noChangeArrowheads="1"/>
        </xdr:cNvSpPr>
      </xdr:nvSpPr>
      <xdr:spPr bwMode="auto">
        <a:xfrm>
          <a:off x="8930405" y="7927193"/>
          <a:ext cx="437809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3642</xdr:colOff>
      <xdr:row>42</xdr:row>
      <xdr:rowOff>180105</xdr:rowOff>
    </xdr:from>
    <xdr:to>
      <xdr:col>23</xdr:col>
      <xdr:colOff>3815</xdr:colOff>
      <xdr:row>44</xdr:row>
      <xdr:rowOff>185542</xdr:rowOff>
    </xdr:to>
    <xdr:sp macro="" textlink="">
      <xdr:nvSpPr>
        <xdr:cNvPr id="111" name="0/0">
          <a:extLst>
            <a:ext uri="{FF2B5EF4-FFF2-40B4-BE49-F238E27FC236}">
              <a16:creationId xmlns:a16="http://schemas.microsoft.com/office/drawing/2014/main" id="{DB680F24-B480-4FFA-B283-95D8A2C3A9FB}"/>
            </a:ext>
          </a:extLst>
        </xdr:cNvPr>
        <xdr:cNvSpPr>
          <a:spLocks noChangeArrowheads="1"/>
        </xdr:cNvSpPr>
      </xdr:nvSpPr>
      <xdr:spPr bwMode="auto">
        <a:xfrm>
          <a:off x="8169742" y="7946155"/>
          <a:ext cx="400223" cy="3737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200833</xdr:colOff>
      <xdr:row>42</xdr:row>
      <xdr:rowOff>171108</xdr:rowOff>
    </xdr:from>
    <xdr:to>
      <xdr:col>24</xdr:col>
      <xdr:colOff>180643</xdr:colOff>
      <xdr:row>43</xdr:row>
      <xdr:rowOff>93569</xdr:rowOff>
    </xdr:to>
    <xdr:sp macro="" textlink="">
      <xdr:nvSpPr>
        <xdr:cNvPr id="112" name="Freeform 10708">
          <a:extLst>
            <a:ext uri="{FF2B5EF4-FFF2-40B4-BE49-F238E27FC236}">
              <a16:creationId xmlns:a16="http://schemas.microsoft.com/office/drawing/2014/main" id="{646CBD20-D5BB-4102-BCF5-D421CF0A124A}"/>
            </a:ext>
          </a:extLst>
        </xdr:cNvPr>
        <xdr:cNvSpPr>
          <a:spLocks/>
        </xdr:cNvSpPr>
      </xdr:nvSpPr>
      <xdr:spPr bwMode="auto">
        <a:xfrm>
          <a:off x="8366933" y="7937158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388510</xdr:colOff>
      <xdr:row>42</xdr:row>
      <xdr:rowOff>157952</xdr:rowOff>
    </xdr:from>
    <xdr:to>
      <xdr:col>29</xdr:col>
      <xdr:colOff>10144</xdr:colOff>
      <xdr:row>44</xdr:row>
      <xdr:rowOff>184622</xdr:rowOff>
    </xdr:to>
    <xdr:sp macro="" textlink="">
      <xdr:nvSpPr>
        <xdr:cNvPr id="113" name="3">
          <a:extLst>
            <a:ext uri="{FF2B5EF4-FFF2-40B4-BE49-F238E27FC236}">
              <a16:creationId xmlns:a16="http://schemas.microsoft.com/office/drawing/2014/main" id="{024A050E-955F-46E1-9E5D-DE4F971B9D05}"/>
            </a:ext>
          </a:extLst>
        </xdr:cNvPr>
        <xdr:cNvSpPr>
          <a:spLocks noChangeArrowheads="1"/>
        </xdr:cNvSpPr>
      </xdr:nvSpPr>
      <xdr:spPr bwMode="auto">
        <a:xfrm>
          <a:off x="10548510" y="7924002"/>
          <a:ext cx="42808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43</xdr:row>
      <xdr:rowOff>4385</xdr:rowOff>
    </xdr:from>
    <xdr:to>
      <xdr:col>27</xdr:col>
      <xdr:colOff>3614</xdr:colOff>
      <xdr:row>45</xdr:row>
      <xdr:rowOff>1474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DF388309-3DC3-4907-B1C3-58C6B62E34D6}"/>
            </a:ext>
          </a:extLst>
        </xdr:cNvPr>
        <xdr:cNvSpPr>
          <a:spLocks noChangeArrowheads="1"/>
        </xdr:cNvSpPr>
      </xdr:nvSpPr>
      <xdr:spPr bwMode="auto">
        <a:xfrm>
          <a:off x="9760656" y="7954585"/>
          <a:ext cx="402958" cy="37173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208470</xdr:colOff>
      <xdr:row>42</xdr:row>
      <xdr:rowOff>171108</xdr:rowOff>
    </xdr:from>
    <xdr:to>
      <xdr:col>30</xdr:col>
      <xdr:colOff>200492</xdr:colOff>
      <xdr:row>43</xdr:row>
      <xdr:rowOff>91153</xdr:rowOff>
    </xdr:to>
    <xdr:sp macro="" textlink="">
      <xdr:nvSpPr>
        <xdr:cNvPr id="115" name="Freeform 10708">
          <a:extLst>
            <a:ext uri="{FF2B5EF4-FFF2-40B4-BE49-F238E27FC236}">
              <a16:creationId xmlns:a16="http://schemas.microsoft.com/office/drawing/2014/main" id="{8F988F1F-2771-4641-97CC-1683BF630757}"/>
            </a:ext>
          </a:extLst>
        </xdr:cNvPr>
        <xdr:cNvSpPr>
          <a:spLocks/>
        </xdr:cNvSpPr>
      </xdr:nvSpPr>
      <xdr:spPr bwMode="auto">
        <a:xfrm>
          <a:off x="10774870" y="7937158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42</xdr:row>
      <xdr:rowOff>173891</xdr:rowOff>
    </xdr:from>
    <xdr:to>
      <xdr:col>28</xdr:col>
      <xdr:colOff>197339</xdr:colOff>
      <xdr:row>43</xdr:row>
      <xdr:rowOff>79248</xdr:rowOff>
    </xdr:to>
    <xdr:sp macro="" textlink="">
      <xdr:nvSpPr>
        <xdr:cNvPr id="116" name="Freeform 10708">
          <a:extLst>
            <a:ext uri="{FF2B5EF4-FFF2-40B4-BE49-F238E27FC236}">
              <a16:creationId xmlns:a16="http://schemas.microsoft.com/office/drawing/2014/main" id="{C94D2670-5F58-4C90-91FF-98569E4F693D}"/>
            </a:ext>
          </a:extLst>
        </xdr:cNvPr>
        <xdr:cNvSpPr>
          <a:spLocks/>
        </xdr:cNvSpPr>
      </xdr:nvSpPr>
      <xdr:spPr bwMode="auto">
        <a:xfrm>
          <a:off x="9958440" y="7939941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42</xdr:row>
      <xdr:rowOff>154763</xdr:rowOff>
    </xdr:from>
    <xdr:to>
      <xdr:col>31</xdr:col>
      <xdr:colOff>6301</xdr:colOff>
      <xdr:row>44</xdr:row>
      <xdr:rowOff>181433</xdr:rowOff>
    </xdr:to>
    <xdr:sp macro="" textlink="">
      <xdr:nvSpPr>
        <xdr:cNvPr id="117" name="3">
          <a:extLst>
            <a:ext uri="{FF2B5EF4-FFF2-40B4-BE49-F238E27FC236}">
              <a16:creationId xmlns:a16="http://schemas.microsoft.com/office/drawing/2014/main" id="{187577F5-7106-4A1D-82E9-A7085B31CCED}"/>
            </a:ext>
          </a:extLst>
        </xdr:cNvPr>
        <xdr:cNvSpPr>
          <a:spLocks noChangeArrowheads="1"/>
        </xdr:cNvSpPr>
      </xdr:nvSpPr>
      <xdr:spPr bwMode="auto">
        <a:xfrm>
          <a:off x="11343570" y="7920813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0</xdr:colOff>
      <xdr:row>21</xdr:row>
      <xdr:rowOff>178279</xdr:rowOff>
    </xdr:from>
    <xdr:to>
      <xdr:col>2</xdr:col>
      <xdr:colOff>170281</xdr:colOff>
      <xdr:row>22</xdr:row>
      <xdr:rowOff>101899</xdr:rowOff>
    </xdr:to>
    <xdr:sp macro="" textlink="">
      <xdr:nvSpPr>
        <xdr:cNvPr id="118" name="Freeform 10708">
          <a:extLst>
            <a:ext uri="{FF2B5EF4-FFF2-40B4-BE49-F238E27FC236}">
              <a16:creationId xmlns:a16="http://schemas.microsoft.com/office/drawing/2014/main" id="{E5441C53-A018-4707-B12C-F6B61057D940}"/>
            </a:ext>
          </a:extLst>
        </xdr:cNvPr>
        <xdr:cNvSpPr>
          <a:spLocks/>
        </xdr:cNvSpPr>
      </xdr:nvSpPr>
      <xdr:spPr bwMode="auto">
        <a:xfrm>
          <a:off x="0" y="4242279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33</xdr:row>
      <xdr:rowOff>2876</xdr:rowOff>
    </xdr:from>
    <xdr:to>
      <xdr:col>2</xdr:col>
      <xdr:colOff>170281</xdr:colOff>
      <xdr:row>33</xdr:row>
      <xdr:rowOff>107651</xdr:rowOff>
    </xdr:to>
    <xdr:sp macro="" textlink="">
      <xdr:nvSpPr>
        <xdr:cNvPr id="119" name="Freeform 10708">
          <a:extLst>
            <a:ext uri="{FF2B5EF4-FFF2-40B4-BE49-F238E27FC236}">
              <a16:creationId xmlns:a16="http://schemas.microsoft.com/office/drawing/2014/main" id="{CC0215AE-7A0B-42A9-AB63-D079326BB42F}"/>
            </a:ext>
          </a:extLst>
        </xdr:cNvPr>
        <xdr:cNvSpPr>
          <a:spLocks/>
        </xdr:cNvSpPr>
      </xdr:nvSpPr>
      <xdr:spPr bwMode="auto">
        <a:xfrm>
          <a:off x="0" y="6194126"/>
          <a:ext cx="678281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42</xdr:row>
      <xdr:rowOff>163902</xdr:rowOff>
    </xdr:from>
    <xdr:to>
      <xdr:col>2</xdr:col>
      <xdr:colOff>170281</xdr:colOff>
      <xdr:row>43</xdr:row>
      <xdr:rowOff>87522</xdr:rowOff>
    </xdr:to>
    <xdr:sp macro="" textlink="">
      <xdr:nvSpPr>
        <xdr:cNvPr id="120" name="Freeform 10708">
          <a:extLst>
            <a:ext uri="{FF2B5EF4-FFF2-40B4-BE49-F238E27FC236}">
              <a16:creationId xmlns:a16="http://schemas.microsoft.com/office/drawing/2014/main" id="{9190F4F6-B3D3-40BE-BF82-F3CF3F4BD264}"/>
            </a:ext>
          </a:extLst>
        </xdr:cNvPr>
        <xdr:cNvSpPr>
          <a:spLocks/>
        </xdr:cNvSpPr>
      </xdr:nvSpPr>
      <xdr:spPr bwMode="auto">
        <a:xfrm>
          <a:off x="0" y="7929952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368300</xdr:colOff>
      <xdr:row>53</xdr:row>
      <xdr:rowOff>155859</xdr:rowOff>
    </xdr:from>
    <xdr:to>
      <xdr:col>7</xdr:col>
      <xdr:colOff>13868</xdr:colOff>
      <xdr:row>55</xdr:row>
      <xdr:rowOff>183086</xdr:rowOff>
    </xdr:to>
    <xdr:sp macro="" textlink="">
      <xdr:nvSpPr>
        <xdr:cNvPr id="121" name="3">
          <a:extLst>
            <a:ext uri="{FF2B5EF4-FFF2-40B4-BE49-F238E27FC236}">
              <a16:creationId xmlns:a16="http://schemas.microsoft.com/office/drawing/2014/main" id="{10A817B2-37C6-46D7-9893-F82CB2157EA9}"/>
            </a:ext>
          </a:extLst>
        </xdr:cNvPr>
        <xdr:cNvSpPr>
          <a:spLocks noChangeArrowheads="1"/>
        </xdr:cNvSpPr>
      </xdr:nvSpPr>
      <xdr:spPr bwMode="auto">
        <a:xfrm>
          <a:off x="2044700" y="10011059"/>
          <a:ext cx="407568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53</xdr:row>
      <xdr:rowOff>173163</xdr:rowOff>
    </xdr:from>
    <xdr:to>
      <xdr:col>5</xdr:col>
      <xdr:colOff>10458</xdr:colOff>
      <xdr:row>55</xdr:row>
      <xdr:rowOff>177476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75DE32B8-1BF8-4252-901E-3F16B4FCE0F0}"/>
            </a:ext>
          </a:extLst>
        </xdr:cNvPr>
        <xdr:cNvSpPr>
          <a:spLocks noChangeArrowheads="1"/>
        </xdr:cNvSpPr>
      </xdr:nvSpPr>
      <xdr:spPr bwMode="auto">
        <a:xfrm>
          <a:off x="1284651" y="10028363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186896</xdr:colOff>
      <xdr:row>53</xdr:row>
      <xdr:rowOff>171006</xdr:rowOff>
    </xdr:from>
    <xdr:to>
      <xdr:col>8</xdr:col>
      <xdr:colOff>208328</xdr:colOff>
      <xdr:row>54</xdr:row>
      <xdr:rowOff>94627</xdr:rowOff>
    </xdr:to>
    <xdr:sp macro="" textlink="">
      <xdr:nvSpPr>
        <xdr:cNvPr id="123" name="Freeform 10708">
          <a:extLst>
            <a:ext uri="{FF2B5EF4-FFF2-40B4-BE49-F238E27FC236}">
              <a16:creationId xmlns:a16="http://schemas.microsoft.com/office/drawing/2014/main" id="{CD164CD5-1A68-47D5-A577-17CCFA06D77C}"/>
            </a:ext>
          </a:extLst>
        </xdr:cNvPr>
        <xdr:cNvSpPr>
          <a:spLocks/>
        </xdr:cNvSpPr>
      </xdr:nvSpPr>
      <xdr:spPr bwMode="auto">
        <a:xfrm>
          <a:off x="2244296" y="10026206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53</xdr:row>
      <xdr:rowOff>172537</xdr:rowOff>
    </xdr:from>
    <xdr:to>
      <xdr:col>3</xdr:col>
      <xdr:colOff>9067</xdr:colOff>
      <xdr:row>55</xdr:row>
      <xdr:rowOff>176294</xdr:rowOff>
    </xdr:to>
    <xdr:sp macro="" textlink="">
      <xdr:nvSpPr>
        <xdr:cNvPr id="124" name="0/0">
          <a:extLst>
            <a:ext uri="{FF2B5EF4-FFF2-40B4-BE49-F238E27FC236}">
              <a16:creationId xmlns:a16="http://schemas.microsoft.com/office/drawing/2014/main" id="{BF288831-8FBD-48CD-9E8B-B29B414D091F}"/>
            </a:ext>
          </a:extLst>
        </xdr:cNvPr>
        <xdr:cNvSpPr>
          <a:spLocks noChangeArrowheads="1"/>
        </xdr:cNvSpPr>
      </xdr:nvSpPr>
      <xdr:spPr bwMode="auto">
        <a:xfrm>
          <a:off x="514911" y="10027737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362077</xdr:colOff>
      <xdr:row>53</xdr:row>
      <xdr:rowOff>152352</xdr:rowOff>
    </xdr:from>
    <xdr:to>
      <xdr:col>11</xdr:col>
      <xdr:colOff>0</xdr:colOff>
      <xdr:row>55</xdr:row>
      <xdr:rowOff>179023</xdr:rowOff>
    </xdr:to>
    <xdr:sp macro="" textlink="">
      <xdr:nvSpPr>
        <xdr:cNvPr id="125" name="3">
          <a:extLst>
            <a:ext uri="{FF2B5EF4-FFF2-40B4-BE49-F238E27FC236}">
              <a16:creationId xmlns:a16="http://schemas.microsoft.com/office/drawing/2014/main" id="{3D36DA2B-612D-48D1-BB9D-C3BD024EFDE5}"/>
            </a:ext>
          </a:extLst>
        </xdr:cNvPr>
        <xdr:cNvSpPr>
          <a:spLocks noChangeArrowheads="1"/>
        </xdr:cNvSpPr>
      </xdr:nvSpPr>
      <xdr:spPr bwMode="auto">
        <a:xfrm>
          <a:off x="3587877" y="10007552"/>
          <a:ext cx="39357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384710</xdr:colOff>
      <xdr:row>53</xdr:row>
      <xdr:rowOff>171314</xdr:rowOff>
    </xdr:from>
    <xdr:to>
      <xdr:col>9</xdr:col>
      <xdr:colOff>1767</xdr:colOff>
      <xdr:row>55</xdr:row>
      <xdr:rowOff>176752</xdr:rowOff>
    </xdr:to>
    <xdr:sp macro="" textlink="">
      <xdr:nvSpPr>
        <xdr:cNvPr id="126" name="0/0">
          <a:extLst>
            <a:ext uri="{FF2B5EF4-FFF2-40B4-BE49-F238E27FC236}">
              <a16:creationId xmlns:a16="http://schemas.microsoft.com/office/drawing/2014/main" id="{0731EB06-2DA9-4F2D-B6E8-AFC3E0633902}"/>
            </a:ext>
          </a:extLst>
        </xdr:cNvPr>
        <xdr:cNvSpPr>
          <a:spLocks noChangeArrowheads="1"/>
        </xdr:cNvSpPr>
      </xdr:nvSpPr>
      <xdr:spPr bwMode="auto">
        <a:xfrm>
          <a:off x="2823110" y="10026514"/>
          <a:ext cx="40445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179897</xdr:colOff>
      <xdr:row>53</xdr:row>
      <xdr:rowOff>160024</xdr:rowOff>
    </xdr:from>
    <xdr:to>
      <xdr:col>12</xdr:col>
      <xdr:colOff>268840</xdr:colOff>
      <xdr:row>54</xdr:row>
      <xdr:rowOff>84770</xdr:rowOff>
    </xdr:to>
    <xdr:sp macro="" textlink="">
      <xdr:nvSpPr>
        <xdr:cNvPr id="127" name="Freeform 10708">
          <a:extLst>
            <a:ext uri="{FF2B5EF4-FFF2-40B4-BE49-F238E27FC236}">
              <a16:creationId xmlns:a16="http://schemas.microsoft.com/office/drawing/2014/main" id="{770B6B05-0306-49DD-8FDD-79614DF7017D}"/>
            </a:ext>
          </a:extLst>
        </xdr:cNvPr>
        <xdr:cNvSpPr>
          <a:spLocks/>
        </xdr:cNvSpPr>
      </xdr:nvSpPr>
      <xdr:spPr bwMode="auto">
        <a:xfrm>
          <a:off x="3773997" y="10015224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194366</xdr:colOff>
      <xdr:row>53</xdr:row>
      <xdr:rowOff>160024</xdr:rowOff>
    </xdr:from>
    <xdr:to>
      <xdr:col>10</xdr:col>
      <xdr:colOff>201867</xdr:colOff>
      <xdr:row>54</xdr:row>
      <xdr:rowOff>72864</xdr:rowOff>
    </xdr:to>
    <xdr:sp macro="" textlink="">
      <xdr:nvSpPr>
        <xdr:cNvPr id="128" name="Freeform 10708">
          <a:extLst>
            <a:ext uri="{FF2B5EF4-FFF2-40B4-BE49-F238E27FC236}">
              <a16:creationId xmlns:a16="http://schemas.microsoft.com/office/drawing/2014/main" id="{2155C31C-243D-4334-9949-C5292034D58C}"/>
            </a:ext>
          </a:extLst>
        </xdr:cNvPr>
        <xdr:cNvSpPr>
          <a:spLocks/>
        </xdr:cNvSpPr>
      </xdr:nvSpPr>
      <xdr:spPr bwMode="auto">
        <a:xfrm>
          <a:off x="3020116" y="10015224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292101</xdr:colOff>
      <xdr:row>53</xdr:row>
      <xdr:rowOff>177800</xdr:rowOff>
    </xdr:from>
    <xdr:to>
      <xdr:col>15</xdr:col>
      <xdr:colOff>6351</xdr:colOff>
      <xdr:row>56</xdr:row>
      <xdr:rowOff>6979</xdr:rowOff>
    </xdr:to>
    <xdr:sp macro="" textlink="">
      <xdr:nvSpPr>
        <xdr:cNvPr id="129" name="3">
          <a:extLst>
            <a:ext uri="{FF2B5EF4-FFF2-40B4-BE49-F238E27FC236}">
              <a16:creationId xmlns:a16="http://schemas.microsoft.com/office/drawing/2014/main" id="{C0457DFC-42E6-46A7-869D-5E23E9EB3271}"/>
            </a:ext>
          </a:extLst>
        </xdr:cNvPr>
        <xdr:cNvSpPr>
          <a:spLocks noChangeArrowheads="1"/>
        </xdr:cNvSpPr>
      </xdr:nvSpPr>
      <xdr:spPr bwMode="auto">
        <a:xfrm>
          <a:off x="5010151" y="10033000"/>
          <a:ext cx="412750" cy="387979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11</xdr:col>
      <xdr:colOff>346353</xdr:colOff>
      <xdr:row>53</xdr:row>
      <xdr:rowOff>177235</xdr:rowOff>
    </xdr:from>
    <xdr:to>
      <xdr:col>12</xdr:col>
      <xdr:colOff>383985</xdr:colOff>
      <xdr:row>55</xdr:row>
      <xdr:rowOff>182673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FD88F287-F8F5-4898-B105-7633A8BD6FBE}"/>
            </a:ext>
          </a:extLst>
        </xdr:cNvPr>
        <xdr:cNvSpPr>
          <a:spLocks noChangeArrowheads="1"/>
        </xdr:cNvSpPr>
      </xdr:nvSpPr>
      <xdr:spPr bwMode="auto">
        <a:xfrm>
          <a:off x="4327803" y="10032435"/>
          <a:ext cx="386882" cy="373738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177521</xdr:colOff>
      <xdr:row>53</xdr:row>
      <xdr:rowOff>171006</xdr:rowOff>
    </xdr:from>
    <xdr:to>
      <xdr:col>18</xdr:col>
      <xdr:colOff>194744</xdr:colOff>
      <xdr:row>54</xdr:row>
      <xdr:rowOff>87124</xdr:rowOff>
    </xdr:to>
    <xdr:sp macro="" textlink="">
      <xdr:nvSpPr>
        <xdr:cNvPr id="131" name="Freeform 10708">
          <a:extLst>
            <a:ext uri="{FF2B5EF4-FFF2-40B4-BE49-F238E27FC236}">
              <a16:creationId xmlns:a16="http://schemas.microsoft.com/office/drawing/2014/main" id="{7FDB96ED-27EB-499A-A005-841FB7C06929}"/>
            </a:ext>
          </a:extLst>
        </xdr:cNvPr>
        <xdr:cNvSpPr>
          <a:spLocks/>
        </xdr:cNvSpPr>
      </xdr:nvSpPr>
      <xdr:spPr bwMode="auto">
        <a:xfrm>
          <a:off x="5194021" y="10026206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206993</xdr:colOff>
      <xdr:row>53</xdr:row>
      <xdr:rowOff>162378</xdr:rowOff>
    </xdr:from>
    <xdr:to>
      <xdr:col>14</xdr:col>
      <xdr:colOff>199491</xdr:colOff>
      <xdr:row>54</xdr:row>
      <xdr:rowOff>75218</xdr:rowOff>
    </xdr:to>
    <xdr:sp macro="" textlink="">
      <xdr:nvSpPr>
        <xdr:cNvPr id="132" name="Freeform 10708">
          <a:extLst>
            <a:ext uri="{FF2B5EF4-FFF2-40B4-BE49-F238E27FC236}">
              <a16:creationId xmlns:a16="http://schemas.microsoft.com/office/drawing/2014/main" id="{B174E5A5-EE1F-4F7F-A464-B72DFC928B55}"/>
            </a:ext>
          </a:extLst>
        </xdr:cNvPr>
        <xdr:cNvSpPr>
          <a:spLocks/>
        </xdr:cNvSpPr>
      </xdr:nvSpPr>
      <xdr:spPr bwMode="auto">
        <a:xfrm>
          <a:off x="4537693" y="10017578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4268</xdr:colOff>
      <xdr:row>53</xdr:row>
      <xdr:rowOff>158054</xdr:rowOff>
    </xdr:from>
    <xdr:to>
      <xdr:col>21</xdr:col>
      <xdr:colOff>14636</xdr:colOff>
      <xdr:row>55</xdr:row>
      <xdr:rowOff>184725</xdr:rowOff>
    </xdr:to>
    <xdr:sp macro="" textlink="">
      <xdr:nvSpPr>
        <xdr:cNvPr id="133" name="3">
          <a:extLst>
            <a:ext uri="{FF2B5EF4-FFF2-40B4-BE49-F238E27FC236}">
              <a16:creationId xmlns:a16="http://schemas.microsoft.com/office/drawing/2014/main" id="{5D1A5F09-83C5-4AF0-B06E-515EEE24E3C5}"/>
            </a:ext>
          </a:extLst>
        </xdr:cNvPr>
        <xdr:cNvSpPr>
          <a:spLocks noChangeArrowheads="1"/>
        </xdr:cNvSpPr>
      </xdr:nvSpPr>
      <xdr:spPr bwMode="auto">
        <a:xfrm>
          <a:off x="7395668" y="10013254"/>
          <a:ext cx="416768" cy="394971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395110</xdr:colOff>
      <xdr:row>54</xdr:row>
      <xdr:rowOff>8927</xdr:rowOff>
    </xdr:from>
    <xdr:to>
      <xdr:col>19</xdr:col>
      <xdr:colOff>9570</xdr:colOff>
      <xdr:row>56</xdr:row>
      <xdr:rowOff>3160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72F7E3-CF63-4CC1-80EC-C1D1134E3E06}"/>
            </a:ext>
          </a:extLst>
        </xdr:cNvPr>
        <xdr:cNvSpPr>
          <a:spLocks noChangeArrowheads="1"/>
        </xdr:cNvSpPr>
      </xdr:nvSpPr>
      <xdr:spPr bwMode="auto">
        <a:xfrm>
          <a:off x="6611760" y="10048277"/>
          <a:ext cx="420910" cy="368883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192419</xdr:colOff>
      <xdr:row>53</xdr:row>
      <xdr:rowOff>167945</xdr:rowOff>
    </xdr:from>
    <xdr:to>
      <xdr:col>22</xdr:col>
      <xdr:colOff>197527</xdr:colOff>
      <xdr:row>54</xdr:row>
      <xdr:rowOff>85615</xdr:rowOff>
    </xdr:to>
    <xdr:sp macro="" textlink="">
      <xdr:nvSpPr>
        <xdr:cNvPr id="135" name="Freeform 10708">
          <a:extLst>
            <a:ext uri="{FF2B5EF4-FFF2-40B4-BE49-F238E27FC236}">
              <a16:creationId xmlns:a16="http://schemas.microsoft.com/office/drawing/2014/main" id="{08ED3A5B-7552-41EE-8FEB-D1A2DF6B9584}"/>
            </a:ext>
          </a:extLst>
        </xdr:cNvPr>
        <xdr:cNvSpPr>
          <a:spLocks/>
        </xdr:cNvSpPr>
      </xdr:nvSpPr>
      <xdr:spPr bwMode="auto">
        <a:xfrm>
          <a:off x="7583819" y="10023145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203259</xdr:colOff>
      <xdr:row>53</xdr:row>
      <xdr:rowOff>172278</xdr:rowOff>
    </xdr:from>
    <xdr:to>
      <xdr:col>20</xdr:col>
      <xdr:colOff>203258</xdr:colOff>
      <xdr:row>54</xdr:row>
      <xdr:rowOff>84840</xdr:rowOff>
    </xdr:to>
    <xdr:sp macro="" textlink="">
      <xdr:nvSpPr>
        <xdr:cNvPr id="136" name="Freeform 10708">
          <a:extLst>
            <a:ext uri="{FF2B5EF4-FFF2-40B4-BE49-F238E27FC236}">
              <a16:creationId xmlns:a16="http://schemas.microsoft.com/office/drawing/2014/main" id="{4D3B101B-7732-40B8-94D6-B9E969FC416D}"/>
            </a:ext>
          </a:extLst>
        </xdr:cNvPr>
        <xdr:cNvSpPr>
          <a:spLocks/>
        </xdr:cNvSpPr>
      </xdr:nvSpPr>
      <xdr:spPr bwMode="auto">
        <a:xfrm>
          <a:off x="6826309" y="10027478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1424</xdr:colOff>
      <xdr:row>53</xdr:row>
      <xdr:rowOff>149632</xdr:rowOff>
    </xdr:from>
    <xdr:to>
      <xdr:col>25</xdr:col>
      <xdr:colOff>20417</xdr:colOff>
      <xdr:row>55</xdr:row>
      <xdr:rowOff>176303</xdr:rowOff>
    </xdr:to>
    <xdr:sp macro="" textlink="">
      <xdr:nvSpPr>
        <xdr:cNvPr id="137" name="3">
          <a:extLst>
            <a:ext uri="{FF2B5EF4-FFF2-40B4-BE49-F238E27FC236}">
              <a16:creationId xmlns:a16="http://schemas.microsoft.com/office/drawing/2014/main" id="{5DC1FC1E-FB35-42E6-8599-2AD6EAFFB354}"/>
            </a:ext>
          </a:extLst>
        </xdr:cNvPr>
        <xdr:cNvSpPr>
          <a:spLocks noChangeArrowheads="1"/>
        </xdr:cNvSpPr>
      </xdr:nvSpPr>
      <xdr:spPr bwMode="auto">
        <a:xfrm>
          <a:off x="8954924" y="10004832"/>
          <a:ext cx="41904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3045</xdr:colOff>
      <xdr:row>53</xdr:row>
      <xdr:rowOff>174944</xdr:rowOff>
    </xdr:from>
    <xdr:to>
      <xdr:col>23</xdr:col>
      <xdr:colOff>3218</xdr:colOff>
      <xdr:row>55</xdr:row>
      <xdr:rowOff>180382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698967CF-8773-4E0B-BC26-3F944AB8C891}"/>
            </a:ext>
          </a:extLst>
        </xdr:cNvPr>
        <xdr:cNvSpPr>
          <a:spLocks noChangeArrowheads="1"/>
        </xdr:cNvSpPr>
      </xdr:nvSpPr>
      <xdr:spPr bwMode="auto">
        <a:xfrm>
          <a:off x="8169145" y="10030144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187397</xdr:colOff>
      <xdr:row>53</xdr:row>
      <xdr:rowOff>162379</xdr:rowOff>
    </xdr:from>
    <xdr:to>
      <xdr:col>26</xdr:col>
      <xdr:colOff>200310</xdr:colOff>
      <xdr:row>54</xdr:row>
      <xdr:rowOff>77268</xdr:rowOff>
    </xdr:to>
    <xdr:sp macro="" textlink="">
      <xdr:nvSpPr>
        <xdr:cNvPr id="139" name="Freeform 10708">
          <a:extLst>
            <a:ext uri="{FF2B5EF4-FFF2-40B4-BE49-F238E27FC236}">
              <a16:creationId xmlns:a16="http://schemas.microsoft.com/office/drawing/2014/main" id="{00BB21C2-4158-4AAC-B1FE-9EE2E767F6B6}"/>
            </a:ext>
          </a:extLst>
        </xdr:cNvPr>
        <xdr:cNvSpPr>
          <a:spLocks/>
        </xdr:cNvSpPr>
      </xdr:nvSpPr>
      <xdr:spPr bwMode="auto">
        <a:xfrm>
          <a:off x="9140897" y="10017579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206586</xdr:colOff>
      <xdr:row>53</xdr:row>
      <xdr:rowOff>159597</xdr:rowOff>
    </xdr:from>
    <xdr:to>
      <xdr:col>24</xdr:col>
      <xdr:colOff>186396</xdr:colOff>
      <xdr:row>54</xdr:row>
      <xdr:rowOff>82059</xdr:rowOff>
    </xdr:to>
    <xdr:sp macro="" textlink="">
      <xdr:nvSpPr>
        <xdr:cNvPr id="140" name="Freeform 10708">
          <a:extLst>
            <a:ext uri="{FF2B5EF4-FFF2-40B4-BE49-F238E27FC236}">
              <a16:creationId xmlns:a16="http://schemas.microsoft.com/office/drawing/2014/main" id="{095EEEF7-17C2-426C-9CFF-552BD52E930A}"/>
            </a:ext>
          </a:extLst>
        </xdr:cNvPr>
        <xdr:cNvSpPr>
          <a:spLocks/>
        </xdr:cNvSpPr>
      </xdr:nvSpPr>
      <xdr:spPr bwMode="auto">
        <a:xfrm>
          <a:off x="8372686" y="10014797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2153</xdr:colOff>
      <xdr:row>53</xdr:row>
      <xdr:rowOff>157647</xdr:rowOff>
    </xdr:from>
    <xdr:to>
      <xdr:col>29</xdr:col>
      <xdr:colOff>15897</xdr:colOff>
      <xdr:row>55</xdr:row>
      <xdr:rowOff>184318</xdr:rowOff>
    </xdr:to>
    <xdr:sp macro="" textlink="">
      <xdr:nvSpPr>
        <xdr:cNvPr id="141" name="3">
          <a:extLst>
            <a:ext uri="{FF2B5EF4-FFF2-40B4-BE49-F238E27FC236}">
              <a16:creationId xmlns:a16="http://schemas.microsoft.com/office/drawing/2014/main" id="{8642E5B7-EBA0-4496-94EA-34A1BF9A6454}"/>
            </a:ext>
          </a:extLst>
        </xdr:cNvPr>
        <xdr:cNvSpPr>
          <a:spLocks noChangeArrowheads="1"/>
        </xdr:cNvSpPr>
      </xdr:nvSpPr>
      <xdr:spPr bwMode="auto">
        <a:xfrm>
          <a:off x="10568553" y="10012847"/>
          <a:ext cx="413794" cy="394971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6459</xdr:colOff>
      <xdr:row>53</xdr:row>
      <xdr:rowOff>174029</xdr:rowOff>
    </xdr:from>
    <xdr:to>
      <xdr:col>27</xdr:col>
      <xdr:colOff>9367</xdr:colOff>
      <xdr:row>55</xdr:row>
      <xdr:rowOff>179745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63043D9D-5645-43D6-BD60-DC7CE4FC0F97}"/>
            </a:ext>
          </a:extLst>
        </xdr:cNvPr>
        <xdr:cNvSpPr>
          <a:spLocks noChangeArrowheads="1"/>
        </xdr:cNvSpPr>
      </xdr:nvSpPr>
      <xdr:spPr bwMode="auto">
        <a:xfrm>
          <a:off x="9766409" y="10029229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214223</xdr:colOff>
      <xdr:row>53</xdr:row>
      <xdr:rowOff>159597</xdr:rowOff>
    </xdr:from>
    <xdr:to>
      <xdr:col>30</xdr:col>
      <xdr:colOff>206245</xdr:colOff>
      <xdr:row>54</xdr:row>
      <xdr:rowOff>79643</xdr:rowOff>
    </xdr:to>
    <xdr:sp macro="" textlink="">
      <xdr:nvSpPr>
        <xdr:cNvPr id="143" name="Freeform 10708">
          <a:extLst>
            <a:ext uri="{FF2B5EF4-FFF2-40B4-BE49-F238E27FC236}">
              <a16:creationId xmlns:a16="http://schemas.microsoft.com/office/drawing/2014/main" id="{9162BA5C-D233-4224-8879-149A8F0C9835}"/>
            </a:ext>
          </a:extLst>
        </xdr:cNvPr>
        <xdr:cNvSpPr>
          <a:spLocks/>
        </xdr:cNvSpPr>
      </xdr:nvSpPr>
      <xdr:spPr bwMode="auto">
        <a:xfrm>
          <a:off x="10780623" y="10014797"/>
          <a:ext cx="754022" cy="1041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204243</xdr:colOff>
      <xdr:row>53</xdr:row>
      <xdr:rowOff>162380</xdr:rowOff>
    </xdr:from>
    <xdr:to>
      <xdr:col>28</xdr:col>
      <xdr:colOff>203092</xdr:colOff>
      <xdr:row>54</xdr:row>
      <xdr:rowOff>67738</xdr:rowOff>
    </xdr:to>
    <xdr:sp macro="" textlink="">
      <xdr:nvSpPr>
        <xdr:cNvPr id="144" name="Freeform 10708">
          <a:extLst>
            <a:ext uri="{FF2B5EF4-FFF2-40B4-BE49-F238E27FC236}">
              <a16:creationId xmlns:a16="http://schemas.microsoft.com/office/drawing/2014/main" id="{A725F54B-75F7-407F-A781-F35B0D6AAEA6}"/>
            </a:ext>
          </a:extLst>
        </xdr:cNvPr>
        <xdr:cNvSpPr>
          <a:spLocks/>
        </xdr:cNvSpPr>
      </xdr:nvSpPr>
      <xdr:spPr bwMode="auto">
        <a:xfrm>
          <a:off x="9964193" y="10017580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20923</xdr:colOff>
      <xdr:row>53</xdr:row>
      <xdr:rowOff>154458</xdr:rowOff>
    </xdr:from>
    <xdr:to>
      <xdr:col>31</xdr:col>
      <xdr:colOff>12054</xdr:colOff>
      <xdr:row>55</xdr:row>
      <xdr:rowOff>181129</xdr:rowOff>
    </xdr:to>
    <xdr:sp macro="" textlink="">
      <xdr:nvSpPr>
        <xdr:cNvPr id="145" name="3">
          <a:extLst>
            <a:ext uri="{FF2B5EF4-FFF2-40B4-BE49-F238E27FC236}">
              <a16:creationId xmlns:a16="http://schemas.microsoft.com/office/drawing/2014/main" id="{958C05DE-EF2A-4D20-A4CA-530882EE817F}"/>
            </a:ext>
          </a:extLst>
        </xdr:cNvPr>
        <xdr:cNvSpPr>
          <a:spLocks noChangeArrowheads="1"/>
        </xdr:cNvSpPr>
      </xdr:nvSpPr>
      <xdr:spPr bwMode="auto">
        <a:xfrm>
          <a:off x="11349323" y="10009658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5753</xdr:colOff>
      <xdr:row>53</xdr:row>
      <xdr:rowOff>152391</xdr:rowOff>
    </xdr:from>
    <xdr:to>
      <xdr:col>2</xdr:col>
      <xdr:colOff>176034</xdr:colOff>
      <xdr:row>54</xdr:row>
      <xdr:rowOff>76012</xdr:rowOff>
    </xdr:to>
    <xdr:sp macro="" textlink="">
      <xdr:nvSpPr>
        <xdr:cNvPr id="146" name="Freeform 10708">
          <a:extLst>
            <a:ext uri="{FF2B5EF4-FFF2-40B4-BE49-F238E27FC236}">
              <a16:creationId xmlns:a16="http://schemas.microsoft.com/office/drawing/2014/main" id="{CFBBB443-084C-43CE-AD43-35B08C9DCA8D}"/>
            </a:ext>
          </a:extLst>
        </xdr:cNvPr>
        <xdr:cNvSpPr>
          <a:spLocks/>
        </xdr:cNvSpPr>
      </xdr:nvSpPr>
      <xdr:spPr bwMode="auto">
        <a:xfrm>
          <a:off x="5753" y="10007591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361068</xdr:colOff>
      <xdr:row>64</xdr:row>
      <xdr:rowOff>161608</xdr:rowOff>
    </xdr:from>
    <xdr:to>
      <xdr:col>7</xdr:col>
      <xdr:colOff>10995</xdr:colOff>
      <xdr:row>67</xdr:row>
      <xdr:rowOff>622</xdr:rowOff>
    </xdr:to>
    <xdr:sp macro="" textlink="">
      <xdr:nvSpPr>
        <xdr:cNvPr id="147" name="3">
          <a:extLst>
            <a:ext uri="{FF2B5EF4-FFF2-40B4-BE49-F238E27FC236}">
              <a16:creationId xmlns:a16="http://schemas.microsoft.com/office/drawing/2014/main" id="{5ABCB62D-6874-4AA7-933D-A661F1E5C12E}"/>
            </a:ext>
          </a:extLst>
        </xdr:cNvPr>
        <xdr:cNvSpPr>
          <a:spLocks noChangeArrowheads="1"/>
        </xdr:cNvSpPr>
      </xdr:nvSpPr>
      <xdr:spPr bwMode="auto">
        <a:xfrm>
          <a:off x="2037468" y="11953558"/>
          <a:ext cx="411927" cy="372414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5428</xdr:colOff>
      <xdr:row>64</xdr:row>
      <xdr:rowOff>178912</xdr:rowOff>
    </xdr:from>
    <xdr:to>
      <xdr:col>5</xdr:col>
      <xdr:colOff>7585</xdr:colOff>
      <xdr:row>66</xdr:row>
      <xdr:rowOff>183224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84F746B8-FC31-459B-B194-87F734FA3490}"/>
            </a:ext>
          </a:extLst>
        </xdr:cNvPr>
        <xdr:cNvSpPr>
          <a:spLocks noChangeArrowheads="1"/>
        </xdr:cNvSpPr>
      </xdr:nvSpPr>
      <xdr:spPr bwMode="auto">
        <a:xfrm>
          <a:off x="1281778" y="11951812"/>
          <a:ext cx="402207" cy="366262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203835</xdr:colOff>
      <xdr:row>64</xdr:row>
      <xdr:rowOff>176754</xdr:rowOff>
    </xdr:from>
    <xdr:to>
      <xdr:col>4</xdr:col>
      <xdr:colOff>203835</xdr:colOff>
      <xdr:row>65</xdr:row>
      <xdr:rowOff>88468</xdr:rowOff>
    </xdr:to>
    <xdr:sp macro="" textlink="">
      <xdr:nvSpPr>
        <xdr:cNvPr id="149" name="Freeform 10708">
          <a:extLst>
            <a:ext uri="{FF2B5EF4-FFF2-40B4-BE49-F238E27FC236}">
              <a16:creationId xmlns:a16="http://schemas.microsoft.com/office/drawing/2014/main" id="{DF2B3126-247C-41AF-BCAC-B045695335E8}"/>
            </a:ext>
          </a:extLst>
        </xdr:cNvPr>
        <xdr:cNvSpPr>
          <a:spLocks/>
        </xdr:cNvSpPr>
      </xdr:nvSpPr>
      <xdr:spPr bwMode="auto">
        <a:xfrm>
          <a:off x="711835" y="11949654"/>
          <a:ext cx="768350" cy="8951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184023</xdr:colOff>
      <xdr:row>64</xdr:row>
      <xdr:rowOff>176755</xdr:rowOff>
    </xdr:from>
    <xdr:to>
      <xdr:col>8</xdr:col>
      <xdr:colOff>205455</xdr:colOff>
      <xdr:row>65</xdr:row>
      <xdr:rowOff>100375</xdr:rowOff>
    </xdr:to>
    <xdr:sp macro="" textlink="">
      <xdr:nvSpPr>
        <xdr:cNvPr id="150" name="Freeform 10708">
          <a:extLst>
            <a:ext uri="{FF2B5EF4-FFF2-40B4-BE49-F238E27FC236}">
              <a16:creationId xmlns:a16="http://schemas.microsoft.com/office/drawing/2014/main" id="{651E1467-74A0-4FD5-BE36-9F3B85438476}"/>
            </a:ext>
          </a:extLst>
        </xdr:cNvPr>
        <xdr:cNvSpPr>
          <a:spLocks/>
        </xdr:cNvSpPr>
      </xdr:nvSpPr>
      <xdr:spPr bwMode="auto">
        <a:xfrm>
          <a:off x="2241423" y="11949655"/>
          <a:ext cx="789782" cy="1014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4038</xdr:colOff>
      <xdr:row>64</xdr:row>
      <xdr:rowOff>178286</xdr:rowOff>
    </xdr:from>
    <xdr:to>
      <xdr:col>3</xdr:col>
      <xdr:colOff>6194</xdr:colOff>
      <xdr:row>66</xdr:row>
      <xdr:rowOff>182042</xdr:rowOff>
    </xdr:to>
    <xdr:sp macro="" textlink="">
      <xdr:nvSpPr>
        <xdr:cNvPr id="151" name="0/0">
          <a:extLst>
            <a:ext uri="{FF2B5EF4-FFF2-40B4-BE49-F238E27FC236}">
              <a16:creationId xmlns:a16="http://schemas.microsoft.com/office/drawing/2014/main" id="{23544FFA-81BF-4BDC-AE05-4565DE0AEE34}"/>
            </a:ext>
          </a:extLst>
        </xdr:cNvPr>
        <xdr:cNvSpPr>
          <a:spLocks noChangeArrowheads="1"/>
        </xdr:cNvSpPr>
      </xdr:nvSpPr>
      <xdr:spPr bwMode="auto">
        <a:xfrm>
          <a:off x="512038" y="11951186"/>
          <a:ext cx="402206" cy="36570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205993</xdr:colOff>
      <xdr:row>64</xdr:row>
      <xdr:rowOff>176755</xdr:rowOff>
    </xdr:from>
    <xdr:to>
      <xdr:col>6</xdr:col>
      <xdr:colOff>205993</xdr:colOff>
      <xdr:row>65</xdr:row>
      <xdr:rowOff>88469</xdr:rowOff>
    </xdr:to>
    <xdr:sp macro="" textlink="">
      <xdr:nvSpPr>
        <xdr:cNvPr id="152" name="Freeform 10708">
          <a:extLst>
            <a:ext uri="{FF2B5EF4-FFF2-40B4-BE49-F238E27FC236}">
              <a16:creationId xmlns:a16="http://schemas.microsoft.com/office/drawing/2014/main" id="{8F921F1C-A4C9-433B-BD1B-0200639FD5A7}"/>
            </a:ext>
          </a:extLst>
        </xdr:cNvPr>
        <xdr:cNvSpPr>
          <a:spLocks/>
        </xdr:cNvSpPr>
      </xdr:nvSpPr>
      <xdr:spPr bwMode="auto">
        <a:xfrm>
          <a:off x="1482343" y="11949655"/>
          <a:ext cx="781050" cy="8951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359204</xdr:colOff>
      <xdr:row>64</xdr:row>
      <xdr:rowOff>151751</xdr:rowOff>
    </xdr:from>
    <xdr:to>
      <xdr:col>11</xdr:col>
      <xdr:colOff>7262</xdr:colOff>
      <xdr:row>66</xdr:row>
      <xdr:rowOff>178421</xdr:rowOff>
    </xdr:to>
    <xdr:sp macro="" textlink="">
      <xdr:nvSpPr>
        <xdr:cNvPr id="153" name="3">
          <a:extLst>
            <a:ext uri="{FF2B5EF4-FFF2-40B4-BE49-F238E27FC236}">
              <a16:creationId xmlns:a16="http://schemas.microsoft.com/office/drawing/2014/main" id="{EC61842D-BBC4-4471-9926-8CF85753240E}"/>
            </a:ext>
          </a:extLst>
        </xdr:cNvPr>
        <xdr:cNvSpPr>
          <a:spLocks noChangeArrowheads="1"/>
        </xdr:cNvSpPr>
      </xdr:nvSpPr>
      <xdr:spPr bwMode="auto">
        <a:xfrm>
          <a:off x="3585004" y="11950051"/>
          <a:ext cx="403708" cy="3632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837</xdr:colOff>
      <xdr:row>64</xdr:row>
      <xdr:rowOff>170713</xdr:rowOff>
    </xdr:from>
    <xdr:to>
      <xdr:col>9</xdr:col>
      <xdr:colOff>5244</xdr:colOff>
      <xdr:row>66</xdr:row>
      <xdr:rowOff>176150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56F40CFD-EB3D-4C09-92DF-60F449688AEC}"/>
            </a:ext>
          </a:extLst>
        </xdr:cNvPr>
        <xdr:cNvSpPr>
          <a:spLocks noChangeArrowheads="1"/>
        </xdr:cNvSpPr>
      </xdr:nvSpPr>
      <xdr:spPr bwMode="auto">
        <a:xfrm>
          <a:off x="2826587" y="11949963"/>
          <a:ext cx="404457" cy="3610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177024</xdr:colOff>
      <xdr:row>64</xdr:row>
      <xdr:rowOff>165773</xdr:rowOff>
    </xdr:from>
    <xdr:to>
      <xdr:col>12</xdr:col>
      <xdr:colOff>265967</xdr:colOff>
      <xdr:row>65</xdr:row>
      <xdr:rowOff>90518</xdr:rowOff>
    </xdr:to>
    <xdr:sp macro="" textlink="">
      <xdr:nvSpPr>
        <xdr:cNvPr id="155" name="Freeform 10708">
          <a:extLst>
            <a:ext uri="{FF2B5EF4-FFF2-40B4-BE49-F238E27FC236}">
              <a16:creationId xmlns:a16="http://schemas.microsoft.com/office/drawing/2014/main" id="{EFA28FB0-DB49-4417-B523-88805147297B}"/>
            </a:ext>
          </a:extLst>
        </xdr:cNvPr>
        <xdr:cNvSpPr>
          <a:spLocks/>
        </xdr:cNvSpPr>
      </xdr:nvSpPr>
      <xdr:spPr bwMode="auto">
        <a:xfrm>
          <a:off x="3771124" y="11951373"/>
          <a:ext cx="825543" cy="8984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191493</xdr:colOff>
      <xdr:row>64</xdr:row>
      <xdr:rowOff>165773</xdr:rowOff>
    </xdr:from>
    <xdr:to>
      <xdr:col>10</xdr:col>
      <xdr:colOff>198994</xdr:colOff>
      <xdr:row>65</xdr:row>
      <xdr:rowOff>78612</xdr:rowOff>
    </xdr:to>
    <xdr:sp macro="" textlink="">
      <xdr:nvSpPr>
        <xdr:cNvPr id="156" name="Freeform 10708">
          <a:extLst>
            <a:ext uri="{FF2B5EF4-FFF2-40B4-BE49-F238E27FC236}">
              <a16:creationId xmlns:a16="http://schemas.microsoft.com/office/drawing/2014/main" id="{E2DF7B13-827E-4C31-9E11-1504E26B9EAE}"/>
            </a:ext>
          </a:extLst>
        </xdr:cNvPr>
        <xdr:cNvSpPr>
          <a:spLocks/>
        </xdr:cNvSpPr>
      </xdr:nvSpPr>
      <xdr:spPr bwMode="auto">
        <a:xfrm>
          <a:off x="3017243" y="11951373"/>
          <a:ext cx="775851" cy="779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298831</xdr:colOff>
      <xdr:row>65</xdr:row>
      <xdr:rowOff>589</xdr:rowOff>
    </xdr:from>
    <xdr:to>
      <xdr:col>15</xdr:col>
      <xdr:colOff>6979</xdr:colOff>
      <xdr:row>67</xdr:row>
      <xdr:rowOff>20935</xdr:rowOff>
    </xdr:to>
    <xdr:sp macro="" textlink="">
      <xdr:nvSpPr>
        <xdr:cNvPr id="157" name="3">
          <a:extLst>
            <a:ext uri="{FF2B5EF4-FFF2-40B4-BE49-F238E27FC236}">
              <a16:creationId xmlns:a16="http://schemas.microsoft.com/office/drawing/2014/main" id="{5C08844C-32AB-4255-AA61-A4F38D9A463B}"/>
            </a:ext>
          </a:extLst>
        </xdr:cNvPr>
        <xdr:cNvSpPr>
          <a:spLocks noChangeArrowheads="1"/>
        </xdr:cNvSpPr>
      </xdr:nvSpPr>
      <xdr:spPr bwMode="auto">
        <a:xfrm>
          <a:off x="5016881" y="11951289"/>
          <a:ext cx="406648" cy="394996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6930</xdr:colOff>
      <xdr:row>64</xdr:row>
      <xdr:rowOff>170284</xdr:rowOff>
    </xdr:from>
    <xdr:to>
      <xdr:col>13</xdr:col>
      <xdr:colOff>6462</xdr:colOff>
      <xdr:row>66</xdr:row>
      <xdr:rowOff>175721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CBE8998-461D-4484-BE44-1304D111F20C}"/>
            </a:ext>
          </a:extLst>
        </xdr:cNvPr>
        <xdr:cNvSpPr>
          <a:spLocks noChangeArrowheads="1"/>
        </xdr:cNvSpPr>
      </xdr:nvSpPr>
      <xdr:spPr bwMode="auto">
        <a:xfrm>
          <a:off x="4337630" y="11949534"/>
          <a:ext cx="386882" cy="361037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174648</xdr:colOff>
      <xdr:row>64</xdr:row>
      <xdr:rowOff>176755</xdr:rowOff>
    </xdr:from>
    <xdr:to>
      <xdr:col>18</xdr:col>
      <xdr:colOff>191871</xdr:colOff>
      <xdr:row>65</xdr:row>
      <xdr:rowOff>92872</xdr:rowOff>
    </xdr:to>
    <xdr:sp macro="" textlink="">
      <xdr:nvSpPr>
        <xdr:cNvPr id="159" name="Freeform 10708">
          <a:extLst>
            <a:ext uri="{FF2B5EF4-FFF2-40B4-BE49-F238E27FC236}">
              <a16:creationId xmlns:a16="http://schemas.microsoft.com/office/drawing/2014/main" id="{DB36C2D5-A63A-435C-AD7E-25AB30EBD8EB}"/>
            </a:ext>
          </a:extLst>
        </xdr:cNvPr>
        <xdr:cNvSpPr>
          <a:spLocks/>
        </xdr:cNvSpPr>
      </xdr:nvSpPr>
      <xdr:spPr bwMode="auto">
        <a:xfrm>
          <a:off x="5191148" y="11949655"/>
          <a:ext cx="1623773" cy="9391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204120</xdr:colOff>
      <xdr:row>64</xdr:row>
      <xdr:rowOff>168127</xdr:rowOff>
    </xdr:from>
    <xdr:to>
      <xdr:col>14</xdr:col>
      <xdr:colOff>196618</xdr:colOff>
      <xdr:row>65</xdr:row>
      <xdr:rowOff>80966</xdr:rowOff>
    </xdr:to>
    <xdr:sp macro="" textlink="">
      <xdr:nvSpPr>
        <xdr:cNvPr id="160" name="Freeform 10708">
          <a:extLst>
            <a:ext uri="{FF2B5EF4-FFF2-40B4-BE49-F238E27FC236}">
              <a16:creationId xmlns:a16="http://schemas.microsoft.com/office/drawing/2014/main" id="{31B6AEEF-7FB0-4A0F-AED6-CFAED9147932}"/>
            </a:ext>
          </a:extLst>
        </xdr:cNvPr>
        <xdr:cNvSpPr>
          <a:spLocks/>
        </xdr:cNvSpPr>
      </xdr:nvSpPr>
      <xdr:spPr bwMode="auto">
        <a:xfrm>
          <a:off x="4534820" y="11953727"/>
          <a:ext cx="678298" cy="779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1395</xdr:colOff>
      <xdr:row>64</xdr:row>
      <xdr:rowOff>152597</xdr:rowOff>
    </xdr:from>
    <xdr:to>
      <xdr:col>21</xdr:col>
      <xdr:colOff>11763</xdr:colOff>
      <xdr:row>66</xdr:row>
      <xdr:rowOff>179267</xdr:rowOff>
    </xdr:to>
    <xdr:sp macro="" textlink="">
      <xdr:nvSpPr>
        <xdr:cNvPr id="161" name="3">
          <a:extLst>
            <a:ext uri="{FF2B5EF4-FFF2-40B4-BE49-F238E27FC236}">
              <a16:creationId xmlns:a16="http://schemas.microsoft.com/office/drawing/2014/main" id="{D9D17346-35D7-4C61-A9D1-23E92BBA6D80}"/>
            </a:ext>
          </a:extLst>
        </xdr:cNvPr>
        <xdr:cNvSpPr>
          <a:spLocks noChangeArrowheads="1"/>
        </xdr:cNvSpPr>
      </xdr:nvSpPr>
      <xdr:spPr bwMode="auto">
        <a:xfrm>
          <a:off x="7392795" y="11950897"/>
          <a:ext cx="416768" cy="3632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365139</xdr:colOff>
      <xdr:row>64</xdr:row>
      <xdr:rowOff>171559</xdr:rowOff>
    </xdr:from>
    <xdr:to>
      <xdr:col>19</xdr:col>
      <xdr:colOff>6698</xdr:colOff>
      <xdr:row>66</xdr:row>
      <xdr:rowOff>176996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CA6B8239-7427-4B34-AACC-FB46DBA553D0}"/>
            </a:ext>
          </a:extLst>
        </xdr:cNvPr>
        <xdr:cNvSpPr>
          <a:spLocks noChangeArrowheads="1"/>
        </xdr:cNvSpPr>
      </xdr:nvSpPr>
      <xdr:spPr bwMode="auto">
        <a:xfrm>
          <a:off x="6581789" y="11950809"/>
          <a:ext cx="448009" cy="3610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189546</xdr:colOff>
      <xdr:row>64</xdr:row>
      <xdr:rowOff>173694</xdr:rowOff>
    </xdr:from>
    <xdr:to>
      <xdr:col>22</xdr:col>
      <xdr:colOff>194654</xdr:colOff>
      <xdr:row>65</xdr:row>
      <xdr:rowOff>91363</xdr:rowOff>
    </xdr:to>
    <xdr:sp macro="" textlink="">
      <xdr:nvSpPr>
        <xdr:cNvPr id="163" name="Freeform 10708">
          <a:extLst>
            <a:ext uri="{FF2B5EF4-FFF2-40B4-BE49-F238E27FC236}">
              <a16:creationId xmlns:a16="http://schemas.microsoft.com/office/drawing/2014/main" id="{3CC5005D-4788-4E7F-BBC3-2EC5A122848E}"/>
            </a:ext>
          </a:extLst>
        </xdr:cNvPr>
        <xdr:cNvSpPr>
          <a:spLocks/>
        </xdr:cNvSpPr>
      </xdr:nvSpPr>
      <xdr:spPr bwMode="auto">
        <a:xfrm>
          <a:off x="7580946" y="11952944"/>
          <a:ext cx="779808" cy="891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200386</xdr:colOff>
      <xdr:row>64</xdr:row>
      <xdr:rowOff>178027</xdr:rowOff>
    </xdr:from>
    <xdr:to>
      <xdr:col>20</xdr:col>
      <xdr:colOff>200385</xdr:colOff>
      <xdr:row>65</xdr:row>
      <xdr:rowOff>90588</xdr:rowOff>
    </xdr:to>
    <xdr:sp macro="" textlink="">
      <xdr:nvSpPr>
        <xdr:cNvPr id="164" name="Freeform 10708">
          <a:extLst>
            <a:ext uri="{FF2B5EF4-FFF2-40B4-BE49-F238E27FC236}">
              <a16:creationId xmlns:a16="http://schemas.microsoft.com/office/drawing/2014/main" id="{FDD360D1-B627-4B0E-9DEA-AA6F708C85A0}"/>
            </a:ext>
          </a:extLst>
        </xdr:cNvPr>
        <xdr:cNvSpPr>
          <a:spLocks/>
        </xdr:cNvSpPr>
      </xdr:nvSpPr>
      <xdr:spPr bwMode="auto">
        <a:xfrm>
          <a:off x="6823436" y="11950927"/>
          <a:ext cx="768349" cy="9036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367135</xdr:colOff>
      <xdr:row>64</xdr:row>
      <xdr:rowOff>155381</xdr:rowOff>
    </xdr:from>
    <xdr:to>
      <xdr:col>25</xdr:col>
      <xdr:colOff>17544</xdr:colOff>
      <xdr:row>66</xdr:row>
      <xdr:rowOff>182051</xdr:rowOff>
    </xdr:to>
    <xdr:sp macro="" textlink="">
      <xdr:nvSpPr>
        <xdr:cNvPr id="165" name="3">
          <a:extLst>
            <a:ext uri="{FF2B5EF4-FFF2-40B4-BE49-F238E27FC236}">
              <a16:creationId xmlns:a16="http://schemas.microsoft.com/office/drawing/2014/main" id="{42A582BA-C9C8-4E0C-9D53-9212D2E9C212}"/>
            </a:ext>
          </a:extLst>
        </xdr:cNvPr>
        <xdr:cNvSpPr>
          <a:spLocks noChangeArrowheads="1"/>
        </xdr:cNvSpPr>
      </xdr:nvSpPr>
      <xdr:spPr bwMode="auto">
        <a:xfrm>
          <a:off x="8933285" y="11953681"/>
          <a:ext cx="437809" cy="3632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6522</xdr:colOff>
      <xdr:row>64</xdr:row>
      <xdr:rowOff>174343</xdr:rowOff>
    </xdr:from>
    <xdr:to>
      <xdr:col>23</xdr:col>
      <xdr:colOff>6695</xdr:colOff>
      <xdr:row>66</xdr:row>
      <xdr:rowOff>179780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F70FE5CF-A850-445F-BF15-9789246B1107}"/>
            </a:ext>
          </a:extLst>
        </xdr:cNvPr>
        <xdr:cNvSpPr>
          <a:spLocks noChangeArrowheads="1"/>
        </xdr:cNvSpPr>
      </xdr:nvSpPr>
      <xdr:spPr bwMode="auto">
        <a:xfrm>
          <a:off x="8172622" y="11953593"/>
          <a:ext cx="400223" cy="3610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184524</xdr:colOff>
      <xdr:row>64</xdr:row>
      <xdr:rowOff>168128</xdr:rowOff>
    </xdr:from>
    <xdr:to>
      <xdr:col>26</xdr:col>
      <xdr:colOff>197437</xdr:colOff>
      <xdr:row>65</xdr:row>
      <xdr:rowOff>83016</xdr:rowOff>
    </xdr:to>
    <xdr:sp macro="" textlink="">
      <xdr:nvSpPr>
        <xdr:cNvPr id="167" name="Freeform 10708">
          <a:extLst>
            <a:ext uri="{FF2B5EF4-FFF2-40B4-BE49-F238E27FC236}">
              <a16:creationId xmlns:a16="http://schemas.microsoft.com/office/drawing/2014/main" id="{9504F740-FD62-4230-A190-BDDC687DB6E9}"/>
            </a:ext>
          </a:extLst>
        </xdr:cNvPr>
        <xdr:cNvSpPr>
          <a:spLocks/>
        </xdr:cNvSpPr>
      </xdr:nvSpPr>
      <xdr:spPr bwMode="auto">
        <a:xfrm>
          <a:off x="9138024" y="11953728"/>
          <a:ext cx="819363" cy="7998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3586</xdr:colOff>
      <xdr:row>64</xdr:row>
      <xdr:rowOff>179778</xdr:rowOff>
    </xdr:from>
    <xdr:to>
      <xdr:col>27</xdr:col>
      <xdr:colOff>6494</xdr:colOff>
      <xdr:row>66</xdr:row>
      <xdr:rowOff>185493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8F24A882-FD8A-4B69-BFC4-9185E73801F2}"/>
            </a:ext>
          </a:extLst>
        </xdr:cNvPr>
        <xdr:cNvSpPr>
          <a:spLocks noChangeArrowheads="1"/>
        </xdr:cNvSpPr>
      </xdr:nvSpPr>
      <xdr:spPr bwMode="auto">
        <a:xfrm>
          <a:off x="9763536" y="11952678"/>
          <a:ext cx="402958" cy="36766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211350</xdr:colOff>
      <xdr:row>64</xdr:row>
      <xdr:rowOff>165346</xdr:rowOff>
    </xdr:from>
    <xdr:to>
      <xdr:col>30</xdr:col>
      <xdr:colOff>203372</xdr:colOff>
      <xdr:row>65</xdr:row>
      <xdr:rowOff>85391</xdr:rowOff>
    </xdr:to>
    <xdr:sp macro="" textlink="">
      <xdr:nvSpPr>
        <xdr:cNvPr id="169" name="Freeform 10708">
          <a:extLst>
            <a:ext uri="{FF2B5EF4-FFF2-40B4-BE49-F238E27FC236}">
              <a16:creationId xmlns:a16="http://schemas.microsoft.com/office/drawing/2014/main" id="{9394C988-02A4-4746-9BFB-FAAA5765E8D9}"/>
            </a:ext>
          </a:extLst>
        </xdr:cNvPr>
        <xdr:cNvSpPr>
          <a:spLocks/>
        </xdr:cNvSpPr>
      </xdr:nvSpPr>
      <xdr:spPr bwMode="auto">
        <a:xfrm>
          <a:off x="10777750" y="11950946"/>
          <a:ext cx="754022" cy="8514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201370</xdr:colOff>
      <xdr:row>64</xdr:row>
      <xdr:rowOff>168129</xdr:rowOff>
    </xdr:from>
    <xdr:to>
      <xdr:col>28</xdr:col>
      <xdr:colOff>200219</xdr:colOff>
      <xdr:row>65</xdr:row>
      <xdr:rowOff>73486</xdr:rowOff>
    </xdr:to>
    <xdr:sp macro="" textlink="">
      <xdr:nvSpPr>
        <xdr:cNvPr id="170" name="Freeform 10708">
          <a:extLst>
            <a:ext uri="{FF2B5EF4-FFF2-40B4-BE49-F238E27FC236}">
              <a16:creationId xmlns:a16="http://schemas.microsoft.com/office/drawing/2014/main" id="{001656E0-E5E2-4CAB-A1CA-CA517DAD495B}"/>
            </a:ext>
          </a:extLst>
        </xdr:cNvPr>
        <xdr:cNvSpPr>
          <a:spLocks/>
        </xdr:cNvSpPr>
      </xdr:nvSpPr>
      <xdr:spPr bwMode="auto">
        <a:xfrm>
          <a:off x="9961320" y="11953729"/>
          <a:ext cx="805299" cy="7045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18050</xdr:colOff>
      <xdr:row>64</xdr:row>
      <xdr:rowOff>149001</xdr:rowOff>
    </xdr:from>
    <xdr:to>
      <xdr:col>31</xdr:col>
      <xdr:colOff>9181</xdr:colOff>
      <xdr:row>66</xdr:row>
      <xdr:rowOff>175671</xdr:rowOff>
    </xdr:to>
    <xdr:sp macro="" textlink="">
      <xdr:nvSpPr>
        <xdr:cNvPr id="171" name="3">
          <a:extLst>
            <a:ext uri="{FF2B5EF4-FFF2-40B4-BE49-F238E27FC236}">
              <a16:creationId xmlns:a16="http://schemas.microsoft.com/office/drawing/2014/main" id="{3A1A639D-5D16-45B8-BC77-55DD5692B7C5}"/>
            </a:ext>
          </a:extLst>
        </xdr:cNvPr>
        <xdr:cNvSpPr>
          <a:spLocks noChangeArrowheads="1"/>
        </xdr:cNvSpPr>
      </xdr:nvSpPr>
      <xdr:spPr bwMode="auto">
        <a:xfrm>
          <a:off x="11346450" y="11947301"/>
          <a:ext cx="397531" cy="3632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2880</xdr:colOff>
      <xdr:row>64</xdr:row>
      <xdr:rowOff>158140</xdr:rowOff>
    </xdr:from>
    <xdr:to>
      <xdr:col>2</xdr:col>
      <xdr:colOff>173161</xdr:colOff>
      <xdr:row>65</xdr:row>
      <xdr:rowOff>81760</xdr:rowOff>
    </xdr:to>
    <xdr:sp macro="" textlink="">
      <xdr:nvSpPr>
        <xdr:cNvPr id="172" name="Freeform 10708">
          <a:extLst>
            <a:ext uri="{FF2B5EF4-FFF2-40B4-BE49-F238E27FC236}">
              <a16:creationId xmlns:a16="http://schemas.microsoft.com/office/drawing/2014/main" id="{6253085C-9D9B-4612-BB62-7721D884B2F9}"/>
            </a:ext>
          </a:extLst>
        </xdr:cNvPr>
        <xdr:cNvSpPr>
          <a:spLocks/>
        </xdr:cNvSpPr>
      </xdr:nvSpPr>
      <xdr:spPr bwMode="auto">
        <a:xfrm>
          <a:off x="2880" y="11950090"/>
          <a:ext cx="678281" cy="823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360547</xdr:colOff>
      <xdr:row>75</xdr:row>
      <xdr:rowOff>158736</xdr:rowOff>
    </xdr:from>
    <xdr:to>
      <xdr:col>7</xdr:col>
      <xdr:colOff>8122</xdr:colOff>
      <xdr:row>77</xdr:row>
      <xdr:rowOff>185963</xdr:rowOff>
    </xdr:to>
    <xdr:sp macro="" textlink="">
      <xdr:nvSpPr>
        <xdr:cNvPr id="173" name="3">
          <a:extLst>
            <a:ext uri="{FF2B5EF4-FFF2-40B4-BE49-F238E27FC236}">
              <a16:creationId xmlns:a16="http://schemas.microsoft.com/office/drawing/2014/main" id="{A465CD78-21EA-45CC-9328-2583810D52B5}"/>
            </a:ext>
          </a:extLst>
        </xdr:cNvPr>
        <xdr:cNvSpPr>
          <a:spLocks noChangeArrowheads="1"/>
        </xdr:cNvSpPr>
      </xdr:nvSpPr>
      <xdr:spPr bwMode="auto">
        <a:xfrm>
          <a:off x="2036947" y="13868386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2555</xdr:colOff>
      <xdr:row>75</xdr:row>
      <xdr:rowOff>176040</xdr:rowOff>
    </xdr:from>
    <xdr:to>
      <xdr:col>5</xdr:col>
      <xdr:colOff>4712</xdr:colOff>
      <xdr:row>77</xdr:row>
      <xdr:rowOff>180353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FD261034-DEB8-4658-886D-75EDF0763DEA}"/>
            </a:ext>
          </a:extLst>
        </xdr:cNvPr>
        <xdr:cNvSpPr>
          <a:spLocks noChangeArrowheads="1"/>
        </xdr:cNvSpPr>
      </xdr:nvSpPr>
      <xdr:spPr bwMode="auto">
        <a:xfrm>
          <a:off x="1278905" y="13885690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1165</xdr:colOff>
      <xdr:row>75</xdr:row>
      <xdr:rowOff>175414</xdr:rowOff>
    </xdr:from>
    <xdr:to>
      <xdr:col>3</xdr:col>
      <xdr:colOff>3321</xdr:colOff>
      <xdr:row>77</xdr:row>
      <xdr:rowOff>179171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24F15E9-2A68-4B1B-AA30-595A165655AD}"/>
            </a:ext>
          </a:extLst>
        </xdr:cNvPr>
        <xdr:cNvSpPr>
          <a:spLocks noChangeArrowheads="1"/>
        </xdr:cNvSpPr>
      </xdr:nvSpPr>
      <xdr:spPr bwMode="auto">
        <a:xfrm>
          <a:off x="509165" y="13885064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356331</xdr:colOff>
      <xdr:row>75</xdr:row>
      <xdr:rowOff>148879</xdr:rowOff>
    </xdr:from>
    <xdr:to>
      <xdr:col>11</xdr:col>
      <xdr:colOff>4389</xdr:colOff>
      <xdr:row>77</xdr:row>
      <xdr:rowOff>175550</xdr:rowOff>
    </xdr:to>
    <xdr:sp macro="" textlink="">
      <xdr:nvSpPr>
        <xdr:cNvPr id="176" name="3">
          <a:extLst>
            <a:ext uri="{FF2B5EF4-FFF2-40B4-BE49-F238E27FC236}">
              <a16:creationId xmlns:a16="http://schemas.microsoft.com/office/drawing/2014/main" id="{638CE788-B21D-4C92-B3D6-988673877213}"/>
            </a:ext>
          </a:extLst>
        </xdr:cNvPr>
        <xdr:cNvSpPr>
          <a:spLocks noChangeArrowheads="1"/>
        </xdr:cNvSpPr>
      </xdr:nvSpPr>
      <xdr:spPr bwMode="auto">
        <a:xfrm>
          <a:off x="3582131" y="13858529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429285</xdr:colOff>
      <xdr:row>75</xdr:row>
      <xdr:rowOff>167841</xdr:rowOff>
    </xdr:from>
    <xdr:to>
      <xdr:col>9</xdr:col>
      <xdr:colOff>2371</xdr:colOff>
      <xdr:row>77</xdr:row>
      <xdr:rowOff>173279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CE2FB97-54B6-479B-BA79-5CFEA8828CB5}"/>
            </a:ext>
          </a:extLst>
        </xdr:cNvPr>
        <xdr:cNvSpPr>
          <a:spLocks noChangeArrowheads="1"/>
        </xdr:cNvSpPr>
      </xdr:nvSpPr>
      <xdr:spPr bwMode="auto">
        <a:xfrm>
          <a:off x="2823235" y="13877491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174151</xdr:colOff>
      <xdr:row>75</xdr:row>
      <xdr:rowOff>162901</xdr:rowOff>
    </xdr:from>
    <xdr:to>
      <xdr:col>12</xdr:col>
      <xdr:colOff>263094</xdr:colOff>
      <xdr:row>76</xdr:row>
      <xdr:rowOff>87646</xdr:rowOff>
    </xdr:to>
    <xdr:sp macro="" textlink="">
      <xdr:nvSpPr>
        <xdr:cNvPr id="178" name="Freeform 10708">
          <a:extLst>
            <a:ext uri="{FF2B5EF4-FFF2-40B4-BE49-F238E27FC236}">
              <a16:creationId xmlns:a16="http://schemas.microsoft.com/office/drawing/2014/main" id="{1458CDF8-DF77-421E-8BBB-9AB362EF6B2E}"/>
            </a:ext>
          </a:extLst>
        </xdr:cNvPr>
        <xdr:cNvSpPr>
          <a:spLocks/>
        </xdr:cNvSpPr>
      </xdr:nvSpPr>
      <xdr:spPr bwMode="auto">
        <a:xfrm>
          <a:off x="3768251" y="13872551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295957</xdr:colOff>
      <xdr:row>75</xdr:row>
      <xdr:rowOff>151233</xdr:rowOff>
    </xdr:from>
    <xdr:to>
      <xdr:col>14</xdr:col>
      <xdr:colOff>390769</xdr:colOff>
      <xdr:row>78</xdr:row>
      <xdr:rowOff>0</xdr:rowOff>
    </xdr:to>
    <xdr:sp macro="" textlink="">
      <xdr:nvSpPr>
        <xdr:cNvPr id="179" name="3">
          <a:extLst>
            <a:ext uri="{FF2B5EF4-FFF2-40B4-BE49-F238E27FC236}">
              <a16:creationId xmlns:a16="http://schemas.microsoft.com/office/drawing/2014/main" id="{F0D408D9-170D-4167-A372-A240B16A96F2}"/>
            </a:ext>
          </a:extLst>
        </xdr:cNvPr>
        <xdr:cNvSpPr>
          <a:spLocks noChangeArrowheads="1"/>
        </xdr:cNvSpPr>
      </xdr:nvSpPr>
      <xdr:spPr bwMode="auto">
        <a:xfrm>
          <a:off x="5014007" y="13860883"/>
          <a:ext cx="393262" cy="40756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4057</xdr:colOff>
      <xdr:row>75</xdr:row>
      <xdr:rowOff>167412</xdr:rowOff>
    </xdr:from>
    <xdr:to>
      <xdr:col>13</xdr:col>
      <xdr:colOff>3589</xdr:colOff>
      <xdr:row>77</xdr:row>
      <xdr:rowOff>172850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9F0FC764-A76C-4844-8663-A94A2AC1CF98}"/>
            </a:ext>
          </a:extLst>
        </xdr:cNvPr>
        <xdr:cNvSpPr>
          <a:spLocks noChangeArrowheads="1"/>
        </xdr:cNvSpPr>
      </xdr:nvSpPr>
      <xdr:spPr bwMode="auto">
        <a:xfrm>
          <a:off x="4334757" y="13877062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171775</xdr:colOff>
      <xdr:row>75</xdr:row>
      <xdr:rowOff>173883</xdr:rowOff>
    </xdr:from>
    <xdr:to>
      <xdr:col>18</xdr:col>
      <xdr:colOff>188998</xdr:colOff>
      <xdr:row>76</xdr:row>
      <xdr:rowOff>90000</xdr:rowOff>
    </xdr:to>
    <xdr:sp macro="" textlink="">
      <xdr:nvSpPr>
        <xdr:cNvPr id="181" name="Freeform 10708">
          <a:extLst>
            <a:ext uri="{FF2B5EF4-FFF2-40B4-BE49-F238E27FC236}">
              <a16:creationId xmlns:a16="http://schemas.microsoft.com/office/drawing/2014/main" id="{2E05BFFB-2B9F-4F9E-8F35-29045173ACBD}"/>
            </a:ext>
          </a:extLst>
        </xdr:cNvPr>
        <xdr:cNvSpPr>
          <a:spLocks/>
        </xdr:cNvSpPr>
      </xdr:nvSpPr>
      <xdr:spPr bwMode="auto">
        <a:xfrm>
          <a:off x="5188275" y="13883533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201247</xdr:colOff>
      <xdr:row>75</xdr:row>
      <xdr:rowOff>165255</xdr:rowOff>
    </xdr:from>
    <xdr:to>
      <xdr:col>14</xdr:col>
      <xdr:colOff>193745</xdr:colOff>
      <xdr:row>76</xdr:row>
      <xdr:rowOff>78094</xdr:rowOff>
    </xdr:to>
    <xdr:sp macro="" textlink="">
      <xdr:nvSpPr>
        <xdr:cNvPr id="182" name="Freeform 10708">
          <a:extLst>
            <a:ext uri="{FF2B5EF4-FFF2-40B4-BE49-F238E27FC236}">
              <a16:creationId xmlns:a16="http://schemas.microsoft.com/office/drawing/2014/main" id="{6AC4BF5A-09B4-4F62-A72D-8AE038D93AEF}"/>
            </a:ext>
          </a:extLst>
        </xdr:cNvPr>
        <xdr:cNvSpPr>
          <a:spLocks/>
        </xdr:cNvSpPr>
      </xdr:nvSpPr>
      <xdr:spPr bwMode="auto">
        <a:xfrm>
          <a:off x="4531947" y="13874905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367105</xdr:colOff>
      <xdr:row>75</xdr:row>
      <xdr:rowOff>149725</xdr:rowOff>
    </xdr:from>
    <xdr:to>
      <xdr:col>21</xdr:col>
      <xdr:colOff>8890</xdr:colOff>
      <xdr:row>77</xdr:row>
      <xdr:rowOff>176396</xdr:rowOff>
    </xdr:to>
    <xdr:sp macro="" textlink="">
      <xdr:nvSpPr>
        <xdr:cNvPr id="183" name="3">
          <a:extLst>
            <a:ext uri="{FF2B5EF4-FFF2-40B4-BE49-F238E27FC236}">
              <a16:creationId xmlns:a16="http://schemas.microsoft.com/office/drawing/2014/main" id="{6E6372DB-2F69-47F7-A782-D4F661D734D6}"/>
            </a:ext>
          </a:extLst>
        </xdr:cNvPr>
        <xdr:cNvSpPr>
          <a:spLocks noChangeArrowheads="1"/>
        </xdr:cNvSpPr>
      </xdr:nvSpPr>
      <xdr:spPr bwMode="auto">
        <a:xfrm>
          <a:off x="7390205" y="13859375"/>
          <a:ext cx="416485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396875</xdr:colOff>
      <xdr:row>75</xdr:row>
      <xdr:rowOff>168686</xdr:rowOff>
    </xdr:from>
    <xdr:to>
      <xdr:col>19</xdr:col>
      <xdr:colOff>3825</xdr:colOff>
      <xdr:row>77</xdr:row>
      <xdr:rowOff>184149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F35EA263-3AE1-4229-82FE-7C3D3A9A7EBF}"/>
            </a:ext>
          </a:extLst>
        </xdr:cNvPr>
        <xdr:cNvSpPr>
          <a:spLocks noChangeArrowheads="1"/>
        </xdr:cNvSpPr>
      </xdr:nvSpPr>
      <xdr:spPr bwMode="auto">
        <a:xfrm>
          <a:off x="6613525" y="13878336"/>
          <a:ext cx="413400" cy="38376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186673</xdr:colOff>
      <xdr:row>75</xdr:row>
      <xdr:rowOff>170822</xdr:rowOff>
    </xdr:from>
    <xdr:to>
      <xdr:col>22</xdr:col>
      <xdr:colOff>191781</xdr:colOff>
      <xdr:row>76</xdr:row>
      <xdr:rowOff>88491</xdr:rowOff>
    </xdr:to>
    <xdr:sp macro="" textlink="">
      <xdr:nvSpPr>
        <xdr:cNvPr id="185" name="Freeform 10708">
          <a:extLst>
            <a:ext uri="{FF2B5EF4-FFF2-40B4-BE49-F238E27FC236}">
              <a16:creationId xmlns:a16="http://schemas.microsoft.com/office/drawing/2014/main" id="{4DBF8347-FE38-4FDA-8F08-E81E78B0A7BA}"/>
            </a:ext>
          </a:extLst>
        </xdr:cNvPr>
        <xdr:cNvSpPr>
          <a:spLocks/>
        </xdr:cNvSpPr>
      </xdr:nvSpPr>
      <xdr:spPr bwMode="auto">
        <a:xfrm>
          <a:off x="7578073" y="13880472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197513</xdr:colOff>
      <xdr:row>75</xdr:row>
      <xdr:rowOff>175155</xdr:rowOff>
    </xdr:from>
    <xdr:to>
      <xdr:col>20</xdr:col>
      <xdr:colOff>197512</xdr:colOff>
      <xdr:row>76</xdr:row>
      <xdr:rowOff>87716</xdr:rowOff>
    </xdr:to>
    <xdr:sp macro="" textlink="">
      <xdr:nvSpPr>
        <xdr:cNvPr id="186" name="Freeform 10708">
          <a:extLst>
            <a:ext uri="{FF2B5EF4-FFF2-40B4-BE49-F238E27FC236}">
              <a16:creationId xmlns:a16="http://schemas.microsoft.com/office/drawing/2014/main" id="{9D33BF2F-1ADB-4D4A-BF39-07DF7229FE39}"/>
            </a:ext>
          </a:extLst>
        </xdr:cNvPr>
        <xdr:cNvSpPr>
          <a:spLocks/>
        </xdr:cNvSpPr>
      </xdr:nvSpPr>
      <xdr:spPr bwMode="auto">
        <a:xfrm>
          <a:off x="6820563" y="13884805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</xdr:colOff>
      <xdr:row>75</xdr:row>
      <xdr:rowOff>152509</xdr:rowOff>
    </xdr:from>
    <xdr:to>
      <xdr:col>25</xdr:col>
      <xdr:colOff>1</xdr:colOff>
      <xdr:row>77</xdr:row>
      <xdr:rowOff>179180</xdr:rowOff>
    </xdr:to>
    <xdr:sp macro="" textlink="">
      <xdr:nvSpPr>
        <xdr:cNvPr id="187" name="3">
          <a:extLst>
            <a:ext uri="{FF2B5EF4-FFF2-40B4-BE49-F238E27FC236}">
              <a16:creationId xmlns:a16="http://schemas.microsoft.com/office/drawing/2014/main" id="{3FAE40E2-83CB-40B4-9F3B-1725DD19EC11}"/>
            </a:ext>
          </a:extLst>
        </xdr:cNvPr>
        <xdr:cNvSpPr>
          <a:spLocks noChangeArrowheads="1"/>
        </xdr:cNvSpPr>
      </xdr:nvSpPr>
      <xdr:spPr bwMode="auto">
        <a:xfrm>
          <a:off x="8953501" y="13862159"/>
          <a:ext cx="400050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3649</xdr:colOff>
      <xdr:row>75</xdr:row>
      <xdr:rowOff>171471</xdr:rowOff>
    </xdr:from>
    <xdr:to>
      <xdr:col>23</xdr:col>
      <xdr:colOff>3822</xdr:colOff>
      <xdr:row>77</xdr:row>
      <xdr:rowOff>176909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7E490599-C14A-45CF-9EC0-2A0E65509E5B}"/>
            </a:ext>
          </a:extLst>
        </xdr:cNvPr>
        <xdr:cNvSpPr>
          <a:spLocks noChangeArrowheads="1"/>
        </xdr:cNvSpPr>
      </xdr:nvSpPr>
      <xdr:spPr bwMode="auto">
        <a:xfrm>
          <a:off x="8169749" y="13881121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181651</xdr:colOff>
      <xdr:row>75</xdr:row>
      <xdr:rowOff>165256</xdr:rowOff>
    </xdr:from>
    <xdr:to>
      <xdr:col>26</xdr:col>
      <xdr:colOff>194564</xdr:colOff>
      <xdr:row>76</xdr:row>
      <xdr:rowOff>80144</xdr:rowOff>
    </xdr:to>
    <xdr:sp macro="" textlink="">
      <xdr:nvSpPr>
        <xdr:cNvPr id="189" name="Freeform 10708">
          <a:extLst>
            <a:ext uri="{FF2B5EF4-FFF2-40B4-BE49-F238E27FC236}">
              <a16:creationId xmlns:a16="http://schemas.microsoft.com/office/drawing/2014/main" id="{D1F8E16A-F306-4E57-B6C4-C4998FED5F63}"/>
            </a:ext>
          </a:extLst>
        </xdr:cNvPr>
        <xdr:cNvSpPr>
          <a:spLocks/>
        </xdr:cNvSpPr>
      </xdr:nvSpPr>
      <xdr:spPr bwMode="auto">
        <a:xfrm>
          <a:off x="9135151" y="13874906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200840</xdr:colOff>
      <xdr:row>75</xdr:row>
      <xdr:rowOff>162474</xdr:rowOff>
    </xdr:from>
    <xdr:to>
      <xdr:col>24</xdr:col>
      <xdr:colOff>180650</xdr:colOff>
      <xdr:row>76</xdr:row>
      <xdr:rowOff>84935</xdr:rowOff>
    </xdr:to>
    <xdr:sp macro="" textlink="">
      <xdr:nvSpPr>
        <xdr:cNvPr id="190" name="Freeform 10708">
          <a:extLst>
            <a:ext uri="{FF2B5EF4-FFF2-40B4-BE49-F238E27FC236}">
              <a16:creationId xmlns:a16="http://schemas.microsoft.com/office/drawing/2014/main" id="{220F442A-BA44-47E5-872B-738407E86DCB}"/>
            </a:ext>
          </a:extLst>
        </xdr:cNvPr>
        <xdr:cNvSpPr>
          <a:spLocks/>
        </xdr:cNvSpPr>
      </xdr:nvSpPr>
      <xdr:spPr bwMode="auto">
        <a:xfrm>
          <a:off x="8366940" y="13872124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388517</xdr:colOff>
      <xdr:row>75</xdr:row>
      <xdr:rowOff>149318</xdr:rowOff>
    </xdr:from>
    <xdr:to>
      <xdr:col>29</xdr:col>
      <xdr:colOff>10151</xdr:colOff>
      <xdr:row>77</xdr:row>
      <xdr:rowOff>175989</xdr:rowOff>
    </xdr:to>
    <xdr:sp macro="" textlink="">
      <xdr:nvSpPr>
        <xdr:cNvPr id="191" name="3">
          <a:extLst>
            <a:ext uri="{FF2B5EF4-FFF2-40B4-BE49-F238E27FC236}">
              <a16:creationId xmlns:a16="http://schemas.microsoft.com/office/drawing/2014/main" id="{9F4C6BAB-7959-48C8-B9EE-B44CDA35D624}"/>
            </a:ext>
          </a:extLst>
        </xdr:cNvPr>
        <xdr:cNvSpPr>
          <a:spLocks noChangeArrowheads="1"/>
        </xdr:cNvSpPr>
      </xdr:nvSpPr>
      <xdr:spPr bwMode="auto">
        <a:xfrm>
          <a:off x="10548517" y="13858968"/>
          <a:ext cx="42808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713</xdr:colOff>
      <xdr:row>75</xdr:row>
      <xdr:rowOff>176906</xdr:rowOff>
    </xdr:from>
    <xdr:to>
      <xdr:col>27</xdr:col>
      <xdr:colOff>3621</xdr:colOff>
      <xdr:row>77</xdr:row>
      <xdr:rowOff>182622</xdr:rowOff>
    </xdr:to>
    <xdr:sp macro="" textlink="">
      <xdr:nvSpPr>
        <xdr:cNvPr id="192" name="0/0">
          <a:extLst>
            <a:ext uri="{FF2B5EF4-FFF2-40B4-BE49-F238E27FC236}">
              <a16:creationId xmlns:a16="http://schemas.microsoft.com/office/drawing/2014/main" id="{A5DD6695-529E-45BB-8FE5-FB7049C69D05}"/>
            </a:ext>
          </a:extLst>
        </xdr:cNvPr>
        <xdr:cNvSpPr>
          <a:spLocks noChangeArrowheads="1"/>
        </xdr:cNvSpPr>
      </xdr:nvSpPr>
      <xdr:spPr bwMode="auto">
        <a:xfrm>
          <a:off x="9760663" y="13886556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208477</xdr:colOff>
      <xdr:row>75</xdr:row>
      <xdr:rowOff>162474</xdr:rowOff>
    </xdr:from>
    <xdr:to>
      <xdr:col>30</xdr:col>
      <xdr:colOff>200499</xdr:colOff>
      <xdr:row>76</xdr:row>
      <xdr:rowOff>82519</xdr:rowOff>
    </xdr:to>
    <xdr:sp macro="" textlink="">
      <xdr:nvSpPr>
        <xdr:cNvPr id="193" name="Freeform 10708">
          <a:extLst>
            <a:ext uri="{FF2B5EF4-FFF2-40B4-BE49-F238E27FC236}">
              <a16:creationId xmlns:a16="http://schemas.microsoft.com/office/drawing/2014/main" id="{235B4ECD-5431-4B6B-965E-AAF0E7D4583A}"/>
            </a:ext>
          </a:extLst>
        </xdr:cNvPr>
        <xdr:cNvSpPr>
          <a:spLocks/>
        </xdr:cNvSpPr>
      </xdr:nvSpPr>
      <xdr:spPr bwMode="auto">
        <a:xfrm>
          <a:off x="10774877" y="13872124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15177</xdr:colOff>
      <xdr:row>75</xdr:row>
      <xdr:rowOff>146129</xdr:rowOff>
    </xdr:from>
    <xdr:to>
      <xdr:col>31</xdr:col>
      <xdr:colOff>6308</xdr:colOff>
      <xdr:row>77</xdr:row>
      <xdr:rowOff>172800</xdr:rowOff>
    </xdr:to>
    <xdr:sp macro="" textlink="">
      <xdr:nvSpPr>
        <xdr:cNvPr id="194" name="3">
          <a:extLst>
            <a:ext uri="{FF2B5EF4-FFF2-40B4-BE49-F238E27FC236}">
              <a16:creationId xmlns:a16="http://schemas.microsoft.com/office/drawing/2014/main" id="{E7BA44A8-405A-4C41-83DF-28BBD7BADB9C}"/>
            </a:ext>
          </a:extLst>
        </xdr:cNvPr>
        <xdr:cNvSpPr>
          <a:spLocks noChangeArrowheads="1"/>
        </xdr:cNvSpPr>
      </xdr:nvSpPr>
      <xdr:spPr bwMode="auto">
        <a:xfrm>
          <a:off x="11343577" y="13855779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0</xdr:colOff>
      <xdr:row>75</xdr:row>
      <xdr:rowOff>155268</xdr:rowOff>
    </xdr:from>
    <xdr:to>
      <xdr:col>2</xdr:col>
      <xdr:colOff>170281</xdr:colOff>
      <xdr:row>76</xdr:row>
      <xdr:rowOff>78888</xdr:rowOff>
    </xdr:to>
    <xdr:sp macro="" textlink="">
      <xdr:nvSpPr>
        <xdr:cNvPr id="195" name="Freeform 10708">
          <a:extLst>
            <a:ext uri="{FF2B5EF4-FFF2-40B4-BE49-F238E27FC236}">
              <a16:creationId xmlns:a16="http://schemas.microsoft.com/office/drawing/2014/main" id="{B44D3D03-685B-4BF6-AE9F-FF1300D60017}"/>
            </a:ext>
          </a:extLst>
        </xdr:cNvPr>
        <xdr:cNvSpPr>
          <a:spLocks/>
        </xdr:cNvSpPr>
      </xdr:nvSpPr>
      <xdr:spPr bwMode="auto">
        <a:xfrm>
          <a:off x="0" y="13864918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363948</xdr:colOff>
      <xdr:row>87</xdr:row>
      <xdr:rowOff>164480</xdr:rowOff>
    </xdr:from>
    <xdr:to>
      <xdr:col>7</xdr:col>
      <xdr:colOff>13875</xdr:colOff>
      <xdr:row>90</xdr:row>
      <xdr:rowOff>1925</xdr:rowOff>
    </xdr:to>
    <xdr:sp macro="" textlink="">
      <xdr:nvSpPr>
        <xdr:cNvPr id="196" name="3">
          <a:extLst>
            <a:ext uri="{FF2B5EF4-FFF2-40B4-BE49-F238E27FC236}">
              <a16:creationId xmlns:a16="http://schemas.microsoft.com/office/drawing/2014/main" id="{C7673E6C-DB4F-481D-9ADE-8B0A943B0196}"/>
            </a:ext>
          </a:extLst>
        </xdr:cNvPr>
        <xdr:cNvSpPr>
          <a:spLocks noChangeArrowheads="1"/>
        </xdr:cNvSpPr>
      </xdr:nvSpPr>
      <xdr:spPr bwMode="auto">
        <a:xfrm>
          <a:off x="2040348" y="16033130"/>
          <a:ext cx="411927" cy="39624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8308</xdr:colOff>
      <xdr:row>88</xdr:row>
      <xdr:rowOff>629</xdr:rowOff>
    </xdr:from>
    <xdr:to>
      <xdr:col>5</xdr:col>
      <xdr:colOff>10465</xdr:colOff>
      <xdr:row>89</xdr:row>
      <xdr:rowOff>186096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04CEABBF-3C5F-499D-AF8E-9C4B1824CDA8}"/>
            </a:ext>
          </a:extLst>
        </xdr:cNvPr>
        <xdr:cNvSpPr>
          <a:spLocks noChangeArrowheads="1"/>
        </xdr:cNvSpPr>
      </xdr:nvSpPr>
      <xdr:spPr bwMode="auto">
        <a:xfrm>
          <a:off x="1284658" y="16053429"/>
          <a:ext cx="402207" cy="36961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206715</xdr:colOff>
      <xdr:row>87</xdr:row>
      <xdr:rowOff>179626</xdr:rowOff>
    </xdr:from>
    <xdr:to>
      <xdr:col>4</xdr:col>
      <xdr:colOff>206715</xdr:colOff>
      <xdr:row>88</xdr:row>
      <xdr:rowOff>91340</xdr:rowOff>
    </xdr:to>
    <xdr:sp macro="" textlink="">
      <xdr:nvSpPr>
        <xdr:cNvPr id="198" name="Freeform 10708">
          <a:extLst>
            <a:ext uri="{FF2B5EF4-FFF2-40B4-BE49-F238E27FC236}">
              <a16:creationId xmlns:a16="http://schemas.microsoft.com/office/drawing/2014/main" id="{E42F3AA1-28F9-40DF-A204-79023E9A8070}"/>
            </a:ext>
          </a:extLst>
        </xdr:cNvPr>
        <xdr:cNvSpPr>
          <a:spLocks/>
        </xdr:cNvSpPr>
      </xdr:nvSpPr>
      <xdr:spPr bwMode="auto">
        <a:xfrm>
          <a:off x="714715" y="16048276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186903</xdr:colOff>
      <xdr:row>87</xdr:row>
      <xdr:rowOff>179627</xdr:rowOff>
    </xdr:from>
    <xdr:to>
      <xdr:col>8</xdr:col>
      <xdr:colOff>208335</xdr:colOff>
      <xdr:row>88</xdr:row>
      <xdr:rowOff>103247</xdr:rowOff>
    </xdr:to>
    <xdr:sp macro="" textlink="">
      <xdr:nvSpPr>
        <xdr:cNvPr id="199" name="Freeform 10708">
          <a:extLst>
            <a:ext uri="{FF2B5EF4-FFF2-40B4-BE49-F238E27FC236}">
              <a16:creationId xmlns:a16="http://schemas.microsoft.com/office/drawing/2014/main" id="{B259B3FC-3235-4961-8914-D4E41811A07A}"/>
            </a:ext>
          </a:extLst>
        </xdr:cNvPr>
        <xdr:cNvSpPr>
          <a:spLocks/>
        </xdr:cNvSpPr>
      </xdr:nvSpPr>
      <xdr:spPr bwMode="auto">
        <a:xfrm>
          <a:off x="2244303" y="16048277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6918</xdr:colOff>
      <xdr:row>88</xdr:row>
      <xdr:rowOff>3</xdr:rowOff>
    </xdr:from>
    <xdr:to>
      <xdr:col>3</xdr:col>
      <xdr:colOff>9074</xdr:colOff>
      <xdr:row>89</xdr:row>
      <xdr:rowOff>184914</xdr:rowOff>
    </xdr:to>
    <xdr:sp macro="" textlink="">
      <xdr:nvSpPr>
        <xdr:cNvPr id="200" name="0/0">
          <a:extLst>
            <a:ext uri="{FF2B5EF4-FFF2-40B4-BE49-F238E27FC236}">
              <a16:creationId xmlns:a16="http://schemas.microsoft.com/office/drawing/2014/main" id="{2C031C4B-630A-4BE7-A28F-8803762B98C1}"/>
            </a:ext>
          </a:extLst>
        </xdr:cNvPr>
        <xdr:cNvSpPr>
          <a:spLocks noChangeArrowheads="1"/>
        </xdr:cNvSpPr>
      </xdr:nvSpPr>
      <xdr:spPr bwMode="auto">
        <a:xfrm>
          <a:off x="514918" y="16052803"/>
          <a:ext cx="402206" cy="36906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362084</xdr:colOff>
      <xdr:row>87</xdr:row>
      <xdr:rowOff>154623</xdr:rowOff>
    </xdr:from>
    <xdr:to>
      <xdr:col>11</xdr:col>
      <xdr:colOff>10142</xdr:colOff>
      <xdr:row>89</xdr:row>
      <xdr:rowOff>181293</xdr:rowOff>
    </xdr:to>
    <xdr:sp macro="" textlink="">
      <xdr:nvSpPr>
        <xdr:cNvPr id="201" name="3">
          <a:extLst>
            <a:ext uri="{FF2B5EF4-FFF2-40B4-BE49-F238E27FC236}">
              <a16:creationId xmlns:a16="http://schemas.microsoft.com/office/drawing/2014/main" id="{1E03A104-9859-4DAE-B498-9762EEFEAACF}"/>
            </a:ext>
          </a:extLst>
        </xdr:cNvPr>
        <xdr:cNvSpPr>
          <a:spLocks noChangeArrowheads="1"/>
        </xdr:cNvSpPr>
      </xdr:nvSpPr>
      <xdr:spPr bwMode="auto">
        <a:xfrm>
          <a:off x="3587884" y="16023273"/>
          <a:ext cx="40370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3717</xdr:colOff>
      <xdr:row>87</xdr:row>
      <xdr:rowOff>173585</xdr:rowOff>
    </xdr:from>
    <xdr:to>
      <xdr:col>9</xdr:col>
      <xdr:colOff>8124</xdr:colOff>
      <xdr:row>89</xdr:row>
      <xdr:rowOff>179022</xdr:rowOff>
    </xdr:to>
    <xdr:sp macro="" textlink="">
      <xdr:nvSpPr>
        <xdr:cNvPr id="202" name="0/0">
          <a:extLst>
            <a:ext uri="{FF2B5EF4-FFF2-40B4-BE49-F238E27FC236}">
              <a16:creationId xmlns:a16="http://schemas.microsoft.com/office/drawing/2014/main" id="{B5CF54F1-8C47-4FF6-B78A-2BC3FDBA0D2B}"/>
            </a:ext>
          </a:extLst>
        </xdr:cNvPr>
        <xdr:cNvSpPr>
          <a:spLocks noChangeArrowheads="1"/>
        </xdr:cNvSpPr>
      </xdr:nvSpPr>
      <xdr:spPr bwMode="auto">
        <a:xfrm>
          <a:off x="2829467" y="16042235"/>
          <a:ext cx="404457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179904</xdr:colOff>
      <xdr:row>87</xdr:row>
      <xdr:rowOff>168645</xdr:rowOff>
    </xdr:from>
    <xdr:to>
      <xdr:col>12</xdr:col>
      <xdr:colOff>268847</xdr:colOff>
      <xdr:row>88</xdr:row>
      <xdr:rowOff>93390</xdr:rowOff>
    </xdr:to>
    <xdr:sp macro="" textlink="">
      <xdr:nvSpPr>
        <xdr:cNvPr id="203" name="Freeform 10708">
          <a:extLst>
            <a:ext uri="{FF2B5EF4-FFF2-40B4-BE49-F238E27FC236}">
              <a16:creationId xmlns:a16="http://schemas.microsoft.com/office/drawing/2014/main" id="{83F80F61-0A6D-4BEC-BC4F-40F807981C62}"/>
            </a:ext>
          </a:extLst>
        </xdr:cNvPr>
        <xdr:cNvSpPr>
          <a:spLocks/>
        </xdr:cNvSpPr>
      </xdr:nvSpPr>
      <xdr:spPr bwMode="auto">
        <a:xfrm>
          <a:off x="3774004" y="16037295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295361</xdr:colOff>
      <xdr:row>87</xdr:row>
      <xdr:rowOff>156977</xdr:rowOff>
    </xdr:from>
    <xdr:to>
      <xdr:col>15</xdr:col>
      <xdr:colOff>13957</xdr:colOff>
      <xdr:row>89</xdr:row>
      <xdr:rowOff>181428</xdr:rowOff>
    </xdr:to>
    <xdr:sp macro="" textlink="">
      <xdr:nvSpPr>
        <xdr:cNvPr id="204" name="3">
          <a:extLst>
            <a:ext uri="{FF2B5EF4-FFF2-40B4-BE49-F238E27FC236}">
              <a16:creationId xmlns:a16="http://schemas.microsoft.com/office/drawing/2014/main" id="{39C9D030-9E32-4DF2-BB4E-625CD56E3512}"/>
            </a:ext>
          </a:extLst>
        </xdr:cNvPr>
        <xdr:cNvSpPr>
          <a:spLocks noChangeArrowheads="1"/>
        </xdr:cNvSpPr>
      </xdr:nvSpPr>
      <xdr:spPr bwMode="auto">
        <a:xfrm>
          <a:off x="5013411" y="16025627"/>
          <a:ext cx="417096" cy="39275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9810</xdr:colOff>
      <xdr:row>87</xdr:row>
      <xdr:rowOff>161950</xdr:rowOff>
    </xdr:from>
    <xdr:to>
      <xdr:col>13</xdr:col>
      <xdr:colOff>9342</xdr:colOff>
      <xdr:row>89</xdr:row>
      <xdr:rowOff>167387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1C8F70D6-3AAA-4A5B-9A55-B6F6BDF2A80B}"/>
            </a:ext>
          </a:extLst>
        </xdr:cNvPr>
        <xdr:cNvSpPr>
          <a:spLocks noChangeArrowheads="1"/>
        </xdr:cNvSpPr>
      </xdr:nvSpPr>
      <xdr:spPr bwMode="auto">
        <a:xfrm>
          <a:off x="4340510" y="16030600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177528</xdr:colOff>
      <xdr:row>87</xdr:row>
      <xdr:rowOff>179627</xdr:rowOff>
    </xdr:from>
    <xdr:to>
      <xdr:col>18</xdr:col>
      <xdr:colOff>194751</xdr:colOff>
      <xdr:row>88</xdr:row>
      <xdr:rowOff>95744</xdr:rowOff>
    </xdr:to>
    <xdr:sp macro="" textlink="">
      <xdr:nvSpPr>
        <xdr:cNvPr id="206" name="Freeform 10708">
          <a:extLst>
            <a:ext uri="{FF2B5EF4-FFF2-40B4-BE49-F238E27FC236}">
              <a16:creationId xmlns:a16="http://schemas.microsoft.com/office/drawing/2014/main" id="{9FCD3979-41DF-418D-8CCE-A97AA32035DA}"/>
            </a:ext>
          </a:extLst>
        </xdr:cNvPr>
        <xdr:cNvSpPr>
          <a:spLocks/>
        </xdr:cNvSpPr>
      </xdr:nvSpPr>
      <xdr:spPr bwMode="auto">
        <a:xfrm>
          <a:off x="5194028" y="16048277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4275</xdr:colOff>
      <xdr:row>87</xdr:row>
      <xdr:rowOff>155469</xdr:rowOff>
    </xdr:from>
    <xdr:to>
      <xdr:col>21</xdr:col>
      <xdr:colOff>14643</xdr:colOff>
      <xdr:row>89</xdr:row>
      <xdr:rowOff>182139</xdr:rowOff>
    </xdr:to>
    <xdr:sp macro="" textlink="">
      <xdr:nvSpPr>
        <xdr:cNvPr id="207" name="3">
          <a:extLst>
            <a:ext uri="{FF2B5EF4-FFF2-40B4-BE49-F238E27FC236}">
              <a16:creationId xmlns:a16="http://schemas.microsoft.com/office/drawing/2014/main" id="{2F1A6ECD-3473-42E6-B640-394ADA0E6AC3}"/>
            </a:ext>
          </a:extLst>
        </xdr:cNvPr>
        <xdr:cNvSpPr>
          <a:spLocks noChangeArrowheads="1"/>
        </xdr:cNvSpPr>
      </xdr:nvSpPr>
      <xdr:spPr bwMode="auto">
        <a:xfrm>
          <a:off x="7395675" y="16024119"/>
          <a:ext cx="41676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368019</xdr:colOff>
      <xdr:row>87</xdr:row>
      <xdr:rowOff>174431</xdr:rowOff>
    </xdr:from>
    <xdr:to>
      <xdr:col>19</xdr:col>
      <xdr:colOff>9578</xdr:colOff>
      <xdr:row>89</xdr:row>
      <xdr:rowOff>179868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3891FFE6-E587-4DE0-AAC9-5527455BFCFB}"/>
            </a:ext>
          </a:extLst>
        </xdr:cNvPr>
        <xdr:cNvSpPr>
          <a:spLocks noChangeArrowheads="1"/>
        </xdr:cNvSpPr>
      </xdr:nvSpPr>
      <xdr:spPr bwMode="auto">
        <a:xfrm>
          <a:off x="6584669" y="16043081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192426</xdr:colOff>
      <xdr:row>87</xdr:row>
      <xdr:rowOff>176566</xdr:rowOff>
    </xdr:from>
    <xdr:to>
      <xdr:col>22</xdr:col>
      <xdr:colOff>197534</xdr:colOff>
      <xdr:row>88</xdr:row>
      <xdr:rowOff>94235</xdr:rowOff>
    </xdr:to>
    <xdr:sp macro="" textlink="">
      <xdr:nvSpPr>
        <xdr:cNvPr id="209" name="Freeform 10708">
          <a:extLst>
            <a:ext uri="{FF2B5EF4-FFF2-40B4-BE49-F238E27FC236}">
              <a16:creationId xmlns:a16="http://schemas.microsoft.com/office/drawing/2014/main" id="{CC0AD4DF-1BE8-440B-8102-EC65606BC663}"/>
            </a:ext>
          </a:extLst>
        </xdr:cNvPr>
        <xdr:cNvSpPr>
          <a:spLocks/>
        </xdr:cNvSpPr>
      </xdr:nvSpPr>
      <xdr:spPr bwMode="auto">
        <a:xfrm>
          <a:off x="7583826" y="16045216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203266</xdr:colOff>
      <xdr:row>88</xdr:row>
      <xdr:rowOff>529</xdr:rowOff>
    </xdr:from>
    <xdr:to>
      <xdr:col>20</xdr:col>
      <xdr:colOff>203265</xdr:colOff>
      <xdr:row>88</xdr:row>
      <xdr:rowOff>93460</xdr:rowOff>
    </xdr:to>
    <xdr:sp macro="" textlink="">
      <xdr:nvSpPr>
        <xdr:cNvPr id="210" name="Freeform 10708">
          <a:extLst>
            <a:ext uri="{FF2B5EF4-FFF2-40B4-BE49-F238E27FC236}">
              <a16:creationId xmlns:a16="http://schemas.microsoft.com/office/drawing/2014/main" id="{0C24CF07-399A-4326-B264-9BC6A820C0D1}"/>
            </a:ext>
          </a:extLst>
        </xdr:cNvPr>
        <xdr:cNvSpPr>
          <a:spLocks/>
        </xdr:cNvSpPr>
      </xdr:nvSpPr>
      <xdr:spPr bwMode="auto">
        <a:xfrm>
          <a:off x="6826316" y="16053329"/>
          <a:ext cx="768349" cy="9293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351951</xdr:colOff>
      <xdr:row>87</xdr:row>
      <xdr:rowOff>158253</xdr:rowOff>
    </xdr:from>
    <xdr:to>
      <xdr:col>25</xdr:col>
      <xdr:colOff>5184</xdr:colOff>
      <xdr:row>89</xdr:row>
      <xdr:rowOff>184923</xdr:rowOff>
    </xdr:to>
    <xdr:sp macro="" textlink="">
      <xdr:nvSpPr>
        <xdr:cNvPr id="211" name="3">
          <a:extLst>
            <a:ext uri="{FF2B5EF4-FFF2-40B4-BE49-F238E27FC236}">
              <a16:creationId xmlns:a16="http://schemas.microsoft.com/office/drawing/2014/main" id="{67FAA8F1-9737-4AC8-BAE4-FB80C299C2DF}"/>
            </a:ext>
          </a:extLst>
        </xdr:cNvPr>
        <xdr:cNvSpPr>
          <a:spLocks noChangeArrowheads="1"/>
        </xdr:cNvSpPr>
      </xdr:nvSpPr>
      <xdr:spPr bwMode="auto">
        <a:xfrm>
          <a:off x="8918101" y="16026903"/>
          <a:ext cx="440633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9402</xdr:colOff>
      <xdr:row>87</xdr:row>
      <xdr:rowOff>168012</xdr:rowOff>
    </xdr:from>
    <xdr:to>
      <xdr:col>23</xdr:col>
      <xdr:colOff>9575</xdr:colOff>
      <xdr:row>89</xdr:row>
      <xdr:rowOff>173449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3D977221-57FF-42CF-BB66-D2CD13ACA9CF}"/>
            </a:ext>
          </a:extLst>
        </xdr:cNvPr>
        <xdr:cNvSpPr>
          <a:spLocks noChangeArrowheads="1"/>
        </xdr:cNvSpPr>
      </xdr:nvSpPr>
      <xdr:spPr bwMode="auto">
        <a:xfrm>
          <a:off x="8175502" y="16036662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206593</xdr:colOff>
      <xdr:row>87</xdr:row>
      <xdr:rowOff>168218</xdr:rowOff>
    </xdr:from>
    <xdr:to>
      <xdr:col>24</xdr:col>
      <xdr:colOff>186403</xdr:colOff>
      <xdr:row>88</xdr:row>
      <xdr:rowOff>90679</xdr:rowOff>
    </xdr:to>
    <xdr:sp macro="" textlink="">
      <xdr:nvSpPr>
        <xdr:cNvPr id="213" name="Freeform 10708">
          <a:extLst>
            <a:ext uri="{FF2B5EF4-FFF2-40B4-BE49-F238E27FC236}">
              <a16:creationId xmlns:a16="http://schemas.microsoft.com/office/drawing/2014/main" id="{A8267DE1-3EFA-4578-9A9A-D3B97BD47419}"/>
            </a:ext>
          </a:extLst>
        </xdr:cNvPr>
        <xdr:cNvSpPr>
          <a:spLocks/>
        </xdr:cNvSpPr>
      </xdr:nvSpPr>
      <xdr:spPr bwMode="auto">
        <a:xfrm>
          <a:off x="8372693" y="16036868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2160</xdr:colOff>
      <xdr:row>87</xdr:row>
      <xdr:rowOff>155062</xdr:rowOff>
    </xdr:from>
    <xdr:to>
      <xdr:col>29</xdr:col>
      <xdr:colOff>15904</xdr:colOff>
      <xdr:row>89</xdr:row>
      <xdr:rowOff>181732</xdr:rowOff>
    </xdr:to>
    <xdr:sp macro="" textlink="">
      <xdr:nvSpPr>
        <xdr:cNvPr id="214" name="3">
          <a:extLst>
            <a:ext uri="{FF2B5EF4-FFF2-40B4-BE49-F238E27FC236}">
              <a16:creationId xmlns:a16="http://schemas.microsoft.com/office/drawing/2014/main" id="{53F873C8-5F51-48DB-9F4E-A15E1AE65D96}"/>
            </a:ext>
          </a:extLst>
        </xdr:cNvPr>
        <xdr:cNvSpPr>
          <a:spLocks noChangeArrowheads="1"/>
        </xdr:cNvSpPr>
      </xdr:nvSpPr>
      <xdr:spPr bwMode="auto">
        <a:xfrm>
          <a:off x="10568560" y="16023712"/>
          <a:ext cx="41379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6466</xdr:colOff>
      <xdr:row>88</xdr:row>
      <xdr:rowOff>1495</xdr:rowOff>
    </xdr:from>
    <xdr:to>
      <xdr:col>27</xdr:col>
      <xdr:colOff>9374</xdr:colOff>
      <xdr:row>90</xdr:row>
      <xdr:rowOff>153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67CEE559-8530-481D-9F03-EEFB7E6F1FC5}"/>
            </a:ext>
          </a:extLst>
        </xdr:cNvPr>
        <xdr:cNvSpPr>
          <a:spLocks noChangeArrowheads="1"/>
        </xdr:cNvSpPr>
      </xdr:nvSpPr>
      <xdr:spPr bwMode="auto">
        <a:xfrm>
          <a:off x="9766416" y="16054295"/>
          <a:ext cx="402958" cy="37330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214230</xdr:colOff>
      <xdr:row>87</xdr:row>
      <xdr:rowOff>168218</xdr:rowOff>
    </xdr:from>
    <xdr:to>
      <xdr:col>30</xdr:col>
      <xdr:colOff>206252</xdr:colOff>
      <xdr:row>88</xdr:row>
      <xdr:rowOff>88263</xdr:rowOff>
    </xdr:to>
    <xdr:sp macro="" textlink="">
      <xdr:nvSpPr>
        <xdr:cNvPr id="216" name="Freeform 10708">
          <a:extLst>
            <a:ext uri="{FF2B5EF4-FFF2-40B4-BE49-F238E27FC236}">
              <a16:creationId xmlns:a16="http://schemas.microsoft.com/office/drawing/2014/main" id="{36070BBF-1486-4185-911F-3DBBC34BCD64}"/>
            </a:ext>
          </a:extLst>
        </xdr:cNvPr>
        <xdr:cNvSpPr>
          <a:spLocks/>
        </xdr:cNvSpPr>
      </xdr:nvSpPr>
      <xdr:spPr bwMode="auto">
        <a:xfrm>
          <a:off x="10780630" y="16036868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204250</xdr:colOff>
      <xdr:row>87</xdr:row>
      <xdr:rowOff>171001</xdr:rowOff>
    </xdr:from>
    <xdr:to>
      <xdr:col>28</xdr:col>
      <xdr:colOff>203099</xdr:colOff>
      <xdr:row>88</xdr:row>
      <xdr:rowOff>76358</xdr:rowOff>
    </xdr:to>
    <xdr:sp macro="" textlink="">
      <xdr:nvSpPr>
        <xdr:cNvPr id="217" name="Freeform 10708">
          <a:extLst>
            <a:ext uri="{FF2B5EF4-FFF2-40B4-BE49-F238E27FC236}">
              <a16:creationId xmlns:a16="http://schemas.microsoft.com/office/drawing/2014/main" id="{52DE81BE-134A-4EFF-BE75-D08977C47A7A}"/>
            </a:ext>
          </a:extLst>
        </xdr:cNvPr>
        <xdr:cNvSpPr>
          <a:spLocks/>
        </xdr:cNvSpPr>
      </xdr:nvSpPr>
      <xdr:spPr bwMode="auto">
        <a:xfrm>
          <a:off x="9964200" y="16039651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5690</xdr:colOff>
      <xdr:row>87</xdr:row>
      <xdr:rowOff>151873</xdr:rowOff>
    </xdr:from>
    <xdr:to>
      <xdr:col>30</xdr:col>
      <xdr:colOff>385441</xdr:colOff>
      <xdr:row>89</xdr:row>
      <xdr:rowOff>178543</xdr:rowOff>
    </xdr:to>
    <xdr:sp macro="" textlink="">
      <xdr:nvSpPr>
        <xdr:cNvPr id="218" name="3">
          <a:extLst>
            <a:ext uri="{FF2B5EF4-FFF2-40B4-BE49-F238E27FC236}">
              <a16:creationId xmlns:a16="http://schemas.microsoft.com/office/drawing/2014/main" id="{C4D9DCD8-04DC-44A0-B73B-8D4E2D616F5B}"/>
            </a:ext>
          </a:extLst>
        </xdr:cNvPr>
        <xdr:cNvSpPr>
          <a:spLocks noChangeArrowheads="1"/>
        </xdr:cNvSpPr>
      </xdr:nvSpPr>
      <xdr:spPr bwMode="auto">
        <a:xfrm>
          <a:off x="11334090" y="16020523"/>
          <a:ext cx="37975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5760</xdr:colOff>
      <xdr:row>87</xdr:row>
      <xdr:rowOff>161012</xdr:rowOff>
    </xdr:from>
    <xdr:to>
      <xdr:col>2</xdr:col>
      <xdr:colOff>176041</xdr:colOff>
      <xdr:row>88</xdr:row>
      <xdr:rowOff>84632</xdr:rowOff>
    </xdr:to>
    <xdr:sp macro="" textlink="">
      <xdr:nvSpPr>
        <xdr:cNvPr id="219" name="Freeform 10708">
          <a:extLst>
            <a:ext uri="{FF2B5EF4-FFF2-40B4-BE49-F238E27FC236}">
              <a16:creationId xmlns:a16="http://schemas.microsoft.com/office/drawing/2014/main" id="{5F1CB63C-D0E9-45C5-8D48-7CAA478319F0}"/>
            </a:ext>
          </a:extLst>
        </xdr:cNvPr>
        <xdr:cNvSpPr>
          <a:spLocks/>
        </xdr:cNvSpPr>
      </xdr:nvSpPr>
      <xdr:spPr bwMode="auto">
        <a:xfrm>
          <a:off x="5760" y="16029662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361075</xdr:colOff>
      <xdr:row>99</xdr:row>
      <xdr:rowOff>170229</xdr:rowOff>
    </xdr:from>
    <xdr:to>
      <xdr:col>7</xdr:col>
      <xdr:colOff>11002</xdr:colOff>
      <xdr:row>102</xdr:row>
      <xdr:rowOff>7674</xdr:rowOff>
    </xdr:to>
    <xdr:sp macro="" textlink="">
      <xdr:nvSpPr>
        <xdr:cNvPr id="220" name="3">
          <a:extLst>
            <a:ext uri="{FF2B5EF4-FFF2-40B4-BE49-F238E27FC236}">
              <a16:creationId xmlns:a16="http://schemas.microsoft.com/office/drawing/2014/main" id="{33C6127E-E7E1-466A-A9E2-7419001798C6}"/>
            </a:ext>
          </a:extLst>
        </xdr:cNvPr>
        <xdr:cNvSpPr>
          <a:spLocks noChangeArrowheads="1"/>
        </xdr:cNvSpPr>
      </xdr:nvSpPr>
      <xdr:spPr bwMode="auto">
        <a:xfrm>
          <a:off x="2037475" y="18178829"/>
          <a:ext cx="411927" cy="39624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5435</xdr:colOff>
      <xdr:row>100</xdr:row>
      <xdr:rowOff>6378</xdr:rowOff>
    </xdr:from>
    <xdr:to>
      <xdr:col>5</xdr:col>
      <xdr:colOff>7592</xdr:colOff>
      <xdr:row>102</xdr:row>
      <xdr:rowOff>2064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9ABB78A6-7EC8-4F45-BF42-6BDD932879A8}"/>
            </a:ext>
          </a:extLst>
        </xdr:cNvPr>
        <xdr:cNvSpPr>
          <a:spLocks noChangeArrowheads="1"/>
        </xdr:cNvSpPr>
      </xdr:nvSpPr>
      <xdr:spPr bwMode="auto">
        <a:xfrm>
          <a:off x="1281785" y="18199128"/>
          <a:ext cx="402207" cy="37033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203842</xdr:colOff>
      <xdr:row>100</xdr:row>
      <xdr:rowOff>4220</xdr:rowOff>
    </xdr:from>
    <xdr:to>
      <xdr:col>4</xdr:col>
      <xdr:colOff>203842</xdr:colOff>
      <xdr:row>100</xdr:row>
      <xdr:rowOff>97089</xdr:rowOff>
    </xdr:to>
    <xdr:sp macro="" textlink="">
      <xdr:nvSpPr>
        <xdr:cNvPr id="222" name="Freeform 10708">
          <a:extLst>
            <a:ext uri="{FF2B5EF4-FFF2-40B4-BE49-F238E27FC236}">
              <a16:creationId xmlns:a16="http://schemas.microsoft.com/office/drawing/2014/main" id="{61E75763-0103-402C-8108-DED5F21BF0AB}"/>
            </a:ext>
          </a:extLst>
        </xdr:cNvPr>
        <xdr:cNvSpPr>
          <a:spLocks/>
        </xdr:cNvSpPr>
      </xdr:nvSpPr>
      <xdr:spPr bwMode="auto">
        <a:xfrm>
          <a:off x="711842" y="18196970"/>
          <a:ext cx="7683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184030</xdr:colOff>
      <xdr:row>100</xdr:row>
      <xdr:rowOff>4221</xdr:rowOff>
    </xdr:from>
    <xdr:to>
      <xdr:col>8</xdr:col>
      <xdr:colOff>205462</xdr:colOff>
      <xdr:row>100</xdr:row>
      <xdr:rowOff>108996</xdr:rowOff>
    </xdr:to>
    <xdr:sp macro="" textlink="">
      <xdr:nvSpPr>
        <xdr:cNvPr id="223" name="Freeform 10708">
          <a:extLst>
            <a:ext uri="{FF2B5EF4-FFF2-40B4-BE49-F238E27FC236}">
              <a16:creationId xmlns:a16="http://schemas.microsoft.com/office/drawing/2014/main" id="{BFC3E3B1-B99A-4E56-8ADB-EE71B7D29D52}"/>
            </a:ext>
          </a:extLst>
        </xdr:cNvPr>
        <xdr:cNvSpPr>
          <a:spLocks/>
        </xdr:cNvSpPr>
      </xdr:nvSpPr>
      <xdr:spPr bwMode="auto">
        <a:xfrm>
          <a:off x="2241430" y="18196971"/>
          <a:ext cx="789782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4045</xdr:colOff>
      <xdr:row>100</xdr:row>
      <xdr:rowOff>5752</xdr:rowOff>
    </xdr:from>
    <xdr:to>
      <xdr:col>3</xdr:col>
      <xdr:colOff>6201</xdr:colOff>
      <xdr:row>102</xdr:row>
      <xdr:rowOff>882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796D49C3-58E9-465B-85C1-31D87E05EFB5}"/>
            </a:ext>
          </a:extLst>
        </xdr:cNvPr>
        <xdr:cNvSpPr>
          <a:spLocks noChangeArrowheads="1"/>
        </xdr:cNvSpPr>
      </xdr:nvSpPr>
      <xdr:spPr bwMode="auto">
        <a:xfrm>
          <a:off x="512045" y="18198502"/>
          <a:ext cx="402206" cy="36978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206000</xdr:colOff>
      <xdr:row>100</xdr:row>
      <xdr:rowOff>4221</xdr:rowOff>
    </xdr:from>
    <xdr:to>
      <xdr:col>6</xdr:col>
      <xdr:colOff>206000</xdr:colOff>
      <xdr:row>100</xdr:row>
      <xdr:rowOff>97090</xdr:rowOff>
    </xdr:to>
    <xdr:sp macro="" textlink="">
      <xdr:nvSpPr>
        <xdr:cNvPr id="225" name="Freeform 10708">
          <a:extLst>
            <a:ext uri="{FF2B5EF4-FFF2-40B4-BE49-F238E27FC236}">
              <a16:creationId xmlns:a16="http://schemas.microsoft.com/office/drawing/2014/main" id="{C7D18EF1-1F43-4F31-B084-808DE525B8B6}"/>
            </a:ext>
          </a:extLst>
        </xdr:cNvPr>
        <xdr:cNvSpPr>
          <a:spLocks/>
        </xdr:cNvSpPr>
      </xdr:nvSpPr>
      <xdr:spPr bwMode="auto">
        <a:xfrm>
          <a:off x="1482350" y="18196971"/>
          <a:ext cx="7810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359211</xdr:colOff>
      <xdr:row>99</xdr:row>
      <xdr:rowOff>160372</xdr:rowOff>
    </xdr:from>
    <xdr:to>
      <xdr:col>11</xdr:col>
      <xdr:colOff>7269</xdr:colOff>
      <xdr:row>101</xdr:row>
      <xdr:rowOff>187043</xdr:rowOff>
    </xdr:to>
    <xdr:sp macro="" textlink="">
      <xdr:nvSpPr>
        <xdr:cNvPr id="226" name="3">
          <a:extLst>
            <a:ext uri="{FF2B5EF4-FFF2-40B4-BE49-F238E27FC236}">
              <a16:creationId xmlns:a16="http://schemas.microsoft.com/office/drawing/2014/main" id="{E30F0448-D47A-407C-9149-44DF186E25C1}"/>
            </a:ext>
          </a:extLst>
        </xdr:cNvPr>
        <xdr:cNvSpPr>
          <a:spLocks noChangeArrowheads="1"/>
        </xdr:cNvSpPr>
      </xdr:nvSpPr>
      <xdr:spPr bwMode="auto">
        <a:xfrm>
          <a:off x="3585011" y="18168972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844</xdr:colOff>
      <xdr:row>99</xdr:row>
      <xdr:rowOff>179334</xdr:rowOff>
    </xdr:from>
    <xdr:to>
      <xdr:col>9</xdr:col>
      <xdr:colOff>5251</xdr:colOff>
      <xdr:row>101</xdr:row>
      <xdr:rowOff>184772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39EC886C-F0AE-473F-97AE-46240308E8CD}"/>
            </a:ext>
          </a:extLst>
        </xdr:cNvPr>
        <xdr:cNvSpPr>
          <a:spLocks noChangeArrowheads="1"/>
        </xdr:cNvSpPr>
      </xdr:nvSpPr>
      <xdr:spPr bwMode="auto">
        <a:xfrm>
          <a:off x="2826594" y="18187934"/>
          <a:ext cx="40445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177031</xdr:colOff>
      <xdr:row>99</xdr:row>
      <xdr:rowOff>174394</xdr:rowOff>
    </xdr:from>
    <xdr:to>
      <xdr:col>12</xdr:col>
      <xdr:colOff>265974</xdr:colOff>
      <xdr:row>100</xdr:row>
      <xdr:rowOff>99139</xdr:rowOff>
    </xdr:to>
    <xdr:sp macro="" textlink="">
      <xdr:nvSpPr>
        <xdr:cNvPr id="228" name="Freeform 10708">
          <a:extLst>
            <a:ext uri="{FF2B5EF4-FFF2-40B4-BE49-F238E27FC236}">
              <a16:creationId xmlns:a16="http://schemas.microsoft.com/office/drawing/2014/main" id="{EF673EE0-3BEC-41D4-8D9B-8E6A74282F84}"/>
            </a:ext>
          </a:extLst>
        </xdr:cNvPr>
        <xdr:cNvSpPr>
          <a:spLocks/>
        </xdr:cNvSpPr>
      </xdr:nvSpPr>
      <xdr:spPr bwMode="auto">
        <a:xfrm>
          <a:off x="3771131" y="18182994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191500</xdr:colOff>
      <xdr:row>99</xdr:row>
      <xdr:rowOff>174394</xdr:rowOff>
    </xdr:from>
    <xdr:to>
      <xdr:col>10</xdr:col>
      <xdr:colOff>199001</xdr:colOff>
      <xdr:row>100</xdr:row>
      <xdr:rowOff>87233</xdr:rowOff>
    </xdr:to>
    <xdr:sp macro="" textlink="">
      <xdr:nvSpPr>
        <xdr:cNvPr id="229" name="Freeform 10708">
          <a:extLst>
            <a:ext uri="{FF2B5EF4-FFF2-40B4-BE49-F238E27FC236}">
              <a16:creationId xmlns:a16="http://schemas.microsoft.com/office/drawing/2014/main" id="{66CE415E-D3C2-4F7B-9083-8C482663F837}"/>
            </a:ext>
          </a:extLst>
        </xdr:cNvPr>
        <xdr:cNvSpPr>
          <a:spLocks/>
        </xdr:cNvSpPr>
      </xdr:nvSpPr>
      <xdr:spPr bwMode="auto">
        <a:xfrm>
          <a:off x="3017250" y="18182994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298837</xdr:colOff>
      <xdr:row>99</xdr:row>
      <xdr:rowOff>162726</xdr:rowOff>
    </xdr:from>
    <xdr:to>
      <xdr:col>14</xdr:col>
      <xdr:colOff>383791</xdr:colOff>
      <xdr:row>102</xdr:row>
      <xdr:rowOff>6978</xdr:rowOff>
    </xdr:to>
    <xdr:sp macro="" textlink="">
      <xdr:nvSpPr>
        <xdr:cNvPr id="230" name="3">
          <a:extLst>
            <a:ext uri="{FF2B5EF4-FFF2-40B4-BE49-F238E27FC236}">
              <a16:creationId xmlns:a16="http://schemas.microsoft.com/office/drawing/2014/main" id="{E5C6224F-9352-4E27-A3C9-0D6A51202F98}"/>
            </a:ext>
          </a:extLst>
        </xdr:cNvPr>
        <xdr:cNvSpPr>
          <a:spLocks noChangeArrowheads="1"/>
        </xdr:cNvSpPr>
      </xdr:nvSpPr>
      <xdr:spPr bwMode="auto">
        <a:xfrm>
          <a:off x="5016887" y="18171326"/>
          <a:ext cx="383404" cy="40305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6937</xdr:colOff>
      <xdr:row>99</xdr:row>
      <xdr:rowOff>178905</xdr:rowOff>
    </xdr:from>
    <xdr:to>
      <xdr:col>13</xdr:col>
      <xdr:colOff>6469</xdr:colOff>
      <xdr:row>101</xdr:row>
      <xdr:rowOff>184343</xdr:rowOff>
    </xdr:to>
    <xdr:sp macro="" textlink="">
      <xdr:nvSpPr>
        <xdr:cNvPr id="231" name="0/0">
          <a:extLst>
            <a:ext uri="{FF2B5EF4-FFF2-40B4-BE49-F238E27FC236}">
              <a16:creationId xmlns:a16="http://schemas.microsoft.com/office/drawing/2014/main" id="{B8F63AF3-1D21-41FC-AE42-94DF81A19F4B}"/>
            </a:ext>
          </a:extLst>
        </xdr:cNvPr>
        <xdr:cNvSpPr>
          <a:spLocks noChangeArrowheads="1"/>
        </xdr:cNvSpPr>
      </xdr:nvSpPr>
      <xdr:spPr bwMode="auto">
        <a:xfrm>
          <a:off x="4337637" y="18187505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174655</xdr:colOff>
      <xdr:row>100</xdr:row>
      <xdr:rowOff>4221</xdr:rowOff>
    </xdr:from>
    <xdr:to>
      <xdr:col>18</xdr:col>
      <xdr:colOff>191878</xdr:colOff>
      <xdr:row>100</xdr:row>
      <xdr:rowOff>101493</xdr:rowOff>
    </xdr:to>
    <xdr:sp macro="" textlink="">
      <xdr:nvSpPr>
        <xdr:cNvPr id="232" name="Freeform 10708">
          <a:extLst>
            <a:ext uri="{FF2B5EF4-FFF2-40B4-BE49-F238E27FC236}">
              <a16:creationId xmlns:a16="http://schemas.microsoft.com/office/drawing/2014/main" id="{B538FF97-F712-4341-9BBC-262A6080B606}"/>
            </a:ext>
          </a:extLst>
        </xdr:cNvPr>
        <xdr:cNvSpPr>
          <a:spLocks/>
        </xdr:cNvSpPr>
      </xdr:nvSpPr>
      <xdr:spPr bwMode="auto">
        <a:xfrm>
          <a:off x="5191155" y="18196971"/>
          <a:ext cx="1623773" cy="9727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204127</xdr:colOff>
      <xdr:row>99</xdr:row>
      <xdr:rowOff>176748</xdr:rowOff>
    </xdr:from>
    <xdr:to>
      <xdr:col>14</xdr:col>
      <xdr:colOff>196625</xdr:colOff>
      <xdr:row>100</xdr:row>
      <xdr:rowOff>89587</xdr:rowOff>
    </xdr:to>
    <xdr:sp macro="" textlink="">
      <xdr:nvSpPr>
        <xdr:cNvPr id="233" name="Freeform 10708">
          <a:extLst>
            <a:ext uri="{FF2B5EF4-FFF2-40B4-BE49-F238E27FC236}">
              <a16:creationId xmlns:a16="http://schemas.microsoft.com/office/drawing/2014/main" id="{C58150D7-E7E7-45FF-9340-D188E605127A}"/>
            </a:ext>
          </a:extLst>
        </xdr:cNvPr>
        <xdr:cNvSpPr>
          <a:spLocks/>
        </xdr:cNvSpPr>
      </xdr:nvSpPr>
      <xdr:spPr bwMode="auto">
        <a:xfrm>
          <a:off x="4534827" y="18185348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1402</xdr:colOff>
      <xdr:row>99</xdr:row>
      <xdr:rowOff>161218</xdr:rowOff>
    </xdr:from>
    <xdr:to>
      <xdr:col>21</xdr:col>
      <xdr:colOff>11770</xdr:colOff>
      <xdr:row>101</xdr:row>
      <xdr:rowOff>187889</xdr:rowOff>
    </xdr:to>
    <xdr:sp macro="" textlink="">
      <xdr:nvSpPr>
        <xdr:cNvPr id="234" name="3">
          <a:extLst>
            <a:ext uri="{FF2B5EF4-FFF2-40B4-BE49-F238E27FC236}">
              <a16:creationId xmlns:a16="http://schemas.microsoft.com/office/drawing/2014/main" id="{DDB5E2F1-6182-4B31-8272-07390B28BF68}"/>
            </a:ext>
          </a:extLst>
        </xdr:cNvPr>
        <xdr:cNvSpPr>
          <a:spLocks noChangeArrowheads="1"/>
        </xdr:cNvSpPr>
      </xdr:nvSpPr>
      <xdr:spPr bwMode="auto">
        <a:xfrm>
          <a:off x="7392802" y="18169818"/>
          <a:ext cx="41676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365146</xdr:colOff>
      <xdr:row>99</xdr:row>
      <xdr:rowOff>180180</xdr:rowOff>
    </xdr:from>
    <xdr:to>
      <xdr:col>19</xdr:col>
      <xdr:colOff>6705</xdr:colOff>
      <xdr:row>101</xdr:row>
      <xdr:rowOff>185618</xdr:rowOff>
    </xdr:to>
    <xdr:sp macro="" textlink="">
      <xdr:nvSpPr>
        <xdr:cNvPr id="235" name="0/0">
          <a:extLst>
            <a:ext uri="{FF2B5EF4-FFF2-40B4-BE49-F238E27FC236}">
              <a16:creationId xmlns:a16="http://schemas.microsoft.com/office/drawing/2014/main" id="{68BA7465-BCBD-4ED4-B1AB-8E11D50C2C11}"/>
            </a:ext>
          </a:extLst>
        </xdr:cNvPr>
        <xdr:cNvSpPr>
          <a:spLocks noChangeArrowheads="1"/>
        </xdr:cNvSpPr>
      </xdr:nvSpPr>
      <xdr:spPr bwMode="auto">
        <a:xfrm>
          <a:off x="6581796" y="18188780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189553</xdr:colOff>
      <xdr:row>100</xdr:row>
      <xdr:rowOff>1160</xdr:rowOff>
    </xdr:from>
    <xdr:to>
      <xdr:col>22</xdr:col>
      <xdr:colOff>194661</xdr:colOff>
      <xdr:row>100</xdr:row>
      <xdr:rowOff>99984</xdr:rowOff>
    </xdr:to>
    <xdr:sp macro="" textlink="">
      <xdr:nvSpPr>
        <xdr:cNvPr id="236" name="Freeform 10708">
          <a:extLst>
            <a:ext uri="{FF2B5EF4-FFF2-40B4-BE49-F238E27FC236}">
              <a16:creationId xmlns:a16="http://schemas.microsoft.com/office/drawing/2014/main" id="{00361E38-DD97-450F-9562-A6B85CBA09B4}"/>
            </a:ext>
          </a:extLst>
        </xdr:cNvPr>
        <xdr:cNvSpPr>
          <a:spLocks/>
        </xdr:cNvSpPr>
      </xdr:nvSpPr>
      <xdr:spPr bwMode="auto">
        <a:xfrm>
          <a:off x="7580953" y="18193910"/>
          <a:ext cx="779808" cy="9882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200393</xdr:colOff>
      <xdr:row>100</xdr:row>
      <xdr:rowOff>5493</xdr:rowOff>
    </xdr:from>
    <xdr:to>
      <xdr:col>20</xdr:col>
      <xdr:colOff>200392</xdr:colOff>
      <xdr:row>100</xdr:row>
      <xdr:rowOff>99209</xdr:rowOff>
    </xdr:to>
    <xdr:sp macro="" textlink="">
      <xdr:nvSpPr>
        <xdr:cNvPr id="237" name="Freeform 10708">
          <a:extLst>
            <a:ext uri="{FF2B5EF4-FFF2-40B4-BE49-F238E27FC236}">
              <a16:creationId xmlns:a16="http://schemas.microsoft.com/office/drawing/2014/main" id="{342532C9-5478-4799-B035-77BFEB689184}"/>
            </a:ext>
          </a:extLst>
        </xdr:cNvPr>
        <xdr:cNvSpPr>
          <a:spLocks/>
        </xdr:cNvSpPr>
      </xdr:nvSpPr>
      <xdr:spPr bwMode="auto">
        <a:xfrm>
          <a:off x="6823443" y="18198243"/>
          <a:ext cx="768349" cy="9371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367142</xdr:colOff>
      <xdr:row>99</xdr:row>
      <xdr:rowOff>164002</xdr:rowOff>
    </xdr:from>
    <xdr:to>
      <xdr:col>25</xdr:col>
      <xdr:colOff>17551</xdr:colOff>
      <xdr:row>102</xdr:row>
      <xdr:rowOff>891</xdr:rowOff>
    </xdr:to>
    <xdr:sp macro="" textlink="">
      <xdr:nvSpPr>
        <xdr:cNvPr id="238" name="3">
          <a:extLst>
            <a:ext uri="{FF2B5EF4-FFF2-40B4-BE49-F238E27FC236}">
              <a16:creationId xmlns:a16="http://schemas.microsoft.com/office/drawing/2014/main" id="{E510E306-9A2E-4B9C-8A21-B8AD4C6FCBE0}"/>
            </a:ext>
          </a:extLst>
        </xdr:cNvPr>
        <xdr:cNvSpPr>
          <a:spLocks noChangeArrowheads="1"/>
        </xdr:cNvSpPr>
      </xdr:nvSpPr>
      <xdr:spPr bwMode="auto">
        <a:xfrm>
          <a:off x="8933292" y="18172602"/>
          <a:ext cx="437809" cy="39568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6529</xdr:colOff>
      <xdr:row>100</xdr:row>
      <xdr:rowOff>1809</xdr:rowOff>
    </xdr:from>
    <xdr:to>
      <xdr:col>23</xdr:col>
      <xdr:colOff>6702</xdr:colOff>
      <xdr:row>102</xdr:row>
      <xdr:rowOff>190</xdr:rowOff>
    </xdr:to>
    <xdr:sp macro="" textlink="">
      <xdr:nvSpPr>
        <xdr:cNvPr id="239" name="0/0">
          <a:extLst>
            <a:ext uri="{FF2B5EF4-FFF2-40B4-BE49-F238E27FC236}">
              <a16:creationId xmlns:a16="http://schemas.microsoft.com/office/drawing/2014/main" id="{215FDAFE-C68B-4B5F-8AA3-1BFAD376D240}"/>
            </a:ext>
          </a:extLst>
        </xdr:cNvPr>
        <xdr:cNvSpPr>
          <a:spLocks noChangeArrowheads="1"/>
        </xdr:cNvSpPr>
      </xdr:nvSpPr>
      <xdr:spPr bwMode="auto">
        <a:xfrm>
          <a:off x="8172629" y="18194559"/>
          <a:ext cx="400223" cy="37303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184531</xdr:colOff>
      <xdr:row>99</xdr:row>
      <xdr:rowOff>176749</xdr:rowOff>
    </xdr:from>
    <xdr:to>
      <xdr:col>26</xdr:col>
      <xdr:colOff>197444</xdr:colOff>
      <xdr:row>100</xdr:row>
      <xdr:rowOff>91637</xdr:rowOff>
    </xdr:to>
    <xdr:sp macro="" textlink="">
      <xdr:nvSpPr>
        <xdr:cNvPr id="240" name="Freeform 10708">
          <a:extLst>
            <a:ext uri="{FF2B5EF4-FFF2-40B4-BE49-F238E27FC236}">
              <a16:creationId xmlns:a16="http://schemas.microsoft.com/office/drawing/2014/main" id="{5D9FD6E0-F2DE-4D80-AD94-EA021B2B83A5}"/>
            </a:ext>
          </a:extLst>
        </xdr:cNvPr>
        <xdr:cNvSpPr>
          <a:spLocks/>
        </xdr:cNvSpPr>
      </xdr:nvSpPr>
      <xdr:spPr bwMode="auto">
        <a:xfrm>
          <a:off x="9138031" y="18185349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203720</xdr:colOff>
      <xdr:row>99</xdr:row>
      <xdr:rowOff>173967</xdr:rowOff>
    </xdr:from>
    <xdr:to>
      <xdr:col>24</xdr:col>
      <xdr:colOff>183530</xdr:colOff>
      <xdr:row>100</xdr:row>
      <xdr:rowOff>96428</xdr:rowOff>
    </xdr:to>
    <xdr:sp macro="" textlink="">
      <xdr:nvSpPr>
        <xdr:cNvPr id="241" name="Freeform 10708">
          <a:extLst>
            <a:ext uri="{FF2B5EF4-FFF2-40B4-BE49-F238E27FC236}">
              <a16:creationId xmlns:a16="http://schemas.microsoft.com/office/drawing/2014/main" id="{25E42E67-A75D-4C2F-A339-2C5653C3E1AB}"/>
            </a:ext>
          </a:extLst>
        </xdr:cNvPr>
        <xdr:cNvSpPr>
          <a:spLocks/>
        </xdr:cNvSpPr>
      </xdr:nvSpPr>
      <xdr:spPr bwMode="auto">
        <a:xfrm>
          <a:off x="8369820" y="18182567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391397</xdr:colOff>
      <xdr:row>99</xdr:row>
      <xdr:rowOff>160811</xdr:rowOff>
    </xdr:from>
    <xdr:to>
      <xdr:col>29</xdr:col>
      <xdr:colOff>13031</xdr:colOff>
      <xdr:row>101</xdr:row>
      <xdr:rowOff>187482</xdr:rowOff>
    </xdr:to>
    <xdr:sp macro="" textlink="">
      <xdr:nvSpPr>
        <xdr:cNvPr id="242" name="3">
          <a:extLst>
            <a:ext uri="{FF2B5EF4-FFF2-40B4-BE49-F238E27FC236}">
              <a16:creationId xmlns:a16="http://schemas.microsoft.com/office/drawing/2014/main" id="{EDC8BD53-9DAE-4B5A-82C8-9959EA75076F}"/>
            </a:ext>
          </a:extLst>
        </xdr:cNvPr>
        <xdr:cNvSpPr>
          <a:spLocks noChangeArrowheads="1"/>
        </xdr:cNvSpPr>
      </xdr:nvSpPr>
      <xdr:spPr bwMode="auto">
        <a:xfrm>
          <a:off x="10551397" y="18169411"/>
          <a:ext cx="42808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3593</xdr:colOff>
      <xdr:row>100</xdr:row>
      <xdr:rowOff>7244</xdr:rowOff>
    </xdr:from>
    <xdr:to>
      <xdr:col>27</xdr:col>
      <xdr:colOff>6501</xdr:colOff>
      <xdr:row>102</xdr:row>
      <xdr:rowOff>4333</xdr:rowOff>
    </xdr:to>
    <xdr:sp macro="" textlink="">
      <xdr:nvSpPr>
        <xdr:cNvPr id="243" name="0/0">
          <a:extLst>
            <a:ext uri="{FF2B5EF4-FFF2-40B4-BE49-F238E27FC236}">
              <a16:creationId xmlns:a16="http://schemas.microsoft.com/office/drawing/2014/main" id="{1801FA8E-6783-4479-87D9-2D4D9486CC43}"/>
            </a:ext>
          </a:extLst>
        </xdr:cNvPr>
        <xdr:cNvSpPr>
          <a:spLocks noChangeArrowheads="1"/>
        </xdr:cNvSpPr>
      </xdr:nvSpPr>
      <xdr:spPr bwMode="auto">
        <a:xfrm>
          <a:off x="9763543" y="18199994"/>
          <a:ext cx="402958" cy="37173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190171</xdr:colOff>
      <xdr:row>99</xdr:row>
      <xdr:rowOff>187956</xdr:rowOff>
    </xdr:from>
    <xdr:to>
      <xdr:col>28</xdr:col>
      <xdr:colOff>189020</xdr:colOff>
      <xdr:row>100</xdr:row>
      <xdr:rowOff>123265</xdr:rowOff>
    </xdr:to>
    <xdr:sp macro="" textlink="">
      <xdr:nvSpPr>
        <xdr:cNvPr id="244" name="Freeform 10708">
          <a:extLst>
            <a:ext uri="{FF2B5EF4-FFF2-40B4-BE49-F238E27FC236}">
              <a16:creationId xmlns:a16="http://schemas.microsoft.com/office/drawing/2014/main" id="{6E129B51-137F-411F-94EA-F075505C1719}"/>
            </a:ext>
          </a:extLst>
        </xdr:cNvPr>
        <xdr:cNvSpPr>
          <a:spLocks/>
        </xdr:cNvSpPr>
      </xdr:nvSpPr>
      <xdr:spPr bwMode="auto">
        <a:xfrm>
          <a:off x="9950121" y="18190206"/>
          <a:ext cx="805299" cy="12580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10437</xdr:colOff>
      <xdr:row>99</xdr:row>
      <xdr:rowOff>157622</xdr:rowOff>
    </xdr:from>
    <xdr:to>
      <xdr:col>31</xdr:col>
      <xdr:colOff>1568</xdr:colOff>
      <xdr:row>101</xdr:row>
      <xdr:rowOff>184293</xdr:rowOff>
    </xdr:to>
    <xdr:sp macro="" textlink="">
      <xdr:nvSpPr>
        <xdr:cNvPr id="245" name="3">
          <a:extLst>
            <a:ext uri="{FF2B5EF4-FFF2-40B4-BE49-F238E27FC236}">
              <a16:creationId xmlns:a16="http://schemas.microsoft.com/office/drawing/2014/main" id="{290BFC60-0443-40C4-8F96-826EA947A318}"/>
            </a:ext>
          </a:extLst>
        </xdr:cNvPr>
        <xdr:cNvSpPr>
          <a:spLocks noChangeArrowheads="1"/>
        </xdr:cNvSpPr>
      </xdr:nvSpPr>
      <xdr:spPr bwMode="auto">
        <a:xfrm>
          <a:off x="11338837" y="18166222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2887</xdr:colOff>
      <xdr:row>99</xdr:row>
      <xdr:rowOff>166761</xdr:rowOff>
    </xdr:from>
    <xdr:to>
      <xdr:col>2</xdr:col>
      <xdr:colOff>201706</xdr:colOff>
      <xdr:row>100</xdr:row>
      <xdr:rowOff>112059</xdr:rowOff>
    </xdr:to>
    <xdr:sp macro="" textlink="">
      <xdr:nvSpPr>
        <xdr:cNvPr id="246" name="Freeform 10708">
          <a:extLst>
            <a:ext uri="{FF2B5EF4-FFF2-40B4-BE49-F238E27FC236}">
              <a16:creationId xmlns:a16="http://schemas.microsoft.com/office/drawing/2014/main" id="{91811A10-D4AA-4455-9278-4FA387728E86}"/>
            </a:ext>
          </a:extLst>
        </xdr:cNvPr>
        <xdr:cNvSpPr>
          <a:spLocks/>
        </xdr:cNvSpPr>
      </xdr:nvSpPr>
      <xdr:spPr bwMode="auto">
        <a:xfrm>
          <a:off x="2887" y="18175361"/>
          <a:ext cx="706819" cy="12944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360554</xdr:colOff>
      <xdr:row>111</xdr:row>
      <xdr:rowOff>158715</xdr:rowOff>
    </xdr:from>
    <xdr:to>
      <xdr:col>7</xdr:col>
      <xdr:colOff>8129</xdr:colOff>
      <xdr:row>113</xdr:row>
      <xdr:rowOff>185942</xdr:rowOff>
    </xdr:to>
    <xdr:sp macro="" textlink="">
      <xdr:nvSpPr>
        <xdr:cNvPr id="247" name="3">
          <a:extLst>
            <a:ext uri="{FF2B5EF4-FFF2-40B4-BE49-F238E27FC236}">
              <a16:creationId xmlns:a16="http://schemas.microsoft.com/office/drawing/2014/main" id="{A920B420-670C-46F0-9AE4-CAF93D6EC014}"/>
            </a:ext>
          </a:extLst>
        </xdr:cNvPr>
        <xdr:cNvSpPr>
          <a:spLocks noChangeArrowheads="1"/>
        </xdr:cNvSpPr>
      </xdr:nvSpPr>
      <xdr:spPr bwMode="auto">
        <a:xfrm>
          <a:off x="2036954" y="20313615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2562</xdr:colOff>
      <xdr:row>111</xdr:row>
      <xdr:rowOff>176019</xdr:rowOff>
    </xdr:from>
    <xdr:to>
      <xdr:col>5</xdr:col>
      <xdr:colOff>4719</xdr:colOff>
      <xdr:row>113</xdr:row>
      <xdr:rowOff>180332</xdr:rowOff>
    </xdr:to>
    <xdr:sp macro="" textlink="">
      <xdr:nvSpPr>
        <xdr:cNvPr id="248" name="0/0">
          <a:extLst>
            <a:ext uri="{FF2B5EF4-FFF2-40B4-BE49-F238E27FC236}">
              <a16:creationId xmlns:a16="http://schemas.microsoft.com/office/drawing/2014/main" id="{4A49DE3B-ACA3-47E3-902A-EA18655DF5C3}"/>
            </a:ext>
          </a:extLst>
        </xdr:cNvPr>
        <xdr:cNvSpPr>
          <a:spLocks noChangeArrowheads="1"/>
        </xdr:cNvSpPr>
      </xdr:nvSpPr>
      <xdr:spPr bwMode="auto">
        <a:xfrm>
          <a:off x="1278912" y="20330919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200969</xdr:colOff>
      <xdr:row>111</xdr:row>
      <xdr:rowOff>173861</xdr:rowOff>
    </xdr:from>
    <xdr:to>
      <xdr:col>4</xdr:col>
      <xdr:colOff>200969</xdr:colOff>
      <xdr:row>112</xdr:row>
      <xdr:rowOff>85576</xdr:rowOff>
    </xdr:to>
    <xdr:sp macro="" textlink="">
      <xdr:nvSpPr>
        <xdr:cNvPr id="249" name="Freeform 10708">
          <a:extLst>
            <a:ext uri="{FF2B5EF4-FFF2-40B4-BE49-F238E27FC236}">
              <a16:creationId xmlns:a16="http://schemas.microsoft.com/office/drawing/2014/main" id="{0D733A25-6396-4924-8E6E-2D75A9E25619}"/>
            </a:ext>
          </a:extLst>
        </xdr:cNvPr>
        <xdr:cNvSpPr>
          <a:spLocks/>
        </xdr:cNvSpPr>
      </xdr:nvSpPr>
      <xdr:spPr bwMode="auto">
        <a:xfrm>
          <a:off x="708969" y="20328761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181157</xdr:colOff>
      <xdr:row>111</xdr:row>
      <xdr:rowOff>173862</xdr:rowOff>
    </xdr:from>
    <xdr:to>
      <xdr:col>8</xdr:col>
      <xdr:colOff>202589</xdr:colOff>
      <xdr:row>112</xdr:row>
      <xdr:rowOff>97483</xdr:rowOff>
    </xdr:to>
    <xdr:sp macro="" textlink="">
      <xdr:nvSpPr>
        <xdr:cNvPr id="250" name="Freeform 10708">
          <a:extLst>
            <a:ext uri="{FF2B5EF4-FFF2-40B4-BE49-F238E27FC236}">
              <a16:creationId xmlns:a16="http://schemas.microsoft.com/office/drawing/2014/main" id="{6B1E7D9D-C797-4A19-ABB2-5A6171ADD28A}"/>
            </a:ext>
          </a:extLst>
        </xdr:cNvPr>
        <xdr:cNvSpPr>
          <a:spLocks/>
        </xdr:cNvSpPr>
      </xdr:nvSpPr>
      <xdr:spPr bwMode="auto">
        <a:xfrm>
          <a:off x="2238557" y="20328762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1172</xdr:colOff>
      <xdr:row>111</xdr:row>
      <xdr:rowOff>175393</xdr:rowOff>
    </xdr:from>
    <xdr:to>
      <xdr:col>3</xdr:col>
      <xdr:colOff>3328</xdr:colOff>
      <xdr:row>113</xdr:row>
      <xdr:rowOff>179150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43342C67-0BD9-4F74-B074-2C68A390ED91}"/>
            </a:ext>
          </a:extLst>
        </xdr:cNvPr>
        <xdr:cNvSpPr>
          <a:spLocks noChangeArrowheads="1"/>
        </xdr:cNvSpPr>
      </xdr:nvSpPr>
      <xdr:spPr bwMode="auto">
        <a:xfrm>
          <a:off x="509172" y="20330293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203127</xdr:colOff>
      <xdr:row>111</xdr:row>
      <xdr:rowOff>173862</xdr:rowOff>
    </xdr:from>
    <xdr:to>
      <xdr:col>6</xdr:col>
      <xdr:colOff>203127</xdr:colOff>
      <xdr:row>112</xdr:row>
      <xdr:rowOff>85577</xdr:rowOff>
    </xdr:to>
    <xdr:sp macro="" textlink="">
      <xdr:nvSpPr>
        <xdr:cNvPr id="252" name="Freeform 10708">
          <a:extLst>
            <a:ext uri="{FF2B5EF4-FFF2-40B4-BE49-F238E27FC236}">
              <a16:creationId xmlns:a16="http://schemas.microsoft.com/office/drawing/2014/main" id="{ABC9787B-19E2-4CC4-A64C-9C515DA0D816}"/>
            </a:ext>
          </a:extLst>
        </xdr:cNvPr>
        <xdr:cNvSpPr>
          <a:spLocks/>
        </xdr:cNvSpPr>
      </xdr:nvSpPr>
      <xdr:spPr bwMode="auto">
        <a:xfrm>
          <a:off x="1479477" y="20328762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356338</xdr:colOff>
      <xdr:row>111</xdr:row>
      <xdr:rowOff>148858</xdr:rowOff>
    </xdr:from>
    <xdr:to>
      <xdr:col>11</xdr:col>
      <xdr:colOff>4396</xdr:colOff>
      <xdr:row>113</xdr:row>
      <xdr:rowOff>175529</xdr:rowOff>
    </xdr:to>
    <xdr:sp macro="" textlink="">
      <xdr:nvSpPr>
        <xdr:cNvPr id="253" name="3">
          <a:extLst>
            <a:ext uri="{FF2B5EF4-FFF2-40B4-BE49-F238E27FC236}">
              <a16:creationId xmlns:a16="http://schemas.microsoft.com/office/drawing/2014/main" id="{B2E8A323-BCA8-42A5-BE25-5A147088F18D}"/>
            </a:ext>
          </a:extLst>
        </xdr:cNvPr>
        <xdr:cNvSpPr>
          <a:spLocks noChangeArrowheads="1"/>
        </xdr:cNvSpPr>
      </xdr:nvSpPr>
      <xdr:spPr bwMode="auto">
        <a:xfrm>
          <a:off x="3582138" y="20303758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429292</xdr:colOff>
      <xdr:row>111</xdr:row>
      <xdr:rowOff>167820</xdr:rowOff>
    </xdr:from>
    <xdr:to>
      <xdr:col>9</xdr:col>
      <xdr:colOff>2378</xdr:colOff>
      <xdr:row>113</xdr:row>
      <xdr:rowOff>173258</xdr:rowOff>
    </xdr:to>
    <xdr:sp macro="" textlink="">
      <xdr:nvSpPr>
        <xdr:cNvPr id="254" name="0/0">
          <a:extLst>
            <a:ext uri="{FF2B5EF4-FFF2-40B4-BE49-F238E27FC236}">
              <a16:creationId xmlns:a16="http://schemas.microsoft.com/office/drawing/2014/main" id="{19A8A3CC-38E6-4B49-83DF-41CCB35F66B7}"/>
            </a:ext>
          </a:extLst>
        </xdr:cNvPr>
        <xdr:cNvSpPr>
          <a:spLocks noChangeArrowheads="1"/>
        </xdr:cNvSpPr>
      </xdr:nvSpPr>
      <xdr:spPr bwMode="auto">
        <a:xfrm>
          <a:off x="2823242" y="20322720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174158</xdr:colOff>
      <xdr:row>111</xdr:row>
      <xdr:rowOff>162880</xdr:rowOff>
    </xdr:from>
    <xdr:to>
      <xdr:col>12</xdr:col>
      <xdr:colOff>263101</xdr:colOff>
      <xdr:row>112</xdr:row>
      <xdr:rowOff>87626</xdr:rowOff>
    </xdr:to>
    <xdr:sp macro="" textlink="">
      <xdr:nvSpPr>
        <xdr:cNvPr id="255" name="Freeform 10708">
          <a:extLst>
            <a:ext uri="{FF2B5EF4-FFF2-40B4-BE49-F238E27FC236}">
              <a16:creationId xmlns:a16="http://schemas.microsoft.com/office/drawing/2014/main" id="{41034747-ADAE-4B5A-ABDE-576FADF4E0AF}"/>
            </a:ext>
          </a:extLst>
        </xdr:cNvPr>
        <xdr:cNvSpPr>
          <a:spLocks/>
        </xdr:cNvSpPr>
      </xdr:nvSpPr>
      <xdr:spPr bwMode="auto">
        <a:xfrm>
          <a:off x="3768258" y="20317780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188627</xdr:colOff>
      <xdr:row>111</xdr:row>
      <xdr:rowOff>162880</xdr:rowOff>
    </xdr:from>
    <xdr:to>
      <xdr:col>10</xdr:col>
      <xdr:colOff>196128</xdr:colOff>
      <xdr:row>112</xdr:row>
      <xdr:rowOff>75720</xdr:rowOff>
    </xdr:to>
    <xdr:sp macro="" textlink="">
      <xdr:nvSpPr>
        <xdr:cNvPr id="256" name="Freeform 10708">
          <a:extLst>
            <a:ext uri="{FF2B5EF4-FFF2-40B4-BE49-F238E27FC236}">
              <a16:creationId xmlns:a16="http://schemas.microsoft.com/office/drawing/2014/main" id="{AF0B8AB8-EEED-4EDA-90E6-854E7ACA10A4}"/>
            </a:ext>
          </a:extLst>
        </xdr:cNvPr>
        <xdr:cNvSpPr>
          <a:spLocks/>
        </xdr:cNvSpPr>
      </xdr:nvSpPr>
      <xdr:spPr bwMode="auto">
        <a:xfrm>
          <a:off x="3014377" y="20317780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295965</xdr:colOff>
      <xdr:row>111</xdr:row>
      <xdr:rowOff>151212</xdr:rowOff>
    </xdr:from>
    <xdr:to>
      <xdr:col>15</xdr:col>
      <xdr:colOff>1</xdr:colOff>
      <xdr:row>113</xdr:row>
      <xdr:rowOff>177883</xdr:rowOff>
    </xdr:to>
    <xdr:sp macro="" textlink="">
      <xdr:nvSpPr>
        <xdr:cNvPr id="257" name="3">
          <a:extLst>
            <a:ext uri="{FF2B5EF4-FFF2-40B4-BE49-F238E27FC236}">
              <a16:creationId xmlns:a16="http://schemas.microsoft.com/office/drawing/2014/main" id="{A8097878-A740-465D-8E94-6E1AA51742DF}"/>
            </a:ext>
          </a:extLst>
        </xdr:cNvPr>
        <xdr:cNvSpPr>
          <a:spLocks noChangeArrowheads="1"/>
        </xdr:cNvSpPr>
      </xdr:nvSpPr>
      <xdr:spPr bwMode="auto">
        <a:xfrm>
          <a:off x="5014015" y="20306112"/>
          <a:ext cx="402536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4064</xdr:colOff>
      <xdr:row>111</xdr:row>
      <xdr:rowOff>167391</xdr:rowOff>
    </xdr:from>
    <xdr:to>
      <xdr:col>13</xdr:col>
      <xdr:colOff>3596</xdr:colOff>
      <xdr:row>113</xdr:row>
      <xdr:rowOff>172829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EC0FC372-A1A9-42AC-91E6-86333969F49C}"/>
            </a:ext>
          </a:extLst>
        </xdr:cNvPr>
        <xdr:cNvSpPr>
          <a:spLocks noChangeArrowheads="1"/>
        </xdr:cNvSpPr>
      </xdr:nvSpPr>
      <xdr:spPr bwMode="auto">
        <a:xfrm>
          <a:off x="4334764" y="20322291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171782</xdr:colOff>
      <xdr:row>111</xdr:row>
      <xdr:rowOff>173862</xdr:rowOff>
    </xdr:from>
    <xdr:to>
      <xdr:col>18</xdr:col>
      <xdr:colOff>189005</xdr:colOff>
      <xdr:row>112</xdr:row>
      <xdr:rowOff>89980</xdr:rowOff>
    </xdr:to>
    <xdr:sp macro="" textlink="">
      <xdr:nvSpPr>
        <xdr:cNvPr id="259" name="Freeform 10708">
          <a:extLst>
            <a:ext uri="{FF2B5EF4-FFF2-40B4-BE49-F238E27FC236}">
              <a16:creationId xmlns:a16="http://schemas.microsoft.com/office/drawing/2014/main" id="{32F1BC31-CF56-4F5C-B10F-AF342613C55B}"/>
            </a:ext>
          </a:extLst>
        </xdr:cNvPr>
        <xdr:cNvSpPr>
          <a:spLocks/>
        </xdr:cNvSpPr>
      </xdr:nvSpPr>
      <xdr:spPr bwMode="auto">
        <a:xfrm>
          <a:off x="5188282" y="20328762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367112</xdr:colOff>
      <xdr:row>112</xdr:row>
      <xdr:rowOff>2458</xdr:rowOff>
    </xdr:from>
    <xdr:to>
      <xdr:col>21</xdr:col>
      <xdr:colOff>8897</xdr:colOff>
      <xdr:row>114</xdr:row>
      <xdr:rowOff>19926</xdr:rowOff>
    </xdr:to>
    <xdr:sp macro="" textlink="">
      <xdr:nvSpPr>
        <xdr:cNvPr id="260" name="3">
          <a:extLst>
            <a:ext uri="{FF2B5EF4-FFF2-40B4-BE49-F238E27FC236}">
              <a16:creationId xmlns:a16="http://schemas.microsoft.com/office/drawing/2014/main" id="{A73076E8-810D-476B-87B5-086027894752}"/>
            </a:ext>
          </a:extLst>
        </xdr:cNvPr>
        <xdr:cNvSpPr>
          <a:spLocks noChangeArrowheads="1"/>
        </xdr:cNvSpPr>
      </xdr:nvSpPr>
      <xdr:spPr bwMode="auto">
        <a:xfrm>
          <a:off x="7390212" y="20341508"/>
          <a:ext cx="416485" cy="39211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362273</xdr:colOff>
      <xdr:row>111</xdr:row>
      <xdr:rowOff>168666</xdr:rowOff>
    </xdr:from>
    <xdr:to>
      <xdr:col>19</xdr:col>
      <xdr:colOff>3832</xdr:colOff>
      <xdr:row>113</xdr:row>
      <xdr:rowOff>174104</xdr:rowOff>
    </xdr:to>
    <xdr:sp macro="" textlink="">
      <xdr:nvSpPr>
        <xdr:cNvPr id="261" name="0/0">
          <a:extLst>
            <a:ext uri="{FF2B5EF4-FFF2-40B4-BE49-F238E27FC236}">
              <a16:creationId xmlns:a16="http://schemas.microsoft.com/office/drawing/2014/main" id="{24491A1A-9554-4AD9-B9A8-8C3CC4FD9838}"/>
            </a:ext>
          </a:extLst>
        </xdr:cNvPr>
        <xdr:cNvSpPr>
          <a:spLocks noChangeArrowheads="1"/>
        </xdr:cNvSpPr>
      </xdr:nvSpPr>
      <xdr:spPr bwMode="auto">
        <a:xfrm>
          <a:off x="6578923" y="20323566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186680</xdr:colOff>
      <xdr:row>111</xdr:row>
      <xdr:rowOff>170801</xdr:rowOff>
    </xdr:from>
    <xdr:to>
      <xdr:col>22</xdr:col>
      <xdr:colOff>191788</xdr:colOff>
      <xdr:row>112</xdr:row>
      <xdr:rowOff>88471</xdr:rowOff>
    </xdr:to>
    <xdr:sp macro="" textlink="">
      <xdr:nvSpPr>
        <xdr:cNvPr id="262" name="Freeform 10708">
          <a:extLst>
            <a:ext uri="{FF2B5EF4-FFF2-40B4-BE49-F238E27FC236}">
              <a16:creationId xmlns:a16="http://schemas.microsoft.com/office/drawing/2014/main" id="{3EA6E7F3-27DF-4171-9F08-A69148A0EB12}"/>
            </a:ext>
          </a:extLst>
        </xdr:cNvPr>
        <xdr:cNvSpPr>
          <a:spLocks/>
        </xdr:cNvSpPr>
      </xdr:nvSpPr>
      <xdr:spPr bwMode="auto">
        <a:xfrm>
          <a:off x="7578080" y="20325701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197520</xdr:colOff>
      <xdr:row>111</xdr:row>
      <xdr:rowOff>175134</xdr:rowOff>
    </xdr:from>
    <xdr:to>
      <xdr:col>20</xdr:col>
      <xdr:colOff>197519</xdr:colOff>
      <xdr:row>112</xdr:row>
      <xdr:rowOff>87696</xdr:rowOff>
    </xdr:to>
    <xdr:sp macro="" textlink="">
      <xdr:nvSpPr>
        <xdr:cNvPr id="263" name="Freeform 10708">
          <a:extLst>
            <a:ext uri="{FF2B5EF4-FFF2-40B4-BE49-F238E27FC236}">
              <a16:creationId xmlns:a16="http://schemas.microsoft.com/office/drawing/2014/main" id="{53651BA3-70B8-441E-9AD1-2CA96B22DF77}"/>
            </a:ext>
          </a:extLst>
        </xdr:cNvPr>
        <xdr:cNvSpPr>
          <a:spLocks/>
        </xdr:cNvSpPr>
      </xdr:nvSpPr>
      <xdr:spPr bwMode="auto">
        <a:xfrm>
          <a:off x="6820570" y="20330034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364269</xdr:colOff>
      <xdr:row>111</xdr:row>
      <xdr:rowOff>152488</xdr:rowOff>
    </xdr:from>
    <xdr:to>
      <xdr:col>25</xdr:col>
      <xdr:colOff>14678</xdr:colOff>
      <xdr:row>113</xdr:row>
      <xdr:rowOff>179159</xdr:rowOff>
    </xdr:to>
    <xdr:sp macro="" textlink="">
      <xdr:nvSpPr>
        <xdr:cNvPr id="264" name="3">
          <a:extLst>
            <a:ext uri="{FF2B5EF4-FFF2-40B4-BE49-F238E27FC236}">
              <a16:creationId xmlns:a16="http://schemas.microsoft.com/office/drawing/2014/main" id="{26545B52-2001-4354-A3BC-FB1DDA985341}"/>
            </a:ext>
          </a:extLst>
        </xdr:cNvPr>
        <xdr:cNvSpPr>
          <a:spLocks noChangeArrowheads="1"/>
        </xdr:cNvSpPr>
      </xdr:nvSpPr>
      <xdr:spPr bwMode="auto">
        <a:xfrm>
          <a:off x="8930419" y="20307388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3656</xdr:colOff>
      <xdr:row>111</xdr:row>
      <xdr:rowOff>171450</xdr:rowOff>
    </xdr:from>
    <xdr:to>
      <xdr:col>23</xdr:col>
      <xdr:colOff>3829</xdr:colOff>
      <xdr:row>113</xdr:row>
      <xdr:rowOff>176888</xdr:rowOff>
    </xdr:to>
    <xdr:sp macro="" textlink="">
      <xdr:nvSpPr>
        <xdr:cNvPr id="265" name="0/0">
          <a:extLst>
            <a:ext uri="{FF2B5EF4-FFF2-40B4-BE49-F238E27FC236}">
              <a16:creationId xmlns:a16="http://schemas.microsoft.com/office/drawing/2014/main" id="{78F1D267-1EDA-4D07-81BB-6E7BEAF09FD3}"/>
            </a:ext>
          </a:extLst>
        </xdr:cNvPr>
        <xdr:cNvSpPr>
          <a:spLocks noChangeArrowheads="1"/>
        </xdr:cNvSpPr>
      </xdr:nvSpPr>
      <xdr:spPr bwMode="auto">
        <a:xfrm>
          <a:off x="8169756" y="20326350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181658</xdr:colOff>
      <xdr:row>111</xdr:row>
      <xdr:rowOff>165235</xdr:rowOff>
    </xdr:from>
    <xdr:to>
      <xdr:col>26</xdr:col>
      <xdr:colOff>194571</xdr:colOff>
      <xdr:row>112</xdr:row>
      <xdr:rowOff>80124</xdr:rowOff>
    </xdr:to>
    <xdr:sp macro="" textlink="">
      <xdr:nvSpPr>
        <xdr:cNvPr id="266" name="Freeform 10708">
          <a:extLst>
            <a:ext uri="{FF2B5EF4-FFF2-40B4-BE49-F238E27FC236}">
              <a16:creationId xmlns:a16="http://schemas.microsoft.com/office/drawing/2014/main" id="{C1CDDCFE-7B49-485F-B9D5-C32D23A86A24}"/>
            </a:ext>
          </a:extLst>
        </xdr:cNvPr>
        <xdr:cNvSpPr>
          <a:spLocks/>
        </xdr:cNvSpPr>
      </xdr:nvSpPr>
      <xdr:spPr bwMode="auto">
        <a:xfrm>
          <a:off x="9135158" y="20320135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200847</xdr:colOff>
      <xdr:row>111</xdr:row>
      <xdr:rowOff>162453</xdr:rowOff>
    </xdr:from>
    <xdr:to>
      <xdr:col>24</xdr:col>
      <xdr:colOff>180657</xdr:colOff>
      <xdr:row>112</xdr:row>
      <xdr:rowOff>84915</xdr:rowOff>
    </xdr:to>
    <xdr:sp macro="" textlink="">
      <xdr:nvSpPr>
        <xdr:cNvPr id="267" name="Freeform 10708">
          <a:extLst>
            <a:ext uri="{FF2B5EF4-FFF2-40B4-BE49-F238E27FC236}">
              <a16:creationId xmlns:a16="http://schemas.microsoft.com/office/drawing/2014/main" id="{FB5D1256-1611-47E5-92A7-72F3EBC087C9}"/>
            </a:ext>
          </a:extLst>
        </xdr:cNvPr>
        <xdr:cNvSpPr>
          <a:spLocks/>
        </xdr:cNvSpPr>
      </xdr:nvSpPr>
      <xdr:spPr bwMode="auto">
        <a:xfrm>
          <a:off x="8366947" y="20317353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388524</xdr:colOff>
      <xdr:row>111</xdr:row>
      <xdr:rowOff>149297</xdr:rowOff>
    </xdr:from>
    <xdr:to>
      <xdr:col>29</xdr:col>
      <xdr:colOff>10158</xdr:colOff>
      <xdr:row>113</xdr:row>
      <xdr:rowOff>175968</xdr:rowOff>
    </xdr:to>
    <xdr:sp macro="" textlink="">
      <xdr:nvSpPr>
        <xdr:cNvPr id="268" name="3">
          <a:extLst>
            <a:ext uri="{FF2B5EF4-FFF2-40B4-BE49-F238E27FC236}">
              <a16:creationId xmlns:a16="http://schemas.microsoft.com/office/drawing/2014/main" id="{336DB862-D309-4ECE-88C8-BB2F093ECE25}"/>
            </a:ext>
          </a:extLst>
        </xdr:cNvPr>
        <xdr:cNvSpPr>
          <a:spLocks noChangeArrowheads="1"/>
        </xdr:cNvSpPr>
      </xdr:nvSpPr>
      <xdr:spPr bwMode="auto">
        <a:xfrm>
          <a:off x="10548524" y="20304197"/>
          <a:ext cx="42808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720</xdr:colOff>
      <xdr:row>111</xdr:row>
      <xdr:rowOff>176885</xdr:rowOff>
    </xdr:from>
    <xdr:to>
      <xdr:col>27</xdr:col>
      <xdr:colOff>3628</xdr:colOff>
      <xdr:row>113</xdr:row>
      <xdr:rowOff>182601</xdr:rowOff>
    </xdr:to>
    <xdr:sp macro="" textlink="">
      <xdr:nvSpPr>
        <xdr:cNvPr id="269" name="0/0">
          <a:extLst>
            <a:ext uri="{FF2B5EF4-FFF2-40B4-BE49-F238E27FC236}">
              <a16:creationId xmlns:a16="http://schemas.microsoft.com/office/drawing/2014/main" id="{582FEED9-B571-4B8C-A8C1-0F8C46DE7B37}"/>
            </a:ext>
          </a:extLst>
        </xdr:cNvPr>
        <xdr:cNvSpPr>
          <a:spLocks noChangeArrowheads="1"/>
        </xdr:cNvSpPr>
      </xdr:nvSpPr>
      <xdr:spPr bwMode="auto">
        <a:xfrm>
          <a:off x="9760670" y="20331785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208484</xdr:colOff>
      <xdr:row>111</xdr:row>
      <xdr:rowOff>162453</xdr:rowOff>
    </xdr:from>
    <xdr:to>
      <xdr:col>30</xdr:col>
      <xdr:colOff>200506</xdr:colOff>
      <xdr:row>112</xdr:row>
      <xdr:rowOff>82499</xdr:rowOff>
    </xdr:to>
    <xdr:sp macro="" textlink="">
      <xdr:nvSpPr>
        <xdr:cNvPr id="270" name="Freeform 10708">
          <a:extLst>
            <a:ext uri="{FF2B5EF4-FFF2-40B4-BE49-F238E27FC236}">
              <a16:creationId xmlns:a16="http://schemas.microsoft.com/office/drawing/2014/main" id="{BDDCD680-CF7B-42DB-BDB9-73829C83CCE6}"/>
            </a:ext>
          </a:extLst>
        </xdr:cNvPr>
        <xdr:cNvSpPr>
          <a:spLocks/>
        </xdr:cNvSpPr>
      </xdr:nvSpPr>
      <xdr:spPr bwMode="auto">
        <a:xfrm>
          <a:off x="10774884" y="20317353"/>
          <a:ext cx="754022" cy="1041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198504</xdr:colOff>
      <xdr:row>111</xdr:row>
      <xdr:rowOff>165236</xdr:rowOff>
    </xdr:from>
    <xdr:to>
      <xdr:col>28</xdr:col>
      <xdr:colOff>197353</xdr:colOff>
      <xdr:row>112</xdr:row>
      <xdr:rowOff>70594</xdr:rowOff>
    </xdr:to>
    <xdr:sp macro="" textlink="">
      <xdr:nvSpPr>
        <xdr:cNvPr id="271" name="Freeform 10708">
          <a:extLst>
            <a:ext uri="{FF2B5EF4-FFF2-40B4-BE49-F238E27FC236}">
              <a16:creationId xmlns:a16="http://schemas.microsoft.com/office/drawing/2014/main" id="{05B78C12-6215-45A3-9BC3-21925F0B631B}"/>
            </a:ext>
          </a:extLst>
        </xdr:cNvPr>
        <xdr:cNvSpPr>
          <a:spLocks/>
        </xdr:cNvSpPr>
      </xdr:nvSpPr>
      <xdr:spPr bwMode="auto">
        <a:xfrm>
          <a:off x="9958454" y="20320136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15184</xdr:colOff>
      <xdr:row>111</xdr:row>
      <xdr:rowOff>146108</xdr:rowOff>
    </xdr:from>
    <xdr:to>
      <xdr:col>31</xdr:col>
      <xdr:colOff>6315</xdr:colOff>
      <xdr:row>113</xdr:row>
      <xdr:rowOff>172779</xdr:rowOff>
    </xdr:to>
    <xdr:sp macro="" textlink="">
      <xdr:nvSpPr>
        <xdr:cNvPr id="272" name="3">
          <a:extLst>
            <a:ext uri="{FF2B5EF4-FFF2-40B4-BE49-F238E27FC236}">
              <a16:creationId xmlns:a16="http://schemas.microsoft.com/office/drawing/2014/main" id="{93CC61C6-244B-492C-88BC-2631B03F8D15}"/>
            </a:ext>
          </a:extLst>
        </xdr:cNvPr>
        <xdr:cNvSpPr>
          <a:spLocks noChangeArrowheads="1"/>
        </xdr:cNvSpPr>
      </xdr:nvSpPr>
      <xdr:spPr bwMode="auto">
        <a:xfrm>
          <a:off x="11343584" y="20301008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14</xdr:colOff>
      <xdr:row>111</xdr:row>
      <xdr:rowOff>155247</xdr:rowOff>
    </xdr:from>
    <xdr:to>
      <xdr:col>2</xdr:col>
      <xdr:colOff>170295</xdr:colOff>
      <xdr:row>112</xdr:row>
      <xdr:rowOff>78868</xdr:rowOff>
    </xdr:to>
    <xdr:sp macro="" textlink="">
      <xdr:nvSpPr>
        <xdr:cNvPr id="273" name="Freeform 10708">
          <a:extLst>
            <a:ext uri="{FF2B5EF4-FFF2-40B4-BE49-F238E27FC236}">
              <a16:creationId xmlns:a16="http://schemas.microsoft.com/office/drawing/2014/main" id="{5952BDDE-CF8A-4A20-97A7-8A6A04570E05}"/>
            </a:ext>
          </a:extLst>
        </xdr:cNvPr>
        <xdr:cNvSpPr>
          <a:spLocks/>
        </xdr:cNvSpPr>
      </xdr:nvSpPr>
      <xdr:spPr bwMode="auto">
        <a:xfrm>
          <a:off x="14" y="20310147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363955</xdr:colOff>
      <xdr:row>123</xdr:row>
      <xdr:rowOff>164462</xdr:rowOff>
    </xdr:from>
    <xdr:to>
      <xdr:col>7</xdr:col>
      <xdr:colOff>13882</xdr:colOff>
      <xdr:row>126</xdr:row>
      <xdr:rowOff>1907</xdr:rowOff>
    </xdr:to>
    <xdr:sp macro="" textlink="">
      <xdr:nvSpPr>
        <xdr:cNvPr id="274" name="3">
          <a:extLst>
            <a:ext uri="{FF2B5EF4-FFF2-40B4-BE49-F238E27FC236}">
              <a16:creationId xmlns:a16="http://schemas.microsoft.com/office/drawing/2014/main" id="{38628632-0175-4E4F-8D98-B3BD99A67B34}"/>
            </a:ext>
          </a:extLst>
        </xdr:cNvPr>
        <xdr:cNvSpPr>
          <a:spLocks noChangeArrowheads="1"/>
        </xdr:cNvSpPr>
      </xdr:nvSpPr>
      <xdr:spPr bwMode="auto">
        <a:xfrm>
          <a:off x="2040355" y="22459312"/>
          <a:ext cx="411927" cy="39624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8315</xdr:colOff>
      <xdr:row>124</xdr:row>
      <xdr:rowOff>611</xdr:rowOff>
    </xdr:from>
    <xdr:to>
      <xdr:col>5</xdr:col>
      <xdr:colOff>10472</xdr:colOff>
      <xdr:row>125</xdr:row>
      <xdr:rowOff>186078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4C47CF77-9232-4AA3-BE5A-8D0636366248}"/>
            </a:ext>
          </a:extLst>
        </xdr:cNvPr>
        <xdr:cNvSpPr>
          <a:spLocks noChangeArrowheads="1"/>
        </xdr:cNvSpPr>
      </xdr:nvSpPr>
      <xdr:spPr bwMode="auto">
        <a:xfrm>
          <a:off x="1284665" y="22479611"/>
          <a:ext cx="402207" cy="36961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206722</xdr:colOff>
      <xdr:row>123</xdr:row>
      <xdr:rowOff>179608</xdr:rowOff>
    </xdr:from>
    <xdr:to>
      <xdr:col>4</xdr:col>
      <xdr:colOff>206722</xdr:colOff>
      <xdr:row>124</xdr:row>
      <xdr:rowOff>91322</xdr:rowOff>
    </xdr:to>
    <xdr:sp macro="" textlink="">
      <xdr:nvSpPr>
        <xdr:cNvPr id="276" name="Freeform 10708">
          <a:extLst>
            <a:ext uri="{FF2B5EF4-FFF2-40B4-BE49-F238E27FC236}">
              <a16:creationId xmlns:a16="http://schemas.microsoft.com/office/drawing/2014/main" id="{8F06FE72-5C9D-4062-9A9B-13BEBF25BA0C}"/>
            </a:ext>
          </a:extLst>
        </xdr:cNvPr>
        <xdr:cNvSpPr>
          <a:spLocks/>
        </xdr:cNvSpPr>
      </xdr:nvSpPr>
      <xdr:spPr bwMode="auto">
        <a:xfrm>
          <a:off x="714722" y="22474458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186910</xdr:colOff>
      <xdr:row>123</xdr:row>
      <xdr:rowOff>179609</xdr:rowOff>
    </xdr:from>
    <xdr:to>
      <xdr:col>8</xdr:col>
      <xdr:colOff>208342</xdr:colOff>
      <xdr:row>124</xdr:row>
      <xdr:rowOff>103229</xdr:rowOff>
    </xdr:to>
    <xdr:sp macro="" textlink="">
      <xdr:nvSpPr>
        <xdr:cNvPr id="277" name="Freeform 10708">
          <a:extLst>
            <a:ext uri="{FF2B5EF4-FFF2-40B4-BE49-F238E27FC236}">
              <a16:creationId xmlns:a16="http://schemas.microsoft.com/office/drawing/2014/main" id="{18F4185B-1412-4D25-86E9-8DB0EB920482}"/>
            </a:ext>
          </a:extLst>
        </xdr:cNvPr>
        <xdr:cNvSpPr>
          <a:spLocks/>
        </xdr:cNvSpPr>
      </xdr:nvSpPr>
      <xdr:spPr bwMode="auto">
        <a:xfrm>
          <a:off x="2244310" y="22474459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6925</xdr:colOff>
      <xdr:row>124</xdr:row>
      <xdr:rowOff>769</xdr:rowOff>
    </xdr:from>
    <xdr:to>
      <xdr:col>3</xdr:col>
      <xdr:colOff>9081</xdr:colOff>
      <xdr:row>125</xdr:row>
      <xdr:rowOff>184896</xdr:rowOff>
    </xdr:to>
    <xdr:sp macro="" textlink="">
      <xdr:nvSpPr>
        <xdr:cNvPr id="278" name="0/0">
          <a:extLst>
            <a:ext uri="{FF2B5EF4-FFF2-40B4-BE49-F238E27FC236}">
              <a16:creationId xmlns:a16="http://schemas.microsoft.com/office/drawing/2014/main" id="{EA23BC67-CF76-450E-8268-38AC740A06D4}"/>
            </a:ext>
          </a:extLst>
        </xdr:cNvPr>
        <xdr:cNvSpPr>
          <a:spLocks noChangeArrowheads="1"/>
        </xdr:cNvSpPr>
      </xdr:nvSpPr>
      <xdr:spPr bwMode="auto">
        <a:xfrm>
          <a:off x="514925" y="22479769"/>
          <a:ext cx="402206" cy="36827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208880</xdr:colOff>
      <xdr:row>123</xdr:row>
      <xdr:rowOff>179609</xdr:rowOff>
    </xdr:from>
    <xdr:to>
      <xdr:col>6</xdr:col>
      <xdr:colOff>208880</xdr:colOff>
      <xdr:row>124</xdr:row>
      <xdr:rowOff>91323</xdr:rowOff>
    </xdr:to>
    <xdr:sp macro="" textlink="">
      <xdr:nvSpPr>
        <xdr:cNvPr id="279" name="Freeform 10708">
          <a:extLst>
            <a:ext uri="{FF2B5EF4-FFF2-40B4-BE49-F238E27FC236}">
              <a16:creationId xmlns:a16="http://schemas.microsoft.com/office/drawing/2014/main" id="{23CB7B0F-331A-4BF1-9CE3-A13AC3809A8C}"/>
            </a:ext>
          </a:extLst>
        </xdr:cNvPr>
        <xdr:cNvSpPr>
          <a:spLocks/>
        </xdr:cNvSpPr>
      </xdr:nvSpPr>
      <xdr:spPr bwMode="auto">
        <a:xfrm>
          <a:off x="1485230" y="22474459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362091</xdr:colOff>
      <xdr:row>123</xdr:row>
      <xdr:rowOff>154605</xdr:rowOff>
    </xdr:from>
    <xdr:to>
      <xdr:col>11</xdr:col>
      <xdr:colOff>10149</xdr:colOff>
      <xdr:row>125</xdr:row>
      <xdr:rowOff>181275</xdr:rowOff>
    </xdr:to>
    <xdr:sp macro="" textlink="">
      <xdr:nvSpPr>
        <xdr:cNvPr id="280" name="3">
          <a:extLst>
            <a:ext uri="{FF2B5EF4-FFF2-40B4-BE49-F238E27FC236}">
              <a16:creationId xmlns:a16="http://schemas.microsoft.com/office/drawing/2014/main" id="{AB6E521A-C405-44CC-88EE-A7295ECB1938}"/>
            </a:ext>
          </a:extLst>
        </xdr:cNvPr>
        <xdr:cNvSpPr>
          <a:spLocks noChangeArrowheads="1"/>
        </xdr:cNvSpPr>
      </xdr:nvSpPr>
      <xdr:spPr bwMode="auto">
        <a:xfrm>
          <a:off x="3587891" y="22449455"/>
          <a:ext cx="40370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3724</xdr:colOff>
      <xdr:row>123</xdr:row>
      <xdr:rowOff>173567</xdr:rowOff>
    </xdr:from>
    <xdr:to>
      <xdr:col>9</xdr:col>
      <xdr:colOff>8131</xdr:colOff>
      <xdr:row>125</xdr:row>
      <xdr:rowOff>179004</xdr:rowOff>
    </xdr:to>
    <xdr:sp macro="" textlink="">
      <xdr:nvSpPr>
        <xdr:cNvPr id="281" name="0/0">
          <a:extLst>
            <a:ext uri="{FF2B5EF4-FFF2-40B4-BE49-F238E27FC236}">
              <a16:creationId xmlns:a16="http://schemas.microsoft.com/office/drawing/2014/main" id="{A989A35B-08E2-45EA-8068-5B39374424C0}"/>
            </a:ext>
          </a:extLst>
        </xdr:cNvPr>
        <xdr:cNvSpPr>
          <a:spLocks noChangeArrowheads="1"/>
        </xdr:cNvSpPr>
      </xdr:nvSpPr>
      <xdr:spPr bwMode="auto">
        <a:xfrm>
          <a:off x="2829474" y="22468417"/>
          <a:ext cx="404457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179911</xdr:colOff>
      <xdr:row>123</xdr:row>
      <xdr:rowOff>168627</xdr:rowOff>
    </xdr:from>
    <xdr:to>
      <xdr:col>12</xdr:col>
      <xdr:colOff>268854</xdr:colOff>
      <xdr:row>124</xdr:row>
      <xdr:rowOff>93372</xdr:rowOff>
    </xdr:to>
    <xdr:sp macro="" textlink="">
      <xdr:nvSpPr>
        <xdr:cNvPr id="282" name="Freeform 10708">
          <a:extLst>
            <a:ext uri="{FF2B5EF4-FFF2-40B4-BE49-F238E27FC236}">
              <a16:creationId xmlns:a16="http://schemas.microsoft.com/office/drawing/2014/main" id="{84C0D228-23E5-4BDD-97EF-7A61199C44DA}"/>
            </a:ext>
          </a:extLst>
        </xdr:cNvPr>
        <xdr:cNvSpPr>
          <a:spLocks/>
        </xdr:cNvSpPr>
      </xdr:nvSpPr>
      <xdr:spPr bwMode="auto">
        <a:xfrm>
          <a:off x="3774011" y="22463477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295367</xdr:colOff>
      <xdr:row>123</xdr:row>
      <xdr:rowOff>156958</xdr:rowOff>
    </xdr:from>
    <xdr:to>
      <xdr:col>15</xdr:col>
      <xdr:colOff>6978</xdr:colOff>
      <xdr:row>126</xdr:row>
      <xdr:rowOff>6977</xdr:rowOff>
    </xdr:to>
    <xdr:sp macro="" textlink="">
      <xdr:nvSpPr>
        <xdr:cNvPr id="283" name="3">
          <a:extLst>
            <a:ext uri="{FF2B5EF4-FFF2-40B4-BE49-F238E27FC236}">
              <a16:creationId xmlns:a16="http://schemas.microsoft.com/office/drawing/2014/main" id="{CB5A83B8-B16F-49E2-BC46-BECDB2F935B8}"/>
            </a:ext>
          </a:extLst>
        </xdr:cNvPr>
        <xdr:cNvSpPr>
          <a:spLocks noChangeArrowheads="1"/>
        </xdr:cNvSpPr>
      </xdr:nvSpPr>
      <xdr:spPr bwMode="auto">
        <a:xfrm>
          <a:off x="5013417" y="22451808"/>
          <a:ext cx="410111" cy="40881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9817</xdr:colOff>
      <xdr:row>123</xdr:row>
      <xdr:rowOff>173138</xdr:rowOff>
    </xdr:from>
    <xdr:to>
      <xdr:col>13</xdr:col>
      <xdr:colOff>9349</xdr:colOff>
      <xdr:row>125</xdr:row>
      <xdr:rowOff>178575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00585089-67F2-4D0A-A645-945A4D37D9CF}"/>
            </a:ext>
          </a:extLst>
        </xdr:cNvPr>
        <xdr:cNvSpPr>
          <a:spLocks noChangeArrowheads="1"/>
        </xdr:cNvSpPr>
      </xdr:nvSpPr>
      <xdr:spPr bwMode="auto">
        <a:xfrm>
          <a:off x="4340517" y="22467988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177535</xdr:colOff>
      <xdr:row>123</xdr:row>
      <xdr:rowOff>179609</xdr:rowOff>
    </xdr:from>
    <xdr:to>
      <xdr:col>18</xdr:col>
      <xdr:colOff>194758</xdr:colOff>
      <xdr:row>124</xdr:row>
      <xdr:rowOff>95726</xdr:rowOff>
    </xdr:to>
    <xdr:sp macro="" textlink="">
      <xdr:nvSpPr>
        <xdr:cNvPr id="285" name="Freeform 10708">
          <a:extLst>
            <a:ext uri="{FF2B5EF4-FFF2-40B4-BE49-F238E27FC236}">
              <a16:creationId xmlns:a16="http://schemas.microsoft.com/office/drawing/2014/main" id="{5B722930-40C2-4428-94E2-BABD49F61DF7}"/>
            </a:ext>
          </a:extLst>
        </xdr:cNvPr>
        <xdr:cNvSpPr>
          <a:spLocks/>
        </xdr:cNvSpPr>
      </xdr:nvSpPr>
      <xdr:spPr bwMode="auto">
        <a:xfrm>
          <a:off x="5194035" y="22474459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4282</xdr:colOff>
      <xdr:row>123</xdr:row>
      <xdr:rowOff>155451</xdr:rowOff>
    </xdr:from>
    <xdr:to>
      <xdr:col>21</xdr:col>
      <xdr:colOff>14650</xdr:colOff>
      <xdr:row>125</xdr:row>
      <xdr:rowOff>182121</xdr:rowOff>
    </xdr:to>
    <xdr:sp macro="" textlink="">
      <xdr:nvSpPr>
        <xdr:cNvPr id="286" name="3">
          <a:extLst>
            <a:ext uri="{FF2B5EF4-FFF2-40B4-BE49-F238E27FC236}">
              <a16:creationId xmlns:a16="http://schemas.microsoft.com/office/drawing/2014/main" id="{30C2938D-9855-4266-BD53-22270AE7759D}"/>
            </a:ext>
          </a:extLst>
        </xdr:cNvPr>
        <xdr:cNvSpPr>
          <a:spLocks noChangeArrowheads="1"/>
        </xdr:cNvSpPr>
      </xdr:nvSpPr>
      <xdr:spPr bwMode="auto">
        <a:xfrm>
          <a:off x="7395682" y="22450301"/>
          <a:ext cx="41676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368026</xdr:colOff>
      <xdr:row>123</xdr:row>
      <xdr:rowOff>174413</xdr:rowOff>
    </xdr:from>
    <xdr:to>
      <xdr:col>19</xdr:col>
      <xdr:colOff>9585</xdr:colOff>
      <xdr:row>125</xdr:row>
      <xdr:rowOff>179850</xdr:rowOff>
    </xdr:to>
    <xdr:sp macro="" textlink="">
      <xdr:nvSpPr>
        <xdr:cNvPr id="287" name="0/0">
          <a:extLst>
            <a:ext uri="{FF2B5EF4-FFF2-40B4-BE49-F238E27FC236}">
              <a16:creationId xmlns:a16="http://schemas.microsoft.com/office/drawing/2014/main" id="{605D301C-F92C-419F-9ACF-81F95CECF824}"/>
            </a:ext>
          </a:extLst>
        </xdr:cNvPr>
        <xdr:cNvSpPr>
          <a:spLocks noChangeArrowheads="1"/>
        </xdr:cNvSpPr>
      </xdr:nvSpPr>
      <xdr:spPr bwMode="auto">
        <a:xfrm>
          <a:off x="6584676" y="22469263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192433</xdr:colOff>
      <xdr:row>123</xdr:row>
      <xdr:rowOff>176548</xdr:rowOff>
    </xdr:from>
    <xdr:to>
      <xdr:col>22</xdr:col>
      <xdr:colOff>197541</xdr:colOff>
      <xdr:row>124</xdr:row>
      <xdr:rowOff>94217</xdr:rowOff>
    </xdr:to>
    <xdr:sp macro="" textlink="">
      <xdr:nvSpPr>
        <xdr:cNvPr id="288" name="Freeform 10708">
          <a:extLst>
            <a:ext uri="{FF2B5EF4-FFF2-40B4-BE49-F238E27FC236}">
              <a16:creationId xmlns:a16="http://schemas.microsoft.com/office/drawing/2014/main" id="{20951FF2-CAE9-4D16-8AB0-50C034E4F500}"/>
            </a:ext>
          </a:extLst>
        </xdr:cNvPr>
        <xdr:cNvSpPr>
          <a:spLocks/>
        </xdr:cNvSpPr>
      </xdr:nvSpPr>
      <xdr:spPr bwMode="auto">
        <a:xfrm>
          <a:off x="7583833" y="22471398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203273</xdr:colOff>
      <xdr:row>124</xdr:row>
      <xdr:rowOff>510</xdr:rowOff>
    </xdr:from>
    <xdr:to>
      <xdr:col>20</xdr:col>
      <xdr:colOff>203272</xdr:colOff>
      <xdr:row>124</xdr:row>
      <xdr:rowOff>93442</xdr:rowOff>
    </xdr:to>
    <xdr:sp macro="" textlink="">
      <xdr:nvSpPr>
        <xdr:cNvPr id="289" name="Freeform 10708">
          <a:extLst>
            <a:ext uri="{FF2B5EF4-FFF2-40B4-BE49-F238E27FC236}">
              <a16:creationId xmlns:a16="http://schemas.microsoft.com/office/drawing/2014/main" id="{D7EAE6C9-5DAD-44EF-8101-871D020F9FF0}"/>
            </a:ext>
          </a:extLst>
        </xdr:cNvPr>
        <xdr:cNvSpPr>
          <a:spLocks/>
        </xdr:cNvSpPr>
      </xdr:nvSpPr>
      <xdr:spPr bwMode="auto">
        <a:xfrm>
          <a:off x="6826323" y="22479510"/>
          <a:ext cx="768349" cy="9293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1438</xdr:colOff>
      <xdr:row>123</xdr:row>
      <xdr:rowOff>158235</xdr:rowOff>
    </xdr:from>
    <xdr:to>
      <xdr:col>25</xdr:col>
      <xdr:colOff>20431</xdr:colOff>
      <xdr:row>125</xdr:row>
      <xdr:rowOff>184905</xdr:rowOff>
    </xdr:to>
    <xdr:sp macro="" textlink="">
      <xdr:nvSpPr>
        <xdr:cNvPr id="290" name="3">
          <a:extLst>
            <a:ext uri="{FF2B5EF4-FFF2-40B4-BE49-F238E27FC236}">
              <a16:creationId xmlns:a16="http://schemas.microsoft.com/office/drawing/2014/main" id="{CB8664F9-CF42-4BDC-B344-A9CF623D5114}"/>
            </a:ext>
          </a:extLst>
        </xdr:cNvPr>
        <xdr:cNvSpPr>
          <a:spLocks noChangeArrowheads="1"/>
        </xdr:cNvSpPr>
      </xdr:nvSpPr>
      <xdr:spPr bwMode="auto">
        <a:xfrm>
          <a:off x="8954938" y="22453085"/>
          <a:ext cx="419043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9409</xdr:colOff>
      <xdr:row>123</xdr:row>
      <xdr:rowOff>177197</xdr:rowOff>
    </xdr:from>
    <xdr:to>
      <xdr:col>23</xdr:col>
      <xdr:colOff>9582</xdr:colOff>
      <xdr:row>125</xdr:row>
      <xdr:rowOff>182634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29405B30-71BB-4A35-A266-3512D39B6D58}"/>
            </a:ext>
          </a:extLst>
        </xdr:cNvPr>
        <xdr:cNvSpPr>
          <a:spLocks noChangeArrowheads="1"/>
        </xdr:cNvSpPr>
      </xdr:nvSpPr>
      <xdr:spPr bwMode="auto">
        <a:xfrm>
          <a:off x="8175509" y="22472047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187411</xdr:colOff>
      <xdr:row>123</xdr:row>
      <xdr:rowOff>170982</xdr:rowOff>
    </xdr:from>
    <xdr:to>
      <xdr:col>26</xdr:col>
      <xdr:colOff>200324</xdr:colOff>
      <xdr:row>124</xdr:row>
      <xdr:rowOff>85870</xdr:rowOff>
    </xdr:to>
    <xdr:sp macro="" textlink="">
      <xdr:nvSpPr>
        <xdr:cNvPr id="292" name="Freeform 10708">
          <a:extLst>
            <a:ext uri="{FF2B5EF4-FFF2-40B4-BE49-F238E27FC236}">
              <a16:creationId xmlns:a16="http://schemas.microsoft.com/office/drawing/2014/main" id="{41F908D7-6E40-4FD8-95A4-944CF97C5DFB}"/>
            </a:ext>
          </a:extLst>
        </xdr:cNvPr>
        <xdr:cNvSpPr>
          <a:spLocks/>
        </xdr:cNvSpPr>
      </xdr:nvSpPr>
      <xdr:spPr bwMode="auto">
        <a:xfrm>
          <a:off x="9140911" y="22465832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206600</xdr:colOff>
      <xdr:row>123</xdr:row>
      <xdr:rowOff>168200</xdr:rowOff>
    </xdr:from>
    <xdr:to>
      <xdr:col>24</xdr:col>
      <xdr:colOff>186410</xdr:colOff>
      <xdr:row>124</xdr:row>
      <xdr:rowOff>90661</xdr:rowOff>
    </xdr:to>
    <xdr:sp macro="" textlink="">
      <xdr:nvSpPr>
        <xdr:cNvPr id="293" name="Freeform 10708">
          <a:extLst>
            <a:ext uri="{FF2B5EF4-FFF2-40B4-BE49-F238E27FC236}">
              <a16:creationId xmlns:a16="http://schemas.microsoft.com/office/drawing/2014/main" id="{5C3EB9A5-6EB0-49A4-A88F-8DBB8B1FDB45}"/>
            </a:ext>
          </a:extLst>
        </xdr:cNvPr>
        <xdr:cNvSpPr>
          <a:spLocks/>
        </xdr:cNvSpPr>
      </xdr:nvSpPr>
      <xdr:spPr bwMode="auto">
        <a:xfrm>
          <a:off x="8372700" y="22463050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2167</xdr:colOff>
      <xdr:row>123</xdr:row>
      <xdr:rowOff>155044</xdr:rowOff>
    </xdr:from>
    <xdr:to>
      <xdr:col>29</xdr:col>
      <xdr:colOff>15911</xdr:colOff>
      <xdr:row>125</xdr:row>
      <xdr:rowOff>181714</xdr:rowOff>
    </xdr:to>
    <xdr:sp macro="" textlink="">
      <xdr:nvSpPr>
        <xdr:cNvPr id="294" name="3">
          <a:extLst>
            <a:ext uri="{FF2B5EF4-FFF2-40B4-BE49-F238E27FC236}">
              <a16:creationId xmlns:a16="http://schemas.microsoft.com/office/drawing/2014/main" id="{AB940DE4-2730-48FA-8801-6B3DE1C313DC}"/>
            </a:ext>
          </a:extLst>
        </xdr:cNvPr>
        <xdr:cNvSpPr>
          <a:spLocks noChangeArrowheads="1"/>
        </xdr:cNvSpPr>
      </xdr:nvSpPr>
      <xdr:spPr bwMode="auto">
        <a:xfrm>
          <a:off x="10568567" y="22449894"/>
          <a:ext cx="41379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6473</xdr:colOff>
      <xdr:row>124</xdr:row>
      <xdr:rowOff>1477</xdr:rowOff>
    </xdr:from>
    <xdr:to>
      <xdr:col>27</xdr:col>
      <xdr:colOff>9381</xdr:colOff>
      <xdr:row>126</xdr:row>
      <xdr:rowOff>135</xdr:rowOff>
    </xdr:to>
    <xdr:sp macro="" textlink="">
      <xdr:nvSpPr>
        <xdr:cNvPr id="295" name="0/0">
          <a:extLst>
            <a:ext uri="{FF2B5EF4-FFF2-40B4-BE49-F238E27FC236}">
              <a16:creationId xmlns:a16="http://schemas.microsoft.com/office/drawing/2014/main" id="{8A60DB1D-43D3-4652-8877-94A9B6BD5E47}"/>
            </a:ext>
          </a:extLst>
        </xdr:cNvPr>
        <xdr:cNvSpPr>
          <a:spLocks noChangeArrowheads="1"/>
        </xdr:cNvSpPr>
      </xdr:nvSpPr>
      <xdr:spPr bwMode="auto">
        <a:xfrm>
          <a:off x="9766423" y="22480477"/>
          <a:ext cx="402958" cy="37330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204257</xdr:colOff>
      <xdr:row>123</xdr:row>
      <xdr:rowOff>170983</xdr:rowOff>
    </xdr:from>
    <xdr:to>
      <xdr:col>28</xdr:col>
      <xdr:colOff>203106</xdr:colOff>
      <xdr:row>124</xdr:row>
      <xdr:rowOff>76340</xdr:rowOff>
    </xdr:to>
    <xdr:sp macro="" textlink="">
      <xdr:nvSpPr>
        <xdr:cNvPr id="296" name="Freeform 10708">
          <a:extLst>
            <a:ext uri="{FF2B5EF4-FFF2-40B4-BE49-F238E27FC236}">
              <a16:creationId xmlns:a16="http://schemas.microsoft.com/office/drawing/2014/main" id="{27FA9939-8B15-457D-BEB0-9E79C885D99A}"/>
            </a:ext>
          </a:extLst>
        </xdr:cNvPr>
        <xdr:cNvSpPr>
          <a:spLocks/>
        </xdr:cNvSpPr>
      </xdr:nvSpPr>
      <xdr:spPr bwMode="auto">
        <a:xfrm>
          <a:off x="9964207" y="22465833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20937</xdr:colOff>
      <xdr:row>123</xdr:row>
      <xdr:rowOff>151855</xdr:rowOff>
    </xdr:from>
    <xdr:to>
      <xdr:col>31</xdr:col>
      <xdr:colOff>12068</xdr:colOff>
      <xdr:row>125</xdr:row>
      <xdr:rowOff>178525</xdr:rowOff>
    </xdr:to>
    <xdr:sp macro="" textlink="">
      <xdr:nvSpPr>
        <xdr:cNvPr id="297" name="3">
          <a:extLst>
            <a:ext uri="{FF2B5EF4-FFF2-40B4-BE49-F238E27FC236}">
              <a16:creationId xmlns:a16="http://schemas.microsoft.com/office/drawing/2014/main" id="{8C716C3A-A345-4D41-B1AD-DBA0CEBD59A3}"/>
            </a:ext>
          </a:extLst>
        </xdr:cNvPr>
        <xdr:cNvSpPr>
          <a:spLocks noChangeArrowheads="1"/>
        </xdr:cNvSpPr>
      </xdr:nvSpPr>
      <xdr:spPr bwMode="auto">
        <a:xfrm>
          <a:off x="11349337" y="22446705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5767</xdr:colOff>
      <xdr:row>123</xdr:row>
      <xdr:rowOff>160994</xdr:rowOff>
    </xdr:from>
    <xdr:to>
      <xdr:col>2</xdr:col>
      <xdr:colOff>176048</xdr:colOff>
      <xdr:row>124</xdr:row>
      <xdr:rowOff>84614</xdr:rowOff>
    </xdr:to>
    <xdr:sp macro="" textlink="">
      <xdr:nvSpPr>
        <xdr:cNvPr id="298" name="Freeform 10708">
          <a:extLst>
            <a:ext uri="{FF2B5EF4-FFF2-40B4-BE49-F238E27FC236}">
              <a16:creationId xmlns:a16="http://schemas.microsoft.com/office/drawing/2014/main" id="{EA0D3711-C459-4D25-8D1C-BEC9CDB11B58}"/>
            </a:ext>
          </a:extLst>
        </xdr:cNvPr>
        <xdr:cNvSpPr>
          <a:spLocks/>
        </xdr:cNvSpPr>
      </xdr:nvSpPr>
      <xdr:spPr bwMode="auto">
        <a:xfrm>
          <a:off x="5767" y="22455844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135</xdr:row>
      <xdr:rowOff>155805</xdr:rowOff>
    </xdr:from>
    <xdr:to>
      <xdr:col>7</xdr:col>
      <xdr:colOff>8115</xdr:colOff>
      <xdr:row>137</xdr:row>
      <xdr:rowOff>183032</xdr:rowOff>
    </xdr:to>
    <xdr:sp macro="" textlink="">
      <xdr:nvSpPr>
        <xdr:cNvPr id="299" name="3">
          <a:extLst>
            <a:ext uri="{FF2B5EF4-FFF2-40B4-BE49-F238E27FC236}">
              <a16:creationId xmlns:a16="http://schemas.microsoft.com/office/drawing/2014/main" id="{7C7488D4-93E8-482A-B604-BFFF7D6BA4F5}"/>
            </a:ext>
          </a:extLst>
        </xdr:cNvPr>
        <xdr:cNvSpPr>
          <a:spLocks noChangeArrowheads="1"/>
        </xdr:cNvSpPr>
      </xdr:nvSpPr>
      <xdr:spPr bwMode="auto">
        <a:xfrm>
          <a:off x="2036940" y="24590605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135</xdr:row>
      <xdr:rowOff>173109</xdr:rowOff>
    </xdr:from>
    <xdr:to>
      <xdr:col>5</xdr:col>
      <xdr:colOff>4705</xdr:colOff>
      <xdr:row>137</xdr:row>
      <xdr:rowOff>177422</xdr:rowOff>
    </xdr:to>
    <xdr:sp macro="" textlink="">
      <xdr:nvSpPr>
        <xdr:cNvPr id="300" name="0/0">
          <a:extLst>
            <a:ext uri="{FF2B5EF4-FFF2-40B4-BE49-F238E27FC236}">
              <a16:creationId xmlns:a16="http://schemas.microsoft.com/office/drawing/2014/main" id="{56976F95-0789-4FCB-A0E5-FE95D7B0808E}"/>
            </a:ext>
          </a:extLst>
        </xdr:cNvPr>
        <xdr:cNvSpPr>
          <a:spLocks noChangeArrowheads="1"/>
        </xdr:cNvSpPr>
      </xdr:nvSpPr>
      <xdr:spPr bwMode="auto">
        <a:xfrm>
          <a:off x="1278898" y="24607909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135</xdr:row>
      <xdr:rowOff>170951</xdr:rowOff>
    </xdr:from>
    <xdr:to>
      <xdr:col>4</xdr:col>
      <xdr:colOff>200955</xdr:colOff>
      <xdr:row>136</xdr:row>
      <xdr:rowOff>82665</xdr:rowOff>
    </xdr:to>
    <xdr:sp macro="" textlink="">
      <xdr:nvSpPr>
        <xdr:cNvPr id="301" name="Freeform 10708">
          <a:extLst>
            <a:ext uri="{FF2B5EF4-FFF2-40B4-BE49-F238E27FC236}">
              <a16:creationId xmlns:a16="http://schemas.microsoft.com/office/drawing/2014/main" id="{A04BFBD5-B55B-4834-B691-91DE7FC2C9A9}"/>
            </a:ext>
          </a:extLst>
        </xdr:cNvPr>
        <xdr:cNvSpPr>
          <a:spLocks/>
        </xdr:cNvSpPr>
      </xdr:nvSpPr>
      <xdr:spPr bwMode="auto">
        <a:xfrm>
          <a:off x="708955" y="24605751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135</xdr:row>
      <xdr:rowOff>170952</xdr:rowOff>
    </xdr:from>
    <xdr:to>
      <xdr:col>8</xdr:col>
      <xdr:colOff>202575</xdr:colOff>
      <xdr:row>136</xdr:row>
      <xdr:rowOff>94572</xdr:rowOff>
    </xdr:to>
    <xdr:sp macro="" textlink="">
      <xdr:nvSpPr>
        <xdr:cNvPr id="302" name="Freeform 10708">
          <a:extLst>
            <a:ext uri="{FF2B5EF4-FFF2-40B4-BE49-F238E27FC236}">
              <a16:creationId xmlns:a16="http://schemas.microsoft.com/office/drawing/2014/main" id="{9A09B728-7DB9-44FE-BCCE-D8CB8013D8B3}"/>
            </a:ext>
          </a:extLst>
        </xdr:cNvPr>
        <xdr:cNvSpPr>
          <a:spLocks/>
        </xdr:cNvSpPr>
      </xdr:nvSpPr>
      <xdr:spPr bwMode="auto">
        <a:xfrm>
          <a:off x="2238543" y="24605752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135</xdr:row>
      <xdr:rowOff>172483</xdr:rowOff>
    </xdr:from>
    <xdr:to>
      <xdr:col>3</xdr:col>
      <xdr:colOff>3314</xdr:colOff>
      <xdr:row>137</xdr:row>
      <xdr:rowOff>176240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376EB907-9F67-42CA-B251-AE6A793A44B2}"/>
            </a:ext>
          </a:extLst>
        </xdr:cNvPr>
        <xdr:cNvSpPr>
          <a:spLocks noChangeArrowheads="1"/>
        </xdr:cNvSpPr>
      </xdr:nvSpPr>
      <xdr:spPr bwMode="auto">
        <a:xfrm>
          <a:off x="509158" y="24607283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203113</xdr:colOff>
      <xdr:row>135</xdr:row>
      <xdr:rowOff>170952</xdr:rowOff>
    </xdr:from>
    <xdr:to>
      <xdr:col>6</xdr:col>
      <xdr:colOff>203113</xdr:colOff>
      <xdr:row>136</xdr:row>
      <xdr:rowOff>82666</xdr:rowOff>
    </xdr:to>
    <xdr:sp macro="" textlink="">
      <xdr:nvSpPr>
        <xdr:cNvPr id="304" name="Freeform 10708">
          <a:extLst>
            <a:ext uri="{FF2B5EF4-FFF2-40B4-BE49-F238E27FC236}">
              <a16:creationId xmlns:a16="http://schemas.microsoft.com/office/drawing/2014/main" id="{561BF3F8-A1DC-49F7-82AD-F5A52A92356E}"/>
            </a:ext>
          </a:extLst>
        </xdr:cNvPr>
        <xdr:cNvSpPr>
          <a:spLocks/>
        </xdr:cNvSpPr>
      </xdr:nvSpPr>
      <xdr:spPr bwMode="auto">
        <a:xfrm>
          <a:off x="1479463" y="24605752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13424</xdr:colOff>
      <xdr:row>135</xdr:row>
      <xdr:rowOff>164998</xdr:rowOff>
    </xdr:from>
    <xdr:to>
      <xdr:col>11</xdr:col>
      <xdr:colOff>13907</xdr:colOff>
      <xdr:row>137</xdr:row>
      <xdr:rowOff>191669</xdr:rowOff>
    </xdr:to>
    <xdr:sp macro="" textlink="">
      <xdr:nvSpPr>
        <xdr:cNvPr id="305" name="3">
          <a:extLst>
            <a:ext uri="{FF2B5EF4-FFF2-40B4-BE49-F238E27FC236}">
              <a16:creationId xmlns:a16="http://schemas.microsoft.com/office/drawing/2014/main" id="{4D9C7B5B-CA77-4A80-88D3-E428817D4D00}"/>
            </a:ext>
          </a:extLst>
        </xdr:cNvPr>
        <xdr:cNvSpPr>
          <a:spLocks noChangeArrowheads="1"/>
        </xdr:cNvSpPr>
      </xdr:nvSpPr>
      <xdr:spPr bwMode="auto">
        <a:xfrm>
          <a:off x="3607524" y="24599798"/>
          <a:ext cx="38783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135</xdr:row>
      <xdr:rowOff>164910</xdr:rowOff>
    </xdr:from>
    <xdr:to>
      <xdr:col>9</xdr:col>
      <xdr:colOff>2364</xdr:colOff>
      <xdr:row>137</xdr:row>
      <xdr:rowOff>170348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EE5BAE6E-1243-4C1C-88FB-12BBD910CE36}"/>
            </a:ext>
          </a:extLst>
        </xdr:cNvPr>
        <xdr:cNvSpPr>
          <a:spLocks noChangeArrowheads="1"/>
        </xdr:cNvSpPr>
      </xdr:nvSpPr>
      <xdr:spPr bwMode="auto">
        <a:xfrm>
          <a:off x="2823228" y="24599710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135</xdr:row>
      <xdr:rowOff>159970</xdr:rowOff>
    </xdr:from>
    <xdr:to>
      <xdr:col>12</xdr:col>
      <xdr:colOff>263087</xdr:colOff>
      <xdr:row>136</xdr:row>
      <xdr:rowOff>84715</xdr:rowOff>
    </xdr:to>
    <xdr:sp macro="" textlink="">
      <xdr:nvSpPr>
        <xdr:cNvPr id="307" name="Freeform 10708">
          <a:extLst>
            <a:ext uri="{FF2B5EF4-FFF2-40B4-BE49-F238E27FC236}">
              <a16:creationId xmlns:a16="http://schemas.microsoft.com/office/drawing/2014/main" id="{FF1DA46E-0C61-4E57-9078-A99C8F71C67F}"/>
            </a:ext>
          </a:extLst>
        </xdr:cNvPr>
        <xdr:cNvSpPr>
          <a:spLocks/>
        </xdr:cNvSpPr>
      </xdr:nvSpPr>
      <xdr:spPr bwMode="auto">
        <a:xfrm>
          <a:off x="3768244" y="24594770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135</xdr:row>
      <xdr:rowOff>159970</xdr:rowOff>
    </xdr:from>
    <xdr:to>
      <xdr:col>10</xdr:col>
      <xdr:colOff>196114</xdr:colOff>
      <xdr:row>136</xdr:row>
      <xdr:rowOff>72809</xdr:rowOff>
    </xdr:to>
    <xdr:sp macro="" textlink="">
      <xdr:nvSpPr>
        <xdr:cNvPr id="308" name="Freeform 10708">
          <a:extLst>
            <a:ext uri="{FF2B5EF4-FFF2-40B4-BE49-F238E27FC236}">
              <a16:creationId xmlns:a16="http://schemas.microsoft.com/office/drawing/2014/main" id="{8BC5A8CD-DFD4-4AA7-BD45-8AB6D1856D2A}"/>
            </a:ext>
          </a:extLst>
        </xdr:cNvPr>
        <xdr:cNvSpPr>
          <a:spLocks/>
        </xdr:cNvSpPr>
      </xdr:nvSpPr>
      <xdr:spPr bwMode="auto">
        <a:xfrm>
          <a:off x="3014363" y="24594770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135</xdr:row>
      <xdr:rowOff>148302</xdr:rowOff>
    </xdr:from>
    <xdr:to>
      <xdr:col>14</xdr:col>
      <xdr:colOff>376814</xdr:colOff>
      <xdr:row>138</xdr:row>
      <xdr:rowOff>0</xdr:rowOff>
    </xdr:to>
    <xdr:sp macro="" textlink="">
      <xdr:nvSpPr>
        <xdr:cNvPr id="309" name="3">
          <a:extLst>
            <a:ext uri="{FF2B5EF4-FFF2-40B4-BE49-F238E27FC236}">
              <a16:creationId xmlns:a16="http://schemas.microsoft.com/office/drawing/2014/main" id="{025DB663-A411-4EC5-BB52-3CFE76324762}"/>
            </a:ext>
          </a:extLst>
        </xdr:cNvPr>
        <xdr:cNvSpPr>
          <a:spLocks noChangeArrowheads="1"/>
        </xdr:cNvSpPr>
      </xdr:nvSpPr>
      <xdr:spPr bwMode="auto">
        <a:xfrm>
          <a:off x="5014001" y="24583102"/>
          <a:ext cx="379313" cy="41049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135</xdr:row>
      <xdr:rowOff>164481</xdr:rowOff>
    </xdr:from>
    <xdr:to>
      <xdr:col>13</xdr:col>
      <xdr:colOff>3582</xdr:colOff>
      <xdr:row>137</xdr:row>
      <xdr:rowOff>169919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46E3508F-BE2D-46D1-B640-E0958BDF79CF}"/>
            </a:ext>
          </a:extLst>
        </xdr:cNvPr>
        <xdr:cNvSpPr>
          <a:spLocks noChangeArrowheads="1"/>
        </xdr:cNvSpPr>
      </xdr:nvSpPr>
      <xdr:spPr bwMode="auto">
        <a:xfrm>
          <a:off x="4334750" y="24599281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201240</xdr:colOff>
      <xdr:row>135</xdr:row>
      <xdr:rowOff>162324</xdr:rowOff>
    </xdr:from>
    <xdr:to>
      <xdr:col>14</xdr:col>
      <xdr:colOff>193738</xdr:colOff>
      <xdr:row>136</xdr:row>
      <xdr:rowOff>75163</xdr:rowOff>
    </xdr:to>
    <xdr:sp macro="" textlink="">
      <xdr:nvSpPr>
        <xdr:cNvPr id="311" name="Freeform 10708">
          <a:extLst>
            <a:ext uri="{FF2B5EF4-FFF2-40B4-BE49-F238E27FC236}">
              <a16:creationId xmlns:a16="http://schemas.microsoft.com/office/drawing/2014/main" id="{7EFD8C59-635D-41DB-A5CA-8A6752638281}"/>
            </a:ext>
          </a:extLst>
        </xdr:cNvPr>
        <xdr:cNvSpPr>
          <a:spLocks/>
        </xdr:cNvSpPr>
      </xdr:nvSpPr>
      <xdr:spPr bwMode="auto">
        <a:xfrm>
          <a:off x="4531940" y="24597124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135</xdr:row>
      <xdr:rowOff>146794</xdr:rowOff>
    </xdr:from>
    <xdr:to>
      <xdr:col>21</xdr:col>
      <xdr:colOff>8883</xdr:colOff>
      <xdr:row>137</xdr:row>
      <xdr:rowOff>173465</xdr:rowOff>
    </xdr:to>
    <xdr:sp macro="" textlink="">
      <xdr:nvSpPr>
        <xdr:cNvPr id="312" name="3">
          <a:extLst>
            <a:ext uri="{FF2B5EF4-FFF2-40B4-BE49-F238E27FC236}">
              <a16:creationId xmlns:a16="http://schemas.microsoft.com/office/drawing/2014/main" id="{395EECCA-0324-48B2-B84D-C01DCEB5F4B8}"/>
            </a:ext>
          </a:extLst>
        </xdr:cNvPr>
        <xdr:cNvSpPr>
          <a:spLocks noChangeArrowheads="1"/>
        </xdr:cNvSpPr>
      </xdr:nvSpPr>
      <xdr:spPr bwMode="auto">
        <a:xfrm>
          <a:off x="7390198" y="24581594"/>
          <a:ext cx="416485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135</xdr:row>
      <xdr:rowOff>165756</xdr:rowOff>
    </xdr:from>
    <xdr:to>
      <xdr:col>19</xdr:col>
      <xdr:colOff>3818</xdr:colOff>
      <xdr:row>137</xdr:row>
      <xdr:rowOff>171194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FE46DA3-C933-4EA4-B8B2-E32BE6BA9A7D}"/>
            </a:ext>
          </a:extLst>
        </xdr:cNvPr>
        <xdr:cNvSpPr>
          <a:spLocks noChangeArrowheads="1"/>
        </xdr:cNvSpPr>
      </xdr:nvSpPr>
      <xdr:spPr bwMode="auto">
        <a:xfrm>
          <a:off x="6578909" y="24600556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18</xdr:col>
      <xdr:colOff>197506</xdr:colOff>
      <xdr:row>135</xdr:row>
      <xdr:rowOff>172224</xdr:rowOff>
    </xdr:from>
    <xdr:to>
      <xdr:col>20</xdr:col>
      <xdr:colOff>197505</xdr:colOff>
      <xdr:row>136</xdr:row>
      <xdr:rowOff>84785</xdr:rowOff>
    </xdr:to>
    <xdr:sp macro="" textlink="">
      <xdr:nvSpPr>
        <xdr:cNvPr id="314" name="Freeform 10708">
          <a:extLst>
            <a:ext uri="{FF2B5EF4-FFF2-40B4-BE49-F238E27FC236}">
              <a16:creationId xmlns:a16="http://schemas.microsoft.com/office/drawing/2014/main" id="{A9FDF988-DA61-4680-8CA2-DBCAFF03C9BB}"/>
            </a:ext>
          </a:extLst>
        </xdr:cNvPr>
        <xdr:cNvSpPr>
          <a:spLocks/>
        </xdr:cNvSpPr>
      </xdr:nvSpPr>
      <xdr:spPr bwMode="auto">
        <a:xfrm>
          <a:off x="6820556" y="24607024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364255</xdr:colOff>
      <xdr:row>135</xdr:row>
      <xdr:rowOff>149578</xdr:rowOff>
    </xdr:from>
    <xdr:to>
      <xdr:col>25</xdr:col>
      <xdr:colOff>14664</xdr:colOff>
      <xdr:row>137</xdr:row>
      <xdr:rowOff>176249</xdr:rowOff>
    </xdr:to>
    <xdr:sp macro="" textlink="">
      <xdr:nvSpPr>
        <xdr:cNvPr id="315" name="3">
          <a:extLst>
            <a:ext uri="{FF2B5EF4-FFF2-40B4-BE49-F238E27FC236}">
              <a16:creationId xmlns:a16="http://schemas.microsoft.com/office/drawing/2014/main" id="{0DC49DF0-11CD-4ABD-8390-8E6C8278074D}"/>
            </a:ext>
          </a:extLst>
        </xdr:cNvPr>
        <xdr:cNvSpPr>
          <a:spLocks noChangeArrowheads="1"/>
        </xdr:cNvSpPr>
      </xdr:nvSpPr>
      <xdr:spPr bwMode="auto">
        <a:xfrm>
          <a:off x="8930405" y="24584378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3642</xdr:colOff>
      <xdr:row>135</xdr:row>
      <xdr:rowOff>168540</xdr:rowOff>
    </xdr:from>
    <xdr:to>
      <xdr:col>23</xdr:col>
      <xdr:colOff>3815</xdr:colOff>
      <xdr:row>137</xdr:row>
      <xdr:rowOff>173978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1F46B1AD-F949-4016-AA79-F2142E745E96}"/>
            </a:ext>
          </a:extLst>
        </xdr:cNvPr>
        <xdr:cNvSpPr>
          <a:spLocks noChangeArrowheads="1"/>
        </xdr:cNvSpPr>
      </xdr:nvSpPr>
      <xdr:spPr bwMode="auto">
        <a:xfrm>
          <a:off x="8169742" y="24603340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135</xdr:row>
      <xdr:rowOff>162325</xdr:rowOff>
    </xdr:from>
    <xdr:to>
      <xdr:col>26</xdr:col>
      <xdr:colOff>194557</xdr:colOff>
      <xdr:row>136</xdr:row>
      <xdr:rowOff>77213</xdr:rowOff>
    </xdr:to>
    <xdr:sp macro="" textlink="">
      <xdr:nvSpPr>
        <xdr:cNvPr id="317" name="Freeform 10708">
          <a:extLst>
            <a:ext uri="{FF2B5EF4-FFF2-40B4-BE49-F238E27FC236}">
              <a16:creationId xmlns:a16="http://schemas.microsoft.com/office/drawing/2014/main" id="{29D5709B-E35D-4156-A97D-0971EFCEFD3F}"/>
            </a:ext>
          </a:extLst>
        </xdr:cNvPr>
        <xdr:cNvSpPr>
          <a:spLocks/>
        </xdr:cNvSpPr>
      </xdr:nvSpPr>
      <xdr:spPr bwMode="auto">
        <a:xfrm>
          <a:off x="9135144" y="24597125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135</xdr:row>
      <xdr:rowOff>159543</xdr:rowOff>
    </xdr:from>
    <xdr:to>
      <xdr:col>24</xdr:col>
      <xdr:colOff>180643</xdr:colOff>
      <xdr:row>136</xdr:row>
      <xdr:rowOff>82004</xdr:rowOff>
    </xdr:to>
    <xdr:sp macro="" textlink="">
      <xdr:nvSpPr>
        <xdr:cNvPr id="318" name="Freeform 10708">
          <a:extLst>
            <a:ext uri="{FF2B5EF4-FFF2-40B4-BE49-F238E27FC236}">
              <a16:creationId xmlns:a16="http://schemas.microsoft.com/office/drawing/2014/main" id="{C25D8BCB-A378-432D-9301-6603881E95D6}"/>
            </a:ext>
          </a:extLst>
        </xdr:cNvPr>
        <xdr:cNvSpPr>
          <a:spLocks/>
        </xdr:cNvSpPr>
      </xdr:nvSpPr>
      <xdr:spPr bwMode="auto">
        <a:xfrm>
          <a:off x="8366933" y="24594343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388510</xdr:colOff>
      <xdr:row>135</xdr:row>
      <xdr:rowOff>146387</xdr:rowOff>
    </xdr:from>
    <xdr:to>
      <xdr:col>29</xdr:col>
      <xdr:colOff>10144</xdr:colOff>
      <xdr:row>137</xdr:row>
      <xdr:rowOff>173058</xdr:rowOff>
    </xdr:to>
    <xdr:sp macro="" textlink="">
      <xdr:nvSpPr>
        <xdr:cNvPr id="319" name="3">
          <a:extLst>
            <a:ext uri="{FF2B5EF4-FFF2-40B4-BE49-F238E27FC236}">
              <a16:creationId xmlns:a16="http://schemas.microsoft.com/office/drawing/2014/main" id="{E48219BA-8408-4523-9318-6482A500B68C}"/>
            </a:ext>
          </a:extLst>
        </xdr:cNvPr>
        <xdr:cNvSpPr>
          <a:spLocks noChangeArrowheads="1"/>
        </xdr:cNvSpPr>
      </xdr:nvSpPr>
      <xdr:spPr bwMode="auto">
        <a:xfrm>
          <a:off x="10548510" y="24581187"/>
          <a:ext cx="42808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135</xdr:row>
      <xdr:rowOff>173975</xdr:rowOff>
    </xdr:from>
    <xdr:to>
      <xdr:col>27</xdr:col>
      <xdr:colOff>3614</xdr:colOff>
      <xdr:row>137</xdr:row>
      <xdr:rowOff>179691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7E4D0177-DB6C-4BC8-B7D4-C92F55B40C96}"/>
            </a:ext>
          </a:extLst>
        </xdr:cNvPr>
        <xdr:cNvSpPr>
          <a:spLocks noChangeArrowheads="1"/>
        </xdr:cNvSpPr>
      </xdr:nvSpPr>
      <xdr:spPr bwMode="auto">
        <a:xfrm>
          <a:off x="9760656" y="24608775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208470</xdr:colOff>
      <xdr:row>135</xdr:row>
      <xdr:rowOff>159543</xdr:rowOff>
    </xdr:from>
    <xdr:to>
      <xdr:col>30</xdr:col>
      <xdr:colOff>200492</xdr:colOff>
      <xdr:row>136</xdr:row>
      <xdr:rowOff>79588</xdr:rowOff>
    </xdr:to>
    <xdr:sp macro="" textlink="">
      <xdr:nvSpPr>
        <xdr:cNvPr id="321" name="Freeform 10708">
          <a:extLst>
            <a:ext uri="{FF2B5EF4-FFF2-40B4-BE49-F238E27FC236}">
              <a16:creationId xmlns:a16="http://schemas.microsoft.com/office/drawing/2014/main" id="{5729ABDA-7FE6-46E3-A86D-C5C3DCE369C5}"/>
            </a:ext>
          </a:extLst>
        </xdr:cNvPr>
        <xdr:cNvSpPr>
          <a:spLocks/>
        </xdr:cNvSpPr>
      </xdr:nvSpPr>
      <xdr:spPr bwMode="auto">
        <a:xfrm>
          <a:off x="10774870" y="24594343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135</xdr:row>
      <xdr:rowOff>162326</xdr:rowOff>
    </xdr:from>
    <xdr:to>
      <xdr:col>28</xdr:col>
      <xdr:colOff>197339</xdr:colOff>
      <xdr:row>136</xdr:row>
      <xdr:rowOff>67683</xdr:rowOff>
    </xdr:to>
    <xdr:sp macro="" textlink="">
      <xdr:nvSpPr>
        <xdr:cNvPr id="322" name="Freeform 10708">
          <a:extLst>
            <a:ext uri="{FF2B5EF4-FFF2-40B4-BE49-F238E27FC236}">
              <a16:creationId xmlns:a16="http://schemas.microsoft.com/office/drawing/2014/main" id="{1420C61B-A8CC-4695-9095-F87B377C0E86}"/>
            </a:ext>
          </a:extLst>
        </xdr:cNvPr>
        <xdr:cNvSpPr>
          <a:spLocks/>
        </xdr:cNvSpPr>
      </xdr:nvSpPr>
      <xdr:spPr bwMode="auto">
        <a:xfrm>
          <a:off x="9958440" y="24597126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135</xdr:row>
      <xdr:rowOff>143198</xdr:rowOff>
    </xdr:from>
    <xdr:to>
      <xdr:col>31</xdr:col>
      <xdr:colOff>6301</xdr:colOff>
      <xdr:row>137</xdr:row>
      <xdr:rowOff>169869</xdr:rowOff>
    </xdr:to>
    <xdr:sp macro="" textlink="">
      <xdr:nvSpPr>
        <xdr:cNvPr id="323" name="3">
          <a:extLst>
            <a:ext uri="{FF2B5EF4-FFF2-40B4-BE49-F238E27FC236}">
              <a16:creationId xmlns:a16="http://schemas.microsoft.com/office/drawing/2014/main" id="{DEB07D84-5F02-4137-88ED-A8A5E1518585}"/>
            </a:ext>
          </a:extLst>
        </xdr:cNvPr>
        <xdr:cNvSpPr>
          <a:spLocks noChangeArrowheads="1"/>
        </xdr:cNvSpPr>
      </xdr:nvSpPr>
      <xdr:spPr bwMode="auto">
        <a:xfrm>
          <a:off x="11343570" y="24577998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135</xdr:row>
      <xdr:rowOff>152337</xdr:rowOff>
    </xdr:from>
    <xdr:to>
      <xdr:col>2</xdr:col>
      <xdr:colOff>170281</xdr:colOff>
      <xdr:row>136</xdr:row>
      <xdr:rowOff>75957</xdr:rowOff>
    </xdr:to>
    <xdr:sp macro="" textlink="">
      <xdr:nvSpPr>
        <xdr:cNvPr id="324" name="Freeform 10708">
          <a:extLst>
            <a:ext uri="{FF2B5EF4-FFF2-40B4-BE49-F238E27FC236}">
              <a16:creationId xmlns:a16="http://schemas.microsoft.com/office/drawing/2014/main" id="{47296BD5-D792-4B80-B716-086DDDEBE622}"/>
            </a:ext>
          </a:extLst>
        </xdr:cNvPr>
        <xdr:cNvSpPr>
          <a:spLocks/>
        </xdr:cNvSpPr>
      </xdr:nvSpPr>
      <xdr:spPr bwMode="auto">
        <a:xfrm>
          <a:off x="0" y="24587137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363941</xdr:colOff>
      <xdr:row>146</xdr:row>
      <xdr:rowOff>161552</xdr:rowOff>
    </xdr:from>
    <xdr:to>
      <xdr:col>7</xdr:col>
      <xdr:colOff>13868</xdr:colOff>
      <xdr:row>149</xdr:row>
      <xdr:rowOff>566</xdr:rowOff>
    </xdr:to>
    <xdr:sp macro="" textlink="">
      <xdr:nvSpPr>
        <xdr:cNvPr id="325" name="3">
          <a:extLst>
            <a:ext uri="{FF2B5EF4-FFF2-40B4-BE49-F238E27FC236}">
              <a16:creationId xmlns:a16="http://schemas.microsoft.com/office/drawing/2014/main" id="{5FFCFE18-E275-4978-A978-519D4DEFEB70}"/>
            </a:ext>
          </a:extLst>
        </xdr:cNvPr>
        <xdr:cNvSpPr>
          <a:spLocks noChangeArrowheads="1"/>
        </xdr:cNvSpPr>
      </xdr:nvSpPr>
      <xdr:spPr bwMode="auto">
        <a:xfrm>
          <a:off x="2040341" y="26558502"/>
          <a:ext cx="411927" cy="397814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146</xdr:row>
      <xdr:rowOff>178856</xdr:rowOff>
    </xdr:from>
    <xdr:to>
      <xdr:col>5</xdr:col>
      <xdr:colOff>10458</xdr:colOff>
      <xdr:row>148</xdr:row>
      <xdr:rowOff>183168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532DD4E5-314C-49EE-ACB8-1AB734F2E678}"/>
            </a:ext>
          </a:extLst>
        </xdr:cNvPr>
        <xdr:cNvSpPr>
          <a:spLocks noChangeArrowheads="1"/>
        </xdr:cNvSpPr>
      </xdr:nvSpPr>
      <xdr:spPr bwMode="auto">
        <a:xfrm>
          <a:off x="1284651" y="26575806"/>
          <a:ext cx="402207" cy="37261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206708</xdr:colOff>
      <xdr:row>146</xdr:row>
      <xdr:rowOff>176698</xdr:rowOff>
    </xdr:from>
    <xdr:to>
      <xdr:col>4</xdr:col>
      <xdr:colOff>206708</xdr:colOff>
      <xdr:row>147</xdr:row>
      <xdr:rowOff>88412</xdr:rowOff>
    </xdr:to>
    <xdr:sp macro="" textlink="">
      <xdr:nvSpPr>
        <xdr:cNvPr id="327" name="Freeform 10708">
          <a:extLst>
            <a:ext uri="{FF2B5EF4-FFF2-40B4-BE49-F238E27FC236}">
              <a16:creationId xmlns:a16="http://schemas.microsoft.com/office/drawing/2014/main" id="{14E98CB3-719D-498D-8F7C-A3EF56717AE1}"/>
            </a:ext>
          </a:extLst>
        </xdr:cNvPr>
        <xdr:cNvSpPr>
          <a:spLocks/>
        </xdr:cNvSpPr>
      </xdr:nvSpPr>
      <xdr:spPr bwMode="auto">
        <a:xfrm>
          <a:off x="714708" y="26573648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146</xdr:row>
      <xdr:rowOff>178230</xdr:rowOff>
    </xdr:from>
    <xdr:to>
      <xdr:col>3</xdr:col>
      <xdr:colOff>9067</xdr:colOff>
      <xdr:row>148</xdr:row>
      <xdr:rowOff>181986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EA9F9850-DCAE-4F1A-8557-C350A557F3A9}"/>
            </a:ext>
          </a:extLst>
        </xdr:cNvPr>
        <xdr:cNvSpPr>
          <a:spLocks noChangeArrowheads="1"/>
        </xdr:cNvSpPr>
      </xdr:nvSpPr>
      <xdr:spPr bwMode="auto">
        <a:xfrm>
          <a:off x="514911" y="26575180"/>
          <a:ext cx="402206" cy="37205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208866</xdr:colOff>
      <xdr:row>146</xdr:row>
      <xdr:rowOff>176699</xdr:rowOff>
    </xdr:from>
    <xdr:to>
      <xdr:col>6</xdr:col>
      <xdr:colOff>208866</xdr:colOff>
      <xdr:row>147</xdr:row>
      <xdr:rowOff>88413</xdr:rowOff>
    </xdr:to>
    <xdr:sp macro="" textlink="">
      <xdr:nvSpPr>
        <xdr:cNvPr id="329" name="Freeform 10708">
          <a:extLst>
            <a:ext uri="{FF2B5EF4-FFF2-40B4-BE49-F238E27FC236}">
              <a16:creationId xmlns:a16="http://schemas.microsoft.com/office/drawing/2014/main" id="{3FDE09A8-808A-4F9D-B41C-44F4CB2D81E6}"/>
            </a:ext>
          </a:extLst>
        </xdr:cNvPr>
        <xdr:cNvSpPr>
          <a:spLocks/>
        </xdr:cNvSpPr>
      </xdr:nvSpPr>
      <xdr:spPr bwMode="auto">
        <a:xfrm>
          <a:off x="1485216" y="26573649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362077</xdr:colOff>
      <xdr:row>146</xdr:row>
      <xdr:rowOff>151695</xdr:rowOff>
    </xdr:from>
    <xdr:to>
      <xdr:col>11</xdr:col>
      <xdr:colOff>10135</xdr:colOff>
      <xdr:row>148</xdr:row>
      <xdr:rowOff>178365</xdr:rowOff>
    </xdr:to>
    <xdr:sp macro="" textlink="">
      <xdr:nvSpPr>
        <xdr:cNvPr id="330" name="3">
          <a:extLst>
            <a:ext uri="{FF2B5EF4-FFF2-40B4-BE49-F238E27FC236}">
              <a16:creationId xmlns:a16="http://schemas.microsoft.com/office/drawing/2014/main" id="{9D820CC4-2D83-4B11-8B72-11C6E703B8F6}"/>
            </a:ext>
          </a:extLst>
        </xdr:cNvPr>
        <xdr:cNvSpPr>
          <a:spLocks noChangeArrowheads="1"/>
        </xdr:cNvSpPr>
      </xdr:nvSpPr>
      <xdr:spPr bwMode="auto">
        <a:xfrm>
          <a:off x="3587877" y="26548645"/>
          <a:ext cx="40370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3710</xdr:colOff>
      <xdr:row>146</xdr:row>
      <xdr:rowOff>170657</xdr:rowOff>
    </xdr:from>
    <xdr:to>
      <xdr:col>9</xdr:col>
      <xdr:colOff>8117</xdr:colOff>
      <xdr:row>148</xdr:row>
      <xdr:rowOff>176094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B39EF62-CBD1-4B95-99F6-FBB45766936B}"/>
            </a:ext>
          </a:extLst>
        </xdr:cNvPr>
        <xdr:cNvSpPr>
          <a:spLocks noChangeArrowheads="1"/>
        </xdr:cNvSpPr>
      </xdr:nvSpPr>
      <xdr:spPr bwMode="auto">
        <a:xfrm>
          <a:off x="2829460" y="26567607"/>
          <a:ext cx="404457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179897</xdr:colOff>
      <xdr:row>146</xdr:row>
      <xdr:rowOff>165717</xdr:rowOff>
    </xdr:from>
    <xdr:to>
      <xdr:col>12</xdr:col>
      <xdr:colOff>268840</xdr:colOff>
      <xdr:row>147</xdr:row>
      <xdr:rowOff>90462</xdr:rowOff>
    </xdr:to>
    <xdr:sp macro="" textlink="">
      <xdr:nvSpPr>
        <xdr:cNvPr id="332" name="Freeform 10708">
          <a:extLst>
            <a:ext uri="{FF2B5EF4-FFF2-40B4-BE49-F238E27FC236}">
              <a16:creationId xmlns:a16="http://schemas.microsoft.com/office/drawing/2014/main" id="{C69C4020-D1B3-4221-8A7F-7302FB1ADDAA}"/>
            </a:ext>
          </a:extLst>
        </xdr:cNvPr>
        <xdr:cNvSpPr>
          <a:spLocks/>
        </xdr:cNvSpPr>
      </xdr:nvSpPr>
      <xdr:spPr bwMode="auto">
        <a:xfrm>
          <a:off x="3773997" y="26562667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194366</xdr:colOff>
      <xdr:row>146</xdr:row>
      <xdr:rowOff>165717</xdr:rowOff>
    </xdr:from>
    <xdr:to>
      <xdr:col>10</xdr:col>
      <xdr:colOff>201867</xdr:colOff>
      <xdr:row>147</xdr:row>
      <xdr:rowOff>78556</xdr:rowOff>
    </xdr:to>
    <xdr:sp macro="" textlink="">
      <xdr:nvSpPr>
        <xdr:cNvPr id="333" name="Freeform 10708">
          <a:extLst>
            <a:ext uri="{FF2B5EF4-FFF2-40B4-BE49-F238E27FC236}">
              <a16:creationId xmlns:a16="http://schemas.microsoft.com/office/drawing/2014/main" id="{C57B28A7-9590-4CBD-BDAA-1811C875EB92}"/>
            </a:ext>
          </a:extLst>
        </xdr:cNvPr>
        <xdr:cNvSpPr>
          <a:spLocks/>
        </xdr:cNvSpPr>
      </xdr:nvSpPr>
      <xdr:spPr bwMode="auto">
        <a:xfrm>
          <a:off x="3020116" y="26562667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295353</xdr:colOff>
      <xdr:row>146</xdr:row>
      <xdr:rowOff>154049</xdr:rowOff>
    </xdr:from>
    <xdr:to>
      <xdr:col>15</xdr:col>
      <xdr:colOff>13956</xdr:colOff>
      <xdr:row>149</xdr:row>
      <xdr:rowOff>20934</xdr:rowOff>
    </xdr:to>
    <xdr:sp macro="" textlink="">
      <xdr:nvSpPr>
        <xdr:cNvPr id="334" name="3">
          <a:extLst>
            <a:ext uri="{FF2B5EF4-FFF2-40B4-BE49-F238E27FC236}">
              <a16:creationId xmlns:a16="http://schemas.microsoft.com/office/drawing/2014/main" id="{0DDA8E5C-5D8B-4321-9C67-6BD59E6E6460}"/>
            </a:ext>
          </a:extLst>
        </xdr:cNvPr>
        <xdr:cNvSpPr>
          <a:spLocks noChangeArrowheads="1"/>
        </xdr:cNvSpPr>
      </xdr:nvSpPr>
      <xdr:spPr bwMode="auto">
        <a:xfrm>
          <a:off x="5013403" y="26550999"/>
          <a:ext cx="417103" cy="42568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9803</xdr:colOff>
      <xdr:row>146</xdr:row>
      <xdr:rowOff>170228</xdr:rowOff>
    </xdr:from>
    <xdr:to>
      <xdr:col>13</xdr:col>
      <xdr:colOff>9335</xdr:colOff>
      <xdr:row>148</xdr:row>
      <xdr:rowOff>175665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034DEE60-4D1A-421E-8863-C57568995475}"/>
            </a:ext>
          </a:extLst>
        </xdr:cNvPr>
        <xdr:cNvSpPr>
          <a:spLocks noChangeArrowheads="1"/>
        </xdr:cNvSpPr>
      </xdr:nvSpPr>
      <xdr:spPr bwMode="auto">
        <a:xfrm>
          <a:off x="4340503" y="26567178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206993</xdr:colOff>
      <xdr:row>146</xdr:row>
      <xdr:rowOff>168071</xdr:rowOff>
    </xdr:from>
    <xdr:to>
      <xdr:col>14</xdr:col>
      <xdr:colOff>199491</xdr:colOff>
      <xdr:row>147</xdr:row>
      <xdr:rowOff>80910</xdr:rowOff>
    </xdr:to>
    <xdr:sp macro="" textlink="">
      <xdr:nvSpPr>
        <xdr:cNvPr id="336" name="Freeform 10708">
          <a:extLst>
            <a:ext uri="{FF2B5EF4-FFF2-40B4-BE49-F238E27FC236}">
              <a16:creationId xmlns:a16="http://schemas.microsoft.com/office/drawing/2014/main" id="{4E0978A2-DA3A-4030-8596-6A6039964DAC}"/>
            </a:ext>
          </a:extLst>
        </xdr:cNvPr>
        <xdr:cNvSpPr>
          <a:spLocks/>
        </xdr:cNvSpPr>
      </xdr:nvSpPr>
      <xdr:spPr bwMode="auto">
        <a:xfrm>
          <a:off x="4537693" y="26565021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4268</xdr:colOff>
      <xdr:row>146</xdr:row>
      <xdr:rowOff>152541</xdr:rowOff>
    </xdr:from>
    <xdr:to>
      <xdr:col>21</xdr:col>
      <xdr:colOff>14636</xdr:colOff>
      <xdr:row>148</xdr:row>
      <xdr:rowOff>179211</xdr:rowOff>
    </xdr:to>
    <xdr:sp macro="" textlink="">
      <xdr:nvSpPr>
        <xdr:cNvPr id="337" name="3">
          <a:extLst>
            <a:ext uri="{FF2B5EF4-FFF2-40B4-BE49-F238E27FC236}">
              <a16:creationId xmlns:a16="http://schemas.microsoft.com/office/drawing/2014/main" id="{B73A5149-6AEE-441E-9063-D75B620E7D56}"/>
            </a:ext>
          </a:extLst>
        </xdr:cNvPr>
        <xdr:cNvSpPr>
          <a:spLocks noChangeArrowheads="1"/>
        </xdr:cNvSpPr>
      </xdr:nvSpPr>
      <xdr:spPr bwMode="auto">
        <a:xfrm>
          <a:off x="7395668" y="26549491"/>
          <a:ext cx="41676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368012</xdr:colOff>
      <xdr:row>146</xdr:row>
      <xdr:rowOff>171503</xdr:rowOff>
    </xdr:from>
    <xdr:to>
      <xdr:col>19</xdr:col>
      <xdr:colOff>9571</xdr:colOff>
      <xdr:row>148</xdr:row>
      <xdr:rowOff>176940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2238ECEC-08E4-4239-B926-61D7185A0893}"/>
            </a:ext>
          </a:extLst>
        </xdr:cNvPr>
        <xdr:cNvSpPr>
          <a:spLocks noChangeArrowheads="1"/>
        </xdr:cNvSpPr>
      </xdr:nvSpPr>
      <xdr:spPr bwMode="auto">
        <a:xfrm>
          <a:off x="6584662" y="26568453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192419</xdr:colOff>
      <xdr:row>146</xdr:row>
      <xdr:rowOff>173638</xdr:rowOff>
    </xdr:from>
    <xdr:to>
      <xdr:col>22</xdr:col>
      <xdr:colOff>197527</xdr:colOff>
      <xdr:row>147</xdr:row>
      <xdr:rowOff>91307</xdr:rowOff>
    </xdr:to>
    <xdr:sp macro="" textlink="">
      <xdr:nvSpPr>
        <xdr:cNvPr id="339" name="Freeform 10708">
          <a:extLst>
            <a:ext uri="{FF2B5EF4-FFF2-40B4-BE49-F238E27FC236}">
              <a16:creationId xmlns:a16="http://schemas.microsoft.com/office/drawing/2014/main" id="{699BDCAB-5FEF-47E3-8992-A3ACF0E4205E}"/>
            </a:ext>
          </a:extLst>
        </xdr:cNvPr>
        <xdr:cNvSpPr>
          <a:spLocks/>
        </xdr:cNvSpPr>
      </xdr:nvSpPr>
      <xdr:spPr bwMode="auto">
        <a:xfrm>
          <a:off x="7583819" y="26570588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203259</xdr:colOff>
      <xdr:row>146</xdr:row>
      <xdr:rowOff>177971</xdr:rowOff>
    </xdr:from>
    <xdr:to>
      <xdr:col>20</xdr:col>
      <xdr:colOff>203258</xdr:colOff>
      <xdr:row>147</xdr:row>
      <xdr:rowOff>90532</xdr:rowOff>
    </xdr:to>
    <xdr:sp macro="" textlink="">
      <xdr:nvSpPr>
        <xdr:cNvPr id="340" name="Freeform 10708">
          <a:extLst>
            <a:ext uri="{FF2B5EF4-FFF2-40B4-BE49-F238E27FC236}">
              <a16:creationId xmlns:a16="http://schemas.microsoft.com/office/drawing/2014/main" id="{B8EF9332-348D-4019-ABE8-DFBB7448A320}"/>
            </a:ext>
          </a:extLst>
        </xdr:cNvPr>
        <xdr:cNvSpPr>
          <a:spLocks/>
        </xdr:cNvSpPr>
      </xdr:nvSpPr>
      <xdr:spPr bwMode="auto">
        <a:xfrm>
          <a:off x="6826309" y="26574921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1424</xdr:colOff>
      <xdr:row>146</xdr:row>
      <xdr:rowOff>155325</xdr:rowOff>
    </xdr:from>
    <xdr:to>
      <xdr:col>25</xdr:col>
      <xdr:colOff>20417</xdr:colOff>
      <xdr:row>148</xdr:row>
      <xdr:rowOff>181995</xdr:rowOff>
    </xdr:to>
    <xdr:sp macro="" textlink="">
      <xdr:nvSpPr>
        <xdr:cNvPr id="341" name="3">
          <a:extLst>
            <a:ext uri="{FF2B5EF4-FFF2-40B4-BE49-F238E27FC236}">
              <a16:creationId xmlns:a16="http://schemas.microsoft.com/office/drawing/2014/main" id="{CF2F187F-02A3-472D-9225-7E987CC0EE10}"/>
            </a:ext>
          </a:extLst>
        </xdr:cNvPr>
        <xdr:cNvSpPr>
          <a:spLocks noChangeArrowheads="1"/>
        </xdr:cNvSpPr>
      </xdr:nvSpPr>
      <xdr:spPr bwMode="auto">
        <a:xfrm>
          <a:off x="8954924" y="26552275"/>
          <a:ext cx="419043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9395</xdr:colOff>
      <xdr:row>146</xdr:row>
      <xdr:rowOff>174287</xdr:rowOff>
    </xdr:from>
    <xdr:to>
      <xdr:col>23</xdr:col>
      <xdr:colOff>9568</xdr:colOff>
      <xdr:row>148</xdr:row>
      <xdr:rowOff>179724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DFB67A7-EFC4-4C04-9B88-D2D001246FD4}"/>
            </a:ext>
          </a:extLst>
        </xdr:cNvPr>
        <xdr:cNvSpPr>
          <a:spLocks noChangeArrowheads="1"/>
        </xdr:cNvSpPr>
      </xdr:nvSpPr>
      <xdr:spPr bwMode="auto">
        <a:xfrm>
          <a:off x="8175495" y="26571237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187397</xdr:colOff>
      <xdr:row>146</xdr:row>
      <xdr:rowOff>168072</xdr:rowOff>
    </xdr:from>
    <xdr:to>
      <xdr:col>26</xdr:col>
      <xdr:colOff>200310</xdr:colOff>
      <xdr:row>147</xdr:row>
      <xdr:rowOff>82960</xdr:rowOff>
    </xdr:to>
    <xdr:sp macro="" textlink="">
      <xdr:nvSpPr>
        <xdr:cNvPr id="343" name="Freeform 10708">
          <a:extLst>
            <a:ext uri="{FF2B5EF4-FFF2-40B4-BE49-F238E27FC236}">
              <a16:creationId xmlns:a16="http://schemas.microsoft.com/office/drawing/2014/main" id="{6273B4CA-A3FC-426C-8966-24D40CD4D419}"/>
            </a:ext>
          </a:extLst>
        </xdr:cNvPr>
        <xdr:cNvSpPr>
          <a:spLocks/>
        </xdr:cNvSpPr>
      </xdr:nvSpPr>
      <xdr:spPr bwMode="auto">
        <a:xfrm>
          <a:off x="9140897" y="26565022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206586</xdr:colOff>
      <xdr:row>146</xdr:row>
      <xdr:rowOff>165290</xdr:rowOff>
    </xdr:from>
    <xdr:to>
      <xdr:col>24</xdr:col>
      <xdr:colOff>186396</xdr:colOff>
      <xdr:row>147</xdr:row>
      <xdr:rowOff>87751</xdr:rowOff>
    </xdr:to>
    <xdr:sp macro="" textlink="">
      <xdr:nvSpPr>
        <xdr:cNvPr id="344" name="Freeform 10708">
          <a:extLst>
            <a:ext uri="{FF2B5EF4-FFF2-40B4-BE49-F238E27FC236}">
              <a16:creationId xmlns:a16="http://schemas.microsoft.com/office/drawing/2014/main" id="{8D418B8B-7ECC-42D0-8885-62241A96C463}"/>
            </a:ext>
          </a:extLst>
        </xdr:cNvPr>
        <xdr:cNvSpPr>
          <a:spLocks/>
        </xdr:cNvSpPr>
      </xdr:nvSpPr>
      <xdr:spPr bwMode="auto">
        <a:xfrm>
          <a:off x="8372686" y="26562240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2153</xdr:colOff>
      <xdr:row>146</xdr:row>
      <xdr:rowOff>152134</xdr:rowOff>
    </xdr:from>
    <xdr:to>
      <xdr:col>29</xdr:col>
      <xdr:colOff>15897</xdr:colOff>
      <xdr:row>148</xdr:row>
      <xdr:rowOff>178804</xdr:rowOff>
    </xdr:to>
    <xdr:sp macro="" textlink="">
      <xdr:nvSpPr>
        <xdr:cNvPr id="345" name="3">
          <a:extLst>
            <a:ext uri="{FF2B5EF4-FFF2-40B4-BE49-F238E27FC236}">
              <a16:creationId xmlns:a16="http://schemas.microsoft.com/office/drawing/2014/main" id="{6C80ABC6-0921-46D5-A9E4-BADF5AB4FB92}"/>
            </a:ext>
          </a:extLst>
        </xdr:cNvPr>
        <xdr:cNvSpPr>
          <a:spLocks noChangeArrowheads="1"/>
        </xdr:cNvSpPr>
      </xdr:nvSpPr>
      <xdr:spPr bwMode="auto">
        <a:xfrm>
          <a:off x="10568553" y="26549084"/>
          <a:ext cx="41379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6459</xdr:colOff>
      <xdr:row>146</xdr:row>
      <xdr:rowOff>179722</xdr:rowOff>
    </xdr:from>
    <xdr:to>
      <xdr:col>27</xdr:col>
      <xdr:colOff>9367</xdr:colOff>
      <xdr:row>148</xdr:row>
      <xdr:rowOff>185437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A38B1BE7-601B-4C24-9FC8-A402404D935A}"/>
            </a:ext>
          </a:extLst>
        </xdr:cNvPr>
        <xdr:cNvSpPr>
          <a:spLocks noChangeArrowheads="1"/>
        </xdr:cNvSpPr>
      </xdr:nvSpPr>
      <xdr:spPr bwMode="auto">
        <a:xfrm>
          <a:off x="9766409" y="26576672"/>
          <a:ext cx="402958" cy="3740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214223</xdr:colOff>
      <xdr:row>146</xdr:row>
      <xdr:rowOff>165290</xdr:rowOff>
    </xdr:from>
    <xdr:to>
      <xdr:col>30</xdr:col>
      <xdr:colOff>206245</xdr:colOff>
      <xdr:row>147</xdr:row>
      <xdr:rowOff>85335</xdr:rowOff>
    </xdr:to>
    <xdr:sp macro="" textlink="">
      <xdr:nvSpPr>
        <xdr:cNvPr id="347" name="Freeform 10708">
          <a:extLst>
            <a:ext uri="{FF2B5EF4-FFF2-40B4-BE49-F238E27FC236}">
              <a16:creationId xmlns:a16="http://schemas.microsoft.com/office/drawing/2014/main" id="{2EBC4538-286E-4E18-8989-B38CB0DA1B20}"/>
            </a:ext>
          </a:extLst>
        </xdr:cNvPr>
        <xdr:cNvSpPr>
          <a:spLocks/>
        </xdr:cNvSpPr>
      </xdr:nvSpPr>
      <xdr:spPr bwMode="auto">
        <a:xfrm>
          <a:off x="10780623" y="26562240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20923</xdr:colOff>
      <xdr:row>146</xdr:row>
      <xdr:rowOff>148945</xdr:rowOff>
    </xdr:from>
    <xdr:to>
      <xdr:col>31</xdr:col>
      <xdr:colOff>12054</xdr:colOff>
      <xdr:row>148</xdr:row>
      <xdr:rowOff>175615</xdr:rowOff>
    </xdr:to>
    <xdr:sp macro="" textlink="">
      <xdr:nvSpPr>
        <xdr:cNvPr id="348" name="3">
          <a:extLst>
            <a:ext uri="{FF2B5EF4-FFF2-40B4-BE49-F238E27FC236}">
              <a16:creationId xmlns:a16="http://schemas.microsoft.com/office/drawing/2014/main" id="{B925D919-1D2F-445A-917E-1E612E395D0B}"/>
            </a:ext>
          </a:extLst>
        </xdr:cNvPr>
        <xdr:cNvSpPr>
          <a:spLocks noChangeArrowheads="1"/>
        </xdr:cNvSpPr>
      </xdr:nvSpPr>
      <xdr:spPr bwMode="auto">
        <a:xfrm>
          <a:off x="11349323" y="26545895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5753</xdr:colOff>
      <xdr:row>146</xdr:row>
      <xdr:rowOff>158084</xdr:rowOff>
    </xdr:from>
    <xdr:to>
      <xdr:col>2</xdr:col>
      <xdr:colOff>176034</xdr:colOff>
      <xdr:row>147</xdr:row>
      <xdr:rowOff>81704</xdr:rowOff>
    </xdr:to>
    <xdr:sp macro="" textlink="">
      <xdr:nvSpPr>
        <xdr:cNvPr id="349" name="Freeform 10708">
          <a:extLst>
            <a:ext uri="{FF2B5EF4-FFF2-40B4-BE49-F238E27FC236}">
              <a16:creationId xmlns:a16="http://schemas.microsoft.com/office/drawing/2014/main" id="{9DB20E67-0D11-41C5-9E20-B9B967A19E8A}"/>
            </a:ext>
          </a:extLst>
        </xdr:cNvPr>
        <xdr:cNvSpPr>
          <a:spLocks/>
        </xdr:cNvSpPr>
      </xdr:nvSpPr>
      <xdr:spPr bwMode="auto">
        <a:xfrm>
          <a:off x="5753" y="26555034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157</xdr:row>
      <xdr:rowOff>161556</xdr:rowOff>
    </xdr:from>
    <xdr:to>
      <xdr:col>7</xdr:col>
      <xdr:colOff>8115</xdr:colOff>
      <xdr:row>160</xdr:row>
      <xdr:rowOff>571</xdr:rowOff>
    </xdr:to>
    <xdr:sp macro="" textlink="">
      <xdr:nvSpPr>
        <xdr:cNvPr id="350" name="3">
          <a:extLst>
            <a:ext uri="{FF2B5EF4-FFF2-40B4-BE49-F238E27FC236}">
              <a16:creationId xmlns:a16="http://schemas.microsoft.com/office/drawing/2014/main" id="{EF211986-69F5-4527-9343-30D078D8DF2D}"/>
            </a:ext>
          </a:extLst>
        </xdr:cNvPr>
        <xdr:cNvSpPr>
          <a:spLocks noChangeArrowheads="1"/>
        </xdr:cNvSpPr>
      </xdr:nvSpPr>
      <xdr:spPr bwMode="auto">
        <a:xfrm>
          <a:off x="2036940" y="28552406"/>
          <a:ext cx="409575" cy="3978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157</xdr:row>
      <xdr:rowOff>178860</xdr:rowOff>
    </xdr:from>
    <xdr:to>
      <xdr:col>5</xdr:col>
      <xdr:colOff>4705</xdr:colOff>
      <xdr:row>159</xdr:row>
      <xdr:rowOff>183173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54199BA3-78A9-4A58-B343-334200951918}"/>
            </a:ext>
          </a:extLst>
        </xdr:cNvPr>
        <xdr:cNvSpPr>
          <a:spLocks noChangeArrowheads="1"/>
        </xdr:cNvSpPr>
      </xdr:nvSpPr>
      <xdr:spPr bwMode="auto">
        <a:xfrm>
          <a:off x="1278898" y="28569710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200955</xdr:colOff>
      <xdr:row>157</xdr:row>
      <xdr:rowOff>176702</xdr:rowOff>
    </xdr:from>
    <xdr:to>
      <xdr:col>4</xdr:col>
      <xdr:colOff>200955</xdr:colOff>
      <xdr:row>158</xdr:row>
      <xdr:rowOff>88416</xdr:rowOff>
    </xdr:to>
    <xdr:sp macro="" textlink="">
      <xdr:nvSpPr>
        <xdr:cNvPr id="352" name="Freeform 10708">
          <a:extLst>
            <a:ext uri="{FF2B5EF4-FFF2-40B4-BE49-F238E27FC236}">
              <a16:creationId xmlns:a16="http://schemas.microsoft.com/office/drawing/2014/main" id="{4B8CC595-EE00-487D-BB4B-FA749076B787}"/>
            </a:ext>
          </a:extLst>
        </xdr:cNvPr>
        <xdr:cNvSpPr>
          <a:spLocks/>
        </xdr:cNvSpPr>
      </xdr:nvSpPr>
      <xdr:spPr bwMode="auto">
        <a:xfrm>
          <a:off x="708955" y="28567552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157</xdr:row>
      <xdr:rowOff>176703</xdr:rowOff>
    </xdr:from>
    <xdr:to>
      <xdr:col>8</xdr:col>
      <xdr:colOff>202575</xdr:colOff>
      <xdr:row>158</xdr:row>
      <xdr:rowOff>100323</xdr:rowOff>
    </xdr:to>
    <xdr:sp macro="" textlink="">
      <xdr:nvSpPr>
        <xdr:cNvPr id="353" name="Freeform 10708">
          <a:extLst>
            <a:ext uri="{FF2B5EF4-FFF2-40B4-BE49-F238E27FC236}">
              <a16:creationId xmlns:a16="http://schemas.microsoft.com/office/drawing/2014/main" id="{19E3F80A-628F-42E8-AF3E-B4E78D03861C}"/>
            </a:ext>
          </a:extLst>
        </xdr:cNvPr>
        <xdr:cNvSpPr>
          <a:spLocks/>
        </xdr:cNvSpPr>
      </xdr:nvSpPr>
      <xdr:spPr bwMode="auto">
        <a:xfrm>
          <a:off x="2238543" y="28567553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157</xdr:row>
      <xdr:rowOff>178234</xdr:rowOff>
    </xdr:from>
    <xdr:to>
      <xdr:col>3</xdr:col>
      <xdr:colOff>3314</xdr:colOff>
      <xdr:row>159</xdr:row>
      <xdr:rowOff>181991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DBEC4593-2EC2-42F6-B6B4-D40A3515B160}"/>
            </a:ext>
          </a:extLst>
        </xdr:cNvPr>
        <xdr:cNvSpPr>
          <a:spLocks noChangeArrowheads="1"/>
        </xdr:cNvSpPr>
      </xdr:nvSpPr>
      <xdr:spPr bwMode="auto">
        <a:xfrm>
          <a:off x="509158" y="28569084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157</xdr:row>
      <xdr:rowOff>176703</xdr:rowOff>
    </xdr:from>
    <xdr:to>
      <xdr:col>6</xdr:col>
      <xdr:colOff>203113</xdr:colOff>
      <xdr:row>158</xdr:row>
      <xdr:rowOff>88417</xdr:rowOff>
    </xdr:to>
    <xdr:sp macro="" textlink="">
      <xdr:nvSpPr>
        <xdr:cNvPr id="355" name="Freeform 10708">
          <a:extLst>
            <a:ext uri="{FF2B5EF4-FFF2-40B4-BE49-F238E27FC236}">
              <a16:creationId xmlns:a16="http://schemas.microsoft.com/office/drawing/2014/main" id="{18E2436F-AC8F-4590-8EBA-E6AA0DAA7420}"/>
            </a:ext>
          </a:extLst>
        </xdr:cNvPr>
        <xdr:cNvSpPr>
          <a:spLocks/>
        </xdr:cNvSpPr>
      </xdr:nvSpPr>
      <xdr:spPr bwMode="auto">
        <a:xfrm>
          <a:off x="1479463" y="28567553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347698</xdr:colOff>
      <xdr:row>157</xdr:row>
      <xdr:rowOff>151699</xdr:rowOff>
    </xdr:from>
    <xdr:to>
      <xdr:col>10</xdr:col>
      <xdr:colOff>383944</xdr:colOff>
      <xdr:row>159</xdr:row>
      <xdr:rowOff>178370</xdr:rowOff>
    </xdr:to>
    <xdr:sp macro="" textlink="">
      <xdr:nvSpPr>
        <xdr:cNvPr id="356" name="3">
          <a:extLst>
            <a:ext uri="{FF2B5EF4-FFF2-40B4-BE49-F238E27FC236}">
              <a16:creationId xmlns:a16="http://schemas.microsoft.com/office/drawing/2014/main" id="{E693AA73-F5C7-4B9C-B809-799E13F38A3D}"/>
            </a:ext>
          </a:extLst>
        </xdr:cNvPr>
        <xdr:cNvSpPr>
          <a:spLocks noChangeArrowheads="1"/>
        </xdr:cNvSpPr>
      </xdr:nvSpPr>
      <xdr:spPr bwMode="auto">
        <a:xfrm>
          <a:off x="3573498" y="28542549"/>
          <a:ext cx="404546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429278</xdr:colOff>
      <xdr:row>157</xdr:row>
      <xdr:rowOff>170661</xdr:rowOff>
    </xdr:from>
    <xdr:to>
      <xdr:col>9</xdr:col>
      <xdr:colOff>2364</xdr:colOff>
      <xdr:row>159</xdr:row>
      <xdr:rowOff>176099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E870DD-CB45-4B62-A07E-3A5F28C7688F}"/>
            </a:ext>
          </a:extLst>
        </xdr:cNvPr>
        <xdr:cNvSpPr>
          <a:spLocks noChangeArrowheads="1"/>
        </xdr:cNvSpPr>
      </xdr:nvSpPr>
      <xdr:spPr bwMode="auto">
        <a:xfrm>
          <a:off x="2823228" y="28561511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157</xdr:row>
      <xdr:rowOff>165721</xdr:rowOff>
    </xdr:from>
    <xdr:to>
      <xdr:col>12</xdr:col>
      <xdr:colOff>263087</xdr:colOff>
      <xdr:row>158</xdr:row>
      <xdr:rowOff>90466</xdr:rowOff>
    </xdr:to>
    <xdr:sp macro="" textlink="">
      <xdr:nvSpPr>
        <xdr:cNvPr id="358" name="Freeform 10708">
          <a:extLst>
            <a:ext uri="{FF2B5EF4-FFF2-40B4-BE49-F238E27FC236}">
              <a16:creationId xmlns:a16="http://schemas.microsoft.com/office/drawing/2014/main" id="{6A43764F-8A81-485F-B4A5-83F437CEB8D8}"/>
            </a:ext>
          </a:extLst>
        </xdr:cNvPr>
        <xdr:cNvSpPr>
          <a:spLocks/>
        </xdr:cNvSpPr>
      </xdr:nvSpPr>
      <xdr:spPr bwMode="auto">
        <a:xfrm>
          <a:off x="3768244" y="28556571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157</xdr:row>
      <xdr:rowOff>165721</xdr:rowOff>
    </xdr:from>
    <xdr:to>
      <xdr:col>10</xdr:col>
      <xdr:colOff>196114</xdr:colOff>
      <xdr:row>158</xdr:row>
      <xdr:rowOff>78560</xdr:rowOff>
    </xdr:to>
    <xdr:sp macro="" textlink="">
      <xdr:nvSpPr>
        <xdr:cNvPr id="359" name="Freeform 10708">
          <a:extLst>
            <a:ext uri="{FF2B5EF4-FFF2-40B4-BE49-F238E27FC236}">
              <a16:creationId xmlns:a16="http://schemas.microsoft.com/office/drawing/2014/main" id="{219848C8-260E-4F94-8CB9-3E5CC0C4F303}"/>
            </a:ext>
          </a:extLst>
        </xdr:cNvPr>
        <xdr:cNvSpPr>
          <a:spLocks/>
        </xdr:cNvSpPr>
      </xdr:nvSpPr>
      <xdr:spPr bwMode="auto">
        <a:xfrm>
          <a:off x="3014363" y="28556571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157</xdr:row>
      <xdr:rowOff>154053</xdr:rowOff>
    </xdr:from>
    <xdr:to>
      <xdr:col>14</xdr:col>
      <xdr:colOff>383792</xdr:colOff>
      <xdr:row>160</xdr:row>
      <xdr:rowOff>6978</xdr:rowOff>
    </xdr:to>
    <xdr:sp macro="" textlink="">
      <xdr:nvSpPr>
        <xdr:cNvPr id="360" name="3">
          <a:extLst>
            <a:ext uri="{FF2B5EF4-FFF2-40B4-BE49-F238E27FC236}">
              <a16:creationId xmlns:a16="http://schemas.microsoft.com/office/drawing/2014/main" id="{045FBEBD-7119-4819-9AAA-347AB1593FB6}"/>
            </a:ext>
          </a:extLst>
        </xdr:cNvPr>
        <xdr:cNvSpPr>
          <a:spLocks noChangeArrowheads="1"/>
        </xdr:cNvSpPr>
      </xdr:nvSpPr>
      <xdr:spPr bwMode="auto">
        <a:xfrm>
          <a:off x="5014001" y="28544903"/>
          <a:ext cx="386291" cy="4117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4050</xdr:colOff>
      <xdr:row>157</xdr:row>
      <xdr:rowOff>170232</xdr:rowOff>
    </xdr:from>
    <xdr:to>
      <xdr:col>13</xdr:col>
      <xdr:colOff>3582</xdr:colOff>
      <xdr:row>159</xdr:row>
      <xdr:rowOff>175670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060D99C0-3986-417C-9273-C0E57BBF4EDD}"/>
            </a:ext>
          </a:extLst>
        </xdr:cNvPr>
        <xdr:cNvSpPr>
          <a:spLocks noChangeArrowheads="1"/>
        </xdr:cNvSpPr>
      </xdr:nvSpPr>
      <xdr:spPr bwMode="auto">
        <a:xfrm>
          <a:off x="4334750" y="28561082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171768</xdr:colOff>
      <xdr:row>157</xdr:row>
      <xdr:rowOff>176703</xdr:rowOff>
    </xdr:from>
    <xdr:to>
      <xdr:col>18</xdr:col>
      <xdr:colOff>188991</xdr:colOff>
      <xdr:row>158</xdr:row>
      <xdr:rowOff>92820</xdr:rowOff>
    </xdr:to>
    <xdr:sp macro="" textlink="">
      <xdr:nvSpPr>
        <xdr:cNvPr id="362" name="Freeform 10708">
          <a:extLst>
            <a:ext uri="{FF2B5EF4-FFF2-40B4-BE49-F238E27FC236}">
              <a16:creationId xmlns:a16="http://schemas.microsoft.com/office/drawing/2014/main" id="{BC023893-C785-48E4-A486-89D6EF4E84B0}"/>
            </a:ext>
          </a:extLst>
        </xdr:cNvPr>
        <xdr:cNvSpPr>
          <a:spLocks/>
        </xdr:cNvSpPr>
      </xdr:nvSpPr>
      <xdr:spPr bwMode="auto">
        <a:xfrm>
          <a:off x="5188268" y="28567553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157</xdr:row>
      <xdr:rowOff>168075</xdr:rowOff>
    </xdr:from>
    <xdr:to>
      <xdr:col>14</xdr:col>
      <xdr:colOff>193738</xdr:colOff>
      <xdr:row>158</xdr:row>
      <xdr:rowOff>80914</xdr:rowOff>
    </xdr:to>
    <xdr:sp macro="" textlink="">
      <xdr:nvSpPr>
        <xdr:cNvPr id="363" name="Freeform 10708">
          <a:extLst>
            <a:ext uri="{FF2B5EF4-FFF2-40B4-BE49-F238E27FC236}">
              <a16:creationId xmlns:a16="http://schemas.microsoft.com/office/drawing/2014/main" id="{EE07C59B-D867-4FEC-A9E2-13BDF3EAD41F}"/>
            </a:ext>
          </a:extLst>
        </xdr:cNvPr>
        <xdr:cNvSpPr>
          <a:spLocks/>
        </xdr:cNvSpPr>
      </xdr:nvSpPr>
      <xdr:spPr bwMode="auto">
        <a:xfrm>
          <a:off x="4531940" y="28558925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157</xdr:row>
      <xdr:rowOff>152545</xdr:rowOff>
    </xdr:from>
    <xdr:to>
      <xdr:col>21</xdr:col>
      <xdr:colOff>8883</xdr:colOff>
      <xdr:row>159</xdr:row>
      <xdr:rowOff>179216</xdr:rowOff>
    </xdr:to>
    <xdr:sp macro="" textlink="">
      <xdr:nvSpPr>
        <xdr:cNvPr id="364" name="3">
          <a:extLst>
            <a:ext uri="{FF2B5EF4-FFF2-40B4-BE49-F238E27FC236}">
              <a16:creationId xmlns:a16="http://schemas.microsoft.com/office/drawing/2014/main" id="{F14CE37F-9885-4B78-AC32-CEA4E1A0DBC2}"/>
            </a:ext>
          </a:extLst>
        </xdr:cNvPr>
        <xdr:cNvSpPr>
          <a:spLocks noChangeArrowheads="1"/>
        </xdr:cNvSpPr>
      </xdr:nvSpPr>
      <xdr:spPr bwMode="auto">
        <a:xfrm>
          <a:off x="7390198" y="28543395"/>
          <a:ext cx="416485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157</xdr:row>
      <xdr:rowOff>171507</xdr:rowOff>
    </xdr:from>
    <xdr:to>
      <xdr:col>19</xdr:col>
      <xdr:colOff>3818</xdr:colOff>
      <xdr:row>159</xdr:row>
      <xdr:rowOff>176945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1016476-D337-4992-A679-24AC0AE06D57}"/>
            </a:ext>
          </a:extLst>
        </xdr:cNvPr>
        <xdr:cNvSpPr>
          <a:spLocks noChangeArrowheads="1"/>
        </xdr:cNvSpPr>
      </xdr:nvSpPr>
      <xdr:spPr bwMode="auto">
        <a:xfrm>
          <a:off x="6578909" y="28562357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186666</xdr:colOff>
      <xdr:row>157</xdr:row>
      <xdr:rowOff>173642</xdr:rowOff>
    </xdr:from>
    <xdr:to>
      <xdr:col>22</xdr:col>
      <xdr:colOff>191774</xdr:colOff>
      <xdr:row>158</xdr:row>
      <xdr:rowOff>91311</xdr:rowOff>
    </xdr:to>
    <xdr:sp macro="" textlink="">
      <xdr:nvSpPr>
        <xdr:cNvPr id="366" name="Freeform 10708">
          <a:extLst>
            <a:ext uri="{FF2B5EF4-FFF2-40B4-BE49-F238E27FC236}">
              <a16:creationId xmlns:a16="http://schemas.microsoft.com/office/drawing/2014/main" id="{E3265F3D-C72F-44A0-AE90-D854B2A327DD}"/>
            </a:ext>
          </a:extLst>
        </xdr:cNvPr>
        <xdr:cNvSpPr>
          <a:spLocks/>
        </xdr:cNvSpPr>
      </xdr:nvSpPr>
      <xdr:spPr bwMode="auto">
        <a:xfrm>
          <a:off x="7578066" y="28564492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157</xdr:row>
      <xdr:rowOff>177975</xdr:rowOff>
    </xdr:from>
    <xdr:to>
      <xdr:col>20</xdr:col>
      <xdr:colOff>197505</xdr:colOff>
      <xdr:row>158</xdr:row>
      <xdr:rowOff>90536</xdr:rowOff>
    </xdr:to>
    <xdr:sp macro="" textlink="">
      <xdr:nvSpPr>
        <xdr:cNvPr id="367" name="Freeform 10708">
          <a:extLst>
            <a:ext uri="{FF2B5EF4-FFF2-40B4-BE49-F238E27FC236}">
              <a16:creationId xmlns:a16="http://schemas.microsoft.com/office/drawing/2014/main" id="{7B396311-E0A2-45D8-82C7-39F9D9F13BD1}"/>
            </a:ext>
          </a:extLst>
        </xdr:cNvPr>
        <xdr:cNvSpPr>
          <a:spLocks/>
        </xdr:cNvSpPr>
      </xdr:nvSpPr>
      <xdr:spPr bwMode="auto">
        <a:xfrm>
          <a:off x="6820556" y="28568825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364255</xdr:colOff>
      <xdr:row>157</xdr:row>
      <xdr:rowOff>155329</xdr:rowOff>
    </xdr:from>
    <xdr:to>
      <xdr:col>25</xdr:col>
      <xdr:colOff>14664</xdr:colOff>
      <xdr:row>159</xdr:row>
      <xdr:rowOff>182000</xdr:rowOff>
    </xdr:to>
    <xdr:sp macro="" textlink="">
      <xdr:nvSpPr>
        <xdr:cNvPr id="368" name="3">
          <a:extLst>
            <a:ext uri="{FF2B5EF4-FFF2-40B4-BE49-F238E27FC236}">
              <a16:creationId xmlns:a16="http://schemas.microsoft.com/office/drawing/2014/main" id="{18D0ADD0-1517-4063-AE1F-102E9A9BE463}"/>
            </a:ext>
          </a:extLst>
        </xdr:cNvPr>
        <xdr:cNvSpPr>
          <a:spLocks noChangeArrowheads="1"/>
        </xdr:cNvSpPr>
      </xdr:nvSpPr>
      <xdr:spPr bwMode="auto">
        <a:xfrm>
          <a:off x="8930405" y="28546179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3642</xdr:colOff>
      <xdr:row>157</xdr:row>
      <xdr:rowOff>174291</xdr:rowOff>
    </xdr:from>
    <xdr:to>
      <xdr:col>23</xdr:col>
      <xdr:colOff>3815</xdr:colOff>
      <xdr:row>159</xdr:row>
      <xdr:rowOff>179729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5A2324E5-050A-45E1-BFC0-548C3C041355}"/>
            </a:ext>
          </a:extLst>
        </xdr:cNvPr>
        <xdr:cNvSpPr>
          <a:spLocks noChangeArrowheads="1"/>
        </xdr:cNvSpPr>
      </xdr:nvSpPr>
      <xdr:spPr bwMode="auto">
        <a:xfrm>
          <a:off x="8169742" y="28565141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181644</xdr:colOff>
      <xdr:row>157</xdr:row>
      <xdr:rowOff>168076</xdr:rowOff>
    </xdr:from>
    <xdr:to>
      <xdr:col>26</xdr:col>
      <xdr:colOff>194557</xdr:colOff>
      <xdr:row>158</xdr:row>
      <xdr:rowOff>82964</xdr:rowOff>
    </xdr:to>
    <xdr:sp macro="" textlink="">
      <xdr:nvSpPr>
        <xdr:cNvPr id="370" name="Freeform 10708">
          <a:extLst>
            <a:ext uri="{FF2B5EF4-FFF2-40B4-BE49-F238E27FC236}">
              <a16:creationId xmlns:a16="http://schemas.microsoft.com/office/drawing/2014/main" id="{5B3AEEC0-321B-4312-869A-46F5017B5AB0}"/>
            </a:ext>
          </a:extLst>
        </xdr:cNvPr>
        <xdr:cNvSpPr>
          <a:spLocks/>
        </xdr:cNvSpPr>
      </xdr:nvSpPr>
      <xdr:spPr bwMode="auto">
        <a:xfrm>
          <a:off x="9135144" y="28558926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157</xdr:row>
      <xdr:rowOff>165294</xdr:rowOff>
    </xdr:from>
    <xdr:to>
      <xdr:col>24</xdr:col>
      <xdr:colOff>180643</xdr:colOff>
      <xdr:row>158</xdr:row>
      <xdr:rowOff>87755</xdr:rowOff>
    </xdr:to>
    <xdr:sp macro="" textlink="">
      <xdr:nvSpPr>
        <xdr:cNvPr id="371" name="Freeform 10708">
          <a:extLst>
            <a:ext uri="{FF2B5EF4-FFF2-40B4-BE49-F238E27FC236}">
              <a16:creationId xmlns:a16="http://schemas.microsoft.com/office/drawing/2014/main" id="{4A070551-DA21-4750-ABBB-7A886115427C}"/>
            </a:ext>
          </a:extLst>
        </xdr:cNvPr>
        <xdr:cNvSpPr>
          <a:spLocks/>
        </xdr:cNvSpPr>
      </xdr:nvSpPr>
      <xdr:spPr bwMode="auto">
        <a:xfrm>
          <a:off x="8366933" y="28556144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388510</xdr:colOff>
      <xdr:row>157</xdr:row>
      <xdr:rowOff>152138</xdr:rowOff>
    </xdr:from>
    <xdr:to>
      <xdr:col>29</xdr:col>
      <xdr:colOff>10144</xdr:colOff>
      <xdr:row>159</xdr:row>
      <xdr:rowOff>178809</xdr:rowOff>
    </xdr:to>
    <xdr:sp macro="" textlink="">
      <xdr:nvSpPr>
        <xdr:cNvPr id="372" name="3">
          <a:extLst>
            <a:ext uri="{FF2B5EF4-FFF2-40B4-BE49-F238E27FC236}">
              <a16:creationId xmlns:a16="http://schemas.microsoft.com/office/drawing/2014/main" id="{EF17F6DF-B67B-479F-853E-86618EB88ADA}"/>
            </a:ext>
          </a:extLst>
        </xdr:cNvPr>
        <xdr:cNvSpPr>
          <a:spLocks noChangeArrowheads="1"/>
        </xdr:cNvSpPr>
      </xdr:nvSpPr>
      <xdr:spPr bwMode="auto">
        <a:xfrm>
          <a:off x="10548510" y="28542988"/>
          <a:ext cx="42808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157</xdr:row>
      <xdr:rowOff>179726</xdr:rowOff>
    </xdr:from>
    <xdr:to>
      <xdr:col>27</xdr:col>
      <xdr:colOff>3614</xdr:colOff>
      <xdr:row>159</xdr:row>
      <xdr:rowOff>185442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C4FCC14A-EFAD-441D-844C-E8F990945E05}"/>
            </a:ext>
          </a:extLst>
        </xdr:cNvPr>
        <xdr:cNvSpPr>
          <a:spLocks noChangeArrowheads="1"/>
        </xdr:cNvSpPr>
      </xdr:nvSpPr>
      <xdr:spPr bwMode="auto">
        <a:xfrm>
          <a:off x="9760656" y="28570576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208470</xdr:colOff>
      <xdr:row>157</xdr:row>
      <xdr:rowOff>165294</xdr:rowOff>
    </xdr:from>
    <xdr:to>
      <xdr:col>30</xdr:col>
      <xdr:colOff>200492</xdr:colOff>
      <xdr:row>158</xdr:row>
      <xdr:rowOff>85339</xdr:rowOff>
    </xdr:to>
    <xdr:sp macro="" textlink="">
      <xdr:nvSpPr>
        <xdr:cNvPr id="374" name="Freeform 10708">
          <a:extLst>
            <a:ext uri="{FF2B5EF4-FFF2-40B4-BE49-F238E27FC236}">
              <a16:creationId xmlns:a16="http://schemas.microsoft.com/office/drawing/2014/main" id="{793BC612-D3D5-410C-B1E2-9C81D7B99BAB}"/>
            </a:ext>
          </a:extLst>
        </xdr:cNvPr>
        <xdr:cNvSpPr>
          <a:spLocks/>
        </xdr:cNvSpPr>
      </xdr:nvSpPr>
      <xdr:spPr bwMode="auto">
        <a:xfrm>
          <a:off x="10774870" y="28556144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157</xdr:row>
      <xdr:rowOff>168077</xdr:rowOff>
    </xdr:from>
    <xdr:to>
      <xdr:col>28</xdr:col>
      <xdr:colOff>197339</xdr:colOff>
      <xdr:row>158</xdr:row>
      <xdr:rowOff>73434</xdr:rowOff>
    </xdr:to>
    <xdr:sp macro="" textlink="">
      <xdr:nvSpPr>
        <xdr:cNvPr id="375" name="Freeform 10708">
          <a:extLst>
            <a:ext uri="{FF2B5EF4-FFF2-40B4-BE49-F238E27FC236}">
              <a16:creationId xmlns:a16="http://schemas.microsoft.com/office/drawing/2014/main" id="{962127E5-B252-4E77-9DF7-A064F87143EA}"/>
            </a:ext>
          </a:extLst>
        </xdr:cNvPr>
        <xdr:cNvSpPr>
          <a:spLocks/>
        </xdr:cNvSpPr>
      </xdr:nvSpPr>
      <xdr:spPr bwMode="auto">
        <a:xfrm>
          <a:off x="9958440" y="28558927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157</xdr:row>
      <xdr:rowOff>148949</xdr:rowOff>
    </xdr:from>
    <xdr:to>
      <xdr:col>31</xdr:col>
      <xdr:colOff>6301</xdr:colOff>
      <xdr:row>159</xdr:row>
      <xdr:rowOff>175620</xdr:rowOff>
    </xdr:to>
    <xdr:sp macro="" textlink="">
      <xdr:nvSpPr>
        <xdr:cNvPr id="376" name="3">
          <a:extLst>
            <a:ext uri="{FF2B5EF4-FFF2-40B4-BE49-F238E27FC236}">
              <a16:creationId xmlns:a16="http://schemas.microsoft.com/office/drawing/2014/main" id="{5AC7FC17-CDA7-47FA-AECC-F276570F470C}"/>
            </a:ext>
          </a:extLst>
        </xdr:cNvPr>
        <xdr:cNvSpPr>
          <a:spLocks noChangeArrowheads="1"/>
        </xdr:cNvSpPr>
      </xdr:nvSpPr>
      <xdr:spPr bwMode="auto">
        <a:xfrm>
          <a:off x="11343570" y="28539799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5</xdr:col>
      <xdr:colOff>363941</xdr:colOff>
      <xdr:row>168</xdr:row>
      <xdr:rowOff>167302</xdr:rowOff>
    </xdr:from>
    <xdr:to>
      <xdr:col>7</xdr:col>
      <xdr:colOff>13868</xdr:colOff>
      <xdr:row>171</xdr:row>
      <xdr:rowOff>4748</xdr:rowOff>
    </xdr:to>
    <xdr:sp macro="" textlink="">
      <xdr:nvSpPr>
        <xdr:cNvPr id="377" name="3">
          <a:extLst>
            <a:ext uri="{FF2B5EF4-FFF2-40B4-BE49-F238E27FC236}">
              <a16:creationId xmlns:a16="http://schemas.microsoft.com/office/drawing/2014/main" id="{16758F74-1498-43EB-9C41-4E6F7139FBA6}"/>
            </a:ext>
          </a:extLst>
        </xdr:cNvPr>
        <xdr:cNvSpPr>
          <a:spLocks noChangeArrowheads="1"/>
        </xdr:cNvSpPr>
      </xdr:nvSpPr>
      <xdr:spPr bwMode="auto">
        <a:xfrm>
          <a:off x="2040341" y="30507602"/>
          <a:ext cx="411927" cy="39624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169</xdr:row>
      <xdr:rowOff>3452</xdr:rowOff>
    </xdr:from>
    <xdr:to>
      <xdr:col>5</xdr:col>
      <xdr:colOff>10458</xdr:colOff>
      <xdr:row>171</xdr:row>
      <xdr:rowOff>707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D42EED49-31D0-4252-B42D-04FCA33240BD}"/>
            </a:ext>
          </a:extLst>
        </xdr:cNvPr>
        <xdr:cNvSpPr>
          <a:spLocks noChangeArrowheads="1"/>
        </xdr:cNvSpPr>
      </xdr:nvSpPr>
      <xdr:spPr bwMode="auto">
        <a:xfrm>
          <a:off x="1284651" y="30527902"/>
          <a:ext cx="402207" cy="37190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186896</xdr:colOff>
      <xdr:row>169</xdr:row>
      <xdr:rowOff>1295</xdr:rowOff>
    </xdr:from>
    <xdr:to>
      <xdr:col>8</xdr:col>
      <xdr:colOff>208328</xdr:colOff>
      <xdr:row>169</xdr:row>
      <xdr:rowOff>106070</xdr:rowOff>
    </xdr:to>
    <xdr:sp macro="" textlink="">
      <xdr:nvSpPr>
        <xdr:cNvPr id="379" name="Freeform 10708">
          <a:extLst>
            <a:ext uri="{FF2B5EF4-FFF2-40B4-BE49-F238E27FC236}">
              <a16:creationId xmlns:a16="http://schemas.microsoft.com/office/drawing/2014/main" id="{AA919DA3-0CC3-467E-B587-4AB661E5B2F3}"/>
            </a:ext>
          </a:extLst>
        </xdr:cNvPr>
        <xdr:cNvSpPr>
          <a:spLocks/>
        </xdr:cNvSpPr>
      </xdr:nvSpPr>
      <xdr:spPr bwMode="auto">
        <a:xfrm>
          <a:off x="2244296" y="30525745"/>
          <a:ext cx="789782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169</xdr:row>
      <xdr:rowOff>2826</xdr:rowOff>
    </xdr:from>
    <xdr:to>
      <xdr:col>3</xdr:col>
      <xdr:colOff>9067</xdr:colOff>
      <xdr:row>170</xdr:row>
      <xdr:rowOff>187737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AAE9D911-D50E-475A-BE7A-1B4A6632BF1E}"/>
            </a:ext>
          </a:extLst>
        </xdr:cNvPr>
        <xdr:cNvSpPr>
          <a:spLocks noChangeArrowheads="1"/>
        </xdr:cNvSpPr>
      </xdr:nvSpPr>
      <xdr:spPr bwMode="auto">
        <a:xfrm>
          <a:off x="514911" y="30527276"/>
          <a:ext cx="402206" cy="36906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208866</xdr:colOff>
      <xdr:row>169</xdr:row>
      <xdr:rowOff>1295</xdr:rowOff>
    </xdr:from>
    <xdr:to>
      <xdr:col>6</xdr:col>
      <xdr:colOff>208866</xdr:colOff>
      <xdr:row>169</xdr:row>
      <xdr:rowOff>94164</xdr:rowOff>
    </xdr:to>
    <xdr:sp macro="" textlink="">
      <xdr:nvSpPr>
        <xdr:cNvPr id="381" name="Freeform 10708">
          <a:extLst>
            <a:ext uri="{FF2B5EF4-FFF2-40B4-BE49-F238E27FC236}">
              <a16:creationId xmlns:a16="http://schemas.microsoft.com/office/drawing/2014/main" id="{A1B80522-A954-421E-952A-C1FB8A5B50A0}"/>
            </a:ext>
          </a:extLst>
        </xdr:cNvPr>
        <xdr:cNvSpPr>
          <a:spLocks/>
        </xdr:cNvSpPr>
      </xdr:nvSpPr>
      <xdr:spPr bwMode="auto">
        <a:xfrm>
          <a:off x="1485216" y="30525745"/>
          <a:ext cx="7810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11331</xdr:colOff>
      <xdr:row>169</xdr:row>
      <xdr:rowOff>1147</xdr:rowOff>
    </xdr:from>
    <xdr:to>
      <xdr:col>8</xdr:col>
      <xdr:colOff>378557</xdr:colOff>
      <xdr:row>170</xdr:row>
      <xdr:rowOff>171522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27FF3FA9-D526-434B-A5A0-6E6C674552B1}"/>
            </a:ext>
          </a:extLst>
        </xdr:cNvPr>
        <xdr:cNvSpPr>
          <a:spLocks noChangeArrowheads="1"/>
        </xdr:cNvSpPr>
      </xdr:nvSpPr>
      <xdr:spPr bwMode="auto">
        <a:xfrm>
          <a:off x="2837081" y="30525597"/>
          <a:ext cx="367226" cy="354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358853</xdr:colOff>
      <xdr:row>168</xdr:row>
      <xdr:rowOff>159799</xdr:rowOff>
    </xdr:from>
    <xdr:to>
      <xdr:col>19</xdr:col>
      <xdr:colOff>8303</xdr:colOff>
      <xdr:row>170</xdr:row>
      <xdr:rowOff>186470</xdr:rowOff>
    </xdr:to>
    <xdr:sp macro="" textlink="">
      <xdr:nvSpPr>
        <xdr:cNvPr id="383" name="3">
          <a:extLst>
            <a:ext uri="{FF2B5EF4-FFF2-40B4-BE49-F238E27FC236}">
              <a16:creationId xmlns:a16="http://schemas.microsoft.com/office/drawing/2014/main" id="{06044D98-AAD7-4F2B-9B1F-27F790971C68}"/>
            </a:ext>
          </a:extLst>
        </xdr:cNvPr>
        <xdr:cNvSpPr>
          <a:spLocks noChangeArrowheads="1"/>
        </xdr:cNvSpPr>
      </xdr:nvSpPr>
      <xdr:spPr bwMode="auto">
        <a:xfrm>
          <a:off x="6575503" y="30500099"/>
          <a:ext cx="455900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9803</xdr:colOff>
      <xdr:row>168</xdr:row>
      <xdr:rowOff>175978</xdr:rowOff>
    </xdr:from>
    <xdr:to>
      <xdr:col>14</xdr:col>
      <xdr:colOff>383791</xdr:colOff>
      <xdr:row>171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AC25C23D-F4F9-43C8-A71B-88D695CE4104}"/>
            </a:ext>
          </a:extLst>
        </xdr:cNvPr>
        <xdr:cNvSpPr>
          <a:spLocks noChangeArrowheads="1"/>
        </xdr:cNvSpPr>
      </xdr:nvSpPr>
      <xdr:spPr bwMode="auto">
        <a:xfrm>
          <a:off x="5026303" y="30516278"/>
          <a:ext cx="373988" cy="38282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177521</xdr:colOff>
      <xdr:row>169</xdr:row>
      <xdr:rowOff>1295</xdr:rowOff>
    </xdr:from>
    <xdr:to>
      <xdr:col>20</xdr:col>
      <xdr:colOff>194744</xdr:colOff>
      <xdr:row>169</xdr:row>
      <xdr:rowOff>98567</xdr:rowOff>
    </xdr:to>
    <xdr:sp macro="" textlink="">
      <xdr:nvSpPr>
        <xdr:cNvPr id="385" name="Freeform 10708">
          <a:extLst>
            <a:ext uri="{FF2B5EF4-FFF2-40B4-BE49-F238E27FC236}">
              <a16:creationId xmlns:a16="http://schemas.microsoft.com/office/drawing/2014/main" id="{75F9325E-BB1D-4CAE-A86D-2BFD065C3CDB}"/>
            </a:ext>
          </a:extLst>
        </xdr:cNvPr>
        <xdr:cNvSpPr>
          <a:spLocks/>
        </xdr:cNvSpPr>
      </xdr:nvSpPr>
      <xdr:spPr bwMode="auto">
        <a:xfrm>
          <a:off x="6800571" y="30525745"/>
          <a:ext cx="785573" cy="9727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206993</xdr:colOff>
      <xdr:row>168</xdr:row>
      <xdr:rowOff>173821</xdr:rowOff>
    </xdr:from>
    <xdr:to>
      <xdr:col>18</xdr:col>
      <xdr:colOff>199491</xdr:colOff>
      <xdr:row>169</xdr:row>
      <xdr:rowOff>86661</xdr:rowOff>
    </xdr:to>
    <xdr:sp macro="" textlink="">
      <xdr:nvSpPr>
        <xdr:cNvPr id="386" name="Freeform 10708">
          <a:extLst>
            <a:ext uri="{FF2B5EF4-FFF2-40B4-BE49-F238E27FC236}">
              <a16:creationId xmlns:a16="http://schemas.microsoft.com/office/drawing/2014/main" id="{BE247CFE-4752-4732-9250-79DC9011029E}"/>
            </a:ext>
          </a:extLst>
        </xdr:cNvPr>
        <xdr:cNvSpPr>
          <a:spLocks/>
        </xdr:cNvSpPr>
      </xdr:nvSpPr>
      <xdr:spPr bwMode="auto">
        <a:xfrm>
          <a:off x="5223493" y="30514121"/>
          <a:ext cx="159904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4268</xdr:colOff>
      <xdr:row>168</xdr:row>
      <xdr:rowOff>158291</xdr:rowOff>
    </xdr:from>
    <xdr:to>
      <xdr:col>23</xdr:col>
      <xdr:colOff>14636</xdr:colOff>
      <xdr:row>170</xdr:row>
      <xdr:rowOff>184962</xdr:rowOff>
    </xdr:to>
    <xdr:sp macro="" textlink="">
      <xdr:nvSpPr>
        <xdr:cNvPr id="387" name="3">
          <a:extLst>
            <a:ext uri="{FF2B5EF4-FFF2-40B4-BE49-F238E27FC236}">
              <a16:creationId xmlns:a16="http://schemas.microsoft.com/office/drawing/2014/main" id="{FEDCC8BA-7347-4F4F-B2D6-5BBE041574CA}"/>
            </a:ext>
          </a:extLst>
        </xdr:cNvPr>
        <xdr:cNvSpPr>
          <a:spLocks noChangeArrowheads="1"/>
        </xdr:cNvSpPr>
      </xdr:nvSpPr>
      <xdr:spPr bwMode="auto">
        <a:xfrm>
          <a:off x="8170368" y="30498591"/>
          <a:ext cx="41041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19</xdr:col>
      <xdr:colOff>368012</xdr:colOff>
      <xdr:row>168</xdr:row>
      <xdr:rowOff>177253</xdr:rowOff>
    </xdr:from>
    <xdr:to>
      <xdr:col>21</xdr:col>
      <xdr:colOff>9571</xdr:colOff>
      <xdr:row>170</xdr:row>
      <xdr:rowOff>182691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0CBB318-BAAD-4027-A367-B3D9B6793BF4}"/>
            </a:ext>
          </a:extLst>
        </xdr:cNvPr>
        <xdr:cNvSpPr>
          <a:spLocks noChangeArrowheads="1"/>
        </xdr:cNvSpPr>
      </xdr:nvSpPr>
      <xdr:spPr bwMode="auto">
        <a:xfrm>
          <a:off x="7391112" y="30517553"/>
          <a:ext cx="41625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192419</xdr:colOff>
      <xdr:row>168</xdr:row>
      <xdr:rowOff>179388</xdr:rowOff>
    </xdr:from>
    <xdr:to>
      <xdr:col>24</xdr:col>
      <xdr:colOff>197527</xdr:colOff>
      <xdr:row>169</xdr:row>
      <xdr:rowOff>97058</xdr:rowOff>
    </xdr:to>
    <xdr:sp macro="" textlink="">
      <xdr:nvSpPr>
        <xdr:cNvPr id="389" name="Freeform 10708">
          <a:extLst>
            <a:ext uri="{FF2B5EF4-FFF2-40B4-BE49-F238E27FC236}">
              <a16:creationId xmlns:a16="http://schemas.microsoft.com/office/drawing/2014/main" id="{1BB62DD0-AC51-4E05-981F-84FF52762BF6}"/>
            </a:ext>
          </a:extLst>
        </xdr:cNvPr>
        <xdr:cNvSpPr>
          <a:spLocks/>
        </xdr:cNvSpPr>
      </xdr:nvSpPr>
      <xdr:spPr bwMode="auto">
        <a:xfrm>
          <a:off x="8358519" y="30519688"/>
          <a:ext cx="7925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203259</xdr:colOff>
      <xdr:row>169</xdr:row>
      <xdr:rowOff>2567</xdr:rowOff>
    </xdr:from>
    <xdr:to>
      <xdr:col>22</xdr:col>
      <xdr:colOff>203258</xdr:colOff>
      <xdr:row>169</xdr:row>
      <xdr:rowOff>96283</xdr:rowOff>
    </xdr:to>
    <xdr:sp macro="" textlink="">
      <xdr:nvSpPr>
        <xdr:cNvPr id="390" name="Freeform 10708">
          <a:extLst>
            <a:ext uri="{FF2B5EF4-FFF2-40B4-BE49-F238E27FC236}">
              <a16:creationId xmlns:a16="http://schemas.microsoft.com/office/drawing/2014/main" id="{A9E29DB3-E71D-40D9-BA0C-08C372B15788}"/>
            </a:ext>
          </a:extLst>
        </xdr:cNvPr>
        <xdr:cNvSpPr>
          <a:spLocks/>
        </xdr:cNvSpPr>
      </xdr:nvSpPr>
      <xdr:spPr bwMode="auto">
        <a:xfrm>
          <a:off x="7594659" y="30527017"/>
          <a:ext cx="774699" cy="9371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1424</xdr:colOff>
      <xdr:row>168</xdr:row>
      <xdr:rowOff>161075</xdr:rowOff>
    </xdr:from>
    <xdr:to>
      <xdr:col>27</xdr:col>
      <xdr:colOff>20417</xdr:colOff>
      <xdr:row>170</xdr:row>
      <xdr:rowOff>187746</xdr:rowOff>
    </xdr:to>
    <xdr:sp macro="" textlink="">
      <xdr:nvSpPr>
        <xdr:cNvPr id="391" name="3">
          <a:extLst>
            <a:ext uri="{FF2B5EF4-FFF2-40B4-BE49-F238E27FC236}">
              <a16:creationId xmlns:a16="http://schemas.microsoft.com/office/drawing/2014/main" id="{7CC532F8-3A23-4B02-A4BD-09E85382B6EF}"/>
            </a:ext>
          </a:extLst>
        </xdr:cNvPr>
        <xdr:cNvSpPr>
          <a:spLocks noChangeArrowheads="1"/>
        </xdr:cNvSpPr>
      </xdr:nvSpPr>
      <xdr:spPr bwMode="auto">
        <a:xfrm>
          <a:off x="9761374" y="30501375"/>
          <a:ext cx="41904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9395</xdr:colOff>
      <xdr:row>168</xdr:row>
      <xdr:rowOff>180037</xdr:rowOff>
    </xdr:from>
    <xdr:to>
      <xdr:col>25</xdr:col>
      <xdr:colOff>9568</xdr:colOff>
      <xdr:row>170</xdr:row>
      <xdr:rowOff>185475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8722A5DD-05FC-42A6-8678-055A715F7913}"/>
            </a:ext>
          </a:extLst>
        </xdr:cNvPr>
        <xdr:cNvSpPr>
          <a:spLocks noChangeArrowheads="1"/>
        </xdr:cNvSpPr>
      </xdr:nvSpPr>
      <xdr:spPr bwMode="auto">
        <a:xfrm>
          <a:off x="8962895" y="30520337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187397</xdr:colOff>
      <xdr:row>168</xdr:row>
      <xdr:rowOff>173822</xdr:rowOff>
    </xdr:from>
    <xdr:to>
      <xdr:col>28</xdr:col>
      <xdr:colOff>200310</xdr:colOff>
      <xdr:row>169</xdr:row>
      <xdr:rowOff>88711</xdr:rowOff>
    </xdr:to>
    <xdr:sp macro="" textlink="">
      <xdr:nvSpPr>
        <xdr:cNvPr id="393" name="Freeform 10708">
          <a:extLst>
            <a:ext uri="{FF2B5EF4-FFF2-40B4-BE49-F238E27FC236}">
              <a16:creationId xmlns:a16="http://schemas.microsoft.com/office/drawing/2014/main" id="{261F465E-AE1E-4583-AEBB-0F1BBCDAEB8F}"/>
            </a:ext>
          </a:extLst>
        </xdr:cNvPr>
        <xdr:cNvSpPr>
          <a:spLocks/>
        </xdr:cNvSpPr>
      </xdr:nvSpPr>
      <xdr:spPr bwMode="auto">
        <a:xfrm>
          <a:off x="9947347" y="305141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206586</xdr:colOff>
      <xdr:row>168</xdr:row>
      <xdr:rowOff>171040</xdr:rowOff>
    </xdr:from>
    <xdr:to>
      <xdr:col>26</xdr:col>
      <xdr:colOff>186396</xdr:colOff>
      <xdr:row>169</xdr:row>
      <xdr:rowOff>93502</xdr:rowOff>
    </xdr:to>
    <xdr:sp macro="" textlink="">
      <xdr:nvSpPr>
        <xdr:cNvPr id="394" name="Freeform 10708">
          <a:extLst>
            <a:ext uri="{FF2B5EF4-FFF2-40B4-BE49-F238E27FC236}">
              <a16:creationId xmlns:a16="http://schemas.microsoft.com/office/drawing/2014/main" id="{4568A841-88F1-460A-9281-65E313ADBAA2}"/>
            </a:ext>
          </a:extLst>
        </xdr:cNvPr>
        <xdr:cNvSpPr>
          <a:spLocks/>
        </xdr:cNvSpPr>
      </xdr:nvSpPr>
      <xdr:spPr bwMode="auto">
        <a:xfrm>
          <a:off x="9160086" y="30511340"/>
          <a:ext cx="78626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2153</xdr:colOff>
      <xdr:row>168</xdr:row>
      <xdr:rowOff>157884</xdr:rowOff>
    </xdr:from>
    <xdr:to>
      <xdr:col>31</xdr:col>
      <xdr:colOff>15897</xdr:colOff>
      <xdr:row>170</xdr:row>
      <xdr:rowOff>184555</xdr:rowOff>
    </xdr:to>
    <xdr:sp macro="" textlink="">
      <xdr:nvSpPr>
        <xdr:cNvPr id="395" name="3">
          <a:extLst>
            <a:ext uri="{FF2B5EF4-FFF2-40B4-BE49-F238E27FC236}">
              <a16:creationId xmlns:a16="http://schemas.microsoft.com/office/drawing/2014/main" id="{D6C085C9-024B-496C-B1F0-557196B75356}"/>
            </a:ext>
          </a:extLst>
        </xdr:cNvPr>
        <xdr:cNvSpPr>
          <a:spLocks noChangeArrowheads="1"/>
        </xdr:cNvSpPr>
      </xdr:nvSpPr>
      <xdr:spPr bwMode="auto">
        <a:xfrm>
          <a:off x="11330553" y="30498184"/>
          <a:ext cx="42014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6459</xdr:colOff>
      <xdr:row>169</xdr:row>
      <xdr:rowOff>4318</xdr:rowOff>
    </xdr:from>
    <xdr:to>
      <xdr:col>29</xdr:col>
      <xdr:colOff>9367</xdr:colOff>
      <xdr:row>171</xdr:row>
      <xdr:rowOff>1407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21284083-43C9-47F5-BEFA-EC0C1343C91D}"/>
            </a:ext>
          </a:extLst>
        </xdr:cNvPr>
        <xdr:cNvSpPr>
          <a:spLocks noChangeArrowheads="1"/>
        </xdr:cNvSpPr>
      </xdr:nvSpPr>
      <xdr:spPr bwMode="auto">
        <a:xfrm>
          <a:off x="10572859" y="30528768"/>
          <a:ext cx="402958" cy="37173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95250</xdr:colOff>
      <xdr:row>168</xdr:row>
      <xdr:rowOff>163835</xdr:rowOff>
    </xdr:from>
    <xdr:to>
      <xdr:col>2</xdr:col>
      <xdr:colOff>209550</xdr:colOff>
      <xdr:row>169</xdr:row>
      <xdr:rowOff>85725</xdr:rowOff>
    </xdr:to>
    <xdr:sp macro="" textlink="">
      <xdr:nvSpPr>
        <xdr:cNvPr id="397" name="Freeform 10708">
          <a:extLst>
            <a:ext uri="{FF2B5EF4-FFF2-40B4-BE49-F238E27FC236}">
              <a16:creationId xmlns:a16="http://schemas.microsoft.com/office/drawing/2014/main" id="{B29F742F-A3A2-437B-94F0-2CDB3A623E70}"/>
            </a:ext>
          </a:extLst>
        </xdr:cNvPr>
        <xdr:cNvSpPr>
          <a:spLocks/>
        </xdr:cNvSpPr>
      </xdr:nvSpPr>
      <xdr:spPr bwMode="auto">
        <a:xfrm>
          <a:off x="95250" y="30504135"/>
          <a:ext cx="622300" cy="10604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179</xdr:row>
      <xdr:rowOff>158680</xdr:rowOff>
    </xdr:from>
    <xdr:to>
      <xdr:col>7</xdr:col>
      <xdr:colOff>8115</xdr:colOff>
      <xdr:row>181</xdr:row>
      <xdr:rowOff>185906</xdr:rowOff>
    </xdr:to>
    <xdr:sp macro="" textlink="">
      <xdr:nvSpPr>
        <xdr:cNvPr id="398" name="3">
          <a:extLst>
            <a:ext uri="{FF2B5EF4-FFF2-40B4-BE49-F238E27FC236}">
              <a16:creationId xmlns:a16="http://schemas.microsoft.com/office/drawing/2014/main" id="{82D1E417-47A1-457C-BE25-6A336A231E63}"/>
            </a:ext>
          </a:extLst>
        </xdr:cNvPr>
        <xdr:cNvSpPr>
          <a:spLocks noChangeArrowheads="1"/>
        </xdr:cNvSpPr>
      </xdr:nvSpPr>
      <xdr:spPr bwMode="auto">
        <a:xfrm>
          <a:off x="2036940" y="32429380"/>
          <a:ext cx="409575" cy="39552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179</xdr:row>
      <xdr:rowOff>175984</xdr:rowOff>
    </xdr:from>
    <xdr:to>
      <xdr:col>5</xdr:col>
      <xdr:colOff>4705</xdr:colOff>
      <xdr:row>181</xdr:row>
      <xdr:rowOff>180296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C2D157C4-DFE4-47CC-90A5-7C49CABF48D8}"/>
            </a:ext>
          </a:extLst>
        </xdr:cNvPr>
        <xdr:cNvSpPr>
          <a:spLocks noChangeArrowheads="1"/>
        </xdr:cNvSpPr>
      </xdr:nvSpPr>
      <xdr:spPr bwMode="auto">
        <a:xfrm>
          <a:off x="1278898" y="32446684"/>
          <a:ext cx="402207" cy="37261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200955</xdr:colOff>
      <xdr:row>179</xdr:row>
      <xdr:rowOff>173826</xdr:rowOff>
    </xdr:from>
    <xdr:to>
      <xdr:col>4</xdr:col>
      <xdr:colOff>200955</xdr:colOff>
      <xdr:row>180</xdr:row>
      <xdr:rowOff>85540</xdr:rowOff>
    </xdr:to>
    <xdr:sp macro="" textlink="">
      <xdr:nvSpPr>
        <xdr:cNvPr id="400" name="Freeform 10708">
          <a:extLst>
            <a:ext uri="{FF2B5EF4-FFF2-40B4-BE49-F238E27FC236}">
              <a16:creationId xmlns:a16="http://schemas.microsoft.com/office/drawing/2014/main" id="{8FE84937-AE81-4FC4-A355-CC8501828892}"/>
            </a:ext>
          </a:extLst>
        </xdr:cNvPr>
        <xdr:cNvSpPr>
          <a:spLocks/>
        </xdr:cNvSpPr>
      </xdr:nvSpPr>
      <xdr:spPr bwMode="auto">
        <a:xfrm>
          <a:off x="708955" y="32444526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179</xdr:row>
      <xdr:rowOff>173827</xdr:rowOff>
    </xdr:from>
    <xdr:to>
      <xdr:col>8</xdr:col>
      <xdr:colOff>202575</xdr:colOff>
      <xdr:row>180</xdr:row>
      <xdr:rowOff>97447</xdr:rowOff>
    </xdr:to>
    <xdr:sp macro="" textlink="">
      <xdr:nvSpPr>
        <xdr:cNvPr id="401" name="Freeform 10708">
          <a:extLst>
            <a:ext uri="{FF2B5EF4-FFF2-40B4-BE49-F238E27FC236}">
              <a16:creationId xmlns:a16="http://schemas.microsoft.com/office/drawing/2014/main" id="{59298AC4-56CB-446F-B88E-8CB72A797341}"/>
            </a:ext>
          </a:extLst>
        </xdr:cNvPr>
        <xdr:cNvSpPr>
          <a:spLocks/>
        </xdr:cNvSpPr>
      </xdr:nvSpPr>
      <xdr:spPr bwMode="auto">
        <a:xfrm>
          <a:off x="2238543" y="32444527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179</xdr:row>
      <xdr:rowOff>175358</xdr:rowOff>
    </xdr:from>
    <xdr:to>
      <xdr:col>3</xdr:col>
      <xdr:colOff>3314</xdr:colOff>
      <xdr:row>181</xdr:row>
      <xdr:rowOff>179114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EB5429F-659B-4C2A-B954-BA7E38A2733F}"/>
            </a:ext>
          </a:extLst>
        </xdr:cNvPr>
        <xdr:cNvSpPr>
          <a:spLocks noChangeArrowheads="1"/>
        </xdr:cNvSpPr>
      </xdr:nvSpPr>
      <xdr:spPr bwMode="auto">
        <a:xfrm>
          <a:off x="509158" y="32446058"/>
          <a:ext cx="402206" cy="37205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179</xdr:row>
      <xdr:rowOff>173827</xdr:rowOff>
    </xdr:from>
    <xdr:to>
      <xdr:col>6</xdr:col>
      <xdr:colOff>203113</xdr:colOff>
      <xdr:row>180</xdr:row>
      <xdr:rowOff>85541</xdr:rowOff>
    </xdr:to>
    <xdr:sp macro="" textlink="">
      <xdr:nvSpPr>
        <xdr:cNvPr id="403" name="Freeform 10708">
          <a:extLst>
            <a:ext uri="{FF2B5EF4-FFF2-40B4-BE49-F238E27FC236}">
              <a16:creationId xmlns:a16="http://schemas.microsoft.com/office/drawing/2014/main" id="{0F5BEE7C-2A3D-435D-BC4B-299BDA046324}"/>
            </a:ext>
          </a:extLst>
        </xdr:cNvPr>
        <xdr:cNvSpPr>
          <a:spLocks/>
        </xdr:cNvSpPr>
      </xdr:nvSpPr>
      <xdr:spPr bwMode="auto">
        <a:xfrm>
          <a:off x="1479463" y="32444527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8941</xdr:colOff>
      <xdr:row>179</xdr:row>
      <xdr:rowOff>148823</xdr:rowOff>
    </xdr:from>
    <xdr:to>
      <xdr:col>11</xdr:col>
      <xdr:colOff>4382</xdr:colOff>
      <xdr:row>181</xdr:row>
      <xdr:rowOff>175493</xdr:rowOff>
    </xdr:to>
    <xdr:sp macro="" textlink="">
      <xdr:nvSpPr>
        <xdr:cNvPr id="404" name="3">
          <a:extLst>
            <a:ext uri="{FF2B5EF4-FFF2-40B4-BE49-F238E27FC236}">
              <a16:creationId xmlns:a16="http://schemas.microsoft.com/office/drawing/2014/main" id="{399E166E-A6C6-4055-A983-C4E2B474E8F3}"/>
            </a:ext>
          </a:extLst>
        </xdr:cNvPr>
        <xdr:cNvSpPr>
          <a:spLocks noChangeArrowheads="1"/>
        </xdr:cNvSpPr>
      </xdr:nvSpPr>
      <xdr:spPr bwMode="auto">
        <a:xfrm>
          <a:off x="3603041" y="32419523"/>
          <a:ext cx="38279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429278</xdr:colOff>
      <xdr:row>179</xdr:row>
      <xdr:rowOff>167785</xdr:rowOff>
    </xdr:from>
    <xdr:to>
      <xdr:col>9</xdr:col>
      <xdr:colOff>2364</xdr:colOff>
      <xdr:row>181</xdr:row>
      <xdr:rowOff>173222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849B16E1-517E-46E0-8C43-1536312AC720}"/>
            </a:ext>
          </a:extLst>
        </xdr:cNvPr>
        <xdr:cNvSpPr>
          <a:spLocks noChangeArrowheads="1"/>
        </xdr:cNvSpPr>
      </xdr:nvSpPr>
      <xdr:spPr bwMode="auto">
        <a:xfrm>
          <a:off x="2823228" y="32438485"/>
          <a:ext cx="404936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179</xdr:row>
      <xdr:rowOff>162845</xdr:rowOff>
    </xdr:from>
    <xdr:to>
      <xdr:col>12</xdr:col>
      <xdr:colOff>263087</xdr:colOff>
      <xdr:row>180</xdr:row>
      <xdr:rowOff>87590</xdr:rowOff>
    </xdr:to>
    <xdr:sp macro="" textlink="">
      <xdr:nvSpPr>
        <xdr:cNvPr id="406" name="Freeform 10708">
          <a:extLst>
            <a:ext uri="{FF2B5EF4-FFF2-40B4-BE49-F238E27FC236}">
              <a16:creationId xmlns:a16="http://schemas.microsoft.com/office/drawing/2014/main" id="{36602B55-D8F7-42C5-9653-F3B43B044B9D}"/>
            </a:ext>
          </a:extLst>
        </xdr:cNvPr>
        <xdr:cNvSpPr>
          <a:spLocks/>
        </xdr:cNvSpPr>
      </xdr:nvSpPr>
      <xdr:spPr bwMode="auto">
        <a:xfrm>
          <a:off x="3768244" y="32433545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179</xdr:row>
      <xdr:rowOff>162845</xdr:rowOff>
    </xdr:from>
    <xdr:to>
      <xdr:col>10</xdr:col>
      <xdr:colOff>196114</xdr:colOff>
      <xdr:row>180</xdr:row>
      <xdr:rowOff>75684</xdr:rowOff>
    </xdr:to>
    <xdr:sp macro="" textlink="">
      <xdr:nvSpPr>
        <xdr:cNvPr id="407" name="Freeform 10708">
          <a:extLst>
            <a:ext uri="{FF2B5EF4-FFF2-40B4-BE49-F238E27FC236}">
              <a16:creationId xmlns:a16="http://schemas.microsoft.com/office/drawing/2014/main" id="{704A9D95-248E-4E86-BE03-B470AD8B5985}"/>
            </a:ext>
          </a:extLst>
        </xdr:cNvPr>
        <xdr:cNvSpPr>
          <a:spLocks/>
        </xdr:cNvSpPr>
      </xdr:nvSpPr>
      <xdr:spPr bwMode="auto">
        <a:xfrm>
          <a:off x="3014363" y="32433545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179</xdr:row>
      <xdr:rowOff>151177</xdr:rowOff>
    </xdr:from>
    <xdr:to>
      <xdr:col>14</xdr:col>
      <xdr:colOff>390770</xdr:colOff>
      <xdr:row>182</xdr:row>
      <xdr:rowOff>6978</xdr:rowOff>
    </xdr:to>
    <xdr:sp macro="" textlink="">
      <xdr:nvSpPr>
        <xdr:cNvPr id="408" name="3">
          <a:extLst>
            <a:ext uri="{FF2B5EF4-FFF2-40B4-BE49-F238E27FC236}">
              <a16:creationId xmlns:a16="http://schemas.microsoft.com/office/drawing/2014/main" id="{F1F6A4B8-C194-4540-A1AA-93D018EDB817}"/>
            </a:ext>
          </a:extLst>
        </xdr:cNvPr>
        <xdr:cNvSpPr>
          <a:spLocks noChangeArrowheads="1"/>
        </xdr:cNvSpPr>
      </xdr:nvSpPr>
      <xdr:spPr bwMode="auto">
        <a:xfrm>
          <a:off x="5014001" y="32421877"/>
          <a:ext cx="393269" cy="41460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4050</xdr:colOff>
      <xdr:row>179</xdr:row>
      <xdr:rowOff>167356</xdr:rowOff>
    </xdr:from>
    <xdr:to>
      <xdr:col>13</xdr:col>
      <xdr:colOff>3582</xdr:colOff>
      <xdr:row>181</xdr:row>
      <xdr:rowOff>172793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8E9EAFA5-32AD-4E36-B7E7-FE2C06F0C917}"/>
            </a:ext>
          </a:extLst>
        </xdr:cNvPr>
        <xdr:cNvSpPr>
          <a:spLocks noChangeArrowheads="1"/>
        </xdr:cNvSpPr>
      </xdr:nvSpPr>
      <xdr:spPr bwMode="auto">
        <a:xfrm>
          <a:off x="4334750" y="32438056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179</xdr:row>
      <xdr:rowOff>173827</xdr:rowOff>
    </xdr:from>
    <xdr:to>
      <xdr:col>18</xdr:col>
      <xdr:colOff>188991</xdr:colOff>
      <xdr:row>180</xdr:row>
      <xdr:rowOff>89944</xdr:rowOff>
    </xdr:to>
    <xdr:sp macro="" textlink="">
      <xdr:nvSpPr>
        <xdr:cNvPr id="410" name="Freeform 10708">
          <a:extLst>
            <a:ext uri="{FF2B5EF4-FFF2-40B4-BE49-F238E27FC236}">
              <a16:creationId xmlns:a16="http://schemas.microsoft.com/office/drawing/2014/main" id="{593F2365-7791-4EA0-A287-2677F0E04187}"/>
            </a:ext>
          </a:extLst>
        </xdr:cNvPr>
        <xdr:cNvSpPr>
          <a:spLocks/>
        </xdr:cNvSpPr>
      </xdr:nvSpPr>
      <xdr:spPr bwMode="auto">
        <a:xfrm>
          <a:off x="5188268" y="32444527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179</xdr:row>
      <xdr:rowOff>149669</xdr:rowOff>
    </xdr:from>
    <xdr:to>
      <xdr:col>21</xdr:col>
      <xdr:colOff>8883</xdr:colOff>
      <xdr:row>181</xdr:row>
      <xdr:rowOff>176339</xdr:rowOff>
    </xdr:to>
    <xdr:sp macro="" textlink="">
      <xdr:nvSpPr>
        <xdr:cNvPr id="411" name="3">
          <a:extLst>
            <a:ext uri="{FF2B5EF4-FFF2-40B4-BE49-F238E27FC236}">
              <a16:creationId xmlns:a16="http://schemas.microsoft.com/office/drawing/2014/main" id="{A1B75E2D-C6BD-4874-AE3D-C96065E7C154}"/>
            </a:ext>
          </a:extLst>
        </xdr:cNvPr>
        <xdr:cNvSpPr>
          <a:spLocks noChangeArrowheads="1"/>
        </xdr:cNvSpPr>
      </xdr:nvSpPr>
      <xdr:spPr bwMode="auto">
        <a:xfrm>
          <a:off x="7390198" y="32420369"/>
          <a:ext cx="416485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362259</xdr:colOff>
      <xdr:row>179</xdr:row>
      <xdr:rowOff>168631</xdr:rowOff>
    </xdr:from>
    <xdr:to>
      <xdr:col>19</xdr:col>
      <xdr:colOff>3818</xdr:colOff>
      <xdr:row>181</xdr:row>
      <xdr:rowOff>174068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FA129F2-A552-4573-9B05-FE969ED39A37}"/>
            </a:ext>
          </a:extLst>
        </xdr:cNvPr>
        <xdr:cNvSpPr>
          <a:spLocks noChangeArrowheads="1"/>
        </xdr:cNvSpPr>
      </xdr:nvSpPr>
      <xdr:spPr bwMode="auto">
        <a:xfrm>
          <a:off x="6578909" y="32439331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186666</xdr:colOff>
      <xdr:row>179</xdr:row>
      <xdr:rowOff>170766</xdr:rowOff>
    </xdr:from>
    <xdr:to>
      <xdr:col>22</xdr:col>
      <xdr:colOff>191774</xdr:colOff>
      <xdr:row>180</xdr:row>
      <xdr:rowOff>88435</xdr:rowOff>
    </xdr:to>
    <xdr:sp macro="" textlink="">
      <xdr:nvSpPr>
        <xdr:cNvPr id="413" name="Freeform 10708">
          <a:extLst>
            <a:ext uri="{FF2B5EF4-FFF2-40B4-BE49-F238E27FC236}">
              <a16:creationId xmlns:a16="http://schemas.microsoft.com/office/drawing/2014/main" id="{19119F5F-9468-45A2-B600-41842B9D6FD5}"/>
            </a:ext>
          </a:extLst>
        </xdr:cNvPr>
        <xdr:cNvSpPr>
          <a:spLocks/>
        </xdr:cNvSpPr>
      </xdr:nvSpPr>
      <xdr:spPr bwMode="auto">
        <a:xfrm>
          <a:off x="7578066" y="32441466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179</xdr:row>
      <xdr:rowOff>175099</xdr:rowOff>
    </xdr:from>
    <xdr:to>
      <xdr:col>20</xdr:col>
      <xdr:colOff>197505</xdr:colOff>
      <xdr:row>180</xdr:row>
      <xdr:rowOff>87660</xdr:rowOff>
    </xdr:to>
    <xdr:sp macro="" textlink="">
      <xdr:nvSpPr>
        <xdr:cNvPr id="414" name="Freeform 10708">
          <a:extLst>
            <a:ext uri="{FF2B5EF4-FFF2-40B4-BE49-F238E27FC236}">
              <a16:creationId xmlns:a16="http://schemas.microsoft.com/office/drawing/2014/main" id="{CE624D86-C340-4168-9D6A-E329104EA25F}"/>
            </a:ext>
          </a:extLst>
        </xdr:cNvPr>
        <xdr:cNvSpPr>
          <a:spLocks/>
        </xdr:cNvSpPr>
      </xdr:nvSpPr>
      <xdr:spPr bwMode="auto">
        <a:xfrm>
          <a:off x="6820556" y="32445799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364255</xdr:colOff>
      <xdr:row>179</xdr:row>
      <xdr:rowOff>152453</xdr:rowOff>
    </xdr:from>
    <xdr:to>
      <xdr:col>25</xdr:col>
      <xdr:colOff>14664</xdr:colOff>
      <xdr:row>181</xdr:row>
      <xdr:rowOff>179123</xdr:rowOff>
    </xdr:to>
    <xdr:sp macro="" textlink="">
      <xdr:nvSpPr>
        <xdr:cNvPr id="415" name="3">
          <a:extLst>
            <a:ext uri="{FF2B5EF4-FFF2-40B4-BE49-F238E27FC236}">
              <a16:creationId xmlns:a16="http://schemas.microsoft.com/office/drawing/2014/main" id="{63F128C9-5BB6-47C9-AD47-A1714675C368}"/>
            </a:ext>
          </a:extLst>
        </xdr:cNvPr>
        <xdr:cNvSpPr>
          <a:spLocks noChangeArrowheads="1"/>
        </xdr:cNvSpPr>
      </xdr:nvSpPr>
      <xdr:spPr bwMode="auto">
        <a:xfrm>
          <a:off x="8930405" y="32423153"/>
          <a:ext cx="437809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179</xdr:row>
      <xdr:rowOff>161266</xdr:rowOff>
    </xdr:from>
    <xdr:to>
      <xdr:col>23</xdr:col>
      <xdr:colOff>3815</xdr:colOff>
      <xdr:row>181</xdr:row>
      <xdr:rowOff>166703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18C96E4D-6331-4164-8CD7-BE2D9446D9EF}"/>
            </a:ext>
          </a:extLst>
        </xdr:cNvPr>
        <xdr:cNvSpPr>
          <a:spLocks noChangeArrowheads="1"/>
        </xdr:cNvSpPr>
      </xdr:nvSpPr>
      <xdr:spPr bwMode="auto">
        <a:xfrm>
          <a:off x="8169742" y="32431966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179</xdr:row>
      <xdr:rowOff>165200</xdr:rowOff>
    </xdr:from>
    <xdr:to>
      <xdr:col>26</xdr:col>
      <xdr:colOff>194557</xdr:colOff>
      <xdr:row>180</xdr:row>
      <xdr:rowOff>80088</xdr:rowOff>
    </xdr:to>
    <xdr:sp macro="" textlink="">
      <xdr:nvSpPr>
        <xdr:cNvPr id="417" name="Freeform 10708">
          <a:extLst>
            <a:ext uri="{FF2B5EF4-FFF2-40B4-BE49-F238E27FC236}">
              <a16:creationId xmlns:a16="http://schemas.microsoft.com/office/drawing/2014/main" id="{42F355E4-2A8F-4209-8C42-4D61C848DF3C}"/>
            </a:ext>
          </a:extLst>
        </xdr:cNvPr>
        <xdr:cNvSpPr>
          <a:spLocks/>
        </xdr:cNvSpPr>
      </xdr:nvSpPr>
      <xdr:spPr bwMode="auto">
        <a:xfrm>
          <a:off x="9135144" y="32435900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179</xdr:row>
      <xdr:rowOff>162418</xdr:rowOff>
    </xdr:from>
    <xdr:to>
      <xdr:col>24</xdr:col>
      <xdr:colOff>180643</xdr:colOff>
      <xdr:row>180</xdr:row>
      <xdr:rowOff>84879</xdr:rowOff>
    </xdr:to>
    <xdr:sp macro="" textlink="">
      <xdr:nvSpPr>
        <xdr:cNvPr id="418" name="Freeform 10708">
          <a:extLst>
            <a:ext uri="{FF2B5EF4-FFF2-40B4-BE49-F238E27FC236}">
              <a16:creationId xmlns:a16="http://schemas.microsoft.com/office/drawing/2014/main" id="{841B3052-5331-4EFC-9523-DE15E5825BDC}"/>
            </a:ext>
          </a:extLst>
        </xdr:cNvPr>
        <xdr:cNvSpPr>
          <a:spLocks/>
        </xdr:cNvSpPr>
      </xdr:nvSpPr>
      <xdr:spPr bwMode="auto">
        <a:xfrm>
          <a:off x="8366933" y="32433118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388510</xdr:colOff>
      <xdr:row>179</xdr:row>
      <xdr:rowOff>149262</xdr:rowOff>
    </xdr:from>
    <xdr:to>
      <xdr:col>29</xdr:col>
      <xdr:colOff>10144</xdr:colOff>
      <xdr:row>181</xdr:row>
      <xdr:rowOff>175932</xdr:rowOff>
    </xdr:to>
    <xdr:sp macro="" textlink="">
      <xdr:nvSpPr>
        <xdr:cNvPr id="419" name="3">
          <a:extLst>
            <a:ext uri="{FF2B5EF4-FFF2-40B4-BE49-F238E27FC236}">
              <a16:creationId xmlns:a16="http://schemas.microsoft.com/office/drawing/2014/main" id="{CB5343D6-2E34-4EE8-9BD4-60CB91D5FEC9}"/>
            </a:ext>
          </a:extLst>
        </xdr:cNvPr>
        <xdr:cNvSpPr>
          <a:spLocks noChangeArrowheads="1"/>
        </xdr:cNvSpPr>
      </xdr:nvSpPr>
      <xdr:spPr bwMode="auto">
        <a:xfrm>
          <a:off x="10548510" y="32419962"/>
          <a:ext cx="42808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179</xdr:row>
      <xdr:rowOff>176850</xdr:rowOff>
    </xdr:from>
    <xdr:to>
      <xdr:col>27</xdr:col>
      <xdr:colOff>3614</xdr:colOff>
      <xdr:row>181</xdr:row>
      <xdr:rowOff>182565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BA3EEBDF-76A8-438D-A03B-B140CE4D178B}"/>
            </a:ext>
          </a:extLst>
        </xdr:cNvPr>
        <xdr:cNvSpPr>
          <a:spLocks noChangeArrowheads="1"/>
        </xdr:cNvSpPr>
      </xdr:nvSpPr>
      <xdr:spPr bwMode="auto">
        <a:xfrm>
          <a:off x="9760656" y="32447550"/>
          <a:ext cx="402958" cy="3740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198490</xdr:colOff>
      <xdr:row>179</xdr:row>
      <xdr:rowOff>165201</xdr:rowOff>
    </xdr:from>
    <xdr:to>
      <xdr:col>28</xdr:col>
      <xdr:colOff>197339</xdr:colOff>
      <xdr:row>180</xdr:row>
      <xdr:rowOff>70558</xdr:rowOff>
    </xdr:to>
    <xdr:sp macro="" textlink="">
      <xdr:nvSpPr>
        <xdr:cNvPr id="421" name="Freeform 10708">
          <a:extLst>
            <a:ext uri="{FF2B5EF4-FFF2-40B4-BE49-F238E27FC236}">
              <a16:creationId xmlns:a16="http://schemas.microsoft.com/office/drawing/2014/main" id="{6F1C72B8-08D0-44A3-86E2-1BADB846AC35}"/>
            </a:ext>
          </a:extLst>
        </xdr:cNvPr>
        <xdr:cNvSpPr>
          <a:spLocks/>
        </xdr:cNvSpPr>
      </xdr:nvSpPr>
      <xdr:spPr bwMode="auto">
        <a:xfrm>
          <a:off x="9958440" y="32435901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179</xdr:row>
      <xdr:rowOff>146073</xdr:rowOff>
    </xdr:from>
    <xdr:to>
      <xdr:col>31</xdr:col>
      <xdr:colOff>6301</xdr:colOff>
      <xdr:row>181</xdr:row>
      <xdr:rowOff>172743</xdr:rowOff>
    </xdr:to>
    <xdr:sp macro="" textlink="">
      <xdr:nvSpPr>
        <xdr:cNvPr id="422" name="3">
          <a:extLst>
            <a:ext uri="{FF2B5EF4-FFF2-40B4-BE49-F238E27FC236}">
              <a16:creationId xmlns:a16="http://schemas.microsoft.com/office/drawing/2014/main" id="{3E87AA7A-BEE9-4ADF-89DC-DD412F981C2B}"/>
            </a:ext>
          </a:extLst>
        </xdr:cNvPr>
        <xdr:cNvSpPr>
          <a:spLocks noChangeArrowheads="1"/>
        </xdr:cNvSpPr>
      </xdr:nvSpPr>
      <xdr:spPr bwMode="auto">
        <a:xfrm>
          <a:off x="11343570" y="32416773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0</xdr:colOff>
      <xdr:row>179</xdr:row>
      <xdr:rowOff>155212</xdr:rowOff>
    </xdr:from>
    <xdr:to>
      <xdr:col>2</xdr:col>
      <xdr:colOff>170281</xdr:colOff>
      <xdr:row>180</xdr:row>
      <xdr:rowOff>78832</xdr:rowOff>
    </xdr:to>
    <xdr:sp macro="" textlink="">
      <xdr:nvSpPr>
        <xdr:cNvPr id="423" name="Freeform 10708">
          <a:extLst>
            <a:ext uri="{FF2B5EF4-FFF2-40B4-BE49-F238E27FC236}">
              <a16:creationId xmlns:a16="http://schemas.microsoft.com/office/drawing/2014/main" id="{771EC637-793D-4814-9F72-151904260DD7}"/>
            </a:ext>
          </a:extLst>
        </xdr:cNvPr>
        <xdr:cNvSpPr>
          <a:spLocks/>
        </xdr:cNvSpPr>
      </xdr:nvSpPr>
      <xdr:spPr bwMode="auto">
        <a:xfrm>
          <a:off x="0" y="32425912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363941</xdr:colOff>
      <xdr:row>189</xdr:row>
      <xdr:rowOff>164426</xdr:rowOff>
    </xdr:from>
    <xdr:to>
      <xdr:col>7</xdr:col>
      <xdr:colOff>13868</xdr:colOff>
      <xdr:row>192</xdr:row>
      <xdr:rowOff>1872</xdr:rowOff>
    </xdr:to>
    <xdr:sp macro="" textlink="">
      <xdr:nvSpPr>
        <xdr:cNvPr id="424" name="3">
          <a:extLst>
            <a:ext uri="{FF2B5EF4-FFF2-40B4-BE49-F238E27FC236}">
              <a16:creationId xmlns:a16="http://schemas.microsoft.com/office/drawing/2014/main" id="{FC1B9B38-5737-4EED-8F3B-F4431A535303}"/>
            </a:ext>
          </a:extLst>
        </xdr:cNvPr>
        <xdr:cNvSpPr>
          <a:spLocks noChangeArrowheads="1"/>
        </xdr:cNvSpPr>
      </xdr:nvSpPr>
      <xdr:spPr bwMode="auto">
        <a:xfrm>
          <a:off x="2040341" y="34200426"/>
          <a:ext cx="411927" cy="39624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190</xdr:row>
      <xdr:rowOff>576</xdr:rowOff>
    </xdr:from>
    <xdr:to>
      <xdr:col>5</xdr:col>
      <xdr:colOff>10458</xdr:colOff>
      <xdr:row>191</xdr:row>
      <xdr:rowOff>186043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6811DCA8-5136-4B68-AE69-42225A6B812A}"/>
            </a:ext>
          </a:extLst>
        </xdr:cNvPr>
        <xdr:cNvSpPr>
          <a:spLocks noChangeArrowheads="1"/>
        </xdr:cNvSpPr>
      </xdr:nvSpPr>
      <xdr:spPr bwMode="auto">
        <a:xfrm>
          <a:off x="1284651" y="34220726"/>
          <a:ext cx="402207" cy="36961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206708</xdr:colOff>
      <xdr:row>189</xdr:row>
      <xdr:rowOff>179572</xdr:rowOff>
    </xdr:from>
    <xdr:to>
      <xdr:col>4</xdr:col>
      <xdr:colOff>206708</xdr:colOff>
      <xdr:row>190</xdr:row>
      <xdr:rowOff>91287</xdr:rowOff>
    </xdr:to>
    <xdr:sp macro="" textlink="">
      <xdr:nvSpPr>
        <xdr:cNvPr id="426" name="Freeform 10708">
          <a:extLst>
            <a:ext uri="{FF2B5EF4-FFF2-40B4-BE49-F238E27FC236}">
              <a16:creationId xmlns:a16="http://schemas.microsoft.com/office/drawing/2014/main" id="{B60BE2AB-E7A2-422F-B02B-3DE3EE2A56AB}"/>
            </a:ext>
          </a:extLst>
        </xdr:cNvPr>
        <xdr:cNvSpPr>
          <a:spLocks/>
        </xdr:cNvSpPr>
      </xdr:nvSpPr>
      <xdr:spPr bwMode="auto">
        <a:xfrm>
          <a:off x="714708" y="34215572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190</xdr:row>
      <xdr:rowOff>734</xdr:rowOff>
    </xdr:from>
    <xdr:to>
      <xdr:col>3</xdr:col>
      <xdr:colOff>9067</xdr:colOff>
      <xdr:row>191</xdr:row>
      <xdr:rowOff>184861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A4A98C40-4BDC-46CC-A22E-29213691CDB9}"/>
            </a:ext>
          </a:extLst>
        </xdr:cNvPr>
        <xdr:cNvSpPr>
          <a:spLocks noChangeArrowheads="1"/>
        </xdr:cNvSpPr>
      </xdr:nvSpPr>
      <xdr:spPr bwMode="auto">
        <a:xfrm>
          <a:off x="514911" y="34220884"/>
          <a:ext cx="402206" cy="36827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362077</xdr:colOff>
      <xdr:row>189</xdr:row>
      <xdr:rowOff>154569</xdr:rowOff>
    </xdr:from>
    <xdr:to>
      <xdr:col>11</xdr:col>
      <xdr:colOff>10135</xdr:colOff>
      <xdr:row>191</xdr:row>
      <xdr:rowOff>181240</xdr:rowOff>
    </xdr:to>
    <xdr:sp macro="" textlink="">
      <xdr:nvSpPr>
        <xdr:cNvPr id="428" name="3">
          <a:extLst>
            <a:ext uri="{FF2B5EF4-FFF2-40B4-BE49-F238E27FC236}">
              <a16:creationId xmlns:a16="http://schemas.microsoft.com/office/drawing/2014/main" id="{AF6F6A50-023E-4430-8011-3DC5D3395651}"/>
            </a:ext>
          </a:extLst>
        </xdr:cNvPr>
        <xdr:cNvSpPr>
          <a:spLocks noChangeArrowheads="1"/>
        </xdr:cNvSpPr>
      </xdr:nvSpPr>
      <xdr:spPr bwMode="auto">
        <a:xfrm>
          <a:off x="3587877" y="34190569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3710</xdr:colOff>
      <xdr:row>189</xdr:row>
      <xdr:rowOff>173531</xdr:rowOff>
    </xdr:from>
    <xdr:to>
      <xdr:col>9</xdr:col>
      <xdr:colOff>8117</xdr:colOff>
      <xdr:row>191</xdr:row>
      <xdr:rowOff>178969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7A42362-AAA8-4C41-A243-45EB29136421}"/>
            </a:ext>
          </a:extLst>
        </xdr:cNvPr>
        <xdr:cNvSpPr>
          <a:spLocks noChangeArrowheads="1"/>
        </xdr:cNvSpPr>
      </xdr:nvSpPr>
      <xdr:spPr bwMode="auto">
        <a:xfrm>
          <a:off x="2829460" y="34209531"/>
          <a:ext cx="40445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194366</xdr:colOff>
      <xdr:row>189</xdr:row>
      <xdr:rowOff>168591</xdr:rowOff>
    </xdr:from>
    <xdr:to>
      <xdr:col>10</xdr:col>
      <xdr:colOff>201867</xdr:colOff>
      <xdr:row>190</xdr:row>
      <xdr:rowOff>81431</xdr:rowOff>
    </xdr:to>
    <xdr:sp macro="" textlink="">
      <xdr:nvSpPr>
        <xdr:cNvPr id="430" name="Freeform 10708">
          <a:extLst>
            <a:ext uri="{FF2B5EF4-FFF2-40B4-BE49-F238E27FC236}">
              <a16:creationId xmlns:a16="http://schemas.microsoft.com/office/drawing/2014/main" id="{0EE3F52D-A003-42E8-94DC-2234E1DC9580}"/>
            </a:ext>
          </a:extLst>
        </xdr:cNvPr>
        <xdr:cNvSpPr>
          <a:spLocks/>
        </xdr:cNvSpPr>
      </xdr:nvSpPr>
      <xdr:spPr bwMode="auto">
        <a:xfrm>
          <a:off x="3020116" y="34204591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295353</xdr:colOff>
      <xdr:row>189</xdr:row>
      <xdr:rowOff>156923</xdr:rowOff>
    </xdr:from>
    <xdr:to>
      <xdr:col>14</xdr:col>
      <xdr:colOff>362857</xdr:colOff>
      <xdr:row>191</xdr:row>
      <xdr:rowOff>181429</xdr:rowOff>
    </xdr:to>
    <xdr:sp macro="" textlink="">
      <xdr:nvSpPr>
        <xdr:cNvPr id="431" name="3">
          <a:extLst>
            <a:ext uri="{FF2B5EF4-FFF2-40B4-BE49-F238E27FC236}">
              <a16:creationId xmlns:a16="http://schemas.microsoft.com/office/drawing/2014/main" id="{7996B09A-E273-40E4-BC8E-B8D2EE095983}"/>
            </a:ext>
          </a:extLst>
        </xdr:cNvPr>
        <xdr:cNvSpPr>
          <a:spLocks noChangeArrowheads="1"/>
        </xdr:cNvSpPr>
      </xdr:nvSpPr>
      <xdr:spPr bwMode="auto">
        <a:xfrm>
          <a:off x="5013403" y="34192923"/>
          <a:ext cx="365954" cy="39280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9803</xdr:colOff>
      <xdr:row>189</xdr:row>
      <xdr:rowOff>173102</xdr:rowOff>
    </xdr:from>
    <xdr:to>
      <xdr:col>13</xdr:col>
      <xdr:colOff>9335</xdr:colOff>
      <xdr:row>191</xdr:row>
      <xdr:rowOff>178540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61F73A07-573E-44D0-AC59-60BDC3ECB2FD}"/>
            </a:ext>
          </a:extLst>
        </xdr:cNvPr>
        <xdr:cNvSpPr>
          <a:spLocks noChangeArrowheads="1"/>
        </xdr:cNvSpPr>
      </xdr:nvSpPr>
      <xdr:spPr bwMode="auto">
        <a:xfrm>
          <a:off x="4340503" y="34209102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177521</xdr:colOff>
      <xdr:row>189</xdr:row>
      <xdr:rowOff>179573</xdr:rowOff>
    </xdr:from>
    <xdr:to>
      <xdr:col>18</xdr:col>
      <xdr:colOff>194744</xdr:colOff>
      <xdr:row>190</xdr:row>
      <xdr:rowOff>95691</xdr:rowOff>
    </xdr:to>
    <xdr:sp macro="" textlink="">
      <xdr:nvSpPr>
        <xdr:cNvPr id="433" name="Freeform 10708">
          <a:extLst>
            <a:ext uri="{FF2B5EF4-FFF2-40B4-BE49-F238E27FC236}">
              <a16:creationId xmlns:a16="http://schemas.microsoft.com/office/drawing/2014/main" id="{B5F9D4BC-56A8-4D13-BA8D-16A2CB1761DE}"/>
            </a:ext>
          </a:extLst>
        </xdr:cNvPr>
        <xdr:cNvSpPr>
          <a:spLocks/>
        </xdr:cNvSpPr>
      </xdr:nvSpPr>
      <xdr:spPr bwMode="auto">
        <a:xfrm>
          <a:off x="5194021" y="34215573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206993</xdr:colOff>
      <xdr:row>189</xdr:row>
      <xdr:rowOff>170945</xdr:rowOff>
    </xdr:from>
    <xdr:to>
      <xdr:col>14</xdr:col>
      <xdr:colOff>199491</xdr:colOff>
      <xdr:row>190</xdr:row>
      <xdr:rowOff>83785</xdr:rowOff>
    </xdr:to>
    <xdr:sp macro="" textlink="">
      <xdr:nvSpPr>
        <xdr:cNvPr id="434" name="Freeform 10708">
          <a:extLst>
            <a:ext uri="{FF2B5EF4-FFF2-40B4-BE49-F238E27FC236}">
              <a16:creationId xmlns:a16="http://schemas.microsoft.com/office/drawing/2014/main" id="{0218F0B2-345B-438C-9121-0308647BD6E6}"/>
            </a:ext>
          </a:extLst>
        </xdr:cNvPr>
        <xdr:cNvSpPr>
          <a:spLocks/>
        </xdr:cNvSpPr>
      </xdr:nvSpPr>
      <xdr:spPr bwMode="auto">
        <a:xfrm>
          <a:off x="4537693" y="34206945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4268</xdr:colOff>
      <xdr:row>189</xdr:row>
      <xdr:rowOff>155415</xdr:rowOff>
    </xdr:from>
    <xdr:to>
      <xdr:col>21</xdr:col>
      <xdr:colOff>14636</xdr:colOff>
      <xdr:row>191</xdr:row>
      <xdr:rowOff>182086</xdr:rowOff>
    </xdr:to>
    <xdr:sp macro="" textlink="">
      <xdr:nvSpPr>
        <xdr:cNvPr id="435" name="3">
          <a:extLst>
            <a:ext uri="{FF2B5EF4-FFF2-40B4-BE49-F238E27FC236}">
              <a16:creationId xmlns:a16="http://schemas.microsoft.com/office/drawing/2014/main" id="{9BDD5D32-1B42-4D6F-84B3-8A1CBBA03165}"/>
            </a:ext>
          </a:extLst>
        </xdr:cNvPr>
        <xdr:cNvSpPr>
          <a:spLocks noChangeArrowheads="1"/>
        </xdr:cNvSpPr>
      </xdr:nvSpPr>
      <xdr:spPr bwMode="auto">
        <a:xfrm>
          <a:off x="7395668" y="34191415"/>
          <a:ext cx="41676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368012</xdr:colOff>
      <xdr:row>189</xdr:row>
      <xdr:rowOff>174377</xdr:rowOff>
    </xdr:from>
    <xdr:to>
      <xdr:col>19</xdr:col>
      <xdr:colOff>9571</xdr:colOff>
      <xdr:row>191</xdr:row>
      <xdr:rowOff>179815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F808A06A-384E-4DFE-B0B3-70AA1E00FDF1}"/>
            </a:ext>
          </a:extLst>
        </xdr:cNvPr>
        <xdr:cNvSpPr>
          <a:spLocks noChangeArrowheads="1"/>
        </xdr:cNvSpPr>
      </xdr:nvSpPr>
      <xdr:spPr bwMode="auto">
        <a:xfrm>
          <a:off x="6584662" y="34210377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1424</xdr:colOff>
      <xdr:row>189</xdr:row>
      <xdr:rowOff>158199</xdr:rowOff>
    </xdr:from>
    <xdr:to>
      <xdr:col>25</xdr:col>
      <xdr:colOff>20417</xdr:colOff>
      <xdr:row>191</xdr:row>
      <xdr:rowOff>184870</xdr:rowOff>
    </xdr:to>
    <xdr:sp macro="" textlink="">
      <xdr:nvSpPr>
        <xdr:cNvPr id="437" name="3">
          <a:extLst>
            <a:ext uri="{FF2B5EF4-FFF2-40B4-BE49-F238E27FC236}">
              <a16:creationId xmlns:a16="http://schemas.microsoft.com/office/drawing/2014/main" id="{3113A83C-E1B2-4AA0-BB2E-0EBFC0FB2096}"/>
            </a:ext>
          </a:extLst>
        </xdr:cNvPr>
        <xdr:cNvSpPr>
          <a:spLocks noChangeArrowheads="1"/>
        </xdr:cNvSpPr>
      </xdr:nvSpPr>
      <xdr:spPr bwMode="auto">
        <a:xfrm>
          <a:off x="8954924" y="34194199"/>
          <a:ext cx="41904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9395</xdr:colOff>
      <xdr:row>189</xdr:row>
      <xdr:rowOff>177161</xdr:rowOff>
    </xdr:from>
    <xdr:to>
      <xdr:col>23</xdr:col>
      <xdr:colOff>9568</xdr:colOff>
      <xdr:row>191</xdr:row>
      <xdr:rowOff>182599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19D527E-2C5A-4EEF-B051-D4D1C11A29B7}"/>
            </a:ext>
          </a:extLst>
        </xdr:cNvPr>
        <xdr:cNvSpPr>
          <a:spLocks noChangeArrowheads="1"/>
        </xdr:cNvSpPr>
      </xdr:nvSpPr>
      <xdr:spPr bwMode="auto">
        <a:xfrm>
          <a:off x="8175495" y="34213161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187397</xdr:colOff>
      <xdr:row>189</xdr:row>
      <xdr:rowOff>170946</xdr:rowOff>
    </xdr:from>
    <xdr:to>
      <xdr:col>26</xdr:col>
      <xdr:colOff>200310</xdr:colOff>
      <xdr:row>190</xdr:row>
      <xdr:rowOff>85835</xdr:rowOff>
    </xdr:to>
    <xdr:sp macro="" textlink="">
      <xdr:nvSpPr>
        <xdr:cNvPr id="439" name="Freeform 10708">
          <a:extLst>
            <a:ext uri="{FF2B5EF4-FFF2-40B4-BE49-F238E27FC236}">
              <a16:creationId xmlns:a16="http://schemas.microsoft.com/office/drawing/2014/main" id="{C6E03F0D-8504-4898-9773-B3C7B2E2FC43}"/>
            </a:ext>
          </a:extLst>
        </xdr:cNvPr>
        <xdr:cNvSpPr>
          <a:spLocks/>
        </xdr:cNvSpPr>
      </xdr:nvSpPr>
      <xdr:spPr bwMode="auto">
        <a:xfrm>
          <a:off x="9140897" y="34206946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206586</xdr:colOff>
      <xdr:row>189</xdr:row>
      <xdr:rowOff>168164</xdr:rowOff>
    </xdr:from>
    <xdr:to>
      <xdr:col>24</xdr:col>
      <xdr:colOff>186396</xdr:colOff>
      <xdr:row>190</xdr:row>
      <xdr:rowOff>90626</xdr:rowOff>
    </xdr:to>
    <xdr:sp macro="" textlink="">
      <xdr:nvSpPr>
        <xdr:cNvPr id="440" name="Freeform 10708">
          <a:extLst>
            <a:ext uri="{FF2B5EF4-FFF2-40B4-BE49-F238E27FC236}">
              <a16:creationId xmlns:a16="http://schemas.microsoft.com/office/drawing/2014/main" id="{52F67F50-FB86-4E8C-A3B6-A4AF6568CE18}"/>
            </a:ext>
          </a:extLst>
        </xdr:cNvPr>
        <xdr:cNvSpPr>
          <a:spLocks/>
        </xdr:cNvSpPr>
      </xdr:nvSpPr>
      <xdr:spPr bwMode="auto">
        <a:xfrm>
          <a:off x="8372686" y="34204164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2153</xdr:colOff>
      <xdr:row>189</xdr:row>
      <xdr:rowOff>155008</xdr:rowOff>
    </xdr:from>
    <xdr:to>
      <xdr:col>29</xdr:col>
      <xdr:colOff>15897</xdr:colOff>
      <xdr:row>191</xdr:row>
      <xdr:rowOff>181679</xdr:rowOff>
    </xdr:to>
    <xdr:sp macro="" textlink="">
      <xdr:nvSpPr>
        <xdr:cNvPr id="441" name="3">
          <a:extLst>
            <a:ext uri="{FF2B5EF4-FFF2-40B4-BE49-F238E27FC236}">
              <a16:creationId xmlns:a16="http://schemas.microsoft.com/office/drawing/2014/main" id="{B269E696-7B6F-4CAB-825C-78960D5BCD1D}"/>
            </a:ext>
          </a:extLst>
        </xdr:cNvPr>
        <xdr:cNvSpPr>
          <a:spLocks noChangeArrowheads="1"/>
        </xdr:cNvSpPr>
      </xdr:nvSpPr>
      <xdr:spPr bwMode="auto">
        <a:xfrm>
          <a:off x="10568553" y="34191008"/>
          <a:ext cx="41379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6459</xdr:colOff>
      <xdr:row>190</xdr:row>
      <xdr:rowOff>1442</xdr:rowOff>
    </xdr:from>
    <xdr:to>
      <xdr:col>27</xdr:col>
      <xdr:colOff>9367</xdr:colOff>
      <xdr:row>192</xdr:row>
      <xdr:rowOff>100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A71BB202-C788-4E43-9170-AE4B6D7E8FAB}"/>
            </a:ext>
          </a:extLst>
        </xdr:cNvPr>
        <xdr:cNvSpPr>
          <a:spLocks noChangeArrowheads="1"/>
        </xdr:cNvSpPr>
      </xdr:nvSpPr>
      <xdr:spPr bwMode="auto">
        <a:xfrm>
          <a:off x="9766409" y="34221592"/>
          <a:ext cx="402958" cy="37330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214223</xdr:colOff>
      <xdr:row>189</xdr:row>
      <xdr:rowOff>168164</xdr:rowOff>
    </xdr:from>
    <xdr:to>
      <xdr:col>30</xdr:col>
      <xdr:colOff>206245</xdr:colOff>
      <xdr:row>190</xdr:row>
      <xdr:rowOff>88210</xdr:rowOff>
    </xdr:to>
    <xdr:sp macro="" textlink="">
      <xdr:nvSpPr>
        <xdr:cNvPr id="443" name="Freeform 10708">
          <a:extLst>
            <a:ext uri="{FF2B5EF4-FFF2-40B4-BE49-F238E27FC236}">
              <a16:creationId xmlns:a16="http://schemas.microsoft.com/office/drawing/2014/main" id="{30DF80EC-F853-4E32-9495-E432E26609F6}"/>
            </a:ext>
          </a:extLst>
        </xdr:cNvPr>
        <xdr:cNvSpPr>
          <a:spLocks/>
        </xdr:cNvSpPr>
      </xdr:nvSpPr>
      <xdr:spPr bwMode="auto">
        <a:xfrm>
          <a:off x="10780623" y="34204164"/>
          <a:ext cx="754022" cy="1041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204243</xdr:colOff>
      <xdr:row>189</xdr:row>
      <xdr:rowOff>170947</xdr:rowOff>
    </xdr:from>
    <xdr:to>
      <xdr:col>28</xdr:col>
      <xdr:colOff>203092</xdr:colOff>
      <xdr:row>190</xdr:row>
      <xdr:rowOff>76305</xdr:rowOff>
    </xdr:to>
    <xdr:sp macro="" textlink="">
      <xdr:nvSpPr>
        <xdr:cNvPr id="444" name="Freeform 10708">
          <a:extLst>
            <a:ext uri="{FF2B5EF4-FFF2-40B4-BE49-F238E27FC236}">
              <a16:creationId xmlns:a16="http://schemas.microsoft.com/office/drawing/2014/main" id="{554CE957-66A4-4F6A-9CE7-ECD46196B43D}"/>
            </a:ext>
          </a:extLst>
        </xdr:cNvPr>
        <xdr:cNvSpPr>
          <a:spLocks/>
        </xdr:cNvSpPr>
      </xdr:nvSpPr>
      <xdr:spPr bwMode="auto">
        <a:xfrm>
          <a:off x="9964193" y="34206947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20923</xdr:colOff>
      <xdr:row>189</xdr:row>
      <xdr:rowOff>151819</xdr:rowOff>
    </xdr:from>
    <xdr:to>
      <xdr:col>31</xdr:col>
      <xdr:colOff>12054</xdr:colOff>
      <xdr:row>191</xdr:row>
      <xdr:rowOff>178490</xdr:rowOff>
    </xdr:to>
    <xdr:sp macro="" textlink="">
      <xdr:nvSpPr>
        <xdr:cNvPr id="445" name="3">
          <a:extLst>
            <a:ext uri="{FF2B5EF4-FFF2-40B4-BE49-F238E27FC236}">
              <a16:creationId xmlns:a16="http://schemas.microsoft.com/office/drawing/2014/main" id="{C2B90D74-3B42-41C4-B807-11A2F107CB06}"/>
            </a:ext>
          </a:extLst>
        </xdr:cNvPr>
        <xdr:cNvSpPr>
          <a:spLocks noChangeArrowheads="1"/>
        </xdr:cNvSpPr>
      </xdr:nvSpPr>
      <xdr:spPr bwMode="auto">
        <a:xfrm>
          <a:off x="11349323" y="34187819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5753</xdr:colOff>
      <xdr:row>189</xdr:row>
      <xdr:rowOff>160958</xdr:rowOff>
    </xdr:from>
    <xdr:to>
      <xdr:col>2</xdr:col>
      <xdr:colOff>176034</xdr:colOff>
      <xdr:row>190</xdr:row>
      <xdr:rowOff>84579</xdr:rowOff>
    </xdr:to>
    <xdr:sp macro="" textlink="">
      <xdr:nvSpPr>
        <xdr:cNvPr id="446" name="Freeform 10708">
          <a:extLst>
            <a:ext uri="{FF2B5EF4-FFF2-40B4-BE49-F238E27FC236}">
              <a16:creationId xmlns:a16="http://schemas.microsoft.com/office/drawing/2014/main" id="{32A7A62A-9248-4D86-A22F-B2517674DC21}"/>
            </a:ext>
          </a:extLst>
        </xdr:cNvPr>
        <xdr:cNvSpPr>
          <a:spLocks/>
        </xdr:cNvSpPr>
      </xdr:nvSpPr>
      <xdr:spPr bwMode="auto">
        <a:xfrm>
          <a:off x="5753" y="34196958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200</xdr:row>
      <xdr:rowOff>155804</xdr:rowOff>
    </xdr:from>
    <xdr:to>
      <xdr:col>7</xdr:col>
      <xdr:colOff>8115</xdr:colOff>
      <xdr:row>202</xdr:row>
      <xdr:rowOff>183030</xdr:rowOff>
    </xdr:to>
    <xdr:sp macro="" textlink="">
      <xdr:nvSpPr>
        <xdr:cNvPr id="447" name="3">
          <a:extLst>
            <a:ext uri="{FF2B5EF4-FFF2-40B4-BE49-F238E27FC236}">
              <a16:creationId xmlns:a16="http://schemas.microsoft.com/office/drawing/2014/main" id="{115E17D4-2AD6-4B3C-B552-177E984D86E3}"/>
            </a:ext>
          </a:extLst>
        </xdr:cNvPr>
        <xdr:cNvSpPr>
          <a:spLocks noChangeArrowheads="1"/>
        </xdr:cNvSpPr>
      </xdr:nvSpPr>
      <xdr:spPr bwMode="auto">
        <a:xfrm>
          <a:off x="2036940" y="36141254"/>
          <a:ext cx="409575" cy="39552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200</xdr:row>
      <xdr:rowOff>173108</xdr:rowOff>
    </xdr:from>
    <xdr:to>
      <xdr:col>5</xdr:col>
      <xdr:colOff>4705</xdr:colOff>
      <xdr:row>202</xdr:row>
      <xdr:rowOff>177420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7673944D-16FF-4E87-806C-A51DC65F46D8}"/>
            </a:ext>
          </a:extLst>
        </xdr:cNvPr>
        <xdr:cNvSpPr>
          <a:spLocks noChangeArrowheads="1"/>
        </xdr:cNvSpPr>
      </xdr:nvSpPr>
      <xdr:spPr bwMode="auto">
        <a:xfrm>
          <a:off x="1278898" y="36158558"/>
          <a:ext cx="402207" cy="37261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200955</xdr:colOff>
      <xdr:row>200</xdr:row>
      <xdr:rowOff>170950</xdr:rowOff>
    </xdr:from>
    <xdr:to>
      <xdr:col>4</xdr:col>
      <xdr:colOff>200955</xdr:colOff>
      <xdr:row>201</xdr:row>
      <xdr:rowOff>82664</xdr:rowOff>
    </xdr:to>
    <xdr:sp macro="" textlink="">
      <xdr:nvSpPr>
        <xdr:cNvPr id="449" name="Freeform 10708">
          <a:extLst>
            <a:ext uri="{FF2B5EF4-FFF2-40B4-BE49-F238E27FC236}">
              <a16:creationId xmlns:a16="http://schemas.microsoft.com/office/drawing/2014/main" id="{716B87C2-CB96-455A-93B8-0FD6C2B0D307}"/>
            </a:ext>
          </a:extLst>
        </xdr:cNvPr>
        <xdr:cNvSpPr>
          <a:spLocks/>
        </xdr:cNvSpPr>
      </xdr:nvSpPr>
      <xdr:spPr bwMode="auto">
        <a:xfrm>
          <a:off x="708955" y="36156400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200</xdr:row>
      <xdr:rowOff>170951</xdr:rowOff>
    </xdr:from>
    <xdr:to>
      <xdr:col>8</xdr:col>
      <xdr:colOff>202575</xdr:colOff>
      <xdr:row>201</xdr:row>
      <xdr:rowOff>94571</xdr:rowOff>
    </xdr:to>
    <xdr:sp macro="" textlink="">
      <xdr:nvSpPr>
        <xdr:cNvPr id="450" name="Freeform 10708">
          <a:extLst>
            <a:ext uri="{FF2B5EF4-FFF2-40B4-BE49-F238E27FC236}">
              <a16:creationId xmlns:a16="http://schemas.microsoft.com/office/drawing/2014/main" id="{E6C8E076-6AB3-458D-B489-01A3A4719A14}"/>
            </a:ext>
          </a:extLst>
        </xdr:cNvPr>
        <xdr:cNvSpPr>
          <a:spLocks/>
        </xdr:cNvSpPr>
      </xdr:nvSpPr>
      <xdr:spPr bwMode="auto">
        <a:xfrm>
          <a:off x="2238543" y="36156401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200</xdr:row>
      <xdr:rowOff>172482</xdr:rowOff>
    </xdr:from>
    <xdr:to>
      <xdr:col>3</xdr:col>
      <xdr:colOff>3314</xdr:colOff>
      <xdr:row>202</xdr:row>
      <xdr:rowOff>176238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2617DAC5-E733-48A7-BC9B-A003059D24D0}"/>
            </a:ext>
          </a:extLst>
        </xdr:cNvPr>
        <xdr:cNvSpPr>
          <a:spLocks noChangeArrowheads="1"/>
        </xdr:cNvSpPr>
      </xdr:nvSpPr>
      <xdr:spPr bwMode="auto">
        <a:xfrm>
          <a:off x="509158" y="36157932"/>
          <a:ext cx="402206" cy="37205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200</xdr:row>
      <xdr:rowOff>170951</xdr:rowOff>
    </xdr:from>
    <xdr:to>
      <xdr:col>6</xdr:col>
      <xdr:colOff>203113</xdr:colOff>
      <xdr:row>201</xdr:row>
      <xdr:rowOff>82665</xdr:rowOff>
    </xdr:to>
    <xdr:sp macro="" textlink="">
      <xdr:nvSpPr>
        <xdr:cNvPr id="452" name="Freeform 10708">
          <a:extLst>
            <a:ext uri="{FF2B5EF4-FFF2-40B4-BE49-F238E27FC236}">
              <a16:creationId xmlns:a16="http://schemas.microsoft.com/office/drawing/2014/main" id="{D37D7D4D-B583-4498-A210-E534E39A5413}"/>
            </a:ext>
          </a:extLst>
        </xdr:cNvPr>
        <xdr:cNvSpPr>
          <a:spLocks/>
        </xdr:cNvSpPr>
      </xdr:nvSpPr>
      <xdr:spPr bwMode="auto">
        <a:xfrm>
          <a:off x="1479463" y="36156401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200</xdr:row>
      <xdr:rowOff>145947</xdr:rowOff>
    </xdr:from>
    <xdr:to>
      <xdr:col>11</xdr:col>
      <xdr:colOff>4382</xdr:colOff>
      <xdr:row>202</xdr:row>
      <xdr:rowOff>172617</xdr:rowOff>
    </xdr:to>
    <xdr:sp macro="" textlink="">
      <xdr:nvSpPr>
        <xdr:cNvPr id="453" name="3">
          <a:extLst>
            <a:ext uri="{FF2B5EF4-FFF2-40B4-BE49-F238E27FC236}">
              <a16:creationId xmlns:a16="http://schemas.microsoft.com/office/drawing/2014/main" id="{99225310-CD34-48BD-9DD8-7E537385ED25}"/>
            </a:ext>
          </a:extLst>
        </xdr:cNvPr>
        <xdr:cNvSpPr>
          <a:spLocks noChangeArrowheads="1"/>
        </xdr:cNvSpPr>
      </xdr:nvSpPr>
      <xdr:spPr bwMode="auto">
        <a:xfrm>
          <a:off x="3582124" y="36131397"/>
          <a:ext cx="40370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429278</xdr:colOff>
      <xdr:row>200</xdr:row>
      <xdr:rowOff>164909</xdr:rowOff>
    </xdr:from>
    <xdr:to>
      <xdr:col>9</xdr:col>
      <xdr:colOff>2364</xdr:colOff>
      <xdr:row>202</xdr:row>
      <xdr:rowOff>170346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FD11AAEB-4C4B-41CA-944F-7B78DFBF4979}"/>
            </a:ext>
          </a:extLst>
        </xdr:cNvPr>
        <xdr:cNvSpPr>
          <a:spLocks noChangeArrowheads="1"/>
        </xdr:cNvSpPr>
      </xdr:nvSpPr>
      <xdr:spPr bwMode="auto">
        <a:xfrm>
          <a:off x="2823228" y="36150359"/>
          <a:ext cx="404936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200</xdr:row>
      <xdr:rowOff>159969</xdr:rowOff>
    </xdr:from>
    <xdr:to>
      <xdr:col>12</xdr:col>
      <xdr:colOff>263087</xdr:colOff>
      <xdr:row>201</xdr:row>
      <xdr:rowOff>84714</xdr:rowOff>
    </xdr:to>
    <xdr:sp macro="" textlink="">
      <xdr:nvSpPr>
        <xdr:cNvPr id="455" name="Freeform 10708">
          <a:extLst>
            <a:ext uri="{FF2B5EF4-FFF2-40B4-BE49-F238E27FC236}">
              <a16:creationId xmlns:a16="http://schemas.microsoft.com/office/drawing/2014/main" id="{3B0E8A9E-E198-4F03-8916-4676B51AA6E3}"/>
            </a:ext>
          </a:extLst>
        </xdr:cNvPr>
        <xdr:cNvSpPr>
          <a:spLocks/>
        </xdr:cNvSpPr>
      </xdr:nvSpPr>
      <xdr:spPr bwMode="auto">
        <a:xfrm>
          <a:off x="3768244" y="36145419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200</xdr:row>
      <xdr:rowOff>159969</xdr:rowOff>
    </xdr:from>
    <xdr:to>
      <xdr:col>10</xdr:col>
      <xdr:colOff>196114</xdr:colOff>
      <xdr:row>201</xdr:row>
      <xdr:rowOff>72808</xdr:rowOff>
    </xdr:to>
    <xdr:sp macro="" textlink="">
      <xdr:nvSpPr>
        <xdr:cNvPr id="456" name="Freeform 10708">
          <a:extLst>
            <a:ext uri="{FF2B5EF4-FFF2-40B4-BE49-F238E27FC236}">
              <a16:creationId xmlns:a16="http://schemas.microsoft.com/office/drawing/2014/main" id="{969A1C09-B4A0-451E-944C-9CFABD5643C0}"/>
            </a:ext>
          </a:extLst>
        </xdr:cNvPr>
        <xdr:cNvSpPr>
          <a:spLocks/>
        </xdr:cNvSpPr>
      </xdr:nvSpPr>
      <xdr:spPr bwMode="auto">
        <a:xfrm>
          <a:off x="3014363" y="36145419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200</xdr:row>
      <xdr:rowOff>148301</xdr:rowOff>
    </xdr:from>
    <xdr:to>
      <xdr:col>14</xdr:col>
      <xdr:colOff>390770</xdr:colOff>
      <xdr:row>203</xdr:row>
      <xdr:rowOff>6978</xdr:rowOff>
    </xdr:to>
    <xdr:sp macro="" textlink="">
      <xdr:nvSpPr>
        <xdr:cNvPr id="457" name="3">
          <a:extLst>
            <a:ext uri="{FF2B5EF4-FFF2-40B4-BE49-F238E27FC236}">
              <a16:creationId xmlns:a16="http://schemas.microsoft.com/office/drawing/2014/main" id="{D5CC0A1C-ADFF-4827-B91E-5127C188F02E}"/>
            </a:ext>
          </a:extLst>
        </xdr:cNvPr>
        <xdr:cNvSpPr>
          <a:spLocks noChangeArrowheads="1"/>
        </xdr:cNvSpPr>
      </xdr:nvSpPr>
      <xdr:spPr bwMode="auto">
        <a:xfrm>
          <a:off x="5014001" y="36133751"/>
          <a:ext cx="393269" cy="41747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4050</xdr:colOff>
      <xdr:row>200</xdr:row>
      <xdr:rowOff>164480</xdr:rowOff>
    </xdr:from>
    <xdr:to>
      <xdr:col>13</xdr:col>
      <xdr:colOff>3582</xdr:colOff>
      <xdr:row>202</xdr:row>
      <xdr:rowOff>169917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C95392F7-39A2-4986-BF2F-220578C77593}"/>
            </a:ext>
          </a:extLst>
        </xdr:cNvPr>
        <xdr:cNvSpPr>
          <a:spLocks noChangeArrowheads="1"/>
        </xdr:cNvSpPr>
      </xdr:nvSpPr>
      <xdr:spPr bwMode="auto">
        <a:xfrm>
          <a:off x="4334750" y="36149930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171768</xdr:colOff>
      <xdr:row>200</xdr:row>
      <xdr:rowOff>170951</xdr:rowOff>
    </xdr:from>
    <xdr:to>
      <xdr:col>18</xdr:col>
      <xdr:colOff>188991</xdr:colOff>
      <xdr:row>201</xdr:row>
      <xdr:rowOff>87068</xdr:rowOff>
    </xdr:to>
    <xdr:sp macro="" textlink="">
      <xdr:nvSpPr>
        <xdr:cNvPr id="459" name="Freeform 10708">
          <a:extLst>
            <a:ext uri="{FF2B5EF4-FFF2-40B4-BE49-F238E27FC236}">
              <a16:creationId xmlns:a16="http://schemas.microsoft.com/office/drawing/2014/main" id="{65051242-0D5D-472C-AEE4-967B404051F9}"/>
            </a:ext>
          </a:extLst>
        </xdr:cNvPr>
        <xdr:cNvSpPr>
          <a:spLocks/>
        </xdr:cNvSpPr>
      </xdr:nvSpPr>
      <xdr:spPr bwMode="auto">
        <a:xfrm>
          <a:off x="5188268" y="36156401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200</xdr:row>
      <xdr:rowOff>162323</xdr:rowOff>
    </xdr:from>
    <xdr:to>
      <xdr:col>14</xdr:col>
      <xdr:colOff>193738</xdr:colOff>
      <xdr:row>201</xdr:row>
      <xdr:rowOff>75162</xdr:rowOff>
    </xdr:to>
    <xdr:sp macro="" textlink="">
      <xdr:nvSpPr>
        <xdr:cNvPr id="460" name="Freeform 10708">
          <a:extLst>
            <a:ext uri="{FF2B5EF4-FFF2-40B4-BE49-F238E27FC236}">
              <a16:creationId xmlns:a16="http://schemas.microsoft.com/office/drawing/2014/main" id="{C4B2D943-FE2D-4913-81F0-B154CC1EEB30}"/>
            </a:ext>
          </a:extLst>
        </xdr:cNvPr>
        <xdr:cNvSpPr>
          <a:spLocks/>
        </xdr:cNvSpPr>
      </xdr:nvSpPr>
      <xdr:spPr bwMode="auto">
        <a:xfrm>
          <a:off x="4531940" y="36147773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200</xdr:row>
      <xdr:rowOff>146793</xdr:rowOff>
    </xdr:from>
    <xdr:to>
      <xdr:col>21</xdr:col>
      <xdr:colOff>8883</xdr:colOff>
      <xdr:row>202</xdr:row>
      <xdr:rowOff>173463</xdr:rowOff>
    </xdr:to>
    <xdr:sp macro="" textlink="">
      <xdr:nvSpPr>
        <xdr:cNvPr id="461" name="3">
          <a:extLst>
            <a:ext uri="{FF2B5EF4-FFF2-40B4-BE49-F238E27FC236}">
              <a16:creationId xmlns:a16="http://schemas.microsoft.com/office/drawing/2014/main" id="{D88D2866-CB28-4CD4-BF9B-D515A85FD6B1}"/>
            </a:ext>
          </a:extLst>
        </xdr:cNvPr>
        <xdr:cNvSpPr>
          <a:spLocks noChangeArrowheads="1"/>
        </xdr:cNvSpPr>
      </xdr:nvSpPr>
      <xdr:spPr bwMode="auto">
        <a:xfrm>
          <a:off x="7390198" y="36132243"/>
          <a:ext cx="416485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200</xdr:row>
      <xdr:rowOff>165755</xdr:rowOff>
    </xdr:from>
    <xdr:to>
      <xdr:col>19</xdr:col>
      <xdr:colOff>3818</xdr:colOff>
      <xdr:row>202</xdr:row>
      <xdr:rowOff>171192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32002E7C-31BA-451A-BAC2-CC2AF4A5D849}"/>
            </a:ext>
          </a:extLst>
        </xdr:cNvPr>
        <xdr:cNvSpPr>
          <a:spLocks noChangeArrowheads="1"/>
        </xdr:cNvSpPr>
      </xdr:nvSpPr>
      <xdr:spPr bwMode="auto">
        <a:xfrm>
          <a:off x="6578909" y="36151205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200</xdr:row>
      <xdr:rowOff>167890</xdr:rowOff>
    </xdr:from>
    <xdr:to>
      <xdr:col>22</xdr:col>
      <xdr:colOff>191774</xdr:colOff>
      <xdr:row>201</xdr:row>
      <xdr:rowOff>85559</xdr:rowOff>
    </xdr:to>
    <xdr:sp macro="" textlink="">
      <xdr:nvSpPr>
        <xdr:cNvPr id="463" name="Freeform 10708">
          <a:extLst>
            <a:ext uri="{FF2B5EF4-FFF2-40B4-BE49-F238E27FC236}">
              <a16:creationId xmlns:a16="http://schemas.microsoft.com/office/drawing/2014/main" id="{AE3AA236-3971-43CC-825A-00C35C1C12EF}"/>
            </a:ext>
          </a:extLst>
        </xdr:cNvPr>
        <xdr:cNvSpPr>
          <a:spLocks/>
        </xdr:cNvSpPr>
      </xdr:nvSpPr>
      <xdr:spPr bwMode="auto">
        <a:xfrm>
          <a:off x="7578066" y="36153340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200</xdr:row>
      <xdr:rowOff>172223</xdr:rowOff>
    </xdr:from>
    <xdr:to>
      <xdr:col>20</xdr:col>
      <xdr:colOff>197505</xdr:colOff>
      <xdr:row>201</xdr:row>
      <xdr:rowOff>84784</xdr:rowOff>
    </xdr:to>
    <xdr:sp macro="" textlink="">
      <xdr:nvSpPr>
        <xdr:cNvPr id="464" name="Freeform 10708">
          <a:extLst>
            <a:ext uri="{FF2B5EF4-FFF2-40B4-BE49-F238E27FC236}">
              <a16:creationId xmlns:a16="http://schemas.microsoft.com/office/drawing/2014/main" id="{5971D14A-15D1-4CEE-BA62-4B21FB478ABF}"/>
            </a:ext>
          </a:extLst>
        </xdr:cNvPr>
        <xdr:cNvSpPr>
          <a:spLocks/>
        </xdr:cNvSpPr>
      </xdr:nvSpPr>
      <xdr:spPr bwMode="auto">
        <a:xfrm>
          <a:off x="6820556" y="36157673"/>
          <a:ext cx="768349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364255</xdr:colOff>
      <xdr:row>200</xdr:row>
      <xdr:rowOff>149577</xdr:rowOff>
    </xdr:from>
    <xdr:to>
      <xdr:col>25</xdr:col>
      <xdr:colOff>14664</xdr:colOff>
      <xdr:row>202</xdr:row>
      <xdr:rowOff>176247</xdr:rowOff>
    </xdr:to>
    <xdr:sp macro="" textlink="">
      <xdr:nvSpPr>
        <xdr:cNvPr id="465" name="3">
          <a:extLst>
            <a:ext uri="{FF2B5EF4-FFF2-40B4-BE49-F238E27FC236}">
              <a16:creationId xmlns:a16="http://schemas.microsoft.com/office/drawing/2014/main" id="{6F6C1C12-E458-44DE-9C55-7780FAEA630F}"/>
            </a:ext>
          </a:extLst>
        </xdr:cNvPr>
        <xdr:cNvSpPr>
          <a:spLocks noChangeArrowheads="1"/>
        </xdr:cNvSpPr>
      </xdr:nvSpPr>
      <xdr:spPr bwMode="auto">
        <a:xfrm>
          <a:off x="8930405" y="36135027"/>
          <a:ext cx="437809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3642</xdr:colOff>
      <xdr:row>200</xdr:row>
      <xdr:rowOff>168539</xdr:rowOff>
    </xdr:from>
    <xdr:to>
      <xdr:col>23</xdr:col>
      <xdr:colOff>3815</xdr:colOff>
      <xdr:row>202</xdr:row>
      <xdr:rowOff>173976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4AD6A194-36C7-45DD-B548-5E64DCA64B27}"/>
            </a:ext>
          </a:extLst>
        </xdr:cNvPr>
        <xdr:cNvSpPr>
          <a:spLocks noChangeArrowheads="1"/>
        </xdr:cNvSpPr>
      </xdr:nvSpPr>
      <xdr:spPr bwMode="auto">
        <a:xfrm>
          <a:off x="8169742" y="36153989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181644</xdr:colOff>
      <xdr:row>200</xdr:row>
      <xdr:rowOff>162324</xdr:rowOff>
    </xdr:from>
    <xdr:to>
      <xdr:col>26</xdr:col>
      <xdr:colOff>194557</xdr:colOff>
      <xdr:row>201</xdr:row>
      <xdr:rowOff>77212</xdr:rowOff>
    </xdr:to>
    <xdr:sp macro="" textlink="">
      <xdr:nvSpPr>
        <xdr:cNvPr id="467" name="Freeform 10708">
          <a:extLst>
            <a:ext uri="{FF2B5EF4-FFF2-40B4-BE49-F238E27FC236}">
              <a16:creationId xmlns:a16="http://schemas.microsoft.com/office/drawing/2014/main" id="{3230C644-A24B-480F-9DB2-00F677B5FD26}"/>
            </a:ext>
          </a:extLst>
        </xdr:cNvPr>
        <xdr:cNvSpPr>
          <a:spLocks/>
        </xdr:cNvSpPr>
      </xdr:nvSpPr>
      <xdr:spPr bwMode="auto">
        <a:xfrm>
          <a:off x="9135144" y="36147774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200</xdr:row>
      <xdr:rowOff>159542</xdr:rowOff>
    </xdr:from>
    <xdr:to>
      <xdr:col>24</xdr:col>
      <xdr:colOff>180643</xdr:colOff>
      <xdr:row>201</xdr:row>
      <xdr:rowOff>82003</xdr:rowOff>
    </xdr:to>
    <xdr:sp macro="" textlink="">
      <xdr:nvSpPr>
        <xdr:cNvPr id="468" name="Freeform 10708">
          <a:extLst>
            <a:ext uri="{FF2B5EF4-FFF2-40B4-BE49-F238E27FC236}">
              <a16:creationId xmlns:a16="http://schemas.microsoft.com/office/drawing/2014/main" id="{6DFF7477-C776-40AD-83D5-CC483BF836CF}"/>
            </a:ext>
          </a:extLst>
        </xdr:cNvPr>
        <xdr:cNvSpPr>
          <a:spLocks/>
        </xdr:cNvSpPr>
      </xdr:nvSpPr>
      <xdr:spPr bwMode="auto">
        <a:xfrm>
          <a:off x="8366933" y="36144992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388510</xdr:colOff>
      <xdr:row>200</xdr:row>
      <xdr:rowOff>146386</xdr:rowOff>
    </xdr:from>
    <xdr:to>
      <xdr:col>29</xdr:col>
      <xdr:colOff>10144</xdr:colOff>
      <xdr:row>202</xdr:row>
      <xdr:rowOff>173056</xdr:rowOff>
    </xdr:to>
    <xdr:sp macro="" textlink="">
      <xdr:nvSpPr>
        <xdr:cNvPr id="469" name="3">
          <a:extLst>
            <a:ext uri="{FF2B5EF4-FFF2-40B4-BE49-F238E27FC236}">
              <a16:creationId xmlns:a16="http://schemas.microsoft.com/office/drawing/2014/main" id="{A5FE4137-EC13-4559-8397-A1CDCF576C38}"/>
            </a:ext>
          </a:extLst>
        </xdr:cNvPr>
        <xdr:cNvSpPr>
          <a:spLocks noChangeArrowheads="1"/>
        </xdr:cNvSpPr>
      </xdr:nvSpPr>
      <xdr:spPr bwMode="auto">
        <a:xfrm>
          <a:off x="10548510" y="36131836"/>
          <a:ext cx="42808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200</xdr:row>
      <xdr:rowOff>173974</xdr:rowOff>
    </xdr:from>
    <xdr:to>
      <xdr:col>27</xdr:col>
      <xdr:colOff>3614</xdr:colOff>
      <xdr:row>202</xdr:row>
      <xdr:rowOff>179689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BF33CD7D-84DF-4F02-8A5C-D5E429CFF416}"/>
            </a:ext>
          </a:extLst>
        </xdr:cNvPr>
        <xdr:cNvSpPr>
          <a:spLocks noChangeArrowheads="1"/>
        </xdr:cNvSpPr>
      </xdr:nvSpPr>
      <xdr:spPr bwMode="auto">
        <a:xfrm>
          <a:off x="9760656" y="36159424"/>
          <a:ext cx="402958" cy="3740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208470</xdr:colOff>
      <xdr:row>200</xdr:row>
      <xdr:rowOff>159542</xdr:rowOff>
    </xdr:from>
    <xdr:to>
      <xdr:col>30</xdr:col>
      <xdr:colOff>200492</xdr:colOff>
      <xdr:row>201</xdr:row>
      <xdr:rowOff>79587</xdr:rowOff>
    </xdr:to>
    <xdr:sp macro="" textlink="">
      <xdr:nvSpPr>
        <xdr:cNvPr id="471" name="Freeform 10708">
          <a:extLst>
            <a:ext uri="{FF2B5EF4-FFF2-40B4-BE49-F238E27FC236}">
              <a16:creationId xmlns:a16="http://schemas.microsoft.com/office/drawing/2014/main" id="{34C96F6B-D937-4751-8376-A9DD774C5833}"/>
            </a:ext>
          </a:extLst>
        </xdr:cNvPr>
        <xdr:cNvSpPr>
          <a:spLocks/>
        </xdr:cNvSpPr>
      </xdr:nvSpPr>
      <xdr:spPr bwMode="auto">
        <a:xfrm>
          <a:off x="10774870" y="36144992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200</xdr:row>
      <xdr:rowOff>162325</xdr:rowOff>
    </xdr:from>
    <xdr:to>
      <xdr:col>28</xdr:col>
      <xdr:colOff>197339</xdr:colOff>
      <xdr:row>201</xdr:row>
      <xdr:rowOff>67682</xdr:rowOff>
    </xdr:to>
    <xdr:sp macro="" textlink="">
      <xdr:nvSpPr>
        <xdr:cNvPr id="472" name="Freeform 10708">
          <a:extLst>
            <a:ext uri="{FF2B5EF4-FFF2-40B4-BE49-F238E27FC236}">
              <a16:creationId xmlns:a16="http://schemas.microsoft.com/office/drawing/2014/main" id="{D09B0526-0D47-4B17-9D9E-4E27D07A5491}"/>
            </a:ext>
          </a:extLst>
        </xdr:cNvPr>
        <xdr:cNvSpPr>
          <a:spLocks/>
        </xdr:cNvSpPr>
      </xdr:nvSpPr>
      <xdr:spPr bwMode="auto">
        <a:xfrm>
          <a:off x="9958440" y="36147775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200</xdr:row>
      <xdr:rowOff>143197</xdr:rowOff>
    </xdr:from>
    <xdr:to>
      <xdr:col>31</xdr:col>
      <xdr:colOff>6301</xdr:colOff>
      <xdr:row>202</xdr:row>
      <xdr:rowOff>169867</xdr:rowOff>
    </xdr:to>
    <xdr:sp macro="" textlink="">
      <xdr:nvSpPr>
        <xdr:cNvPr id="473" name="3">
          <a:extLst>
            <a:ext uri="{FF2B5EF4-FFF2-40B4-BE49-F238E27FC236}">
              <a16:creationId xmlns:a16="http://schemas.microsoft.com/office/drawing/2014/main" id="{9F30E8B3-B10E-4E69-9596-ED5F975B8C0C}"/>
            </a:ext>
          </a:extLst>
        </xdr:cNvPr>
        <xdr:cNvSpPr>
          <a:spLocks noChangeArrowheads="1"/>
        </xdr:cNvSpPr>
      </xdr:nvSpPr>
      <xdr:spPr bwMode="auto">
        <a:xfrm>
          <a:off x="11343570" y="36128647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0</xdr:colOff>
      <xdr:row>200</xdr:row>
      <xdr:rowOff>152336</xdr:rowOff>
    </xdr:from>
    <xdr:to>
      <xdr:col>2</xdr:col>
      <xdr:colOff>170281</xdr:colOff>
      <xdr:row>201</xdr:row>
      <xdr:rowOff>75956</xdr:rowOff>
    </xdr:to>
    <xdr:sp macro="" textlink="">
      <xdr:nvSpPr>
        <xdr:cNvPr id="474" name="Freeform 10708">
          <a:extLst>
            <a:ext uri="{FF2B5EF4-FFF2-40B4-BE49-F238E27FC236}">
              <a16:creationId xmlns:a16="http://schemas.microsoft.com/office/drawing/2014/main" id="{EDCFC5B2-21F3-4243-AB14-0A170990BC07}"/>
            </a:ext>
          </a:extLst>
        </xdr:cNvPr>
        <xdr:cNvSpPr>
          <a:spLocks/>
        </xdr:cNvSpPr>
      </xdr:nvSpPr>
      <xdr:spPr bwMode="auto">
        <a:xfrm>
          <a:off x="0" y="36137786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363941</xdr:colOff>
      <xdr:row>211</xdr:row>
      <xdr:rowOff>161550</xdr:rowOff>
    </xdr:from>
    <xdr:to>
      <xdr:col>7</xdr:col>
      <xdr:colOff>13868</xdr:colOff>
      <xdr:row>214</xdr:row>
      <xdr:rowOff>565</xdr:rowOff>
    </xdr:to>
    <xdr:sp macro="" textlink="">
      <xdr:nvSpPr>
        <xdr:cNvPr id="475" name="3">
          <a:extLst>
            <a:ext uri="{FF2B5EF4-FFF2-40B4-BE49-F238E27FC236}">
              <a16:creationId xmlns:a16="http://schemas.microsoft.com/office/drawing/2014/main" id="{F369FDE3-F380-40E9-BE69-9C6A788B69EC}"/>
            </a:ext>
          </a:extLst>
        </xdr:cNvPr>
        <xdr:cNvSpPr>
          <a:spLocks noChangeArrowheads="1"/>
        </xdr:cNvSpPr>
      </xdr:nvSpPr>
      <xdr:spPr bwMode="auto">
        <a:xfrm>
          <a:off x="2040341" y="38096450"/>
          <a:ext cx="411927" cy="3978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211</xdr:row>
      <xdr:rowOff>178854</xdr:rowOff>
    </xdr:from>
    <xdr:to>
      <xdr:col>5</xdr:col>
      <xdr:colOff>10458</xdr:colOff>
      <xdr:row>213</xdr:row>
      <xdr:rowOff>183167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BB84D2D-8053-4117-B162-C655A7F3BCCF}"/>
            </a:ext>
          </a:extLst>
        </xdr:cNvPr>
        <xdr:cNvSpPr>
          <a:spLocks noChangeArrowheads="1"/>
        </xdr:cNvSpPr>
      </xdr:nvSpPr>
      <xdr:spPr bwMode="auto">
        <a:xfrm>
          <a:off x="1284651" y="38113754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206708</xdr:colOff>
      <xdr:row>211</xdr:row>
      <xdr:rowOff>176696</xdr:rowOff>
    </xdr:from>
    <xdr:to>
      <xdr:col>4</xdr:col>
      <xdr:colOff>206708</xdr:colOff>
      <xdr:row>212</xdr:row>
      <xdr:rowOff>88410</xdr:rowOff>
    </xdr:to>
    <xdr:sp macro="" textlink="">
      <xdr:nvSpPr>
        <xdr:cNvPr id="477" name="Freeform 10708">
          <a:extLst>
            <a:ext uri="{FF2B5EF4-FFF2-40B4-BE49-F238E27FC236}">
              <a16:creationId xmlns:a16="http://schemas.microsoft.com/office/drawing/2014/main" id="{EB9AFBC7-45AE-4A9C-B1F1-D44F5859D870}"/>
            </a:ext>
          </a:extLst>
        </xdr:cNvPr>
        <xdr:cNvSpPr>
          <a:spLocks/>
        </xdr:cNvSpPr>
      </xdr:nvSpPr>
      <xdr:spPr bwMode="auto">
        <a:xfrm>
          <a:off x="714708" y="38111596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186896</xdr:colOff>
      <xdr:row>211</xdr:row>
      <xdr:rowOff>176697</xdr:rowOff>
    </xdr:from>
    <xdr:to>
      <xdr:col>8</xdr:col>
      <xdr:colOff>208328</xdr:colOff>
      <xdr:row>212</xdr:row>
      <xdr:rowOff>100317</xdr:rowOff>
    </xdr:to>
    <xdr:sp macro="" textlink="">
      <xdr:nvSpPr>
        <xdr:cNvPr id="478" name="Freeform 10708">
          <a:extLst>
            <a:ext uri="{FF2B5EF4-FFF2-40B4-BE49-F238E27FC236}">
              <a16:creationId xmlns:a16="http://schemas.microsoft.com/office/drawing/2014/main" id="{0968FD12-033A-48EE-9754-239D1D4D6553}"/>
            </a:ext>
          </a:extLst>
        </xdr:cNvPr>
        <xdr:cNvSpPr>
          <a:spLocks/>
        </xdr:cNvSpPr>
      </xdr:nvSpPr>
      <xdr:spPr bwMode="auto">
        <a:xfrm>
          <a:off x="2244296" y="38111597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211</xdr:row>
      <xdr:rowOff>178228</xdr:rowOff>
    </xdr:from>
    <xdr:to>
      <xdr:col>3</xdr:col>
      <xdr:colOff>9067</xdr:colOff>
      <xdr:row>213</xdr:row>
      <xdr:rowOff>181985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5113E597-52B0-4E0C-B642-8D23C0B247A3}"/>
            </a:ext>
          </a:extLst>
        </xdr:cNvPr>
        <xdr:cNvSpPr>
          <a:spLocks noChangeArrowheads="1"/>
        </xdr:cNvSpPr>
      </xdr:nvSpPr>
      <xdr:spPr bwMode="auto">
        <a:xfrm>
          <a:off x="514911" y="38113128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362077</xdr:colOff>
      <xdr:row>211</xdr:row>
      <xdr:rowOff>151693</xdr:rowOff>
    </xdr:from>
    <xdr:to>
      <xdr:col>11</xdr:col>
      <xdr:colOff>10135</xdr:colOff>
      <xdr:row>213</xdr:row>
      <xdr:rowOff>178364</xdr:rowOff>
    </xdr:to>
    <xdr:sp macro="" textlink="">
      <xdr:nvSpPr>
        <xdr:cNvPr id="480" name="3">
          <a:extLst>
            <a:ext uri="{FF2B5EF4-FFF2-40B4-BE49-F238E27FC236}">
              <a16:creationId xmlns:a16="http://schemas.microsoft.com/office/drawing/2014/main" id="{8F9BEB61-EE12-4AF8-AEDB-751507AE6A5B}"/>
            </a:ext>
          </a:extLst>
        </xdr:cNvPr>
        <xdr:cNvSpPr>
          <a:spLocks noChangeArrowheads="1"/>
        </xdr:cNvSpPr>
      </xdr:nvSpPr>
      <xdr:spPr bwMode="auto">
        <a:xfrm>
          <a:off x="3587877" y="38086593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3710</xdr:colOff>
      <xdr:row>211</xdr:row>
      <xdr:rowOff>170655</xdr:rowOff>
    </xdr:from>
    <xdr:to>
      <xdr:col>9</xdr:col>
      <xdr:colOff>8117</xdr:colOff>
      <xdr:row>213</xdr:row>
      <xdr:rowOff>176093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0DAABA14-0CB6-42F6-88F3-4F4FFE211EC6}"/>
            </a:ext>
          </a:extLst>
        </xdr:cNvPr>
        <xdr:cNvSpPr>
          <a:spLocks noChangeArrowheads="1"/>
        </xdr:cNvSpPr>
      </xdr:nvSpPr>
      <xdr:spPr bwMode="auto">
        <a:xfrm>
          <a:off x="2829460" y="38105555"/>
          <a:ext cx="40445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179897</xdr:colOff>
      <xdr:row>211</xdr:row>
      <xdr:rowOff>165715</xdr:rowOff>
    </xdr:from>
    <xdr:to>
      <xdr:col>12</xdr:col>
      <xdr:colOff>268840</xdr:colOff>
      <xdr:row>212</xdr:row>
      <xdr:rowOff>90460</xdr:rowOff>
    </xdr:to>
    <xdr:sp macro="" textlink="">
      <xdr:nvSpPr>
        <xdr:cNvPr id="482" name="Freeform 10708">
          <a:extLst>
            <a:ext uri="{FF2B5EF4-FFF2-40B4-BE49-F238E27FC236}">
              <a16:creationId xmlns:a16="http://schemas.microsoft.com/office/drawing/2014/main" id="{50314739-B91D-43FF-9787-AF33ECE1AE05}"/>
            </a:ext>
          </a:extLst>
        </xdr:cNvPr>
        <xdr:cNvSpPr>
          <a:spLocks/>
        </xdr:cNvSpPr>
      </xdr:nvSpPr>
      <xdr:spPr bwMode="auto">
        <a:xfrm>
          <a:off x="3773997" y="38100615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194366</xdr:colOff>
      <xdr:row>211</xdr:row>
      <xdr:rowOff>165715</xdr:rowOff>
    </xdr:from>
    <xdr:to>
      <xdr:col>10</xdr:col>
      <xdr:colOff>201867</xdr:colOff>
      <xdr:row>212</xdr:row>
      <xdr:rowOff>78554</xdr:rowOff>
    </xdr:to>
    <xdr:sp macro="" textlink="">
      <xdr:nvSpPr>
        <xdr:cNvPr id="483" name="Freeform 10708">
          <a:extLst>
            <a:ext uri="{FF2B5EF4-FFF2-40B4-BE49-F238E27FC236}">
              <a16:creationId xmlns:a16="http://schemas.microsoft.com/office/drawing/2014/main" id="{9067FD6D-7BC9-4A3C-96A1-2EB79E559646}"/>
            </a:ext>
          </a:extLst>
        </xdr:cNvPr>
        <xdr:cNvSpPr>
          <a:spLocks/>
        </xdr:cNvSpPr>
      </xdr:nvSpPr>
      <xdr:spPr bwMode="auto">
        <a:xfrm>
          <a:off x="3020116" y="38100615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295353</xdr:colOff>
      <xdr:row>211</xdr:row>
      <xdr:rowOff>154046</xdr:rowOff>
    </xdr:from>
    <xdr:to>
      <xdr:col>15</xdr:col>
      <xdr:colOff>13956</xdr:colOff>
      <xdr:row>214</xdr:row>
      <xdr:rowOff>6977</xdr:rowOff>
    </xdr:to>
    <xdr:sp macro="" textlink="">
      <xdr:nvSpPr>
        <xdr:cNvPr id="484" name="3">
          <a:extLst>
            <a:ext uri="{FF2B5EF4-FFF2-40B4-BE49-F238E27FC236}">
              <a16:creationId xmlns:a16="http://schemas.microsoft.com/office/drawing/2014/main" id="{CF0F9E9F-1536-4768-84BA-2806DE3A7479}"/>
            </a:ext>
          </a:extLst>
        </xdr:cNvPr>
        <xdr:cNvSpPr>
          <a:spLocks noChangeArrowheads="1"/>
        </xdr:cNvSpPr>
      </xdr:nvSpPr>
      <xdr:spPr bwMode="auto">
        <a:xfrm>
          <a:off x="5013403" y="38088946"/>
          <a:ext cx="417103" cy="41173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9803</xdr:colOff>
      <xdr:row>211</xdr:row>
      <xdr:rowOff>170226</xdr:rowOff>
    </xdr:from>
    <xdr:to>
      <xdr:col>13</xdr:col>
      <xdr:colOff>9335</xdr:colOff>
      <xdr:row>213</xdr:row>
      <xdr:rowOff>175664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F8820E5D-14B8-4795-B63E-D6B74823D9A2}"/>
            </a:ext>
          </a:extLst>
        </xdr:cNvPr>
        <xdr:cNvSpPr>
          <a:spLocks noChangeArrowheads="1"/>
        </xdr:cNvSpPr>
      </xdr:nvSpPr>
      <xdr:spPr bwMode="auto">
        <a:xfrm>
          <a:off x="4340503" y="38105126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206993</xdr:colOff>
      <xdr:row>211</xdr:row>
      <xdr:rowOff>168069</xdr:rowOff>
    </xdr:from>
    <xdr:to>
      <xdr:col>14</xdr:col>
      <xdr:colOff>199491</xdr:colOff>
      <xdr:row>212</xdr:row>
      <xdr:rowOff>80908</xdr:rowOff>
    </xdr:to>
    <xdr:sp macro="" textlink="">
      <xdr:nvSpPr>
        <xdr:cNvPr id="486" name="Freeform 10708">
          <a:extLst>
            <a:ext uri="{FF2B5EF4-FFF2-40B4-BE49-F238E27FC236}">
              <a16:creationId xmlns:a16="http://schemas.microsoft.com/office/drawing/2014/main" id="{451B3552-3FED-40C7-A9A7-634CF97B654D}"/>
            </a:ext>
          </a:extLst>
        </xdr:cNvPr>
        <xdr:cNvSpPr>
          <a:spLocks/>
        </xdr:cNvSpPr>
      </xdr:nvSpPr>
      <xdr:spPr bwMode="auto">
        <a:xfrm>
          <a:off x="4537693" y="38102969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4268</xdr:colOff>
      <xdr:row>211</xdr:row>
      <xdr:rowOff>152539</xdr:rowOff>
    </xdr:from>
    <xdr:to>
      <xdr:col>21</xdr:col>
      <xdr:colOff>14636</xdr:colOff>
      <xdr:row>213</xdr:row>
      <xdr:rowOff>179210</xdr:rowOff>
    </xdr:to>
    <xdr:sp macro="" textlink="">
      <xdr:nvSpPr>
        <xdr:cNvPr id="487" name="3">
          <a:extLst>
            <a:ext uri="{FF2B5EF4-FFF2-40B4-BE49-F238E27FC236}">
              <a16:creationId xmlns:a16="http://schemas.microsoft.com/office/drawing/2014/main" id="{A90FCCFF-B576-4D77-A917-98ED462D58B2}"/>
            </a:ext>
          </a:extLst>
        </xdr:cNvPr>
        <xdr:cNvSpPr>
          <a:spLocks noChangeArrowheads="1"/>
        </xdr:cNvSpPr>
      </xdr:nvSpPr>
      <xdr:spPr bwMode="auto">
        <a:xfrm>
          <a:off x="7395668" y="38087439"/>
          <a:ext cx="41676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368012</xdr:colOff>
      <xdr:row>211</xdr:row>
      <xdr:rowOff>171501</xdr:rowOff>
    </xdr:from>
    <xdr:to>
      <xdr:col>19</xdr:col>
      <xdr:colOff>9571</xdr:colOff>
      <xdr:row>213</xdr:row>
      <xdr:rowOff>176939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C0E40E1-0956-43DD-8B5F-5EC02D651CC0}"/>
            </a:ext>
          </a:extLst>
        </xdr:cNvPr>
        <xdr:cNvSpPr>
          <a:spLocks noChangeArrowheads="1"/>
        </xdr:cNvSpPr>
      </xdr:nvSpPr>
      <xdr:spPr bwMode="auto">
        <a:xfrm>
          <a:off x="6584662" y="38106401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192419</xdr:colOff>
      <xdr:row>211</xdr:row>
      <xdr:rowOff>173636</xdr:rowOff>
    </xdr:from>
    <xdr:to>
      <xdr:col>22</xdr:col>
      <xdr:colOff>197527</xdr:colOff>
      <xdr:row>212</xdr:row>
      <xdr:rowOff>91305</xdr:rowOff>
    </xdr:to>
    <xdr:sp macro="" textlink="">
      <xdr:nvSpPr>
        <xdr:cNvPr id="489" name="Freeform 10708">
          <a:extLst>
            <a:ext uri="{FF2B5EF4-FFF2-40B4-BE49-F238E27FC236}">
              <a16:creationId xmlns:a16="http://schemas.microsoft.com/office/drawing/2014/main" id="{F8ED7F28-8630-4A72-BBB8-4B50808145C3}"/>
            </a:ext>
          </a:extLst>
        </xdr:cNvPr>
        <xdr:cNvSpPr>
          <a:spLocks/>
        </xdr:cNvSpPr>
      </xdr:nvSpPr>
      <xdr:spPr bwMode="auto">
        <a:xfrm>
          <a:off x="7583819" y="38108536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1424</xdr:colOff>
      <xdr:row>211</xdr:row>
      <xdr:rowOff>155323</xdr:rowOff>
    </xdr:from>
    <xdr:to>
      <xdr:col>25</xdr:col>
      <xdr:colOff>20417</xdr:colOff>
      <xdr:row>213</xdr:row>
      <xdr:rowOff>181994</xdr:rowOff>
    </xdr:to>
    <xdr:sp macro="" textlink="">
      <xdr:nvSpPr>
        <xdr:cNvPr id="490" name="3">
          <a:extLst>
            <a:ext uri="{FF2B5EF4-FFF2-40B4-BE49-F238E27FC236}">
              <a16:creationId xmlns:a16="http://schemas.microsoft.com/office/drawing/2014/main" id="{115DA988-CC53-4074-A330-1070C7C8C81E}"/>
            </a:ext>
          </a:extLst>
        </xdr:cNvPr>
        <xdr:cNvSpPr>
          <a:spLocks noChangeArrowheads="1"/>
        </xdr:cNvSpPr>
      </xdr:nvSpPr>
      <xdr:spPr bwMode="auto">
        <a:xfrm>
          <a:off x="8954924" y="38090223"/>
          <a:ext cx="41904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9395</xdr:colOff>
      <xdr:row>211</xdr:row>
      <xdr:rowOff>174285</xdr:rowOff>
    </xdr:from>
    <xdr:to>
      <xdr:col>23</xdr:col>
      <xdr:colOff>9568</xdr:colOff>
      <xdr:row>213</xdr:row>
      <xdr:rowOff>179723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7C6DC8C-0F5B-43CA-B76B-70B0611863CE}"/>
            </a:ext>
          </a:extLst>
        </xdr:cNvPr>
        <xdr:cNvSpPr>
          <a:spLocks noChangeArrowheads="1"/>
        </xdr:cNvSpPr>
      </xdr:nvSpPr>
      <xdr:spPr bwMode="auto">
        <a:xfrm>
          <a:off x="8175495" y="38109185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187397</xdr:colOff>
      <xdr:row>211</xdr:row>
      <xdr:rowOff>168070</xdr:rowOff>
    </xdr:from>
    <xdr:to>
      <xdr:col>26</xdr:col>
      <xdr:colOff>200310</xdr:colOff>
      <xdr:row>212</xdr:row>
      <xdr:rowOff>82958</xdr:rowOff>
    </xdr:to>
    <xdr:sp macro="" textlink="">
      <xdr:nvSpPr>
        <xdr:cNvPr id="492" name="Freeform 10708">
          <a:extLst>
            <a:ext uri="{FF2B5EF4-FFF2-40B4-BE49-F238E27FC236}">
              <a16:creationId xmlns:a16="http://schemas.microsoft.com/office/drawing/2014/main" id="{12976000-D918-4C7C-BD07-79227EA33809}"/>
            </a:ext>
          </a:extLst>
        </xdr:cNvPr>
        <xdr:cNvSpPr>
          <a:spLocks/>
        </xdr:cNvSpPr>
      </xdr:nvSpPr>
      <xdr:spPr bwMode="auto">
        <a:xfrm>
          <a:off x="9140897" y="38102970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206586</xdr:colOff>
      <xdr:row>211</xdr:row>
      <xdr:rowOff>165288</xdr:rowOff>
    </xdr:from>
    <xdr:to>
      <xdr:col>24</xdr:col>
      <xdr:colOff>186396</xdr:colOff>
      <xdr:row>212</xdr:row>
      <xdr:rowOff>87749</xdr:rowOff>
    </xdr:to>
    <xdr:sp macro="" textlink="">
      <xdr:nvSpPr>
        <xdr:cNvPr id="493" name="Freeform 10708">
          <a:extLst>
            <a:ext uri="{FF2B5EF4-FFF2-40B4-BE49-F238E27FC236}">
              <a16:creationId xmlns:a16="http://schemas.microsoft.com/office/drawing/2014/main" id="{F92645A9-B284-43C1-90A0-7CFB18506D19}"/>
            </a:ext>
          </a:extLst>
        </xdr:cNvPr>
        <xdr:cNvSpPr>
          <a:spLocks/>
        </xdr:cNvSpPr>
      </xdr:nvSpPr>
      <xdr:spPr bwMode="auto">
        <a:xfrm>
          <a:off x="8372686" y="38100188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2153</xdr:colOff>
      <xdr:row>211</xdr:row>
      <xdr:rowOff>152132</xdr:rowOff>
    </xdr:from>
    <xdr:to>
      <xdr:col>29</xdr:col>
      <xdr:colOff>15897</xdr:colOff>
      <xdr:row>213</xdr:row>
      <xdr:rowOff>178803</xdr:rowOff>
    </xdr:to>
    <xdr:sp macro="" textlink="">
      <xdr:nvSpPr>
        <xdr:cNvPr id="494" name="3">
          <a:extLst>
            <a:ext uri="{FF2B5EF4-FFF2-40B4-BE49-F238E27FC236}">
              <a16:creationId xmlns:a16="http://schemas.microsoft.com/office/drawing/2014/main" id="{2CC92355-C628-4B21-A017-13EA606303D4}"/>
            </a:ext>
          </a:extLst>
        </xdr:cNvPr>
        <xdr:cNvSpPr>
          <a:spLocks noChangeArrowheads="1"/>
        </xdr:cNvSpPr>
      </xdr:nvSpPr>
      <xdr:spPr bwMode="auto">
        <a:xfrm>
          <a:off x="10568553" y="38087032"/>
          <a:ext cx="41379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6459</xdr:colOff>
      <xdr:row>211</xdr:row>
      <xdr:rowOff>179720</xdr:rowOff>
    </xdr:from>
    <xdr:to>
      <xdr:col>27</xdr:col>
      <xdr:colOff>9367</xdr:colOff>
      <xdr:row>213</xdr:row>
      <xdr:rowOff>185436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3D9F0538-54D2-46AD-B805-76B92AABDB50}"/>
            </a:ext>
          </a:extLst>
        </xdr:cNvPr>
        <xdr:cNvSpPr>
          <a:spLocks noChangeArrowheads="1"/>
        </xdr:cNvSpPr>
      </xdr:nvSpPr>
      <xdr:spPr bwMode="auto">
        <a:xfrm>
          <a:off x="9766409" y="38114620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20923</xdr:colOff>
      <xdr:row>211</xdr:row>
      <xdr:rowOff>148943</xdr:rowOff>
    </xdr:from>
    <xdr:to>
      <xdr:col>31</xdr:col>
      <xdr:colOff>12054</xdr:colOff>
      <xdr:row>213</xdr:row>
      <xdr:rowOff>175614</xdr:rowOff>
    </xdr:to>
    <xdr:sp macro="" textlink="">
      <xdr:nvSpPr>
        <xdr:cNvPr id="496" name="3">
          <a:extLst>
            <a:ext uri="{FF2B5EF4-FFF2-40B4-BE49-F238E27FC236}">
              <a16:creationId xmlns:a16="http://schemas.microsoft.com/office/drawing/2014/main" id="{AF8AD078-3784-4080-BF8E-C0C994791B06}"/>
            </a:ext>
          </a:extLst>
        </xdr:cNvPr>
        <xdr:cNvSpPr>
          <a:spLocks noChangeArrowheads="1"/>
        </xdr:cNvSpPr>
      </xdr:nvSpPr>
      <xdr:spPr bwMode="auto">
        <a:xfrm>
          <a:off x="11349323" y="38083843"/>
          <a:ext cx="39753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5753</xdr:colOff>
      <xdr:row>211</xdr:row>
      <xdr:rowOff>158082</xdr:rowOff>
    </xdr:from>
    <xdr:to>
      <xdr:col>2</xdr:col>
      <xdr:colOff>176034</xdr:colOff>
      <xdr:row>212</xdr:row>
      <xdr:rowOff>81702</xdr:rowOff>
    </xdr:to>
    <xdr:sp macro="" textlink="">
      <xdr:nvSpPr>
        <xdr:cNvPr id="497" name="Freeform 10708">
          <a:extLst>
            <a:ext uri="{FF2B5EF4-FFF2-40B4-BE49-F238E27FC236}">
              <a16:creationId xmlns:a16="http://schemas.microsoft.com/office/drawing/2014/main" id="{576AAB0A-CD76-45F1-92DE-A61B4B1F4F74}"/>
            </a:ext>
          </a:extLst>
        </xdr:cNvPr>
        <xdr:cNvSpPr>
          <a:spLocks/>
        </xdr:cNvSpPr>
      </xdr:nvSpPr>
      <xdr:spPr bwMode="auto">
        <a:xfrm>
          <a:off x="5753" y="38092982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222</xdr:row>
      <xdr:rowOff>161555</xdr:rowOff>
    </xdr:from>
    <xdr:to>
      <xdr:col>7</xdr:col>
      <xdr:colOff>8115</xdr:colOff>
      <xdr:row>225</xdr:row>
      <xdr:rowOff>568</xdr:rowOff>
    </xdr:to>
    <xdr:sp macro="" textlink="">
      <xdr:nvSpPr>
        <xdr:cNvPr id="498" name="3">
          <a:extLst>
            <a:ext uri="{FF2B5EF4-FFF2-40B4-BE49-F238E27FC236}">
              <a16:creationId xmlns:a16="http://schemas.microsoft.com/office/drawing/2014/main" id="{AFE1EB9B-843C-4EBB-B9FA-421F6C44864A}"/>
            </a:ext>
          </a:extLst>
        </xdr:cNvPr>
        <xdr:cNvSpPr>
          <a:spLocks noChangeArrowheads="1"/>
        </xdr:cNvSpPr>
      </xdr:nvSpPr>
      <xdr:spPr bwMode="auto">
        <a:xfrm>
          <a:off x="2036940" y="39976055"/>
          <a:ext cx="409575" cy="3978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2548</xdr:colOff>
      <xdr:row>222</xdr:row>
      <xdr:rowOff>178859</xdr:rowOff>
    </xdr:from>
    <xdr:to>
      <xdr:col>5</xdr:col>
      <xdr:colOff>4705</xdr:colOff>
      <xdr:row>224</xdr:row>
      <xdr:rowOff>183171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B9F0D113-664B-481A-A3ED-285B40A48346}"/>
            </a:ext>
          </a:extLst>
        </xdr:cNvPr>
        <xdr:cNvSpPr>
          <a:spLocks noChangeArrowheads="1"/>
        </xdr:cNvSpPr>
      </xdr:nvSpPr>
      <xdr:spPr bwMode="auto">
        <a:xfrm>
          <a:off x="1278898" y="39993359"/>
          <a:ext cx="402207" cy="37261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200955</xdr:colOff>
      <xdr:row>222</xdr:row>
      <xdr:rowOff>176701</xdr:rowOff>
    </xdr:from>
    <xdr:to>
      <xdr:col>4</xdr:col>
      <xdr:colOff>200955</xdr:colOff>
      <xdr:row>223</xdr:row>
      <xdr:rowOff>88415</xdr:rowOff>
    </xdr:to>
    <xdr:sp macro="" textlink="">
      <xdr:nvSpPr>
        <xdr:cNvPr id="500" name="Freeform 10708">
          <a:extLst>
            <a:ext uri="{FF2B5EF4-FFF2-40B4-BE49-F238E27FC236}">
              <a16:creationId xmlns:a16="http://schemas.microsoft.com/office/drawing/2014/main" id="{3CA954AB-BA09-4CBF-9FF6-608895832A7E}"/>
            </a:ext>
          </a:extLst>
        </xdr:cNvPr>
        <xdr:cNvSpPr>
          <a:spLocks/>
        </xdr:cNvSpPr>
      </xdr:nvSpPr>
      <xdr:spPr bwMode="auto">
        <a:xfrm>
          <a:off x="708955" y="39991201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222</xdr:row>
      <xdr:rowOff>176702</xdr:rowOff>
    </xdr:from>
    <xdr:to>
      <xdr:col>8</xdr:col>
      <xdr:colOff>202575</xdr:colOff>
      <xdr:row>223</xdr:row>
      <xdr:rowOff>100322</xdr:rowOff>
    </xdr:to>
    <xdr:sp macro="" textlink="">
      <xdr:nvSpPr>
        <xdr:cNvPr id="501" name="Freeform 10708">
          <a:extLst>
            <a:ext uri="{FF2B5EF4-FFF2-40B4-BE49-F238E27FC236}">
              <a16:creationId xmlns:a16="http://schemas.microsoft.com/office/drawing/2014/main" id="{6067B1DF-449B-4443-80EF-7C0027785986}"/>
            </a:ext>
          </a:extLst>
        </xdr:cNvPr>
        <xdr:cNvSpPr>
          <a:spLocks/>
        </xdr:cNvSpPr>
      </xdr:nvSpPr>
      <xdr:spPr bwMode="auto">
        <a:xfrm>
          <a:off x="2238543" y="39991202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222</xdr:row>
      <xdr:rowOff>178233</xdr:rowOff>
    </xdr:from>
    <xdr:to>
      <xdr:col>3</xdr:col>
      <xdr:colOff>3314</xdr:colOff>
      <xdr:row>224</xdr:row>
      <xdr:rowOff>181989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A923219F-E475-45AD-9A49-EB590CC5F0EF}"/>
            </a:ext>
          </a:extLst>
        </xdr:cNvPr>
        <xdr:cNvSpPr>
          <a:spLocks noChangeArrowheads="1"/>
        </xdr:cNvSpPr>
      </xdr:nvSpPr>
      <xdr:spPr bwMode="auto">
        <a:xfrm>
          <a:off x="509158" y="39992733"/>
          <a:ext cx="402206" cy="37205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9</xdr:col>
      <xdr:colOff>356324</xdr:colOff>
      <xdr:row>222</xdr:row>
      <xdr:rowOff>151698</xdr:rowOff>
    </xdr:from>
    <xdr:to>
      <xdr:col>11</xdr:col>
      <xdr:colOff>4382</xdr:colOff>
      <xdr:row>224</xdr:row>
      <xdr:rowOff>178368</xdr:rowOff>
    </xdr:to>
    <xdr:sp macro="" textlink="">
      <xdr:nvSpPr>
        <xdr:cNvPr id="503" name="3">
          <a:extLst>
            <a:ext uri="{FF2B5EF4-FFF2-40B4-BE49-F238E27FC236}">
              <a16:creationId xmlns:a16="http://schemas.microsoft.com/office/drawing/2014/main" id="{370EDA08-F2B2-43CB-B0B5-0446B901248C}"/>
            </a:ext>
          </a:extLst>
        </xdr:cNvPr>
        <xdr:cNvSpPr>
          <a:spLocks noChangeArrowheads="1"/>
        </xdr:cNvSpPr>
      </xdr:nvSpPr>
      <xdr:spPr bwMode="auto">
        <a:xfrm>
          <a:off x="3582124" y="39966198"/>
          <a:ext cx="403708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7</xdr:col>
      <xdr:colOff>429278</xdr:colOff>
      <xdr:row>222</xdr:row>
      <xdr:rowOff>170660</xdr:rowOff>
    </xdr:from>
    <xdr:to>
      <xdr:col>9</xdr:col>
      <xdr:colOff>2364</xdr:colOff>
      <xdr:row>224</xdr:row>
      <xdr:rowOff>176097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A479126B-32BD-4FA2-B4A3-2D8041E544E9}"/>
            </a:ext>
          </a:extLst>
        </xdr:cNvPr>
        <xdr:cNvSpPr>
          <a:spLocks noChangeArrowheads="1"/>
        </xdr:cNvSpPr>
      </xdr:nvSpPr>
      <xdr:spPr bwMode="auto">
        <a:xfrm>
          <a:off x="2823228" y="39985160"/>
          <a:ext cx="404936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174144</xdr:colOff>
      <xdr:row>222</xdr:row>
      <xdr:rowOff>165720</xdr:rowOff>
    </xdr:from>
    <xdr:to>
      <xdr:col>12</xdr:col>
      <xdr:colOff>263087</xdr:colOff>
      <xdr:row>223</xdr:row>
      <xdr:rowOff>90465</xdr:rowOff>
    </xdr:to>
    <xdr:sp macro="" textlink="">
      <xdr:nvSpPr>
        <xdr:cNvPr id="505" name="Freeform 10708">
          <a:extLst>
            <a:ext uri="{FF2B5EF4-FFF2-40B4-BE49-F238E27FC236}">
              <a16:creationId xmlns:a16="http://schemas.microsoft.com/office/drawing/2014/main" id="{07F5F4CE-9068-4D78-B73E-4C9DD70F1ECA}"/>
            </a:ext>
          </a:extLst>
        </xdr:cNvPr>
        <xdr:cNvSpPr>
          <a:spLocks/>
        </xdr:cNvSpPr>
      </xdr:nvSpPr>
      <xdr:spPr bwMode="auto">
        <a:xfrm>
          <a:off x="3768244" y="39980220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295951</xdr:colOff>
      <xdr:row>222</xdr:row>
      <xdr:rowOff>154052</xdr:rowOff>
    </xdr:from>
    <xdr:to>
      <xdr:col>15</xdr:col>
      <xdr:colOff>6979</xdr:colOff>
      <xdr:row>224</xdr:row>
      <xdr:rowOff>181429</xdr:rowOff>
    </xdr:to>
    <xdr:sp macro="" textlink="">
      <xdr:nvSpPr>
        <xdr:cNvPr id="506" name="3">
          <a:extLst>
            <a:ext uri="{FF2B5EF4-FFF2-40B4-BE49-F238E27FC236}">
              <a16:creationId xmlns:a16="http://schemas.microsoft.com/office/drawing/2014/main" id="{944CA070-F5C3-4465-81D3-02D9F98115B5}"/>
            </a:ext>
          </a:extLst>
        </xdr:cNvPr>
        <xdr:cNvSpPr>
          <a:spLocks noChangeArrowheads="1"/>
        </xdr:cNvSpPr>
      </xdr:nvSpPr>
      <xdr:spPr bwMode="auto">
        <a:xfrm>
          <a:off x="5014001" y="39968552"/>
          <a:ext cx="409528" cy="39567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4050</xdr:colOff>
      <xdr:row>222</xdr:row>
      <xdr:rowOff>170231</xdr:rowOff>
    </xdr:from>
    <xdr:to>
      <xdr:col>13</xdr:col>
      <xdr:colOff>3582</xdr:colOff>
      <xdr:row>224</xdr:row>
      <xdr:rowOff>175668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C77CA78F-4D8B-4622-965F-9AE6899A536C}"/>
            </a:ext>
          </a:extLst>
        </xdr:cNvPr>
        <xdr:cNvSpPr>
          <a:spLocks noChangeArrowheads="1"/>
        </xdr:cNvSpPr>
      </xdr:nvSpPr>
      <xdr:spPr bwMode="auto">
        <a:xfrm>
          <a:off x="4334750" y="39984731"/>
          <a:ext cx="386882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171768</xdr:colOff>
      <xdr:row>222</xdr:row>
      <xdr:rowOff>176702</xdr:rowOff>
    </xdr:from>
    <xdr:to>
      <xdr:col>18</xdr:col>
      <xdr:colOff>188991</xdr:colOff>
      <xdr:row>223</xdr:row>
      <xdr:rowOff>92819</xdr:rowOff>
    </xdr:to>
    <xdr:sp macro="" textlink="">
      <xdr:nvSpPr>
        <xdr:cNvPr id="508" name="Freeform 10708">
          <a:extLst>
            <a:ext uri="{FF2B5EF4-FFF2-40B4-BE49-F238E27FC236}">
              <a16:creationId xmlns:a16="http://schemas.microsoft.com/office/drawing/2014/main" id="{21FE43FB-8586-4BB5-B285-67D3EA3AFEA7}"/>
            </a:ext>
          </a:extLst>
        </xdr:cNvPr>
        <xdr:cNvSpPr>
          <a:spLocks/>
        </xdr:cNvSpPr>
      </xdr:nvSpPr>
      <xdr:spPr bwMode="auto">
        <a:xfrm>
          <a:off x="5188268" y="39991202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222</xdr:row>
      <xdr:rowOff>168074</xdr:rowOff>
    </xdr:from>
    <xdr:to>
      <xdr:col>14</xdr:col>
      <xdr:colOff>193738</xdr:colOff>
      <xdr:row>223</xdr:row>
      <xdr:rowOff>80913</xdr:rowOff>
    </xdr:to>
    <xdr:sp macro="" textlink="">
      <xdr:nvSpPr>
        <xdr:cNvPr id="509" name="Freeform 10708">
          <a:extLst>
            <a:ext uri="{FF2B5EF4-FFF2-40B4-BE49-F238E27FC236}">
              <a16:creationId xmlns:a16="http://schemas.microsoft.com/office/drawing/2014/main" id="{7C2B9422-AC8E-4F01-8BDA-9C82D68F5F15}"/>
            </a:ext>
          </a:extLst>
        </xdr:cNvPr>
        <xdr:cNvSpPr>
          <a:spLocks/>
        </xdr:cNvSpPr>
      </xdr:nvSpPr>
      <xdr:spPr bwMode="auto">
        <a:xfrm>
          <a:off x="4531940" y="39982574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367098</xdr:colOff>
      <xdr:row>222</xdr:row>
      <xdr:rowOff>152544</xdr:rowOff>
    </xdr:from>
    <xdr:to>
      <xdr:col>21</xdr:col>
      <xdr:colOff>8883</xdr:colOff>
      <xdr:row>224</xdr:row>
      <xdr:rowOff>179214</xdr:rowOff>
    </xdr:to>
    <xdr:sp macro="" textlink="">
      <xdr:nvSpPr>
        <xdr:cNvPr id="510" name="3">
          <a:extLst>
            <a:ext uri="{FF2B5EF4-FFF2-40B4-BE49-F238E27FC236}">
              <a16:creationId xmlns:a16="http://schemas.microsoft.com/office/drawing/2014/main" id="{E508FC84-A67B-46DD-89DC-20F0A28E4B80}"/>
            </a:ext>
          </a:extLst>
        </xdr:cNvPr>
        <xdr:cNvSpPr>
          <a:spLocks noChangeArrowheads="1"/>
        </xdr:cNvSpPr>
      </xdr:nvSpPr>
      <xdr:spPr bwMode="auto">
        <a:xfrm>
          <a:off x="7390198" y="39967044"/>
          <a:ext cx="416485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362259</xdr:colOff>
      <xdr:row>222</xdr:row>
      <xdr:rowOff>171506</xdr:rowOff>
    </xdr:from>
    <xdr:to>
      <xdr:col>19</xdr:col>
      <xdr:colOff>3818</xdr:colOff>
      <xdr:row>224</xdr:row>
      <xdr:rowOff>176943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7CEBBBA0-6690-4D80-9E92-01321BF6EB9C}"/>
            </a:ext>
          </a:extLst>
        </xdr:cNvPr>
        <xdr:cNvSpPr>
          <a:spLocks noChangeArrowheads="1"/>
        </xdr:cNvSpPr>
      </xdr:nvSpPr>
      <xdr:spPr bwMode="auto">
        <a:xfrm>
          <a:off x="6578909" y="39986006"/>
          <a:ext cx="448009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186666</xdr:colOff>
      <xdr:row>222</xdr:row>
      <xdr:rowOff>173641</xdr:rowOff>
    </xdr:from>
    <xdr:to>
      <xdr:col>22</xdr:col>
      <xdr:colOff>191774</xdr:colOff>
      <xdr:row>223</xdr:row>
      <xdr:rowOff>91310</xdr:rowOff>
    </xdr:to>
    <xdr:sp macro="" textlink="">
      <xdr:nvSpPr>
        <xdr:cNvPr id="512" name="Freeform 10708">
          <a:extLst>
            <a:ext uri="{FF2B5EF4-FFF2-40B4-BE49-F238E27FC236}">
              <a16:creationId xmlns:a16="http://schemas.microsoft.com/office/drawing/2014/main" id="{01264044-18EC-4655-BDE2-F472E4405301}"/>
            </a:ext>
          </a:extLst>
        </xdr:cNvPr>
        <xdr:cNvSpPr>
          <a:spLocks/>
        </xdr:cNvSpPr>
      </xdr:nvSpPr>
      <xdr:spPr bwMode="auto">
        <a:xfrm>
          <a:off x="7578066" y="39988141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341751</xdr:colOff>
      <xdr:row>222</xdr:row>
      <xdr:rowOff>147826</xdr:rowOff>
    </xdr:from>
    <xdr:to>
      <xdr:col>24</xdr:col>
      <xdr:colOff>382225</xdr:colOff>
      <xdr:row>224</xdr:row>
      <xdr:rowOff>174496</xdr:rowOff>
    </xdr:to>
    <xdr:sp macro="" textlink="">
      <xdr:nvSpPr>
        <xdr:cNvPr id="513" name="3">
          <a:extLst>
            <a:ext uri="{FF2B5EF4-FFF2-40B4-BE49-F238E27FC236}">
              <a16:creationId xmlns:a16="http://schemas.microsoft.com/office/drawing/2014/main" id="{394DC5E7-92FC-41E2-A3CF-BD91BBC9CC1D}"/>
            </a:ext>
          </a:extLst>
        </xdr:cNvPr>
        <xdr:cNvSpPr>
          <a:spLocks noChangeArrowheads="1"/>
        </xdr:cNvSpPr>
      </xdr:nvSpPr>
      <xdr:spPr bwMode="auto">
        <a:xfrm>
          <a:off x="8907901" y="39962326"/>
          <a:ext cx="42782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3642</xdr:colOff>
      <xdr:row>222</xdr:row>
      <xdr:rowOff>174290</xdr:rowOff>
    </xdr:from>
    <xdr:to>
      <xdr:col>23</xdr:col>
      <xdr:colOff>3815</xdr:colOff>
      <xdr:row>224</xdr:row>
      <xdr:rowOff>179727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AF7F1FEA-D17F-4AA9-9A7D-310C7ED97E2B}"/>
            </a:ext>
          </a:extLst>
        </xdr:cNvPr>
        <xdr:cNvSpPr>
          <a:spLocks noChangeArrowheads="1"/>
        </xdr:cNvSpPr>
      </xdr:nvSpPr>
      <xdr:spPr bwMode="auto">
        <a:xfrm>
          <a:off x="8169742" y="39988790"/>
          <a:ext cx="400223" cy="37373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27</xdr:col>
      <xdr:colOff>388510</xdr:colOff>
      <xdr:row>222</xdr:row>
      <xdr:rowOff>152137</xdr:rowOff>
    </xdr:from>
    <xdr:to>
      <xdr:col>29</xdr:col>
      <xdr:colOff>10144</xdr:colOff>
      <xdr:row>224</xdr:row>
      <xdr:rowOff>178807</xdr:rowOff>
    </xdr:to>
    <xdr:sp macro="" textlink="">
      <xdr:nvSpPr>
        <xdr:cNvPr id="515" name="3">
          <a:extLst>
            <a:ext uri="{FF2B5EF4-FFF2-40B4-BE49-F238E27FC236}">
              <a16:creationId xmlns:a16="http://schemas.microsoft.com/office/drawing/2014/main" id="{9F46320F-E5EF-42A6-880D-EB0CF17CB84F}"/>
            </a:ext>
          </a:extLst>
        </xdr:cNvPr>
        <xdr:cNvSpPr>
          <a:spLocks noChangeArrowheads="1"/>
        </xdr:cNvSpPr>
      </xdr:nvSpPr>
      <xdr:spPr bwMode="auto">
        <a:xfrm>
          <a:off x="10548510" y="39966637"/>
          <a:ext cx="428084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706</xdr:colOff>
      <xdr:row>222</xdr:row>
      <xdr:rowOff>179725</xdr:rowOff>
    </xdr:from>
    <xdr:to>
      <xdr:col>27</xdr:col>
      <xdr:colOff>3614</xdr:colOff>
      <xdr:row>224</xdr:row>
      <xdr:rowOff>185440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153CC258-18EF-4B8E-B262-A62E17B4BA55}"/>
            </a:ext>
          </a:extLst>
        </xdr:cNvPr>
        <xdr:cNvSpPr>
          <a:spLocks noChangeArrowheads="1"/>
        </xdr:cNvSpPr>
      </xdr:nvSpPr>
      <xdr:spPr bwMode="auto">
        <a:xfrm>
          <a:off x="9760656" y="39994225"/>
          <a:ext cx="402958" cy="37401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208470</xdr:colOff>
      <xdr:row>222</xdr:row>
      <xdr:rowOff>165293</xdr:rowOff>
    </xdr:from>
    <xdr:to>
      <xdr:col>30</xdr:col>
      <xdr:colOff>200492</xdr:colOff>
      <xdr:row>223</xdr:row>
      <xdr:rowOff>85338</xdr:rowOff>
    </xdr:to>
    <xdr:sp macro="" textlink="">
      <xdr:nvSpPr>
        <xdr:cNvPr id="517" name="Freeform 10708">
          <a:extLst>
            <a:ext uri="{FF2B5EF4-FFF2-40B4-BE49-F238E27FC236}">
              <a16:creationId xmlns:a16="http://schemas.microsoft.com/office/drawing/2014/main" id="{61AC0816-0FBF-4C2A-A960-30C2D8EB5415}"/>
            </a:ext>
          </a:extLst>
        </xdr:cNvPr>
        <xdr:cNvSpPr>
          <a:spLocks/>
        </xdr:cNvSpPr>
      </xdr:nvSpPr>
      <xdr:spPr bwMode="auto">
        <a:xfrm>
          <a:off x="10774870" y="39979793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15170</xdr:colOff>
      <xdr:row>222</xdr:row>
      <xdr:rowOff>148948</xdr:rowOff>
    </xdr:from>
    <xdr:to>
      <xdr:col>31</xdr:col>
      <xdr:colOff>6301</xdr:colOff>
      <xdr:row>224</xdr:row>
      <xdr:rowOff>175618</xdr:rowOff>
    </xdr:to>
    <xdr:sp macro="" textlink="">
      <xdr:nvSpPr>
        <xdr:cNvPr id="518" name="3">
          <a:extLst>
            <a:ext uri="{FF2B5EF4-FFF2-40B4-BE49-F238E27FC236}">
              <a16:creationId xmlns:a16="http://schemas.microsoft.com/office/drawing/2014/main" id="{E2E687F0-AD57-4259-A976-F6609FBB6E19}"/>
            </a:ext>
          </a:extLst>
        </xdr:cNvPr>
        <xdr:cNvSpPr>
          <a:spLocks noChangeArrowheads="1"/>
        </xdr:cNvSpPr>
      </xdr:nvSpPr>
      <xdr:spPr bwMode="auto">
        <a:xfrm>
          <a:off x="11343570" y="39963448"/>
          <a:ext cx="397531" cy="39497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13956</xdr:colOff>
      <xdr:row>222</xdr:row>
      <xdr:rowOff>179021</xdr:rowOff>
    </xdr:from>
    <xdr:to>
      <xdr:col>2</xdr:col>
      <xdr:colOff>184237</xdr:colOff>
      <xdr:row>223</xdr:row>
      <xdr:rowOff>102641</xdr:rowOff>
    </xdr:to>
    <xdr:sp macro="" textlink="">
      <xdr:nvSpPr>
        <xdr:cNvPr id="519" name="Freeform 10708">
          <a:extLst>
            <a:ext uri="{FF2B5EF4-FFF2-40B4-BE49-F238E27FC236}">
              <a16:creationId xmlns:a16="http://schemas.microsoft.com/office/drawing/2014/main" id="{AE51AD1C-27AB-458D-BAD4-D5FA4E68293C}"/>
            </a:ext>
          </a:extLst>
        </xdr:cNvPr>
        <xdr:cNvSpPr>
          <a:spLocks/>
        </xdr:cNvSpPr>
      </xdr:nvSpPr>
      <xdr:spPr bwMode="auto">
        <a:xfrm>
          <a:off x="13956" y="39993521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363941</xdr:colOff>
      <xdr:row>232</xdr:row>
      <xdr:rowOff>167301</xdr:rowOff>
    </xdr:from>
    <xdr:to>
      <xdr:col>7</xdr:col>
      <xdr:colOff>13868</xdr:colOff>
      <xdr:row>235</xdr:row>
      <xdr:rowOff>4746</xdr:rowOff>
    </xdr:to>
    <xdr:sp macro="" textlink="">
      <xdr:nvSpPr>
        <xdr:cNvPr id="520" name="3">
          <a:extLst>
            <a:ext uri="{FF2B5EF4-FFF2-40B4-BE49-F238E27FC236}">
              <a16:creationId xmlns:a16="http://schemas.microsoft.com/office/drawing/2014/main" id="{8225D45A-F96D-46B2-B66B-EB1F444D6343}"/>
            </a:ext>
          </a:extLst>
        </xdr:cNvPr>
        <xdr:cNvSpPr>
          <a:spLocks noChangeArrowheads="1"/>
        </xdr:cNvSpPr>
      </xdr:nvSpPr>
      <xdr:spPr bwMode="auto">
        <a:xfrm>
          <a:off x="2040341" y="41747101"/>
          <a:ext cx="411927" cy="39624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8301</xdr:colOff>
      <xdr:row>233</xdr:row>
      <xdr:rowOff>3450</xdr:rowOff>
    </xdr:from>
    <xdr:to>
      <xdr:col>5</xdr:col>
      <xdr:colOff>10458</xdr:colOff>
      <xdr:row>235</xdr:row>
      <xdr:rowOff>705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CCFBF808-7762-47ED-AED0-44829E9A6C8B}"/>
            </a:ext>
          </a:extLst>
        </xdr:cNvPr>
        <xdr:cNvSpPr>
          <a:spLocks noChangeArrowheads="1"/>
        </xdr:cNvSpPr>
      </xdr:nvSpPr>
      <xdr:spPr bwMode="auto">
        <a:xfrm>
          <a:off x="1284651" y="41767400"/>
          <a:ext cx="402207" cy="37190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</xdr:col>
      <xdr:colOff>206708</xdr:colOff>
      <xdr:row>233</xdr:row>
      <xdr:rowOff>1292</xdr:rowOff>
    </xdr:from>
    <xdr:to>
      <xdr:col>4</xdr:col>
      <xdr:colOff>206708</xdr:colOff>
      <xdr:row>233</xdr:row>
      <xdr:rowOff>94161</xdr:rowOff>
    </xdr:to>
    <xdr:sp macro="" textlink="">
      <xdr:nvSpPr>
        <xdr:cNvPr id="522" name="Freeform 10708">
          <a:extLst>
            <a:ext uri="{FF2B5EF4-FFF2-40B4-BE49-F238E27FC236}">
              <a16:creationId xmlns:a16="http://schemas.microsoft.com/office/drawing/2014/main" id="{7198BB93-838E-4500-9501-26BFC9D1E3D5}"/>
            </a:ext>
          </a:extLst>
        </xdr:cNvPr>
        <xdr:cNvSpPr>
          <a:spLocks/>
        </xdr:cNvSpPr>
      </xdr:nvSpPr>
      <xdr:spPr bwMode="auto">
        <a:xfrm>
          <a:off x="714708" y="41765242"/>
          <a:ext cx="7683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186896</xdr:colOff>
      <xdr:row>233</xdr:row>
      <xdr:rowOff>1293</xdr:rowOff>
    </xdr:from>
    <xdr:to>
      <xdr:col>8</xdr:col>
      <xdr:colOff>208328</xdr:colOff>
      <xdr:row>233</xdr:row>
      <xdr:rowOff>106068</xdr:rowOff>
    </xdr:to>
    <xdr:sp macro="" textlink="">
      <xdr:nvSpPr>
        <xdr:cNvPr id="523" name="Freeform 10708">
          <a:extLst>
            <a:ext uri="{FF2B5EF4-FFF2-40B4-BE49-F238E27FC236}">
              <a16:creationId xmlns:a16="http://schemas.microsoft.com/office/drawing/2014/main" id="{EF353300-DD00-463D-AC77-16564B777481}"/>
            </a:ext>
          </a:extLst>
        </xdr:cNvPr>
        <xdr:cNvSpPr>
          <a:spLocks/>
        </xdr:cNvSpPr>
      </xdr:nvSpPr>
      <xdr:spPr bwMode="auto">
        <a:xfrm>
          <a:off x="2244296" y="41765243"/>
          <a:ext cx="789782" cy="10477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6911</xdr:colOff>
      <xdr:row>233</xdr:row>
      <xdr:rowOff>2824</xdr:rowOff>
    </xdr:from>
    <xdr:to>
      <xdr:col>3</xdr:col>
      <xdr:colOff>9067</xdr:colOff>
      <xdr:row>234</xdr:row>
      <xdr:rowOff>187736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7AA85EC2-C7E7-4A9C-8DE0-692A14C624B9}"/>
            </a:ext>
          </a:extLst>
        </xdr:cNvPr>
        <xdr:cNvSpPr>
          <a:spLocks noChangeArrowheads="1"/>
        </xdr:cNvSpPr>
      </xdr:nvSpPr>
      <xdr:spPr bwMode="auto">
        <a:xfrm>
          <a:off x="514911" y="41766774"/>
          <a:ext cx="402206" cy="36906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208866</xdr:colOff>
      <xdr:row>233</xdr:row>
      <xdr:rowOff>1293</xdr:rowOff>
    </xdr:from>
    <xdr:to>
      <xdr:col>6</xdr:col>
      <xdr:colOff>208866</xdr:colOff>
      <xdr:row>233</xdr:row>
      <xdr:rowOff>94162</xdr:rowOff>
    </xdr:to>
    <xdr:sp macro="" textlink="">
      <xdr:nvSpPr>
        <xdr:cNvPr id="525" name="Freeform 10708">
          <a:extLst>
            <a:ext uri="{FF2B5EF4-FFF2-40B4-BE49-F238E27FC236}">
              <a16:creationId xmlns:a16="http://schemas.microsoft.com/office/drawing/2014/main" id="{97C0795B-13A0-4E1F-B7FB-969F88F8DA3C}"/>
            </a:ext>
          </a:extLst>
        </xdr:cNvPr>
        <xdr:cNvSpPr>
          <a:spLocks/>
        </xdr:cNvSpPr>
      </xdr:nvSpPr>
      <xdr:spPr bwMode="auto">
        <a:xfrm>
          <a:off x="1485216" y="41765243"/>
          <a:ext cx="781050" cy="9286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362077</xdr:colOff>
      <xdr:row>232</xdr:row>
      <xdr:rowOff>157444</xdr:rowOff>
    </xdr:from>
    <xdr:to>
      <xdr:col>11</xdr:col>
      <xdr:colOff>10135</xdr:colOff>
      <xdr:row>234</xdr:row>
      <xdr:rowOff>184115</xdr:rowOff>
    </xdr:to>
    <xdr:sp macro="" textlink="">
      <xdr:nvSpPr>
        <xdr:cNvPr id="526" name="3">
          <a:extLst>
            <a:ext uri="{FF2B5EF4-FFF2-40B4-BE49-F238E27FC236}">
              <a16:creationId xmlns:a16="http://schemas.microsoft.com/office/drawing/2014/main" id="{94982515-71DC-4893-ACAE-CA3C0389CC8A}"/>
            </a:ext>
          </a:extLst>
        </xdr:cNvPr>
        <xdr:cNvSpPr>
          <a:spLocks noChangeArrowheads="1"/>
        </xdr:cNvSpPr>
      </xdr:nvSpPr>
      <xdr:spPr bwMode="auto">
        <a:xfrm>
          <a:off x="3587877" y="41737244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8</xdr:col>
      <xdr:colOff>3710</xdr:colOff>
      <xdr:row>232</xdr:row>
      <xdr:rowOff>176406</xdr:rowOff>
    </xdr:from>
    <xdr:to>
      <xdr:col>9</xdr:col>
      <xdr:colOff>8117</xdr:colOff>
      <xdr:row>234</xdr:row>
      <xdr:rowOff>181844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E62C03A5-A443-44FE-B377-8C9FAC26427C}"/>
            </a:ext>
          </a:extLst>
        </xdr:cNvPr>
        <xdr:cNvSpPr>
          <a:spLocks noChangeArrowheads="1"/>
        </xdr:cNvSpPr>
      </xdr:nvSpPr>
      <xdr:spPr bwMode="auto">
        <a:xfrm>
          <a:off x="2829460" y="41756206"/>
          <a:ext cx="40445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179897</xdr:colOff>
      <xdr:row>232</xdr:row>
      <xdr:rowOff>171466</xdr:rowOff>
    </xdr:from>
    <xdr:to>
      <xdr:col>12</xdr:col>
      <xdr:colOff>268840</xdr:colOff>
      <xdr:row>233</xdr:row>
      <xdr:rowOff>96211</xdr:rowOff>
    </xdr:to>
    <xdr:sp macro="" textlink="">
      <xdr:nvSpPr>
        <xdr:cNvPr id="528" name="Freeform 10708">
          <a:extLst>
            <a:ext uri="{FF2B5EF4-FFF2-40B4-BE49-F238E27FC236}">
              <a16:creationId xmlns:a16="http://schemas.microsoft.com/office/drawing/2014/main" id="{8CED5919-71B0-49FD-BDF3-C36BAD8132B3}"/>
            </a:ext>
          </a:extLst>
        </xdr:cNvPr>
        <xdr:cNvSpPr>
          <a:spLocks/>
        </xdr:cNvSpPr>
      </xdr:nvSpPr>
      <xdr:spPr bwMode="auto">
        <a:xfrm>
          <a:off x="3773997" y="41751266"/>
          <a:ext cx="825543" cy="1088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194366</xdr:colOff>
      <xdr:row>232</xdr:row>
      <xdr:rowOff>171466</xdr:rowOff>
    </xdr:from>
    <xdr:to>
      <xdr:col>10</xdr:col>
      <xdr:colOff>201867</xdr:colOff>
      <xdr:row>233</xdr:row>
      <xdr:rowOff>84305</xdr:rowOff>
    </xdr:to>
    <xdr:sp macro="" textlink="">
      <xdr:nvSpPr>
        <xdr:cNvPr id="529" name="Freeform 10708">
          <a:extLst>
            <a:ext uri="{FF2B5EF4-FFF2-40B4-BE49-F238E27FC236}">
              <a16:creationId xmlns:a16="http://schemas.microsoft.com/office/drawing/2014/main" id="{C5E4A299-82BA-46CC-9488-2EBCE50454E4}"/>
            </a:ext>
          </a:extLst>
        </xdr:cNvPr>
        <xdr:cNvSpPr>
          <a:spLocks/>
        </xdr:cNvSpPr>
      </xdr:nvSpPr>
      <xdr:spPr bwMode="auto">
        <a:xfrm>
          <a:off x="3020116" y="41751266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295353</xdr:colOff>
      <xdr:row>232</xdr:row>
      <xdr:rowOff>159798</xdr:rowOff>
    </xdr:from>
    <xdr:to>
      <xdr:col>14</xdr:col>
      <xdr:colOff>390769</xdr:colOff>
      <xdr:row>234</xdr:row>
      <xdr:rowOff>181428</xdr:rowOff>
    </xdr:to>
    <xdr:sp macro="" textlink="">
      <xdr:nvSpPr>
        <xdr:cNvPr id="530" name="3">
          <a:extLst>
            <a:ext uri="{FF2B5EF4-FFF2-40B4-BE49-F238E27FC236}">
              <a16:creationId xmlns:a16="http://schemas.microsoft.com/office/drawing/2014/main" id="{D2532EAC-F9FB-4A08-8EC7-AB1A6E5E5A25}"/>
            </a:ext>
          </a:extLst>
        </xdr:cNvPr>
        <xdr:cNvSpPr>
          <a:spLocks noChangeArrowheads="1"/>
        </xdr:cNvSpPr>
      </xdr:nvSpPr>
      <xdr:spPr bwMode="auto">
        <a:xfrm>
          <a:off x="5013403" y="41739598"/>
          <a:ext cx="393866" cy="38993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12</xdr:col>
      <xdr:colOff>9803</xdr:colOff>
      <xdr:row>232</xdr:row>
      <xdr:rowOff>175977</xdr:rowOff>
    </xdr:from>
    <xdr:to>
      <xdr:col>13</xdr:col>
      <xdr:colOff>9335</xdr:colOff>
      <xdr:row>234</xdr:row>
      <xdr:rowOff>181415</xdr:rowOff>
    </xdr:to>
    <xdr:sp macro="" textlink="">
      <xdr:nvSpPr>
        <xdr:cNvPr id="531" name="0/0">
          <a:extLst>
            <a:ext uri="{FF2B5EF4-FFF2-40B4-BE49-F238E27FC236}">
              <a16:creationId xmlns:a16="http://schemas.microsoft.com/office/drawing/2014/main" id="{897E7CD5-0B6D-4EE0-BFD4-7D7971DCE8B1}"/>
            </a:ext>
          </a:extLst>
        </xdr:cNvPr>
        <xdr:cNvSpPr>
          <a:spLocks noChangeArrowheads="1"/>
        </xdr:cNvSpPr>
      </xdr:nvSpPr>
      <xdr:spPr bwMode="auto">
        <a:xfrm>
          <a:off x="4340503" y="41755777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177521</xdr:colOff>
      <xdr:row>233</xdr:row>
      <xdr:rowOff>1293</xdr:rowOff>
    </xdr:from>
    <xdr:to>
      <xdr:col>18</xdr:col>
      <xdr:colOff>194744</xdr:colOff>
      <xdr:row>233</xdr:row>
      <xdr:rowOff>98565</xdr:rowOff>
    </xdr:to>
    <xdr:sp macro="" textlink="">
      <xdr:nvSpPr>
        <xdr:cNvPr id="532" name="Freeform 10708">
          <a:extLst>
            <a:ext uri="{FF2B5EF4-FFF2-40B4-BE49-F238E27FC236}">
              <a16:creationId xmlns:a16="http://schemas.microsoft.com/office/drawing/2014/main" id="{32A001E2-E9CA-4E2C-A64B-6933D04A2C2D}"/>
            </a:ext>
          </a:extLst>
        </xdr:cNvPr>
        <xdr:cNvSpPr>
          <a:spLocks/>
        </xdr:cNvSpPr>
      </xdr:nvSpPr>
      <xdr:spPr bwMode="auto">
        <a:xfrm>
          <a:off x="5194021" y="41765243"/>
          <a:ext cx="1623773" cy="9727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206993</xdr:colOff>
      <xdr:row>232</xdr:row>
      <xdr:rowOff>173820</xdr:rowOff>
    </xdr:from>
    <xdr:to>
      <xdr:col>14</xdr:col>
      <xdr:colOff>199491</xdr:colOff>
      <xdr:row>233</xdr:row>
      <xdr:rowOff>86659</xdr:rowOff>
    </xdr:to>
    <xdr:sp macro="" textlink="">
      <xdr:nvSpPr>
        <xdr:cNvPr id="533" name="Freeform 10708">
          <a:extLst>
            <a:ext uri="{FF2B5EF4-FFF2-40B4-BE49-F238E27FC236}">
              <a16:creationId xmlns:a16="http://schemas.microsoft.com/office/drawing/2014/main" id="{1BF41D26-28A5-4069-92B1-A05E1AC9319C}"/>
            </a:ext>
          </a:extLst>
        </xdr:cNvPr>
        <xdr:cNvSpPr>
          <a:spLocks/>
        </xdr:cNvSpPr>
      </xdr:nvSpPr>
      <xdr:spPr bwMode="auto">
        <a:xfrm>
          <a:off x="4537693" y="41753620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4268</xdr:colOff>
      <xdr:row>232</xdr:row>
      <xdr:rowOff>158290</xdr:rowOff>
    </xdr:from>
    <xdr:to>
      <xdr:col>21</xdr:col>
      <xdr:colOff>14636</xdr:colOff>
      <xdr:row>234</xdr:row>
      <xdr:rowOff>184961</xdr:rowOff>
    </xdr:to>
    <xdr:sp macro="" textlink="">
      <xdr:nvSpPr>
        <xdr:cNvPr id="534" name="3">
          <a:extLst>
            <a:ext uri="{FF2B5EF4-FFF2-40B4-BE49-F238E27FC236}">
              <a16:creationId xmlns:a16="http://schemas.microsoft.com/office/drawing/2014/main" id="{094E865B-BF12-4159-AD7C-3E9B55D75A6B}"/>
            </a:ext>
          </a:extLst>
        </xdr:cNvPr>
        <xdr:cNvSpPr>
          <a:spLocks noChangeArrowheads="1"/>
        </xdr:cNvSpPr>
      </xdr:nvSpPr>
      <xdr:spPr bwMode="auto">
        <a:xfrm>
          <a:off x="7395668" y="41738090"/>
          <a:ext cx="41676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17</xdr:col>
      <xdr:colOff>368012</xdr:colOff>
      <xdr:row>232</xdr:row>
      <xdr:rowOff>177252</xdr:rowOff>
    </xdr:from>
    <xdr:to>
      <xdr:col>19</xdr:col>
      <xdr:colOff>9571</xdr:colOff>
      <xdr:row>234</xdr:row>
      <xdr:rowOff>182690</xdr:rowOff>
    </xdr:to>
    <xdr:sp macro="" textlink="">
      <xdr:nvSpPr>
        <xdr:cNvPr id="535" name="0/0">
          <a:extLst>
            <a:ext uri="{FF2B5EF4-FFF2-40B4-BE49-F238E27FC236}">
              <a16:creationId xmlns:a16="http://schemas.microsoft.com/office/drawing/2014/main" id="{8F540B75-4EB8-4E84-8985-6DD75011AD66}"/>
            </a:ext>
          </a:extLst>
        </xdr:cNvPr>
        <xdr:cNvSpPr>
          <a:spLocks noChangeArrowheads="1"/>
        </xdr:cNvSpPr>
      </xdr:nvSpPr>
      <xdr:spPr bwMode="auto">
        <a:xfrm>
          <a:off x="6584662" y="41757052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192419</xdr:colOff>
      <xdr:row>232</xdr:row>
      <xdr:rowOff>179387</xdr:rowOff>
    </xdr:from>
    <xdr:to>
      <xdr:col>22</xdr:col>
      <xdr:colOff>197527</xdr:colOff>
      <xdr:row>233</xdr:row>
      <xdr:rowOff>97056</xdr:rowOff>
    </xdr:to>
    <xdr:sp macro="" textlink="">
      <xdr:nvSpPr>
        <xdr:cNvPr id="536" name="Freeform 10708">
          <a:extLst>
            <a:ext uri="{FF2B5EF4-FFF2-40B4-BE49-F238E27FC236}">
              <a16:creationId xmlns:a16="http://schemas.microsoft.com/office/drawing/2014/main" id="{89E7E45E-FC99-4B0A-B264-85FCF079E9D7}"/>
            </a:ext>
          </a:extLst>
        </xdr:cNvPr>
        <xdr:cNvSpPr>
          <a:spLocks/>
        </xdr:cNvSpPr>
      </xdr:nvSpPr>
      <xdr:spPr bwMode="auto">
        <a:xfrm>
          <a:off x="7583819" y="41759187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1424</xdr:colOff>
      <xdr:row>232</xdr:row>
      <xdr:rowOff>161074</xdr:rowOff>
    </xdr:from>
    <xdr:to>
      <xdr:col>25</xdr:col>
      <xdr:colOff>20417</xdr:colOff>
      <xdr:row>234</xdr:row>
      <xdr:rowOff>187745</xdr:rowOff>
    </xdr:to>
    <xdr:sp macro="" textlink="">
      <xdr:nvSpPr>
        <xdr:cNvPr id="537" name="3">
          <a:extLst>
            <a:ext uri="{FF2B5EF4-FFF2-40B4-BE49-F238E27FC236}">
              <a16:creationId xmlns:a16="http://schemas.microsoft.com/office/drawing/2014/main" id="{CA503FF9-963B-4333-9E88-34763283B09E}"/>
            </a:ext>
          </a:extLst>
        </xdr:cNvPr>
        <xdr:cNvSpPr>
          <a:spLocks noChangeArrowheads="1"/>
        </xdr:cNvSpPr>
      </xdr:nvSpPr>
      <xdr:spPr bwMode="auto">
        <a:xfrm>
          <a:off x="8954924" y="41740874"/>
          <a:ext cx="419043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9395</xdr:colOff>
      <xdr:row>232</xdr:row>
      <xdr:rowOff>180036</xdr:rowOff>
    </xdr:from>
    <xdr:to>
      <xdr:col>23</xdr:col>
      <xdr:colOff>9568</xdr:colOff>
      <xdr:row>234</xdr:row>
      <xdr:rowOff>185474</xdr:rowOff>
    </xdr:to>
    <xdr:sp macro="" textlink="">
      <xdr:nvSpPr>
        <xdr:cNvPr id="538" name="0/0">
          <a:extLst>
            <a:ext uri="{FF2B5EF4-FFF2-40B4-BE49-F238E27FC236}">
              <a16:creationId xmlns:a16="http://schemas.microsoft.com/office/drawing/2014/main" id="{DF8085DC-3B8D-4115-9802-6482D28A8F47}"/>
            </a:ext>
          </a:extLst>
        </xdr:cNvPr>
        <xdr:cNvSpPr>
          <a:spLocks noChangeArrowheads="1"/>
        </xdr:cNvSpPr>
      </xdr:nvSpPr>
      <xdr:spPr bwMode="auto">
        <a:xfrm>
          <a:off x="8175495" y="41759836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187397</xdr:colOff>
      <xdr:row>232</xdr:row>
      <xdr:rowOff>173821</xdr:rowOff>
    </xdr:from>
    <xdr:to>
      <xdr:col>26</xdr:col>
      <xdr:colOff>200310</xdr:colOff>
      <xdr:row>233</xdr:row>
      <xdr:rowOff>88709</xdr:rowOff>
    </xdr:to>
    <xdr:sp macro="" textlink="">
      <xdr:nvSpPr>
        <xdr:cNvPr id="539" name="Freeform 10708">
          <a:extLst>
            <a:ext uri="{FF2B5EF4-FFF2-40B4-BE49-F238E27FC236}">
              <a16:creationId xmlns:a16="http://schemas.microsoft.com/office/drawing/2014/main" id="{D05435BD-5AA6-4DBD-8305-C4616CC244F2}"/>
            </a:ext>
          </a:extLst>
        </xdr:cNvPr>
        <xdr:cNvSpPr>
          <a:spLocks/>
        </xdr:cNvSpPr>
      </xdr:nvSpPr>
      <xdr:spPr bwMode="auto">
        <a:xfrm>
          <a:off x="9140897" y="41753621"/>
          <a:ext cx="819363" cy="9903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206586</xdr:colOff>
      <xdr:row>232</xdr:row>
      <xdr:rowOff>171039</xdr:rowOff>
    </xdr:from>
    <xdr:to>
      <xdr:col>24</xdr:col>
      <xdr:colOff>186396</xdr:colOff>
      <xdr:row>233</xdr:row>
      <xdr:rowOff>93500</xdr:rowOff>
    </xdr:to>
    <xdr:sp macro="" textlink="">
      <xdr:nvSpPr>
        <xdr:cNvPr id="540" name="Freeform 10708">
          <a:extLst>
            <a:ext uri="{FF2B5EF4-FFF2-40B4-BE49-F238E27FC236}">
              <a16:creationId xmlns:a16="http://schemas.microsoft.com/office/drawing/2014/main" id="{ED891FEA-78FE-4170-8F04-999462F8F307}"/>
            </a:ext>
          </a:extLst>
        </xdr:cNvPr>
        <xdr:cNvSpPr>
          <a:spLocks/>
        </xdr:cNvSpPr>
      </xdr:nvSpPr>
      <xdr:spPr bwMode="auto">
        <a:xfrm>
          <a:off x="8372686" y="41750839"/>
          <a:ext cx="767210" cy="1066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2153</xdr:colOff>
      <xdr:row>232</xdr:row>
      <xdr:rowOff>157883</xdr:rowOff>
    </xdr:from>
    <xdr:to>
      <xdr:col>29</xdr:col>
      <xdr:colOff>15897</xdr:colOff>
      <xdr:row>234</xdr:row>
      <xdr:rowOff>184554</xdr:rowOff>
    </xdr:to>
    <xdr:sp macro="" textlink="">
      <xdr:nvSpPr>
        <xdr:cNvPr id="541" name="3">
          <a:extLst>
            <a:ext uri="{FF2B5EF4-FFF2-40B4-BE49-F238E27FC236}">
              <a16:creationId xmlns:a16="http://schemas.microsoft.com/office/drawing/2014/main" id="{8FD43B5C-207E-4920-A90D-33A587E63652}"/>
            </a:ext>
          </a:extLst>
        </xdr:cNvPr>
        <xdr:cNvSpPr>
          <a:spLocks noChangeArrowheads="1"/>
        </xdr:cNvSpPr>
      </xdr:nvSpPr>
      <xdr:spPr bwMode="auto">
        <a:xfrm>
          <a:off x="10568553" y="41737683"/>
          <a:ext cx="413794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6459</xdr:colOff>
      <xdr:row>233</xdr:row>
      <xdr:rowOff>4316</xdr:rowOff>
    </xdr:from>
    <xdr:to>
      <xdr:col>27</xdr:col>
      <xdr:colOff>9367</xdr:colOff>
      <xdr:row>235</xdr:row>
      <xdr:rowOff>1405</xdr:rowOff>
    </xdr:to>
    <xdr:sp macro="" textlink="">
      <xdr:nvSpPr>
        <xdr:cNvPr id="542" name="0/0">
          <a:extLst>
            <a:ext uri="{FF2B5EF4-FFF2-40B4-BE49-F238E27FC236}">
              <a16:creationId xmlns:a16="http://schemas.microsoft.com/office/drawing/2014/main" id="{1714F167-3BE9-4196-B840-B7ACB3AB3DB0}"/>
            </a:ext>
          </a:extLst>
        </xdr:cNvPr>
        <xdr:cNvSpPr>
          <a:spLocks noChangeArrowheads="1"/>
        </xdr:cNvSpPr>
      </xdr:nvSpPr>
      <xdr:spPr bwMode="auto">
        <a:xfrm>
          <a:off x="9766409" y="41768266"/>
          <a:ext cx="402958" cy="37173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28</xdr:col>
      <xdr:colOff>214223</xdr:colOff>
      <xdr:row>232</xdr:row>
      <xdr:rowOff>171039</xdr:rowOff>
    </xdr:from>
    <xdr:to>
      <xdr:col>30</xdr:col>
      <xdr:colOff>206245</xdr:colOff>
      <xdr:row>233</xdr:row>
      <xdr:rowOff>91084</xdr:rowOff>
    </xdr:to>
    <xdr:sp macro="" textlink="">
      <xdr:nvSpPr>
        <xdr:cNvPr id="543" name="Freeform 10708">
          <a:extLst>
            <a:ext uri="{FF2B5EF4-FFF2-40B4-BE49-F238E27FC236}">
              <a16:creationId xmlns:a16="http://schemas.microsoft.com/office/drawing/2014/main" id="{FD8A6637-7D95-4E55-A8BB-D88E703EA58B}"/>
            </a:ext>
          </a:extLst>
        </xdr:cNvPr>
        <xdr:cNvSpPr>
          <a:spLocks/>
        </xdr:cNvSpPr>
      </xdr:nvSpPr>
      <xdr:spPr bwMode="auto">
        <a:xfrm>
          <a:off x="10780623" y="41750839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204243</xdr:colOff>
      <xdr:row>232</xdr:row>
      <xdr:rowOff>173822</xdr:rowOff>
    </xdr:from>
    <xdr:to>
      <xdr:col>28</xdr:col>
      <xdr:colOff>203092</xdr:colOff>
      <xdr:row>233</xdr:row>
      <xdr:rowOff>79179</xdr:rowOff>
    </xdr:to>
    <xdr:sp macro="" textlink="">
      <xdr:nvSpPr>
        <xdr:cNvPr id="544" name="Freeform 10708">
          <a:extLst>
            <a:ext uri="{FF2B5EF4-FFF2-40B4-BE49-F238E27FC236}">
              <a16:creationId xmlns:a16="http://schemas.microsoft.com/office/drawing/2014/main" id="{36D03B2E-296D-4847-995B-558649012320}"/>
            </a:ext>
          </a:extLst>
        </xdr:cNvPr>
        <xdr:cNvSpPr>
          <a:spLocks/>
        </xdr:cNvSpPr>
      </xdr:nvSpPr>
      <xdr:spPr bwMode="auto">
        <a:xfrm>
          <a:off x="9964193" y="41753622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5683</xdr:colOff>
      <xdr:row>232</xdr:row>
      <xdr:rowOff>152165</xdr:rowOff>
    </xdr:from>
    <xdr:to>
      <xdr:col>30</xdr:col>
      <xdr:colOff>385434</xdr:colOff>
      <xdr:row>234</xdr:row>
      <xdr:rowOff>178836</xdr:rowOff>
    </xdr:to>
    <xdr:sp macro="" textlink="">
      <xdr:nvSpPr>
        <xdr:cNvPr id="545" name="3">
          <a:extLst>
            <a:ext uri="{FF2B5EF4-FFF2-40B4-BE49-F238E27FC236}">
              <a16:creationId xmlns:a16="http://schemas.microsoft.com/office/drawing/2014/main" id="{AA5A2735-2E49-47A4-BC67-4D7DA67F6172}"/>
            </a:ext>
          </a:extLst>
        </xdr:cNvPr>
        <xdr:cNvSpPr>
          <a:spLocks noChangeArrowheads="1"/>
        </xdr:cNvSpPr>
      </xdr:nvSpPr>
      <xdr:spPr bwMode="auto">
        <a:xfrm>
          <a:off x="11334083" y="41731965"/>
          <a:ext cx="379751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0</xdr:col>
      <xdr:colOff>5753</xdr:colOff>
      <xdr:row>232</xdr:row>
      <xdr:rowOff>163833</xdr:rowOff>
    </xdr:from>
    <xdr:to>
      <xdr:col>2</xdr:col>
      <xdr:colOff>176034</xdr:colOff>
      <xdr:row>233</xdr:row>
      <xdr:rowOff>87453</xdr:rowOff>
    </xdr:to>
    <xdr:sp macro="" textlink="">
      <xdr:nvSpPr>
        <xdr:cNvPr id="546" name="Freeform 10708">
          <a:extLst>
            <a:ext uri="{FF2B5EF4-FFF2-40B4-BE49-F238E27FC236}">
              <a16:creationId xmlns:a16="http://schemas.microsoft.com/office/drawing/2014/main" id="{17F8B51B-768F-482E-BDAF-E339784C5BEF}"/>
            </a:ext>
          </a:extLst>
        </xdr:cNvPr>
        <xdr:cNvSpPr>
          <a:spLocks/>
        </xdr:cNvSpPr>
      </xdr:nvSpPr>
      <xdr:spPr bwMode="auto">
        <a:xfrm>
          <a:off x="5753" y="41743633"/>
          <a:ext cx="678281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242</xdr:row>
      <xdr:rowOff>150052</xdr:rowOff>
    </xdr:from>
    <xdr:to>
      <xdr:col>7</xdr:col>
      <xdr:colOff>8115</xdr:colOff>
      <xdr:row>244</xdr:row>
      <xdr:rowOff>177279</xdr:rowOff>
    </xdr:to>
    <xdr:sp macro="" textlink="">
      <xdr:nvSpPr>
        <xdr:cNvPr id="547" name="3">
          <a:extLst>
            <a:ext uri="{FF2B5EF4-FFF2-40B4-BE49-F238E27FC236}">
              <a16:creationId xmlns:a16="http://schemas.microsoft.com/office/drawing/2014/main" id="{8F123A97-5AE8-4260-8231-84ADA983C4DE}"/>
            </a:ext>
          </a:extLst>
        </xdr:cNvPr>
        <xdr:cNvSpPr>
          <a:spLocks noChangeArrowheads="1"/>
        </xdr:cNvSpPr>
      </xdr:nvSpPr>
      <xdr:spPr bwMode="auto">
        <a:xfrm>
          <a:off x="2036940" y="4348245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242</xdr:row>
      <xdr:rowOff>167356</xdr:rowOff>
    </xdr:from>
    <xdr:to>
      <xdr:col>5</xdr:col>
      <xdr:colOff>4705</xdr:colOff>
      <xdr:row>244</xdr:row>
      <xdr:rowOff>171669</xdr:rowOff>
    </xdr:to>
    <xdr:sp macro="" textlink="">
      <xdr:nvSpPr>
        <xdr:cNvPr id="548" name="0/0">
          <a:extLst>
            <a:ext uri="{FF2B5EF4-FFF2-40B4-BE49-F238E27FC236}">
              <a16:creationId xmlns:a16="http://schemas.microsoft.com/office/drawing/2014/main" id="{0C4E2C58-0AD1-4930-9BA8-8D45859E1942}"/>
            </a:ext>
          </a:extLst>
        </xdr:cNvPr>
        <xdr:cNvSpPr>
          <a:spLocks noChangeArrowheads="1"/>
        </xdr:cNvSpPr>
      </xdr:nvSpPr>
      <xdr:spPr bwMode="auto">
        <a:xfrm>
          <a:off x="1278898" y="4349975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181143</xdr:colOff>
      <xdr:row>242</xdr:row>
      <xdr:rowOff>165199</xdr:rowOff>
    </xdr:from>
    <xdr:to>
      <xdr:col>8</xdr:col>
      <xdr:colOff>202575</xdr:colOff>
      <xdr:row>243</xdr:row>
      <xdr:rowOff>88820</xdr:rowOff>
    </xdr:to>
    <xdr:sp macro="" textlink="">
      <xdr:nvSpPr>
        <xdr:cNvPr id="549" name="Freeform 10708">
          <a:extLst>
            <a:ext uri="{FF2B5EF4-FFF2-40B4-BE49-F238E27FC236}">
              <a16:creationId xmlns:a16="http://schemas.microsoft.com/office/drawing/2014/main" id="{BE0FA86F-2598-4278-ACE3-0B0F8C5E74CE}"/>
            </a:ext>
          </a:extLst>
        </xdr:cNvPr>
        <xdr:cNvSpPr>
          <a:spLocks/>
        </xdr:cNvSpPr>
      </xdr:nvSpPr>
      <xdr:spPr bwMode="auto">
        <a:xfrm>
          <a:off x="2238543" y="4349759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242</xdr:row>
      <xdr:rowOff>166730</xdr:rowOff>
    </xdr:from>
    <xdr:to>
      <xdr:col>3</xdr:col>
      <xdr:colOff>3314</xdr:colOff>
      <xdr:row>244</xdr:row>
      <xdr:rowOff>170487</xdr:rowOff>
    </xdr:to>
    <xdr:sp macro="" textlink="">
      <xdr:nvSpPr>
        <xdr:cNvPr id="550" name="0/0">
          <a:extLst>
            <a:ext uri="{FF2B5EF4-FFF2-40B4-BE49-F238E27FC236}">
              <a16:creationId xmlns:a16="http://schemas.microsoft.com/office/drawing/2014/main" id="{E245228D-C5F5-466E-825F-D26162988FFE}"/>
            </a:ext>
          </a:extLst>
        </xdr:cNvPr>
        <xdr:cNvSpPr>
          <a:spLocks noChangeArrowheads="1"/>
        </xdr:cNvSpPr>
      </xdr:nvSpPr>
      <xdr:spPr bwMode="auto">
        <a:xfrm>
          <a:off x="509158" y="4349913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242</xdr:row>
      <xdr:rowOff>165199</xdr:rowOff>
    </xdr:from>
    <xdr:to>
      <xdr:col>6</xdr:col>
      <xdr:colOff>203113</xdr:colOff>
      <xdr:row>243</xdr:row>
      <xdr:rowOff>76914</xdr:rowOff>
    </xdr:to>
    <xdr:sp macro="" textlink="">
      <xdr:nvSpPr>
        <xdr:cNvPr id="551" name="Freeform 10708">
          <a:extLst>
            <a:ext uri="{FF2B5EF4-FFF2-40B4-BE49-F238E27FC236}">
              <a16:creationId xmlns:a16="http://schemas.microsoft.com/office/drawing/2014/main" id="{6032FAC2-CC7B-40D5-BCEB-37BD92231244}"/>
            </a:ext>
          </a:extLst>
        </xdr:cNvPr>
        <xdr:cNvSpPr>
          <a:spLocks/>
        </xdr:cNvSpPr>
      </xdr:nvSpPr>
      <xdr:spPr bwMode="auto">
        <a:xfrm>
          <a:off x="1479463" y="434975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242</xdr:row>
      <xdr:rowOff>148037</xdr:rowOff>
    </xdr:from>
    <xdr:to>
      <xdr:col>11</xdr:col>
      <xdr:colOff>4382</xdr:colOff>
      <xdr:row>244</xdr:row>
      <xdr:rowOff>174708</xdr:rowOff>
    </xdr:to>
    <xdr:sp macro="" textlink="">
      <xdr:nvSpPr>
        <xdr:cNvPr id="552" name="3">
          <a:extLst>
            <a:ext uri="{FF2B5EF4-FFF2-40B4-BE49-F238E27FC236}">
              <a16:creationId xmlns:a16="http://schemas.microsoft.com/office/drawing/2014/main" id="{90B3106A-EA99-4E58-8EB4-A1E5550B0B0A}"/>
            </a:ext>
          </a:extLst>
        </xdr:cNvPr>
        <xdr:cNvSpPr>
          <a:spLocks noChangeArrowheads="1"/>
        </xdr:cNvSpPr>
      </xdr:nvSpPr>
      <xdr:spPr bwMode="auto">
        <a:xfrm>
          <a:off x="3582124" y="4348043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242</xdr:row>
      <xdr:rowOff>166999</xdr:rowOff>
    </xdr:from>
    <xdr:to>
      <xdr:col>9</xdr:col>
      <xdr:colOff>2364</xdr:colOff>
      <xdr:row>244</xdr:row>
      <xdr:rowOff>172437</xdr:rowOff>
    </xdr:to>
    <xdr:sp macro="" textlink="">
      <xdr:nvSpPr>
        <xdr:cNvPr id="553" name="0/0">
          <a:extLst>
            <a:ext uri="{FF2B5EF4-FFF2-40B4-BE49-F238E27FC236}">
              <a16:creationId xmlns:a16="http://schemas.microsoft.com/office/drawing/2014/main" id="{736BDB3F-0E96-4B1D-8E3A-D3ABA57DDF9D}"/>
            </a:ext>
          </a:extLst>
        </xdr:cNvPr>
        <xdr:cNvSpPr>
          <a:spLocks noChangeArrowheads="1"/>
        </xdr:cNvSpPr>
      </xdr:nvSpPr>
      <xdr:spPr bwMode="auto">
        <a:xfrm>
          <a:off x="2823228" y="4349939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242</xdr:row>
      <xdr:rowOff>154217</xdr:rowOff>
    </xdr:from>
    <xdr:to>
      <xdr:col>12</xdr:col>
      <xdr:colOff>263087</xdr:colOff>
      <xdr:row>243</xdr:row>
      <xdr:rowOff>78963</xdr:rowOff>
    </xdr:to>
    <xdr:sp macro="" textlink="">
      <xdr:nvSpPr>
        <xdr:cNvPr id="554" name="Freeform 10708">
          <a:extLst>
            <a:ext uri="{FF2B5EF4-FFF2-40B4-BE49-F238E27FC236}">
              <a16:creationId xmlns:a16="http://schemas.microsoft.com/office/drawing/2014/main" id="{8F85B435-5ED8-4B2A-A5D3-7683EDA52FBD}"/>
            </a:ext>
          </a:extLst>
        </xdr:cNvPr>
        <xdr:cNvSpPr>
          <a:spLocks/>
        </xdr:cNvSpPr>
      </xdr:nvSpPr>
      <xdr:spPr bwMode="auto">
        <a:xfrm>
          <a:off x="3768244" y="4348661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242</xdr:row>
      <xdr:rowOff>154217</xdr:rowOff>
    </xdr:from>
    <xdr:to>
      <xdr:col>10</xdr:col>
      <xdr:colOff>196114</xdr:colOff>
      <xdr:row>243</xdr:row>
      <xdr:rowOff>67057</xdr:rowOff>
    </xdr:to>
    <xdr:sp macro="" textlink="">
      <xdr:nvSpPr>
        <xdr:cNvPr id="555" name="Freeform 10708">
          <a:extLst>
            <a:ext uri="{FF2B5EF4-FFF2-40B4-BE49-F238E27FC236}">
              <a16:creationId xmlns:a16="http://schemas.microsoft.com/office/drawing/2014/main" id="{9ED68360-65F4-4C8D-9EF5-5B735AB1539F}"/>
            </a:ext>
          </a:extLst>
        </xdr:cNvPr>
        <xdr:cNvSpPr>
          <a:spLocks/>
        </xdr:cNvSpPr>
      </xdr:nvSpPr>
      <xdr:spPr bwMode="auto">
        <a:xfrm>
          <a:off x="3014363" y="4348661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242</xdr:row>
      <xdr:rowOff>150168</xdr:rowOff>
    </xdr:from>
    <xdr:to>
      <xdr:col>15</xdr:col>
      <xdr:colOff>1</xdr:colOff>
      <xdr:row>244</xdr:row>
      <xdr:rowOff>181428</xdr:rowOff>
    </xdr:to>
    <xdr:sp macro="" textlink="">
      <xdr:nvSpPr>
        <xdr:cNvPr id="556" name="3">
          <a:extLst>
            <a:ext uri="{FF2B5EF4-FFF2-40B4-BE49-F238E27FC236}">
              <a16:creationId xmlns:a16="http://schemas.microsoft.com/office/drawing/2014/main" id="{0CA9DC95-584F-4BDD-AE0F-30E5092A0679}"/>
            </a:ext>
          </a:extLst>
        </xdr:cNvPr>
        <xdr:cNvSpPr>
          <a:spLocks noChangeArrowheads="1"/>
        </xdr:cNvSpPr>
      </xdr:nvSpPr>
      <xdr:spPr bwMode="auto">
        <a:xfrm>
          <a:off x="5015271" y="43482568"/>
          <a:ext cx="401280" cy="3995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242</xdr:row>
      <xdr:rowOff>166570</xdr:rowOff>
    </xdr:from>
    <xdr:to>
      <xdr:col>13</xdr:col>
      <xdr:colOff>3582</xdr:colOff>
      <xdr:row>244</xdr:row>
      <xdr:rowOff>172008</xdr:rowOff>
    </xdr:to>
    <xdr:sp macro="" textlink="">
      <xdr:nvSpPr>
        <xdr:cNvPr id="557" name="0/0">
          <a:extLst>
            <a:ext uri="{FF2B5EF4-FFF2-40B4-BE49-F238E27FC236}">
              <a16:creationId xmlns:a16="http://schemas.microsoft.com/office/drawing/2014/main" id="{CF54DB68-B06D-4A5C-944E-1BF6C276E5C2}"/>
            </a:ext>
          </a:extLst>
        </xdr:cNvPr>
        <xdr:cNvSpPr>
          <a:spLocks noChangeArrowheads="1"/>
        </xdr:cNvSpPr>
      </xdr:nvSpPr>
      <xdr:spPr bwMode="auto">
        <a:xfrm>
          <a:off x="4334750" y="43498970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242</xdr:row>
      <xdr:rowOff>165199</xdr:rowOff>
    </xdr:from>
    <xdr:to>
      <xdr:col>18</xdr:col>
      <xdr:colOff>188991</xdr:colOff>
      <xdr:row>243</xdr:row>
      <xdr:rowOff>81317</xdr:rowOff>
    </xdr:to>
    <xdr:sp macro="" textlink="">
      <xdr:nvSpPr>
        <xdr:cNvPr id="558" name="Freeform 10708">
          <a:extLst>
            <a:ext uri="{FF2B5EF4-FFF2-40B4-BE49-F238E27FC236}">
              <a16:creationId xmlns:a16="http://schemas.microsoft.com/office/drawing/2014/main" id="{780C8C30-8B5C-418B-AB9E-7B07D6CE2ED4}"/>
            </a:ext>
          </a:extLst>
        </xdr:cNvPr>
        <xdr:cNvSpPr>
          <a:spLocks/>
        </xdr:cNvSpPr>
      </xdr:nvSpPr>
      <xdr:spPr bwMode="auto">
        <a:xfrm>
          <a:off x="5188268" y="4349759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242</xdr:row>
      <xdr:rowOff>166920</xdr:rowOff>
    </xdr:from>
    <xdr:to>
      <xdr:col>21</xdr:col>
      <xdr:colOff>257</xdr:colOff>
      <xdr:row>245</xdr:row>
      <xdr:rowOff>3810</xdr:rowOff>
    </xdr:to>
    <xdr:sp macro="" textlink="">
      <xdr:nvSpPr>
        <xdr:cNvPr id="559" name="3">
          <a:extLst>
            <a:ext uri="{FF2B5EF4-FFF2-40B4-BE49-F238E27FC236}">
              <a16:creationId xmlns:a16="http://schemas.microsoft.com/office/drawing/2014/main" id="{0CB7262F-B130-4C7D-AA4E-83455FB5D409}"/>
            </a:ext>
          </a:extLst>
        </xdr:cNvPr>
        <xdr:cNvSpPr>
          <a:spLocks noChangeArrowheads="1"/>
        </xdr:cNvSpPr>
      </xdr:nvSpPr>
      <xdr:spPr bwMode="auto">
        <a:xfrm>
          <a:off x="7381572" y="4349932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396875</xdr:colOff>
      <xdr:row>242</xdr:row>
      <xdr:rowOff>167845</xdr:rowOff>
    </xdr:from>
    <xdr:to>
      <xdr:col>19</xdr:col>
      <xdr:colOff>3818</xdr:colOff>
      <xdr:row>244</xdr:row>
      <xdr:rowOff>173283</xdr:rowOff>
    </xdr:to>
    <xdr:sp macro="" textlink="">
      <xdr:nvSpPr>
        <xdr:cNvPr id="560" name="0/0">
          <a:extLst>
            <a:ext uri="{FF2B5EF4-FFF2-40B4-BE49-F238E27FC236}">
              <a16:creationId xmlns:a16="http://schemas.microsoft.com/office/drawing/2014/main" id="{1F59967A-19F7-420C-88E1-8AC40655707D}"/>
            </a:ext>
          </a:extLst>
        </xdr:cNvPr>
        <xdr:cNvSpPr>
          <a:spLocks noChangeArrowheads="1"/>
        </xdr:cNvSpPr>
      </xdr:nvSpPr>
      <xdr:spPr bwMode="auto">
        <a:xfrm>
          <a:off x="6613525" y="43500245"/>
          <a:ext cx="41339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242</xdr:row>
      <xdr:rowOff>162138</xdr:rowOff>
    </xdr:from>
    <xdr:to>
      <xdr:col>22</xdr:col>
      <xdr:colOff>191774</xdr:colOff>
      <xdr:row>243</xdr:row>
      <xdr:rowOff>79808</xdr:rowOff>
    </xdr:to>
    <xdr:sp macro="" textlink="">
      <xdr:nvSpPr>
        <xdr:cNvPr id="561" name="Freeform 10708">
          <a:extLst>
            <a:ext uri="{FF2B5EF4-FFF2-40B4-BE49-F238E27FC236}">
              <a16:creationId xmlns:a16="http://schemas.microsoft.com/office/drawing/2014/main" id="{FE0103BC-8E7A-416D-B59F-3C0F0A29B355}"/>
            </a:ext>
          </a:extLst>
        </xdr:cNvPr>
        <xdr:cNvSpPr>
          <a:spLocks/>
        </xdr:cNvSpPr>
      </xdr:nvSpPr>
      <xdr:spPr bwMode="auto">
        <a:xfrm>
          <a:off x="7578066" y="4349453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242</xdr:row>
      <xdr:rowOff>166471</xdr:rowOff>
    </xdr:from>
    <xdr:to>
      <xdr:col>20</xdr:col>
      <xdr:colOff>197505</xdr:colOff>
      <xdr:row>243</xdr:row>
      <xdr:rowOff>79033</xdr:rowOff>
    </xdr:to>
    <xdr:sp macro="" textlink="">
      <xdr:nvSpPr>
        <xdr:cNvPr id="562" name="Freeform 10708">
          <a:extLst>
            <a:ext uri="{FF2B5EF4-FFF2-40B4-BE49-F238E27FC236}">
              <a16:creationId xmlns:a16="http://schemas.microsoft.com/office/drawing/2014/main" id="{C8C95ACC-CEBF-4757-BF39-643FD68F7F21}"/>
            </a:ext>
          </a:extLst>
        </xdr:cNvPr>
        <xdr:cNvSpPr>
          <a:spLocks/>
        </xdr:cNvSpPr>
      </xdr:nvSpPr>
      <xdr:spPr bwMode="auto">
        <a:xfrm>
          <a:off x="6820556" y="434988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242</xdr:row>
      <xdr:rowOff>151445</xdr:rowOff>
    </xdr:from>
    <xdr:to>
      <xdr:col>25</xdr:col>
      <xdr:colOff>7044</xdr:colOff>
      <xdr:row>244</xdr:row>
      <xdr:rowOff>178116</xdr:rowOff>
    </xdr:to>
    <xdr:sp macro="" textlink="">
      <xdr:nvSpPr>
        <xdr:cNvPr id="563" name="3">
          <a:extLst>
            <a:ext uri="{FF2B5EF4-FFF2-40B4-BE49-F238E27FC236}">
              <a16:creationId xmlns:a16="http://schemas.microsoft.com/office/drawing/2014/main" id="{12661C0B-C337-41CC-88BF-74890BEBD074}"/>
            </a:ext>
          </a:extLst>
        </xdr:cNvPr>
        <xdr:cNvSpPr>
          <a:spLocks noChangeArrowheads="1"/>
        </xdr:cNvSpPr>
      </xdr:nvSpPr>
      <xdr:spPr bwMode="auto">
        <a:xfrm>
          <a:off x="8922785" y="4348384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242</xdr:row>
      <xdr:rowOff>170629</xdr:rowOff>
    </xdr:from>
    <xdr:to>
      <xdr:col>23</xdr:col>
      <xdr:colOff>3815</xdr:colOff>
      <xdr:row>244</xdr:row>
      <xdr:rowOff>176067</xdr:rowOff>
    </xdr:to>
    <xdr:sp macro="" textlink="">
      <xdr:nvSpPr>
        <xdr:cNvPr id="564" name="0/0">
          <a:extLst>
            <a:ext uri="{FF2B5EF4-FFF2-40B4-BE49-F238E27FC236}">
              <a16:creationId xmlns:a16="http://schemas.microsoft.com/office/drawing/2014/main" id="{91158261-E386-4CA8-AEFC-7002FEDE30E5}"/>
            </a:ext>
          </a:extLst>
        </xdr:cNvPr>
        <xdr:cNvSpPr>
          <a:spLocks noChangeArrowheads="1"/>
        </xdr:cNvSpPr>
      </xdr:nvSpPr>
      <xdr:spPr bwMode="auto">
        <a:xfrm>
          <a:off x="8169742" y="4350302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200833</xdr:colOff>
      <xdr:row>242</xdr:row>
      <xdr:rowOff>153790</xdr:rowOff>
    </xdr:from>
    <xdr:to>
      <xdr:col>24</xdr:col>
      <xdr:colOff>180643</xdr:colOff>
      <xdr:row>243</xdr:row>
      <xdr:rowOff>76252</xdr:rowOff>
    </xdr:to>
    <xdr:sp macro="" textlink="">
      <xdr:nvSpPr>
        <xdr:cNvPr id="565" name="Freeform 10708">
          <a:extLst>
            <a:ext uri="{FF2B5EF4-FFF2-40B4-BE49-F238E27FC236}">
              <a16:creationId xmlns:a16="http://schemas.microsoft.com/office/drawing/2014/main" id="{E719471C-B107-4C4E-B338-3E46CA3D4F74}"/>
            </a:ext>
          </a:extLst>
        </xdr:cNvPr>
        <xdr:cNvSpPr>
          <a:spLocks/>
        </xdr:cNvSpPr>
      </xdr:nvSpPr>
      <xdr:spPr bwMode="auto">
        <a:xfrm>
          <a:off x="8366933" y="4348619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706</xdr:colOff>
      <xdr:row>242</xdr:row>
      <xdr:rowOff>168222</xdr:rowOff>
    </xdr:from>
    <xdr:to>
      <xdr:col>27</xdr:col>
      <xdr:colOff>3614</xdr:colOff>
      <xdr:row>244</xdr:row>
      <xdr:rowOff>173938</xdr:rowOff>
    </xdr:to>
    <xdr:sp macro="" textlink="">
      <xdr:nvSpPr>
        <xdr:cNvPr id="566" name="0/0">
          <a:extLst>
            <a:ext uri="{FF2B5EF4-FFF2-40B4-BE49-F238E27FC236}">
              <a16:creationId xmlns:a16="http://schemas.microsoft.com/office/drawing/2014/main" id="{E8243930-0077-4EF0-ADBC-F7B7FF8A6647}"/>
            </a:ext>
          </a:extLst>
        </xdr:cNvPr>
        <xdr:cNvSpPr>
          <a:spLocks noChangeArrowheads="1"/>
        </xdr:cNvSpPr>
      </xdr:nvSpPr>
      <xdr:spPr bwMode="auto">
        <a:xfrm>
          <a:off x="9760656" y="4350062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198490</xdr:colOff>
      <xdr:row>242</xdr:row>
      <xdr:rowOff>156573</xdr:rowOff>
    </xdr:from>
    <xdr:to>
      <xdr:col>28</xdr:col>
      <xdr:colOff>197339</xdr:colOff>
      <xdr:row>243</xdr:row>
      <xdr:rowOff>61931</xdr:rowOff>
    </xdr:to>
    <xdr:sp macro="" textlink="">
      <xdr:nvSpPr>
        <xdr:cNvPr id="567" name="Freeform 10708">
          <a:extLst>
            <a:ext uri="{FF2B5EF4-FFF2-40B4-BE49-F238E27FC236}">
              <a16:creationId xmlns:a16="http://schemas.microsoft.com/office/drawing/2014/main" id="{588E2404-A1B2-4282-B6C4-7C75580901BC}"/>
            </a:ext>
          </a:extLst>
        </xdr:cNvPr>
        <xdr:cNvSpPr>
          <a:spLocks/>
        </xdr:cNvSpPr>
      </xdr:nvSpPr>
      <xdr:spPr bwMode="auto">
        <a:xfrm>
          <a:off x="9958440" y="4348897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242</xdr:row>
      <xdr:rowOff>146584</xdr:rowOff>
    </xdr:from>
    <xdr:to>
      <xdr:col>2</xdr:col>
      <xdr:colOff>170281</xdr:colOff>
      <xdr:row>243</xdr:row>
      <xdr:rowOff>70205</xdr:rowOff>
    </xdr:to>
    <xdr:sp macro="" textlink="">
      <xdr:nvSpPr>
        <xdr:cNvPr id="568" name="Freeform 10708">
          <a:extLst>
            <a:ext uri="{FF2B5EF4-FFF2-40B4-BE49-F238E27FC236}">
              <a16:creationId xmlns:a16="http://schemas.microsoft.com/office/drawing/2014/main" id="{4107B532-C7C5-4506-A6E0-52C8DAA4ED40}"/>
            </a:ext>
          </a:extLst>
        </xdr:cNvPr>
        <xdr:cNvSpPr>
          <a:spLocks/>
        </xdr:cNvSpPr>
      </xdr:nvSpPr>
      <xdr:spPr bwMode="auto">
        <a:xfrm>
          <a:off x="0" y="4347898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147427</xdr:colOff>
      <xdr:row>309</xdr:row>
      <xdr:rowOff>60387</xdr:rowOff>
    </xdr:from>
    <xdr:to>
      <xdr:col>4</xdr:col>
      <xdr:colOff>304490</xdr:colOff>
      <xdr:row>313</xdr:row>
      <xdr:rowOff>79077</xdr:rowOff>
    </xdr:to>
    <xdr:pic>
      <xdr:nvPicPr>
        <xdr:cNvPr id="569" name="Graphic 796">
          <a:extLst>
            <a:ext uri="{FF2B5EF4-FFF2-40B4-BE49-F238E27FC236}">
              <a16:creationId xmlns:a16="http://schemas.microsoft.com/office/drawing/2014/main" id="{CC7C0FD7-11C7-4E78-8101-679FCA76C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6977" y="55260937"/>
          <a:ext cx="1160363" cy="755290"/>
        </a:xfrm>
        <a:prstGeom prst="rect">
          <a:avLst/>
        </a:prstGeom>
      </xdr:spPr>
    </xdr:pic>
    <xdr:clientData/>
  </xdr:twoCellAnchor>
  <xdr:twoCellAnchor editAs="oneCell">
    <xdr:from>
      <xdr:col>1</xdr:col>
      <xdr:colOff>61161</xdr:colOff>
      <xdr:row>1</xdr:row>
      <xdr:rowOff>25881</xdr:rowOff>
    </xdr:from>
    <xdr:to>
      <xdr:col>4</xdr:col>
      <xdr:colOff>218224</xdr:colOff>
      <xdr:row>4</xdr:row>
      <xdr:rowOff>19051</xdr:rowOff>
    </xdr:to>
    <xdr:pic>
      <xdr:nvPicPr>
        <xdr:cNvPr id="570" name="Graphic 797">
          <a:extLst>
            <a:ext uri="{FF2B5EF4-FFF2-40B4-BE49-F238E27FC236}">
              <a16:creationId xmlns:a16="http://schemas.microsoft.com/office/drawing/2014/main" id="{62EAA86E-2DA7-4440-A16B-4209BA498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70711" y="216381"/>
          <a:ext cx="1223863" cy="691670"/>
        </a:xfrm>
        <a:prstGeom prst="rect">
          <a:avLst/>
        </a:prstGeom>
      </xdr:spPr>
    </xdr:pic>
    <xdr:clientData/>
  </xdr:twoCellAnchor>
  <xdr:twoCellAnchor>
    <xdr:from>
      <xdr:col>27</xdr:col>
      <xdr:colOff>391390</xdr:colOff>
      <xdr:row>64</xdr:row>
      <xdr:rowOff>152190</xdr:rowOff>
    </xdr:from>
    <xdr:to>
      <xdr:col>29</xdr:col>
      <xdr:colOff>13024</xdr:colOff>
      <xdr:row>66</xdr:row>
      <xdr:rowOff>178860</xdr:rowOff>
    </xdr:to>
    <xdr:sp macro="" textlink="">
      <xdr:nvSpPr>
        <xdr:cNvPr id="571" name="3">
          <a:extLst>
            <a:ext uri="{FF2B5EF4-FFF2-40B4-BE49-F238E27FC236}">
              <a16:creationId xmlns:a16="http://schemas.microsoft.com/office/drawing/2014/main" id="{41A2BA05-E926-4B42-9F1D-70D26FFE6535}"/>
            </a:ext>
          </a:extLst>
        </xdr:cNvPr>
        <xdr:cNvSpPr>
          <a:spLocks noChangeArrowheads="1"/>
        </xdr:cNvSpPr>
      </xdr:nvSpPr>
      <xdr:spPr bwMode="auto">
        <a:xfrm>
          <a:off x="10551390" y="11950490"/>
          <a:ext cx="428084" cy="3632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21</xdr:col>
      <xdr:colOff>368012</xdr:colOff>
      <xdr:row>232</xdr:row>
      <xdr:rowOff>177252</xdr:rowOff>
    </xdr:from>
    <xdr:to>
      <xdr:col>23</xdr:col>
      <xdr:colOff>9571</xdr:colOff>
      <xdr:row>234</xdr:row>
      <xdr:rowOff>182690</xdr:rowOff>
    </xdr:to>
    <xdr:sp macro="" textlink="">
      <xdr:nvSpPr>
        <xdr:cNvPr id="572" name="0/0">
          <a:extLst>
            <a:ext uri="{FF2B5EF4-FFF2-40B4-BE49-F238E27FC236}">
              <a16:creationId xmlns:a16="http://schemas.microsoft.com/office/drawing/2014/main" id="{6E6641A3-069F-4D69-96A0-09AFCDC48295}"/>
            </a:ext>
          </a:extLst>
        </xdr:cNvPr>
        <xdr:cNvSpPr>
          <a:spLocks noChangeArrowheads="1"/>
        </xdr:cNvSpPr>
      </xdr:nvSpPr>
      <xdr:spPr bwMode="auto">
        <a:xfrm>
          <a:off x="8165812" y="41757052"/>
          <a:ext cx="4099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238600</xdr:colOff>
      <xdr:row>10</xdr:row>
      <xdr:rowOff>178799</xdr:rowOff>
    </xdr:from>
    <xdr:to>
      <xdr:col>8</xdr:col>
      <xdr:colOff>185717</xdr:colOff>
      <xdr:row>11</xdr:row>
      <xdr:rowOff>91638</xdr:rowOff>
    </xdr:to>
    <xdr:sp macro="" textlink="">
      <xdr:nvSpPr>
        <xdr:cNvPr id="573" name="Freeform 10708">
          <a:extLst>
            <a:ext uri="{FF2B5EF4-FFF2-40B4-BE49-F238E27FC236}">
              <a16:creationId xmlns:a16="http://schemas.microsoft.com/office/drawing/2014/main" id="{2C5AE3FC-DA6B-4A67-B6C0-A0AEDCE8358C}"/>
            </a:ext>
          </a:extLst>
        </xdr:cNvPr>
        <xdr:cNvSpPr>
          <a:spLocks/>
        </xdr:cNvSpPr>
      </xdr:nvSpPr>
      <xdr:spPr bwMode="auto">
        <a:xfrm>
          <a:off x="2296000" y="2299699"/>
          <a:ext cx="715467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8626</xdr:colOff>
      <xdr:row>169</xdr:row>
      <xdr:rowOff>8627</xdr:rowOff>
    </xdr:from>
    <xdr:to>
      <xdr:col>10</xdr:col>
      <xdr:colOff>375852</xdr:colOff>
      <xdr:row>170</xdr:row>
      <xdr:rowOff>177277</xdr:rowOff>
    </xdr:to>
    <xdr:sp macro="" textlink="">
      <xdr:nvSpPr>
        <xdr:cNvPr id="574" name="0/0">
          <a:extLst>
            <a:ext uri="{FF2B5EF4-FFF2-40B4-BE49-F238E27FC236}">
              <a16:creationId xmlns:a16="http://schemas.microsoft.com/office/drawing/2014/main" id="{9D09A2FD-DD6F-40B4-9C7B-8B3949A36052}"/>
            </a:ext>
          </a:extLst>
        </xdr:cNvPr>
        <xdr:cNvSpPr>
          <a:spLocks noChangeArrowheads="1"/>
        </xdr:cNvSpPr>
      </xdr:nvSpPr>
      <xdr:spPr bwMode="auto">
        <a:xfrm>
          <a:off x="3602726" y="30533077"/>
          <a:ext cx="367226" cy="3528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10</xdr:col>
      <xdr:colOff>198605</xdr:colOff>
      <xdr:row>169</xdr:row>
      <xdr:rowOff>0</xdr:rowOff>
    </xdr:from>
    <xdr:to>
      <xdr:col>12</xdr:col>
      <xdr:colOff>154782</xdr:colOff>
      <xdr:row>169</xdr:row>
      <xdr:rowOff>107157</xdr:rowOff>
    </xdr:to>
    <xdr:sp macro="" textlink="">
      <xdr:nvSpPr>
        <xdr:cNvPr id="575" name="Freeform 10708">
          <a:extLst>
            <a:ext uri="{FF2B5EF4-FFF2-40B4-BE49-F238E27FC236}">
              <a16:creationId xmlns:a16="http://schemas.microsoft.com/office/drawing/2014/main" id="{4AA2CD7A-9E1C-4CC5-B341-5C6F566621BC}"/>
            </a:ext>
          </a:extLst>
        </xdr:cNvPr>
        <xdr:cNvSpPr>
          <a:spLocks/>
        </xdr:cNvSpPr>
      </xdr:nvSpPr>
      <xdr:spPr bwMode="auto">
        <a:xfrm>
          <a:off x="3792705" y="30524450"/>
          <a:ext cx="692777" cy="10715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11331</xdr:colOff>
      <xdr:row>169</xdr:row>
      <xdr:rowOff>1147</xdr:rowOff>
    </xdr:from>
    <xdr:to>
      <xdr:col>10</xdr:col>
      <xdr:colOff>378557</xdr:colOff>
      <xdr:row>170</xdr:row>
      <xdr:rowOff>171522</xdr:rowOff>
    </xdr:to>
    <xdr:sp macro="" textlink="">
      <xdr:nvSpPr>
        <xdr:cNvPr id="576" name="0/0">
          <a:extLst>
            <a:ext uri="{FF2B5EF4-FFF2-40B4-BE49-F238E27FC236}">
              <a16:creationId xmlns:a16="http://schemas.microsoft.com/office/drawing/2014/main" id="{33A930C5-B28D-4A5C-AF06-0D9502A8091A}"/>
            </a:ext>
          </a:extLst>
        </xdr:cNvPr>
        <xdr:cNvSpPr>
          <a:spLocks noChangeArrowheads="1"/>
        </xdr:cNvSpPr>
      </xdr:nvSpPr>
      <xdr:spPr bwMode="auto">
        <a:xfrm>
          <a:off x="3605431" y="30525597"/>
          <a:ext cx="367226" cy="354525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20</xdr:col>
      <xdr:colOff>0</xdr:colOff>
      <xdr:row>21</xdr:row>
      <xdr:rowOff>190498</xdr:rowOff>
    </xdr:from>
    <xdr:to>
      <xdr:col>20</xdr:col>
      <xdr:colOff>378253</xdr:colOff>
      <xdr:row>23</xdr:row>
      <xdr:rowOff>195936</xdr:rowOff>
    </xdr:to>
    <xdr:sp macro="" textlink="">
      <xdr:nvSpPr>
        <xdr:cNvPr id="577" name="0/0">
          <a:extLst>
            <a:ext uri="{FF2B5EF4-FFF2-40B4-BE49-F238E27FC236}">
              <a16:creationId xmlns:a16="http://schemas.microsoft.com/office/drawing/2014/main" id="{373E24DA-C74A-4A0C-95B4-26151C503534}"/>
            </a:ext>
          </a:extLst>
        </xdr:cNvPr>
        <xdr:cNvSpPr>
          <a:spLocks noChangeArrowheads="1"/>
        </xdr:cNvSpPr>
      </xdr:nvSpPr>
      <xdr:spPr bwMode="auto">
        <a:xfrm>
          <a:off x="7391400" y="4248148"/>
          <a:ext cx="37825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9</xdr:col>
      <xdr:colOff>179294</xdr:colOff>
      <xdr:row>10</xdr:row>
      <xdr:rowOff>33618</xdr:rowOff>
    </xdr:from>
    <xdr:ext cx="85725" cy="390525"/>
    <xdr:pic>
      <xdr:nvPicPr>
        <xdr:cNvPr id="578" name="Picture 11597">
          <a:extLst>
            <a:ext uri="{FF2B5EF4-FFF2-40B4-BE49-F238E27FC236}">
              <a16:creationId xmlns:a16="http://schemas.microsoft.com/office/drawing/2014/main" id="{CC442632-FAE9-4A45-A61B-FFBF229D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094" y="215451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11206</xdr:colOff>
      <xdr:row>10</xdr:row>
      <xdr:rowOff>22412</xdr:rowOff>
    </xdr:from>
    <xdr:ext cx="85725" cy="390525"/>
    <xdr:pic>
      <xdr:nvPicPr>
        <xdr:cNvPr id="579" name="Picture 11597">
          <a:extLst>
            <a:ext uri="{FF2B5EF4-FFF2-40B4-BE49-F238E27FC236}">
              <a16:creationId xmlns:a16="http://schemas.microsoft.com/office/drawing/2014/main" id="{3F7CE641-66D1-46F4-A3C1-3333FC7ED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9256" y="21433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100854</xdr:colOff>
      <xdr:row>10</xdr:row>
      <xdr:rowOff>33618</xdr:rowOff>
    </xdr:from>
    <xdr:ext cx="85725" cy="390525"/>
    <xdr:pic>
      <xdr:nvPicPr>
        <xdr:cNvPr id="580" name="Picture 11597">
          <a:extLst>
            <a:ext uri="{FF2B5EF4-FFF2-40B4-BE49-F238E27FC236}">
              <a16:creationId xmlns:a16="http://schemas.microsoft.com/office/drawing/2014/main" id="{B9CB0E38-D89D-4718-8C9F-F3133C09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3954" y="215451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25</xdr:col>
      <xdr:colOff>134472</xdr:colOff>
      <xdr:row>9</xdr:row>
      <xdr:rowOff>156882</xdr:rowOff>
    </xdr:from>
    <xdr:to>
      <xdr:col>25</xdr:col>
      <xdr:colOff>173784</xdr:colOff>
      <xdr:row>12</xdr:row>
      <xdr:rowOff>136151</xdr:rowOff>
    </xdr:to>
    <xdr:sp macro="" textlink="">
      <xdr:nvSpPr>
        <xdr:cNvPr id="581" name="AutoShape 10733">
          <a:extLst>
            <a:ext uri="{FF2B5EF4-FFF2-40B4-BE49-F238E27FC236}">
              <a16:creationId xmlns:a16="http://schemas.microsoft.com/office/drawing/2014/main" id="{E3EB9357-CD51-455F-9AC1-00A9BA351156}"/>
            </a:ext>
          </a:extLst>
        </xdr:cNvPr>
        <xdr:cNvSpPr>
          <a:spLocks noChangeArrowheads="1"/>
        </xdr:cNvSpPr>
      </xdr:nvSpPr>
      <xdr:spPr bwMode="auto">
        <a:xfrm rot="5400000">
          <a:off x="9238643" y="2336661"/>
          <a:ext cx="538069" cy="39312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27</xdr:col>
      <xdr:colOff>123266</xdr:colOff>
      <xdr:row>10</xdr:row>
      <xdr:rowOff>22414</xdr:rowOff>
    </xdr:from>
    <xdr:ext cx="85725" cy="390525"/>
    <xdr:pic>
      <xdr:nvPicPr>
        <xdr:cNvPr id="582" name="Picture 11597">
          <a:extLst>
            <a:ext uri="{FF2B5EF4-FFF2-40B4-BE49-F238E27FC236}">
              <a16:creationId xmlns:a16="http://schemas.microsoft.com/office/drawing/2014/main" id="{216265E2-C290-41F1-B925-E5CF96EE1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3266" y="214331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100854</xdr:colOff>
      <xdr:row>10</xdr:row>
      <xdr:rowOff>44826</xdr:rowOff>
    </xdr:from>
    <xdr:ext cx="85725" cy="390525"/>
    <xdr:pic>
      <xdr:nvPicPr>
        <xdr:cNvPr id="583" name="Picture 11597">
          <a:extLst>
            <a:ext uri="{FF2B5EF4-FFF2-40B4-BE49-F238E27FC236}">
              <a16:creationId xmlns:a16="http://schemas.microsoft.com/office/drawing/2014/main" id="{DE285528-A876-422D-A797-32540E7E6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7304" y="216572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0</xdr:colOff>
      <xdr:row>20</xdr:row>
      <xdr:rowOff>145678</xdr:rowOff>
    </xdr:from>
    <xdr:to>
      <xdr:col>1</xdr:col>
      <xdr:colOff>66675</xdr:colOff>
      <xdr:row>23</xdr:row>
      <xdr:rowOff>164728</xdr:rowOff>
    </xdr:to>
    <xdr:sp macro="" textlink="">
      <xdr:nvSpPr>
        <xdr:cNvPr id="584" name="AutoShape 10732">
          <a:extLst>
            <a:ext uri="{FF2B5EF4-FFF2-40B4-BE49-F238E27FC236}">
              <a16:creationId xmlns:a16="http://schemas.microsoft.com/office/drawing/2014/main" id="{60995E96-4A01-4549-8B8E-E77DC8CC0DEF}"/>
            </a:ext>
          </a:extLst>
        </xdr:cNvPr>
        <xdr:cNvSpPr>
          <a:spLocks noChangeArrowheads="1"/>
        </xdr:cNvSpPr>
      </xdr:nvSpPr>
      <xdr:spPr bwMode="auto">
        <a:xfrm rot="5400000">
          <a:off x="-42862" y="4277940"/>
          <a:ext cx="5715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168090</xdr:colOff>
      <xdr:row>21</xdr:row>
      <xdr:rowOff>33620</xdr:rowOff>
    </xdr:from>
    <xdr:ext cx="85725" cy="390525"/>
    <xdr:pic>
      <xdr:nvPicPr>
        <xdr:cNvPr id="585" name="Picture 11597">
          <a:extLst>
            <a:ext uri="{FF2B5EF4-FFF2-40B4-BE49-F238E27FC236}">
              <a16:creationId xmlns:a16="http://schemas.microsoft.com/office/drawing/2014/main" id="{ED624048-AFFC-4AE1-9335-7FEFF8D2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140" y="409762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123266</xdr:colOff>
      <xdr:row>21</xdr:row>
      <xdr:rowOff>22412</xdr:rowOff>
    </xdr:from>
    <xdr:ext cx="85725" cy="390525"/>
    <xdr:pic>
      <xdr:nvPicPr>
        <xdr:cNvPr id="586" name="Picture 11597">
          <a:extLst>
            <a:ext uri="{FF2B5EF4-FFF2-40B4-BE49-F238E27FC236}">
              <a16:creationId xmlns:a16="http://schemas.microsoft.com/office/drawing/2014/main" id="{C37A1CA6-EA77-47F7-B612-B7F68117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9666" y="40864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134472</xdr:colOff>
      <xdr:row>21</xdr:row>
      <xdr:rowOff>33618</xdr:rowOff>
    </xdr:from>
    <xdr:ext cx="85725" cy="390525"/>
    <xdr:pic>
      <xdr:nvPicPr>
        <xdr:cNvPr id="587" name="Picture 11597">
          <a:extLst>
            <a:ext uri="{FF2B5EF4-FFF2-40B4-BE49-F238E27FC236}">
              <a16:creationId xmlns:a16="http://schemas.microsoft.com/office/drawing/2014/main" id="{6102240E-E815-4438-A57B-332C56BEA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2" y="409761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28</xdr:col>
      <xdr:colOff>706</xdr:colOff>
      <xdr:row>242</xdr:row>
      <xdr:rowOff>168222</xdr:rowOff>
    </xdr:from>
    <xdr:to>
      <xdr:col>29</xdr:col>
      <xdr:colOff>3614</xdr:colOff>
      <xdr:row>244</xdr:row>
      <xdr:rowOff>173938</xdr:rowOff>
    </xdr:to>
    <xdr:sp macro="" textlink="">
      <xdr:nvSpPr>
        <xdr:cNvPr id="588" name="0/0">
          <a:extLst>
            <a:ext uri="{FF2B5EF4-FFF2-40B4-BE49-F238E27FC236}">
              <a16:creationId xmlns:a16="http://schemas.microsoft.com/office/drawing/2014/main" id="{0002F69C-57CA-4689-91C5-F0136C33F257}"/>
            </a:ext>
          </a:extLst>
        </xdr:cNvPr>
        <xdr:cNvSpPr>
          <a:spLocks noChangeArrowheads="1"/>
        </xdr:cNvSpPr>
      </xdr:nvSpPr>
      <xdr:spPr bwMode="auto">
        <a:xfrm>
          <a:off x="10567106" y="4350062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706</xdr:colOff>
      <xdr:row>242</xdr:row>
      <xdr:rowOff>168222</xdr:rowOff>
    </xdr:from>
    <xdr:to>
      <xdr:col>31</xdr:col>
      <xdr:colOff>3614</xdr:colOff>
      <xdr:row>244</xdr:row>
      <xdr:rowOff>173938</xdr:rowOff>
    </xdr:to>
    <xdr:sp macro="" textlink="">
      <xdr:nvSpPr>
        <xdr:cNvPr id="589" name="0/0">
          <a:extLst>
            <a:ext uri="{FF2B5EF4-FFF2-40B4-BE49-F238E27FC236}">
              <a16:creationId xmlns:a16="http://schemas.microsoft.com/office/drawing/2014/main" id="{4965683C-72DB-468E-B5A3-70D275FD186E}"/>
            </a:ext>
          </a:extLst>
        </xdr:cNvPr>
        <xdr:cNvSpPr>
          <a:spLocks noChangeArrowheads="1"/>
        </xdr:cNvSpPr>
      </xdr:nvSpPr>
      <xdr:spPr bwMode="auto">
        <a:xfrm>
          <a:off x="11329106" y="43500622"/>
          <a:ext cx="40930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212912</xdr:colOff>
      <xdr:row>242</xdr:row>
      <xdr:rowOff>179294</xdr:rowOff>
    </xdr:from>
    <xdr:to>
      <xdr:col>30</xdr:col>
      <xdr:colOff>245379</xdr:colOff>
      <xdr:row>243</xdr:row>
      <xdr:rowOff>84652</xdr:rowOff>
    </xdr:to>
    <xdr:sp macro="" textlink="">
      <xdr:nvSpPr>
        <xdr:cNvPr id="590" name="Freeform 10708">
          <a:extLst>
            <a:ext uri="{FF2B5EF4-FFF2-40B4-BE49-F238E27FC236}">
              <a16:creationId xmlns:a16="http://schemas.microsoft.com/office/drawing/2014/main" id="{274284A4-B984-413D-815D-50F09CDAD002}"/>
            </a:ext>
          </a:extLst>
        </xdr:cNvPr>
        <xdr:cNvSpPr>
          <a:spLocks/>
        </xdr:cNvSpPr>
      </xdr:nvSpPr>
      <xdr:spPr bwMode="auto">
        <a:xfrm>
          <a:off x="10779312" y="4351169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252</xdr:row>
      <xdr:rowOff>150052</xdr:rowOff>
    </xdr:from>
    <xdr:to>
      <xdr:col>7</xdr:col>
      <xdr:colOff>8115</xdr:colOff>
      <xdr:row>254</xdr:row>
      <xdr:rowOff>177279</xdr:rowOff>
    </xdr:to>
    <xdr:sp macro="" textlink="">
      <xdr:nvSpPr>
        <xdr:cNvPr id="591" name="3">
          <a:extLst>
            <a:ext uri="{FF2B5EF4-FFF2-40B4-BE49-F238E27FC236}">
              <a16:creationId xmlns:a16="http://schemas.microsoft.com/office/drawing/2014/main" id="{AE23E940-10B8-4D2E-94EB-C034027BEEEF}"/>
            </a:ext>
          </a:extLst>
        </xdr:cNvPr>
        <xdr:cNvSpPr>
          <a:spLocks noChangeArrowheads="1"/>
        </xdr:cNvSpPr>
      </xdr:nvSpPr>
      <xdr:spPr bwMode="auto">
        <a:xfrm>
          <a:off x="2036940" y="4520330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252</xdr:row>
      <xdr:rowOff>167356</xdr:rowOff>
    </xdr:from>
    <xdr:to>
      <xdr:col>5</xdr:col>
      <xdr:colOff>4705</xdr:colOff>
      <xdr:row>254</xdr:row>
      <xdr:rowOff>171669</xdr:rowOff>
    </xdr:to>
    <xdr:sp macro="" textlink="">
      <xdr:nvSpPr>
        <xdr:cNvPr id="592" name="0/0">
          <a:extLst>
            <a:ext uri="{FF2B5EF4-FFF2-40B4-BE49-F238E27FC236}">
              <a16:creationId xmlns:a16="http://schemas.microsoft.com/office/drawing/2014/main" id="{ABAE8686-13C2-4ED2-B16F-D60C7AD84218}"/>
            </a:ext>
          </a:extLst>
        </xdr:cNvPr>
        <xdr:cNvSpPr>
          <a:spLocks noChangeArrowheads="1"/>
        </xdr:cNvSpPr>
      </xdr:nvSpPr>
      <xdr:spPr bwMode="auto">
        <a:xfrm>
          <a:off x="1278898" y="4522060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252</xdr:row>
      <xdr:rowOff>165198</xdr:rowOff>
    </xdr:from>
    <xdr:to>
      <xdr:col>4</xdr:col>
      <xdr:colOff>200955</xdr:colOff>
      <xdr:row>253</xdr:row>
      <xdr:rowOff>76913</xdr:rowOff>
    </xdr:to>
    <xdr:sp macro="" textlink="">
      <xdr:nvSpPr>
        <xdr:cNvPr id="593" name="Freeform 10708">
          <a:extLst>
            <a:ext uri="{FF2B5EF4-FFF2-40B4-BE49-F238E27FC236}">
              <a16:creationId xmlns:a16="http://schemas.microsoft.com/office/drawing/2014/main" id="{99B89FD9-F888-41B6-9576-E6A3B395E156}"/>
            </a:ext>
          </a:extLst>
        </xdr:cNvPr>
        <xdr:cNvSpPr>
          <a:spLocks/>
        </xdr:cNvSpPr>
      </xdr:nvSpPr>
      <xdr:spPr bwMode="auto">
        <a:xfrm>
          <a:off x="708955" y="4521844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252</xdr:row>
      <xdr:rowOff>165199</xdr:rowOff>
    </xdr:from>
    <xdr:to>
      <xdr:col>8</xdr:col>
      <xdr:colOff>202575</xdr:colOff>
      <xdr:row>253</xdr:row>
      <xdr:rowOff>88820</xdr:rowOff>
    </xdr:to>
    <xdr:sp macro="" textlink="">
      <xdr:nvSpPr>
        <xdr:cNvPr id="594" name="Freeform 10708">
          <a:extLst>
            <a:ext uri="{FF2B5EF4-FFF2-40B4-BE49-F238E27FC236}">
              <a16:creationId xmlns:a16="http://schemas.microsoft.com/office/drawing/2014/main" id="{6F23A71F-508D-419B-93A4-EA791D861937}"/>
            </a:ext>
          </a:extLst>
        </xdr:cNvPr>
        <xdr:cNvSpPr>
          <a:spLocks/>
        </xdr:cNvSpPr>
      </xdr:nvSpPr>
      <xdr:spPr bwMode="auto">
        <a:xfrm>
          <a:off x="2238543" y="4521844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252</xdr:row>
      <xdr:rowOff>166730</xdr:rowOff>
    </xdr:from>
    <xdr:to>
      <xdr:col>3</xdr:col>
      <xdr:colOff>3314</xdr:colOff>
      <xdr:row>254</xdr:row>
      <xdr:rowOff>170487</xdr:rowOff>
    </xdr:to>
    <xdr:sp macro="" textlink="">
      <xdr:nvSpPr>
        <xdr:cNvPr id="595" name="0/0">
          <a:extLst>
            <a:ext uri="{FF2B5EF4-FFF2-40B4-BE49-F238E27FC236}">
              <a16:creationId xmlns:a16="http://schemas.microsoft.com/office/drawing/2014/main" id="{D7CC92F5-7D2F-431A-BE6E-218D0988DAD1}"/>
            </a:ext>
          </a:extLst>
        </xdr:cNvPr>
        <xdr:cNvSpPr>
          <a:spLocks noChangeArrowheads="1"/>
        </xdr:cNvSpPr>
      </xdr:nvSpPr>
      <xdr:spPr bwMode="auto">
        <a:xfrm>
          <a:off x="509158" y="4521998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252</xdr:row>
      <xdr:rowOff>165199</xdr:rowOff>
    </xdr:from>
    <xdr:to>
      <xdr:col>6</xdr:col>
      <xdr:colOff>203113</xdr:colOff>
      <xdr:row>253</xdr:row>
      <xdr:rowOff>76914</xdr:rowOff>
    </xdr:to>
    <xdr:sp macro="" textlink="">
      <xdr:nvSpPr>
        <xdr:cNvPr id="596" name="Freeform 10708">
          <a:extLst>
            <a:ext uri="{FF2B5EF4-FFF2-40B4-BE49-F238E27FC236}">
              <a16:creationId xmlns:a16="http://schemas.microsoft.com/office/drawing/2014/main" id="{B7AE3FF4-20C7-401E-AC4F-F57BF55EFC60}"/>
            </a:ext>
          </a:extLst>
        </xdr:cNvPr>
        <xdr:cNvSpPr>
          <a:spLocks/>
        </xdr:cNvSpPr>
      </xdr:nvSpPr>
      <xdr:spPr bwMode="auto">
        <a:xfrm>
          <a:off x="1479463" y="4521844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252</xdr:row>
      <xdr:rowOff>148037</xdr:rowOff>
    </xdr:from>
    <xdr:to>
      <xdr:col>11</xdr:col>
      <xdr:colOff>4382</xdr:colOff>
      <xdr:row>254</xdr:row>
      <xdr:rowOff>174708</xdr:rowOff>
    </xdr:to>
    <xdr:sp macro="" textlink="">
      <xdr:nvSpPr>
        <xdr:cNvPr id="597" name="3">
          <a:extLst>
            <a:ext uri="{FF2B5EF4-FFF2-40B4-BE49-F238E27FC236}">
              <a16:creationId xmlns:a16="http://schemas.microsoft.com/office/drawing/2014/main" id="{E197632C-9A2A-488A-B65B-1EF2F9306F9D}"/>
            </a:ext>
          </a:extLst>
        </xdr:cNvPr>
        <xdr:cNvSpPr>
          <a:spLocks noChangeArrowheads="1"/>
        </xdr:cNvSpPr>
      </xdr:nvSpPr>
      <xdr:spPr bwMode="auto">
        <a:xfrm>
          <a:off x="3582124" y="4520128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252</xdr:row>
      <xdr:rowOff>166999</xdr:rowOff>
    </xdr:from>
    <xdr:to>
      <xdr:col>9</xdr:col>
      <xdr:colOff>2364</xdr:colOff>
      <xdr:row>254</xdr:row>
      <xdr:rowOff>172437</xdr:rowOff>
    </xdr:to>
    <xdr:sp macro="" textlink="">
      <xdr:nvSpPr>
        <xdr:cNvPr id="598" name="0/0">
          <a:extLst>
            <a:ext uri="{FF2B5EF4-FFF2-40B4-BE49-F238E27FC236}">
              <a16:creationId xmlns:a16="http://schemas.microsoft.com/office/drawing/2014/main" id="{6C67D25F-162A-425B-9D14-D1761680CA2A}"/>
            </a:ext>
          </a:extLst>
        </xdr:cNvPr>
        <xdr:cNvSpPr>
          <a:spLocks noChangeArrowheads="1"/>
        </xdr:cNvSpPr>
      </xdr:nvSpPr>
      <xdr:spPr bwMode="auto">
        <a:xfrm>
          <a:off x="2823228" y="4522024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252</xdr:row>
      <xdr:rowOff>154217</xdr:rowOff>
    </xdr:from>
    <xdr:to>
      <xdr:col>12</xdr:col>
      <xdr:colOff>263087</xdr:colOff>
      <xdr:row>253</xdr:row>
      <xdr:rowOff>78963</xdr:rowOff>
    </xdr:to>
    <xdr:sp macro="" textlink="">
      <xdr:nvSpPr>
        <xdr:cNvPr id="599" name="Freeform 10708">
          <a:extLst>
            <a:ext uri="{FF2B5EF4-FFF2-40B4-BE49-F238E27FC236}">
              <a16:creationId xmlns:a16="http://schemas.microsoft.com/office/drawing/2014/main" id="{A0D66615-3C78-4015-83B2-A9EA1958658E}"/>
            </a:ext>
          </a:extLst>
        </xdr:cNvPr>
        <xdr:cNvSpPr>
          <a:spLocks/>
        </xdr:cNvSpPr>
      </xdr:nvSpPr>
      <xdr:spPr bwMode="auto">
        <a:xfrm>
          <a:off x="3768244" y="4520746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252</xdr:row>
      <xdr:rowOff>154217</xdr:rowOff>
    </xdr:from>
    <xdr:to>
      <xdr:col>10</xdr:col>
      <xdr:colOff>196114</xdr:colOff>
      <xdr:row>253</xdr:row>
      <xdr:rowOff>67057</xdr:rowOff>
    </xdr:to>
    <xdr:sp macro="" textlink="">
      <xdr:nvSpPr>
        <xdr:cNvPr id="600" name="Freeform 10708">
          <a:extLst>
            <a:ext uri="{FF2B5EF4-FFF2-40B4-BE49-F238E27FC236}">
              <a16:creationId xmlns:a16="http://schemas.microsoft.com/office/drawing/2014/main" id="{9414A292-6EC8-44C6-AA2F-AFFFB8AE3EAF}"/>
            </a:ext>
          </a:extLst>
        </xdr:cNvPr>
        <xdr:cNvSpPr>
          <a:spLocks/>
        </xdr:cNvSpPr>
      </xdr:nvSpPr>
      <xdr:spPr bwMode="auto">
        <a:xfrm>
          <a:off x="3014363" y="4520746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252</xdr:row>
      <xdr:rowOff>150168</xdr:rowOff>
    </xdr:from>
    <xdr:to>
      <xdr:col>14</xdr:col>
      <xdr:colOff>383792</xdr:colOff>
      <xdr:row>254</xdr:row>
      <xdr:rowOff>188406</xdr:rowOff>
    </xdr:to>
    <xdr:sp macro="" textlink="">
      <xdr:nvSpPr>
        <xdr:cNvPr id="601" name="3">
          <a:extLst>
            <a:ext uri="{FF2B5EF4-FFF2-40B4-BE49-F238E27FC236}">
              <a16:creationId xmlns:a16="http://schemas.microsoft.com/office/drawing/2014/main" id="{00DA174B-51AE-4F79-8694-053F57053DBA}"/>
            </a:ext>
          </a:extLst>
        </xdr:cNvPr>
        <xdr:cNvSpPr>
          <a:spLocks noChangeArrowheads="1"/>
        </xdr:cNvSpPr>
      </xdr:nvSpPr>
      <xdr:spPr bwMode="auto">
        <a:xfrm>
          <a:off x="5015271" y="45203418"/>
          <a:ext cx="385021" cy="4065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7055</xdr:colOff>
      <xdr:row>252</xdr:row>
      <xdr:rowOff>166570</xdr:rowOff>
    </xdr:from>
    <xdr:to>
      <xdr:col>13</xdr:col>
      <xdr:colOff>3582</xdr:colOff>
      <xdr:row>254</xdr:row>
      <xdr:rowOff>172008</xdr:rowOff>
    </xdr:to>
    <xdr:sp macro="" textlink="">
      <xdr:nvSpPr>
        <xdr:cNvPr id="602" name="0/0">
          <a:extLst>
            <a:ext uri="{FF2B5EF4-FFF2-40B4-BE49-F238E27FC236}">
              <a16:creationId xmlns:a16="http://schemas.microsoft.com/office/drawing/2014/main" id="{FEBD9914-3B68-44E0-A2F5-2050C100FCE4}"/>
            </a:ext>
          </a:extLst>
        </xdr:cNvPr>
        <xdr:cNvSpPr>
          <a:spLocks noChangeArrowheads="1"/>
        </xdr:cNvSpPr>
      </xdr:nvSpPr>
      <xdr:spPr bwMode="auto">
        <a:xfrm>
          <a:off x="4337755" y="45219820"/>
          <a:ext cx="38387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252</xdr:row>
      <xdr:rowOff>165199</xdr:rowOff>
    </xdr:from>
    <xdr:to>
      <xdr:col>18</xdr:col>
      <xdr:colOff>188991</xdr:colOff>
      <xdr:row>253</xdr:row>
      <xdr:rowOff>81317</xdr:rowOff>
    </xdr:to>
    <xdr:sp macro="" textlink="">
      <xdr:nvSpPr>
        <xdr:cNvPr id="603" name="Freeform 10708">
          <a:extLst>
            <a:ext uri="{FF2B5EF4-FFF2-40B4-BE49-F238E27FC236}">
              <a16:creationId xmlns:a16="http://schemas.microsoft.com/office/drawing/2014/main" id="{547B1C3C-D862-4DE1-95BF-8762F22DE026}"/>
            </a:ext>
          </a:extLst>
        </xdr:cNvPr>
        <xdr:cNvSpPr>
          <a:spLocks/>
        </xdr:cNvSpPr>
      </xdr:nvSpPr>
      <xdr:spPr bwMode="auto">
        <a:xfrm>
          <a:off x="5188268" y="4521844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252</xdr:row>
      <xdr:rowOff>156571</xdr:rowOff>
    </xdr:from>
    <xdr:to>
      <xdr:col>14</xdr:col>
      <xdr:colOff>193738</xdr:colOff>
      <xdr:row>253</xdr:row>
      <xdr:rowOff>69411</xdr:rowOff>
    </xdr:to>
    <xdr:sp macro="" textlink="">
      <xdr:nvSpPr>
        <xdr:cNvPr id="604" name="Freeform 10708">
          <a:extLst>
            <a:ext uri="{FF2B5EF4-FFF2-40B4-BE49-F238E27FC236}">
              <a16:creationId xmlns:a16="http://schemas.microsoft.com/office/drawing/2014/main" id="{EF9B5D92-3037-46DA-92FF-F32C76E73B7A}"/>
            </a:ext>
          </a:extLst>
        </xdr:cNvPr>
        <xdr:cNvSpPr>
          <a:spLocks/>
        </xdr:cNvSpPr>
      </xdr:nvSpPr>
      <xdr:spPr bwMode="auto">
        <a:xfrm>
          <a:off x="4531940" y="4520982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252</xdr:row>
      <xdr:rowOff>166920</xdr:rowOff>
    </xdr:from>
    <xdr:to>
      <xdr:col>21</xdr:col>
      <xdr:colOff>257</xdr:colOff>
      <xdr:row>255</xdr:row>
      <xdr:rowOff>3810</xdr:rowOff>
    </xdr:to>
    <xdr:sp macro="" textlink="">
      <xdr:nvSpPr>
        <xdr:cNvPr id="605" name="3">
          <a:extLst>
            <a:ext uri="{FF2B5EF4-FFF2-40B4-BE49-F238E27FC236}">
              <a16:creationId xmlns:a16="http://schemas.microsoft.com/office/drawing/2014/main" id="{2C6269E0-E5C5-42DF-87A8-0D9AE4058478}"/>
            </a:ext>
          </a:extLst>
        </xdr:cNvPr>
        <xdr:cNvSpPr>
          <a:spLocks noChangeArrowheads="1"/>
        </xdr:cNvSpPr>
      </xdr:nvSpPr>
      <xdr:spPr bwMode="auto">
        <a:xfrm>
          <a:off x="7381572" y="4522017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402167</xdr:colOff>
      <xdr:row>252</xdr:row>
      <xdr:rowOff>167845</xdr:rowOff>
    </xdr:from>
    <xdr:to>
      <xdr:col>19</xdr:col>
      <xdr:colOff>3818</xdr:colOff>
      <xdr:row>254</xdr:row>
      <xdr:rowOff>173283</xdr:rowOff>
    </xdr:to>
    <xdr:sp macro="" textlink="">
      <xdr:nvSpPr>
        <xdr:cNvPr id="606" name="0/0">
          <a:extLst>
            <a:ext uri="{FF2B5EF4-FFF2-40B4-BE49-F238E27FC236}">
              <a16:creationId xmlns:a16="http://schemas.microsoft.com/office/drawing/2014/main" id="{74BB4F0A-05C8-4F9D-9061-49F136995D10}"/>
            </a:ext>
          </a:extLst>
        </xdr:cNvPr>
        <xdr:cNvSpPr>
          <a:spLocks noChangeArrowheads="1"/>
        </xdr:cNvSpPr>
      </xdr:nvSpPr>
      <xdr:spPr bwMode="auto">
        <a:xfrm>
          <a:off x="6618817" y="45221095"/>
          <a:ext cx="408101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252</xdr:row>
      <xdr:rowOff>162138</xdr:rowOff>
    </xdr:from>
    <xdr:to>
      <xdr:col>22</xdr:col>
      <xdr:colOff>191774</xdr:colOff>
      <xdr:row>253</xdr:row>
      <xdr:rowOff>79808</xdr:rowOff>
    </xdr:to>
    <xdr:sp macro="" textlink="">
      <xdr:nvSpPr>
        <xdr:cNvPr id="607" name="Freeform 10708">
          <a:extLst>
            <a:ext uri="{FF2B5EF4-FFF2-40B4-BE49-F238E27FC236}">
              <a16:creationId xmlns:a16="http://schemas.microsoft.com/office/drawing/2014/main" id="{C497E32F-732B-4EA5-A1A2-272FC55FC7F8}"/>
            </a:ext>
          </a:extLst>
        </xdr:cNvPr>
        <xdr:cNvSpPr>
          <a:spLocks/>
        </xdr:cNvSpPr>
      </xdr:nvSpPr>
      <xdr:spPr bwMode="auto">
        <a:xfrm>
          <a:off x="7578066" y="4521538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252</xdr:row>
      <xdr:rowOff>166471</xdr:rowOff>
    </xdr:from>
    <xdr:to>
      <xdr:col>20</xdr:col>
      <xdr:colOff>197505</xdr:colOff>
      <xdr:row>253</xdr:row>
      <xdr:rowOff>79033</xdr:rowOff>
    </xdr:to>
    <xdr:sp macro="" textlink="">
      <xdr:nvSpPr>
        <xdr:cNvPr id="608" name="Freeform 10708">
          <a:extLst>
            <a:ext uri="{FF2B5EF4-FFF2-40B4-BE49-F238E27FC236}">
              <a16:creationId xmlns:a16="http://schemas.microsoft.com/office/drawing/2014/main" id="{2D82434F-8F89-4F55-BDF6-0257CC9DA7BB}"/>
            </a:ext>
          </a:extLst>
        </xdr:cNvPr>
        <xdr:cNvSpPr>
          <a:spLocks/>
        </xdr:cNvSpPr>
      </xdr:nvSpPr>
      <xdr:spPr bwMode="auto">
        <a:xfrm>
          <a:off x="6820556" y="4521972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252</xdr:row>
      <xdr:rowOff>151445</xdr:rowOff>
    </xdr:from>
    <xdr:to>
      <xdr:col>25</xdr:col>
      <xdr:colOff>7044</xdr:colOff>
      <xdr:row>254</xdr:row>
      <xdr:rowOff>178116</xdr:rowOff>
    </xdr:to>
    <xdr:sp macro="" textlink="">
      <xdr:nvSpPr>
        <xdr:cNvPr id="609" name="3">
          <a:extLst>
            <a:ext uri="{FF2B5EF4-FFF2-40B4-BE49-F238E27FC236}">
              <a16:creationId xmlns:a16="http://schemas.microsoft.com/office/drawing/2014/main" id="{94B0C9EB-0C4E-4303-B26E-FF30BD1726BB}"/>
            </a:ext>
          </a:extLst>
        </xdr:cNvPr>
        <xdr:cNvSpPr>
          <a:spLocks noChangeArrowheads="1"/>
        </xdr:cNvSpPr>
      </xdr:nvSpPr>
      <xdr:spPr bwMode="auto">
        <a:xfrm>
          <a:off x="8922785" y="4520469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252</xdr:row>
      <xdr:rowOff>170629</xdr:rowOff>
    </xdr:from>
    <xdr:to>
      <xdr:col>23</xdr:col>
      <xdr:colOff>3815</xdr:colOff>
      <xdr:row>254</xdr:row>
      <xdr:rowOff>176067</xdr:rowOff>
    </xdr:to>
    <xdr:sp macro="" textlink="">
      <xdr:nvSpPr>
        <xdr:cNvPr id="610" name="0/0">
          <a:extLst>
            <a:ext uri="{FF2B5EF4-FFF2-40B4-BE49-F238E27FC236}">
              <a16:creationId xmlns:a16="http://schemas.microsoft.com/office/drawing/2014/main" id="{1C6C5DCF-4D51-4C86-A97F-6F1D9E563BB4}"/>
            </a:ext>
          </a:extLst>
        </xdr:cNvPr>
        <xdr:cNvSpPr>
          <a:spLocks noChangeArrowheads="1"/>
        </xdr:cNvSpPr>
      </xdr:nvSpPr>
      <xdr:spPr bwMode="auto">
        <a:xfrm>
          <a:off x="8169742" y="4522387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252</xdr:row>
      <xdr:rowOff>156572</xdr:rowOff>
    </xdr:from>
    <xdr:to>
      <xdr:col>26</xdr:col>
      <xdr:colOff>194557</xdr:colOff>
      <xdr:row>253</xdr:row>
      <xdr:rowOff>71461</xdr:rowOff>
    </xdr:to>
    <xdr:sp macro="" textlink="">
      <xdr:nvSpPr>
        <xdr:cNvPr id="611" name="Freeform 10708">
          <a:extLst>
            <a:ext uri="{FF2B5EF4-FFF2-40B4-BE49-F238E27FC236}">
              <a16:creationId xmlns:a16="http://schemas.microsoft.com/office/drawing/2014/main" id="{F72AD266-A803-4C2A-A8D2-F52B67B92E3C}"/>
            </a:ext>
          </a:extLst>
        </xdr:cNvPr>
        <xdr:cNvSpPr>
          <a:spLocks/>
        </xdr:cNvSpPr>
      </xdr:nvSpPr>
      <xdr:spPr bwMode="auto">
        <a:xfrm>
          <a:off x="9135144" y="452098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252</xdr:row>
      <xdr:rowOff>153790</xdr:rowOff>
    </xdr:from>
    <xdr:to>
      <xdr:col>24</xdr:col>
      <xdr:colOff>180643</xdr:colOff>
      <xdr:row>253</xdr:row>
      <xdr:rowOff>76252</xdr:rowOff>
    </xdr:to>
    <xdr:sp macro="" textlink="">
      <xdr:nvSpPr>
        <xdr:cNvPr id="612" name="Freeform 10708">
          <a:extLst>
            <a:ext uri="{FF2B5EF4-FFF2-40B4-BE49-F238E27FC236}">
              <a16:creationId xmlns:a16="http://schemas.microsoft.com/office/drawing/2014/main" id="{25A625D3-343C-4051-A630-66975ADC07EF}"/>
            </a:ext>
          </a:extLst>
        </xdr:cNvPr>
        <xdr:cNvSpPr>
          <a:spLocks/>
        </xdr:cNvSpPr>
      </xdr:nvSpPr>
      <xdr:spPr bwMode="auto">
        <a:xfrm>
          <a:off x="8366933" y="4520704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706</xdr:colOff>
      <xdr:row>252</xdr:row>
      <xdr:rowOff>168222</xdr:rowOff>
    </xdr:from>
    <xdr:to>
      <xdr:col>27</xdr:col>
      <xdr:colOff>3614</xdr:colOff>
      <xdr:row>254</xdr:row>
      <xdr:rowOff>173938</xdr:rowOff>
    </xdr:to>
    <xdr:sp macro="" textlink="">
      <xdr:nvSpPr>
        <xdr:cNvPr id="613" name="0/0">
          <a:extLst>
            <a:ext uri="{FF2B5EF4-FFF2-40B4-BE49-F238E27FC236}">
              <a16:creationId xmlns:a16="http://schemas.microsoft.com/office/drawing/2014/main" id="{DA3DE3CE-98D8-426B-8272-CF7B38E7A509}"/>
            </a:ext>
          </a:extLst>
        </xdr:cNvPr>
        <xdr:cNvSpPr>
          <a:spLocks noChangeArrowheads="1"/>
        </xdr:cNvSpPr>
      </xdr:nvSpPr>
      <xdr:spPr bwMode="auto">
        <a:xfrm>
          <a:off x="9760656" y="452214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198490</xdr:colOff>
      <xdr:row>252</xdr:row>
      <xdr:rowOff>156573</xdr:rowOff>
    </xdr:from>
    <xdr:to>
      <xdr:col>28</xdr:col>
      <xdr:colOff>197339</xdr:colOff>
      <xdr:row>253</xdr:row>
      <xdr:rowOff>61931</xdr:rowOff>
    </xdr:to>
    <xdr:sp macro="" textlink="">
      <xdr:nvSpPr>
        <xdr:cNvPr id="614" name="Freeform 10708">
          <a:extLst>
            <a:ext uri="{FF2B5EF4-FFF2-40B4-BE49-F238E27FC236}">
              <a16:creationId xmlns:a16="http://schemas.microsoft.com/office/drawing/2014/main" id="{4008AE95-A494-48D6-A452-95EBA4FC0106}"/>
            </a:ext>
          </a:extLst>
        </xdr:cNvPr>
        <xdr:cNvSpPr>
          <a:spLocks/>
        </xdr:cNvSpPr>
      </xdr:nvSpPr>
      <xdr:spPr bwMode="auto">
        <a:xfrm>
          <a:off x="9958440" y="4520982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252</xdr:row>
      <xdr:rowOff>146584</xdr:rowOff>
    </xdr:from>
    <xdr:to>
      <xdr:col>2</xdr:col>
      <xdr:colOff>170281</xdr:colOff>
      <xdr:row>253</xdr:row>
      <xdr:rowOff>70205</xdr:rowOff>
    </xdr:to>
    <xdr:sp macro="" textlink="">
      <xdr:nvSpPr>
        <xdr:cNvPr id="615" name="Freeform 10708">
          <a:extLst>
            <a:ext uri="{FF2B5EF4-FFF2-40B4-BE49-F238E27FC236}">
              <a16:creationId xmlns:a16="http://schemas.microsoft.com/office/drawing/2014/main" id="{620DCC4B-4922-4739-894E-81055ECB8443}"/>
            </a:ext>
          </a:extLst>
        </xdr:cNvPr>
        <xdr:cNvSpPr>
          <a:spLocks/>
        </xdr:cNvSpPr>
      </xdr:nvSpPr>
      <xdr:spPr bwMode="auto">
        <a:xfrm>
          <a:off x="0" y="4519983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706</xdr:colOff>
      <xdr:row>252</xdr:row>
      <xdr:rowOff>168222</xdr:rowOff>
    </xdr:from>
    <xdr:to>
      <xdr:col>29</xdr:col>
      <xdr:colOff>3614</xdr:colOff>
      <xdr:row>254</xdr:row>
      <xdr:rowOff>173938</xdr:rowOff>
    </xdr:to>
    <xdr:sp macro="" textlink="">
      <xdr:nvSpPr>
        <xdr:cNvPr id="616" name="0/0">
          <a:extLst>
            <a:ext uri="{FF2B5EF4-FFF2-40B4-BE49-F238E27FC236}">
              <a16:creationId xmlns:a16="http://schemas.microsoft.com/office/drawing/2014/main" id="{76C0BE86-BC12-492D-AD57-53F1F80943D8}"/>
            </a:ext>
          </a:extLst>
        </xdr:cNvPr>
        <xdr:cNvSpPr>
          <a:spLocks noChangeArrowheads="1"/>
        </xdr:cNvSpPr>
      </xdr:nvSpPr>
      <xdr:spPr bwMode="auto">
        <a:xfrm>
          <a:off x="10567106" y="452214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706</xdr:colOff>
      <xdr:row>252</xdr:row>
      <xdr:rowOff>168222</xdr:rowOff>
    </xdr:from>
    <xdr:to>
      <xdr:col>31</xdr:col>
      <xdr:colOff>3614</xdr:colOff>
      <xdr:row>254</xdr:row>
      <xdr:rowOff>173938</xdr:rowOff>
    </xdr:to>
    <xdr:sp macro="" textlink="">
      <xdr:nvSpPr>
        <xdr:cNvPr id="617" name="0/0">
          <a:extLst>
            <a:ext uri="{FF2B5EF4-FFF2-40B4-BE49-F238E27FC236}">
              <a16:creationId xmlns:a16="http://schemas.microsoft.com/office/drawing/2014/main" id="{2956EA5B-0141-44B4-9C8D-010E3244F55C}"/>
            </a:ext>
          </a:extLst>
        </xdr:cNvPr>
        <xdr:cNvSpPr>
          <a:spLocks noChangeArrowheads="1"/>
        </xdr:cNvSpPr>
      </xdr:nvSpPr>
      <xdr:spPr bwMode="auto">
        <a:xfrm>
          <a:off x="11329106" y="45221472"/>
          <a:ext cx="40930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212912</xdr:colOff>
      <xdr:row>252</xdr:row>
      <xdr:rowOff>179294</xdr:rowOff>
    </xdr:from>
    <xdr:to>
      <xdr:col>30</xdr:col>
      <xdr:colOff>245379</xdr:colOff>
      <xdr:row>253</xdr:row>
      <xdr:rowOff>84652</xdr:rowOff>
    </xdr:to>
    <xdr:sp macro="" textlink="">
      <xdr:nvSpPr>
        <xdr:cNvPr id="618" name="Freeform 10708">
          <a:extLst>
            <a:ext uri="{FF2B5EF4-FFF2-40B4-BE49-F238E27FC236}">
              <a16:creationId xmlns:a16="http://schemas.microsoft.com/office/drawing/2014/main" id="{B764F667-E90E-4069-ADAB-10C903FBE928}"/>
            </a:ext>
          </a:extLst>
        </xdr:cNvPr>
        <xdr:cNvSpPr>
          <a:spLocks/>
        </xdr:cNvSpPr>
      </xdr:nvSpPr>
      <xdr:spPr bwMode="auto">
        <a:xfrm>
          <a:off x="10779312" y="4523254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263</xdr:row>
      <xdr:rowOff>150052</xdr:rowOff>
    </xdr:from>
    <xdr:to>
      <xdr:col>7</xdr:col>
      <xdr:colOff>8115</xdr:colOff>
      <xdr:row>265</xdr:row>
      <xdr:rowOff>177279</xdr:rowOff>
    </xdr:to>
    <xdr:sp macro="" textlink="">
      <xdr:nvSpPr>
        <xdr:cNvPr id="619" name="3">
          <a:extLst>
            <a:ext uri="{FF2B5EF4-FFF2-40B4-BE49-F238E27FC236}">
              <a16:creationId xmlns:a16="http://schemas.microsoft.com/office/drawing/2014/main" id="{BD975D99-8448-441C-8E84-C3DC399BFC08}"/>
            </a:ext>
          </a:extLst>
        </xdr:cNvPr>
        <xdr:cNvSpPr>
          <a:spLocks noChangeArrowheads="1"/>
        </xdr:cNvSpPr>
      </xdr:nvSpPr>
      <xdr:spPr bwMode="auto">
        <a:xfrm>
          <a:off x="2036940" y="4710195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263</xdr:row>
      <xdr:rowOff>167356</xdr:rowOff>
    </xdr:from>
    <xdr:to>
      <xdr:col>5</xdr:col>
      <xdr:colOff>4705</xdr:colOff>
      <xdr:row>265</xdr:row>
      <xdr:rowOff>171669</xdr:rowOff>
    </xdr:to>
    <xdr:sp macro="" textlink="">
      <xdr:nvSpPr>
        <xdr:cNvPr id="620" name="0/0">
          <a:extLst>
            <a:ext uri="{FF2B5EF4-FFF2-40B4-BE49-F238E27FC236}">
              <a16:creationId xmlns:a16="http://schemas.microsoft.com/office/drawing/2014/main" id="{93C75086-5AC5-422E-B0EA-0FCB48845580}"/>
            </a:ext>
          </a:extLst>
        </xdr:cNvPr>
        <xdr:cNvSpPr>
          <a:spLocks noChangeArrowheads="1"/>
        </xdr:cNvSpPr>
      </xdr:nvSpPr>
      <xdr:spPr bwMode="auto">
        <a:xfrm>
          <a:off x="1278898" y="4711925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263</xdr:row>
      <xdr:rowOff>165198</xdr:rowOff>
    </xdr:from>
    <xdr:to>
      <xdr:col>4</xdr:col>
      <xdr:colOff>200955</xdr:colOff>
      <xdr:row>264</xdr:row>
      <xdr:rowOff>76913</xdr:rowOff>
    </xdr:to>
    <xdr:sp macro="" textlink="">
      <xdr:nvSpPr>
        <xdr:cNvPr id="621" name="Freeform 10708">
          <a:extLst>
            <a:ext uri="{FF2B5EF4-FFF2-40B4-BE49-F238E27FC236}">
              <a16:creationId xmlns:a16="http://schemas.microsoft.com/office/drawing/2014/main" id="{859CD55E-A611-4F0E-A9BC-A8A962C482F0}"/>
            </a:ext>
          </a:extLst>
        </xdr:cNvPr>
        <xdr:cNvSpPr>
          <a:spLocks/>
        </xdr:cNvSpPr>
      </xdr:nvSpPr>
      <xdr:spPr bwMode="auto">
        <a:xfrm>
          <a:off x="708955" y="4711709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263</xdr:row>
      <xdr:rowOff>165199</xdr:rowOff>
    </xdr:from>
    <xdr:to>
      <xdr:col>8</xdr:col>
      <xdr:colOff>202575</xdr:colOff>
      <xdr:row>264</xdr:row>
      <xdr:rowOff>88820</xdr:rowOff>
    </xdr:to>
    <xdr:sp macro="" textlink="">
      <xdr:nvSpPr>
        <xdr:cNvPr id="622" name="Freeform 10708">
          <a:extLst>
            <a:ext uri="{FF2B5EF4-FFF2-40B4-BE49-F238E27FC236}">
              <a16:creationId xmlns:a16="http://schemas.microsoft.com/office/drawing/2014/main" id="{FE35C41D-466D-4795-AD6E-04695FFB2B89}"/>
            </a:ext>
          </a:extLst>
        </xdr:cNvPr>
        <xdr:cNvSpPr>
          <a:spLocks/>
        </xdr:cNvSpPr>
      </xdr:nvSpPr>
      <xdr:spPr bwMode="auto">
        <a:xfrm>
          <a:off x="2238543" y="4711709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263</xdr:row>
      <xdr:rowOff>166730</xdr:rowOff>
    </xdr:from>
    <xdr:to>
      <xdr:col>3</xdr:col>
      <xdr:colOff>3314</xdr:colOff>
      <xdr:row>265</xdr:row>
      <xdr:rowOff>170487</xdr:rowOff>
    </xdr:to>
    <xdr:sp macro="" textlink="">
      <xdr:nvSpPr>
        <xdr:cNvPr id="623" name="0/0">
          <a:extLst>
            <a:ext uri="{FF2B5EF4-FFF2-40B4-BE49-F238E27FC236}">
              <a16:creationId xmlns:a16="http://schemas.microsoft.com/office/drawing/2014/main" id="{787045CB-0BDC-42D5-84BD-4E6094EA30BC}"/>
            </a:ext>
          </a:extLst>
        </xdr:cNvPr>
        <xdr:cNvSpPr>
          <a:spLocks noChangeArrowheads="1"/>
        </xdr:cNvSpPr>
      </xdr:nvSpPr>
      <xdr:spPr bwMode="auto">
        <a:xfrm>
          <a:off x="509158" y="4711863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263</xdr:row>
      <xdr:rowOff>165199</xdr:rowOff>
    </xdr:from>
    <xdr:to>
      <xdr:col>6</xdr:col>
      <xdr:colOff>203113</xdr:colOff>
      <xdr:row>264</xdr:row>
      <xdr:rowOff>76914</xdr:rowOff>
    </xdr:to>
    <xdr:sp macro="" textlink="">
      <xdr:nvSpPr>
        <xdr:cNvPr id="624" name="Freeform 10708">
          <a:extLst>
            <a:ext uri="{FF2B5EF4-FFF2-40B4-BE49-F238E27FC236}">
              <a16:creationId xmlns:a16="http://schemas.microsoft.com/office/drawing/2014/main" id="{3507FE63-2788-4A8A-85E4-A8C7AEC09189}"/>
            </a:ext>
          </a:extLst>
        </xdr:cNvPr>
        <xdr:cNvSpPr>
          <a:spLocks/>
        </xdr:cNvSpPr>
      </xdr:nvSpPr>
      <xdr:spPr bwMode="auto">
        <a:xfrm>
          <a:off x="1479463" y="471170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263</xdr:row>
      <xdr:rowOff>148037</xdr:rowOff>
    </xdr:from>
    <xdr:to>
      <xdr:col>11</xdr:col>
      <xdr:colOff>4382</xdr:colOff>
      <xdr:row>265</xdr:row>
      <xdr:rowOff>174708</xdr:rowOff>
    </xdr:to>
    <xdr:sp macro="" textlink="">
      <xdr:nvSpPr>
        <xdr:cNvPr id="625" name="3">
          <a:extLst>
            <a:ext uri="{FF2B5EF4-FFF2-40B4-BE49-F238E27FC236}">
              <a16:creationId xmlns:a16="http://schemas.microsoft.com/office/drawing/2014/main" id="{883AA156-CC9B-49F6-B98C-C50763CE5351}"/>
            </a:ext>
          </a:extLst>
        </xdr:cNvPr>
        <xdr:cNvSpPr>
          <a:spLocks noChangeArrowheads="1"/>
        </xdr:cNvSpPr>
      </xdr:nvSpPr>
      <xdr:spPr bwMode="auto">
        <a:xfrm>
          <a:off x="3582124" y="4709993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263</xdr:row>
      <xdr:rowOff>166999</xdr:rowOff>
    </xdr:from>
    <xdr:to>
      <xdr:col>9</xdr:col>
      <xdr:colOff>2364</xdr:colOff>
      <xdr:row>265</xdr:row>
      <xdr:rowOff>172437</xdr:rowOff>
    </xdr:to>
    <xdr:sp macro="" textlink="">
      <xdr:nvSpPr>
        <xdr:cNvPr id="626" name="0/0">
          <a:extLst>
            <a:ext uri="{FF2B5EF4-FFF2-40B4-BE49-F238E27FC236}">
              <a16:creationId xmlns:a16="http://schemas.microsoft.com/office/drawing/2014/main" id="{8318FC8E-F328-491F-8F11-51BA5D4392EF}"/>
            </a:ext>
          </a:extLst>
        </xdr:cNvPr>
        <xdr:cNvSpPr>
          <a:spLocks noChangeArrowheads="1"/>
        </xdr:cNvSpPr>
      </xdr:nvSpPr>
      <xdr:spPr bwMode="auto">
        <a:xfrm>
          <a:off x="2823228" y="4711889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263</xdr:row>
      <xdr:rowOff>154217</xdr:rowOff>
    </xdr:from>
    <xdr:to>
      <xdr:col>12</xdr:col>
      <xdr:colOff>263087</xdr:colOff>
      <xdr:row>264</xdr:row>
      <xdr:rowOff>78963</xdr:rowOff>
    </xdr:to>
    <xdr:sp macro="" textlink="">
      <xdr:nvSpPr>
        <xdr:cNvPr id="627" name="Freeform 10708">
          <a:extLst>
            <a:ext uri="{FF2B5EF4-FFF2-40B4-BE49-F238E27FC236}">
              <a16:creationId xmlns:a16="http://schemas.microsoft.com/office/drawing/2014/main" id="{E6056627-C146-4163-9ADC-98F820C0CF15}"/>
            </a:ext>
          </a:extLst>
        </xdr:cNvPr>
        <xdr:cNvSpPr>
          <a:spLocks/>
        </xdr:cNvSpPr>
      </xdr:nvSpPr>
      <xdr:spPr bwMode="auto">
        <a:xfrm>
          <a:off x="3768244" y="4710611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263</xdr:row>
      <xdr:rowOff>154217</xdr:rowOff>
    </xdr:from>
    <xdr:to>
      <xdr:col>10</xdr:col>
      <xdr:colOff>196114</xdr:colOff>
      <xdr:row>264</xdr:row>
      <xdr:rowOff>67057</xdr:rowOff>
    </xdr:to>
    <xdr:sp macro="" textlink="">
      <xdr:nvSpPr>
        <xdr:cNvPr id="628" name="Freeform 10708">
          <a:extLst>
            <a:ext uri="{FF2B5EF4-FFF2-40B4-BE49-F238E27FC236}">
              <a16:creationId xmlns:a16="http://schemas.microsoft.com/office/drawing/2014/main" id="{68E153C5-3B56-4DB1-859F-ED633510E69D}"/>
            </a:ext>
          </a:extLst>
        </xdr:cNvPr>
        <xdr:cNvSpPr>
          <a:spLocks/>
        </xdr:cNvSpPr>
      </xdr:nvSpPr>
      <xdr:spPr bwMode="auto">
        <a:xfrm>
          <a:off x="3014363" y="4710611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263</xdr:row>
      <xdr:rowOff>150168</xdr:rowOff>
    </xdr:from>
    <xdr:to>
      <xdr:col>14</xdr:col>
      <xdr:colOff>390770</xdr:colOff>
      <xdr:row>265</xdr:row>
      <xdr:rowOff>181428</xdr:rowOff>
    </xdr:to>
    <xdr:sp macro="" textlink="">
      <xdr:nvSpPr>
        <xdr:cNvPr id="629" name="3">
          <a:extLst>
            <a:ext uri="{FF2B5EF4-FFF2-40B4-BE49-F238E27FC236}">
              <a16:creationId xmlns:a16="http://schemas.microsoft.com/office/drawing/2014/main" id="{97491CC8-CF3B-4382-B472-476F6E13B0F6}"/>
            </a:ext>
          </a:extLst>
        </xdr:cNvPr>
        <xdr:cNvSpPr>
          <a:spLocks noChangeArrowheads="1"/>
        </xdr:cNvSpPr>
      </xdr:nvSpPr>
      <xdr:spPr bwMode="auto">
        <a:xfrm>
          <a:off x="5015271" y="47102068"/>
          <a:ext cx="391999" cy="3995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263</xdr:row>
      <xdr:rowOff>166570</xdr:rowOff>
    </xdr:from>
    <xdr:to>
      <xdr:col>13</xdr:col>
      <xdr:colOff>3582</xdr:colOff>
      <xdr:row>265</xdr:row>
      <xdr:rowOff>172008</xdr:rowOff>
    </xdr:to>
    <xdr:sp macro="" textlink="">
      <xdr:nvSpPr>
        <xdr:cNvPr id="630" name="0/0">
          <a:extLst>
            <a:ext uri="{FF2B5EF4-FFF2-40B4-BE49-F238E27FC236}">
              <a16:creationId xmlns:a16="http://schemas.microsoft.com/office/drawing/2014/main" id="{C498B96A-05F7-411D-A39D-A0AC61D92FB0}"/>
            </a:ext>
          </a:extLst>
        </xdr:cNvPr>
        <xdr:cNvSpPr>
          <a:spLocks noChangeArrowheads="1"/>
        </xdr:cNvSpPr>
      </xdr:nvSpPr>
      <xdr:spPr bwMode="auto">
        <a:xfrm>
          <a:off x="4334750" y="47118470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263</xdr:row>
      <xdr:rowOff>165199</xdr:rowOff>
    </xdr:from>
    <xdr:to>
      <xdr:col>18</xdr:col>
      <xdr:colOff>188991</xdr:colOff>
      <xdr:row>264</xdr:row>
      <xdr:rowOff>81317</xdr:rowOff>
    </xdr:to>
    <xdr:sp macro="" textlink="">
      <xdr:nvSpPr>
        <xdr:cNvPr id="631" name="Freeform 10708">
          <a:extLst>
            <a:ext uri="{FF2B5EF4-FFF2-40B4-BE49-F238E27FC236}">
              <a16:creationId xmlns:a16="http://schemas.microsoft.com/office/drawing/2014/main" id="{187ED70A-919D-4CC8-9C9A-66BA512A1415}"/>
            </a:ext>
          </a:extLst>
        </xdr:cNvPr>
        <xdr:cNvSpPr>
          <a:spLocks/>
        </xdr:cNvSpPr>
      </xdr:nvSpPr>
      <xdr:spPr bwMode="auto">
        <a:xfrm>
          <a:off x="5188268" y="4711709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263</xdr:row>
      <xdr:rowOff>156571</xdr:rowOff>
    </xdr:from>
    <xdr:to>
      <xdr:col>14</xdr:col>
      <xdr:colOff>193738</xdr:colOff>
      <xdr:row>264</xdr:row>
      <xdr:rowOff>69411</xdr:rowOff>
    </xdr:to>
    <xdr:sp macro="" textlink="">
      <xdr:nvSpPr>
        <xdr:cNvPr id="632" name="Freeform 10708">
          <a:extLst>
            <a:ext uri="{FF2B5EF4-FFF2-40B4-BE49-F238E27FC236}">
              <a16:creationId xmlns:a16="http://schemas.microsoft.com/office/drawing/2014/main" id="{4AD61B4A-407F-411B-B9B0-7DFDB9F98B53}"/>
            </a:ext>
          </a:extLst>
        </xdr:cNvPr>
        <xdr:cNvSpPr>
          <a:spLocks/>
        </xdr:cNvSpPr>
      </xdr:nvSpPr>
      <xdr:spPr bwMode="auto">
        <a:xfrm>
          <a:off x="4531940" y="4710847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263</xdr:row>
      <xdr:rowOff>166920</xdr:rowOff>
    </xdr:from>
    <xdr:to>
      <xdr:col>21</xdr:col>
      <xdr:colOff>257</xdr:colOff>
      <xdr:row>266</xdr:row>
      <xdr:rowOff>3810</xdr:rowOff>
    </xdr:to>
    <xdr:sp macro="" textlink="">
      <xdr:nvSpPr>
        <xdr:cNvPr id="633" name="3">
          <a:extLst>
            <a:ext uri="{FF2B5EF4-FFF2-40B4-BE49-F238E27FC236}">
              <a16:creationId xmlns:a16="http://schemas.microsoft.com/office/drawing/2014/main" id="{33FE24C7-038D-484F-AF5F-35D83848B10A}"/>
            </a:ext>
          </a:extLst>
        </xdr:cNvPr>
        <xdr:cNvSpPr>
          <a:spLocks noChangeArrowheads="1"/>
        </xdr:cNvSpPr>
      </xdr:nvSpPr>
      <xdr:spPr bwMode="auto">
        <a:xfrm>
          <a:off x="7381572" y="4711882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263</xdr:row>
      <xdr:rowOff>167845</xdr:rowOff>
    </xdr:from>
    <xdr:to>
      <xdr:col>19</xdr:col>
      <xdr:colOff>3818</xdr:colOff>
      <xdr:row>265</xdr:row>
      <xdr:rowOff>173283</xdr:rowOff>
    </xdr:to>
    <xdr:sp macro="" textlink="">
      <xdr:nvSpPr>
        <xdr:cNvPr id="634" name="0/0">
          <a:extLst>
            <a:ext uri="{FF2B5EF4-FFF2-40B4-BE49-F238E27FC236}">
              <a16:creationId xmlns:a16="http://schemas.microsoft.com/office/drawing/2014/main" id="{A50D8090-1F34-4254-889A-E29494C4C37B}"/>
            </a:ext>
          </a:extLst>
        </xdr:cNvPr>
        <xdr:cNvSpPr>
          <a:spLocks noChangeArrowheads="1"/>
        </xdr:cNvSpPr>
      </xdr:nvSpPr>
      <xdr:spPr bwMode="auto">
        <a:xfrm>
          <a:off x="6578909" y="47119745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263</xdr:row>
      <xdr:rowOff>162138</xdr:rowOff>
    </xdr:from>
    <xdr:to>
      <xdr:col>22</xdr:col>
      <xdr:colOff>191774</xdr:colOff>
      <xdr:row>264</xdr:row>
      <xdr:rowOff>79808</xdr:rowOff>
    </xdr:to>
    <xdr:sp macro="" textlink="">
      <xdr:nvSpPr>
        <xdr:cNvPr id="635" name="Freeform 10708">
          <a:extLst>
            <a:ext uri="{FF2B5EF4-FFF2-40B4-BE49-F238E27FC236}">
              <a16:creationId xmlns:a16="http://schemas.microsoft.com/office/drawing/2014/main" id="{87967C58-9519-439C-A041-3EDC8C8FF6E6}"/>
            </a:ext>
          </a:extLst>
        </xdr:cNvPr>
        <xdr:cNvSpPr>
          <a:spLocks/>
        </xdr:cNvSpPr>
      </xdr:nvSpPr>
      <xdr:spPr bwMode="auto">
        <a:xfrm>
          <a:off x="7578066" y="4711403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263</xdr:row>
      <xdr:rowOff>166471</xdr:rowOff>
    </xdr:from>
    <xdr:to>
      <xdr:col>20</xdr:col>
      <xdr:colOff>197505</xdr:colOff>
      <xdr:row>264</xdr:row>
      <xdr:rowOff>79033</xdr:rowOff>
    </xdr:to>
    <xdr:sp macro="" textlink="">
      <xdr:nvSpPr>
        <xdr:cNvPr id="636" name="Freeform 10708">
          <a:extLst>
            <a:ext uri="{FF2B5EF4-FFF2-40B4-BE49-F238E27FC236}">
              <a16:creationId xmlns:a16="http://schemas.microsoft.com/office/drawing/2014/main" id="{63058E89-0292-42E8-B9C5-F271237DDBA1}"/>
            </a:ext>
          </a:extLst>
        </xdr:cNvPr>
        <xdr:cNvSpPr>
          <a:spLocks/>
        </xdr:cNvSpPr>
      </xdr:nvSpPr>
      <xdr:spPr bwMode="auto">
        <a:xfrm>
          <a:off x="6820556" y="471183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263</xdr:row>
      <xdr:rowOff>151445</xdr:rowOff>
    </xdr:from>
    <xdr:to>
      <xdr:col>25</xdr:col>
      <xdr:colOff>7044</xdr:colOff>
      <xdr:row>265</xdr:row>
      <xdr:rowOff>178116</xdr:rowOff>
    </xdr:to>
    <xdr:sp macro="" textlink="">
      <xdr:nvSpPr>
        <xdr:cNvPr id="637" name="3">
          <a:extLst>
            <a:ext uri="{FF2B5EF4-FFF2-40B4-BE49-F238E27FC236}">
              <a16:creationId xmlns:a16="http://schemas.microsoft.com/office/drawing/2014/main" id="{3219ED59-50EB-438C-B9D9-E379E15D71F6}"/>
            </a:ext>
          </a:extLst>
        </xdr:cNvPr>
        <xdr:cNvSpPr>
          <a:spLocks noChangeArrowheads="1"/>
        </xdr:cNvSpPr>
      </xdr:nvSpPr>
      <xdr:spPr bwMode="auto">
        <a:xfrm>
          <a:off x="8922785" y="4710334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263</xdr:row>
      <xdr:rowOff>170629</xdr:rowOff>
    </xdr:from>
    <xdr:to>
      <xdr:col>23</xdr:col>
      <xdr:colOff>3815</xdr:colOff>
      <xdr:row>265</xdr:row>
      <xdr:rowOff>176067</xdr:rowOff>
    </xdr:to>
    <xdr:sp macro="" textlink="">
      <xdr:nvSpPr>
        <xdr:cNvPr id="638" name="0/0">
          <a:extLst>
            <a:ext uri="{FF2B5EF4-FFF2-40B4-BE49-F238E27FC236}">
              <a16:creationId xmlns:a16="http://schemas.microsoft.com/office/drawing/2014/main" id="{8610DBB7-F342-4616-9B62-01A535621BCD}"/>
            </a:ext>
          </a:extLst>
        </xdr:cNvPr>
        <xdr:cNvSpPr>
          <a:spLocks noChangeArrowheads="1"/>
        </xdr:cNvSpPr>
      </xdr:nvSpPr>
      <xdr:spPr bwMode="auto">
        <a:xfrm>
          <a:off x="8169742" y="4712252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263</xdr:row>
      <xdr:rowOff>156572</xdr:rowOff>
    </xdr:from>
    <xdr:to>
      <xdr:col>26</xdr:col>
      <xdr:colOff>194557</xdr:colOff>
      <xdr:row>264</xdr:row>
      <xdr:rowOff>71461</xdr:rowOff>
    </xdr:to>
    <xdr:sp macro="" textlink="">
      <xdr:nvSpPr>
        <xdr:cNvPr id="639" name="Freeform 10708">
          <a:extLst>
            <a:ext uri="{FF2B5EF4-FFF2-40B4-BE49-F238E27FC236}">
              <a16:creationId xmlns:a16="http://schemas.microsoft.com/office/drawing/2014/main" id="{3CA24179-406A-46DF-ACC3-1D90B1D24FC8}"/>
            </a:ext>
          </a:extLst>
        </xdr:cNvPr>
        <xdr:cNvSpPr>
          <a:spLocks/>
        </xdr:cNvSpPr>
      </xdr:nvSpPr>
      <xdr:spPr bwMode="auto">
        <a:xfrm>
          <a:off x="9135144" y="4710847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263</xdr:row>
      <xdr:rowOff>153790</xdr:rowOff>
    </xdr:from>
    <xdr:to>
      <xdr:col>24</xdr:col>
      <xdr:colOff>180643</xdr:colOff>
      <xdr:row>264</xdr:row>
      <xdr:rowOff>76252</xdr:rowOff>
    </xdr:to>
    <xdr:sp macro="" textlink="">
      <xdr:nvSpPr>
        <xdr:cNvPr id="640" name="Freeform 10708">
          <a:extLst>
            <a:ext uri="{FF2B5EF4-FFF2-40B4-BE49-F238E27FC236}">
              <a16:creationId xmlns:a16="http://schemas.microsoft.com/office/drawing/2014/main" id="{ECE8844D-063A-4EAE-B115-E7202E0519E2}"/>
            </a:ext>
          </a:extLst>
        </xdr:cNvPr>
        <xdr:cNvSpPr>
          <a:spLocks/>
        </xdr:cNvSpPr>
      </xdr:nvSpPr>
      <xdr:spPr bwMode="auto">
        <a:xfrm>
          <a:off x="8366933" y="4710569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706</xdr:colOff>
      <xdr:row>263</xdr:row>
      <xdr:rowOff>168222</xdr:rowOff>
    </xdr:from>
    <xdr:to>
      <xdr:col>27</xdr:col>
      <xdr:colOff>3614</xdr:colOff>
      <xdr:row>265</xdr:row>
      <xdr:rowOff>173938</xdr:rowOff>
    </xdr:to>
    <xdr:sp macro="" textlink="">
      <xdr:nvSpPr>
        <xdr:cNvPr id="641" name="0/0">
          <a:extLst>
            <a:ext uri="{FF2B5EF4-FFF2-40B4-BE49-F238E27FC236}">
              <a16:creationId xmlns:a16="http://schemas.microsoft.com/office/drawing/2014/main" id="{590CB0E3-E031-46FE-A856-D0412AC19063}"/>
            </a:ext>
          </a:extLst>
        </xdr:cNvPr>
        <xdr:cNvSpPr>
          <a:spLocks noChangeArrowheads="1"/>
        </xdr:cNvSpPr>
      </xdr:nvSpPr>
      <xdr:spPr bwMode="auto">
        <a:xfrm>
          <a:off x="9760656" y="4712012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198490</xdr:colOff>
      <xdr:row>263</xdr:row>
      <xdr:rowOff>156573</xdr:rowOff>
    </xdr:from>
    <xdr:to>
      <xdr:col>28</xdr:col>
      <xdr:colOff>197339</xdr:colOff>
      <xdr:row>264</xdr:row>
      <xdr:rowOff>61931</xdr:rowOff>
    </xdr:to>
    <xdr:sp macro="" textlink="">
      <xdr:nvSpPr>
        <xdr:cNvPr id="642" name="Freeform 10708">
          <a:extLst>
            <a:ext uri="{FF2B5EF4-FFF2-40B4-BE49-F238E27FC236}">
              <a16:creationId xmlns:a16="http://schemas.microsoft.com/office/drawing/2014/main" id="{4183A2E2-84AF-428C-AD8E-19EED04758BF}"/>
            </a:ext>
          </a:extLst>
        </xdr:cNvPr>
        <xdr:cNvSpPr>
          <a:spLocks/>
        </xdr:cNvSpPr>
      </xdr:nvSpPr>
      <xdr:spPr bwMode="auto">
        <a:xfrm>
          <a:off x="9958440" y="4710847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263</xdr:row>
      <xdr:rowOff>146584</xdr:rowOff>
    </xdr:from>
    <xdr:to>
      <xdr:col>2</xdr:col>
      <xdr:colOff>170281</xdr:colOff>
      <xdr:row>264</xdr:row>
      <xdr:rowOff>70205</xdr:rowOff>
    </xdr:to>
    <xdr:sp macro="" textlink="">
      <xdr:nvSpPr>
        <xdr:cNvPr id="643" name="Freeform 10708">
          <a:extLst>
            <a:ext uri="{FF2B5EF4-FFF2-40B4-BE49-F238E27FC236}">
              <a16:creationId xmlns:a16="http://schemas.microsoft.com/office/drawing/2014/main" id="{0670C94D-8A78-407B-84F2-37B25E291526}"/>
            </a:ext>
          </a:extLst>
        </xdr:cNvPr>
        <xdr:cNvSpPr>
          <a:spLocks/>
        </xdr:cNvSpPr>
      </xdr:nvSpPr>
      <xdr:spPr bwMode="auto">
        <a:xfrm>
          <a:off x="0" y="4709848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706</xdr:colOff>
      <xdr:row>263</xdr:row>
      <xdr:rowOff>168222</xdr:rowOff>
    </xdr:from>
    <xdr:to>
      <xdr:col>29</xdr:col>
      <xdr:colOff>3614</xdr:colOff>
      <xdr:row>265</xdr:row>
      <xdr:rowOff>173938</xdr:rowOff>
    </xdr:to>
    <xdr:sp macro="" textlink="">
      <xdr:nvSpPr>
        <xdr:cNvPr id="644" name="0/0">
          <a:extLst>
            <a:ext uri="{FF2B5EF4-FFF2-40B4-BE49-F238E27FC236}">
              <a16:creationId xmlns:a16="http://schemas.microsoft.com/office/drawing/2014/main" id="{5B51C839-0E1F-46B1-9213-F4E48495C742}"/>
            </a:ext>
          </a:extLst>
        </xdr:cNvPr>
        <xdr:cNvSpPr>
          <a:spLocks noChangeArrowheads="1"/>
        </xdr:cNvSpPr>
      </xdr:nvSpPr>
      <xdr:spPr bwMode="auto">
        <a:xfrm>
          <a:off x="10567106" y="4712012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706</xdr:colOff>
      <xdr:row>263</xdr:row>
      <xdr:rowOff>168222</xdr:rowOff>
    </xdr:from>
    <xdr:to>
      <xdr:col>31</xdr:col>
      <xdr:colOff>3614</xdr:colOff>
      <xdr:row>265</xdr:row>
      <xdr:rowOff>173938</xdr:rowOff>
    </xdr:to>
    <xdr:sp macro="" textlink="">
      <xdr:nvSpPr>
        <xdr:cNvPr id="645" name="0/0">
          <a:extLst>
            <a:ext uri="{FF2B5EF4-FFF2-40B4-BE49-F238E27FC236}">
              <a16:creationId xmlns:a16="http://schemas.microsoft.com/office/drawing/2014/main" id="{9082C2BC-F12E-4033-AE85-7DEC03F7B703}"/>
            </a:ext>
          </a:extLst>
        </xdr:cNvPr>
        <xdr:cNvSpPr>
          <a:spLocks noChangeArrowheads="1"/>
        </xdr:cNvSpPr>
      </xdr:nvSpPr>
      <xdr:spPr bwMode="auto">
        <a:xfrm>
          <a:off x="11329106" y="47120122"/>
          <a:ext cx="40930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212912</xdr:colOff>
      <xdr:row>263</xdr:row>
      <xdr:rowOff>179294</xdr:rowOff>
    </xdr:from>
    <xdr:to>
      <xdr:col>30</xdr:col>
      <xdr:colOff>245379</xdr:colOff>
      <xdr:row>264</xdr:row>
      <xdr:rowOff>84652</xdr:rowOff>
    </xdr:to>
    <xdr:sp macro="" textlink="">
      <xdr:nvSpPr>
        <xdr:cNvPr id="646" name="Freeform 10708">
          <a:extLst>
            <a:ext uri="{FF2B5EF4-FFF2-40B4-BE49-F238E27FC236}">
              <a16:creationId xmlns:a16="http://schemas.microsoft.com/office/drawing/2014/main" id="{0E7E58C8-7EF8-40B0-97D3-AB5DD0124B87}"/>
            </a:ext>
          </a:extLst>
        </xdr:cNvPr>
        <xdr:cNvSpPr>
          <a:spLocks/>
        </xdr:cNvSpPr>
      </xdr:nvSpPr>
      <xdr:spPr bwMode="auto">
        <a:xfrm>
          <a:off x="10779312" y="4713119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274</xdr:row>
      <xdr:rowOff>150052</xdr:rowOff>
    </xdr:from>
    <xdr:to>
      <xdr:col>7</xdr:col>
      <xdr:colOff>8115</xdr:colOff>
      <xdr:row>276</xdr:row>
      <xdr:rowOff>177279</xdr:rowOff>
    </xdr:to>
    <xdr:sp macro="" textlink="">
      <xdr:nvSpPr>
        <xdr:cNvPr id="647" name="3">
          <a:extLst>
            <a:ext uri="{FF2B5EF4-FFF2-40B4-BE49-F238E27FC236}">
              <a16:creationId xmlns:a16="http://schemas.microsoft.com/office/drawing/2014/main" id="{E74626EF-289F-4915-83D0-A78C7F53AB66}"/>
            </a:ext>
          </a:extLst>
        </xdr:cNvPr>
        <xdr:cNvSpPr>
          <a:spLocks noChangeArrowheads="1"/>
        </xdr:cNvSpPr>
      </xdr:nvSpPr>
      <xdr:spPr bwMode="auto">
        <a:xfrm>
          <a:off x="2036940" y="4900060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274</xdr:row>
      <xdr:rowOff>167356</xdr:rowOff>
    </xdr:from>
    <xdr:to>
      <xdr:col>5</xdr:col>
      <xdr:colOff>4705</xdr:colOff>
      <xdr:row>276</xdr:row>
      <xdr:rowOff>171669</xdr:rowOff>
    </xdr:to>
    <xdr:sp macro="" textlink="">
      <xdr:nvSpPr>
        <xdr:cNvPr id="648" name="0/0">
          <a:extLst>
            <a:ext uri="{FF2B5EF4-FFF2-40B4-BE49-F238E27FC236}">
              <a16:creationId xmlns:a16="http://schemas.microsoft.com/office/drawing/2014/main" id="{6F7928D3-5190-44D4-90E8-6ADBD5077D68}"/>
            </a:ext>
          </a:extLst>
        </xdr:cNvPr>
        <xdr:cNvSpPr>
          <a:spLocks noChangeArrowheads="1"/>
        </xdr:cNvSpPr>
      </xdr:nvSpPr>
      <xdr:spPr bwMode="auto">
        <a:xfrm>
          <a:off x="1278898" y="4901790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274</xdr:row>
      <xdr:rowOff>165198</xdr:rowOff>
    </xdr:from>
    <xdr:to>
      <xdr:col>4</xdr:col>
      <xdr:colOff>200955</xdr:colOff>
      <xdr:row>275</xdr:row>
      <xdr:rowOff>76913</xdr:rowOff>
    </xdr:to>
    <xdr:sp macro="" textlink="">
      <xdr:nvSpPr>
        <xdr:cNvPr id="649" name="Freeform 10708">
          <a:extLst>
            <a:ext uri="{FF2B5EF4-FFF2-40B4-BE49-F238E27FC236}">
              <a16:creationId xmlns:a16="http://schemas.microsoft.com/office/drawing/2014/main" id="{645E15EF-CB6F-4F3D-9F61-19F5A29D04E5}"/>
            </a:ext>
          </a:extLst>
        </xdr:cNvPr>
        <xdr:cNvSpPr>
          <a:spLocks/>
        </xdr:cNvSpPr>
      </xdr:nvSpPr>
      <xdr:spPr bwMode="auto">
        <a:xfrm>
          <a:off x="708955" y="4901574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274</xdr:row>
      <xdr:rowOff>165199</xdr:rowOff>
    </xdr:from>
    <xdr:to>
      <xdr:col>8</xdr:col>
      <xdr:colOff>202575</xdr:colOff>
      <xdr:row>275</xdr:row>
      <xdr:rowOff>88820</xdr:rowOff>
    </xdr:to>
    <xdr:sp macro="" textlink="">
      <xdr:nvSpPr>
        <xdr:cNvPr id="650" name="Freeform 10708">
          <a:extLst>
            <a:ext uri="{FF2B5EF4-FFF2-40B4-BE49-F238E27FC236}">
              <a16:creationId xmlns:a16="http://schemas.microsoft.com/office/drawing/2014/main" id="{6C1B7F58-5BC9-4A60-BD68-430D33B72EF9}"/>
            </a:ext>
          </a:extLst>
        </xdr:cNvPr>
        <xdr:cNvSpPr>
          <a:spLocks/>
        </xdr:cNvSpPr>
      </xdr:nvSpPr>
      <xdr:spPr bwMode="auto">
        <a:xfrm>
          <a:off x="2238543" y="4901574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274</xdr:row>
      <xdr:rowOff>166730</xdr:rowOff>
    </xdr:from>
    <xdr:to>
      <xdr:col>3</xdr:col>
      <xdr:colOff>3314</xdr:colOff>
      <xdr:row>276</xdr:row>
      <xdr:rowOff>170487</xdr:rowOff>
    </xdr:to>
    <xdr:sp macro="" textlink="">
      <xdr:nvSpPr>
        <xdr:cNvPr id="651" name="0/0">
          <a:extLst>
            <a:ext uri="{FF2B5EF4-FFF2-40B4-BE49-F238E27FC236}">
              <a16:creationId xmlns:a16="http://schemas.microsoft.com/office/drawing/2014/main" id="{A7EAD97B-DFA6-4C78-96E1-068BA7F07F46}"/>
            </a:ext>
          </a:extLst>
        </xdr:cNvPr>
        <xdr:cNvSpPr>
          <a:spLocks noChangeArrowheads="1"/>
        </xdr:cNvSpPr>
      </xdr:nvSpPr>
      <xdr:spPr bwMode="auto">
        <a:xfrm>
          <a:off x="509158" y="4901728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274</xdr:row>
      <xdr:rowOff>165199</xdr:rowOff>
    </xdr:from>
    <xdr:to>
      <xdr:col>6</xdr:col>
      <xdr:colOff>203113</xdr:colOff>
      <xdr:row>275</xdr:row>
      <xdr:rowOff>76914</xdr:rowOff>
    </xdr:to>
    <xdr:sp macro="" textlink="">
      <xdr:nvSpPr>
        <xdr:cNvPr id="652" name="Freeform 10708">
          <a:extLst>
            <a:ext uri="{FF2B5EF4-FFF2-40B4-BE49-F238E27FC236}">
              <a16:creationId xmlns:a16="http://schemas.microsoft.com/office/drawing/2014/main" id="{38CFCEB2-E73F-459F-A603-B0445CD3FA3F}"/>
            </a:ext>
          </a:extLst>
        </xdr:cNvPr>
        <xdr:cNvSpPr>
          <a:spLocks/>
        </xdr:cNvSpPr>
      </xdr:nvSpPr>
      <xdr:spPr bwMode="auto">
        <a:xfrm>
          <a:off x="1479463" y="4901574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274</xdr:row>
      <xdr:rowOff>148037</xdr:rowOff>
    </xdr:from>
    <xdr:to>
      <xdr:col>11</xdr:col>
      <xdr:colOff>4382</xdr:colOff>
      <xdr:row>276</xdr:row>
      <xdr:rowOff>174708</xdr:rowOff>
    </xdr:to>
    <xdr:sp macro="" textlink="">
      <xdr:nvSpPr>
        <xdr:cNvPr id="653" name="3">
          <a:extLst>
            <a:ext uri="{FF2B5EF4-FFF2-40B4-BE49-F238E27FC236}">
              <a16:creationId xmlns:a16="http://schemas.microsoft.com/office/drawing/2014/main" id="{7C79052B-E0D6-4498-8BED-1979803C3E08}"/>
            </a:ext>
          </a:extLst>
        </xdr:cNvPr>
        <xdr:cNvSpPr>
          <a:spLocks noChangeArrowheads="1"/>
        </xdr:cNvSpPr>
      </xdr:nvSpPr>
      <xdr:spPr bwMode="auto">
        <a:xfrm>
          <a:off x="3582124" y="4899858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274</xdr:row>
      <xdr:rowOff>166999</xdr:rowOff>
    </xdr:from>
    <xdr:to>
      <xdr:col>9</xdr:col>
      <xdr:colOff>2364</xdr:colOff>
      <xdr:row>276</xdr:row>
      <xdr:rowOff>172437</xdr:rowOff>
    </xdr:to>
    <xdr:sp macro="" textlink="">
      <xdr:nvSpPr>
        <xdr:cNvPr id="654" name="0/0">
          <a:extLst>
            <a:ext uri="{FF2B5EF4-FFF2-40B4-BE49-F238E27FC236}">
              <a16:creationId xmlns:a16="http://schemas.microsoft.com/office/drawing/2014/main" id="{2C757537-3781-47A0-A78F-8C20CC280568}"/>
            </a:ext>
          </a:extLst>
        </xdr:cNvPr>
        <xdr:cNvSpPr>
          <a:spLocks noChangeArrowheads="1"/>
        </xdr:cNvSpPr>
      </xdr:nvSpPr>
      <xdr:spPr bwMode="auto">
        <a:xfrm>
          <a:off x="2823228" y="4901754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274</xdr:row>
      <xdr:rowOff>154217</xdr:rowOff>
    </xdr:from>
    <xdr:to>
      <xdr:col>12</xdr:col>
      <xdr:colOff>263087</xdr:colOff>
      <xdr:row>275</xdr:row>
      <xdr:rowOff>78963</xdr:rowOff>
    </xdr:to>
    <xdr:sp macro="" textlink="">
      <xdr:nvSpPr>
        <xdr:cNvPr id="655" name="Freeform 10708">
          <a:extLst>
            <a:ext uri="{FF2B5EF4-FFF2-40B4-BE49-F238E27FC236}">
              <a16:creationId xmlns:a16="http://schemas.microsoft.com/office/drawing/2014/main" id="{4400BF63-C03F-43E1-A94F-0150327F8101}"/>
            </a:ext>
          </a:extLst>
        </xdr:cNvPr>
        <xdr:cNvSpPr>
          <a:spLocks/>
        </xdr:cNvSpPr>
      </xdr:nvSpPr>
      <xdr:spPr bwMode="auto">
        <a:xfrm>
          <a:off x="3768244" y="4900476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274</xdr:row>
      <xdr:rowOff>154217</xdr:rowOff>
    </xdr:from>
    <xdr:to>
      <xdr:col>10</xdr:col>
      <xdr:colOff>196114</xdr:colOff>
      <xdr:row>275</xdr:row>
      <xdr:rowOff>67057</xdr:rowOff>
    </xdr:to>
    <xdr:sp macro="" textlink="">
      <xdr:nvSpPr>
        <xdr:cNvPr id="656" name="Freeform 10708">
          <a:extLst>
            <a:ext uri="{FF2B5EF4-FFF2-40B4-BE49-F238E27FC236}">
              <a16:creationId xmlns:a16="http://schemas.microsoft.com/office/drawing/2014/main" id="{F11E2388-ADCF-4561-9818-5DBDC8510AB7}"/>
            </a:ext>
          </a:extLst>
        </xdr:cNvPr>
        <xdr:cNvSpPr>
          <a:spLocks/>
        </xdr:cNvSpPr>
      </xdr:nvSpPr>
      <xdr:spPr bwMode="auto">
        <a:xfrm>
          <a:off x="3014363" y="4900476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274</xdr:row>
      <xdr:rowOff>150169</xdr:rowOff>
    </xdr:from>
    <xdr:to>
      <xdr:col>15</xdr:col>
      <xdr:colOff>6979</xdr:colOff>
      <xdr:row>276</xdr:row>
      <xdr:rowOff>174451</xdr:rowOff>
    </xdr:to>
    <xdr:sp macro="" textlink="">
      <xdr:nvSpPr>
        <xdr:cNvPr id="657" name="3">
          <a:extLst>
            <a:ext uri="{FF2B5EF4-FFF2-40B4-BE49-F238E27FC236}">
              <a16:creationId xmlns:a16="http://schemas.microsoft.com/office/drawing/2014/main" id="{B28233EB-D474-466B-A20B-06E1A9ACDFB3}"/>
            </a:ext>
          </a:extLst>
        </xdr:cNvPr>
        <xdr:cNvSpPr>
          <a:spLocks noChangeArrowheads="1"/>
        </xdr:cNvSpPr>
      </xdr:nvSpPr>
      <xdr:spPr bwMode="auto">
        <a:xfrm>
          <a:off x="5015271" y="49000719"/>
          <a:ext cx="408258" cy="392582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274</xdr:row>
      <xdr:rowOff>166570</xdr:rowOff>
    </xdr:from>
    <xdr:to>
      <xdr:col>13</xdr:col>
      <xdr:colOff>3582</xdr:colOff>
      <xdr:row>276</xdr:row>
      <xdr:rowOff>172008</xdr:rowOff>
    </xdr:to>
    <xdr:sp macro="" textlink="">
      <xdr:nvSpPr>
        <xdr:cNvPr id="658" name="0/0">
          <a:extLst>
            <a:ext uri="{FF2B5EF4-FFF2-40B4-BE49-F238E27FC236}">
              <a16:creationId xmlns:a16="http://schemas.microsoft.com/office/drawing/2014/main" id="{1EED2F96-0162-450E-B3BB-689AF1E426E5}"/>
            </a:ext>
          </a:extLst>
        </xdr:cNvPr>
        <xdr:cNvSpPr>
          <a:spLocks noChangeArrowheads="1"/>
        </xdr:cNvSpPr>
      </xdr:nvSpPr>
      <xdr:spPr bwMode="auto">
        <a:xfrm>
          <a:off x="4334750" y="49017120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274</xdr:row>
      <xdr:rowOff>165199</xdr:rowOff>
    </xdr:from>
    <xdr:to>
      <xdr:col>18</xdr:col>
      <xdr:colOff>188991</xdr:colOff>
      <xdr:row>275</xdr:row>
      <xdr:rowOff>81317</xdr:rowOff>
    </xdr:to>
    <xdr:sp macro="" textlink="">
      <xdr:nvSpPr>
        <xdr:cNvPr id="659" name="Freeform 10708">
          <a:extLst>
            <a:ext uri="{FF2B5EF4-FFF2-40B4-BE49-F238E27FC236}">
              <a16:creationId xmlns:a16="http://schemas.microsoft.com/office/drawing/2014/main" id="{84E158ED-B974-40A0-B9FB-BED423FCC0F3}"/>
            </a:ext>
          </a:extLst>
        </xdr:cNvPr>
        <xdr:cNvSpPr>
          <a:spLocks/>
        </xdr:cNvSpPr>
      </xdr:nvSpPr>
      <xdr:spPr bwMode="auto">
        <a:xfrm>
          <a:off x="5188268" y="4901574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274</xdr:row>
      <xdr:rowOff>156571</xdr:rowOff>
    </xdr:from>
    <xdr:to>
      <xdr:col>14</xdr:col>
      <xdr:colOff>193738</xdr:colOff>
      <xdr:row>275</xdr:row>
      <xdr:rowOff>69411</xdr:rowOff>
    </xdr:to>
    <xdr:sp macro="" textlink="">
      <xdr:nvSpPr>
        <xdr:cNvPr id="660" name="Freeform 10708">
          <a:extLst>
            <a:ext uri="{FF2B5EF4-FFF2-40B4-BE49-F238E27FC236}">
              <a16:creationId xmlns:a16="http://schemas.microsoft.com/office/drawing/2014/main" id="{64AD6010-8D3E-44C9-ACD7-E46000A45B26}"/>
            </a:ext>
          </a:extLst>
        </xdr:cNvPr>
        <xdr:cNvSpPr>
          <a:spLocks/>
        </xdr:cNvSpPr>
      </xdr:nvSpPr>
      <xdr:spPr bwMode="auto">
        <a:xfrm>
          <a:off x="4531940" y="4900712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274</xdr:row>
      <xdr:rowOff>166920</xdr:rowOff>
    </xdr:from>
    <xdr:to>
      <xdr:col>21</xdr:col>
      <xdr:colOff>257</xdr:colOff>
      <xdr:row>277</xdr:row>
      <xdr:rowOff>3810</xdr:rowOff>
    </xdr:to>
    <xdr:sp macro="" textlink="">
      <xdr:nvSpPr>
        <xdr:cNvPr id="661" name="3">
          <a:extLst>
            <a:ext uri="{FF2B5EF4-FFF2-40B4-BE49-F238E27FC236}">
              <a16:creationId xmlns:a16="http://schemas.microsoft.com/office/drawing/2014/main" id="{7597EF40-A5B3-410C-919A-79E01A4A3772}"/>
            </a:ext>
          </a:extLst>
        </xdr:cNvPr>
        <xdr:cNvSpPr>
          <a:spLocks noChangeArrowheads="1"/>
        </xdr:cNvSpPr>
      </xdr:nvSpPr>
      <xdr:spPr bwMode="auto">
        <a:xfrm>
          <a:off x="7381572" y="4901747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274</xdr:row>
      <xdr:rowOff>167845</xdr:rowOff>
    </xdr:from>
    <xdr:to>
      <xdr:col>19</xdr:col>
      <xdr:colOff>3818</xdr:colOff>
      <xdr:row>276</xdr:row>
      <xdr:rowOff>173283</xdr:rowOff>
    </xdr:to>
    <xdr:sp macro="" textlink="">
      <xdr:nvSpPr>
        <xdr:cNvPr id="662" name="0/0">
          <a:extLst>
            <a:ext uri="{FF2B5EF4-FFF2-40B4-BE49-F238E27FC236}">
              <a16:creationId xmlns:a16="http://schemas.microsoft.com/office/drawing/2014/main" id="{36FBF8AB-7A6E-4CA1-885E-542380BD6FBA}"/>
            </a:ext>
          </a:extLst>
        </xdr:cNvPr>
        <xdr:cNvSpPr>
          <a:spLocks noChangeArrowheads="1"/>
        </xdr:cNvSpPr>
      </xdr:nvSpPr>
      <xdr:spPr bwMode="auto">
        <a:xfrm>
          <a:off x="6578909" y="49018395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274</xdr:row>
      <xdr:rowOff>162138</xdr:rowOff>
    </xdr:from>
    <xdr:to>
      <xdr:col>22</xdr:col>
      <xdr:colOff>191774</xdr:colOff>
      <xdr:row>275</xdr:row>
      <xdr:rowOff>79808</xdr:rowOff>
    </xdr:to>
    <xdr:sp macro="" textlink="">
      <xdr:nvSpPr>
        <xdr:cNvPr id="663" name="Freeform 10708">
          <a:extLst>
            <a:ext uri="{FF2B5EF4-FFF2-40B4-BE49-F238E27FC236}">
              <a16:creationId xmlns:a16="http://schemas.microsoft.com/office/drawing/2014/main" id="{011A3459-E415-413B-8FD1-AA01B4818522}"/>
            </a:ext>
          </a:extLst>
        </xdr:cNvPr>
        <xdr:cNvSpPr>
          <a:spLocks/>
        </xdr:cNvSpPr>
      </xdr:nvSpPr>
      <xdr:spPr bwMode="auto">
        <a:xfrm>
          <a:off x="7578066" y="4901268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274</xdr:row>
      <xdr:rowOff>166471</xdr:rowOff>
    </xdr:from>
    <xdr:to>
      <xdr:col>20</xdr:col>
      <xdr:colOff>197505</xdr:colOff>
      <xdr:row>275</xdr:row>
      <xdr:rowOff>79033</xdr:rowOff>
    </xdr:to>
    <xdr:sp macro="" textlink="">
      <xdr:nvSpPr>
        <xdr:cNvPr id="664" name="Freeform 10708">
          <a:extLst>
            <a:ext uri="{FF2B5EF4-FFF2-40B4-BE49-F238E27FC236}">
              <a16:creationId xmlns:a16="http://schemas.microsoft.com/office/drawing/2014/main" id="{9E6FA209-46F9-4624-9295-86595240478E}"/>
            </a:ext>
          </a:extLst>
        </xdr:cNvPr>
        <xdr:cNvSpPr>
          <a:spLocks/>
        </xdr:cNvSpPr>
      </xdr:nvSpPr>
      <xdr:spPr bwMode="auto">
        <a:xfrm>
          <a:off x="6820556" y="4901702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274</xdr:row>
      <xdr:rowOff>151445</xdr:rowOff>
    </xdr:from>
    <xdr:to>
      <xdr:col>25</xdr:col>
      <xdr:colOff>7044</xdr:colOff>
      <xdr:row>276</xdr:row>
      <xdr:rowOff>178116</xdr:rowOff>
    </xdr:to>
    <xdr:sp macro="" textlink="">
      <xdr:nvSpPr>
        <xdr:cNvPr id="665" name="3">
          <a:extLst>
            <a:ext uri="{FF2B5EF4-FFF2-40B4-BE49-F238E27FC236}">
              <a16:creationId xmlns:a16="http://schemas.microsoft.com/office/drawing/2014/main" id="{A6C9CDB1-9DAF-42E1-B513-519A641F65EC}"/>
            </a:ext>
          </a:extLst>
        </xdr:cNvPr>
        <xdr:cNvSpPr>
          <a:spLocks noChangeArrowheads="1"/>
        </xdr:cNvSpPr>
      </xdr:nvSpPr>
      <xdr:spPr bwMode="auto">
        <a:xfrm>
          <a:off x="8922785" y="4900199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274</xdr:row>
      <xdr:rowOff>170629</xdr:rowOff>
    </xdr:from>
    <xdr:to>
      <xdr:col>23</xdr:col>
      <xdr:colOff>3815</xdr:colOff>
      <xdr:row>276</xdr:row>
      <xdr:rowOff>176067</xdr:rowOff>
    </xdr:to>
    <xdr:sp macro="" textlink="">
      <xdr:nvSpPr>
        <xdr:cNvPr id="666" name="0/0">
          <a:extLst>
            <a:ext uri="{FF2B5EF4-FFF2-40B4-BE49-F238E27FC236}">
              <a16:creationId xmlns:a16="http://schemas.microsoft.com/office/drawing/2014/main" id="{6445FACD-FEEF-41D0-80CC-216A2A2727B5}"/>
            </a:ext>
          </a:extLst>
        </xdr:cNvPr>
        <xdr:cNvSpPr>
          <a:spLocks noChangeArrowheads="1"/>
        </xdr:cNvSpPr>
      </xdr:nvSpPr>
      <xdr:spPr bwMode="auto">
        <a:xfrm>
          <a:off x="8169742" y="4902117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274</xdr:row>
      <xdr:rowOff>156572</xdr:rowOff>
    </xdr:from>
    <xdr:to>
      <xdr:col>26</xdr:col>
      <xdr:colOff>194557</xdr:colOff>
      <xdr:row>275</xdr:row>
      <xdr:rowOff>71461</xdr:rowOff>
    </xdr:to>
    <xdr:sp macro="" textlink="">
      <xdr:nvSpPr>
        <xdr:cNvPr id="667" name="Freeform 10708">
          <a:extLst>
            <a:ext uri="{FF2B5EF4-FFF2-40B4-BE49-F238E27FC236}">
              <a16:creationId xmlns:a16="http://schemas.microsoft.com/office/drawing/2014/main" id="{3087B650-A1E1-499D-ABD8-1F4578FAA9BA}"/>
            </a:ext>
          </a:extLst>
        </xdr:cNvPr>
        <xdr:cNvSpPr>
          <a:spLocks/>
        </xdr:cNvSpPr>
      </xdr:nvSpPr>
      <xdr:spPr bwMode="auto">
        <a:xfrm>
          <a:off x="9135144" y="490071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274</xdr:row>
      <xdr:rowOff>153790</xdr:rowOff>
    </xdr:from>
    <xdr:to>
      <xdr:col>24</xdr:col>
      <xdr:colOff>180643</xdr:colOff>
      <xdr:row>275</xdr:row>
      <xdr:rowOff>76252</xdr:rowOff>
    </xdr:to>
    <xdr:sp macro="" textlink="">
      <xdr:nvSpPr>
        <xdr:cNvPr id="668" name="Freeform 10708">
          <a:extLst>
            <a:ext uri="{FF2B5EF4-FFF2-40B4-BE49-F238E27FC236}">
              <a16:creationId xmlns:a16="http://schemas.microsoft.com/office/drawing/2014/main" id="{85C90FEB-8E4F-4C93-BD2B-A9ADE276BEE3}"/>
            </a:ext>
          </a:extLst>
        </xdr:cNvPr>
        <xdr:cNvSpPr>
          <a:spLocks/>
        </xdr:cNvSpPr>
      </xdr:nvSpPr>
      <xdr:spPr bwMode="auto">
        <a:xfrm>
          <a:off x="8366933" y="4900434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706</xdr:colOff>
      <xdr:row>274</xdr:row>
      <xdr:rowOff>168222</xdr:rowOff>
    </xdr:from>
    <xdr:to>
      <xdr:col>27</xdr:col>
      <xdr:colOff>3614</xdr:colOff>
      <xdr:row>276</xdr:row>
      <xdr:rowOff>173938</xdr:rowOff>
    </xdr:to>
    <xdr:sp macro="" textlink="">
      <xdr:nvSpPr>
        <xdr:cNvPr id="669" name="0/0">
          <a:extLst>
            <a:ext uri="{FF2B5EF4-FFF2-40B4-BE49-F238E27FC236}">
              <a16:creationId xmlns:a16="http://schemas.microsoft.com/office/drawing/2014/main" id="{F149AD89-1905-4E6B-ADED-F7BBC64B8CD4}"/>
            </a:ext>
          </a:extLst>
        </xdr:cNvPr>
        <xdr:cNvSpPr>
          <a:spLocks noChangeArrowheads="1"/>
        </xdr:cNvSpPr>
      </xdr:nvSpPr>
      <xdr:spPr bwMode="auto">
        <a:xfrm>
          <a:off x="9760656" y="490187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198490</xdr:colOff>
      <xdr:row>274</xdr:row>
      <xdr:rowOff>156573</xdr:rowOff>
    </xdr:from>
    <xdr:to>
      <xdr:col>28</xdr:col>
      <xdr:colOff>197339</xdr:colOff>
      <xdr:row>275</xdr:row>
      <xdr:rowOff>61931</xdr:rowOff>
    </xdr:to>
    <xdr:sp macro="" textlink="">
      <xdr:nvSpPr>
        <xdr:cNvPr id="670" name="Freeform 10708">
          <a:extLst>
            <a:ext uri="{FF2B5EF4-FFF2-40B4-BE49-F238E27FC236}">
              <a16:creationId xmlns:a16="http://schemas.microsoft.com/office/drawing/2014/main" id="{88DC705D-D388-46DE-AFD7-2E3628D3EB25}"/>
            </a:ext>
          </a:extLst>
        </xdr:cNvPr>
        <xdr:cNvSpPr>
          <a:spLocks/>
        </xdr:cNvSpPr>
      </xdr:nvSpPr>
      <xdr:spPr bwMode="auto">
        <a:xfrm>
          <a:off x="9958440" y="4900712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274</xdr:row>
      <xdr:rowOff>146584</xdr:rowOff>
    </xdr:from>
    <xdr:to>
      <xdr:col>2</xdr:col>
      <xdr:colOff>170281</xdr:colOff>
      <xdr:row>275</xdr:row>
      <xdr:rowOff>70205</xdr:rowOff>
    </xdr:to>
    <xdr:sp macro="" textlink="">
      <xdr:nvSpPr>
        <xdr:cNvPr id="671" name="Freeform 10708">
          <a:extLst>
            <a:ext uri="{FF2B5EF4-FFF2-40B4-BE49-F238E27FC236}">
              <a16:creationId xmlns:a16="http://schemas.microsoft.com/office/drawing/2014/main" id="{AA087FC2-BE2F-4D08-9E44-FF94CF0269B5}"/>
            </a:ext>
          </a:extLst>
        </xdr:cNvPr>
        <xdr:cNvSpPr>
          <a:spLocks/>
        </xdr:cNvSpPr>
      </xdr:nvSpPr>
      <xdr:spPr bwMode="auto">
        <a:xfrm>
          <a:off x="0" y="4899713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706</xdr:colOff>
      <xdr:row>274</xdr:row>
      <xdr:rowOff>168222</xdr:rowOff>
    </xdr:from>
    <xdr:to>
      <xdr:col>29</xdr:col>
      <xdr:colOff>3614</xdr:colOff>
      <xdr:row>276</xdr:row>
      <xdr:rowOff>173938</xdr:rowOff>
    </xdr:to>
    <xdr:sp macro="" textlink="">
      <xdr:nvSpPr>
        <xdr:cNvPr id="672" name="0/0">
          <a:extLst>
            <a:ext uri="{FF2B5EF4-FFF2-40B4-BE49-F238E27FC236}">
              <a16:creationId xmlns:a16="http://schemas.microsoft.com/office/drawing/2014/main" id="{EE8636B4-FF77-47E8-BB43-CFF0E2E22A01}"/>
            </a:ext>
          </a:extLst>
        </xdr:cNvPr>
        <xdr:cNvSpPr>
          <a:spLocks noChangeArrowheads="1"/>
        </xdr:cNvSpPr>
      </xdr:nvSpPr>
      <xdr:spPr bwMode="auto">
        <a:xfrm>
          <a:off x="10567106" y="490187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706</xdr:colOff>
      <xdr:row>274</xdr:row>
      <xdr:rowOff>168222</xdr:rowOff>
    </xdr:from>
    <xdr:to>
      <xdr:col>31</xdr:col>
      <xdr:colOff>3614</xdr:colOff>
      <xdr:row>276</xdr:row>
      <xdr:rowOff>173938</xdr:rowOff>
    </xdr:to>
    <xdr:sp macro="" textlink="">
      <xdr:nvSpPr>
        <xdr:cNvPr id="673" name="0/0">
          <a:extLst>
            <a:ext uri="{FF2B5EF4-FFF2-40B4-BE49-F238E27FC236}">
              <a16:creationId xmlns:a16="http://schemas.microsoft.com/office/drawing/2014/main" id="{D7D8DDF0-DF89-438F-AFD9-5C57D6440EAE}"/>
            </a:ext>
          </a:extLst>
        </xdr:cNvPr>
        <xdr:cNvSpPr>
          <a:spLocks noChangeArrowheads="1"/>
        </xdr:cNvSpPr>
      </xdr:nvSpPr>
      <xdr:spPr bwMode="auto">
        <a:xfrm>
          <a:off x="11329106" y="49018772"/>
          <a:ext cx="40930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212912</xdr:colOff>
      <xdr:row>274</xdr:row>
      <xdr:rowOff>179294</xdr:rowOff>
    </xdr:from>
    <xdr:to>
      <xdr:col>30</xdr:col>
      <xdr:colOff>245379</xdr:colOff>
      <xdr:row>275</xdr:row>
      <xdr:rowOff>84652</xdr:rowOff>
    </xdr:to>
    <xdr:sp macro="" textlink="">
      <xdr:nvSpPr>
        <xdr:cNvPr id="674" name="Freeform 10708">
          <a:extLst>
            <a:ext uri="{FF2B5EF4-FFF2-40B4-BE49-F238E27FC236}">
              <a16:creationId xmlns:a16="http://schemas.microsoft.com/office/drawing/2014/main" id="{12D372EA-6D65-49EE-A1C0-A568ABF51F9C}"/>
            </a:ext>
          </a:extLst>
        </xdr:cNvPr>
        <xdr:cNvSpPr>
          <a:spLocks/>
        </xdr:cNvSpPr>
      </xdr:nvSpPr>
      <xdr:spPr bwMode="auto">
        <a:xfrm>
          <a:off x="10779312" y="4902984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200955</xdr:colOff>
      <xdr:row>242</xdr:row>
      <xdr:rowOff>165198</xdr:rowOff>
    </xdr:from>
    <xdr:to>
      <xdr:col>4</xdr:col>
      <xdr:colOff>200955</xdr:colOff>
      <xdr:row>243</xdr:row>
      <xdr:rowOff>76913</xdr:rowOff>
    </xdr:to>
    <xdr:sp macro="" textlink="">
      <xdr:nvSpPr>
        <xdr:cNvPr id="675" name="Freeform 10708">
          <a:extLst>
            <a:ext uri="{FF2B5EF4-FFF2-40B4-BE49-F238E27FC236}">
              <a16:creationId xmlns:a16="http://schemas.microsoft.com/office/drawing/2014/main" id="{8BA9AA9B-6C06-409B-BE99-768ED011FB7A}"/>
            </a:ext>
          </a:extLst>
        </xdr:cNvPr>
        <xdr:cNvSpPr>
          <a:spLocks/>
        </xdr:cNvSpPr>
      </xdr:nvSpPr>
      <xdr:spPr bwMode="auto">
        <a:xfrm>
          <a:off x="708955" y="4349759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242</xdr:row>
      <xdr:rowOff>156571</xdr:rowOff>
    </xdr:from>
    <xdr:to>
      <xdr:col>14</xdr:col>
      <xdr:colOff>193738</xdr:colOff>
      <xdr:row>243</xdr:row>
      <xdr:rowOff>69411</xdr:rowOff>
    </xdr:to>
    <xdr:sp macro="" textlink="">
      <xdr:nvSpPr>
        <xdr:cNvPr id="676" name="Freeform 10708">
          <a:extLst>
            <a:ext uri="{FF2B5EF4-FFF2-40B4-BE49-F238E27FC236}">
              <a16:creationId xmlns:a16="http://schemas.microsoft.com/office/drawing/2014/main" id="{EDD42A77-B171-408C-ACED-60843FF04F09}"/>
            </a:ext>
          </a:extLst>
        </xdr:cNvPr>
        <xdr:cNvSpPr>
          <a:spLocks/>
        </xdr:cNvSpPr>
      </xdr:nvSpPr>
      <xdr:spPr bwMode="auto">
        <a:xfrm>
          <a:off x="4531940" y="4348897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181644</xdr:colOff>
      <xdr:row>242</xdr:row>
      <xdr:rowOff>156572</xdr:rowOff>
    </xdr:from>
    <xdr:to>
      <xdr:col>26</xdr:col>
      <xdr:colOff>194557</xdr:colOff>
      <xdr:row>243</xdr:row>
      <xdr:rowOff>71461</xdr:rowOff>
    </xdr:to>
    <xdr:sp macro="" textlink="">
      <xdr:nvSpPr>
        <xdr:cNvPr id="677" name="Freeform 10708">
          <a:extLst>
            <a:ext uri="{FF2B5EF4-FFF2-40B4-BE49-F238E27FC236}">
              <a16:creationId xmlns:a16="http://schemas.microsoft.com/office/drawing/2014/main" id="{929A6F24-C2E7-45F8-8903-AE3A6E6C3D78}"/>
            </a:ext>
          </a:extLst>
        </xdr:cNvPr>
        <xdr:cNvSpPr>
          <a:spLocks/>
        </xdr:cNvSpPr>
      </xdr:nvSpPr>
      <xdr:spPr bwMode="auto">
        <a:xfrm>
          <a:off x="9135144" y="4348897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232</xdr:row>
      <xdr:rowOff>166471</xdr:rowOff>
    </xdr:from>
    <xdr:to>
      <xdr:col>20</xdr:col>
      <xdr:colOff>197505</xdr:colOff>
      <xdr:row>233</xdr:row>
      <xdr:rowOff>79033</xdr:rowOff>
    </xdr:to>
    <xdr:sp macro="" textlink="">
      <xdr:nvSpPr>
        <xdr:cNvPr id="678" name="Freeform 10708">
          <a:extLst>
            <a:ext uri="{FF2B5EF4-FFF2-40B4-BE49-F238E27FC236}">
              <a16:creationId xmlns:a16="http://schemas.microsoft.com/office/drawing/2014/main" id="{AEF95A54-A44B-4A83-BF15-7BDE48003508}"/>
            </a:ext>
          </a:extLst>
        </xdr:cNvPr>
        <xdr:cNvSpPr>
          <a:spLocks/>
        </xdr:cNvSpPr>
      </xdr:nvSpPr>
      <xdr:spPr bwMode="auto">
        <a:xfrm>
          <a:off x="6820556" y="417462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222</xdr:row>
      <xdr:rowOff>165199</xdr:rowOff>
    </xdr:from>
    <xdr:to>
      <xdr:col>6</xdr:col>
      <xdr:colOff>203113</xdr:colOff>
      <xdr:row>223</xdr:row>
      <xdr:rowOff>76914</xdr:rowOff>
    </xdr:to>
    <xdr:sp macro="" textlink="">
      <xdr:nvSpPr>
        <xdr:cNvPr id="679" name="Freeform 10708">
          <a:extLst>
            <a:ext uri="{FF2B5EF4-FFF2-40B4-BE49-F238E27FC236}">
              <a16:creationId xmlns:a16="http://schemas.microsoft.com/office/drawing/2014/main" id="{A65A18D8-0063-4263-B5D7-577B93ABEF1F}"/>
            </a:ext>
          </a:extLst>
        </xdr:cNvPr>
        <xdr:cNvSpPr>
          <a:spLocks/>
        </xdr:cNvSpPr>
      </xdr:nvSpPr>
      <xdr:spPr bwMode="auto">
        <a:xfrm>
          <a:off x="1479463" y="399796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222</xdr:row>
      <xdr:rowOff>154217</xdr:rowOff>
    </xdr:from>
    <xdr:to>
      <xdr:col>10</xdr:col>
      <xdr:colOff>196114</xdr:colOff>
      <xdr:row>223</xdr:row>
      <xdr:rowOff>67057</xdr:rowOff>
    </xdr:to>
    <xdr:sp macro="" textlink="">
      <xdr:nvSpPr>
        <xdr:cNvPr id="680" name="Freeform 10708">
          <a:extLst>
            <a:ext uri="{FF2B5EF4-FFF2-40B4-BE49-F238E27FC236}">
              <a16:creationId xmlns:a16="http://schemas.microsoft.com/office/drawing/2014/main" id="{4E159B6F-A99D-4E87-8616-0D017ED1910A}"/>
            </a:ext>
          </a:extLst>
        </xdr:cNvPr>
        <xdr:cNvSpPr>
          <a:spLocks/>
        </xdr:cNvSpPr>
      </xdr:nvSpPr>
      <xdr:spPr bwMode="auto">
        <a:xfrm>
          <a:off x="3014363" y="3996871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222</xdr:row>
      <xdr:rowOff>166471</xdr:rowOff>
    </xdr:from>
    <xdr:to>
      <xdr:col>20</xdr:col>
      <xdr:colOff>197505</xdr:colOff>
      <xdr:row>223</xdr:row>
      <xdr:rowOff>79033</xdr:rowOff>
    </xdr:to>
    <xdr:sp macro="" textlink="">
      <xdr:nvSpPr>
        <xdr:cNvPr id="681" name="Freeform 10708">
          <a:extLst>
            <a:ext uri="{FF2B5EF4-FFF2-40B4-BE49-F238E27FC236}">
              <a16:creationId xmlns:a16="http://schemas.microsoft.com/office/drawing/2014/main" id="{E4E7EBCC-18A4-4C4F-B497-E8AFE65387EC}"/>
            </a:ext>
          </a:extLst>
        </xdr:cNvPr>
        <xdr:cNvSpPr>
          <a:spLocks/>
        </xdr:cNvSpPr>
      </xdr:nvSpPr>
      <xdr:spPr bwMode="auto">
        <a:xfrm>
          <a:off x="6820556" y="399809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181644</xdr:colOff>
      <xdr:row>222</xdr:row>
      <xdr:rowOff>156572</xdr:rowOff>
    </xdr:from>
    <xdr:to>
      <xdr:col>26</xdr:col>
      <xdr:colOff>194557</xdr:colOff>
      <xdr:row>223</xdr:row>
      <xdr:rowOff>71461</xdr:rowOff>
    </xdr:to>
    <xdr:sp macro="" textlink="">
      <xdr:nvSpPr>
        <xdr:cNvPr id="682" name="Freeform 10708">
          <a:extLst>
            <a:ext uri="{FF2B5EF4-FFF2-40B4-BE49-F238E27FC236}">
              <a16:creationId xmlns:a16="http://schemas.microsoft.com/office/drawing/2014/main" id="{1F401777-12C1-4DF3-83E3-5686113CD9C6}"/>
            </a:ext>
          </a:extLst>
        </xdr:cNvPr>
        <xdr:cNvSpPr>
          <a:spLocks/>
        </xdr:cNvSpPr>
      </xdr:nvSpPr>
      <xdr:spPr bwMode="auto">
        <a:xfrm>
          <a:off x="9135144" y="3997107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222</xdr:row>
      <xdr:rowOff>153790</xdr:rowOff>
    </xdr:from>
    <xdr:to>
      <xdr:col>24</xdr:col>
      <xdr:colOff>180643</xdr:colOff>
      <xdr:row>223</xdr:row>
      <xdr:rowOff>76252</xdr:rowOff>
    </xdr:to>
    <xdr:sp macro="" textlink="">
      <xdr:nvSpPr>
        <xdr:cNvPr id="683" name="Freeform 10708">
          <a:extLst>
            <a:ext uri="{FF2B5EF4-FFF2-40B4-BE49-F238E27FC236}">
              <a16:creationId xmlns:a16="http://schemas.microsoft.com/office/drawing/2014/main" id="{B4C006C5-242E-4047-88C5-4D00671DFB20}"/>
            </a:ext>
          </a:extLst>
        </xdr:cNvPr>
        <xdr:cNvSpPr>
          <a:spLocks/>
        </xdr:cNvSpPr>
      </xdr:nvSpPr>
      <xdr:spPr bwMode="auto">
        <a:xfrm>
          <a:off x="8366933" y="3996829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222</xdr:row>
      <xdr:rowOff>156573</xdr:rowOff>
    </xdr:from>
    <xdr:to>
      <xdr:col>28</xdr:col>
      <xdr:colOff>197339</xdr:colOff>
      <xdr:row>223</xdr:row>
      <xdr:rowOff>61931</xdr:rowOff>
    </xdr:to>
    <xdr:sp macro="" textlink="">
      <xdr:nvSpPr>
        <xdr:cNvPr id="684" name="Freeform 10708">
          <a:extLst>
            <a:ext uri="{FF2B5EF4-FFF2-40B4-BE49-F238E27FC236}">
              <a16:creationId xmlns:a16="http://schemas.microsoft.com/office/drawing/2014/main" id="{E35DB6E7-14C8-420F-B51B-2EFDC0251BFA}"/>
            </a:ext>
          </a:extLst>
        </xdr:cNvPr>
        <xdr:cNvSpPr>
          <a:spLocks/>
        </xdr:cNvSpPr>
      </xdr:nvSpPr>
      <xdr:spPr bwMode="auto">
        <a:xfrm>
          <a:off x="9958440" y="3997107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211</xdr:row>
      <xdr:rowOff>165199</xdr:rowOff>
    </xdr:from>
    <xdr:to>
      <xdr:col>6</xdr:col>
      <xdr:colOff>203113</xdr:colOff>
      <xdr:row>212</xdr:row>
      <xdr:rowOff>76914</xdr:rowOff>
    </xdr:to>
    <xdr:sp macro="" textlink="">
      <xdr:nvSpPr>
        <xdr:cNvPr id="685" name="Freeform 10708">
          <a:extLst>
            <a:ext uri="{FF2B5EF4-FFF2-40B4-BE49-F238E27FC236}">
              <a16:creationId xmlns:a16="http://schemas.microsoft.com/office/drawing/2014/main" id="{81F2F329-9180-48AF-A382-A652AAD09A25}"/>
            </a:ext>
          </a:extLst>
        </xdr:cNvPr>
        <xdr:cNvSpPr>
          <a:spLocks/>
        </xdr:cNvSpPr>
      </xdr:nvSpPr>
      <xdr:spPr bwMode="auto">
        <a:xfrm>
          <a:off x="1479463" y="381000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211</xdr:row>
      <xdr:rowOff>166471</xdr:rowOff>
    </xdr:from>
    <xdr:to>
      <xdr:col>20</xdr:col>
      <xdr:colOff>197505</xdr:colOff>
      <xdr:row>212</xdr:row>
      <xdr:rowOff>79033</xdr:rowOff>
    </xdr:to>
    <xdr:sp macro="" textlink="">
      <xdr:nvSpPr>
        <xdr:cNvPr id="686" name="Freeform 10708">
          <a:extLst>
            <a:ext uri="{FF2B5EF4-FFF2-40B4-BE49-F238E27FC236}">
              <a16:creationId xmlns:a16="http://schemas.microsoft.com/office/drawing/2014/main" id="{7872247C-C3C8-4003-BFE9-027FAAA27E12}"/>
            </a:ext>
          </a:extLst>
        </xdr:cNvPr>
        <xdr:cNvSpPr>
          <a:spLocks/>
        </xdr:cNvSpPr>
      </xdr:nvSpPr>
      <xdr:spPr bwMode="auto">
        <a:xfrm>
          <a:off x="6820556" y="381013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211</xdr:row>
      <xdr:rowOff>156573</xdr:rowOff>
    </xdr:from>
    <xdr:to>
      <xdr:col>28</xdr:col>
      <xdr:colOff>197339</xdr:colOff>
      <xdr:row>212</xdr:row>
      <xdr:rowOff>61931</xdr:rowOff>
    </xdr:to>
    <xdr:sp macro="" textlink="">
      <xdr:nvSpPr>
        <xdr:cNvPr id="687" name="Freeform 10708">
          <a:extLst>
            <a:ext uri="{FF2B5EF4-FFF2-40B4-BE49-F238E27FC236}">
              <a16:creationId xmlns:a16="http://schemas.microsoft.com/office/drawing/2014/main" id="{E1A67756-468E-490E-81C0-24B176AE2A4C}"/>
            </a:ext>
          </a:extLst>
        </xdr:cNvPr>
        <xdr:cNvSpPr>
          <a:spLocks/>
        </xdr:cNvSpPr>
      </xdr:nvSpPr>
      <xdr:spPr bwMode="auto">
        <a:xfrm>
          <a:off x="9958440" y="3809147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205934</xdr:colOff>
      <xdr:row>211</xdr:row>
      <xdr:rowOff>158360</xdr:rowOff>
    </xdr:from>
    <xdr:to>
      <xdr:col>30</xdr:col>
      <xdr:colOff>238401</xdr:colOff>
      <xdr:row>212</xdr:row>
      <xdr:rowOff>63718</xdr:rowOff>
    </xdr:to>
    <xdr:sp macro="" textlink="">
      <xdr:nvSpPr>
        <xdr:cNvPr id="688" name="Freeform 10708">
          <a:extLst>
            <a:ext uri="{FF2B5EF4-FFF2-40B4-BE49-F238E27FC236}">
              <a16:creationId xmlns:a16="http://schemas.microsoft.com/office/drawing/2014/main" id="{B518EA9D-1FC1-46EF-B1CE-5FDFE8A1BBA7}"/>
            </a:ext>
          </a:extLst>
        </xdr:cNvPr>
        <xdr:cNvSpPr>
          <a:spLocks/>
        </xdr:cNvSpPr>
      </xdr:nvSpPr>
      <xdr:spPr bwMode="auto">
        <a:xfrm>
          <a:off x="10772334" y="38093260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189</xdr:row>
      <xdr:rowOff>165199</xdr:rowOff>
    </xdr:from>
    <xdr:to>
      <xdr:col>8</xdr:col>
      <xdr:colOff>202575</xdr:colOff>
      <xdr:row>190</xdr:row>
      <xdr:rowOff>88820</xdr:rowOff>
    </xdr:to>
    <xdr:sp macro="" textlink="">
      <xdr:nvSpPr>
        <xdr:cNvPr id="689" name="Freeform 10708">
          <a:extLst>
            <a:ext uri="{FF2B5EF4-FFF2-40B4-BE49-F238E27FC236}">
              <a16:creationId xmlns:a16="http://schemas.microsoft.com/office/drawing/2014/main" id="{F352F64E-1814-422F-A17F-6E7AFA29F199}"/>
            </a:ext>
          </a:extLst>
        </xdr:cNvPr>
        <xdr:cNvSpPr>
          <a:spLocks/>
        </xdr:cNvSpPr>
      </xdr:nvSpPr>
      <xdr:spPr bwMode="auto">
        <a:xfrm>
          <a:off x="2238543" y="3420119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189</xdr:row>
      <xdr:rowOff>165199</xdr:rowOff>
    </xdr:from>
    <xdr:to>
      <xdr:col>6</xdr:col>
      <xdr:colOff>203113</xdr:colOff>
      <xdr:row>190</xdr:row>
      <xdr:rowOff>76914</xdr:rowOff>
    </xdr:to>
    <xdr:sp macro="" textlink="">
      <xdr:nvSpPr>
        <xdr:cNvPr id="690" name="Freeform 10708">
          <a:extLst>
            <a:ext uri="{FF2B5EF4-FFF2-40B4-BE49-F238E27FC236}">
              <a16:creationId xmlns:a16="http://schemas.microsoft.com/office/drawing/2014/main" id="{B31C2BD5-0421-46F4-8AF7-EEEB19A7A861}"/>
            </a:ext>
          </a:extLst>
        </xdr:cNvPr>
        <xdr:cNvSpPr>
          <a:spLocks/>
        </xdr:cNvSpPr>
      </xdr:nvSpPr>
      <xdr:spPr bwMode="auto">
        <a:xfrm>
          <a:off x="1479463" y="342011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174144</xdr:colOff>
      <xdr:row>189</xdr:row>
      <xdr:rowOff>154217</xdr:rowOff>
    </xdr:from>
    <xdr:to>
      <xdr:col>12</xdr:col>
      <xdr:colOff>263087</xdr:colOff>
      <xdr:row>190</xdr:row>
      <xdr:rowOff>78963</xdr:rowOff>
    </xdr:to>
    <xdr:sp macro="" textlink="">
      <xdr:nvSpPr>
        <xdr:cNvPr id="691" name="Freeform 10708">
          <a:extLst>
            <a:ext uri="{FF2B5EF4-FFF2-40B4-BE49-F238E27FC236}">
              <a16:creationId xmlns:a16="http://schemas.microsoft.com/office/drawing/2014/main" id="{AB0EC721-FADF-4ACC-9F24-DE350F038163}"/>
            </a:ext>
          </a:extLst>
        </xdr:cNvPr>
        <xdr:cNvSpPr>
          <a:spLocks/>
        </xdr:cNvSpPr>
      </xdr:nvSpPr>
      <xdr:spPr bwMode="auto">
        <a:xfrm>
          <a:off x="3768244" y="3419021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186666</xdr:colOff>
      <xdr:row>189</xdr:row>
      <xdr:rowOff>162138</xdr:rowOff>
    </xdr:from>
    <xdr:to>
      <xdr:col>22</xdr:col>
      <xdr:colOff>191774</xdr:colOff>
      <xdr:row>190</xdr:row>
      <xdr:rowOff>79808</xdr:rowOff>
    </xdr:to>
    <xdr:sp macro="" textlink="">
      <xdr:nvSpPr>
        <xdr:cNvPr id="692" name="Freeform 10708">
          <a:extLst>
            <a:ext uri="{FF2B5EF4-FFF2-40B4-BE49-F238E27FC236}">
              <a16:creationId xmlns:a16="http://schemas.microsoft.com/office/drawing/2014/main" id="{796DDE8B-2123-4161-A5B9-61897D70A212}"/>
            </a:ext>
          </a:extLst>
        </xdr:cNvPr>
        <xdr:cNvSpPr>
          <a:spLocks/>
        </xdr:cNvSpPr>
      </xdr:nvSpPr>
      <xdr:spPr bwMode="auto">
        <a:xfrm>
          <a:off x="7578066" y="3419813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189</xdr:row>
      <xdr:rowOff>166471</xdr:rowOff>
    </xdr:from>
    <xdr:to>
      <xdr:col>20</xdr:col>
      <xdr:colOff>197505</xdr:colOff>
      <xdr:row>190</xdr:row>
      <xdr:rowOff>79033</xdr:rowOff>
    </xdr:to>
    <xdr:sp macro="" textlink="">
      <xdr:nvSpPr>
        <xdr:cNvPr id="693" name="Freeform 10708">
          <a:extLst>
            <a:ext uri="{FF2B5EF4-FFF2-40B4-BE49-F238E27FC236}">
              <a16:creationId xmlns:a16="http://schemas.microsoft.com/office/drawing/2014/main" id="{B4B6ABEF-0FD1-47EE-92CC-C4F63CE50F5C}"/>
            </a:ext>
          </a:extLst>
        </xdr:cNvPr>
        <xdr:cNvSpPr>
          <a:spLocks/>
        </xdr:cNvSpPr>
      </xdr:nvSpPr>
      <xdr:spPr bwMode="auto">
        <a:xfrm>
          <a:off x="6820556" y="342024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179</xdr:row>
      <xdr:rowOff>156571</xdr:rowOff>
    </xdr:from>
    <xdr:to>
      <xdr:col>14</xdr:col>
      <xdr:colOff>193738</xdr:colOff>
      <xdr:row>180</xdr:row>
      <xdr:rowOff>69411</xdr:rowOff>
    </xdr:to>
    <xdr:sp macro="" textlink="">
      <xdr:nvSpPr>
        <xdr:cNvPr id="694" name="Freeform 10708">
          <a:extLst>
            <a:ext uri="{FF2B5EF4-FFF2-40B4-BE49-F238E27FC236}">
              <a16:creationId xmlns:a16="http://schemas.microsoft.com/office/drawing/2014/main" id="{A34D27B4-8C9B-4847-876D-D4AB8882417E}"/>
            </a:ext>
          </a:extLst>
        </xdr:cNvPr>
        <xdr:cNvSpPr>
          <a:spLocks/>
        </xdr:cNvSpPr>
      </xdr:nvSpPr>
      <xdr:spPr bwMode="auto">
        <a:xfrm>
          <a:off x="4531940" y="3242727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212912</xdr:colOff>
      <xdr:row>179</xdr:row>
      <xdr:rowOff>179294</xdr:rowOff>
    </xdr:from>
    <xdr:to>
      <xdr:col>30</xdr:col>
      <xdr:colOff>245379</xdr:colOff>
      <xdr:row>180</xdr:row>
      <xdr:rowOff>84652</xdr:rowOff>
    </xdr:to>
    <xdr:sp macro="" textlink="">
      <xdr:nvSpPr>
        <xdr:cNvPr id="695" name="Freeform 10708">
          <a:extLst>
            <a:ext uri="{FF2B5EF4-FFF2-40B4-BE49-F238E27FC236}">
              <a16:creationId xmlns:a16="http://schemas.microsoft.com/office/drawing/2014/main" id="{DC0CEF0A-FFEE-49E0-8523-C55E486F0D89}"/>
            </a:ext>
          </a:extLst>
        </xdr:cNvPr>
        <xdr:cNvSpPr>
          <a:spLocks/>
        </xdr:cNvSpPr>
      </xdr:nvSpPr>
      <xdr:spPr bwMode="auto">
        <a:xfrm>
          <a:off x="10779312" y="3244999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200955</xdr:colOff>
      <xdr:row>168</xdr:row>
      <xdr:rowOff>165198</xdr:rowOff>
    </xdr:from>
    <xdr:to>
      <xdr:col>4</xdr:col>
      <xdr:colOff>200955</xdr:colOff>
      <xdr:row>169</xdr:row>
      <xdr:rowOff>76913</xdr:rowOff>
    </xdr:to>
    <xdr:sp macro="" textlink="">
      <xdr:nvSpPr>
        <xdr:cNvPr id="696" name="Freeform 10708">
          <a:extLst>
            <a:ext uri="{FF2B5EF4-FFF2-40B4-BE49-F238E27FC236}">
              <a16:creationId xmlns:a16="http://schemas.microsoft.com/office/drawing/2014/main" id="{D557039A-B16A-4A14-86A5-BEC474FF8D96}"/>
            </a:ext>
          </a:extLst>
        </xdr:cNvPr>
        <xdr:cNvSpPr>
          <a:spLocks/>
        </xdr:cNvSpPr>
      </xdr:nvSpPr>
      <xdr:spPr bwMode="auto">
        <a:xfrm>
          <a:off x="708955" y="3050549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199819</xdr:colOff>
      <xdr:row>169</xdr:row>
      <xdr:rowOff>19747</xdr:rowOff>
    </xdr:from>
    <xdr:to>
      <xdr:col>10</xdr:col>
      <xdr:colOff>207320</xdr:colOff>
      <xdr:row>169</xdr:row>
      <xdr:rowOff>123087</xdr:rowOff>
    </xdr:to>
    <xdr:sp macro="" textlink="">
      <xdr:nvSpPr>
        <xdr:cNvPr id="697" name="Freeform 10708">
          <a:extLst>
            <a:ext uri="{FF2B5EF4-FFF2-40B4-BE49-F238E27FC236}">
              <a16:creationId xmlns:a16="http://schemas.microsoft.com/office/drawing/2014/main" id="{2C31E9E1-F743-46CC-92BE-5EFE1EFFB997}"/>
            </a:ext>
          </a:extLst>
        </xdr:cNvPr>
        <xdr:cNvSpPr>
          <a:spLocks/>
        </xdr:cNvSpPr>
      </xdr:nvSpPr>
      <xdr:spPr bwMode="auto">
        <a:xfrm>
          <a:off x="3025569" y="30544197"/>
          <a:ext cx="775851" cy="10334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212912</xdr:colOff>
      <xdr:row>168</xdr:row>
      <xdr:rowOff>179294</xdr:rowOff>
    </xdr:from>
    <xdr:to>
      <xdr:col>30</xdr:col>
      <xdr:colOff>245379</xdr:colOff>
      <xdr:row>169</xdr:row>
      <xdr:rowOff>84652</xdr:rowOff>
    </xdr:to>
    <xdr:sp macro="" textlink="">
      <xdr:nvSpPr>
        <xdr:cNvPr id="698" name="Freeform 10708">
          <a:extLst>
            <a:ext uri="{FF2B5EF4-FFF2-40B4-BE49-F238E27FC236}">
              <a16:creationId xmlns:a16="http://schemas.microsoft.com/office/drawing/2014/main" id="{0CFB30DB-7BB4-444D-9B8B-B2A38CE1FB1F}"/>
            </a:ext>
          </a:extLst>
        </xdr:cNvPr>
        <xdr:cNvSpPr>
          <a:spLocks/>
        </xdr:cNvSpPr>
      </xdr:nvSpPr>
      <xdr:spPr bwMode="auto">
        <a:xfrm>
          <a:off x="10779312" y="3051959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146</xdr:row>
      <xdr:rowOff>165199</xdr:rowOff>
    </xdr:from>
    <xdr:to>
      <xdr:col>8</xdr:col>
      <xdr:colOff>202575</xdr:colOff>
      <xdr:row>147</xdr:row>
      <xdr:rowOff>88820</xdr:rowOff>
    </xdr:to>
    <xdr:sp macro="" textlink="">
      <xdr:nvSpPr>
        <xdr:cNvPr id="699" name="Freeform 10708">
          <a:extLst>
            <a:ext uri="{FF2B5EF4-FFF2-40B4-BE49-F238E27FC236}">
              <a16:creationId xmlns:a16="http://schemas.microsoft.com/office/drawing/2014/main" id="{28644D7F-864C-4084-8853-39060721D2CD}"/>
            </a:ext>
          </a:extLst>
        </xdr:cNvPr>
        <xdr:cNvSpPr>
          <a:spLocks/>
        </xdr:cNvSpPr>
      </xdr:nvSpPr>
      <xdr:spPr bwMode="auto">
        <a:xfrm>
          <a:off x="2238543" y="2656214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171768</xdr:colOff>
      <xdr:row>146</xdr:row>
      <xdr:rowOff>165199</xdr:rowOff>
    </xdr:from>
    <xdr:to>
      <xdr:col>18</xdr:col>
      <xdr:colOff>188991</xdr:colOff>
      <xdr:row>147</xdr:row>
      <xdr:rowOff>81317</xdr:rowOff>
    </xdr:to>
    <xdr:sp macro="" textlink="">
      <xdr:nvSpPr>
        <xdr:cNvPr id="700" name="Freeform 10708">
          <a:extLst>
            <a:ext uri="{FF2B5EF4-FFF2-40B4-BE49-F238E27FC236}">
              <a16:creationId xmlns:a16="http://schemas.microsoft.com/office/drawing/2014/main" id="{051B6C12-5899-4E34-85A4-B2968F190871}"/>
            </a:ext>
          </a:extLst>
        </xdr:cNvPr>
        <xdr:cNvSpPr>
          <a:spLocks/>
        </xdr:cNvSpPr>
      </xdr:nvSpPr>
      <xdr:spPr bwMode="auto">
        <a:xfrm>
          <a:off x="5188268" y="2656214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146</xdr:row>
      <xdr:rowOff>156573</xdr:rowOff>
    </xdr:from>
    <xdr:to>
      <xdr:col>28</xdr:col>
      <xdr:colOff>197339</xdr:colOff>
      <xdr:row>147</xdr:row>
      <xdr:rowOff>61931</xdr:rowOff>
    </xdr:to>
    <xdr:sp macro="" textlink="">
      <xdr:nvSpPr>
        <xdr:cNvPr id="701" name="Freeform 10708">
          <a:extLst>
            <a:ext uri="{FF2B5EF4-FFF2-40B4-BE49-F238E27FC236}">
              <a16:creationId xmlns:a16="http://schemas.microsoft.com/office/drawing/2014/main" id="{DA0F7AD3-F215-443A-A107-FA6EC90F4E78}"/>
            </a:ext>
          </a:extLst>
        </xdr:cNvPr>
        <xdr:cNvSpPr>
          <a:spLocks/>
        </xdr:cNvSpPr>
      </xdr:nvSpPr>
      <xdr:spPr bwMode="auto">
        <a:xfrm>
          <a:off x="9958440" y="2655352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171768</xdr:colOff>
      <xdr:row>135</xdr:row>
      <xdr:rowOff>165199</xdr:rowOff>
    </xdr:from>
    <xdr:to>
      <xdr:col>18</xdr:col>
      <xdr:colOff>188991</xdr:colOff>
      <xdr:row>136</xdr:row>
      <xdr:rowOff>81317</xdr:rowOff>
    </xdr:to>
    <xdr:sp macro="" textlink="">
      <xdr:nvSpPr>
        <xdr:cNvPr id="702" name="Freeform 10708">
          <a:extLst>
            <a:ext uri="{FF2B5EF4-FFF2-40B4-BE49-F238E27FC236}">
              <a16:creationId xmlns:a16="http://schemas.microsoft.com/office/drawing/2014/main" id="{C91824EE-F23E-4976-8560-1942620740BA}"/>
            </a:ext>
          </a:extLst>
        </xdr:cNvPr>
        <xdr:cNvSpPr>
          <a:spLocks/>
        </xdr:cNvSpPr>
      </xdr:nvSpPr>
      <xdr:spPr bwMode="auto">
        <a:xfrm>
          <a:off x="5188268" y="2459999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186666</xdr:colOff>
      <xdr:row>135</xdr:row>
      <xdr:rowOff>162138</xdr:rowOff>
    </xdr:from>
    <xdr:to>
      <xdr:col>22</xdr:col>
      <xdr:colOff>191774</xdr:colOff>
      <xdr:row>136</xdr:row>
      <xdr:rowOff>79808</xdr:rowOff>
    </xdr:to>
    <xdr:sp macro="" textlink="">
      <xdr:nvSpPr>
        <xdr:cNvPr id="703" name="Freeform 10708">
          <a:extLst>
            <a:ext uri="{FF2B5EF4-FFF2-40B4-BE49-F238E27FC236}">
              <a16:creationId xmlns:a16="http://schemas.microsoft.com/office/drawing/2014/main" id="{7C9A0C60-C861-4D61-84DF-E8B73408129B}"/>
            </a:ext>
          </a:extLst>
        </xdr:cNvPr>
        <xdr:cNvSpPr>
          <a:spLocks/>
        </xdr:cNvSpPr>
      </xdr:nvSpPr>
      <xdr:spPr bwMode="auto">
        <a:xfrm>
          <a:off x="7578066" y="2459693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135</xdr:row>
      <xdr:rowOff>153790</xdr:rowOff>
    </xdr:from>
    <xdr:to>
      <xdr:col>24</xdr:col>
      <xdr:colOff>180643</xdr:colOff>
      <xdr:row>136</xdr:row>
      <xdr:rowOff>76252</xdr:rowOff>
    </xdr:to>
    <xdr:sp macro="" textlink="">
      <xdr:nvSpPr>
        <xdr:cNvPr id="704" name="Freeform 10708">
          <a:extLst>
            <a:ext uri="{FF2B5EF4-FFF2-40B4-BE49-F238E27FC236}">
              <a16:creationId xmlns:a16="http://schemas.microsoft.com/office/drawing/2014/main" id="{04BAA4A0-A379-4CEC-BA43-BA95D2BD39D0}"/>
            </a:ext>
          </a:extLst>
        </xdr:cNvPr>
        <xdr:cNvSpPr>
          <a:spLocks/>
        </xdr:cNvSpPr>
      </xdr:nvSpPr>
      <xdr:spPr bwMode="auto">
        <a:xfrm>
          <a:off x="8366933" y="2458859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123</xdr:row>
      <xdr:rowOff>159970</xdr:rowOff>
    </xdr:from>
    <xdr:to>
      <xdr:col>10</xdr:col>
      <xdr:colOff>196114</xdr:colOff>
      <xdr:row>124</xdr:row>
      <xdr:rowOff>72809</xdr:rowOff>
    </xdr:to>
    <xdr:sp macro="" textlink="">
      <xdr:nvSpPr>
        <xdr:cNvPr id="705" name="Freeform 10708">
          <a:extLst>
            <a:ext uri="{FF2B5EF4-FFF2-40B4-BE49-F238E27FC236}">
              <a16:creationId xmlns:a16="http://schemas.microsoft.com/office/drawing/2014/main" id="{EF190836-480D-46BA-A2AF-C58AB7A172D6}"/>
            </a:ext>
          </a:extLst>
        </xdr:cNvPr>
        <xdr:cNvSpPr>
          <a:spLocks/>
        </xdr:cNvSpPr>
      </xdr:nvSpPr>
      <xdr:spPr bwMode="auto">
        <a:xfrm>
          <a:off x="3014363" y="22454820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123</xdr:row>
      <xdr:rowOff>162324</xdr:rowOff>
    </xdr:from>
    <xdr:to>
      <xdr:col>14</xdr:col>
      <xdr:colOff>193738</xdr:colOff>
      <xdr:row>124</xdr:row>
      <xdr:rowOff>75163</xdr:rowOff>
    </xdr:to>
    <xdr:sp macro="" textlink="">
      <xdr:nvSpPr>
        <xdr:cNvPr id="706" name="Freeform 10708">
          <a:extLst>
            <a:ext uri="{FF2B5EF4-FFF2-40B4-BE49-F238E27FC236}">
              <a16:creationId xmlns:a16="http://schemas.microsoft.com/office/drawing/2014/main" id="{3C5C3F3D-C563-47BC-8942-8F73F8735EC8}"/>
            </a:ext>
          </a:extLst>
        </xdr:cNvPr>
        <xdr:cNvSpPr>
          <a:spLocks/>
        </xdr:cNvSpPr>
      </xdr:nvSpPr>
      <xdr:spPr bwMode="auto">
        <a:xfrm>
          <a:off x="4531940" y="22457174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208470</xdr:colOff>
      <xdr:row>123</xdr:row>
      <xdr:rowOff>159543</xdr:rowOff>
    </xdr:from>
    <xdr:to>
      <xdr:col>30</xdr:col>
      <xdr:colOff>200492</xdr:colOff>
      <xdr:row>124</xdr:row>
      <xdr:rowOff>79588</xdr:rowOff>
    </xdr:to>
    <xdr:sp macro="" textlink="">
      <xdr:nvSpPr>
        <xdr:cNvPr id="707" name="Freeform 10708">
          <a:extLst>
            <a:ext uri="{FF2B5EF4-FFF2-40B4-BE49-F238E27FC236}">
              <a16:creationId xmlns:a16="http://schemas.microsoft.com/office/drawing/2014/main" id="{06B1715F-09AD-4CB8-A7A4-81EC8F3570B8}"/>
            </a:ext>
          </a:extLst>
        </xdr:cNvPr>
        <xdr:cNvSpPr>
          <a:spLocks/>
        </xdr:cNvSpPr>
      </xdr:nvSpPr>
      <xdr:spPr bwMode="auto">
        <a:xfrm>
          <a:off x="10774870" y="22454393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111</xdr:row>
      <xdr:rowOff>162324</xdr:rowOff>
    </xdr:from>
    <xdr:to>
      <xdr:col>14</xdr:col>
      <xdr:colOff>193738</xdr:colOff>
      <xdr:row>112</xdr:row>
      <xdr:rowOff>75163</xdr:rowOff>
    </xdr:to>
    <xdr:sp macro="" textlink="">
      <xdr:nvSpPr>
        <xdr:cNvPr id="708" name="Freeform 10708">
          <a:extLst>
            <a:ext uri="{FF2B5EF4-FFF2-40B4-BE49-F238E27FC236}">
              <a16:creationId xmlns:a16="http://schemas.microsoft.com/office/drawing/2014/main" id="{A95BA808-2080-415F-8C70-A2D88D545F6B}"/>
            </a:ext>
          </a:extLst>
        </xdr:cNvPr>
        <xdr:cNvSpPr>
          <a:spLocks/>
        </xdr:cNvSpPr>
      </xdr:nvSpPr>
      <xdr:spPr bwMode="auto">
        <a:xfrm>
          <a:off x="4531940" y="20317224"/>
          <a:ext cx="678298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87</xdr:row>
      <xdr:rowOff>170952</xdr:rowOff>
    </xdr:from>
    <xdr:to>
      <xdr:col>6</xdr:col>
      <xdr:colOff>203113</xdr:colOff>
      <xdr:row>88</xdr:row>
      <xdr:rowOff>82666</xdr:rowOff>
    </xdr:to>
    <xdr:sp macro="" textlink="">
      <xdr:nvSpPr>
        <xdr:cNvPr id="709" name="Freeform 10708">
          <a:extLst>
            <a:ext uri="{FF2B5EF4-FFF2-40B4-BE49-F238E27FC236}">
              <a16:creationId xmlns:a16="http://schemas.microsoft.com/office/drawing/2014/main" id="{B1B476A6-0E4C-4EE0-92F6-703601EB066D}"/>
            </a:ext>
          </a:extLst>
        </xdr:cNvPr>
        <xdr:cNvSpPr>
          <a:spLocks/>
        </xdr:cNvSpPr>
      </xdr:nvSpPr>
      <xdr:spPr bwMode="auto">
        <a:xfrm>
          <a:off x="1479463" y="16039602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87</xdr:row>
      <xdr:rowOff>159970</xdr:rowOff>
    </xdr:from>
    <xdr:to>
      <xdr:col>10</xdr:col>
      <xdr:colOff>196114</xdr:colOff>
      <xdr:row>88</xdr:row>
      <xdr:rowOff>72809</xdr:rowOff>
    </xdr:to>
    <xdr:sp macro="" textlink="">
      <xdr:nvSpPr>
        <xdr:cNvPr id="710" name="Freeform 10708">
          <a:extLst>
            <a:ext uri="{FF2B5EF4-FFF2-40B4-BE49-F238E27FC236}">
              <a16:creationId xmlns:a16="http://schemas.microsoft.com/office/drawing/2014/main" id="{EC001893-E13B-41AE-B3FE-40000A0733AD}"/>
            </a:ext>
          </a:extLst>
        </xdr:cNvPr>
        <xdr:cNvSpPr>
          <a:spLocks/>
        </xdr:cNvSpPr>
      </xdr:nvSpPr>
      <xdr:spPr bwMode="auto">
        <a:xfrm>
          <a:off x="3014363" y="16028620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87</xdr:row>
      <xdr:rowOff>156571</xdr:rowOff>
    </xdr:from>
    <xdr:to>
      <xdr:col>14</xdr:col>
      <xdr:colOff>193738</xdr:colOff>
      <xdr:row>88</xdr:row>
      <xdr:rowOff>69411</xdr:rowOff>
    </xdr:to>
    <xdr:sp macro="" textlink="">
      <xdr:nvSpPr>
        <xdr:cNvPr id="711" name="Freeform 10708">
          <a:extLst>
            <a:ext uri="{FF2B5EF4-FFF2-40B4-BE49-F238E27FC236}">
              <a16:creationId xmlns:a16="http://schemas.microsoft.com/office/drawing/2014/main" id="{6152D45B-CD01-447A-B570-EEA692ED601C}"/>
            </a:ext>
          </a:extLst>
        </xdr:cNvPr>
        <xdr:cNvSpPr>
          <a:spLocks/>
        </xdr:cNvSpPr>
      </xdr:nvSpPr>
      <xdr:spPr bwMode="auto">
        <a:xfrm>
          <a:off x="4531940" y="1602522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181644</xdr:colOff>
      <xdr:row>87</xdr:row>
      <xdr:rowOff>156572</xdr:rowOff>
    </xdr:from>
    <xdr:to>
      <xdr:col>26</xdr:col>
      <xdr:colOff>194557</xdr:colOff>
      <xdr:row>88</xdr:row>
      <xdr:rowOff>71461</xdr:rowOff>
    </xdr:to>
    <xdr:sp macro="" textlink="">
      <xdr:nvSpPr>
        <xdr:cNvPr id="712" name="Freeform 10708">
          <a:extLst>
            <a:ext uri="{FF2B5EF4-FFF2-40B4-BE49-F238E27FC236}">
              <a16:creationId xmlns:a16="http://schemas.microsoft.com/office/drawing/2014/main" id="{F77031E4-6687-4701-905F-B534D72E5377}"/>
            </a:ext>
          </a:extLst>
        </xdr:cNvPr>
        <xdr:cNvSpPr>
          <a:spLocks/>
        </xdr:cNvSpPr>
      </xdr:nvSpPr>
      <xdr:spPr bwMode="auto">
        <a:xfrm>
          <a:off x="9135144" y="160252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200955</xdr:colOff>
      <xdr:row>75</xdr:row>
      <xdr:rowOff>170951</xdr:rowOff>
    </xdr:from>
    <xdr:to>
      <xdr:col>4</xdr:col>
      <xdr:colOff>200955</xdr:colOff>
      <xdr:row>76</xdr:row>
      <xdr:rowOff>82665</xdr:rowOff>
    </xdr:to>
    <xdr:sp macro="" textlink="">
      <xdr:nvSpPr>
        <xdr:cNvPr id="713" name="Freeform 10708">
          <a:extLst>
            <a:ext uri="{FF2B5EF4-FFF2-40B4-BE49-F238E27FC236}">
              <a16:creationId xmlns:a16="http://schemas.microsoft.com/office/drawing/2014/main" id="{8661CC1A-15A4-4513-A064-389C90BD8499}"/>
            </a:ext>
          </a:extLst>
        </xdr:cNvPr>
        <xdr:cNvSpPr>
          <a:spLocks/>
        </xdr:cNvSpPr>
      </xdr:nvSpPr>
      <xdr:spPr bwMode="auto">
        <a:xfrm>
          <a:off x="708955" y="13880601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75</xdr:row>
      <xdr:rowOff>170952</xdr:rowOff>
    </xdr:from>
    <xdr:to>
      <xdr:col>6</xdr:col>
      <xdr:colOff>203113</xdr:colOff>
      <xdr:row>76</xdr:row>
      <xdr:rowOff>82666</xdr:rowOff>
    </xdr:to>
    <xdr:sp macro="" textlink="">
      <xdr:nvSpPr>
        <xdr:cNvPr id="714" name="Freeform 10708">
          <a:extLst>
            <a:ext uri="{FF2B5EF4-FFF2-40B4-BE49-F238E27FC236}">
              <a16:creationId xmlns:a16="http://schemas.microsoft.com/office/drawing/2014/main" id="{83AB22C8-3083-4F49-9AB0-89348D9D0D21}"/>
            </a:ext>
          </a:extLst>
        </xdr:cNvPr>
        <xdr:cNvSpPr>
          <a:spLocks/>
        </xdr:cNvSpPr>
      </xdr:nvSpPr>
      <xdr:spPr bwMode="auto">
        <a:xfrm>
          <a:off x="1479463" y="13880602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75</xdr:row>
      <xdr:rowOff>159970</xdr:rowOff>
    </xdr:from>
    <xdr:to>
      <xdr:col>10</xdr:col>
      <xdr:colOff>196114</xdr:colOff>
      <xdr:row>76</xdr:row>
      <xdr:rowOff>72809</xdr:rowOff>
    </xdr:to>
    <xdr:sp macro="" textlink="">
      <xdr:nvSpPr>
        <xdr:cNvPr id="715" name="Freeform 10708">
          <a:extLst>
            <a:ext uri="{FF2B5EF4-FFF2-40B4-BE49-F238E27FC236}">
              <a16:creationId xmlns:a16="http://schemas.microsoft.com/office/drawing/2014/main" id="{DC4EDFF0-8423-43DD-AADE-9033124F5DA6}"/>
            </a:ext>
          </a:extLst>
        </xdr:cNvPr>
        <xdr:cNvSpPr>
          <a:spLocks/>
        </xdr:cNvSpPr>
      </xdr:nvSpPr>
      <xdr:spPr bwMode="auto">
        <a:xfrm>
          <a:off x="3014363" y="13869620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75</xdr:row>
      <xdr:rowOff>162326</xdr:rowOff>
    </xdr:from>
    <xdr:to>
      <xdr:col>28</xdr:col>
      <xdr:colOff>197339</xdr:colOff>
      <xdr:row>76</xdr:row>
      <xdr:rowOff>67683</xdr:rowOff>
    </xdr:to>
    <xdr:sp macro="" textlink="">
      <xdr:nvSpPr>
        <xdr:cNvPr id="716" name="Freeform 10708">
          <a:extLst>
            <a:ext uri="{FF2B5EF4-FFF2-40B4-BE49-F238E27FC236}">
              <a16:creationId xmlns:a16="http://schemas.microsoft.com/office/drawing/2014/main" id="{BDB6A549-609F-4A3B-B171-3F8AB2098798}"/>
            </a:ext>
          </a:extLst>
        </xdr:cNvPr>
        <xdr:cNvSpPr>
          <a:spLocks/>
        </xdr:cNvSpPr>
      </xdr:nvSpPr>
      <xdr:spPr bwMode="auto">
        <a:xfrm>
          <a:off x="9958440" y="13871976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64</xdr:row>
      <xdr:rowOff>159543</xdr:rowOff>
    </xdr:from>
    <xdr:to>
      <xdr:col>24</xdr:col>
      <xdr:colOff>180643</xdr:colOff>
      <xdr:row>65</xdr:row>
      <xdr:rowOff>82004</xdr:rowOff>
    </xdr:to>
    <xdr:sp macro="" textlink="">
      <xdr:nvSpPr>
        <xdr:cNvPr id="717" name="Freeform 10708">
          <a:extLst>
            <a:ext uri="{FF2B5EF4-FFF2-40B4-BE49-F238E27FC236}">
              <a16:creationId xmlns:a16="http://schemas.microsoft.com/office/drawing/2014/main" id="{95AD6F8D-2921-49ED-ADE6-B84416C5123F}"/>
            </a:ext>
          </a:extLst>
        </xdr:cNvPr>
        <xdr:cNvSpPr>
          <a:spLocks/>
        </xdr:cNvSpPr>
      </xdr:nvSpPr>
      <xdr:spPr bwMode="auto">
        <a:xfrm>
          <a:off x="8366933" y="11951493"/>
          <a:ext cx="767210" cy="812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200955</xdr:colOff>
      <xdr:row>53</xdr:row>
      <xdr:rowOff>170951</xdr:rowOff>
    </xdr:from>
    <xdr:to>
      <xdr:col>4</xdr:col>
      <xdr:colOff>200955</xdr:colOff>
      <xdr:row>54</xdr:row>
      <xdr:rowOff>82665</xdr:rowOff>
    </xdr:to>
    <xdr:sp macro="" textlink="">
      <xdr:nvSpPr>
        <xdr:cNvPr id="718" name="Freeform 10708">
          <a:extLst>
            <a:ext uri="{FF2B5EF4-FFF2-40B4-BE49-F238E27FC236}">
              <a16:creationId xmlns:a16="http://schemas.microsoft.com/office/drawing/2014/main" id="{363FD7ED-7F5B-424C-A35F-80764468FFF1}"/>
            </a:ext>
          </a:extLst>
        </xdr:cNvPr>
        <xdr:cNvSpPr>
          <a:spLocks/>
        </xdr:cNvSpPr>
      </xdr:nvSpPr>
      <xdr:spPr bwMode="auto">
        <a:xfrm>
          <a:off x="708955" y="10026151"/>
          <a:ext cx="7683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42</xdr:row>
      <xdr:rowOff>159970</xdr:rowOff>
    </xdr:from>
    <xdr:to>
      <xdr:col>10</xdr:col>
      <xdr:colOff>196114</xdr:colOff>
      <xdr:row>43</xdr:row>
      <xdr:rowOff>72809</xdr:rowOff>
    </xdr:to>
    <xdr:sp macro="" textlink="">
      <xdr:nvSpPr>
        <xdr:cNvPr id="719" name="Freeform 10708">
          <a:extLst>
            <a:ext uri="{FF2B5EF4-FFF2-40B4-BE49-F238E27FC236}">
              <a16:creationId xmlns:a16="http://schemas.microsoft.com/office/drawing/2014/main" id="{8F8BFA50-856C-4F4C-8129-64B79D498CB3}"/>
            </a:ext>
          </a:extLst>
        </xdr:cNvPr>
        <xdr:cNvSpPr>
          <a:spLocks/>
        </xdr:cNvSpPr>
      </xdr:nvSpPr>
      <xdr:spPr bwMode="auto">
        <a:xfrm>
          <a:off x="3014363" y="7926020"/>
          <a:ext cx="775851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171768</xdr:colOff>
      <xdr:row>42</xdr:row>
      <xdr:rowOff>170952</xdr:rowOff>
    </xdr:from>
    <xdr:to>
      <xdr:col>18</xdr:col>
      <xdr:colOff>188991</xdr:colOff>
      <xdr:row>43</xdr:row>
      <xdr:rowOff>87069</xdr:rowOff>
    </xdr:to>
    <xdr:sp macro="" textlink="">
      <xdr:nvSpPr>
        <xdr:cNvPr id="720" name="Freeform 10708">
          <a:extLst>
            <a:ext uri="{FF2B5EF4-FFF2-40B4-BE49-F238E27FC236}">
              <a16:creationId xmlns:a16="http://schemas.microsoft.com/office/drawing/2014/main" id="{5E88BBFD-AAC1-493D-89B4-1F2C33D91B66}"/>
            </a:ext>
          </a:extLst>
        </xdr:cNvPr>
        <xdr:cNvSpPr>
          <a:spLocks/>
        </xdr:cNvSpPr>
      </xdr:nvSpPr>
      <xdr:spPr bwMode="auto">
        <a:xfrm>
          <a:off x="5188268" y="7937002"/>
          <a:ext cx="1623773" cy="10026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186666</xdr:colOff>
      <xdr:row>42</xdr:row>
      <xdr:rowOff>167891</xdr:rowOff>
    </xdr:from>
    <xdr:to>
      <xdr:col>22</xdr:col>
      <xdr:colOff>191774</xdr:colOff>
      <xdr:row>43</xdr:row>
      <xdr:rowOff>85560</xdr:rowOff>
    </xdr:to>
    <xdr:sp macro="" textlink="">
      <xdr:nvSpPr>
        <xdr:cNvPr id="721" name="Freeform 10708">
          <a:extLst>
            <a:ext uri="{FF2B5EF4-FFF2-40B4-BE49-F238E27FC236}">
              <a16:creationId xmlns:a16="http://schemas.microsoft.com/office/drawing/2014/main" id="{CC9CB183-3496-41DA-8433-1442D6E3E1E5}"/>
            </a:ext>
          </a:extLst>
        </xdr:cNvPr>
        <xdr:cNvSpPr>
          <a:spLocks/>
        </xdr:cNvSpPr>
      </xdr:nvSpPr>
      <xdr:spPr bwMode="auto">
        <a:xfrm>
          <a:off x="7578066" y="7933941"/>
          <a:ext cx="779808" cy="10181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42</xdr:row>
      <xdr:rowOff>166471</xdr:rowOff>
    </xdr:from>
    <xdr:to>
      <xdr:col>20</xdr:col>
      <xdr:colOff>197505</xdr:colOff>
      <xdr:row>43</xdr:row>
      <xdr:rowOff>79033</xdr:rowOff>
    </xdr:to>
    <xdr:sp macro="" textlink="">
      <xdr:nvSpPr>
        <xdr:cNvPr id="722" name="Freeform 10708">
          <a:extLst>
            <a:ext uri="{FF2B5EF4-FFF2-40B4-BE49-F238E27FC236}">
              <a16:creationId xmlns:a16="http://schemas.microsoft.com/office/drawing/2014/main" id="{8C8CC5DA-1922-4B0B-9190-DE228D0B8D76}"/>
            </a:ext>
          </a:extLst>
        </xdr:cNvPr>
        <xdr:cNvSpPr>
          <a:spLocks/>
        </xdr:cNvSpPr>
      </xdr:nvSpPr>
      <xdr:spPr bwMode="auto">
        <a:xfrm>
          <a:off x="6820556" y="793252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181644</xdr:colOff>
      <xdr:row>42</xdr:row>
      <xdr:rowOff>156572</xdr:rowOff>
    </xdr:from>
    <xdr:to>
      <xdr:col>26</xdr:col>
      <xdr:colOff>194557</xdr:colOff>
      <xdr:row>43</xdr:row>
      <xdr:rowOff>71461</xdr:rowOff>
    </xdr:to>
    <xdr:sp macro="" textlink="">
      <xdr:nvSpPr>
        <xdr:cNvPr id="723" name="Freeform 10708">
          <a:extLst>
            <a:ext uri="{FF2B5EF4-FFF2-40B4-BE49-F238E27FC236}">
              <a16:creationId xmlns:a16="http://schemas.microsoft.com/office/drawing/2014/main" id="{53248EFF-6345-415C-8924-78E8C606B6C3}"/>
            </a:ext>
          </a:extLst>
        </xdr:cNvPr>
        <xdr:cNvSpPr>
          <a:spLocks/>
        </xdr:cNvSpPr>
      </xdr:nvSpPr>
      <xdr:spPr bwMode="auto">
        <a:xfrm>
          <a:off x="9135144" y="79226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203113</xdr:colOff>
      <xdr:row>32</xdr:row>
      <xdr:rowOff>170952</xdr:rowOff>
    </xdr:from>
    <xdr:to>
      <xdr:col>6</xdr:col>
      <xdr:colOff>203113</xdr:colOff>
      <xdr:row>33</xdr:row>
      <xdr:rowOff>82666</xdr:rowOff>
    </xdr:to>
    <xdr:sp macro="" textlink="">
      <xdr:nvSpPr>
        <xdr:cNvPr id="724" name="Freeform 10708">
          <a:extLst>
            <a:ext uri="{FF2B5EF4-FFF2-40B4-BE49-F238E27FC236}">
              <a16:creationId xmlns:a16="http://schemas.microsoft.com/office/drawing/2014/main" id="{344CFCEF-7582-4756-A481-7DF24E30AEF5}"/>
            </a:ext>
          </a:extLst>
        </xdr:cNvPr>
        <xdr:cNvSpPr>
          <a:spLocks/>
        </xdr:cNvSpPr>
      </xdr:nvSpPr>
      <xdr:spPr bwMode="auto">
        <a:xfrm>
          <a:off x="1479463" y="6178052"/>
          <a:ext cx="781050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32</xdr:row>
      <xdr:rowOff>162326</xdr:rowOff>
    </xdr:from>
    <xdr:to>
      <xdr:col>28</xdr:col>
      <xdr:colOff>197339</xdr:colOff>
      <xdr:row>33</xdr:row>
      <xdr:rowOff>67683</xdr:rowOff>
    </xdr:to>
    <xdr:sp macro="" textlink="">
      <xdr:nvSpPr>
        <xdr:cNvPr id="725" name="Freeform 10708">
          <a:extLst>
            <a:ext uri="{FF2B5EF4-FFF2-40B4-BE49-F238E27FC236}">
              <a16:creationId xmlns:a16="http://schemas.microsoft.com/office/drawing/2014/main" id="{0515815E-4B78-4758-AEC9-106FC35F30B5}"/>
            </a:ext>
          </a:extLst>
        </xdr:cNvPr>
        <xdr:cNvSpPr>
          <a:spLocks/>
        </xdr:cNvSpPr>
      </xdr:nvSpPr>
      <xdr:spPr bwMode="auto">
        <a:xfrm>
          <a:off x="9958440" y="6169426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21</xdr:row>
      <xdr:rowOff>170952</xdr:rowOff>
    </xdr:from>
    <xdr:to>
      <xdr:col>8</xdr:col>
      <xdr:colOff>202575</xdr:colOff>
      <xdr:row>22</xdr:row>
      <xdr:rowOff>94572</xdr:rowOff>
    </xdr:to>
    <xdr:sp macro="" textlink="">
      <xdr:nvSpPr>
        <xdr:cNvPr id="726" name="Freeform 10708">
          <a:extLst>
            <a:ext uri="{FF2B5EF4-FFF2-40B4-BE49-F238E27FC236}">
              <a16:creationId xmlns:a16="http://schemas.microsoft.com/office/drawing/2014/main" id="{6CCE531E-560F-4755-B3AF-361AA2082A05}"/>
            </a:ext>
          </a:extLst>
        </xdr:cNvPr>
        <xdr:cNvSpPr>
          <a:spLocks/>
        </xdr:cNvSpPr>
      </xdr:nvSpPr>
      <xdr:spPr bwMode="auto">
        <a:xfrm>
          <a:off x="2238543" y="4234952"/>
          <a:ext cx="789782" cy="1077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208470</xdr:colOff>
      <xdr:row>21</xdr:row>
      <xdr:rowOff>159543</xdr:rowOff>
    </xdr:from>
    <xdr:to>
      <xdr:col>30</xdr:col>
      <xdr:colOff>200492</xdr:colOff>
      <xdr:row>22</xdr:row>
      <xdr:rowOff>79588</xdr:rowOff>
    </xdr:to>
    <xdr:sp macro="" textlink="">
      <xdr:nvSpPr>
        <xdr:cNvPr id="727" name="Freeform 10708">
          <a:extLst>
            <a:ext uri="{FF2B5EF4-FFF2-40B4-BE49-F238E27FC236}">
              <a16:creationId xmlns:a16="http://schemas.microsoft.com/office/drawing/2014/main" id="{5730D99A-A0AB-4BDF-B747-57C56DD85E85}"/>
            </a:ext>
          </a:extLst>
        </xdr:cNvPr>
        <xdr:cNvSpPr>
          <a:spLocks/>
        </xdr:cNvSpPr>
      </xdr:nvSpPr>
      <xdr:spPr bwMode="auto">
        <a:xfrm>
          <a:off x="10774870" y="4223543"/>
          <a:ext cx="754022" cy="10419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198490</xdr:colOff>
      <xdr:row>21</xdr:row>
      <xdr:rowOff>162326</xdr:rowOff>
    </xdr:from>
    <xdr:to>
      <xdr:col>28</xdr:col>
      <xdr:colOff>197339</xdr:colOff>
      <xdr:row>22</xdr:row>
      <xdr:rowOff>67683</xdr:rowOff>
    </xdr:to>
    <xdr:sp macro="" textlink="">
      <xdr:nvSpPr>
        <xdr:cNvPr id="728" name="Freeform 10708">
          <a:extLst>
            <a:ext uri="{FF2B5EF4-FFF2-40B4-BE49-F238E27FC236}">
              <a16:creationId xmlns:a16="http://schemas.microsoft.com/office/drawing/2014/main" id="{67F9F491-867D-445C-871C-8E3C560C81C5}"/>
            </a:ext>
          </a:extLst>
        </xdr:cNvPr>
        <xdr:cNvSpPr>
          <a:spLocks/>
        </xdr:cNvSpPr>
      </xdr:nvSpPr>
      <xdr:spPr bwMode="auto">
        <a:xfrm>
          <a:off x="9958440" y="4226326"/>
          <a:ext cx="805299" cy="895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190500</xdr:colOff>
      <xdr:row>53</xdr:row>
      <xdr:rowOff>179294</xdr:rowOff>
    </xdr:from>
    <xdr:to>
      <xdr:col>6</xdr:col>
      <xdr:colOff>211932</xdr:colOff>
      <xdr:row>54</xdr:row>
      <xdr:rowOff>102915</xdr:rowOff>
    </xdr:to>
    <xdr:sp macro="" textlink="">
      <xdr:nvSpPr>
        <xdr:cNvPr id="729" name="Freeform 10708">
          <a:extLst>
            <a:ext uri="{FF2B5EF4-FFF2-40B4-BE49-F238E27FC236}">
              <a16:creationId xmlns:a16="http://schemas.microsoft.com/office/drawing/2014/main" id="{16ADD83D-AB95-41AA-98B9-6E62FEA203E6}"/>
            </a:ext>
          </a:extLst>
        </xdr:cNvPr>
        <xdr:cNvSpPr>
          <a:spLocks/>
        </xdr:cNvSpPr>
      </xdr:nvSpPr>
      <xdr:spPr bwMode="auto">
        <a:xfrm>
          <a:off x="1466850" y="10034494"/>
          <a:ext cx="8024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285</xdr:row>
      <xdr:rowOff>150052</xdr:rowOff>
    </xdr:from>
    <xdr:to>
      <xdr:col>7</xdr:col>
      <xdr:colOff>8115</xdr:colOff>
      <xdr:row>287</xdr:row>
      <xdr:rowOff>177279</xdr:rowOff>
    </xdr:to>
    <xdr:sp macro="" textlink="">
      <xdr:nvSpPr>
        <xdr:cNvPr id="730" name="3">
          <a:extLst>
            <a:ext uri="{FF2B5EF4-FFF2-40B4-BE49-F238E27FC236}">
              <a16:creationId xmlns:a16="http://schemas.microsoft.com/office/drawing/2014/main" id="{A0686DCB-AE0A-47E8-89AF-496B1597B5BE}"/>
            </a:ext>
          </a:extLst>
        </xdr:cNvPr>
        <xdr:cNvSpPr>
          <a:spLocks noChangeArrowheads="1"/>
        </xdr:cNvSpPr>
      </xdr:nvSpPr>
      <xdr:spPr bwMode="auto">
        <a:xfrm>
          <a:off x="2036940" y="5090560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285</xdr:row>
      <xdr:rowOff>167356</xdr:rowOff>
    </xdr:from>
    <xdr:to>
      <xdr:col>5</xdr:col>
      <xdr:colOff>4705</xdr:colOff>
      <xdr:row>287</xdr:row>
      <xdr:rowOff>171669</xdr:rowOff>
    </xdr:to>
    <xdr:sp macro="" textlink="">
      <xdr:nvSpPr>
        <xdr:cNvPr id="731" name="0/0">
          <a:extLst>
            <a:ext uri="{FF2B5EF4-FFF2-40B4-BE49-F238E27FC236}">
              <a16:creationId xmlns:a16="http://schemas.microsoft.com/office/drawing/2014/main" id="{096EBC5A-0898-4C32-9875-DFF853E9FC9D}"/>
            </a:ext>
          </a:extLst>
        </xdr:cNvPr>
        <xdr:cNvSpPr>
          <a:spLocks noChangeArrowheads="1"/>
        </xdr:cNvSpPr>
      </xdr:nvSpPr>
      <xdr:spPr bwMode="auto">
        <a:xfrm>
          <a:off x="1278898" y="5092290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285</xdr:row>
      <xdr:rowOff>165198</xdr:rowOff>
    </xdr:from>
    <xdr:to>
      <xdr:col>4</xdr:col>
      <xdr:colOff>200955</xdr:colOff>
      <xdr:row>286</xdr:row>
      <xdr:rowOff>76913</xdr:rowOff>
    </xdr:to>
    <xdr:sp macro="" textlink="">
      <xdr:nvSpPr>
        <xdr:cNvPr id="732" name="Freeform 10708">
          <a:extLst>
            <a:ext uri="{FF2B5EF4-FFF2-40B4-BE49-F238E27FC236}">
              <a16:creationId xmlns:a16="http://schemas.microsoft.com/office/drawing/2014/main" id="{F1AB5D53-4C37-455C-9C8C-BC87067754AD}"/>
            </a:ext>
          </a:extLst>
        </xdr:cNvPr>
        <xdr:cNvSpPr>
          <a:spLocks/>
        </xdr:cNvSpPr>
      </xdr:nvSpPr>
      <xdr:spPr bwMode="auto">
        <a:xfrm>
          <a:off x="708955" y="5092074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285</xdr:row>
      <xdr:rowOff>165199</xdr:rowOff>
    </xdr:from>
    <xdr:to>
      <xdr:col>8</xdr:col>
      <xdr:colOff>202575</xdr:colOff>
      <xdr:row>286</xdr:row>
      <xdr:rowOff>88820</xdr:rowOff>
    </xdr:to>
    <xdr:sp macro="" textlink="">
      <xdr:nvSpPr>
        <xdr:cNvPr id="733" name="Freeform 10708">
          <a:extLst>
            <a:ext uri="{FF2B5EF4-FFF2-40B4-BE49-F238E27FC236}">
              <a16:creationId xmlns:a16="http://schemas.microsoft.com/office/drawing/2014/main" id="{04F67D18-F0FA-4D59-82E9-5D8E4B7D195F}"/>
            </a:ext>
          </a:extLst>
        </xdr:cNvPr>
        <xdr:cNvSpPr>
          <a:spLocks/>
        </xdr:cNvSpPr>
      </xdr:nvSpPr>
      <xdr:spPr bwMode="auto">
        <a:xfrm>
          <a:off x="2238543" y="5092074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285</xdr:row>
      <xdr:rowOff>166730</xdr:rowOff>
    </xdr:from>
    <xdr:to>
      <xdr:col>3</xdr:col>
      <xdr:colOff>3314</xdr:colOff>
      <xdr:row>287</xdr:row>
      <xdr:rowOff>170487</xdr:rowOff>
    </xdr:to>
    <xdr:sp macro="" textlink="">
      <xdr:nvSpPr>
        <xdr:cNvPr id="734" name="0/0">
          <a:extLst>
            <a:ext uri="{FF2B5EF4-FFF2-40B4-BE49-F238E27FC236}">
              <a16:creationId xmlns:a16="http://schemas.microsoft.com/office/drawing/2014/main" id="{3CD61A9B-9B34-48D7-BC37-F04017A46806}"/>
            </a:ext>
          </a:extLst>
        </xdr:cNvPr>
        <xdr:cNvSpPr>
          <a:spLocks noChangeArrowheads="1"/>
        </xdr:cNvSpPr>
      </xdr:nvSpPr>
      <xdr:spPr bwMode="auto">
        <a:xfrm>
          <a:off x="509158" y="5092228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285</xdr:row>
      <xdr:rowOff>165199</xdr:rowOff>
    </xdr:from>
    <xdr:to>
      <xdr:col>6</xdr:col>
      <xdr:colOff>203113</xdr:colOff>
      <xdr:row>286</xdr:row>
      <xdr:rowOff>76914</xdr:rowOff>
    </xdr:to>
    <xdr:sp macro="" textlink="">
      <xdr:nvSpPr>
        <xdr:cNvPr id="735" name="Freeform 10708">
          <a:extLst>
            <a:ext uri="{FF2B5EF4-FFF2-40B4-BE49-F238E27FC236}">
              <a16:creationId xmlns:a16="http://schemas.microsoft.com/office/drawing/2014/main" id="{9F035BC4-6F27-4613-9E2A-3B008D0C5F81}"/>
            </a:ext>
          </a:extLst>
        </xdr:cNvPr>
        <xdr:cNvSpPr>
          <a:spLocks/>
        </xdr:cNvSpPr>
      </xdr:nvSpPr>
      <xdr:spPr bwMode="auto">
        <a:xfrm>
          <a:off x="1479463" y="5092074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285</xdr:row>
      <xdr:rowOff>148037</xdr:rowOff>
    </xdr:from>
    <xdr:to>
      <xdr:col>11</xdr:col>
      <xdr:colOff>4382</xdr:colOff>
      <xdr:row>287</xdr:row>
      <xdr:rowOff>174708</xdr:rowOff>
    </xdr:to>
    <xdr:sp macro="" textlink="">
      <xdr:nvSpPr>
        <xdr:cNvPr id="736" name="3">
          <a:extLst>
            <a:ext uri="{FF2B5EF4-FFF2-40B4-BE49-F238E27FC236}">
              <a16:creationId xmlns:a16="http://schemas.microsoft.com/office/drawing/2014/main" id="{1566C94D-1F23-41F3-8E68-0B35D3B56635}"/>
            </a:ext>
          </a:extLst>
        </xdr:cNvPr>
        <xdr:cNvSpPr>
          <a:spLocks noChangeArrowheads="1"/>
        </xdr:cNvSpPr>
      </xdr:nvSpPr>
      <xdr:spPr bwMode="auto">
        <a:xfrm>
          <a:off x="3582124" y="5090358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285</xdr:row>
      <xdr:rowOff>166999</xdr:rowOff>
    </xdr:from>
    <xdr:to>
      <xdr:col>9</xdr:col>
      <xdr:colOff>2364</xdr:colOff>
      <xdr:row>287</xdr:row>
      <xdr:rowOff>172437</xdr:rowOff>
    </xdr:to>
    <xdr:sp macro="" textlink="">
      <xdr:nvSpPr>
        <xdr:cNvPr id="737" name="0/0">
          <a:extLst>
            <a:ext uri="{FF2B5EF4-FFF2-40B4-BE49-F238E27FC236}">
              <a16:creationId xmlns:a16="http://schemas.microsoft.com/office/drawing/2014/main" id="{01424831-C411-4703-B54C-F301F1BD2908}"/>
            </a:ext>
          </a:extLst>
        </xdr:cNvPr>
        <xdr:cNvSpPr>
          <a:spLocks noChangeArrowheads="1"/>
        </xdr:cNvSpPr>
      </xdr:nvSpPr>
      <xdr:spPr bwMode="auto">
        <a:xfrm>
          <a:off x="2823228" y="5092254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285</xdr:row>
      <xdr:rowOff>154217</xdr:rowOff>
    </xdr:from>
    <xdr:to>
      <xdr:col>12</xdr:col>
      <xdr:colOff>263087</xdr:colOff>
      <xdr:row>286</xdr:row>
      <xdr:rowOff>78963</xdr:rowOff>
    </xdr:to>
    <xdr:sp macro="" textlink="">
      <xdr:nvSpPr>
        <xdr:cNvPr id="738" name="Freeform 10708">
          <a:extLst>
            <a:ext uri="{FF2B5EF4-FFF2-40B4-BE49-F238E27FC236}">
              <a16:creationId xmlns:a16="http://schemas.microsoft.com/office/drawing/2014/main" id="{FCD166BF-2714-4C12-AFC9-835A3D5C8D54}"/>
            </a:ext>
          </a:extLst>
        </xdr:cNvPr>
        <xdr:cNvSpPr>
          <a:spLocks/>
        </xdr:cNvSpPr>
      </xdr:nvSpPr>
      <xdr:spPr bwMode="auto">
        <a:xfrm>
          <a:off x="3768244" y="5090976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285</xdr:row>
      <xdr:rowOff>154217</xdr:rowOff>
    </xdr:from>
    <xdr:to>
      <xdr:col>10</xdr:col>
      <xdr:colOff>196114</xdr:colOff>
      <xdr:row>286</xdr:row>
      <xdr:rowOff>67057</xdr:rowOff>
    </xdr:to>
    <xdr:sp macro="" textlink="">
      <xdr:nvSpPr>
        <xdr:cNvPr id="739" name="Freeform 10708">
          <a:extLst>
            <a:ext uri="{FF2B5EF4-FFF2-40B4-BE49-F238E27FC236}">
              <a16:creationId xmlns:a16="http://schemas.microsoft.com/office/drawing/2014/main" id="{1BA9D1A0-279F-433D-9E60-EA91D0A722B4}"/>
            </a:ext>
          </a:extLst>
        </xdr:cNvPr>
        <xdr:cNvSpPr>
          <a:spLocks/>
        </xdr:cNvSpPr>
      </xdr:nvSpPr>
      <xdr:spPr bwMode="auto">
        <a:xfrm>
          <a:off x="3014363" y="5090976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285</xdr:row>
      <xdr:rowOff>150168</xdr:rowOff>
    </xdr:from>
    <xdr:to>
      <xdr:col>15</xdr:col>
      <xdr:colOff>1</xdr:colOff>
      <xdr:row>288</xdr:row>
      <xdr:rowOff>6977</xdr:rowOff>
    </xdr:to>
    <xdr:sp macro="" textlink="">
      <xdr:nvSpPr>
        <xdr:cNvPr id="740" name="3">
          <a:extLst>
            <a:ext uri="{FF2B5EF4-FFF2-40B4-BE49-F238E27FC236}">
              <a16:creationId xmlns:a16="http://schemas.microsoft.com/office/drawing/2014/main" id="{8A515019-9D9A-4C3A-81F5-06726CADD558}"/>
            </a:ext>
          </a:extLst>
        </xdr:cNvPr>
        <xdr:cNvSpPr>
          <a:spLocks noChangeArrowheads="1"/>
        </xdr:cNvSpPr>
      </xdr:nvSpPr>
      <xdr:spPr bwMode="auto">
        <a:xfrm>
          <a:off x="5015271" y="50905718"/>
          <a:ext cx="401280" cy="415609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285</xdr:row>
      <xdr:rowOff>166570</xdr:rowOff>
    </xdr:from>
    <xdr:to>
      <xdr:col>13</xdr:col>
      <xdr:colOff>3582</xdr:colOff>
      <xdr:row>287</xdr:row>
      <xdr:rowOff>172008</xdr:rowOff>
    </xdr:to>
    <xdr:sp macro="" textlink="">
      <xdr:nvSpPr>
        <xdr:cNvPr id="741" name="0/0">
          <a:extLst>
            <a:ext uri="{FF2B5EF4-FFF2-40B4-BE49-F238E27FC236}">
              <a16:creationId xmlns:a16="http://schemas.microsoft.com/office/drawing/2014/main" id="{F8EC566A-4A4C-4EB2-85A1-F7C636640884}"/>
            </a:ext>
          </a:extLst>
        </xdr:cNvPr>
        <xdr:cNvSpPr>
          <a:spLocks noChangeArrowheads="1"/>
        </xdr:cNvSpPr>
      </xdr:nvSpPr>
      <xdr:spPr bwMode="auto">
        <a:xfrm>
          <a:off x="4334750" y="50922120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285</xdr:row>
      <xdr:rowOff>165199</xdr:rowOff>
    </xdr:from>
    <xdr:to>
      <xdr:col>18</xdr:col>
      <xdr:colOff>188991</xdr:colOff>
      <xdr:row>286</xdr:row>
      <xdr:rowOff>81317</xdr:rowOff>
    </xdr:to>
    <xdr:sp macro="" textlink="">
      <xdr:nvSpPr>
        <xdr:cNvPr id="742" name="Freeform 10708">
          <a:extLst>
            <a:ext uri="{FF2B5EF4-FFF2-40B4-BE49-F238E27FC236}">
              <a16:creationId xmlns:a16="http://schemas.microsoft.com/office/drawing/2014/main" id="{27836FE1-7979-42AF-83E5-2F22BB73E9EF}"/>
            </a:ext>
          </a:extLst>
        </xdr:cNvPr>
        <xdr:cNvSpPr>
          <a:spLocks/>
        </xdr:cNvSpPr>
      </xdr:nvSpPr>
      <xdr:spPr bwMode="auto">
        <a:xfrm>
          <a:off x="5188268" y="5092074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285</xdr:row>
      <xdr:rowOff>156571</xdr:rowOff>
    </xdr:from>
    <xdr:to>
      <xdr:col>14</xdr:col>
      <xdr:colOff>193738</xdr:colOff>
      <xdr:row>286</xdr:row>
      <xdr:rowOff>69411</xdr:rowOff>
    </xdr:to>
    <xdr:sp macro="" textlink="">
      <xdr:nvSpPr>
        <xdr:cNvPr id="743" name="Freeform 10708">
          <a:extLst>
            <a:ext uri="{FF2B5EF4-FFF2-40B4-BE49-F238E27FC236}">
              <a16:creationId xmlns:a16="http://schemas.microsoft.com/office/drawing/2014/main" id="{106E581A-27B7-4CF5-97C1-E6D0AEA65F10}"/>
            </a:ext>
          </a:extLst>
        </xdr:cNvPr>
        <xdr:cNvSpPr>
          <a:spLocks/>
        </xdr:cNvSpPr>
      </xdr:nvSpPr>
      <xdr:spPr bwMode="auto">
        <a:xfrm>
          <a:off x="4531940" y="5091212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285</xdr:row>
      <xdr:rowOff>166920</xdr:rowOff>
    </xdr:from>
    <xdr:to>
      <xdr:col>21</xdr:col>
      <xdr:colOff>257</xdr:colOff>
      <xdr:row>288</xdr:row>
      <xdr:rowOff>3810</xdr:rowOff>
    </xdr:to>
    <xdr:sp macro="" textlink="">
      <xdr:nvSpPr>
        <xdr:cNvPr id="744" name="3">
          <a:extLst>
            <a:ext uri="{FF2B5EF4-FFF2-40B4-BE49-F238E27FC236}">
              <a16:creationId xmlns:a16="http://schemas.microsoft.com/office/drawing/2014/main" id="{8556955B-FD6E-4E6D-8153-CFFA52EA25A8}"/>
            </a:ext>
          </a:extLst>
        </xdr:cNvPr>
        <xdr:cNvSpPr>
          <a:spLocks noChangeArrowheads="1"/>
        </xdr:cNvSpPr>
      </xdr:nvSpPr>
      <xdr:spPr bwMode="auto">
        <a:xfrm>
          <a:off x="7381572" y="5092247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362259</xdr:colOff>
      <xdr:row>285</xdr:row>
      <xdr:rowOff>167845</xdr:rowOff>
    </xdr:from>
    <xdr:to>
      <xdr:col>19</xdr:col>
      <xdr:colOff>3818</xdr:colOff>
      <xdr:row>287</xdr:row>
      <xdr:rowOff>173283</xdr:rowOff>
    </xdr:to>
    <xdr:sp macro="" textlink="">
      <xdr:nvSpPr>
        <xdr:cNvPr id="745" name="0/0">
          <a:extLst>
            <a:ext uri="{FF2B5EF4-FFF2-40B4-BE49-F238E27FC236}">
              <a16:creationId xmlns:a16="http://schemas.microsoft.com/office/drawing/2014/main" id="{DBF1E132-E4BB-4330-B87B-93BF54443A53}"/>
            </a:ext>
          </a:extLst>
        </xdr:cNvPr>
        <xdr:cNvSpPr>
          <a:spLocks noChangeArrowheads="1"/>
        </xdr:cNvSpPr>
      </xdr:nvSpPr>
      <xdr:spPr bwMode="auto">
        <a:xfrm>
          <a:off x="6578909" y="50923395"/>
          <a:ext cx="448009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285</xdr:row>
      <xdr:rowOff>162138</xdr:rowOff>
    </xdr:from>
    <xdr:to>
      <xdr:col>22</xdr:col>
      <xdr:colOff>191774</xdr:colOff>
      <xdr:row>286</xdr:row>
      <xdr:rowOff>79808</xdr:rowOff>
    </xdr:to>
    <xdr:sp macro="" textlink="">
      <xdr:nvSpPr>
        <xdr:cNvPr id="746" name="Freeform 10708">
          <a:extLst>
            <a:ext uri="{FF2B5EF4-FFF2-40B4-BE49-F238E27FC236}">
              <a16:creationId xmlns:a16="http://schemas.microsoft.com/office/drawing/2014/main" id="{A4080AF3-60A6-4C7C-9583-6B8B5D25528C}"/>
            </a:ext>
          </a:extLst>
        </xdr:cNvPr>
        <xdr:cNvSpPr>
          <a:spLocks/>
        </xdr:cNvSpPr>
      </xdr:nvSpPr>
      <xdr:spPr bwMode="auto">
        <a:xfrm>
          <a:off x="7578066" y="5091768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285</xdr:row>
      <xdr:rowOff>166471</xdr:rowOff>
    </xdr:from>
    <xdr:to>
      <xdr:col>20</xdr:col>
      <xdr:colOff>197505</xdr:colOff>
      <xdr:row>286</xdr:row>
      <xdr:rowOff>79033</xdr:rowOff>
    </xdr:to>
    <xdr:sp macro="" textlink="">
      <xdr:nvSpPr>
        <xdr:cNvPr id="747" name="Freeform 10708">
          <a:extLst>
            <a:ext uri="{FF2B5EF4-FFF2-40B4-BE49-F238E27FC236}">
              <a16:creationId xmlns:a16="http://schemas.microsoft.com/office/drawing/2014/main" id="{F5FFC658-1ECF-4AF8-9D0B-4A64E44A42CA}"/>
            </a:ext>
          </a:extLst>
        </xdr:cNvPr>
        <xdr:cNvSpPr>
          <a:spLocks/>
        </xdr:cNvSpPr>
      </xdr:nvSpPr>
      <xdr:spPr bwMode="auto">
        <a:xfrm>
          <a:off x="6820556" y="5092202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285</xdr:row>
      <xdr:rowOff>151445</xdr:rowOff>
    </xdr:from>
    <xdr:to>
      <xdr:col>25</xdr:col>
      <xdr:colOff>7044</xdr:colOff>
      <xdr:row>287</xdr:row>
      <xdr:rowOff>178116</xdr:rowOff>
    </xdr:to>
    <xdr:sp macro="" textlink="">
      <xdr:nvSpPr>
        <xdr:cNvPr id="748" name="3">
          <a:extLst>
            <a:ext uri="{FF2B5EF4-FFF2-40B4-BE49-F238E27FC236}">
              <a16:creationId xmlns:a16="http://schemas.microsoft.com/office/drawing/2014/main" id="{FEDFB459-5445-4606-A783-883F976E6728}"/>
            </a:ext>
          </a:extLst>
        </xdr:cNvPr>
        <xdr:cNvSpPr>
          <a:spLocks noChangeArrowheads="1"/>
        </xdr:cNvSpPr>
      </xdr:nvSpPr>
      <xdr:spPr bwMode="auto">
        <a:xfrm>
          <a:off x="8922785" y="5090699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285</xdr:row>
      <xdr:rowOff>170629</xdr:rowOff>
    </xdr:from>
    <xdr:to>
      <xdr:col>23</xdr:col>
      <xdr:colOff>3815</xdr:colOff>
      <xdr:row>287</xdr:row>
      <xdr:rowOff>176067</xdr:rowOff>
    </xdr:to>
    <xdr:sp macro="" textlink="">
      <xdr:nvSpPr>
        <xdr:cNvPr id="749" name="0/0">
          <a:extLst>
            <a:ext uri="{FF2B5EF4-FFF2-40B4-BE49-F238E27FC236}">
              <a16:creationId xmlns:a16="http://schemas.microsoft.com/office/drawing/2014/main" id="{6B0C08C3-18A7-4434-97A4-19F7F88633C9}"/>
            </a:ext>
          </a:extLst>
        </xdr:cNvPr>
        <xdr:cNvSpPr>
          <a:spLocks noChangeArrowheads="1"/>
        </xdr:cNvSpPr>
      </xdr:nvSpPr>
      <xdr:spPr bwMode="auto">
        <a:xfrm>
          <a:off x="8169742" y="5092617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181644</xdr:colOff>
      <xdr:row>285</xdr:row>
      <xdr:rowOff>156572</xdr:rowOff>
    </xdr:from>
    <xdr:to>
      <xdr:col>26</xdr:col>
      <xdr:colOff>194557</xdr:colOff>
      <xdr:row>286</xdr:row>
      <xdr:rowOff>71461</xdr:rowOff>
    </xdr:to>
    <xdr:sp macro="" textlink="">
      <xdr:nvSpPr>
        <xdr:cNvPr id="750" name="Freeform 10708">
          <a:extLst>
            <a:ext uri="{FF2B5EF4-FFF2-40B4-BE49-F238E27FC236}">
              <a16:creationId xmlns:a16="http://schemas.microsoft.com/office/drawing/2014/main" id="{CBFCD9FF-3A23-47EE-A435-4238DF7CE1BA}"/>
            </a:ext>
          </a:extLst>
        </xdr:cNvPr>
        <xdr:cNvSpPr>
          <a:spLocks/>
        </xdr:cNvSpPr>
      </xdr:nvSpPr>
      <xdr:spPr bwMode="auto">
        <a:xfrm>
          <a:off x="9135144" y="50912122"/>
          <a:ext cx="819363" cy="9903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200833</xdr:colOff>
      <xdr:row>285</xdr:row>
      <xdr:rowOff>153790</xdr:rowOff>
    </xdr:from>
    <xdr:to>
      <xdr:col>24</xdr:col>
      <xdr:colOff>180643</xdr:colOff>
      <xdr:row>286</xdr:row>
      <xdr:rowOff>76252</xdr:rowOff>
    </xdr:to>
    <xdr:sp macro="" textlink="">
      <xdr:nvSpPr>
        <xdr:cNvPr id="751" name="Freeform 10708">
          <a:extLst>
            <a:ext uri="{FF2B5EF4-FFF2-40B4-BE49-F238E27FC236}">
              <a16:creationId xmlns:a16="http://schemas.microsoft.com/office/drawing/2014/main" id="{BAFEE81F-C500-481E-B0AC-E694FE4E54ED}"/>
            </a:ext>
          </a:extLst>
        </xdr:cNvPr>
        <xdr:cNvSpPr>
          <a:spLocks/>
        </xdr:cNvSpPr>
      </xdr:nvSpPr>
      <xdr:spPr bwMode="auto">
        <a:xfrm>
          <a:off x="8366933" y="5090934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706</xdr:colOff>
      <xdr:row>285</xdr:row>
      <xdr:rowOff>168222</xdr:rowOff>
    </xdr:from>
    <xdr:to>
      <xdr:col>27</xdr:col>
      <xdr:colOff>3614</xdr:colOff>
      <xdr:row>287</xdr:row>
      <xdr:rowOff>173938</xdr:rowOff>
    </xdr:to>
    <xdr:sp macro="" textlink="">
      <xdr:nvSpPr>
        <xdr:cNvPr id="752" name="0/0">
          <a:extLst>
            <a:ext uri="{FF2B5EF4-FFF2-40B4-BE49-F238E27FC236}">
              <a16:creationId xmlns:a16="http://schemas.microsoft.com/office/drawing/2014/main" id="{5483D04E-8994-411A-955C-4B050E25A286}"/>
            </a:ext>
          </a:extLst>
        </xdr:cNvPr>
        <xdr:cNvSpPr>
          <a:spLocks noChangeArrowheads="1"/>
        </xdr:cNvSpPr>
      </xdr:nvSpPr>
      <xdr:spPr bwMode="auto">
        <a:xfrm>
          <a:off x="9760656" y="509237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198490</xdr:colOff>
      <xdr:row>285</xdr:row>
      <xdr:rowOff>156573</xdr:rowOff>
    </xdr:from>
    <xdr:to>
      <xdr:col>28</xdr:col>
      <xdr:colOff>197339</xdr:colOff>
      <xdr:row>286</xdr:row>
      <xdr:rowOff>61931</xdr:rowOff>
    </xdr:to>
    <xdr:sp macro="" textlink="">
      <xdr:nvSpPr>
        <xdr:cNvPr id="753" name="Freeform 10708">
          <a:extLst>
            <a:ext uri="{FF2B5EF4-FFF2-40B4-BE49-F238E27FC236}">
              <a16:creationId xmlns:a16="http://schemas.microsoft.com/office/drawing/2014/main" id="{57ACCB8B-9FCF-4E8E-8CA3-91DE3669AC7B}"/>
            </a:ext>
          </a:extLst>
        </xdr:cNvPr>
        <xdr:cNvSpPr>
          <a:spLocks/>
        </xdr:cNvSpPr>
      </xdr:nvSpPr>
      <xdr:spPr bwMode="auto">
        <a:xfrm>
          <a:off x="9958440" y="50912123"/>
          <a:ext cx="805299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285</xdr:row>
      <xdr:rowOff>146584</xdr:rowOff>
    </xdr:from>
    <xdr:to>
      <xdr:col>2</xdr:col>
      <xdr:colOff>170281</xdr:colOff>
      <xdr:row>286</xdr:row>
      <xdr:rowOff>70205</xdr:rowOff>
    </xdr:to>
    <xdr:sp macro="" textlink="">
      <xdr:nvSpPr>
        <xdr:cNvPr id="754" name="Freeform 10708">
          <a:extLst>
            <a:ext uri="{FF2B5EF4-FFF2-40B4-BE49-F238E27FC236}">
              <a16:creationId xmlns:a16="http://schemas.microsoft.com/office/drawing/2014/main" id="{6BA2FFEB-85C0-4B28-BAB9-2BCF1EF3E993}"/>
            </a:ext>
          </a:extLst>
        </xdr:cNvPr>
        <xdr:cNvSpPr>
          <a:spLocks/>
        </xdr:cNvSpPr>
      </xdr:nvSpPr>
      <xdr:spPr bwMode="auto">
        <a:xfrm>
          <a:off x="0" y="5090213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706</xdr:colOff>
      <xdr:row>285</xdr:row>
      <xdr:rowOff>168222</xdr:rowOff>
    </xdr:from>
    <xdr:to>
      <xdr:col>29</xdr:col>
      <xdr:colOff>3614</xdr:colOff>
      <xdr:row>287</xdr:row>
      <xdr:rowOff>173938</xdr:rowOff>
    </xdr:to>
    <xdr:sp macro="" textlink="">
      <xdr:nvSpPr>
        <xdr:cNvPr id="755" name="0/0">
          <a:extLst>
            <a:ext uri="{FF2B5EF4-FFF2-40B4-BE49-F238E27FC236}">
              <a16:creationId xmlns:a16="http://schemas.microsoft.com/office/drawing/2014/main" id="{F9213747-4EAC-4EF5-85E7-E8BAB9C0510B}"/>
            </a:ext>
          </a:extLst>
        </xdr:cNvPr>
        <xdr:cNvSpPr>
          <a:spLocks noChangeArrowheads="1"/>
        </xdr:cNvSpPr>
      </xdr:nvSpPr>
      <xdr:spPr bwMode="auto">
        <a:xfrm>
          <a:off x="10567106" y="50923772"/>
          <a:ext cx="40295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706</xdr:colOff>
      <xdr:row>285</xdr:row>
      <xdr:rowOff>168222</xdr:rowOff>
    </xdr:from>
    <xdr:to>
      <xdr:col>31</xdr:col>
      <xdr:colOff>3614</xdr:colOff>
      <xdr:row>287</xdr:row>
      <xdr:rowOff>173938</xdr:rowOff>
    </xdr:to>
    <xdr:sp macro="" textlink="">
      <xdr:nvSpPr>
        <xdr:cNvPr id="756" name="0/0">
          <a:extLst>
            <a:ext uri="{FF2B5EF4-FFF2-40B4-BE49-F238E27FC236}">
              <a16:creationId xmlns:a16="http://schemas.microsoft.com/office/drawing/2014/main" id="{014EFE43-A7A6-4F0A-BC91-3C3CB9A66E03}"/>
            </a:ext>
          </a:extLst>
        </xdr:cNvPr>
        <xdr:cNvSpPr>
          <a:spLocks noChangeArrowheads="1"/>
        </xdr:cNvSpPr>
      </xdr:nvSpPr>
      <xdr:spPr bwMode="auto">
        <a:xfrm>
          <a:off x="11329106" y="50923772"/>
          <a:ext cx="409308" cy="374016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212912</xdr:colOff>
      <xdr:row>285</xdr:row>
      <xdr:rowOff>179294</xdr:rowOff>
    </xdr:from>
    <xdr:to>
      <xdr:col>30</xdr:col>
      <xdr:colOff>245379</xdr:colOff>
      <xdr:row>286</xdr:row>
      <xdr:rowOff>84652</xdr:rowOff>
    </xdr:to>
    <xdr:sp macro="" textlink="">
      <xdr:nvSpPr>
        <xdr:cNvPr id="757" name="Freeform 10708">
          <a:extLst>
            <a:ext uri="{FF2B5EF4-FFF2-40B4-BE49-F238E27FC236}">
              <a16:creationId xmlns:a16="http://schemas.microsoft.com/office/drawing/2014/main" id="{08F81D41-4E23-4C59-8779-2D07C27B2D05}"/>
            </a:ext>
          </a:extLst>
        </xdr:cNvPr>
        <xdr:cNvSpPr>
          <a:spLocks/>
        </xdr:cNvSpPr>
      </xdr:nvSpPr>
      <xdr:spPr bwMode="auto">
        <a:xfrm>
          <a:off x="10779312" y="50934844"/>
          <a:ext cx="794467" cy="8950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360540</xdr:colOff>
      <xdr:row>296</xdr:row>
      <xdr:rowOff>150052</xdr:rowOff>
    </xdr:from>
    <xdr:to>
      <xdr:col>7</xdr:col>
      <xdr:colOff>8115</xdr:colOff>
      <xdr:row>298</xdr:row>
      <xdr:rowOff>177279</xdr:rowOff>
    </xdr:to>
    <xdr:sp macro="" textlink="">
      <xdr:nvSpPr>
        <xdr:cNvPr id="758" name="3">
          <a:extLst>
            <a:ext uri="{FF2B5EF4-FFF2-40B4-BE49-F238E27FC236}">
              <a16:creationId xmlns:a16="http://schemas.microsoft.com/office/drawing/2014/main" id="{80BF8AE6-7E03-4144-8F7D-D02A5894E12D}"/>
            </a:ext>
          </a:extLst>
        </xdr:cNvPr>
        <xdr:cNvSpPr>
          <a:spLocks noChangeArrowheads="1"/>
        </xdr:cNvSpPr>
      </xdr:nvSpPr>
      <xdr:spPr bwMode="auto">
        <a:xfrm>
          <a:off x="2036940" y="52804252"/>
          <a:ext cx="409575" cy="39552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2548</xdr:colOff>
      <xdr:row>296</xdr:row>
      <xdr:rowOff>167356</xdr:rowOff>
    </xdr:from>
    <xdr:to>
      <xdr:col>5</xdr:col>
      <xdr:colOff>4705</xdr:colOff>
      <xdr:row>298</xdr:row>
      <xdr:rowOff>171669</xdr:rowOff>
    </xdr:to>
    <xdr:sp macro="" textlink="">
      <xdr:nvSpPr>
        <xdr:cNvPr id="759" name="0/0">
          <a:extLst>
            <a:ext uri="{FF2B5EF4-FFF2-40B4-BE49-F238E27FC236}">
              <a16:creationId xmlns:a16="http://schemas.microsoft.com/office/drawing/2014/main" id="{3EC115E4-F5BD-4CE8-AC8E-AA96F2662B4A}"/>
            </a:ext>
          </a:extLst>
        </xdr:cNvPr>
        <xdr:cNvSpPr>
          <a:spLocks noChangeArrowheads="1"/>
        </xdr:cNvSpPr>
      </xdr:nvSpPr>
      <xdr:spPr bwMode="auto">
        <a:xfrm>
          <a:off x="1278898" y="52821556"/>
          <a:ext cx="402207" cy="372613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200955</xdr:colOff>
      <xdr:row>296</xdr:row>
      <xdr:rowOff>165198</xdr:rowOff>
    </xdr:from>
    <xdr:to>
      <xdr:col>4</xdr:col>
      <xdr:colOff>200955</xdr:colOff>
      <xdr:row>297</xdr:row>
      <xdr:rowOff>76913</xdr:rowOff>
    </xdr:to>
    <xdr:sp macro="" textlink="">
      <xdr:nvSpPr>
        <xdr:cNvPr id="760" name="Freeform 10708">
          <a:extLst>
            <a:ext uri="{FF2B5EF4-FFF2-40B4-BE49-F238E27FC236}">
              <a16:creationId xmlns:a16="http://schemas.microsoft.com/office/drawing/2014/main" id="{791A7AA8-91B8-451A-A8F6-7141F58D90DD}"/>
            </a:ext>
          </a:extLst>
        </xdr:cNvPr>
        <xdr:cNvSpPr>
          <a:spLocks/>
        </xdr:cNvSpPr>
      </xdr:nvSpPr>
      <xdr:spPr bwMode="auto">
        <a:xfrm>
          <a:off x="708955" y="52819398"/>
          <a:ext cx="7683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181143</xdr:colOff>
      <xdr:row>296</xdr:row>
      <xdr:rowOff>165199</xdr:rowOff>
    </xdr:from>
    <xdr:to>
      <xdr:col>8</xdr:col>
      <xdr:colOff>202575</xdr:colOff>
      <xdr:row>297</xdr:row>
      <xdr:rowOff>88820</xdr:rowOff>
    </xdr:to>
    <xdr:sp macro="" textlink="">
      <xdr:nvSpPr>
        <xdr:cNvPr id="761" name="Freeform 10708">
          <a:extLst>
            <a:ext uri="{FF2B5EF4-FFF2-40B4-BE49-F238E27FC236}">
              <a16:creationId xmlns:a16="http://schemas.microsoft.com/office/drawing/2014/main" id="{D618F903-AF54-4755-94A4-6B14CFE79097}"/>
            </a:ext>
          </a:extLst>
        </xdr:cNvPr>
        <xdr:cNvSpPr>
          <a:spLocks/>
        </xdr:cNvSpPr>
      </xdr:nvSpPr>
      <xdr:spPr bwMode="auto">
        <a:xfrm>
          <a:off x="2238543" y="52819399"/>
          <a:ext cx="789782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1158</xdr:colOff>
      <xdr:row>296</xdr:row>
      <xdr:rowOff>166730</xdr:rowOff>
    </xdr:from>
    <xdr:to>
      <xdr:col>3</xdr:col>
      <xdr:colOff>3314</xdr:colOff>
      <xdr:row>298</xdr:row>
      <xdr:rowOff>170487</xdr:rowOff>
    </xdr:to>
    <xdr:sp macro="" textlink="">
      <xdr:nvSpPr>
        <xdr:cNvPr id="762" name="0/0">
          <a:extLst>
            <a:ext uri="{FF2B5EF4-FFF2-40B4-BE49-F238E27FC236}">
              <a16:creationId xmlns:a16="http://schemas.microsoft.com/office/drawing/2014/main" id="{9617394E-19F5-4B3B-87B1-442917A1BEFD}"/>
            </a:ext>
          </a:extLst>
        </xdr:cNvPr>
        <xdr:cNvSpPr>
          <a:spLocks noChangeArrowheads="1"/>
        </xdr:cNvSpPr>
      </xdr:nvSpPr>
      <xdr:spPr bwMode="auto">
        <a:xfrm>
          <a:off x="509158" y="52820930"/>
          <a:ext cx="402206" cy="372057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203113</xdr:colOff>
      <xdr:row>296</xdr:row>
      <xdr:rowOff>165199</xdr:rowOff>
    </xdr:from>
    <xdr:to>
      <xdr:col>6</xdr:col>
      <xdr:colOff>203113</xdr:colOff>
      <xdr:row>297</xdr:row>
      <xdr:rowOff>76914</xdr:rowOff>
    </xdr:to>
    <xdr:sp macro="" textlink="">
      <xdr:nvSpPr>
        <xdr:cNvPr id="763" name="Freeform 10708">
          <a:extLst>
            <a:ext uri="{FF2B5EF4-FFF2-40B4-BE49-F238E27FC236}">
              <a16:creationId xmlns:a16="http://schemas.microsoft.com/office/drawing/2014/main" id="{C3313E26-100F-4B70-9F42-AD2F33425EE8}"/>
            </a:ext>
          </a:extLst>
        </xdr:cNvPr>
        <xdr:cNvSpPr>
          <a:spLocks/>
        </xdr:cNvSpPr>
      </xdr:nvSpPr>
      <xdr:spPr bwMode="auto">
        <a:xfrm>
          <a:off x="1479463" y="52819399"/>
          <a:ext cx="781050" cy="9586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356324</xdr:colOff>
      <xdr:row>296</xdr:row>
      <xdr:rowOff>148037</xdr:rowOff>
    </xdr:from>
    <xdr:to>
      <xdr:col>11</xdr:col>
      <xdr:colOff>4382</xdr:colOff>
      <xdr:row>298</xdr:row>
      <xdr:rowOff>174708</xdr:rowOff>
    </xdr:to>
    <xdr:sp macro="" textlink="">
      <xdr:nvSpPr>
        <xdr:cNvPr id="764" name="3">
          <a:extLst>
            <a:ext uri="{FF2B5EF4-FFF2-40B4-BE49-F238E27FC236}">
              <a16:creationId xmlns:a16="http://schemas.microsoft.com/office/drawing/2014/main" id="{F95355FE-3741-4F50-BE8D-0EB0CEE1E03F}"/>
            </a:ext>
          </a:extLst>
        </xdr:cNvPr>
        <xdr:cNvSpPr>
          <a:spLocks noChangeArrowheads="1"/>
        </xdr:cNvSpPr>
      </xdr:nvSpPr>
      <xdr:spPr bwMode="auto">
        <a:xfrm>
          <a:off x="3582124" y="52802237"/>
          <a:ext cx="403708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429278</xdr:colOff>
      <xdr:row>296</xdr:row>
      <xdr:rowOff>166999</xdr:rowOff>
    </xdr:from>
    <xdr:to>
      <xdr:col>9</xdr:col>
      <xdr:colOff>2364</xdr:colOff>
      <xdr:row>298</xdr:row>
      <xdr:rowOff>172437</xdr:rowOff>
    </xdr:to>
    <xdr:sp macro="" textlink="">
      <xdr:nvSpPr>
        <xdr:cNvPr id="765" name="0/0">
          <a:extLst>
            <a:ext uri="{FF2B5EF4-FFF2-40B4-BE49-F238E27FC236}">
              <a16:creationId xmlns:a16="http://schemas.microsoft.com/office/drawing/2014/main" id="{FE67878C-B0BD-4359-8401-62279E0219C7}"/>
            </a:ext>
          </a:extLst>
        </xdr:cNvPr>
        <xdr:cNvSpPr>
          <a:spLocks noChangeArrowheads="1"/>
        </xdr:cNvSpPr>
      </xdr:nvSpPr>
      <xdr:spPr bwMode="auto">
        <a:xfrm>
          <a:off x="2823228" y="52821199"/>
          <a:ext cx="404936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174144</xdr:colOff>
      <xdr:row>296</xdr:row>
      <xdr:rowOff>154217</xdr:rowOff>
    </xdr:from>
    <xdr:to>
      <xdr:col>12</xdr:col>
      <xdr:colOff>263087</xdr:colOff>
      <xdr:row>297</xdr:row>
      <xdr:rowOff>78963</xdr:rowOff>
    </xdr:to>
    <xdr:sp macro="" textlink="">
      <xdr:nvSpPr>
        <xdr:cNvPr id="766" name="Freeform 10708">
          <a:extLst>
            <a:ext uri="{FF2B5EF4-FFF2-40B4-BE49-F238E27FC236}">
              <a16:creationId xmlns:a16="http://schemas.microsoft.com/office/drawing/2014/main" id="{A7F82EA8-F2A1-4389-9BD9-A61BD6388766}"/>
            </a:ext>
          </a:extLst>
        </xdr:cNvPr>
        <xdr:cNvSpPr>
          <a:spLocks/>
        </xdr:cNvSpPr>
      </xdr:nvSpPr>
      <xdr:spPr bwMode="auto">
        <a:xfrm>
          <a:off x="3768244" y="52808417"/>
          <a:ext cx="825543" cy="10889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188613</xdr:colOff>
      <xdr:row>296</xdr:row>
      <xdr:rowOff>154217</xdr:rowOff>
    </xdr:from>
    <xdr:to>
      <xdr:col>10</xdr:col>
      <xdr:colOff>196114</xdr:colOff>
      <xdr:row>297</xdr:row>
      <xdr:rowOff>67057</xdr:rowOff>
    </xdr:to>
    <xdr:sp macro="" textlink="">
      <xdr:nvSpPr>
        <xdr:cNvPr id="767" name="Freeform 10708">
          <a:extLst>
            <a:ext uri="{FF2B5EF4-FFF2-40B4-BE49-F238E27FC236}">
              <a16:creationId xmlns:a16="http://schemas.microsoft.com/office/drawing/2014/main" id="{958FCAD2-106A-4325-BD59-E9E43138574F}"/>
            </a:ext>
          </a:extLst>
        </xdr:cNvPr>
        <xdr:cNvSpPr>
          <a:spLocks/>
        </xdr:cNvSpPr>
      </xdr:nvSpPr>
      <xdr:spPr bwMode="auto">
        <a:xfrm>
          <a:off x="3014363" y="52808417"/>
          <a:ext cx="775851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297221</xdr:colOff>
      <xdr:row>296</xdr:row>
      <xdr:rowOff>150168</xdr:rowOff>
    </xdr:from>
    <xdr:to>
      <xdr:col>14</xdr:col>
      <xdr:colOff>383792</xdr:colOff>
      <xdr:row>298</xdr:row>
      <xdr:rowOff>188406</xdr:rowOff>
    </xdr:to>
    <xdr:sp macro="" textlink="">
      <xdr:nvSpPr>
        <xdr:cNvPr id="768" name="3">
          <a:extLst>
            <a:ext uri="{FF2B5EF4-FFF2-40B4-BE49-F238E27FC236}">
              <a16:creationId xmlns:a16="http://schemas.microsoft.com/office/drawing/2014/main" id="{083BA78F-3A35-4B1A-8ECE-B7657548710E}"/>
            </a:ext>
          </a:extLst>
        </xdr:cNvPr>
        <xdr:cNvSpPr>
          <a:spLocks noChangeArrowheads="1"/>
        </xdr:cNvSpPr>
      </xdr:nvSpPr>
      <xdr:spPr bwMode="auto">
        <a:xfrm>
          <a:off x="5015271" y="52804368"/>
          <a:ext cx="385021" cy="4065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4050</xdr:colOff>
      <xdr:row>296</xdr:row>
      <xdr:rowOff>166570</xdr:rowOff>
    </xdr:from>
    <xdr:to>
      <xdr:col>13</xdr:col>
      <xdr:colOff>3582</xdr:colOff>
      <xdr:row>298</xdr:row>
      <xdr:rowOff>172008</xdr:rowOff>
    </xdr:to>
    <xdr:sp macro="" textlink="">
      <xdr:nvSpPr>
        <xdr:cNvPr id="769" name="0/0">
          <a:extLst>
            <a:ext uri="{FF2B5EF4-FFF2-40B4-BE49-F238E27FC236}">
              <a16:creationId xmlns:a16="http://schemas.microsoft.com/office/drawing/2014/main" id="{8D644FCE-D284-4768-91F0-9DAA150C0C8B}"/>
            </a:ext>
          </a:extLst>
        </xdr:cNvPr>
        <xdr:cNvSpPr>
          <a:spLocks noChangeArrowheads="1"/>
        </xdr:cNvSpPr>
      </xdr:nvSpPr>
      <xdr:spPr bwMode="auto">
        <a:xfrm>
          <a:off x="4334750" y="52820770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171768</xdr:colOff>
      <xdr:row>296</xdr:row>
      <xdr:rowOff>165199</xdr:rowOff>
    </xdr:from>
    <xdr:to>
      <xdr:col>18</xdr:col>
      <xdr:colOff>188991</xdr:colOff>
      <xdr:row>297</xdr:row>
      <xdr:rowOff>81317</xdr:rowOff>
    </xdr:to>
    <xdr:sp macro="" textlink="">
      <xdr:nvSpPr>
        <xdr:cNvPr id="770" name="Freeform 10708">
          <a:extLst>
            <a:ext uri="{FF2B5EF4-FFF2-40B4-BE49-F238E27FC236}">
              <a16:creationId xmlns:a16="http://schemas.microsoft.com/office/drawing/2014/main" id="{182CDBA0-657C-4BAA-AAD2-862316CB7BF1}"/>
            </a:ext>
          </a:extLst>
        </xdr:cNvPr>
        <xdr:cNvSpPr>
          <a:spLocks/>
        </xdr:cNvSpPr>
      </xdr:nvSpPr>
      <xdr:spPr bwMode="auto">
        <a:xfrm>
          <a:off x="5188268" y="52819399"/>
          <a:ext cx="1623773" cy="100268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201240</xdr:colOff>
      <xdr:row>296</xdr:row>
      <xdr:rowOff>156571</xdr:rowOff>
    </xdr:from>
    <xdr:to>
      <xdr:col>14</xdr:col>
      <xdr:colOff>193738</xdr:colOff>
      <xdr:row>297</xdr:row>
      <xdr:rowOff>69411</xdr:rowOff>
    </xdr:to>
    <xdr:sp macro="" textlink="">
      <xdr:nvSpPr>
        <xdr:cNvPr id="771" name="Freeform 10708">
          <a:extLst>
            <a:ext uri="{FF2B5EF4-FFF2-40B4-BE49-F238E27FC236}">
              <a16:creationId xmlns:a16="http://schemas.microsoft.com/office/drawing/2014/main" id="{5049CE4D-8071-4746-834C-5CF1AE361C72}"/>
            </a:ext>
          </a:extLst>
        </xdr:cNvPr>
        <xdr:cNvSpPr>
          <a:spLocks/>
        </xdr:cNvSpPr>
      </xdr:nvSpPr>
      <xdr:spPr bwMode="auto">
        <a:xfrm>
          <a:off x="4531940" y="52810771"/>
          <a:ext cx="678298" cy="9699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358472</xdr:colOff>
      <xdr:row>296</xdr:row>
      <xdr:rowOff>166920</xdr:rowOff>
    </xdr:from>
    <xdr:to>
      <xdr:col>21</xdr:col>
      <xdr:colOff>257</xdr:colOff>
      <xdr:row>299</xdr:row>
      <xdr:rowOff>3810</xdr:rowOff>
    </xdr:to>
    <xdr:sp macro="" textlink="">
      <xdr:nvSpPr>
        <xdr:cNvPr id="772" name="3">
          <a:extLst>
            <a:ext uri="{FF2B5EF4-FFF2-40B4-BE49-F238E27FC236}">
              <a16:creationId xmlns:a16="http://schemas.microsoft.com/office/drawing/2014/main" id="{81936370-66F2-4434-B14E-DC70335CE00F}"/>
            </a:ext>
          </a:extLst>
        </xdr:cNvPr>
        <xdr:cNvSpPr>
          <a:spLocks noChangeArrowheads="1"/>
        </xdr:cNvSpPr>
      </xdr:nvSpPr>
      <xdr:spPr bwMode="auto">
        <a:xfrm>
          <a:off x="7381572" y="52821120"/>
          <a:ext cx="416485" cy="39569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383791</xdr:colOff>
      <xdr:row>296</xdr:row>
      <xdr:rowOff>167845</xdr:rowOff>
    </xdr:from>
    <xdr:to>
      <xdr:col>19</xdr:col>
      <xdr:colOff>3818</xdr:colOff>
      <xdr:row>298</xdr:row>
      <xdr:rowOff>173283</xdr:rowOff>
    </xdr:to>
    <xdr:sp macro="" textlink="">
      <xdr:nvSpPr>
        <xdr:cNvPr id="773" name="0/0">
          <a:extLst>
            <a:ext uri="{FF2B5EF4-FFF2-40B4-BE49-F238E27FC236}">
              <a16:creationId xmlns:a16="http://schemas.microsoft.com/office/drawing/2014/main" id="{8FAA4FB2-4BF6-4407-BC6E-AD08D152D7DD}"/>
            </a:ext>
          </a:extLst>
        </xdr:cNvPr>
        <xdr:cNvSpPr>
          <a:spLocks noChangeArrowheads="1"/>
        </xdr:cNvSpPr>
      </xdr:nvSpPr>
      <xdr:spPr bwMode="auto">
        <a:xfrm>
          <a:off x="6600441" y="52822045"/>
          <a:ext cx="426477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186666</xdr:colOff>
      <xdr:row>296</xdr:row>
      <xdr:rowOff>162138</xdr:rowOff>
    </xdr:from>
    <xdr:to>
      <xdr:col>22</xdr:col>
      <xdr:colOff>191774</xdr:colOff>
      <xdr:row>297</xdr:row>
      <xdr:rowOff>79808</xdr:rowOff>
    </xdr:to>
    <xdr:sp macro="" textlink="">
      <xdr:nvSpPr>
        <xdr:cNvPr id="774" name="Freeform 10708">
          <a:extLst>
            <a:ext uri="{FF2B5EF4-FFF2-40B4-BE49-F238E27FC236}">
              <a16:creationId xmlns:a16="http://schemas.microsoft.com/office/drawing/2014/main" id="{FCB74910-D22D-4E8C-B9CE-07664269A951}"/>
            </a:ext>
          </a:extLst>
        </xdr:cNvPr>
        <xdr:cNvSpPr>
          <a:spLocks/>
        </xdr:cNvSpPr>
      </xdr:nvSpPr>
      <xdr:spPr bwMode="auto">
        <a:xfrm>
          <a:off x="7578066" y="52816338"/>
          <a:ext cx="779808" cy="1018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197506</xdr:colOff>
      <xdr:row>296</xdr:row>
      <xdr:rowOff>166471</xdr:rowOff>
    </xdr:from>
    <xdr:to>
      <xdr:col>20</xdr:col>
      <xdr:colOff>197505</xdr:colOff>
      <xdr:row>297</xdr:row>
      <xdr:rowOff>79033</xdr:rowOff>
    </xdr:to>
    <xdr:sp macro="" textlink="">
      <xdr:nvSpPr>
        <xdr:cNvPr id="775" name="Freeform 10708">
          <a:extLst>
            <a:ext uri="{FF2B5EF4-FFF2-40B4-BE49-F238E27FC236}">
              <a16:creationId xmlns:a16="http://schemas.microsoft.com/office/drawing/2014/main" id="{8CA36BE2-BCAB-4A45-9497-856F618A1628}"/>
            </a:ext>
          </a:extLst>
        </xdr:cNvPr>
        <xdr:cNvSpPr>
          <a:spLocks/>
        </xdr:cNvSpPr>
      </xdr:nvSpPr>
      <xdr:spPr bwMode="auto">
        <a:xfrm>
          <a:off x="6820556" y="52820671"/>
          <a:ext cx="768349" cy="96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356635</xdr:colOff>
      <xdr:row>296</xdr:row>
      <xdr:rowOff>151445</xdr:rowOff>
    </xdr:from>
    <xdr:to>
      <xdr:col>25</xdr:col>
      <xdr:colOff>7044</xdr:colOff>
      <xdr:row>298</xdr:row>
      <xdr:rowOff>178116</xdr:rowOff>
    </xdr:to>
    <xdr:sp macro="" textlink="">
      <xdr:nvSpPr>
        <xdr:cNvPr id="776" name="3">
          <a:extLst>
            <a:ext uri="{FF2B5EF4-FFF2-40B4-BE49-F238E27FC236}">
              <a16:creationId xmlns:a16="http://schemas.microsoft.com/office/drawing/2014/main" id="{6C8FF015-ED0C-4561-ABA2-BFFDBA85BCBD}"/>
            </a:ext>
          </a:extLst>
        </xdr:cNvPr>
        <xdr:cNvSpPr>
          <a:spLocks noChangeArrowheads="1"/>
        </xdr:cNvSpPr>
      </xdr:nvSpPr>
      <xdr:spPr bwMode="auto">
        <a:xfrm>
          <a:off x="8922785" y="52805645"/>
          <a:ext cx="437809" cy="394971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3642</xdr:colOff>
      <xdr:row>296</xdr:row>
      <xdr:rowOff>170629</xdr:rowOff>
    </xdr:from>
    <xdr:to>
      <xdr:col>23</xdr:col>
      <xdr:colOff>3815</xdr:colOff>
      <xdr:row>298</xdr:row>
      <xdr:rowOff>176067</xdr:rowOff>
    </xdr:to>
    <xdr:sp macro="" textlink="">
      <xdr:nvSpPr>
        <xdr:cNvPr id="777" name="0/0">
          <a:extLst>
            <a:ext uri="{FF2B5EF4-FFF2-40B4-BE49-F238E27FC236}">
              <a16:creationId xmlns:a16="http://schemas.microsoft.com/office/drawing/2014/main" id="{547F0623-02A9-4279-8FF1-27E3EF369E19}"/>
            </a:ext>
          </a:extLst>
        </xdr:cNvPr>
        <xdr:cNvSpPr>
          <a:spLocks noChangeArrowheads="1"/>
        </xdr:cNvSpPr>
      </xdr:nvSpPr>
      <xdr:spPr bwMode="auto">
        <a:xfrm>
          <a:off x="8169742" y="52824829"/>
          <a:ext cx="400223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200833</xdr:colOff>
      <xdr:row>296</xdr:row>
      <xdr:rowOff>153790</xdr:rowOff>
    </xdr:from>
    <xdr:to>
      <xdr:col>24</xdr:col>
      <xdr:colOff>180643</xdr:colOff>
      <xdr:row>297</xdr:row>
      <xdr:rowOff>76252</xdr:rowOff>
    </xdr:to>
    <xdr:sp macro="" textlink="">
      <xdr:nvSpPr>
        <xdr:cNvPr id="778" name="Freeform 10708">
          <a:extLst>
            <a:ext uri="{FF2B5EF4-FFF2-40B4-BE49-F238E27FC236}">
              <a16:creationId xmlns:a16="http://schemas.microsoft.com/office/drawing/2014/main" id="{7997394A-9E45-4AF8-B9B3-DBD98A16C22D}"/>
            </a:ext>
          </a:extLst>
        </xdr:cNvPr>
        <xdr:cNvSpPr>
          <a:spLocks/>
        </xdr:cNvSpPr>
      </xdr:nvSpPr>
      <xdr:spPr bwMode="auto">
        <a:xfrm>
          <a:off x="8366933" y="52807990"/>
          <a:ext cx="767210" cy="1066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296</xdr:row>
      <xdr:rowOff>146584</xdr:rowOff>
    </xdr:from>
    <xdr:to>
      <xdr:col>2</xdr:col>
      <xdr:colOff>170281</xdr:colOff>
      <xdr:row>297</xdr:row>
      <xdr:rowOff>70205</xdr:rowOff>
    </xdr:to>
    <xdr:sp macro="" textlink="">
      <xdr:nvSpPr>
        <xdr:cNvPr id="779" name="Freeform 10708">
          <a:extLst>
            <a:ext uri="{FF2B5EF4-FFF2-40B4-BE49-F238E27FC236}">
              <a16:creationId xmlns:a16="http://schemas.microsoft.com/office/drawing/2014/main" id="{9D669E9C-87C7-4DE1-985A-00D1E31E4B82}"/>
            </a:ext>
          </a:extLst>
        </xdr:cNvPr>
        <xdr:cNvSpPr>
          <a:spLocks/>
        </xdr:cNvSpPr>
      </xdr:nvSpPr>
      <xdr:spPr bwMode="auto">
        <a:xfrm>
          <a:off x="0" y="52800784"/>
          <a:ext cx="678281" cy="10777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9803</xdr:colOff>
      <xdr:row>168</xdr:row>
      <xdr:rowOff>175978</xdr:rowOff>
    </xdr:from>
    <xdr:to>
      <xdr:col>13</xdr:col>
      <xdr:colOff>9335</xdr:colOff>
      <xdr:row>170</xdr:row>
      <xdr:rowOff>181416</xdr:rowOff>
    </xdr:to>
    <xdr:sp macro="" textlink="">
      <xdr:nvSpPr>
        <xdr:cNvPr id="780" name="0/0">
          <a:extLst>
            <a:ext uri="{FF2B5EF4-FFF2-40B4-BE49-F238E27FC236}">
              <a16:creationId xmlns:a16="http://schemas.microsoft.com/office/drawing/2014/main" id="{542997DE-47CF-4756-9837-F4839B69F4D3}"/>
            </a:ext>
          </a:extLst>
        </xdr:cNvPr>
        <xdr:cNvSpPr>
          <a:spLocks noChangeArrowheads="1"/>
        </xdr:cNvSpPr>
      </xdr:nvSpPr>
      <xdr:spPr bwMode="auto">
        <a:xfrm>
          <a:off x="4340503" y="30516278"/>
          <a:ext cx="386882" cy="373738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marL="0" indent="0"/>
          <a:endParaRPr lang="en-IN" sz="1100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190501</xdr:colOff>
      <xdr:row>168</xdr:row>
      <xdr:rowOff>166688</xdr:rowOff>
    </xdr:from>
    <xdr:to>
      <xdr:col>14</xdr:col>
      <xdr:colOff>194302</xdr:colOff>
      <xdr:row>169</xdr:row>
      <xdr:rowOff>95250</xdr:rowOff>
    </xdr:to>
    <xdr:sp macro="" textlink="">
      <xdr:nvSpPr>
        <xdr:cNvPr id="781" name="Freeform 10708">
          <a:extLst>
            <a:ext uri="{FF2B5EF4-FFF2-40B4-BE49-F238E27FC236}">
              <a16:creationId xmlns:a16="http://schemas.microsoft.com/office/drawing/2014/main" id="{45FEAEAE-9A35-4A3F-8D18-3164425D4512}"/>
            </a:ext>
          </a:extLst>
        </xdr:cNvPr>
        <xdr:cNvSpPr>
          <a:spLocks/>
        </xdr:cNvSpPr>
      </xdr:nvSpPr>
      <xdr:spPr bwMode="auto">
        <a:xfrm>
          <a:off x="4521201" y="30506988"/>
          <a:ext cx="689601" cy="112712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214312</xdr:colOff>
      <xdr:row>99</xdr:row>
      <xdr:rowOff>178594</xdr:rowOff>
    </xdr:from>
    <xdr:to>
      <xdr:col>30</xdr:col>
      <xdr:colOff>260785</xdr:colOff>
      <xdr:row>100</xdr:row>
      <xdr:rowOff>113903</xdr:rowOff>
    </xdr:to>
    <xdr:sp macro="" textlink="">
      <xdr:nvSpPr>
        <xdr:cNvPr id="782" name="Freeform 10708">
          <a:extLst>
            <a:ext uri="{FF2B5EF4-FFF2-40B4-BE49-F238E27FC236}">
              <a16:creationId xmlns:a16="http://schemas.microsoft.com/office/drawing/2014/main" id="{90A60619-0A15-46A0-ACFE-4B318D694ADF}"/>
            </a:ext>
          </a:extLst>
        </xdr:cNvPr>
        <xdr:cNvSpPr>
          <a:spLocks/>
        </xdr:cNvSpPr>
      </xdr:nvSpPr>
      <xdr:spPr bwMode="auto">
        <a:xfrm>
          <a:off x="10780712" y="18187194"/>
          <a:ext cx="808473" cy="11945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59531</xdr:colOff>
      <xdr:row>157</xdr:row>
      <xdr:rowOff>178594</xdr:rowOff>
    </xdr:from>
    <xdr:to>
      <xdr:col>2</xdr:col>
      <xdr:colOff>173831</xdr:colOff>
      <xdr:row>158</xdr:row>
      <xdr:rowOff>100484</xdr:rowOff>
    </xdr:to>
    <xdr:sp macro="" textlink="">
      <xdr:nvSpPr>
        <xdr:cNvPr id="783" name="Freeform 10708">
          <a:extLst>
            <a:ext uri="{FF2B5EF4-FFF2-40B4-BE49-F238E27FC236}">
              <a16:creationId xmlns:a16="http://schemas.microsoft.com/office/drawing/2014/main" id="{32C3F1B4-C9ED-4B03-A44C-C2E61E3C0EB4}"/>
            </a:ext>
          </a:extLst>
        </xdr:cNvPr>
        <xdr:cNvSpPr>
          <a:spLocks/>
        </xdr:cNvSpPr>
      </xdr:nvSpPr>
      <xdr:spPr bwMode="auto">
        <a:xfrm>
          <a:off x="59531" y="28569444"/>
          <a:ext cx="622300" cy="10604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250031</xdr:colOff>
      <xdr:row>211</xdr:row>
      <xdr:rowOff>178593</xdr:rowOff>
    </xdr:from>
    <xdr:to>
      <xdr:col>18</xdr:col>
      <xdr:colOff>123467</xdr:colOff>
      <xdr:row>212</xdr:row>
      <xdr:rowOff>91432</xdr:rowOff>
    </xdr:to>
    <xdr:sp macro="" textlink="">
      <xdr:nvSpPr>
        <xdr:cNvPr id="784" name="Freeform 10708">
          <a:extLst>
            <a:ext uri="{FF2B5EF4-FFF2-40B4-BE49-F238E27FC236}">
              <a16:creationId xmlns:a16="http://schemas.microsoft.com/office/drawing/2014/main" id="{8E13CEF0-FC67-4109-8B98-63DF497EA02B}"/>
            </a:ext>
          </a:extLst>
        </xdr:cNvPr>
        <xdr:cNvSpPr>
          <a:spLocks/>
        </xdr:cNvSpPr>
      </xdr:nvSpPr>
      <xdr:spPr bwMode="auto">
        <a:xfrm>
          <a:off x="5266531" y="38113493"/>
          <a:ext cx="1479986" cy="96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261932</xdr:colOff>
      <xdr:row>21</xdr:row>
      <xdr:rowOff>59526</xdr:rowOff>
    </xdr:from>
    <xdr:ext cx="85725" cy="390525"/>
    <xdr:pic>
      <xdr:nvPicPr>
        <xdr:cNvPr id="785" name="Picture 11597">
          <a:extLst>
            <a:ext uri="{FF2B5EF4-FFF2-40B4-BE49-F238E27FC236}">
              <a16:creationId xmlns:a16="http://schemas.microsoft.com/office/drawing/2014/main" id="{348FC2B5-3CA2-4AB0-8703-E1A3103D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8332" y="412352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83342</xdr:colOff>
      <xdr:row>21</xdr:row>
      <xdr:rowOff>23812</xdr:rowOff>
    </xdr:from>
    <xdr:ext cx="85725" cy="390525"/>
    <xdr:pic>
      <xdr:nvPicPr>
        <xdr:cNvPr id="786" name="Picture 11597">
          <a:extLst>
            <a:ext uri="{FF2B5EF4-FFF2-40B4-BE49-F238E27FC236}">
              <a16:creationId xmlns:a16="http://schemas.microsoft.com/office/drawing/2014/main" id="{23C5ACB0-772F-4339-965E-00D34644E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742" y="40878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142872</xdr:colOff>
      <xdr:row>21</xdr:row>
      <xdr:rowOff>0</xdr:rowOff>
    </xdr:from>
    <xdr:ext cx="85725" cy="390525"/>
    <xdr:pic>
      <xdr:nvPicPr>
        <xdr:cNvPr id="787" name="Picture 11597">
          <a:extLst>
            <a:ext uri="{FF2B5EF4-FFF2-40B4-BE49-F238E27FC236}">
              <a16:creationId xmlns:a16="http://schemas.microsoft.com/office/drawing/2014/main" id="{274236C6-7234-426F-843E-92A2C87A9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9522" y="4064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107154</xdr:colOff>
      <xdr:row>21</xdr:row>
      <xdr:rowOff>0</xdr:rowOff>
    </xdr:from>
    <xdr:ext cx="85725" cy="390525"/>
    <xdr:pic>
      <xdr:nvPicPr>
        <xdr:cNvPr id="788" name="Picture 11597">
          <a:extLst>
            <a:ext uri="{FF2B5EF4-FFF2-40B4-BE49-F238E27FC236}">
              <a16:creationId xmlns:a16="http://schemas.microsoft.com/office/drawing/2014/main" id="{E2194834-77E6-4267-9366-7DA147034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954" y="4064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107154</xdr:colOff>
      <xdr:row>21</xdr:row>
      <xdr:rowOff>0</xdr:rowOff>
    </xdr:from>
    <xdr:ext cx="85725" cy="390525"/>
    <xdr:pic>
      <xdr:nvPicPr>
        <xdr:cNvPr id="789" name="Picture 11597">
          <a:extLst>
            <a:ext uri="{FF2B5EF4-FFF2-40B4-BE49-F238E27FC236}">
              <a16:creationId xmlns:a16="http://schemas.microsoft.com/office/drawing/2014/main" id="{50177613-F653-4526-9163-8ACF958D2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0704" y="4064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119060</xdr:colOff>
      <xdr:row>21</xdr:row>
      <xdr:rowOff>0</xdr:rowOff>
    </xdr:from>
    <xdr:ext cx="85725" cy="390525"/>
    <xdr:pic>
      <xdr:nvPicPr>
        <xdr:cNvPr id="790" name="Picture 11597">
          <a:extLst>
            <a:ext uri="{FF2B5EF4-FFF2-40B4-BE49-F238E27FC236}">
              <a16:creationId xmlns:a16="http://schemas.microsoft.com/office/drawing/2014/main" id="{26D42703-AA79-4AFA-9813-D844EC0F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5510" y="4064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202402</xdr:colOff>
      <xdr:row>32</xdr:row>
      <xdr:rowOff>0</xdr:rowOff>
    </xdr:from>
    <xdr:ext cx="85725" cy="390525"/>
    <xdr:pic>
      <xdr:nvPicPr>
        <xdr:cNvPr id="791" name="Picture 11597">
          <a:extLst>
            <a:ext uri="{FF2B5EF4-FFF2-40B4-BE49-F238E27FC236}">
              <a16:creationId xmlns:a16="http://schemas.microsoft.com/office/drawing/2014/main" id="{85597FF4-B625-4551-B0DA-AB702CDFF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02" y="60071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130966</xdr:colOff>
      <xdr:row>31</xdr:row>
      <xdr:rowOff>178590</xdr:rowOff>
    </xdr:from>
    <xdr:ext cx="85725" cy="390525"/>
    <xdr:pic>
      <xdr:nvPicPr>
        <xdr:cNvPr id="792" name="Picture 11597">
          <a:extLst>
            <a:ext uri="{FF2B5EF4-FFF2-40B4-BE49-F238E27FC236}">
              <a16:creationId xmlns:a16="http://schemas.microsoft.com/office/drawing/2014/main" id="{42599D9A-BB83-4370-9284-5A79D02DE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16" y="60015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119060</xdr:colOff>
      <xdr:row>32</xdr:row>
      <xdr:rowOff>11906</xdr:rowOff>
    </xdr:from>
    <xdr:ext cx="85725" cy="390525"/>
    <xdr:pic>
      <xdr:nvPicPr>
        <xdr:cNvPr id="793" name="Picture 11597">
          <a:extLst>
            <a:ext uri="{FF2B5EF4-FFF2-40B4-BE49-F238E27FC236}">
              <a16:creationId xmlns:a16="http://schemas.microsoft.com/office/drawing/2014/main" id="{F348B972-EEDB-4F6E-9B23-47FDBF5F5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60" y="601900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107154</xdr:colOff>
      <xdr:row>32</xdr:row>
      <xdr:rowOff>23812</xdr:rowOff>
    </xdr:from>
    <xdr:ext cx="85725" cy="390525"/>
    <xdr:pic>
      <xdr:nvPicPr>
        <xdr:cNvPr id="794" name="Picture 11597">
          <a:extLst>
            <a:ext uri="{FF2B5EF4-FFF2-40B4-BE49-F238E27FC236}">
              <a16:creationId xmlns:a16="http://schemas.microsoft.com/office/drawing/2014/main" id="{99C25646-6306-4184-B9CB-6CC89A5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4" y="60309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83342</xdr:colOff>
      <xdr:row>32</xdr:row>
      <xdr:rowOff>0</xdr:rowOff>
    </xdr:from>
    <xdr:ext cx="85725" cy="390525"/>
    <xdr:pic>
      <xdr:nvPicPr>
        <xdr:cNvPr id="795" name="Picture 11597">
          <a:extLst>
            <a:ext uri="{FF2B5EF4-FFF2-40B4-BE49-F238E27FC236}">
              <a16:creationId xmlns:a16="http://schemas.microsoft.com/office/drawing/2014/main" id="{B2C030D8-1236-4C86-8E1E-023F941A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792" y="60071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107154</xdr:colOff>
      <xdr:row>32</xdr:row>
      <xdr:rowOff>23812</xdr:rowOff>
    </xdr:from>
    <xdr:ext cx="85725" cy="390525"/>
    <xdr:pic>
      <xdr:nvPicPr>
        <xdr:cNvPr id="796" name="Picture 11597">
          <a:extLst>
            <a:ext uri="{FF2B5EF4-FFF2-40B4-BE49-F238E27FC236}">
              <a16:creationId xmlns:a16="http://schemas.microsoft.com/office/drawing/2014/main" id="{3090AA45-20D8-4942-A868-0E37DE39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0254" y="60309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95248</xdr:colOff>
      <xdr:row>32</xdr:row>
      <xdr:rowOff>0</xdr:rowOff>
    </xdr:from>
    <xdr:ext cx="85725" cy="390525"/>
    <xdr:pic>
      <xdr:nvPicPr>
        <xdr:cNvPr id="797" name="Picture 11597">
          <a:extLst>
            <a:ext uri="{FF2B5EF4-FFF2-40B4-BE49-F238E27FC236}">
              <a16:creationId xmlns:a16="http://schemas.microsoft.com/office/drawing/2014/main" id="{8594CA13-4FDF-460D-89FA-F9D94862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248" y="60071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83342</xdr:colOff>
      <xdr:row>42</xdr:row>
      <xdr:rowOff>23812</xdr:rowOff>
    </xdr:from>
    <xdr:ext cx="85725" cy="390525"/>
    <xdr:pic>
      <xdr:nvPicPr>
        <xdr:cNvPr id="798" name="Picture 11597">
          <a:extLst>
            <a:ext uri="{FF2B5EF4-FFF2-40B4-BE49-F238E27FC236}">
              <a16:creationId xmlns:a16="http://schemas.microsoft.com/office/drawing/2014/main" id="{780CF704-5FE4-4EB0-88D6-96195CF76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92" y="77898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107154</xdr:colOff>
      <xdr:row>42</xdr:row>
      <xdr:rowOff>23812</xdr:rowOff>
    </xdr:from>
    <xdr:ext cx="85725" cy="390525"/>
    <xdr:pic>
      <xdr:nvPicPr>
        <xdr:cNvPr id="799" name="Picture 11597">
          <a:extLst>
            <a:ext uri="{FF2B5EF4-FFF2-40B4-BE49-F238E27FC236}">
              <a16:creationId xmlns:a16="http://schemas.microsoft.com/office/drawing/2014/main" id="{000971A3-C322-47E3-8519-067AC29C4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554" y="77898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119060</xdr:colOff>
      <xdr:row>42</xdr:row>
      <xdr:rowOff>47624</xdr:rowOff>
    </xdr:from>
    <xdr:ext cx="85725" cy="390525"/>
    <xdr:pic>
      <xdr:nvPicPr>
        <xdr:cNvPr id="800" name="Picture 11597">
          <a:extLst>
            <a:ext uri="{FF2B5EF4-FFF2-40B4-BE49-F238E27FC236}">
              <a16:creationId xmlns:a16="http://schemas.microsoft.com/office/drawing/2014/main" id="{38C51FB2-2574-43D9-ACE7-DF07ABC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7460" y="781367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35718</xdr:colOff>
      <xdr:row>42</xdr:row>
      <xdr:rowOff>23812</xdr:rowOff>
    </xdr:from>
    <xdr:ext cx="85725" cy="390525"/>
    <xdr:pic>
      <xdr:nvPicPr>
        <xdr:cNvPr id="801" name="Picture 11597">
          <a:extLst>
            <a:ext uri="{FF2B5EF4-FFF2-40B4-BE49-F238E27FC236}">
              <a16:creationId xmlns:a16="http://schemas.microsoft.com/office/drawing/2014/main" id="{D951C6E9-5D0C-4485-BAF1-203ECF4A1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1518" y="77898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202402</xdr:colOff>
      <xdr:row>40</xdr:row>
      <xdr:rowOff>142872</xdr:rowOff>
    </xdr:from>
    <xdr:to>
      <xdr:col>9</xdr:col>
      <xdr:colOff>264825</xdr:colOff>
      <xdr:row>44</xdr:row>
      <xdr:rowOff>133347</xdr:rowOff>
    </xdr:to>
    <xdr:sp macro="" textlink="">
      <xdr:nvSpPr>
        <xdr:cNvPr id="802" name="AutoShape 10733">
          <a:extLst>
            <a:ext uri="{FF2B5EF4-FFF2-40B4-BE49-F238E27FC236}">
              <a16:creationId xmlns:a16="http://schemas.microsoft.com/office/drawing/2014/main" id="{077F0985-5FE0-4020-AF9D-DEBCB230D14D}"/>
            </a:ext>
          </a:extLst>
        </xdr:cNvPr>
        <xdr:cNvSpPr>
          <a:spLocks noChangeArrowheads="1"/>
        </xdr:cNvSpPr>
      </xdr:nvSpPr>
      <xdr:spPr bwMode="auto">
        <a:xfrm rot="5400000">
          <a:off x="3089526" y="7866598"/>
          <a:ext cx="739775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17</xdr:col>
      <xdr:colOff>119060</xdr:colOff>
      <xdr:row>42</xdr:row>
      <xdr:rowOff>23812</xdr:rowOff>
    </xdr:from>
    <xdr:ext cx="85725" cy="390525"/>
    <xdr:pic>
      <xdr:nvPicPr>
        <xdr:cNvPr id="803" name="Picture 11597">
          <a:extLst>
            <a:ext uri="{FF2B5EF4-FFF2-40B4-BE49-F238E27FC236}">
              <a16:creationId xmlns:a16="http://schemas.microsoft.com/office/drawing/2014/main" id="{25D1D7DC-620E-4F06-8DE6-19474DA1A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710" y="77898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119060</xdr:colOff>
      <xdr:row>42</xdr:row>
      <xdr:rowOff>59530</xdr:rowOff>
    </xdr:from>
    <xdr:ext cx="85725" cy="390525"/>
    <xdr:pic>
      <xdr:nvPicPr>
        <xdr:cNvPr id="804" name="Picture 11597">
          <a:extLst>
            <a:ext uri="{FF2B5EF4-FFF2-40B4-BE49-F238E27FC236}">
              <a16:creationId xmlns:a16="http://schemas.microsoft.com/office/drawing/2014/main" id="{71FFDA12-2F14-4F0E-ADB0-C1C324ED7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5210" y="782558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59530</xdr:colOff>
      <xdr:row>42</xdr:row>
      <xdr:rowOff>11906</xdr:rowOff>
    </xdr:from>
    <xdr:ext cx="85725" cy="390525"/>
    <xdr:pic>
      <xdr:nvPicPr>
        <xdr:cNvPr id="805" name="Picture 11597">
          <a:extLst>
            <a:ext uri="{FF2B5EF4-FFF2-40B4-BE49-F238E27FC236}">
              <a16:creationId xmlns:a16="http://schemas.microsoft.com/office/drawing/2014/main" id="{AEAA72DD-3A30-48D6-8A54-B3E46D9FC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3080" y="777795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25</xdr:col>
      <xdr:colOff>214308</xdr:colOff>
      <xdr:row>42</xdr:row>
      <xdr:rowOff>0</xdr:rowOff>
    </xdr:from>
    <xdr:to>
      <xdr:col>25</xdr:col>
      <xdr:colOff>276731</xdr:colOff>
      <xdr:row>44</xdr:row>
      <xdr:rowOff>180975</xdr:rowOff>
    </xdr:to>
    <xdr:sp macro="" textlink="">
      <xdr:nvSpPr>
        <xdr:cNvPr id="806" name="AutoShape 10733">
          <a:extLst>
            <a:ext uri="{FF2B5EF4-FFF2-40B4-BE49-F238E27FC236}">
              <a16:creationId xmlns:a16="http://schemas.microsoft.com/office/drawing/2014/main" id="{A2ACC341-0700-475E-B751-DE27B0F3302B}"/>
            </a:ext>
          </a:extLst>
        </xdr:cNvPr>
        <xdr:cNvSpPr>
          <a:spLocks noChangeArrowheads="1"/>
        </xdr:cNvSpPr>
      </xdr:nvSpPr>
      <xdr:spPr bwMode="auto">
        <a:xfrm rot="5400000">
          <a:off x="9324432" y="8009476"/>
          <a:ext cx="549275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29</xdr:col>
      <xdr:colOff>107154</xdr:colOff>
      <xdr:row>42</xdr:row>
      <xdr:rowOff>0</xdr:rowOff>
    </xdr:from>
    <xdr:ext cx="85725" cy="390525"/>
    <xdr:pic>
      <xdr:nvPicPr>
        <xdr:cNvPr id="807" name="Picture 11597">
          <a:extLst>
            <a:ext uri="{FF2B5EF4-FFF2-40B4-BE49-F238E27FC236}">
              <a16:creationId xmlns:a16="http://schemas.microsoft.com/office/drawing/2014/main" id="{D3120165-CF82-42A5-822A-A74C6DBD8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604" y="77660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59530</xdr:colOff>
      <xdr:row>53</xdr:row>
      <xdr:rowOff>0</xdr:rowOff>
    </xdr:from>
    <xdr:ext cx="85725" cy="390525"/>
    <xdr:pic>
      <xdr:nvPicPr>
        <xdr:cNvPr id="808" name="Picture 11597">
          <a:extLst>
            <a:ext uri="{FF2B5EF4-FFF2-40B4-BE49-F238E27FC236}">
              <a16:creationId xmlns:a16="http://schemas.microsoft.com/office/drawing/2014/main" id="{8196B9E3-5652-452A-A9C0-1A9F8E685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080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83342</xdr:colOff>
      <xdr:row>53</xdr:row>
      <xdr:rowOff>0</xdr:rowOff>
    </xdr:from>
    <xdr:ext cx="85725" cy="390525"/>
    <xdr:pic>
      <xdr:nvPicPr>
        <xdr:cNvPr id="809" name="Picture 11597">
          <a:extLst>
            <a:ext uri="{FF2B5EF4-FFF2-40B4-BE49-F238E27FC236}">
              <a16:creationId xmlns:a16="http://schemas.microsoft.com/office/drawing/2014/main" id="{D9CA23D3-B12E-4CE4-AB75-E44761094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92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107154</xdr:colOff>
      <xdr:row>52</xdr:row>
      <xdr:rowOff>309563</xdr:rowOff>
    </xdr:from>
    <xdr:to>
      <xdr:col>5</xdr:col>
      <xdr:colOff>169577</xdr:colOff>
      <xdr:row>55</xdr:row>
      <xdr:rowOff>157163</xdr:rowOff>
    </xdr:to>
    <xdr:sp macro="" textlink="">
      <xdr:nvSpPr>
        <xdr:cNvPr id="810" name="AutoShape 10733">
          <a:extLst>
            <a:ext uri="{FF2B5EF4-FFF2-40B4-BE49-F238E27FC236}">
              <a16:creationId xmlns:a16="http://schemas.microsoft.com/office/drawing/2014/main" id="{29703530-12B8-4BC7-8945-5976522B96F0}"/>
            </a:ext>
          </a:extLst>
        </xdr:cNvPr>
        <xdr:cNvSpPr>
          <a:spLocks noChangeArrowheads="1"/>
        </xdr:cNvSpPr>
      </xdr:nvSpPr>
      <xdr:spPr bwMode="auto">
        <a:xfrm rot="5400000">
          <a:off x="1541716" y="10076401"/>
          <a:ext cx="546100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7</xdr:col>
      <xdr:colOff>71436</xdr:colOff>
      <xdr:row>52</xdr:row>
      <xdr:rowOff>309563</xdr:rowOff>
    </xdr:from>
    <xdr:ext cx="144236" cy="466725"/>
    <xdr:pic>
      <xdr:nvPicPr>
        <xdr:cNvPr id="811" name="Picture 11595">
          <a:extLst>
            <a:ext uri="{FF2B5EF4-FFF2-40B4-BE49-F238E27FC236}">
              <a16:creationId xmlns:a16="http://schemas.microsoft.com/office/drawing/2014/main" id="{BCA432EB-2CFA-4BB0-8E8E-4EEB966AD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836" y="9834563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250034</xdr:colOff>
      <xdr:row>75</xdr:row>
      <xdr:rowOff>166684</xdr:rowOff>
    </xdr:from>
    <xdr:to>
      <xdr:col>8</xdr:col>
      <xdr:colOff>238127</xdr:colOff>
      <xdr:row>76</xdr:row>
      <xdr:rowOff>78398</xdr:rowOff>
    </xdr:to>
    <xdr:sp macro="" textlink="">
      <xdr:nvSpPr>
        <xdr:cNvPr id="812" name="Freeform 10708">
          <a:extLst>
            <a:ext uri="{FF2B5EF4-FFF2-40B4-BE49-F238E27FC236}">
              <a16:creationId xmlns:a16="http://schemas.microsoft.com/office/drawing/2014/main" id="{57A7D97F-7C86-41A2-B290-2E52F08968DF}"/>
            </a:ext>
          </a:extLst>
        </xdr:cNvPr>
        <xdr:cNvSpPr>
          <a:spLocks/>
        </xdr:cNvSpPr>
      </xdr:nvSpPr>
      <xdr:spPr bwMode="auto">
        <a:xfrm>
          <a:off x="2307434" y="13876334"/>
          <a:ext cx="756443" cy="95864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9</xdr:col>
      <xdr:colOff>83342</xdr:colOff>
      <xdr:row>53</xdr:row>
      <xdr:rowOff>0</xdr:rowOff>
    </xdr:from>
    <xdr:ext cx="85725" cy="390525"/>
    <xdr:pic>
      <xdr:nvPicPr>
        <xdr:cNvPr id="813" name="Picture 11597">
          <a:extLst>
            <a:ext uri="{FF2B5EF4-FFF2-40B4-BE49-F238E27FC236}">
              <a16:creationId xmlns:a16="http://schemas.microsoft.com/office/drawing/2014/main" id="{ADDD73A8-8764-4DC2-B6D0-A51DBFE21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142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83342</xdr:colOff>
      <xdr:row>53</xdr:row>
      <xdr:rowOff>0</xdr:rowOff>
    </xdr:from>
    <xdr:ext cx="85725" cy="390525"/>
    <xdr:pic>
      <xdr:nvPicPr>
        <xdr:cNvPr id="814" name="Picture 11597">
          <a:extLst>
            <a:ext uri="{FF2B5EF4-FFF2-40B4-BE49-F238E27FC236}">
              <a16:creationId xmlns:a16="http://schemas.microsoft.com/office/drawing/2014/main" id="{433CE42D-FD65-46A0-9B6E-52F9999E2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792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107154</xdr:colOff>
      <xdr:row>53</xdr:row>
      <xdr:rowOff>0</xdr:rowOff>
    </xdr:from>
    <xdr:ext cx="85725" cy="390525"/>
    <xdr:pic>
      <xdr:nvPicPr>
        <xdr:cNvPr id="815" name="Picture 11597">
          <a:extLst>
            <a:ext uri="{FF2B5EF4-FFF2-40B4-BE49-F238E27FC236}">
              <a16:creationId xmlns:a16="http://schemas.microsoft.com/office/drawing/2014/main" id="{BF9105A4-8F4E-4D26-839F-3F1A634A1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204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95248</xdr:colOff>
      <xdr:row>53</xdr:row>
      <xdr:rowOff>0</xdr:rowOff>
    </xdr:from>
    <xdr:ext cx="85725" cy="390525"/>
    <xdr:pic>
      <xdr:nvPicPr>
        <xdr:cNvPr id="816" name="Picture 11597">
          <a:extLst>
            <a:ext uri="{FF2B5EF4-FFF2-40B4-BE49-F238E27FC236}">
              <a16:creationId xmlns:a16="http://schemas.microsoft.com/office/drawing/2014/main" id="{7D570256-95F0-4629-A34B-F0F1634FE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348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83342</xdr:colOff>
      <xdr:row>53</xdr:row>
      <xdr:rowOff>0</xdr:rowOff>
    </xdr:from>
    <xdr:ext cx="85725" cy="390525"/>
    <xdr:pic>
      <xdr:nvPicPr>
        <xdr:cNvPr id="817" name="Picture 11597">
          <a:extLst>
            <a:ext uri="{FF2B5EF4-FFF2-40B4-BE49-F238E27FC236}">
              <a16:creationId xmlns:a16="http://schemas.microsoft.com/office/drawing/2014/main" id="{36900774-30AF-4FFC-8A76-E4F2D0F6E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142" y="9855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23</xdr:col>
      <xdr:colOff>130966</xdr:colOff>
      <xdr:row>52</xdr:row>
      <xdr:rowOff>214315</xdr:rowOff>
    </xdr:from>
    <xdr:to>
      <xdr:col>23</xdr:col>
      <xdr:colOff>197641</xdr:colOff>
      <xdr:row>55</xdr:row>
      <xdr:rowOff>90490</xdr:rowOff>
    </xdr:to>
    <xdr:sp macro="" textlink="">
      <xdr:nvSpPr>
        <xdr:cNvPr id="818" name="AutoShape 10732">
          <a:extLst>
            <a:ext uri="{FF2B5EF4-FFF2-40B4-BE49-F238E27FC236}">
              <a16:creationId xmlns:a16="http://schemas.microsoft.com/office/drawing/2014/main" id="{03C3786E-EF33-4723-B109-B70619FEA3E1}"/>
            </a:ext>
          </a:extLst>
        </xdr:cNvPr>
        <xdr:cNvSpPr>
          <a:spLocks noChangeArrowheads="1"/>
        </xdr:cNvSpPr>
      </xdr:nvSpPr>
      <xdr:spPr bwMode="auto">
        <a:xfrm rot="5400000">
          <a:off x="8443116" y="9993315"/>
          <a:ext cx="57467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</xdr:col>
      <xdr:colOff>71436</xdr:colOff>
      <xdr:row>64</xdr:row>
      <xdr:rowOff>0</xdr:rowOff>
    </xdr:from>
    <xdr:ext cx="85725" cy="390525"/>
    <xdr:pic>
      <xdr:nvPicPr>
        <xdr:cNvPr id="819" name="Picture 11597">
          <a:extLst>
            <a:ext uri="{FF2B5EF4-FFF2-40B4-BE49-F238E27FC236}">
              <a16:creationId xmlns:a16="http://schemas.microsoft.com/office/drawing/2014/main" id="{91DE2073-6554-4FD8-A2BC-EA9BBADFE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6" y="11798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107154</xdr:colOff>
      <xdr:row>64</xdr:row>
      <xdr:rowOff>0</xdr:rowOff>
    </xdr:from>
    <xdr:ext cx="85725" cy="390525"/>
    <xdr:pic>
      <xdr:nvPicPr>
        <xdr:cNvPr id="820" name="Picture 11597">
          <a:extLst>
            <a:ext uri="{FF2B5EF4-FFF2-40B4-BE49-F238E27FC236}">
              <a16:creationId xmlns:a16="http://schemas.microsoft.com/office/drawing/2014/main" id="{7C7F7F32-6AA5-48F0-B792-1D821A3C1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204" y="11798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71436</xdr:colOff>
      <xdr:row>64</xdr:row>
      <xdr:rowOff>0</xdr:rowOff>
    </xdr:from>
    <xdr:ext cx="85725" cy="390525"/>
    <xdr:pic>
      <xdr:nvPicPr>
        <xdr:cNvPr id="821" name="Picture 11597">
          <a:extLst>
            <a:ext uri="{FF2B5EF4-FFF2-40B4-BE49-F238E27FC236}">
              <a16:creationId xmlns:a16="http://schemas.microsoft.com/office/drawing/2014/main" id="{F74E98E3-02D8-4FF9-BB5E-162E0592E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9836" y="11798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11906</xdr:colOff>
      <xdr:row>64</xdr:row>
      <xdr:rowOff>0</xdr:rowOff>
    </xdr:from>
    <xdr:ext cx="85725" cy="390525"/>
    <xdr:pic>
      <xdr:nvPicPr>
        <xdr:cNvPr id="822" name="Picture 11597">
          <a:extLst>
            <a:ext uri="{FF2B5EF4-FFF2-40B4-BE49-F238E27FC236}">
              <a16:creationId xmlns:a16="http://schemas.microsoft.com/office/drawing/2014/main" id="{E58DE425-369C-440B-9E6B-FE14F8373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7706" y="11798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178590</xdr:colOff>
      <xdr:row>64</xdr:row>
      <xdr:rowOff>23808</xdr:rowOff>
    </xdr:from>
    <xdr:ext cx="85725" cy="390525"/>
    <xdr:pic>
      <xdr:nvPicPr>
        <xdr:cNvPr id="823" name="Picture 11597">
          <a:extLst>
            <a:ext uri="{FF2B5EF4-FFF2-40B4-BE49-F238E27FC236}">
              <a16:creationId xmlns:a16="http://schemas.microsoft.com/office/drawing/2014/main" id="{3D5988F9-9AD3-4B3D-BECB-E5B10397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4390" y="118221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130966</xdr:colOff>
      <xdr:row>63</xdr:row>
      <xdr:rowOff>178590</xdr:rowOff>
    </xdr:from>
    <xdr:ext cx="85725" cy="390525"/>
    <xdr:pic>
      <xdr:nvPicPr>
        <xdr:cNvPr id="824" name="Picture 11597">
          <a:extLst>
            <a:ext uri="{FF2B5EF4-FFF2-40B4-BE49-F238E27FC236}">
              <a16:creationId xmlns:a16="http://schemas.microsoft.com/office/drawing/2014/main" id="{6079DD1A-ACD0-40F4-8478-2EA3915E8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2416" y="117927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95248</xdr:colOff>
      <xdr:row>63</xdr:row>
      <xdr:rowOff>190496</xdr:rowOff>
    </xdr:from>
    <xdr:ext cx="85725" cy="390525"/>
    <xdr:pic>
      <xdr:nvPicPr>
        <xdr:cNvPr id="825" name="Picture 11597">
          <a:extLst>
            <a:ext uri="{FF2B5EF4-FFF2-40B4-BE49-F238E27FC236}">
              <a16:creationId xmlns:a16="http://schemas.microsoft.com/office/drawing/2014/main" id="{764BCC04-9E5A-4A27-B503-E33F8349D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298" y="1179829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130966</xdr:colOff>
      <xdr:row>64</xdr:row>
      <xdr:rowOff>23808</xdr:rowOff>
    </xdr:from>
    <xdr:ext cx="85725" cy="390525"/>
    <xdr:pic>
      <xdr:nvPicPr>
        <xdr:cNvPr id="826" name="Picture 11597">
          <a:extLst>
            <a:ext uri="{FF2B5EF4-FFF2-40B4-BE49-F238E27FC236}">
              <a16:creationId xmlns:a16="http://schemas.microsoft.com/office/drawing/2014/main" id="{44A8A6F8-CB41-4749-BD61-A42070458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616" y="118221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107154</xdr:colOff>
      <xdr:row>63</xdr:row>
      <xdr:rowOff>166684</xdr:rowOff>
    </xdr:from>
    <xdr:ext cx="144236" cy="466725"/>
    <xdr:pic>
      <xdr:nvPicPr>
        <xdr:cNvPr id="827" name="Picture 11595">
          <a:extLst>
            <a:ext uri="{FF2B5EF4-FFF2-40B4-BE49-F238E27FC236}">
              <a16:creationId xmlns:a16="http://schemas.microsoft.com/office/drawing/2014/main" id="{67E92027-6092-40C4-B438-78FE214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0254" y="11780834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59530</xdr:colOff>
      <xdr:row>64</xdr:row>
      <xdr:rowOff>0</xdr:rowOff>
    </xdr:from>
    <xdr:ext cx="85725" cy="390525"/>
    <xdr:pic>
      <xdr:nvPicPr>
        <xdr:cNvPr id="828" name="Picture 11597">
          <a:extLst>
            <a:ext uri="{FF2B5EF4-FFF2-40B4-BE49-F238E27FC236}">
              <a16:creationId xmlns:a16="http://schemas.microsoft.com/office/drawing/2014/main" id="{8434C533-6201-4148-A1EF-A8A34E9F2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7330" y="11798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178590</xdr:colOff>
      <xdr:row>63</xdr:row>
      <xdr:rowOff>178590</xdr:rowOff>
    </xdr:from>
    <xdr:ext cx="85725" cy="390525"/>
    <xdr:pic>
      <xdr:nvPicPr>
        <xdr:cNvPr id="829" name="Picture 11597">
          <a:extLst>
            <a:ext uri="{FF2B5EF4-FFF2-40B4-BE49-F238E27FC236}">
              <a16:creationId xmlns:a16="http://schemas.microsoft.com/office/drawing/2014/main" id="{C2F4240B-7B7F-491F-9845-22F61520D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6390" y="117927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23</xdr:col>
      <xdr:colOff>130966</xdr:colOff>
      <xdr:row>63</xdr:row>
      <xdr:rowOff>59530</xdr:rowOff>
    </xdr:from>
    <xdr:to>
      <xdr:col>23</xdr:col>
      <xdr:colOff>193389</xdr:colOff>
      <xdr:row>66</xdr:row>
      <xdr:rowOff>85724</xdr:rowOff>
    </xdr:to>
    <xdr:sp macro="" textlink="">
      <xdr:nvSpPr>
        <xdr:cNvPr id="830" name="AutoShape 10733">
          <a:extLst>
            <a:ext uri="{FF2B5EF4-FFF2-40B4-BE49-F238E27FC236}">
              <a16:creationId xmlns:a16="http://schemas.microsoft.com/office/drawing/2014/main" id="{4B04AA5D-BE4B-444C-B89D-78A1913F8FAA}"/>
            </a:ext>
          </a:extLst>
        </xdr:cNvPr>
        <xdr:cNvSpPr>
          <a:spLocks noChangeArrowheads="1"/>
        </xdr:cNvSpPr>
      </xdr:nvSpPr>
      <xdr:spPr bwMode="auto">
        <a:xfrm rot="5400000">
          <a:off x="8454881" y="11915915"/>
          <a:ext cx="546894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27</xdr:col>
      <xdr:colOff>83342</xdr:colOff>
      <xdr:row>64</xdr:row>
      <xdr:rowOff>0</xdr:rowOff>
    </xdr:from>
    <xdr:ext cx="144236" cy="466725"/>
    <xdr:pic>
      <xdr:nvPicPr>
        <xdr:cNvPr id="831" name="Picture 11595">
          <a:extLst>
            <a:ext uri="{FF2B5EF4-FFF2-40B4-BE49-F238E27FC236}">
              <a16:creationId xmlns:a16="http://schemas.microsoft.com/office/drawing/2014/main" id="{148827FC-CE56-46C6-9E66-12D34690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3342" y="11798300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83342</xdr:colOff>
      <xdr:row>64</xdr:row>
      <xdr:rowOff>23812</xdr:rowOff>
    </xdr:from>
    <xdr:ext cx="85725" cy="390525"/>
    <xdr:pic>
      <xdr:nvPicPr>
        <xdr:cNvPr id="832" name="Picture 11597">
          <a:extLst>
            <a:ext uri="{FF2B5EF4-FFF2-40B4-BE49-F238E27FC236}">
              <a16:creationId xmlns:a16="http://schemas.microsoft.com/office/drawing/2014/main" id="{8D01E7F9-BDCA-4E0C-BBFA-62225A554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792" y="118221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202402</xdr:colOff>
      <xdr:row>64</xdr:row>
      <xdr:rowOff>11902</xdr:rowOff>
    </xdr:from>
    <xdr:ext cx="85725" cy="390525"/>
    <xdr:pic>
      <xdr:nvPicPr>
        <xdr:cNvPr id="833" name="Picture 11597">
          <a:extLst>
            <a:ext uri="{FF2B5EF4-FFF2-40B4-BE49-F238E27FC236}">
              <a16:creationId xmlns:a16="http://schemas.microsoft.com/office/drawing/2014/main" id="{50F8C49D-39E1-41F8-A9DB-C5C93079C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8852" y="118102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47620</xdr:colOff>
      <xdr:row>75</xdr:row>
      <xdr:rowOff>0</xdr:rowOff>
    </xdr:from>
    <xdr:ext cx="144236" cy="466725"/>
    <xdr:pic>
      <xdr:nvPicPr>
        <xdr:cNvPr id="834" name="Picture 11595">
          <a:extLst>
            <a:ext uri="{FF2B5EF4-FFF2-40B4-BE49-F238E27FC236}">
              <a16:creationId xmlns:a16="http://schemas.microsoft.com/office/drawing/2014/main" id="{38E97AAE-D68F-4CCD-AEB4-CF5E5E3EF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0" y="13709650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130966</xdr:colOff>
      <xdr:row>74</xdr:row>
      <xdr:rowOff>178594</xdr:rowOff>
    </xdr:from>
    <xdr:ext cx="85725" cy="390525"/>
    <xdr:pic>
      <xdr:nvPicPr>
        <xdr:cNvPr id="835" name="Picture 11597">
          <a:extLst>
            <a:ext uri="{FF2B5EF4-FFF2-40B4-BE49-F238E27FC236}">
              <a16:creationId xmlns:a16="http://schemas.microsoft.com/office/drawing/2014/main" id="{E03B8196-5766-48EB-B0A4-02EDE3436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16" y="1370409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154778</xdr:colOff>
      <xdr:row>75</xdr:row>
      <xdr:rowOff>23808</xdr:rowOff>
    </xdr:from>
    <xdr:ext cx="85725" cy="390525"/>
    <xdr:pic>
      <xdr:nvPicPr>
        <xdr:cNvPr id="836" name="Picture 11597">
          <a:extLst>
            <a:ext uri="{FF2B5EF4-FFF2-40B4-BE49-F238E27FC236}">
              <a16:creationId xmlns:a16="http://schemas.microsoft.com/office/drawing/2014/main" id="{DD0589EC-D08D-4028-810A-2922FF3FE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3178" y="137334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130966</xdr:colOff>
      <xdr:row>74</xdr:row>
      <xdr:rowOff>190496</xdr:rowOff>
    </xdr:from>
    <xdr:ext cx="85725" cy="390525"/>
    <xdr:pic>
      <xdr:nvPicPr>
        <xdr:cNvPr id="837" name="Picture 11597">
          <a:extLst>
            <a:ext uri="{FF2B5EF4-FFF2-40B4-BE49-F238E27FC236}">
              <a16:creationId xmlns:a16="http://schemas.microsoft.com/office/drawing/2014/main" id="{CDD6184D-4E2D-4B98-96C7-FCFF353C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6766" y="137096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119060</xdr:colOff>
      <xdr:row>75</xdr:row>
      <xdr:rowOff>11906</xdr:rowOff>
    </xdr:from>
    <xdr:ext cx="85725" cy="390525"/>
    <xdr:pic>
      <xdr:nvPicPr>
        <xdr:cNvPr id="838" name="Picture 11597">
          <a:extLst>
            <a:ext uri="{FF2B5EF4-FFF2-40B4-BE49-F238E27FC236}">
              <a16:creationId xmlns:a16="http://schemas.microsoft.com/office/drawing/2014/main" id="{95768385-A612-4643-A550-B8EDE6869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510" y="1372155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13</xdr:col>
      <xdr:colOff>119060</xdr:colOff>
      <xdr:row>74</xdr:row>
      <xdr:rowOff>107158</xdr:rowOff>
    </xdr:from>
    <xdr:to>
      <xdr:col>13</xdr:col>
      <xdr:colOff>176210</xdr:colOff>
      <xdr:row>77</xdr:row>
      <xdr:rowOff>88108</xdr:rowOff>
    </xdr:to>
    <xdr:sp macro="" textlink="">
      <xdr:nvSpPr>
        <xdr:cNvPr id="839" name="Rectangle 11590" descr="Light horizontal">
          <a:extLst>
            <a:ext uri="{FF2B5EF4-FFF2-40B4-BE49-F238E27FC236}">
              <a16:creationId xmlns:a16="http://schemas.microsoft.com/office/drawing/2014/main" id="{16F7D5B2-E4EB-4C09-A304-825C09D62C6E}"/>
            </a:ext>
          </a:extLst>
        </xdr:cNvPr>
        <xdr:cNvSpPr>
          <a:spLocks noChangeArrowheads="1"/>
        </xdr:cNvSpPr>
      </xdr:nvSpPr>
      <xdr:spPr bwMode="auto">
        <a:xfrm>
          <a:off x="4837110" y="13632658"/>
          <a:ext cx="57150" cy="53340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107154</xdr:colOff>
      <xdr:row>75</xdr:row>
      <xdr:rowOff>0</xdr:rowOff>
    </xdr:from>
    <xdr:ext cx="85725" cy="390525"/>
    <xdr:pic>
      <xdr:nvPicPr>
        <xdr:cNvPr id="840" name="Picture 11597">
          <a:extLst>
            <a:ext uri="{FF2B5EF4-FFF2-40B4-BE49-F238E27FC236}">
              <a16:creationId xmlns:a16="http://schemas.microsoft.com/office/drawing/2014/main" id="{83D66E1A-29E3-4914-BB58-8453ACE47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804" y="13709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11906</xdr:colOff>
      <xdr:row>75</xdr:row>
      <xdr:rowOff>0</xdr:rowOff>
    </xdr:from>
    <xdr:ext cx="85725" cy="390525"/>
    <xdr:pic>
      <xdr:nvPicPr>
        <xdr:cNvPr id="841" name="Picture 11597">
          <a:extLst>
            <a:ext uri="{FF2B5EF4-FFF2-40B4-BE49-F238E27FC236}">
              <a16:creationId xmlns:a16="http://schemas.microsoft.com/office/drawing/2014/main" id="{8FE72757-66B7-48C5-97F0-92BC04A4F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706" y="13709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214316</xdr:colOff>
      <xdr:row>75</xdr:row>
      <xdr:rowOff>23808</xdr:rowOff>
    </xdr:from>
    <xdr:ext cx="85725" cy="390525"/>
    <xdr:pic>
      <xdr:nvPicPr>
        <xdr:cNvPr id="842" name="Picture 11597">
          <a:extLst>
            <a:ext uri="{FF2B5EF4-FFF2-40B4-BE49-F238E27FC236}">
              <a16:creationId xmlns:a16="http://schemas.microsoft.com/office/drawing/2014/main" id="{107E0E73-9541-4AB0-8CB0-D55551BF5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2116" y="137334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23812</xdr:colOff>
      <xdr:row>75</xdr:row>
      <xdr:rowOff>11902</xdr:rowOff>
    </xdr:from>
    <xdr:ext cx="85725" cy="390525"/>
    <xdr:pic>
      <xdr:nvPicPr>
        <xdr:cNvPr id="843" name="Picture 11597">
          <a:extLst>
            <a:ext uri="{FF2B5EF4-FFF2-40B4-BE49-F238E27FC236}">
              <a16:creationId xmlns:a16="http://schemas.microsoft.com/office/drawing/2014/main" id="{69536830-6B76-4365-B9F9-94F0B9359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962" y="1372155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190496</xdr:colOff>
      <xdr:row>75</xdr:row>
      <xdr:rowOff>11898</xdr:rowOff>
    </xdr:from>
    <xdr:ext cx="85725" cy="390525"/>
    <xdr:pic>
      <xdr:nvPicPr>
        <xdr:cNvPr id="844" name="Picture 11597">
          <a:extLst>
            <a:ext uri="{FF2B5EF4-FFF2-40B4-BE49-F238E27FC236}">
              <a16:creationId xmlns:a16="http://schemas.microsoft.com/office/drawing/2014/main" id="{1F1461E4-2EE3-47C4-B87B-C2AAD4D27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6646" y="1372154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25</xdr:col>
      <xdr:colOff>190496</xdr:colOff>
      <xdr:row>75</xdr:row>
      <xdr:rowOff>0</xdr:rowOff>
    </xdr:from>
    <xdr:to>
      <xdr:col>25</xdr:col>
      <xdr:colOff>310268</xdr:colOff>
      <xdr:row>77</xdr:row>
      <xdr:rowOff>142875</xdr:rowOff>
    </xdr:to>
    <xdr:sp macro="" textlink="">
      <xdr:nvSpPr>
        <xdr:cNvPr id="845" name="AutoShape 10734">
          <a:extLst>
            <a:ext uri="{FF2B5EF4-FFF2-40B4-BE49-F238E27FC236}">
              <a16:creationId xmlns:a16="http://schemas.microsoft.com/office/drawing/2014/main" id="{5E79F029-4A9F-4484-8B36-14C105CB3C7F}"/>
            </a:ext>
          </a:extLst>
        </xdr:cNvPr>
        <xdr:cNvSpPr>
          <a:spLocks noChangeArrowheads="1"/>
        </xdr:cNvSpPr>
      </xdr:nvSpPr>
      <xdr:spPr bwMode="auto">
        <a:xfrm rot="5400000" flipV="1">
          <a:off x="9348344" y="13905352"/>
          <a:ext cx="511175" cy="119772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oneCellAnchor>
    <xdr:from>
      <xdr:col>25</xdr:col>
      <xdr:colOff>47616</xdr:colOff>
      <xdr:row>75</xdr:row>
      <xdr:rowOff>11902</xdr:rowOff>
    </xdr:from>
    <xdr:ext cx="85725" cy="390525"/>
    <xdr:pic>
      <xdr:nvPicPr>
        <xdr:cNvPr id="846" name="Picture 11597">
          <a:extLst>
            <a:ext uri="{FF2B5EF4-FFF2-40B4-BE49-F238E27FC236}">
              <a16:creationId xmlns:a16="http://schemas.microsoft.com/office/drawing/2014/main" id="{9AF448A0-66F8-4B87-B618-60EF0F78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66" y="1372155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154778</xdr:colOff>
      <xdr:row>75</xdr:row>
      <xdr:rowOff>0</xdr:rowOff>
    </xdr:from>
    <xdr:ext cx="85725" cy="390525"/>
    <xdr:pic>
      <xdr:nvPicPr>
        <xdr:cNvPr id="847" name="Picture 11597">
          <a:extLst>
            <a:ext uri="{FF2B5EF4-FFF2-40B4-BE49-F238E27FC236}">
              <a16:creationId xmlns:a16="http://schemas.microsoft.com/office/drawing/2014/main" id="{6A864425-C11C-4A5E-8AFE-D51084F7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778" y="13709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95248</xdr:colOff>
      <xdr:row>87</xdr:row>
      <xdr:rowOff>0</xdr:rowOff>
    </xdr:from>
    <xdr:ext cx="85725" cy="390525"/>
    <xdr:pic>
      <xdr:nvPicPr>
        <xdr:cNvPr id="848" name="Picture 11597">
          <a:extLst>
            <a:ext uri="{FF2B5EF4-FFF2-40B4-BE49-F238E27FC236}">
              <a16:creationId xmlns:a16="http://schemas.microsoft.com/office/drawing/2014/main" id="{34054766-9F5B-480D-B00E-0A55E827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8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83342</xdr:colOff>
      <xdr:row>86</xdr:row>
      <xdr:rowOff>190489</xdr:rowOff>
    </xdr:from>
    <xdr:ext cx="85725" cy="390525"/>
    <xdr:pic>
      <xdr:nvPicPr>
        <xdr:cNvPr id="849" name="Picture 11597">
          <a:extLst>
            <a:ext uri="{FF2B5EF4-FFF2-40B4-BE49-F238E27FC236}">
              <a16:creationId xmlns:a16="http://schemas.microsoft.com/office/drawing/2014/main" id="{5D363C31-5653-4BCE-9588-FA8575B73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92" y="15868639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95248</xdr:colOff>
      <xdr:row>87</xdr:row>
      <xdr:rowOff>0</xdr:rowOff>
    </xdr:from>
    <xdr:ext cx="85725" cy="390525"/>
    <xdr:pic>
      <xdr:nvPicPr>
        <xdr:cNvPr id="850" name="Picture 11597">
          <a:extLst>
            <a:ext uri="{FF2B5EF4-FFF2-40B4-BE49-F238E27FC236}">
              <a16:creationId xmlns:a16="http://schemas.microsoft.com/office/drawing/2014/main" id="{064DB9E4-C07B-4F58-BD2C-87E66F72D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48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107154</xdr:colOff>
      <xdr:row>87</xdr:row>
      <xdr:rowOff>11906</xdr:rowOff>
    </xdr:from>
    <xdr:ext cx="144236" cy="466725"/>
    <xdr:pic>
      <xdr:nvPicPr>
        <xdr:cNvPr id="851" name="Picture 11595">
          <a:extLst>
            <a:ext uri="{FF2B5EF4-FFF2-40B4-BE49-F238E27FC236}">
              <a16:creationId xmlns:a16="http://schemas.microsoft.com/office/drawing/2014/main" id="{6CEF04DB-DC96-4154-B7E8-C8A1E9CD4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4" y="15880556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119060</xdr:colOff>
      <xdr:row>87</xdr:row>
      <xdr:rowOff>0</xdr:rowOff>
    </xdr:from>
    <xdr:ext cx="85725" cy="390525"/>
    <xdr:pic>
      <xdr:nvPicPr>
        <xdr:cNvPr id="852" name="Picture 11597">
          <a:extLst>
            <a:ext uri="{FF2B5EF4-FFF2-40B4-BE49-F238E27FC236}">
              <a16:creationId xmlns:a16="http://schemas.microsoft.com/office/drawing/2014/main" id="{0851FECC-9A3B-412D-8415-2EFCE1436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510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119060</xdr:colOff>
      <xdr:row>87</xdr:row>
      <xdr:rowOff>0</xdr:rowOff>
    </xdr:from>
    <xdr:ext cx="85725" cy="390525"/>
    <xdr:pic>
      <xdr:nvPicPr>
        <xdr:cNvPr id="853" name="Picture 11597">
          <a:extLst>
            <a:ext uri="{FF2B5EF4-FFF2-40B4-BE49-F238E27FC236}">
              <a16:creationId xmlns:a16="http://schemas.microsoft.com/office/drawing/2014/main" id="{13AFC525-962D-421C-904D-254F2DAEB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710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107154</xdr:colOff>
      <xdr:row>87</xdr:row>
      <xdr:rowOff>0</xdr:rowOff>
    </xdr:from>
    <xdr:ext cx="85725" cy="390525"/>
    <xdr:pic>
      <xdr:nvPicPr>
        <xdr:cNvPr id="854" name="Picture 11597">
          <a:extLst>
            <a:ext uri="{FF2B5EF4-FFF2-40B4-BE49-F238E27FC236}">
              <a16:creationId xmlns:a16="http://schemas.microsoft.com/office/drawing/2014/main" id="{AE23E205-7BD0-45A7-A848-E89957CAB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0704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83342</xdr:colOff>
      <xdr:row>86</xdr:row>
      <xdr:rowOff>178594</xdr:rowOff>
    </xdr:from>
    <xdr:ext cx="85725" cy="390525"/>
    <xdr:pic>
      <xdr:nvPicPr>
        <xdr:cNvPr id="855" name="Picture 11597">
          <a:extLst>
            <a:ext uri="{FF2B5EF4-FFF2-40B4-BE49-F238E27FC236}">
              <a16:creationId xmlns:a16="http://schemas.microsoft.com/office/drawing/2014/main" id="{BAA4F377-677C-457E-934B-CD49CBB8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3342" y="1586309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83342</xdr:colOff>
      <xdr:row>87</xdr:row>
      <xdr:rowOff>0</xdr:rowOff>
    </xdr:from>
    <xdr:ext cx="85725" cy="390525"/>
    <xdr:pic>
      <xdr:nvPicPr>
        <xdr:cNvPr id="856" name="Picture 11597">
          <a:extLst>
            <a:ext uri="{FF2B5EF4-FFF2-40B4-BE49-F238E27FC236}">
              <a16:creationId xmlns:a16="http://schemas.microsoft.com/office/drawing/2014/main" id="{9F5E3A2C-09E0-425E-A104-09C73454F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792" y="158686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11906</xdr:colOff>
      <xdr:row>99</xdr:row>
      <xdr:rowOff>23812</xdr:rowOff>
    </xdr:from>
    <xdr:ext cx="85725" cy="390525"/>
    <xdr:pic>
      <xdr:nvPicPr>
        <xdr:cNvPr id="857" name="Picture 11597">
          <a:extLst>
            <a:ext uri="{FF2B5EF4-FFF2-40B4-BE49-F238E27FC236}">
              <a16:creationId xmlns:a16="http://schemas.microsoft.com/office/drawing/2014/main" id="{5CA94E1E-CF64-4570-8E41-A0F6A6B2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456" y="180324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95248</xdr:colOff>
      <xdr:row>99</xdr:row>
      <xdr:rowOff>11902</xdr:rowOff>
    </xdr:from>
    <xdr:ext cx="85725" cy="390525"/>
    <xdr:pic>
      <xdr:nvPicPr>
        <xdr:cNvPr id="858" name="Picture 11597">
          <a:extLst>
            <a:ext uri="{FF2B5EF4-FFF2-40B4-BE49-F238E27FC236}">
              <a16:creationId xmlns:a16="http://schemas.microsoft.com/office/drawing/2014/main" id="{61B20285-F039-41FF-9622-F46DAEB5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98" y="180205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119060</xdr:colOff>
      <xdr:row>99</xdr:row>
      <xdr:rowOff>11902</xdr:rowOff>
    </xdr:from>
    <xdr:ext cx="85725" cy="390525"/>
    <xdr:pic>
      <xdr:nvPicPr>
        <xdr:cNvPr id="859" name="Picture 11597">
          <a:extLst>
            <a:ext uri="{FF2B5EF4-FFF2-40B4-BE49-F238E27FC236}">
              <a16:creationId xmlns:a16="http://schemas.microsoft.com/office/drawing/2014/main" id="{858D63CE-4974-4C82-984A-9C6DE62A9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460" y="180205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107154</xdr:colOff>
      <xdr:row>99</xdr:row>
      <xdr:rowOff>0</xdr:rowOff>
    </xdr:from>
    <xdr:ext cx="85725" cy="390525"/>
    <xdr:pic>
      <xdr:nvPicPr>
        <xdr:cNvPr id="860" name="Picture 11597">
          <a:extLst>
            <a:ext uri="{FF2B5EF4-FFF2-40B4-BE49-F238E27FC236}">
              <a16:creationId xmlns:a16="http://schemas.microsoft.com/office/drawing/2014/main" id="{D184AB3E-0896-4C28-A78C-830CF31D6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954" y="180086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107154</xdr:colOff>
      <xdr:row>97</xdr:row>
      <xdr:rowOff>178594</xdr:rowOff>
    </xdr:from>
    <xdr:ext cx="85725" cy="390525"/>
    <xdr:pic>
      <xdr:nvPicPr>
        <xdr:cNvPr id="861" name="Picture 11597">
          <a:extLst>
            <a:ext uri="{FF2B5EF4-FFF2-40B4-BE49-F238E27FC236}">
              <a16:creationId xmlns:a16="http://schemas.microsoft.com/office/drawing/2014/main" id="{C019F78A-9727-4EB2-992E-1162F7D0A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604" y="1781254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95248</xdr:colOff>
      <xdr:row>99</xdr:row>
      <xdr:rowOff>0</xdr:rowOff>
    </xdr:from>
    <xdr:ext cx="85725" cy="390525"/>
    <xdr:pic>
      <xdr:nvPicPr>
        <xdr:cNvPr id="862" name="Picture 11597">
          <a:extLst>
            <a:ext uri="{FF2B5EF4-FFF2-40B4-BE49-F238E27FC236}">
              <a16:creationId xmlns:a16="http://schemas.microsoft.com/office/drawing/2014/main" id="{EF4F214E-4819-484D-99FB-807B8DC2D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48" y="180086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35718</xdr:colOff>
      <xdr:row>99</xdr:row>
      <xdr:rowOff>0</xdr:rowOff>
    </xdr:from>
    <xdr:ext cx="85725" cy="390525"/>
    <xdr:pic>
      <xdr:nvPicPr>
        <xdr:cNvPr id="863" name="Picture 11597">
          <a:extLst>
            <a:ext uri="{FF2B5EF4-FFF2-40B4-BE49-F238E27FC236}">
              <a16:creationId xmlns:a16="http://schemas.microsoft.com/office/drawing/2014/main" id="{731BD11E-EC00-4640-95FB-0F57F4852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868" y="180086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214316</xdr:colOff>
      <xdr:row>97</xdr:row>
      <xdr:rowOff>178590</xdr:rowOff>
    </xdr:from>
    <xdr:ext cx="85725" cy="390525"/>
    <xdr:pic>
      <xdr:nvPicPr>
        <xdr:cNvPr id="864" name="Picture 11597">
          <a:extLst>
            <a:ext uri="{FF2B5EF4-FFF2-40B4-BE49-F238E27FC236}">
              <a16:creationId xmlns:a16="http://schemas.microsoft.com/office/drawing/2014/main" id="{21FEFF67-CE04-4F71-99B4-394DED229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0466" y="178125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154778</xdr:colOff>
      <xdr:row>97</xdr:row>
      <xdr:rowOff>190496</xdr:rowOff>
    </xdr:from>
    <xdr:ext cx="85725" cy="390525"/>
    <xdr:pic>
      <xdr:nvPicPr>
        <xdr:cNvPr id="865" name="Picture 11597">
          <a:extLst>
            <a:ext uri="{FF2B5EF4-FFF2-40B4-BE49-F238E27FC236}">
              <a16:creationId xmlns:a16="http://schemas.microsoft.com/office/drawing/2014/main" id="{7386CA8C-FE59-49B6-BAB7-3C070CCAC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8328" y="178244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142872</xdr:colOff>
      <xdr:row>99</xdr:row>
      <xdr:rowOff>11901</xdr:rowOff>
    </xdr:from>
    <xdr:ext cx="85725" cy="390525"/>
    <xdr:pic>
      <xdr:nvPicPr>
        <xdr:cNvPr id="866" name="Picture 11597">
          <a:extLst>
            <a:ext uri="{FF2B5EF4-FFF2-40B4-BE49-F238E27FC236}">
              <a16:creationId xmlns:a16="http://schemas.microsoft.com/office/drawing/2014/main" id="{F5EB6471-7ACD-4DF0-B593-7BD4034BF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2872" y="18020501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95248</xdr:colOff>
      <xdr:row>99</xdr:row>
      <xdr:rowOff>23807</xdr:rowOff>
    </xdr:from>
    <xdr:ext cx="85725" cy="390525"/>
    <xdr:pic>
      <xdr:nvPicPr>
        <xdr:cNvPr id="867" name="Picture 11597">
          <a:extLst>
            <a:ext uri="{FF2B5EF4-FFF2-40B4-BE49-F238E27FC236}">
              <a16:creationId xmlns:a16="http://schemas.microsoft.com/office/drawing/2014/main" id="{6C716219-DE54-4F1E-B843-E13898285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8" y="18032407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95248</xdr:colOff>
      <xdr:row>111</xdr:row>
      <xdr:rowOff>0</xdr:rowOff>
    </xdr:from>
    <xdr:ext cx="85725" cy="390525"/>
    <xdr:pic>
      <xdr:nvPicPr>
        <xdr:cNvPr id="868" name="Picture 11597">
          <a:extLst>
            <a:ext uri="{FF2B5EF4-FFF2-40B4-BE49-F238E27FC236}">
              <a16:creationId xmlns:a16="http://schemas.microsoft.com/office/drawing/2014/main" id="{B4C9F2E0-4F3B-4A64-B29B-0DF04C1A3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48" y="2015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23812</xdr:colOff>
      <xdr:row>111</xdr:row>
      <xdr:rowOff>11902</xdr:rowOff>
    </xdr:from>
    <xdr:ext cx="85725" cy="390525"/>
    <xdr:pic>
      <xdr:nvPicPr>
        <xdr:cNvPr id="869" name="Picture 11597">
          <a:extLst>
            <a:ext uri="{FF2B5EF4-FFF2-40B4-BE49-F238E27FC236}">
              <a16:creationId xmlns:a16="http://schemas.microsoft.com/office/drawing/2014/main" id="{A666BB14-A668-4B2B-AD64-91150049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2212" y="201668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226222</xdr:colOff>
      <xdr:row>109</xdr:row>
      <xdr:rowOff>178590</xdr:rowOff>
    </xdr:from>
    <xdr:ext cx="85725" cy="390525"/>
    <xdr:pic>
      <xdr:nvPicPr>
        <xdr:cNvPr id="870" name="Picture 11597">
          <a:extLst>
            <a:ext uri="{FF2B5EF4-FFF2-40B4-BE49-F238E27FC236}">
              <a16:creationId xmlns:a16="http://schemas.microsoft.com/office/drawing/2014/main" id="{77F6F94C-62E9-43E6-A1A5-478CBCE3D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4622" y="199588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23812</xdr:colOff>
      <xdr:row>109</xdr:row>
      <xdr:rowOff>166684</xdr:rowOff>
    </xdr:from>
    <xdr:ext cx="85725" cy="390525"/>
    <xdr:pic>
      <xdr:nvPicPr>
        <xdr:cNvPr id="871" name="Picture 11597">
          <a:extLst>
            <a:ext uri="{FF2B5EF4-FFF2-40B4-BE49-F238E27FC236}">
              <a16:creationId xmlns:a16="http://schemas.microsoft.com/office/drawing/2014/main" id="{B2DEBCB3-FCEB-43DA-83FE-DA2034D9B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612" y="1994693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190496</xdr:colOff>
      <xdr:row>111</xdr:row>
      <xdr:rowOff>11902</xdr:rowOff>
    </xdr:from>
    <xdr:ext cx="85725" cy="390525"/>
    <xdr:pic>
      <xdr:nvPicPr>
        <xdr:cNvPr id="872" name="Picture 11597">
          <a:extLst>
            <a:ext uri="{FF2B5EF4-FFF2-40B4-BE49-F238E27FC236}">
              <a16:creationId xmlns:a16="http://schemas.microsoft.com/office/drawing/2014/main" id="{54E33CF9-9EA8-45F8-AF9F-4D1C31405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296" y="201668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83342</xdr:colOff>
      <xdr:row>109</xdr:row>
      <xdr:rowOff>190496</xdr:rowOff>
    </xdr:from>
    <xdr:ext cx="85725" cy="390525"/>
    <xdr:pic>
      <xdr:nvPicPr>
        <xdr:cNvPr id="873" name="Picture 11597">
          <a:extLst>
            <a:ext uri="{FF2B5EF4-FFF2-40B4-BE49-F238E27FC236}">
              <a16:creationId xmlns:a16="http://schemas.microsoft.com/office/drawing/2014/main" id="{33CE1371-6917-4F58-88FB-14D332C59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792" y="199707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107154</xdr:colOff>
      <xdr:row>109</xdr:row>
      <xdr:rowOff>178594</xdr:rowOff>
    </xdr:from>
    <xdr:ext cx="85725" cy="390525"/>
    <xdr:pic>
      <xdr:nvPicPr>
        <xdr:cNvPr id="874" name="Picture 11597">
          <a:extLst>
            <a:ext uri="{FF2B5EF4-FFF2-40B4-BE49-F238E27FC236}">
              <a16:creationId xmlns:a16="http://schemas.microsoft.com/office/drawing/2014/main" id="{E4794DFD-7076-45BC-B5C2-51B8CDB1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804" y="1995884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47624</xdr:colOff>
      <xdr:row>111</xdr:row>
      <xdr:rowOff>0</xdr:rowOff>
    </xdr:from>
    <xdr:ext cx="85725" cy="390525"/>
    <xdr:pic>
      <xdr:nvPicPr>
        <xdr:cNvPr id="875" name="Picture 11597">
          <a:extLst>
            <a:ext uri="{FF2B5EF4-FFF2-40B4-BE49-F238E27FC236}">
              <a16:creationId xmlns:a16="http://schemas.microsoft.com/office/drawing/2014/main" id="{D7FC90C5-B7E9-4D5E-9462-611EE700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4074" y="2015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202402</xdr:colOff>
      <xdr:row>109</xdr:row>
      <xdr:rowOff>178590</xdr:rowOff>
    </xdr:from>
    <xdr:ext cx="85725" cy="390525"/>
    <xdr:pic>
      <xdr:nvPicPr>
        <xdr:cNvPr id="876" name="Picture 11597">
          <a:extLst>
            <a:ext uri="{FF2B5EF4-FFF2-40B4-BE49-F238E27FC236}">
              <a16:creationId xmlns:a16="http://schemas.microsoft.com/office/drawing/2014/main" id="{14ADFD56-ECDA-4D62-A325-AF62295A6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8852" y="199588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23812</xdr:colOff>
      <xdr:row>123</xdr:row>
      <xdr:rowOff>0</xdr:rowOff>
    </xdr:from>
    <xdr:ext cx="85725" cy="390525"/>
    <xdr:pic>
      <xdr:nvPicPr>
        <xdr:cNvPr id="877" name="Picture 11597">
          <a:extLst>
            <a:ext uri="{FF2B5EF4-FFF2-40B4-BE49-F238E27FC236}">
              <a16:creationId xmlns:a16="http://schemas.microsoft.com/office/drawing/2014/main" id="{15BE84FD-3908-43FF-9CEF-16531AA30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" y="22294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23812</xdr:colOff>
      <xdr:row>123</xdr:row>
      <xdr:rowOff>0</xdr:rowOff>
    </xdr:from>
    <xdr:ext cx="85725" cy="390525"/>
    <xdr:pic>
      <xdr:nvPicPr>
        <xdr:cNvPr id="878" name="Picture 11597">
          <a:extLst>
            <a:ext uri="{FF2B5EF4-FFF2-40B4-BE49-F238E27FC236}">
              <a16:creationId xmlns:a16="http://schemas.microsoft.com/office/drawing/2014/main" id="{DC9696EB-9DFF-4358-9C02-EBDA5112C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62" y="22294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130966</xdr:colOff>
      <xdr:row>122</xdr:row>
      <xdr:rowOff>154778</xdr:rowOff>
    </xdr:from>
    <xdr:ext cx="144236" cy="466725"/>
    <xdr:pic>
      <xdr:nvPicPr>
        <xdr:cNvPr id="879" name="Picture 11595">
          <a:extLst>
            <a:ext uri="{FF2B5EF4-FFF2-40B4-BE49-F238E27FC236}">
              <a16:creationId xmlns:a16="http://schemas.microsoft.com/office/drawing/2014/main" id="{18DAF012-2EDA-420A-BA68-F61A34C4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9016" y="22265478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95248</xdr:colOff>
      <xdr:row>123</xdr:row>
      <xdr:rowOff>11906</xdr:rowOff>
    </xdr:from>
    <xdr:ext cx="85725" cy="390525"/>
    <xdr:pic>
      <xdr:nvPicPr>
        <xdr:cNvPr id="880" name="Picture 11597">
          <a:extLst>
            <a:ext uri="{FF2B5EF4-FFF2-40B4-BE49-F238E27FC236}">
              <a16:creationId xmlns:a16="http://schemas.microsoft.com/office/drawing/2014/main" id="{7C9204AC-A1B1-43C5-84A4-D6A381B2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48" y="2230675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95248</xdr:colOff>
      <xdr:row>123</xdr:row>
      <xdr:rowOff>0</xdr:rowOff>
    </xdr:from>
    <xdr:ext cx="85725" cy="390525"/>
    <xdr:pic>
      <xdr:nvPicPr>
        <xdr:cNvPr id="881" name="Picture 11597">
          <a:extLst>
            <a:ext uri="{FF2B5EF4-FFF2-40B4-BE49-F238E27FC236}">
              <a16:creationId xmlns:a16="http://schemas.microsoft.com/office/drawing/2014/main" id="{1A4E2BC9-2A22-4D97-83A7-D19D9B77F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898" y="22294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95248</xdr:colOff>
      <xdr:row>123</xdr:row>
      <xdr:rowOff>11902</xdr:rowOff>
    </xdr:from>
    <xdr:ext cx="85725" cy="390525"/>
    <xdr:pic>
      <xdr:nvPicPr>
        <xdr:cNvPr id="882" name="Picture 11597">
          <a:extLst>
            <a:ext uri="{FF2B5EF4-FFF2-40B4-BE49-F238E27FC236}">
              <a16:creationId xmlns:a16="http://schemas.microsoft.com/office/drawing/2014/main" id="{71E22FC3-CBE0-40BD-91D7-F2B2A3BAF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348" y="2230675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0</xdr:colOff>
      <xdr:row>123</xdr:row>
      <xdr:rowOff>47628</xdr:rowOff>
    </xdr:from>
    <xdr:ext cx="85725" cy="390525"/>
    <xdr:pic>
      <xdr:nvPicPr>
        <xdr:cNvPr id="883" name="Picture 11597">
          <a:extLst>
            <a:ext uri="{FF2B5EF4-FFF2-40B4-BE49-F238E27FC236}">
              <a16:creationId xmlns:a16="http://schemas.microsoft.com/office/drawing/2014/main" id="{0CBC6727-EAF6-467D-A10B-0829BD656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150" y="2234247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107154</xdr:colOff>
      <xdr:row>123</xdr:row>
      <xdr:rowOff>0</xdr:rowOff>
    </xdr:from>
    <xdr:ext cx="144236" cy="466725"/>
    <xdr:pic>
      <xdr:nvPicPr>
        <xdr:cNvPr id="884" name="Picture 11595">
          <a:extLst>
            <a:ext uri="{FF2B5EF4-FFF2-40B4-BE49-F238E27FC236}">
              <a16:creationId xmlns:a16="http://schemas.microsoft.com/office/drawing/2014/main" id="{5BF5F2AE-D69B-426E-A583-AEC1A8413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3304" y="22294850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95248</xdr:colOff>
      <xdr:row>122</xdr:row>
      <xdr:rowOff>190500</xdr:rowOff>
    </xdr:from>
    <xdr:ext cx="85725" cy="390525"/>
    <xdr:pic>
      <xdr:nvPicPr>
        <xdr:cNvPr id="885" name="Picture 11597">
          <a:extLst>
            <a:ext uri="{FF2B5EF4-FFF2-40B4-BE49-F238E27FC236}">
              <a16:creationId xmlns:a16="http://schemas.microsoft.com/office/drawing/2014/main" id="{BD2B96E9-DA2A-4CF1-82BF-4FB34F02B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8" y="22294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107154</xdr:colOff>
      <xdr:row>135</xdr:row>
      <xdr:rowOff>23812</xdr:rowOff>
    </xdr:from>
    <xdr:ext cx="85725" cy="390525"/>
    <xdr:pic>
      <xdr:nvPicPr>
        <xdr:cNvPr id="886" name="Picture 11597">
          <a:extLst>
            <a:ext uri="{FF2B5EF4-FFF2-40B4-BE49-F238E27FC236}">
              <a16:creationId xmlns:a16="http://schemas.microsoft.com/office/drawing/2014/main" id="{221BC1FE-A8E4-4B67-BBD0-215B4B49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204" y="244586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107154</xdr:colOff>
      <xdr:row>135</xdr:row>
      <xdr:rowOff>0</xdr:rowOff>
    </xdr:from>
    <xdr:ext cx="85725" cy="390525"/>
    <xdr:pic>
      <xdr:nvPicPr>
        <xdr:cNvPr id="887" name="Picture 11597">
          <a:extLst>
            <a:ext uri="{FF2B5EF4-FFF2-40B4-BE49-F238E27FC236}">
              <a16:creationId xmlns:a16="http://schemas.microsoft.com/office/drawing/2014/main" id="{A4D98664-C835-43D5-AC88-9509D4ADB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4" y="24434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107154</xdr:colOff>
      <xdr:row>135</xdr:row>
      <xdr:rowOff>0</xdr:rowOff>
    </xdr:from>
    <xdr:ext cx="85725" cy="390525"/>
    <xdr:pic>
      <xdr:nvPicPr>
        <xdr:cNvPr id="888" name="Picture 11597">
          <a:extLst>
            <a:ext uri="{FF2B5EF4-FFF2-40B4-BE49-F238E27FC236}">
              <a16:creationId xmlns:a16="http://schemas.microsoft.com/office/drawing/2014/main" id="{CF8580E6-29C3-4CAD-942C-3F61BA19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954" y="24434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83342</xdr:colOff>
      <xdr:row>135</xdr:row>
      <xdr:rowOff>0</xdr:rowOff>
    </xdr:from>
    <xdr:ext cx="85725" cy="390525"/>
    <xdr:pic>
      <xdr:nvPicPr>
        <xdr:cNvPr id="889" name="Picture 11597">
          <a:extLst>
            <a:ext uri="{FF2B5EF4-FFF2-40B4-BE49-F238E27FC236}">
              <a16:creationId xmlns:a16="http://schemas.microsoft.com/office/drawing/2014/main" id="{534CD988-52DF-4FF2-B57F-023D16CA7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992" y="24434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83342</xdr:colOff>
      <xdr:row>135</xdr:row>
      <xdr:rowOff>0</xdr:rowOff>
    </xdr:from>
    <xdr:ext cx="85725" cy="390525"/>
    <xdr:pic>
      <xdr:nvPicPr>
        <xdr:cNvPr id="890" name="Picture 11597">
          <a:extLst>
            <a:ext uri="{FF2B5EF4-FFF2-40B4-BE49-F238E27FC236}">
              <a16:creationId xmlns:a16="http://schemas.microsoft.com/office/drawing/2014/main" id="{A4C1893C-67CD-496B-9254-87B194E72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6442" y="24434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107154</xdr:colOff>
      <xdr:row>146</xdr:row>
      <xdr:rowOff>0</xdr:rowOff>
    </xdr:from>
    <xdr:ext cx="85725" cy="390525"/>
    <xdr:pic>
      <xdr:nvPicPr>
        <xdr:cNvPr id="891" name="Picture 11597">
          <a:extLst>
            <a:ext uri="{FF2B5EF4-FFF2-40B4-BE49-F238E27FC236}">
              <a16:creationId xmlns:a16="http://schemas.microsoft.com/office/drawing/2014/main" id="{F099EEEB-120A-4E53-946A-CA69613B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3304" y="263969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107154</xdr:colOff>
      <xdr:row>146</xdr:row>
      <xdr:rowOff>0</xdr:rowOff>
    </xdr:from>
    <xdr:ext cx="85725" cy="390525"/>
    <xdr:pic>
      <xdr:nvPicPr>
        <xdr:cNvPr id="892" name="Picture 11597">
          <a:extLst>
            <a:ext uri="{FF2B5EF4-FFF2-40B4-BE49-F238E27FC236}">
              <a16:creationId xmlns:a16="http://schemas.microsoft.com/office/drawing/2014/main" id="{FA31EC2A-17BE-49A2-B461-1BD994D13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154" y="263969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59530</xdr:colOff>
      <xdr:row>157</xdr:row>
      <xdr:rowOff>0</xdr:rowOff>
    </xdr:from>
    <xdr:ext cx="144236" cy="466725"/>
    <xdr:pic>
      <xdr:nvPicPr>
        <xdr:cNvPr id="893" name="Picture 11595">
          <a:extLst>
            <a:ext uri="{FF2B5EF4-FFF2-40B4-BE49-F238E27FC236}">
              <a16:creationId xmlns:a16="http://schemas.microsoft.com/office/drawing/2014/main" id="{959361D2-3297-4B79-BC63-DFDDC7C8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580" y="28390850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95248</xdr:colOff>
      <xdr:row>157</xdr:row>
      <xdr:rowOff>0</xdr:rowOff>
    </xdr:from>
    <xdr:ext cx="85725" cy="390525"/>
    <xdr:pic>
      <xdr:nvPicPr>
        <xdr:cNvPr id="894" name="Picture 11597">
          <a:extLst>
            <a:ext uri="{FF2B5EF4-FFF2-40B4-BE49-F238E27FC236}">
              <a16:creationId xmlns:a16="http://schemas.microsoft.com/office/drawing/2014/main" id="{BB8F24A1-1500-49AD-9169-1D8C6690F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48" y="28390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107154</xdr:colOff>
      <xdr:row>157</xdr:row>
      <xdr:rowOff>0</xdr:rowOff>
    </xdr:from>
    <xdr:ext cx="85725" cy="390525"/>
    <xdr:pic>
      <xdr:nvPicPr>
        <xdr:cNvPr id="895" name="Picture 11597">
          <a:extLst>
            <a:ext uri="{FF2B5EF4-FFF2-40B4-BE49-F238E27FC236}">
              <a16:creationId xmlns:a16="http://schemas.microsoft.com/office/drawing/2014/main" id="{84249C53-1E40-4E76-9353-E83BF1D37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604" y="28390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59530</xdr:colOff>
      <xdr:row>157</xdr:row>
      <xdr:rowOff>0</xdr:rowOff>
    </xdr:from>
    <xdr:ext cx="85725" cy="390525"/>
    <xdr:pic>
      <xdr:nvPicPr>
        <xdr:cNvPr id="896" name="Picture 11597">
          <a:extLst>
            <a:ext uri="{FF2B5EF4-FFF2-40B4-BE49-F238E27FC236}">
              <a16:creationId xmlns:a16="http://schemas.microsoft.com/office/drawing/2014/main" id="{2211310E-7630-49F0-8DDD-F3154BF0A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630" y="28390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176212</xdr:colOff>
      <xdr:row>157</xdr:row>
      <xdr:rowOff>33340</xdr:rowOff>
    </xdr:from>
    <xdr:ext cx="85725" cy="390525"/>
    <xdr:pic>
      <xdr:nvPicPr>
        <xdr:cNvPr id="897" name="Picture 11597">
          <a:extLst>
            <a:ext uri="{FF2B5EF4-FFF2-40B4-BE49-F238E27FC236}">
              <a16:creationId xmlns:a16="http://schemas.microsoft.com/office/drawing/2014/main" id="{26190B1C-E5AB-4874-990F-639ACCB81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9312" y="284241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83342</xdr:colOff>
      <xdr:row>157</xdr:row>
      <xdr:rowOff>23812</xdr:rowOff>
    </xdr:from>
    <xdr:ext cx="85725" cy="390525"/>
    <xdr:pic>
      <xdr:nvPicPr>
        <xdr:cNvPr id="898" name="Picture 11597">
          <a:extLst>
            <a:ext uri="{FF2B5EF4-FFF2-40B4-BE49-F238E27FC236}">
              <a16:creationId xmlns:a16="http://schemas.microsoft.com/office/drawing/2014/main" id="{14A03C27-2A90-41AA-A0CC-E3E109D5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142" y="284146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130966</xdr:colOff>
      <xdr:row>157</xdr:row>
      <xdr:rowOff>11906</xdr:rowOff>
    </xdr:from>
    <xdr:ext cx="85725" cy="390525"/>
    <xdr:pic>
      <xdr:nvPicPr>
        <xdr:cNvPr id="899" name="Picture 11597">
          <a:extLst>
            <a:ext uri="{FF2B5EF4-FFF2-40B4-BE49-F238E27FC236}">
              <a16:creationId xmlns:a16="http://schemas.microsoft.com/office/drawing/2014/main" id="{2F2532F3-CC1D-4DC0-A7F8-066FDFB92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4516" y="2840275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119060</xdr:colOff>
      <xdr:row>157</xdr:row>
      <xdr:rowOff>0</xdr:rowOff>
    </xdr:from>
    <xdr:ext cx="85725" cy="390525"/>
    <xdr:pic>
      <xdr:nvPicPr>
        <xdr:cNvPr id="900" name="Picture 11597">
          <a:extLst>
            <a:ext uri="{FF2B5EF4-FFF2-40B4-BE49-F238E27FC236}">
              <a16:creationId xmlns:a16="http://schemas.microsoft.com/office/drawing/2014/main" id="{7C6DA343-DEE0-481F-B0C2-3871EF0F7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060" y="283908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168</xdr:row>
      <xdr:rowOff>0</xdr:rowOff>
    </xdr:from>
    <xdr:ext cx="85725" cy="390525"/>
    <xdr:pic>
      <xdr:nvPicPr>
        <xdr:cNvPr id="901" name="Picture 11597">
          <a:extLst>
            <a:ext uri="{FF2B5EF4-FFF2-40B4-BE49-F238E27FC236}">
              <a16:creationId xmlns:a16="http://schemas.microsoft.com/office/drawing/2014/main" id="{26B78E4F-4BA8-490E-AEB3-5960633B5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95248</xdr:colOff>
      <xdr:row>168</xdr:row>
      <xdr:rowOff>0</xdr:rowOff>
    </xdr:from>
    <xdr:ext cx="85725" cy="390525"/>
    <xdr:pic>
      <xdr:nvPicPr>
        <xdr:cNvPr id="902" name="Picture 11597">
          <a:extLst>
            <a:ext uri="{FF2B5EF4-FFF2-40B4-BE49-F238E27FC236}">
              <a16:creationId xmlns:a16="http://schemas.microsoft.com/office/drawing/2014/main" id="{5E6D25CC-E9C3-45B6-A5E8-3E28C565A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98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107154</xdr:colOff>
      <xdr:row>168</xdr:row>
      <xdr:rowOff>0</xdr:rowOff>
    </xdr:from>
    <xdr:ext cx="85725" cy="390525"/>
    <xdr:pic>
      <xdr:nvPicPr>
        <xdr:cNvPr id="903" name="Picture 11597">
          <a:extLst>
            <a:ext uri="{FF2B5EF4-FFF2-40B4-BE49-F238E27FC236}">
              <a16:creationId xmlns:a16="http://schemas.microsoft.com/office/drawing/2014/main" id="{9219E2BB-E37F-4F30-8FC2-115FE9E2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554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247648</xdr:colOff>
      <xdr:row>168</xdr:row>
      <xdr:rowOff>92870</xdr:rowOff>
    </xdr:from>
    <xdr:ext cx="85725" cy="390525"/>
    <xdr:pic>
      <xdr:nvPicPr>
        <xdr:cNvPr id="904" name="Picture 11597">
          <a:extLst>
            <a:ext uri="{FF2B5EF4-FFF2-40B4-BE49-F238E27FC236}">
              <a16:creationId xmlns:a16="http://schemas.microsoft.com/office/drawing/2014/main" id="{A2F2254A-FBCF-45D2-A226-1727C240B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4048" y="3043317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107154</xdr:colOff>
      <xdr:row>168</xdr:row>
      <xdr:rowOff>23812</xdr:rowOff>
    </xdr:from>
    <xdr:ext cx="85725" cy="390525"/>
    <xdr:pic>
      <xdr:nvPicPr>
        <xdr:cNvPr id="905" name="Picture 11597">
          <a:extLst>
            <a:ext uri="{FF2B5EF4-FFF2-40B4-BE49-F238E27FC236}">
              <a16:creationId xmlns:a16="http://schemas.microsoft.com/office/drawing/2014/main" id="{4FCB379D-C6BF-42E0-AE86-054E9B3BF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4" y="303641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83342</xdr:colOff>
      <xdr:row>168</xdr:row>
      <xdr:rowOff>11906</xdr:rowOff>
    </xdr:from>
    <xdr:ext cx="144236" cy="466725"/>
    <xdr:pic>
      <xdr:nvPicPr>
        <xdr:cNvPr id="906" name="Picture 11595">
          <a:extLst>
            <a:ext uri="{FF2B5EF4-FFF2-40B4-BE49-F238E27FC236}">
              <a16:creationId xmlns:a16="http://schemas.microsoft.com/office/drawing/2014/main" id="{38CABE63-44C5-482D-8F03-A5A18D0B9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792" y="30352206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107154</xdr:colOff>
      <xdr:row>168</xdr:row>
      <xdr:rowOff>0</xdr:rowOff>
    </xdr:from>
    <xdr:ext cx="85725" cy="390525"/>
    <xdr:pic>
      <xdr:nvPicPr>
        <xdr:cNvPr id="907" name="Picture 11597">
          <a:extLst>
            <a:ext uri="{FF2B5EF4-FFF2-40B4-BE49-F238E27FC236}">
              <a16:creationId xmlns:a16="http://schemas.microsoft.com/office/drawing/2014/main" id="{3A2CF8C9-20B6-48C8-ACB2-7FD05D57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804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71436</xdr:colOff>
      <xdr:row>168</xdr:row>
      <xdr:rowOff>0</xdr:rowOff>
    </xdr:from>
    <xdr:ext cx="85725" cy="390525"/>
    <xdr:pic>
      <xdr:nvPicPr>
        <xdr:cNvPr id="908" name="Picture 11597">
          <a:extLst>
            <a:ext uri="{FF2B5EF4-FFF2-40B4-BE49-F238E27FC236}">
              <a16:creationId xmlns:a16="http://schemas.microsoft.com/office/drawing/2014/main" id="{BD5CEEA6-0138-4C99-A334-418B3BB4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536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107154</xdr:colOff>
      <xdr:row>168</xdr:row>
      <xdr:rowOff>0</xdr:rowOff>
    </xdr:from>
    <xdr:ext cx="85725" cy="390525"/>
    <xdr:pic>
      <xdr:nvPicPr>
        <xdr:cNvPr id="909" name="Picture 11597">
          <a:extLst>
            <a:ext uri="{FF2B5EF4-FFF2-40B4-BE49-F238E27FC236}">
              <a16:creationId xmlns:a16="http://schemas.microsoft.com/office/drawing/2014/main" id="{00E746FD-200C-446B-9DCA-A7D5958CB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154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83342</xdr:colOff>
      <xdr:row>168</xdr:row>
      <xdr:rowOff>0</xdr:rowOff>
    </xdr:from>
    <xdr:ext cx="85725" cy="390525"/>
    <xdr:pic>
      <xdr:nvPicPr>
        <xdr:cNvPr id="910" name="Picture 11597">
          <a:extLst>
            <a:ext uri="{FF2B5EF4-FFF2-40B4-BE49-F238E27FC236}">
              <a16:creationId xmlns:a16="http://schemas.microsoft.com/office/drawing/2014/main" id="{CF5276F0-93E9-48FC-8BE8-65B0BA30C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792" y="303403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190496</xdr:colOff>
      <xdr:row>179</xdr:row>
      <xdr:rowOff>0</xdr:rowOff>
    </xdr:from>
    <xdr:ext cx="85725" cy="390525"/>
    <xdr:pic>
      <xdr:nvPicPr>
        <xdr:cNvPr id="911" name="Picture 11597">
          <a:extLst>
            <a:ext uri="{FF2B5EF4-FFF2-40B4-BE49-F238E27FC236}">
              <a16:creationId xmlns:a16="http://schemas.microsoft.com/office/drawing/2014/main" id="{4BE978FF-EC93-4B37-B9A3-B275A7AF7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6" y="322707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83342</xdr:colOff>
      <xdr:row>179</xdr:row>
      <xdr:rowOff>0</xdr:rowOff>
    </xdr:from>
    <xdr:ext cx="85725" cy="390525"/>
    <xdr:pic>
      <xdr:nvPicPr>
        <xdr:cNvPr id="912" name="Picture 11597">
          <a:extLst>
            <a:ext uri="{FF2B5EF4-FFF2-40B4-BE49-F238E27FC236}">
              <a16:creationId xmlns:a16="http://schemas.microsoft.com/office/drawing/2014/main" id="{2253285D-D3D0-4E69-A641-D77809B24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92" y="322707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107154</xdr:colOff>
      <xdr:row>179</xdr:row>
      <xdr:rowOff>0</xdr:rowOff>
    </xdr:from>
    <xdr:ext cx="85725" cy="390525"/>
    <xdr:pic>
      <xdr:nvPicPr>
        <xdr:cNvPr id="913" name="Picture 11597">
          <a:extLst>
            <a:ext uri="{FF2B5EF4-FFF2-40B4-BE49-F238E27FC236}">
              <a16:creationId xmlns:a16="http://schemas.microsoft.com/office/drawing/2014/main" id="{667996A9-A455-401F-840B-1A95E60E1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954" y="322707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95248</xdr:colOff>
      <xdr:row>179</xdr:row>
      <xdr:rowOff>0</xdr:rowOff>
    </xdr:from>
    <xdr:ext cx="85725" cy="390525"/>
    <xdr:pic>
      <xdr:nvPicPr>
        <xdr:cNvPr id="914" name="Picture 11597">
          <a:extLst>
            <a:ext uri="{FF2B5EF4-FFF2-40B4-BE49-F238E27FC236}">
              <a16:creationId xmlns:a16="http://schemas.microsoft.com/office/drawing/2014/main" id="{2CE23C30-58E9-4775-8125-56C96E7D2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55248" y="322707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83342</xdr:colOff>
      <xdr:row>179</xdr:row>
      <xdr:rowOff>0</xdr:rowOff>
    </xdr:from>
    <xdr:ext cx="85725" cy="390525"/>
    <xdr:pic>
      <xdr:nvPicPr>
        <xdr:cNvPr id="915" name="Picture 11597">
          <a:extLst>
            <a:ext uri="{FF2B5EF4-FFF2-40B4-BE49-F238E27FC236}">
              <a16:creationId xmlns:a16="http://schemas.microsoft.com/office/drawing/2014/main" id="{00E7CFE6-F81E-434C-966B-9B315C4A1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792" y="322707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71436</xdr:colOff>
      <xdr:row>189</xdr:row>
      <xdr:rowOff>0</xdr:rowOff>
    </xdr:from>
    <xdr:ext cx="85725" cy="390525"/>
    <xdr:pic>
      <xdr:nvPicPr>
        <xdr:cNvPr id="916" name="Picture 11597">
          <a:extLst>
            <a:ext uri="{FF2B5EF4-FFF2-40B4-BE49-F238E27FC236}">
              <a16:creationId xmlns:a16="http://schemas.microsoft.com/office/drawing/2014/main" id="{91456205-47C5-4511-B109-AB570BE2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6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69054</xdr:colOff>
      <xdr:row>189</xdr:row>
      <xdr:rowOff>21434</xdr:rowOff>
    </xdr:from>
    <xdr:ext cx="85725" cy="390525"/>
    <xdr:pic>
      <xdr:nvPicPr>
        <xdr:cNvPr id="917" name="Picture 11597">
          <a:extLst>
            <a:ext uri="{FF2B5EF4-FFF2-40B4-BE49-F238E27FC236}">
              <a16:creationId xmlns:a16="http://schemas.microsoft.com/office/drawing/2014/main" id="{8B0C96B0-E03D-4FCE-8474-DA13AF093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604" y="3405743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</xdr:colOff>
      <xdr:row>189</xdr:row>
      <xdr:rowOff>0</xdr:rowOff>
    </xdr:from>
    <xdr:ext cx="85725" cy="390525"/>
    <xdr:pic>
      <xdr:nvPicPr>
        <xdr:cNvPr id="918" name="Picture 11597">
          <a:extLst>
            <a:ext uri="{FF2B5EF4-FFF2-40B4-BE49-F238E27FC236}">
              <a16:creationId xmlns:a16="http://schemas.microsoft.com/office/drawing/2014/main" id="{1CC164A9-F89A-498E-9A51-2A03BFD3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956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164306</xdr:colOff>
      <xdr:row>189</xdr:row>
      <xdr:rowOff>69058</xdr:rowOff>
    </xdr:from>
    <xdr:ext cx="85725" cy="390525"/>
    <xdr:pic>
      <xdr:nvPicPr>
        <xdr:cNvPr id="919" name="Picture 11597">
          <a:extLst>
            <a:ext uri="{FF2B5EF4-FFF2-40B4-BE49-F238E27FC236}">
              <a16:creationId xmlns:a16="http://schemas.microsoft.com/office/drawing/2014/main" id="{317A3496-6895-47E2-BF6E-418F97B3D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356" y="341050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107154</xdr:colOff>
      <xdr:row>189</xdr:row>
      <xdr:rowOff>0</xdr:rowOff>
    </xdr:from>
    <xdr:ext cx="85725" cy="390525"/>
    <xdr:pic>
      <xdr:nvPicPr>
        <xdr:cNvPr id="920" name="Picture 11597">
          <a:extLst>
            <a:ext uri="{FF2B5EF4-FFF2-40B4-BE49-F238E27FC236}">
              <a16:creationId xmlns:a16="http://schemas.microsoft.com/office/drawing/2014/main" id="{43AE5CB8-3B59-4C1F-89CB-E6BA87F2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554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107154</xdr:colOff>
      <xdr:row>189</xdr:row>
      <xdr:rowOff>0</xdr:rowOff>
    </xdr:from>
    <xdr:ext cx="85725" cy="390525"/>
    <xdr:pic>
      <xdr:nvPicPr>
        <xdr:cNvPr id="921" name="Picture 11597">
          <a:extLst>
            <a:ext uri="{FF2B5EF4-FFF2-40B4-BE49-F238E27FC236}">
              <a16:creationId xmlns:a16="http://schemas.microsoft.com/office/drawing/2014/main" id="{602A2981-D7C9-4B13-9054-E4B651EC8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954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23812</xdr:colOff>
      <xdr:row>189</xdr:row>
      <xdr:rowOff>0</xdr:rowOff>
    </xdr:from>
    <xdr:ext cx="85725" cy="390525"/>
    <xdr:pic>
      <xdr:nvPicPr>
        <xdr:cNvPr id="922" name="Picture 11597">
          <a:extLst>
            <a:ext uri="{FF2B5EF4-FFF2-40B4-BE49-F238E27FC236}">
              <a16:creationId xmlns:a16="http://schemas.microsoft.com/office/drawing/2014/main" id="{37F2DF3A-FAF9-42E6-8D4B-20BA72E3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5262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188118</xdr:colOff>
      <xdr:row>189</xdr:row>
      <xdr:rowOff>92870</xdr:rowOff>
    </xdr:from>
    <xdr:ext cx="85725" cy="390525"/>
    <xdr:pic>
      <xdr:nvPicPr>
        <xdr:cNvPr id="923" name="Picture 11597">
          <a:extLst>
            <a:ext uri="{FF2B5EF4-FFF2-40B4-BE49-F238E27FC236}">
              <a16:creationId xmlns:a16="http://schemas.microsoft.com/office/drawing/2014/main" id="{DD6F231F-AEB5-4545-8739-E2BE66161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9568" y="3412887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71436</xdr:colOff>
      <xdr:row>189</xdr:row>
      <xdr:rowOff>0</xdr:rowOff>
    </xdr:from>
    <xdr:ext cx="85725" cy="390525"/>
    <xdr:pic>
      <xdr:nvPicPr>
        <xdr:cNvPr id="924" name="Picture 11597">
          <a:extLst>
            <a:ext uri="{FF2B5EF4-FFF2-40B4-BE49-F238E27FC236}">
              <a16:creationId xmlns:a16="http://schemas.microsoft.com/office/drawing/2014/main" id="{00B9DF24-B7DA-4B67-9E1A-CBDA29E2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9486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83342</xdr:colOff>
      <xdr:row>189</xdr:row>
      <xdr:rowOff>0</xdr:rowOff>
    </xdr:from>
    <xdr:ext cx="85725" cy="390525"/>
    <xdr:pic>
      <xdr:nvPicPr>
        <xdr:cNvPr id="925" name="Picture 11597">
          <a:extLst>
            <a:ext uri="{FF2B5EF4-FFF2-40B4-BE49-F238E27FC236}">
              <a16:creationId xmlns:a16="http://schemas.microsoft.com/office/drawing/2014/main" id="{B7BE6395-A4C3-4FC4-A58B-3575F5AF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9992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23812</xdr:colOff>
      <xdr:row>189</xdr:row>
      <xdr:rowOff>0</xdr:rowOff>
    </xdr:from>
    <xdr:ext cx="85725" cy="390525"/>
    <xdr:pic>
      <xdr:nvPicPr>
        <xdr:cNvPr id="926" name="Picture 11597">
          <a:extLst>
            <a:ext uri="{FF2B5EF4-FFF2-40B4-BE49-F238E27FC236}">
              <a16:creationId xmlns:a16="http://schemas.microsoft.com/office/drawing/2014/main" id="{C68797DF-C923-42D5-A5EB-49FBC3620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912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176212</xdr:colOff>
      <xdr:row>189</xdr:row>
      <xdr:rowOff>152400</xdr:rowOff>
    </xdr:from>
    <xdr:ext cx="85725" cy="390525"/>
    <xdr:pic>
      <xdr:nvPicPr>
        <xdr:cNvPr id="927" name="Picture 11597">
          <a:extLst>
            <a:ext uri="{FF2B5EF4-FFF2-40B4-BE49-F238E27FC236}">
              <a16:creationId xmlns:a16="http://schemas.microsoft.com/office/drawing/2014/main" id="{E91A5326-6A7A-4677-A753-0AE5469AB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9312" y="34188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119060</xdr:colOff>
      <xdr:row>189</xdr:row>
      <xdr:rowOff>0</xdr:rowOff>
    </xdr:from>
    <xdr:ext cx="85725" cy="390525"/>
    <xdr:pic>
      <xdr:nvPicPr>
        <xdr:cNvPr id="928" name="Picture 11597">
          <a:extLst>
            <a:ext uri="{FF2B5EF4-FFF2-40B4-BE49-F238E27FC236}">
              <a16:creationId xmlns:a16="http://schemas.microsoft.com/office/drawing/2014/main" id="{EE9D6492-5004-41B9-847D-17DEE910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5210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23812</xdr:colOff>
      <xdr:row>189</xdr:row>
      <xdr:rowOff>0</xdr:rowOff>
    </xdr:from>
    <xdr:ext cx="85725" cy="390525"/>
    <xdr:pic>
      <xdr:nvPicPr>
        <xdr:cNvPr id="929" name="Picture 11597">
          <a:extLst>
            <a:ext uri="{FF2B5EF4-FFF2-40B4-BE49-F238E27FC236}">
              <a16:creationId xmlns:a16="http://schemas.microsoft.com/office/drawing/2014/main" id="{CEC3CD27-5CFE-409C-9057-A57CD8D5D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7362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188118</xdr:colOff>
      <xdr:row>189</xdr:row>
      <xdr:rowOff>116682</xdr:rowOff>
    </xdr:from>
    <xdr:ext cx="85725" cy="390525"/>
    <xdr:pic>
      <xdr:nvPicPr>
        <xdr:cNvPr id="930" name="Picture 11597">
          <a:extLst>
            <a:ext uri="{FF2B5EF4-FFF2-40B4-BE49-F238E27FC236}">
              <a16:creationId xmlns:a16="http://schemas.microsoft.com/office/drawing/2014/main" id="{9977816F-97B9-4E90-BD12-E5B32F749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1668" y="3415268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35718</xdr:colOff>
      <xdr:row>189</xdr:row>
      <xdr:rowOff>0</xdr:rowOff>
    </xdr:from>
    <xdr:ext cx="85725" cy="390525"/>
    <xdr:pic>
      <xdr:nvPicPr>
        <xdr:cNvPr id="931" name="Picture 11597">
          <a:extLst>
            <a:ext uri="{FF2B5EF4-FFF2-40B4-BE49-F238E27FC236}">
              <a16:creationId xmlns:a16="http://schemas.microsoft.com/office/drawing/2014/main" id="{54F157B5-14C9-40F3-BAE6-0FAF61663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5718" y="340360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200024</xdr:colOff>
      <xdr:row>189</xdr:row>
      <xdr:rowOff>45246</xdr:rowOff>
    </xdr:from>
    <xdr:ext cx="85725" cy="390525"/>
    <xdr:pic>
      <xdr:nvPicPr>
        <xdr:cNvPr id="932" name="Picture 11597">
          <a:extLst>
            <a:ext uri="{FF2B5EF4-FFF2-40B4-BE49-F238E27FC236}">
              <a16:creationId xmlns:a16="http://schemas.microsoft.com/office/drawing/2014/main" id="{099301B8-7C65-448A-A300-8AEC9F87A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0024" y="340812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11906</xdr:colOff>
      <xdr:row>189</xdr:row>
      <xdr:rowOff>11902</xdr:rowOff>
    </xdr:from>
    <xdr:ext cx="85725" cy="390525"/>
    <xdr:pic>
      <xdr:nvPicPr>
        <xdr:cNvPr id="933" name="Picture 11597">
          <a:extLst>
            <a:ext uri="{FF2B5EF4-FFF2-40B4-BE49-F238E27FC236}">
              <a16:creationId xmlns:a16="http://schemas.microsoft.com/office/drawing/2014/main" id="{2BC2FE7E-BC63-482E-8DBA-3E0EDA39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8356" y="340479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176212</xdr:colOff>
      <xdr:row>189</xdr:row>
      <xdr:rowOff>57148</xdr:rowOff>
    </xdr:from>
    <xdr:ext cx="85725" cy="390525"/>
    <xdr:pic>
      <xdr:nvPicPr>
        <xdr:cNvPr id="934" name="Picture 11597">
          <a:extLst>
            <a:ext uri="{FF2B5EF4-FFF2-40B4-BE49-F238E27FC236}">
              <a16:creationId xmlns:a16="http://schemas.microsoft.com/office/drawing/2014/main" id="{DC12CDDC-1C1E-4C34-8EBD-2DFB55923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2662" y="3409314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200</xdr:row>
      <xdr:rowOff>0</xdr:rowOff>
    </xdr:from>
    <xdr:ext cx="85725" cy="390525"/>
    <xdr:pic>
      <xdr:nvPicPr>
        <xdr:cNvPr id="935" name="Picture 11597">
          <a:extLst>
            <a:ext uri="{FF2B5EF4-FFF2-40B4-BE49-F238E27FC236}">
              <a16:creationId xmlns:a16="http://schemas.microsoft.com/office/drawing/2014/main" id="{12F371D4-8734-4C0A-95EF-03E39129F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23812</xdr:colOff>
      <xdr:row>200</xdr:row>
      <xdr:rowOff>0</xdr:rowOff>
    </xdr:from>
    <xdr:ext cx="85725" cy="390525"/>
    <xdr:pic>
      <xdr:nvPicPr>
        <xdr:cNvPr id="936" name="Picture 11597">
          <a:extLst>
            <a:ext uri="{FF2B5EF4-FFF2-40B4-BE49-F238E27FC236}">
              <a16:creationId xmlns:a16="http://schemas.microsoft.com/office/drawing/2014/main" id="{720EEABC-13E4-46BD-AA29-2AAD18B42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6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188118</xdr:colOff>
      <xdr:row>200</xdr:row>
      <xdr:rowOff>69058</xdr:rowOff>
    </xdr:from>
    <xdr:ext cx="85725" cy="390525"/>
    <xdr:pic>
      <xdr:nvPicPr>
        <xdr:cNvPr id="937" name="Picture 11597">
          <a:extLst>
            <a:ext uri="{FF2B5EF4-FFF2-40B4-BE49-F238E27FC236}">
              <a16:creationId xmlns:a16="http://schemas.microsoft.com/office/drawing/2014/main" id="{C181C9C9-5D8D-4821-941D-F87D56535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168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23812</xdr:colOff>
      <xdr:row>200</xdr:row>
      <xdr:rowOff>0</xdr:rowOff>
    </xdr:from>
    <xdr:ext cx="85725" cy="390525"/>
    <xdr:pic>
      <xdr:nvPicPr>
        <xdr:cNvPr id="938" name="Picture 11597">
          <a:extLst>
            <a:ext uri="{FF2B5EF4-FFF2-40B4-BE49-F238E27FC236}">
              <a16:creationId xmlns:a16="http://schemas.microsoft.com/office/drawing/2014/main" id="{0669B72B-10F5-4B97-8F5A-2D93C08D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21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176212</xdr:colOff>
      <xdr:row>200</xdr:row>
      <xdr:rowOff>57152</xdr:rowOff>
    </xdr:from>
    <xdr:ext cx="85725" cy="390525"/>
    <xdr:pic>
      <xdr:nvPicPr>
        <xdr:cNvPr id="939" name="Picture 11597">
          <a:extLst>
            <a:ext uri="{FF2B5EF4-FFF2-40B4-BE49-F238E27FC236}">
              <a16:creationId xmlns:a16="http://schemas.microsoft.com/office/drawing/2014/main" id="{657A3826-704D-404B-B001-3C82D27FD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2612" y="360426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11906</xdr:colOff>
      <xdr:row>200</xdr:row>
      <xdr:rowOff>0</xdr:rowOff>
    </xdr:from>
    <xdr:ext cx="85725" cy="390525"/>
    <xdr:pic>
      <xdr:nvPicPr>
        <xdr:cNvPr id="940" name="Picture 11597">
          <a:extLst>
            <a:ext uri="{FF2B5EF4-FFF2-40B4-BE49-F238E27FC236}">
              <a16:creationId xmlns:a16="http://schemas.microsoft.com/office/drawing/2014/main" id="{2A451FEF-6B78-4499-80CB-9FAFFD1E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0306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176212</xdr:colOff>
      <xdr:row>200</xdr:row>
      <xdr:rowOff>69058</xdr:rowOff>
    </xdr:from>
    <xdr:ext cx="85725" cy="390525"/>
    <xdr:pic>
      <xdr:nvPicPr>
        <xdr:cNvPr id="941" name="Picture 11597">
          <a:extLst>
            <a:ext uri="{FF2B5EF4-FFF2-40B4-BE49-F238E27FC236}">
              <a16:creationId xmlns:a16="http://schemas.microsoft.com/office/drawing/2014/main" id="{D3622186-1792-494E-AC79-7F80B89E9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4612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23812</xdr:colOff>
      <xdr:row>200</xdr:row>
      <xdr:rowOff>0</xdr:rowOff>
    </xdr:from>
    <xdr:ext cx="85725" cy="390525"/>
    <xdr:pic>
      <xdr:nvPicPr>
        <xdr:cNvPr id="942" name="Picture 11597">
          <a:extLst>
            <a:ext uri="{FF2B5EF4-FFF2-40B4-BE49-F238E27FC236}">
              <a16:creationId xmlns:a16="http://schemas.microsoft.com/office/drawing/2014/main" id="{60BEB937-7340-4FAB-BEE6-DFFEC28D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61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176212</xdr:colOff>
      <xdr:row>200</xdr:row>
      <xdr:rowOff>80964</xdr:rowOff>
    </xdr:from>
    <xdr:ext cx="85725" cy="390525"/>
    <xdr:pic>
      <xdr:nvPicPr>
        <xdr:cNvPr id="943" name="Picture 11597">
          <a:extLst>
            <a:ext uri="{FF2B5EF4-FFF2-40B4-BE49-F238E27FC236}">
              <a16:creationId xmlns:a16="http://schemas.microsoft.com/office/drawing/2014/main" id="{05470B08-8982-45AB-833C-931B8792B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2012" y="3606641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107154</xdr:colOff>
      <xdr:row>199</xdr:row>
      <xdr:rowOff>190496</xdr:rowOff>
    </xdr:from>
    <xdr:ext cx="85725" cy="390525"/>
    <xdr:pic>
      <xdr:nvPicPr>
        <xdr:cNvPr id="944" name="Picture 11597">
          <a:extLst>
            <a:ext uri="{FF2B5EF4-FFF2-40B4-BE49-F238E27FC236}">
              <a16:creationId xmlns:a16="http://schemas.microsoft.com/office/drawing/2014/main" id="{4A7487A4-D45A-4C4B-B6A4-61B59A9F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8604" y="359854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23812</xdr:colOff>
      <xdr:row>200</xdr:row>
      <xdr:rowOff>0</xdr:rowOff>
    </xdr:from>
    <xdr:ext cx="85725" cy="390525"/>
    <xdr:pic>
      <xdr:nvPicPr>
        <xdr:cNvPr id="945" name="Picture 11597">
          <a:extLst>
            <a:ext uri="{FF2B5EF4-FFF2-40B4-BE49-F238E27FC236}">
              <a16:creationId xmlns:a16="http://schemas.microsoft.com/office/drawing/2014/main" id="{9625B6D1-D5CC-43AF-A9D3-D93A0CBC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86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176212</xdr:colOff>
      <xdr:row>200</xdr:row>
      <xdr:rowOff>69058</xdr:rowOff>
    </xdr:from>
    <xdr:ext cx="85725" cy="390525"/>
    <xdr:pic>
      <xdr:nvPicPr>
        <xdr:cNvPr id="946" name="Picture 11597">
          <a:extLst>
            <a:ext uri="{FF2B5EF4-FFF2-40B4-BE49-F238E27FC236}">
              <a16:creationId xmlns:a16="http://schemas.microsoft.com/office/drawing/2014/main" id="{2A30E428-399B-4C65-9C34-ED86B693C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4262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107154</xdr:colOff>
      <xdr:row>200</xdr:row>
      <xdr:rowOff>11906</xdr:rowOff>
    </xdr:from>
    <xdr:ext cx="144236" cy="466725"/>
    <xdr:pic>
      <xdr:nvPicPr>
        <xdr:cNvPr id="947" name="Picture 11595">
          <a:extLst>
            <a:ext uri="{FF2B5EF4-FFF2-40B4-BE49-F238E27FC236}">
              <a16:creationId xmlns:a16="http://schemas.microsoft.com/office/drawing/2014/main" id="{C251DF52-D105-4402-BAAC-A41E59F5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804" y="35997356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23812</xdr:colOff>
      <xdr:row>200</xdr:row>
      <xdr:rowOff>0</xdr:rowOff>
    </xdr:from>
    <xdr:ext cx="85725" cy="390525"/>
    <xdr:pic>
      <xdr:nvPicPr>
        <xdr:cNvPr id="948" name="Picture 11597">
          <a:extLst>
            <a:ext uri="{FF2B5EF4-FFF2-40B4-BE49-F238E27FC236}">
              <a16:creationId xmlns:a16="http://schemas.microsoft.com/office/drawing/2014/main" id="{8F485C99-8656-4EB1-90AC-037ADBFE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91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176212</xdr:colOff>
      <xdr:row>200</xdr:row>
      <xdr:rowOff>69058</xdr:rowOff>
    </xdr:from>
    <xdr:ext cx="85725" cy="390525"/>
    <xdr:pic>
      <xdr:nvPicPr>
        <xdr:cNvPr id="949" name="Picture 11597">
          <a:extLst>
            <a:ext uri="{FF2B5EF4-FFF2-40B4-BE49-F238E27FC236}">
              <a16:creationId xmlns:a16="http://schemas.microsoft.com/office/drawing/2014/main" id="{56643BE8-8B59-4CA9-9FD5-D760128BE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9312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11906</xdr:colOff>
      <xdr:row>200</xdr:row>
      <xdr:rowOff>0</xdr:rowOff>
    </xdr:from>
    <xdr:ext cx="85725" cy="390525"/>
    <xdr:pic>
      <xdr:nvPicPr>
        <xdr:cNvPr id="950" name="Picture 11597">
          <a:extLst>
            <a:ext uri="{FF2B5EF4-FFF2-40B4-BE49-F238E27FC236}">
              <a16:creationId xmlns:a16="http://schemas.microsoft.com/office/drawing/2014/main" id="{08B58264-3264-451A-A406-411175FBD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706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164306</xdr:colOff>
      <xdr:row>200</xdr:row>
      <xdr:rowOff>69058</xdr:rowOff>
    </xdr:from>
    <xdr:ext cx="85725" cy="390525"/>
    <xdr:pic>
      <xdr:nvPicPr>
        <xdr:cNvPr id="951" name="Picture 11597">
          <a:extLst>
            <a:ext uri="{FF2B5EF4-FFF2-40B4-BE49-F238E27FC236}">
              <a16:creationId xmlns:a16="http://schemas.microsoft.com/office/drawing/2014/main" id="{B3C9BEBA-D204-478D-80CA-9F62933EC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106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59530</xdr:colOff>
      <xdr:row>200</xdr:row>
      <xdr:rowOff>0</xdr:rowOff>
    </xdr:from>
    <xdr:ext cx="85725" cy="390525"/>
    <xdr:pic>
      <xdr:nvPicPr>
        <xdr:cNvPr id="952" name="Picture 11597">
          <a:extLst>
            <a:ext uri="{FF2B5EF4-FFF2-40B4-BE49-F238E27FC236}">
              <a16:creationId xmlns:a16="http://schemas.microsoft.com/office/drawing/2014/main" id="{27FA76ED-9BCC-4F99-AD05-2B126B09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5680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211930</xdr:colOff>
      <xdr:row>200</xdr:row>
      <xdr:rowOff>69058</xdr:rowOff>
    </xdr:from>
    <xdr:ext cx="85725" cy="390525"/>
    <xdr:pic>
      <xdr:nvPicPr>
        <xdr:cNvPr id="953" name="Picture 11597">
          <a:extLst>
            <a:ext uri="{FF2B5EF4-FFF2-40B4-BE49-F238E27FC236}">
              <a16:creationId xmlns:a16="http://schemas.microsoft.com/office/drawing/2014/main" id="{9AF84EFB-F170-4259-A521-B991CCC91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8080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23812</xdr:colOff>
      <xdr:row>200</xdr:row>
      <xdr:rowOff>0</xdr:rowOff>
    </xdr:from>
    <xdr:ext cx="85725" cy="390525"/>
    <xdr:pic>
      <xdr:nvPicPr>
        <xdr:cNvPr id="954" name="Picture 11597">
          <a:extLst>
            <a:ext uri="{FF2B5EF4-FFF2-40B4-BE49-F238E27FC236}">
              <a16:creationId xmlns:a16="http://schemas.microsoft.com/office/drawing/2014/main" id="{A9F2C104-4603-4210-B215-28ECD2BF3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7362" y="359854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176212</xdr:colOff>
      <xdr:row>200</xdr:row>
      <xdr:rowOff>69058</xdr:rowOff>
    </xdr:from>
    <xdr:ext cx="85725" cy="390525"/>
    <xdr:pic>
      <xdr:nvPicPr>
        <xdr:cNvPr id="955" name="Picture 11597">
          <a:extLst>
            <a:ext uri="{FF2B5EF4-FFF2-40B4-BE49-F238E27FC236}">
              <a16:creationId xmlns:a16="http://schemas.microsoft.com/office/drawing/2014/main" id="{CCBE32A3-C429-444C-9FB0-4F765F74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9762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164306</xdr:colOff>
      <xdr:row>200</xdr:row>
      <xdr:rowOff>69058</xdr:rowOff>
    </xdr:from>
    <xdr:ext cx="85725" cy="390525"/>
    <xdr:pic>
      <xdr:nvPicPr>
        <xdr:cNvPr id="956" name="Picture 11597">
          <a:extLst>
            <a:ext uri="{FF2B5EF4-FFF2-40B4-BE49-F238E27FC236}">
              <a16:creationId xmlns:a16="http://schemas.microsoft.com/office/drawing/2014/main" id="{71463CE6-4A65-463B-8DF4-0C22D2AD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4306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164306</xdr:colOff>
      <xdr:row>200</xdr:row>
      <xdr:rowOff>69058</xdr:rowOff>
    </xdr:from>
    <xdr:ext cx="85725" cy="390525"/>
    <xdr:pic>
      <xdr:nvPicPr>
        <xdr:cNvPr id="957" name="Picture 11597">
          <a:extLst>
            <a:ext uri="{FF2B5EF4-FFF2-40B4-BE49-F238E27FC236}">
              <a16:creationId xmlns:a16="http://schemas.microsoft.com/office/drawing/2014/main" id="{782C97C8-88FA-424F-B276-A927BF040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0756" y="360545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958" name="Picture 11597">
          <a:extLst>
            <a:ext uri="{FF2B5EF4-FFF2-40B4-BE49-F238E27FC236}">
              <a16:creationId xmlns:a16="http://schemas.microsoft.com/office/drawing/2014/main" id="{9EF8FA0D-B44D-4AB6-803A-96B889E5F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107154</xdr:colOff>
      <xdr:row>211</xdr:row>
      <xdr:rowOff>0</xdr:rowOff>
    </xdr:from>
    <xdr:ext cx="85725" cy="390525"/>
    <xdr:pic>
      <xdr:nvPicPr>
        <xdr:cNvPr id="959" name="Picture 11597">
          <a:extLst>
            <a:ext uri="{FF2B5EF4-FFF2-40B4-BE49-F238E27FC236}">
              <a16:creationId xmlns:a16="http://schemas.microsoft.com/office/drawing/2014/main" id="{B9E47D35-2D5A-491A-94F4-3D80EAEFD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554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23812</xdr:colOff>
      <xdr:row>211</xdr:row>
      <xdr:rowOff>0</xdr:rowOff>
    </xdr:from>
    <xdr:ext cx="85725" cy="390525"/>
    <xdr:pic>
      <xdr:nvPicPr>
        <xdr:cNvPr id="960" name="Picture 11597">
          <a:extLst>
            <a:ext uri="{FF2B5EF4-FFF2-40B4-BE49-F238E27FC236}">
              <a16:creationId xmlns:a16="http://schemas.microsoft.com/office/drawing/2014/main" id="{2ABD0D09-67BD-4BBB-8CCE-F1A3274A1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612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176212</xdr:colOff>
      <xdr:row>211</xdr:row>
      <xdr:rowOff>69058</xdr:rowOff>
    </xdr:from>
    <xdr:ext cx="85725" cy="390525"/>
    <xdr:pic>
      <xdr:nvPicPr>
        <xdr:cNvPr id="961" name="Picture 11597">
          <a:extLst>
            <a:ext uri="{FF2B5EF4-FFF2-40B4-BE49-F238E27FC236}">
              <a16:creationId xmlns:a16="http://schemas.microsoft.com/office/drawing/2014/main" id="{814686D7-6950-446F-97B2-2A5B0E1A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2012" y="380039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71436</xdr:colOff>
      <xdr:row>211</xdr:row>
      <xdr:rowOff>35714</xdr:rowOff>
    </xdr:from>
    <xdr:ext cx="85725" cy="390525"/>
    <xdr:pic>
      <xdr:nvPicPr>
        <xdr:cNvPr id="962" name="Picture 11597">
          <a:extLst>
            <a:ext uri="{FF2B5EF4-FFF2-40B4-BE49-F238E27FC236}">
              <a16:creationId xmlns:a16="http://schemas.microsoft.com/office/drawing/2014/main" id="{58B34194-5C69-47CB-98A9-E457B83D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2886" y="3797061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223836</xdr:colOff>
      <xdr:row>211</xdr:row>
      <xdr:rowOff>104772</xdr:rowOff>
    </xdr:from>
    <xdr:ext cx="85725" cy="390525"/>
    <xdr:pic>
      <xdr:nvPicPr>
        <xdr:cNvPr id="963" name="Picture 11597">
          <a:extLst>
            <a:ext uri="{FF2B5EF4-FFF2-40B4-BE49-F238E27FC236}">
              <a16:creationId xmlns:a16="http://schemas.microsoft.com/office/drawing/2014/main" id="{5E31B55C-26FA-4A76-BA4A-FB7ADD1A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5286" y="3803967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71436</xdr:colOff>
      <xdr:row>211</xdr:row>
      <xdr:rowOff>0</xdr:rowOff>
    </xdr:from>
    <xdr:ext cx="85725" cy="390525"/>
    <xdr:pic>
      <xdr:nvPicPr>
        <xdr:cNvPr id="964" name="Picture 11597">
          <a:extLst>
            <a:ext uri="{FF2B5EF4-FFF2-40B4-BE49-F238E27FC236}">
              <a16:creationId xmlns:a16="http://schemas.microsoft.com/office/drawing/2014/main" id="{42B66422-0EBA-4FC0-B695-9586AE0B6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9486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119060</xdr:colOff>
      <xdr:row>211</xdr:row>
      <xdr:rowOff>0</xdr:rowOff>
    </xdr:from>
    <xdr:ext cx="85725" cy="390525"/>
    <xdr:pic>
      <xdr:nvPicPr>
        <xdr:cNvPr id="965" name="Picture 11597">
          <a:extLst>
            <a:ext uri="{FF2B5EF4-FFF2-40B4-BE49-F238E27FC236}">
              <a16:creationId xmlns:a16="http://schemas.microsoft.com/office/drawing/2014/main" id="{5369D4B5-C0D6-4DB2-8D8E-91405831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710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107154</xdr:colOff>
      <xdr:row>211</xdr:row>
      <xdr:rowOff>0</xdr:rowOff>
    </xdr:from>
    <xdr:ext cx="85725" cy="390525"/>
    <xdr:pic>
      <xdr:nvPicPr>
        <xdr:cNvPr id="966" name="Picture 11597">
          <a:extLst>
            <a:ext uri="{FF2B5EF4-FFF2-40B4-BE49-F238E27FC236}">
              <a16:creationId xmlns:a16="http://schemas.microsoft.com/office/drawing/2014/main" id="{98E28FA0-6F10-4E6B-B3D8-2DC7678F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0254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59530</xdr:colOff>
      <xdr:row>211</xdr:row>
      <xdr:rowOff>0</xdr:rowOff>
    </xdr:from>
    <xdr:ext cx="85725" cy="390525"/>
    <xdr:pic>
      <xdr:nvPicPr>
        <xdr:cNvPr id="967" name="Picture 11597">
          <a:extLst>
            <a:ext uri="{FF2B5EF4-FFF2-40B4-BE49-F238E27FC236}">
              <a16:creationId xmlns:a16="http://schemas.microsoft.com/office/drawing/2014/main" id="{01EBE70E-6B1C-4C87-9F4D-F26BA85F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7330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211930</xdr:colOff>
      <xdr:row>211</xdr:row>
      <xdr:rowOff>69058</xdr:rowOff>
    </xdr:from>
    <xdr:ext cx="85725" cy="390525"/>
    <xdr:pic>
      <xdr:nvPicPr>
        <xdr:cNvPr id="968" name="Picture 11597">
          <a:extLst>
            <a:ext uri="{FF2B5EF4-FFF2-40B4-BE49-F238E27FC236}">
              <a16:creationId xmlns:a16="http://schemas.microsoft.com/office/drawing/2014/main" id="{B9A67143-57F5-481E-A2F3-F8F7F417C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9730" y="380039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47624</xdr:colOff>
      <xdr:row>211</xdr:row>
      <xdr:rowOff>0</xdr:rowOff>
    </xdr:from>
    <xdr:ext cx="85725" cy="390525"/>
    <xdr:pic>
      <xdr:nvPicPr>
        <xdr:cNvPr id="969" name="Picture 11597">
          <a:extLst>
            <a:ext uri="{FF2B5EF4-FFF2-40B4-BE49-F238E27FC236}">
              <a16:creationId xmlns:a16="http://schemas.microsoft.com/office/drawing/2014/main" id="{FF0970FA-CB1F-47D5-95CA-CB4B4898E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3774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200024</xdr:colOff>
      <xdr:row>211</xdr:row>
      <xdr:rowOff>69058</xdr:rowOff>
    </xdr:from>
    <xdr:ext cx="85725" cy="390525"/>
    <xdr:pic>
      <xdr:nvPicPr>
        <xdr:cNvPr id="970" name="Picture 11597">
          <a:extLst>
            <a:ext uri="{FF2B5EF4-FFF2-40B4-BE49-F238E27FC236}">
              <a16:creationId xmlns:a16="http://schemas.microsoft.com/office/drawing/2014/main" id="{38FA50C8-AB86-485E-B503-69ABD06A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6174" y="380039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35718</xdr:colOff>
      <xdr:row>211</xdr:row>
      <xdr:rowOff>0</xdr:rowOff>
    </xdr:from>
    <xdr:ext cx="85725" cy="390525"/>
    <xdr:pic>
      <xdr:nvPicPr>
        <xdr:cNvPr id="971" name="Picture 11597">
          <a:extLst>
            <a:ext uri="{FF2B5EF4-FFF2-40B4-BE49-F238E27FC236}">
              <a16:creationId xmlns:a16="http://schemas.microsoft.com/office/drawing/2014/main" id="{027E81B1-5B6F-4DEE-BF25-C4BF5C14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2168" y="37934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188118</xdr:colOff>
      <xdr:row>211</xdr:row>
      <xdr:rowOff>69058</xdr:rowOff>
    </xdr:from>
    <xdr:ext cx="85725" cy="390525"/>
    <xdr:pic>
      <xdr:nvPicPr>
        <xdr:cNvPr id="972" name="Picture 11597">
          <a:extLst>
            <a:ext uri="{FF2B5EF4-FFF2-40B4-BE49-F238E27FC236}">
              <a16:creationId xmlns:a16="http://schemas.microsoft.com/office/drawing/2014/main" id="{AAE7ED9D-81DE-4041-927B-2DAA8B69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54568" y="380039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973" name="Picture 11597">
          <a:extLst>
            <a:ext uri="{FF2B5EF4-FFF2-40B4-BE49-F238E27FC236}">
              <a16:creationId xmlns:a16="http://schemas.microsoft.com/office/drawing/2014/main" id="{D60DE4A5-5D77-466D-B1DF-2490DDC75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71436</xdr:colOff>
      <xdr:row>222</xdr:row>
      <xdr:rowOff>0</xdr:rowOff>
    </xdr:from>
    <xdr:ext cx="85725" cy="390525"/>
    <xdr:pic>
      <xdr:nvPicPr>
        <xdr:cNvPr id="974" name="Picture 11597">
          <a:extLst>
            <a:ext uri="{FF2B5EF4-FFF2-40B4-BE49-F238E27FC236}">
              <a16:creationId xmlns:a16="http://schemas.microsoft.com/office/drawing/2014/main" id="{1EF52A9A-BA00-4BF0-9065-16C3C6BB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486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59530</xdr:colOff>
      <xdr:row>222</xdr:row>
      <xdr:rowOff>0</xdr:rowOff>
    </xdr:from>
    <xdr:ext cx="85725" cy="390525"/>
    <xdr:pic>
      <xdr:nvPicPr>
        <xdr:cNvPr id="975" name="Picture 11597">
          <a:extLst>
            <a:ext uri="{FF2B5EF4-FFF2-40B4-BE49-F238E27FC236}">
              <a16:creationId xmlns:a16="http://schemas.microsoft.com/office/drawing/2014/main" id="{E3373198-EC08-4923-88C1-97971448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80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107154</xdr:colOff>
      <xdr:row>222</xdr:row>
      <xdr:rowOff>0</xdr:rowOff>
    </xdr:from>
    <xdr:ext cx="85725" cy="390525"/>
    <xdr:pic>
      <xdr:nvPicPr>
        <xdr:cNvPr id="976" name="Picture 11597">
          <a:extLst>
            <a:ext uri="{FF2B5EF4-FFF2-40B4-BE49-F238E27FC236}">
              <a16:creationId xmlns:a16="http://schemas.microsoft.com/office/drawing/2014/main" id="{07AA6758-8E25-4C70-A1E2-098A6A20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0254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107154</xdr:colOff>
      <xdr:row>222</xdr:row>
      <xdr:rowOff>0</xdr:rowOff>
    </xdr:from>
    <xdr:ext cx="85725" cy="390525"/>
    <xdr:pic>
      <xdr:nvPicPr>
        <xdr:cNvPr id="977" name="Picture 11597">
          <a:extLst>
            <a:ext uri="{FF2B5EF4-FFF2-40B4-BE49-F238E27FC236}">
              <a16:creationId xmlns:a16="http://schemas.microsoft.com/office/drawing/2014/main" id="{0B772806-3C30-42AA-8457-7B60DB625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4954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95248</xdr:colOff>
      <xdr:row>222</xdr:row>
      <xdr:rowOff>0</xdr:rowOff>
    </xdr:from>
    <xdr:ext cx="85725" cy="390525"/>
    <xdr:pic>
      <xdr:nvPicPr>
        <xdr:cNvPr id="978" name="Picture 11597">
          <a:extLst>
            <a:ext uri="{FF2B5EF4-FFF2-40B4-BE49-F238E27FC236}">
              <a16:creationId xmlns:a16="http://schemas.microsoft.com/office/drawing/2014/main" id="{A4D7699E-7530-49B1-9384-584CB4F1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1398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83342</xdr:colOff>
      <xdr:row>222</xdr:row>
      <xdr:rowOff>0</xdr:rowOff>
    </xdr:from>
    <xdr:ext cx="85725" cy="390525"/>
    <xdr:pic>
      <xdr:nvPicPr>
        <xdr:cNvPr id="979" name="Picture 11597">
          <a:extLst>
            <a:ext uri="{FF2B5EF4-FFF2-40B4-BE49-F238E27FC236}">
              <a16:creationId xmlns:a16="http://schemas.microsoft.com/office/drawing/2014/main" id="{A06161CF-0217-4392-B529-C6F55E603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892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107154</xdr:colOff>
      <xdr:row>222</xdr:row>
      <xdr:rowOff>0</xdr:rowOff>
    </xdr:from>
    <xdr:ext cx="144236" cy="466725"/>
    <xdr:pic>
      <xdr:nvPicPr>
        <xdr:cNvPr id="980" name="Picture 11595">
          <a:extLst>
            <a:ext uri="{FF2B5EF4-FFF2-40B4-BE49-F238E27FC236}">
              <a16:creationId xmlns:a16="http://schemas.microsoft.com/office/drawing/2014/main" id="{075E5D6F-1C49-4067-A7A0-8C92DDAD0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154" y="39814500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107154</xdr:colOff>
      <xdr:row>222</xdr:row>
      <xdr:rowOff>0</xdr:rowOff>
    </xdr:from>
    <xdr:ext cx="85725" cy="390525"/>
    <xdr:pic>
      <xdr:nvPicPr>
        <xdr:cNvPr id="981" name="Picture 11597">
          <a:extLst>
            <a:ext uri="{FF2B5EF4-FFF2-40B4-BE49-F238E27FC236}">
              <a16:creationId xmlns:a16="http://schemas.microsoft.com/office/drawing/2014/main" id="{AE355480-5788-4A52-B3B4-90B365D7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73604" y="398145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11906</xdr:colOff>
      <xdr:row>232</xdr:row>
      <xdr:rowOff>23812</xdr:rowOff>
    </xdr:from>
    <xdr:ext cx="85725" cy="390525"/>
    <xdr:pic>
      <xdr:nvPicPr>
        <xdr:cNvPr id="982" name="Picture 11597">
          <a:extLst>
            <a:ext uri="{FF2B5EF4-FFF2-40B4-BE49-F238E27FC236}">
              <a16:creationId xmlns:a16="http://schemas.microsoft.com/office/drawing/2014/main" id="{9613D45B-709D-4B60-8480-74313C81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456" y="416036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107154</xdr:colOff>
      <xdr:row>232</xdr:row>
      <xdr:rowOff>0</xdr:rowOff>
    </xdr:from>
    <xdr:ext cx="85725" cy="390525"/>
    <xdr:pic>
      <xdr:nvPicPr>
        <xdr:cNvPr id="983" name="Picture 11597">
          <a:extLst>
            <a:ext uri="{FF2B5EF4-FFF2-40B4-BE49-F238E27FC236}">
              <a16:creationId xmlns:a16="http://schemas.microsoft.com/office/drawing/2014/main" id="{5807A9EE-6F75-4566-A273-646EE2B18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204" y="41579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71436</xdr:colOff>
      <xdr:row>232</xdr:row>
      <xdr:rowOff>0</xdr:rowOff>
    </xdr:from>
    <xdr:ext cx="85725" cy="390525"/>
    <xdr:pic>
      <xdr:nvPicPr>
        <xdr:cNvPr id="984" name="Picture 11597">
          <a:extLst>
            <a:ext uri="{FF2B5EF4-FFF2-40B4-BE49-F238E27FC236}">
              <a16:creationId xmlns:a16="http://schemas.microsoft.com/office/drawing/2014/main" id="{F82E15C9-0E27-4DF2-B93F-47E1EE4DC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7236" y="41579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35718</xdr:colOff>
      <xdr:row>232</xdr:row>
      <xdr:rowOff>0</xdr:rowOff>
    </xdr:from>
    <xdr:ext cx="85725" cy="390525"/>
    <xdr:pic>
      <xdr:nvPicPr>
        <xdr:cNvPr id="985" name="Picture 11597">
          <a:extLst>
            <a:ext uri="{FF2B5EF4-FFF2-40B4-BE49-F238E27FC236}">
              <a16:creationId xmlns:a16="http://schemas.microsoft.com/office/drawing/2014/main" id="{E45146FB-4987-4EC9-8BA8-8CB206B08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7168" y="41579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200024</xdr:colOff>
      <xdr:row>232</xdr:row>
      <xdr:rowOff>80964</xdr:rowOff>
    </xdr:from>
    <xdr:ext cx="85725" cy="390525"/>
    <xdr:pic>
      <xdr:nvPicPr>
        <xdr:cNvPr id="986" name="Picture 11597">
          <a:extLst>
            <a:ext uri="{FF2B5EF4-FFF2-40B4-BE49-F238E27FC236}">
              <a16:creationId xmlns:a16="http://schemas.microsoft.com/office/drawing/2014/main" id="{1A433F52-C48D-40D7-81D4-1825E0193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4" y="4166076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130966</xdr:colOff>
      <xdr:row>232</xdr:row>
      <xdr:rowOff>11902</xdr:rowOff>
    </xdr:from>
    <xdr:ext cx="85725" cy="390525"/>
    <xdr:pic>
      <xdr:nvPicPr>
        <xdr:cNvPr id="987" name="Picture 11597">
          <a:extLst>
            <a:ext uri="{FF2B5EF4-FFF2-40B4-BE49-F238E27FC236}">
              <a16:creationId xmlns:a16="http://schemas.microsoft.com/office/drawing/2014/main" id="{990D5468-9C8C-437A-A0FC-0B1453A6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016" y="415917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238120</xdr:colOff>
      <xdr:row>232</xdr:row>
      <xdr:rowOff>0</xdr:rowOff>
    </xdr:from>
    <xdr:to>
      <xdr:col>17</xdr:col>
      <xdr:colOff>357892</xdr:colOff>
      <xdr:row>234</xdr:row>
      <xdr:rowOff>142875</xdr:rowOff>
    </xdr:to>
    <xdr:sp macro="" textlink="">
      <xdr:nvSpPr>
        <xdr:cNvPr id="988" name="AutoShape 10734">
          <a:extLst>
            <a:ext uri="{FF2B5EF4-FFF2-40B4-BE49-F238E27FC236}">
              <a16:creationId xmlns:a16="http://schemas.microsoft.com/office/drawing/2014/main" id="{80C66E9A-3DEC-4B74-A8E8-34B27EE5AB01}"/>
            </a:ext>
          </a:extLst>
        </xdr:cNvPr>
        <xdr:cNvSpPr>
          <a:spLocks noChangeArrowheads="1"/>
        </xdr:cNvSpPr>
      </xdr:nvSpPr>
      <xdr:spPr bwMode="auto">
        <a:xfrm rot="5400000" flipV="1">
          <a:off x="6259068" y="41775502"/>
          <a:ext cx="511175" cy="119772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95248</xdr:colOff>
      <xdr:row>232</xdr:row>
      <xdr:rowOff>0</xdr:rowOff>
    </xdr:from>
    <xdr:ext cx="85725" cy="390525"/>
    <xdr:pic>
      <xdr:nvPicPr>
        <xdr:cNvPr id="989" name="Picture 11597">
          <a:extLst>
            <a:ext uri="{FF2B5EF4-FFF2-40B4-BE49-F238E27FC236}">
              <a16:creationId xmlns:a16="http://schemas.microsoft.com/office/drawing/2014/main" id="{59A11456-FEF4-4198-9D90-E815D4C2A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898" y="415798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83342</xdr:colOff>
      <xdr:row>232</xdr:row>
      <xdr:rowOff>23812</xdr:rowOff>
    </xdr:from>
    <xdr:ext cx="85725" cy="390525"/>
    <xdr:pic>
      <xdr:nvPicPr>
        <xdr:cNvPr id="990" name="Picture 11597">
          <a:extLst>
            <a:ext uri="{FF2B5EF4-FFF2-40B4-BE49-F238E27FC236}">
              <a16:creationId xmlns:a16="http://schemas.microsoft.com/office/drawing/2014/main" id="{AC3ADB92-B2F8-4AEE-BB2F-5150E89B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142" y="416036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23812</xdr:colOff>
      <xdr:row>232</xdr:row>
      <xdr:rowOff>23808</xdr:rowOff>
    </xdr:from>
    <xdr:ext cx="85725" cy="390525"/>
    <xdr:pic>
      <xdr:nvPicPr>
        <xdr:cNvPr id="991" name="Picture 11597">
          <a:extLst>
            <a:ext uri="{FF2B5EF4-FFF2-40B4-BE49-F238E27FC236}">
              <a16:creationId xmlns:a16="http://schemas.microsoft.com/office/drawing/2014/main" id="{0DACC227-8784-460C-B666-2371FC56B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962" y="4160360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142872</xdr:colOff>
      <xdr:row>232</xdr:row>
      <xdr:rowOff>130962</xdr:rowOff>
    </xdr:from>
    <xdr:ext cx="85725" cy="390525"/>
    <xdr:pic>
      <xdr:nvPicPr>
        <xdr:cNvPr id="992" name="Picture 11597">
          <a:extLst>
            <a:ext uri="{FF2B5EF4-FFF2-40B4-BE49-F238E27FC236}">
              <a16:creationId xmlns:a16="http://schemas.microsoft.com/office/drawing/2014/main" id="{32D7406C-CFDA-4AA3-90CE-3EF42C6C7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9022" y="417107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23812</xdr:colOff>
      <xdr:row>231</xdr:row>
      <xdr:rowOff>190496</xdr:rowOff>
    </xdr:from>
    <xdr:ext cx="85725" cy="390525"/>
    <xdr:pic>
      <xdr:nvPicPr>
        <xdr:cNvPr id="993" name="Picture 11597">
          <a:extLst>
            <a:ext uri="{FF2B5EF4-FFF2-40B4-BE49-F238E27FC236}">
              <a16:creationId xmlns:a16="http://schemas.microsoft.com/office/drawing/2014/main" id="{A7569971-2E9D-4A2A-9EC2-11FD0A885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7362" y="4157979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142872</xdr:colOff>
      <xdr:row>232</xdr:row>
      <xdr:rowOff>107150</xdr:rowOff>
    </xdr:from>
    <xdr:ext cx="85725" cy="390525"/>
    <xdr:pic>
      <xdr:nvPicPr>
        <xdr:cNvPr id="994" name="Picture 11597">
          <a:extLst>
            <a:ext uri="{FF2B5EF4-FFF2-40B4-BE49-F238E27FC236}">
              <a16:creationId xmlns:a16="http://schemas.microsoft.com/office/drawing/2014/main" id="{0A10A2C6-AE56-4232-A280-D7C7CAADC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6422" y="416869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154778</xdr:colOff>
      <xdr:row>232</xdr:row>
      <xdr:rowOff>47620</xdr:rowOff>
    </xdr:from>
    <xdr:ext cx="85725" cy="390525"/>
    <xdr:pic>
      <xdr:nvPicPr>
        <xdr:cNvPr id="995" name="Picture 11597">
          <a:extLst>
            <a:ext uri="{FF2B5EF4-FFF2-40B4-BE49-F238E27FC236}">
              <a16:creationId xmlns:a16="http://schemas.microsoft.com/office/drawing/2014/main" id="{E6162D24-F203-47FE-A421-F0A535385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4778" y="4162742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95248</xdr:colOff>
      <xdr:row>232</xdr:row>
      <xdr:rowOff>35718</xdr:rowOff>
    </xdr:from>
    <xdr:ext cx="85725" cy="390525"/>
    <xdr:pic>
      <xdr:nvPicPr>
        <xdr:cNvPr id="996" name="Picture 11597">
          <a:extLst>
            <a:ext uri="{FF2B5EF4-FFF2-40B4-BE49-F238E27FC236}">
              <a16:creationId xmlns:a16="http://schemas.microsoft.com/office/drawing/2014/main" id="{0C229234-5205-475D-8B15-5309F8D62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698" y="4161551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95248</xdr:colOff>
      <xdr:row>242</xdr:row>
      <xdr:rowOff>0</xdr:rowOff>
    </xdr:from>
    <xdr:ext cx="85725" cy="390525"/>
    <xdr:pic>
      <xdr:nvPicPr>
        <xdr:cNvPr id="997" name="Picture 11597">
          <a:extLst>
            <a:ext uri="{FF2B5EF4-FFF2-40B4-BE49-F238E27FC236}">
              <a16:creationId xmlns:a16="http://schemas.microsoft.com/office/drawing/2014/main" id="{ABBF44BC-5589-408F-A410-D68BFC97E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98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95248</xdr:colOff>
      <xdr:row>242</xdr:row>
      <xdr:rowOff>0</xdr:rowOff>
    </xdr:from>
    <xdr:ext cx="85725" cy="390525"/>
    <xdr:pic>
      <xdr:nvPicPr>
        <xdr:cNvPr id="998" name="Picture 11597">
          <a:extLst>
            <a:ext uri="{FF2B5EF4-FFF2-40B4-BE49-F238E27FC236}">
              <a16:creationId xmlns:a16="http://schemas.microsoft.com/office/drawing/2014/main" id="{5BA0F5D7-0A49-4634-9B11-CEDFE0379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48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35718</xdr:colOff>
      <xdr:row>242</xdr:row>
      <xdr:rowOff>0</xdr:rowOff>
    </xdr:from>
    <xdr:ext cx="85725" cy="390525"/>
    <xdr:pic>
      <xdr:nvPicPr>
        <xdr:cNvPr id="999" name="Picture 11597">
          <a:extLst>
            <a:ext uri="{FF2B5EF4-FFF2-40B4-BE49-F238E27FC236}">
              <a16:creationId xmlns:a16="http://schemas.microsoft.com/office/drawing/2014/main" id="{1C800615-D53C-44DF-AACB-20C52EC4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4118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238128</xdr:colOff>
      <xdr:row>242</xdr:row>
      <xdr:rowOff>59522</xdr:rowOff>
    </xdr:from>
    <xdr:ext cx="85725" cy="390525"/>
    <xdr:pic>
      <xdr:nvPicPr>
        <xdr:cNvPr id="1000" name="Picture 11597">
          <a:extLst>
            <a:ext uri="{FF2B5EF4-FFF2-40B4-BE49-F238E27FC236}">
              <a16:creationId xmlns:a16="http://schemas.microsoft.com/office/drawing/2014/main" id="{101B4C70-1501-4AC6-958E-0B666B2F5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8" y="4339192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95248</xdr:colOff>
      <xdr:row>242</xdr:row>
      <xdr:rowOff>0</xdr:rowOff>
    </xdr:from>
    <xdr:ext cx="85725" cy="390525"/>
    <xdr:pic>
      <xdr:nvPicPr>
        <xdr:cNvPr id="1001" name="Picture 11597">
          <a:extLst>
            <a:ext uri="{FF2B5EF4-FFF2-40B4-BE49-F238E27FC236}">
              <a16:creationId xmlns:a16="http://schemas.microsoft.com/office/drawing/2014/main" id="{0FC008B2-0B59-42ED-A72E-C56D10E3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698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83342</xdr:colOff>
      <xdr:row>241</xdr:row>
      <xdr:rowOff>178590</xdr:rowOff>
    </xdr:from>
    <xdr:ext cx="85725" cy="390525"/>
    <xdr:pic>
      <xdr:nvPicPr>
        <xdr:cNvPr id="1002" name="Picture 11597">
          <a:extLst>
            <a:ext uri="{FF2B5EF4-FFF2-40B4-BE49-F238E27FC236}">
              <a16:creationId xmlns:a16="http://schemas.microsoft.com/office/drawing/2014/main" id="{5136B968-681D-4247-8D92-FA4E9D137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1392" y="433204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35718</xdr:colOff>
      <xdr:row>242</xdr:row>
      <xdr:rowOff>59526</xdr:rowOff>
    </xdr:from>
    <xdr:ext cx="85725" cy="390525"/>
    <xdr:pic>
      <xdr:nvPicPr>
        <xdr:cNvPr id="1003" name="Picture 11597">
          <a:extLst>
            <a:ext uri="{FF2B5EF4-FFF2-40B4-BE49-F238E27FC236}">
              <a16:creationId xmlns:a16="http://schemas.microsoft.com/office/drawing/2014/main" id="{89D54BCE-54C5-42B0-B26A-C5F5AC67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2368" y="4339192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202402</xdr:colOff>
      <xdr:row>241</xdr:row>
      <xdr:rowOff>178590</xdr:rowOff>
    </xdr:from>
    <xdr:ext cx="85725" cy="390525"/>
    <xdr:pic>
      <xdr:nvPicPr>
        <xdr:cNvPr id="1004" name="Picture 11597">
          <a:extLst>
            <a:ext uri="{FF2B5EF4-FFF2-40B4-BE49-F238E27FC236}">
              <a16:creationId xmlns:a16="http://schemas.microsoft.com/office/drawing/2014/main" id="{AE019FB8-3EB3-46AA-AE87-237AC0BE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052" y="433204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71436</xdr:colOff>
      <xdr:row>242</xdr:row>
      <xdr:rowOff>11902</xdr:rowOff>
    </xdr:from>
    <xdr:ext cx="85725" cy="390525"/>
    <xdr:pic>
      <xdr:nvPicPr>
        <xdr:cNvPr id="1005" name="Picture 11597">
          <a:extLst>
            <a:ext uri="{FF2B5EF4-FFF2-40B4-BE49-F238E27FC236}">
              <a16:creationId xmlns:a16="http://schemas.microsoft.com/office/drawing/2014/main" id="{D373793A-F678-4055-BDB5-88B2D6F20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4536" y="4334430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35718</xdr:colOff>
      <xdr:row>242</xdr:row>
      <xdr:rowOff>0</xdr:rowOff>
    </xdr:from>
    <xdr:ext cx="85725" cy="390525"/>
    <xdr:pic>
      <xdr:nvPicPr>
        <xdr:cNvPr id="1006" name="Picture 11597">
          <a:extLst>
            <a:ext uri="{FF2B5EF4-FFF2-40B4-BE49-F238E27FC236}">
              <a16:creationId xmlns:a16="http://schemas.microsoft.com/office/drawing/2014/main" id="{3EDFFFB8-5315-440C-BE8F-B217993B0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3518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214316</xdr:colOff>
      <xdr:row>242</xdr:row>
      <xdr:rowOff>71432</xdr:rowOff>
    </xdr:from>
    <xdr:ext cx="85725" cy="390525"/>
    <xdr:pic>
      <xdr:nvPicPr>
        <xdr:cNvPr id="1007" name="Picture 11597">
          <a:extLst>
            <a:ext uri="{FF2B5EF4-FFF2-40B4-BE49-F238E27FC236}">
              <a16:creationId xmlns:a16="http://schemas.microsoft.com/office/drawing/2014/main" id="{1C2DB8EF-3ACA-40C2-B142-DCF496D7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2116" y="4340383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119060</xdr:colOff>
      <xdr:row>242</xdr:row>
      <xdr:rowOff>0</xdr:rowOff>
    </xdr:from>
    <xdr:ext cx="85725" cy="390525"/>
    <xdr:pic>
      <xdr:nvPicPr>
        <xdr:cNvPr id="1008" name="Picture 11597">
          <a:extLst>
            <a:ext uri="{FF2B5EF4-FFF2-40B4-BE49-F238E27FC236}">
              <a16:creationId xmlns:a16="http://schemas.microsoft.com/office/drawing/2014/main" id="{A0015590-B627-4F87-B74D-09CFFEAF2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9060" y="433324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95248</xdr:colOff>
      <xdr:row>252</xdr:row>
      <xdr:rowOff>0</xdr:rowOff>
    </xdr:from>
    <xdr:ext cx="85725" cy="390525"/>
    <xdr:pic>
      <xdr:nvPicPr>
        <xdr:cNvPr id="1009" name="Picture 11597">
          <a:extLst>
            <a:ext uri="{FF2B5EF4-FFF2-40B4-BE49-F238E27FC236}">
              <a16:creationId xmlns:a16="http://schemas.microsoft.com/office/drawing/2014/main" id="{B3DABFBB-8787-417E-BAD3-D6113593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98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71436</xdr:colOff>
      <xdr:row>252</xdr:row>
      <xdr:rowOff>0</xdr:rowOff>
    </xdr:from>
    <xdr:ext cx="85725" cy="390525"/>
    <xdr:pic>
      <xdr:nvPicPr>
        <xdr:cNvPr id="1010" name="Picture 11597">
          <a:extLst>
            <a:ext uri="{FF2B5EF4-FFF2-40B4-BE49-F238E27FC236}">
              <a16:creationId xmlns:a16="http://schemas.microsoft.com/office/drawing/2014/main" id="{C889A655-11D3-4510-8A9A-C7867890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6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226221</xdr:colOff>
      <xdr:row>251</xdr:row>
      <xdr:rowOff>166684</xdr:rowOff>
    </xdr:from>
    <xdr:ext cx="85725" cy="390525"/>
    <xdr:pic>
      <xdr:nvPicPr>
        <xdr:cNvPr id="1011" name="Picture 11597">
          <a:extLst>
            <a:ext uri="{FF2B5EF4-FFF2-40B4-BE49-F238E27FC236}">
              <a16:creationId xmlns:a16="http://schemas.microsoft.com/office/drawing/2014/main" id="{747BC4AF-F24E-4045-8CB1-4D63365B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2621" y="4504213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35718</xdr:colOff>
      <xdr:row>252</xdr:row>
      <xdr:rowOff>0</xdr:rowOff>
    </xdr:from>
    <xdr:ext cx="85725" cy="390525"/>
    <xdr:pic>
      <xdr:nvPicPr>
        <xdr:cNvPr id="1012" name="Picture 11597">
          <a:extLst>
            <a:ext uri="{FF2B5EF4-FFF2-40B4-BE49-F238E27FC236}">
              <a16:creationId xmlns:a16="http://schemas.microsoft.com/office/drawing/2014/main" id="{957889B9-4620-4571-BB97-25C0EA965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4118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7</xdr:col>
      <xdr:colOff>178590</xdr:colOff>
      <xdr:row>251</xdr:row>
      <xdr:rowOff>71436</xdr:rowOff>
    </xdr:from>
    <xdr:to>
      <xdr:col>7</xdr:col>
      <xdr:colOff>241013</xdr:colOff>
      <xdr:row>254</xdr:row>
      <xdr:rowOff>73817</xdr:rowOff>
    </xdr:to>
    <xdr:sp macro="" textlink="">
      <xdr:nvSpPr>
        <xdr:cNvPr id="1013" name="AutoShape 10733">
          <a:extLst>
            <a:ext uri="{FF2B5EF4-FFF2-40B4-BE49-F238E27FC236}">
              <a16:creationId xmlns:a16="http://schemas.microsoft.com/office/drawing/2014/main" id="{81137C07-B951-4FE1-9DC6-9728D3C8965D}"/>
            </a:ext>
          </a:extLst>
        </xdr:cNvPr>
        <xdr:cNvSpPr>
          <a:spLocks noChangeArrowheads="1"/>
        </xdr:cNvSpPr>
      </xdr:nvSpPr>
      <xdr:spPr bwMode="auto">
        <a:xfrm rot="5400000">
          <a:off x="2373961" y="45189915"/>
          <a:ext cx="548481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11</xdr:col>
      <xdr:colOff>95248</xdr:colOff>
      <xdr:row>252</xdr:row>
      <xdr:rowOff>0</xdr:rowOff>
    </xdr:from>
    <xdr:ext cx="85725" cy="390525"/>
    <xdr:pic>
      <xdr:nvPicPr>
        <xdr:cNvPr id="1014" name="Picture 11597">
          <a:extLst>
            <a:ext uri="{FF2B5EF4-FFF2-40B4-BE49-F238E27FC236}">
              <a16:creationId xmlns:a16="http://schemas.microsoft.com/office/drawing/2014/main" id="{782053E3-CBB2-46CC-AD22-7E28E6224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698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107154</xdr:colOff>
      <xdr:row>252</xdr:row>
      <xdr:rowOff>0</xdr:rowOff>
    </xdr:from>
    <xdr:ext cx="85725" cy="390525"/>
    <xdr:pic>
      <xdr:nvPicPr>
        <xdr:cNvPr id="1015" name="Picture 11597">
          <a:extLst>
            <a:ext uri="{FF2B5EF4-FFF2-40B4-BE49-F238E27FC236}">
              <a16:creationId xmlns:a16="http://schemas.microsoft.com/office/drawing/2014/main" id="{018CB389-3381-45FA-AD3D-AF7AC3FB0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3804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11906</xdr:colOff>
      <xdr:row>252</xdr:row>
      <xdr:rowOff>0</xdr:rowOff>
    </xdr:from>
    <xdr:ext cx="85725" cy="390525"/>
    <xdr:pic>
      <xdr:nvPicPr>
        <xdr:cNvPr id="1016" name="Picture 11597">
          <a:extLst>
            <a:ext uri="{FF2B5EF4-FFF2-40B4-BE49-F238E27FC236}">
              <a16:creationId xmlns:a16="http://schemas.microsoft.com/office/drawing/2014/main" id="{A476081E-3E71-499B-B93B-7B3383CE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006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214316</xdr:colOff>
      <xdr:row>251</xdr:row>
      <xdr:rowOff>154778</xdr:rowOff>
    </xdr:from>
    <xdr:ext cx="85725" cy="390525"/>
    <xdr:pic>
      <xdr:nvPicPr>
        <xdr:cNvPr id="1017" name="Picture 11597">
          <a:extLst>
            <a:ext uri="{FF2B5EF4-FFF2-40B4-BE49-F238E27FC236}">
              <a16:creationId xmlns:a16="http://schemas.microsoft.com/office/drawing/2014/main" id="{A741058F-2331-4D7E-84BC-6B89F2F0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7416" y="4503022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83342</xdr:colOff>
      <xdr:row>252</xdr:row>
      <xdr:rowOff>0</xdr:rowOff>
    </xdr:from>
    <xdr:ext cx="85725" cy="390525"/>
    <xdr:pic>
      <xdr:nvPicPr>
        <xdr:cNvPr id="1018" name="Picture 11597">
          <a:extLst>
            <a:ext uri="{FF2B5EF4-FFF2-40B4-BE49-F238E27FC236}">
              <a16:creationId xmlns:a16="http://schemas.microsoft.com/office/drawing/2014/main" id="{04F6ABFB-91BC-4AF6-9546-A513236D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142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130966</xdr:colOff>
      <xdr:row>251</xdr:row>
      <xdr:rowOff>154778</xdr:rowOff>
    </xdr:from>
    <xdr:ext cx="85725" cy="390525"/>
    <xdr:pic>
      <xdr:nvPicPr>
        <xdr:cNvPr id="1019" name="Picture 11597">
          <a:extLst>
            <a:ext uri="{FF2B5EF4-FFF2-40B4-BE49-F238E27FC236}">
              <a16:creationId xmlns:a16="http://schemas.microsoft.com/office/drawing/2014/main" id="{1271C1E2-75E1-443B-AE82-67BB1428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116" y="4503022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107154</xdr:colOff>
      <xdr:row>252</xdr:row>
      <xdr:rowOff>0</xdr:rowOff>
    </xdr:from>
    <xdr:ext cx="85725" cy="390525"/>
    <xdr:pic>
      <xdr:nvPicPr>
        <xdr:cNvPr id="1020" name="Picture 11597">
          <a:extLst>
            <a:ext uri="{FF2B5EF4-FFF2-40B4-BE49-F238E27FC236}">
              <a16:creationId xmlns:a16="http://schemas.microsoft.com/office/drawing/2014/main" id="{0AF2719F-13D6-41DA-AB3A-57A42244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154" y="450532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83342</xdr:colOff>
      <xdr:row>263</xdr:row>
      <xdr:rowOff>0</xdr:rowOff>
    </xdr:from>
    <xdr:ext cx="85725" cy="390525"/>
    <xdr:pic>
      <xdr:nvPicPr>
        <xdr:cNvPr id="1021" name="Picture 11597">
          <a:extLst>
            <a:ext uri="{FF2B5EF4-FFF2-40B4-BE49-F238E27FC236}">
              <a16:creationId xmlns:a16="http://schemas.microsoft.com/office/drawing/2014/main" id="{8E647AE0-A328-452D-9B16-BF9A6B49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2" y="46951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35718</xdr:colOff>
      <xdr:row>262</xdr:row>
      <xdr:rowOff>107154</xdr:rowOff>
    </xdr:from>
    <xdr:to>
      <xdr:col>1</xdr:col>
      <xdr:colOff>102393</xdr:colOff>
      <xdr:row>265</xdr:row>
      <xdr:rowOff>138111</xdr:rowOff>
    </xdr:to>
    <xdr:sp macro="" textlink="">
      <xdr:nvSpPr>
        <xdr:cNvPr id="1022" name="AutoShape 10732">
          <a:extLst>
            <a:ext uri="{FF2B5EF4-FFF2-40B4-BE49-F238E27FC236}">
              <a16:creationId xmlns:a16="http://schemas.microsoft.com/office/drawing/2014/main" id="{B65171C9-8879-4BE3-AA30-1C4031D19E1B}"/>
            </a:ext>
          </a:extLst>
        </xdr:cNvPr>
        <xdr:cNvSpPr>
          <a:spLocks noChangeArrowheads="1"/>
        </xdr:cNvSpPr>
      </xdr:nvSpPr>
      <xdr:spPr bwMode="auto">
        <a:xfrm rot="5400000">
          <a:off x="-9923" y="47136445"/>
          <a:ext cx="577057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178590</xdr:colOff>
      <xdr:row>262</xdr:row>
      <xdr:rowOff>95248</xdr:rowOff>
    </xdr:from>
    <xdr:to>
      <xdr:col>3</xdr:col>
      <xdr:colOff>241013</xdr:colOff>
      <xdr:row>265</xdr:row>
      <xdr:rowOff>97630</xdr:rowOff>
    </xdr:to>
    <xdr:sp macro="" textlink="">
      <xdr:nvSpPr>
        <xdr:cNvPr id="1023" name="AutoShape 10733">
          <a:extLst>
            <a:ext uri="{FF2B5EF4-FFF2-40B4-BE49-F238E27FC236}">
              <a16:creationId xmlns:a16="http://schemas.microsoft.com/office/drawing/2014/main" id="{BAC26E66-0F57-41AD-8660-2A0473352361}"/>
            </a:ext>
          </a:extLst>
        </xdr:cNvPr>
        <xdr:cNvSpPr>
          <a:spLocks noChangeArrowheads="1"/>
        </xdr:cNvSpPr>
      </xdr:nvSpPr>
      <xdr:spPr bwMode="auto">
        <a:xfrm rot="5400000">
          <a:off x="843611" y="47112377"/>
          <a:ext cx="548482" cy="62423"/>
        </a:xfrm>
        <a:prstGeom prst="chevron">
          <a:avLst>
            <a:gd name="adj" fmla="val 312500"/>
          </a:avLst>
        </a:prstGeom>
        <a:solidFill>
          <a:srgbClr val="CC99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5</xdr:col>
      <xdr:colOff>71436</xdr:colOff>
      <xdr:row>262</xdr:row>
      <xdr:rowOff>178590</xdr:rowOff>
    </xdr:from>
    <xdr:ext cx="85725" cy="390525"/>
    <xdr:pic>
      <xdr:nvPicPr>
        <xdr:cNvPr id="1024" name="Picture 11597">
          <a:extLst>
            <a:ext uri="{FF2B5EF4-FFF2-40B4-BE49-F238E27FC236}">
              <a16:creationId xmlns:a16="http://schemas.microsoft.com/office/drawing/2014/main" id="{D16F013E-B1F6-46F0-ACE7-48430CAA3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7836" y="469526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238127</xdr:colOff>
      <xdr:row>263</xdr:row>
      <xdr:rowOff>71429</xdr:rowOff>
    </xdr:from>
    <xdr:ext cx="85725" cy="390525"/>
    <xdr:pic>
      <xdr:nvPicPr>
        <xdr:cNvPr id="1025" name="Picture 11597">
          <a:extLst>
            <a:ext uri="{FF2B5EF4-FFF2-40B4-BE49-F238E27FC236}">
              <a16:creationId xmlns:a16="http://schemas.microsoft.com/office/drawing/2014/main" id="{62431F14-4105-478A-B3A0-5B7E96D13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7" y="47023329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95248</xdr:colOff>
      <xdr:row>263</xdr:row>
      <xdr:rowOff>23812</xdr:rowOff>
    </xdr:from>
    <xdr:ext cx="85725" cy="390525"/>
    <xdr:pic>
      <xdr:nvPicPr>
        <xdr:cNvPr id="1026" name="Picture 11597">
          <a:extLst>
            <a:ext uri="{FF2B5EF4-FFF2-40B4-BE49-F238E27FC236}">
              <a16:creationId xmlns:a16="http://schemas.microsoft.com/office/drawing/2014/main" id="{D9F27370-65A9-4AF3-BDCC-A9BDADB35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1048" y="469757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214308</xdr:colOff>
      <xdr:row>263</xdr:row>
      <xdr:rowOff>59527</xdr:rowOff>
    </xdr:from>
    <xdr:ext cx="85725" cy="390525"/>
    <xdr:pic>
      <xdr:nvPicPr>
        <xdr:cNvPr id="1027" name="Picture 11597">
          <a:extLst>
            <a:ext uri="{FF2B5EF4-FFF2-40B4-BE49-F238E27FC236}">
              <a16:creationId xmlns:a16="http://schemas.microsoft.com/office/drawing/2014/main" id="{B54D0C80-4075-4E7D-BA34-E191B52A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0108" y="47011427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130966</xdr:colOff>
      <xdr:row>263</xdr:row>
      <xdr:rowOff>71436</xdr:rowOff>
    </xdr:from>
    <xdr:ext cx="85725" cy="390525"/>
    <xdr:pic>
      <xdr:nvPicPr>
        <xdr:cNvPr id="1028" name="Picture 11597">
          <a:extLst>
            <a:ext uri="{FF2B5EF4-FFF2-40B4-BE49-F238E27FC236}">
              <a16:creationId xmlns:a16="http://schemas.microsoft.com/office/drawing/2014/main" id="{EACDAF66-693E-49D6-AA04-9C012E8DB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2416" y="4702333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95248</xdr:colOff>
      <xdr:row>263</xdr:row>
      <xdr:rowOff>35715</xdr:rowOff>
    </xdr:from>
    <xdr:ext cx="85725" cy="390525"/>
    <xdr:pic>
      <xdr:nvPicPr>
        <xdr:cNvPr id="1029" name="Picture 11597">
          <a:extLst>
            <a:ext uri="{FF2B5EF4-FFF2-40B4-BE49-F238E27FC236}">
              <a16:creationId xmlns:a16="http://schemas.microsoft.com/office/drawing/2014/main" id="{9AFC93F2-41C1-40DB-AF6B-3964A2FC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298" y="46987615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71436</xdr:colOff>
      <xdr:row>263</xdr:row>
      <xdr:rowOff>47621</xdr:rowOff>
    </xdr:from>
    <xdr:ext cx="85725" cy="390525"/>
    <xdr:pic>
      <xdr:nvPicPr>
        <xdr:cNvPr id="1030" name="Picture 11597">
          <a:extLst>
            <a:ext uri="{FF2B5EF4-FFF2-40B4-BE49-F238E27FC236}">
              <a16:creationId xmlns:a16="http://schemas.microsoft.com/office/drawing/2014/main" id="{C98957B9-9087-420E-8E85-E072E499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8086" y="46999521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190496</xdr:colOff>
      <xdr:row>262</xdr:row>
      <xdr:rowOff>178590</xdr:rowOff>
    </xdr:from>
    <xdr:to>
      <xdr:col>17</xdr:col>
      <xdr:colOff>310268</xdr:colOff>
      <xdr:row>265</xdr:row>
      <xdr:rowOff>142872</xdr:rowOff>
    </xdr:to>
    <xdr:sp macro="" textlink="">
      <xdr:nvSpPr>
        <xdr:cNvPr id="1031" name="AutoShape 10734">
          <a:extLst>
            <a:ext uri="{FF2B5EF4-FFF2-40B4-BE49-F238E27FC236}">
              <a16:creationId xmlns:a16="http://schemas.microsoft.com/office/drawing/2014/main" id="{711D8648-FEA5-48F6-B447-3A53F0629619}"/>
            </a:ext>
          </a:extLst>
        </xdr:cNvPr>
        <xdr:cNvSpPr>
          <a:spLocks noChangeArrowheads="1"/>
        </xdr:cNvSpPr>
      </xdr:nvSpPr>
      <xdr:spPr bwMode="auto">
        <a:xfrm rot="5400000" flipV="1">
          <a:off x="6211841" y="47147995"/>
          <a:ext cx="510382" cy="119772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83342</xdr:colOff>
      <xdr:row>263</xdr:row>
      <xdr:rowOff>23812</xdr:rowOff>
    </xdr:from>
    <xdr:ext cx="85725" cy="390525"/>
    <xdr:pic>
      <xdr:nvPicPr>
        <xdr:cNvPr id="1032" name="Picture 11597">
          <a:extLst>
            <a:ext uri="{FF2B5EF4-FFF2-40B4-BE49-F238E27FC236}">
              <a16:creationId xmlns:a16="http://schemas.microsoft.com/office/drawing/2014/main" id="{71241CCD-6265-4032-8DBE-CA0ED0A2F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1142" y="4697571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107154</xdr:colOff>
      <xdr:row>263</xdr:row>
      <xdr:rowOff>35718</xdr:rowOff>
    </xdr:from>
    <xdr:ext cx="85725" cy="390525"/>
    <xdr:pic>
      <xdr:nvPicPr>
        <xdr:cNvPr id="1033" name="Picture 11597">
          <a:extLst>
            <a:ext uri="{FF2B5EF4-FFF2-40B4-BE49-F238E27FC236}">
              <a16:creationId xmlns:a16="http://schemas.microsoft.com/office/drawing/2014/main" id="{D6A7372F-2971-4ECE-B6BD-679A4B042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3304" y="4698761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119060</xdr:colOff>
      <xdr:row>263</xdr:row>
      <xdr:rowOff>0</xdr:rowOff>
    </xdr:from>
    <xdr:ext cx="85725" cy="390525"/>
    <xdr:pic>
      <xdr:nvPicPr>
        <xdr:cNvPr id="1034" name="Picture 11597">
          <a:extLst>
            <a:ext uri="{FF2B5EF4-FFF2-40B4-BE49-F238E27FC236}">
              <a16:creationId xmlns:a16="http://schemas.microsoft.com/office/drawing/2014/main" id="{11F94D92-1B8F-48EF-9020-B78AA415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2610" y="46951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107154</xdr:colOff>
      <xdr:row>263</xdr:row>
      <xdr:rowOff>0</xdr:rowOff>
    </xdr:from>
    <xdr:ext cx="85725" cy="390525"/>
    <xdr:pic>
      <xdr:nvPicPr>
        <xdr:cNvPr id="1035" name="Picture 11597">
          <a:extLst>
            <a:ext uri="{FF2B5EF4-FFF2-40B4-BE49-F238E27FC236}">
              <a16:creationId xmlns:a16="http://schemas.microsoft.com/office/drawing/2014/main" id="{F7469FCC-E4A3-4FE1-9956-3395BD78C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154" y="46951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59530</xdr:colOff>
      <xdr:row>263</xdr:row>
      <xdr:rowOff>0</xdr:rowOff>
    </xdr:from>
    <xdr:ext cx="85725" cy="390525"/>
    <xdr:pic>
      <xdr:nvPicPr>
        <xdr:cNvPr id="1036" name="Picture 11597">
          <a:extLst>
            <a:ext uri="{FF2B5EF4-FFF2-40B4-BE49-F238E27FC236}">
              <a16:creationId xmlns:a16="http://schemas.microsoft.com/office/drawing/2014/main" id="{A7F8B566-7999-45E9-BE0A-110E9B864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25980" y="469519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202402</xdr:colOff>
      <xdr:row>263</xdr:row>
      <xdr:rowOff>47617</xdr:rowOff>
    </xdr:from>
    <xdr:ext cx="85725" cy="390525"/>
    <xdr:pic>
      <xdr:nvPicPr>
        <xdr:cNvPr id="1037" name="Picture 11597">
          <a:extLst>
            <a:ext uri="{FF2B5EF4-FFF2-40B4-BE49-F238E27FC236}">
              <a16:creationId xmlns:a16="http://schemas.microsoft.com/office/drawing/2014/main" id="{B4EDE6D7-127B-40AA-A891-155BA055D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8852" y="46999517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166688</xdr:colOff>
      <xdr:row>273</xdr:row>
      <xdr:rowOff>166684</xdr:rowOff>
    </xdr:from>
    <xdr:ext cx="85725" cy="390525"/>
    <xdr:pic>
      <xdr:nvPicPr>
        <xdr:cNvPr id="1038" name="Picture 11597">
          <a:extLst>
            <a:ext uri="{FF2B5EF4-FFF2-40B4-BE49-F238E27FC236}">
              <a16:creationId xmlns:a16="http://schemas.microsoft.com/office/drawing/2014/main" id="{B2447025-54FC-4E49-8528-F08D5E22C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8" y="4883943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130966</xdr:colOff>
      <xdr:row>273</xdr:row>
      <xdr:rowOff>142872</xdr:rowOff>
    </xdr:from>
    <xdr:ext cx="85725" cy="390525"/>
    <xdr:pic>
      <xdr:nvPicPr>
        <xdr:cNvPr id="1039" name="Picture 11597">
          <a:extLst>
            <a:ext uri="{FF2B5EF4-FFF2-40B4-BE49-F238E27FC236}">
              <a16:creationId xmlns:a16="http://schemas.microsoft.com/office/drawing/2014/main" id="{508D6F2B-6970-445F-BB47-D1FF061F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16" y="4881562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95248</xdr:colOff>
      <xdr:row>273</xdr:row>
      <xdr:rowOff>166684</xdr:rowOff>
    </xdr:from>
    <xdr:ext cx="85725" cy="390525"/>
    <xdr:pic>
      <xdr:nvPicPr>
        <xdr:cNvPr id="1040" name="Picture 11597">
          <a:extLst>
            <a:ext uri="{FF2B5EF4-FFF2-40B4-BE49-F238E27FC236}">
              <a16:creationId xmlns:a16="http://schemas.microsoft.com/office/drawing/2014/main" id="{A878CF73-7BCC-4AB0-B1C5-0BB3C2E83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298" y="4883943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130966</xdr:colOff>
      <xdr:row>274</xdr:row>
      <xdr:rowOff>23812</xdr:rowOff>
    </xdr:from>
    <xdr:ext cx="85725" cy="390525"/>
    <xdr:pic>
      <xdr:nvPicPr>
        <xdr:cNvPr id="1041" name="Picture 11597">
          <a:extLst>
            <a:ext uri="{FF2B5EF4-FFF2-40B4-BE49-F238E27FC236}">
              <a16:creationId xmlns:a16="http://schemas.microsoft.com/office/drawing/2014/main" id="{19821763-7079-4C4B-84C2-3FE49208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366" y="4887436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107154</xdr:colOff>
      <xdr:row>274</xdr:row>
      <xdr:rowOff>0</xdr:rowOff>
    </xdr:from>
    <xdr:ext cx="85725" cy="390525"/>
    <xdr:pic>
      <xdr:nvPicPr>
        <xdr:cNvPr id="1042" name="Picture 11597">
          <a:extLst>
            <a:ext uri="{FF2B5EF4-FFF2-40B4-BE49-F238E27FC236}">
              <a16:creationId xmlns:a16="http://schemas.microsoft.com/office/drawing/2014/main" id="{5467B3B2-4343-4038-9031-28BB43764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954" y="48850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71436</xdr:colOff>
      <xdr:row>274</xdr:row>
      <xdr:rowOff>0</xdr:rowOff>
    </xdr:from>
    <xdr:ext cx="85725" cy="390525"/>
    <xdr:pic>
      <xdr:nvPicPr>
        <xdr:cNvPr id="1043" name="Picture 11597">
          <a:extLst>
            <a:ext uri="{FF2B5EF4-FFF2-40B4-BE49-F238E27FC236}">
              <a16:creationId xmlns:a16="http://schemas.microsoft.com/office/drawing/2014/main" id="{606F3452-3626-4E07-BACB-CF436CB13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9486" y="48850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130966</xdr:colOff>
      <xdr:row>273</xdr:row>
      <xdr:rowOff>107158</xdr:rowOff>
    </xdr:from>
    <xdr:to>
      <xdr:col>17</xdr:col>
      <xdr:colOff>197641</xdr:colOff>
      <xdr:row>276</xdr:row>
      <xdr:rowOff>138114</xdr:rowOff>
    </xdr:to>
    <xdr:sp macro="" textlink="">
      <xdr:nvSpPr>
        <xdr:cNvPr id="1044" name="AutoShape 10732">
          <a:extLst>
            <a:ext uri="{FF2B5EF4-FFF2-40B4-BE49-F238E27FC236}">
              <a16:creationId xmlns:a16="http://schemas.microsoft.com/office/drawing/2014/main" id="{4A4E515C-A212-4ED3-8522-36CB1F2B6B53}"/>
            </a:ext>
          </a:extLst>
        </xdr:cNvPr>
        <xdr:cNvSpPr>
          <a:spLocks noChangeArrowheads="1"/>
        </xdr:cNvSpPr>
      </xdr:nvSpPr>
      <xdr:spPr bwMode="auto">
        <a:xfrm rot="5400000">
          <a:off x="6092426" y="49035098"/>
          <a:ext cx="577056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107154</xdr:colOff>
      <xdr:row>273</xdr:row>
      <xdr:rowOff>178590</xdr:rowOff>
    </xdr:from>
    <xdr:ext cx="85725" cy="390525"/>
    <xdr:pic>
      <xdr:nvPicPr>
        <xdr:cNvPr id="1045" name="Picture 11597">
          <a:extLst>
            <a:ext uri="{FF2B5EF4-FFF2-40B4-BE49-F238E27FC236}">
              <a16:creationId xmlns:a16="http://schemas.microsoft.com/office/drawing/2014/main" id="{708C752D-574A-413B-9DFE-56D6762A9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0254" y="488513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95248</xdr:colOff>
      <xdr:row>273</xdr:row>
      <xdr:rowOff>178590</xdr:rowOff>
    </xdr:from>
    <xdr:ext cx="85725" cy="390525"/>
    <xdr:pic>
      <xdr:nvPicPr>
        <xdr:cNvPr id="1046" name="Picture 11597">
          <a:extLst>
            <a:ext uri="{FF2B5EF4-FFF2-40B4-BE49-F238E27FC236}">
              <a16:creationId xmlns:a16="http://schemas.microsoft.com/office/drawing/2014/main" id="{90BE4F14-3721-46AA-B0C5-E68C61019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3048" y="488513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11906</xdr:colOff>
      <xdr:row>274</xdr:row>
      <xdr:rowOff>0</xdr:rowOff>
    </xdr:from>
    <xdr:ext cx="85725" cy="390525"/>
    <xdr:pic>
      <xdr:nvPicPr>
        <xdr:cNvPr id="1047" name="Picture 11597">
          <a:extLst>
            <a:ext uri="{FF2B5EF4-FFF2-40B4-BE49-F238E27FC236}">
              <a16:creationId xmlns:a16="http://schemas.microsoft.com/office/drawing/2014/main" id="{A140B9D0-DB77-4BB8-BC5B-3524B9426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8356" y="48850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178590</xdr:colOff>
      <xdr:row>273</xdr:row>
      <xdr:rowOff>178590</xdr:rowOff>
    </xdr:from>
    <xdr:ext cx="85725" cy="390525"/>
    <xdr:pic>
      <xdr:nvPicPr>
        <xdr:cNvPr id="1048" name="Picture 11597">
          <a:extLst>
            <a:ext uri="{FF2B5EF4-FFF2-40B4-BE49-F238E27FC236}">
              <a16:creationId xmlns:a16="http://schemas.microsoft.com/office/drawing/2014/main" id="{FA0E0935-01C7-45E5-9530-9F8E3291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5040" y="4885134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284</xdr:row>
      <xdr:rowOff>190496</xdr:rowOff>
    </xdr:from>
    <xdr:ext cx="85725" cy="390525"/>
    <xdr:pic>
      <xdr:nvPicPr>
        <xdr:cNvPr id="1049" name="Picture 11597">
          <a:extLst>
            <a:ext uri="{FF2B5EF4-FFF2-40B4-BE49-F238E27FC236}">
              <a16:creationId xmlns:a16="http://schemas.microsoft.com/office/drawing/2014/main" id="{745FB4F8-743D-4C28-B5C6-CFA79BD09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07555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119060</xdr:colOff>
      <xdr:row>284</xdr:row>
      <xdr:rowOff>166684</xdr:rowOff>
    </xdr:from>
    <xdr:ext cx="85725" cy="390525"/>
    <xdr:pic>
      <xdr:nvPicPr>
        <xdr:cNvPr id="1050" name="Picture 11597">
          <a:extLst>
            <a:ext uri="{FF2B5EF4-FFF2-40B4-BE49-F238E27FC236}">
              <a16:creationId xmlns:a16="http://schemas.microsoft.com/office/drawing/2014/main" id="{D8691051-EB03-4FF6-BBC1-DA73C5250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110" y="5073808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23812</xdr:colOff>
      <xdr:row>284</xdr:row>
      <xdr:rowOff>178590</xdr:rowOff>
    </xdr:from>
    <xdr:ext cx="85725" cy="390525"/>
    <xdr:pic>
      <xdr:nvPicPr>
        <xdr:cNvPr id="1051" name="Picture 11597">
          <a:extLst>
            <a:ext uri="{FF2B5EF4-FFF2-40B4-BE49-F238E27FC236}">
              <a16:creationId xmlns:a16="http://schemas.microsoft.com/office/drawing/2014/main" id="{9E98E6D1-0BF5-4F0D-84EA-099C5EEA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212" y="507499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178590</xdr:colOff>
      <xdr:row>285</xdr:row>
      <xdr:rowOff>11898</xdr:rowOff>
    </xdr:from>
    <xdr:ext cx="85725" cy="390525"/>
    <xdr:pic>
      <xdr:nvPicPr>
        <xdr:cNvPr id="1052" name="Picture 11597">
          <a:extLst>
            <a:ext uri="{FF2B5EF4-FFF2-40B4-BE49-F238E27FC236}">
              <a16:creationId xmlns:a16="http://schemas.microsoft.com/office/drawing/2014/main" id="{7B4D9589-8195-47F9-8328-8DFA48FF6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4990" y="5076744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35718</xdr:colOff>
      <xdr:row>285</xdr:row>
      <xdr:rowOff>0</xdr:rowOff>
    </xdr:from>
    <xdr:ext cx="85725" cy="390525"/>
    <xdr:pic>
      <xdr:nvPicPr>
        <xdr:cNvPr id="1053" name="Picture 11597">
          <a:extLst>
            <a:ext uri="{FF2B5EF4-FFF2-40B4-BE49-F238E27FC236}">
              <a16:creationId xmlns:a16="http://schemas.microsoft.com/office/drawing/2014/main" id="{13921FD7-7BB1-4429-80C2-BF413F4B7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4118" y="50755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190496</xdr:colOff>
      <xdr:row>284</xdr:row>
      <xdr:rowOff>190492</xdr:rowOff>
    </xdr:from>
    <xdr:ext cx="85725" cy="390525"/>
    <xdr:pic>
      <xdr:nvPicPr>
        <xdr:cNvPr id="1054" name="Picture 11597">
          <a:extLst>
            <a:ext uri="{FF2B5EF4-FFF2-40B4-BE49-F238E27FC236}">
              <a16:creationId xmlns:a16="http://schemas.microsoft.com/office/drawing/2014/main" id="{D61269FE-5E3C-4E7B-808C-68892F1C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896" y="5075554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23812</xdr:colOff>
      <xdr:row>285</xdr:row>
      <xdr:rowOff>11898</xdr:rowOff>
    </xdr:from>
    <xdr:ext cx="85725" cy="390525"/>
    <xdr:pic>
      <xdr:nvPicPr>
        <xdr:cNvPr id="1055" name="Picture 11597">
          <a:extLst>
            <a:ext uri="{FF2B5EF4-FFF2-40B4-BE49-F238E27FC236}">
              <a16:creationId xmlns:a16="http://schemas.microsoft.com/office/drawing/2014/main" id="{7B226DEB-6E49-4078-97DF-A775B0E93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612" y="5076744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166684</xdr:colOff>
      <xdr:row>284</xdr:row>
      <xdr:rowOff>190492</xdr:rowOff>
    </xdr:from>
    <xdr:ext cx="85725" cy="390525"/>
    <xdr:pic>
      <xdr:nvPicPr>
        <xdr:cNvPr id="1056" name="Picture 11597">
          <a:extLst>
            <a:ext uri="{FF2B5EF4-FFF2-40B4-BE49-F238E27FC236}">
              <a16:creationId xmlns:a16="http://schemas.microsoft.com/office/drawing/2014/main" id="{549037F2-402C-427C-88FF-779A8A104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484" y="5075554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23812</xdr:colOff>
      <xdr:row>284</xdr:row>
      <xdr:rowOff>190496</xdr:rowOff>
    </xdr:from>
    <xdr:ext cx="85725" cy="390525"/>
    <xdr:pic>
      <xdr:nvPicPr>
        <xdr:cNvPr id="1057" name="Picture 11597">
          <a:extLst>
            <a:ext uri="{FF2B5EF4-FFF2-40B4-BE49-F238E27FC236}">
              <a16:creationId xmlns:a16="http://schemas.microsoft.com/office/drawing/2014/main" id="{A23AA2D3-1350-4344-B009-E64565979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862" y="507555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166684</xdr:colOff>
      <xdr:row>285</xdr:row>
      <xdr:rowOff>35714</xdr:rowOff>
    </xdr:from>
    <xdr:ext cx="85725" cy="390525"/>
    <xdr:pic>
      <xdr:nvPicPr>
        <xdr:cNvPr id="1058" name="Picture 11597">
          <a:extLst>
            <a:ext uri="{FF2B5EF4-FFF2-40B4-BE49-F238E27FC236}">
              <a16:creationId xmlns:a16="http://schemas.microsoft.com/office/drawing/2014/main" id="{C0116469-3177-4490-8AD6-1BBC66162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4734" y="5079126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142872</xdr:colOff>
      <xdr:row>285</xdr:row>
      <xdr:rowOff>23808</xdr:rowOff>
    </xdr:from>
    <xdr:ext cx="85725" cy="390525"/>
    <xdr:pic>
      <xdr:nvPicPr>
        <xdr:cNvPr id="1059" name="Picture 11597">
          <a:extLst>
            <a:ext uri="{FF2B5EF4-FFF2-40B4-BE49-F238E27FC236}">
              <a16:creationId xmlns:a16="http://schemas.microsoft.com/office/drawing/2014/main" id="{872EE63E-50C0-401D-A82A-CBD91D816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9522" y="50779358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71436</xdr:colOff>
      <xdr:row>285</xdr:row>
      <xdr:rowOff>11906</xdr:rowOff>
    </xdr:from>
    <xdr:ext cx="85725" cy="390525"/>
    <xdr:pic>
      <xdr:nvPicPr>
        <xdr:cNvPr id="1060" name="Picture 11597">
          <a:extLst>
            <a:ext uri="{FF2B5EF4-FFF2-40B4-BE49-F238E27FC236}">
              <a16:creationId xmlns:a16="http://schemas.microsoft.com/office/drawing/2014/main" id="{F4943833-E4F1-4A6A-B901-412919CC2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9236" y="5076745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214308</xdr:colOff>
      <xdr:row>285</xdr:row>
      <xdr:rowOff>0</xdr:rowOff>
    </xdr:from>
    <xdr:ext cx="85725" cy="390525"/>
    <xdr:pic>
      <xdr:nvPicPr>
        <xdr:cNvPr id="1061" name="Picture 11597">
          <a:extLst>
            <a:ext uri="{FF2B5EF4-FFF2-40B4-BE49-F238E27FC236}">
              <a16:creationId xmlns:a16="http://schemas.microsoft.com/office/drawing/2014/main" id="{0613E695-EAB2-40C9-9B7C-ED71F89F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2108" y="50755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35718</xdr:colOff>
      <xdr:row>284</xdr:row>
      <xdr:rowOff>190496</xdr:rowOff>
    </xdr:from>
    <xdr:ext cx="85725" cy="390525"/>
    <xdr:pic>
      <xdr:nvPicPr>
        <xdr:cNvPr id="1062" name="Picture 11597">
          <a:extLst>
            <a:ext uri="{FF2B5EF4-FFF2-40B4-BE49-F238E27FC236}">
              <a16:creationId xmlns:a16="http://schemas.microsoft.com/office/drawing/2014/main" id="{6CCF1591-C651-4126-A484-E30F5D1C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1868" y="507555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178590</xdr:colOff>
      <xdr:row>284</xdr:row>
      <xdr:rowOff>178590</xdr:rowOff>
    </xdr:from>
    <xdr:ext cx="85725" cy="390525"/>
    <xdr:pic>
      <xdr:nvPicPr>
        <xdr:cNvPr id="1063" name="Picture 11597">
          <a:extLst>
            <a:ext uri="{FF2B5EF4-FFF2-40B4-BE49-F238E27FC236}">
              <a16:creationId xmlns:a16="http://schemas.microsoft.com/office/drawing/2014/main" id="{E173D3BE-CFB0-477E-A1E4-04419DD7B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4740" y="507499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25</xdr:col>
      <xdr:colOff>119060</xdr:colOff>
      <xdr:row>285</xdr:row>
      <xdr:rowOff>0</xdr:rowOff>
    </xdr:from>
    <xdr:ext cx="85725" cy="390525"/>
    <xdr:pic>
      <xdr:nvPicPr>
        <xdr:cNvPr id="1064" name="Picture 11597">
          <a:extLst>
            <a:ext uri="{FF2B5EF4-FFF2-40B4-BE49-F238E27FC236}">
              <a16:creationId xmlns:a16="http://schemas.microsoft.com/office/drawing/2014/main" id="{3C2D3430-176E-411E-9C33-F37F0E4BE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2610" y="5075555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35718</xdr:colOff>
      <xdr:row>285</xdr:row>
      <xdr:rowOff>11902</xdr:rowOff>
    </xdr:from>
    <xdr:ext cx="85725" cy="390525"/>
    <xdr:pic>
      <xdr:nvPicPr>
        <xdr:cNvPr id="1065" name="Picture 11597">
          <a:extLst>
            <a:ext uri="{FF2B5EF4-FFF2-40B4-BE49-F238E27FC236}">
              <a16:creationId xmlns:a16="http://schemas.microsoft.com/office/drawing/2014/main" id="{0B24DC86-3852-42A9-8905-893D9C9AE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5718" y="50767452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27</xdr:col>
      <xdr:colOff>178590</xdr:colOff>
      <xdr:row>284</xdr:row>
      <xdr:rowOff>190496</xdr:rowOff>
    </xdr:from>
    <xdr:ext cx="85725" cy="390525"/>
    <xdr:pic>
      <xdr:nvPicPr>
        <xdr:cNvPr id="1066" name="Picture 11597">
          <a:extLst>
            <a:ext uri="{FF2B5EF4-FFF2-40B4-BE49-F238E27FC236}">
              <a16:creationId xmlns:a16="http://schemas.microsoft.com/office/drawing/2014/main" id="{2C306D0F-3F10-4070-BF0F-10A0298A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8590" y="5075554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83342</xdr:colOff>
      <xdr:row>284</xdr:row>
      <xdr:rowOff>178590</xdr:rowOff>
    </xdr:from>
    <xdr:ext cx="85725" cy="390525"/>
    <xdr:pic>
      <xdr:nvPicPr>
        <xdr:cNvPr id="1067" name="Picture 11597">
          <a:extLst>
            <a:ext uri="{FF2B5EF4-FFF2-40B4-BE49-F238E27FC236}">
              <a16:creationId xmlns:a16="http://schemas.microsoft.com/office/drawing/2014/main" id="{D976F650-BF26-4BB7-950A-04B2637B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49792" y="5074999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226214</xdr:colOff>
      <xdr:row>284</xdr:row>
      <xdr:rowOff>166684</xdr:rowOff>
    </xdr:from>
    <xdr:ext cx="85725" cy="390525"/>
    <xdr:pic>
      <xdr:nvPicPr>
        <xdr:cNvPr id="1068" name="Picture 11597">
          <a:extLst>
            <a:ext uri="{FF2B5EF4-FFF2-40B4-BE49-F238E27FC236}">
              <a16:creationId xmlns:a16="http://schemas.microsoft.com/office/drawing/2014/main" id="{83D33F03-D6EC-4B86-A8E0-93087AA7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2664" y="50738084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47624</xdr:colOff>
      <xdr:row>296</xdr:row>
      <xdr:rowOff>11906</xdr:rowOff>
    </xdr:from>
    <xdr:ext cx="144236" cy="466725"/>
    <xdr:pic>
      <xdr:nvPicPr>
        <xdr:cNvPr id="1069" name="Picture 11595">
          <a:extLst>
            <a:ext uri="{FF2B5EF4-FFF2-40B4-BE49-F238E27FC236}">
              <a16:creationId xmlns:a16="http://schemas.microsoft.com/office/drawing/2014/main" id="{D3889602-779B-4D76-85EF-B11D1D6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4" y="52666106"/>
          <a:ext cx="144236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83342</xdr:colOff>
      <xdr:row>296</xdr:row>
      <xdr:rowOff>11906</xdr:rowOff>
    </xdr:from>
    <xdr:ext cx="85725" cy="390525"/>
    <xdr:pic>
      <xdr:nvPicPr>
        <xdr:cNvPr id="1070" name="Picture 11597">
          <a:extLst>
            <a:ext uri="{FF2B5EF4-FFF2-40B4-BE49-F238E27FC236}">
              <a16:creationId xmlns:a16="http://schemas.microsoft.com/office/drawing/2014/main" id="{77B2BB0A-81BD-4496-A672-A88775FE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392" y="5266610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226214</xdr:colOff>
      <xdr:row>296</xdr:row>
      <xdr:rowOff>0</xdr:rowOff>
    </xdr:from>
    <xdr:ext cx="85725" cy="390525"/>
    <xdr:pic>
      <xdr:nvPicPr>
        <xdr:cNvPr id="1071" name="Picture 11597">
          <a:extLst>
            <a:ext uri="{FF2B5EF4-FFF2-40B4-BE49-F238E27FC236}">
              <a16:creationId xmlns:a16="http://schemas.microsoft.com/office/drawing/2014/main" id="{8CD08DF3-33AB-4A50-B2AA-B5DDA494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264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226214</xdr:colOff>
      <xdr:row>296</xdr:row>
      <xdr:rowOff>0</xdr:rowOff>
    </xdr:from>
    <xdr:ext cx="85725" cy="390525"/>
    <xdr:pic>
      <xdr:nvPicPr>
        <xdr:cNvPr id="1072" name="Picture 11597">
          <a:extLst>
            <a:ext uri="{FF2B5EF4-FFF2-40B4-BE49-F238E27FC236}">
              <a16:creationId xmlns:a16="http://schemas.microsoft.com/office/drawing/2014/main" id="{83F1968F-92EE-448B-83F2-DF7423FDA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2614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154778</xdr:colOff>
      <xdr:row>296</xdr:row>
      <xdr:rowOff>0</xdr:rowOff>
    </xdr:from>
    <xdr:ext cx="85725" cy="390525"/>
    <xdr:pic>
      <xdr:nvPicPr>
        <xdr:cNvPr id="1073" name="Picture 11597">
          <a:extLst>
            <a:ext uri="{FF2B5EF4-FFF2-40B4-BE49-F238E27FC236}">
              <a16:creationId xmlns:a16="http://schemas.microsoft.com/office/drawing/2014/main" id="{3B373FBB-8CF5-435C-8117-33B751E4E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6228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35718</xdr:colOff>
      <xdr:row>296</xdr:row>
      <xdr:rowOff>11906</xdr:rowOff>
    </xdr:from>
    <xdr:ext cx="85725" cy="390525"/>
    <xdr:pic>
      <xdr:nvPicPr>
        <xdr:cNvPr id="1074" name="Picture 11597">
          <a:extLst>
            <a:ext uri="{FF2B5EF4-FFF2-40B4-BE49-F238E27FC236}">
              <a16:creationId xmlns:a16="http://schemas.microsoft.com/office/drawing/2014/main" id="{BD0B643C-9BA9-4356-A919-DBCC04B33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3768" y="52666106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178590</xdr:colOff>
      <xdr:row>296</xdr:row>
      <xdr:rowOff>0</xdr:rowOff>
    </xdr:from>
    <xdr:ext cx="85725" cy="390525"/>
    <xdr:pic>
      <xdr:nvPicPr>
        <xdr:cNvPr id="1075" name="Picture 11597">
          <a:extLst>
            <a:ext uri="{FF2B5EF4-FFF2-40B4-BE49-F238E27FC236}">
              <a16:creationId xmlns:a16="http://schemas.microsoft.com/office/drawing/2014/main" id="{543CB26A-9236-474F-A18F-CC72A3176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6640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95248</xdr:colOff>
      <xdr:row>296</xdr:row>
      <xdr:rowOff>0</xdr:rowOff>
    </xdr:from>
    <xdr:ext cx="85725" cy="390525"/>
    <xdr:pic>
      <xdr:nvPicPr>
        <xdr:cNvPr id="1076" name="Picture 11597">
          <a:extLst>
            <a:ext uri="{FF2B5EF4-FFF2-40B4-BE49-F238E27FC236}">
              <a16:creationId xmlns:a16="http://schemas.microsoft.com/office/drawing/2014/main" id="{4929D0D2-B2B7-4214-8876-9F9F5CCC0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1898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83342</xdr:colOff>
      <xdr:row>296</xdr:row>
      <xdr:rowOff>0</xdr:rowOff>
    </xdr:from>
    <xdr:ext cx="85725" cy="390525"/>
    <xdr:pic>
      <xdr:nvPicPr>
        <xdr:cNvPr id="1077" name="Picture 11597">
          <a:extLst>
            <a:ext uri="{FF2B5EF4-FFF2-40B4-BE49-F238E27FC236}">
              <a16:creationId xmlns:a16="http://schemas.microsoft.com/office/drawing/2014/main" id="{778E6D17-E8DC-4222-9EA1-09438918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6442" y="52654200"/>
          <a:ext cx="85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16</xdr:col>
      <xdr:colOff>0</xdr:colOff>
      <xdr:row>22</xdr:row>
      <xdr:rowOff>6979</xdr:rowOff>
    </xdr:from>
    <xdr:to>
      <xdr:col>17</xdr:col>
      <xdr:colOff>6978</xdr:colOff>
      <xdr:row>24</xdr:row>
      <xdr:rowOff>5439</xdr:rowOff>
    </xdr:to>
    <xdr:sp macro="" textlink="">
      <xdr:nvSpPr>
        <xdr:cNvPr id="1078" name="0/0">
          <a:extLst>
            <a:ext uri="{FF2B5EF4-FFF2-40B4-BE49-F238E27FC236}">
              <a16:creationId xmlns:a16="http://schemas.microsoft.com/office/drawing/2014/main" id="{D3882A65-3462-4A40-9C23-100312CEECA1}"/>
            </a:ext>
          </a:extLst>
        </xdr:cNvPr>
        <xdr:cNvSpPr>
          <a:spLocks noChangeArrowheads="1"/>
        </xdr:cNvSpPr>
      </xdr:nvSpPr>
      <xdr:spPr bwMode="auto">
        <a:xfrm>
          <a:off x="5816600" y="4255129"/>
          <a:ext cx="407028" cy="37311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188406</xdr:colOff>
      <xdr:row>22</xdr:row>
      <xdr:rowOff>1</xdr:rowOff>
    </xdr:from>
    <xdr:to>
      <xdr:col>18</xdr:col>
      <xdr:colOff>153514</xdr:colOff>
      <xdr:row>22</xdr:row>
      <xdr:rowOff>93990</xdr:rowOff>
    </xdr:to>
    <xdr:sp macro="" textlink="">
      <xdr:nvSpPr>
        <xdr:cNvPr id="1079" name="Freeform 10708">
          <a:extLst>
            <a:ext uri="{FF2B5EF4-FFF2-40B4-BE49-F238E27FC236}">
              <a16:creationId xmlns:a16="http://schemas.microsoft.com/office/drawing/2014/main" id="{A3618BBE-370A-4152-86A0-7BC18ECA78E7}"/>
            </a:ext>
          </a:extLst>
        </xdr:cNvPr>
        <xdr:cNvSpPr>
          <a:spLocks/>
        </xdr:cNvSpPr>
      </xdr:nvSpPr>
      <xdr:spPr bwMode="auto">
        <a:xfrm>
          <a:off x="6005006" y="4248151"/>
          <a:ext cx="771558" cy="9398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230274</xdr:colOff>
      <xdr:row>21</xdr:row>
      <xdr:rowOff>174450</xdr:rowOff>
    </xdr:from>
    <xdr:to>
      <xdr:col>16</xdr:col>
      <xdr:colOff>202361</xdr:colOff>
      <xdr:row>22</xdr:row>
      <xdr:rowOff>87011</xdr:rowOff>
    </xdr:to>
    <xdr:sp macro="" textlink="">
      <xdr:nvSpPr>
        <xdr:cNvPr id="1080" name="Freeform 10708">
          <a:extLst>
            <a:ext uri="{FF2B5EF4-FFF2-40B4-BE49-F238E27FC236}">
              <a16:creationId xmlns:a16="http://schemas.microsoft.com/office/drawing/2014/main" id="{28EC71CB-E571-4D9B-9983-CF46199E81D2}"/>
            </a:ext>
          </a:extLst>
        </xdr:cNvPr>
        <xdr:cNvSpPr>
          <a:spLocks/>
        </xdr:cNvSpPr>
      </xdr:nvSpPr>
      <xdr:spPr bwMode="auto">
        <a:xfrm>
          <a:off x="5246774" y="4238450"/>
          <a:ext cx="772187" cy="96711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CC50-6135-41F2-BB25-07FB6BD94BEA}">
  <dimension ref="A1:J47"/>
  <sheetViews>
    <sheetView zoomScale="101" zoomScaleNormal="100" workbookViewId="0">
      <selection activeCell="D19" sqref="D19"/>
    </sheetView>
  </sheetViews>
  <sheetFormatPr defaultColWidth="9" defaultRowHeight="14.5" x14ac:dyDescent="0.35"/>
  <cols>
    <col min="2" max="2" width="39.453125" customWidth="1"/>
    <col min="3" max="3" width="9.7265625" customWidth="1"/>
    <col min="5" max="5" width="32.26953125" bestFit="1" customWidth="1"/>
    <col min="6" max="6" width="11.36328125" customWidth="1"/>
    <col min="7" max="7" width="13.90625" customWidth="1"/>
    <col min="9" max="9" width="15.26953125" customWidth="1"/>
    <col min="10" max="10" width="17.36328125" customWidth="1"/>
  </cols>
  <sheetData>
    <row r="1" spans="1:10" ht="29.5" customHeight="1" x14ac:dyDescent="0.35">
      <c r="A1" s="911" t="s">
        <v>871</v>
      </c>
      <c r="B1" s="912"/>
      <c r="C1" s="912"/>
      <c r="D1" s="912"/>
      <c r="E1" s="913"/>
    </row>
    <row r="2" spans="1:10" ht="26" customHeight="1" x14ac:dyDescent="0.35">
      <c r="A2" s="384" t="s">
        <v>889</v>
      </c>
      <c r="B2" s="52" t="s">
        <v>105</v>
      </c>
      <c r="C2" s="52" t="s">
        <v>823</v>
      </c>
      <c r="D2" s="52"/>
      <c r="E2" s="385" t="s">
        <v>6</v>
      </c>
    </row>
    <row r="3" spans="1:10" x14ac:dyDescent="0.35">
      <c r="A3" s="53">
        <v>1</v>
      </c>
      <c r="B3" s="528" t="s">
        <v>876</v>
      </c>
      <c r="C3" s="54" t="s">
        <v>846</v>
      </c>
      <c r="D3" s="54">
        <v>139.59100000000001</v>
      </c>
      <c r="E3" s="415" t="s">
        <v>884</v>
      </c>
      <c r="F3" s="99"/>
    </row>
    <row r="4" spans="1:10" ht="19.5" customHeight="1" x14ac:dyDescent="0.35">
      <c r="A4" s="53">
        <v>2</v>
      </c>
      <c r="B4" s="528" t="s">
        <v>875</v>
      </c>
      <c r="C4" s="54" t="s">
        <v>832</v>
      </c>
      <c r="D4" s="54">
        <v>379</v>
      </c>
      <c r="E4" s="412"/>
    </row>
    <row r="5" spans="1:10" ht="19.5" customHeight="1" x14ac:dyDescent="0.35">
      <c r="A5" s="53">
        <v>3</v>
      </c>
      <c r="B5" s="528" t="s">
        <v>847</v>
      </c>
      <c r="C5" s="54" t="s">
        <v>832</v>
      </c>
      <c r="D5" s="54">
        <v>295</v>
      </c>
      <c r="E5" s="55" t="s">
        <v>1271</v>
      </c>
      <c r="J5" s="99"/>
    </row>
    <row r="6" spans="1:10" ht="19.5" customHeight="1" x14ac:dyDescent="0.35">
      <c r="A6" s="53">
        <v>4</v>
      </c>
      <c r="B6" s="529" t="s">
        <v>848</v>
      </c>
      <c r="C6" s="54" t="s">
        <v>832</v>
      </c>
      <c r="D6" s="54">
        <f>'FDN-ERC Status'!R16</f>
        <v>5</v>
      </c>
      <c r="E6" s="387"/>
    </row>
    <row r="7" spans="1:10" ht="19.5" customHeight="1" x14ac:dyDescent="0.35">
      <c r="A7" s="53">
        <v>5</v>
      </c>
      <c r="B7" s="528" t="s">
        <v>849</v>
      </c>
      <c r="C7" s="54" t="s">
        <v>832</v>
      </c>
      <c r="D7" s="54">
        <v>13</v>
      </c>
      <c r="E7" s="387"/>
      <c r="J7" s="99"/>
    </row>
    <row r="8" spans="1:10" ht="19.5" customHeight="1" x14ac:dyDescent="0.35">
      <c r="A8" s="53">
        <v>6</v>
      </c>
      <c r="B8" s="528" t="s">
        <v>850</v>
      </c>
      <c r="C8" s="54" t="s">
        <v>832</v>
      </c>
      <c r="D8" s="54">
        <v>22</v>
      </c>
      <c r="E8" s="387"/>
      <c r="J8" s="99"/>
    </row>
    <row r="9" spans="1:10" ht="19.5" hidden="1" customHeight="1" x14ac:dyDescent="0.35">
      <c r="A9" s="918" t="s">
        <v>883</v>
      </c>
      <c r="B9" s="919"/>
      <c r="C9" s="919"/>
      <c r="D9" s="919"/>
      <c r="E9" s="920"/>
      <c r="J9" s="99"/>
    </row>
    <row r="10" spans="1:10" ht="19.5" hidden="1" customHeight="1" x14ac:dyDescent="0.35">
      <c r="A10" s="53" t="s">
        <v>851</v>
      </c>
      <c r="B10" s="386" t="s">
        <v>853</v>
      </c>
      <c r="C10" s="54" t="s">
        <v>832</v>
      </c>
      <c r="D10" s="54">
        <v>25</v>
      </c>
      <c r="E10" s="55" t="s">
        <v>886</v>
      </c>
    </row>
    <row r="11" spans="1:10" ht="42" hidden="1" x14ac:dyDescent="0.35">
      <c r="A11" s="53" t="s">
        <v>852</v>
      </c>
      <c r="B11" s="491" t="s">
        <v>855</v>
      </c>
      <c r="C11" s="54" t="s">
        <v>832</v>
      </c>
      <c r="D11" s="54">
        <v>13</v>
      </c>
      <c r="E11" s="490" t="s">
        <v>967</v>
      </c>
    </row>
    <row r="12" spans="1:10" ht="19.5" hidden="1" customHeight="1" x14ac:dyDescent="0.35">
      <c r="A12" s="53" t="s">
        <v>854</v>
      </c>
      <c r="B12" s="386" t="s">
        <v>881</v>
      </c>
      <c r="C12" s="54" t="s">
        <v>832</v>
      </c>
      <c r="D12" s="54">
        <v>6</v>
      </c>
      <c r="E12" s="55"/>
      <c r="J12" s="404"/>
    </row>
    <row r="13" spans="1:10" ht="19.5" hidden="1" customHeight="1" x14ac:dyDescent="0.35">
      <c r="A13" s="53" t="s">
        <v>856</v>
      </c>
      <c r="B13" s="386" t="s">
        <v>878</v>
      </c>
      <c r="C13" s="54" t="s">
        <v>832</v>
      </c>
      <c r="D13" s="54">
        <v>4</v>
      </c>
      <c r="E13" s="55"/>
    </row>
    <row r="14" spans="1:10" ht="19.5" hidden="1" customHeight="1" x14ac:dyDescent="0.35">
      <c r="A14" s="53" t="s">
        <v>857</v>
      </c>
      <c r="B14" s="386" t="s">
        <v>879</v>
      </c>
      <c r="C14" s="54" t="s">
        <v>832</v>
      </c>
      <c r="D14" s="54">
        <v>8</v>
      </c>
      <c r="E14" s="55"/>
      <c r="J14" s="404"/>
    </row>
    <row r="15" spans="1:10" ht="19.5" hidden="1" customHeight="1" x14ac:dyDescent="0.35">
      <c r="A15" s="53" t="s">
        <v>858</v>
      </c>
      <c r="B15" s="386" t="s">
        <v>880</v>
      </c>
      <c r="C15" s="54" t="s">
        <v>832</v>
      </c>
      <c r="D15" s="54">
        <v>0</v>
      </c>
      <c r="E15" s="387"/>
      <c r="F15" s="99"/>
    </row>
    <row r="16" spans="1:10" ht="19.5" hidden="1" customHeight="1" x14ac:dyDescent="0.35">
      <c r="A16" s="53" t="s">
        <v>859</v>
      </c>
      <c r="B16" s="386" t="s">
        <v>887</v>
      </c>
      <c r="C16" s="54" t="s">
        <v>832</v>
      </c>
      <c r="D16" s="54">
        <v>1</v>
      </c>
      <c r="E16" s="387"/>
    </row>
    <row r="17" spans="1:8" ht="42.5" hidden="1" thickBot="1" x14ac:dyDescent="0.4">
      <c r="A17" s="498" t="s">
        <v>888</v>
      </c>
      <c r="B17" s="600" t="s">
        <v>966</v>
      </c>
      <c r="C17" s="499" t="s">
        <v>832</v>
      </c>
      <c r="D17" s="499">
        <v>22</v>
      </c>
      <c r="E17" s="497" t="s">
        <v>968</v>
      </c>
    </row>
    <row r="18" spans="1:8" ht="19.5" hidden="1" customHeight="1" thickBot="1" x14ac:dyDescent="0.4">
      <c r="A18" s="389"/>
      <c r="B18" s="390" t="s">
        <v>860</v>
      </c>
      <c r="C18" s="390"/>
      <c r="D18" s="391">
        <f>SUM(D5:D17)</f>
        <v>414</v>
      </c>
      <c r="E18" s="392"/>
    </row>
    <row r="19" spans="1:8" x14ac:dyDescent="0.35">
      <c r="A19" s="405"/>
      <c r="B19" s="393" t="s">
        <v>808</v>
      </c>
      <c r="C19" s="394"/>
      <c r="D19" s="394"/>
      <c r="E19" s="406"/>
    </row>
    <row r="20" spans="1:8" ht="20" customHeight="1" x14ac:dyDescent="0.35">
      <c r="A20" s="395">
        <v>1</v>
      </c>
      <c r="B20" s="396" t="s">
        <v>872</v>
      </c>
      <c r="C20" s="388" t="s">
        <v>832</v>
      </c>
      <c r="D20" s="397">
        <v>295</v>
      </c>
      <c r="E20" s="387"/>
    </row>
    <row r="21" spans="1:8" ht="20" customHeight="1" x14ac:dyDescent="0.35">
      <c r="A21" s="395">
        <v>2</v>
      </c>
      <c r="B21" s="396" t="s">
        <v>873</v>
      </c>
      <c r="C21" s="388" t="s">
        <v>832</v>
      </c>
      <c r="D21" s="397">
        <v>152</v>
      </c>
      <c r="E21" s="387"/>
    </row>
    <row r="22" spans="1:8" ht="20" customHeight="1" x14ac:dyDescent="0.35">
      <c r="A22" s="395">
        <v>3</v>
      </c>
      <c r="B22" s="396" t="s">
        <v>861</v>
      </c>
      <c r="C22" s="388" t="s">
        <v>832</v>
      </c>
      <c r="D22" s="397">
        <v>10</v>
      </c>
      <c r="E22" s="651"/>
    </row>
    <row r="23" spans="1:8" ht="20" customHeight="1" x14ac:dyDescent="0.35">
      <c r="A23" s="395">
        <v>4</v>
      </c>
      <c r="B23" s="396" t="s">
        <v>862</v>
      </c>
      <c r="C23" s="388" t="s">
        <v>832</v>
      </c>
      <c r="D23" s="397">
        <f>D20-D21-D22</f>
        <v>133</v>
      </c>
      <c r="E23" s="387"/>
    </row>
    <row r="24" spans="1:8" ht="20" customHeight="1" thickBot="1" x14ac:dyDescent="0.4">
      <c r="A24" s="407">
        <v>5</v>
      </c>
      <c r="B24" s="408" t="s">
        <v>863</v>
      </c>
      <c r="C24" s="409" t="s">
        <v>874</v>
      </c>
      <c r="D24" s="410">
        <v>10</v>
      </c>
      <c r="E24" s="411"/>
    </row>
    <row r="27" spans="1:8" ht="20.5" hidden="1" customHeight="1" x14ac:dyDescent="0.35">
      <c r="B27" s="914" t="s">
        <v>864</v>
      </c>
      <c r="C27" s="915"/>
      <c r="D27" s="518">
        <v>32</v>
      </c>
      <c r="E27" s="650" t="s">
        <v>6</v>
      </c>
      <c r="F27" s="398"/>
      <c r="G27" s="398"/>
      <c r="H27" s="398"/>
    </row>
    <row r="28" spans="1:8" ht="29" hidden="1" customHeight="1" x14ac:dyDescent="0.35">
      <c r="B28" s="904" t="s">
        <v>865</v>
      </c>
      <c r="C28" s="905"/>
      <c r="D28" s="435">
        <v>32</v>
      </c>
      <c r="E28" s="496" t="s">
        <v>946</v>
      </c>
      <c r="F28" s="398"/>
      <c r="G28" s="398"/>
      <c r="H28" s="398"/>
    </row>
    <row r="29" spans="1:8" ht="28.5" hidden="1" x14ac:dyDescent="0.35">
      <c r="B29" s="904" t="s">
        <v>866</v>
      </c>
      <c r="C29" s="905"/>
      <c r="D29" s="435">
        <v>27</v>
      </c>
      <c r="E29" s="496" t="s">
        <v>1249</v>
      </c>
      <c r="F29" s="398"/>
      <c r="G29" s="398"/>
      <c r="H29" s="398"/>
    </row>
    <row r="30" spans="1:8" ht="23" hidden="1" customHeight="1" x14ac:dyDescent="0.35">
      <c r="B30" s="904" t="s">
        <v>867</v>
      </c>
      <c r="C30" s="905"/>
      <c r="D30" s="435">
        <f>D28-D29</f>
        <v>5</v>
      </c>
      <c r="E30" s="494"/>
      <c r="F30" s="492"/>
      <c r="G30" s="492"/>
      <c r="H30" s="492"/>
    </row>
    <row r="31" spans="1:8" ht="23" hidden="1" customHeight="1" x14ac:dyDescent="0.35">
      <c r="B31" s="904" t="s">
        <v>877</v>
      </c>
      <c r="C31" s="905"/>
      <c r="D31" s="435">
        <v>5</v>
      </c>
      <c r="E31" s="495"/>
      <c r="F31" s="399"/>
      <c r="G31" s="399"/>
      <c r="H31" s="399"/>
    </row>
    <row r="32" spans="1:8" ht="23" hidden="1" customHeight="1" x14ac:dyDescent="0.35">
      <c r="B32" s="904" t="s">
        <v>868</v>
      </c>
      <c r="C32" s="905"/>
      <c r="D32" s="435">
        <v>0</v>
      </c>
      <c r="E32" s="495"/>
      <c r="F32" s="399"/>
      <c r="G32" s="399"/>
      <c r="H32" s="399"/>
    </row>
    <row r="33" spans="1:9" ht="23" hidden="1" customHeight="1" x14ac:dyDescent="0.35">
      <c r="B33" s="904" t="s">
        <v>882</v>
      </c>
      <c r="C33" s="905"/>
      <c r="D33" s="435">
        <v>0</v>
      </c>
      <c r="E33" s="495"/>
      <c r="F33" s="399"/>
      <c r="G33" s="399"/>
      <c r="H33" s="399"/>
    </row>
    <row r="34" spans="1:9" ht="23" hidden="1" customHeight="1" thickBot="1" x14ac:dyDescent="0.4">
      <c r="B34" s="906" t="s">
        <v>869</v>
      </c>
      <c r="C34" s="907"/>
      <c r="D34" s="416">
        <v>0</v>
      </c>
      <c r="E34" s="493"/>
      <c r="F34" s="398"/>
      <c r="G34" s="398"/>
      <c r="H34" s="398"/>
    </row>
    <row r="35" spans="1:9" ht="15" hidden="1" thickBot="1" x14ac:dyDescent="0.4"/>
    <row r="36" spans="1:9" ht="15" hidden="1" x14ac:dyDescent="0.35">
      <c r="A36" s="908" t="s">
        <v>870</v>
      </c>
      <c r="B36" s="909"/>
      <c r="C36" s="909"/>
      <c r="D36" s="909"/>
      <c r="E36" s="909"/>
      <c r="F36" s="909"/>
      <c r="G36" s="909"/>
      <c r="H36" s="909"/>
      <c r="I36" s="910"/>
    </row>
    <row r="37" spans="1:9" ht="28" hidden="1" x14ac:dyDescent="0.35">
      <c r="A37" s="417" t="s">
        <v>290</v>
      </c>
      <c r="B37" s="929" t="s">
        <v>291</v>
      </c>
      <c r="C37" s="929"/>
      <c r="D37" s="929"/>
      <c r="E37" s="418" t="s">
        <v>292</v>
      </c>
      <c r="F37" s="419" t="s">
        <v>293</v>
      </c>
      <c r="G37" s="419" t="s">
        <v>294</v>
      </c>
      <c r="H37" s="929" t="s">
        <v>295</v>
      </c>
      <c r="I37" s="930"/>
    </row>
    <row r="38" spans="1:9" hidden="1" x14ac:dyDescent="0.35">
      <c r="A38" s="400">
        <v>1</v>
      </c>
      <c r="B38" s="924" t="s">
        <v>909</v>
      </c>
      <c r="C38" s="925"/>
      <c r="D38" s="926"/>
      <c r="E38" s="401">
        <v>12</v>
      </c>
      <c r="F38" s="414">
        <v>12</v>
      </c>
      <c r="G38" s="402">
        <v>12</v>
      </c>
      <c r="H38" s="927">
        <f>E38-G38</f>
        <v>0</v>
      </c>
      <c r="I38" s="928"/>
    </row>
    <row r="39" spans="1:9" hidden="1" x14ac:dyDescent="0.35">
      <c r="A39" s="400">
        <v>2</v>
      </c>
      <c r="B39" s="924" t="s">
        <v>908</v>
      </c>
      <c r="C39" s="925"/>
      <c r="D39" s="926"/>
      <c r="E39" s="401">
        <v>10</v>
      </c>
      <c r="F39" s="401">
        <v>10</v>
      </c>
      <c r="G39" s="402">
        <v>0</v>
      </c>
      <c r="H39" s="927">
        <f t="shared" ref="H39:H42" si="0">E39-G39</f>
        <v>10</v>
      </c>
      <c r="I39" s="928"/>
    </row>
    <row r="40" spans="1:9" hidden="1" x14ac:dyDescent="0.35">
      <c r="A40" s="400">
        <v>3</v>
      </c>
      <c r="B40" s="924" t="s">
        <v>907</v>
      </c>
      <c r="C40" s="925"/>
      <c r="D40" s="926"/>
      <c r="E40" s="401">
        <v>2</v>
      </c>
      <c r="F40" s="401">
        <v>2</v>
      </c>
      <c r="G40" s="402">
        <v>0</v>
      </c>
      <c r="H40" s="927">
        <f t="shared" si="0"/>
        <v>2</v>
      </c>
      <c r="I40" s="928"/>
    </row>
    <row r="41" spans="1:9" hidden="1" x14ac:dyDescent="0.35">
      <c r="A41" s="400">
        <v>4</v>
      </c>
      <c r="B41" s="924" t="s">
        <v>298</v>
      </c>
      <c r="C41" s="925"/>
      <c r="D41" s="926"/>
      <c r="E41" s="401">
        <v>1</v>
      </c>
      <c r="F41" s="401">
        <v>1</v>
      </c>
      <c r="G41" s="402">
        <v>1</v>
      </c>
      <c r="H41" s="927">
        <f t="shared" si="0"/>
        <v>0</v>
      </c>
      <c r="I41" s="928"/>
    </row>
    <row r="42" spans="1:9" hidden="1" x14ac:dyDescent="0.35">
      <c r="A42" s="400">
        <v>5</v>
      </c>
      <c r="B42" s="924" t="s">
        <v>285</v>
      </c>
      <c r="C42" s="925"/>
      <c r="D42" s="926"/>
      <c r="E42" s="401">
        <v>1</v>
      </c>
      <c r="F42" s="401">
        <v>1</v>
      </c>
      <c r="G42" s="402">
        <v>0</v>
      </c>
      <c r="H42" s="927">
        <f t="shared" si="0"/>
        <v>1</v>
      </c>
      <c r="I42" s="928"/>
    </row>
    <row r="43" spans="1:9" ht="15" hidden="1" thickBot="1" x14ac:dyDescent="0.4">
      <c r="A43" s="921" t="s">
        <v>11</v>
      </c>
      <c r="B43" s="922"/>
      <c r="C43" s="922"/>
      <c r="D43" s="923"/>
      <c r="E43" s="403">
        <f>SUM(E38:E42)</f>
        <v>26</v>
      </c>
      <c r="F43" s="403">
        <f>SUM(F38:F42)</f>
        <v>26</v>
      </c>
      <c r="G43" s="403">
        <f>SUM(G38:G42)</f>
        <v>13</v>
      </c>
      <c r="H43" s="916">
        <f>SUM(H38:I42)</f>
        <v>13</v>
      </c>
      <c r="I43" s="917"/>
    </row>
    <row r="44" spans="1:9" hidden="1" x14ac:dyDescent="0.35"/>
    <row r="45" spans="1:9" hidden="1" x14ac:dyDescent="0.35">
      <c r="B45" s="413" t="s">
        <v>885</v>
      </c>
      <c r="C45" s="413"/>
      <c r="D45" s="413"/>
      <c r="E45" s="413"/>
      <c r="F45" s="413"/>
    </row>
    <row r="46" spans="1:9" hidden="1" x14ac:dyDescent="0.35">
      <c r="B46" s="413" t="s">
        <v>897</v>
      </c>
      <c r="C46" s="413"/>
      <c r="D46" s="413"/>
      <c r="E46" s="413"/>
      <c r="F46" s="413"/>
    </row>
    <row r="47" spans="1:9" hidden="1" x14ac:dyDescent="0.35"/>
  </sheetData>
  <mergeCells count="25">
    <mergeCell ref="H43:I43"/>
    <mergeCell ref="A9:E9"/>
    <mergeCell ref="A43:D43"/>
    <mergeCell ref="B40:D40"/>
    <mergeCell ref="H40:I40"/>
    <mergeCell ref="B41:D41"/>
    <mergeCell ref="H41:I41"/>
    <mergeCell ref="B42:D42"/>
    <mergeCell ref="H42:I42"/>
    <mergeCell ref="B37:D37"/>
    <mergeCell ref="H37:I37"/>
    <mergeCell ref="B38:D38"/>
    <mergeCell ref="H38:I38"/>
    <mergeCell ref="B39:D39"/>
    <mergeCell ref="H39:I39"/>
    <mergeCell ref="B31:C31"/>
    <mergeCell ref="B32:C32"/>
    <mergeCell ref="B33:C33"/>
    <mergeCell ref="B34:C34"/>
    <mergeCell ref="A36:I36"/>
    <mergeCell ref="A1:E1"/>
    <mergeCell ref="B27:C27"/>
    <mergeCell ref="B28:C28"/>
    <mergeCell ref="B29:C29"/>
    <mergeCell ref="B30:C30"/>
  </mergeCells>
  <conditionalFormatting sqref="B6 B18">
    <cfRule type="containsText" dxfId="2123" priority="2" stopIfTrue="1" operator="containsText" text="wip">
      <formula>NOT(ISERROR(SEARCH("wip",B6)))</formula>
    </cfRule>
  </conditionalFormatting>
  <conditionalFormatting sqref="B6">
    <cfRule type="containsText" dxfId="2122" priority="1" operator="containsText" text="Cannot be Done">
      <formula>NOT(ISERROR(SEARCH("Cannot be Done",B6)))</formula>
    </cfRule>
  </conditionalFormatting>
  <pageMargins left="0.7" right="0.7" top="0.75" bottom="0.75" header="0.3" footer="0.3"/>
  <pageSetup paperSize="9" scale="6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3B33D-A82B-44E4-B5B4-593350D904E3}">
  <dimension ref="B2:R20"/>
  <sheetViews>
    <sheetView topLeftCell="B6" zoomScale="90" zoomScaleNormal="90" workbookViewId="0">
      <selection activeCell="P10" sqref="P10"/>
    </sheetView>
  </sheetViews>
  <sheetFormatPr defaultRowHeight="14.5" x14ac:dyDescent="0.35"/>
  <cols>
    <col min="3" max="3" width="13.08984375" customWidth="1"/>
    <col min="4" max="4" width="11.08984375" customWidth="1"/>
    <col min="5" max="5" width="10.81640625" customWidth="1"/>
    <col min="6" max="6" width="11.36328125" customWidth="1"/>
    <col min="7" max="7" width="20.54296875" bestFit="1" customWidth="1"/>
    <col min="8" max="8" width="10.453125" customWidth="1"/>
    <col min="9" max="9" width="10.36328125" customWidth="1"/>
    <col min="10" max="10" width="10.81640625" bestFit="1" customWidth="1"/>
    <col min="11" max="11" width="15.81640625" customWidth="1"/>
    <col min="12" max="12" width="9.453125" customWidth="1"/>
    <col min="13" max="13" width="10.36328125" customWidth="1"/>
    <col min="14" max="16" width="9.81640625" customWidth="1"/>
    <col min="17" max="17" width="9" customWidth="1"/>
  </cols>
  <sheetData>
    <row r="2" spans="2:18" x14ac:dyDescent="0.35">
      <c r="Q2" s="278" t="s">
        <v>1327</v>
      </c>
      <c r="R2" s="278"/>
    </row>
    <row r="3" spans="2:18" ht="15" thickBot="1" x14ac:dyDescent="0.4"/>
    <row r="4" spans="2:18" ht="15.5" customHeight="1" thickBot="1" x14ac:dyDescent="0.4">
      <c r="B4" s="896" t="s">
        <v>821</v>
      </c>
      <c r="C4" s="897" t="s">
        <v>1044</v>
      </c>
      <c r="D4" s="897"/>
      <c r="E4" s="897"/>
      <c r="F4" s="897"/>
      <c r="G4" s="898"/>
      <c r="H4" s="607"/>
    </row>
    <row r="5" spans="2:18" ht="15" thickBot="1" x14ac:dyDescent="0.4"/>
    <row r="6" spans="2:18" ht="15" thickBot="1" x14ac:dyDescent="0.4">
      <c r="C6" s="615" t="s">
        <v>1045</v>
      </c>
    </row>
    <row r="7" spans="2:18" ht="15" thickBot="1" x14ac:dyDescent="0.4">
      <c r="C7" s="616" t="s">
        <v>1046</v>
      </c>
    </row>
    <row r="8" spans="2:18" ht="23.5" customHeight="1" x14ac:dyDescent="0.35">
      <c r="C8" s="938" t="s">
        <v>1047</v>
      </c>
      <c r="D8" s="940" t="s">
        <v>400</v>
      </c>
      <c r="E8" s="940" t="s">
        <v>295</v>
      </c>
      <c r="F8" s="940" t="s">
        <v>418</v>
      </c>
      <c r="G8" s="942" t="s">
        <v>1299</v>
      </c>
      <c r="H8" s="933" t="s">
        <v>1053</v>
      </c>
      <c r="I8" s="934"/>
      <c r="J8" s="934"/>
      <c r="K8" s="934"/>
      <c r="L8" s="934"/>
      <c r="M8" s="934"/>
      <c r="N8" s="934"/>
      <c r="O8" s="934"/>
      <c r="P8" s="934"/>
      <c r="Q8" s="935"/>
      <c r="R8" s="936" t="s">
        <v>1048</v>
      </c>
    </row>
    <row r="9" spans="2:18" ht="73" thickBot="1" x14ac:dyDescent="0.4">
      <c r="C9" s="939"/>
      <c r="D9" s="941"/>
      <c r="E9" s="941"/>
      <c r="F9" s="941"/>
      <c r="G9" s="943"/>
      <c r="H9" s="821" t="s">
        <v>1049</v>
      </c>
      <c r="I9" s="821" t="s">
        <v>1034</v>
      </c>
      <c r="J9" s="821" t="s">
        <v>1038</v>
      </c>
      <c r="K9" s="821" t="s">
        <v>1050</v>
      </c>
      <c r="L9" s="821" t="s">
        <v>485</v>
      </c>
      <c r="M9" s="821" t="s">
        <v>1051</v>
      </c>
      <c r="N9" s="821" t="s">
        <v>1030</v>
      </c>
      <c r="O9" s="821" t="s">
        <v>1054</v>
      </c>
      <c r="P9" s="821" t="s">
        <v>1105</v>
      </c>
      <c r="Q9" s="821" t="s">
        <v>1037</v>
      </c>
      <c r="R9" s="937"/>
    </row>
    <row r="10" spans="2:18" ht="33.5" customHeight="1" thickBot="1" x14ac:dyDescent="0.4">
      <c r="C10" s="818">
        <v>156</v>
      </c>
      <c r="D10" s="819">
        <v>120</v>
      </c>
      <c r="E10" s="819">
        <f>C10-D10</f>
        <v>36</v>
      </c>
      <c r="F10" s="819">
        <v>7</v>
      </c>
      <c r="G10" s="819">
        <f>E10-F10</f>
        <v>29</v>
      </c>
      <c r="H10" s="819">
        <v>16</v>
      </c>
      <c r="I10" s="819">
        <v>6</v>
      </c>
      <c r="J10" s="819">
        <v>0</v>
      </c>
      <c r="K10" s="819">
        <v>0</v>
      </c>
      <c r="L10" s="819">
        <v>4</v>
      </c>
      <c r="M10" s="819">
        <v>0</v>
      </c>
      <c r="N10" s="819">
        <v>0</v>
      </c>
      <c r="O10" s="819"/>
      <c r="P10" s="819"/>
      <c r="Q10" s="819">
        <v>1</v>
      </c>
      <c r="R10" s="820">
        <f>G10-H10-M10-I10-J10-K10-L10-Q10-P10-N10-O10</f>
        <v>2</v>
      </c>
    </row>
    <row r="11" spans="2:18" ht="15" thickBot="1" x14ac:dyDescent="0.4">
      <c r="C11" s="618" t="s">
        <v>1052</v>
      </c>
    </row>
    <row r="12" spans="2:18" ht="15" thickBot="1" x14ac:dyDescent="0.4">
      <c r="C12" s="617" t="s">
        <v>1046</v>
      </c>
    </row>
    <row r="13" spans="2:18" ht="24" customHeight="1" x14ac:dyDescent="0.35">
      <c r="C13" s="938" t="s">
        <v>1047</v>
      </c>
      <c r="D13" s="940" t="s">
        <v>400</v>
      </c>
      <c r="E13" s="940" t="s">
        <v>295</v>
      </c>
      <c r="F13" s="940" t="s">
        <v>418</v>
      </c>
      <c r="G13" s="942" t="s">
        <v>1299</v>
      </c>
      <c r="H13" s="933" t="s">
        <v>1053</v>
      </c>
      <c r="I13" s="934"/>
      <c r="J13" s="934"/>
      <c r="K13" s="934"/>
      <c r="L13" s="934"/>
      <c r="M13" s="934"/>
      <c r="N13" s="934"/>
      <c r="O13" s="934"/>
      <c r="P13" s="934"/>
      <c r="Q13" s="935"/>
      <c r="R13" s="936" t="s">
        <v>1048</v>
      </c>
    </row>
    <row r="14" spans="2:18" ht="73" thickBot="1" x14ac:dyDescent="0.4">
      <c r="C14" s="939"/>
      <c r="D14" s="941"/>
      <c r="E14" s="941"/>
      <c r="F14" s="941"/>
      <c r="G14" s="943"/>
      <c r="H14" s="821" t="s">
        <v>1049</v>
      </c>
      <c r="I14" s="821" t="s">
        <v>1034</v>
      </c>
      <c r="J14" s="821" t="s">
        <v>1038</v>
      </c>
      <c r="K14" s="821" t="s">
        <v>1050</v>
      </c>
      <c r="L14" s="821" t="s">
        <v>485</v>
      </c>
      <c r="M14" s="821" t="s">
        <v>1051</v>
      </c>
      <c r="N14" s="821" t="s">
        <v>1030</v>
      </c>
      <c r="O14" s="821" t="s">
        <v>1054</v>
      </c>
      <c r="P14" s="821" t="s">
        <v>1105</v>
      </c>
      <c r="Q14" s="821" t="s">
        <v>1037</v>
      </c>
      <c r="R14" s="937"/>
    </row>
    <row r="15" spans="2:18" ht="45.5" customHeight="1" thickBot="1" x14ac:dyDescent="0.4">
      <c r="C15" s="815">
        <v>223</v>
      </c>
      <c r="D15" s="712">
        <v>175</v>
      </c>
      <c r="E15" s="712">
        <f>C15-D15</f>
        <v>48</v>
      </c>
      <c r="F15" s="712">
        <v>3</v>
      </c>
      <c r="G15" s="712">
        <f>E15-F15</f>
        <v>45</v>
      </c>
      <c r="H15" s="712">
        <v>6</v>
      </c>
      <c r="I15" s="712">
        <v>24</v>
      </c>
      <c r="J15" s="712">
        <v>0</v>
      </c>
      <c r="K15" s="712">
        <v>0</v>
      </c>
      <c r="L15" s="712">
        <v>6</v>
      </c>
      <c r="M15" s="712">
        <v>0</v>
      </c>
      <c r="N15" s="712">
        <v>0</v>
      </c>
      <c r="O15" s="712">
        <v>2</v>
      </c>
      <c r="P15" s="712">
        <v>1</v>
      </c>
      <c r="Q15" s="712">
        <v>3</v>
      </c>
      <c r="R15" s="813">
        <f>G15-H15-I15-K15-L15-M15-J15-N15-Q15-O15-P15</f>
        <v>3</v>
      </c>
    </row>
    <row r="16" spans="2:18" ht="15" thickBot="1" x14ac:dyDescent="0.4">
      <c r="C16" s="864">
        <f t="shared" ref="C16:R16" si="0">C15+C10</f>
        <v>379</v>
      </c>
      <c r="D16" s="865">
        <f t="shared" si="0"/>
        <v>295</v>
      </c>
      <c r="E16" s="865">
        <f t="shared" si="0"/>
        <v>84</v>
      </c>
      <c r="F16" s="865">
        <f t="shared" si="0"/>
        <v>10</v>
      </c>
      <c r="G16" s="865">
        <f t="shared" si="0"/>
        <v>74</v>
      </c>
      <c r="H16" s="865">
        <f t="shared" si="0"/>
        <v>22</v>
      </c>
      <c r="I16" s="865">
        <f t="shared" si="0"/>
        <v>30</v>
      </c>
      <c r="J16" s="865">
        <f t="shared" si="0"/>
        <v>0</v>
      </c>
      <c r="K16" s="865">
        <f t="shared" si="0"/>
        <v>0</v>
      </c>
      <c r="L16" s="865">
        <f t="shared" si="0"/>
        <v>10</v>
      </c>
      <c r="M16" s="865">
        <f t="shared" si="0"/>
        <v>0</v>
      </c>
      <c r="N16" s="865">
        <f t="shared" si="0"/>
        <v>0</v>
      </c>
      <c r="O16" s="865">
        <f t="shared" si="0"/>
        <v>2</v>
      </c>
      <c r="P16" s="865">
        <f>P15+P10</f>
        <v>1</v>
      </c>
      <c r="Q16" s="865">
        <f t="shared" si="0"/>
        <v>4</v>
      </c>
      <c r="R16" s="866">
        <f t="shared" si="0"/>
        <v>5</v>
      </c>
    </row>
    <row r="17" spans="3:12" ht="15" thickBot="1" x14ac:dyDescent="0.4">
      <c r="C17" s="895" t="s">
        <v>808</v>
      </c>
    </row>
    <row r="18" spans="3:12" x14ac:dyDescent="0.35">
      <c r="C18" s="947" t="s">
        <v>1047</v>
      </c>
      <c r="D18" s="949" t="s">
        <v>1303</v>
      </c>
      <c r="E18" s="949" t="s">
        <v>1302</v>
      </c>
      <c r="F18" s="949" t="s">
        <v>1304</v>
      </c>
      <c r="G18" s="951" t="s">
        <v>418</v>
      </c>
      <c r="H18" s="944" t="s">
        <v>1306</v>
      </c>
      <c r="I18" s="946" t="s">
        <v>1053</v>
      </c>
      <c r="J18" s="946"/>
      <c r="K18" s="946"/>
      <c r="L18" s="931" t="s">
        <v>1325</v>
      </c>
    </row>
    <row r="19" spans="3:12" ht="62.5" customHeight="1" x14ac:dyDescent="0.35">
      <c r="C19" s="948"/>
      <c r="D19" s="950"/>
      <c r="E19" s="950"/>
      <c r="F19" s="950"/>
      <c r="G19" s="952"/>
      <c r="H19" s="945"/>
      <c r="I19" s="427" t="s">
        <v>1300</v>
      </c>
      <c r="J19" s="884" t="s">
        <v>1305</v>
      </c>
      <c r="K19" s="884" t="s">
        <v>1301</v>
      </c>
      <c r="L19" s="932"/>
    </row>
    <row r="20" spans="3:12" ht="15" thickBot="1" x14ac:dyDescent="0.4">
      <c r="C20" s="859">
        <v>379</v>
      </c>
      <c r="D20" s="860">
        <v>293</v>
      </c>
      <c r="E20" s="860">
        <v>151</v>
      </c>
      <c r="F20" s="860">
        <f>D20-E20</f>
        <v>142</v>
      </c>
      <c r="G20" s="885">
        <v>10</v>
      </c>
      <c r="H20" s="860">
        <f>330-E20-G20</f>
        <v>169</v>
      </c>
      <c r="I20" s="860">
        <v>7</v>
      </c>
      <c r="J20" s="860">
        <v>6</v>
      </c>
      <c r="K20" s="860">
        <v>5</v>
      </c>
      <c r="L20" s="894">
        <f>F20-(G20+I20+J20+K20)</f>
        <v>114</v>
      </c>
    </row>
  </sheetData>
  <mergeCells count="22">
    <mergeCell ref="I18:K18"/>
    <mergeCell ref="C18:C19"/>
    <mergeCell ref="D18:D19"/>
    <mergeCell ref="E18:E19"/>
    <mergeCell ref="F18:F19"/>
    <mergeCell ref="G18:G19"/>
    <mergeCell ref="L18:L19"/>
    <mergeCell ref="H8:Q8"/>
    <mergeCell ref="R8:R9"/>
    <mergeCell ref="C13:C14"/>
    <mergeCell ref="D13:D14"/>
    <mergeCell ref="E13:E14"/>
    <mergeCell ref="F13:F14"/>
    <mergeCell ref="G13:G14"/>
    <mergeCell ref="H13:Q13"/>
    <mergeCell ref="R13:R14"/>
    <mergeCell ref="C8:C9"/>
    <mergeCell ref="D8:D9"/>
    <mergeCell ref="E8:E9"/>
    <mergeCell ref="F8:F9"/>
    <mergeCell ref="G8:G9"/>
    <mergeCell ref="H18:H19"/>
  </mergeCells>
  <pageMargins left="0.70866141732283472" right="0.70866141732283472" top="0.74803149606299213" bottom="0.74803149606299213" header="0.31496062992125984" footer="0.31496062992125984"/>
  <pageSetup scale="6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9672-4941-4E33-BB29-3BC016F2F26F}">
  <dimension ref="A1:F103"/>
  <sheetViews>
    <sheetView workbookViewId="0">
      <selection activeCell="H110" sqref="H110"/>
    </sheetView>
  </sheetViews>
  <sheetFormatPr defaultRowHeight="14.5" x14ac:dyDescent="0.35"/>
  <cols>
    <col min="1" max="1" width="7.1796875" customWidth="1"/>
    <col min="2" max="2" width="17.81640625" customWidth="1"/>
    <col min="3" max="3" width="20.54296875" customWidth="1"/>
    <col min="4" max="4" width="0" hidden="1" customWidth="1"/>
    <col min="5" max="5" width="9.6328125" hidden="1" customWidth="1"/>
    <col min="6" max="6" width="40.7265625" customWidth="1"/>
  </cols>
  <sheetData>
    <row r="1" spans="1:6" ht="15" thickBot="1" x14ac:dyDescent="0.4"/>
    <row r="2" spans="1:6" ht="15.5" x14ac:dyDescent="0.35">
      <c r="A2" s="955" t="s">
        <v>1024</v>
      </c>
      <c r="B2" s="956"/>
    </row>
    <row r="3" spans="1:6" x14ac:dyDescent="0.35">
      <c r="A3" s="953" t="s">
        <v>1025</v>
      </c>
      <c r="B3" s="953" t="s">
        <v>1026</v>
      </c>
      <c r="C3" s="953" t="s">
        <v>181</v>
      </c>
      <c r="D3" s="953" t="s">
        <v>1027</v>
      </c>
      <c r="E3" s="953" t="s">
        <v>1028</v>
      </c>
      <c r="F3" s="953" t="s">
        <v>1029</v>
      </c>
    </row>
    <row r="4" spans="1:6" x14ac:dyDescent="0.35">
      <c r="A4" s="953"/>
      <c r="B4" s="953"/>
      <c r="C4" s="953"/>
      <c r="D4" s="953"/>
      <c r="E4" s="953"/>
      <c r="F4" s="954"/>
    </row>
    <row r="5" spans="1:6" x14ac:dyDescent="0.35">
      <c r="A5" s="665">
        <v>1</v>
      </c>
      <c r="B5" s="590" t="s">
        <v>388</v>
      </c>
      <c r="C5" s="591" t="s">
        <v>129</v>
      </c>
      <c r="D5" s="591"/>
      <c r="E5" s="591"/>
      <c r="F5" s="591" t="s">
        <v>1030</v>
      </c>
    </row>
    <row r="6" spans="1:6" x14ac:dyDescent="0.35">
      <c r="A6" s="665">
        <f>A5+1</f>
        <v>2</v>
      </c>
      <c r="B6" s="590" t="s">
        <v>125</v>
      </c>
      <c r="C6" s="591" t="s">
        <v>142</v>
      </c>
      <c r="D6" s="591"/>
      <c r="E6" s="591"/>
      <c r="F6" s="591" t="s">
        <v>1031</v>
      </c>
    </row>
    <row r="7" spans="1:6" x14ac:dyDescent="0.35">
      <c r="A7" s="665">
        <f t="shared" ref="A7:A70" si="0">A6+1</f>
        <v>3</v>
      </c>
      <c r="B7" s="590" t="s">
        <v>414</v>
      </c>
      <c r="C7" s="591" t="s">
        <v>126</v>
      </c>
      <c r="D7" s="591" t="s">
        <v>1032</v>
      </c>
      <c r="E7" s="591"/>
      <c r="F7" s="648" t="s">
        <v>454</v>
      </c>
    </row>
    <row r="8" spans="1:6" x14ac:dyDescent="0.35">
      <c r="A8" s="665">
        <f t="shared" si="0"/>
        <v>4</v>
      </c>
      <c r="B8" s="590" t="s">
        <v>133</v>
      </c>
      <c r="C8" s="591" t="s">
        <v>134</v>
      </c>
      <c r="D8" s="591"/>
      <c r="E8" s="591"/>
      <c r="F8" s="591" t="s">
        <v>654</v>
      </c>
    </row>
    <row r="9" spans="1:6" x14ac:dyDescent="0.35">
      <c r="A9" s="665">
        <f t="shared" si="0"/>
        <v>5</v>
      </c>
      <c r="B9" s="590" t="s">
        <v>471</v>
      </c>
      <c r="C9" s="591" t="s">
        <v>126</v>
      </c>
      <c r="D9" s="591"/>
      <c r="E9" s="591"/>
      <c r="F9" s="591" t="s">
        <v>1033</v>
      </c>
    </row>
    <row r="10" spans="1:6" x14ac:dyDescent="0.35">
      <c r="A10" s="665">
        <f t="shared" si="0"/>
        <v>6</v>
      </c>
      <c r="B10" s="590" t="s">
        <v>481</v>
      </c>
      <c r="C10" s="591" t="s">
        <v>323</v>
      </c>
      <c r="D10" s="591" t="s">
        <v>1032</v>
      </c>
      <c r="E10" s="591"/>
      <c r="F10" s="648" t="s">
        <v>454</v>
      </c>
    </row>
    <row r="11" spans="1:6" x14ac:dyDescent="0.35">
      <c r="A11" s="665">
        <f t="shared" si="0"/>
        <v>7</v>
      </c>
      <c r="B11" s="590" t="s">
        <v>491</v>
      </c>
      <c r="C11" s="591" t="s">
        <v>318</v>
      </c>
      <c r="D11" s="591"/>
      <c r="E11" s="591"/>
      <c r="F11" s="667" t="s">
        <v>1106</v>
      </c>
    </row>
    <row r="12" spans="1:6" x14ac:dyDescent="0.35">
      <c r="A12" s="665">
        <f t="shared" si="0"/>
        <v>8</v>
      </c>
      <c r="B12" s="590" t="s">
        <v>492</v>
      </c>
      <c r="C12" s="591" t="s">
        <v>178</v>
      </c>
      <c r="D12" s="591"/>
      <c r="E12" s="591"/>
      <c r="F12" s="667" t="s">
        <v>1106</v>
      </c>
    </row>
    <row r="13" spans="1:6" x14ac:dyDescent="0.35">
      <c r="A13" s="665">
        <f t="shared" si="0"/>
        <v>9</v>
      </c>
      <c r="B13" s="590" t="s">
        <v>493</v>
      </c>
      <c r="C13" s="591" t="s">
        <v>142</v>
      </c>
      <c r="D13" s="591"/>
      <c r="E13" s="591"/>
      <c r="F13" s="461" t="s">
        <v>1107</v>
      </c>
    </row>
    <row r="14" spans="1:6" x14ac:dyDescent="0.35">
      <c r="A14" s="665">
        <f t="shared" si="0"/>
        <v>10</v>
      </c>
      <c r="B14" s="590" t="s">
        <v>494</v>
      </c>
      <c r="C14" s="591" t="s">
        <v>142</v>
      </c>
      <c r="D14" s="591"/>
      <c r="E14" s="591"/>
      <c r="F14" s="461" t="s">
        <v>1107</v>
      </c>
    </row>
    <row r="15" spans="1:6" x14ac:dyDescent="0.35">
      <c r="A15" s="665">
        <f t="shared" si="0"/>
        <v>11</v>
      </c>
      <c r="B15" s="590" t="s">
        <v>495</v>
      </c>
      <c r="C15" s="591" t="s">
        <v>161</v>
      </c>
      <c r="D15" s="591"/>
      <c r="E15" s="591"/>
      <c r="F15" s="461" t="s">
        <v>1107</v>
      </c>
    </row>
    <row r="16" spans="1:6" x14ac:dyDescent="0.35">
      <c r="A16" s="665">
        <f t="shared" si="0"/>
        <v>12</v>
      </c>
      <c r="B16" s="590" t="s">
        <v>496</v>
      </c>
      <c r="C16" s="591" t="s">
        <v>129</v>
      </c>
      <c r="D16" s="591"/>
      <c r="E16" s="591"/>
      <c r="F16" s="461" t="s">
        <v>1107</v>
      </c>
    </row>
    <row r="17" spans="1:6" x14ac:dyDescent="0.35">
      <c r="A17" s="665">
        <f t="shared" si="0"/>
        <v>13</v>
      </c>
      <c r="B17" s="590" t="s">
        <v>497</v>
      </c>
      <c r="C17" s="591" t="s">
        <v>308</v>
      </c>
      <c r="D17" s="591"/>
      <c r="E17" s="591"/>
      <c r="F17" s="461" t="s">
        <v>1107</v>
      </c>
    </row>
    <row r="18" spans="1:6" x14ac:dyDescent="0.35">
      <c r="A18" s="665">
        <f t="shared" si="0"/>
        <v>14</v>
      </c>
      <c r="B18" s="590" t="s">
        <v>498</v>
      </c>
      <c r="C18" s="591" t="s">
        <v>142</v>
      </c>
      <c r="D18" s="591"/>
      <c r="E18" s="591"/>
      <c r="F18" s="461" t="s">
        <v>1107</v>
      </c>
    </row>
    <row r="19" spans="1:6" x14ac:dyDescent="0.35">
      <c r="A19" s="665">
        <f t="shared" si="0"/>
        <v>15</v>
      </c>
      <c r="B19" s="590" t="s">
        <v>138</v>
      </c>
      <c r="C19" s="591" t="s">
        <v>139</v>
      </c>
      <c r="D19" s="591"/>
      <c r="E19" s="591"/>
      <c r="F19" s="461" t="s">
        <v>654</v>
      </c>
    </row>
    <row r="20" spans="1:6" x14ac:dyDescent="0.35">
      <c r="A20" s="665">
        <f t="shared" si="0"/>
        <v>16</v>
      </c>
      <c r="B20" s="590" t="s">
        <v>143</v>
      </c>
      <c r="C20" s="591" t="s">
        <v>144</v>
      </c>
      <c r="D20" s="591"/>
      <c r="E20" s="591"/>
      <c r="F20" s="666" t="s">
        <v>1040</v>
      </c>
    </row>
    <row r="21" spans="1:6" x14ac:dyDescent="0.35">
      <c r="A21" s="665">
        <f t="shared" si="0"/>
        <v>17</v>
      </c>
      <c r="B21" s="590" t="s">
        <v>145</v>
      </c>
      <c r="C21" s="591" t="s">
        <v>146</v>
      </c>
      <c r="D21" s="591"/>
      <c r="E21" s="591"/>
      <c r="F21" s="666" t="s">
        <v>1040</v>
      </c>
    </row>
    <row r="22" spans="1:6" x14ac:dyDescent="0.35">
      <c r="A22" s="665">
        <f t="shared" si="0"/>
        <v>18</v>
      </c>
      <c r="B22" s="590" t="s">
        <v>509</v>
      </c>
      <c r="C22" s="591" t="s">
        <v>129</v>
      </c>
      <c r="D22" s="591" t="s">
        <v>1032</v>
      </c>
      <c r="E22" s="591"/>
      <c r="F22" s="591" t="s">
        <v>1033</v>
      </c>
    </row>
    <row r="23" spans="1:6" x14ac:dyDescent="0.35">
      <c r="A23" s="665">
        <f t="shared" si="0"/>
        <v>19</v>
      </c>
      <c r="B23" s="590" t="s">
        <v>148</v>
      </c>
      <c r="C23" s="591" t="s">
        <v>149</v>
      </c>
      <c r="D23" s="591"/>
      <c r="E23" s="591"/>
      <c r="F23" s="666" t="s">
        <v>1040</v>
      </c>
    </row>
    <row r="24" spans="1:6" x14ac:dyDescent="0.35">
      <c r="A24" s="665">
        <f t="shared" si="0"/>
        <v>20</v>
      </c>
      <c r="B24" s="590" t="s">
        <v>150</v>
      </c>
      <c r="C24" s="591" t="s">
        <v>151</v>
      </c>
      <c r="D24" s="591"/>
      <c r="E24" s="591"/>
      <c r="F24" s="666" t="s">
        <v>1040</v>
      </c>
    </row>
    <row r="25" spans="1:6" x14ac:dyDescent="0.35">
      <c r="A25" s="665">
        <f t="shared" si="0"/>
        <v>21</v>
      </c>
      <c r="B25" s="590" t="s">
        <v>529</v>
      </c>
      <c r="C25" s="591" t="s">
        <v>142</v>
      </c>
      <c r="D25" s="591"/>
      <c r="E25" s="591"/>
      <c r="F25" s="591" t="s">
        <v>1035</v>
      </c>
    </row>
    <row r="26" spans="1:6" x14ac:dyDescent="0.35">
      <c r="A26" s="665">
        <f t="shared" si="0"/>
        <v>22</v>
      </c>
      <c r="B26" s="590" t="s">
        <v>530</v>
      </c>
      <c r="C26" s="591" t="s">
        <v>151</v>
      </c>
      <c r="D26" s="591"/>
      <c r="E26" s="591"/>
      <c r="F26" s="591" t="s">
        <v>1035</v>
      </c>
    </row>
    <row r="27" spans="1:6" x14ac:dyDescent="0.35">
      <c r="A27" s="665">
        <f t="shared" si="0"/>
        <v>23</v>
      </c>
      <c r="B27" s="590" t="s">
        <v>154</v>
      </c>
      <c r="C27" s="591" t="s">
        <v>134</v>
      </c>
      <c r="D27" s="591"/>
      <c r="E27" s="591"/>
      <c r="F27" s="591" t="s">
        <v>654</v>
      </c>
    </row>
    <row r="28" spans="1:6" x14ac:dyDescent="0.35">
      <c r="A28" s="665">
        <f t="shared" si="0"/>
        <v>24</v>
      </c>
      <c r="B28" s="590" t="s">
        <v>155</v>
      </c>
      <c r="C28" s="591" t="s">
        <v>156</v>
      </c>
      <c r="D28" s="591"/>
      <c r="E28" s="591"/>
      <c r="F28" s="591" t="s">
        <v>654</v>
      </c>
    </row>
    <row r="29" spans="1:6" x14ac:dyDescent="0.35">
      <c r="A29" s="665">
        <f t="shared" si="0"/>
        <v>25</v>
      </c>
      <c r="B29" s="590" t="s">
        <v>157</v>
      </c>
      <c r="C29" s="591" t="s">
        <v>144</v>
      </c>
      <c r="D29" s="591"/>
      <c r="E29" s="591"/>
      <c r="F29" s="591" t="s">
        <v>654</v>
      </c>
    </row>
    <row r="30" spans="1:6" x14ac:dyDescent="0.35">
      <c r="A30" s="665">
        <f t="shared" si="0"/>
        <v>26</v>
      </c>
      <c r="B30" s="590" t="s">
        <v>532</v>
      </c>
      <c r="C30" s="591" t="s">
        <v>161</v>
      </c>
      <c r="D30" s="591"/>
      <c r="E30" s="591"/>
      <c r="F30" s="666" t="s">
        <v>1034</v>
      </c>
    </row>
    <row r="31" spans="1:6" x14ac:dyDescent="0.35">
      <c r="A31" s="665">
        <f t="shared" si="0"/>
        <v>27</v>
      </c>
      <c r="B31" s="590" t="s">
        <v>158</v>
      </c>
      <c r="C31" s="591" t="s">
        <v>146</v>
      </c>
      <c r="D31" s="591"/>
      <c r="E31" s="591"/>
      <c r="F31" s="666" t="s">
        <v>1040</v>
      </c>
    </row>
    <row r="32" spans="1:6" x14ac:dyDescent="0.35">
      <c r="A32" s="665">
        <f t="shared" si="0"/>
        <v>28</v>
      </c>
      <c r="B32" s="590" t="s">
        <v>159</v>
      </c>
      <c r="C32" s="591" t="s">
        <v>126</v>
      </c>
      <c r="D32" s="591"/>
      <c r="E32" s="591"/>
      <c r="F32" s="666" t="s">
        <v>1040</v>
      </c>
    </row>
    <row r="33" spans="1:6" x14ac:dyDescent="0.35">
      <c r="A33" s="665">
        <f t="shared" si="0"/>
        <v>29</v>
      </c>
      <c r="B33" s="590" t="s">
        <v>533</v>
      </c>
      <c r="C33" s="591" t="s">
        <v>360</v>
      </c>
      <c r="D33" s="591"/>
      <c r="E33" s="591"/>
      <c r="F33" s="666" t="s">
        <v>1034</v>
      </c>
    </row>
    <row r="34" spans="1:6" x14ac:dyDescent="0.35">
      <c r="A34" s="665">
        <f t="shared" si="0"/>
        <v>30</v>
      </c>
      <c r="B34" s="590" t="s">
        <v>534</v>
      </c>
      <c r="C34" s="591" t="s">
        <v>144</v>
      </c>
      <c r="D34" s="591"/>
      <c r="E34" s="591"/>
      <c r="F34" s="666" t="s">
        <v>1034</v>
      </c>
    </row>
    <row r="35" spans="1:6" x14ac:dyDescent="0.35">
      <c r="A35" s="665">
        <f t="shared" si="0"/>
        <v>31</v>
      </c>
      <c r="B35" s="590" t="s">
        <v>160</v>
      </c>
      <c r="C35" s="591" t="s">
        <v>161</v>
      </c>
      <c r="D35" s="591"/>
      <c r="E35" s="591"/>
      <c r="F35" s="666" t="s">
        <v>1040</v>
      </c>
    </row>
    <row r="36" spans="1:6" x14ac:dyDescent="0.35">
      <c r="A36" s="665">
        <f t="shared" si="0"/>
        <v>32</v>
      </c>
      <c r="B36" s="590" t="s">
        <v>162</v>
      </c>
      <c r="C36" s="591" t="s">
        <v>129</v>
      </c>
      <c r="D36" s="591"/>
      <c r="E36" s="591"/>
      <c r="F36" s="666" t="s">
        <v>1040</v>
      </c>
    </row>
    <row r="37" spans="1:6" x14ac:dyDescent="0.35">
      <c r="A37" s="665">
        <f t="shared" si="0"/>
        <v>33</v>
      </c>
      <c r="B37" s="590" t="s">
        <v>163</v>
      </c>
      <c r="C37" s="591" t="s">
        <v>151</v>
      </c>
      <c r="D37" s="591"/>
      <c r="E37" s="591"/>
      <c r="F37" s="666" t="s">
        <v>1040</v>
      </c>
    </row>
    <row r="38" spans="1:6" x14ac:dyDescent="0.35">
      <c r="A38" s="665">
        <f t="shared" si="0"/>
        <v>34</v>
      </c>
      <c r="B38" s="590" t="s">
        <v>544</v>
      </c>
      <c r="C38" s="591" t="s">
        <v>165</v>
      </c>
      <c r="D38" s="591" t="s">
        <v>1032</v>
      </c>
      <c r="E38" s="591"/>
      <c r="F38" s="667" t="s">
        <v>1106</v>
      </c>
    </row>
    <row r="39" spans="1:6" x14ac:dyDescent="0.35">
      <c r="A39" s="665">
        <f t="shared" si="0"/>
        <v>35</v>
      </c>
      <c r="B39" s="590" t="s">
        <v>164</v>
      </c>
      <c r="C39" s="591" t="s">
        <v>165</v>
      </c>
      <c r="D39" s="591"/>
      <c r="E39" s="591"/>
      <c r="F39" s="666" t="s">
        <v>1040</v>
      </c>
    </row>
    <row r="40" spans="1:6" x14ac:dyDescent="0.35">
      <c r="A40" s="665">
        <f t="shared" si="0"/>
        <v>36</v>
      </c>
      <c r="B40" s="590" t="s">
        <v>545</v>
      </c>
      <c r="C40" s="591" t="s">
        <v>139</v>
      </c>
      <c r="D40" s="591"/>
      <c r="E40" s="591"/>
      <c r="F40" s="666" t="s">
        <v>1034</v>
      </c>
    </row>
    <row r="41" spans="1:6" x14ac:dyDescent="0.35">
      <c r="A41" s="665">
        <f t="shared" si="0"/>
        <v>37</v>
      </c>
      <c r="B41" s="590" t="s">
        <v>166</v>
      </c>
      <c r="C41" s="591" t="s">
        <v>167</v>
      </c>
      <c r="D41" s="591"/>
      <c r="E41" s="591"/>
      <c r="F41" s="591" t="s">
        <v>654</v>
      </c>
    </row>
    <row r="42" spans="1:6" x14ac:dyDescent="0.35">
      <c r="A42" s="665">
        <f t="shared" si="0"/>
        <v>38</v>
      </c>
      <c r="B42" s="590" t="s">
        <v>168</v>
      </c>
      <c r="C42" s="591" t="s">
        <v>142</v>
      </c>
      <c r="D42" s="591"/>
      <c r="E42" s="591"/>
      <c r="F42" s="666" t="s">
        <v>1040</v>
      </c>
    </row>
    <row r="43" spans="1:6" x14ac:dyDescent="0.35">
      <c r="A43" s="665">
        <f t="shared" si="0"/>
        <v>39</v>
      </c>
      <c r="B43" s="590" t="s">
        <v>560</v>
      </c>
      <c r="C43" s="591" t="s">
        <v>137</v>
      </c>
      <c r="D43" s="591"/>
      <c r="E43" s="591"/>
      <c r="F43" s="666" t="s">
        <v>1034</v>
      </c>
    </row>
    <row r="44" spans="1:6" x14ac:dyDescent="0.35">
      <c r="A44" s="665">
        <f t="shared" si="0"/>
        <v>40</v>
      </c>
      <c r="B44" s="590" t="s">
        <v>169</v>
      </c>
      <c r="C44" s="591" t="s">
        <v>146</v>
      </c>
      <c r="D44" s="591"/>
      <c r="E44" s="591"/>
      <c r="F44" s="666" t="s">
        <v>1040</v>
      </c>
    </row>
    <row r="45" spans="1:6" x14ac:dyDescent="0.35">
      <c r="A45" s="665">
        <f t="shared" si="0"/>
        <v>41</v>
      </c>
      <c r="B45" s="592" t="s">
        <v>566</v>
      </c>
      <c r="C45" s="591" t="s">
        <v>575</v>
      </c>
      <c r="D45" s="591"/>
      <c r="E45" s="591"/>
      <c r="F45" s="591" t="s">
        <v>1041</v>
      </c>
    </row>
    <row r="46" spans="1:6" x14ac:dyDescent="0.35">
      <c r="A46" s="665">
        <f t="shared" si="0"/>
        <v>42</v>
      </c>
      <c r="B46" s="590" t="s">
        <v>567</v>
      </c>
      <c r="C46" s="591" t="s">
        <v>576</v>
      </c>
      <c r="D46" s="591"/>
      <c r="E46" s="591"/>
      <c r="F46" s="591" t="s">
        <v>1041</v>
      </c>
    </row>
    <row r="47" spans="1:6" x14ac:dyDescent="0.35">
      <c r="A47" s="665">
        <f t="shared" si="0"/>
        <v>43</v>
      </c>
      <c r="B47" s="590" t="s">
        <v>170</v>
      </c>
      <c r="C47" s="591" t="s">
        <v>137</v>
      </c>
      <c r="D47" s="591"/>
      <c r="E47" s="591"/>
      <c r="F47" s="591" t="s">
        <v>654</v>
      </c>
    </row>
    <row r="48" spans="1:6" x14ac:dyDescent="0.35">
      <c r="A48" s="665">
        <f t="shared" si="0"/>
        <v>44</v>
      </c>
      <c r="B48" s="590" t="s">
        <v>171</v>
      </c>
      <c r="C48" s="591" t="s">
        <v>126</v>
      </c>
      <c r="D48" s="591"/>
      <c r="E48" s="591"/>
      <c r="F48" s="591" t="s">
        <v>654</v>
      </c>
    </row>
    <row r="49" spans="1:6" x14ac:dyDescent="0.35">
      <c r="A49" s="665">
        <f t="shared" si="0"/>
        <v>45</v>
      </c>
      <c r="B49" s="590" t="s">
        <v>172</v>
      </c>
      <c r="C49" s="591" t="s">
        <v>142</v>
      </c>
      <c r="D49" s="591"/>
      <c r="E49" s="591"/>
      <c r="F49" s="591" t="s">
        <v>654</v>
      </c>
    </row>
    <row r="50" spans="1:6" x14ac:dyDescent="0.35">
      <c r="A50" s="665">
        <f t="shared" si="0"/>
        <v>46</v>
      </c>
      <c r="B50" s="590" t="s">
        <v>596</v>
      </c>
      <c r="C50" s="591" t="s">
        <v>349</v>
      </c>
      <c r="D50" s="591" t="s">
        <v>1032</v>
      </c>
      <c r="E50" s="591"/>
      <c r="F50" s="667" t="s">
        <v>1106</v>
      </c>
    </row>
    <row r="51" spans="1:6" x14ac:dyDescent="0.35">
      <c r="A51" s="665">
        <f t="shared" si="0"/>
        <v>47</v>
      </c>
      <c r="B51" s="590" t="s">
        <v>597</v>
      </c>
      <c r="C51" s="591" t="s">
        <v>174</v>
      </c>
      <c r="D51" s="591" t="s">
        <v>1032</v>
      </c>
      <c r="E51" s="591"/>
      <c r="F51" s="667" t="s">
        <v>1106</v>
      </c>
    </row>
    <row r="52" spans="1:6" x14ac:dyDescent="0.35">
      <c r="A52" s="665">
        <f t="shared" si="0"/>
        <v>48</v>
      </c>
      <c r="B52" s="595" t="s">
        <v>601</v>
      </c>
      <c r="C52" s="595" t="s">
        <v>126</v>
      </c>
      <c r="D52" s="595"/>
      <c r="E52" s="595"/>
      <c r="F52" s="595" t="s">
        <v>418</v>
      </c>
    </row>
    <row r="53" spans="1:6" x14ac:dyDescent="0.35">
      <c r="A53" s="665">
        <f t="shared" si="0"/>
        <v>49</v>
      </c>
      <c r="B53" s="590" t="s">
        <v>603</v>
      </c>
      <c r="C53" s="591" t="s">
        <v>176</v>
      </c>
      <c r="D53" s="591" t="s">
        <v>1032</v>
      </c>
      <c r="E53" s="591"/>
      <c r="F53" s="648" t="s">
        <v>454</v>
      </c>
    </row>
    <row r="54" spans="1:6" x14ac:dyDescent="0.35">
      <c r="A54" s="665">
        <f t="shared" si="0"/>
        <v>50</v>
      </c>
      <c r="B54" s="590" t="s">
        <v>611</v>
      </c>
      <c r="C54" s="591" t="s">
        <v>126</v>
      </c>
      <c r="D54" s="591" t="s">
        <v>1032</v>
      </c>
      <c r="E54" s="591"/>
      <c r="F54" s="648" t="s">
        <v>454</v>
      </c>
    </row>
    <row r="55" spans="1:6" x14ac:dyDescent="0.35">
      <c r="A55" s="665">
        <f t="shared" si="0"/>
        <v>51</v>
      </c>
      <c r="B55" s="590" t="s">
        <v>614</v>
      </c>
      <c r="C55" s="591" t="s">
        <v>142</v>
      </c>
      <c r="D55" s="591"/>
      <c r="E55" s="591"/>
      <c r="F55" s="591" t="s">
        <v>1033</v>
      </c>
    </row>
    <row r="56" spans="1:6" x14ac:dyDescent="0.35">
      <c r="A56" s="665">
        <f t="shared" si="0"/>
        <v>52</v>
      </c>
      <c r="B56" s="590" t="s">
        <v>615</v>
      </c>
      <c r="C56" s="591" t="s">
        <v>142</v>
      </c>
      <c r="D56" s="591"/>
      <c r="E56" s="591"/>
      <c r="F56" s="666" t="s">
        <v>1034</v>
      </c>
    </row>
    <row r="57" spans="1:6" x14ac:dyDescent="0.35">
      <c r="A57" s="665">
        <f t="shared" si="0"/>
        <v>53</v>
      </c>
      <c r="B57" s="590" t="s">
        <v>173</v>
      </c>
      <c r="C57" s="591" t="s">
        <v>174</v>
      </c>
      <c r="D57" s="591"/>
      <c r="E57" s="591"/>
      <c r="F57" s="666" t="s">
        <v>1040</v>
      </c>
    </row>
    <row r="58" spans="1:6" x14ac:dyDescent="0.35">
      <c r="A58" s="665">
        <f t="shared" si="0"/>
        <v>54</v>
      </c>
      <c r="B58" s="594" t="s">
        <v>561</v>
      </c>
      <c r="C58" s="533" t="s">
        <v>320</v>
      </c>
      <c r="D58" s="591"/>
      <c r="E58" s="591"/>
      <c r="F58" s="666" t="s">
        <v>1039</v>
      </c>
    </row>
    <row r="59" spans="1:6" x14ac:dyDescent="0.35">
      <c r="A59" s="665">
        <f t="shared" si="0"/>
        <v>55</v>
      </c>
      <c r="B59" s="594" t="s">
        <v>563</v>
      </c>
      <c r="C59" s="533" t="s">
        <v>126</v>
      </c>
      <c r="D59" s="591"/>
      <c r="E59" s="591"/>
      <c r="F59" s="666" t="s">
        <v>1039</v>
      </c>
    </row>
    <row r="60" spans="1:6" x14ac:dyDescent="0.35">
      <c r="A60" s="665">
        <f t="shared" si="0"/>
        <v>56</v>
      </c>
      <c r="B60" s="594" t="s">
        <v>564</v>
      </c>
      <c r="C60" s="533" t="s">
        <v>139</v>
      </c>
      <c r="D60" s="591"/>
      <c r="E60" s="591"/>
      <c r="F60" s="666" t="s">
        <v>1039</v>
      </c>
    </row>
    <row r="61" spans="1:6" x14ac:dyDescent="0.35">
      <c r="A61" s="665">
        <f t="shared" si="0"/>
        <v>57</v>
      </c>
      <c r="B61" s="532" t="s">
        <v>565</v>
      </c>
      <c r="C61" s="532" t="s">
        <v>574</v>
      </c>
      <c r="D61" s="591"/>
      <c r="E61" s="591"/>
      <c r="F61" s="666" t="s">
        <v>1039</v>
      </c>
    </row>
    <row r="62" spans="1:6" x14ac:dyDescent="0.35">
      <c r="A62" s="665">
        <f t="shared" si="0"/>
        <v>58</v>
      </c>
      <c r="B62" s="590" t="s">
        <v>616</v>
      </c>
      <c r="C62" s="591" t="s">
        <v>619</v>
      </c>
      <c r="D62" s="591"/>
      <c r="E62" s="591"/>
      <c r="F62" s="666" t="s">
        <v>1039</v>
      </c>
    </row>
    <row r="63" spans="1:6" x14ac:dyDescent="0.35">
      <c r="A63" s="665">
        <f t="shared" si="0"/>
        <v>59</v>
      </c>
      <c r="B63" s="590" t="s">
        <v>617</v>
      </c>
      <c r="C63" s="591" t="s">
        <v>137</v>
      </c>
      <c r="D63" s="591"/>
      <c r="E63" s="591"/>
      <c r="F63" s="666" t="s">
        <v>1039</v>
      </c>
    </row>
    <row r="64" spans="1:6" x14ac:dyDescent="0.35">
      <c r="A64" s="665">
        <f t="shared" si="0"/>
        <v>60</v>
      </c>
      <c r="B64" s="590" t="s">
        <v>641</v>
      </c>
      <c r="C64" s="590" t="s">
        <v>360</v>
      </c>
      <c r="D64" s="591" t="s">
        <v>1032</v>
      </c>
      <c r="E64" s="591"/>
      <c r="F64" s="648" t="s">
        <v>454</v>
      </c>
    </row>
    <row r="65" spans="1:6" x14ac:dyDescent="0.35">
      <c r="A65" s="665">
        <f t="shared" si="0"/>
        <v>61</v>
      </c>
      <c r="B65" s="590" t="s">
        <v>642</v>
      </c>
      <c r="C65" s="590" t="s">
        <v>142</v>
      </c>
      <c r="D65" s="591"/>
      <c r="E65" s="591"/>
      <c r="F65" s="648" t="s">
        <v>454</v>
      </c>
    </row>
    <row r="66" spans="1:6" x14ac:dyDescent="0.35">
      <c r="A66" s="665">
        <f t="shared" si="0"/>
        <v>62</v>
      </c>
      <c r="B66" s="590" t="s">
        <v>643</v>
      </c>
      <c r="C66" s="590" t="s">
        <v>142</v>
      </c>
      <c r="D66" s="591"/>
      <c r="E66" s="591"/>
      <c r="F66" s="648" t="s">
        <v>454</v>
      </c>
    </row>
    <row r="67" spans="1:6" x14ac:dyDescent="0.35">
      <c r="A67" s="665">
        <f t="shared" si="0"/>
        <v>63</v>
      </c>
      <c r="B67" s="590" t="s">
        <v>644</v>
      </c>
      <c r="C67" s="590" t="s">
        <v>353</v>
      </c>
      <c r="D67" s="591"/>
      <c r="E67" s="591"/>
      <c r="F67" s="461" t="s">
        <v>1041</v>
      </c>
    </row>
    <row r="68" spans="1:6" x14ac:dyDescent="0.35">
      <c r="A68" s="665">
        <f t="shared" si="0"/>
        <v>64</v>
      </c>
      <c r="B68" s="590" t="s">
        <v>645</v>
      </c>
      <c r="C68" s="590" t="s">
        <v>619</v>
      </c>
      <c r="D68" s="591"/>
      <c r="E68" s="591"/>
      <c r="F68" s="648" t="s">
        <v>454</v>
      </c>
    </row>
    <row r="69" spans="1:6" x14ac:dyDescent="0.35">
      <c r="A69" s="665">
        <f t="shared" si="0"/>
        <v>65</v>
      </c>
      <c r="B69" s="590" t="s">
        <v>646</v>
      </c>
      <c r="C69" s="590" t="s">
        <v>139</v>
      </c>
      <c r="D69" s="591" t="s">
        <v>1032</v>
      </c>
      <c r="E69" s="591"/>
      <c r="F69" s="648" t="s">
        <v>454</v>
      </c>
    </row>
    <row r="70" spans="1:6" x14ac:dyDescent="0.35">
      <c r="A70" s="665">
        <f t="shared" si="0"/>
        <v>66</v>
      </c>
      <c r="B70" s="591" t="s">
        <v>175</v>
      </c>
      <c r="C70" s="591" t="s">
        <v>349</v>
      </c>
      <c r="D70" s="591"/>
      <c r="E70" s="591"/>
      <c r="F70" s="591" t="s">
        <v>654</v>
      </c>
    </row>
    <row r="71" spans="1:6" x14ac:dyDescent="0.35">
      <c r="A71" s="665">
        <f t="shared" ref="A71:A103" si="1">A70+1</f>
        <v>67</v>
      </c>
      <c r="B71" s="591" t="s">
        <v>179</v>
      </c>
      <c r="C71" s="591" t="s">
        <v>142</v>
      </c>
      <c r="D71" s="591"/>
      <c r="E71" s="591"/>
      <c r="F71" s="591" t="s">
        <v>654</v>
      </c>
    </row>
    <row r="72" spans="1:6" x14ac:dyDescent="0.35">
      <c r="A72" s="665">
        <f t="shared" si="1"/>
        <v>68</v>
      </c>
      <c r="B72" s="591" t="s">
        <v>681</v>
      </c>
      <c r="C72" s="591" t="s">
        <v>176</v>
      </c>
      <c r="D72" s="591"/>
      <c r="E72" s="591"/>
      <c r="F72" s="461" t="s">
        <v>1033</v>
      </c>
    </row>
    <row r="73" spans="1:6" x14ac:dyDescent="0.35">
      <c r="A73" s="665">
        <f t="shared" si="1"/>
        <v>69</v>
      </c>
      <c r="B73" s="591" t="s">
        <v>682</v>
      </c>
      <c r="C73" s="591" t="s">
        <v>366</v>
      </c>
      <c r="D73" s="591"/>
      <c r="E73" s="591"/>
      <c r="F73" s="461" t="s">
        <v>1033</v>
      </c>
    </row>
    <row r="74" spans="1:6" x14ac:dyDescent="0.35">
      <c r="A74" s="665">
        <f t="shared" si="1"/>
        <v>70</v>
      </c>
      <c r="B74" s="591" t="s">
        <v>693</v>
      </c>
      <c r="C74" s="591" t="s">
        <v>142</v>
      </c>
      <c r="D74" s="591"/>
      <c r="E74" s="591"/>
      <c r="F74" s="648" t="s">
        <v>454</v>
      </c>
    </row>
    <row r="75" spans="1:6" x14ac:dyDescent="0.35">
      <c r="A75" s="665">
        <f t="shared" si="1"/>
        <v>71</v>
      </c>
      <c r="B75" s="591" t="s">
        <v>694</v>
      </c>
      <c r="C75" s="591" t="s">
        <v>161</v>
      </c>
      <c r="D75" s="591"/>
      <c r="E75" s="591"/>
      <c r="F75" s="648" t="s">
        <v>454</v>
      </c>
    </row>
    <row r="76" spans="1:6" x14ac:dyDescent="0.35">
      <c r="A76" s="665">
        <f t="shared" si="1"/>
        <v>72</v>
      </c>
      <c r="B76" s="591" t="s">
        <v>713</v>
      </c>
      <c r="C76" s="591" t="s">
        <v>142</v>
      </c>
      <c r="D76" s="591" t="s">
        <v>1032</v>
      </c>
      <c r="E76" s="591"/>
      <c r="F76" s="667" t="s">
        <v>1106</v>
      </c>
    </row>
    <row r="77" spans="1:6" x14ac:dyDescent="0.35">
      <c r="A77" s="665">
        <f t="shared" si="1"/>
        <v>73</v>
      </c>
      <c r="B77" s="591" t="s">
        <v>741</v>
      </c>
      <c r="C77" s="591" t="s">
        <v>360</v>
      </c>
      <c r="D77" s="591"/>
      <c r="E77" s="591"/>
      <c r="F77" s="591" t="s">
        <v>1043</v>
      </c>
    </row>
    <row r="78" spans="1:6" x14ac:dyDescent="0.35">
      <c r="A78" s="665">
        <f t="shared" si="1"/>
        <v>74</v>
      </c>
      <c r="B78" s="591" t="s">
        <v>742</v>
      </c>
      <c r="C78" s="591" t="s">
        <v>167</v>
      </c>
      <c r="D78" s="591"/>
      <c r="E78" s="591"/>
      <c r="F78" s="591" t="s">
        <v>1043</v>
      </c>
    </row>
    <row r="79" spans="1:6" x14ac:dyDescent="0.35">
      <c r="A79" s="665">
        <f t="shared" si="1"/>
        <v>75</v>
      </c>
      <c r="B79" s="591" t="s">
        <v>743</v>
      </c>
      <c r="C79" s="591" t="s">
        <v>142</v>
      </c>
      <c r="D79" s="591"/>
      <c r="E79" s="591"/>
      <c r="F79" s="591" t="s">
        <v>1043</v>
      </c>
    </row>
    <row r="80" spans="1:6" x14ac:dyDescent="0.35">
      <c r="A80" s="665">
        <f t="shared" si="1"/>
        <v>76</v>
      </c>
      <c r="B80" s="591" t="s">
        <v>744</v>
      </c>
      <c r="C80" s="591" t="s">
        <v>142</v>
      </c>
      <c r="D80" s="591"/>
      <c r="E80" s="591"/>
      <c r="F80" s="591" t="s">
        <v>1043</v>
      </c>
    </row>
    <row r="81" spans="1:6" x14ac:dyDescent="0.35">
      <c r="A81" s="665">
        <f t="shared" si="1"/>
        <v>77</v>
      </c>
      <c r="B81" s="591" t="s">
        <v>762</v>
      </c>
      <c r="C81" s="591" t="s">
        <v>137</v>
      </c>
      <c r="D81" s="591"/>
      <c r="E81" s="591"/>
      <c r="F81" s="591" t="s">
        <v>654</v>
      </c>
    </row>
    <row r="82" spans="1:6" x14ac:dyDescent="0.35">
      <c r="A82" s="665">
        <f t="shared" si="1"/>
        <v>78</v>
      </c>
      <c r="B82" s="591" t="s">
        <v>764</v>
      </c>
      <c r="C82" s="591" t="s">
        <v>161</v>
      </c>
      <c r="D82" s="591" t="s">
        <v>1032</v>
      </c>
      <c r="E82" s="591"/>
      <c r="F82" s="591" t="s">
        <v>1033</v>
      </c>
    </row>
    <row r="83" spans="1:6" x14ac:dyDescent="0.35">
      <c r="A83" s="665">
        <f t="shared" si="1"/>
        <v>79</v>
      </c>
      <c r="B83" s="591" t="s">
        <v>765</v>
      </c>
      <c r="C83" s="591" t="s">
        <v>142</v>
      </c>
      <c r="D83" s="591"/>
      <c r="E83" s="591"/>
      <c r="F83" s="591" t="s">
        <v>1033</v>
      </c>
    </row>
    <row r="84" spans="1:6" x14ac:dyDescent="0.35">
      <c r="A84" s="665">
        <f t="shared" si="1"/>
        <v>80</v>
      </c>
      <c r="B84" s="590" t="s">
        <v>766</v>
      </c>
      <c r="C84" s="591" t="s">
        <v>176</v>
      </c>
      <c r="D84" s="591"/>
      <c r="E84" s="591"/>
      <c r="F84" s="648" t="s">
        <v>454</v>
      </c>
    </row>
    <row r="85" spans="1:6" x14ac:dyDescent="0.35">
      <c r="A85" s="665">
        <f t="shared" si="1"/>
        <v>81</v>
      </c>
      <c r="B85" s="590" t="s">
        <v>767</v>
      </c>
      <c r="C85" s="591" t="s">
        <v>126</v>
      </c>
      <c r="D85" s="591"/>
      <c r="E85" s="591"/>
      <c r="F85" s="667" t="s">
        <v>1106</v>
      </c>
    </row>
    <row r="86" spans="1:6" x14ac:dyDescent="0.35">
      <c r="A86" s="665">
        <f t="shared" si="1"/>
        <v>82</v>
      </c>
      <c r="B86" s="590" t="s">
        <v>768</v>
      </c>
      <c r="C86" s="591" t="s">
        <v>126</v>
      </c>
      <c r="D86" s="591"/>
      <c r="E86" s="591"/>
      <c r="F86" s="667" t="s">
        <v>1106</v>
      </c>
    </row>
    <row r="87" spans="1:6" x14ac:dyDescent="0.35">
      <c r="A87" s="665">
        <f t="shared" si="1"/>
        <v>83</v>
      </c>
      <c r="B87" s="590" t="s">
        <v>769</v>
      </c>
      <c r="C87" s="591" t="s">
        <v>142</v>
      </c>
      <c r="D87" s="591"/>
      <c r="E87" s="591"/>
      <c r="F87" s="667" t="s">
        <v>1106</v>
      </c>
    </row>
    <row r="88" spans="1:6" x14ac:dyDescent="0.35">
      <c r="A88" s="665">
        <f t="shared" si="1"/>
        <v>84</v>
      </c>
      <c r="B88" s="590" t="s">
        <v>770</v>
      </c>
      <c r="C88" s="591" t="s">
        <v>161</v>
      </c>
      <c r="D88" s="591"/>
      <c r="E88" s="591"/>
      <c r="F88" s="667" t="s">
        <v>1106</v>
      </c>
    </row>
    <row r="89" spans="1:6" x14ac:dyDescent="0.35">
      <c r="A89" s="665">
        <f t="shared" si="1"/>
        <v>85</v>
      </c>
      <c r="B89" s="590" t="s">
        <v>771</v>
      </c>
      <c r="C89" s="591" t="s">
        <v>142</v>
      </c>
      <c r="D89" s="591" t="s">
        <v>1032</v>
      </c>
      <c r="E89" s="591"/>
      <c r="F89" s="667" t="s">
        <v>1106</v>
      </c>
    </row>
    <row r="90" spans="1:6" x14ac:dyDescent="0.35">
      <c r="A90" s="665">
        <f t="shared" si="1"/>
        <v>86</v>
      </c>
      <c r="B90" s="590" t="s">
        <v>772</v>
      </c>
      <c r="C90" s="591" t="s">
        <v>142</v>
      </c>
      <c r="D90" s="591" t="s">
        <v>1032</v>
      </c>
      <c r="E90" s="591"/>
      <c r="F90" s="667" t="s">
        <v>1106</v>
      </c>
    </row>
    <row r="91" spans="1:6" x14ac:dyDescent="0.35">
      <c r="A91" s="665">
        <f t="shared" si="1"/>
        <v>87</v>
      </c>
      <c r="B91" s="590" t="s">
        <v>773</v>
      </c>
      <c r="C91" s="591" t="s">
        <v>142</v>
      </c>
      <c r="D91" s="591" t="s">
        <v>1032</v>
      </c>
      <c r="E91" s="591"/>
      <c r="F91" s="667" t="s">
        <v>1106</v>
      </c>
    </row>
    <row r="92" spans="1:6" x14ac:dyDescent="0.35">
      <c r="A92" s="665">
        <f t="shared" si="1"/>
        <v>88</v>
      </c>
      <c r="B92" s="590" t="s">
        <v>774</v>
      </c>
      <c r="C92" s="591" t="s">
        <v>142</v>
      </c>
      <c r="D92" s="591" t="s">
        <v>1032</v>
      </c>
      <c r="E92" s="591"/>
      <c r="F92" s="667" t="s">
        <v>1106</v>
      </c>
    </row>
    <row r="93" spans="1:6" x14ac:dyDescent="0.35">
      <c r="A93" s="665">
        <f t="shared" si="1"/>
        <v>89</v>
      </c>
      <c r="B93" s="590" t="s">
        <v>775</v>
      </c>
      <c r="C93" s="591" t="s">
        <v>126</v>
      </c>
      <c r="D93" s="591" t="s">
        <v>1032</v>
      </c>
      <c r="E93" s="591"/>
      <c r="F93" s="667" t="s">
        <v>1106</v>
      </c>
    </row>
    <row r="94" spans="1:6" x14ac:dyDescent="0.35">
      <c r="A94" s="665">
        <f t="shared" si="1"/>
        <v>90</v>
      </c>
      <c r="B94" s="39" t="s">
        <v>776</v>
      </c>
      <c r="C94" s="39" t="s">
        <v>369</v>
      </c>
      <c r="D94" s="39"/>
      <c r="E94" s="591"/>
      <c r="F94" s="668" t="s">
        <v>1106</v>
      </c>
    </row>
    <row r="95" spans="1:6" x14ac:dyDescent="0.35">
      <c r="A95" s="665">
        <f t="shared" si="1"/>
        <v>91</v>
      </c>
      <c r="B95" s="39" t="s">
        <v>778</v>
      </c>
      <c r="C95" s="39" t="s">
        <v>134</v>
      </c>
      <c r="D95" s="39"/>
      <c r="E95" s="591"/>
      <c r="F95" s="668" t="s">
        <v>1106</v>
      </c>
    </row>
    <row r="96" spans="1:6" x14ac:dyDescent="0.35">
      <c r="A96" s="665">
        <f t="shared" si="1"/>
        <v>92</v>
      </c>
      <c r="B96" s="591" t="s">
        <v>779</v>
      </c>
      <c r="C96" s="591" t="s">
        <v>142</v>
      </c>
      <c r="D96" s="591"/>
      <c r="E96" s="591"/>
      <c r="F96" s="669" t="s">
        <v>1036</v>
      </c>
    </row>
    <row r="97" spans="1:6" x14ac:dyDescent="0.35">
      <c r="A97" s="665">
        <f t="shared" si="1"/>
        <v>93</v>
      </c>
      <c r="B97" s="591" t="s">
        <v>780</v>
      </c>
      <c r="C97" s="591" t="s">
        <v>161</v>
      </c>
      <c r="D97" s="591"/>
      <c r="E97" s="591"/>
      <c r="F97" s="669" t="s">
        <v>1036</v>
      </c>
    </row>
    <row r="98" spans="1:6" x14ac:dyDescent="0.35">
      <c r="A98" s="665">
        <f t="shared" si="1"/>
        <v>94</v>
      </c>
      <c r="B98" s="591" t="s">
        <v>781</v>
      </c>
      <c r="C98" s="591" t="s">
        <v>161</v>
      </c>
      <c r="D98" s="591"/>
      <c r="E98" s="591"/>
      <c r="F98" s="669" t="s">
        <v>1036</v>
      </c>
    </row>
    <row r="99" spans="1:6" x14ac:dyDescent="0.35">
      <c r="A99" s="665">
        <f t="shared" si="1"/>
        <v>95</v>
      </c>
      <c r="B99" s="591" t="s">
        <v>782</v>
      </c>
      <c r="C99" s="591" t="s">
        <v>142</v>
      </c>
      <c r="D99" s="591"/>
      <c r="E99" s="591"/>
      <c r="F99" s="669" t="s">
        <v>1036</v>
      </c>
    </row>
    <row r="100" spans="1:6" x14ac:dyDescent="0.35">
      <c r="A100" s="665">
        <f t="shared" si="1"/>
        <v>96</v>
      </c>
      <c r="B100" s="591" t="s">
        <v>783</v>
      </c>
      <c r="C100" s="591" t="s">
        <v>161</v>
      </c>
      <c r="D100" s="591"/>
      <c r="E100" s="591"/>
      <c r="F100" s="669" t="s">
        <v>1036</v>
      </c>
    </row>
    <row r="101" spans="1:6" x14ac:dyDescent="0.35">
      <c r="A101" s="665">
        <f t="shared" si="1"/>
        <v>97</v>
      </c>
      <c r="B101" s="591" t="s">
        <v>784</v>
      </c>
      <c r="C101" s="591" t="s">
        <v>161</v>
      </c>
      <c r="D101" s="591"/>
      <c r="E101" s="591"/>
      <c r="F101" s="669" t="s">
        <v>1036</v>
      </c>
    </row>
    <row r="102" spans="1:6" x14ac:dyDescent="0.35">
      <c r="A102" s="665">
        <f t="shared" si="1"/>
        <v>98</v>
      </c>
      <c r="B102" s="591" t="s">
        <v>177</v>
      </c>
      <c r="C102" s="591" t="s">
        <v>178</v>
      </c>
      <c r="D102" s="591"/>
      <c r="E102" s="591"/>
      <c r="F102" s="669" t="s">
        <v>1042</v>
      </c>
    </row>
    <row r="103" spans="1:6" x14ac:dyDescent="0.35">
      <c r="A103" s="665">
        <f t="shared" si="1"/>
        <v>99</v>
      </c>
      <c r="B103" s="591" t="s">
        <v>786</v>
      </c>
      <c r="C103" s="670" t="s">
        <v>308</v>
      </c>
      <c r="D103" s="591"/>
      <c r="E103" s="591"/>
      <c r="F103" s="669" t="s">
        <v>1036</v>
      </c>
    </row>
  </sheetData>
  <autoFilter ref="A3:F103" xr:uid="{AE069672-4941-4E33-BB29-3BC016F2F26F}"/>
  <mergeCells count="7">
    <mergeCell ref="D3:D4"/>
    <mergeCell ref="F3:F4"/>
    <mergeCell ref="E3:E4"/>
    <mergeCell ref="A2:B2"/>
    <mergeCell ref="A3:A4"/>
    <mergeCell ref="B3:B4"/>
    <mergeCell ref="C3:C4"/>
  </mergeCells>
  <conditionalFormatting sqref="B5:B57">
    <cfRule type="duplicateValues" dxfId="2121" priority="2009"/>
  </conditionalFormatting>
  <conditionalFormatting sqref="B58:B103">
    <cfRule type="duplicateValues" dxfId="2120" priority="2017"/>
  </conditionalFormatting>
  <conditionalFormatting sqref="B81:B89">
    <cfRule type="duplicateValues" dxfId="2119" priority="1"/>
  </conditionalFormatting>
  <conditionalFormatting sqref="B90:B103 B58:B80">
    <cfRule type="duplicateValues" dxfId="2118" priority="2013"/>
  </conditionalFormatting>
  <conditionalFormatting sqref="B92:B103 B58:B80">
    <cfRule type="duplicateValues" dxfId="2117" priority="2016"/>
  </conditionalFormatting>
  <pageMargins left="0.70866141732283472" right="0.70866141732283472" top="0.74803149606299213" bottom="0.74803149606299213" header="0.31496062992125984" footer="0.31496062992125984"/>
  <pageSetup scale="10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7664-1242-49D9-B0F1-0D02976FF912}">
  <dimension ref="A1:AQ496"/>
  <sheetViews>
    <sheetView topLeftCell="A294" workbookViewId="0">
      <selection activeCell="AH314" sqref="AH314"/>
    </sheetView>
  </sheetViews>
  <sheetFormatPr defaultColWidth="9.1796875" defaultRowHeight="14.5" x14ac:dyDescent="0.35"/>
  <cols>
    <col min="1" max="1" width="3" style="124" customWidth="1"/>
    <col min="2" max="2" width="4.26953125" style="124" customWidth="1"/>
    <col min="3" max="3" width="5.7265625" style="124" customWidth="1"/>
    <col min="4" max="4" width="5.26953125" style="124" customWidth="1"/>
    <col min="5" max="5" width="5.7265625" style="124" customWidth="1"/>
    <col min="6" max="7" width="5.453125" style="124" customWidth="1"/>
    <col min="8" max="8" width="5.54296875" style="124" customWidth="1"/>
    <col min="9" max="9" width="5.7265625" style="124" customWidth="1"/>
    <col min="10" max="10" width="5.26953125" style="124" customWidth="1"/>
    <col min="11" max="11" width="5.54296875" style="124" customWidth="1"/>
    <col min="12" max="12" width="5" style="124" customWidth="1"/>
    <col min="13" max="13" width="5.54296875" style="124" customWidth="1"/>
    <col min="14" max="14" width="4.26953125" style="124" customWidth="1"/>
    <col min="15" max="17" width="5.7265625" style="124" customWidth="1"/>
    <col min="18" max="18" width="5.81640625" style="124" customWidth="1"/>
    <col min="19" max="19" width="5.7265625" style="124" customWidth="1"/>
    <col min="20" max="20" width="5.26953125" style="124" customWidth="1"/>
    <col min="21" max="21" width="5.81640625" style="124" customWidth="1"/>
    <col min="22" max="22" width="5.26953125" style="124" customWidth="1"/>
    <col min="23" max="23" width="5.7265625" style="124" customWidth="1"/>
    <col min="24" max="24" width="5.54296875" style="124" customWidth="1"/>
    <col min="25" max="25" width="5.7265625" style="124" customWidth="1"/>
    <col min="26" max="26" width="5.81640625" style="124" customWidth="1"/>
    <col min="27" max="27" width="5.7265625" style="124" customWidth="1"/>
    <col min="28" max="28" width="5.81640625" style="124" customWidth="1"/>
    <col min="29" max="29" width="5.7265625" style="124" customWidth="1"/>
    <col min="30" max="30" width="5.1796875" style="124" customWidth="1"/>
    <col min="31" max="31" width="5.81640625" style="124" customWidth="1"/>
    <col min="32" max="32" width="5.26953125" style="124" customWidth="1"/>
    <col min="33" max="33" width="9.7265625" style="124" customWidth="1"/>
    <col min="34" max="34" width="5.7265625" style="124" customWidth="1"/>
    <col min="35" max="35" width="6.54296875" style="124" customWidth="1"/>
    <col min="36" max="36" width="11.453125" style="124" bestFit="1" customWidth="1"/>
    <col min="37" max="37" width="6.7265625" style="124" customWidth="1"/>
    <col min="38" max="39" width="3.26953125" style="124" customWidth="1"/>
    <col min="40" max="16384" width="9.1796875" style="124"/>
  </cols>
  <sheetData>
    <row r="1" spans="1:40" s="100" customFormat="1" ht="15" thickBot="1" x14ac:dyDescent="0.4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9"/>
      <c r="AL1" s="99"/>
      <c r="AM1" s="99"/>
    </row>
    <row r="2" spans="1:40" s="100" customFormat="1" ht="18" customHeight="1" x14ac:dyDescent="0.35">
      <c r="A2" s="98"/>
      <c r="B2" s="101"/>
      <c r="C2" s="102"/>
      <c r="D2" s="102"/>
      <c r="E2" s="103"/>
      <c r="F2" s="102"/>
      <c r="G2" s="102"/>
      <c r="H2" s="102"/>
      <c r="I2" s="102"/>
      <c r="J2" s="102"/>
      <c r="K2" s="102"/>
      <c r="L2" s="102"/>
      <c r="M2" s="965" t="s">
        <v>375</v>
      </c>
      <c r="N2" s="965"/>
      <c r="O2" s="965"/>
      <c r="P2" s="965"/>
      <c r="Q2" s="965"/>
      <c r="R2" s="965"/>
      <c r="S2" s="965"/>
      <c r="T2" s="965"/>
      <c r="U2" s="102"/>
      <c r="V2" s="102"/>
      <c r="W2" s="966"/>
      <c r="X2" s="968"/>
      <c r="Y2" s="966"/>
      <c r="Z2" s="966"/>
      <c r="AA2" s="966"/>
      <c r="AB2" s="966"/>
      <c r="AC2" s="966"/>
      <c r="AD2" s="966"/>
      <c r="AE2" s="966"/>
      <c r="AF2" s="966"/>
      <c r="AG2" s="966"/>
      <c r="AH2" s="966"/>
      <c r="AI2" s="966"/>
      <c r="AJ2" s="970"/>
      <c r="AK2" s="99"/>
      <c r="AL2" s="99"/>
      <c r="AM2" s="99"/>
    </row>
    <row r="3" spans="1:40" s="100" customFormat="1" ht="18.5" x14ac:dyDescent="0.35">
      <c r="A3" s="98"/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967"/>
      <c r="X3" s="969"/>
      <c r="Y3" s="967"/>
      <c r="Z3" s="967"/>
      <c r="AA3" s="967"/>
      <c r="AB3" s="967"/>
      <c r="AC3" s="967"/>
      <c r="AD3" s="967"/>
      <c r="AE3" s="967"/>
      <c r="AF3" s="967"/>
      <c r="AG3" s="967"/>
      <c r="AH3" s="967"/>
      <c r="AI3" s="967"/>
      <c r="AJ3" s="971"/>
      <c r="AK3" s="99"/>
      <c r="AL3" s="99"/>
      <c r="AM3" s="99"/>
    </row>
    <row r="4" spans="1:40" s="100" customFormat="1" ht="18.5" x14ac:dyDescent="0.35">
      <c r="A4" s="98"/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6"/>
      <c r="N4" s="105"/>
      <c r="O4" s="105"/>
      <c r="P4" s="105"/>
      <c r="Q4" s="105"/>
      <c r="R4" s="105"/>
      <c r="S4" s="105"/>
      <c r="T4" s="105"/>
      <c r="U4" s="105"/>
      <c r="V4" s="105"/>
      <c r="W4" s="967"/>
      <c r="X4" s="107"/>
      <c r="Y4" s="105"/>
      <c r="Z4" s="105"/>
      <c r="AA4" s="105"/>
      <c r="AB4" s="105"/>
      <c r="AC4" s="105"/>
      <c r="AD4" s="105"/>
      <c r="AE4" s="105"/>
      <c r="AF4" s="105"/>
      <c r="AG4" s="105"/>
      <c r="AH4" s="105"/>
      <c r="AI4" s="105"/>
      <c r="AJ4" s="108"/>
      <c r="AK4" s="99"/>
      <c r="AL4" s="99"/>
      <c r="AM4" s="99"/>
    </row>
    <row r="5" spans="1:40" s="100" customFormat="1" ht="18.5" x14ac:dyDescent="0.35">
      <c r="A5" s="98"/>
      <c r="B5" s="109" t="s">
        <v>376</v>
      </c>
      <c r="C5" s="110"/>
      <c r="D5" s="972">
        <v>45760</v>
      </c>
      <c r="E5" s="972"/>
      <c r="F5" s="972"/>
      <c r="G5" s="972"/>
      <c r="H5" s="972"/>
      <c r="I5" s="972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973"/>
      <c r="X5" s="973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13"/>
      <c r="AK5" s="99"/>
      <c r="AL5" s="99"/>
      <c r="AM5" s="99"/>
    </row>
    <row r="6" spans="1:40" s="100" customFormat="1" ht="18.5" x14ac:dyDescent="0.35">
      <c r="A6" s="98"/>
      <c r="B6" s="109" t="s">
        <v>377</v>
      </c>
      <c r="C6" s="110"/>
      <c r="D6" s="98"/>
      <c r="E6" s="110" t="s">
        <v>378</v>
      </c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2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4"/>
      <c r="AK6" s="99"/>
      <c r="AL6" s="99"/>
      <c r="AM6" s="99"/>
    </row>
    <row r="7" spans="1:40" s="100" customFormat="1" ht="15.5" x14ac:dyDescent="0.35">
      <c r="A7" s="98"/>
      <c r="B7" s="109" t="s">
        <v>379</v>
      </c>
      <c r="C7" s="110"/>
      <c r="D7" s="110"/>
      <c r="E7" s="98"/>
      <c r="F7" s="974" t="s">
        <v>380</v>
      </c>
      <c r="G7" s="974"/>
      <c r="H7" s="974"/>
      <c r="I7" s="974"/>
      <c r="J7" s="974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110"/>
      <c r="AG7" s="110"/>
      <c r="AH7" s="110"/>
      <c r="AI7" s="110"/>
      <c r="AJ7" s="114"/>
      <c r="AK7" s="99"/>
      <c r="AL7" s="99"/>
      <c r="AM7" s="99"/>
    </row>
    <row r="8" spans="1:40" s="100" customFormat="1" ht="15" thickBot="1" x14ac:dyDescent="0.4">
      <c r="A8" s="98"/>
      <c r="B8" s="115" t="s">
        <v>381</v>
      </c>
      <c r="C8" s="116"/>
      <c r="D8" s="116"/>
      <c r="E8" s="117"/>
      <c r="F8" s="116" t="s">
        <v>382</v>
      </c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0"/>
      <c r="AH8" s="110"/>
      <c r="AI8" s="110"/>
      <c r="AJ8" s="118"/>
      <c r="AK8" s="99"/>
      <c r="AL8" s="99"/>
      <c r="AM8" s="99"/>
    </row>
    <row r="9" spans="1:40" s="100" customFormat="1" x14ac:dyDescent="0.35">
      <c r="A9" s="98"/>
      <c r="B9" s="98"/>
      <c r="C9" s="98"/>
      <c r="D9" s="98"/>
      <c r="E9" s="98"/>
      <c r="F9" s="98"/>
      <c r="G9" s="119"/>
      <c r="H9" s="119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75" t="s">
        <v>383</v>
      </c>
      <c r="AH9" s="957" t="s">
        <v>384</v>
      </c>
      <c r="AI9" s="957" t="s">
        <v>385</v>
      </c>
      <c r="AJ9" s="959" t="s">
        <v>386</v>
      </c>
      <c r="AK9" s="99"/>
      <c r="AL9" s="99"/>
      <c r="AM9" s="99"/>
    </row>
    <row r="10" spans="1:40" ht="15" thickBot="1" x14ac:dyDescent="0.4">
      <c r="A10" s="120"/>
      <c r="B10" s="120"/>
      <c r="C10" s="121"/>
      <c r="D10" s="120"/>
      <c r="E10" s="121"/>
      <c r="F10" s="120"/>
      <c r="G10" s="121"/>
      <c r="H10" s="122"/>
      <c r="I10" s="121" t="str">
        <f>+LEFT(I17,1)</f>
        <v>D</v>
      </c>
      <c r="J10" s="120"/>
      <c r="K10" s="123"/>
      <c r="L10" s="120"/>
      <c r="M10" s="121" t="str">
        <f>+LEFT(M17,1)</f>
        <v>D</v>
      </c>
      <c r="N10" s="120"/>
      <c r="O10" s="121" t="str">
        <f>+LEFT(O17,1)</f>
        <v>D</v>
      </c>
      <c r="P10" s="121"/>
      <c r="Q10" s="121"/>
      <c r="R10" s="120"/>
      <c r="S10" s="123"/>
      <c r="T10" s="120"/>
      <c r="U10" s="121" t="str">
        <f>+LEFT(U17,1)</f>
        <v>D</v>
      </c>
      <c r="V10" s="120"/>
      <c r="W10" s="121" t="str">
        <f>+LEFT(W17,1)</f>
        <v>D</v>
      </c>
      <c r="X10" s="120"/>
      <c r="Y10" s="121" t="str">
        <f>+LEFT(Y17,1)</f>
        <v>D</v>
      </c>
      <c r="Z10" s="120"/>
      <c r="AA10" s="121" t="str">
        <f>+LEFT(AA17,1)</f>
        <v>D</v>
      </c>
      <c r="AB10" s="120"/>
      <c r="AC10" s="121" t="str">
        <f>+LEFT(AC17,1)</f>
        <v>D</v>
      </c>
      <c r="AD10" s="120"/>
      <c r="AE10" s="121" t="str">
        <f>+LEFT(AE17,1)</f>
        <v>D</v>
      </c>
      <c r="AF10" s="120"/>
      <c r="AG10" s="976"/>
      <c r="AH10" s="958"/>
      <c r="AI10" s="958"/>
      <c r="AJ10" s="960"/>
      <c r="AK10" s="48"/>
      <c r="AL10" s="48"/>
      <c r="AM10" s="48"/>
    </row>
    <row r="11" spans="1:40" x14ac:dyDescent="0.35">
      <c r="A11" s="120"/>
      <c r="B11" s="120"/>
      <c r="C11" s="122"/>
      <c r="D11" s="122"/>
      <c r="E11" s="122"/>
      <c r="F11" s="122"/>
      <c r="G11" s="122" t="s">
        <v>387</v>
      </c>
      <c r="H11" s="122"/>
      <c r="I11" s="122" t="s">
        <v>388</v>
      </c>
      <c r="J11" s="122"/>
      <c r="K11" s="122" t="s">
        <v>389</v>
      </c>
      <c r="L11" s="122"/>
      <c r="M11" s="122" t="s">
        <v>390</v>
      </c>
      <c r="N11" s="122"/>
      <c r="O11" s="122" t="s">
        <v>391</v>
      </c>
      <c r="P11" s="122"/>
      <c r="Q11" s="122"/>
      <c r="R11" s="122"/>
      <c r="S11" s="122" t="s">
        <v>392</v>
      </c>
      <c r="T11" s="122"/>
      <c r="U11" s="122" t="s">
        <v>393</v>
      </c>
      <c r="V11" s="122"/>
      <c r="W11" s="122" t="s">
        <v>394</v>
      </c>
      <c r="X11" s="122"/>
      <c r="Y11" s="122" t="s">
        <v>395</v>
      </c>
      <c r="Z11" s="122"/>
      <c r="AA11" s="122" t="s">
        <v>396</v>
      </c>
      <c r="AB11" s="122"/>
      <c r="AC11" s="122" t="s">
        <v>397</v>
      </c>
      <c r="AD11" s="122"/>
      <c r="AE11" s="122" t="s">
        <v>398</v>
      </c>
      <c r="AF11" s="120"/>
      <c r="AG11" s="125"/>
      <c r="AH11" s="126"/>
      <c r="AI11" s="126"/>
      <c r="AJ11" s="127"/>
      <c r="AK11" s="48"/>
      <c r="AL11" s="48"/>
      <c r="AM11" s="48"/>
    </row>
    <row r="12" spans="1:40" x14ac:dyDescent="0.35">
      <c r="A12" s="128"/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>
        <v>1</v>
      </c>
      <c r="N12" s="121"/>
      <c r="O12" s="121">
        <v>1</v>
      </c>
      <c r="P12" s="121"/>
      <c r="Q12" s="121"/>
      <c r="R12" s="121"/>
      <c r="S12" s="121">
        <v>1</v>
      </c>
      <c r="T12" s="121"/>
      <c r="U12" s="121">
        <v>1</v>
      </c>
      <c r="V12" s="121"/>
      <c r="W12" s="121">
        <v>1</v>
      </c>
      <c r="X12" s="121"/>
      <c r="Y12" s="121">
        <v>1</v>
      </c>
      <c r="Z12" s="121"/>
      <c r="AA12" s="121">
        <v>1</v>
      </c>
      <c r="AB12" s="121"/>
      <c r="AC12" s="121">
        <v>1</v>
      </c>
      <c r="AD12" s="121"/>
      <c r="AE12" s="121"/>
      <c r="AF12" s="120"/>
      <c r="AG12" s="129"/>
      <c r="AH12" s="130"/>
      <c r="AI12" s="131"/>
      <c r="AJ12" s="132"/>
      <c r="AK12" s="48"/>
      <c r="AL12" s="48"/>
      <c r="AM12" s="48"/>
    </row>
    <row r="13" spans="1:40" s="140" customFormat="1" ht="15" thickBot="1" x14ac:dyDescent="0.4">
      <c r="A13" s="121"/>
      <c r="B13" s="121"/>
      <c r="C13" s="121"/>
      <c r="D13" s="121"/>
      <c r="E13" s="133"/>
      <c r="F13" s="134"/>
      <c r="G13" s="121">
        <v>0</v>
      </c>
      <c r="H13" s="121"/>
      <c r="I13" s="121">
        <v>1</v>
      </c>
      <c r="J13" s="121"/>
      <c r="K13" s="121">
        <v>2</v>
      </c>
      <c r="L13" s="121"/>
      <c r="M13" s="121">
        <v>3</v>
      </c>
      <c r="N13" s="121"/>
      <c r="O13" s="121">
        <v>4</v>
      </c>
      <c r="P13" s="121"/>
      <c r="Q13" s="121"/>
      <c r="R13" s="121"/>
      <c r="S13" s="121">
        <v>5</v>
      </c>
      <c r="T13" s="121"/>
      <c r="U13" s="121">
        <v>6</v>
      </c>
      <c r="V13" s="121"/>
      <c r="W13" s="121">
        <v>7</v>
      </c>
      <c r="X13" s="121"/>
      <c r="Y13" s="121">
        <v>8</v>
      </c>
      <c r="Z13" s="121"/>
      <c r="AA13" s="121">
        <v>9</v>
      </c>
      <c r="AB13" s="121"/>
      <c r="AC13" s="121">
        <v>10</v>
      </c>
      <c r="AD13" s="121"/>
      <c r="AE13" s="121">
        <v>11</v>
      </c>
      <c r="AF13" s="121"/>
      <c r="AG13" s="135"/>
      <c r="AH13" s="136"/>
      <c r="AI13" s="137"/>
      <c r="AJ13" s="138"/>
      <c r="AK13" s="48"/>
      <c r="AL13" s="48"/>
      <c r="AM13" s="48"/>
      <c r="AN13" s="139"/>
    </row>
    <row r="14" spans="1:40" ht="15" thickBot="1" x14ac:dyDescent="0.4">
      <c r="A14" s="121"/>
      <c r="B14" s="141"/>
      <c r="C14" s="123"/>
      <c r="D14" s="123"/>
      <c r="E14" s="123"/>
      <c r="F14" s="123"/>
      <c r="G14" s="123"/>
      <c r="H14" s="142">
        <v>0</v>
      </c>
      <c r="I14" s="961" t="s">
        <v>399</v>
      </c>
      <c r="J14" s="143">
        <v>418.57900000000001</v>
      </c>
      <c r="K14" s="961" t="s">
        <v>399</v>
      </c>
      <c r="L14" s="143">
        <v>425</v>
      </c>
      <c r="M14" s="963" t="s">
        <v>400</v>
      </c>
      <c r="N14" s="143">
        <v>312</v>
      </c>
      <c r="O14" s="963" t="s">
        <v>400</v>
      </c>
      <c r="P14" s="137"/>
      <c r="Q14" s="143">
        <v>381</v>
      </c>
      <c r="R14" s="143"/>
      <c r="S14" s="963" t="s">
        <v>400</v>
      </c>
      <c r="T14" s="143">
        <v>455</v>
      </c>
      <c r="U14" s="963" t="s">
        <v>400</v>
      </c>
      <c r="V14" s="143">
        <v>376</v>
      </c>
      <c r="W14" s="963" t="s">
        <v>400</v>
      </c>
      <c r="X14" s="143">
        <v>401</v>
      </c>
      <c r="Y14" s="963" t="s">
        <v>400</v>
      </c>
      <c r="Z14" s="143">
        <v>428</v>
      </c>
      <c r="AA14" s="963" t="s">
        <v>400</v>
      </c>
      <c r="AB14" s="143">
        <v>357</v>
      </c>
      <c r="AC14" s="963" t="s">
        <v>400</v>
      </c>
      <c r="AD14" s="143">
        <v>335.15800000000002</v>
      </c>
      <c r="AE14" s="963" t="s">
        <v>400</v>
      </c>
      <c r="AF14" s="120"/>
      <c r="AG14" s="144">
        <v>9</v>
      </c>
      <c r="AH14" s="145">
        <v>5</v>
      </c>
      <c r="AI14" s="145">
        <v>8</v>
      </c>
      <c r="AJ14" s="146"/>
      <c r="AK14" s="48"/>
      <c r="AL14" s="48"/>
      <c r="AM14" s="48"/>
    </row>
    <row r="15" spans="1:40" x14ac:dyDescent="0.35">
      <c r="A15" s="121"/>
      <c r="B15" s="120"/>
      <c r="C15" s="123"/>
      <c r="D15" s="123"/>
      <c r="E15" s="123"/>
      <c r="F15" s="123"/>
      <c r="G15" s="123"/>
      <c r="H15" s="120"/>
      <c r="I15" s="962"/>
      <c r="J15" s="120"/>
      <c r="K15" s="962"/>
      <c r="L15" s="120"/>
      <c r="M15" s="964"/>
      <c r="N15" s="120"/>
      <c r="O15" s="964"/>
      <c r="P15" s="137"/>
      <c r="Q15" s="137"/>
      <c r="R15" s="120"/>
      <c r="S15" s="964"/>
      <c r="T15" s="120"/>
      <c r="U15" s="964"/>
      <c r="V15" s="120"/>
      <c r="W15" s="964"/>
      <c r="X15" s="120"/>
      <c r="Y15" s="964"/>
      <c r="Z15" s="120"/>
      <c r="AA15" s="964"/>
      <c r="AB15" s="120"/>
      <c r="AC15" s="964"/>
      <c r="AD15" s="120"/>
      <c r="AE15" s="964"/>
      <c r="AF15" s="120"/>
      <c r="AG15" s="147"/>
      <c r="AH15" s="148"/>
      <c r="AI15" s="148"/>
      <c r="AJ15" s="149"/>
      <c r="AK15" s="48"/>
      <c r="AL15" s="48"/>
      <c r="AM15" s="48"/>
    </row>
    <row r="16" spans="1:40" ht="6" customHeight="1" x14ac:dyDescent="0.35">
      <c r="A16" s="121"/>
      <c r="B16" s="120"/>
      <c r="C16" s="137"/>
      <c r="D16" s="121"/>
      <c r="E16" s="137"/>
      <c r="F16" s="121"/>
      <c r="G16" s="137"/>
      <c r="H16" s="121"/>
      <c r="I16" s="150">
        <v>0</v>
      </c>
      <c r="J16" s="121"/>
      <c r="K16" s="150">
        <v>0</v>
      </c>
      <c r="L16" s="121"/>
      <c r="M16" s="150">
        <v>0</v>
      </c>
      <c r="N16" s="121"/>
      <c r="O16" s="150">
        <v>0</v>
      </c>
      <c r="P16" s="137"/>
      <c r="Q16" s="137"/>
      <c r="R16" s="121"/>
      <c r="S16" s="150">
        <v>0</v>
      </c>
      <c r="T16" s="121"/>
      <c r="U16" s="150">
        <v>0</v>
      </c>
      <c r="V16" s="121"/>
      <c r="W16" s="150" t="s">
        <v>400</v>
      </c>
      <c r="X16" s="121"/>
      <c r="Y16" s="150" t="s">
        <v>400</v>
      </c>
      <c r="Z16" s="121"/>
      <c r="AA16" s="150" t="s">
        <v>400</v>
      </c>
      <c r="AB16" s="121"/>
      <c r="AC16" s="150" t="s">
        <v>400</v>
      </c>
      <c r="AD16" s="123"/>
      <c r="AE16" s="150" t="s">
        <v>400</v>
      </c>
      <c r="AF16" s="120"/>
      <c r="AG16" s="147"/>
      <c r="AH16" s="148"/>
      <c r="AI16" s="148"/>
      <c r="AJ16" s="149"/>
      <c r="AK16" s="48"/>
      <c r="AL16" s="48"/>
      <c r="AM16" s="48"/>
    </row>
    <row r="17" spans="1:39" x14ac:dyDescent="0.35">
      <c r="A17" s="121"/>
      <c r="B17" s="120"/>
      <c r="C17" s="122"/>
      <c r="D17" s="120"/>
      <c r="E17" s="122"/>
      <c r="F17" s="120"/>
      <c r="G17" s="122"/>
      <c r="H17" s="120"/>
      <c r="I17" s="122" t="s">
        <v>129</v>
      </c>
      <c r="J17" s="120"/>
      <c r="K17" s="122" t="s">
        <v>366</v>
      </c>
      <c r="L17" s="120"/>
      <c r="M17" s="122" t="s">
        <v>126</v>
      </c>
      <c r="N17" s="120"/>
      <c r="O17" s="122" t="s">
        <v>139</v>
      </c>
      <c r="P17" s="122"/>
      <c r="Q17" s="122"/>
      <c r="R17" s="120"/>
      <c r="S17" s="122" t="s">
        <v>126</v>
      </c>
      <c r="T17" s="120"/>
      <c r="U17" s="122" t="s">
        <v>137</v>
      </c>
      <c r="V17" s="120"/>
      <c r="W17" s="122" t="s">
        <v>142</v>
      </c>
      <c r="X17" s="120"/>
      <c r="Y17" s="122" t="s">
        <v>126</v>
      </c>
      <c r="Z17" s="120"/>
      <c r="AA17" s="122" t="s">
        <v>126</v>
      </c>
      <c r="AB17" s="120"/>
      <c r="AC17" s="122" t="s">
        <v>161</v>
      </c>
      <c r="AD17" s="120"/>
      <c r="AE17" s="122" t="s">
        <v>401</v>
      </c>
      <c r="AF17" s="120"/>
      <c r="AG17" s="147"/>
      <c r="AH17" s="148"/>
      <c r="AI17" s="148"/>
      <c r="AJ17" s="149"/>
      <c r="AK17" s="48"/>
      <c r="AL17" s="48"/>
      <c r="AM17" s="48"/>
    </row>
    <row r="18" spans="1:39" s="155" customFormat="1" x14ac:dyDescent="0.35">
      <c r="A18" s="128"/>
      <c r="B18" s="128"/>
      <c r="C18" s="122"/>
      <c r="D18" s="128"/>
      <c r="E18" s="151"/>
      <c r="F18" s="128"/>
      <c r="G18" s="151"/>
      <c r="H18" s="128"/>
      <c r="I18" s="152"/>
      <c r="J18" s="152"/>
      <c r="K18" s="152"/>
      <c r="L18" s="152"/>
      <c r="M18" s="153" t="s">
        <v>402</v>
      </c>
      <c r="N18" s="153"/>
      <c r="O18" s="153" t="s">
        <v>402</v>
      </c>
      <c r="P18" s="153"/>
      <c r="Q18" s="153"/>
      <c r="R18" s="153"/>
      <c r="S18" s="153" t="s">
        <v>402</v>
      </c>
      <c r="T18" s="153"/>
      <c r="U18" s="153" t="s">
        <v>402</v>
      </c>
      <c r="V18" s="153"/>
      <c r="W18" s="153" t="s">
        <v>402</v>
      </c>
      <c r="X18" s="153"/>
      <c r="Y18" s="153" t="s">
        <v>402</v>
      </c>
      <c r="Z18" s="153"/>
      <c r="AA18" s="153" t="s">
        <v>402</v>
      </c>
      <c r="AB18" s="153"/>
      <c r="AC18" s="153" t="s">
        <v>403</v>
      </c>
      <c r="AD18" s="153"/>
      <c r="AE18" s="153" t="s">
        <v>403</v>
      </c>
      <c r="AF18" s="128"/>
      <c r="AG18" s="147"/>
      <c r="AH18" s="148"/>
      <c r="AI18" s="148"/>
      <c r="AJ18" s="154"/>
      <c r="AK18" s="49"/>
      <c r="AL18" s="49"/>
      <c r="AM18" s="49"/>
    </row>
    <row r="19" spans="1:39" s="155" customFormat="1" ht="15" thickBot="1" x14ac:dyDescent="0.4">
      <c r="A19" s="128"/>
      <c r="B19" s="128"/>
      <c r="C19" s="122"/>
      <c r="D19" s="128"/>
      <c r="E19" s="151"/>
      <c r="F19" s="128"/>
      <c r="G19" s="151"/>
      <c r="H19" s="128"/>
      <c r="I19" s="152"/>
      <c r="J19" s="152"/>
      <c r="K19" s="152"/>
      <c r="L19" s="152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28"/>
      <c r="AG19" s="147"/>
      <c r="AH19" s="148"/>
      <c r="AI19" s="148"/>
      <c r="AJ19" s="154"/>
      <c r="AK19" s="49"/>
      <c r="AL19" s="49"/>
      <c r="AM19" s="49"/>
    </row>
    <row r="20" spans="1:39" s="155" customFormat="1" ht="15" thickBot="1" x14ac:dyDescent="0.4">
      <c r="A20" s="128"/>
      <c r="B20" s="128"/>
      <c r="C20" s="122"/>
      <c r="D20" s="128"/>
      <c r="E20" s="151"/>
      <c r="F20" s="128"/>
      <c r="G20" s="151"/>
      <c r="H20" s="128"/>
      <c r="I20" s="977" t="s">
        <v>404</v>
      </c>
      <c r="J20" s="978"/>
      <c r="K20" s="978"/>
      <c r="L20" s="978"/>
      <c r="M20" s="978"/>
      <c r="N20" s="978"/>
      <c r="O20" s="978"/>
      <c r="P20" s="978"/>
      <c r="Q20" s="978"/>
      <c r="R20" s="978"/>
      <c r="S20" s="978"/>
      <c r="T20" s="978"/>
      <c r="U20" s="978"/>
      <c r="V20" s="978"/>
      <c r="W20" s="978"/>
      <c r="X20" s="978"/>
      <c r="Y20" s="978"/>
      <c r="Z20" s="978"/>
      <c r="AA20" s="978"/>
      <c r="AB20" s="978"/>
      <c r="AC20" s="978"/>
      <c r="AD20" s="978"/>
      <c r="AE20" s="979"/>
      <c r="AF20" s="128"/>
      <c r="AG20" s="147"/>
      <c r="AH20" s="148"/>
      <c r="AI20" s="148"/>
      <c r="AJ20" s="154"/>
      <c r="AK20" s="49"/>
      <c r="AL20" s="49"/>
      <c r="AM20" s="49"/>
    </row>
    <row r="21" spans="1:39" x14ac:dyDescent="0.35">
      <c r="A21" s="156"/>
      <c r="B21" s="157"/>
      <c r="C21" s="158"/>
      <c r="D21" s="157"/>
      <c r="E21" s="158"/>
      <c r="F21" s="157"/>
      <c r="G21" s="158"/>
      <c r="H21" s="159"/>
      <c r="I21" s="158"/>
      <c r="J21" s="157"/>
      <c r="K21" s="160"/>
      <c r="L21" s="157"/>
      <c r="M21" s="161"/>
      <c r="N21" s="162"/>
      <c r="O21" s="161"/>
      <c r="P21" s="161"/>
      <c r="Q21" s="161"/>
      <c r="R21" s="163"/>
      <c r="S21" s="164"/>
      <c r="T21" s="163"/>
      <c r="U21" s="163"/>
      <c r="V21" s="165"/>
      <c r="W21" s="158"/>
      <c r="X21" s="157"/>
      <c r="Y21" s="158"/>
      <c r="Z21" s="157"/>
      <c r="AA21" s="158"/>
      <c r="AB21" s="157"/>
      <c r="AC21" s="158"/>
      <c r="AD21" s="157"/>
      <c r="AE21" s="158"/>
      <c r="AF21" s="157"/>
      <c r="AG21" s="166"/>
      <c r="AH21" s="167"/>
      <c r="AI21" s="167"/>
      <c r="AJ21" s="168"/>
      <c r="AK21" s="48"/>
      <c r="AL21" s="48"/>
      <c r="AM21" s="48"/>
    </row>
    <row r="22" spans="1:39" x14ac:dyDescent="0.35">
      <c r="A22" s="169"/>
      <c r="B22" s="120"/>
      <c r="C22" s="122" t="s">
        <v>405</v>
      </c>
      <c r="D22" s="122"/>
      <c r="E22" s="122" t="s">
        <v>406</v>
      </c>
      <c r="F22" s="122"/>
      <c r="G22" s="122" t="s">
        <v>407</v>
      </c>
      <c r="H22" s="122"/>
      <c r="I22" s="122" t="s">
        <v>408</v>
      </c>
      <c r="J22" s="122"/>
      <c r="K22" s="122" t="s">
        <v>409</v>
      </c>
      <c r="L22" s="122"/>
      <c r="M22" s="122" t="s">
        <v>125</v>
      </c>
      <c r="N22" s="122"/>
      <c r="O22" s="122" t="s">
        <v>410</v>
      </c>
      <c r="P22" s="122"/>
      <c r="Q22" s="122" t="s">
        <v>411</v>
      </c>
      <c r="R22" s="122"/>
      <c r="S22" s="122" t="s">
        <v>128</v>
      </c>
      <c r="T22" s="122"/>
      <c r="U22" s="122" t="s">
        <v>412</v>
      </c>
      <c r="V22" s="122"/>
      <c r="W22" s="122" t="s">
        <v>413</v>
      </c>
      <c r="X22" s="122"/>
      <c r="Y22" s="122" t="s">
        <v>414</v>
      </c>
      <c r="Z22" s="122"/>
      <c r="AA22" s="122" t="s">
        <v>415</v>
      </c>
      <c r="AB22" s="122"/>
      <c r="AC22" s="122" t="s">
        <v>416</v>
      </c>
      <c r="AD22" s="122"/>
      <c r="AE22" s="122" t="s">
        <v>417</v>
      </c>
      <c r="AF22" s="120"/>
      <c r="AG22" s="170"/>
      <c r="AH22" s="171"/>
      <c r="AI22" s="171"/>
      <c r="AJ22" s="172"/>
      <c r="AK22" s="48"/>
      <c r="AL22" s="48"/>
      <c r="AM22" s="48"/>
    </row>
    <row r="23" spans="1:39" x14ac:dyDescent="0.35">
      <c r="A23" s="173"/>
      <c r="B23" s="121"/>
      <c r="C23" s="121">
        <v>0</v>
      </c>
      <c r="D23" s="121"/>
      <c r="E23" s="121">
        <v>0</v>
      </c>
      <c r="F23" s="121"/>
      <c r="G23" s="121">
        <v>0</v>
      </c>
      <c r="H23" s="121"/>
      <c r="I23" s="121">
        <v>0</v>
      </c>
      <c r="J23" s="121"/>
      <c r="K23" s="121">
        <v>0</v>
      </c>
      <c r="L23" s="121"/>
      <c r="M23" s="121">
        <v>0</v>
      </c>
      <c r="N23" s="121"/>
      <c r="O23" s="121">
        <v>0</v>
      </c>
      <c r="P23" s="121"/>
      <c r="Q23" s="121"/>
      <c r="R23" s="121"/>
      <c r="S23" s="121">
        <v>0</v>
      </c>
      <c r="T23" s="121"/>
      <c r="U23" s="121"/>
      <c r="V23" s="121"/>
      <c r="W23" s="121">
        <v>0</v>
      </c>
      <c r="X23" s="121"/>
      <c r="Y23" s="121">
        <v>0</v>
      </c>
      <c r="Z23" s="121"/>
      <c r="AA23" s="121">
        <v>0</v>
      </c>
      <c r="AB23" s="121"/>
      <c r="AC23" s="121">
        <v>0</v>
      </c>
      <c r="AD23" s="121"/>
      <c r="AE23" s="121">
        <v>0</v>
      </c>
      <c r="AF23" s="120"/>
      <c r="AG23" s="174"/>
      <c r="AH23" s="175"/>
      <c r="AI23" s="176"/>
      <c r="AJ23" s="172"/>
      <c r="AK23" s="48"/>
      <c r="AL23" s="48"/>
      <c r="AM23" s="48"/>
    </row>
    <row r="24" spans="1:39" s="140" customFormat="1" ht="15" thickBot="1" x14ac:dyDescent="0.4">
      <c r="A24" s="177">
        <v>11</v>
      </c>
      <c r="B24" s="121"/>
      <c r="C24" s="121">
        <v>12</v>
      </c>
      <c r="D24" s="121"/>
      <c r="E24" s="121">
        <v>13</v>
      </c>
      <c r="F24" s="121"/>
      <c r="G24" s="121">
        <v>14</v>
      </c>
      <c r="H24" s="121"/>
      <c r="I24" s="121">
        <v>15</v>
      </c>
      <c r="J24" s="121"/>
      <c r="K24" s="121">
        <v>16</v>
      </c>
      <c r="L24" s="121"/>
      <c r="M24" s="121">
        <v>17</v>
      </c>
      <c r="N24" s="121"/>
      <c r="O24" s="121">
        <v>18</v>
      </c>
      <c r="P24" s="121"/>
      <c r="Q24" s="121"/>
      <c r="R24" s="121"/>
      <c r="S24" s="121">
        <v>19</v>
      </c>
      <c r="T24" s="121"/>
      <c r="U24" s="121">
        <v>20</v>
      </c>
      <c r="V24" s="121"/>
      <c r="W24" s="121">
        <v>21</v>
      </c>
      <c r="X24" s="121"/>
      <c r="Y24" s="121">
        <v>22</v>
      </c>
      <c r="Z24" s="121"/>
      <c r="AA24" s="121">
        <v>23</v>
      </c>
      <c r="AB24" s="121"/>
      <c r="AC24" s="121">
        <v>24</v>
      </c>
      <c r="AD24" s="121"/>
      <c r="AE24" s="121">
        <v>25</v>
      </c>
      <c r="AF24" s="121"/>
      <c r="AG24" s="174"/>
      <c r="AH24" s="175"/>
      <c r="AI24" s="178"/>
      <c r="AJ24" s="172"/>
      <c r="AK24" s="48"/>
      <c r="AL24" s="48"/>
      <c r="AM24" s="48"/>
    </row>
    <row r="25" spans="1:39" ht="15" thickBot="1" x14ac:dyDescent="0.4">
      <c r="A25" s="177"/>
      <c r="B25" s="143">
        <v>461.16399999999999</v>
      </c>
      <c r="C25" s="961"/>
      <c r="D25" s="143">
        <v>373</v>
      </c>
      <c r="E25" s="980" t="s">
        <v>418</v>
      </c>
      <c r="F25" s="143">
        <v>334.67</v>
      </c>
      <c r="G25" s="980" t="s">
        <v>418</v>
      </c>
      <c r="H25" s="143">
        <v>321.14999999999998</v>
      </c>
      <c r="I25" s="980" t="s">
        <v>418</v>
      </c>
      <c r="J25" s="143">
        <v>391</v>
      </c>
      <c r="K25" s="980" t="s">
        <v>418</v>
      </c>
      <c r="L25" s="143">
        <v>388</v>
      </c>
      <c r="M25" s="961"/>
      <c r="N25" s="143">
        <v>392</v>
      </c>
      <c r="O25" s="961"/>
      <c r="P25" s="179">
        <v>293</v>
      </c>
      <c r="Q25" s="961"/>
      <c r="R25" s="143">
        <v>274</v>
      </c>
      <c r="S25" s="961"/>
      <c r="T25" s="143">
        <v>218</v>
      </c>
      <c r="U25" s="961" t="s">
        <v>400</v>
      </c>
      <c r="V25" s="143">
        <v>422</v>
      </c>
      <c r="W25" s="961"/>
      <c r="X25" s="143">
        <v>339</v>
      </c>
      <c r="Y25" s="961"/>
      <c r="Z25" s="143">
        <v>423.63299999999998</v>
      </c>
      <c r="AA25" s="961" t="s">
        <v>400</v>
      </c>
      <c r="AB25" s="143">
        <v>335.19200000000001</v>
      </c>
      <c r="AC25" s="961" t="s">
        <v>400</v>
      </c>
      <c r="AD25" s="143">
        <v>326.577</v>
      </c>
      <c r="AE25" s="961" t="s">
        <v>400</v>
      </c>
      <c r="AF25" s="120"/>
      <c r="AG25" s="144">
        <v>4</v>
      </c>
      <c r="AH25" s="145">
        <v>3</v>
      </c>
      <c r="AI25" s="145">
        <v>0</v>
      </c>
      <c r="AJ25" s="180"/>
      <c r="AK25" s="48"/>
      <c r="AL25" s="48"/>
      <c r="AM25" s="48"/>
    </row>
    <row r="26" spans="1:39" x14ac:dyDescent="0.35">
      <c r="A26" s="177"/>
      <c r="B26" s="120"/>
      <c r="C26" s="962"/>
      <c r="D26" s="120"/>
      <c r="E26" s="981"/>
      <c r="F26" s="120"/>
      <c r="G26" s="981"/>
      <c r="H26" s="120"/>
      <c r="I26" s="981"/>
      <c r="J26" s="120"/>
      <c r="K26" s="981"/>
      <c r="L26" s="120"/>
      <c r="M26" s="962"/>
      <c r="N26" s="120"/>
      <c r="O26" s="962"/>
      <c r="P26" s="137"/>
      <c r="Q26" s="962"/>
      <c r="R26" s="120"/>
      <c r="S26" s="962"/>
      <c r="T26" s="120"/>
      <c r="U26" s="962"/>
      <c r="V26" s="120"/>
      <c r="W26" s="962"/>
      <c r="X26" s="120"/>
      <c r="Y26" s="962"/>
      <c r="Z26" s="120"/>
      <c r="AA26" s="962"/>
      <c r="AB26" s="120"/>
      <c r="AC26" s="962"/>
      <c r="AD26" s="120"/>
      <c r="AE26" s="962"/>
      <c r="AF26" s="120"/>
      <c r="AG26" s="147"/>
      <c r="AH26" s="148"/>
      <c r="AI26" s="148"/>
      <c r="AJ26" s="172"/>
      <c r="AK26" s="48"/>
      <c r="AL26" s="48"/>
      <c r="AM26" s="48"/>
    </row>
    <row r="27" spans="1:39" ht="6" customHeight="1" x14ac:dyDescent="0.35">
      <c r="A27" s="177"/>
      <c r="B27" s="120"/>
      <c r="C27" s="150">
        <v>0</v>
      </c>
      <c r="D27" s="121"/>
      <c r="E27" s="150">
        <v>0</v>
      </c>
      <c r="F27" s="121"/>
      <c r="G27" s="150">
        <v>0</v>
      </c>
      <c r="H27" s="121"/>
      <c r="I27" s="150">
        <v>0</v>
      </c>
      <c r="J27" s="121"/>
      <c r="K27" s="150">
        <v>0</v>
      </c>
      <c r="L27" s="121"/>
      <c r="M27" s="150">
        <v>0</v>
      </c>
      <c r="N27" s="121"/>
      <c r="O27" s="150">
        <v>0</v>
      </c>
      <c r="P27" s="137"/>
      <c r="Q27" s="150">
        <v>0</v>
      </c>
      <c r="R27" s="121"/>
      <c r="S27" s="150">
        <v>0</v>
      </c>
      <c r="T27" s="121"/>
      <c r="U27" s="150" t="s">
        <v>400</v>
      </c>
      <c r="V27" s="121"/>
      <c r="W27" s="150">
        <v>0</v>
      </c>
      <c r="X27" s="121"/>
      <c r="Y27" s="150">
        <v>0</v>
      </c>
      <c r="Z27" s="121"/>
      <c r="AA27" s="150" t="s">
        <v>400</v>
      </c>
      <c r="AB27" s="121"/>
      <c r="AC27" s="150">
        <v>0</v>
      </c>
      <c r="AD27" s="123"/>
      <c r="AE27" s="150" t="s">
        <v>400</v>
      </c>
      <c r="AF27" s="120"/>
      <c r="AG27" s="147"/>
      <c r="AH27" s="148"/>
      <c r="AI27" s="148"/>
      <c r="AJ27" s="172"/>
      <c r="AK27" s="48"/>
      <c r="AL27" s="48"/>
      <c r="AM27" s="48"/>
    </row>
    <row r="28" spans="1:39" x14ac:dyDescent="0.35">
      <c r="A28" s="177"/>
      <c r="B28" s="120"/>
      <c r="C28" s="122" t="s">
        <v>419</v>
      </c>
      <c r="D28" s="120"/>
      <c r="E28" s="122" t="s">
        <v>142</v>
      </c>
      <c r="F28" s="120"/>
      <c r="G28" s="122" t="s">
        <v>142</v>
      </c>
      <c r="H28" s="120"/>
      <c r="I28" s="122" t="s">
        <v>142</v>
      </c>
      <c r="J28" s="120"/>
      <c r="K28" s="122" t="s">
        <v>142</v>
      </c>
      <c r="L28" s="120"/>
      <c r="M28" s="122" t="s">
        <v>126</v>
      </c>
      <c r="N28" s="120"/>
      <c r="O28" s="122" t="s">
        <v>308</v>
      </c>
      <c r="P28" s="122"/>
      <c r="Q28" s="181" t="s">
        <v>161</v>
      </c>
      <c r="R28" s="120"/>
      <c r="S28" s="122" t="s">
        <v>129</v>
      </c>
      <c r="T28" s="120"/>
      <c r="U28" s="122" t="s">
        <v>137</v>
      </c>
      <c r="V28" s="120"/>
      <c r="W28" s="122" t="s">
        <v>126</v>
      </c>
      <c r="X28" s="120"/>
      <c r="Y28" s="122" t="s">
        <v>126</v>
      </c>
      <c r="Z28" s="120"/>
      <c r="AA28" s="122" t="s">
        <v>320</v>
      </c>
      <c r="AB28" s="120"/>
      <c r="AC28" s="122" t="s">
        <v>161</v>
      </c>
      <c r="AD28" s="120"/>
      <c r="AE28" s="122" t="s">
        <v>161</v>
      </c>
      <c r="AF28" s="120"/>
      <c r="AG28" s="147"/>
      <c r="AH28" s="148"/>
      <c r="AI28" s="148"/>
      <c r="AJ28" s="172"/>
      <c r="AK28" s="48"/>
      <c r="AL28" s="48"/>
      <c r="AM28" s="48"/>
    </row>
    <row r="29" spans="1:39" s="155" customFormat="1" x14ac:dyDescent="0.35">
      <c r="A29" s="173"/>
      <c r="B29" s="128"/>
      <c r="C29" s="982" t="s">
        <v>420</v>
      </c>
      <c r="D29" s="982"/>
      <c r="E29" s="982"/>
      <c r="F29" s="982"/>
      <c r="G29" s="982"/>
      <c r="H29" s="982"/>
      <c r="I29" s="982"/>
      <c r="J29" s="982"/>
      <c r="K29" s="982"/>
      <c r="L29" s="982"/>
      <c r="M29" s="982"/>
      <c r="N29" s="982"/>
      <c r="O29" s="982"/>
      <c r="P29" s="982"/>
      <c r="Q29" s="982"/>
      <c r="R29" s="982"/>
      <c r="S29" s="982"/>
      <c r="T29" s="152"/>
      <c r="U29" s="153" t="s">
        <v>421</v>
      </c>
      <c r="V29" s="153"/>
      <c r="W29" s="153"/>
      <c r="X29" s="153"/>
      <c r="Y29" s="153"/>
      <c r="Z29" s="128"/>
      <c r="AA29" s="153" t="s">
        <v>421</v>
      </c>
      <c r="AB29" s="153"/>
      <c r="AC29" s="153" t="s">
        <v>421</v>
      </c>
      <c r="AD29" s="153"/>
      <c r="AE29" s="153" t="s">
        <v>422</v>
      </c>
      <c r="AF29" s="128"/>
      <c r="AG29" s="147"/>
      <c r="AH29" s="148"/>
      <c r="AI29" s="148"/>
      <c r="AJ29" s="182"/>
      <c r="AK29" s="49"/>
      <c r="AL29" s="49"/>
      <c r="AM29" s="49"/>
    </row>
    <row r="30" spans="1:39" s="155" customFormat="1" ht="15" thickBot="1" x14ac:dyDescent="0.4">
      <c r="A30" s="183"/>
      <c r="C30" s="153"/>
      <c r="D30" s="153"/>
      <c r="E30" s="184" t="s">
        <v>423</v>
      </c>
      <c r="F30" s="153"/>
      <c r="G30" s="184" t="s">
        <v>423</v>
      </c>
      <c r="H30" s="153"/>
      <c r="I30" s="184" t="s">
        <v>423</v>
      </c>
      <c r="J30" s="153"/>
      <c r="K30" s="184" t="s">
        <v>423</v>
      </c>
      <c r="L30" s="153"/>
      <c r="M30" s="153"/>
      <c r="N30" s="153"/>
      <c r="O30" s="153"/>
      <c r="P30" s="153"/>
      <c r="Q30" s="153"/>
      <c r="R30" s="153"/>
      <c r="S30" s="153"/>
      <c r="T30" s="152"/>
      <c r="U30" s="153"/>
      <c r="V30" s="153"/>
      <c r="W30" s="153"/>
      <c r="X30" s="153"/>
      <c r="Y30" s="153"/>
      <c r="AA30" s="185"/>
      <c r="AB30" s="153"/>
      <c r="AC30" s="153"/>
      <c r="AD30" s="153"/>
      <c r="AE30" s="153"/>
      <c r="AF30" s="128"/>
      <c r="AG30" s="147"/>
      <c r="AH30" s="148"/>
      <c r="AI30" s="148"/>
      <c r="AJ30" s="182"/>
      <c r="AK30" s="49"/>
      <c r="AL30" s="49"/>
      <c r="AM30" s="49"/>
    </row>
    <row r="31" spans="1:39" s="155" customFormat="1" ht="15" thickBot="1" x14ac:dyDescent="0.4">
      <c r="A31" s="186"/>
      <c r="B31" s="983" t="s">
        <v>404</v>
      </c>
      <c r="C31" s="984"/>
      <c r="D31" s="984"/>
      <c r="E31" s="984"/>
      <c r="F31" s="984"/>
      <c r="G31" s="984"/>
      <c r="H31" s="984"/>
      <c r="I31" s="984"/>
      <c r="J31" s="984"/>
      <c r="K31" s="984"/>
      <c r="L31" s="984"/>
      <c r="M31" s="984"/>
      <c r="N31" s="984"/>
      <c r="O31" s="984"/>
      <c r="P31" s="984"/>
      <c r="Q31" s="984"/>
      <c r="R31" s="984"/>
      <c r="S31" s="984"/>
      <c r="T31" s="984"/>
      <c r="U31" s="984"/>
      <c r="V31" s="984"/>
      <c r="W31" s="984"/>
      <c r="X31" s="984"/>
      <c r="Y31" s="984"/>
      <c r="Z31" s="984"/>
      <c r="AA31" s="984"/>
      <c r="AB31" s="984"/>
      <c r="AC31" s="984"/>
      <c r="AD31" s="984"/>
      <c r="AE31" s="985"/>
      <c r="AF31" s="187"/>
      <c r="AG31" s="188"/>
      <c r="AH31" s="189"/>
      <c r="AI31" s="189"/>
      <c r="AJ31" s="190"/>
      <c r="AK31" s="49"/>
      <c r="AL31" s="49"/>
      <c r="AM31" s="49"/>
    </row>
    <row r="32" spans="1:39" x14ac:dyDescent="0.35">
      <c r="A32" s="156"/>
      <c r="B32" s="157"/>
      <c r="C32" s="158" t="s">
        <v>424</v>
      </c>
      <c r="D32" s="157"/>
      <c r="E32" s="158"/>
      <c r="F32" s="157"/>
      <c r="G32" s="158"/>
      <c r="H32" s="159" t="s">
        <v>425</v>
      </c>
      <c r="I32" s="158"/>
      <c r="J32" s="157"/>
      <c r="K32" s="160"/>
      <c r="L32" s="157"/>
      <c r="M32" s="158"/>
      <c r="N32" s="157"/>
      <c r="O32" s="158"/>
      <c r="P32" s="158"/>
      <c r="Q32" s="158"/>
      <c r="R32" s="157"/>
      <c r="S32" s="160"/>
      <c r="T32" s="157"/>
      <c r="U32" s="158"/>
      <c r="V32" s="157"/>
      <c r="W32" s="158"/>
      <c r="X32" s="157"/>
      <c r="Y32" s="158"/>
      <c r="Z32" s="157"/>
      <c r="AA32" s="191"/>
      <c r="AB32" s="157"/>
      <c r="AC32" s="158"/>
      <c r="AD32" s="157"/>
      <c r="AE32" s="158"/>
      <c r="AF32" s="157"/>
      <c r="AG32" s="166"/>
      <c r="AH32" s="167"/>
      <c r="AI32" s="167"/>
      <c r="AJ32" s="168"/>
      <c r="AK32" s="48"/>
      <c r="AL32" s="48"/>
      <c r="AM32" s="48"/>
    </row>
    <row r="33" spans="1:39" x14ac:dyDescent="0.35">
      <c r="A33" s="169"/>
      <c r="B33" s="120"/>
      <c r="C33" s="122" t="s">
        <v>426</v>
      </c>
      <c r="D33" s="122"/>
      <c r="E33" s="122" t="s">
        <v>427</v>
      </c>
      <c r="F33" s="122"/>
      <c r="G33" s="122" t="s">
        <v>428</v>
      </c>
      <c r="H33" s="122"/>
      <c r="I33" s="122" t="s">
        <v>429</v>
      </c>
      <c r="J33" s="122"/>
      <c r="K33" s="122" t="s">
        <v>430</v>
      </c>
      <c r="L33" s="122"/>
      <c r="M33" s="122" t="s">
        <v>431</v>
      </c>
      <c r="N33" s="122"/>
      <c r="O33" s="122" t="s">
        <v>432</v>
      </c>
      <c r="P33" s="122"/>
      <c r="Q33" s="122"/>
      <c r="R33" s="122"/>
      <c r="S33" s="122" t="s">
        <v>433</v>
      </c>
      <c r="T33" s="122"/>
      <c r="U33" s="122" t="s">
        <v>434</v>
      </c>
      <c r="V33" s="122"/>
      <c r="W33" s="122" t="s">
        <v>435</v>
      </c>
      <c r="X33" s="122"/>
      <c r="Y33" s="122" t="s">
        <v>436</v>
      </c>
      <c r="Z33" s="122"/>
      <c r="AA33" s="122" t="s">
        <v>437</v>
      </c>
      <c r="AB33" s="122"/>
      <c r="AC33" s="122" t="s">
        <v>438</v>
      </c>
      <c r="AD33" s="122"/>
      <c r="AE33" s="122" t="s">
        <v>439</v>
      </c>
      <c r="AF33" s="120"/>
      <c r="AG33" s="170"/>
      <c r="AH33" s="171"/>
      <c r="AI33" s="171"/>
      <c r="AJ33" s="172"/>
      <c r="AK33" s="48"/>
      <c r="AL33" s="48"/>
      <c r="AM33" s="48"/>
    </row>
    <row r="34" spans="1:39" x14ac:dyDescent="0.35">
      <c r="A34" s="173"/>
      <c r="B34" s="121"/>
      <c r="C34" s="121">
        <v>0</v>
      </c>
      <c r="D34" s="121"/>
      <c r="E34" s="121">
        <v>0</v>
      </c>
      <c r="F34" s="121"/>
      <c r="G34" s="121">
        <v>0</v>
      </c>
      <c r="H34" s="121"/>
      <c r="I34" s="121">
        <v>0</v>
      </c>
      <c r="J34" s="121"/>
      <c r="K34" s="121">
        <v>0</v>
      </c>
      <c r="L34" s="121"/>
      <c r="M34" s="121">
        <v>0</v>
      </c>
      <c r="N34" s="121"/>
      <c r="O34" s="121">
        <v>0</v>
      </c>
      <c r="P34" s="121"/>
      <c r="Q34" s="121"/>
      <c r="R34" s="121"/>
      <c r="S34" s="121">
        <v>0</v>
      </c>
      <c r="T34" s="121"/>
      <c r="U34" s="121">
        <v>0</v>
      </c>
      <c r="V34" s="121"/>
      <c r="W34" s="121">
        <v>1</v>
      </c>
      <c r="X34" s="121"/>
      <c r="Y34" s="121">
        <v>1</v>
      </c>
      <c r="Z34" s="121"/>
      <c r="AA34" s="121">
        <v>0</v>
      </c>
      <c r="AB34" s="121"/>
      <c r="AC34" s="121">
        <v>0</v>
      </c>
      <c r="AD34" s="121"/>
      <c r="AE34" s="121">
        <v>0</v>
      </c>
      <c r="AF34" s="120"/>
      <c r="AG34" s="174"/>
      <c r="AH34" s="175"/>
      <c r="AI34" s="176"/>
      <c r="AJ34" s="172"/>
      <c r="AK34" s="48"/>
      <c r="AL34" s="48"/>
      <c r="AM34" s="48"/>
    </row>
    <row r="35" spans="1:39" s="140" customFormat="1" ht="15" thickBot="1" x14ac:dyDescent="0.4">
      <c r="A35" s="177">
        <v>25</v>
      </c>
      <c r="B35" s="121"/>
      <c r="C35" s="121">
        <v>26</v>
      </c>
      <c r="D35" s="121"/>
      <c r="E35" s="121">
        <v>27</v>
      </c>
      <c r="F35" s="121"/>
      <c r="G35" s="121">
        <v>28</v>
      </c>
      <c r="H35" s="121"/>
      <c r="I35" s="121">
        <v>29</v>
      </c>
      <c r="J35" s="121"/>
      <c r="K35" s="121">
        <v>30</v>
      </c>
      <c r="L35" s="121"/>
      <c r="M35" s="121">
        <v>31</v>
      </c>
      <c r="N35" s="121"/>
      <c r="O35" s="121">
        <v>32</v>
      </c>
      <c r="P35" s="121"/>
      <c r="Q35" s="121"/>
      <c r="R35" s="121"/>
      <c r="S35" s="121">
        <v>33</v>
      </c>
      <c r="T35" s="121"/>
      <c r="U35" s="121">
        <v>34</v>
      </c>
      <c r="V35" s="121"/>
      <c r="W35" s="121">
        <v>35</v>
      </c>
      <c r="X35" s="121"/>
      <c r="Y35" s="121">
        <v>36</v>
      </c>
      <c r="Z35" s="121"/>
      <c r="AA35" s="121">
        <v>37</v>
      </c>
      <c r="AB35" s="121"/>
      <c r="AC35" s="121">
        <v>38</v>
      </c>
      <c r="AD35" s="121"/>
      <c r="AE35" s="121">
        <v>39</v>
      </c>
      <c r="AF35" s="121"/>
      <c r="AG35" s="174"/>
      <c r="AH35" s="175"/>
      <c r="AI35" s="178"/>
      <c r="AJ35" s="172"/>
      <c r="AK35" s="192"/>
      <c r="AL35" s="192"/>
      <c r="AM35" s="192"/>
    </row>
    <row r="36" spans="1:39" ht="15" thickBot="1" x14ac:dyDescent="0.4">
      <c r="A36" s="177"/>
      <c r="B36" s="143">
        <v>304.947</v>
      </c>
      <c r="C36" s="961" t="s">
        <v>400</v>
      </c>
      <c r="D36" s="143">
        <v>379.11</v>
      </c>
      <c r="E36" s="961" t="s">
        <v>400</v>
      </c>
      <c r="F36" s="143">
        <v>375.44200000000001</v>
      </c>
      <c r="G36" s="980" t="s">
        <v>418</v>
      </c>
      <c r="H36" s="143">
        <v>212.41800000000001</v>
      </c>
      <c r="I36" s="980" t="s">
        <v>418</v>
      </c>
      <c r="J36" s="143">
        <v>326.00099999999998</v>
      </c>
      <c r="K36" s="961" t="s">
        <v>400</v>
      </c>
      <c r="L36" s="143">
        <v>332</v>
      </c>
      <c r="M36" s="961" t="s">
        <v>400</v>
      </c>
      <c r="N36" s="143">
        <v>285</v>
      </c>
      <c r="O36" s="961" t="s">
        <v>400</v>
      </c>
      <c r="P36" s="137"/>
      <c r="Q36" s="143">
        <v>345</v>
      </c>
      <c r="R36" s="143"/>
      <c r="S36" s="961" t="s">
        <v>400</v>
      </c>
      <c r="T36" s="143">
        <v>380.28199999999998</v>
      </c>
      <c r="U36" s="961" t="s">
        <v>400</v>
      </c>
      <c r="V36" s="143">
        <v>384.99799999999999</v>
      </c>
      <c r="W36" s="961" t="s">
        <v>400</v>
      </c>
      <c r="X36" s="143">
        <v>360</v>
      </c>
      <c r="Y36" s="961" t="s">
        <v>400</v>
      </c>
      <c r="Z36" s="143">
        <v>378</v>
      </c>
      <c r="AA36" s="961" t="s">
        <v>400</v>
      </c>
      <c r="AB36" s="143">
        <v>387</v>
      </c>
      <c r="AC36" s="961" t="s">
        <v>400</v>
      </c>
      <c r="AD36" s="143">
        <v>439.322</v>
      </c>
      <c r="AE36" s="961" t="s">
        <v>400</v>
      </c>
      <c r="AF36" s="120"/>
      <c r="AG36" s="144">
        <v>12</v>
      </c>
      <c r="AH36" s="145">
        <v>11</v>
      </c>
      <c r="AI36" s="145">
        <v>6</v>
      </c>
      <c r="AJ36" s="180"/>
      <c r="AK36" s="48"/>
      <c r="AL36" s="48"/>
      <c r="AM36" s="48"/>
    </row>
    <row r="37" spans="1:39" x14ac:dyDescent="0.35">
      <c r="A37" s="177"/>
      <c r="B37" s="120"/>
      <c r="C37" s="962"/>
      <c r="D37" s="120"/>
      <c r="E37" s="962"/>
      <c r="F37" s="120"/>
      <c r="G37" s="981"/>
      <c r="H37" s="120"/>
      <c r="I37" s="981"/>
      <c r="J37" s="120"/>
      <c r="K37" s="962"/>
      <c r="L37" s="120"/>
      <c r="M37" s="962"/>
      <c r="N37" s="120"/>
      <c r="O37" s="962"/>
      <c r="P37" s="137"/>
      <c r="Q37" s="137"/>
      <c r="R37" s="120"/>
      <c r="S37" s="962"/>
      <c r="T37" s="120"/>
      <c r="U37" s="962"/>
      <c r="V37" s="120"/>
      <c r="W37" s="962"/>
      <c r="X37" s="120"/>
      <c r="Y37" s="962"/>
      <c r="Z37" s="120"/>
      <c r="AA37" s="962"/>
      <c r="AB37" s="120"/>
      <c r="AC37" s="962"/>
      <c r="AD37" s="120"/>
      <c r="AE37" s="962"/>
      <c r="AF37" s="120"/>
      <c r="AG37" s="147"/>
      <c r="AH37" s="148"/>
      <c r="AI37" s="148"/>
      <c r="AJ37" s="172"/>
      <c r="AK37" s="48"/>
      <c r="AL37" s="48"/>
      <c r="AM37" s="48"/>
    </row>
    <row r="38" spans="1:39" ht="6" customHeight="1" x14ac:dyDescent="0.35">
      <c r="A38" s="177"/>
      <c r="B38" s="120"/>
      <c r="C38" s="150">
        <v>0</v>
      </c>
      <c r="D38" s="121"/>
      <c r="E38" s="150" t="s">
        <v>400</v>
      </c>
      <c r="F38" s="121"/>
      <c r="G38" s="150">
        <v>0</v>
      </c>
      <c r="H38" s="121"/>
      <c r="I38" s="150">
        <v>0</v>
      </c>
      <c r="J38" s="121"/>
      <c r="K38" s="150" t="s">
        <v>400</v>
      </c>
      <c r="L38" s="121"/>
      <c r="M38" s="150" t="s">
        <v>400</v>
      </c>
      <c r="N38" s="121"/>
      <c r="O38" s="150" t="s">
        <v>400</v>
      </c>
      <c r="P38" s="137"/>
      <c r="Q38" s="137"/>
      <c r="R38" s="121"/>
      <c r="S38" s="150" t="s">
        <v>400</v>
      </c>
      <c r="T38" s="121"/>
      <c r="U38" s="150" t="s">
        <v>400</v>
      </c>
      <c r="V38" s="121"/>
      <c r="W38" s="150" t="s">
        <v>400</v>
      </c>
      <c r="X38" s="121"/>
      <c r="Y38" s="150" t="s">
        <v>400</v>
      </c>
      <c r="Z38" s="121"/>
      <c r="AA38" s="150" t="s">
        <v>400</v>
      </c>
      <c r="AB38" s="121"/>
      <c r="AC38" s="150" t="s">
        <v>400</v>
      </c>
      <c r="AD38" s="123"/>
      <c r="AE38" s="150" t="s">
        <v>400</v>
      </c>
      <c r="AF38" s="120"/>
      <c r="AG38" s="147"/>
      <c r="AH38" s="148"/>
      <c r="AI38" s="148"/>
      <c r="AJ38" s="172"/>
      <c r="AK38" s="48"/>
      <c r="AL38" s="48"/>
      <c r="AM38" s="48"/>
    </row>
    <row r="39" spans="1:39" x14ac:dyDescent="0.35">
      <c r="A39" s="177"/>
      <c r="B39" s="120"/>
      <c r="C39" s="122" t="s">
        <v>151</v>
      </c>
      <c r="D39" s="120"/>
      <c r="E39" s="122" t="s">
        <v>142</v>
      </c>
      <c r="F39" s="120"/>
      <c r="G39" s="122" t="s">
        <v>308</v>
      </c>
      <c r="H39" s="120"/>
      <c r="I39" s="122" t="s">
        <v>129</v>
      </c>
      <c r="J39" s="120"/>
      <c r="K39" s="122" t="s">
        <v>161</v>
      </c>
      <c r="L39" s="120"/>
      <c r="M39" s="122" t="s">
        <v>161</v>
      </c>
      <c r="N39" s="120"/>
      <c r="O39" s="122" t="s">
        <v>161</v>
      </c>
      <c r="P39" s="122"/>
      <c r="Q39" s="122"/>
      <c r="R39" s="120"/>
      <c r="S39" s="122" t="s">
        <v>142</v>
      </c>
      <c r="T39" s="120"/>
      <c r="U39" s="122" t="s">
        <v>151</v>
      </c>
      <c r="V39" s="120"/>
      <c r="W39" s="122" t="s">
        <v>132</v>
      </c>
      <c r="X39" s="120"/>
      <c r="Y39" s="122" t="s">
        <v>132</v>
      </c>
      <c r="Z39" s="120"/>
      <c r="AA39" s="122" t="s">
        <v>142</v>
      </c>
      <c r="AB39" s="120"/>
      <c r="AC39" s="122" t="s">
        <v>126</v>
      </c>
      <c r="AD39" s="120"/>
      <c r="AE39" s="122" t="s">
        <v>401</v>
      </c>
      <c r="AF39" s="120"/>
      <c r="AG39" s="147"/>
      <c r="AH39" s="148"/>
      <c r="AI39" s="148"/>
      <c r="AJ39" s="172"/>
      <c r="AK39" s="48"/>
      <c r="AL39" s="48"/>
      <c r="AM39" s="48"/>
    </row>
    <row r="40" spans="1:39" s="155" customFormat="1" x14ac:dyDescent="0.35">
      <c r="A40" s="193"/>
      <c r="B40" s="194"/>
      <c r="C40" s="153" t="s">
        <v>402</v>
      </c>
      <c r="E40" s="153" t="s">
        <v>402</v>
      </c>
      <c r="G40" s="184" t="s">
        <v>484</v>
      </c>
      <c r="I40" s="184" t="s">
        <v>484</v>
      </c>
      <c r="J40" s="153"/>
      <c r="K40" s="153" t="s">
        <v>421</v>
      </c>
      <c r="L40" s="153"/>
      <c r="M40" s="153" t="s">
        <v>422</v>
      </c>
      <c r="N40" s="153"/>
      <c r="O40" s="153" t="s">
        <v>422</v>
      </c>
      <c r="P40" s="153"/>
      <c r="Q40" s="153"/>
      <c r="S40" s="153" t="s">
        <v>402</v>
      </c>
      <c r="T40" s="153"/>
      <c r="U40" s="153" t="s">
        <v>421</v>
      </c>
      <c r="V40" s="153"/>
      <c r="W40" s="153" t="s">
        <v>402</v>
      </c>
      <c r="X40" s="153"/>
      <c r="Y40" s="153" t="s">
        <v>402</v>
      </c>
      <c r="Z40" s="153"/>
      <c r="AA40" s="153" t="s">
        <v>402</v>
      </c>
      <c r="AC40" s="153" t="s">
        <v>402</v>
      </c>
      <c r="AE40" s="153" t="s">
        <v>402</v>
      </c>
      <c r="AG40" s="195"/>
      <c r="AH40" s="196"/>
      <c r="AI40" s="196"/>
      <c r="AJ40" s="197"/>
      <c r="AK40" s="49"/>
      <c r="AL40" s="49"/>
      <c r="AM40" s="49"/>
    </row>
    <row r="41" spans="1:39" ht="15" thickBot="1" x14ac:dyDescent="0.4">
      <c r="A41" s="169"/>
      <c r="B41" s="120"/>
      <c r="C41" s="121"/>
      <c r="D41" s="120"/>
      <c r="E41" s="121"/>
      <c r="F41" s="120"/>
      <c r="G41" s="121"/>
      <c r="H41" s="122"/>
      <c r="I41" s="121"/>
      <c r="J41" s="120"/>
      <c r="K41" s="123"/>
      <c r="L41" s="120"/>
      <c r="M41" s="121"/>
      <c r="N41" s="120"/>
      <c r="O41" s="121"/>
      <c r="P41" s="121"/>
      <c r="Q41" s="121"/>
      <c r="R41" s="120"/>
      <c r="S41" s="123"/>
      <c r="T41" s="120"/>
      <c r="U41" s="121"/>
      <c r="V41" s="120"/>
      <c r="W41" s="121"/>
      <c r="X41" s="120"/>
      <c r="Y41" s="198"/>
      <c r="Z41" s="120"/>
      <c r="AA41" s="121"/>
      <c r="AB41" s="120"/>
      <c r="AC41" s="185"/>
      <c r="AD41" s="120"/>
      <c r="AE41" s="121"/>
      <c r="AF41" s="120"/>
      <c r="AG41" s="147"/>
      <c r="AH41" s="148"/>
      <c r="AI41" s="148"/>
      <c r="AJ41" s="172"/>
      <c r="AK41" s="48"/>
      <c r="AL41" s="48"/>
      <c r="AM41" s="48"/>
    </row>
    <row r="42" spans="1:39" ht="15" thickBot="1" x14ac:dyDescent="0.4">
      <c r="A42" s="199"/>
      <c r="B42" s="983" t="s">
        <v>404</v>
      </c>
      <c r="C42" s="984"/>
      <c r="D42" s="984"/>
      <c r="E42" s="984"/>
      <c r="F42" s="984"/>
      <c r="G42" s="984"/>
      <c r="H42" s="984"/>
      <c r="I42" s="984"/>
      <c r="J42" s="984"/>
      <c r="K42" s="984"/>
      <c r="L42" s="984"/>
      <c r="M42" s="984"/>
      <c r="N42" s="984"/>
      <c r="O42" s="984"/>
      <c r="P42" s="984"/>
      <c r="Q42" s="984"/>
      <c r="R42" s="984"/>
      <c r="S42" s="984"/>
      <c r="T42" s="984"/>
      <c r="U42" s="984"/>
      <c r="V42" s="984"/>
      <c r="W42" s="984"/>
      <c r="X42" s="984"/>
      <c r="Y42" s="984"/>
      <c r="Z42" s="984"/>
      <c r="AA42" s="984"/>
      <c r="AB42" s="984"/>
      <c r="AC42" s="984"/>
      <c r="AD42" s="984"/>
      <c r="AE42" s="985"/>
      <c r="AF42" s="200"/>
      <c r="AG42" s="188"/>
      <c r="AH42" s="189"/>
      <c r="AI42" s="189"/>
      <c r="AJ42" s="201"/>
      <c r="AK42" s="48"/>
      <c r="AL42" s="48"/>
      <c r="AM42" s="48"/>
    </row>
    <row r="43" spans="1:39" x14ac:dyDescent="0.35">
      <c r="A43" s="156"/>
      <c r="B43" s="157"/>
      <c r="C43" s="159" t="s">
        <v>440</v>
      </c>
      <c r="D43" s="159"/>
      <c r="E43" s="159" t="s">
        <v>441</v>
      </c>
      <c r="F43" s="159"/>
      <c r="G43" s="159" t="s">
        <v>442</v>
      </c>
      <c r="H43" s="159"/>
      <c r="I43" s="159" t="s">
        <v>443</v>
      </c>
      <c r="J43" s="159"/>
      <c r="K43" s="159" t="s">
        <v>444</v>
      </c>
      <c r="L43" s="159"/>
      <c r="M43" s="159" t="s">
        <v>445</v>
      </c>
      <c r="N43" s="159"/>
      <c r="O43" s="159" t="s">
        <v>446</v>
      </c>
      <c r="P43" s="159"/>
      <c r="Q43" s="159"/>
      <c r="R43" s="159"/>
      <c r="S43" s="159" t="s">
        <v>447</v>
      </c>
      <c r="T43" s="159"/>
      <c r="U43" s="159" t="s">
        <v>448</v>
      </c>
      <c r="V43" s="159"/>
      <c r="W43" s="159" t="s">
        <v>449</v>
      </c>
      <c r="X43" s="159"/>
      <c r="Y43" s="159" t="s">
        <v>131</v>
      </c>
      <c r="Z43" s="159"/>
      <c r="AA43" s="159" t="s">
        <v>450</v>
      </c>
      <c r="AB43" s="159"/>
      <c r="AC43" s="159" t="s">
        <v>451</v>
      </c>
      <c r="AD43" s="159"/>
      <c r="AE43" s="159" t="s">
        <v>452</v>
      </c>
      <c r="AF43" s="157"/>
      <c r="AG43" s="202"/>
      <c r="AH43" s="203"/>
      <c r="AI43" s="203"/>
      <c r="AJ43" s="168"/>
      <c r="AK43" s="48"/>
      <c r="AL43" s="48"/>
      <c r="AM43" s="48"/>
    </row>
    <row r="44" spans="1:39" x14ac:dyDescent="0.35">
      <c r="A44" s="173"/>
      <c r="B44" s="121"/>
      <c r="C44" s="121" t="s">
        <v>453</v>
      </c>
      <c r="D44" s="121"/>
      <c r="E44" s="121">
        <v>0</v>
      </c>
      <c r="F44" s="121"/>
      <c r="G44" s="121">
        <v>0</v>
      </c>
      <c r="H44" s="121"/>
      <c r="I44" s="121">
        <v>0</v>
      </c>
      <c r="J44" s="121"/>
      <c r="K44" s="121">
        <v>1</v>
      </c>
      <c r="L44" s="121"/>
      <c r="M44" s="121">
        <v>0</v>
      </c>
      <c r="N44" s="121"/>
      <c r="O44" s="121">
        <v>1</v>
      </c>
      <c r="P44" s="121"/>
      <c r="Q44" s="121"/>
      <c r="R44" s="121"/>
      <c r="S44" s="121">
        <v>0</v>
      </c>
      <c r="T44" s="121"/>
      <c r="U44" s="121">
        <v>0</v>
      </c>
      <c r="V44" s="121"/>
      <c r="W44" s="121">
        <v>0</v>
      </c>
      <c r="X44" s="121"/>
      <c r="Y44" s="121">
        <v>0</v>
      </c>
      <c r="Z44" s="121"/>
      <c r="AA44" s="121">
        <v>0</v>
      </c>
      <c r="AB44" s="121"/>
      <c r="AC44" s="121">
        <v>0</v>
      </c>
      <c r="AD44" s="121"/>
      <c r="AE44" s="121">
        <v>0</v>
      </c>
      <c r="AF44" s="120"/>
      <c r="AG44" s="174"/>
      <c r="AH44" s="175"/>
      <c r="AI44" s="176"/>
      <c r="AJ44" s="172"/>
      <c r="AK44" s="48"/>
      <c r="AL44" s="48"/>
      <c r="AM44" s="48"/>
    </row>
    <row r="45" spans="1:39" s="140" customFormat="1" ht="15" thickBot="1" x14ac:dyDescent="0.4">
      <c r="A45" s="177">
        <v>39</v>
      </c>
      <c r="B45" s="121"/>
      <c r="C45" s="121">
        <v>40</v>
      </c>
      <c r="D45" s="121"/>
      <c r="E45" s="121">
        <v>41</v>
      </c>
      <c r="F45" s="121"/>
      <c r="G45" s="121">
        <v>42</v>
      </c>
      <c r="H45" s="121"/>
      <c r="I45" s="121">
        <v>43</v>
      </c>
      <c r="J45" s="121"/>
      <c r="K45" s="121">
        <v>44</v>
      </c>
      <c r="L45" s="121"/>
      <c r="M45" s="121">
        <v>45</v>
      </c>
      <c r="N45" s="121"/>
      <c r="O45" s="121">
        <v>46</v>
      </c>
      <c r="P45" s="121"/>
      <c r="Q45" s="121"/>
      <c r="R45" s="121"/>
      <c r="S45" s="121">
        <v>47</v>
      </c>
      <c r="T45" s="121"/>
      <c r="U45" s="121">
        <v>48</v>
      </c>
      <c r="V45" s="121"/>
      <c r="W45" s="121">
        <v>49</v>
      </c>
      <c r="X45" s="121"/>
      <c r="Y45" s="121">
        <v>50</v>
      </c>
      <c r="Z45" s="121"/>
      <c r="AA45" s="121">
        <v>51</v>
      </c>
      <c r="AB45" s="121"/>
      <c r="AC45" s="121">
        <v>52</v>
      </c>
      <c r="AD45" s="121"/>
      <c r="AE45" s="121">
        <v>53</v>
      </c>
      <c r="AF45" s="121"/>
      <c r="AG45" s="174"/>
      <c r="AH45" s="175"/>
      <c r="AI45" s="178"/>
      <c r="AJ45" s="172"/>
      <c r="AK45" s="192"/>
      <c r="AL45" s="192"/>
      <c r="AM45" s="192"/>
    </row>
    <row r="46" spans="1:39" ht="15" thickBot="1" x14ac:dyDescent="0.4">
      <c r="A46" s="177"/>
      <c r="B46" s="143">
        <v>386.733</v>
      </c>
      <c r="C46" s="961" t="s">
        <v>400</v>
      </c>
      <c r="D46" s="143">
        <v>358.96199999999999</v>
      </c>
      <c r="E46" s="961" t="s">
        <v>400</v>
      </c>
      <c r="F46" s="143">
        <v>399.964</v>
      </c>
      <c r="G46" s="961" t="s">
        <v>400</v>
      </c>
      <c r="H46" s="143">
        <v>375.84500000000003</v>
      </c>
      <c r="I46" s="961" t="s">
        <v>454</v>
      </c>
      <c r="J46" s="143">
        <v>417.79599999999999</v>
      </c>
      <c r="K46" s="961" t="s">
        <v>400</v>
      </c>
      <c r="L46" s="143">
        <v>403.67700000000002</v>
      </c>
      <c r="M46" s="961" t="s">
        <v>400</v>
      </c>
      <c r="N46" s="143">
        <v>414.51900000000001</v>
      </c>
      <c r="O46" s="961" t="s">
        <v>400</v>
      </c>
      <c r="P46" s="137"/>
      <c r="Q46" s="143">
        <v>415.77100000000002</v>
      </c>
      <c r="R46" s="143"/>
      <c r="S46" s="961" t="s">
        <v>400</v>
      </c>
      <c r="T46" s="143">
        <v>339.11</v>
      </c>
      <c r="U46" s="961" t="s">
        <v>400</v>
      </c>
      <c r="V46" s="143">
        <v>398.31</v>
      </c>
      <c r="W46" s="961" t="s">
        <v>400</v>
      </c>
      <c r="X46" s="143">
        <v>390.62599999999998</v>
      </c>
      <c r="Y46" s="961" t="s">
        <v>400</v>
      </c>
      <c r="Z46" s="143">
        <v>441.23399999999998</v>
      </c>
      <c r="AA46" s="961" t="s">
        <v>400</v>
      </c>
      <c r="AB46" s="143">
        <v>415.00291377528868</v>
      </c>
      <c r="AC46" s="961" t="s">
        <v>400</v>
      </c>
      <c r="AD46" s="143">
        <v>416.99985762722139</v>
      </c>
      <c r="AE46" s="961" t="s">
        <v>400</v>
      </c>
      <c r="AF46" s="120"/>
      <c r="AG46" s="144">
        <v>13</v>
      </c>
      <c r="AH46" s="145">
        <v>11</v>
      </c>
      <c r="AI46" s="145">
        <v>8</v>
      </c>
      <c r="AJ46" s="180"/>
      <c r="AK46" s="48"/>
      <c r="AL46" s="48"/>
      <c r="AM46" s="48"/>
    </row>
    <row r="47" spans="1:39" x14ac:dyDescent="0.35">
      <c r="A47" s="177"/>
      <c r="B47" s="120"/>
      <c r="C47" s="962"/>
      <c r="D47" s="120"/>
      <c r="E47" s="962"/>
      <c r="F47" s="120"/>
      <c r="G47" s="962"/>
      <c r="H47" s="120"/>
      <c r="I47" s="962"/>
      <c r="J47" s="120"/>
      <c r="K47" s="962"/>
      <c r="L47" s="120"/>
      <c r="M47" s="962"/>
      <c r="N47" s="120"/>
      <c r="O47" s="962"/>
      <c r="P47" s="137"/>
      <c r="Q47" s="137"/>
      <c r="R47" s="120"/>
      <c r="S47" s="962"/>
      <c r="T47" s="120"/>
      <c r="U47" s="962"/>
      <c r="V47" s="120"/>
      <c r="W47" s="962"/>
      <c r="X47" s="120"/>
      <c r="Y47" s="962"/>
      <c r="Z47" s="120"/>
      <c r="AA47" s="962"/>
      <c r="AB47" s="120"/>
      <c r="AC47" s="962"/>
      <c r="AD47" s="120"/>
      <c r="AE47" s="962"/>
      <c r="AF47" s="120"/>
      <c r="AG47" s="147"/>
      <c r="AH47" s="148"/>
      <c r="AI47" s="148"/>
      <c r="AJ47" s="172"/>
      <c r="AK47" s="48"/>
      <c r="AL47" s="48"/>
      <c r="AM47" s="48"/>
    </row>
    <row r="48" spans="1:39" ht="6" customHeight="1" x14ac:dyDescent="0.35">
      <c r="A48" s="177"/>
      <c r="B48" s="120"/>
      <c r="C48" s="150" t="s">
        <v>400</v>
      </c>
      <c r="D48" s="121"/>
      <c r="E48" s="150" t="s">
        <v>400</v>
      </c>
      <c r="F48" s="121"/>
      <c r="G48" s="150" t="s">
        <v>400</v>
      </c>
      <c r="H48" s="121"/>
      <c r="I48" s="150">
        <v>0</v>
      </c>
      <c r="J48" s="121"/>
      <c r="K48" s="150">
        <v>0</v>
      </c>
      <c r="L48" s="121"/>
      <c r="M48" s="150" t="s">
        <v>400</v>
      </c>
      <c r="N48" s="121"/>
      <c r="O48" s="150" t="s">
        <v>400</v>
      </c>
      <c r="P48" s="137"/>
      <c r="Q48" s="137"/>
      <c r="R48" s="121"/>
      <c r="S48" s="150" t="s">
        <v>400</v>
      </c>
      <c r="T48" s="121"/>
      <c r="U48" s="150">
        <v>0</v>
      </c>
      <c r="V48" s="121"/>
      <c r="W48" s="150" t="s">
        <v>400</v>
      </c>
      <c r="X48" s="121"/>
      <c r="Y48" s="150" t="s">
        <v>400</v>
      </c>
      <c r="Z48" s="121"/>
      <c r="AA48" s="150" t="s">
        <v>400</v>
      </c>
      <c r="AB48" s="121"/>
      <c r="AC48" s="150" t="s">
        <v>400</v>
      </c>
      <c r="AD48" s="123"/>
      <c r="AE48" s="150" t="s">
        <v>400</v>
      </c>
      <c r="AF48" s="120"/>
      <c r="AG48" s="147"/>
      <c r="AH48" s="148"/>
      <c r="AI48" s="148"/>
      <c r="AJ48" s="172"/>
      <c r="AK48" s="48"/>
      <c r="AL48" s="48"/>
      <c r="AM48" s="48"/>
    </row>
    <row r="49" spans="1:39" x14ac:dyDescent="0.35">
      <c r="A49" s="177"/>
      <c r="B49" s="120"/>
      <c r="C49" s="122" t="s">
        <v>132</v>
      </c>
      <c r="D49" s="120"/>
      <c r="E49" s="122" t="s">
        <v>142</v>
      </c>
      <c r="F49" s="120"/>
      <c r="G49" s="122" t="s">
        <v>126</v>
      </c>
      <c r="H49" s="120"/>
      <c r="I49" s="122" t="s">
        <v>126</v>
      </c>
      <c r="J49" s="120"/>
      <c r="K49" s="122" t="s">
        <v>126</v>
      </c>
      <c r="L49" s="120"/>
      <c r="M49" s="122" t="s">
        <v>142</v>
      </c>
      <c r="N49" s="120"/>
      <c r="O49" s="122" t="s">
        <v>126</v>
      </c>
      <c r="P49" s="122"/>
      <c r="Q49" s="122"/>
      <c r="R49" s="120"/>
      <c r="S49" s="122" t="s">
        <v>142</v>
      </c>
      <c r="T49" s="120"/>
      <c r="U49" s="122" t="s">
        <v>360</v>
      </c>
      <c r="V49" s="120"/>
      <c r="W49" s="122" t="s">
        <v>126</v>
      </c>
      <c r="X49" s="120"/>
      <c r="Y49" s="122" t="s">
        <v>132</v>
      </c>
      <c r="Z49" s="120"/>
      <c r="AA49" s="122" t="s">
        <v>349</v>
      </c>
      <c r="AB49" s="120"/>
      <c r="AC49" s="122" t="s">
        <v>126</v>
      </c>
      <c r="AD49" s="120"/>
      <c r="AE49" s="122" t="s">
        <v>126</v>
      </c>
      <c r="AF49" s="120"/>
      <c r="AG49" s="147"/>
      <c r="AH49" s="148"/>
      <c r="AI49" s="148"/>
      <c r="AJ49" s="172"/>
      <c r="AK49" s="48"/>
      <c r="AL49" s="48"/>
      <c r="AM49" s="48"/>
    </row>
    <row r="50" spans="1:39" s="155" customFormat="1" x14ac:dyDescent="0.35">
      <c r="A50" s="173"/>
      <c r="B50" s="128"/>
      <c r="C50" s="153" t="s">
        <v>402</v>
      </c>
      <c r="D50" s="153"/>
      <c r="E50" s="153" t="s">
        <v>402</v>
      </c>
      <c r="G50" s="153" t="s">
        <v>403</v>
      </c>
      <c r="I50" s="153"/>
      <c r="J50" s="153"/>
      <c r="K50" s="153" t="s">
        <v>422</v>
      </c>
      <c r="L50" s="153"/>
      <c r="M50" s="153" t="s">
        <v>402</v>
      </c>
      <c r="N50" s="153"/>
      <c r="O50" s="153" t="s">
        <v>402</v>
      </c>
      <c r="P50" s="153"/>
      <c r="Q50" s="153"/>
      <c r="R50" s="153"/>
      <c r="S50" s="153" t="s">
        <v>402</v>
      </c>
      <c r="U50" s="153" t="s">
        <v>421</v>
      </c>
      <c r="W50" s="153" t="s">
        <v>402</v>
      </c>
      <c r="Y50" s="153" t="s">
        <v>421</v>
      </c>
      <c r="Z50" s="153"/>
      <c r="AA50" s="153" t="s">
        <v>421</v>
      </c>
      <c r="AB50" s="153"/>
      <c r="AC50" s="153" t="s">
        <v>402</v>
      </c>
      <c r="AD50" s="153"/>
      <c r="AE50" s="153" t="s">
        <v>402</v>
      </c>
      <c r="AF50" s="128"/>
      <c r="AG50" s="147"/>
      <c r="AH50" s="148"/>
      <c r="AI50" s="148"/>
      <c r="AJ50" s="182"/>
      <c r="AK50" s="49"/>
      <c r="AL50" s="49"/>
      <c r="AM50" s="49"/>
    </row>
    <row r="51" spans="1:39" s="155" customFormat="1" ht="15" thickBot="1" x14ac:dyDescent="0.4">
      <c r="A51" s="173"/>
      <c r="B51" s="128"/>
      <c r="C51" s="153"/>
      <c r="D51" s="153"/>
      <c r="E51" s="153"/>
      <c r="G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U51" s="152"/>
      <c r="W51" s="153"/>
      <c r="Y51" s="153"/>
      <c r="Z51" s="153"/>
      <c r="AA51" s="153"/>
      <c r="AB51" s="153"/>
      <c r="AC51" s="153"/>
      <c r="AD51" s="153"/>
      <c r="AE51" s="153"/>
      <c r="AF51" s="128"/>
      <c r="AG51" s="147"/>
      <c r="AH51" s="148"/>
      <c r="AI51" s="148"/>
      <c r="AJ51" s="182"/>
      <c r="AK51" s="49"/>
      <c r="AL51" s="49"/>
      <c r="AM51" s="49"/>
    </row>
    <row r="52" spans="1:39" s="155" customFormat="1" ht="15" thickBot="1" x14ac:dyDescent="0.4">
      <c r="A52" s="204"/>
      <c r="B52" s="983" t="s">
        <v>404</v>
      </c>
      <c r="C52" s="984"/>
      <c r="D52" s="984"/>
      <c r="E52" s="984"/>
      <c r="F52" s="984"/>
      <c r="G52" s="984"/>
      <c r="H52" s="984"/>
      <c r="I52" s="984"/>
      <c r="J52" s="984"/>
      <c r="K52" s="984"/>
      <c r="L52" s="984"/>
      <c r="M52" s="984"/>
      <c r="N52" s="984"/>
      <c r="O52" s="984"/>
      <c r="P52" s="984"/>
      <c r="Q52" s="984"/>
      <c r="R52" s="984"/>
      <c r="S52" s="984"/>
      <c r="T52" s="984"/>
      <c r="U52" s="984"/>
      <c r="V52" s="984"/>
      <c r="W52" s="984"/>
      <c r="X52" s="984"/>
      <c r="Y52" s="984"/>
      <c r="Z52" s="984"/>
      <c r="AA52" s="984"/>
      <c r="AB52" s="984"/>
      <c r="AC52" s="984"/>
      <c r="AD52" s="984"/>
      <c r="AE52" s="985"/>
      <c r="AF52" s="187"/>
      <c r="AG52" s="188"/>
      <c r="AH52" s="189"/>
      <c r="AI52" s="189"/>
      <c r="AJ52" s="190"/>
      <c r="AK52" s="49"/>
      <c r="AL52" s="49"/>
      <c r="AM52" s="49"/>
    </row>
    <row r="53" spans="1:39" ht="26.25" customHeight="1" x14ac:dyDescent="0.35">
      <c r="A53" s="156"/>
      <c r="B53" s="157"/>
      <c r="C53" s="158"/>
      <c r="D53" s="157"/>
      <c r="E53" s="205"/>
      <c r="F53" s="205"/>
      <c r="G53" s="206"/>
      <c r="H53" s="159" t="s">
        <v>455</v>
      </c>
      <c r="I53" s="191"/>
      <c r="J53" s="157"/>
      <c r="K53" s="160"/>
      <c r="L53" s="157"/>
      <c r="M53" s="158"/>
      <c r="N53" s="157"/>
      <c r="O53" s="207"/>
      <c r="P53" s="207"/>
      <c r="Q53" s="207"/>
      <c r="R53" s="157"/>
      <c r="S53" s="160"/>
      <c r="T53" s="157"/>
      <c r="U53" s="158"/>
      <c r="V53" s="157"/>
      <c r="W53" s="158"/>
      <c r="X53" s="157"/>
      <c r="Y53" s="158"/>
      <c r="Z53" s="157"/>
      <c r="AA53" s="158"/>
      <c r="AB53" s="157"/>
      <c r="AC53" s="158"/>
      <c r="AD53" s="157"/>
      <c r="AE53" s="158"/>
      <c r="AF53" s="157"/>
      <c r="AG53" s="166"/>
      <c r="AH53" s="167"/>
      <c r="AI53" s="167"/>
      <c r="AJ53" s="168"/>
      <c r="AK53" s="48"/>
      <c r="AL53" s="48"/>
      <c r="AM53" s="48"/>
    </row>
    <row r="54" spans="1:39" x14ac:dyDescent="0.35">
      <c r="A54" s="169"/>
      <c r="B54" s="120"/>
      <c r="C54" s="122" t="s">
        <v>456</v>
      </c>
      <c r="D54" s="122"/>
      <c r="E54" s="122" t="s">
        <v>457</v>
      </c>
      <c r="F54" s="122"/>
      <c r="G54" s="122" t="s">
        <v>458</v>
      </c>
      <c r="H54" s="122"/>
      <c r="I54" s="122" t="s">
        <v>133</v>
      </c>
      <c r="J54" s="122"/>
      <c r="K54" s="122" t="s">
        <v>459</v>
      </c>
      <c r="L54" s="122"/>
      <c r="M54" s="122" t="s">
        <v>460</v>
      </c>
      <c r="N54" s="122"/>
      <c r="O54" s="122" t="s">
        <v>461</v>
      </c>
      <c r="P54" s="122"/>
      <c r="Q54" s="122"/>
      <c r="R54" s="122"/>
      <c r="S54" s="122" t="s">
        <v>462</v>
      </c>
      <c r="T54" s="122"/>
      <c r="U54" s="122" t="s">
        <v>463</v>
      </c>
      <c r="V54" s="122"/>
      <c r="W54" s="122" t="s">
        <v>464</v>
      </c>
      <c r="X54" s="122"/>
      <c r="Y54" s="122" t="s">
        <v>465</v>
      </c>
      <c r="Z54" s="122"/>
      <c r="AA54" s="122" t="s">
        <v>466</v>
      </c>
      <c r="AB54" s="122"/>
      <c r="AC54" s="122" t="s">
        <v>467</v>
      </c>
      <c r="AD54" s="122"/>
      <c r="AE54" s="122" t="s">
        <v>468</v>
      </c>
      <c r="AF54" s="120"/>
      <c r="AG54" s="170"/>
      <c r="AH54" s="171"/>
      <c r="AI54" s="171"/>
      <c r="AJ54" s="172"/>
      <c r="AK54" s="48"/>
      <c r="AL54" s="48"/>
      <c r="AM54" s="48"/>
    </row>
    <row r="55" spans="1:39" x14ac:dyDescent="0.35">
      <c r="A55" s="173"/>
      <c r="B55" s="121"/>
      <c r="C55" s="121">
        <v>0</v>
      </c>
      <c r="D55" s="121"/>
      <c r="E55" s="121">
        <v>0</v>
      </c>
      <c r="F55" s="121"/>
      <c r="G55" s="121">
        <v>0</v>
      </c>
      <c r="H55" s="121"/>
      <c r="I55" s="121">
        <v>0</v>
      </c>
      <c r="J55" s="121"/>
      <c r="K55" s="121">
        <v>0</v>
      </c>
      <c r="L55" s="121"/>
      <c r="M55" s="121">
        <v>0</v>
      </c>
      <c r="N55" s="121"/>
      <c r="O55" s="121">
        <v>0</v>
      </c>
      <c r="P55" s="121"/>
      <c r="Q55" s="121"/>
      <c r="R55" s="121"/>
      <c r="S55" s="121">
        <v>0</v>
      </c>
      <c r="T55" s="121"/>
      <c r="U55" s="121">
        <v>0</v>
      </c>
      <c r="V55" s="121"/>
      <c r="W55" s="121">
        <v>0</v>
      </c>
      <c r="X55" s="121"/>
      <c r="Y55" s="121">
        <v>0</v>
      </c>
      <c r="Z55" s="121"/>
      <c r="AA55" s="121">
        <v>0</v>
      </c>
      <c r="AB55" s="121"/>
      <c r="AC55" s="121">
        <v>0</v>
      </c>
      <c r="AD55" s="121"/>
      <c r="AE55" s="121">
        <v>0</v>
      </c>
      <c r="AF55" s="120"/>
      <c r="AG55" s="174"/>
      <c r="AH55" s="175"/>
      <c r="AI55" s="176"/>
      <c r="AJ55" s="172"/>
      <c r="AK55" s="48"/>
      <c r="AL55" s="48"/>
      <c r="AM55" s="48"/>
    </row>
    <row r="56" spans="1:39" s="140" customFormat="1" ht="15" thickBot="1" x14ac:dyDescent="0.4">
      <c r="A56" s="177">
        <v>53</v>
      </c>
      <c r="B56" s="121"/>
      <c r="C56" s="121">
        <v>54</v>
      </c>
      <c r="D56" s="121"/>
      <c r="E56" s="121">
        <v>55</v>
      </c>
      <c r="F56" s="121"/>
      <c r="G56" s="121">
        <v>56</v>
      </c>
      <c r="H56" s="121"/>
      <c r="I56" s="121">
        <v>57</v>
      </c>
      <c r="J56" s="121"/>
      <c r="K56" s="121">
        <v>58</v>
      </c>
      <c r="L56" s="121"/>
      <c r="M56" s="121">
        <v>59</v>
      </c>
      <c r="N56" s="121"/>
      <c r="O56" s="121">
        <v>60</v>
      </c>
      <c r="P56" s="121"/>
      <c r="Q56" s="121"/>
      <c r="R56" s="121"/>
      <c r="S56" s="121">
        <v>61</v>
      </c>
      <c r="T56" s="121"/>
      <c r="U56" s="121">
        <v>62</v>
      </c>
      <c r="V56" s="121"/>
      <c r="W56" s="121">
        <v>63</v>
      </c>
      <c r="X56" s="121"/>
      <c r="Y56" s="121">
        <v>64</v>
      </c>
      <c r="Z56" s="121"/>
      <c r="AA56" s="121">
        <v>65</v>
      </c>
      <c r="AB56" s="121"/>
      <c r="AC56" s="121">
        <v>66</v>
      </c>
      <c r="AD56" s="121"/>
      <c r="AE56" s="121">
        <v>67</v>
      </c>
      <c r="AF56" s="121"/>
      <c r="AG56" s="174"/>
      <c r="AH56" s="175"/>
      <c r="AI56" s="178"/>
      <c r="AJ56" s="172"/>
      <c r="AK56" s="192"/>
      <c r="AL56" s="192"/>
      <c r="AM56" s="192"/>
    </row>
    <row r="57" spans="1:39" ht="15" thickBot="1" x14ac:dyDescent="0.4">
      <c r="A57" s="177"/>
      <c r="B57" s="143">
        <v>405.00084950040446</v>
      </c>
      <c r="C57" s="961" t="s">
        <v>400</v>
      </c>
      <c r="D57" s="143">
        <v>333.00004233177015</v>
      </c>
      <c r="E57" s="961" t="s">
        <v>400</v>
      </c>
      <c r="F57" s="143">
        <v>383.63685846119375</v>
      </c>
      <c r="G57" s="961" t="s">
        <v>400</v>
      </c>
      <c r="H57" s="143">
        <v>225.78200000000001</v>
      </c>
      <c r="I57" s="961" t="s">
        <v>399</v>
      </c>
      <c r="J57" s="143">
        <v>390</v>
      </c>
      <c r="K57" s="961" t="s">
        <v>400</v>
      </c>
      <c r="L57" s="143">
        <v>343</v>
      </c>
      <c r="M57" s="961" t="s">
        <v>400</v>
      </c>
      <c r="N57" s="143">
        <v>327</v>
      </c>
      <c r="O57" s="961" t="s">
        <v>400</v>
      </c>
      <c r="P57" s="137"/>
      <c r="Q57" s="143">
        <v>364</v>
      </c>
      <c r="R57" s="143"/>
      <c r="S57" s="961" t="s">
        <v>400</v>
      </c>
      <c r="T57" s="143">
        <v>308</v>
      </c>
      <c r="U57" s="961" t="s">
        <v>400</v>
      </c>
      <c r="V57" s="143">
        <v>465</v>
      </c>
      <c r="W57" s="961" t="s">
        <v>400</v>
      </c>
      <c r="X57" s="143">
        <v>367.66199999999998</v>
      </c>
      <c r="Y57" s="961" t="s">
        <v>400</v>
      </c>
      <c r="Z57" s="143">
        <v>399.99799999999999</v>
      </c>
      <c r="AA57" s="961" t="s">
        <v>400</v>
      </c>
      <c r="AB57" s="143">
        <v>426</v>
      </c>
      <c r="AC57" s="961" t="s">
        <v>400</v>
      </c>
      <c r="AD57" s="143">
        <v>362</v>
      </c>
      <c r="AE57" s="961" t="s">
        <v>400</v>
      </c>
      <c r="AF57" s="120"/>
      <c r="AG57" s="144">
        <v>13</v>
      </c>
      <c r="AH57" s="145">
        <v>13</v>
      </c>
      <c r="AI57" s="145">
        <v>3</v>
      </c>
      <c r="AJ57" s="180"/>
      <c r="AK57" s="48"/>
      <c r="AL57" s="48"/>
      <c r="AM57" s="48"/>
    </row>
    <row r="58" spans="1:39" x14ac:dyDescent="0.35">
      <c r="A58" s="177"/>
      <c r="B58" s="120"/>
      <c r="C58" s="962"/>
      <c r="D58" s="120"/>
      <c r="E58" s="962"/>
      <c r="F58" s="120"/>
      <c r="G58" s="962"/>
      <c r="H58" s="120"/>
      <c r="I58" s="962"/>
      <c r="J58" s="120"/>
      <c r="K58" s="962"/>
      <c r="L58" s="120"/>
      <c r="M58" s="962"/>
      <c r="N58" s="120"/>
      <c r="O58" s="962"/>
      <c r="P58" s="137"/>
      <c r="Q58" s="137"/>
      <c r="R58" s="120"/>
      <c r="S58" s="962"/>
      <c r="T58" s="120"/>
      <c r="U58" s="962"/>
      <c r="V58" s="120"/>
      <c r="W58" s="962"/>
      <c r="X58" s="120"/>
      <c r="Y58" s="962"/>
      <c r="Z58" s="120"/>
      <c r="AA58" s="962"/>
      <c r="AB58" s="120"/>
      <c r="AC58" s="962"/>
      <c r="AD58" s="120"/>
      <c r="AE58" s="962"/>
      <c r="AF58" s="120"/>
      <c r="AG58" s="147"/>
      <c r="AH58" s="148"/>
      <c r="AI58" s="148"/>
      <c r="AJ58" s="172"/>
      <c r="AK58" s="48"/>
      <c r="AL58" s="48"/>
      <c r="AM58" s="48"/>
    </row>
    <row r="59" spans="1:39" ht="6" customHeight="1" x14ac:dyDescent="0.35">
      <c r="A59" s="177"/>
      <c r="B59" s="120"/>
      <c r="C59" s="150" t="s">
        <v>400</v>
      </c>
      <c r="D59" s="121"/>
      <c r="E59" s="150" t="s">
        <v>400</v>
      </c>
      <c r="F59" s="121"/>
      <c r="G59" s="150" t="s">
        <v>400</v>
      </c>
      <c r="H59" s="121"/>
      <c r="I59" s="150">
        <v>0</v>
      </c>
      <c r="J59" s="121"/>
      <c r="K59" s="150" t="s">
        <v>400</v>
      </c>
      <c r="L59" s="121"/>
      <c r="M59" s="150" t="s">
        <v>400</v>
      </c>
      <c r="N59" s="121"/>
      <c r="O59" s="150" t="s">
        <v>400</v>
      </c>
      <c r="P59" s="137"/>
      <c r="Q59" s="137"/>
      <c r="R59" s="121"/>
      <c r="S59" s="150" t="s">
        <v>400</v>
      </c>
      <c r="T59" s="121"/>
      <c r="U59" s="150" t="s">
        <v>400</v>
      </c>
      <c r="V59" s="121"/>
      <c r="W59" s="150" t="s">
        <v>400</v>
      </c>
      <c r="X59" s="121"/>
      <c r="Y59" s="150" t="s">
        <v>400</v>
      </c>
      <c r="Z59" s="121"/>
      <c r="AA59" s="150" t="s">
        <v>400</v>
      </c>
      <c r="AB59" s="121"/>
      <c r="AC59" s="150" t="s">
        <v>400</v>
      </c>
      <c r="AD59" s="123"/>
      <c r="AE59" s="150" t="s">
        <v>400</v>
      </c>
      <c r="AF59" s="120"/>
      <c r="AG59" s="147"/>
      <c r="AH59" s="148"/>
      <c r="AI59" s="148"/>
      <c r="AJ59" s="172"/>
      <c r="AK59" s="48"/>
      <c r="AL59" s="48"/>
      <c r="AM59" s="48"/>
    </row>
    <row r="60" spans="1:39" x14ac:dyDescent="0.35">
      <c r="A60" s="177"/>
      <c r="B60" s="120"/>
      <c r="C60" s="122" t="s">
        <v>142</v>
      </c>
      <c r="D60" s="120"/>
      <c r="E60" s="122" t="s">
        <v>139</v>
      </c>
      <c r="F60" s="120"/>
      <c r="G60" s="122" t="s">
        <v>165</v>
      </c>
      <c r="H60" s="120"/>
      <c r="I60" s="122" t="s">
        <v>134</v>
      </c>
      <c r="J60" s="120"/>
      <c r="K60" s="122" t="s">
        <v>161</v>
      </c>
      <c r="L60" s="120"/>
      <c r="M60" s="122" t="s">
        <v>132</v>
      </c>
      <c r="N60" s="120"/>
      <c r="O60" s="122" t="s">
        <v>161</v>
      </c>
      <c r="P60" s="122"/>
      <c r="Q60" s="122"/>
      <c r="R60" s="120"/>
      <c r="S60" s="122" t="s">
        <v>142</v>
      </c>
      <c r="T60" s="120"/>
      <c r="U60" s="122" t="s">
        <v>137</v>
      </c>
      <c r="V60" s="120"/>
      <c r="W60" s="122" t="s">
        <v>137</v>
      </c>
      <c r="X60" s="120"/>
      <c r="Y60" s="122" t="s">
        <v>176</v>
      </c>
      <c r="Z60" s="120"/>
      <c r="AA60" s="122" t="s">
        <v>126</v>
      </c>
      <c r="AB60" s="120"/>
      <c r="AC60" s="122" t="s">
        <v>142</v>
      </c>
      <c r="AD60" s="120"/>
      <c r="AE60" s="122" t="s">
        <v>142</v>
      </c>
      <c r="AF60" s="120"/>
      <c r="AG60" s="147"/>
      <c r="AH60" s="148"/>
      <c r="AI60" s="148"/>
      <c r="AJ60" s="172"/>
      <c r="AK60" s="48"/>
      <c r="AL60" s="48"/>
      <c r="AM60" s="48"/>
    </row>
    <row r="61" spans="1:39" s="155" customFormat="1" x14ac:dyDescent="0.35">
      <c r="A61" s="173"/>
      <c r="B61" s="128"/>
      <c r="C61" s="153" t="s">
        <v>422</v>
      </c>
      <c r="D61" s="128"/>
      <c r="E61" s="153" t="s">
        <v>421</v>
      </c>
      <c r="F61" s="128"/>
      <c r="G61" s="153" t="s">
        <v>421</v>
      </c>
      <c r="H61" s="128"/>
      <c r="I61" s="153"/>
      <c r="J61" s="153"/>
      <c r="K61" s="153" t="s">
        <v>421</v>
      </c>
      <c r="L61" s="153"/>
      <c r="M61" s="153" t="s">
        <v>402</v>
      </c>
      <c r="N61" s="153"/>
      <c r="O61" s="153" t="s">
        <v>421</v>
      </c>
      <c r="P61" s="153"/>
      <c r="Q61" s="153"/>
      <c r="R61" s="153"/>
      <c r="S61" s="153" t="s">
        <v>421</v>
      </c>
      <c r="T61" s="153"/>
      <c r="U61" s="153" t="s">
        <v>421</v>
      </c>
      <c r="V61" s="153"/>
      <c r="W61" s="153" t="s">
        <v>421</v>
      </c>
      <c r="X61" s="153"/>
      <c r="Y61" s="153" t="s">
        <v>422</v>
      </c>
      <c r="Z61" s="153"/>
      <c r="AA61" s="153" t="s">
        <v>421</v>
      </c>
      <c r="AB61" s="153"/>
      <c r="AC61" s="153" t="s">
        <v>402</v>
      </c>
      <c r="AD61" s="153"/>
      <c r="AE61" s="153" t="s">
        <v>402</v>
      </c>
      <c r="AF61" s="128"/>
      <c r="AG61" s="147"/>
      <c r="AH61" s="148"/>
      <c r="AI61" s="148"/>
      <c r="AJ61" s="182"/>
      <c r="AK61" s="49"/>
      <c r="AL61" s="49"/>
      <c r="AM61" s="49"/>
    </row>
    <row r="62" spans="1:39" s="155" customFormat="1" ht="15" thickBot="1" x14ac:dyDescent="0.4">
      <c r="A62" s="173"/>
      <c r="B62" s="128"/>
      <c r="C62" s="153"/>
      <c r="D62" s="128"/>
      <c r="E62" s="153"/>
      <c r="F62" s="128"/>
      <c r="G62" s="153"/>
      <c r="H62" s="128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  <c r="Z62" s="153"/>
      <c r="AA62" s="153"/>
      <c r="AB62" s="153"/>
      <c r="AC62" s="153"/>
      <c r="AD62" s="153"/>
      <c r="AE62" s="153"/>
      <c r="AF62" s="128"/>
      <c r="AG62" s="147"/>
      <c r="AH62" s="148"/>
      <c r="AI62" s="148"/>
      <c r="AJ62" s="182"/>
      <c r="AK62" s="49"/>
      <c r="AL62" s="49"/>
      <c r="AM62" s="49"/>
    </row>
    <row r="63" spans="1:39" s="155" customFormat="1" ht="15" thickBot="1" x14ac:dyDescent="0.4">
      <c r="A63" s="204"/>
      <c r="B63" s="983" t="s">
        <v>404</v>
      </c>
      <c r="C63" s="984"/>
      <c r="D63" s="984"/>
      <c r="E63" s="984"/>
      <c r="F63" s="984"/>
      <c r="G63" s="984"/>
      <c r="H63" s="984"/>
      <c r="I63" s="984"/>
      <c r="J63" s="984"/>
      <c r="K63" s="984"/>
      <c r="L63" s="984"/>
      <c r="M63" s="984"/>
      <c r="N63" s="984"/>
      <c r="O63" s="984"/>
      <c r="P63" s="984"/>
      <c r="Q63" s="984"/>
      <c r="R63" s="984"/>
      <c r="S63" s="984"/>
      <c r="T63" s="984"/>
      <c r="U63" s="984"/>
      <c r="V63" s="984"/>
      <c r="W63" s="984"/>
      <c r="X63" s="984"/>
      <c r="Y63" s="984"/>
      <c r="Z63" s="984"/>
      <c r="AA63" s="984"/>
      <c r="AB63" s="984"/>
      <c r="AC63" s="984"/>
      <c r="AD63" s="984"/>
      <c r="AE63" s="985"/>
      <c r="AF63" s="187"/>
      <c r="AG63" s="188"/>
      <c r="AH63" s="189"/>
      <c r="AI63" s="189"/>
      <c r="AJ63" s="190"/>
      <c r="AK63" s="49"/>
      <c r="AL63" s="49"/>
      <c r="AM63" s="49"/>
    </row>
    <row r="64" spans="1:39" x14ac:dyDescent="0.35">
      <c r="A64" s="156"/>
      <c r="B64" s="157"/>
      <c r="C64" s="158"/>
      <c r="D64" s="157"/>
      <c r="E64" s="158"/>
      <c r="F64" s="157"/>
      <c r="G64" s="158"/>
      <c r="H64" s="159"/>
      <c r="I64" s="158"/>
      <c r="J64" s="157"/>
      <c r="K64" s="160"/>
      <c r="L64" s="157"/>
      <c r="M64" s="158"/>
      <c r="N64" s="157"/>
      <c r="O64" s="158"/>
      <c r="P64" s="158"/>
      <c r="Q64" s="158"/>
      <c r="R64" s="163"/>
      <c r="S64" s="160"/>
      <c r="T64" s="163" t="s">
        <v>469</v>
      </c>
      <c r="U64" s="158"/>
      <c r="V64" s="157"/>
      <c r="W64" s="158"/>
      <c r="X64" s="157"/>
      <c r="Y64" s="158"/>
      <c r="Z64" s="163"/>
      <c r="AA64" s="158"/>
      <c r="AB64" s="163" t="s">
        <v>470</v>
      </c>
      <c r="AC64" s="158"/>
      <c r="AD64" s="163"/>
      <c r="AE64" s="986"/>
      <c r="AF64" s="986"/>
      <c r="AG64" s="166"/>
      <c r="AH64" s="167"/>
      <c r="AI64" s="167"/>
      <c r="AJ64" s="168"/>
      <c r="AK64" s="48"/>
      <c r="AL64" s="48"/>
      <c r="AM64" s="48"/>
    </row>
    <row r="65" spans="1:39" ht="12" customHeight="1" x14ac:dyDescent="0.35">
      <c r="A65" s="169"/>
      <c r="B65" s="120"/>
      <c r="C65" s="122" t="s">
        <v>471</v>
      </c>
      <c r="D65" s="122"/>
      <c r="E65" s="122" t="s">
        <v>136</v>
      </c>
      <c r="F65" s="122"/>
      <c r="G65" s="122" t="s">
        <v>472</v>
      </c>
      <c r="H65" s="122"/>
      <c r="I65" s="122" t="s">
        <v>473</v>
      </c>
      <c r="J65" s="122"/>
      <c r="K65" s="122" t="s">
        <v>474</v>
      </c>
      <c r="L65" s="122"/>
      <c r="M65" s="122" t="s">
        <v>475</v>
      </c>
      <c r="N65" s="122"/>
      <c r="O65" s="122" t="s">
        <v>476</v>
      </c>
      <c r="P65" s="122"/>
      <c r="Q65" s="122"/>
      <c r="R65" s="122"/>
      <c r="S65" s="122" t="s">
        <v>477</v>
      </c>
      <c r="T65" s="122"/>
      <c r="U65" s="122" t="s">
        <v>478</v>
      </c>
      <c r="V65" s="122"/>
      <c r="W65" s="122" t="s">
        <v>479</v>
      </c>
      <c r="X65" s="122"/>
      <c r="Y65" s="122" t="s">
        <v>480</v>
      </c>
      <c r="Z65" s="122"/>
      <c r="AA65" s="122" t="s">
        <v>481</v>
      </c>
      <c r="AB65" s="122"/>
      <c r="AC65" s="122" t="s">
        <v>482</v>
      </c>
      <c r="AD65" s="122"/>
      <c r="AE65" s="122" t="s">
        <v>483</v>
      </c>
      <c r="AF65" s="120"/>
      <c r="AG65" s="170"/>
      <c r="AH65" s="171"/>
      <c r="AI65" s="171"/>
      <c r="AJ65" s="172"/>
      <c r="AK65" s="48"/>
      <c r="AL65" s="48"/>
      <c r="AM65" s="48"/>
    </row>
    <row r="66" spans="1:39" x14ac:dyDescent="0.35">
      <c r="A66" s="173"/>
      <c r="B66" s="121"/>
      <c r="C66" s="121">
        <v>0</v>
      </c>
      <c r="D66" s="121"/>
      <c r="E66" s="121">
        <v>0</v>
      </c>
      <c r="F66" s="121"/>
      <c r="G66" s="121">
        <v>0</v>
      </c>
      <c r="H66" s="121"/>
      <c r="I66" s="121">
        <v>0</v>
      </c>
      <c r="J66" s="121"/>
      <c r="K66" s="121">
        <v>0</v>
      </c>
      <c r="L66" s="121"/>
      <c r="M66" s="121">
        <v>0</v>
      </c>
      <c r="N66" s="121"/>
      <c r="O66" s="121">
        <v>0</v>
      </c>
      <c r="P66" s="121"/>
      <c r="Q66" s="121"/>
      <c r="R66" s="121"/>
      <c r="S66" s="121">
        <v>0</v>
      </c>
      <c r="T66" s="121"/>
      <c r="U66" s="121">
        <v>0</v>
      </c>
      <c r="V66" s="121"/>
      <c r="W66" s="121">
        <v>0</v>
      </c>
      <c r="X66" s="121"/>
      <c r="Y66" s="121">
        <v>0</v>
      </c>
      <c r="Z66" s="121"/>
      <c r="AA66" s="121">
        <v>0</v>
      </c>
      <c r="AB66" s="121"/>
      <c r="AC66" s="121">
        <v>0</v>
      </c>
      <c r="AD66" s="121"/>
      <c r="AE66" s="121">
        <v>0</v>
      </c>
      <c r="AF66" s="120"/>
      <c r="AG66" s="174"/>
      <c r="AH66" s="175"/>
      <c r="AI66" s="176"/>
      <c r="AJ66" s="172"/>
      <c r="AK66" s="48"/>
      <c r="AL66" s="48"/>
      <c r="AM66" s="48"/>
    </row>
    <row r="67" spans="1:39" s="140" customFormat="1" ht="15" thickBot="1" x14ac:dyDescent="0.4">
      <c r="A67" s="177">
        <v>67</v>
      </c>
      <c r="B67" s="121"/>
      <c r="C67" s="121">
        <v>68</v>
      </c>
      <c r="D67" s="121"/>
      <c r="E67" s="121">
        <v>69</v>
      </c>
      <c r="F67" s="121"/>
      <c r="G67" s="121">
        <v>70</v>
      </c>
      <c r="H67" s="121"/>
      <c r="I67" s="121">
        <v>71</v>
      </c>
      <c r="J67" s="121"/>
      <c r="K67" s="121">
        <v>72</v>
      </c>
      <c r="L67" s="121"/>
      <c r="M67" s="121">
        <v>73</v>
      </c>
      <c r="N67" s="121"/>
      <c r="O67" s="121">
        <v>74</v>
      </c>
      <c r="P67" s="121"/>
      <c r="Q67" s="121"/>
      <c r="R67" s="121"/>
      <c r="S67" s="121">
        <v>75</v>
      </c>
      <c r="T67" s="121"/>
      <c r="U67" s="121">
        <v>76</v>
      </c>
      <c r="V67" s="121"/>
      <c r="W67" s="121">
        <v>77</v>
      </c>
      <c r="X67" s="121"/>
      <c r="Y67" s="121">
        <v>78</v>
      </c>
      <c r="Z67" s="121"/>
      <c r="AA67" s="121">
        <v>79</v>
      </c>
      <c r="AB67" s="121"/>
      <c r="AC67" s="121">
        <v>80</v>
      </c>
      <c r="AD67" s="121"/>
      <c r="AE67" s="121">
        <v>81</v>
      </c>
      <c r="AF67" s="121"/>
      <c r="AG67" s="174"/>
      <c r="AH67" s="175"/>
      <c r="AI67" s="178"/>
      <c r="AJ67" s="172"/>
      <c r="AK67" s="192"/>
      <c r="AL67" s="192"/>
      <c r="AM67" s="192"/>
    </row>
    <row r="68" spans="1:39" ht="15" thickBot="1" x14ac:dyDescent="0.4">
      <c r="A68" s="177"/>
      <c r="B68" s="143">
        <v>382</v>
      </c>
      <c r="C68" s="961" t="s">
        <v>399</v>
      </c>
      <c r="D68" s="143">
        <v>441</v>
      </c>
      <c r="E68" s="963" t="s">
        <v>400</v>
      </c>
      <c r="F68" s="143">
        <v>309</v>
      </c>
      <c r="G68" s="963" t="s">
        <v>400</v>
      </c>
      <c r="H68" s="143">
        <v>331</v>
      </c>
      <c r="I68" s="963" t="s">
        <v>400</v>
      </c>
      <c r="J68" s="143">
        <v>431</v>
      </c>
      <c r="K68" s="963" t="s">
        <v>400</v>
      </c>
      <c r="L68" s="143">
        <v>396</v>
      </c>
      <c r="M68" s="963" t="s">
        <v>400</v>
      </c>
      <c r="N68" s="143">
        <v>444</v>
      </c>
      <c r="O68" s="961" t="s">
        <v>400</v>
      </c>
      <c r="P68" s="137"/>
      <c r="Q68" s="143">
        <v>381.62200000000001</v>
      </c>
      <c r="R68" s="143"/>
      <c r="S68" s="988"/>
      <c r="T68" s="143">
        <v>200.19399999999999</v>
      </c>
      <c r="U68" s="988"/>
      <c r="V68" s="143">
        <v>323.899</v>
      </c>
      <c r="W68" s="963" t="s">
        <v>400</v>
      </c>
      <c r="X68" s="143">
        <v>403</v>
      </c>
      <c r="Y68" s="961" t="s">
        <v>400</v>
      </c>
      <c r="Z68" s="143">
        <v>419.71300000000002</v>
      </c>
      <c r="AA68" s="961" t="s">
        <v>399</v>
      </c>
      <c r="AB68" s="143">
        <v>239.88200000000001</v>
      </c>
      <c r="AC68" s="961" t="s">
        <v>400</v>
      </c>
      <c r="AD68" s="143">
        <v>421.01100000000002</v>
      </c>
      <c r="AE68" s="980" t="s">
        <v>418</v>
      </c>
      <c r="AF68" s="120"/>
      <c r="AG68" s="144">
        <v>11</v>
      </c>
      <c r="AH68" s="145">
        <v>8</v>
      </c>
      <c r="AI68" s="145">
        <v>3</v>
      </c>
      <c r="AJ68" s="180"/>
      <c r="AK68" s="48"/>
      <c r="AL68" s="48"/>
      <c r="AM68" s="48"/>
    </row>
    <row r="69" spans="1:39" x14ac:dyDescent="0.35">
      <c r="A69" s="177"/>
      <c r="B69" s="120"/>
      <c r="C69" s="962"/>
      <c r="D69" s="120"/>
      <c r="E69" s="987"/>
      <c r="F69" s="120"/>
      <c r="G69" s="987"/>
      <c r="H69" s="120"/>
      <c r="I69" s="987"/>
      <c r="J69" s="120"/>
      <c r="K69" s="987"/>
      <c r="L69" s="120"/>
      <c r="M69" s="987"/>
      <c r="N69" s="120"/>
      <c r="O69" s="962"/>
      <c r="P69" s="137"/>
      <c r="Q69" s="137"/>
      <c r="R69" s="120"/>
      <c r="S69" s="989"/>
      <c r="T69" s="120"/>
      <c r="U69" s="989"/>
      <c r="V69" s="120"/>
      <c r="W69" s="987"/>
      <c r="X69" s="120"/>
      <c r="Y69" s="962"/>
      <c r="Z69" s="120"/>
      <c r="AA69" s="962"/>
      <c r="AB69" s="120"/>
      <c r="AC69" s="962"/>
      <c r="AD69" s="120"/>
      <c r="AE69" s="981"/>
      <c r="AF69" s="120"/>
      <c r="AG69" s="147"/>
      <c r="AH69" s="148"/>
      <c r="AI69" s="148"/>
      <c r="AJ69" s="172"/>
      <c r="AK69" s="48"/>
      <c r="AL69" s="48"/>
      <c r="AM69" s="48"/>
    </row>
    <row r="70" spans="1:39" ht="6" customHeight="1" x14ac:dyDescent="0.35">
      <c r="A70" s="177"/>
      <c r="B70" s="120"/>
      <c r="C70" s="150">
        <v>0</v>
      </c>
      <c r="D70" s="121"/>
      <c r="E70" s="150" t="s">
        <v>400</v>
      </c>
      <c r="F70" s="121"/>
      <c r="G70" s="150" t="s">
        <v>400</v>
      </c>
      <c r="H70" s="121"/>
      <c r="I70" s="150" t="s">
        <v>400</v>
      </c>
      <c r="J70" s="121"/>
      <c r="K70" s="150" t="s">
        <v>400</v>
      </c>
      <c r="L70" s="121"/>
      <c r="M70" s="150" t="s">
        <v>400</v>
      </c>
      <c r="N70" s="121"/>
      <c r="O70" s="150" t="s">
        <v>400</v>
      </c>
      <c r="P70" s="137"/>
      <c r="Q70" s="137"/>
      <c r="R70" s="121"/>
      <c r="S70" s="150">
        <v>0</v>
      </c>
      <c r="T70" s="121"/>
      <c r="U70" s="150">
        <v>0</v>
      </c>
      <c r="V70" s="121"/>
      <c r="W70" s="150" t="s">
        <v>400</v>
      </c>
      <c r="X70" s="121"/>
      <c r="Y70" s="150" t="s">
        <v>400</v>
      </c>
      <c r="Z70" s="121"/>
      <c r="AA70" s="150">
        <v>0</v>
      </c>
      <c r="AB70" s="121"/>
      <c r="AC70" s="150">
        <v>0</v>
      </c>
      <c r="AD70" s="123"/>
      <c r="AE70" s="150">
        <v>0</v>
      </c>
      <c r="AF70" s="120"/>
      <c r="AG70" s="147"/>
      <c r="AH70" s="148"/>
      <c r="AI70" s="148"/>
      <c r="AJ70" s="172"/>
      <c r="AK70" s="48"/>
      <c r="AL70" s="48"/>
      <c r="AM70" s="48"/>
    </row>
    <row r="71" spans="1:39" x14ac:dyDescent="0.35">
      <c r="A71" s="177"/>
      <c r="B71" s="120"/>
      <c r="C71" s="122" t="s">
        <v>126</v>
      </c>
      <c r="D71" s="120"/>
      <c r="E71" s="122" t="s">
        <v>137</v>
      </c>
      <c r="F71" s="120"/>
      <c r="G71" s="122" t="s">
        <v>161</v>
      </c>
      <c r="H71" s="120"/>
      <c r="I71" s="122" t="s">
        <v>126</v>
      </c>
      <c r="J71" s="120"/>
      <c r="K71" s="122" t="s">
        <v>137</v>
      </c>
      <c r="L71" s="120"/>
      <c r="M71" s="122" t="s">
        <v>126</v>
      </c>
      <c r="N71" s="120"/>
      <c r="O71" s="122" t="s">
        <v>137</v>
      </c>
      <c r="P71" s="122"/>
      <c r="Q71" s="122"/>
      <c r="R71" s="120"/>
      <c r="S71" s="122" t="s">
        <v>318</v>
      </c>
      <c r="T71" s="120"/>
      <c r="U71" s="122" t="s">
        <v>320</v>
      </c>
      <c r="V71" s="120"/>
      <c r="W71" s="122" t="s">
        <v>126</v>
      </c>
      <c r="X71" s="120"/>
      <c r="Y71" s="122" t="s">
        <v>126</v>
      </c>
      <c r="Z71" s="120"/>
      <c r="AA71" s="122" t="s">
        <v>323</v>
      </c>
      <c r="AB71" s="120"/>
      <c r="AC71" s="122" t="s">
        <v>178</v>
      </c>
      <c r="AD71" s="120"/>
      <c r="AE71" s="122" t="s">
        <v>176</v>
      </c>
      <c r="AF71" s="120"/>
      <c r="AG71" s="147"/>
      <c r="AH71" s="148"/>
      <c r="AI71" s="148"/>
      <c r="AJ71" s="172"/>
      <c r="AK71" s="48"/>
      <c r="AL71" s="48"/>
      <c r="AM71" s="48"/>
    </row>
    <row r="72" spans="1:39" s="155" customFormat="1" x14ac:dyDescent="0.35">
      <c r="A72" s="173"/>
      <c r="B72" s="128"/>
      <c r="C72" s="153"/>
      <c r="D72" s="153"/>
      <c r="E72" s="153" t="s">
        <v>421</v>
      </c>
      <c r="F72" s="153"/>
      <c r="G72" s="153" t="s">
        <v>421</v>
      </c>
      <c r="H72" s="153"/>
      <c r="I72" s="153" t="s">
        <v>421</v>
      </c>
      <c r="J72" s="153"/>
      <c r="K72" s="153" t="s">
        <v>422</v>
      </c>
      <c r="L72" s="153"/>
      <c r="M72" s="153" t="s">
        <v>422</v>
      </c>
      <c r="O72" s="153" t="s">
        <v>421</v>
      </c>
      <c r="P72" s="153"/>
      <c r="Q72" s="153"/>
      <c r="S72" s="184" t="s">
        <v>484</v>
      </c>
      <c r="U72" s="184" t="s">
        <v>484</v>
      </c>
      <c r="V72" s="153"/>
      <c r="W72" s="153" t="s">
        <v>402</v>
      </c>
      <c r="X72" s="128"/>
      <c r="Y72" s="153" t="s">
        <v>402</v>
      </c>
      <c r="Z72" s="128"/>
      <c r="AA72" s="151"/>
      <c r="AB72" s="128"/>
      <c r="AC72" s="153" t="s">
        <v>402</v>
      </c>
      <c r="AD72" s="128"/>
      <c r="AE72" s="184" t="s">
        <v>484</v>
      </c>
      <c r="AF72" s="128"/>
      <c r="AG72" s="147"/>
      <c r="AH72" s="148"/>
      <c r="AI72" s="148"/>
      <c r="AJ72" s="182"/>
      <c r="AK72" s="49"/>
      <c r="AL72" s="49"/>
      <c r="AM72" s="49"/>
    </row>
    <row r="73" spans="1:39" s="155" customFormat="1" ht="15" thickBot="1" x14ac:dyDescent="0.4">
      <c r="A73" s="173"/>
      <c r="B73" s="128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O73" s="153"/>
      <c r="P73" s="153"/>
      <c r="Q73" s="153"/>
      <c r="S73" s="153"/>
      <c r="U73" s="153"/>
      <c r="V73" s="153"/>
      <c r="W73" s="153"/>
      <c r="X73" s="128"/>
      <c r="Y73" s="153"/>
      <c r="Z73" s="128"/>
      <c r="AA73" s="151"/>
      <c r="AB73" s="128"/>
      <c r="AC73" s="152"/>
      <c r="AD73" s="128"/>
      <c r="AE73" s="151"/>
      <c r="AF73" s="128"/>
      <c r="AG73" s="147"/>
      <c r="AH73" s="148"/>
      <c r="AI73" s="148"/>
      <c r="AJ73" s="182"/>
      <c r="AK73" s="49"/>
      <c r="AL73" s="49"/>
      <c r="AM73" s="49"/>
    </row>
    <row r="74" spans="1:39" s="155" customFormat="1" ht="15" thickBot="1" x14ac:dyDescent="0.4">
      <c r="A74" s="204"/>
      <c r="B74" s="983" t="s">
        <v>404</v>
      </c>
      <c r="C74" s="984"/>
      <c r="D74" s="984"/>
      <c r="E74" s="984"/>
      <c r="F74" s="984"/>
      <c r="G74" s="984"/>
      <c r="H74" s="984"/>
      <c r="I74" s="984"/>
      <c r="J74" s="984"/>
      <c r="K74" s="984"/>
      <c r="L74" s="984"/>
      <c r="M74" s="984"/>
      <c r="N74" s="984"/>
      <c r="O74" s="984"/>
      <c r="P74" s="984"/>
      <c r="Q74" s="984"/>
      <c r="R74" s="984"/>
      <c r="S74" s="984"/>
      <c r="T74" s="984"/>
      <c r="U74" s="984"/>
      <c r="V74" s="984"/>
      <c r="W74" s="984"/>
      <c r="X74" s="984"/>
      <c r="Y74" s="984"/>
      <c r="Z74" s="984"/>
      <c r="AA74" s="984"/>
      <c r="AB74" s="984"/>
      <c r="AC74" s="984"/>
      <c r="AD74" s="984"/>
      <c r="AE74" s="985"/>
      <c r="AF74" s="187"/>
      <c r="AG74" s="188"/>
      <c r="AH74" s="189"/>
      <c r="AI74" s="189"/>
      <c r="AJ74" s="190"/>
      <c r="AK74" s="49"/>
      <c r="AL74" s="49"/>
      <c r="AM74" s="49"/>
    </row>
    <row r="75" spans="1:39" x14ac:dyDescent="0.35">
      <c r="A75" s="156"/>
      <c r="B75" s="163" t="s">
        <v>470</v>
      </c>
      <c r="C75" s="208"/>
      <c r="D75" s="208"/>
      <c r="E75" s="208"/>
      <c r="F75" s="157"/>
      <c r="G75" s="158"/>
      <c r="H75" s="159"/>
      <c r="I75" s="209"/>
      <c r="J75" s="209"/>
      <c r="K75" s="209"/>
      <c r="L75" s="157"/>
      <c r="M75" s="158"/>
      <c r="N75" s="157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157" t="s">
        <v>485</v>
      </c>
      <c r="AA75" s="158"/>
      <c r="AB75" s="157"/>
      <c r="AC75" s="211"/>
      <c r="AD75" s="157"/>
      <c r="AE75" s="158"/>
      <c r="AF75" s="157"/>
      <c r="AG75" s="166"/>
      <c r="AH75" s="167"/>
      <c r="AI75" s="167"/>
      <c r="AJ75" s="168"/>
      <c r="AK75" s="48"/>
      <c r="AL75" s="48"/>
      <c r="AM75" s="48"/>
    </row>
    <row r="76" spans="1:39" x14ac:dyDescent="0.35">
      <c r="A76" s="169"/>
      <c r="B76" s="120"/>
      <c r="C76" s="122" t="s">
        <v>486</v>
      </c>
      <c r="D76" s="122"/>
      <c r="E76" s="122" t="s">
        <v>487</v>
      </c>
      <c r="F76" s="122"/>
      <c r="G76" s="122" t="s">
        <v>488</v>
      </c>
      <c r="H76" s="122"/>
      <c r="I76" s="122" t="s">
        <v>489</v>
      </c>
      <c r="J76" s="122"/>
      <c r="K76" s="122" t="s">
        <v>490</v>
      </c>
      <c r="L76" s="122"/>
      <c r="M76" s="122" t="s">
        <v>491</v>
      </c>
      <c r="N76" s="122"/>
      <c r="O76" s="122" t="s">
        <v>492</v>
      </c>
      <c r="P76" s="122"/>
      <c r="Q76" s="122"/>
      <c r="R76" s="122"/>
      <c r="S76" s="122" t="s">
        <v>493</v>
      </c>
      <c r="T76" s="122"/>
      <c r="U76" s="122" t="s">
        <v>494</v>
      </c>
      <c r="V76" s="122"/>
      <c r="W76" s="122" t="s">
        <v>495</v>
      </c>
      <c r="X76" s="122"/>
      <c r="Y76" s="122" t="s">
        <v>496</v>
      </c>
      <c r="Z76" s="122"/>
      <c r="AA76" s="122" t="s">
        <v>497</v>
      </c>
      <c r="AB76" s="122"/>
      <c r="AC76" s="122" t="s">
        <v>498</v>
      </c>
      <c r="AD76" s="122"/>
      <c r="AE76" s="122" t="s">
        <v>499</v>
      </c>
      <c r="AF76" s="120"/>
      <c r="AG76" s="170"/>
      <c r="AH76" s="171"/>
      <c r="AI76" s="171"/>
      <c r="AJ76" s="172"/>
      <c r="AK76" s="48"/>
      <c r="AL76" s="48"/>
      <c r="AM76" s="48"/>
    </row>
    <row r="77" spans="1:39" x14ac:dyDescent="0.35">
      <c r="A77" s="173"/>
      <c r="B77" s="121"/>
      <c r="C77" s="121">
        <v>0</v>
      </c>
      <c r="D77" s="121"/>
      <c r="E77" s="121">
        <v>0</v>
      </c>
      <c r="F77" s="121"/>
      <c r="G77" s="121">
        <v>0</v>
      </c>
      <c r="H77" s="121"/>
      <c r="I77" s="121">
        <v>0</v>
      </c>
      <c r="J77" s="121"/>
      <c r="K77" s="121">
        <v>0</v>
      </c>
      <c r="L77" s="121"/>
      <c r="M77" s="121">
        <v>0</v>
      </c>
      <c r="N77" s="121"/>
      <c r="O77" s="121">
        <v>0</v>
      </c>
      <c r="P77" s="121"/>
      <c r="Q77" s="121"/>
      <c r="R77" s="121"/>
      <c r="S77" s="121">
        <v>0</v>
      </c>
      <c r="T77" s="121"/>
      <c r="U77" s="121">
        <v>0</v>
      </c>
      <c r="V77" s="121"/>
      <c r="W77" s="121">
        <v>0</v>
      </c>
      <c r="X77" s="121"/>
      <c r="Y77" s="121">
        <v>0</v>
      </c>
      <c r="Z77" s="121"/>
      <c r="AA77" s="121">
        <v>0</v>
      </c>
      <c r="AB77" s="121"/>
      <c r="AC77" s="121">
        <v>0</v>
      </c>
      <c r="AD77" s="121"/>
      <c r="AE77" s="121">
        <v>0</v>
      </c>
      <c r="AF77" s="120"/>
      <c r="AG77" s="174"/>
      <c r="AH77" s="175"/>
      <c r="AI77" s="176"/>
      <c r="AJ77" s="172"/>
      <c r="AK77" s="48"/>
      <c r="AL77" s="48"/>
      <c r="AM77" s="48"/>
    </row>
    <row r="78" spans="1:39" s="140" customFormat="1" ht="15" thickBot="1" x14ac:dyDescent="0.4">
      <c r="A78" s="212">
        <v>81</v>
      </c>
      <c r="B78" s="213"/>
      <c r="C78" s="140">
        <v>82</v>
      </c>
      <c r="D78" s="213"/>
      <c r="E78" s="140">
        <v>83</v>
      </c>
      <c r="F78" s="213"/>
      <c r="G78" s="140">
        <v>84</v>
      </c>
      <c r="H78" s="213"/>
      <c r="I78" s="140">
        <v>85</v>
      </c>
      <c r="J78" s="213"/>
      <c r="K78" s="140">
        <v>86</v>
      </c>
      <c r="L78" s="213"/>
      <c r="M78" s="140">
        <v>87</v>
      </c>
      <c r="O78" s="140">
        <v>88</v>
      </c>
      <c r="R78" s="213"/>
      <c r="S78" s="140">
        <v>89</v>
      </c>
      <c r="T78" s="213"/>
      <c r="U78" s="140">
        <v>90</v>
      </c>
      <c r="V78" s="213"/>
      <c r="W78" s="140">
        <v>91</v>
      </c>
      <c r="X78" s="213"/>
      <c r="Y78" s="140">
        <v>92</v>
      </c>
      <c r="AA78" s="140">
        <v>93</v>
      </c>
      <c r="AC78" s="140">
        <v>94</v>
      </c>
      <c r="AE78" s="140">
        <v>95</v>
      </c>
      <c r="AG78" s="214"/>
      <c r="AH78" s="215"/>
      <c r="AI78" s="216"/>
      <c r="AJ78" s="217"/>
      <c r="AK78" s="48"/>
      <c r="AL78" s="48"/>
      <c r="AM78" s="48"/>
    </row>
    <row r="79" spans="1:39" ht="15" thickBot="1" x14ac:dyDescent="0.4">
      <c r="A79" s="177"/>
      <c r="B79" s="143">
        <v>193.16800000000001</v>
      </c>
      <c r="C79" s="988"/>
      <c r="D79" s="143">
        <v>416.99700000000001</v>
      </c>
      <c r="E79" s="961" t="s">
        <v>400</v>
      </c>
      <c r="F79" s="143">
        <v>363</v>
      </c>
      <c r="G79" s="961" t="s">
        <v>400</v>
      </c>
      <c r="H79" s="143">
        <v>339</v>
      </c>
      <c r="I79" s="961" t="s">
        <v>400</v>
      </c>
      <c r="J79" s="143">
        <v>473.767</v>
      </c>
      <c r="K79" s="961" t="s">
        <v>399</v>
      </c>
      <c r="L79" s="143">
        <v>360.17</v>
      </c>
      <c r="M79" s="961" t="s">
        <v>399</v>
      </c>
      <c r="N79" s="143">
        <v>272</v>
      </c>
      <c r="O79" s="961" t="s">
        <v>399</v>
      </c>
      <c r="P79" s="137"/>
      <c r="Q79" s="143">
        <v>301.25</v>
      </c>
      <c r="R79" s="143"/>
      <c r="S79" s="961" t="s">
        <v>399</v>
      </c>
      <c r="T79" s="143">
        <v>349</v>
      </c>
      <c r="U79" s="961" t="s">
        <v>399</v>
      </c>
      <c r="V79" s="143">
        <v>307</v>
      </c>
      <c r="W79" s="961" t="s">
        <v>399</v>
      </c>
      <c r="X79" s="143">
        <v>310.92</v>
      </c>
      <c r="Y79" s="961" t="s">
        <v>399</v>
      </c>
      <c r="Z79" s="143">
        <v>249.65799999999999</v>
      </c>
      <c r="AA79" s="961" t="s">
        <v>399</v>
      </c>
      <c r="AB79" s="143">
        <v>372.00200000000001</v>
      </c>
      <c r="AC79" s="961" t="s">
        <v>399</v>
      </c>
      <c r="AD79" s="143">
        <v>367.45800000000003</v>
      </c>
      <c r="AE79" s="961" t="s">
        <v>400</v>
      </c>
      <c r="AF79" s="120"/>
      <c r="AG79" s="144">
        <v>5</v>
      </c>
      <c r="AH79" s="145">
        <v>4</v>
      </c>
      <c r="AI79" s="145">
        <v>0</v>
      </c>
      <c r="AJ79" s="180"/>
      <c r="AK79" s="48"/>
      <c r="AL79" s="48"/>
      <c r="AM79" s="48"/>
    </row>
    <row r="80" spans="1:39" x14ac:dyDescent="0.35">
      <c r="A80" s="177"/>
      <c r="B80" s="120"/>
      <c r="C80" s="989"/>
      <c r="D80" s="120"/>
      <c r="E80" s="962"/>
      <c r="F80" s="120"/>
      <c r="G80" s="962"/>
      <c r="H80" s="120"/>
      <c r="I80" s="962"/>
      <c r="J80" s="120"/>
      <c r="K80" s="962"/>
      <c r="L80" s="120"/>
      <c r="M80" s="962"/>
      <c r="N80" s="120"/>
      <c r="O80" s="962"/>
      <c r="P80" s="137"/>
      <c r="Q80" s="137"/>
      <c r="R80" s="120"/>
      <c r="S80" s="962"/>
      <c r="T80" s="120"/>
      <c r="U80" s="962"/>
      <c r="V80" s="120"/>
      <c r="W80" s="962"/>
      <c r="X80" s="120"/>
      <c r="Y80" s="962"/>
      <c r="Z80" s="120"/>
      <c r="AA80" s="962"/>
      <c r="AB80" s="120"/>
      <c r="AC80" s="962"/>
      <c r="AD80" s="120"/>
      <c r="AE80" s="962"/>
      <c r="AF80" s="120"/>
      <c r="AG80" s="147"/>
      <c r="AH80" s="148"/>
      <c r="AI80" s="148"/>
      <c r="AJ80" s="172"/>
      <c r="AK80" s="48"/>
      <c r="AL80" s="48"/>
      <c r="AM80" s="48"/>
    </row>
    <row r="81" spans="1:39" ht="6" customHeight="1" x14ac:dyDescent="0.35">
      <c r="A81" s="177"/>
      <c r="B81" s="120"/>
      <c r="C81" s="150">
        <v>0</v>
      </c>
      <c r="D81" s="121"/>
      <c r="E81" s="150" t="s">
        <v>400</v>
      </c>
      <c r="F81" s="121"/>
      <c r="G81" s="150" t="s">
        <v>400</v>
      </c>
      <c r="H81" s="121"/>
      <c r="I81" s="150" t="s">
        <v>400</v>
      </c>
      <c r="J81" s="121"/>
      <c r="K81" s="150">
        <v>0</v>
      </c>
      <c r="L81" s="121"/>
      <c r="M81" s="150">
        <v>0</v>
      </c>
      <c r="N81" s="121"/>
      <c r="O81" s="150">
        <v>0</v>
      </c>
      <c r="P81" s="137"/>
      <c r="Q81" s="137"/>
      <c r="R81" s="121"/>
      <c r="S81" s="150">
        <v>0</v>
      </c>
      <c r="T81" s="121"/>
      <c r="U81" s="150">
        <v>0</v>
      </c>
      <c r="V81" s="121"/>
      <c r="W81" s="150">
        <v>0</v>
      </c>
      <c r="X81" s="121"/>
      <c r="Y81" s="150">
        <v>0</v>
      </c>
      <c r="Z81" s="121"/>
      <c r="AA81" s="150">
        <v>0</v>
      </c>
      <c r="AB81" s="121"/>
      <c r="AC81" s="150">
        <v>0</v>
      </c>
      <c r="AD81" s="123"/>
      <c r="AE81" s="150" t="s">
        <v>400</v>
      </c>
      <c r="AF81" s="120"/>
      <c r="AG81" s="147"/>
      <c r="AH81" s="148"/>
      <c r="AI81" s="148"/>
      <c r="AJ81" s="172"/>
      <c r="AK81" s="48"/>
      <c r="AL81" s="48"/>
      <c r="AM81" s="48"/>
    </row>
    <row r="82" spans="1:39" x14ac:dyDescent="0.35">
      <c r="A82" s="177"/>
      <c r="B82" s="218"/>
      <c r="C82" s="122" t="s">
        <v>320</v>
      </c>
      <c r="D82" s="120"/>
      <c r="E82" s="122" t="s">
        <v>142</v>
      </c>
      <c r="F82" s="120"/>
      <c r="G82" s="122" t="s">
        <v>132</v>
      </c>
      <c r="H82" s="120"/>
      <c r="I82" s="122" t="s">
        <v>139</v>
      </c>
      <c r="J82" s="120"/>
      <c r="K82" s="122" t="s">
        <v>349</v>
      </c>
      <c r="L82" s="120"/>
      <c r="M82" s="122" t="s">
        <v>318</v>
      </c>
      <c r="N82" s="120"/>
      <c r="O82" s="122" t="s">
        <v>178</v>
      </c>
      <c r="P82" s="122"/>
      <c r="Q82" s="122"/>
      <c r="R82" s="120"/>
      <c r="S82" s="122" t="s">
        <v>142</v>
      </c>
      <c r="T82" s="120"/>
      <c r="U82" s="122" t="s">
        <v>142</v>
      </c>
      <c r="V82" s="120"/>
      <c r="W82" s="122" t="s">
        <v>161</v>
      </c>
      <c r="X82" s="120"/>
      <c r="Y82" s="122" t="s">
        <v>129</v>
      </c>
      <c r="Z82" s="120"/>
      <c r="AA82" s="122" t="s">
        <v>308</v>
      </c>
      <c r="AB82" s="120"/>
      <c r="AC82" s="122" t="s">
        <v>142</v>
      </c>
      <c r="AD82" s="120"/>
      <c r="AE82" s="122" t="s">
        <v>360</v>
      </c>
      <c r="AF82" s="120"/>
      <c r="AG82" s="147"/>
      <c r="AH82" s="148"/>
      <c r="AI82" s="148"/>
      <c r="AJ82" s="172"/>
      <c r="AK82" s="48"/>
      <c r="AL82" s="48"/>
      <c r="AM82" s="48"/>
    </row>
    <row r="83" spans="1:39" s="155" customFormat="1" ht="14.25" customHeight="1" x14ac:dyDescent="0.35">
      <c r="A83" s="173"/>
      <c r="B83" s="128"/>
      <c r="C83" s="184" t="s">
        <v>484</v>
      </c>
      <c r="D83" s="49"/>
      <c r="E83" s="153" t="s">
        <v>402</v>
      </c>
      <c r="F83" s="49"/>
      <c r="G83" s="153" t="s">
        <v>402</v>
      </c>
      <c r="H83" s="128"/>
      <c r="I83" s="153" t="s">
        <v>402</v>
      </c>
      <c r="J83" s="128"/>
      <c r="K83" s="151"/>
      <c r="L83" s="128"/>
      <c r="M83" s="151"/>
      <c r="N83" s="128"/>
      <c r="O83" s="151"/>
      <c r="P83" s="151"/>
      <c r="Q83" s="151"/>
      <c r="R83" s="128"/>
      <c r="S83" s="151"/>
      <c r="T83" s="128"/>
      <c r="U83" s="990"/>
      <c r="V83" s="990"/>
      <c r="W83" s="194"/>
      <c r="X83" s="128"/>
      <c r="Y83" s="128"/>
      <c r="Z83" s="194"/>
      <c r="AA83" s="220"/>
      <c r="AB83" s="194"/>
      <c r="AC83" s="128"/>
      <c r="AD83" s="128"/>
      <c r="AE83" s="153" t="s">
        <v>421</v>
      </c>
      <c r="AG83" s="147"/>
      <c r="AH83" s="148"/>
      <c r="AI83" s="148"/>
      <c r="AJ83" s="182"/>
      <c r="AK83" s="49"/>
      <c r="AL83" s="49"/>
      <c r="AM83" s="49"/>
    </row>
    <row r="84" spans="1:39" s="155" customFormat="1" ht="14.25" customHeight="1" thickBot="1" x14ac:dyDescent="0.4">
      <c r="A84" s="173"/>
      <c r="B84" s="128"/>
      <c r="C84" s="49"/>
      <c r="D84" s="49"/>
      <c r="E84" s="153"/>
      <c r="F84" s="49"/>
      <c r="G84" s="153"/>
      <c r="H84" s="128"/>
      <c r="I84" s="153"/>
      <c r="J84" s="128"/>
      <c r="K84" s="151"/>
      <c r="L84" s="128"/>
      <c r="M84" s="151"/>
      <c r="N84" s="128"/>
      <c r="O84" s="151"/>
      <c r="P84" s="151"/>
      <c r="Q84" s="151"/>
      <c r="R84" s="128"/>
      <c r="S84" s="151"/>
      <c r="T84" s="128"/>
      <c r="U84" s="219"/>
      <c r="V84" s="219"/>
      <c r="W84" s="194"/>
      <c r="X84" s="128"/>
      <c r="Y84" s="128"/>
      <c r="Z84" s="194"/>
      <c r="AA84" s="220"/>
      <c r="AB84" s="194"/>
      <c r="AC84" s="128"/>
      <c r="AD84" s="128"/>
      <c r="AE84" s="153"/>
      <c r="AG84" s="147"/>
      <c r="AH84" s="148"/>
      <c r="AI84" s="148"/>
      <c r="AJ84" s="182"/>
      <c r="AK84" s="49"/>
      <c r="AL84" s="49"/>
      <c r="AM84" s="49"/>
    </row>
    <row r="85" spans="1:39" s="155" customFormat="1" ht="18" customHeight="1" thickBot="1" x14ac:dyDescent="0.4">
      <c r="A85" s="204"/>
      <c r="B85" s="983" t="s">
        <v>404</v>
      </c>
      <c r="C85" s="984"/>
      <c r="D85" s="984"/>
      <c r="E85" s="984"/>
      <c r="F85" s="984"/>
      <c r="G85" s="984"/>
      <c r="H85" s="984"/>
      <c r="I85" s="984"/>
      <c r="J85" s="984"/>
      <c r="K85" s="984"/>
      <c r="L85" s="984"/>
      <c r="M85" s="984"/>
      <c r="N85" s="984"/>
      <c r="O85" s="984"/>
      <c r="P85" s="984"/>
      <c r="Q85" s="984"/>
      <c r="R85" s="984"/>
      <c r="S85" s="984"/>
      <c r="T85" s="984"/>
      <c r="U85" s="984"/>
      <c r="V85" s="984"/>
      <c r="W85" s="984"/>
      <c r="X85" s="984"/>
      <c r="Y85" s="984"/>
      <c r="Z85" s="984"/>
      <c r="AA85" s="984"/>
      <c r="AB85" s="984"/>
      <c r="AC85" s="984"/>
      <c r="AD85" s="984"/>
      <c r="AE85" s="985"/>
      <c r="AF85" s="221"/>
      <c r="AG85" s="188"/>
      <c r="AH85" s="189"/>
      <c r="AI85" s="189"/>
      <c r="AJ85" s="190"/>
      <c r="AK85" s="49"/>
      <c r="AL85" s="49"/>
      <c r="AM85" s="49"/>
    </row>
    <row r="86" spans="1:39" s="155" customFormat="1" ht="15.75" customHeight="1" thickBot="1" x14ac:dyDescent="0.4">
      <c r="A86" s="222"/>
      <c r="B86" s="163"/>
      <c r="C86" s="223"/>
      <c r="D86" s="223"/>
      <c r="E86" s="224"/>
      <c r="F86" s="223"/>
      <c r="G86" s="224"/>
      <c r="H86" s="163"/>
      <c r="I86" s="224"/>
      <c r="J86" s="163"/>
      <c r="K86" s="207"/>
      <c r="L86" s="163"/>
      <c r="M86" s="207"/>
      <c r="N86" s="163"/>
      <c r="O86" s="207"/>
      <c r="P86" s="207"/>
      <c r="Q86" s="207"/>
      <c r="R86" s="163"/>
      <c r="S86" s="207"/>
      <c r="T86" s="163"/>
      <c r="U86" s="225"/>
      <c r="V86" s="225"/>
      <c r="W86" s="991" t="s">
        <v>500</v>
      </c>
      <c r="X86" s="992"/>
      <c r="Y86" s="993"/>
      <c r="Z86" s="226"/>
      <c r="AA86" s="227"/>
      <c r="AB86" s="226"/>
      <c r="AC86" s="163"/>
      <c r="AD86" s="163"/>
      <c r="AE86" s="224"/>
      <c r="AF86" s="162"/>
      <c r="AG86" s="166"/>
      <c r="AH86" s="167"/>
      <c r="AI86" s="167"/>
      <c r="AJ86" s="228"/>
      <c r="AK86" s="49"/>
      <c r="AL86" s="49"/>
      <c r="AM86" s="49"/>
    </row>
    <row r="87" spans="1:39" x14ac:dyDescent="0.35">
      <c r="A87" s="169"/>
      <c r="B87" s="120"/>
      <c r="C87" s="229"/>
      <c r="D87" s="128"/>
      <c r="E87" s="121"/>
      <c r="F87" s="120"/>
      <c r="G87" s="121"/>
      <c r="H87" s="128" t="s">
        <v>501</v>
      </c>
      <c r="I87" s="155"/>
      <c r="J87" s="230"/>
      <c r="K87" s="230"/>
      <c r="L87" s="231"/>
      <c r="M87" s="231"/>
      <c r="N87" s="231"/>
      <c r="O87" s="232"/>
      <c r="P87" s="232"/>
      <c r="Q87" s="232"/>
      <c r="R87" s="232"/>
      <c r="S87" s="232"/>
      <c r="T87" s="232"/>
      <c r="U87" s="232"/>
      <c r="V87" s="232"/>
      <c r="W87" s="233"/>
      <c r="X87" s="155"/>
      <c r="Y87" s="234"/>
      <c r="Z87" s="120"/>
      <c r="AA87" s="230"/>
      <c r="AB87" s="230"/>
      <c r="AC87" s="230"/>
      <c r="AD87" s="120"/>
      <c r="AE87" s="121"/>
      <c r="AF87" s="120"/>
      <c r="AG87" s="147"/>
      <c r="AH87" s="148"/>
      <c r="AI87" s="148"/>
      <c r="AJ87" s="172"/>
      <c r="AK87" s="48"/>
      <c r="AL87" s="48"/>
      <c r="AM87" s="48"/>
    </row>
    <row r="88" spans="1:39" x14ac:dyDescent="0.35">
      <c r="A88" s="169"/>
      <c r="B88" s="120"/>
      <c r="C88" s="122" t="s">
        <v>138</v>
      </c>
      <c r="D88" s="122"/>
      <c r="E88" s="122" t="s">
        <v>502</v>
      </c>
      <c r="F88" s="122"/>
      <c r="G88" s="122" t="s">
        <v>503</v>
      </c>
      <c r="H88" s="122"/>
      <c r="I88" s="122" t="s">
        <v>504</v>
      </c>
      <c r="J88" s="122"/>
      <c r="K88" s="122" t="s">
        <v>505</v>
      </c>
      <c r="L88" s="122"/>
      <c r="M88" s="122" t="s">
        <v>141</v>
      </c>
      <c r="N88" s="122"/>
      <c r="O88" s="122" t="s">
        <v>506</v>
      </c>
      <c r="P88" s="122"/>
      <c r="Q88" s="122"/>
      <c r="R88" s="122"/>
      <c r="S88" s="122" t="s">
        <v>507</v>
      </c>
      <c r="T88" s="122"/>
      <c r="U88" s="122" t="s">
        <v>508</v>
      </c>
      <c r="V88" s="122"/>
      <c r="W88" s="235" t="s">
        <v>143</v>
      </c>
      <c r="X88" s="122"/>
      <c r="Y88" s="236" t="s">
        <v>145</v>
      </c>
      <c r="Z88" s="122"/>
      <c r="AA88" s="122" t="s">
        <v>509</v>
      </c>
      <c r="AB88" s="122"/>
      <c r="AC88" s="122" t="s">
        <v>510</v>
      </c>
      <c r="AD88" s="122"/>
      <c r="AE88" s="122" t="s">
        <v>511</v>
      </c>
      <c r="AF88" s="120"/>
      <c r="AG88" s="170"/>
      <c r="AH88" s="171"/>
      <c r="AI88" s="171"/>
      <c r="AJ88" s="172"/>
      <c r="AK88" s="48"/>
      <c r="AL88" s="48"/>
      <c r="AM88" s="48"/>
    </row>
    <row r="89" spans="1:39" x14ac:dyDescent="0.35">
      <c r="A89" s="173"/>
      <c r="B89" s="121"/>
      <c r="C89" s="121">
        <v>0</v>
      </c>
      <c r="D89" s="121"/>
      <c r="E89" s="121">
        <v>0</v>
      </c>
      <c r="F89" s="121"/>
      <c r="G89" s="121">
        <v>0</v>
      </c>
      <c r="H89" s="121"/>
      <c r="I89" s="121">
        <v>0</v>
      </c>
      <c r="J89" s="121"/>
      <c r="K89" s="121">
        <v>0</v>
      </c>
      <c r="L89" s="121"/>
      <c r="M89" s="121">
        <v>0</v>
      </c>
      <c r="N89" s="121"/>
      <c r="O89" s="121">
        <v>0</v>
      </c>
      <c r="P89" s="121"/>
      <c r="Q89" s="121"/>
      <c r="R89" s="121"/>
      <c r="S89" s="121">
        <v>0</v>
      </c>
      <c r="T89" s="121"/>
      <c r="U89" s="121">
        <v>0</v>
      </c>
      <c r="V89" s="121"/>
      <c r="W89" s="177">
        <v>0</v>
      </c>
      <c r="X89" s="121"/>
      <c r="Y89" s="237">
        <v>0</v>
      </c>
      <c r="Z89" s="121"/>
      <c r="AA89" s="121">
        <v>0</v>
      </c>
      <c r="AB89" s="121"/>
      <c r="AC89" s="121">
        <v>0</v>
      </c>
      <c r="AD89" s="121"/>
      <c r="AE89" s="121">
        <v>0</v>
      </c>
      <c r="AF89" s="120"/>
      <c r="AG89" s="174"/>
      <c r="AH89" s="175"/>
      <c r="AI89" s="176"/>
      <c r="AJ89" s="172"/>
      <c r="AK89" s="48"/>
      <c r="AL89" s="48"/>
      <c r="AM89" s="48"/>
    </row>
    <row r="90" spans="1:39" s="140" customFormat="1" ht="15" thickBot="1" x14ac:dyDescent="0.4">
      <c r="A90" s="212">
        <v>95</v>
      </c>
      <c r="C90" s="140">
        <v>96</v>
      </c>
      <c r="E90" s="140">
        <v>97</v>
      </c>
      <c r="G90" s="140">
        <v>98</v>
      </c>
      <c r="H90" s="213"/>
      <c r="I90" s="140">
        <v>99</v>
      </c>
      <c r="J90" s="213"/>
      <c r="K90" s="140">
        <v>100</v>
      </c>
      <c r="L90" s="213"/>
      <c r="M90" s="140">
        <v>101</v>
      </c>
      <c r="N90" s="213"/>
      <c r="O90" s="140">
        <v>102</v>
      </c>
      <c r="R90" s="213"/>
      <c r="S90" s="140">
        <v>103</v>
      </c>
      <c r="T90" s="213"/>
      <c r="U90" s="140">
        <v>104</v>
      </c>
      <c r="V90" s="213"/>
      <c r="W90" s="212">
        <v>105</v>
      </c>
      <c r="X90" s="213"/>
      <c r="Y90" s="238">
        <v>106</v>
      </c>
      <c r="Z90" s="213"/>
      <c r="AA90" s="140">
        <v>107</v>
      </c>
      <c r="AB90" s="213"/>
      <c r="AC90" s="140">
        <v>108</v>
      </c>
      <c r="AD90" s="213"/>
      <c r="AE90" s="140">
        <v>109</v>
      </c>
      <c r="AF90" s="213"/>
      <c r="AG90" s="214"/>
      <c r="AH90" s="215"/>
      <c r="AI90" s="216"/>
      <c r="AJ90" s="217"/>
      <c r="AK90" s="48"/>
      <c r="AL90" s="48"/>
      <c r="AM90" s="48"/>
    </row>
    <row r="91" spans="1:39" ht="15" thickBot="1" x14ac:dyDescent="0.4">
      <c r="A91" s="177"/>
      <c r="B91" s="143">
        <v>412</v>
      </c>
      <c r="C91" s="961" t="s">
        <v>399</v>
      </c>
      <c r="D91" s="143">
        <v>420</v>
      </c>
      <c r="E91" s="961" t="s">
        <v>400</v>
      </c>
      <c r="F91" s="143">
        <v>339</v>
      </c>
      <c r="G91" s="961" t="s">
        <v>400</v>
      </c>
      <c r="H91" s="143">
        <v>461</v>
      </c>
      <c r="I91" s="961" t="s">
        <v>400</v>
      </c>
      <c r="J91" s="143">
        <v>324.66000000000003</v>
      </c>
      <c r="K91" s="961" t="s">
        <v>400</v>
      </c>
      <c r="L91" s="143">
        <v>342</v>
      </c>
      <c r="M91" s="961" t="s">
        <v>400</v>
      </c>
      <c r="N91" s="143">
        <v>392</v>
      </c>
      <c r="O91" s="961" t="s">
        <v>400</v>
      </c>
      <c r="P91" s="137"/>
      <c r="Q91" s="143">
        <v>371</v>
      </c>
      <c r="R91" s="143"/>
      <c r="S91" s="961" t="s">
        <v>400</v>
      </c>
      <c r="T91" s="143">
        <v>335.58699999999999</v>
      </c>
      <c r="U91" s="961" t="s">
        <v>400</v>
      </c>
      <c r="V91" s="143">
        <v>421.97300000000001</v>
      </c>
      <c r="W91" s="961" t="s">
        <v>399</v>
      </c>
      <c r="X91" s="143">
        <v>330</v>
      </c>
      <c r="Y91" s="961" t="s">
        <v>399</v>
      </c>
      <c r="Z91" s="143">
        <v>474.91199999999998</v>
      </c>
      <c r="AA91" s="961" t="s">
        <v>399</v>
      </c>
      <c r="AB91" s="143">
        <v>321</v>
      </c>
      <c r="AC91" s="961" t="s">
        <v>400</v>
      </c>
      <c r="AD91" s="143">
        <v>400.55</v>
      </c>
      <c r="AE91" s="961" t="s">
        <v>400</v>
      </c>
      <c r="AF91" s="120"/>
      <c r="AG91" s="144">
        <v>10</v>
      </c>
      <c r="AH91" s="145">
        <v>6</v>
      </c>
      <c r="AI91" s="145">
        <v>0</v>
      </c>
      <c r="AJ91" s="239"/>
      <c r="AK91" s="48"/>
      <c r="AL91" s="48"/>
      <c r="AM91" s="48"/>
    </row>
    <row r="92" spans="1:39" x14ac:dyDescent="0.35">
      <c r="A92" s="177"/>
      <c r="B92" s="120"/>
      <c r="C92" s="962"/>
      <c r="D92" s="120"/>
      <c r="E92" s="962"/>
      <c r="F92" s="120"/>
      <c r="G92" s="962"/>
      <c r="H92" s="120"/>
      <c r="I92" s="962"/>
      <c r="J92" s="120"/>
      <c r="K92" s="962"/>
      <c r="L92" s="120"/>
      <c r="M92" s="962"/>
      <c r="N92" s="120"/>
      <c r="O92" s="962"/>
      <c r="P92" s="137"/>
      <c r="Q92" s="137"/>
      <c r="R92" s="120"/>
      <c r="S92" s="962"/>
      <c r="T92" s="120"/>
      <c r="U92" s="962"/>
      <c r="V92" s="120"/>
      <c r="W92" s="962"/>
      <c r="X92" s="120"/>
      <c r="Y92" s="962"/>
      <c r="Z92" s="120"/>
      <c r="AA92" s="962"/>
      <c r="AB92" s="120"/>
      <c r="AC92" s="962"/>
      <c r="AD92" s="120"/>
      <c r="AE92" s="962"/>
      <c r="AF92" s="120"/>
      <c r="AG92" s="147"/>
      <c r="AH92" s="148"/>
      <c r="AI92" s="148"/>
      <c r="AJ92" s="172"/>
      <c r="AK92" s="48"/>
      <c r="AL92" s="48"/>
      <c r="AM92" s="48"/>
    </row>
    <row r="93" spans="1:39" ht="6" customHeight="1" x14ac:dyDescent="0.35">
      <c r="A93" s="177"/>
      <c r="B93" s="120"/>
      <c r="C93" s="150">
        <v>0</v>
      </c>
      <c r="D93" s="121"/>
      <c r="E93" s="150" t="s">
        <v>400</v>
      </c>
      <c r="F93" s="121"/>
      <c r="G93" s="150" t="s">
        <v>400</v>
      </c>
      <c r="H93" s="121"/>
      <c r="I93" s="150" t="s">
        <v>400</v>
      </c>
      <c r="J93" s="121"/>
      <c r="K93" s="150" t="s">
        <v>400</v>
      </c>
      <c r="L93" s="121"/>
      <c r="M93" s="150" t="s">
        <v>400</v>
      </c>
      <c r="N93" s="121"/>
      <c r="O93" s="150">
        <v>0</v>
      </c>
      <c r="P93" s="137"/>
      <c r="Q93" s="137"/>
      <c r="R93" s="121"/>
      <c r="S93" s="150">
        <v>0</v>
      </c>
      <c r="T93" s="121"/>
      <c r="U93" s="150" t="s">
        <v>400</v>
      </c>
      <c r="V93" s="121"/>
      <c r="W93" s="240">
        <v>0</v>
      </c>
      <c r="X93" s="121"/>
      <c r="Y93" s="241">
        <v>0</v>
      </c>
      <c r="Z93" s="121"/>
      <c r="AA93" s="150">
        <v>0</v>
      </c>
      <c r="AB93" s="121"/>
      <c r="AC93" s="150">
        <v>0</v>
      </c>
      <c r="AD93" s="123"/>
      <c r="AE93" s="150">
        <v>0</v>
      </c>
      <c r="AF93" s="120"/>
      <c r="AG93" s="147"/>
      <c r="AH93" s="148"/>
      <c r="AI93" s="148"/>
      <c r="AJ93" s="172"/>
      <c r="AK93" s="48"/>
      <c r="AL93" s="48"/>
      <c r="AM93" s="48"/>
    </row>
    <row r="94" spans="1:39" ht="15" thickBot="1" x14ac:dyDescent="0.4">
      <c r="A94" s="212"/>
      <c r="C94" s="122" t="s">
        <v>139</v>
      </c>
      <c r="D94" s="120"/>
      <c r="E94" s="122" t="s">
        <v>161</v>
      </c>
      <c r="F94" s="120"/>
      <c r="G94" s="122" t="s">
        <v>126</v>
      </c>
      <c r="H94" s="120"/>
      <c r="I94" s="122" t="s">
        <v>139</v>
      </c>
      <c r="J94" s="120"/>
      <c r="K94" s="122" t="s">
        <v>129</v>
      </c>
      <c r="L94" s="120"/>
      <c r="M94" s="122" t="s">
        <v>142</v>
      </c>
      <c r="N94" s="120"/>
      <c r="O94" s="122" t="s">
        <v>142</v>
      </c>
      <c r="P94" s="122"/>
      <c r="Q94" s="122"/>
      <c r="R94" s="120"/>
      <c r="S94" s="122" t="s">
        <v>137</v>
      </c>
      <c r="T94" s="120"/>
      <c r="U94" s="122" t="s">
        <v>512</v>
      </c>
      <c r="V94" s="120"/>
      <c r="W94" s="242" t="s">
        <v>144</v>
      </c>
      <c r="X94" s="200"/>
      <c r="Y94" s="243" t="s">
        <v>146</v>
      </c>
      <c r="Z94" s="120"/>
      <c r="AA94" s="122" t="s">
        <v>129</v>
      </c>
      <c r="AB94" s="120"/>
      <c r="AC94" s="122" t="s">
        <v>142</v>
      </c>
      <c r="AD94" s="120"/>
      <c r="AE94" s="122" t="s">
        <v>142</v>
      </c>
      <c r="AG94" s="195"/>
      <c r="AH94" s="196"/>
      <c r="AI94" s="196"/>
      <c r="AJ94" s="217"/>
      <c r="AK94" s="48"/>
      <c r="AL94" s="48"/>
      <c r="AM94" s="48"/>
    </row>
    <row r="95" spans="1:39" s="155" customFormat="1" x14ac:dyDescent="0.35">
      <c r="A95" s="173"/>
      <c r="B95" s="128"/>
      <c r="C95" s="153"/>
      <c r="D95" s="152"/>
      <c r="E95" s="153" t="s">
        <v>421</v>
      </c>
      <c r="F95" s="153"/>
      <c r="G95" s="153" t="s">
        <v>421</v>
      </c>
      <c r="H95" s="128"/>
      <c r="I95" s="153" t="s">
        <v>421</v>
      </c>
      <c r="J95" s="153"/>
      <c r="K95" s="153" t="s">
        <v>421</v>
      </c>
      <c r="L95" s="153"/>
      <c r="M95" s="153" t="s">
        <v>421</v>
      </c>
      <c r="N95" s="128"/>
      <c r="O95" s="153" t="s">
        <v>421</v>
      </c>
      <c r="P95" s="153"/>
      <c r="Q95" s="153"/>
      <c r="S95" s="153" t="s">
        <v>403</v>
      </c>
      <c r="T95" s="153"/>
      <c r="U95" s="153" t="s">
        <v>421</v>
      </c>
      <c r="V95" s="152"/>
      <c r="W95" s="152"/>
      <c r="X95" s="152"/>
      <c r="Y95" s="152"/>
      <c r="Z95" s="152"/>
      <c r="AA95" s="152"/>
      <c r="AB95" s="152"/>
      <c r="AC95" s="153" t="s">
        <v>421</v>
      </c>
      <c r="AE95" s="153" t="s">
        <v>421</v>
      </c>
      <c r="AF95" s="128"/>
      <c r="AG95" s="147"/>
      <c r="AH95" s="148"/>
      <c r="AI95" s="148"/>
      <c r="AJ95" s="182"/>
      <c r="AK95" s="49"/>
      <c r="AL95" s="49"/>
      <c r="AM95" s="49"/>
    </row>
    <row r="96" spans="1:39" s="155" customFormat="1" ht="15" thickBot="1" x14ac:dyDescent="0.4">
      <c r="A96" s="173"/>
      <c r="B96" s="128"/>
      <c r="C96" s="153"/>
      <c r="D96" s="152"/>
      <c r="E96" s="153"/>
      <c r="F96" s="153"/>
      <c r="G96" s="153"/>
      <c r="H96" s="128"/>
      <c r="I96" s="153"/>
      <c r="J96" s="153"/>
      <c r="K96" s="153"/>
      <c r="L96" s="153"/>
      <c r="M96" s="153"/>
      <c r="N96" s="128"/>
      <c r="O96" s="153"/>
      <c r="P96" s="153"/>
      <c r="Q96" s="153"/>
      <c r="S96" s="153"/>
      <c r="T96" s="153"/>
      <c r="U96" s="153"/>
      <c r="V96" s="152"/>
      <c r="W96" s="152"/>
      <c r="X96" s="152"/>
      <c r="Y96" s="152"/>
      <c r="Z96" s="152"/>
      <c r="AA96" s="152"/>
      <c r="AB96" s="152"/>
      <c r="AC96" s="152"/>
      <c r="AE96" s="152"/>
      <c r="AF96" s="128"/>
      <c r="AG96" s="147"/>
      <c r="AH96" s="148"/>
      <c r="AI96" s="148"/>
      <c r="AJ96" s="182"/>
      <c r="AK96" s="49"/>
      <c r="AL96" s="49"/>
      <c r="AM96" s="49"/>
    </row>
    <row r="97" spans="1:39" s="155" customFormat="1" ht="15" thickBot="1" x14ac:dyDescent="0.4">
      <c r="A97" s="204"/>
      <c r="B97" s="983" t="s">
        <v>404</v>
      </c>
      <c r="C97" s="984"/>
      <c r="D97" s="984"/>
      <c r="E97" s="984"/>
      <c r="F97" s="984"/>
      <c r="G97" s="984"/>
      <c r="H97" s="984"/>
      <c r="I97" s="984"/>
      <c r="J97" s="984"/>
      <c r="K97" s="984"/>
      <c r="L97" s="984"/>
      <c r="M97" s="984"/>
      <c r="N97" s="984"/>
      <c r="O97" s="984"/>
      <c r="P97" s="984"/>
      <c r="Q97" s="984"/>
      <c r="R97" s="984"/>
      <c r="S97" s="984"/>
      <c r="T97" s="984"/>
      <c r="U97" s="984"/>
      <c r="V97" s="984"/>
      <c r="W97" s="984"/>
      <c r="X97" s="984"/>
      <c r="Y97" s="984"/>
      <c r="Z97" s="984"/>
      <c r="AA97" s="984"/>
      <c r="AB97" s="984"/>
      <c r="AC97" s="984"/>
      <c r="AD97" s="984"/>
      <c r="AE97" s="985"/>
      <c r="AF97" s="187"/>
      <c r="AG97" s="188"/>
      <c r="AH97" s="189"/>
      <c r="AI97" s="189"/>
      <c r="AJ97" s="190"/>
      <c r="AK97" s="49"/>
      <c r="AL97" s="49"/>
      <c r="AM97" s="49"/>
    </row>
    <row r="98" spans="1:39" ht="15" thickBot="1" x14ac:dyDescent="0.4">
      <c r="A98" s="156"/>
      <c r="B98" s="157"/>
      <c r="C98" s="158"/>
      <c r="D98" s="157"/>
      <c r="E98" s="158"/>
      <c r="F98" s="157"/>
      <c r="G98" s="165"/>
      <c r="H98" s="226"/>
      <c r="I98" s="226"/>
      <c r="J98" s="226"/>
      <c r="K98" s="226"/>
      <c r="L98" s="226"/>
      <c r="M98" s="226"/>
      <c r="N98" s="157"/>
      <c r="O98" s="991" t="s">
        <v>500</v>
      </c>
      <c r="P98" s="992"/>
      <c r="Q98" s="992"/>
      <c r="R98" s="992"/>
      <c r="S98" s="993"/>
      <c r="T98" s="209"/>
      <c r="U98" s="209"/>
      <c r="V98" s="209"/>
      <c r="W98" s="209"/>
      <c r="X98" s="209"/>
      <c r="Y98" s="209"/>
      <c r="Z98" s="209"/>
      <c r="AA98" s="209"/>
      <c r="AB98" s="209"/>
      <c r="AC98" s="209"/>
      <c r="AD98" s="163" t="s">
        <v>513</v>
      </c>
      <c r="AE98" s="158"/>
      <c r="AF98" s="157"/>
      <c r="AG98" s="166"/>
      <c r="AH98" s="167"/>
      <c r="AI98" s="167"/>
      <c r="AJ98" s="168"/>
      <c r="AK98" s="48"/>
      <c r="AL98" s="48"/>
      <c r="AM98" s="48"/>
    </row>
    <row r="99" spans="1:39" x14ac:dyDescent="0.35">
      <c r="A99" s="169"/>
      <c r="B99" s="120"/>
      <c r="C99" s="121"/>
      <c r="D99" s="120"/>
      <c r="E99" s="121"/>
      <c r="F99" s="120"/>
      <c r="H99" s="194"/>
      <c r="I99" s="194"/>
      <c r="J99" s="194"/>
      <c r="K99" s="194"/>
      <c r="L99" s="194"/>
      <c r="M99" s="194"/>
      <c r="N99" s="120"/>
      <c r="O99" s="233"/>
      <c r="P99" s="198"/>
      <c r="Q99" s="198"/>
      <c r="R99" s="155"/>
      <c r="S99" s="234"/>
      <c r="T99" s="230"/>
      <c r="U99" s="230"/>
      <c r="V99" s="230"/>
      <c r="W99" s="230"/>
      <c r="X99" s="230"/>
      <c r="Y99" s="230"/>
      <c r="Z99" s="230"/>
      <c r="AA99" s="230"/>
      <c r="AB99" s="230"/>
      <c r="AC99" s="230"/>
      <c r="AD99" s="128"/>
      <c r="AE99" s="121"/>
      <c r="AF99" s="120"/>
      <c r="AG99" s="147"/>
      <c r="AH99" s="148"/>
      <c r="AI99" s="148"/>
      <c r="AJ99" s="172"/>
      <c r="AK99" s="48"/>
      <c r="AL99" s="48"/>
      <c r="AM99" s="48"/>
    </row>
    <row r="100" spans="1:39" x14ac:dyDescent="0.35">
      <c r="A100" s="169"/>
      <c r="B100" s="120"/>
      <c r="C100" s="122" t="s">
        <v>514</v>
      </c>
      <c r="D100" s="122"/>
      <c r="E100" s="122" t="s">
        <v>515</v>
      </c>
      <c r="F100" s="122"/>
      <c r="G100" s="122" t="s">
        <v>516</v>
      </c>
      <c r="H100" s="122"/>
      <c r="I100" s="122" t="s">
        <v>517</v>
      </c>
      <c r="J100" s="122"/>
      <c r="K100" s="122" t="s">
        <v>518</v>
      </c>
      <c r="L100" s="122"/>
      <c r="M100" s="122" t="s">
        <v>519</v>
      </c>
      <c r="N100" s="122"/>
      <c r="O100" s="235" t="s">
        <v>148</v>
      </c>
      <c r="P100" s="122"/>
      <c r="Q100" s="122"/>
      <c r="R100" s="122"/>
      <c r="S100" s="236" t="s">
        <v>150</v>
      </c>
      <c r="T100" s="122"/>
      <c r="U100" s="122" t="s">
        <v>520</v>
      </c>
      <c r="V100" s="122"/>
      <c r="W100" s="122" t="s">
        <v>521</v>
      </c>
      <c r="X100" s="122"/>
      <c r="Y100" s="122" t="s">
        <v>522</v>
      </c>
      <c r="Z100" s="122"/>
      <c r="AA100" s="122" t="s">
        <v>153</v>
      </c>
      <c r="AB100" s="122"/>
      <c r="AC100" s="122" t="s">
        <v>523</v>
      </c>
      <c r="AD100" s="122"/>
      <c r="AE100" s="122" t="s">
        <v>524</v>
      </c>
      <c r="AF100" s="120"/>
      <c r="AG100" s="170"/>
      <c r="AH100" s="171"/>
      <c r="AI100" s="171"/>
      <c r="AJ100" s="172"/>
      <c r="AK100" s="48"/>
      <c r="AL100" s="48"/>
      <c r="AM100" s="48"/>
    </row>
    <row r="101" spans="1:39" x14ac:dyDescent="0.35">
      <c r="A101" s="173"/>
      <c r="B101" s="121"/>
      <c r="C101" s="121">
        <v>0</v>
      </c>
      <c r="D101" s="121"/>
      <c r="E101" s="121">
        <v>0</v>
      </c>
      <c r="F101" s="121"/>
      <c r="G101" s="121">
        <v>0</v>
      </c>
      <c r="H101" s="121"/>
      <c r="I101" s="121">
        <v>0</v>
      </c>
      <c r="J101" s="121"/>
      <c r="K101" s="121">
        <v>0</v>
      </c>
      <c r="L101" s="121"/>
      <c r="M101" s="121">
        <v>0</v>
      </c>
      <c r="N101" s="121"/>
      <c r="O101" s="177">
        <v>0</v>
      </c>
      <c r="P101" s="121"/>
      <c r="Q101" s="121"/>
      <c r="R101" s="121"/>
      <c r="S101" s="237">
        <v>0</v>
      </c>
      <c r="T101" s="121"/>
      <c r="U101" s="121">
        <v>0</v>
      </c>
      <c r="V101" s="121"/>
      <c r="W101" s="121">
        <v>0</v>
      </c>
      <c r="X101" s="121"/>
      <c r="Y101" s="121">
        <v>0</v>
      </c>
      <c r="Z101" s="121"/>
      <c r="AA101" s="121">
        <v>0</v>
      </c>
      <c r="AB101" s="121"/>
      <c r="AC101" s="121">
        <v>0</v>
      </c>
      <c r="AD101" s="121"/>
      <c r="AE101" s="121">
        <v>0</v>
      </c>
      <c r="AF101" s="120"/>
      <c r="AG101" s="174"/>
      <c r="AH101" s="175"/>
      <c r="AI101" s="176"/>
      <c r="AJ101" s="172"/>
      <c r="AK101" s="48"/>
      <c r="AL101" s="48"/>
      <c r="AM101" s="48"/>
    </row>
    <row r="102" spans="1:39" s="140" customFormat="1" ht="15" thickBot="1" x14ac:dyDescent="0.4">
      <c r="A102" s="212">
        <v>109</v>
      </c>
      <c r="C102" s="140">
        <v>110</v>
      </c>
      <c r="E102" s="140">
        <v>111</v>
      </c>
      <c r="G102" s="140">
        <v>112</v>
      </c>
      <c r="I102" s="140">
        <v>113</v>
      </c>
      <c r="K102" s="140">
        <v>114</v>
      </c>
      <c r="M102" s="140">
        <v>115</v>
      </c>
      <c r="O102" s="212">
        <v>116</v>
      </c>
      <c r="S102" s="238">
        <v>117</v>
      </c>
      <c r="U102" s="140">
        <v>118</v>
      </c>
      <c r="W102" s="140">
        <v>119</v>
      </c>
      <c r="Y102" s="140">
        <v>120</v>
      </c>
      <c r="AA102" s="140">
        <v>121</v>
      </c>
      <c r="AC102" s="140">
        <v>122</v>
      </c>
      <c r="AE102" s="140">
        <v>123</v>
      </c>
      <c r="AG102" s="214"/>
      <c r="AH102" s="215"/>
      <c r="AI102" s="216"/>
      <c r="AJ102" s="217"/>
      <c r="AK102" s="192"/>
      <c r="AL102" s="192"/>
      <c r="AM102" s="192"/>
    </row>
    <row r="103" spans="1:39" ht="15" thickBot="1" x14ac:dyDescent="0.4">
      <c r="A103" s="177"/>
      <c r="B103" s="143">
        <v>342</v>
      </c>
      <c r="C103" s="961" t="s">
        <v>400</v>
      </c>
      <c r="D103" s="143">
        <v>280</v>
      </c>
      <c r="E103" s="961" t="s">
        <v>400</v>
      </c>
      <c r="F103" s="143">
        <v>387.99599999999998</v>
      </c>
      <c r="G103" s="961" t="s">
        <v>400</v>
      </c>
      <c r="H103" s="143">
        <v>319</v>
      </c>
      <c r="I103" s="961" t="s">
        <v>400</v>
      </c>
      <c r="J103" s="143">
        <v>429.45299999999997</v>
      </c>
      <c r="K103" s="961" t="s">
        <v>400</v>
      </c>
      <c r="L103" s="143">
        <v>484.387</v>
      </c>
      <c r="M103" s="980" t="s">
        <v>418</v>
      </c>
      <c r="N103" s="143">
        <v>372.19400000000002</v>
      </c>
      <c r="O103" s="961" t="s">
        <v>399</v>
      </c>
      <c r="P103" s="137"/>
      <c r="Q103" s="143">
        <v>552.22299999999996</v>
      </c>
      <c r="R103" s="143"/>
      <c r="S103" s="961" t="s">
        <v>399</v>
      </c>
      <c r="T103" s="143">
        <v>396.82299999999998</v>
      </c>
      <c r="U103" s="961" t="s">
        <v>400</v>
      </c>
      <c r="V103" s="143">
        <v>357.99599999999998</v>
      </c>
      <c r="W103" s="961" t="s">
        <v>400</v>
      </c>
      <c r="X103" s="143">
        <v>401</v>
      </c>
      <c r="Y103" s="987" t="s">
        <v>400</v>
      </c>
      <c r="Z103" s="143">
        <v>395.00900000000001</v>
      </c>
      <c r="AA103" s="987" t="s">
        <v>400</v>
      </c>
      <c r="AB103" s="143">
        <v>445.37900000000002</v>
      </c>
      <c r="AC103" s="980" t="s">
        <v>418</v>
      </c>
      <c r="AD103" s="143">
        <v>396.995</v>
      </c>
      <c r="AE103" s="961" t="s">
        <v>400</v>
      </c>
      <c r="AF103" s="120"/>
      <c r="AG103" s="144">
        <v>10</v>
      </c>
      <c r="AH103" s="145">
        <v>2</v>
      </c>
      <c r="AI103" s="145">
        <v>0</v>
      </c>
      <c r="AJ103" s="239"/>
      <c r="AK103" s="48"/>
      <c r="AL103" s="48"/>
      <c r="AM103" s="48"/>
    </row>
    <row r="104" spans="1:39" ht="15" thickBot="1" x14ac:dyDescent="0.4">
      <c r="A104" s="177"/>
      <c r="B104" s="120"/>
      <c r="C104" s="962"/>
      <c r="D104" s="120"/>
      <c r="E104" s="962"/>
      <c r="F104" s="120"/>
      <c r="G104" s="962"/>
      <c r="H104" s="120"/>
      <c r="I104" s="962"/>
      <c r="J104" s="120"/>
      <c r="K104" s="962"/>
      <c r="L104" s="120"/>
      <c r="M104" s="981"/>
      <c r="N104" s="120"/>
      <c r="O104" s="962"/>
      <c r="P104" s="137"/>
      <c r="Q104" s="137"/>
      <c r="R104" s="120"/>
      <c r="S104" s="962"/>
      <c r="T104" s="120"/>
      <c r="U104" s="962"/>
      <c r="V104" s="120"/>
      <c r="W104" s="962"/>
      <c r="X104" s="120"/>
      <c r="Y104" s="962"/>
      <c r="Z104" s="120"/>
      <c r="AA104" s="962"/>
      <c r="AB104" s="120"/>
      <c r="AC104" s="994"/>
      <c r="AD104" s="120"/>
      <c r="AE104" s="995"/>
      <c r="AF104" s="120"/>
      <c r="AG104" s="147"/>
      <c r="AH104" s="148"/>
      <c r="AI104" s="148"/>
      <c r="AJ104" s="172"/>
      <c r="AK104" s="48"/>
      <c r="AL104" s="48"/>
      <c r="AM104" s="48"/>
    </row>
    <row r="105" spans="1:39" ht="6" customHeight="1" x14ac:dyDescent="0.35">
      <c r="A105" s="177"/>
      <c r="B105" s="120"/>
      <c r="C105" s="150">
        <v>0</v>
      </c>
      <c r="D105" s="121"/>
      <c r="E105" s="244" t="s">
        <v>400</v>
      </c>
      <c r="F105" s="121"/>
      <c r="G105" s="244">
        <v>0</v>
      </c>
      <c r="H105" s="121"/>
      <c r="I105" s="244">
        <v>0</v>
      </c>
      <c r="J105" s="121"/>
      <c r="K105" s="244" t="s">
        <v>400</v>
      </c>
      <c r="L105" s="121"/>
      <c r="M105" s="244">
        <v>0</v>
      </c>
      <c r="N105" s="121"/>
      <c r="O105" s="240">
        <v>0</v>
      </c>
      <c r="P105" s="137"/>
      <c r="Q105" s="137"/>
      <c r="R105" s="121"/>
      <c r="S105" s="241">
        <v>0</v>
      </c>
      <c r="T105" s="121"/>
      <c r="U105" s="150">
        <v>0</v>
      </c>
      <c r="V105" s="121"/>
      <c r="W105" s="150">
        <v>0</v>
      </c>
      <c r="X105" s="121"/>
      <c r="Y105" s="150">
        <v>0</v>
      </c>
      <c r="Z105" s="121"/>
      <c r="AA105" s="150">
        <v>0</v>
      </c>
      <c r="AB105" s="121"/>
      <c r="AC105" s="150">
        <v>0</v>
      </c>
      <c r="AD105" s="123"/>
      <c r="AE105" s="150">
        <v>0</v>
      </c>
      <c r="AF105" s="120"/>
      <c r="AG105" s="147"/>
      <c r="AH105" s="148"/>
      <c r="AI105" s="148"/>
      <c r="AJ105" s="172"/>
      <c r="AK105" s="48"/>
      <c r="AL105" s="48"/>
      <c r="AM105" s="48"/>
    </row>
    <row r="106" spans="1:39" ht="15" thickBot="1" x14ac:dyDescent="0.4">
      <c r="A106" s="212"/>
      <c r="C106" s="122" t="s">
        <v>142</v>
      </c>
      <c r="D106" s="120"/>
      <c r="E106" s="122" t="s">
        <v>360</v>
      </c>
      <c r="F106" s="120"/>
      <c r="G106" s="122" t="s">
        <v>142</v>
      </c>
      <c r="H106" s="120"/>
      <c r="I106" s="122" t="s">
        <v>132</v>
      </c>
      <c r="J106" s="120"/>
      <c r="K106" s="122" t="s">
        <v>525</v>
      </c>
      <c r="L106" s="120"/>
      <c r="M106" s="122" t="s">
        <v>178</v>
      </c>
      <c r="N106" s="120"/>
      <c r="O106" s="242" t="s">
        <v>149</v>
      </c>
      <c r="P106" s="245"/>
      <c r="Q106" s="245"/>
      <c r="R106" s="200"/>
      <c r="S106" s="243" t="s">
        <v>151</v>
      </c>
      <c r="T106" s="120"/>
      <c r="U106" s="122" t="s">
        <v>129</v>
      </c>
      <c r="V106" s="120"/>
      <c r="W106" s="122" t="s">
        <v>126</v>
      </c>
      <c r="X106" s="120"/>
      <c r="Y106" s="122" t="s">
        <v>139</v>
      </c>
      <c r="Z106" s="120"/>
      <c r="AA106" s="122" t="s">
        <v>139</v>
      </c>
      <c r="AB106" s="120"/>
      <c r="AC106" s="122" t="s">
        <v>401</v>
      </c>
      <c r="AD106" s="120"/>
      <c r="AE106" s="122" t="s">
        <v>126</v>
      </c>
      <c r="AG106" s="195"/>
      <c r="AH106" s="196"/>
      <c r="AI106" s="196"/>
      <c r="AJ106" s="217"/>
      <c r="AK106" s="48"/>
      <c r="AL106" s="48"/>
      <c r="AM106" s="48"/>
    </row>
    <row r="107" spans="1:39" s="155" customFormat="1" x14ac:dyDescent="0.35">
      <c r="A107" s="173"/>
      <c r="B107" s="128"/>
      <c r="C107" s="153" t="s">
        <v>402</v>
      </c>
      <c r="D107" s="128"/>
      <c r="E107" s="153" t="s">
        <v>402</v>
      </c>
      <c r="F107" s="128"/>
      <c r="G107" s="153" t="s">
        <v>402</v>
      </c>
      <c r="H107" s="128"/>
      <c r="I107" s="153" t="s">
        <v>402</v>
      </c>
      <c r="J107" s="153"/>
      <c r="K107" s="153" t="s">
        <v>402</v>
      </c>
      <c r="L107" s="152"/>
      <c r="M107" s="184" t="s">
        <v>526</v>
      </c>
      <c r="N107" s="152"/>
      <c r="O107" s="152"/>
      <c r="P107" s="152"/>
      <c r="Q107" s="152"/>
      <c r="R107" s="152"/>
      <c r="S107" s="152"/>
      <c r="T107" s="152"/>
      <c r="U107" s="153" t="s">
        <v>421</v>
      </c>
      <c r="V107" s="152"/>
      <c r="W107" s="153" t="s">
        <v>421</v>
      </c>
      <c r="X107" s="128"/>
      <c r="Y107" s="153" t="s">
        <v>421</v>
      </c>
      <c r="Z107" s="152"/>
      <c r="AA107" s="153" t="s">
        <v>421</v>
      </c>
      <c r="AB107" s="152"/>
      <c r="AC107" s="184" t="s">
        <v>526</v>
      </c>
      <c r="AD107" s="152"/>
      <c r="AE107" s="153" t="s">
        <v>421</v>
      </c>
      <c r="AF107" s="128"/>
      <c r="AG107" s="147"/>
      <c r="AH107" s="148"/>
      <c r="AI107" s="148"/>
      <c r="AJ107" s="182"/>
      <c r="AK107" s="49"/>
      <c r="AL107" s="49"/>
      <c r="AM107" s="49"/>
    </row>
    <row r="108" spans="1:39" s="155" customFormat="1" ht="15" thickBot="1" x14ac:dyDescent="0.4">
      <c r="A108" s="173"/>
      <c r="B108" s="128"/>
      <c r="C108" s="152"/>
      <c r="D108" s="128"/>
      <c r="E108" s="152"/>
      <c r="F108" s="128"/>
      <c r="G108" s="152"/>
      <c r="H108" s="128"/>
      <c r="I108" s="152"/>
      <c r="J108" s="152"/>
      <c r="K108" s="152"/>
      <c r="L108" s="152"/>
      <c r="M108" s="152"/>
      <c r="N108" s="152"/>
      <c r="O108" s="152"/>
      <c r="P108" s="152"/>
      <c r="Q108" s="152"/>
      <c r="R108" s="152"/>
      <c r="S108" s="152"/>
      <c r="T108" s="152"/>
      <c r="U108" s="153"/>
      <c r="V108" s="152"/>
      <c r="W108" s="153"/>
      <c r="X108" s="128"/>
      <c r="Y108" s="153"/>
      <c r="Z108" s="153"/>
      <c r="AA108" s="153"/>
      <c r="AB108" s="152"/>
      <c r="AC108" s="152"/>
      <c r="AD108" s="152"/>
      <c r="AE108" s="153"/>
      <c r="AF108" s="128"/>
      <c r="AG108" s="147"/>
      <c r="AH108" s="148"/>
      <c r="AI108" s="148"/>
      <c r="AJ108" s="182"/>
      <c r="AK108" s="49"/>
      <c r="AL108" s="49"/>
      <c r="AM108" s="49"/>
    </row>
    <row r="109" spans="1:39" s="155" customFormat="1" ht="15" thickBot="1" x14ac:dyDescent="0.4">
      <c r="A109" s="204"/>
      <c r="B109" s="983" t="s">
        <v>404</v>
      </c>
      <c r="C109" s="984"/>
      <c r="D109" s="984"/>
      <c r="E109" s="984"/>
      <c r="F109" s="984"/>
      <c r="G109" s="984"/>
      <c r="H109" s="984"/>
      <c r="I109" s="984"/>
      <c r="J109" s="984"/>
      <c r="K109" s="984"/>
      <c r="L109" s="984"/>
      <c r="M109" s="984"/>
      <c r="N109" s="984"/>
      <c r="O109" s="984"/>
      <c r="P109" s="984"/>
      <c r="Q109" s="984"/>
      <c r="R109" s="984"/>
      <c r="S109" s="984"/>
      <c r="T109" s="984"/>
      <c r="U109" s="984"/>
      <c r="V109" s="984"/>
      <c r="W109" s="984"/>
      <c r="X109" s="984"/>
      <c r="Y109" s="984"/>
      <c r="Z109" s="984"/>
      <c r="AA109" s="984"/>
      <c r="AB109" s="984"/>
      <c r="AC109" s="984"/>
      <c r="AD109" s="984"/>
      <c r="AE109" s="985"/>
      <c r="AF109" s="187"/>
      <c r="AG109" s="188"/>
      <c r="AH109" s="189"/>
      <c r="AI109" s="189"/>
      <c r="AJ109" s="190"/>
      <c r="AK109" s="49"/>
      <c r="AL109" s="49"/>
      <c r="AM109" s="49"/>
    </row>
    <row r="110" spans="1:39" ht="15" thickBot="1" x14ac:dyDescent="0.4">
      <c r="A110" s="156"/>
      <c r="B110" s="157"/>
      <c r="C110" s="158"/>
      <c r="D110" s="157"/>
      <c r="E110" s="211"/>
      <c r="F110" s="157"/>
      <c r="G110" s="158"/>
      <c r="H110" s="246"/>
      <c r="I110" s="246"/>
      <c r="J110" s="157"/>
      <c r="K110" s="223"/>
      <c r="L110" s="247"/>
      <c r="M110" s="247"/>
      <c r="N110" s="247"/>
      <c r="O110" s="247"/>
      <c r="P110" s="247"/>
      <c r="Q110" s="247"/>
      <c r="R110" s="247"/>
      <c r="S110" s="991" t="s">
        <v>500</v>
      </c>
      <c r="T110" s="992"/>
      <c r="U110" s="992"/>
      <c r="V110" s="992"/>
      <c r="W110" s="992"/>
      <c r="X110" s="992"/>
      <c r="Y110" s="992"/>
      <c r="Z110" s="992"/>
      <c r="AA110" s="993"/>
      <c r="AB110" s="163"/>
      <c r="AC110" s="248"/>
      <c r="AD110" s="248"/>
      <c r="AE110" s="996"/>
      <c r="AF110" s="996"/>
      <c r="AG110" s="166"/>
      <c r="AH110" s="167"/>
      <c r="AI110" s="167"/>
      <c r="AJ110" s="168"/>
      <c r="AK110" s="48"/>
      <c r="AL110" s="48"/>
      <c r="AM110" s="48"/>
    </row>
    <row r="111" spans="1:39" x14ac:dyDescent="0.35">
      <c r="A111" s="169"/>
      <c r="C111" s="140"/>
      <c r="E111" s="249"/>
      <c r="G111" s="250" t="s">
        <v>527</v>
      </c>
      <c r="H111" s="251"/>
      <c r="I111" s="251"/>
      <c r="K111" s="49"/>
      <c r="L111" s="232"/>
      <c r="M111" s="232"/>
      <c r="N111" s="232"/>
      <c r="O111" s="232"/>
      <c r="P111" s="232"/>
      <c r="Q111" s="232"/>
      <c r="R111" s="232"/>
      <c r="S111" s="252"/>
      <c r="T111" s="49"/>
      <c r="U111" s="49"/>
      <c r="V111" s="152"/>
      <c r="W111" s="232"/>
      <c r="X111" s="49"/>
      <c r="Y111" s="49"/>
      <c r="Z111" s="49"/>
      <c r="AA111" s="253"/>
      <c r="AB111" s="155"/>
      <c r="AC111" s="254"/>
      <c r="AD111" s="254"/>
      <c r="AE111" s="185"/>
      <c r="AF111" s="185"/>
      <c r="AG111" s="147"/>
      <c r="AH111" s="148"/>
      <c r="AI111" s="148"/>
      <c r="AJ111" s="172"/>
      <c r="AK111" s="48"/>
      <c r="AL111" s="48"/>
      <c r="AM111" s="48"/>
    </row>
    <row r="112" spans="1:39" x14ac:dyDescent="0.35">
      <c r="A112" s="169"/>
      <c r="B112" s="120"/>
      <c r="C112" s="122" t="s">
        <v>528</v>
      </c>
      <c r="D112" s="122"/>
      <c r="E112" s="122" t="s">
        <v>529</v>
      </c>
      <c r="F112" s="122"/>
      <c r="G112" s="122" t="s">
        <v>530</v>
      </c>
      <c r="H112" s="122"/>
      <c r="I112" s="122" t="s">
        <v>531</v>
      </c>
      <c r="J112" s="122"/>
      <c r="K112" s="122" t="s">
        <v>154</v>
      </c>
      <c r="L112" s="122"/>
      <c r="M112" s="122" t="s">
        <v>155</v>
      </c>
      <c r="N112" s="122"/>
      <c r="O112" s="122" t="s">
        <v>157</v>
      </c>
      <c r="P112" s="122"/>
      <c r="Q112" s="122"/>
      <c r="R112" s="122"/>
      <c r="S112" s="235" t="s">
        <v>532</v>
      </c>
      <c r="T112" s="122"/>
      <c r="U112" s="122" t="s">
        <v>158</v>
      </c>
      <c r="V112" s="122"/>
      <c r="W112" s="122" t="s">
        <v>159</v>
      </c>
      <c r="X112" s="122"/>
      <c r="Y112" s="122" t="s">
        <v>533</v>
      </c>
      <c r="Z112" s="122"/>
      <c r="AA112" s="236" t="s">
        <v>534</v>
      </c>
      <c r="AB112" s="122"/>
      <c r="AC112" s="122" t="s">
        <v>535</v>
      </c>
      <c r="AD112" s="122"/>
      <c r="AE112" s="122" t="s">
        <v>536</v>
      </c>
      <c r="AF112" s="120"/>
      <c r="AG112" s="170"/>
      <c r="AH112" s="171"/>
      <c r="AI112" s="171"/>
      <c r="AJ112" s="172"/>
      <c r="AK112" s="48"/>
      <c r="AL112" s="48"/>
      <c r="AM112" s="48"/>
    </row>
    <row r="113" spans="1:39" x14ac:dyDescent="0.35">
      <c r="A113" s="173"/>
      <c r="B113" s="121"/>
      <c r="C113" s="121">
        <v>0</v>
      </c>
      <c r="D113" s="121"/>
      <c r="E113" s="121">
        <v>0</v>
      </c>
      <c r="F113" s="121"/>
      <c r="G113" s="121">
        <v>0</v>
      </c>
      <c r="H113" s="121"/>
      <c r="I113" s="121">
        <v>0</v>
      </c>
      <c r="J113" s="121"/>
      <c r="K113" s="121">
        <v>0</v>
      </c>
      <c r="L113" s="121"/>
      <c r="M113" s="121">
        <v>0</v>
      </c>
      <c r="N113" s="121"/>
      <c r="O113" s="121">
        <v>0</v>
      </c>
      <c r="P113" s="121"/>
      <c r="Q113" s="121"/>
      <c r="R113" s="121"/>
      <c r="S113" s="177">
        <v>0</v>
      </c>
      <c r="T113" s="121"/>
      <c r="U113" s="121">
        <v>0</v>
      </c>
      <c r="V113" s="121"/>
      <c r="W113" s="121">
        <v>0</v>
      </c>
      <c r="X113" s="121"/>
      <c r="Y113" s="121">
        <v>0</v>
      </c>
      <c r="Z113" s="121"/>
      <c r="AA113" s="237">
        <v>0</v>
      </c>
      <c r="AB113" s="121"/>
      <c r="AC113" s="121">
        <v>0</v>
      </c>
      <c r="AD113" s="121"/>
      <c r="AE113" s="121">
        <v>0</v>
      </c>
      <c r="AF113" s="120"/>
      <c r="AG113" s="174"/>
      <c r="AH113" s="175"/>
      <c r="AI113" s="176"/>
      <c r="AJ113" s="172"/>
      <c r="AK113" s="48"/>
      <c r="AL113" s="48"/>
      <c r="AM113" s="48"/>
    </row>
    <row r="114" spans="1:39" s="140" customFormat="1" ht="15" thickBot="1" x14ac:dyDescent="0.4">
      <c r="A114" s="212">
        <v>123</v>
      </c>
      <c r="C114" s="140">
        <v>124</v>
      </c>
      <c r="E114" s="140">
        <v>125</v>
      </c>
      <c r="G114" s="140">
        <v>126</v>
      </c>
      <c r="I114" s="140">
        <v>127</v>
      </c>
      <c r="K114" s="140">
        <v>128</v>
      </c>
      <c r="M114" s="140">
        <v>129</v>
      </c>
      <c r="O114" s="140">
        <v>130</v>
      </c>
      <c r="S114" s="212">
        <v>131</v>
      </c>
      <c r="U114" s="140">
        <v>132</v>
      </c>
      <c r="W114" s="140">
        <v>133</v>
      </c>
      <c r="Y114" s="140">
        <v>134</v>
      </c>
      <c r="AA114" s="238">
        <v>135</v>
      </c>
      <c r="AC114" s="140">
        <v>136</v>
      </c>
      <c r="AE114" s="140">
        <v>137</v>
      </c>
      <c r="AG114" s="214"/>
      <c r="AH114" s="215"/>
      <c r="AI114" s="216"/>
      <c r="AJ114" s="217"/>
      <c r="AK114" s="192"/>
      <c r="AL114" s="192"/>
      <c r="AM114" s="192"/>
    </row>
    <row r="115" spans="1:39" ht="15" thickBot="1" x14ac:dyDescent="0.4">
      <c r="A115" s="177"/>
      <c r="B115" s="143">
        <v>374.005</v>
      </c>
      <c r="C115" s="980" t="s">
        <v>418</v>
      </c>
      <c r="D115" s="143">
        <v>433</v>
      </c>
      <c r="E115" s="961" t="s">
        <v>399</v>
      </c>
      <c r="F115" s="143">
        <v>390</v>
      </c>
      <c r="G115" s="961" t="s">
        <v>399</v>
      </c>
      <c r="H115" s="143">
        <v>406.995</v>
      </c>
      <c r="I115" s="961" t="s">
        <v>400</v>
      </c>
      <c r="J115" s="143">
        <v>411.48200000000003</v>
      </c>
      <c r="K115" s="961" t="s">
        <v>399</v>
      </c>
      <c r="L115" s="143">
        <v>566.68100000000004</v>
      </c>
      <c r="M115" s="961" t="s">
        <v>399</v>
      </c>
      <c r="N115" s="143">
        <v>326.63200000000001</v>
      </c>
      <c r="O115" s="961" t="s">
        <v>399</v>
      </c>
      <c r="P115" s="137"/>
      <c r="Q115" s="143">
        <v>371.99700000000001</v>
      </c>
      <c r="R115" s="143"/>
      <c r="S115" s="961" t="s">
        <v>399</v>
      </c>
      <c r="T115" s="143">
        <v>441</v>
      </c>
      <c r="U115" s="961" t="s">
        <v>399</v>
      </c>
      <c r="V115" s="143">
        <v>445</v>
      </c>
      <c r="W115" s="961" t="s">
        <v>399</v>
      </c>
      <c r="X115" s="143">
        <v>332.73099999999999</v>
      </c>
      <c r="Y115" s="961" t="s">
        <v>399</v>
      </c>
      <c r="Z115" s="143">
        <v>241.999</v>
      </c>
      <c r="AA115" s="961" t="s">
        <v>399</v>
      </c>
      <c r="AB115" s="143">
        <v>473.13099999999997</v>
      </c>
      <c r="AC115" s="988"/>
      <c r="AD115" s="143">
        <v>439.99900000000002</v>
      </c>
      <c r="AE115" s="961" t="s">
        <v>400</v>
      </c>
      <c r="AF115" s="120"/>
      <c r="AG115" s="144">
        <v>3</v>
      </c>
      <c r="AH115" s="145">
        <v>0</v>
      </c>
      <c r="AI115" s="145">
        <v>0</v>
      </c>
      <c r="AJ115" s="239"/>
      <c r="AK115" s="48"/>
      <c r="AL115" s="48"/>
      <c r="AM115" s="48"/>
    </row>
    <row r="116" spans="1:39" x14ac:dyDescent="0.35">
      <c r="A116" s="177"/>
      <c r="B116" s="120"/>
      <c r="C116" s="981"/>
      <c r="D116" s="120"/>
      <c r="E116" s="962"/>
      <c r="F116" s="120"/>
      <c r="G116" s="962"/>
      <c r="H116" s="120"/>
      <c r="I116" s="962"/>
      <c r="J116" s="120"/>
      <c r="K116" s="962"/>
      <c r="L116" s="120"/>
      <c r="M116" s="962"/>
      <c r="N116" s="120"/>
      <c r="O116" s="962"/>
      <c r="P116" s="137"/>
      <c r="Q116" s="137"/>
      <c r="R116" s="120"/>
      <c r="S116" s="962"/>
      <c r="T116" s="120"/>
      <c r="U116" s="962"/>
      <c r="V116" s="120"/>
      <c r="W116" s="962"/>
      <c r="X116" s="120"/>
      <c r="Y116" s="962"/>
      <c r="Z116" s="120"/>
      <c r="AA116" s="962"/>
      <c r="AB116" s="120"/>
      <c r="AC116" s="989"/>
      <c r="AD116" s="120"/>
      <c r="AE116" s="962"/>
      <c r="AF116" s="120"/>
      <c r="AG116" s="147"/>
      <c r="AH116" s="148"/>
      <c r="AI116" s="148"/>
      <c r="AJ116" s="172"/>
      <c r="AK116" s="48"/>
      <c r="AL116" s="48"/>
      <c r="AM116" s="48"/>
    </row>
    <row r="117" spans="1:39" ht="6" customHeight="1" x14ac:dyDescent="0.35">
      <c r="A117" s="177"/>
      <c r="B117" s="120"/>
      <c r="C117" s="150">
        <v>0</v>
      </c>
      <c r="D117" s="121"/>
      <c r="E117" s="150">
        <v>0</v>
      </c>
      <c r="F117" s="121"/>
      <c r="G117" s="150">
        <v>0</v>
      </c>
      <c r="H117" s="121"/>
      <c r="I117" s="150">
        <v>0</v>
      </c>
      <c r="J117" s="121"/>
      <c r="K117" s="150">
        <v>0</v>
      </c>
      <c r="L117" s="121"/>
      <c r="M117" s="150">
        <v>0</v>
      </c>
      <c r="N117" s="121"/>
      <c r="O117" s="150">
        <v>0</v>
      </c>
      <c r="P117" s="137"/>
      <c r="Q117" s="137"/>
      <c r="R117" s="121"/>
      <c r="S117" s="240">
        <v>0</v>
      </c>
      <c r="T117" s="121"/>
      <c r="U117" s="150">
        <v>0</v>
      </c>
      <c r="V117" s="121"/>
      <c r="W117" s="150">
        <v>0</v>
      </c>
      <c r="X117" s="121"/>
      <c r="Y117" s="150">
        <v>0</v>
      </c>
      <c r="Z117" s="121"/>
      <c r="AA117" s="241">
        <v>0</v>
      </c>
      <c r="AB117" s="121"/>
      <c r="AC117" s="150">
        <v>0</v>
      </c>
      <c r="AD117" s="123"/>
      <c r="AE117" s="150">
        <v>0</v>
      </c>
      <c r="AF117" s="120"/>
      <c r="AG117" s="147"/>
      <c r="AH117" s="148"/>
      <c r="AI117" s="148"/>
      <c r="AJ117" s="172"/>
      <c r="AK117" s="48"/>
      <c r="AL117" s="48"/>
      <c r="AM117" s="48"/>
    </row>
    <row r="118" spans="1:39" ht="15" thickBot="1" x14ac:dyDescent="0.4">
      <c r="A118" s="212"/>
      <c r="C118" s="122" t="s">
        <v>126</v>
      </c>
      <c r="D118" s="120"/>
      <c r="E118" s="122" t="s">
        <v>142</v>
      </c>
      <c r="F118" s="120"/>
      <c r="G118" s="122" t="s">
        <v>151</v>
      </c>
      <c r="H118" s="120"/>
      <c r="I118" s="122" t="s">
        <v>126</v>
      </c>
      <c r="J118" s="120"/>
      <c r="K118" s="122" t="s">
        <v>134</v>
      </c>
      <c r="L118" s="120"/>
      <c r="M118" s="122" t="s">
        <v>156</v>
      </c>
      <c r="N118" s="120"/>
      <c r="O118" s="122" t="s">
        <v>144</v>
      </c>
      <c r="P118" s="122"/>
      <c r="Q118" s="122"/>
      <c r="R118" s="120"/>
      <c r="S118" s="242" t="s">
        <v>161</v>
      </c>
      <c r="T118" s="200"/>
      <c r="U118" s="245" t="s">
        <v>146</v>
      </c>
      <c r="V118" s="200"/>
      <c r="W118" s="245" t="s">
        <v>126</v>
      </c>
      <c r="X118" s="200"/>
      <c r="Y118" s="245" t="s">
        <v>360</v>
      </c>
      <c r="Z118" s="200"/>
      <c r="AA118" s="243" t="s">
        <v>144</v>
      </c>
      <c r="AB118" s="120"/>
      <c r="AC118" s="122" t="s">
        <v>537</v>
      </c>
      <c r="AD118" s="120"/>
      <c r="AE118" s="122" t="s">
        <v>126</v>
      </c>
      <c r="AF118" s="140"/>
      <c r="AG118" s="195"/>
      <c r="AH118" s="196"/>
      <c r="AI118" s="196"/>
      <c r="AJ118" s="217"/>
      <c r="AK118" s="48"/>
      <c r="AL118" s="48"/>
      <c r="AM118" s="48"/>
    </row>
    <row r="119" spans="1:39" s="155" customFormat="1" x14ac:dyDescent="0.35">
      <c r="A119" s="173"/>
      <c r="B119" s="128"/>
      <c r="C119" s="184" t="s">
        <v>526</v>
      </c>
      <c r="D119" s="152"/>
      <c r="E119" s="152"/>
      <c r="F119" s="128"/>
      <c r="G119" s="151"/>
      <c r="H119" s="128"/>
      <c r="I119" s="153" t="s">
        <v>421</v>
      </c>
      <c r="J119" s="128"/>
      <c r="K119" s="151"/>
      <c r="L119" s="128"/>
      <c r="M119" s="151"/>
      <c r="N119" s="128"/>
      <c r="O119" s="151"/>
      <c r="P119" s="151"/>
      <c r="Q119" s="151"/>
      <c r="R119" s="128"/>
      <c r="S119" s="151"/>
      <c r="T119" s="128"/>
      <c r="U119" s="151"/>
      <c r="V119" s="128"/>
      <c r="W119" s="151"/>
      <c r="X119" s="128"/>
      <c r="Y119" s="49"/>
      <c r="Z119" s="128"/>
      <c r="AA119" s="151"/>
      <c r="AB119" s="128"/>
      <c r="AC119" s="153" t="s">
        <v>421</v>
      </c>
      <c r="AD119" s="128"/>
      <c r="AE119" s="153" t="s">
        <v>421</v>
      </c>
      <c r="AF119" s="128"/>
      <c r="AG119" s="147"/>
      <c r="AH119" s="148"/>
      <c r="AI119" s="148"/>
      <c r="AJ119" s="182"/>
      <c r="AK119" s="49"/>
      <c r="AL119" s="49"/>
      <c r="AM119" s="49"/>
    </row>
    <row r="120" spans="1:39" s="155" customFormat="1" ht="15" thickBot="1" x14ac:dyDescent="0.4">
      <c r="A120" s="173"/>
      <c r="B120" s="128"/>
      <c r="C120" s="152"/>
      <c r="D120" s="152"/>
      <c r="E120" s="152"/>
      <c r="F120" s="128"/>
      <c r="G120" s="151"/>
      <c r="H120" s="128"/>
      <c r="I120" s="153"/>
      <c r="J120" s="128"/>
      <c r="K120" s="151"/>
      <c r="L120" s="128"/>
      <c r="M120" s="151"/>
      <c r="N120" s="128"/>
      <c r="O120" s="151"/>
      <c r="P120" s="151"/>
      <c r="Q120" s="151"/>
      <c r="R120" s="128"/>
      <c r="S120" s="151"/>
      <c r="T120" s="128"/>
      <c r="U120" s="151"/>
      <c r="V120" s="128"/>
      <c r="W120" s="151"/>
      <c r="X120" s="128"/>
      <c r="Y120" s="49"/>
      <c r="Z120" s="128"/>
      <c r="AA120" s="151"/>
      <c r="AB120" s="128"/>
      <c r="AC120" s="184" t="s">
        <v>526</v>
      </c>
      <c r="AD120" s="128"/>
      <c r="AE120" s="153"/>
      <c r="AF120" s="128"/>
      <c r="AG120" s="147"/>
      <c r="AH120" s="148"/>
      <c r="AI120" s="148"/>
      <c r="AJ120" s="182"/>
      <c r="AK120" s="49"/>
      <c r="AL120" s="49"/>
      <c r="AM120" s="49"/>
    </row>
    <row r="121" spans="1:39" s="155" customFormat="1" ht="15" thickBot="1" x14ac:dyDescent="0.4">
      <c r="A121" s="204"/>
      <c r="B121" s="983" t="s">
        <v>404</v>
      </c>
      <c r="C121" s="984"/>
      <c r="D121" s="984"/>
      <c r="E121" s="984"/>
      <c r="F121" s="984"/>
      <c r="G121" s="984"/>
      <c r="H121" s="984"/>
      <c r="I121" s="984"/>
      <c r="J121" s="984"/>
      <c r="K121" s="984"/>
      <c r="L121" s="984"/>
      <c r="M121" s="984"/>
      <c r="N121" s="984"/>
      <c r="O121" s="984"/>
      <c r="P121" s="984"/>
      <c r="Q121" s="984"/>
      <c r="R121" s="984"/>
      <c r="S121" s="984"/>
      <c r="T121" s="984"/>
      <c r="U121" s="984"/>
      <c r="V121" s="984"/>
      <c r="W121" s="984"/>
      <c r="X121" s="984"/>
      <c r="Y121" s="984"/>
      <c r="Z121" s="984"/>
      <c r="AA121" s="984"/>
      <c r="AB121" s="984"/>
      <c r="AC121" s="984"/>
      <c r="AD121" s="984"/>
      <c r="AE121" s="985"/>
      <c r="AF121" s="187"/>
      <c r="AG121" s="188"/>
      <c r="AH121" s="189"/>
      <c r="AI121" s="189"/>
      <c r="AJ121" s="190"/>
      <c r="AK121" s="49"/>
      <c r="AL121" s="49"/>
      <c r="AM121" s="49"/>
    </row>
    <row r="122" spans="1:39" s="155" customFormat="1" ht="15" thickBot="1" x14ac:dyDescent="0.4">
      <c r="A122" s="222"/>
      <c r="B122" s="163"/>
      <c r="C122" s="255"/>
      <c r="D122" s="255"/>
      <c r="E122" s="255"/>
      <c r="F122" s="163"/>
      <c r="G122" s="997" t="s">
        <v>500</v>
      </c>
      <c r="H122" s="998"/>
      <c r="I122" s="998"/>
      <c r="J122" s="998"/>
      <c r="K122" s="999"/>
      <c r="L122" s="163"/>
      <c r="M122" s="207"/>
      <c r="N122" s="163"/>
      <c r="O122" s="207"/>
      <c r="P122" s="207"/>
      <c r="Q122" s="207"/>
      <c r="R122" s="163"/>
      <c r="S122" s="207"/>
      <c r="T122" s="163"/>
      <c r="U122" s="207"/>
      <c r="V122" s="163"/>
      <c r="W122" s="207"/>
      <c r="X122" s="163"/>
      <c r="Y122" s="1000" t="s">
        <v>500</v>
      </c>
      <c r="Z122" s="1001"/>
      <c r="AA122" s="1002"/>
      <c r="AB122" s="163"/>
      <c r="AC122" s="207"/>
      <c r="AD122" s="163"/>
      <c r="AE122" s="224"/>
      <c r="AF122" s="163"/>
      <c r="AG122" s="166"/>
      <c r="AH122" s="167"/>
      <c r="AI122" s="167"/>
      <c r="AJ122" s="228"/>
      <c r="AK122" s="49"/>
      <c r="AL122" s="49"/>
      <c r="AM122" s="49"/>
    </row>
    <row r="123" spans="1:39" x14ac:dyDescent="0.35">
      <c r="A123" s="193"/>
      <c r="B123" s="194"/>
      <c r="C123" s="194"/>
      <c r="D123" s="194" t="s">
        <v>469</v>
      </c>
      <c r="E123" s="194"/>
      <c r="G123" s="233"/>
      <c r="H123" s="155"/>
      <c r="I123" s="198"/>
      <c r="J123" s="155"/>
      <c r="K123" s="234"/>
      <c r="L123" s="194"/>
      <c r="M123" s="49"/>
      <c r="O123" s="140"/>
      <c r="P123" s="140"/>
      <c r="Q123" s="140"/>
      <c r="R123" s="155"/>
      <c r="S123" s="232"/>
      <c r="T123" s="232"/>
      <c r="U123" s="232"/>
      <c r="W123" s="140"/>
      <c r="X123" s="256" t="s">
        <v>455</v>
      </c>
      <c r="Y123" s="257"/>
      <c r="Z123" s="254"/>
      <c r="AA123" s="258"/>
      <c r="AB123" s="254"/>
      <c r="AC123" s="254"/>
      <c r="AD123" s="254"/>
      <c r="AE123" s="254"/>
      <c r="AG123" s="195"/>
      <c r="AH123" s="196"/>
      <c r="AI123" s="196"/>
      <c r="AJ123" s="217"/>
      <c r="AK123" s="48"/>
      <c r="AL123" s="48"/>
      <c r="AM123" s="48"/>
    </row>
    <row r="124" spans="1:39" x14ac:dyDescent="0.35">
      <c r="A124" s="169"/>
      <c r="B124" s="120"/>
      <c r="C124" s="122" t="s">
        <v>538</v>
      </c>
      <c r="D124" s="122"/>
      <c r="E124" s="122" t="s">
        <v>539</v>
      </c>
      <c r="F124" s="122"/>
      <c r="G124" s="235" t="s">
        <v>160</v>
      </c>
      <c r="H124" s="122"/>
      <c r="I124" s="122" t="s">
        <v>162</v>
      </c>
      <c r="J124" s="122"/>
      <c r="K124" s="236" t="s">
        <v>163</v>
      </c>
      <c r="L124" s="122"/>
      <c r="M124" s="122" t="s">
        <v>540</v>
      </c>
      <c r="N124" s="122"/>
      <c r="O124" s="122" t="s">
        <v>541</v>
      </c>
      <c r="P124" s="122"/>
      <c r="Q124" s="122"/>
      <c r="R124" s="122"/>
      <c r="S124" s="122" t="s">
        <v>542</v>
      </c>
      <c r="T124" s="122"/>
      <c r="U124" s="122" t="s">
        <v>543</v>
      </c>
      <c r="V124" s="122"/>
      <c r="W124" s="122" t="s">
        <v>544</v>
      </c>
      <c r="X124" s="122"/>
      <c r="Y124" s="235" t="s">
        <v>164</v>
      </c>
      <c r="Z124" s="122"/>
      <c r="AA124" s="236" t="s">
        <v>545</v>
      </c>
      <c r="AB124" s="122"/>
      <c r="AC124" s="122" t="s">
        <v>546</v>
      </c>
      <c r="AD124" s="122"/>
      <c r="AE124" s="122" t="s">
        <v>547</v>
      </c>
      <c r="AF124" s="120"/>
      <c r="AG124" s="170"/>
      <c r="AH124" s="171"/>
      <c r="AI124" s="171"/>
      <c r="AJ124" s="172"/>
      <c r="AK124" s="48"/>
      <c r="AL124" s="48"/>
      <c r="AM124" s="48"/>
    </row>
    <row r="125" spans="1:39" x14ac:dyDescent="0.35">
      <c r="A125" s="173"/>
      <c r="B125" s="121" t="s">
        <v>548</v>
      </c>
      <c r="C125" s="121">
        <v>0</v>
      </c>
      <c r="D125" s="121"/>
      <c r="E125" s="121">
        <v>0</v>
      </c>
      <c r="F125" s="121"/>
      <c r="G125" s="177">
        <v>0</v>
      </c>
      <c r="H125" s="121"/>
      <c r="I125" s="121">
        <v>0</v>
      </c>
      <c r="J125" s="121"/>
      <c r="K125" s="237">
        <v>0</v>
      </c>
      <c r="L125" s="121"/>
      <c r="M125" s="121">
        <v>0</v>
      </c>
      <c r="N125" s="121"/>
      <c r="O125" s="121">
        <v>0</v>
      </c>
      <c r="P125" s="121"/>
      <c r="Q125" s="121"/>
      <c r="R125" s="121"/>
      <c r="S125" s="121">
        <v>0</v>
      </c>
      <c r="T125" s="121"/>
      <c r="U125" s="121">
        <v>0</v>
      </c>
      <c r="V125" s="121"/>
      <c r="W125" s="121">
        <v>0</v>
      </c>
      <c r="X125" s="121"/>
      <c r="Y125" s="177">
        <v>0</v>
      </c>
      <c r="Z125" s="121"/>
      <c r="AA125" s="237">
        <v>0</v>
      </c>
      <c r="AB125" s="121"/>
      <c r="AC125" s="121">
        <v>0</v>
      </c>
      <c r="AD125" s="121"/>
      <c r="AE125" s="121">
        <v>0</v>
      </c>
      <c r="AF125" s="120"/>
      <c r="AG125" s="174"/>
      <c r="AH125" s="175"/>
      <c r="AI125" s="176"/>
      <c r="AJ125" s="172"/>
      <c r="AK125" s="48"/>
      <c r="AL125" s="48"/>
      <c r="AM125" s="48"/>
    </row>
    <row r="126" spans="1:39" s="140" customFormat="1" ht="15" thickBot="1" x14ac:dyDescent="0.4">
      <c r="A126" s="212">
        <v>137</v>
      </c>
      <c r="C126" s="140">
        <v>138</v>
      </c>
      <c r="E126" s="140">
        <v>139</v>
      </c>
      <c r="G126" s="212">
        <v>140</v>
      </c>
      <c r="I126" s="140">
        <v>141</v>
      </c>
      <c r="K126" s="238">
        <v>142</v>
      </c>
      <c r="M126" s="140">
        <v>143</v>
      </c>
      <c r="O126" s="140">
        <v>144</v>
      </c>
      <c r="S126" s="140">
        <v>145</v>
      </c>
      <c r="U126" s="140">
        <v>146</v>
      </c>
      <c r="W126" s="140">
        <v>147</v>
      </c>
      <c r="Y126" s="212">
        <v>148</v>
      </c>
      <c r="AA126" s="238">
        <v>149</v>
      </c>
      <c r="AC126" s="140">
        <v>150</v>
      </c>
      <c r="AE126" s="140">
        <v>151</v>
      </c>
      <c r="AG126" s="214"/>
      <c r="AH126" s="215"/>
      <c r="AI126" s="216"/>
      <c r="AJ126" s="217"/>
      <c r="AK126" s="192"/>
      <c r="AL126" s="192"/>
      <c r="AM126" s="192"/>
    </row>
    <row r="127" spans="1:39" ht="15" thickBot="1" x14ac:dyDescent="0.4">
      <c r="A127" s="177"/>
      <c r="B127" s="143">
        <v>398.255</v>
      </c>
      <c r="C127" s="961" t="s">
        <v>399</v>
      </c>
      <c r="D127" s="143">
        <v>211.13499999999999</v>
      </c>
      <c r="E127" s="961" t="s">
        <v>399</v>
      </c>
      <c r="F127" s="143">
        <v>224</v>
      </c>
      <c r="G127" s="961" t="s">
        <v>399</v>
      </c>
      <c r="H127" s="143">
        <v>293.49299999999999</v>
      </c>
      <c r="I127" s="961" t="s">
        <v>399</v>
      </c>
      <c r="J127" s="143">
        <v>332.85599999999999</v>
      </c>
      <c r="K127" s="961" t="s">
        <v>399</v>
      </c>
      <c r="L127" s="143">
        <v>412.34500000000003</v>
      </c>
      <c r="M127" s="988"/>
      <c r="N127" s="143">
        <v>429.00299999999999</v>
      </c>
      <c r="O127" s="961" t="s">
        <v>400</v>
      </c>
      <c r="P127" s="137"/>
      <c r="Q127" s="143">
        <v>389</v>
      </c>
      <c r="R127" s="143"/>
      <c r="S127" s="988"/>
      <c r="T127" s="143">
        <v>418</v>
      </c>
      <c r="U127" s="961" t="s">
        <v>400</v>
      </c>
      <c r="V127" s="143">
        <v>365.834</v>
      </c>
      <c r="W127" s="961" t="s">
        <v>399</v>
      </c>
      <c r="X127" s="143">
        <v>236.06100000000001</v>
      </c>
      <c r="Y127" s="961" t="s">
        <v>399</v>
      </c>
      <c r="Z127" s="143">
        <v>424.99799999999999</v>
      </c>
      <c r="AA127" s="961" t="s">
        <v>399</v>
      </c>
      <c r="AB127" s="143">
        <v>413.45</v>
      </c>
      <c r="AC127" s="988"/>
      <c r="AD127" s="143">
        <v>458</v>
      </c>
      <c r="AE127" s="961" t="s">
        <v>400</v>
      </c>
      <c r="AF127" s="120"/>
      <c r="AG127" s="144">
        <v>6</v>
      </c>
      <c r="AH127" s="145">
        <v>1</v>
      </c>
      <c r="AI127" s="145">
        <v>0</v>
      </c>
      <c r="AJ127" s="239"/>
      <c r="AK127" s="48"/>
      <c r="AL127" s="48"/>
      <c r="AM127" s="48"/>
    </row>
    <row r="128" spans="1:39" x14ac:dyDescent="0.35">
      <c r="A128" s="177"/>
      <c r="B128" s="120"/>
      <c r="C128" s="962"/>
      <c r="D128" s="120"/>
      <c r="E128" s="962"/>
      <c r="F128" s="120"/>
      <c r="G128" s="962"/>
      <c r="H128" s="120"/>
      <c r="I128" s="962"/>
      <c r="J128" s="120"/>
      <c r="K128" s="962"/>
      <c r="L128" s="120"/>
      <c r="M128" s="989"/>
      <c r="N128" s="120"/>
      <c r="O128" s="962"/>
      <c r="P128" s="137"/>
      <c r="Q128" s="137"/>
      <c r="R128" s="120"/>
      <c r="S128" s="989"/>
      <c r="T128" s="120"/>
      <c r="U128" s="962"/>
      <c r="V128" s="120"/>
      <c r="W128" s="962"/>
      <c r="X128" s="120"/>
      <c r="Y128" s="962"/>
      <c r="Z128" s="120"/>
      <c r="AA128" s="962"/>
      <c r="AB128" s="120"/>
      <c r="AC128" s="989"/>
      <c r="AD128" s="120"/>
      <c r="AE128" s="962"/>
      <c r="AF128" s="120"/>
      <c r="AG128" s="147"/>
      <c r="AH128" s="148"/>
      <c r="AI128" s="148"/>
      <c r="AJ128" s="172"/>
      <c r="AK128" s="48"/>
      <c r="AL128" s="48"/>
      <c r="AM128" s="48"/>
    </row>
    <row r="129" spans="1:39" ht="6" customHeight="1" x14ac:dyDescent="0.35">
      <c r="A129" s="177"/>
      <c r="B129" s="120"/>
      <c r="C129" s="150">
        <v>0</v>
      </c>
      <c r="D129" s="121"/>
      <c r="E129" s="150">
        <v>0</v>
      </c>
      <c r="F129" s="121"/>
      <c r="G129" s="240">
        <v>0</v>
      </c>
      <c r="H129" s="121"/>
      <c r="I129" s="150">
        <v>0</v>
      </c>
      <c r="J129" s="121"/>
      <c r="K129" s="241">
        <v>0</v>
      </c>
      <c r="L129" s="121"/>
      <c r="M129" s="150">
        <v>0</v>
      </c>
      <c r="N129" s="121"/>
      <c r="O129" s="150" t="s">
        <v>400</v>
      </c>
      <c r="P129" s="137"/>
      <c r="Q129" s="137"/>
      <c r="R129" s="121"/>
      <c r="S129" s="150">
        <v>0</v>
      </c>
      <c r="T129" s="121"/>
      <c r="U129" s="150">
        <v>0</v>
      </c>
      <c r="V129" s="121"/>
      <c r="W129" s="150">
        <v>0</v>
      </c>
      <c r="X129" s="121"/>
      <c r="Y129" s="240">
        <v>0</v>
      </c>
      <c r="Z129" s="121"/>
      <c r="AA129" s="241">
        <v>0</v>
      </c>
      <c r="AB129" s="121"/>
      <c r="AC129" s="150">
        <v>0</v>
      </c>
      <c r="AD129" s="123"/>
      <c r="AE129" s="150">
        <v>0</v>
      </c>
      <c r="AF129" s="120"/>
      <c r="AG129" s="147"/>
      <c r="AH129" s="148"/>
      <c r="AI129" s="148"/>
      <c r="AJ129" s="172"/>
      <c r="AK129" s="48"/>
      <c r="AL129" s="48"/>
      <c r="AM129" s="48"/>
    </row>
    <row r="130" spans="1:39" ht="15" thickBot="1" x14ac:dyDescent="0.4">
      <c r="A130" s="212"/>
      <c r="B130" s="140"/>
      <c r="C130" s="122" t="s">
        <v>129</v>
      </c>
      <c r="D130" s="120"/>
      <c r="E130" s="122" t="s">
        <v>320</v>
      </c>
      <c r="F130" s="120"/>
      <c r="G130" s="242" t="s">
        <v>161</v>
      </c>
      <c r="H130" s="200"/>
      <c r="I130" s="245" t="s">
        <v>129</v>
      </c>
      <c r="J130" s="200"/>
      <c r="K130" s="243" t="s">
        <v>151</v>
      </c>
      <c r="L130" s="120"/>
      <c r="M130" s="122" t="s">
        <v>323</v>
      </c>
      <c r="N130" s="120"/>
      <c r="O130" s="122" t="s">
        <v>142</v>
      </c>
      <c r="P130" s="122"/>
      <c r="Q130" s="122"/>
      <c r="R130" s="120"/>
      <c r="S130" s="122" t="s">
        <v>126</v>
      </c>
      <c r="T130" s="120"/>
      <c r="U130" s="122" t="s">
        <v>144</v>
      </c>
      <c r="V130" s="120"/>
      <c r="W130" s="122" t="s">
        <v>165</v>
      </c>
      <c r="X130" s="120"/>
      <c r="Y130" s="259" t="s">
        <v>165</v>
      </c>
      <c r="Z130" s="200"/>
      <c r="AA130" s="243" t="s">
        <v>139</v>
      </c>
      <c r="AB130" s="120"/>
      <c r="AC130" s="122" t="s">
        <v>549</v>
      </c>
      <c r="AD130" s="120"/>
      <c r="AE130" s="122" t="s">
        <v>139</v>
      </c>
      <c r="AG130" s="195"/>
      <c r="AH130" s="196"/>
      <c r="AI130" s="196"/>
      <c r="AJ130" s="217"/>
      <c r="AK130" s="48"/>
      <c r="AL130" s="48"/>
      <c r="AM130" s="48"/>
    </row>
    <row r="131" spans="1:39" s="155" customFormat="1" x14ac:dyDescent="0.35">
      <c r="A131" s="183"/>
      <c r="C131" s="153"/>
      <c r="E131" s="153"/>
      <c r="G131" s="153"/>
      <c r="I131" s="153"/>
      <c r="K131" s="153"/>
      <c r="M131" s="49" t="s">
        <v>422</v>
      </c>
      <c r="N131" s="232"/>
      <c r="O131" s="153" t="s">
        <v>402</v>
      </c>
      <c r="P131" s="153"/>
      <c r="Q131" s="153"/>
      <c r="R131" s="232"/>
      <c r="S131" s="232"/>
      <c r="T131" s="232"/>
      <c r="U131" s="153" t="s">
        <v>422</v>
      </c>
      <c r="V131" s="232"/>
      <c r="W131" s="232"/>
      <c r="X131" s="232"/>
      <c r="Y131" s="232"/>
      <c r="Z131" s="232"/>
      <c r="AA131" s="232"/>
      <c r="AB131" s="232"/>
      <c r="AC131" s="232"/>
      <c r="AE131" s="153" t="s">
        <v>422</v>
      </c>
      <c r="AG131" s="195"/>
      <c r="AH131" s="196"/>
      <c r="AI131" s="196"/>
      <c r="AJ131" s="197"/>
      <c r="AK131" s="49"/>
      <c r="AL131" s="49"/>
      <c r="AM131" s="49"/>
    </row>
    <row r="132" spans="1:39" s="155" customFormat="1" ht="15" thickBot="1" x14ac:dyDescent="0.4">
      <c r="A132" s="183"/>
      <c r="C132" s="153"/>
      <c r="E132" s="153"/>
      <c r="G132" s="153"/>
      <c r="I132" s="153"/>
      <c r="K132" s="153"/>
      <c r="M132" s="260" t="s">
        <v>526</v>
      </c>
      <c r="N132" s="232"/>
      <c r="O132" s="153"/>
      <c r="P132" s="153"/>
      <c r="Q132" s="153"/>
      <c r="R132" s="232"/>
      <c r="S132" s="260" t="s">
        <v>526</v>
      </c>
      <c r="T132" s="232"/>
      <c r="U132" s="153"/>
      <c r="V132" s="232"/>
      <c r="W132" s="232"/>
      <c r="X132" s="232"/>
      <c r="Y132" s="232"/>
      <c r="Z132" s="232"/>
      <c r="AA132" s="232"/>
      <c r="AB132" s="232"/>
      <c r="AC132" s="260" t="s">
        <v>526</v>
      </c>
      <c r="AE132" s="153"/>
      <c r="AG132" s="195"/>
      <c r="AH132" s="196"/>
      <c r="AI132" s="196"/>
      <c r="AJ132" s="197"/>
      <c r="AK132" s="49"/>
      <c r="AL132" s="49"/>
      <c r="AM132" s="49"/>
    </row>
    <row r="133" spans="1:39" s="155" customFormat="1" ht="15" thickBot="1" x14ac:dyDescent="0.4">
      <c r="A133" s="186"/>
      <c r="B133" s="983" t="s">
        <v>404</v>
      </c>
      <c r="C133" s="984"/>
      <c r="D133" s="984"/>
      <c r="E133" s="984"/>
      <c r="F133" s="984"/>
      <c r="G133" s="984"/>
      <c r="H133" s="984"/>
      <c r="I133" s="984"/>
      <c r="J133" s="984"/>
      <c r="K133" s="984"/>
      <c r="L133" s="984"/>
      <c r="M133" s="984"/>
      <c r="N133" s="984"/>
      <c r="O133" s="984"/>
      <c r="P133" s="984"/>
      <c r="Q133" s="984"/>
      <c r="R133" s="984"/>
      <c r="S133" s="984"/>
      <c r="T133" s="984"/>
      <c r="U133" s="984"/>
      <c r="V133" s="984"/>
      <c r="W133" s="984"/>
      <c r="X133" s="984"/>
      <c r="Y133" s="984"/>
      <c r="Z133" s="984"/>
      <c r="AA133" s="984"/>
      <c r="AB133" s="984"/>
      <c r="AC133" s="984"/>
      <c r="AD133" s="984"/>
      <c r="AE133" s="985"/>
      <c r="AF133" s="221"/>
      <c r="AG133" s="261"/>
      <c r="AH133" s="262"/>
      <c r="AI133" s="262"/>
      <c r="AJ133" s="263"/>
      <c r="AK133" s="49"/>
      <c r="AL133" s="49"/>
      <c r="AM133" s="49"/>
    </row>
    <row r="134" spans="1:39" s="155" customFormat="1" ht="15" thickBot="1" x14ac:dyDescent="0.4">
      <c r="A134" s="264"/>
      <c r="B134" s="162"/>
      <c r="C134" s="224"/>
      <c r="D134" s="162"/>
      <c r="E134" s="224"/>
      <c r="F134" s="162"/>
      <c r="G134" s="224"/>
      <c r="H134" s="162"/>
      <c r="I134" s="224"/>
      <c r="J134" s="162"/>
      <c r="K134" s="224"/>
      <c r="L134" s="162"/>
      <c r="M134" s="247"/>
      <c r="N134" s="247"/>
      <c r="O134" s="224"/>
      <c r="P134" s="224"/>
      <c r="Q134" s="224"/>
      <c r="R134" s="247"/>
      <c r="S134" s="247"/>
      <c r="T134" s="247"/>
      <c r="U134" s="224"/>
      <c r="V134" s="247"/>
      <c r="W134" s="161"/>
      <c r="X134" s="247"/>
      <c r="Y134" s="997" t="s">
        <v>500</v>
      </c>
      <c r="Z134" s="998"/>
      <c r="AA134" s="998"/>
      <c r="AB134" s="998"/>
      <c r="AC134" s="999"/>
      <c r="AD134" s="1003" t="s">
        <v>550</v>
      </c>
      <c r="AE134" s="1004"/>
      <c r="AF134" s="162"/>
      <c r="AG134" s="265"/>
      <c r="AH134" s="266"/>
      <c r="AI134" s="266"/>
      <c r="AJ134" s="267"/>
      <c r="AK134" s="49"/>
      <c r="AL134" s="49"/>
      <c r="AM134" s="49"/>
    </row>
    <row r="135" spans="1:39" x14ac:dyDescent="0.35">
      <c r="A135" s="169"/>
      <c r="B135" s="120"/>
      <c r="C135" s="121"/>
      <c r="D135" s="120"/>
      <c r="E135" s="121"/>
      <c r="F135" s="120"/>
      <c r="G135" s="121"/>
      <c r="H135" s="122"/>
      <c r="I135" s="121"/>
      <c r="J135" s="120"/>
      <c r="K135" s="123"/>
      <c r="L135" s="120"/>
      <c r="M135" s="121"/>
      <c r="N135" s="120"/>
      <c r="O135" s="121"/>
      <c r="P135" s="121"/>
      <c r="Q135" s="121"/>
      <c r="R135" s="120"/>
      <c r="S135" s="123"/>
      <c r="T135" s="120"/>
      <c r="U135" s="230"/>
      <c r="V135" s="230"/>
      <c r="W135" s="198"/>
      <c r="Y135" s="268"/>
      <c r="Z135" s="165"/>
      <c r="AA135" s="165"/>
      <c r="AB135" s="165"/>
      <c r="AC135" s="269"/>
      <c r="AD135" s="165"/>
      <c r="AE135" s="270"/>
      <c r="AF135" s="120"/>
      <c r="AG135" s="147"/>
      <c r="AH135" s="148"/>
      <c r="AI135" s="148"/>
      <c r="AJ135" s="172"/>
      <c r="AK135" s="48"/>
      <c r="AL135" s="48"/>
      <c r="AM135" s="48"/>
    </row>
    <row r="136" spans="1:39" x14ac:dyDescent="0.35">
      <c r="A136" s="169"/>
      <c r="B136" s="120"/>
      <c r="C136" s="122" t="s">
        <v>551</v>
      </c>
      <c r="D136" s="122"/>
      <c r="E136" s="122" t="s">
        <v>552</v>
      </c>
      <c r="F136" s="122"/>
      <c r="G136" s="122" t="s">
        <v>553</v>
      </c>
      <c r="H136" s="122"/>
      <c r="I136" s="122" t="s">
        <v>554</v>
      </c>
      <c r="J136" s="122"/>
      <c r="K136" s="122" t="s">
        <v>555</v>
      </c>
      <c r="L136" s="122"/>
      <c r="M136" s="122" t="s">
        <v>556</v>
      </c>
      <c r="N136" s="122"/>
      <c r="O136" s="122" t="s">
        <v>557</v>
      </c>
      <c r="P136" s="122"/>
      <c r="Q136" s="122"/>
      <c r="R136" s="122"/>
      <c r="S136" s="122" t="s">
        <v>558</v>
      </c>
      <c r="T136" s="122"/>
      <c r="U136" s="122" t="s">
        <v>559</v>
      </c>
      <c r="V136" s="122"/>
      <c r="W136" s="122" t="s">
        <v>166</v>
      </c>
      <c r="X136" s="122"/>
      <c r="Y136" s="235" t="s">
        <v>168</v>
      </c>
      <c r="Z136" s="122"/>
      <c r="AA136" s="122" t="s">
        <v>560</v>
      </c>
      <c r="AB136" s="122"/>
      <c r="AC136" s="236" t="s">
        <v>169</v>
      </c>
      <c r="AD136" s="122"/>
      <c r="AE136" s="236" t="s">
        <v>561</v>
      </c>
      <c r="AF136" s="120"/>
      <c r="AG136" s="170"/>
      <c r="AH136" s="171"/>
      <c r="AI136" s="171"/>
      <c r="AJ136" s="172"/>
      <c r="AK136" s="48"/>
      <c r="AL136" s="48"/>
      <c r="AM136" s="48"/>
    </row>
    <row r="137" spans="1:39" x14ac:dyDescent="0.35">
      <c r="A137" s="173"/>
      <c r="B137" s="121"/>
      <c r="C137" s="121">
        <v>0</v>
      </c>
      <c r="D137" s="121"/>
      <c r="E137" s="121">
        <v>0</v>
      </c>
      <c r="F137" s="121"/>
      <c r="G137" s="121">
        <v>0</v>
      </c>
      <c r="H137" s="121"/>
      <c r="I137" s="121">
        <v>0</v>
      </c>
      <c r="J137" s="121"/>
      <c r="K137" s="121">
        <v>0</v>
      </c>
      <c r="L137" s="121"/>
      <c r="M137" s="121">
        <v>0</v>
      </c>
      <c r="N137" s="121"/>
      <c r="O137" s="121">
        <v>0</v>
      </c>
      <c r="P137" s="121"/>
      <c r="Q137" s="121"/>
      <c r="R137" s="121"/>
      <c r="S137" s="121">
        <v>0</v>
      </c>
      <c r="T137" s="121"/>
      <c r="U137" s="121">
        <v>0</v>
      </c>
      <c r="V137" s="121"/>
      <c r="W137" s="121">
        <v>0</v>
      </c>
      <c r="X137" s="121"/>
      <c r="Y137" s="177">
        <v>0</v>
      </c>
      <c r="Z137" s="121"/>
      <c r="AA137" s="121">
        <v>0</v>
      </c>
      <c r="AB137" s="121"/>
      <c r="AC137" s="237">
        <v>0</v>
      </c>
      <c r="AD137" s="121"/>
      <c r="AE137" s="237">
        <v>0</v>
      </c>
      <c r="AF137" s="120"/>
      <c r="AG137" s="174"/>
      <c r="AH137" s="175"/>
      <c r="AI137" s="176"/>
      <c r="AJ137" s="172"/>
      <c r="AK137" s="48"/>
      <c r="AL137" s="48"/>
      <c r="AM137" s="48"/>
    </row>
    <row r="138" spans="1:39" s="140" customFormat="1" ht="15" thickBot="1" x14ac:dyDescent="0.4">
      <c r="A138" s="212">
        <v>151</v>
      </c>
      <c r="C138" s="140">
        <v>152</v>
      </c>
      <c r="E138" s="140">
        <v>153</v>
      </c>
      <c r="G138" s="140">
        <v>154</v>
      </c>
      <c r="I138" s="140">
        <v>155</v>
      </c>
      <c r="K138" s="140">
        <v>156</v>
      </c>
      <c r="M138" s="140">
        <v>157</v>
      </c>
      <c r="O138" s="140">
        <v>158</v>
      </c>
      <c r="S138" s="140">
        <v>159</v>
      </c>
      <c r="U138" s="140">
        <v>160</v>
      </c>
      <c r="W138" s="140">
        <v>161</v>
      </c>
      <c r="Y138" s="212">
        <v>162</v>
      </c>
      <c r="AA138" s="140">
        <v>163</v>
      </c>
      <c r="AC138" s="238">
        <v>164</v>
      </c>
      <c r="AE138" s="238">
        <v>165</v>
      </c>
      <c r="AG138" s="214"/>
      <c r="AH138" s="215"/>
      <c r="AI138" s="216"/>
      <c r="AJ138" s="217"/>
      <c r="AK138" s="192"/>
      <c r="AL138" s="192"/>
      <c r="AM138" s="192"/>
    </row>
    <row r="139" spans="1:39" ht="15" thickBot="1" x14ac:dyDescent="0.4">
      <c r="A139" s="177"/>
      <c r="B139" s="143">
        <v>378.05200000000002</v>
      </c>
      <c r="C139" s="988"/>
      <c r="D139" s="143">
        <v>319</v>
      </c>
      <c r="E139" s="961" t="s">
        <v>400</v>
      </c>
      <c r="F139" s="143">
        <v>365</v>
      </c>
      <c r="G139" s="961" t="s">
        <v>400</v>
      </c>
      <c r="H139" s="143">
        <v>441</v>
      </c>
      <c r="I139" s="988"/>
      <c r="J139" s="143">
        <v>394</v>
      </c>
      <c r="K139" s="961" t="s">
        <v>400</v>
      </c>
      <c r="L139" s="143">
        <v>314</v>
      </c>
      <c r="M139" s="961" t="s">
        <v>400</v>
      </c>
      <c r="N139" s="143">
        <v>473.22</v>
      </c>
      <c r="O139" s="961" t="s">
        <v>400</v>
      </c>
      <c r="P139" s="137"/>
      <c r="Q139" s="143">
        <v>337</v>
      </c>
      <c r="R139" s="143"/>
      <c r="S139" s="988"/>
      <c r="T139" s="143">
        <v>337.57400000000001</v>
      </c>
      <c r="U139" s="961" t="s">
        <v>400</v>
      </c>
      <c r="V139" s="143">
        <v>402.80799999999999</v>
      </c>
      <c r="W139" s="961" t="s">
        <v>399</v>
      </c>
      <c r="X139" s="143">
        <v>344</v>
      </c>
      <c r="Y139" s="961" t="s">
        <v>399</v>
      </c>
      <c r="Z139" s="143">
        <v>383</v>
      </c>
      <c r="AA139" s="961" t="s">
        <v>399</v>
      </c>
      <c r="AB139" s="143">
        <v>376.82600000000002</v>
      </c>
      <c r="AC139" s="961" t="s">
        <v>399</v>
      </c>
      <c r="AD139" s="143">
        <v>481.108</v>
      </c>
      <c r="AE139" s="961" t="s">
        <v>399</v>
      </c>
      <c r="AF139" s="120"/>
      <c r="AG139" s="144">
        <v>9</v>
      </c>
      <c r="AH139" s="145">
        <v>1</v>
      </c>
      <c r="AI139" s="145">
        <v>0</v>
      </c>
      <c r="AJ139" s="239"/>
      <c r="AK139" s="48"/>
      <c r="AL139" s="48"/>
      <c r="AM139" s="48"/>
    </row>
    <row r="140" spans="1:39" ht="15" thickBot="1" x14ac:dyDescent="0.4">
      <c r="A140" s="177"/>
      <c r="B140" s="120"/>
      <c r="C140" s="1005"/>
      <c r="D140" s="120"/>
      <c r="E140" s="995"/>
      <c r="F140" s="120"/>
      <c r="G140" s="995"/>
      <c r="H140" s="120"/>
      <c r="I140" s="1005"/>
      <c r="J140" s="120"/>
      <c r="K140" s="995"/>
      <c r="L140" s="120"/>
      <c r="M140" s="995"/>
      <c r="N140" s="120"/>
      <c r="O140" s="995"/>
      <c r="P140" s="137"/>
      <c r="Q140" s="137"/>
      <c r="R140" s="120"/>
      <c r="S140" s="1005"/>
      <c r="T140" s="120"/>
      <c r="U140" s="995"/>
      <c r="V140" s="120"/>
      <c r="W140" s="995"/>
      <c r="X140" s="120"/>
      <c r="Y140" s="995"/>
      <c r="Z140" s="120"/>
      <c r="AA140" s="995"/>
      <c r="AB140" s="120"/>
      <c r="AC140" s="995"/>
      <c r="AD140" s="120"/>
      <c r="AE140" s="995"/>
      <c r="AF140" s="120"/>
      <c r="AG140" s="147"/>
      <c r="AH140" s="148"/>
      <c r="AI140" s="148"/>
      <c r="AJ140" s="172"/>
      <c r="AK140" s="48"/>
      <c r="AL140" s="48"/>
      <c r="AM140" s="48"/>
    </row>
    <row r="141" spans="1:39" ht="6" customHeight="1" x14ac:dyDescent="0.35">
      <c r="A141" s="177"/>
      <c r="B141" s="120"/>
      <c r="C141" s="150">
        <v>0</v>
      </c>
      <c r="D141" s="121"/>
      <c r="E141" s="150" t="s">
        <v>400</v>
      </c>
      <c r="F141" s="121"/>
      <c r="G141" s="150">
        <v>0</v>
      </c>
      <c r="H141" s="121"/>
      <c r="I141" s="150">
        <v>0</v>
      </c>
      <c r="J141" s="121"/>
      <c r="K141" s="150">
        <v>0</v>
      </c>
      <c r="L141" s="121"/>
      <c r="M141" s="150">
        <v>0</v>
      </c>
      <c r="N141" s="121"/>
      <c r="O141" s="150">
        <v>0</v>
      </c>
      <c r="P141" s="137"/>
      <c r="Q141" s="137"/>
      <c r="R141" s="121"/>
      <c r="S141" s="150">
        <v>0</v>
      </c>
      <c r="T141" s="121"/>
      <c r="U141" s="150">
        <v>0</v>
      </c>
      <c r="V141" s="121"/>
      <c r="W141" s="150">
        <v>0</v>
      </c>
      <c r="X141" s="121"/>
      <c r="Y141" s="240">
        <v>0</v>
      </c>
      <c r="Z141" s="121"/>
      <c r="AA141" s="150">
        <v>0</v>
      </c>
      <c r="AB141" s="121"/>
      <c r="AC141" s="241">
        <v>0</v>
      </c>
      <c r="AD141" s="123"/>
      <c r="AE141" s="241">
        <v>0</v>
      </c>
      <c r="AF141" s="120"/>
      <c r="AG141" s="147"/>
      <c r="AH141" s="148"/>
      <c r="AI141" s="148"/>
      <c r="AJ141" s="172"/>
      <c r="AK141" s="48"/>
      <c r="AL141" s="48"/>
      <c r="AM141" s="48"/>
    </row>
    <row r="142" spans="1:39" ht="15" thickBot="1" x14ac:dyDescent="0.4">
      <c r="A142" s="212"/>
      <c r="B142" s="140"/>
      <c r="C142" s="122" t="s">
        <v>167</v>
      </c>
      <c r="D142" s="120"/>
      <c r="E142" s="122" t="s">
        <v>132</v>
      </c>
      <c r="F142" s="120"/>
      <c r="G142" s="122" t="s">
        <v>137</v>
      </c>
      <c r="H142" s="120"/>
      <c r="I142" s="122" t="s">
        <v>137</v>
      </c>
      <c r="J142" s="120"/>
      <c r="K142" s="122" t="s">
        <v>126</v>
      </c>
      <c r="L142" s="120"/>
      <c r="M142" s="122" t="s">
        <v>139</v>
      </c>
      <c r="N142" s="120"/>
      <c r="O142" s="122" t="s">
        <v>178</v>
      </c>
      <c r="P142" s="122"/>
      <c r="Q142" s="122"/>
      <c r="R142" s="120"/>
      <c r="S142" s="122" t="s">
        <v>142</v>
      </c>
      <c r="T142" s="120"/>
      <c r="U142" s="122" t="s">
        <v>349</v>
      </c>
      <c r="V142" s="120"/>
      <c r="W142" s="122" t="s">
        <v>167</v>
      </c>
      <c r="X142" s="120"/>
      <c r="Y142" s="242" t="s">
        <v>142</v>
      </c>
      <c r="Z142" s="200"/>
      <c r="AA142" s="245" t="s">
        <v>137</v>
      </c>
      <c r="AB142" s="200"/>
      <c r="AC142" s="243" t="s">
        <v>146</v>
      </c>
      <c r="AD142" s="200"/>
      <c r="AE142" s="271" t="s">
        <v>525</v>
      </c>
      <c r="AG142" s="195"/>
      <c r="AH142" s="196"/>
      <c r="AI142" s="196"/>
      <c r="AJ142" s="217"/>
      <c r="AK142" s="48"/>
      <c r="AL142" s="48"/>
      <c r="AM142" s="48"/>
    </row>
    <row r="143" spans="1:39" s="155" customFormat="1" x14ac:dyDescent="0.35">
      <c r="A143" s="183"/>
      <c r="C143" s="260" t="s">
        <v>526</v>
      </c>
      <c r="D143" s="152"/>
      <c r="E143" s="153" t="s">
        <v>421</v>
      </c>
      <c r="F143" s="152"/>
      <c r="G143" s="153" t="s">
        <v>402</v>
      </c>
      <c r="I143" s="260" t="s">
        <v>526</v>
      </c>
      <c r="K143" s="153" t="s">
        <v>421</v>
      </c>
      <c r="M143" s="153" t="s">
        <v>402</v>
      </c>
      <c r="O143" s="153" t="s">
        <v>402</v>
      </c>
      <c r="P143" s="153"/>
      <c r="Q143" s="153"/>
      <c r="S143" s="153"/>
      <c r="U143" s="153" t="s">
        <v>422</v>
      </c>
      <c r="W143" s="153"/>
      <c r="Y143" s="153"/>
      <c r="AA143" s="153"/>
      <c r="AC143" s="153"/>
      <c r="AE143" s="153"/>
      <c r="AG143" s="195"/>
      <c r="AH143" s="196"/>
      <c r="AI143" s="196"/>
      <c r="AJ143" s="197"/>
      <c r="AK143" s="49"/>
      <c r="AL143" s="49"/>
      <c r="AM143" s="49"/>
    </row>
    <row r="144" spans="1:39" s="155" customFormat="1" ht="15" thickBot="1" x14ac:dyDescent="0.4">
      <c r="A144" s="183"/>
      <c r="C144" s="153"/>
      <c r="D144" s="152"/>
      <c r="E144" s="153"/>
      <c r="F144" s="152"/>
      <c r="G144" s="153"/>
      <c r="I144" s="153"/>
      <c r="K144" s="153"/>
      <c r="M144" s="153"/>
      <c r="O144" s="153"/>
      <c r="P144" s="153"/>
      <c r="Q144" s="153"/>
      <c r="S144" s="153"/>
      <c r="U144" s="153"/>
      <c r="W144" s="153"/>
      <c r="Y144" s="153"/>
      <c r="AA144" s="153"/>
      <c r="AC144" s="153"/>
      <c r="AE144" s="153"/>
      <c r="AG144" s="195"/>
      <c r="AH144" s="196"/>
      <c r="AI144" s="196"/>
      <c r="AJ144" s="197"/>
      <c r="AK144" s="49"/>
      <c r="AL144" s="49"/>
      <c r="AM144" s="49"/>
    </row>
    <row r="145" spans="1:39" s="155" customFormat="1" ht="15" thickBot="1" x14ac:dyDescent="0.4">
      <c r="A145" s="186"/>
      <c r="B145" s="983" t="s">
        <v>404</v>
      </c>
      <c r="C145" s="984"/>
      <c r="D145" s="984"/>
      <c r="E145" s="984"/>
      <c r="F145" s="984"/>
      <c r="G145" s="984"/>
      <c r="H145" s="984"/>
      <c r="I145" s="984"/>
      <c r="J145" s="984"/>
      <c r="K145" s="984"/>
      <c r="L145" s="984"/>
      <c r="M145" s="984"/>
      <c r="N145" s="984"/>
      <c r="O145" s="984"/>
      <c r="P145" s="984"/>
      <c r="Q145" s="984"/>
      <c r="R145" s="984"/>
      <c r="S145" s="984"/>
      <c r="T145" s="984"/>
      <c r="U145" s="984"/>
      <c r="V145" s="984"/>
      <c r="W145" s="984"/>
      <c r="X145" s="984"/>
      <c r="Y145" s="984"/>
      <c r="Z145" s="984"/>
      <c r="AA145" s="984"/>
      <c r="AB145" s="984"/>
      <c r="AC145" s="985"/>
      <c r="AD145" s="1006" t="s">
        <v>562</v>
      </c>
      <c r="AE145" s="1007"/>
      <c r="AF145" s="221"/>
      <c r="AG145" s="261"/>
      <c r="AH145" s="262"/>
      <c r="AI145" s="262"/>
      <c r="AJ145" s="263"/>
      <c r="AK145" s="49"/>
      <c r="AL145" s="49"/>
      <c r="AM145" s="49"/>
    </row>
    <row r="146" spans="1:39" ht="15" thickBot="1" x14ac:dyDescent="0.4">
      <c r="A146" s="156"/>
      <c r="B146" s="1008" t="s">
        <v>550</v>
      </c>
      <c r="C146" s="1003"/>
      <c r="D146" s="1003"/>
      <c r="E146" s="1003"/>
      <c r="F146" s="1003"/>
      <c r="G146" s="1004"/>
      <c r="H146" s="159"/>
      <c r="I146" s="158"/>
      <c r="J146" s="157"/>
      <c r="K146" s="160"/>
      <c r="L146" s="157"/>
      <c r="M146" s="161"/>
      <c r="N146" s="165"/>
      <c r="O146" s="161"/>
      <c r="P146" s="161"/>
      <c r="Q146" s="161"/>
      <c r="R146" s="165"/>
      <c r="S146" s="161"/>
      <c r="T146" s="157"/>
      <c r="U146" s="158"/>
      <c r="V146" s="163"/>
      <c r="W146" s="272"/>
      <c r="X146" s="163"/>
      <c r="Y146" s="158"/>
      <c r="Z146" s="157"/>
      <c r="AA146" s="158"/>
      <c r="AB146" s="157"/>
      <c r="AC146" s="158"/>
      <c r="AD146" s="157"/>
      <c r="AE146" s="158"/>
      <c r="AF146" s="157"/>
      <c r="AG146" s="166"/>
      <c r="AH146" s="167"/>
      <c r="AI146" s="167"/>
      <c r="AJ146" s="168"/>
      <c r="AK146" s="48"/>
      <c r="AL146" s="48"/>
      <c r="AM146" s="48"/>
    </row>
    <row r="147" spans="1:39" x14ac:dyDescent="0.35">
      <c r="A147" s="169"/>
      <c r="B147" s="169"/>
      <c r="C147" s="122" t="s">
        <v>563</v>
      </c>
      <c r="D147" s="122"/>
      <c r="E147" s="122" t="s">
        <v>564</v>
      </c>
      <c r="F147" s="122"/>
      <c r="G147" s="273" t="s">
        <v>565</v>
      </c>
      <c r="H147" s="122"/>
      <c r="I147" s="122" t="s">
        <v>566</v>
      </c>
      <c r="J147" s="122"/>
      <c r="K147" s="122" t="s">
        <v>567</v>
      </c>
      <c r="L147" s="122"/>
      <c r="M147" s="122" t="s">
        <v>170</v>
      </c>
      <c r="N147" s="122"/>
      <c r="O147" s="122" t="s">
        <v>171</v>
      </c>
      <c r="P147" s="122"/>
      <c r="Q147" s="122"/>
      <c r="R147" s="122"/>
      <c r="S147" s="122" t="s">
        <v>172</v>
      </c>
      <c r="T147" s="122"/>
      <c r="U147" s="122" t="s">
        <v>568</v>
      </c>
      <c r="V147" s="122"/>
      <c r="W147" s="122" t="s">
        <v>569</v>
      </c>
      <c r="X147" s="122"/>
      <c r="Y147" s="122" t="s">
        <v>570</v>
      </c>
      <c r="Z147" s="122"/>
      <c r="AA147" s="122" t="s">
        <v>571</v>
      </c>
      <c r="AB147" s="122"/>
      <c r="AC147" s="122" t="s">
        <v>572</v>
      </c>
      <c r="AD147" s="122"/>
      <c r="AE147" s="122" t="s">
        <v>573</v>
      </c>
      <c r="AF147" s="120"/>
      <c r="AG147" s="170"/>
      <c r="AH147" s="171"/>
      <c r="AI147" s="171"/>
      <c r="AJ147" s="172"/>
      <c r="AK147" s="48"/>
      <c r="AL147" s="48"/>
      <c r="AM147" s="48"/>
    </row>
    <row r="148" spans="1:39" x14ac:dyDescent="0.35">
      <c r="A148" s="173"/>
      <c r="B148" s="177"/>
      <c r="C148" s="121">
        <v>0</v>
      </c>
      <c r="D148" s="121"/>
      <c r="E148" s="121">
        <v>0</v>
      </c>
      <c r="F148" s="121"/>
      <c r="G148" s="237">
        <v>0</v>
      </c>
      <c r="H148" s="121"/>
      <c r="I148" s="121">
        <v>0</v>
      </c>
      <c r="J148" s="121"/>
      <c r="K148" s="121">
        <v>0</v>
      </c>
      <c r="L148" s="121"/>
      <c r="M148" s="121">
        <v>0</v>
      </c>
      <c r="N148" s="121"/>
      <c r="O148" s="121">
        <v>0</v>
      </c>
      <c r="P148" s="121"/>
      <c r="Q148" s="121"/>
      <c r="R148" s="121"/>
      <c r="S148" s="121">
        <v>0</v>
      </c>
      <c r="T148" s="121"/>
      <c r="U148" s="121">
        <v>0</v>
      </c>
      <c r="V148" s="121"/>
      <c r="W148" s="121">
        <v>0</v>
      </c>
      <c r="X148" s="121"/>
      <c r="Y148" s="121">
        <v>0</v>
      </c>
      <c r="Z148" s="121"/>
      <c r="AA148" s="121">
        <v>0</v>
      </c>
      <c r="AB148" s="121"/>
      <c r="AC148" s="121">
        <v>0</v>
      </c>
      <c r="AD148" s="121"/>
      <c r="AE148" s="121">
        <v>0</v>
      </c>
      <c r="AF148" s="120"/>
      <c r="AG148" s="174"/>
      <c r="AH148" s="175"/>
      <c r="AI148" s="176"/>
      <c r="AJ148" s="172"/>
      <c r="AK148" s="48"/>
      <c r="AL148" s="48"/>
      <c r="AM148" s="48"/>
    </row>
    <row r="149" spans="1:39" s="140" customFormat="1" ht="15" thickBot="1" x14ac:dyDescent="0.4">
      <c r="A149" s="177">
        <v>165</v>
      </c>
      <c r="B149" s="177"/>
      <c r="C149" s="121">
        <v>166</v>
      </c>
      <c r="D149" s="121"/>
      <c r="E149" s="121">
        <v>167</v>
      </c>
      <c r="F149" s="121"/>
      <c r="G149" s="237">
        <v>168</v>
      </c>
      <c r="H149" s="121"/>
      <c r="I149" s="121">
        <v>169</v>
      </c>
      <c r="J149" s="121"/>
      <c r="K149" s="121">
        <v>170</v>
      </c>
      <c r="L149" s="121"/>
      <c r="M149" s="121">
        <v>171</v>
      </c>
      <c r="N149" s="121"/>
      <c r="O149" s="121">
        <v>172</v>
      </c>
      <c r="P149" s="121"/>
      <c r="Q149" s="121"/>
      <c r="R149" s="121"/>
      <c r="S149" s="121">
        <v>173</v>
      </c>
      <c r="T149" s="121"/>
      <c r="U149" s="121">
        <v>174</v>
      </c>
      <c r="V149" s="121"/>
      <c r="W149" s="121">
        <v>175</v>
      </c>
      <c r="X149" s="121"/>
      <c r="Y149" s="121">
        <v>176</v>
      </c>
      <c r="Z149" s="121"/>
      <c r="AA149" s="121">
        <v>177</v>
      </c>
      <c r="AB149" s="121"/>
      <c r="AC149" s="121">
        <v>178</v>
      </c>
      <c r="AD149" s="121"/>
      <c r="AE149" s="121">
        <v>179</v>
      </c>
      <c r="AF149" s="121"/>
      <c r="AG149" s="174"/>
      <c r="AH149" s="175"/>
      <c r="AI149" s="178"/>
      <c r="AJ149" s="172"/>
      <c r="AK149" s="192"/>
      <c r="AL149" s="192"/>
      <c r="AM149" s="192"/>
    </row>
    <row r="150" spans="1:39" ht="15" thickBot="1" x14ac:dyDescent="0.4">
      <c r="A150" s="177"/>
      <c r="B150" s="274">
        <v>317</v>
      </c>
      <c r="C150" s="961" t="s">
        <v>399</v>
      </c>
      <c r="D150" s="143">
        <v>341</v>
      </c>
      <c r="E150" s="961" t="s">
        <v>399</v>
      </c>
      <c r="F150" s="143">
        <v>329.47</v>
      </c>
      <c r="G150" s="961" t="s">
        <v>399</v>
      </c>
      <c r="H150" s="143">
        <v>523.19299999999998</v>
      </c>
      <c r="I150" s="961" t="s">
        <v>399</v>
      </c>
      <c r="J150" s="143">
        <v>328</v>
      </c>
      <c r="K150" s="961" t="s">
        <v>399</v>
      </c>
      <c r="L150" s="143">
        <v>389</v>
      </c>
      <c r="M150" s="961" t="s">
        <v>399</v>
      </c>
      <c r="N150" s="143">
        <v>396</v>
      </c>
      <c r="O150" s="961" t="s">
        <v>399</v>
      </c>
      <c r="P150" s="137"/>
      <c r="Q150" s="143">
        <v>350</v>
      </c>
      <c r="R150" s="143"/>
      <c r="S150" s="961" t="s">
        <v>399</v>
      </c>
      <c r="T150" s="143">
        <v>397.48</v>
      </c>
      <c r="U150" s="961" t="s">
        <v>454</v>
      </c>
      <c r="V150" s="143">
        <v>323.99799999999999</v>
      </c>
      <c r="W150" s="961" t="s">
        <v>400</v>
      </c>
      <c r="X150" s="143">
        <v>426</v>
      </c>
      <c r="Y150" s="961" t="s">
        <v>400</v>
      </c>
      <c r="Z150" s="143">
        <v>374</v>
      </c>
      <c r="AA150" s="961" t="s">
        <v>400</v>
      </c>
      <c r="AB150" s="143">
        <v>461</v>
      </c>
      <c r="AC150" s="961" t="s">
        <v>400</v>
      </c>
      <c r="AD150" s="143">
        <v>372</v>
      </c>
      <c r="AE150" s="961" t="s">
        <v>400</v>
      </c>
      <c r="AF150" s="120"/>
      <c r="AG150" s="144">
        <v>5</v>
      </c>
      <c r="AH150" s="145">
        <v>0</v>
      </c>
      <c r="AI150" s="145">
        <v>0</v>
      </c>
      <c r="AJ150" s="239"/>
      <c r="AK150" s="48"/>
      <c r="AL150" s="48"/>
      <c r="AM150" s="48"/>
    </row>
    <row r="151" spans="1:39" ht="15" thickBot="1" x14ac:dyDescent="0.4">
      <c r="A151" s="177"/>
      <c r="B151" s="169"/>
      <c r="C151" s="962"/>
      <c r="D151" s="120"/>
      <c r="E151" s="962"/>
      <c r="F151" s="120"/>
      <c r="G151" s="962"/>
      <c r="H151" s="120"/>
      <c r="I151" s="962"/>
      <c r="J151" s="120"/>
      <c r="K151" s="962"/>
      <c r="L151" s="120"/>
      <c r="M151" s="962"/>
      <c r="N151" s="120"/>
      <c r="O151" s="962"/>
      <c r="P151" s="137"/>
      <c r="Q151" s="137"/>
      <c r="R151" s="120"/>
      <c r="S151" s="962"/>
      <c r="T151" s="120"/>
      <c r="U151" s="995"/>
      <c r="V151" s="120"/>
      <c r="W151" s="962"/>
      <c r="X151" s="120"/>
      <c r="Y151" s="962"/>
      <c r="Z151" s="120"/>
      <c r="AA151" s="995"/>
      <c r="AB151" s="120"/>
      <c r="AC151" s="995"/>
      <c r="AD151" s="120"/>
      <c r="AE151" s="995"/>
      <c r="AF151" s="120"/>
      <c r="AG151" s="147"/>
      <c r="AH151" s="148"/>
      <c r="AI151" s="148"/>
      <c r="AJ151" s="172"/>
      <c r="AK151" s="48"/>
      <c r="AL151" s="48"/>
      <c r="AM151" s="48"/>
    </row>
    <row r="152" spans="1:39" ht="6" customHeight="1" x14ac:dyDescent="0.35">
      <c r="A152" s="177"/>
      <c r="B152" s="169"/>
      <c r="C152" s="150">
        <v>0</v>
      </c>
      <c r="D152" s="121"/>
      <c r="E152" s="150">
        <v>0</v>
      </c>
      <c r="F152" s="121"/>
      <c r="G152" s="241">
        <v>0</v>
      </c>
      <c r="H152" s="121"/>
      <c r="I152" s="150">
        <v>0</v>
      </c>
      <c r="J152" s="121"/>
      <c r="K152" s="150">
        <v>0</v>
      </c>
      <c r="L152" s="121"/>
      <c r="M152" s="150">
        <v>0</v>
      </c>
      <c r="N152" s="121"/>
      <c r="O152" s="150">
        <v>0</v>
      </c>
      <c r="P152" s="137"/>
      <c r="Q152" s="137"/>
      <c r="R152" s="121"/>
      <c r="S152" s="150">
        <v>0</v>
      </c>
      <c r="T152" s="121"/>
      <c r="U152" s="150">
        <v>0</v>
      </c>
      <c r="V152" s="121"/>
      <c r="W152" s="150">
        <v>0</v>
      </c>
      <c r="X152" s="121"/>
      <c r="Y152" s="150">
        <v>0</v>
      </c>
      <c r="Z152" s="121"/>
      <c r="AA152" s="150">
        <v>0</v>
      </c>
      <c r="AB152" s="121"/>
      <c r="AC152" s="150">
        <v>0</v>
      </c>
      <c r="AD152" s="123"/>
      <c r="AE152" s="150">
        <v>0</v>
      </c>
      <c r="AF152" s="120"/>
      <c r="AG152" s="147"/>
      <c r="AH152" s="148"/>
      <c r="AI152" s="148"/>
      <c r="AJ152" s="172"/>
      <c r="AK152" s="48"/>
      <c r="AL152" s="48"/>
      <c r="AM152" s="48"/>
    </row>
    <row r="153" spans="1:39" ht="15" thickBot="1" x14ac:dyDescent="0.4">
      <c r="A153" s="177"/>
      <c r="B153" s="199"/>
      <c r="C153" s="245" t="s">
        <v>126</v>
      </c>
      <c r="D153" s="200"/>
      <c r="E153" s="245" t="s">
        <v>139</v>
      </c>
      <c r="F153" s="200"/>
      <c r="G153" s="271" t="s">
        <v>574</v>
      </c>
      <c r="H153" s="120"/>
      <c r="I153" s="122" t="s">
        <v>575</v>
      </c>
      <c r="J153" s="120"/>
      <c r="K153" s="122" t="s">
        <v>576</v>
      </c>
      <c r="L153" s="120"/>
      <c r="M153" s="122" t="s">
        <v>137</v>
      </c>
      <c r="N153" s="120"/>
      <c r="O153" s="122" t="s">
        <v>126</v>
      </c>
      <c r="P153" s="122"/>
      <c r="Q153" s="122"/>
      <c r="R153" s="120"/>
      <c r="S153" s="122" t="s">
        <v>142</v>
      </c>
      <c r="T153" s="120"/>
      <c r="U153" s="122" t="s">
        <v>151</v>
      </c>
      <c r="V153" s="120"/>
      <c r="W153" s="122" t="s">
        <v>137</v>
      </c>
      <c r="X153" s="120"/>
      <c r="Y153" s="122" t="s">
        <v>126</v>
      </c>
      <c r="Z153" s="120"/>
      <c r="AA153" s="122" t="s">
        <v>137</v>
      </c>
      <c r="AB153" s="120"/>
      <c r="AC153" s="122" t="s">
        <v>137</v>
      </c>
      <c r="AD153" s="120"/>
      <c r="AE153" s="122" t="s">
        <v>137</v>
      </c>
      <c r="AF153" s="120"/>
      <c r="AG153" s="147"/>
      <c r="AH153" s="148"/>
      <c r="AI153" s="148"/>
      <c r="AJ153" s="172"/>
      <c r="AK153" s="48"/>
      <c r="AL153" s="48"/>
      <c r="AM153" s="48"/>
    </row>
    <row r="154" spans="1:39" s="155" customFormat="1" x14ac:dyDescent="0.35">
      <c r="A154" s="173"/>
      <c r="B154" s="128"/>
      <c r="C154" s="151"/>
      <c r="D154" s="128"/>
      <c r="E154" s="151"/>
      <c r="F154" s="128"/>
      <c r="G154" s="151"/>
      <c r="H154" s="128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28"/>
      <c r="W154" s="153" t="s">
        <v>421</v>
      </c>
      <c r="X154" s="128"/>
      <c r="Y154" s="153" t="s">
        <v>421</v>
      </c>
      <c r="Z154" s="128"/>
      <c r="AA154" s="153" t="s">
        <v>421</v>
      </c>
      <c r="AB154" s="152"/>
      <c r="AC154" s="153" t="s">
        <v>403</v>
      </c>
      <c r="AD154" s="152"/>
      <c r="AE154" s="153" t="s">
        <v>421</v>
      </c>
      <c r="AF154" s="128"/>
      <c r="AG154" s="147"/>
      <c r="AH154" s="148"/>
      <c r="AI154" s="148"/>
      <c r="AJ154" s="182"/>
      <c r="AK154" s="49"/>
      <c r="AL154" s="49"/>
      <c r="AM154" s="49"/>
    </row>
    <row r="155" spans="1:39" s="155" customFormat="1" ht="15" thickBot="1" x14ac:dyDescent="0.4">
      <c r="A155" s="173"/>
      <c r="B155" s="128"/>
      <c r="C155" s="151"/>
      <c r="D155" s="128"/>
      <c r="E155" s="151"/>
      <c r="F155" s="128"/>
      <c r="G155" s="151"/>
      <c r="H155" s="128"/>
      <c r="I155" s="152"/>
      <c r="J155" s="152"/>
      <c r="K155" s="152"/>
      <c r="L155" s="152"/>
      <c r="M155" s="152"/>
      <c r="N155" s="152"/>
      <c r="O155" s="152"/>
      <c r="P155" s="152"/>
      <c r="Q155" s="152"/>
      <c r="R155" s="152"/>
      <c r="S155" s="152"/>
      <c r="T155" s="152"/>
      <c r="U155" s="152"/>
      <c r="V155" s="128"/>
      <c r="W155" s="153"/>
      <c r="X155" s="128"/>
      <c r="Y155" s="153"/>
      <c r="Z155" s="128"/>
      <c r="AA155" s="153"/>
      <c r="AB155" s="152"/>
      <c r="AC155" s="153"/>
      <c r="AD155" s="152"/>
      <c r="AE155" s="153"/>
      <c r="AF155" s="128"/>
      <c r="AG155" s="147"/>
      <c r="AH155" s="148"/>
      <c r="AI155" s="148"/>
      <c r="AJ155" s="182"/>
      <c r="AK155" s="49"/>
      <c r="AL155" s="49"/>
      <c r="AM155" s="49"/>
    </row>
    <row r="156" spans="1:39" s="155" customFormat="1" ht="18" customHeight="1" thickBot="1" x14ac:dyDescent="0.4">
      <c r="A156" s="204"/>
      <c r="B156" s="1006" t="s">
        <v>562</v>
      </c>
      <c r="C156" s="1009"/>
      <c r="D156" s="1009"/>
      <c r="E156" s="1009"/>
      <c r="F156" s="1009"/>
      <c r="G156" s="275"/>
      <c r="H156" s="983" t="s">
        <v>404</v>
      </c>
      <c r="I156" s="984"/>
      <c r="J156" s="984"/>
      <c r="K156" s="984"/>
      <c r="L156" s="984"/>
      <c r="M156" s="984"/>
      <c r="N156" s="984"/>
      <c r="O156" s="984"/>
      <c r="P156" s="984"/>
      <c r="Q156" s="984"/>
      <c r="R156" s="984"/>
      <c r="S156" s="984"/>
      <c r="T156" s="984"/>
      <c r="U156" s="984"/>
      <c r="V156" s="984"/>
      <c r="W156" s="984"/>
      <c r="X156" s="984"/>
      <c r="Y156" s="984"/>
      <c r="Z156" s="984"/>
      <c r="AA156" s="984"/>
      <c r="AB156" s="984"/>
      <c r="AC156" s="984"/>
      <c r="AD156" s="984"/>
      <c r="AE156" s="985"/>
      <c r="AF156" s="187"/>
      <c r="AG156" s="188"/>
      <c r="AH156" s="189"/>
      <c r="AI156" s="189"/>
      <c r="AJ156" s="190"/>
      <c r="AK156" s="49"/>
      <c r="AL156" s="49"/>
      <c r="AM156" s="49"/>
    </row>
    <row r="157" spans="1:39" x14ac:dyDescent="0.35">
      <c r="A157" s="156"/>
      <c r="B157" s="157"/>
      <c r="C157" s="158"/>
      <c r="D157" s="276" t="s">
        <v>469</v>
      </c>
      <c r="E157" s="161"/>
      <c r="F157" s="157"/>
      <c r="G157" s="158"/>
      <c r="H157" s="159"/>
      <c r="I157" s="158"/>
      <c r="J157" s="157"/>
      <c r="K157" s="160"/>
      <c r="L157" s="157"/>
      <c r="M157" s="158"/>
      <c r="N157" s="157"/>
      <c r="O157" s="158"/>
      <c r="P157" s="158"/>
      <c r="Q157" s="158"/>
      <c r="R157" s="157"/>
      <c r="S157" s="160"/>
      <c r="T157" s="157"/>
      <c r="U157" s="277"/>
      <c r="V157" s="157"/>
      <c r="W157" s="158"/>
      <c r="X157" s="157"/>
      <c r="Y157" s="158"/>
      <c r="Z157" s="157"/>
      <c r="AA157" s="158"/>
      <c r="AB157" s="157"/>
      <c r="AC157" s="158"/>
      <c r="AD157" s="157"/>
      <c r="AE157" s="158"/>
      <c r="AF157" s="157"/>
      <c r="AG157" s="166"/>
      <c r="AH157" s="167"/>
      <c r="AI157" s="167"/>
      <c r="AJ157" s="168"/>
      <c r="AK157" s="48"/>
      <c r="AL157" s="48"/>
      <c r="AM157" s="48"/>
    </row>
    <row r="158" spans="1:39" x14ac:dyDescent="0.35">
      <c r="A158" s="169"/>
      <c r="B158" s="120"/>
      <c r="C158" s="122" t="s">
        <v>577</v>
      </c>
      <c r="D158" s="122"/>
      <c r="E158" s="122" t="s">
        <v>578</v>
      </c>
      <c r="F158" s="122"/>
      <c r="G158" s="122" t="s">
        <v>579</v>
      </c>
      <c r="H158" s="122"/>
      <c r="I158" s="122" t="s">
        <v>580</v>
      </c>
      <c r="J158" s="122"/>
      <c r="K158" s="122" t="s">
        <v>581</v>
      </c>
      <c r="L158" s="122"/>
      <c r="M158" s="122" t="s">
        <v>582</v>
      </c>
      <c r="N158" s="122"/>
      <c r="O158" s="122" t="s">
        <v>583</v>
      </c>
      <c r="P158" s="122"/>
      <c r="Q158" s="122"/>
      <c r="R158" s="122"/>
      <c r="S158" s="122" t="s">
        <v>584</v>
      </c>
      <c r="T158" s="122"/>
      <c r="U158" s="122" t="s">
        <v>585</v>
      </c>
      <c r="V158" s="122"/>
      <c r="W158" s="122" t="s">
        <v>586</v>
      </c>
      <c r="X158" s="122"/>
      <c r="Y158" s="122" t="s">
        <v>587</v>
      </c>
      <c r="Z158" s="122"/>
      <c r="AA158" s="122" t="s">
        <v>588</v>
      </c>
      <c r="AB158" s="122"/>
      <c r="AC158" s="122" t="s">
        <v>589</v>
      </c>
      <c r="AD158" s="122"/>
      <c r="AE158" s="122" t="s">
        <v>590</v>
      </c>
      <c r="AF158" s="120"/>
      <c r="AG158" s="170"/>
      <c r="AH158" s="171"/>
      <c r="AI158" s="171"/>
      <c r="AJ158" s="172"/>
      <c r="AK158" s="48"/>
      <c r="AL158" s="48"/>
      <c r="AM158" s="48"/>
    </row>
    <row r="159" spans="1:39" x14ac:dyDescent="0.35">
      <c r="A159" s="173"/>
      <c r="B159" s="121"/>
      <c r="C159" s="121">
        <v>0</v>
      </c>
      <c r="D159" s="121"/>
      <c r="E159" s="121">
        <v>0</v>
      </c>
      <c r="F159" s="121"/>
      <c r="G159" s="121">
        <v>0</v>
      </c>
      <c r="H159" s="121"/>
      <c r="I159" s="121">
        <v>0</v>
      </c>
      <c r="J159" s="121"/>
      <c r="K159" s="121">
        <v>0</v>
      </c>
      <c r="L159" s="121"/>
      <c r="M159" s="121">
        <v>0</v>
      </c>
      <c r="N159" s="121"/>
      <c r="O159" s="121">
        <v>0</v>
      </c>
      <c r="P159" s="121"/>
      <c r="Q159" s="121"/>
      <c r="R159" s="121"/>
      <c r="S159" s="121">
        <v>0</v>
      </c>
      <c r="T159" s="121"/>
      <c r="U159" s="121">
        <v>0</v>
      </c>
      <c r="V159" s="121"/>
      <c r="W159" s="121">
        <v>0</v>
      </c>
      <c r="X159" s="121"/>
      <c r="Y159" s="121">
        <v>0</v>
      </c>
      <c r="Z159" s="121"/>
      <c r="AA159" s="121">
        <v>0</v>
      </c>
      <c r="AB159" s="121"/>
      <c r="AC159" s="121">
        <v>0</v>
      </c>
      <c r="AD159" s="121"/>
      <c r="AE159" s="121">
        <v>0</v>
      </c>
      <c r="AF159" s="120"/>
      <c r="AG159" s="174"/>
      <c r="AH159" s="175"/>
      <c r="AI159" s="176"/>
      <c r="AJ159" s="172"/>
      <c r="AK159" s="48"/>
      <c r="AL159" s="48"/>
      <c r="AM159" s="48"/>
    </row>
    <row r="160" spans="1:39" s="140" customFormat="1" ht="15" thickBot="1" x14ac:dyDescent="0.4">
      <c r="A160" s="177">
        <v>179</v>
      </c>
      <c r="B160" s="121"/>
      <c r="C160" s="121">
        <v>180</v>
      </c>
      <c r="D160" s="121"/>
      <c r="E160" s="121">
        <v>181</v>
      </c>
      <c r="F160" s="121"/>
      <c r="G160" s="121">
        <v>182</v>
      </c>
      <c r="H160" s="121"/>
      <c r="I160" s="121">
        <v>183</v>
      </c>
      <c r="J160" s="121"/>
      <c r="K160" s="121">
        <v>184</v>
      </c>
      <c r="L160" s="121"/>
      <c r="M160" s="121">
        <v>185</v>
      </c>
      <c r="N160" s="121"/>
      <c r="O160" s="121">
        <v>186</v>
      </c>
      <c r="P160" s="121"/>
      <c r="Q160" s="121"/>
      <c r="R160" s="121"/>
      <c r="S160" s="121">
        <v>187</v>
      </c>
      <c r="T160" s="121"/>
      <c r="U160" s="121">
        <v>188</v>
      </c>
      <c r="V160" s="121"/>
      <c r="W160" s="121">
        <v>189</v>
      </c>
      <c r="X160" s="121"/>
      <c r="Y160" s="121">
        <v>190</v>
      </c>
      <c r="Z160" s="121"/>
      <c r="AA160" s="121">
        <v>191</v>
      </c>
      <c r="AB160" s="121"/>
      <c r="AC160" s="121">
        <v>192</v>
      </c>
      <c r="AD160" s="121"/>
      <c r="AE160" s="121">
        <v>193</v>
      </c>
      <c r="AF160" s="121"/>
      <c r="AG160" s="174"/>
      <c r="AH160" s="175"/>
      <c r="AI160" s="178"/>
      <c r="AJ160" s="172"/>
      <c r="AK160" s="192"/>
      <c r="AL160" s="192"/>
      <c r="AM160" s="192"/>
    </row>
    <row r="161" spans="1:41" ht="15" thickBot="1" x14ac:dyDescent="0.4">
      <c r="A161" s="177"/>
      <c r="B161" s="143">
        <v>440.64499999999998</v>
      </c>
      <c r="C161" s="961" t="s">
        <v>399</v>
      </c>
      <c r="D161" s="143">
        <v>220.202</v>
      </c>
      <c r="E161" s="961" t="s">
        <v>399</v>
      </c>
      <c r="F161" s="143">
        <v>386.00099999999998</v>
      </c>
      <c r="G161" s="961" t="s">
        <v>400</v>
      </c>
      <c r="H161" s="143">
        <v>425</v>
      </c>
      <c r="I161" s="961" t="s">
        <v>400</v>
      </c>
      <c r="J161" s="143">
        <v>380</v>
      </c>
      <c r="K161" s="961" t="s">
        <v>400</v>
      </c>
      <c r="L161" s="143">
        <v>354.38799999999998</v>
      </c>
      <c r="M161" s="961" t="s">
        <v>400</v>
      </c>
      <c r="N161" s="143">
        <v>357.99599999999998</v>
      </c>
      <c r="O161" s="961" t="s">
        <v>400</v>
      </c>
      <c r="P161" s="137"/>
      <c r="Q161" s="143">
        <v>300</v>
      </c>
      <c r="R161" s="143"/>
      <c r="S161" s="961" t="s">
        <v>400</v>
      </c>
      <c r="T161" s="143">
        <v>407</v>
      </c>
      <c r="U161" s="961" t="s">
        <v>400</v>
      </c>
      <c r="V161" s="143">
        <v>373</v>
      </c>
      <c r="W161" s="961" t="s">
        <v>400</v>
      </c>
      <c r="X161" s="143">
        <v>414</v>
      </c>
      <c r="Y161" s="961" t="s">
        <v>400</v>
      </c>
      <c r="Z161" s="143">
        <v>357</v>
      </c>
      <c r="AA161" s="961" t="s">
        <v>400</v>
      </c>
      <c r="AB161" s="143">
        <v>423</v>
      </c>
      <c r="AC161" s="961" t="s">
        <v>400</v>
      </c>
      <c r="AD161" s="143">
        <v>381</v>
      </c>
      <c r="AE161" s="961" t="s">
        <v>400</v>
      </c>
      <c r="AF161" s="120"/>
      <c r="AG161" s="144">
        <v>12</v>
      </c>
      <c r="AH161" s="145">
        <v>12</v>
      </c>
      <c r="AI161" s="145">
        <v>0</v>
      </c>
      <c r="AJ161" s="180"/>
      <c r="AK161" s="48"/>
      <c r="AL161" s="48"/>
      <c r="AM161" s="48"/>
    </row>
    <row r="162" spans="1:41" ht="15" thickBot="1" x14ac:dyDescent="0.4">
      <c r="A162" s="177"/>
      <c r="B162" s="120"/>
      <c r="C162" s="962"/>
      <c r="D162" s="120"/>
      <c r="E162" s="962"/>
      <c r="F162" s="120"/>
      <c r="G162" s="995"/>
      <c r="H162" s="120"/>
      <c r="I162" s="995"/>
      <c r="J162" s="120"/>
      <c r="K162" s="995"/>
      <c r="L162" s="120"/>
      <c r="M162" s="995"/>
      <c r="N162" s="120"/>
      <c r="O162" s="995"/>
      <c r="P162" s="137"/>
      <c r="Q162" s="137"/>
      <c r="R162" s="120"/>
      <c r="S162" s="995"/>
      <c r="T162" s="120"/>
      <c r="U162" s="995"/>
      <c r="V162" s="120"/>
      <c r="W162" s="995"/>
      <c r="X162" s="120"/>
      <c r="Y162" s="995"/>
      <c r="Z162" s="120"/>
      <c r="AA162" s="995"/>
      <c r="AB162" s="120"/>
      <c r="AC162" s="995"/>
      <c r="AD162" s="120"/>
      <c r="AE162" s="962"/>
      <c r="AF162" s="120"/>
      <c r="AG162" s="147"/>
      <c r="AH162" s="148"/>
      <c r="AI162" s="148"/>
      <c r="AJ162" s="172"/>
      <c r="AK162" s="48"/>
      <c r="AL162" s="48"/>
      <c r="AM162" s="48"/>
    </row>
    <row r="163" spans="1:41" ht="6" customHeight="1" x14ac:dyDescent="0.35">
      <c r="A163" s="177"/>
      <c r="B163" s="120"/>
      <c r="C163" s="150">
        <v>0</v>
      </c>
      <c r="D163" s="121"/>
      <c r="E163" s="150">
        <v>0</v>
      </c>
      <c r="F163" s="121"/>
      <c r="G163" s="150" t="s">
        <v>400</v>
      </c>
      <c r="H163" s="121"/>
      <c r="I163" s="150" t="s">
        <v>400</v>
      </c>
      <c r="J163" s="121"/>
      <c r="K163" s="150" t="s">
        <v>400</v>
      </c>
      <c r="L163" s="121"/>
      <c r="M163" s="150" t="s">
        <v>400</v>
      </c>
      <c r="N163" s="121"/>
      <c r="O163" s="150" t="s">
        <v>400</v>
      </c>
      <c r="P163" s="137"/>
      <c r="Q163" s="137"/>
      <c r="R163" s="121"/>
      <c r="S163" s="150" t="s">
        <v>400</v>
      </c>
      <c r="T163" s="121"/>
      <c r="U163" s="150" t="s">
        <v>400</v>
      </c>
      <c r="V163" s="121"/>
      <c r="W163" s="150" t="s">
        <v>400</v>
      </c>
      <c r="X163" s="121"/>
      <c r="Y163" s="150" t="s">
        <v>400</v>
      </c>
      <c r="Z163" s="121"/>
      <c r="AA163" s="150" t="s">
        <v>400</v>
      </c>
      <c r="AB163" s="121"/>
      <c r="AC163" s="150" t="s">
        <v>400</v>
      </c>
      <c r="AD163" s="123"/>
      <c r="AE163" s="150" t="s">
        <v>400</v>
      </c>
      <c r="AF163" s="120"/>
      <c r="AG163" s="147"/>
      <c r="AH163" s="148"/>
      <c r="AI163" s="148"/>
      <c r="AJ163" s="172"/>
      <c r="AK163" s="48"/>
      <c r="AL163" s="48"/>
      <c r="AM163" s="48"/>
    </row>
    <row r="164" spans="1:41" x14ac:dyDescent="0.35">
      <c r="A164" s="177"/>
      <c r="B164" s="120"/>
      <c r="C164" s="122" t="s">
        <v>320</v>
      </c>
      <c r="D164" s="120"/>
      <c r="E164" s="122" t="s">
        <v>318</v>
      </c>
      <c r="F164" s="120"/>
      <c r="G164" s="122" t="s">
        <v>137</v>
      </c>
      <c r="H164" s="120"/>
      <c r="I164" s="122" t="s">
        <v>142</v>
      </c>
      <c r="J164" s="120"/>
      <c r="K164" s="122" t="s">
        <v>132</v>
      </c>
      <c r="L164" s="120"/>
      <c r="M164" s="122" t="s">
        <v>167</v>
      </c>
      <c r="N164" s="120"/>
      <c r="O164" s="122" t="s">
        <v>161</v>
      </c>
      <c r="P164" s="122"/>
      <c r="Q164" s="122"/>
      <c r="R164" s="120"/>
      <c r="S164" s="122" t="s">
        <v>142</v>
      </c>
      <c r="T164" s="120"/>
      <c r="U164" s="122" t="s">
        <v>126</v>
      </c>
      <c r="V164" s="120"/>
      <c r="W164" s="122" t="s">
        <v>126</v>
      </c>
      <c r="X164" s="120"/>
      <c r="Y164" s="122" t="s">
        <v>126</v>
      </c>
      <c r="Z164" s="120"/>
      <c r="AA164" s="122" t="s">
        <v>142</v>
      </c>
      <c r="AB164" s="120"/>
      <c r="AC164" s="122" t="s">
        <v>137</v>
      </c>
      <c r="AD164" s="120"/>
      <c r="AE164" s="122" t="s">
        <v>137</v>
      </c>
      <c r="AF164" s="120"/>
      <c r="AG164" s="147"/>
      <c r="AH164" s="148"/>
      <c r="AI164" s="148"/>
      <c r="AJ164" s="172"/>
      <c r="AK164" s="48"/>
      <c r="AL164" s="48"/>
      <c r="AM164" s="48"/>
    </row>
    <row r="165" spans="1:41" s="155" customFormat="1" x14ac:dyDescent="0.35">
      <c r="A165" s="183"/>
      <c r="C165" s="152"/>
      <c r="D165" s="152"/>
      <c r="E165" s="152"/>
      <c r="F165" s="152"/>
      <c r="G165" s="153" t="s">
        <v>421</v>
      </c>
      <c r="H165" s="152"/>
      <c r="I165" s="153" t="s">
        <v>403</v>
      </c>
      <c r="J165" s="152"/>
      <c r="K165" s="153" t="s">
        <v>403</v>
      </c>
      <c r="L165" s="152"/>
      <c r="M165" s="153" t="s">
        <v>403</v>
      </c>
      <c r="N165" s="152"/>
      <c r="O165" s="153" t="s">
        <v>403</v>
      </c>
      <c r="P165" s="153"/>
      <c r="Q165" s="153"/>
      <c r="R165" s="278"/>
      <c r="S165" s="153" t="s">
        <v>421</v>
      </c>
      <c r="U165" s="153" t="s">
        <v>421</v>
      </c>
      <c r="W165" s="153" t="s">
        <v>421</v>
      </c>
      <c r="Y165" s="153" t="s">
        <v>403</v>
      </c>
      <c r="Z165" s="152"/>
      <c r="AA165" s="153" t="s">
        <v>421</v>
      </c>
      <c r="AB165" s="152"/>
      <c r="AC165" s="153" t="s">
        <v>421</v>
      </c>
      <c r="AE165" s="153" t="s">
        <v>422</v>
      </c>
      <c r="AG165" s="195"/>
      <c r="AH165" s="196"/>
      <c r="AI165" s="196"/>
      <c r="AJ165" s="197"/>
      <c r="AK165" s="49"/>
      <c r="AL165" s="49"/>
      <c r="AM165" s="49"/>
    </row>
    <row r="166" spans="1:41" s="155" customFormat="1" ht="15" thickBot="1" x14ac:dyDescent="0.4">
      <c r="A166" s="183"/>
      <c r="C166" s="152"/>
      <c r="D166" s="152"/>
      <c r="E166" s="152"/>
      <c r="F166" s="152"/>
      <c r="G166" s="153"/>
      <c r="H166" s="152"/>
      <c r="I166" s="153"/>
      <c r="J166" s="152"/>
      <c r="K166" s="153"/>
      <c r="L166" s="152"/>
      <c r="M166" s="153"/>
      <c r="N166" s="152"/>
      <c r="O166" s="153"/>
      <c r="P166" s="153"/>
      <c r="Q166" s="153"/>
      <c r="R166" s="278"/>
      <c r="S166" s="153"/>
      <c r="U166" s="153"/>
      <c r="W166" s="153"/>
      <c r="Y166" s="153"/>
      <c r="Z166" s="152"/>
      <c r="AA166" s="153"/>
      <c r="AB166" s="152"/>
      <c r="AC166" s="153"/>
      <c r="AE166" s="153"/>
      <c r="AG166" s="195"/>
      <c r="AH166" s="196"/>
      <c r="AI166" s="196"/>
      <c r="AJ166" s="197"/>
      <c r="AK166" s="49"/>
      <c r="AL166" s="49"/>
      <c r="AM166" s="49"/>
    </row>
    <row r="167" spans="1:41" s="155" customFormat="1" ht="15" thickBot="1" x14ac:dyDescent="0.4">
      <c r="A167" s="186"/>
      <c r="B167" s="983" t="s">
        <v>404</v>
      </c>
      <c r="C167" s="984"/>
      <c r="D167" s="984"/>
      <c r="E167" s="984"/>
      <c r="F167" s="984"/>
      <c r="G167" s="984"/>
      <c r="H167" s="984"/>
      <c r="I167" s="984"/>
      <c r="J167" s="984"/>
      <c r="K167" s="984"/>
      <c r="L167" s="984"/>
      <c r="M167" s="984"/>
      <c r="N167" s="984"/>
      <c r="O167" s="984"/>
      <c r="P167" s="984"/>
      <c r="Q167" s="984"/>
      <c r="R167" s="984"/>
      <c r="S167" s="984"/>
      <c r="T167" s="984"/>
      <c r="U167" s="984"/>
      <c r="V167" s="984"/>
      <c r="W167" s="984"/>
      <c r="X167" s="984"/>
      <c r="Y167" s="984"/>
      <c r="Z167" s="984"/>
      <c r="AA167" s="984"/>
      <c r="AB167" s="984"/>
      <c r="AC167" s="984"/>
      <c r="AD167" s="984"/>
      <c r="AE167" s="985"/>
      <c r="AF167" s="221"/>
      <c r="AG167" s="261"/>
      <c r="AH167" s="262"/>
      <c r="AI167" s="262"/>
      <c r="AJ167" s="263"/>
      <c r="AK167" s="49"/>
      <c r="AL167" s="49"/>
      <c r="AM167" s="49"/>
    </row>
    <row r="168" spans="1:41" x14ac:dyDescent="0.35">
      <c r="A168" s="156"/>
      <c r="B168" s="163"/>
      <c r="C168" s="158"/>
      <c r="D168" s="157"/>
      <c r="E168" s="211"/>
      <c r="F168" s="157"/>
      <c r="G168" s="158"/>
      <c r="H168" s="159"/>
      <c r="I168" s="158"/>
      <c r="J168" s="157"/>
      <c r="K168" s="164"/>
      <c r="L168" s="162" t="s">
        <v>591</v>
      </c>
      <c r="M168" s="272"/>
      <c r="N168" s="163"/>
      <c r="O168" s="272"/>
      <c r="P168" s="272"/>
      <c r="Q168" s="272"/>
      <c r="R168" s="163"/>
      <c r="S168" s="164"/>
      <c r="T168" s="165"/>
      <c r="U168" s="272"/>
      <c r="V168" s="163"/>
      <c r="W168" s="158"/>
      <c r="X168" s="163"/>
      <c r="Y168" s="158"/>
      <c r="Z168" s="157"/>
      <c r="AA168" s="165"/>
      <c r="AB168" s="157"/>
      <c r="AC168" s="163"/>
      <c r="AD168" s="157"/>
      <c r="AE168" s="158"/>
      <c r="AF168" s="157"/>
      <c r="AG168" s="166"/>
      <c r="AH168" s="167"/>
      <c r="AI168" s="167"/>
      <c r="AJ168" s="168"/>
      <c r="AK168" s="48"/>
      <c r="AL168" s="48"/>
      <c r="AM168" s="48"/>
    </row>
    <row r="169" spans="1:41" x14ac:dyDescent="0.35">
      <c r="A169" s="169"/>
      <c r="B169" s="120"/>
      <c r="C169" s="122" t="s">
        <v>592</v>
      </c>
      <c r="D169" s="122"/>
      <c r="E169" s="122" t="s">
        <v>593</v>
      </c>
      <c r="F169" s="122"/>
      <c r="G169" s="122" t="s">
        <v>594</v>
      </c>
      <c r="H169" s="122"/>
      <c r="I169" s="122" t="s">
        <v>595</v>
      </c>
      <c r="J169" s="122"/>
      <c r="K169" s="122" t="s">
        <v>596</v>
      </c>
      <c r="L169" s="122"/>
      <c r="M169" s="122" t="s">
        <v>597</v>
      </c>
      <c r="N169" s="122"/>
      <c r="O169" s="122" t="s">
        <v>598</v>
      </c>
      <c r="P169" s="122"/>
      <c r="Q169" s="122"/>
      <c r="R169" s="122"/>
      <c r="S169" s="122" t="s">
        <v>599</v>
      </c>
      <c r="T169" s="122"/>
      <c r="U169" s="122" t="s">
        <v>600</v>
      </c>
      <c r="V169" s="122"/>
      <c r="W169" s="122" t="s">
        <v>601</v>
      </c>
      <c r="X169" s="122"/>
      <c r="Y169" s="122" t="s">
        <v>602</v>
      </c>
      <c r="Z169" s="122"/>
      <c r="AA169" s="122" t="s">
        <v>603</v>
      </c>
      <c r="AB169" s="122"/>
      <c r="AC169" s="122" t="s">
        <v>604</v>
      </c>
      <c r="AD169" s="122"/>
      <c r="AE169" s="122" t="s">
        <v>605</v>
      </c>
      <c r="AF169" s="122"/>
      <c r="AG169" s="279"/>
      <c r="AH169" s="280"/>
      <c r="AI169" s="280"/>
      <c r="AJ169" s="172"/>
      <c r="AK169" s="48"/>
      <c r="AL169" s="48"/>
      <c r="AM169" s="48"/>
      <c r="AN169" s="48"/>
      <c r="AO169" s="48"/>
    </row>
    <row r="170" spans="1:41" x14ac:dyDescent="0.35">
      <c r="A170" s="173"/>
      <c r="B170" s="121"/>
      <c r="C170" s="121">
        <v>0</v>
      </c>
      <c r="D170" s="121"/>
      <c r="E170" s="121">
        <v>0</v>
      </c>
      <c r="F170" s="121"/>
      <c r="G170" s="121">
        <v>0</v>
      </c>
      <c r="H170" s="121"/>
      <c r="I170" s="121">
        <v>0</v>
      </c>
      <c r="J170" s="121"/>
      <c r="K170" s="121">
        <v>0</v>
      </c>
      <c r="L170" s="121"/>
      <c r="M170" s="121">
        <v>0</v>
      </c>
      <c r="N170" s="121"/>
      <c r="O170" s="121">
        <v>0</v>
      </c>
      <c r="P170" s="121"/>
      <c r="Q170" s="121"/>
      <c r="R170" s="121"/>
      <c r="S170" s="121">
        <v>0</v>
      </c>
      <c r="T170" s="121"/>
      <c r="U170" s="121">
        <v>0</v>
      </c>
      <c r="V170" s="121"/>
      <c r="W170" s="121">
        <v>0</v>
      </c>
      <c r="X170" s="121"/>
      <c r="Y170" s="121">
        <v>0</v>
      </c>
      <c r="Z170" s="121"/>
      <c r="AA170" s="121">
        <v>0</v>
      </c>
      <c r="AB170" s="121"/>
      <c r="AC170" s="121">
        <v>0</v>
      </c>
      <c r="AD170" s="121"/>
      <c r="AE170" s="121">
        <v>0</v>
      </c>
      <c r="AF170" s="121"/>
      <c r="AG170" s="170"/>
      <c r="AH170" s="280"/>
      <c r="AI170" s="280"/>
      <c r="AJ170" s="281"/>
      <c r="AK170" s="48"/>
      <c r="AL170" s="48"/>
      <c r="AM170" s="48"/>
      <c r="AN170" s="48"/>
      <c r="AO170" s="48"/>
    </row>
    <row r="171" spans="1:41" s="140" customFormat="1" ht="15" thickBot="1" x14ac:dyDescent="0.4">
      <c r="A171" s="177">
        <v>193</v>
      </c>
      <c r="B171" s="121"/>
      <c r="C171" s="121">
        <v>194</v>
      </c>
      <c r="D171" s="121"/>
      <c r="E171" s="121">
        <v>195</v>
      </c>
      <c r="F171" s="121"/>
      <c r="G171" s="121">
        <v>196</v>
      </c>
      <c r="H171" s="121"/>
      <c r="I171" s="121">
        <v>197</v>
      </c>
      <c r="J171" s="121"/>
      <c r="K171" s="121">
        <v>198</v>
      </c>
      <c r="L171" s="121"/>
      <c r="M171" s="140">
        <v>199</v>
      </c>
      <c r="N171" s="121"/>
      <c r="O171" s="140">
        <v>200</v>
      </c>
      <c r="R171" s="121"/>
      <c r="S171" s="121">
        <v>201</v>
      </c>
      <c r="T171" s="121"/>
      <c r="U171" s="121">
        <v>202</v>
      </c>
      <c r="V171" s="121"/>
      <c r="W171" s="121">
        <v>203</v>
      </c>
      <c r="X171" s="121"/>
      <c r="Y171" s="121">
        <v>204</v>
      </c>
      <c r="Z171" s="121"/>
      <c r="AA171" s="121">
        <v>205</v>
      </c>
      <c r="AB171" s="121"/>
      <c r="AC171" s="121">
        <v>206</v>
      </c>
      <c r="AD171" s="121"/>
      <c r="AE171" s="121">
        <v>207</v>
      </c>
      <c r="AF171" s="121"/>
      <c r="AG171" s="170"/>
      <c r="AH171" s="280"/>
      <c r="AI171" s="280"/>
      <c r="AJ171" s="281"/>
      <c r="AK171" s="192"/>
      <c r="AL171" s="192"/>
      <c r="AM171" s="192"/>
      <c r="AN171" s="192"/>
      <c r="AO171" s="192"/>
    </row>
    <row r="172" spans="1:41" ht="15" thickBot="1" x14ac:dyDescent="0.4">
      <c r="A172" s="177"/>
      <c r="B172" s="143">
        <v>456</v>
      </c>
      <c r="C172" s="961" t="s">
        <v>400</v>
      </c>
      <c r="D172" s="143">
        <v>381</v>
      </c>
      <c r="E172" s="961" t="s">
        <v>400</v>
      </c>
      <c r="F172" s="143">
        <v>382</v>
      </c>
      <c r="G172" s="963" t="s">
        <v>400</v>
      </c>
      <c r="H172" s="143">
        <v>341</v>
      </c>
      <c r="I172" s="963" t="s">
        <v>454</v>
      </c>
      <c r="J172" s="143">
        <v>352.37400000000002</v>
      </c>
      <c r="K172" s="961" t="s">
        <v>399</v>
      </c>
      <c r="L172" s="143">
        <v>226.42</v>
      </c>
      <c r="M172" s="961" t="s">
        <v>399</v>
      </c>
      <c r="N172" s="143"/>
      <c r="O172" s="963" t="s">
        <v>400</v>
      </c>
      <c r="P172" s="137"/>
      <c r="Q172" s="143">
        <v>332</v>
      </c>
      <c r="R172" s="143"/>
      <c r="S172" s="963" t="s">
        <v>400</v>
      </c>
      <c r="T172" s="143">
        <v>255</v>
      </c>
      <c r="U172" s="963" t="s">
        <v>400</v>
      </c>
      <c r="V172" s="143">
        <v>377</v>
      </c>
      <c r="W172" s="963" t="s">
        <v>454</v>
      </c>
      <c r="X172" s="143">
        <v>325</v>
      </c>
      <c r="Y172" s="963" t="s">
        <v>400</v>
      </c>
      <c r="Z172" s="143">
        <v>368.88499999999999</v>
      </c>
      <c r="AA172" s="963" t="s">
        <v>454</v>
      </c>
      <c r="AB172" s="143">
        <v>351.00400000000002</v>
      </c>
      <c r="AC172" s="963" t="s">
        <v>400</v>
      </c>
      <c r="AD172" s="143">
        <v>409</v>
      </c>
      <c r="AE172" s="961" t="s">
        <v>400</v>
      </c>
      <c r="AF172" s="143"/>
      <c r="AG172" s="144">
        <v>9</v>
      </c>
      <c r="AH172" s="145">
        <v>4</v>
      </c>
      <c r="AI172" s="145">
        <v>0</v>
      </c>
      <c r="AJ172" s="282"/>
      <c r="AK172" s="48"/>
      <c r="AL172" s="48"/>
      <c r="AM172" s="48"/>
      <c r="AN172" s="48"/>
      <c r="AO172" s="48"/>
    </row>
    <row r="173" spans="1:41" ht="15" thickBot="1" x14ac:dyDescent="0.4">
      <c r="A173" s="177"/>
      <c r="B173" s="120"/>
      <c r="C173" s="962"/>
      <c r="D173" s="120"/>
      <c r="E173" s="962"/>
      <c r="F173" s="120"/>
      <c r="G173" s="1010"/>
      <c r="H173" s="120"/>
      <c r="I173" s="1010"/>
      <c r="J173" s="137"/>
      <c r="K173" s="962"/>
      <c r="L173" s="120"/>
      <c r="M173" s="962"/>
      <c r="N173" s="120"/>
      <c r="O173" s="1010"/>
      <c r="P173" s="137"/>
      <c r="Q173" s="137"/>
      <c r="R173" s="120"/>
      <c r="S173" s="1010"/>
      <c r="T173" s="120"/>
      <c r="U173" s="1010"/>
      <c r="V173" s="120"/>
      <c r="W173" s="1010"/>
      <c r="X173" s="120"/>
      <c r="Y173" s="1010"/>
      <c r="Z173" s="120"/>
      <c r="AA173" s="1010"/>
      <c r="AB173" s="120"/>
      <c r="AC173" s="1010"/>
      <c r="AD173" s="120"/>
      <c r="AE173" s="962"/>
      <c r="AF173" s="120"/>
      <c r="AG173" s="147"/>
      <c r="AH173" s="280"/>
      <c r="AI173" s="280"/>
      <c r="AJ173" s="283"/>
      <c r="AK173" s="48"/>
      <c r="AL173" s="48"/>
      <c r="AM173" s="48"/>
      <c r="AN173" s="48"/>
      <c r="AO173" s="48"/>
    </row>
    <row r="174" spans="1:41" ht="6" customHeight="1" x14ac:dyDescent="0.35">
      <c r="A174" s="177"/>
      <c r="B174" s="120"/>
      <c r="C174" s="150">
        <v>0</v>
      </c>
      <c r="D174" s="121"/>
      <c r="E174" s="150" t="s">
        <v>400</v>
      </c>
      <c r="F174" s="121"/>
      <c r="G174" s="150" t="s">
        <v>400</v>
      </c>
      <c r="H174" s="121"/>
      <c r="I174" s="150">
        <v>0</v>
      </c>
      <c r="J174" s="121"/>
      <c r="K174" s="150">
        <v>0</v>
      </c>
      <c r="L174" s="121"/>
      <c r="M174" s="150">
        <v>0</v>
      </c>
      <c r="N174" s="121"/>
      <c r="O174" s="150">
        <v>0</v>
      </c>
      <c r="P174" s="137"/>
      <c r="Q174" s="137"/>
      <c r="R174" s="121"/>
      <c r="S174" s="150">
        <v>0</v>
      </c>
      <c r="T174" s="121"/>
      <c r="U174" s="150">
        <v>0</v>
      </c>
      <c r="V174" s="121"/>
      <c r="W174" s="150">
        <v>0</v>
      </c>
      <c r="X174" s="121"/>
      <c r="Y174" s="150">
        <v>0</v>
      </c>
      <c r="Z174" s="121"/>
      <c r="AA174" s="150">
        <v>0</v>
      </c>
      <c r="AB174" s="121"/>
      <c r="AC174" s="150" t="s">
        <v>400</v>
      </c>
      <c r="AD174" s="123"/>
      <c r="AE174" s="150" t="s">
        <v>400</v>
      </c>
      <c r="AF174" s="121"/>
      <c r="AG174" s="284"/>
      <c r="AH174" s="280"/>
      <c r="AI174" s="280"/>
      <c r="AJ174" s="285"/>
      <c r="AK174" s="48"/>
      <c r="AL174" s="48"/>
      <c r="AM174" s="48"/>
      <c r="AN174" s="48"/>
      <c r="AO174" s="48"/>
    </row>
    <row r="175" spans="1:41" x14ac:dyDescent="0.35">
      <c r="A175" s="177"/>
      <c r="B175" s="120"/>
      <c r="C175" s="122" t="s">
        <v>137</v>
      </c>
      <c r="D175" s="120"/>
      <c r="E175" s="122" t="s">
        <v>142</v>
      </c>
      <c r="F175" s="120"/>
      <c r="G175" s="122" t="s">
        <v>132</v>
      </c>
      <c r="H175" s="120"/>
      <c r="I175" s="122" t="s">
        <v>161</v>
      </c>
      <c r="J175" s="120"/>
      <c r="K175" s="122" t="s">
        <v>349</v>
      </c>
      <c r="L175" s="120"/>
      <c r="M175" s="122" t="s">
        <v>174</v>
      </c>
      <c r="N175" s="120"/>
      <c r="O175" s="122" t="s">
        <v>132</v>
      </c>
      <c r="P175" s="122"/>
      <c r="Q175" s="122"/>
      <c r="R175" s="120"/>
      <c r="S175" s="122" t="s">
        <v>161</v>
      </c>
      <c r="T175" s="120"/>
      <c r="U175" s="122" t="s">
        <v>161</v>
      </c>
      <c r="V175" s="120"/>
      <c r="W175" s="122" t="s">
        <v>126</v>
      </c>
      <c r="X175" s="120"/>
      <c r="Y175" s="122" t="s">
        <v>142</v>
      </c>
      <c r="Z175" s="120"/>
      <c r="AA175" s="122" t="s">
        <v>176</v>
      </c>
      <c r="AB175" s="120"/>
      <c r="AC175" s="122" t="s">
        <v>142</v>
      </c>
      <c r="AD175" s="120"/>
      <c r="AE175" s="122" t="s">
        <v>126</v>
      </c>
      <c r="AF175" s="120"/>
      <c r="AG175" s="279"/>
      <c r="AH175" s="280"/>
      <c r="AI175" s="280"/>
      <c r="AJ175" s="285"/>
      <c r="AK175" s="48"/>
      <c r="AL175" s="48"/>
      <c r="AM175" s="48"/>
      <c r="AN175" s="48"/>
      <c r="AO175" s="48"/>
    </row>
    <row r="176" spans="1:41" s="155" customFormat="1" ht="12.75" customHeight="1" x14ac:dyDescent="0.35">
      <c r="A176" s="183"/>
      <c r="C176" s="153" t="s">
        <v>403</v>
      </c>
      <c r="E176" s="153" t="s">
        <v>403</v>
      </c>
      <c r="F176" s="278"/>
      <c r="G176" s="153" t="s">
        <v>421</v>
      </c>
      <c r="H176" s="278"/>
      <c r="I176" s="153"/>
      <c r="J176" s="278"/>
      <c r="L176" s="278"/>
      <c r="M176" s="278"/>
      <c r="N176" s="278"/>
      <c r="O176" s="153" t="s">
        <v>421</v>
      </c>
      <c r="P176" s="153"/>
      <c r="Q176" s="153"/>
      <c r="R176" s="152"/>
      <c r="S176" s="153" t="s">
        <v>421</v>
      </c>
      <c r="T176" s="152"/>
      <c r="U176" s="153" t="s">
        <v>421</v>
      </c>
      <c r="V176" s="152"/>
      <c r="W176" s="152"/>
      <c r="X176" s="153"/>
      <c r="Y176" s="153" t="s">
        <v>403</v>
      </c>
      <c r="Z176" s="152"/>
      <c r="AA176" s="153"/>
      <c r="AB176" s="152"/>
      <c r="AC176" s="153" t="s">
        <v>403</v>
      </c>
      <c r="AE176" s="153" t="s">
        <v>403</v>
      </c>
      <c r="AG176" s="195"/>
      <c r="AH176" s="196"/>
      <c r="AI176" s="196"/>
      <c r="AJ176" s="197"/>
      <c r="AK176" s="49"/>
      <c r="AL176" s="49"/>
      <c r="AM176" s="49"/>
    </row>
    <row r="177" spans="1:39" ht="15" thickBot="1" x14ac:dyDescent="0.4">
      <c r="A177" s="169"/>
      <c r="B177" s="120"/>
      <c r="C177" s="121"/>
      <c r="D177" s="120"/>
      <c r="E177" s="121"/>
      <c r="F177" s="120"/>
      <c r="G177" s="121"/>
      <c r="H177" s="122"/>
      <c r="I177" s="121"/>
      <c r="J177" s="120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49"/>
      <c r="V177" s="128"/>
      <c r="W177" s="286"/>
      <c r="X177" s="128"/>
      <c r="Y177" s="232"/>
      <c r="Z177" s="120"/>
      <c r="AA177" s="121"/>
      <c r="AB177" s="120"/>
      <c r="AC177" s="185"/>
      <c r="AD177" s="120"/>
      <c r="AE177" s="185"/>
      <c r="AF177" s="120"/>
      <c r="AG177" s="147"/>
      <c r="AH177" s="148"/>
      <c r="AI177" s="148"/>
      <c r="AJ177" s="172"/>
      <c r="AK177" s="48"/>
      <c r="AL177" s="48"/>
      <c r="AM177" s="48"/>
    </row>
    <row r="178" spans="1:39" ht="15" thickBot="1" x14ac:dyDescent="0.4">
      <c r="A178" s="199"/>
      <c r="B178" s="983" t="s">
        <v>404</v>
      </c>
      <c r="C178" s="984"/>
      <c r="D178" s="984"/>
      <c r="E178" s="984"/>
      <c r="F178" s="984"/>
      <c r="G178" s="984"/>
      <c r="H178" s="984"/>
      <c r="I178" s="984"/>
      <c r="J178" s="984"/>
      <c r="K178" s="984"/>
      <c r="L178" s="984"/>
      <c r="M178" s="984"/>
      <c r="N178" s="984"/>
      <c r="O178" s="984"/>
      <c r="P178" s="984"/>
      <c r="Q178" s="984"/>
      <c r="R178" s="984"/>
      <c r="S178" s="984"/>
      <c r="T178" s="984"/>
      <c r="U178" s="984"/>
      <c r="V178" s="984"/>
      <c r="W178" s="984"/>
      <c r="X178" s="984"/>
      <c r="Y178" s="984"/>
      <c r="Z178" s="984"/>
      <c r="AA178" s="984"/>
      <c r="AB178" s="984"/>
      <c r="AC178" s="984"/>
      <c r="AD178" s="984"/>
      <c r="AE178" s="985"/>
      <c r="AF178" s="200"/>
      <c r="AG178" s="188"/>
      <c r="AH178" s="189"/>
      <c r="AI178" s="189"/>
      <c r="AJ178" s="201"/>
      <c r="AK178" s="48"/>
      <c r="AL178" s="48"/>
      <c r="AM178" s="48"/>
    </row>
    <row r="179" spans="1:39" ht="15" thickBot="1" x14ac:dyDescent="0.4">
      <c r="A179" s="156"/>
      <c r="B179" s="157"/>
      <c r="C179" s="158"/>
      <c r="D179" s="157"/>
      <c r="E179" s="158"/>
      <c r="F179" s="157"/>
      <c r="G179" s="158"/>
      <c r="H179" s="159"/>
      <c r="I179" s="158"/>
      <c r="J179" s="157"/>
      <c r="K179" s="223"/>
      <c r="L179" s="223"/>
      <c r="M179" s="223"/>
      <c r="N179" s="223"/>
      <c r="O179" s="211"/>
      <c r="P179" s="211"/>
      <c r="Q179" s="211"/>
      <c r="R179" s="223"/>
      <c r="S179" s="223"/>
      <c r="T179" s="223"/>
      <c r="U179" s="287"/>
      <c r="V179" s="287"/>
      <c r="W179" s="1011" t="s">
        <v>500</v>
      </c>
      <c r="X179" s="1012"/>
      <c r="Y179" s="1013"/>
      <c r="Z179" s="157"/>
      <c r="AA179" s="1014" t="s">
        <v>550</v>
      </c>
      <c r="AB179" s="1015"/>
      <c r="AC179" s="1016"/>
      <c r="AD179" s="157"/>
      <c r="AE179" s="158"/>
      <c r="AF179" s="157"/>
      <c r="AG179" s="166"/>
      <c r="AH179" s="167"/>
      <c r="AI179" s="167"/>
      <c r="AJ179" s="168"/>
      <c r="AK179" s="48"/>
      <c r="AL179" s="48"/>
      <c r="AM179" s="48"/>
    </row>
    <row r="180" spans="1:39" x14ac:dyDescent="0.35">
      <c r="A180" s="169"/>
      <c r="B180" s="120"/>
      <c r="C180" s="122" t="s">
        <v>606</v>
      </c>
      <c r="D180" s="122"/>
      <c r="E180" s="122" t="s">
        <v>607</v>
      </c>
      <c r="F180" s="122"/>
      <c r="G180" s="122" t="s">
        <v>608</v>
      </c>
      <c r="H180" s="122"/>
      <c r="I180" s="122" t="s">
        <v>609</v>
      </c>
      <c r="J180" s="122"/>
      <c r="K180" s="122" t="s">
        <v>610</v>
      </c>
      <c r="L180" s="122"/>
      <c r="M180" s="122" t="s">
        <v>611</v>
      </c>
      <c r="N180" s="122"/>
      <c r="O180" s="122" t="s">
        <v>612</v>
      </c>
      <c r="P180" s="122"/>
      <c r="Q180" s="122"/>
      <c r="R180" s="122"/>
      <c r="S180" s="122" t="s">
        <v>613</v>
      </c>
      <c r="T180" s="122"/>
      <c r="U180" s="122" t="s">
        <v>614</v>
      </c>
      <c r="V180" s="122"/>
      <c r="W180" s="235" t="s">
        <v>615</v>
      </c>
      <c r="X180" s="122"/>
      <c r="Y180" s="236" t="s">
        <v>173</v>
      </c>
      <c r="Z180" s="122"/>
      <c r="AA180" s="235" t="s">
        <v>616</v>
      </c>
      <c r="AB180" s="122"/>
      <c r="AC180" s="236" t="s">
        <v>617</v>
      </c>
      <c r="AD180" s="122"/>
      <c r="AE180" s="122" t="s">
        <v>618</v>
      </c>
      <c r="AF180" s="120"/>
      <c r="AG180" s="170"/>
      <c r="AH180" s="171"/>
      <c r="AI180" s="171"/>
      <c r="AJ180" s="172"/>
      <c r="AK180" s="48"/>
      <c r="AL180" s="48"/>
      <c r="AM180" s="48"/>
    </row>
    <row r="181" spans="1:39" x14ac:dyDescent="0.35">
      <c r="A181" s="173"/>
      <c r="B181" s="121"/>
      <c r="C181" s="121">
        <v>0</v>
      </c>
      <c r="D181" s="121"/>
      <c r="E181" s="121">
        <v>0</v>
      </c>
      <c r="F181" s="121"/>
      <c r="G181" s="121">
        <v>0</v>
      </c>
      <c r="H181" s="121"/>
      <c r="I181" s="121">
        <v>0</v>
      </c>
      <c r="J181" s="121"/>
      <c r="K181" s="121">
        <v>0</v>
      </c>
      <c r="L181" s="121"/>
      <c r="M181" s="121">
        <v>0</v>
      </c>
      <c r="N181" s="121"/>
      <c r="O181" s="121">
        <v>0</v>
      </c>
      <c r="P181" s="121"/>
      <c r="Q181" s="121"/>
      <c r="R181" s="121"/>
      <c r="S181" s="121">
        <v>0</v>
      </c>
      <c r="T181" s="121"/>
      <c r="U181" s="121">
        <v>0</v>
      </c>
      <c r="V181" s="121"/>
      <c r="W181" s="177">
        <v>0</v>
      </c>
      <c r="X181" s="121"/>
      <c r="Y181" s="237">
        <v>0</v>
      </c>
      <c r="Z181" s="121"/>
      <c r="AA181" s="177">
        <v>0</v>
      </c>
      <c r="AB181" s="121"/>
      <c r="AC181" s="237">
        <v>0</v>
      </c>
      <c r="AD181" s="121"/>
      <c r="AE181" s="121">
        <v>0</v>
      </c>
      <c r="AF181" s="120"/>
      <c r="AG181" s="174"/>
      <c r="AH181" s="175"/>
      <c r="AI181" s="176"/>
      <c r="AJ181" s="172"/>
      <c r="AK181" s="48"/>
      <c r="AL181" s="48"/>
      <c r="AM181" s="48"/>
    </row>
    <row r="182" spans="1:39" s="140" customFormat="1" ht="15" thickBot="1" x14ac:dyDescent="0.4">
      <c r="A182" s="212">
        <v>207</v>
      </c>
      <c r="C182" s="140">
        <v>208</v>
      </c>
      <c r="E182" s="140">
        <v>209</v>
      </c>
      <c r="G182" s="140">
        <v>210</v>
      </c>
      <c r="I182" s="140">
        <v>211</v>
      </c>
      <c r="K182" s="140">
        <v>212</v>
      </c>
      <c r="M182" s="140">
        <v>213</v>
      </c>
      <c r="O182" s="140">
        <v>214</v>
      </c>
      <c r="S182" s="140">
        <v>215</v>
      </c>
      <c r="U182" s="140">
        <v>216</v>
      </c>
      <c r="W182" s="212">
        <v>217</v>
      </c>
      <c r="Y182" s="238">
        <v>218</v>
      </c>
      <c r="AA182" s="212">
        <v>219</v>
      </c>
      <c r="AC182" s="238">
        <v>220</v>
      </c>
      <c r="AE182" s="140">
        <v>221</v>
      </c>
      <c r="AG182" s="214"/>
      <c r="AH182" s="215"/>
      <c r="AI182" s="216"/>
      <c r="AJ182" s="217"/>
      <c r="AK182" s="192"/>
      <c r="AL182" s="192"/>
      <c r="AM182" s="192"/>
    </row>
    <row r="183" spans="1:39" ht="15" thickBot="1" x14ac:dyDescent="0.4">
      <c r="A183" s="177"/>
      <c r="B183" s="143">
        <v>405</v>
      </c>
      <c r="C183" s="961" t="s">
        <v>400</v>
      </c>
      <c r="D183" s="143">
        <v>376</v>
      </c>
      <c r="E183" s="961" t="s">
        <v>400</v>
      </c>
      <c r="F183" s="143">
        <v>439</v>
      </c>
      <c r="G183" s="961" t="s">
        <v>400</v>
      </c>
      <c r="H183" s="143">
        <v>326.84500000000003</v>
      </c>
      <c r="I183" s="961">
        <v>0</v>
      </c>
      <c r="J183" s="143">
        <v>382.99900000000002</v>
      </c>
      <c r="K183" s="961" t="s">
        <v>400</v>
      </c>
      <c r="L183" s="143">
        <v>416</v>
      </c>
      <c r="M183" s="961" t="s">
        <v>454</v>
      </c>
      <c r="N183" s="143">
        <v>410</v>
      </c>
      <c r="O183" s="961" t="s">
        <v>400</v>
      </c>
      <c r="P183" s="137"/>
      <c r="Q183" s="143">
        <v>336</v>
      </c>
      <c r="R183" s="143"/>
      <c r="S183" s="961" t="s">
        <v>400</v>
      </c>
      <c r="T183" s="143">
        <v>353</v>
      </c>
      <c r="U183" s="961" t="s">
        <v>399</v>
      </c>
      <c r="V183" s="143">
        <v>372</v>
      </c>
      <c r="W183" s="961" t="s">
        <v>399</v>
      </c>
      <c r="X183" s="143">
        <v>396.12799999999999</v>
      </c>
      <c r="Y183" s="961" t="s">
        <v>399</v>
      </c>
      <c r="Z183" s="143">
        <v>360.99799999999999</v>
      </c>
      <c r="AA183" s="961" t="s">
        <v>399</v>
      </c>
      <c r="AB183" s="143">
        <v>466</v>
      </c>
      <c r="AC183" s="961" t="s">
        <v>399</v>
      </c>
      <c r="AD183" s="143">
        <v>366</v>
      </c>
      <c r="AE183" s="961" t="s">
        <v>399</v>
      </c>
      <c r="AF183" s="120"/>
      <c r="AG183" s="144">
        <v>6</v>
      </c>
      <c r="AH183" s="145">
        <v>4</v>
      </c>
      <c r="AI183" s="145">
        <v>0</v>
      </c>
      <c r="AJ183" s="180"/>
      <c r="AK183" s="48"/>
      <c r="AL183" s="48"/>
      <c r="AM183" s="48"/>
    </row>
    <row r="184" spans="1:39" x14ac:dyDescent="0.35">
      <c r="A184" s="177"/>
      <c r="B184" s="120"/>
      <c r="C184" s="962"/>
      <c r="D184" s="120"/>
      <c r="E184" s="962"/>
      <c r="F184" s="120"/>
      <c r="G184" s="962"/>
      <c r="H184" s="120"/>
      <c r="I184" s="962"/>
      <c r="J184" s="120"/>
      <c r="K184" s="962"/>
      <c r="L184" s="120"/>
      <c r="M184" s="962"/>
      <c r="N184" s="120"/>
      <c r="O184" s="962"/>
      <c r="P184" s="137"/>
      <c r="Q184" s="137"/>
      <c r="R184" s="120"/>
      <c r="S184" s="962"/>
      <c r="T184" s="120"/>
      <c r="U184" s="962"/>
      <c r="V184" s="120"/>
      <c r="W184" s="962"/>
      <c r="X184" s="120"/>
      <c r="Y184" s="962"/>
      <c r="Z184" s="120"/>
      <c r="AA184" s="962"/>
      <c r="AB184" s="120"/>
      <c r="AC184" s="962"/>
      <c r="AD184" s="120"/>
      <c r="AE184" s="962"/>
      <c r="AF184" s="120"/>
      <c r="AG184" s="147"/>
      <c r="AH184" s="148"/>
      <c r="AI184" s="148"/>
      <c r="AJ184" s="172"/>
      <c r="AK184" s="48"/>
      <c r="AL184" s="48"/>
      <c r="AM184" s="48"/>
    </row>
    <row r="185" spans="1:39" ht="6" customHeight="1" x14ac:dyDescent="0.35">
      <c r="A185" s="177"/>
      <c r="B185" s="120"/>
      <c r="C185" s="150" t="s">
        <v>400</v>
      </c>
      <c r="D185" s="121"/>
      <c r="E185" s="150" t="s">
        <v>400</v>
      </c>
      <c r="F185" s="121"/>
      <c r="G185" s="150" t="s">
        <v>400</v>
      </c>
      <c r="H185" s="121"/>
      <c r="I185" s="150">
        <v>0</v>
      </c>
      <c r="J185" s="121"/>
      <c r="K185" s="150">
        <v>0</v>
      </c>
      <c r="L185" s="121"/>
      <c r="M185" s="150">
        <v>0</v>
      </c>
      <c r="N185" s="121"/>
      <c r="O185" s="150" t="s">
        <v>400</v>
      </c>
      <c r="P185" s="137"/>
      <c r="Q185" s="137"/>
      <c r="R185" s="121"/>
      <c r="S185" s="150">
        <v>0</v>
      </c>
      <c r="T185" s="121"/>
      <c r="U185" s="150">
        <v>0</v>
      </c>
      <c r="V185" s="121"/>
      <c r="W185" s="240">
        <v>0</v>
      </c>
      <c r="X185" s="121"/>
      <c r="Y185" s="241">
        <v>0</v>
      </c>
      <c r="Z185" s="121"/>
      <c r="AA185" s="240">
        <v>0</v>
      </c>
      <c r="AB185" s="121"/>
      <c r="AC185" s="241">
        <v>0</v>
      </c>
      <c r="AD185" s="123"/>
      <c r="AE185" s="150">
        <v>0</v>
      </c>
      <c r="AF185" s="120"/>
      <c r="AG185" s="147"/>
      <c r="AH185" s="148"/>
      <c r="AI185" s="148"/>
      <c r="AJ185" s="172"/>
      <c r="AK185" s="48"/>
      <c r="AL185" s="48"/>
      <c r="AM185" s="48"/>
    </row>
    <row r="186" spans="1:39" ht="15" thickBot="1" x14ac:dyDescent="0.4">
      <c r="A186" s="212"/>
      <c r="C186" s="122" t="s">
        <v>142</v>
      </c>
      <c r="D186" s="120"/>
      <c r="E186" s="122" t="s">
        <v>142</v>
      </c>
      <c r="F186" s="120"/>
      <c r="G186" s="122" t="s">
        <v>126</v>
      </c>
      <c r="H186" s="120"/>
      <c r="I186" s="122" t="s">
        <v>151</v>
      </c>
      <c r="J186" s="120"/>
      <c r="K186" s="122" t="s">
        <v>137</v>
      </c>
      <c r="L186" s="120"/>
      <c r="M186" s="122" t="s">
        <v>126</v>
      </c>
      <c r="N186" s="120"/>
      <c r="O186" s="122" t="s">
        <v>142</v>
      </c>
      <c r="P186" s="122"/>
      <c r="Q186" s="122"/>
      <c r="R186" s="120"/>
      <c r="S186" s="122" t="s">
        <v>161</v>
      </c>
      <c r="T186" s="120"/>
      <c r="U186" s="122" t="s">
        <v>142</v>
      </c>
      <c r="V186" s="120"/>
      <c r="W186" s="242" t="s">
        <v>142</v>
      </c>
      <c r="X186" s="200"/>
      <c r="Y186" s="243" t="s">
        <v>174</v>
      </c>
      <c r="Z186" s="120"/>
      <c r="AA186" s="259" t="s">
        <v>619</v>
      </c>
      <c r="AB186" s="200"/>
      <c r="AC186" s="243" t="s">
        <v>137</v>
      </c>
      <c r="AD186" s="120"/>
      <c r="AE186" s="122" t="s">
        <v>142</v>
      </c>
      <c r="AG186" s="195"/>
      <c r="AH186" s="196"/>
      <c r="AI186" s="196"/>
      <c r="AJ186" s="217"/>
      <c r="AK186" s="48"/>
      <c r="AL186" s="48"/>
      <c r="AM186" s="48"/>
    </row>
    <row r="187" spans="1:39" s="155" customFormat="1" x14ac:dyDescent="0.35">
      <c r="A187" s="183"/>
      <c r="C187" s="153" t="s">
        <v>421</v>
      </c>
      <c r="E187" s="153" t="s">
        <v>421</v>
      </c>
      <c r="G187" s="153" t="s">
        <v>421</v>
      </c>
      <c r="I187" s="153">
        <v>0</v>
      </c>
      <c r="K187" s="153" t="s">
        <v>421</v>
      </c>
      <c r="M187" s="153"/>
      <c r="O187" s="153" t="s">
        <v>421</v>
      </c>
      <c r="P187" s="153"/>
      <c r="Q187" s="153"/>
      <c r="S187" s="153" t="s">
        <v>421</v>
      </c>
      <c r="U187" s="153"/>
      <c r="W187" s="153"/>
      <c r="Y187" s="153"/>
      <c r="AA187" s="153"/>
      <c r="AC187" s="153"/>
      <c r="AE187" s="153"/>
      <c r="AG187" s="195"/>
      <c r="AH187" s="196"/>
      <c r="AI187" s="196"/>
      <c r="AJ187" s="197"/>
      <c r="AK187" s="49"/>
      <c r="AL187" s="49"/>
      <c r="AM187" s="49"/>
    </row>
    <row r="188" spans="1:39" s="155" customFormat="1" ht="15" thickBot="1" x14ac:dyDescent="0.4">
      <c r="A188" s="183"/>
      <c r="C188" s="153"/>
      <c r="E188" s="153"/>
      <c r="G188" s="153"/>
      <c r="I188" s="153"/>
      <c r="K188" s="153"/>
      <c r="M188" s="153"/>
      <c r="O188" s="153"/>
      <c r="P188" s="153"/>
      <c r="Q188" s="153"/>
      <c r="S188" s="153"/>
      <c r="U188" s="153"/>
      <c r="W188" s="153"/>
      <c r="Y188" s="153"/>
      <c r="AA188" s="153"/>
      <c r="AC188" s="153"/>
      <c r="AE188" s="153"/>
      <c r="AG188" s="195"/>
      <c r="AH188" s="196"/>
      <c r="AI188" s="196"/>
      <c r="AJ188" s="197"/>
      <c r="AK188" s="49"/>
      <c r="AL188" s="49"/>
      <c r="AM188" s="49"/>
    </row>
    <row r="189" spans="1:39" ht="15" thickBot="1" x14ac:dyDescent="0.4">
      <c r="A189" s="199"/>
      <c r="B189" s="983" t="s">
        <v>404</v>
      </c>
      <c r="C189" s="984"/>
      <c r="D189" s="984"/>
      <c r="E189" s="984"/>
      <c r="F189" s="984"/>
      <c r="G189" s="984"/>
      <c r="H189" s="984"/>
      <c r="I189" s="984"/>
      <c r="J189" s="984"/>
      <c r="K189" s="984"/>
      <c r="L189" s="984"/>
      <c r="M189" s="984"/>
      <c r="N189" s="984"/>
      <c r="O189" s="984"/>
      <c r="P189" s="984"/>
      <c r="Q189" s="984"/>
      <c r="R189" s="984"/>
      <c r="S189" s="984"/>
      <c r="T189" s="984"/>
      <c r="U189" s="984"/>
      <c r="V189" s="984"/>
      <c r="W189" s="984"/>
      <c r="X189" s="984"/>
      <c r="Y189" s="984"/>
      <c r="Z189" s="985"/>
      <c r="AA189" s="1008" t="s">
        <v>562</v>
      </c>
      <c r="AB189" s="1003"/>
      <c r="AC189" s="1003"/>
      <c r="AD189" s="1003"/>
      <c r="AE189" s="1004"/>
      <c r="AF189" s="200"/>
      <c r="AG189" s="188"/>
      <c r="AH189" s="189"/>
      <c r="AI189" s="189"/>
      <c r="AJ189" s="201"/>
      <c r="AK189" s="48"/>
      <c r="AL189" s="48"/>
      <c r="AM189" s="48"/>
    </row>
    <row r="190" spans="1:39" x14ac:dyDescent="0.35">
      <c r="A190" s="156"/>
      <c r="B190" s="157"/>
      <c r="C190" s="159" t="s">
        <v>620</v>
      </c>
      <c r="D190" s="159"/>
      <c r="E190" s="159" t="s">
        <v>621</v>
      </c>
      <c r="F190" s="159"/>
      <c r="G190" s="159" t="s">
        <v>622</v>
      </c>
      <c r="H190" s="159"/>
      <c r="I190" s="159" t="s">
        <v>623</v>
      </c>
      <c r="J190" s="159"/>
      <c r="K190" s="159" t="s">
        <v>624</v>
      </c>
      <c r="L190" s="159"/>
      <c r="M190" s="159" t="s">
        <v>625</v>
      </c>
      <c r="N190" s="159"/>
      <c r="O190" s="159" t="s">
        <v>626</v>
      </c>
      <c r="P190" s="159"/>
      <c r="Q190" s="159"/>
      <c r="R190" s="159"/>
      <c r="S190" s="159" t="s">
        <v>627</v>
      </c>
      <c r="T190" s="159"/>
      <c r="U190" s="159" t="s">
        <v>628</v>
      </c>
      <c r="V190" s="159"/>
      <c r="W190" s="159" t="s">
        <v>629</v>
      </c>
      <c r="X190" s="159"/>
      <c r="Y190" s="159" t="s">
        <v>630</v>
      </c>
      <c r="Z190" s="159"/>
      <c r="AA190" s="159" t="s">
        <v>631</v>
      </c>
      <c r="AB190" s="159"/>
      <c r="AC190" s="159" t="s">
        <v>632</v>
      </c>
      <c r="AD190" s="159"/>
      <c r="AE190" s="159" t="s">
        <v>633</v>
      </c>
      <c r="AF190" s="157"/>
      <c r="AG190" s="202"/>
      <c r="AH190" s="203"/>
      <c r="AI190" s="203"/>
      <c r="AJ190" s="168"/>
      <c r="AK190" s="48"/>
      <c r="AL190" s="48"/>
      <c r="AM190" s="48"/>
    </row>
    <row r="191" spans="1:39" x14ac:dyDescent="0.35">
      <c r="A191" s="173"/>
      <c r="B191" s="121"/>
      <c r="C191" s="121">
        <v>0</v>
      </c>
      <c r="D191" s="121"/>
      <c r="E191" s="121">
        <v>0</v>
      </c>
      <c r="F191" s="121"/>
      <c r="G191" s="121">
        <v>0</v>
      </c>
      <c r="H191" s="121"/>
      <c r="I191" s="121">
        <v>0</v>
      </c>
      <c r="J191" s="121"/>
      <c r="K191" s="121">
        <v>0</v>
      </c>
      <c r="L191" s="121"/>
      <c r="M191" s="121">
        <v>0</v>
      </c>
      <c r="N191" s="121"/>
      <c r="O191" s="121">
        <v>0</v>
      </c>
      <c r="P191" s="121"/>
      <c r="Q191" s="121"/>
      <c r="R191" s="121"/>
      <c r="S191" s="121">
        <v>0</v>
      </c>
      <c r="T191" s="121"/>
      <c r="U191" s="121">
        <v>0</v>
      </c>
      <c r="V191" s="121"/>
      <c r="W191" s="121">
        <v>0</v>
      </c>
      <c r="X191" s="121"/>
      <c r="Y191" s="121">
        <v>0</v>
      </c>
      <c r="Z191" s="121"/>
      <c r="AA191" s="121">
        <v>0</v>
      </c>
      <c r="AB191" s="121"/>
      <c r="AC191" s="121">
        <v>0</v>
      </c>
      <c r="AD191" s="121"/>
      <c r="AE191" s="121">
        <v>0</v>
      </c>
      <c r="AF191" s="120"/>
      <c r="AG191" s="174"/>
      <c r="AH191" s="175"/>
      <c r="AI191" s="176"/>
      <c r="AJ191" s="172"/>
      <c r="AK191" s="48"/>
      <c r="AL191" s="48"/>
      <c r="AM191" s="48"/>
    </row>
    <row r="192" spans="1:39" s="140" customFormat="1" ht="15" thickBot="1" x14ac:dyDescent="0.4">
      <c r="A192" s="177">
        <v>221</v>
      </c>
      <c r="B192" s="121"/>
      <c r="C192" s="121">
        <v>222</v>
      </c>
      <c r="D192" s="121"/>
      <c r="E192" s="121">
        <v>223</v>
      </c>
      <c r="F192" s="121"/>
      <c r="G192" s="121">
        <v>224</v>
      </c>
      <c r="H192" s="121"/>
      <c r="I192" s="121">
        <v>225</v>
      </c>
      <c r="J192" s="121"/>
      <c r="K192" s="121">
        <v>226</v>
      </c>
      <c r="L192" s="121"/>
      <c r="M192" s="121">
        <v>227</v>
      </c>
      <c r="N192" s="121"/>
      <c r="O192" s="121">
        <v>228</v>
      </c>
      <c r="P192" s="121"/>
      <c r="Q192" s="121"/>
      <c r="R192" s="121"/>
      <c r="S192" s="121">
        <v>229</v>
      </c>
      <c r="T192" s="121"/>
      <c r="U192" s="121">
        <v>230</v>
      </c>
      <c r="V192" s="121"/>
      <c r="W192" s="121">
        <v>231</v>
      </c>
      <c r="X192" s="121"/>
      <c r="Y192" s="121">
        <v>232</v>
      </c>
      <c r="Z192" s="121"/>
      <c r="AA192" s="121">
        <v>233</v>
      </c>
      <c r="AB192" s="121"/>
      <c r="AC192" s="121">
        <v>234</v>
      </c>
      <c r="AD192" s="121"/>
      <c r="AE192" s="121">
        <v>235</v>
      </c>
      <c r="AF192" s="121"/>
      <c r="AG192" s="174"/>
      <c r="AH192" s="175"/>
      <c r="AI192" s="178"/>
      <c r="AJ192" s="172"/>
      <c r="AK192" s="192"/>
      <c r="AL192" s="192"/>
      <c r="AM192" s="192"/>
    </row>
    <row r="193" spans="1:39" ht="15" thickBot="1" x14ac:dyDescent="0.4">
      <c r="A193" s="177"/>
      <c r="B193" s="143">
        <v>375</v>
      </c>
      <c r="C193" s="961" t="s">
        <v>399</v>
      </c>
      <c r="D193" s="143">
        <v>374.76100000000002</v>
      </c>
      <c r="E193" s="961" t="s">
        <v>400</v>
      </c>
      <c r="F193" s="143">
        <v>390.99900000000002</v>
      </c>
      <c r="G193" s="988"/>
      <c r="H193" s="143">
        <v>397</v>
      </c>
      <c r="I193" s="1017" t="s">
        <v>454</v>
      </c>
      <c r="J193" s="143">
        <v>336</v>
      </c>
      <c r="K193" s="1017" t="s">
        <v>400</v>
      </c>
      <c r="L193" s="143">
        <v>383.41899999999998</v>
      </c>
      <c r="M193" s="961" t="s">
        <v>400</v>
      </c>
      <c r="N193" s="143">
        <v>323.00099999999998</v>
      </c>
      <c r="O193" s="961" t="s">
        <v>400</v>
      </c>
      <c r="P193" s="137"/>
      <c r="Q193" s="143">
        <v>335</v>
      </c>
      <c r="R193" s="143"/>
      <c r="S193" s="961" t="s">
        <v>400</v>
      </c>
      <c r="T193" s="143">
        <v>337</v>
      </c>
      <c r="U193" s="961" t="s">
        <v>400</v>
      </c>
      <c r="V193" s="143">
        <v>339</v>
      </c>
      <c r="W193" s="988"/>
      <c r="X193" s="143">
        <v>351</v>
      </c>
      <c r="Y193" s="988"/>
      <c r="Z193" s="143">
        <v>377.05099999999999</v>
      </c>
      <c r="AA193" s="980" t="s">
        <v>418</v>
      </c>
      <c r="AB193" s="143">
        <v>413.99900000000002</v>
      </c>
      <c r="AC193" s="988"/>
      <c r="AD193" s="143">
        <v>418.00400000000002</v>
      </c>
      <c r="AE193" s="961" t="s">
        <v>400</v>
      </c>
      <c r="AF193" s="120"/>
      <c r="AG193" s="144">
        <v>11</v>
      </c>
      <c r="AH193" s="145">
        <v>3</v>
      </c>
      <c r="AI193" s="145">
        <v>0</v>
      </c>
      <c r="AJ193" s="180"/>
      <c r="AK193" s="48"/>
      <c r="AL193" s="48"/>
      <c r="AM193" s="48"/>
    </row>
    <row r="194" spans="1:39" ht="15" thickBot="1" x14ac:dyDescent="0.4">
      <c r="A194" s="177"/>
      <c r="B194" s="120"/>
      <c r="C194" s="962"/>
      <c r="D194" s="120"/>
      <c r="E194" s="995"/>
      <c r="F194" s="120"/>
      <c r="G194" s="989"/>
      <c r="H194" s="120"/>
      <c r="I194" s="1018"/>
      <c r="J194" s="120"/>
      <c r="K194" s="1018"/>
      <c r="L194" s="120"/>
      <c r="M194" s="995"/>
      <c r="N194" s="120"/>
      <c r="O194" s="995"/>
      <c r="P194" s="137"/>
      <c r="Q194" s="137"/>
      <c r="R194" s="120"/>
      <c r="S194" s="995"/>
      <c r="T194" s="120"/>
      <c r="U194" s="995"/>
      <c r="V194" s="120"/>
      <c r="W194" s="1005"/>
      <c r="X194" s="120"/>
      <c r="Y194" s="1005"/>
      <c r="Z194" s="120"/>
      <c r="AA194" s="994"/>
      <c r="AB194" s="120"/>
      <c r="AC194" s="1005"/>
      <c r="AD194" s="120"/>
      <c r="AE194" s="995"/>
      <c r="AF194" s="120"/>
      <c r="AG194" s="147"/>
      <c r="AH194" s="148"/>
      <c r="AI194" s="148"/>
      <c r="AJ194" s="172"/>
      <c r="AK194" s="48"/>
      <c r="AL194" s="48"/>
      <c r="AM194" s="48"/>
    </row>
    <row r="195" spans="1:39" ht="6" customHeight="1" x14ac:dyDescent="0.35">
      <c r="A195" s="177"/>
      <c r="B195" s="120"/>
      <c r="C195" s="150">
        <v>0</v>
      </c>
      <c r="D195" s="121"/>
      <c r="E195" s="150" t="s">
        <v>400</v>
      </c>
      <c r="F195" s="121"/>
      <c r="G195" s="150">
        <v>0</v>
      </c>
      <c r="H195" s="121"/>
      <c r="I195" s="150">
        <v>0</v>
      </c>
      <c r="J195" s="121"/>
      <c r="K195" s="150" t="s">
        <v>400</v>
      </c>
      <c r="L195" s="121"/>
      <c r="M195" s="150">
        <v>0</v>
      </c>
      <c r="N195" s="121"/>
      <c r="O195" s="150">
        <v>0</v>
      </c>
      <c r="P195" s="137"/>
      <c r="Q195" s="137"/>
      <c r="R195" s="121"/>
      <c r="S195" s="150">
        <v>0</v>
      </c>
      <c r="T195" s="121"/>
      <c r="U195" s="150" t="s">
        <v>400</v>
      </c>
      <c r="V195" s="121"/>
      <c r="W195" s="150">
        <v>0</v>
      </c>
      <c r="X195" s="121"/>
      <c r="Y195" s="150">
        <v>0</v>
      </c>
      <c r="Z195" s="121"/>
      <c r="AA195" s="150">
        <v>0</v>
      </c>
      <c r="AB195" s="121"/>
      <c r="AC195" s="150">
        <v>0</v>
      </c>
      <c r="AD195" s="123"/>
      <c r="AE195" s="150">
        <v>0</v>
      </c>
      <c r="AF195" s="120"/>
      <c r="AG195" s="147"/>
      <c r="AH195" s="148"/>
      <c r="AI195" s="148"/>
      <c r="AJ195" s="172"/>
      <c r="AK195" s="48"/>
      <c r="AL195" s="48"/>
      <c r="AM195" s="48"/>
    </row>
    <row r="196" spans="1:39" x14ac:dyDescent="0.35">
      <c r="A196" s="177"/>
      <c r="B196" s="120"/>
      <c r="C196" s="122" t="s">
        <v>132</v>
      </c>
      <c r="D196" s="120"/>
      <c r="E196" s="122" t="s">
        <v>360</v>
      </c>
      <c r="F196" s="120"/>
      <c r="G196" s="122" t="s">
        <v>142</v>
      </c>
      <c r="H196" s="120"/>
      <c r="I196" s="122" t="s">
        <v>142</v>
      </c>
      <c r="J196" s="120"/>
      <c r="K196" s="122" t="s">
        <v>142</v>
      </c>
      <c r="L196" s="120"/>
      <c r="M196" s="122" t="s">
        <v>167</v>
      </c>
      <c r="N196" s="120"/>
      <c r="O196" s="122" t="s">
        <v>132</v>
      </c>
      <c r="P196" s="122"/>
      <c r="Q196" s="122"/>
      <c r="R196" s="120"/>
      <c r="S196" s="122" t="s">
        <v>132</v>
      </c>
      <c r="T196" s="120"/>
      <c r="U196" s="122" t="s">
        <v>142</v>
      </c>
      <c r="V196" s="120"/>
      <c r="W196" s="122" t="s">
        <v>142</v>
      </c>
      <c r="X196" s="120"/>
      <c r="Y196" s="122" t="s">
        <v>142</v>
      </c>
      <c r="Z196" s="120"/>
      <c r="AA196" s="122" t="s">
        <v>149</v>
      </c>
      <c r="AB196" s="120"/>
      <c r="AC196" s="122" t="s">
        <v>126</v>
      </c>
      <c r="AD196" s="120"/>
      <c r="AE196" s="122" t="s">
        <v>126</v>
      </c>
      <c r="AF196" s="120"/>
      <c r="AG196" s="147"/>
      <c r="AH196" s="148"/>
      <c r="AI196" s="148"/>
      <c r="AJ196" s="172"/>
      <c r="AK196" s="48"/>
      <c r="AL196" s="48"/>
      <c r="AM196" s="48"/>
    </row>
    <row r="197" spans="1:39" s="155" customFormat="1" x14ac:dyDescent="0.35">
      <c r="A197" s="173"/>
      <c r="B197" s="128"/>
      <c r="C197" s="151"/>
      <c r="D197" s="128"/>
      <c r="E197" s="153" t="s">
        <v>403</v>
      </c>
      <c r="F197" s="152"/>
      <c r="G197" s="153"/>
      <c r="I197" s="153"/>
      <c r="K197" s="153" t="s">
        <v>403</v>
      </c>
      <c r="M197" s="153" t="s">
        <v>403</v>
      </c>
      <c r="O197" s="153" t="s">
        <v>403</v>
      </c>
      <c r="P197" s="153"/>
      <c r="Q197" s="153"/>
      <c r="S197" s="153" t="s">
        <v>403</v>
      </c>
      <c r="U197" s="153" t="s">
        <v>403</v>
      </c>
      <c r="V197" s="152"/>
      <c r="W197" s="153" t="s">
        <v>403</v>
      </c>
      <c r="X197" s="288"/>
      <c r="Y197" s="153">
        <v>0</v>
      </c>
      <c r="AA197" s="153"/>
      <c r="AC197" s="153"/>
      <c r="AE197" s="153" t="s">
        <v>403</v>
      </c>
      <c r="AF197" s="152"/>
      <c r="AG197" s="147"/>
      <c r="AH197" s="148"/>
      <c r="AI197" s="148"/>
      <c r="AJ197" s="182"/>
      <c r="AK197" s="49"/>
      <c r="AL197" s="49"/>
      <c r="AM197" s="49"/>
    </row>
    <row r="198" spans="1:39" s="155" customFormat="1" ht="15" thickBot="1" x14ac:dyDescent="0.4">
      <c r="A198" s="173"/>
      <c r="B198" s="128"/>
      <c r="C198" s="151"/>
      <c r="D198" s="128"/>
      <c r="E198" s="289"/>
      <c r="F198" s="290"/>
      <c r="G198" s="291" t="s">
        <v>634</v>
      </c>
      <c r="H198" s="290"/>
      <c r="I198" s="291" t="s">
        <v>634</v>
      </c>
      <c r="J198" s="290"/>
      <c r="K198" s="289"/>
      <c r="M198" s="289"/>
      <c r="N198" s="289"/>
      <c r="O198" s="289"/>
      <c r="P198" s="289"/>
      <c r="Q198" s="289"/>
      <c r="R198" s="289"/>
      <c r="S198" s="289"/>
      <c r="U198" s="289"/>
      <c r="V198" s="152"/>
      <c r="W198" s="184" t="s">
        <v>635</v>
      </c>
      <c r="X198" s="288"/>
      <c r="Y198" s="184" t="s">
        <v>635</v>
      </c>
      <c r="AA198" s="184" t="s">
        <v>635</v>
      </c>
      <c r="AC198" s="184" t="s">
        <v>636</v>
      </c>
      <c r="AE198" s="291" t="s">
        <v>634</v>
      </c>
      <c r="AF198" s="152"/>
      <c r="AG198" s="147"/>
      <c r="AH198" s="148"/>
      <c r="AI198" s="148"/>
      <c r="AJ198" s="182"/>
      <c r="AK198" s="49"/>
      <c r="AL198" s="49"/>
      <c r="AM198" s="49"/>
    </row>
    <row r="199" spans="1:39" s="155" customFormat="1" ht="15" thickBot="1" x14ac:dyDescent="0.4">
      <c r="A199" s="204"/>
      <c r="B199" s="1019" t="s">
        <v>562</v>
      </c>
      <c r="C199" s="1020"/>
      <c r="D199" s="1020"/>
      <c r="E199" s="1020"/>
      <c r="F199" s="1020"/>
      <c r="G199" s="1020"/>
      <c r="H199" s="1020"/>
      <c r="I199" s="1020"/>
      <c r="J199" s="1020"/>
      <c r="K199" s="1020"/>
      <c r="L199" s="1020"/>
      <c r="M199" s="1020"/>
      <c r="N199" s="1020"/>
      <c r="O199" s="1020"/>
      <c r="P199" s="1020"/>
      <c r="Q199" s="1020"/>
      <c r="R199" s="1020"/>
      <c r="S199" s="1020"/>
      <c r="T199" s="1020"/>
      <c r="U199" s="1020"/>
      <c r="V199" s="1020"/>
      <c r="W199" s="1020"/>
      <c r="X199" s="1020"/>
      <c r="Y199" s="1020"/>
      <c r="Z199" s="1020"/>
      <c r="AA199" s="1020"/>
      <c r="AB199" s="1020"/>
      <c r="AC199" s="1020"/>
      <c r="AD199" s="1020"/>
      <c r="AE199" s="1021"/>
      <c r="AF199" s="290"/>
      <c r="AG199" s="188"/>
      <c r="AH199" s="189"/>
      <c r="AI199" s="189"/>
      <c r="AJ199" s="190"/>
      <c r="AK199" s="49"/>
      <c r="AL199" s="49"/>
      <c r="AM199" s="49"/>
    </row>
    <row r="200" spans="1:39" x14ac:dyDescent="0.35">
      <c r="A200" s="156"/>
      <c r="B200" s="157"/>
      <c r="C200" s="158"/>
      <c r="D200" s="157"/>
      <c r="E200" s="158"/>
      <c r="F200" s="163"/>
      <c r="G200" s="158"/>
      <c r="H200" s="159"/>
      <c r="I200" s="158"/>
      <c r="J200" s="157"/>
      <c r="K200" s="160"/>
      <c r="L200" s="157"/>
      <c r="M200" s="158"/>
      <c r="N200" s="157"/>
      <c r="O200" s="158"/>
      <c r="P200" s="158"/>
      <c r="Q200" s="158"/>
      <c r="R200" s="163" t="s">
        <v>637</v>
      </c>
      <c r="S200" s="160"/>
      <c r="T200" s="157"/>
      <c r="U200" s="158"/>
      <c r="V200" s="157"/>
      <c r="W200" s="158"/>
      <c r="X200" s="163"/>
      <c r="Y200" s="158"/>
      <c r="Z200" s="157"/>
      <c r="AA200" s="211"/>
      <c r="AB200" s="157"/>
      <c r="AC200" s="158"/>
      <c r="AD200" s="157"/>
      <c r="AE200" s="158"/>
      <c r="AF200" s="157"/>
      <c r="AG200" s="166"/>
      <c r="AH200" s="167"/>
      <c r="AI200" s="167"/>
      <c r="AJ200" s="168"/>
      <c r="AK200" s="48"/>
      <c r="AL200" s="48"/>
      <c r="AM200" s="48"/>
    </row>
    <row r="201" spans="1:39" x14ac:dyDescent="0.35">
      <c r="A201" s="169"/>
      <c r="B201" s="120"/>
      <c r="C201" s="122" t="s">
        <v>638</v>
      </c>
      <c r="D201" s="122"/>
      <c r="E201" s="122" t="s">
        <v>639</v>
      </c>
      <c r="F201" s="122"/>
      <c r="G201" s="122" t="s">
        <v>640</v>
      </c>
      <c r="H201" s="122"/>
      <c r="I201" s="122" t="s">
        <v>641</v>
      </c>
      <c r="J201" s="122"/>
      <c r="K201" s="122" t="s">
        <v>642</v>
      </c>
      <c r="L201" s="122"/>
      <c r="M201" s="122" t="s">
        <v>643</v>
      </c>
      <c r="N201" s="122"/>
      <c r="O201" s="122" t="s">
        <v>644</v>
      </c>
      <c r="P201" s="122"/>
      <c r="Q201" s="122"/>
      <c r="R201" s="122"/>
      <c r="S201" s="122" t="s">
        <v>645</v>
      </c>
      <c r="T201" s="122"/>
      <c r="U201" s="122" t="s">
        <v>646</v>
      </c>
      <c r="V201" s="122"/>
      <c r="W201" s="122" t="s">
        <v>647</v>
      </c>
      <c r="X201" s="122"/>
      <c r="Y201" s="122" t="s">
        <v>648</v>
      </c>
      <c r="Z201" s="122"/>
      <c r="AA201" s="122" t="s">
        <v>649</v>
      </c>
      <c r="AB201" s="122"/>
      <c r="AC201" s="122" t="s">
        <v>650</v>
      </c>
      <c r="AD201" s="122"/>
      <c r="AE201" s="122" t="s">
        <v>651</v>
      </c>
      <c r="AF201" s="120"/>
      <c r="AG201" s="170"/>
      <c r="AH201" s="171"/>
      <c r="AI201" s="171"/>
      <c r="AJ201" s="172"/>
      <c r="AK201" s="48"/>
      <c r="AL201" s="48"/>
      <c r="AM201" s="48"/>
    </row>
    <row r="202" spans="1:39" x14ac:dyDescent="0.35">
      <c r="A202" s="173"/>
      <c r="B202" s="121"/>
      <c r="C202" s="121">
        <v>0</v>
      </c>
      <c r="D202" s="121"/>
      <c r="E202" s="121">
        <v>0</v>
      </c>
      <c r="F202" s="121"/>
      <c r="G202" s="121">
        <v>0</v>
      </c>
      <c r="H202" s="121"/>
      <c r="I202" s="121">
        <v>0</v>
      </c>
      <c r="J202" s="121"/>
      <c r="K202" s="121">
        <v>0</v>
      </c>
      <c r="L202" s="121"/>
      <c r="M202" s="121">
        <v>0</v>
      </c>
      <c r="N202" s="121"/>
      <c r="O202" s="121">
        <v>0</v>
      </c>
      <c r="P202" s="121"/>
      <c r="Q202" s="121"/>
      <c r="R202" s="121"/>
      <c r="S202" s="121">
        <v>0</v>
      </c>
      <c r="T202" s="121"/>
      <c r="U202" s="121">
        <v>0</v>
      </c>
      <c r="V202" s="121"/>
      <c r="W202" s="121">
        <v>0</v>
      </c>
      <c r="X202" s="121"/>
      <c r="Y202" s="121">
        <v>0</v>
      </c>
      <c r="Z202" s="121"/>
      <c r="AA202" s="121">
        <v>0</v>
      </c>
      <c r="AB202" s="121"/>
      <c r="AC202" s="121">
        <v>0</v>
      </c>
      <c r="AD202" s="121"/>
      <c r="AE202" s="121">
        <v>0</v>
      </c>
      <c r="AF202" s="120"/>
      <c r="AG202" s="174"/>
      <c r="AH202" s="175"/>
      <c r="AI202" s="176"/>
      <c r="AJ202" s="172"/>
      <c r="AK202" s="48"/>
      <c r="AL202" s="48"/>
      <c r="AM202" s="48"/>
    </row>
    <row r="203" spans="1:39" s="140" customFormat="1" ht="15" thickBot="1" x14ac:dyDescent="0.4">
      <c r="A203" s="177">
        <v>235</v>
      </c>
      <c r="B203" s="121"/>
      <c r="C203" s="121">
        <v>236</v>
      </c>
      <c r="D203" s="121"/>
      <c r="E203" s="121">
        <v>237</v>
      </c>
      <c r="F203" s="121"/>
      <c r="G203" s="121">
        <v>238</v>
      </c>
      <c r="H203" s="121"/>
      <c r="I203" s="121">
        <v>239</v>
      </c>
      <c r="J203" s="121"/>
      <c r="K203" s="121">
        <v>240</v>
      </c>
      <c r="L203" s="121"/>
      <c r="M203" s="121">
        <v>241</v>
      </c>
      <c r="N203" s="121"/>
      <c r="O203" s="121">
        <v>242</v>
      </c>
      <c r="P203" s="121"/>
      <c r="Q203" s="121"/>
      <c r="R203" s="121"/>
      <c r="S203" s="121">
        <v>243</v>
      </c>
      <c r="T203" s="121"/>
      <c r="U203" s="121">
        <v>244</v>
      </c>
      <c r="V203" s="121"/>
      <c r="W203" s="121">
        <v>245</v>
      </c>
      <c r="X203" s="121"/>
      <c r="Y203" s="121">
        <v>246</v>
      </c>
      <c r="Z203" s="121"/>
      <c r="AA203" s="121">
        <v>247</v>
      </c>
      <c r="AB203" s="121"/>
      <c r="AC203" s="121">
        <v>248</v>
      </c>
      <c r="AD203" s="121"/>
      <c r="AE203" s="121">
        <v>249</v>
      </c>
      <c r="AF203" s="121"/>
      <c r="AG203" s="174"/>
      <c r="AH203" s="175"/>
      <c r="AI203" s="178"/>
      <c r="AJ203" s="172"/>
      <c r="AK203" s="192"/>
      <c r="AL203" s="192"/>
      <c r="AM203" s="192"/>
    </row>
    <row r="204" spans="1:39" ht="15" thickBot="1" x14ac:dyDescent="0.4">
      <c r="A204" s="177"/>
      <c r="B204" s="143">
        <v>417</v>
      </c>
      <c r="C204" s="988"/>
      <c r="D204" s="143">
        <v>383</v>
      </c>
      <c r="E204" s="961" t="s">
        <v>400</v>
      </c>
      <c r="F204" s="143">
        <v>426</v>
      </c>
      <c r="G204" s="988"/>
      <c r="H204" s="143">
        <v>410.673</v>
      </c>
      <c r="I204" s="961" t="s">
        <v>418</v>
      </c>
      <c r="J204" s="143">
        <v>385.99700000000001</v>
      </c>
      <c r="K204" s="961" t="s">
        <v>454</v>
      </c>
      <c r="L204" s="143">
        <v>305</v>
      </c>
      <c r="M204" s="961" t="s">
        <v>454</v>
      </c>
      <c r="N204" s="143">
        <v>430.97</v>
      </c>
      <c r="O204" s="961" t="s">
        <v>399</v>
      </c>
      <c r="P204" s="137"/>
      <c r="Q204" s="143">
        <v>302.48899999999998</v>
      </c>
      <c r="R204" s="143"/>
      <c r="S204" s="961" t="s">
        <v>399</v>
      </c>
      <c r="T204" s="143">
        <v>352</v>
      </c>
      <c r="U204" s="961">
        <v>0</v>
      </c>
      <c r="V204" s="143">
        <v>370.99700000000001</v>
      </c>
      <c r="W204" s="988"/>
      <c r="X204" s="143">
        <v>402.00299999999999</v>
      </c>
      <c r="Y204" s="988"/>
      <c r="Z204" s="143">
        <v>398</v>
      </c>
      <c r="AA204" s="988"/>
      <c r="AB204" s="143">
        <v>420</v>
      </c>
      <c r="AC204" s="961" t="s">
        <v>400</v>
      </c>
      <c r="AD204" s="143">
        <v>400</v>
      </c>
      <c r="AE204" s="988"/>
      <c r="AF204" s="120"/>
      <c r="AG204" s="144">
        <v>8</v>
      </c>
      <c r="AH204" s="145">
        <v>1</v>
      </c>
      <c r="AI204" s="145">
        <v>0</v>
      </c>
      <c r="AJ204" s="180"/>
      <c r="AK204" s="48"/>
      <c r="AL204" s="48"/>
      <c r="AM204" s="48"/>
    </row>
    <row r="205" spans="1:39" ht="15" thickBot="1" x14ac:dyDescent="0.4">
      <c r="A205" s="177"/>
      <c r="B205" s="120"/>
      <c r="C205" s="1005"/>
      <c r="D205" s="120"/>
      <c r="E205" s="962"/>
      <c r="F205" s="120"/>
      <c r="G205" s="989"/>
      <c r="H205" s="120"/>
      <c r="I205" s="962"/>
      <c r="J205" s="120"/>
      <c r="K205" s="962"/>
      <c r="L205" s="120"/>
      <c r="M205" s="962"/>
      <c r="N205" s="120"/>
      <c r="O205" s="962"/>
      <c r="P205" s="137"/>
      <c r="Q205" s="137"/>
      <c r="R205" s="120"/>
      <c r="S205" s="962"/>
      <c r="T205" s="120"/>
      <c r="U205" s="962"/>
      <c r="V205" s="120"/>
      <c r="W205" s="989"/>
      <c r="X205" s="120"/>
      <c r="Y205" s="989"/>
      <c r="Z205" s="120"/>
      <c r="AA205" s="989"/>
      <c r="AB205" s="120"/>
      <c r="AC205" s="962"/>
      <c r="AD205" s="120"/>
      <c r="AE205" s="989"/>
      <c r="AF205" s="120"/>
      <c r="AG205" s="147"/>
      <c r="AH205" s="148"/>
      <c r="AI205" s="148"/>
      <c r="AJ205" s="172"/>
      <c r="AK205" s="48"/>
      <c r="AL205" s="48"/>
      <c r="AM205" s="48"/>
    </row>
    <row r="206" spans="1:39" ht="6" customHeight="1" x14ac:dyDescent="0.35">
      <c r="A206" s="177"/>
      <c r="B206" s="120"/>
      <c r="C206" s="150">
        <v>0</v>
      </c>
      <c r="D206" s="121"/>
      <c r="E206" s="150" t="s">
        <v>400</v>
      </c>
      <c r="F206" s="121"/>
      <c r="G206" s="150">
        <v>0</v>
      </c>
      <c r="H206" s="121"/>
      <c r="I206" s="150">
        <v>0</v>
      </c>
      <c r="J206" s="121"/>
      <c r="K206" s="150">
        <v>0</v>
      </c>
      <c r="L206" s="121"/>
      <c r="M206" s="150">
        <v>0</v>
      </c>
      <c r="N206" s="121"/>
      <c r="O206" s="150">
        <v>0</v>
      </c>
      <c r="P206" s="137"/>
      <c r="Q206" s="137"/>
      <c r="R206" s="121"/>
      <c r="S206" s="150">
        <v>0</v>
      </c>
      <c r="T206" s="121"/>
      <c r="U206" s="150">
        <v>0</v>
      </c>
      <c r="V206" s="121"/>
      <c r="W206" s="150">
        <v>0</v>
      </c>
      <c r="X206" s="121"/>
      <c r="Y206" s="150">
        <v>0</v>
      </c>
      <c r="Z206" s="121"/>
      <c r="AA206" s="150">
        <v>0</v>
      </c>
      <c r="AB206" s="121"/>
      <c r="AC206" s="150">
        <v>0</v>
      </c>
      <c r="AD206" s="123"/>
      <c r="AE206" s="150">
        <v>0</v>
      </c>
      <c r="AF206" s="120"/>
      <c r="AG206" s="147"/>
      <c r="AH206" s="148"/>
      <c r="AI206" s="148"/>
      <c r="AJ206" s="172"/>
      <c r="AK206" s="48"/>
      <c r="AL206" s="48"/>
      <c r="AM206" s="48"/>
    </row>
    <row r="207" spans="1:39" x14ac:dyDescent="0.35">
      <c r="A207" s="177"/>
      <c r="B207" s="120"/>
      <c r="C207" s="122" t="s">
        <v>126</v>
      </c>
      <c r="D207" s="120"/>
      <c r="E207" s="122" t="s">
        <v>142</v>
      </c>
      <c r="F207" s="120"/>
      <c r="G207" s="122" t="s">
        <v>137</v>
      </c>
      <c r="H207" s="120"/>
      <c r="I207" s="122" t="s">
        <v>360</v>
      </c>
      <c r="J207" s="120"/>
      <c r="K207" s="122" t="s">
        <v>142</v>
      </c>
      <c r="L207" s="120"/>
      <c r="M207" s="122" t="s">
        <v>142</v>
      </c>
      <c r="N207" s="120"/>
      <c r="O207" s="122" t="s">
        <v>353</v>
      </c>
      <c r="P207" s="122"/>
      <c r="Q207" s="122"/>
      <c r="R207" s="120"/>
      <c r="S207" s="122" t="s">
        <v>619</v>
      </c>
      <c r="T207" s="120"/>
      <c r="U207" s="122" t="s">
        <v>139</v>
      </c>
      <c r="V207" s="120"/>
      <c r="W207" s="122" t="s">
        <v>142</v>
      </c>
      <c r="X207" s="120"/>
      <c r="Y207" s="122" t="s">
        <v>126</v>
      </c>
      <c r="Z207" s="120"/>
      <c r="AA207" s="122" t="s">
        <v>142</v>
      </c>
      <c r="AB207" s="120"/>
      <c r="AC207" s="122" t="s">
        <v>137</v>
      </c>
      <c r="AD207" s="120"/>
      <c r="AE207" s="122" t="s">
        <v>126</v>
      </c>
      <c r="AF207" s="120"/>
      <c r="AG207" s="147"/>
      <c r="AH207" s="148"/>
      <c r="AI207" s="148"/>
      <c r="AJ207" s="172"/>
      <c r="AK207" s="48"/>
      <c r="AL207" s="48"/>
      <c r="AM207" s="48"/>
    </row>
    <row r="208" spans="1:39" s="155" customFormat="1" x14ac:dyDescent="0.35">
      <c r="A208" s="193"/>
      <c r="B208" s="194"/>
      <c r="C208" s="194"/>
      <c r="E208" s="153" t="s">
        <v>403</v>
      </c>
      <c r="G208" s="153">
        <v>0</v>
      </c>
      <c r="H208" s="152"/>
      <c r="I208" s="153">
        <v>0</v>
      </c>
      <c r="K208" s="153"/>
      <c r="M208" s="152"/>
      <c r="N208" s="152"/>
      <c r="O208" s="152"/>
      <c r="P208" s="152"/>
      <c r="Q208" s="152"/>
      <c r="S208" s="152"/>
      <c r="T208" s="152"/>
      <c r="U208" s="152"/>
      <c r="V208" s="152"/>
      <c r="W208" s="152"/>
      <c r="X208" s="152"/>
      <c r="Y208" s="153">
        <v>0</v>
      </c>
      <c r="AA208" s="153">
        <v>0</v>
      </c>
      <c r="AB208" s="152"/>
      <c r="AC208" s="153" t="s">
        <v>403</v>
      </c>
      <c r="AD208" s="152"/>
      <c r="AE208" s="153" t="s">
        <v>403</v>
      </c>
      <c r="AF208" s="152"/>
      <c r="AG208" s="147"/>
      <c r="AH208" s="148"/>
      <c r="AI208" s="148"/>
      <c r="AJ208" s="182"/>
      <c r="AK208" s="49"/>
      <c r="AL208" s="49"/>
      <c r="AM208" s="49"/>
    </row>
    <row r="209" spans="1:39" s="155" customFormat="1" ht="15" thickBot="1" x14ac:dyDescent="0.4">
      <c r="A209" s="193"/>
      <c r="B209" s="194"/>
      <c r="C209" s="291" t="s">
        <v>634</v>
      </c>
      <c r="E209" s="289"/>
      <c r="G209" s="291" t="s">
        <v>634</v>
      </c>
      <c r="H209" s="152"/>
      <c r="I209" s="291" t="s">
        <v>634</v>
      </c>
      <c r="K209" s="153"/>
      <c r="M209" s="152"/>
      <c r="N209" s="152"/>
      <c r="O209" s="152"/>
      <c r="P209" s="152"/>
      <c r="Q209" s="152"/>
      <c r="S209" s="152"/>
      <c r="T209" s="152"/>
      <c r="U209" s="152"/>
      <c r="V209" s="152"/>
      <c r="W209" s="184" t="s">
        <v>652</v>
      </c>
      <c r="X209" s="152"/>
      <c r="Y209" s="184" t="s">
        <v>652</v>
      </c>
      <c r="AA209" s="184" t="s">
        <v>652</v>
      </c>
      <c r="AB209" s="152"/>
      <c r="AC209" s="153"/>
      <c r="AD209" s="152"/>
      <c r="AE209" s="184" t="s">
        <v>653</v>
      </c>
      <c r="AF209" s="152"/>
      <c r="AG209" s="147"/>
      <c r="AH209" s="148"/>
      <c r="AI209" s="148"/>
      <c r="AJ209" s="182"/>
      <c r="AK209" s="49"/>
      <c r="AL209" s="49"/>
      <c r="AM209" s="49"/>
    </row>
    <row r="210" spans="1:39" s="155" customFormat="1" ht="15" thickBot="1" x14ac:dyDescent="0.4">
      <c r="A210" s="292"/>
      <c r="B210" s="1019" t="s">
        <v>562</v>
      </c>
      <c r="C210" s="1020"/>
      <c r="D210" s="1020"/>
      <c r="E210" s="1020"/>
      <c r="F210" s="1020"/>
      <c r="G210" s="1020"/>
      <c r="H210" s="1020"/>
      <c r="I210" s="1020"/>
      <c r="J210" s="1020"/>
      <c r="K210" s="1020"/>
      <c r="L210" s="1020"/>
      <c r="M210" s="1020"/>
      <c r="N210" s="1020"/>
      <c r="O210" s="1020"/>
      <c r="P210" s="1020"/>
      <c r="Q210" s="1020"/>
      <c r="R210" s="1020"/>
      <c r="S210" s="1020"/>
      <c r="T210" s="1020"/>
      <c r="U210" s="1020"/>
      <c r="V210" s="1020"/>
      <c r="W210" s="1020"/>
      <c r="X210" s="1020"/>
      <c r="Y210" s="1020"/>
      <c r="Z210" s="1020"/>
      <c r="AA210" s="1020"/>
      <c r="AB210" s="1020"/>
      <c r="AC210" s="1020"/>
      <c r="AD210" s="1020"/>
      <c r="AE210" s="1021"/>
      <c r="AF210" s="290"/>
      <c r="AG210" s="188"/>
      <c r="AH210" s="189"/>
      <c r="AI210" s="189"/>
      <c r="AJ210" s="190"/>
      <c r="AK210" s="49"/>
      <c r="AL210" s="49"/>
      <c r="AM210" s="49"/>
    </row>
    <row r="211" spans="1:39" x14ac:dyDescent="0.35">
      <c r="A211" s="156"/>
      <c r="B211" s="157"/>
      <c r="C211" s="158"/>
      <c r="D211" s="157"/>
      <c r="E211" s="158"/>
      <c r="F211" s="157"/>
      <c r="G211" s="293" t="s">
        <v>654</v>
      </c>
      <c r="H211" s="159"/>
      <c r="I211" s="158"/>
      <c r="J211" s="157"/>
      <c r="K211" s="160"/>
      <c r="L211" s="157"/>
      <c r="M211" s="158"/>
      <c r="N211" s="157"/>
      <c r="O211" s="158"/>
      <c r="P211" s="158"/>
      <c r="Q211" s="158"/>
      <c r="R211" s="157"/>
      <c r="S211" s="160"/>
      <c r="T211" s="157"/>
      <c r="U211" s="158"/>
      <c r="V211" s="157"/>
      <c r="W211" s="158"/>
      <c r="X211" s="157"/>
      <c r="Y211" s="158"/>
      <c r="Z211" s="157"/>
      <c r="AA211" s="158"/>
      <c r="AB211" s="157"/>
      <c r="AC211" s="158"/>
      <c r="AD211" s="157"/>
      <c r="AE211" s="158"/>
      <c r="AF211" s="157"/>
      <c r="AG211" s="166"/>
      <c r="AH211" s="167"/>
      <c r="AI211" s="167"/>
      <c r="AJ211" s="168"/>
      <c r="AK211" s="48"/>
      <c r="AL211" s="48"/>
      <c r="AM211" s="48"/>
    </row>
    <row r="212" spans="1:39" x14ac:dyDescent="0.35">
      <c r="A212" s="169"/>
      <c r="B212" s="120"/>
      <c r="C212" s="122" t="s">
        <v>655</v>
      </c>
      <c r="D212" s="122"/>
      <c r="E212" s="122" t="s">
        <v>656</v>
      </c>
      <c r="F212" s="122"/>
      <c r="G212" s="122" t="s">
        <v>175</v>
      </c>
      <c r="H212" s="122"/>
      <c r="I212" s="122" t="s">
        <v>657</v>
      </c>
      <c r="J212" s="122"/>
      <c r="K212" s="122" t="s">
        <v>179</v>
      </c>
      <c r="L212" s="122"/>
      <c r="M212" s="122" t="s">
        <v>658</v>
      </c>
      <c r="N212" s="122"/>
      <c r="O212" s="122" t="s">
        <v>659</v>
      </c>
      <c r="P212" s="122"/>
      <c r="Q212" s="122"/>
      <c r="R212" s="122"/>
      <c r="S212" s="122" t="s">
        <v>660</v>
      </c>
      <c r="T212" s="122"/>
      <c r="U212" s="122" t="s">
        <v>661</v>
      </c>
      <c r="V212" s="122"/>
      <c r="W212" s="122" t="s">
        <v>662</v>
      </c>
      <c r="X212" s="122"/>
      <c r="Y212" s="122" t="s">
        <v>663</v>
      </c>
      <c r="Z212" s="122"/>
      <c r="AA212" s="122" t="s">
        <v>664</v>
      </c>
      <c r="AB212" s="122"/>
      <c r="AC212" s="122" t="s">
        <v>665</v>
      </c>
      <c r="AD212" s="122"/>
      <c r="AE212" s="122" t="s">
        <v>666</v>
      </c>
      <c r="AF212" s="120"/>
      <c r="AG212" s="170"/>
      <c r="AH212" s="171"/>
      <c r="AI212" s="171"/>
      <c r="AJ212" s="172"/>
      <c r="AK212" s="48"/>
      <c r="AL212" s="48"/>
      <c r="AM212" s="48"/>
    </row>
    <row r="213" spans="1:39" x14ac:dyDescent="0.35">
      <c r="A213" s="173"/>
      <c r="B213" s="121"/>
      <c r="C213" s="121">
        <v>0</v>
      </c>
      <c r="D213" s="121"/>
      <c r="E213" s="121">
        <v>0</v>
      </c>
      <c r="F213" s="121"/>
      <c r="G213" s="121">
        <v>0</v>
      </c>
      <c r="H213" s="121"/>
      <c r="I213" s="121">
        <v>0</v>
      </c>
      <c r="J213" s="121"/>
      <c r="K213" s="121">
        <v>0</v>
      </c>
      <c r="L213" s="121"/>
      <c r="M213" s="121">
        <v>0</v>
      </c>
      <c r="N213" s="121"/>
      <c r="O213" s="121">
        <v>0</v>
      </c>
      <c r="P213" s="121"/>
      <c r="Q213" s="121"/>
      <c r="R213" s="121"/>
      <c r="S213" s="121">
        <v>0</v>
      </c>
      <c r="T213" s="121"/>
      <c r="U213" s="121">
        <v>0</v>
      </c>
      <c r="V213" s="121"/>
      <c r="W213" s="121">
        <v>0</v>
      </c>
      <c r="X213" s="121"/>
      <c r="Y213" s="121">
        <v>0</v>
      </c>
      <c r="Z213" s="121"/>
      <c r="AA213" s="121">
        <v>0</v>
      </c>
      <c r="AB213" s="121"/>
      <c r="AC213" s="121">
        <v>0</v>
      </c>
      <c r="AD213" s="121"/>
      <c r="AE213" s="121">
        <v>0</v>
      </c>
      <c r="AF213" s="120"/>
      <c r="AG213" s="174"/>
      <c r="AH213" s="175"/>
      <c r="AI213" s="176"/>
      <c r="AJ213" s="172"/>
      <c r="AK213" s="48"/>
      <c r="AL213" s="48"/>
      <c r="AM213" s="48"/>
    </row>
    <row r="214" spans="1:39" s="140" customFormat="1" ht="15" thickBot="1" x14ac:dyDescent="0.4">
      <c r="A214" s="177">
        <v>249</v>
      </c>
      <c r="B214" s="121"/>
      <c r="C214" s="121">
        <v>250</v>
      </c>
      <c r="D214" s="121"/>
      <c r="E214" s="121">
        <v>251</v>
      </c>
      <c r="F214" s="121"/>
      <c r="G214" s="121">
        <v>252</v>
      </c>
      <c r="H214" s="121"/>
      <c r="I214" s="121">
        <v>253</v>
      </c>
      <c r="J214" s="121"/>
      <c r="K214" s="121">
        <v>254</v>
      </c>
      <c r="L214" s="121"/>
      <c r="M214" s="121">
        <v>255</v>
      </c>
      <c r="N214" s="121"/>
      <c r="O214" s="121">
        <v>256</v>
      </c>
      <c r="P214" s="121"/>
      <c r="Q214" s="121"/>
      <c r="R214" s="121"/>
      <c r="S214" s="121">
        <v>257</v>
      </c>
      <c r="T214" s="121"/>
      <c r="U214" s="121">
        <v>258</v>
      </c>
      <c r="V214" s="121"/>
      <c r="W214" s="121">
        <v>259</v>
      </c>
      <c r="X214" s="121"/>
      <c r="Y214" s="121">
        <v>260</v>
      </c>
      <c r="Z214" s="121"/>
      <c r="AA214" s="121">
        <v>261</v>
      </c>
      <c r="AB214" s="121"/>
      <c r="AC214" s="121">
        <v>262</v>
      </c>
      <c r="AD214" s="121"/>
      <c r="AE214" s="121">
        <v>263</v>
      </c>
      <c r="AF214" s="121"/>
      <c r="AG214" s="174"/>
      <c r="AH214" s="175"/>
      <c r="AI214" s="178"/>
      <c r="AJ214" s="172"/>
      <c r="AK214" s="192"/>
      <c r="AL214" s="192"/>
      <c r="AM214" s="192"/>
    </row>
    <row r="215" spans="1:39" ht="15" thickBot="1" x14ac:dyDescent="0.4">
      <c r="A215" s="177"/>
      <c r="B215" s="143">
        <v>419.99700000000001</v>
      </c>
      <c r="C215" s="988"/>
      <c r="D215" s="143">
        <v>417.00299999999999</v>
      </c>
      <c r="E215" s="980" t="s">
        <v>418</v>
      </c>
      <c r="F215" s="143">
        <v>422.12</v>
      </c>
      <c r="G215" s="1022" t="s">
        <v>667</v>
      </c>
      <c r="H215" s="143">
        <v>277.7</v>
      </c>
      <c r="I215" s="980" t="s">
        <v>418</v>
      </c>
      <c r="J215" s="143">
        <v>384.58</v>
      </c>
      <c r="K215" s="961"/>
      <c r="L215" s="143">
        <v>413.93</v>
      </c>
      <c r="M215" s="980" t="s">
        <v>418</v>
      </c>
      <c r="N215" s="143">
        <v>387.12</v>
      </c>
      <c r="O215" s="988"/>
      <c r="P215" s="137"/>
      <c r="Q215" s="143">
        <v>341.06</v>
      </c>
      <c r="R215" s="143"/>
      <c r="S215" s="980" t="s">
        <v>418</v>
      </c>
      <c r="T215" s="143">
        <v>320.95</v>
      </c>
      <c r="U215" s="988"/>
      <c r="V215" s="143">
        <v>330.56</v>
      </c>
      <c r="W215" s="980" t="s">
        <v>418</v>
      </c>
      <c r="X215" s="143">
        <v>314</v>
      </c>
      <c r="Y215" s="961">
        <v>0</v>
      </c>
      <c r="Z215" s="143">
        <v>341.99900000000002</v>
      </c>
      <c r="AA215" s="961">
        <v>0</v>
      </c>
      <c r="AB215" s="143">
        <v>374.00099999999998</v>
      </c>
      <c r="AC215" s="980" t="s">
        <v>418</v>
      </c>
      <c r="AD215" s="143">
        <v>344</v>
      </c>
      <c r="AE215" s="988"/>
      <c r="AF215" s="120"/>
      <c r="AG215" s="144">
        <v>4</v>
      </c>
      <c r="AH215" s="145">
        <v>0</v>
      </c>
      <c r="AI215" s="145">
        <v>0</v>
      </c>
      <c r="AJ215" s="180"/>
      <c r="AK215" s="48"/>
      <c r="AL215" s="48"/>
      <c r="AM215" s="48"/>
    </row>
    <row r="216" spans="1:39" x14ac:dyDescent="0.35">
      <c r="A216" s="177"/>
      <c r="B216" s="120"/>
      <c r="C216" s="989"/>
      <c r="D216" s="120"/>
      <c r="E216" s="981"/>
      <c r="F216" s="120"/>
      <c r="G216" s="1023"/>
      <c r="H216" s="120"/>
      <c r="I216" s="981"/>
      <c r="J216" s="120"/>
      <c r="K216" s="962"/>
      <c r="L216" s="120"/>
      <c r="M216" s="981"/>
      <c r="N216" s="120"/>
      <c r="O216" s="989"/>
      <c r="P216" s="137"/>
      <c r="Q216" s="137"/>
      <c r="R216" s="120"/>
      <c r="S216" s="981"/>
      <c r="T216" s="120"/>
      <c r="U216" s="989"/>
      <c r="V216" s="120"/>
      <c r="W216" s="981"/>
      <c r="X216" s="120"/>
      <c r="Y216" s="962"/>
      <c r="Z216" s="120"/>
      <c r="AA216" s="962"/>
      <c r="AB216" s="120"/>
      <c r="AC216" s="981"/>
      <c r="AD216" s="120"/>
      <c r="AE216" s="989"/>
      <c r="AF216" s="120"/>
      <c r="AG216" s="147"/>
      <c r="AH216" s="148"/>
      <c r="AI216" s="148"/>
      <c r="AJ216" s="172"/>
      <c r="AK216" s="48"/>
      <c r="AL216" s="48"/>
      <c r="AM216" s="48"/>
    </row>
    <row r="217" spans="1:39" ht="6" customHeight="1" x14ac:dyDescent="0.35">
      <c r="A217" s="177"/>
      <c r="B217" s="120"/>
      <c r="C217" s="150">
        <v>0</v>
      </c>
      <c r="D217" s="121"/>
      <c r="E217" s="150">
        <v>0</v>
      </c>
      <c r="F217" s="121"/>
      <c r="G217" s="150">
        <v>0</v>
      </c>
      <c r="H217" s="121"/>
      <c r="I217" s="150">
        <v>0</v>
      </c>
      <c r="J217" s="121"/>
      <c r="K217" s="150">
        <v>0</v>
      </c>
      <c r="L217" s="121"/>
      <c r="M217" s="150">
        <v>0</v>
      </c>
      <c r="N217" s="121"/>
      <c r="O217" s="150">
        <v>0</v>
      </c>
      <c r="P217" s="137"/>
      <c r="Q217" s="137"/>
      <c r="R217" s="121"/>
      <c r="S217" s="150">
        <v>0</v>
      </c>
      <c r="T217" s="121"/>
      <c r="U217" s="150">
        <v>0</v>
      </c>
      <c r="V217" s="121"/>
      <c r="W217" s="150">
        <v>0</v>
      </c>
      <c r="X217" s="121"/>
      <c r="Y217" s="150">
        <v>0</v>
      </c>
      <c r="Z217" s="121"/>
      <c r="AA217" s="150">
        <v>0</v>
      </c>
      <c r="AB217" s="121"/>
      <c r="AC217" s="150">
        <v>0</v>
      </c>
      <c r="AD217" s="123"/>
      <c r="AE217" s="150">
        <v>0</v>
      </c>
      <c r="AF217" s="120"/>
      <c r="AG217" s="147"/>
      <c r="AH217" s="148"/>
      <c r="AI217" s="148"/>
      <c r="AJ217" s="172"/>
      <c r="AK217" s="48"/>
      <c r="AL217" s="48"/>
      <c r="AM217" s="48"/>
    </row>
    <row r="218" spans="1:39" x14ac:dyDescent="0.35">
      <c r="A218" s="177"/>
      <c r="B218" s="120"/>
      <c r="C218" s="122" t="s">
        <v>126</v>
      </c>
      <c r="D218" s="120"/>
      <c r="E218" s="122" t="s">
        <v>137</v>
      </c>
      <c r="F218" s="120"/>
      <c r="G218" s="294" t="s">
        <v>349</v>
      </c>
      <c r="H218" s="295"/>
      <c r="I218" s="294" t="s">
        <v>137</v>
      </c>
      <c r="J218" s="295"/>
      <c r="K218" s="294" t="s">
        <v>142</v>
      </c>
      <c r="L218" s="295"/>
      <c r="M218" s="294" t="s">
        <v>142</v>
      </c>
      <c r="N218" s="295"/>
      <c r="O218" s="294" t="s">
        <v>161</v>
      </c>
      <c r="P218" s="294"/>
      <c r="Q218" s="294"/>
      <c r="R218" s="295"/>
      <c r="S218" s="294" t="s">
        <v>161</v>
      </c>
      <c r="T218" s="295"/>
      <c r="U218" s="294" t="s">
        <v>161</v>
      </c>
      <c r="V218" s="295"/>
      <c r="W218" s="294" t="s">
        <v>151</v>
      </c>
      <c r="X218" s="120"/>
      <c r="Y218" s="122" t="s">
        <v>161</v>
      </c>
      <c r="Z218" s="120"/>
      <c r="AA218" s="122" t="s">
        <v>142</v>
      </c>
      <c r="AB218" s="120"/>
      <c r="AC218" s="122" t="s">
        <v>142</v>
      </c>
      <c r="AD218" s="120"/>
      <c r="AE218" s="122" t="s">
        <v>126</v>
      </c>
      <c r="AF218" s="120"/>
      <c r="AG218" s="147"/>
      <c r="AH218" s="148"/>
      <c r="AI218" s="148"/>
      <c r="AJ218" s="172"/>
      <c r="AK218" s="48"/>
      <c r="AL218" s="48"/>
      <c r="AM218" s="48"/>
    </row>
    <row r="219" spans="1:39" s="155" customFormat="1" ht="12" customHeight="1" x14ac:dyDescent="0.35">
      <c r="A219" s="193"/>
      <c r="B219" s="194"/>
      <c r="C219" s="153">
        <v>0</v>
      </c>
      <c r="D219" s="152"/>
      <c r="E219" s="152"/>
      <c r="F219" s="152"/>
      <c r="G219" s="1024" t="s">
        <v>668</v>
      </c>
      <c r="H219" s="1024"/>
      <c r="I219" s="1024"/>
      <c r="J219" s="1024"/>
      <c r="K219" s="1024"/>
      <c r="L219" s="1024"/>
      <c r="M219" s="1024"/>
      <c r="N219" s="1024"/>
      <c r="O219" s="1024"/>
      <c r="P219" s="1024"/>
      <c r="Q219" s="1024"/>
      <c r="R219" s="1024"/>
      <c r="S219" s="1024"/>
      <c r="T219" s="1024"/>
      <c r="U219" s="1024"/>
      <c r="V219" s="1024"/>
      <c r="W219" s="1024"/>
      <c r="X219" s="128"/>
      <c r="Y219" s="151"/>
      <c r="Z219" s="128"/>
      <c r="AA219" s="151"/>
      <c r="AB219" s="128"/>
      <c r="AC219" s="184" t="s">
        <v>669</v>
      </c>
      <c r="AD219" s="128"/>
      <c r="AE219" s="184" t="s">
        <v>669</v>
      </c>
      <c r="AF219" s="128"/>
      <c r="AG219" s="147"/>
      <c r="AH219" s="148"/>
      <c r="AI219" s="148"/>
      <c r="AJ219" s="182"/>
      <c r="AK219" s="49"/>
      <c r="AL219" s="49"/>
      <c r="AM219" s="49"/>
    </row>
    <row r="220" spans="1:39" s="155" customFormat="1" ht="12" customHeight="1" thickBot="1" x14ac:dyDescent="0.4">
      <c r="A220" s="193"/>
      <c r="B220" s="194"/>
      <c r="C220" s="184" t="s">
        <v>653</v>
      </c>
      <c r="D220" s="152"/>
      <c r="E220" s="184" t="s">
        <v>653</v>
      </c>
      <c r="F220" s="152"/>
      <c r="G220" s="152"/>
      <c r="H220" s="152"/>
      <c r="I220" s="184" t="s">
        <v>652</v>
      </c>
      <c r="J220" s="128"/>
      <c r="K220" s="151"/>
      <c r="L220" s="128"/>
      <c r="M220" s="184" t="s">
        <v>652</v>
      </c>
      <c r="N220" s="128"/>
      <c r="O220" s="291" t="s">
        <v>634</v>
      </c>
      <c r="P220" s="151"/>
      <c r="Q220" s="151"/>
      <c r="R220" s="128"/>
      <c r="S220" s="291" t="s">
        <v>634</v>
      </c>
      <c r="T220" s="128"/>
      <c r="U220" s="291" t="s">
        <v>634</v>
      </c>
      <c r="V220" s="128"/>
      <c r="W220" s="291" t="s">
        <v>634</v>
      </c>
      <c r="X220" s="128"/>
      <c r="Y220" s="151"/>
      <c r="Z220" s="128"/>
      <c r="AA220" s="151"/>
      <c r="AB220" s="128"/>
      <c r="AC220" s="151"/>
      <c r="AD220" s="128"/>
      <c r="AE220" s="151"/>
      <c r="AF220" s="128"/>
      <c r="AG220" s="147"/>
      <c r="AH220" s="148"/>
      <c r="AI220" s="148"/>
      <c r="AJ220" s="182"/>
      <c r="AK220" s="49"/>
      <c r="AL220" s="49"/>
      <c r="AM220" s="49"/>
    </row>
    <row r="221" spans="1:39" s="155" customFormat="1" ht="15.75" customHeight="1" thickBot="1" x14ac:dyDescent="0.4">
      <c r="A221" s="292"/>
      <c r="B221" s="1019" t="s">
        <v>562</v>
      </c>
      <c r="C221" s="1020"/>
      <c r="D221" s="1020"/>
      <c r="E221" s="1020"/>
      <c r="F221" s="1020"/>
      <c r="G221" s="1020"/>
      <c r="H221" s="1020"/>
      <c r="I221" s="1020"/>
      <c r="J221" s="1020"/>
      <c r="K221" s="1020"/>
      <c r="L221" s="1020"/>
      <c r="M221" s="1020"/>
      <c r="N221" s="1020"/>
      <c r="O221" s="1020"/>
      <c r="P221" s="1020"/>
      <c r="Q221" s="1020"/>
      <c r="R221" s="1020"/>
      <c r="S221" s="1020"/>
      <c r="T221" s="1020"/>
      <c r="U221" s="1020"/>
      <c r="V221" s="1020"/>
      <c r="W221" s="1020"/>
      <c r="X221" s="1020"/>
      <c r="Y221" s="1020"/>
      <c r="Z221" s="1020"/>
      <c r="AA221" s="1020"/>
      <c r="AB221" s="1020"/>
      <c r="AC221" s="1020"/>
      <c r="AD221" s="1020"/>
      <c r="AE221" s="1021"/>
      <c r="AF221" s="187"/>
      <c r="AG221" s="188"/>
      <c r="AH221" s="189"/>
      <c r="AI221" s="189"/>
      <c r="AJ221" s="190"/>
      <c r="AK221" s="49"/>
      <c r="AL221" s="49"/>
      <c r="AM221" s="49"/>
    </row>
    <row r="222" spans="1:39" x14ac:dyDescent="0.35">
      <c r="A222" s="156"/>
      <c r="B222" s="157"/>
      <c r="C222" s="158"/>
      <c r="D222" s="157"/>
      <c r="E222" s="158"/>
      <c r="F222" s="157"/>
      <c r="G222" s="158"/>
      <c r="H222" s="159"/>
      <c r="I222" s="158"/>
      <c r="J222" s="157"/>
      <c r="K222" s="160"/>
      <c r="L222" s="163"/>
      <c r="M222" s="158"/>
      <c r="N222" s="157"/>
      <c r="O222" s="158"/>
      <c r="P222" s="158"/>
      <c r="Q222" s="158"/>
      <c r="R222" s="157"/>
      <c r="S222" s="160"/>
      <c r="T222" s="157"/>
      <c r="U222" s="158"/>
      <c r="V222" s="163"/>
      <c r="W222" s="158"/>
      <c r="X222" s="157"/>
      <c r="Y222" s="158"/>
      <c r="Z222" s="157"/>
      <c r="AA222" s="158"/>
      <c r="AB222" s="163" t="s">
        <v>469</v>
      </c>
      <c r="AC222" s="158"/>
      <c r="AD222" s="157"/>
      <c r="AE222" s="158"/>
      <c r="AF222" s="157"/>
      <c r="AG222" s="166"/>
      <c r="AH222" s="167"/>
      <c r="AI222" s="167"/>
      <c r="AJ222" s="168"/>
      <c r="AK222" s="48"/>
      <c r="AL222" s="48"/>
      <c r="AM222" s="48"/>
    </row>
    <row r="223" spans="1:39" x14ac:dyDescent="0.35">
      <c r="A223" s="169"/>
      <c r="B223" s="120"/>
      <c r="C223" s="122" t="s">
        <v>670</v>
      </c>
      <c r="D223" s="122"/>
      <c r="E223" s="122" t="s">
        <v>671</v>
      </c>
      <c r="F223" s="122"/>
      <c r="G223" s="122" t="s">
        <v>672</v>
      </c>
      <c r="H223" s="122"/>
      <c r="I223" s="122" t="s">
        <v>673</v>
      </c>
      <c r="J223" s="122"/>
      <c r="K223" s="122" t="s">
        <v>674</v>
      </c>
      <c r="L223" s="122"/>
      <c r="M223" s="122" t="s">
        <v>675</v>
      </c>
      <c r="N223" s="122"/>
      <c r="O223" s="122" t="s">
        <v>676</v>
      </c>
      <c r="P223" s="122"/>
      <c r="Q223" s="122"/>
      <c r="R223" s="122"/>
      <c r="S223" s="122" t="s">
        <v>677</v>
      </c>
      <c r="T223" s="122"/>
      <c r="U223" s="122" t="s">
        <v>678</v>
      </c>
      <c r="V223" s="122"/>
      <c r="W223" s="122" t="s">
        <v>679</v>
      </c>
      <c r="X223" s="122"/>
      <c r="Y223" s="122" t="s">
        <v>680</v>
      </c>
      <c r="Z223" s="122"/>
      <c r="AA223" s="122" t="s">
        <v>681</v>
      </c>
      <c r="AB223" s="122"/>
      <c r="AC223" s="122" t="s">
        <v>682</v>
      </c>
      <c r="AD223" s="122"/>
      <c r="AE223" s="122" t="s">
        <v>683</v>
      </c>
      <c r="AF223" s="120"/>
      <c r="AG223" s="170"/>
      <c r="AH223" s="171"/>
      <c r="AI223" s="171"/>
      <c r="AJ223" s="172"/>
      <c r="AK223" s="48"/>
      <c r="AL223" s="48"/>
      <c r="AM223" s="48"/>
    </row>
    <row r="224" spans="1:39" x14ac:dyDescent="0.35">
      <c r="A224" s="173"/>
      <c r="B224" s="121"/>
      <c r="C224" s="121">
        <v>0</v>
      </c>
      <c r="D224" s="121"/>
      <c r="E224" s="121">
        <v>0</v>
      </c>
      <c r="F224" s="121"/>
      <c r="G224" s="121">
        <v>0</v>
      </c>
      <c r="H224" s="121"/>
      <c r="I224" s="121">
        <v>0</v>
      </c>
      <c r="J224" s="121"/>
      <c r="K224" s="121">
        <v>0</v>
      </c>
      <c r="L224" s="121"/>
      <c r="M224" s="121">
        <v>0</v>
      </c>
      <c r="N224" s="121"/>
      <c r="O224" s="121">
        <v>0</v>
      </c>
      <c r="P224" s="121"/>
      <c r="Q224" s="121"/>
      <c r="R224" s="121"/>
      <c r="S224" s="121">
        <v>0</v>
      </c>
      <c r="T224" s="121"/>
      <c r="U224" s="121">
        <v>0</v>
      </c>
      <c r="V224" s="121"/>
      <c r="W224" s="121">
        <v>0</v>
      </c>
      <c r="X224" s="121"/>
      <c r="Y224" s="121">
        <v>0</v>
      </c>
      <c r="Z224" s="121"/>
      <c r="AA224" s="121">
        <v>0</v>
      </c>
      <c r="AB224" s="121"/>
      <c r="AC224" s="121">
        <v>0</v>
      </c>
      <c r="AD224" s="121"/>
      <c r="AE224" s="121">
        <v>0</v>
      </c>
      <c r="AF224" s="120"/>
      <c r="AG224" s="174"/>
      <c r="AH224" s="175"/>
      <c r="AI224" s="176"/>
      <c r="AJ224" s="172"/>
      <c r="AK224" s="48"/>
      <c r="AL224" s="48"/>
      <c r="AM224" s="48"/>
    </row>
    <row r="225" spans="1:39" s="140" customFormat="1" ht="15" thickBot="1" x14ac:dyDescent="0.4">
      <c r="A225" s="177">
        <v>263</v>
      </c>
      <c r="B225" s="121"/>
      <c r="C225" s="121">
        <v>264</v>
      </c>
      <c r="D225" s="121"/>
      <c r="E225" s="121">
        <v>265</v>
      </c>
      <c r="F225" s="121"/>
      <c r="G225" s="121">
        <v>266</v>
      </c>
      <c r="H225" s="121"/>
      <c r="I225" s="121">
        <v>267</v>
      </c>
      <c r="J225" s="121"/>
      <c r="K225" s="121">
        <v>268</v>
      </c>
      <c r="L225" s="121"/>
      <c r="M225" s="121">
        <v>269</v>
      </c>
      <c r="N225" s="121"/>
      <c r="O225" s="121">
        <v>270</v>
      </c>
      <c r="P225" s="121"/>
      <c r="Q225" s="121"/>
      <c r="R225" s="121"/>
      <c r="S225" s="121">
        <v>271</v>
      </c>
      <c r="T225" s="121"/>
      <c r="U225" s="121">
        <v>272</v>
      </c>
      <c r="V225" s="121"/>
      <c r="W225" s="121">
        <v>273</v>
      </c>
      <c r="X225" s="121"/>
      <c r="Y225" s="121">
        <v>274</v>
      </c>
      <c r="Z225" s="121"/>
      <c r="AA225" s="121">
        <v>275</v>
      </c>
      <c r="AB225" s="121"/>
      <c r="AC225" s="121">
        <v>276</v>
      </c>
      <c r="AD225" s="121"/>
      <c r="AE225" s="121">
        <v>277</v>
      </c>
      <c r="AF225" s="121"/>
      <c r="AG225" s="174"/>
      <c r="AH225" s="175"/>
      <c r="AI225" s="178"/>
      <c r="AJ225" s="172"/>
      <c r="AK225" s="192"/>
      <c r="AL225" s="192"/>
      <c r="AM225" s="192"/>
    </row>
    <row r="226" spans="1:39" ht="15" thickBot="1" x14ac:dyDescent="0.4">
      <c r="A226" s="177"/>
      <c r="B226" s="143">
        <v>394</v>
      </c>
      <c r="C226" s="988"/>
      <c r="D226" s="143">
        <v>355</v>
      </c>
      <c r="E226" s="988"/>
      <c r="F226" s="143">
        <v>349</v>
      </c>
      <c r="G226" s="961" t="s">
        <v>418</v>
      </c>
      <c r="H226" s="143">
        <v>367</v>
      </c>
      <c r="I226" s="988"/>
      <c r="J226" s="143">
        <v>390</v>
      </c>
      <c r="K226" s="961" t="s">
        <v>418</v>
      </c>
      <c r="L226" s="143">
        <v>388.87400000000002</v>
      </c>
      <c r="M226" s="961">
        <v>0</v>
      </c>
      <c r="N226" s="143">
        <v>359.99599999999998</v>
      </c>
      <c r="O226" s="961">
        <v>0</v>
      </c>
      <c r="P226" s="137"/>
      <c r="Q226" s="143">
        <v>372</v>
      </c>
      <c r="R226" s="143"/>
      <c r="S226" s="961">
        <v>0</v>
      </c>
      <c r="T226" s="143">
        <v>388</v>
      </c>
      <c r="U226" s="961">
        <v>0</v>
      </c>
      <c r="V226" s="143">
        <v>378</v>
      </c>
      <c r="W226" s="980" t="s">
        <v>418</v>
      </c>
      <c r="X226" s="143">
        <v>284</v>
      </c>
      <c r="Y226" s="980" t="s">
        <v>418</v>
      </c>
      <c r="Z226" s="143">
        <v>304.53500000000003</v>
      </c>
      <c r="AA226" s="961" t="s">
        <v>399</v>
      </c>
      <c r="AB226" s="143">
        <v>212.96100000000001</v>
      </c>
      <c r="AC226" s="961" t="s">
        <v>399</v>
      </c>
      <c r="AD226" s="143">
        <v>368.00400000000002</v>
      </c>
      <c r="AE226" s="980" t="s">
        <v>418</v>
      </c>
      <c r="AF226" s="120"/>
      <c r="AG226" s="144">
        <v>3</v>
      </c>
      <c r="AH226" s="145">
        <v>0</v>
      </c>
      <c r="AI226" s="145">
        <v>0</v>
      </c>
      <c r="AJ226" s="180"/>
      <c r="AK226" s="48"/>
      <c r="AL226" s="48"/>
      <c r="AM226" s="48"/>
    </row>
    <row r="227" spans="1:39" ht="15" thickBot="1" x14ac:dyDescent="0.4">
      <c r="A227" s="177"/>
      <c r="B227" s="120"/>
      <c r="C227" s="989"/>
      <c r="D227" s="120"/>
      <c r="E227" s="989"/>
      <c r="F227" s="120"/>
      <c r="G227" s="962"/>
      <c r="H227" s="120"/>
      <c r="I227" s="989"/>
      <c r="J227" s="120"/>
      <c r="K227" s="962"/>
      <c r="L227" s="120"/>
      <c r="M227" s="962"/>
      <c r="N227" s="120"/>
      <c r="O227" s="962"/>
      <c r="P227" s="137"/>
      <c r="Q227" s="137"/>
      <c r="R227" s="120"/>
      <c r="S227" s="962"/>
      <c r="T227" s="120"/>
      <c r="U227" s="962"/>
      <c r="V227" s="120"/>
      <c r="W227" s="981"/>
      <c r="X227" s="120"/>
      <c r="Y227" s="981"/>
      <c r="Z227" s="120"/>
      <c r="AA227" s="962"/>
      <c r="AB227" s="120"/>
      <c r="AC227" s="962"/>
      <c r="AD227" s="120"/>
      <c r="AE227" s="981"/>
      <c r="AF227" s="120"/>
      <c r="AG227" s="147"/>
      <c r="AH227" s="148"/>
      <c r="AI227" s="148"/>
      <c r="AJ227" s="172"/>
      <c r="AK227" s="48"/>
      <c r="AL227" s="48"/>
      <c r="AM227" s="48"/>
    </row>
    <row r="228" spans="1:39" ht="6" customHeight="1" thickBot="1" x14ac:dyDescent="0.4">
      <c r="A228" s="177"/>
      <c r="B228" s="120"/>
      <c r="C228" s="150">
        <v>0</v>
      </c>
      <c r="D228" s="121"/>
      <c r="E228" s="150">
        <v>0</v>
      </c>
      <c r="F228" s="121"/>
      <c r="G228" s="150">
        <v>0</v>
      </c>
      <c r="H228" s="121"/>
      <c r="I228" s="150">
        <v>0</v>
      </c>
      <c r="J228" s="121"/>
      <c r="K228" s="296">
        <v>0</v>
      </c>
      <c r="L228" s="121"/>
      <c r="M228" s="296">
        <v>0</v>
      </c>
      <c r="N228" s="121"/>
      <c r="O228" s="150">
        <v>0</v>
      </c>
      <c r="P228" s="137"/>
      <c r="Q228" s="137"/>
      <c r="R228" s="121"/>
      <c r="S228" s="150">
        <v>0</v>
      </c>
      <c r="T228" s="121"/>
      <c r="U228" s="150">
        <v>0</v>
      </c>
      <c r="V228" s="121"/>
      <c r="W228" s="150">
        <v>0</v>
      </c>
      <c r="X228" s="121"/>
      <c r="Y228" s="150">
        <v>0</v>
      </c>
      <c r="Z228" s="121"/>
      <c r="AA228" s="150">
        <v>0</v>
      </c>
      <c r="AB228" s="121"/>
      <c r="AC228" s="150">
        <v>0</v>
      </c>
      <c r="AD228" s="123"/>
      <c r="AE228" s="150">
        <v>0</v>
      </c>
      <c r="AF228" s="120"/>
      <c r="AG228" s="147"/>
      <c r="AH228" s="148"/>
      <c r="AI228" s="148"/>
      <c r="AJ228" s="172"/>
      <c r="AK228" s="48"/>
      <c r="AL228" s="48"/>
      <c r="AM228" s="48"/>
    </row>
    <row r="229" spans="1:39" x14ac:dyDescent="0.35">
      <c r="A229" s="177"/>
      <c r="B229" s="120"/>
      <c r="C229" s="122" t="s">
        <v>142</v>
      </c>
      <c r="D229" s="120"/>
      <c r="E229" s="122" t="s">
        <v>161</v>
      </c>
      <c r="F229" s="120"/>
      <c r="G229" s="122" t="s">
        <v>142</v>
      </c>
      <c r="H229" s="120"/>
      <c r="I229" s="122" t="s">
        <v>142</v>
      </c>
      <c r="J229" s="120"/>
      <c r="K229" s="122" t="s">
        <v>126</v>
      </c>
      <c r="L229" s="120"/>
      <c r="M229" s="122" t="s">
        <v>167</v>
      </c>
      <c r="N229" s="120"/>
      <c r="O229" s="122" t="s">
        <v>142</v>
      </c>
      <c r="P229" s="122"/>
      <c r="Q229" s="122"/>
      <c r="R229" s="120"/>
      <c r="S229" s="122" t="s">
        <v>142</v>
      </c>
      <c r="T229" s="120"/>
      <c r="U229" s="122" t="s">
        <v>142</v>
      </c>
      <c r="V229" s="120"/>
      <c r="W229" s="122" t="s">
        <v>142</v>
      </c>
      <c r="X229" s="120"/>
      <c r="Y229" s="122" t="s">
        <v>161</v>
      </c>
      <c r="Z229" s="120"/>
      <c r="AA229" s="122" t="s">
        <v>176</v>
      </c>
      <c r="AB229" s="120"/>
      <c r="AC229" s="122" t="s">
        <v>366</v>
      </c>
      <c r="AD229" s="120"/>
      <c r="AE229" s="122" t="s">
        <v>132</v>
      </c>
      <c r="AF229" s="120"/>
      <c r="AG229" s="147"/>
      <c r="AH229" s="148"/>
      <c r="AI229" s="148"/>
      <c r="AJ229" s="172"/>
      <c r="AK229" s="48"/>
      <c r="AL229" s="48"/>
      <c r="AM229" s="48"/>
    </row>
    <row r="230" spans="1:39" s="155" customFormat="1" x14ac:dyDescent="0.35">
      <c r="A230" s="173"/>
      <c r="B230" s="128"/>
      <c r="C230" s="151"/>
      <c r="D230" s="128"/>
      <c r="E230" s="153">
        <v>0</v>
      </c>
      <c r="F230" s="128"/>
      <c r="G230" s="153">
        <v>0</v>
      </c>
      <c r="H230" s="128"/>
      <c r="I230" s="153">
        <v>0</v>
      </c>
      <c r="J230" s="128"/>
      <c r="K230" s="153">
        <v>0</v>
      </c>
      <c r="L230" s="128"/>
      <c r="M230" s="151"/>
      <c r="N230" s="128"/>
      <c r="O230" s="151"/>
      <c r="P230" s="151"/>
      <c r="Q230" s="151"/>
      <c r="R230" s="128"/>
      <c r="S230" s="151"/>
      <c r="T230" s="128"/>
      <c r="U230" s="151"/>
      <c r="V230" s="128"/>
      <c r="W230" s="151" t="s">
        <v>890</v>
      </c>
      <c r="X230" s="128"/>
      <c r="Y230" s="151" t="s">
        <v>890</v>
      </c>
      <c r="Z230" s="128"/>
      <c r="AA230" s="151"/>
      <c r="AB230" s="128"/>
      <c r="AC230" s="151"/>
      <c r="AD230" s="128"/>
      <c r="AE230" s="184" t="s">
        <v>684</v>
      </c>
      <c r="AF230" s="128"/>
      <c r="AG230" s="147"/>
      <c r="AH230" s="148"/>
      <c r="AI230" s="148"/>
      <c r="AJ230" s="182"/>
      <c r="AK230" s="49"/>
      <c r="AL230" s="49"/>
      <c r="AM230" s="49"/>
    </row>
    <row r="231" spans="1:39" s="155" customFormat="1" ht="15" thickBot="1" x14ac:dyDescent="0.4">
      <c r="A231" s="173"/>
      <c r="B231" s="128"/>
      <c r="C231" s="184" t="s">
        <v>669</v>
      </c>
      <c r="D231" s="128"/>
      <c r="E231" s="184" t="s">
        <v>685</v>
      </c>
      <c r="F231" s="128"/>
      <c r="G231" s="184" t="s">
        <v>686</v>
      </c>
      <c r="H231" s="128"/>
      <c r="I231" s="184" t="s">
        <v>686</v>
      </c>
      <c r="J231" s="128"/>
      <c r="K231" s="184" t="s">
        <v>686</v>
      </c>
      <c r="L231" s="128"/>
      <c r="M231" s="151"/>
      <c r="N231" s="128"/>
      <c r="O231" s="151"/>
      <c r="P231" s="151"/>
      <c r="Q231" s="151"/>
      <c r="R231" s="128"/>
      <c r="S231" s="151"/>
      <c r="T231" s="128"/>
      <c r="U231" s="151"/>
      <c r="V231" s="128"/>
      <c r="W231" s="151"/>
      <c r="X231" s="128"/>
      <c r="Y231" s="151"/>
      <c r="Z231" s="128"/>
      <c r="AA231" s="151"/>
      <c r="AB231" s="128"/>
      <c r="AC231" s="151"/>
      <c r="AD231" s="128"/>
      <c r="AE231" s="151"/>
      <c r="AF231" s="128"/>
      <c r="AG231" s="147"/>
      <c r="AH231" s="148"/>
      <c r="AI231" s="148"/>
      <c r="AJ231" s="182"/>
      <c r="AK231" s="49"/>
      <c r="AL231" s="49"/>
      <c r="AM231" s="49"/>
    </row>
    <row r="232" spans="1:39" ht="15" thickBot="1" x14ac:dyDescent="0.4">
      <c r="A232" s="199"/>
      <c r="B232" s="1019" t="s">
        <v>562</v>
      </c>
      <c r="C232" s="1020"/>
      <c r="D232" s="1020"/>
      <c r="E232" s="1020"/>
      <c r="F232" s="1020"/>
      <c r="G232" s="1020"/>
      <c r="H232" s="1020"/>
      <c r="I232" s="1020"/>
      <c r="J232" s="1020"/>
      <c r="K232" s="1020"/>
      <c r="L232" s="1020"/>
      <c r="M232" s="1020"/>
      <c r="N232" s="1020"/>
      <c r="O232" s="1020"/>
      <c r="P232" s="1020"/>
      <c r="Q232" s="1020"/>
      <c r="R232" s="1020"/>
      <c r="S232" s="1020"/>
      <c r="T232" s="1020"/>
      <c r="U232" s="1020"/>
      <c r="V232" s="1020"/>
      <c r="W232" s="1020"/>
      <c r="X232" s="1020"/>
      <c r="Y232" s="1020"/>
      <c r="Z232" s="1020"/>
      <c r="AA232" s="1020"/>
      <c r="AB232" s="1020"/>
      <c r="AC232" s="1020"/>
      <c r="AD232" s="1020"/>
      <c r="AE232" s="1021"/>
      <c r="AF232" s="200"/>
      <c r="AG232" s="188"/>
      <c r="AH232" s="189"/>
      <c r="AI232" s="189"/>
      <c r="AJ232" s="201"/>
      <c r="AK232" s="48"/>
      <c r="AL232" s="48"/>
      <c r="AM232" s="48"/>
    </row>
    <row r="233" spans="1:39" x14ac:dyDescent="0.35">
      <c r="A233" s="156"/>
      <c r="B233" s="157"/>
      <c r="C233" s="159" t="s">
        <v>687</v>
      </c>
      <c r="D233" s="159"/>
      <c r="E233" s="159" t="s">
        <v>688</v>
      </c>
      <c r="F233" s="159"/>
      <c r="G233" s="159" t="s">
        <v>689</v>
      </c>
      <c r="H233" s="159"/>
      <c r="I233" s="159" t="s">
        <v>690</v>
      </c>
      <c r="J233" s="159"/>
      <c r="K233" s="159" t="s">
        <v>691</v>
      </c>
      <c r="L233" s="159"/>
      <c r="M233" s="159" t="s">
        <v>692</v>
      </c>
      <c r="N233" s="159"/>
      <c r="O233" s="159" t="s">
        <v>693</v>
      </c>
      <c r="P233" s="159"/>
      <c r="Q233" s="159"/>
      <c r="R233" s="159"/>
      <c r="S233" s="159" t="s">
        <v>694</v>
      </c>
      <c r="T233" s="159"/>
      <c r="U233" s="159" t="s">
        <v>695</v>
      </c>
      <c r="V233" s="159"/>
      <c r="W233" s="159" t="s">
        <v>696</v>
      </c>
      <c r="X233" s="159"/>
      <c r="Y233" s="159" t="s">
        <v>697</v>
      </c>
      <c r="Z233" s="159"/>
      <c r="AA233" s="159" t="s">
        <v>698</v>
      </c>
      <c r="AB233" s="159"/>
      <c r="AC233" s="159" t="s">
        <v>699</v>
      </c>
      <c r="AD233" s="159"/>
      <c r="AE233" s="159" t="s">
        <v>700</v>
      </c>
      <c r="AF233" s="157"/>
      <c r="AG233" s="202"/>
      <c r="AH233" s="203"/>
      <c r="AI233" s="203"/>
      <c r="AJ233" s="168"/>
      <c r="AK233" s="48"/>
      <c r="AL233" s="48"/>
      <c r="AM233" s="48"/>
    </row>
    <row r="234" spans="1:39" x14ac:dyDescent="0.35">
      <c r="A234" s="173"/>
      <c r="B234" s="121"/>
      <c r="C234" s="121">
        <v>0</v>
      </c>
      <c r="D234" s="121" t="e">
        <v>#N/A</v>
      </c>
      <c r="E234" s="121">
        <v>0</v>
      </c>
      <c r="F234" s="121" t="e">
        <v>#N/A</v>
      </c>
      <c r="G234" s="121">
        <v>0</v>
      </c>
      <c r="H234" s="121" t="e">
        <v>#N/A</v>
      </c>
      <c r="I234" s="121">
        <v>0</v>
      </c>
      <c r="J234" s="121" t="e">
        <v>#N/A</v>
      </c>
      <c r="K234" s="121">
        <v>0</v>
      </c>
      <c r="L234" s="121" t="e">
        <v>#N/A</v>
      </c>
      <c r="M234" s="121">
        <v>0</v>
      </c>
      <c r="N234" s="121" t="e">
        <v>#N/A</v>
      </c>
      <c r="O234" s="121">
        <v>0</v>
      </c>
      <c r="P234" s="121"/>
      <c r="Q234" s="121"/>
      <c r="R234" s="121"/>
      <c r="S234" s="121">
        <v>0</v>
      </c>
      <c r="T234" s="121"/>
      <c r="U234" s="121">
        <v>0</v>
      </c>
      <c r="V234" s="121"/>
      <c r="W234" s="121">
        <v>0</v>
      </c>
      <c r="X234" s="121"/>
      <c r="Y234" s="121">
        <v>0</v>
      </c>
      <c r="Z234" s="121"/>
      <c r="AA234" s="121">
        <v>0</v>
      </c>
      <c r="AB234" s="121"/>
      <c r="AC234" s="121">
        <v>0</v>
      </c>
      <c r="AD234" s="121"/>
      <c r="AE234" s="121">
        <v>0</v>
      </c>
      <c r="AF234" s="120"/>
      <c r="AG234" s="174"/>
      <c r="AH234" s="175"/>
      <c r="AI234" s="176"/>
      <c r="AJ234" s="172"/>
      <c r="AK234" s="48"/>
      <c r="AL234" s="48"/>
      <c r="AM234" s="48"/>
    </row>
    <row r="235" spans="1:39" s="140" customFormat="1" ht="15" thickBot="1" x14ac:dyDescent="0.4">
      <c r="A235" s="177">
        <v>277</v>
      </c>
      <c r="B235" s="121"/>
      <c r="C235" s="121">
        <v>278</v>
      </c>
      <c r="D235" s="121"/>
      <c r="E235" s="121">
        <v>279</v>
      </c>
      <c r="F235" s="121"/>
      <c r="G235" s="121">
        <v>280</v>
      </c>
      <c r="H235" s="121"/>
      <c r="I235" s="121">
        <v>281</v>
      </c>
      <c r="J235" s="121"/>
      <c r="K235" s="121">
        <v>282</v>
      </c>
      <c r="L235" s="121"/>
      <c r="M235" s="121">
        <v>283</v>
      </c>
      <c r="N235" s="121"/>
      <c r="O235" s="121">
        <v>284</v>
      </c>
      <c r="P235" s="121"/>
      <c r="Q235" s="121"/>
      <c r="R235" s="121"/>
      <c r="S235" s="121">
        <v>285</v>
      </c>
      <c r="T235" s="121"/>
      <c r="U235" s="121">
        <v>286</v>
      </c>
      <c r="V235" s="121"/>
      <c r="W235" s="121">
        <v>287</v>
      </c>
      <c r="X235" s="121"/>
      <c r="Y235" s="121">
        <v>288</v>
      </c>
      <c r="Z235" s="121"/>
      <c r="AA235" s="121">
        <v>289</v>
      </c>
      <c r="AB235" s="121"/>
      <c r="AC235" s="121">
        <v>290</v>
      </c>
      <c r="AD235" s="121"/>
      <c r="AE235" s="121">
        <v>291</v>
      </c>
      <c r="AF235" s="121"/>
      <c r="AG235" s="174"/>
      <c r="AH235" s="175"/>
      <c r="AI235" s="178"/>
      <c r="AJ235" s="172"/>
      <c r="AK235" s="192"/>
      <c r="AL235" s="192"/>
      <c r="AM235" s="192"/>
    </row>
    <row r="236" spans="1:39" ht="15" thickBot="1" x14ac:dyDescent="0.4">
      <c r="A236" s="177"/>
      <c r="B236" s="143">
        <v>378</v>
      </c>
      <c r="C236" s="980" t="s">
        <v>418</v>
      </c>
      <c r="D236" s="143">
        <v>386</v>
      </c>
      <c r="E236" s="988"/>
      <c r="F236" s="143">
        <v>377</v>
      </c>
      <c r="G236" s="980" t="s">
        <v>418</v>
      </c>
      <c r="H236" s="143">
        <v>343</v>
      </c>
      <c r="I236" s="961">
        <v>0</v>
      </c>
      <c r="J236" s="143">
        <v>384</v>
      </c>
      <c r="K236" s="961">
        <v>0</v>
      </c>
      <c r="L236" s="143">
        <v>351</v>
      </c>
      <c r="M236" s="961">
        <v>0</v>
      </c>
      <c r="N236" s="143">
        <v>348</v>
      </c>
      <c r="O236" s="961">
        <v>0</v>
      </c>
      <c r="P236" s="137"/>
      <c r="Q236" s="143">
        <v>327</v>
      </c>
      <c r="R236" s="143"/>
      <c r="S236" s="961">
        <v>0</v>
      </c>
      <c r="T236" s="143">
        <v>326.87400000000002</v>
      </c>
      <c r="U236" s="961">
        <v>0</v>
      </c>
      <c r="V236" s="143">
        <v>380.00200000000001</v>
      </c>
      <c r="W236" s="988"/>
      <c r="X236" s="143">
        <v>383</v>
      </c>
      <c r="Y236" s="988"/>
      <c r="Z236" s="143">
        <v>370</v>
      </c>
      <c r="AA236" s="1025"/>
      <c r="AB236" s="143">
        <v>355</v>
      </c>
      <c r="AC236" s="988"/>
      <c r="AD236" s="143">
        <v>350</v>
      </c>
      <c r="AE236" s="980" t="s">
        <v>418</v>
      </c>
      <c r="AF236" s="120"/>
      <c r="AG236" s="144">
        <v>5</v>
      </c>
      <c r="AH236" s="145">
        <v>0</v>
      </c>
      <c r="AI236" s="145">
        <v>0</v>
      </c>
      <c r="AJ236" s="180"/>
      <c r="AK236" s="48"/>
      <c r="AL236" s="48"/>
      <c r="AM236" s="48"/>
    </row>
    <row r="237" spans="1:39" x14ac:dyDescent="0.35">
      <c r="A237" s="177"/>
      <c r="B237" s="120"/>
      <c r="C237" s="981"/>
      <c r="D237" s="120"/>
      <c r="E237" s="989"/>
      <c r="F237" s="120"/>
      <c r="G237" s="981"/>
      <c r="H237" s="120"/>
      <c r="I237" s="962"/>
      <c r="J237" s="120"/>
      <c r="K237" s="962"/>
      <c r="L237" s="120"/>
      <c r="M237" s="962"/>
      <c r="N237" s="120"/>
      <c r="O237" s="962"/>
      <c r="P237" s="137"/>
      <c r="Q237" s="137"/>
      <c r="R237" s="120"/>
      <c r="S237" s="962"/>
      <c r="T237" s="120"/>
      <c r="U237" s="962"/>
      <c r="V237" s="120"/>
      <c r="W237" s="989"/>
      <c r="X237" s="120"/>
      <c r="Y237" s="989"/>
      <c r="Z237" s="120"/>
      <c r="AA237" s="1026"/>
      <c r="AB237" s="120"/>
      <c r="AC237" s="989"/>
      <c r="AD237" s="120"/>
      <c r="AE237" s="981"/>
      <c r="AF237" s="120"/>
      <c r="AG237" s="147"/>
      <c r="AH237" s="148"/>
      <c r="AI237" s="148"/>
      <c r="AJ237" s="172"/>
      <c r="AK237" s="48"/>
      <c r="AL237" s="48"/>
      <c r="AM237" s="48"/>
    </row>
    <row r="238" spans="1:39" ht="5.5" customHeight="1" x14ac:dyDescent="0.35">
      <c r="A238" s="177"/>
      <c r="B238" s="120"/>
      <c r="C238" s="150">
        <v>0</v>
      </c>
      <c r="D238" s="121"/>
      <c r="E238" s="150">
        <v>0</v>
      </c>
      <c r="F238" s="121"/>
      <c r="G238" s="150">
        <v>0</v>
      </c>
      <c r="H238" s="121"/>
      <c r="I238" s="150">
        <v>0</v>
      </c>
      <c r="J238" s="121"/>
      <c r="K238" s="150">
        <v>0</v>
      </c>
      <c r="L238" s="121"/>
      <c r="M238" s="150">
        <v>0</v>
      </c>
      <c r="N238" s="121"/>
      <c r="O238" s="150">
        <v>0</v>
      </c>
      <c r="P238" s="137"/>
      <c r="Q238" s="137"/>
      <c r="R238" s="121"/>
      <c r="S238" s="150">
        <v>0</v>
      </c>
      <c r="T238" s="121"/>
      <c r="U238" s="150">
        <v>0</v>
      </c>
      <c r="V238" s="121"/>
      <c r="W238" s="150">
        <v>0</v>
      </c>
      <c r="X238" s="121"/>
      <c r="Y238" s="150">
        <v>0</v>
      </c>
      <c r="Z238" s="121"/>
      <c r="AA238" s="150">
        <v>0</v>
      </c>
      <c r="AB238" s="121"/>
      <c r="AC238" s="150">
        <v>0</v>
      </c>
      <c r="AD238" s="123"/>
      <c r="AE238" s="150">
        <v>0</v>
      </c>
      <c r="AF238" s="120"/>
      <c r="AG238" s="147"/>
      <c r="AH238" s="148"/>
      <c r="AI238" s="148"/>
      <c r="AJ238" s="172"/>
      <c r="AK238" s="48"/>
      <c r="AL238" s="48"/>
      <c r="AM238" s="48"/>
    </row>
    <row r="239" spans="1:39" x14ac:dyDescent="0.35">
      <c r="A239" s="177"/>
      <c r="B239" s="120"/>
      <c r="C239" s="122" t="s">
        <v>142</v>
      </c>
      <c r="D239" s="120"/>
      <c r="E239" s="122" t="s">
        <v>142</v>
      </c>
      <c r="F239" s="120"/>
      <c r="G239" s="122" t="s">
        <v>142</v>
      </c>
      <c r="H239" s="120"/>
      <c r="I239" s="122" t="s">
        <v>142</v>
      </c>
      <c r="J239" s="120"/>
      <c r="K239" s="122" t="s">
        <v>142</v>
      </c>
      <c r="L239" s="120"/>
      <c r="M239" s="122" t="s">
        <v>132</v>
      </c>
      <c r="N239" s="120"/>
      <c r="O239" s="122" t="s">
        <v>142</v>
      </c>
      <c r="P239" s="122"/>
      <c r="Q239" s="122"/>
      <c r="R239" s="120"/>
      <c r="S239" s="122" t="s">
        <v>161</v>
      </c>
      <c r="T239" s="120"/>
      <c r="U239" s="122" t="s">
        <v>167</v>
      </c>
      <c r="V239" s="120"/>
      <c r="W239" s="122" t="s">
        <v>142</v>
      </c>
      <c r="X239" s="120"/>
      <c r="Y239" s="122" t="s">
        <v>142</v>
      </c>
      <c r="Z239" s="120"/>
      <c r="AA239" s="122" t="s">
        <v>142</v>
      </c>
      <c r="AB239" s="120"/>
      <c r="AC239" s="122" t="s">
        <v>161</v>
      </c>
      <c r="AD239" s="120"/>
      <c r="AE239" s="122" t="s">
        <v>142</v>
      </c>
      <c r="AF239" s="120"/>
      <c r="AG239" s="147"/>
      <c r="AH239" s="148"/>
      <c r="AI239" s="148"/>
      <c r="AJ239" s="172"/>
      <c r="AK239" s="48"/>
      <c r="AL239" s="48"/>
      <c r="AM239" s="48"/>
    </row>
    <row r="240" spans="1:39" s="155" customFormat="1" x14ac:dyDescent="0.35">
      <c r="A240" s="173"/>
      <c r="B240" s="128"/>
      <c r="C240" s="184" t="s">
        <v>701</v>
      </c>
      <c r="D240" s="297"/>
      <c r="E240" s="184" t="s">
        <v>701</v>
      </c>
      <c r="F240" s="128"/>
      <c r="G240" s="184" t="s">
        <v>701</v>
      </c>
      <c r="H240" s="128"/>
      <c r="I240" s="151"/>
      <c r="J240" s="128"/>
      <c r="K240" s="151"/>
      <c r="L240" s="128"/>
      <c r="M240" s="151"/>
      <c r="N240" s="128"/>
      <c r="O240" s="151"/>
      <c r="P240" s="151"/>
      <c r="Q240" s="151"/>
      <c r="R240" s="128"/>
      <c r="S240" s="151"/>
      <c r="T240" s="128"/>
      <c r="U240" s="151"/>
      <c r="V240" s="128"/>
      <c r="W240" s="184" t="s">
        <v>702</v>
      </c>
      <c r="X240" s="128"/>
      <c r="Y240" s="184" t="s">
        <v>702</v>
      </c>
      <c r="Z240" s="128"/>
      <c r="AA240" s="184" t="s">
        <v>702</v>
      </c>
      <c r="AB240" s="128"/>
      <c r="AC240" s="184" t="s">
        <v>702</v>
      </c>
      <c r="AD240" s="128"/>
      <c r="AE240" s="184" t="s">
        <v>702</v>
      </c>
      <c r="AF240" s="128"/>
      <c r="AG240" s="147"/>
      <c r="AH240" s="148"/>
      <c r="AI240" s="148"/>
      <c r="AJ240" s="182"/>
      <c r="AK240" s="49"/>
      <c r="AL240" s="49"/>
      <c r="AM240" s="49"/>
    </row>
    <row r="241" spans="1:43" s="155" customFormat="1" ht="15" thickBot="1" x14ac:dyDescent="0.4">
      <c r="A241" s="173"/>
      <c r="B241" s="128"/>
      <c r="C241" s="151"/>
      <c r="D241" s="297"/>
      <c r="E241" s="151"/>
      <c r="F241" s="128"/>
      <c r="G241" s="151"/>
      <c r="H241" s="128"/>
      <c r="I241" s="151"/>
      <c r="J241" s="128"/>
      <c r="K241" s="151"/>
      <c r="L241" s="128"/>
      <c r="M241" s="151"/>
      <c r="N241" s="128"/>
      <c r="O241" s="151"/>
      <c r="P241" s="151"/>
      <c r="Q241" s="151"/>
      <c r="R241" s="128"/>
      <c r="S241" s="151"/>
      <c r="T241" s="128"/>
      <c r="U241" s="151"/>
      <c r="V241" s="128"/>
      <c r="W241" s="151"/>
      <c r="X241" s="128"/>
      <c r="Y241" s="151"/>
      <c r="Z241" s="128"/>
      <c r="AA241" s="151"/>
      <c r="AB241" s="128"/>
      <c r="AC241" s="151"/>
      <c r="AD241" s="128"/>
      <c r="AE241" s="151"/>
      <c r="AF241" s="128"/>
      <c r="AG241" s="147"/>
      <c r="AH241" s="148"/>
      <c r="AI241" s="148"/>
      <c r="AJ241" s="182"/>
      <c r="AK241" s="49"/>
      <c r="AL241" s="49"/>
      <c r="AM241" s="49"/>
    </row>
    <row r="242" spans="1:43" ht="15" thickBot="1" x14ac:dyDescent="0.4">
      <c r="A242" s="199"/>
      <c r="B242" s="1019" t="s">
        <v>562</v>
      </c>
      <c r="C242" s="1020"/>
      <c r="D242" s="1020"/>
      <c r="E242" s="1020"/>
      <c r="F242" s="1020"/>
      <c r="G242" s="1020"/>
      <c r="H242" s="1020"/>
      <c r="I242" s="1020"/>
      <c r="J242" s="1020"/>
      <c r="K242" s="1020"/>
      <c r="L242" s="1020"/>
      <c r="M242" s="1020"/>
      <c r="N242" s="1020"/>
      <c r="O242" s="1020"/>
      <c r="P242" s="1020"/>
      <c r="Q242" s="1020"/>
      <c r="R242" s="1020"/>
      <c r="S242" s="1020"/>
      <c r="T242" s="1020"/>
      <c r="U242" s="1020"/>
      <c r="V242" s="1020"/>
      <c r="W242" s="1020"/>
      <c r="X242" s="1020"/>
      <c r="Y242" s="1020"/>
      <c r="Z242" s="1020"/>
      <c r="AA242" s="1020"/>
      <c r="AB242" s="1020"/>
      <c r="AC242" s="1020"/>
      <c r="AD242" s="1020"/>
      <c r="AE242" s="1021"/>
      <c r="AF242" s="200"/>
      <c r="AG242" s="188"/>
      <c r="AH242" s="189"/>
      <c r="AI242" s="189"/>
      <c r="AJ242" s="201"/>
      <c r="AK242" s="48"/>
      <c r="AL242" s="48"/>
      <c r="AM242" s="48"/>
    </row>
    <row r="243" spans="1:43" x14ac:dyDescent="0.35">
      <c r="A243" s="156"/>
      <c r="B243" s="157"/>
      <c r="C243" s="159" t="s">
        <v>703</v>
      </c>
      <c r="D243" s="159"/>
      <c r="E243" s="159" t="s">
        <v>704</v>
      </c>
      <c r="F243" s="159"/>
      <c r="G243" s="159" t="s">
        <v>705</v>
      </c>
      <c r="H243" s="159"/>
      <c r="I243" s="159" t="s">
        <v>706</v>
      </c>
      <c r="J243" s="159"/>
      <c r="K243" s="159" t="s">
        <v>707</v>
      </c>
      <c r="L243" s="159"/>
      <c r="M243" s="159" t="s">
        <v>708</v>
      </c>
      <c r="N243" s="159"/>
      <c r="O243" s="159" t="s">
        <v>709</v>
      </c>
      <c r="P243" s="159"/>
      <c r="Q243" s="159"/>
      <c r="R243" s="159"/>
      <c r="S243" s="159" t="s">
        <v>710</v>
      </c>
      <c r="T243" s="159"/>
      <c r="U243" s="159" t="s">
        <v>711</v>
      </c>
      <c r="V243" s="159"/>
      <c r="W243" s="159" t="s">
        <v>712</v>
      </c>
      <c r="X243" s="159"/>
      <c r="Y243" s="159" t="s">
        <v>713</v>
      </c>
      <c r="Z243" s="159"/>
      <c r="AA243" s="159" t="s">
        <v>714</v>
      </c>
      <c r="AB243" s="159"/>
      <c r="AC243" s="159" t="s">
        <v>715</v>
      </c>
      <c r="AD243" s="159"/>
      <c r="AE243" s="159" t="s">
        <v>716</v>
      </c>
      <c r="AF243" s="157"/>
      <c r="AG243" s="202"/>
      <c r="AH243" s="203"/>
      <c r="AI243" s="203"/>
      <c r="AJ243" s="168"/>
      <c r="AK243" s="48"/>
      <c r="AL243" s="48"/>
      <c r="AM243" s="48"/>
    </row>
    <row r="244" spans="1:43" x14ac:dyDescent="0.35">
      <c r="A244" s="173"/>
      <c r="B244" s="121"/>
      <c r="C244" s="121">
        <v>0</v>
      </c>
      <c r="D244" s="121" t="e">
        <v>#N/A</v>
      </c>
      <c r="E244" s="121">
        <v>0</v>
      </c>
      <c r="F244" s="121" t="e">
        <v>#N/A</v>
      </c>
      <c r="G244" s="121">
        <v>0</v>
      </c>
      <c r="H244" s="121" t="e">
        <v>#N/A</v>
      </c>
      <c r="I244" s="121">
        <v>0</v>
      </c>
      <c r="J244" s="121" t="e">
        <v>#N/A</v>
      </c>
      <c r="K244" s="121">
        <v>0</v>
      </c>
      <c r="L244" s="121" t="e">
        <v>#N/A</v>
      </c>
      <c r="M244" s="121">
        <v>0</v>
      </c>
      <c r="N244" s="121" t="e">
        <v>#N/A</v>
      </c>
      <c r="O244" s="121">
        <v>0</v>
      </c>
      <c r="P244" s="121"/>
      <c r="Q244" s="121"/>
      <c r="R244" s="121"/>
      <c r="S244" s="121">
        <v>0</v>
      </c>
      <c r="T244" s="121"/>
      <c r="U244" s="121">
        <v>0</v>
      </c>
      <c r="V244" s="121"/>
      <c r="W244" s="121">
        <v>0</v>
      </c>
      <c r="X244" s="121"/>
      <c r="Y244" s="121">
        <v>0</v>
      </c>
      <c r="Z244" s="121"/>
      <c r="AA244" s="121">
        <v>0</v>
      </c>
      <c r="AB244" s="121"/>
      <c r="AC244" s="121">
        <v>0</v>
      </c>
      <c r="AD244" s="123"/>
      <c r="AE244" s="121">
        <v>0</v>
      </c>
      <c r="AF244" s="123"/>
      <c r="AG244" s="174"/>
      <c r="AH244" s="175"/>
      <c r="AI244" s="176"/>
      <c r="AJ244" s="172"/>
      <c r="AK244" s="48"/>
      <c r="AL244" s="48"/>
      <c r="AM244" s="48"/>
    </row>
    <row r="245" spans="1:43" s="140" customFormat="1" ht="15" thickBot="1" x14ac:dyDescent="0.4">
      <c r="A245" s="177">
        <v>291</v>
      </c>
      <c r="B245" s="121"/>
      <c r="C245" s="121">
        <v>292</v>
      </c>
      <c r="D245" s="121"/>
      <c r="E245" s="121">
        <v>293</v>
      </c>
      <c r="F245" s="121"/>
      <c r="G245" s="121">
        <v>294</v>
      </c>
      <c r="H245" s="121"/>
      <c r="I245" s="121">
        <v>295</v>
      </c>
      <c r="J245" s="121"/>
      <c r="K245" s="121">
        <v>296</v>
      </c>
      <c r="L245" s="121"/>
      <c r="M245" s="121">
        <v>297</v>
      </c>
      <c r="N245" s="121"/>
      <c r="O245" s="121">
        <v>298</v>
      </c>
      <c r="P245" s="121"/>
      <c r="Q245" s="121"/>
      <c r="R245" s="121"/>
      <c r="S245" s="121">
        <v>299</v>
      </c>
      <c r="T245" s="121"/>
      <c r="U245" s="121">
        <v>300</v>
      </c>
      <c r="V245" s="121"/>
      <c r="W245" s="121">
        <v>301</v>
      </c>
      <c r="X245" s="121"/>
      <c r="Y245" s="121">
        <v>302</v>
      </c>
      <c r="Z245" s="121"/>
      <c r="AA245" s="121">
        <v>303</v>
      </c>
      <c r="AB245" s="121"/>
      <c r="AC245" s="121">
        <v>304</v>
      </c>
      <c r="AD245" s="298"/>
      <c r="AE245" s="121">
        <v>305</v>
      </c>
      <c r="AF245" s="298"/>
      <c r="AG245" s="174"/>
      <c r="AH245" s="175"/>
      <c r="AI245" s="178"/>
      <c r="AJ245" s="172"/>
      <c r="AK245" s="192"/>
      <c r="AL245" s="192"/>
      <c r="AM245" s="192"/>
    </row>
    <row r="246" spans="1:43" ht="15" thickBot="1" x14ac:dyDescent="0.4">
      <c r="A246" s="177"/>
      <c r="B246" s="143">
        <v>352</v>
      </c>
      <c r="C246" s="961">
        <v>0</v>
      </c>
      <c r="D246" s="143">
        <v>352</v>
      </c>
      <c r="E246" s="980" t="s">
        <v>418</v>
      </c>
      <c r="F246" s="143">
        <v>344</v>
      </c>
      <c r="G246" s="988"/>
      <c r="H246" s="143">
        <v>377</v>
      </c>
      <c r="I246" s="988"/>
      <c r="J246" s="143">
        <v>353</v>
      </c>
      <c r="K246" s="988"/>
      <c r="L246" s="143">
        <v>395.45400000000001</v>
      </c>
      <c r="M246" s="980" t="s">
        <v>418</v>
      </c>
      <c r="N246" s="143">
        <v>344.99599999999998</v>
      </c>
      <c r="O246" s="980" t="s">
        <v>418</v>
      </c>
      <c r="P246" s="137"/>
      <c r="Q246" s="143">
        <v>364</v>
      </c>
      <c r="R246" s="143"/>
      <c r="S246" s="961" t="s">
        <v>418</v>
      </c>
      <c r="T246" s="143">
        <v>366</v>
      </c>
      <c r="U246" s="961">
        <v>0</v>
      </c>
      <c r="V246" s="143">
        <v>367</v>
      </c>
      <c r="W246" s="961">
        <v>0</v>
      </c>
      <c r="X246" s="143">
        <v>364</v>
      </c>
      <c r="Y246" s="961">
        <v>0</v>
      </c>
      <c r="Z246" s="143">
        <v>353</v>
      </c>
      <c r="AA246" s="961">
        <v>0</v>
      </c>
      <c r="AB246" s="143">
        <v>366</v>
      </c>
      <c r="AC246" s="961">
        <v>0</v>
      </c>
      <c r="AD246" s="143">
        <v>344</v>
      </c>
      <c r="AE246" s="961">
        <v>0</v>
      </c>
      <c r="AF246" s="123"/>
      <c r="AG246" s="144">
        <v>3</v>
      </c>
      <c r="AH246" s="145">
        <v>0</v>
      </c>
      <c r="AI246" s="145">
        <v>0</v>
      </c>
      <c r="AJ246" s="180"/>
      <c r="AK246" s="48"/>
      <c r="AL246" s="48"/>
      <c r="AM246" s="48"/>
      <c r="AQ246" s="124">
        <v>1</v>
      </c>
    </row>
    <row r="247" spans="1:43" x14ac:dyDescent="0.35">
      <c r="A247" s="177"/>
      <c r="B247" s="120"/>
      <c r="C247" s="962"/>
      <c r="D247" s="120"/>
      <c r="E247" s="981"/>
      <c r="F247" s="120"/>
      <c r="G247" s="989"/>
      <c r="H247" s="120"/>
      <c r="I247" s="989"/>
      <c r="J247" s="120"/>
      <c r="K247" s="989"/>
      <c r="L247" s="120"/>
      <c r="M247" s="981"/>
      <c r="N247" s="120"/>
      <c r="O247" s="981"/>
      <c r="P247" s="137"/>
      <c r="Q247" s="137"/>
      <c r="R247" s="120"/>
      <c r="S247" s="962"/>
      <c r="T247" s="120"/>
      <c r="U247" s="962"/>
      <c r="V247" s="120"/>
      <c r="W247" s="962"/>
      <c r="X247" s="120"/>
      <c r="Y247" s="962"/>
      <c r="Z247" s="120"/>
      <c r="AA247" s="962"/>
      <c r="AB247" s="120"/>
      <c r="AC247" s="962"/>
      <c r="AD247" s="123"/>
      <c r="AE247" s="962"/>
      <c r="AF247" s="123"/>
      <c r="AG247" s="147"/>
      <c r="AH247" s="148"/>
      <c r="AI247" s="148"/>
      <c r="AJ247" s="172"/>
      <c r="AK247" s="48"/>
      <c r="AL247" s="48"/>
      <c r="AM247" s="48"/>
    </row>
    <row r="248" spans="1:43" ht="6" customHeight="1" x14ac:dyDescent="0.35">
      <c r="A248" s="177"/>
      <c r="B248" s="120"/>
      <c r="C248" s="150">
        <v>0</v>
      </c>
      <c r="D248" s="121"/>
      <c r="E248" s="150">
        <v>0</v>
      </c>
      <c r="F248" s="121"/>
      <c r="G248" s="150">
        <v>0</v>
      </c>
      <c r="H248" s="121"/>
      <c r="I248" s="150">
        <v>0</v>
      </c>
      <c r="J248" s="121"/>
      <c r="K248" s="150">
        <v>0</v>
      </c>
      <c r="L248" s="121"/>
      <c r="M248" s="150">
        <v>0</v>
      </c>
      <c r="N248" s="121"/>
      <c r="O248" s="150">
        <v>0</v>
      </c>
      <c r="P248" s="137"/>
      <c r="Q248" s="137"/>
      <c r="R248" s="121"/>
      <c r="S248" s="150">
        <v>0</v>
      </c>
      <c r="T248" s="121"/>
      <c r="U248" s="150">
        <v>0</v>
      </c>
      <c r="V248" s="121"/>
      <c r="W248" s="150">
        <v>0</v>
      </c>
      <c r="X248" s="121"/>
      <c r="Y248" s="150">
        <v>0</v>
      </c>
      <c r="Z248" s="121"/>
      <c r="AA248" s="150">
        <v>0</v>
      </c>
      <c r="AB248" s="121"/>
      <c r="AC248" s="150">
        <v>0</v>
      </c>
      <c r="AD248" s="123"/>
      <c r="AE248" s="150">
        <v>0</v>
      </c>
      <c r="AF248" s="123"/>
      <c r="AG248" s="147"/>
      <c r="AH248" s="148"/>
      <c r="AI248" s="148"/>
      <c r="AJ248" s="172"/>
      <c r="AK248" s="48"/>
      <c r="AL248" s="48"/>
      <c r="AM248" s="48"/>
    </row>
    <row r="249" spans="1:43" ht="14.25" customHeight="1" x14ac:dyDescent="0.35">
      <c r="A249" s="177"/>
      <c r="B249" s="120"/>
      <c r="C249" s="122" t="s">
        <v>161</v>
      </c>
      <c r="D249" s="120"/>
      <c r="E249" s="122" t="s">
        <v>142</v>
      </c>
      <c r="F249" s="120"/>
      <c r="G249" s="122" t="s">
        <v>142</v>
      </c>
      <c r="H249" s="120"/>
      <c r="I249" s="122" t="s">
        <v>142</v>
      </c>
      <c r="J249" s="120"/>
      <c r="K249" s="122" t="s">
        <v>142</v>
      </c>
      <c r="L249" s="120"/>
      <c r="M249" s="122" t="s">
        <v>167</v>
      </c>
      <c r="N249" s="120"/>
      <c r="O249" s="122" t="s">
        <v>161</v>
      </c>
      <c r="P249" s="122"/>
      <c r="Q249" s="122"/>
      <c r="R249" s="120"/>
      <c r="S249" s="122" t="s">
        <v>142</v>
      </c>
      <c r="T249" s="120"/>
      <c r="U249" s="122" t="s">
        <v>142</v>
      </c>
      <c r="V249" s="120"/>
      <c r="W249" s="122" t="s">
        <v>142</v>
      </c>
      <c r="X249" s="120"/>
      <c r="Y249" s="122" t="s">
        <v>142</v>
      </c>
      <c r="Z249" s="120"/>
      <c r="AA249" s="122" t="s">
        <v>142</v>
      </c>
      <c r="AB249" s="120"/>
      <c r="AC249" s="122" t="s">
        <v>142</v>
      </c>
      <c r="AD249" s="120"/>
      <c r="AE249" s="122" t="s">
        <v>161</v>
      </c>
      <c r="AF249" s="123"/>
      <c r="AG249" s="147"/>
      <c r="AH249" s="148"/>
      <c r="AI249" s="148"/>
      <c r="AJ249" s="172"/>
      <c r="AK249" s="48"/>
      <c r="AL249" s="48"/>
      <c r="AM249" s="48"/>
    </row>
    <row r="250" spans="1:43" ht="14.25" customHeight="1" x14ac:dyDescent="0.35">
      <c r="A250" s="177"/>
      <c r="B250" s="120"/>
      <c r="C250" s="122"/>
      <c r="D250" s="120"/>
      <c r="E250" s="299" t="s">
        <v>717</v>
      </c>
      <c r="F250" s="120"/>
      <c r="G250" s="299" t="s">
        <v>717</v>
      </c>
      <c r="H250" s="120"/>
      <c r="I250" s="299" t="s">
        <v>717</v>
      </c>
      <c r="J250" s="120"/>
      <c r="K250" s="299" t="s">
        <v>717</v>
      </c>
      <c r="L250" s="120"/>
      <c r="M250" s="299" t="s">
        <v>717</v>
      </c>
      <c r="N250" s="120"/>
      <c r="O250" s="299" t="s">
        <v>717</v>
      </c>
      <c r="P250" s="122"/>
      <c r="Q250" s="122"/>
      <c r="R250" s="120"/>
      <c r="S250" s="299" t="s">
        <v>717</v>
      </c>
      <c r="T250" s="120"/>
      <c r="U250" s="122"/>
      <c r="V250" s="120"/>
      <c r="W250" s="122"/>
      <c r="X250" s="120"/>
      <c r="Y250" s="122"/>
      <c r="Z250" s="120"/>
      <c r="AA250" s="300"/>
      <c r="AB250" s="120"/>
      <c r="AC250" s="300"/>
      <c r="AD250" s="123"/>
      <c r="AE250" s="300"/>
      <c r="AF250" s="123"/>
      <c r="AG250" s="147"/>
      <c r="AH250" s="148"/>
      <c r="AI250" s="148"/>
      <c r="AJ250" s="172"/>
      <c r="AK250" s="48"/>
      <c r="AL250" s="48"/>
      <c r="AM250" s="48"/>
    </row>
    <row r="251" spans="1:43" ht="14.25" customHeight="1" thickBot="1" x14ac:dyDescent="0.4">
      <c r="A251" s="177"/>
      <c r="B251" s="120"/>
      <c r="C251" s="122"/>
      <c r="D251" s="120"/>
      <c r="E251" s="122"/>
      <c r="F251" s="120"/>
      <c r="G251" s="122"/>
      <c r="H251" s="120"/>
      <c r="I251" s="122"/>
      <c r="J251" s="120"/>
      <c r="K251" s="122"/>
      <c r="L251" s="120"/>
      <c r="M251" s="122"/>
      <c r="N251" s="120"/>
      <c r="O251" s="122"/>
      <c r="P251" s="122"/>
      <c r="Q251" s="122"/>
      <c r="R251" s="120"/>
      <c r="S251" s="122"/>
      <c r="T251" s="120"/>
      <c r="U251" s="122"/>
      <c r="V251" s="120"/>
      <c r="W251" s="122"/>
      <c r="X251" s="120"/>
      <c r="Y251" s="122"/>
      <c r="Z251" s="120"/>
      <c r="AA251" s="300"/>
      <c r="AB251" s="120"/>
      <c r="AC251" s="300"/>
      <c r="AD251" s="123"/>
      <c r="AE251" s="300"/>
      <c r="AF251" s="123"/>
      <c r="AG251" s="147"/>
      <c r="AH251" s="148"/>
      <c r="AI251" s="148"/>
      <c r="AJ251" s="172"/>
      <c r="AK251" s="48"/>
      <c r="AL251" s="48"/>
      <c r="AM251" s="48"/>
    </row>
    <row r="252" spans="1:43" ht="14.25" customHeight="1" thickBot="1" x14ac:dyDescent="0.4">
      <c r="A252" s="177"/>
      <c r="B252" s="1027" t="s">
        <v>562</v>
      </c>
      <c r="C252" s="1028"/>
      <c r="D252" s="1028"/>
      <c r="E252" s="1028"/>
      <c r="F252" s="1028"/>
      <c r="G252" s="1028"/>
      <c r="H252" s="1028"/>
      <c r="I252" s="1028"/>
      <c r="J252" s="1028"/>
      <c r="K252" s="1028"/>
      <c r="L252" s="1028"/>
      <c r="M252" s="1028"/>
      <c r="N252" s="1028"/>
      <c r="O252" s="1028"/>
      <c r="P252" s="1028"/>
      <c r="Q252" s="1028"/>
      <c r="R252" s="1028"/>
      <c r="S252" s="1028"/>
      <c r="T252" s="1028"/>
      <c r="U252" s="1028"/>
      <c r="V252" s="1028"/>
      <c r="W252" s="1028"/>
      <c r="X252" s="1028"/>
      <c r="Y252" s="1028"/>
      <c r="Z252" s="1028"/>
      <c r="AA252" s="1028"/>
      <c r="AB252" s="1028"/>
      <c r="AC252" s="1028"/>
      <c r="AD252" s="1028"/>
      <c r="AE252" s="1029"/>
      <c r="AF252" s="123"/>
      <c r="AG252" s="147"/>
      <c r="AH252" s="148"/>
      <c r="AI252" s="148"/>
      <c r="AJ252" s="171"/>
      <c r="AK252" s="48"/>
      <c r="AL252" s="48"/>
      <c r="AM252" s="48"/>
    </row>
    <row r="253" spans="1:43" x14ac:dyDescent="0.35">
      <c r="A253" s="156"/>
      <c r="B253" s="157"/>
      <c r="C253" s="159" t="s">
        <v>718</v>
      </c>
      <c r="D253" s="159"/>
      <c r="E253" s="159" t="s">
        <v>719</v>
      </c>
      <c r="F253" s="159"/>
      <c r="G253" s="159" t="s">
        <v>720</v>
      </c>
      <c r="H253" s="159"/>
      <c r="I253" s="159" t="s">
        <v>721</v>
      </c>
      <c r="J253" s="159"/>
      <c r="K253" s="159" t="s">
        <v>722</v>
      </c>
      <c r="L253" s="159"/>
      <c r="M253" s="159" t="s">
        <v>723</v>
      </c>
      <c r="N253" s="159"/>
      <c r="O253" s="159" t="s">
        <v>724</v>
      </c>
      <c r="P253" s="159"/>
      <c r="Q253" s="159"/>
      <c r="R253" s="159"/>
      <c r="S253" s="159" t="s">
        <v>725</v>
      </c>
      <c r="T253" s="159"/>
      <c r="U253" s="159" t="s">
        <v>726</v>
      </c>
      <c r="V253" s="159"/>
      <c r="W253" s="159" t="s">
        <v>727</v>
      </c>
      <c r="X253" s="159"/>
      <c r="Y253" s="159" t="s">
        <v>728</v>
      </c>
      <c r="Z253" s="159"/>
      <c r="AA253" s="159" t="s">
        <v>729</v>
      </c>
      <c r="AB253" s="159"/>
      <c r="AC253" s="159" t="s">
        <v>730</v>
      </c>
      <c r="AD253" s="159"/>
      <c r="AE253" s="159" t="s">
        <v>731</v>
      </c>
      <c r="AF253" s="157"/>
      <c r="AG253" s="202"/>
      <c r="AH253" s="203"/>
      <c r="AI253" s="203"/>
      <c r="AJ253" s="168"/>
      <c r="AK253" s="48"/>
      <c r="AL253" s="48"/>
      <c r="AM253" s="48"/>
    </row>
    <row r="254" spans="1:43" x14ac:dyDescent="0.35">
      <c r="A254" s="173"/>
      <c r="B254" s="121"/>
      <c r="C254" s="121" t="e">
        <v>#N/A</v>
      </c>
      <c r="D254" s="121" t="e">
        <v>#N/A</v>
      </c>
      <c r="E254" s="121">
        <v>0</v>
      </c>
      <c r="F254" s="121" t="e">
        <v>#N/A</v>
      </c>
      <c r="G254" s="121">
        <v>0</v>
      </c>
      <c r="H254" s="121" t="e">
        <v>#N/A</v>
      </c>
      <c r="I254" s="121">
        <v>0</v>
      </c>
      <c r="J254" s="121" t="e">
        <v>#N/A</v>
      </c>
      <c r="K254" s="121">
        <v>0</v>
      </c>
      <c r="L254" s="121" t="e">
        <v>#N/A</v>
      </c>
      <c r="M254" s="121">
        <v>0</v>
      </c>
      <c r="N254" s="121" t="e">
        <v>#N/A</v>
      </c>
      <c r="O254" s="121">
        <v>0</v>
      </c>
      <c r="P254" s="121"/>
      <c r="Q254" s="121"/>
      <c r="R254" s="121"/>
      <c r="S254" s="121">
        <v>0</v>
      </c>
      <c r="T254" s="121"/>
      <c r="U254" s="121">
        <v>0</v>
      </c>
      <c r="V254" s="121"/>
      <c r="W254" s="121">
        <v>0</v>
      </c>
      <c r="X254" s="121"/>
      <c r="Y254" s="121">
        <v>0</v>
      </c>
      <c r="Z254" s="121"/>
      <c r="AA254" s="121">
        <v>0</v>
      </c>
      <c r="AB254" s="121"/>
      <c r="AC254" s="121">
        <v>0</v>
      </c>
      <c r="AD254" s="123"/>
      <c r="AE254" s="121">
        <v>0</v>
      </c>
      <c r="AF254" s="123"/>
      <c r="AG254" s="174"/>
      <c r="AH254" s="175"/>
      <c r="AI254" s="176"/>
      <c r="AJ254" s="172"/>
      <c r="AK254" s="48"/>
      <c r="AL254" s="48"/>
      <c r="AM254" s="48"/>
    </row>
    <row r="255" spans="1:43" s="140" customFormat="1" ht="15" thickBot="1" x14ac:dyDescent="0.4">
      <c r="A255" s="177">
        <v>305</v>
      </c>
      <c r="B255" s="121"/>
      <c r="C255" s="121">
        <v>306</v>
      </c>
      <c r="D255" s="121"/>
      <c r="E255" s="121">
        <v>307</v>
      </c>
      <c r="F255" s="121"/>
      <c r="G255" s="121">
        <v>308</v>
      </c>
      <c r="H255" s="121"/>
      <c r="I255" s="121">
        <v>309</v>
      </c>
      <c r="J255" s="121"/>
      <c r="K255" s="121">
        <v>310</v>
      </c>
      <c r="L255" s="121"/>
      <c r="M255" s="121">
        <v>311</v>
      </c>
      <c r="N255" s="121"/>
      <c r="O255" s="121">
        <v>312</v>
      </c>
      <c r="P255" s="121"/>
      <c r="Q255" s="121"/>
      <c r="R255" s="121"/>
      <c r="S255" s="121">
        <v>313</v>
      </c>
      <c r="T255" s="121"/>
      <c r="U255" s="121">
        <v>314</v>
      </c>
      <c r="V255" s="121"/>
      <c r="W255" s="121">
        <v>315</v>
      </c>
      <c r="X255" s="121"/>
      <c r="Y255" s="121">
        <v>316</v>
      </c>
      <c r="Z255" s="121"/>
      <c r="AA255" s="121">
        <v>317</v>
      </c>
      <c r="AB255" s="121"/>
      <c r="AC255" s="121">
        <v>318</v>
      </c>
      <c r="AD255" s="298"/>
      <c r="AE255" s="121">
        <v>319</v>
      </c>
      <c r="AF255" s="298"/>
      <c r="AG255" s="174"/>
      <c r="AH255" s="175"/>
      <c r="AI255" s="178"/>
      <c r="AJ255" s="172"/>
      <c r="AK255" s="192"/>
      <c r="AL255" s="192"/>
      <c r="AM255" s="192"/>
    </row>
    <row r="256" spans="1:43" ht="15" thickBot="1" x14ac:dyDescent="0.4">
      <c r="A256" s="177"/>
      <c r="B256" s="143">
        <v>356</v>
      </c>
      <c r="C256" s="961">
        <v>0</v>
      </c>
      <c r="D256" s="143">
        <v>375</v>
      </c>
      <c r="E256" s="961">
        <v>0</v>
      </c>
      <c r="F256" s="143">
        <v>376.62</v>
      </c>
      <c r="G256" s="961">
        <v>0</v>
      </c>
      <c r="H256" s="143">
        <v>353</v>
      </c>
      <c r="I256" s="980" t="s">
        <v>418</v>
      </c>
      <c r="J256" s="143">
        <v>352</v>
      </c>
      <c r="K256" s="988"/>
      <c r="L256" s="143">
        <v>349</v>
      </c>
      <c r="M256" s="980" t="s">
        <v>418</v>
      </c>
      <c r="N256" s="143">
        <v>356</v>
      </c>
      <c r="O256" s="980" t="s">
        <v>418</v>
      </c>
      <c r="P256" s="137"/>
      <c r="Q256" s="143">
        <v>345</v>
      </c>
      <c r="R256" s="143"/>
      <c r="S256" s="961">
        <v>0</v>
      </c>
      <c r="T256" s="143">
        <v>400</v>
      </c>
      <c r="U256" s="961">
        <v>0</v>
      </c>
      <c r="V256" s="143">
        <v>319.37900000000002</v>
      </c>
      <c r="W256" s="961">
        <v>0</v>
      </c>
      <c r="X256" s="143">
        <v>343.76</v>
      </c>
      <c r="Y256" s="980" t="s">
        <v>418</v>
      </c>
      <c r="Z256" s="143">
        <v>322.5</v>
      </c>
      <c r="AA256" s="980" t="s">
        <v>418</v>
      </c>
      <c r="AB256" s="143">
        <v>453.99</v>
      </c>
      <c r="AC256" s="988"/>
      <c r="AD256" s="143">
        <v>359.96</v>
      </c>
      <c r="AE256" s="980" t="s">
        <v>418</v>
      </c>
      <c r="AF256" s="123"/>
      <c r="AG256" s="144">
        <v>2</v>
      </c>
      <c r="AH256" s="145">
        <v>0</v>
      </c>
      <c r="AI256" s="145">
        <v>0</v>
      </c>
      <c r="AJ256" s="180"/>
      <c r="AK256" s="48"/>
      <c r="AL256" s="48"/>
      <c r="AM256" s="48"/>
    </row>
    <row r="257" spans="1:39" x14ac:dyDescent="0.35">
      <c r="A257" s="177"/>
      <c r="B257" s="120"/>
      <c r="C257" s="962"/>
      <c r="D257" s="120"/>
      <c r="E257" s="962"/>
      <c r="F257" s="120"/>
      <c r="G257" s="962"/>
      <c r="H257" s="120"/>
      <c r="I257" s="981"/>
      <c r="J257" s="120"/>
      <c r="K257" s="989"/>
      <c r="L257" s="120"/>
      <c r="M257" s="981"/>
      <c r="N257" s="120"/>
      <c r="O257" s="981"/>
      <c r="P257" s="137"/>
      <c r="Q257" s="137"/>
      <c r="R257" s="120"/>
      <c r="S257" s="962"/>
      <c r="T257" s="120"/>
      <c r="U257" s="962"/>
      <c r="V257" s="120"/>
      <c r="W257" s="962"/>
      <c r="X257" s="120"/>
      <c r="Y257" s="981"/>
      <c r="Z257" s="120"/>
      <c r="AA257" s="981"/>
      <c r="AB257" s="120"/>
      <c r="AC257" s="989"/>
      <c r="AD257" s="123"/>
      <c r="AE257" s="981"/>
      <c r="AF257" s="123"/>
      <c r="AG257" s="147"/>
      <c r="AH257" s="148"/>
      <c r="AI257" s="148"/>
      <c r="AJ257" s="172"/>
      <c r="AK257" s="48"/>
      <c r="AL257" s="48"/>
      <c r="AM257" s="48"/>
    </row>
    <row r="258" spans="1:39" ht="6" customHeight="1" x14ac:dyDescent="0.35">
      <c r="A258" s="177"/>
      <c r="B258" s="120"/>
      <c r="C258" s="150">
        <v>0</v>
      </c>
      <c r="D258" s="121"/>
      <c r="E258" s="150">
        <v>0</v>
      </c>
      <c r="F258" s="121"/>
      <c r="G258" s="150">
        <v>0</v>
      </c>
      <c r="H258" s="121"/>
      <c r="I258" s="150">
        <v>0</v>
      </c>
      <c r="J258" s="121"/>
      <c r="K258" s="150">
        <v>0</v>
      </c>
      <c r="L258" s="121"/>
      <c r="M258" s="150">
        <v>0</v>
      </c>
      <c r="N258" s="121"/>
      <c r="O258" s="150">
        <v>0</v>
      </c>
      <c r="P258" s="137"/>
      <c r="Q258" s="137"/>
      <c r="R258" s="121"/>
      <c r="S258" s="150">
        <v>0</v>
      </c>
      <c r="T258" s="121"/>
      <c r="U258" s="150">
        <v>0</v>
      </c>
      <c r="V258" s="121"/>
      <c r="W258" s="150">
        <v>0</v>
      </c>
      <c r="X258" s="121"/>
      <c r="Y258" s="150">
        <v>0</v>
      </c>
      <c r="Z258" s="121"/>
      <c r="AA258" s="150">
        <v>0</v>
      </c>
      <c r="AB258" s="121"/>
      <c r="AC258" s="150">
        <v>0</v>
      </c>
      <c r="AD258" s="123"/>
      <c r="AE258" s="150">
        <v>0</v>
      </c>
      <c r="AF258" s="123"/>
      <c r="AG258" s="147"/>
      <c r="AH258" s="148"/>
      <c r="AI258" s="148"/>
      <c r="AJ258" s="172"/>
      <c r="AK258" s="48"/>
      <c r="AL258" s="48"/>
      <c r="AM258" s="48"/>
    </row>
    <row r="259" spans="1:39" ht="14.25" customHeight="1" x14ac:dyDescent="0.35">
      <c r="A259" s="177"/>
      <c r="B259" s="120"/>
      <c r="C259" s="122" t="s">
        <v>142</v>
      </c>
      <c r="D259" s="120"/>
      <c r="E259" s="122" t="s">
        <v>142</v>
      </c>
      <c r="F259" s="120"/>
      <c r="G259" s="122" t="s">
        <v>167</v>
      </c>
      <c r="H259" s="120"/>
      <c r="I259" s="122" t="s">
        <v>161</v>
      </c>
      <c r="J259" s="120"/>
      <c r="K259" s="122" t="s">
        <v>142</v>
      </c>
      <c r="L259" s="120"/>
      <c r="M259" s="122" t="s">
        <v>142</v>
      </c>
      <c r="N259" s="120"/>
      <c r="O259" s="122" t="s">
        <v>142</v>
      </c>
      <c r="P259" s="122"/>
      <c r="Q259" s="122"/>
      <c r="R259" s="120"/>
      <c r="S259" s="122" t="s">
        <v>126</v>
      </c>
      <c r="T259" s="120"/>
      <c r="U259" s="122" t="s">
        <v>142</v>
      </c>
      <c r="V259" s="120"/>
      <c r="W259" s="294" t="s">
        <v>360</v>
      </c>
      <c r="X259" s="295"/>
      <c r="Y259" s="294" t="s">
        <v>161</v>
      </c>
      <c r="Z259" s="295"/>
      <c r="AA259" s="294" t="s">
        <v>126</v>
      </c>
      <c r="AB259" s="295"/>
      <c r="AC259" s="294" t="s">
        <v>126</v>
      </c>
      <c r="AD259" s="301"/>
      <c r="AE259" s="294" t="s">
        <v>126</v>
      </c>
      <c r="AF259" s="123"/>
      <c r="AG259" s="147"/>
      <c r="AH259" s="148"/>
      <c r="AI259" s="148"/>
      <c r="AJ259" s="172"/>
      <c r="AK259" s="48"/>
      <c r="AL259" s="48"/>
      <c r="AM259" s="48"/>
    </row>
    <row r="260" spans="1:39" ht="14.25" customHeight="1" x14ac:dyDescent="0.35">
      <c r="A260" s="177"/>
      <c r="B260" s="120"/>
      <c r="C260" s="122"/>
      <c r="D260" s="120"/>
      <c r="E260" s="122"/>
      <c r="F260" s="120"/>
      <c r="G260" s="122"/>
      <c r="H260" s="120"/>
      <c r="I260" s="299" t="s">
        <v>732</v>
      </c>
      <c r="J260" s="120"/>
      <c r="K260" s="299" t="s">
        <v>732</v>
      </c>
      <c r="L260" s="120"/>
      <c r="M260" s="299" t="s">
        <v>732</v>
      </c>
      <c r="N260" s="120"/>
      <c r="O260" s="299" t="s">
        <v>732</v>
      </c>
      <c r="P260" s="122"/>
      <c r="Q260" s="122"/>
      <c r="R260" s="120"/>
      <c r="S260" s="122"/>
      <c r="T260" s="120"/>
      <c r="U260" s="122"/>
      <c r="V260" s="120"/>
      <c r="W260" s="302"/>
      <c r="X260" s="155"/>
      <c r="Y260" s="303" t="s">
        <v>733</v>
      </c>
      <c r="Z260" s="155"/>
      <c r="AA260" s="303" t="s">
        <v>733</v>
      </c>
      <c r="AB260" s="304"/>
      <c r="AC260" s="303" t="s">
        <v>733</v>
      </c>
      <c r="AD260" s="49"/>
      <c r="AE260" s="303" t="s">
        <v>733</v>
      </c>
      <c r="AF260" s="123"/>
      <c r="AG260" s="147"/>
      <c r="AH260" s="148"/>
      <c r="AI260" s="148"/>
      <c r="AJ260" s="172"/>
      <c r="AK260" s="48"/>
      <c r="AL260" s="48"/>
      <c r="AM260" s="48"/>
    </row>
    <row r="261" spans="1:39" ht="14.25" customHeight="1" thickBot="1" x14ac:dyDescent="0.4">
      <c r="A261" s="177"/>
      <c r="B261" s="120"/>
      <c r="C261" s="122"/>
      <c r="D261" s="120"/>
      <c r="E261" s="122"/>
      <c r="F261" s="120"/>
      <c r="G261" s="122"/>
      <c r="H261" s="120"/>
      <c r="I261" s="122"/>
      <c r="J261" s="120"/>
      <c r="K261" s="122"/>
      <c r="L261" s="120"/>
      <c r="M261" s="122"/>
      <c r="N261" s="120"/>
      <c r="O261" s="122"/>
      <c r="P261" s="122"/>
      <c r="Q261" s="122"/>
      <c r="R261" s="120"/>
      <c r="S261" s="122"/>
      <c r="T261" s="120"/>
      <c r="U261" s="122"/>
      <c r="V261" s="120"/>
      <c r="W261" s="122"/>
      <c r="X261" s="120"/>
      <c r="Y261" s="122"/>
      <c r="Z261" s="120"/>
      <c r="AA261" s="300"/>
      <c r="AB261" s="120"/>
      <c r="AC261" s="300"/>
      <c r="AD261" s="123"/>
      <c r="AE261" s="300"/>
      <c r="AF261" s="123"/>
      <c r="AG261" s="147"/>
      <c r="AH261" s="148"/>
      <c r="AI261" s="148"/>
      <c r="AJ261" s="172"/>
      <c r="AK261" s="48"/>
      <c r="AL261" s="48"/>
      <c r="AM261" s="48"/>
    </row>
    <row r="262" spans="1:39" ht="14.25" customHeight="1" thickBot="1" x14ac:dyDescent="0.4">
      <c r="A262" s="305"/>
      <c r="B262" s="1019" t="s">
        <v>562</v>
      </c>
      <c r="C262" s="1020"/>
      <c r="D262" s="1020"/>
      <c r="E262" s="1020"/>
      <c r="F262" s="1020"/>
      <c r="G262" s="1020"/>
      <c r="H262" s="1020"/>
      <c r="I262" s="1020"/>
      <c r="J262" s="1020"/>
      <c r="K262" s="1020"/>
      <c r="L262" s="1020"/>
      <c r="M262" s="1020"/>
      <c r="N262" s="1020"/>
      <c r="O262" s="1020"/>
      <c r="P262" s="1020"/>
      <c r="Q262" s="1020"/>
      <c r="R262" s="1020"/>
      <c r="S262" s="1020"/>
      <c r="T262" s="1020"/>
      <c r="U262" s="1020"/>
      <c r="V262" s="1020"/>
      <c r="W262" s="1020"/>
      <c r="X262" s="1020"/>
      <c r="Y262" s="1020"/>
      <c r="Z262" s="1020"/>
      <c r="AA262" s="1020"/>
      <c r="AB262" s="1020"/>
      <c r="AC262" s="1020"/>
      <c r="AD262" s="1020"/>
      <c r="AE262" s="1021"/>
      <c r="AF262" s="306"/>
      <c r="AG262" s="188"/>
      <c r="AH262" s="189"/>
      <c r="AI262" s="189"/>
      <c r="AJ262" s="201"/>
      <c r="AK262" s="48"/>
      <c r="AL262" s="48"/>
      <c r="AM262" s="48"/>
    </row>
    <row r="263" spans="1:39" ht="14.25" customHeight="1" x14ac:dyDescent="0.35">
      <c r="A263" s="307"/>
      <c r="B263" s="157"/>
      <c r="C263" s="159"/>
      <c r="D263" s="157"/>
      <c r="E263" s="159"/>
      <c r="F263" s="157"/>
      <c r="G263" s="159"/>
      <c r="H263" s="157"/>
      <c r="I263" s="159"/>
      <c r="J263" s="157"/>
      <c r="K263" s="159"/>
      <c r="L263" s="157"/>
      <c r="M263" s="159"/>
      <c r="N263" s="157"/>
      <c r="O263" s="159"/>
      <c r="P263" s="159"/>
      <c r="Q263" s="159"/>
      <c r="R263" s="163" t="s">
        <v>734</v>
      </c>
      <c r="S263" s="159"/>
      <c r="T263" s="157"/>
      <c r="U263" s="159"/>
      <c r="V263" s="157"/>
      <c r="W263" s="159"/>
      <c r="X263" s="157"/>
      <c r="Y263" s="159"/>
      <c r="Z263" s="157"/>
      <c r="AA263" s="308"/>
      <c r="AB263" s="157"/>
      <c r="AC263" s="308"/>
      <c r="AD263" s="160"/>
      <c r="AE263" s="308"/>
      <c r="AF263" s="160"/>
      <c r="AG263" s="166"/>
      <c r="AH263" s="167"/>
      <c r="AI263" s="167"/>
      <c r="AJ263" s="203"/>
      <c r="AK263" s="48"/>
      <c r="AL263" s="48"/>
      <c r="AM263" s="48"/>
    </row>
    <row r="264" spans="1:39" x14ac:dyDescent="0.35">
      <c r="A264" s="169"/>
      <c r="B264" s="120"/>
      <c r="C264" s="122" t="s">
        <v>735</v>
      </c>
      <c r="D264" s="122"/>
      <c r="E264" s="122" t="s">
        <v>736</v>
      </c>
      <c r="F264" s="122"/>
      <c r="G264" s="122" t="s">
        <v>737</v>
      </c>
      <c r="H264" s="122"/>
      <c r="I264" s="122" t="s">
        <v>738</v>
      </c>
      <c r="J264" s="122"/>
      <c r="K264" s="122" t="s">
        <v>739</v>
      </c>
      <c r="L264" s="122"/>
      <c r="M264" s="122" t="s">
        <v>740</v>
      </c>
      <c r="N264" s="122"/>
      <c r="O264" s="122" t="s">
        <v>741</v>
      </c>
      <c r="P264" s="122"/>
      <c r="Q264" s="122"/>
      <c r="R264" s="122"/>
      <c r="S264" s="122" t="s">
        <v>742</v>
      </c>
      <c r="T264" s="122"/>
      <c r="U264" s="122" t="s">
        <v>743</v>
      </c>
      <c r="V264" s="122"/>
      <c r="W264" s="122" t="s">
        <v>744</v>
      </c>
      <c r="X264" s="122"/>
      <c r="Y264" s="122" t="s">
        <v>745</v>
      </c>
      <c r="Z264" s="122"/>
      <c r="AA264" s="122" t="s">
        <v>746</v>
      </c>
      <c r="AB264" s="122"/>
      <c r="AC264" s="122" t="s">
        <v>747</v>
      </c>
      <c r="AD264" s="122"/>
      <c r="AE264" s="122" t="s">
        <v>748</v>
      </c>
      <c r="AF264" s="120"/>
      <c r="AG264" s="170"/>
      <c r="AH264" s="171"/>
      <c r="AI264" s="171"/>
      <c r="AJ264" s="172"/>
      <c r="AK264" s="48"/>
      <c r="AL264" s="48"/>
      <c r="AM264" s="48"/>
    </row>
    <row r="265" spans="1:39" x14ac:dyDescent="0.35">
      <c r="A265" s="173"/>
      <c r="B265" s="121"/>
      <c r="C265" s="121" t="e">
        <v>#N/A</v>
      </c>
      <c r="D265" s="121" t="e">
        <v>#N/A</v>
      </c>
      <c r="E265" s="121">
        <v>0</v>
      </c>
      <c r="F265" s="121" t="e">
        <v>#N/A</v>
      </c>
      <c r="G265" s="121">
        <v>0</v>
      </c>
      <c r="H265" s="121" t="e">
        <v>#N/A</v>
      </c>
      <c r="I265" s="121">
        <v>0</v>
      </c>
      <c r="J265" s="121" t="e">
        <v>#N/A</v>
      </c>
      <c r="K265" s="121">
        <v>0</v>
      </c>
      <c r="L265" s="121" t="e">
        <v>#N/A</v>
      </c>
      <c r="M265" s="121">
        <v>0</v>
      </c>
      <c r="N265" s="121" t="e">
        <v>#N/A</v>
      </c>
      <c r="O265" s="121">
        <v>0</v>
      </c>
      <c r="P265" s="121"/>
      <c r="Q265" s="121"/>
      <c r="R265" s="121"/>
      <c r="S265" s="121">
        <v>0</v>
      </c>
      <c r="T265" s="121"/>
      <c r="U265" s="121">
        <v>0</v>
      </c>
      <c r="V265" s="121"/>
      <c r="W265" s="121">
        <v>0</v>
      </c>
      <c r="X265" s="121"/>
      <c r="Y265" s="121">
        <v>0</v>
      </c>
      <c r="Z265" s="121"/>
      <c r="AA265" s="121">
        <v>0</v>
      </c>
      <c r="AB265" s="121"/>
      <c r="AC265" s="121">
        <v>0</v>
      </c>
      <c r="AD265" s="123"/>
      <c r="AE265" s="121">
        <v>0</v>
      </c>
      <c r="AF265" s="123"/>
      <c r="AG265" s="174"/>
      <c r="AH265" s="175"/>
      <c r="AI265" s="176"/>
      <c r="AJ265" s="172"/>
      <c r="AK265" s="48"/>
      <c r="AL265" s="48"/>
      <c r="AM265" s="48"/>
    </row>
    <row r="266" spans="1:39" s="140" customFormat="1" ht="15" thickBot="1" x14ac:dyDescent="0.4">
      <c r="A266" s="177">
        <v>319</v>
      </c>
      <c r="B266" s="121"/>
      <c r="C266" s="121">
        <v>320</v>
      </c>
      <c r="D266" s="121"/>
      <c r="E266" s="121">
        <v>321</v>
      </c>
      <c r="F266" s="121"/>
      <c r="G266" s="121">
        <v>322</v>
      </c>
      <c r="H266" s="121"/>
      <c r="I266" s="121">
        <v>323</v>
      </c>
      <c r="J266" s="121"/>
      <c r="K266" s="121">
        <v>324</v>
      </c>
      <c r="L266" s="121"/>
      <c r="M266" s="121">
        <v>325</v>
      </c>
      <c r="N266" s="121"/>
      <c r="O266" s="121">
        <v>326</v>
      </c>
      <c r="P266" s="121"/>
      <c r="Q266" s="121"/>
      <c r="R266" s="121"/>
      <c r="S266" s="121">
        <v>327</v>
      </c>
      <c r="T266" s="121"/>
      <c r="U266" s="121">
        <v>328</v>
      </c>
      <c r="V266" s="121"/>
      <c r="W266" s="121">
        <v>329</v>
      </c>
      <c r="X266" s="121"/>
      <c r="Y266" s="121">
        <v>330</v>
      </c>
      <c r="Z266" s="121"/>
      <c r="AA266" s="121">
        <v>331</v>
      </c>
      <c r="AB266" s="121"/>
      <c r="AC266" s="121">
        <v>332</v>
      </c>
      <c r="AD266" s="298"/>
      <c r="AE266" s="121">
        <v>333</v>
      </c>
      <c r="AF266" s="298"/>
      <c r="AG266" s="174"/>
      <c r="AH266" s="175"/>
      <c r="AI266" s="178"/>
      <c r="AJ266" s="172"/>
      <c r="AK266" s="192"/>
      <c r="AL266" s="192"/>
      <c r="AM266" s="192"/>
    </row>
    <row r="267" spans="1:39" ht="15" thickBot="1" x14ac:dyDescent="0.4">
      <c r="A267" s="177"/>
      <c r="B267" s="143">
        <v>447.53</v>
      </c>
      <c r="C267" s="961">
        <v>0</v>
      </c>
      <c r="D267" s="143">
        <v>399</v>
      </c>
      <c r="E267" s="961">
        <v>0</v>
      </c>
      <c r="F267" s="143">
        <v>353</v>
      </c>
      <c r="G267" s="961">
        <v>0</v>
      </c>
      <c r="H267" s="143">
        <v>355</v>
      </c>
      <c r="I267" s="961">
        <v>0</v>
      </c>
      <c r="J267" s="143">
        <v>331</v>
      </c>
      <c r="K267" s="961">
        <v>0</v>
      </c>
      <c r="L267" s="143">
        <v>335</v>
      </c>
      <c r="M267" s="961">
        <v>0</v>
      </c>
      <c r="N267" s="143">
        <v>326.81099999999998</v>
      </c>
      <c r="O267" s="961">
        <v>0</v>
      </c>
      <c r="P267" s="137"/>
      <c r="Q267" s="143">
        <v>248.90799999999999</v>
      </c>
      <c r="R267" s="143"/>
      <c r="S267" s="961">
        <v>0</v>
      </c>
      <c r="T267" s="143">
        <v>368.00099999999998</v>
      </c>
      <c r="U267" s="961">
        <v>0</v>
      </c>
      <c r="V267" s="143">
        <v>341</v>
      </c>
      <c r="W267" s="961">
        <v>0</v>
      </c>
      <c r="X267" s="143">
        <v>323</v>
      </c>
      <c r="Y267" s="961">
        <v>0</v>
      </c>
      <c r="Z267" s="143">
        <v>333</v>
      </c>
      <c r="AA267" s="961">
        <v>0</v>
      </c>
      <c r="AB267" s="143">
        <v>323.56400000000002</v>
      </c>
      <c r="AC267" s="961">
        <v>0</v>
      </c>
      <c r="AD267" s="143">
        <v>414.99599999999998</v>
      </c>
      <c r="AE267" s="961">
        <v>0</v>
      </c>
      <c r="AF267" s="123"/>
      <c r="AG267" s="144">
        <v>0</v>
      </c>
      <c r="AH267" s="145">
        <v>0</v>
      </c>
      <c r="AI267" s="145">
        <v>0</v>
      </c>
      <c r="AJ267" s="180"/>
      <c r="AK267" s="48"/>
      <c r="AL267" s="48"/>
      <c r="AM267" s="48"/>
    </row>
    <row r="268" spans="1:39" x14ac:dyDescent="0.35">
      <c r="A268" s="177"/>
      <c r="B268" s="120"/>
      <c r="C268" s="962"/>
      <c r="D268" s="120"/>
      <c r="E268" s="962"/>
      <c r="F268" s="120"/>
      <c r="G268" s="962"/>
      <c r="H268" s="120"/>
      <c r="I268" s="962"/>
      <c r="J268" s="120"/>
      <c r="K268" s="962"/>
      <c r="L268" s="120"/>
      <c r="M268" s="962"/>
      <c r="N268" s="120"/>
      <c r="O268" s="962"/>
      <c r="P268" s="137"/>
      <c r="Q268" s="137"/>
      <c r="R268" s="120"/>
      <c r="S268" s="962"/>
      <c r="T268" s="120"/>
      <c r="U268" s="962"/>
      <c r="V268" s="120"/>
      <c r="W268" s="962"/>
      <c r="X268" s="120"/>
      <c r="Y268" s="962"/>
      <c r="Z268" s="120"/>
      <c r="AA268" s="962"/>
      <c r="AB268" s="120"/>
      <c r="AC268" s="962"/>
      <c r="AD268" s="123"/>
      <c r="AE268" s="962"/>
      <c r="AF268" s="123"/>
      <c r="AG268" s="147"/>
      <c r="AH268" s="148"/>
      <c r="AI268" s="148"/>
      <c r="AJ268" s="172"/>
      <c r="AK268" s="48"/>
      <c r="AL268" s="48"/>
      <c r="AM268" s="48"/>
    </row>
    <row r="269" spans="1:39" ht="6" customHeight="1" x14ac:dyDescent="0.35">
      <c r="A269" s="177"/>
      <c r="B269" s="120"/>
      <c r="C269" s="150">
        <v>0</v>
      </c>
      <c r="D269" s="121"/>
      <c r="E269" s="150">
        <v>0</v>
      </c>
      <c r="F269" s="121"/>
      <c r="G269" s="150">
        <v>0</v>
      </c>
      <c r="H269" s="121"/>
      <c r="I269" s="150">
        <v>0</v>
      </c>
      <c r="J269" s="121"/>
      <c r="K269" s="150">
        <v>0</v>
      </c>
      <c r="L269" s="121"/>
      <c r="M269" s="150">
        <v>0</v>
      </c>
      <c r="N269" s="121"/>
      <c r="O269" s="150">
        <v>0</v>
      </c>
      <c r="P269" s="137"/>
      <c r="Q269" s="137"/>
      <c r="R269" s="121"/>
      <c r="S269" s="150">
        <v>0</v>
      </c>
      <c r="T269" s="121"/>
      <c r="U269" s="150">
        <v>0</v>
      </c>
      <c r="V269" s="121"/>
      <c r="W269" s="150">
        <v>0</v>
      </c>
      <c r="X269" s="121"/>
      <c r="Y269" s="150">
        <v>0</v>
      </c>
      <c r="Z269" s="121"/>
      <c r="AA269" s="150">
        <v>0</v>
      </c>
      <c r="AB269" s="121"/>
      <c r="AC269" s="150">
        <v>0</v>
      </c>
      <c r="AD269" s="123"/>
      <c r="AE269" s="150">
        <v>0</v>
      </c>
      <c r="AF269" s="123"/>
      <c r="AG269" s="147"/>
      <c r="AH269" s="148"/>
      <c r="AI269" s="148"/>
      <c r="AJ269" s="172"/>
      <c r="AK269" s="48"/>
      <c r="AL269" s="48"/>
      <c r="AM269" s="48"/>
    </row>
    <row r="270" spans="1:39" ht="14.25" customHeight="1" x14ac:dyDescent="0.35">
      <c r="A270" s="177"/>
      <c r="B270" s="120"/>
      <c r="C270" s="294" t="s">
        <v>366</v>
      </c>
      <c r="D270" s="295"/>
      <c r="E270" s="294" t="s">
        <v>161</v>
      </c>
      <c r="F270" s="295"/>
      <c r="G270" s="294" t="s">
        <v>142</v>
      </c>
      <c r="H270" s="295"/>
      <c r="I270" s="294" t="s">
        <v>142</v>
      </c>
      <c r="J270" s="295"/>
      <c r="K270" s="294" t="s">
        <v>161</v>
      </c>
      <c r="L270" s="295"/>
      <c r="M270" s="294" t="s">
        <v>161</v>
      </c>
      <c r="N270" s="295"/>
      <c r="O270" s="294" t="s">
        <v>360</v>
      </c>
      <c r="P270" s="294"/>
      <c r="Q270" s="294"/>
      <c r="R270" s="295"/>
      <c r="S270" s="294" t="s">
        <v>167</v>
      </c>
      <c r="T270" s="120"/>
      <c r="U270" s="122" t="s">
        <v>142</v>
      </c>
      <c r="V270" s="120"/>
      <c r="W270" s="122" t="s">
        <v>142</v>
      </c>
      <c r="X270" s="120"/>
      <c r="Y270" s="122" t="s">
        <v>142</v>
      </c>
      <c r="Z270" s="120"/>
      <c r="AA270" s="122" t="s">
        <v>161</v>
      </c>
      <c r="AB270" s="120"/>
      <c r="AC270" s="122" t="s">
        <v>366</v>
      </c>
      <c r="AD270" s="123"/>
      <c r="AE270" s="122" t="s">
        <v>126</v>
      </c>
      <c r="AF270" s="123"/>
      <c r="AG270" s="147"/>
      <c r="AH270" s="148"/>
      <c r="AI270" s="148"/>
      <c r="AJ270" s="172"/>
      <c r="AK270" s="48"/>
      <c r="AL270" s="48"/>
      <c r="AM270" s="48"/>
    </row>
    <row r="271" spans="1:39" ht="14.25" customHeight="1" x14ac:dyDescent="0.35">
      <c r="A271" s="177"/>
      <c r="B271" s="120"/>
      <c r="C271" s="302"/>
      <c r="E271" s="302"/>
      <c r="G271" s="302"/>
      <c r="I271" s="302"/>
      <c r="J271" s="220" t="s">
        <v>668</v>
      </c>
      <c r="K271" s="302"/>
      <c r="M271" s="302"/>
      <c r="O271" s="302"/>
      <c r="P271" s="302"/>
      <c r="Q271" s="302"/>
      <c r="S271" s="302"/>
      <c r="T271" s="120"/>
      <c r="U271" s="122"/>
      <c r="V271" s="120"/>
      <c r="W271" s="122"/>
      <c r="X271" s="120"/>
      <c r="Y271" s="122"/>
      <c r="Z271" s="120"/>
      <c r="AA271" s="122"/>
      <c r="AB271" s="120"/>
      <c r="AC271" s="122"/>
      <c r="AD271" s="123"/>
      <c r="AE271" s="122"/>
      <c r="AF271" s="123"/>
      <c r="AG271" s="147"/>
      <c r="AH271" s="148"/>
      <c r="AI271" s="148"/>
      <c r="AJ271" s="172"/>
      <c r="AK271" s="48"/>
      <c r="AL271" s="48"/>
      <c r="AM271" s="48"/>
    </row>
    <row r="272" spans="1:39" ht="14.25" customHeight="1" thickBot="1" x14ac:dyDescent="0.4">
      <c r="A272" s="177"/>
      <c r="B272" s="120"/>
      <c r="C272" s="122"/>
      <c r="D272" s="120"/>
      <c r="E272" s="122"/>
      <c r="F272" s="120"/>
      <c r="G272" s="122"/>
      <c r="H272" s="120"/>
      <c r="I272" s="122"/>
      <c r="J272" s="120"/>
      <c r="K272" s="122"/>
      <c r="L272" s="120"/>
      <c r="M272" s="122"/>
      <c r="N272" s="120"/>
      <c r="O272" s="122"/>
      <c r="P272" s="122"/>
      <c r="Q272" s="122"/>
      <c r="R272" s="120"/>
      <c r="S272" s="122"/>
      <c r="T272" s="120"/>
      <c r="U272" s="122"/>
      <c r="V272" s="120"/>
      <c r="W272" s="122"/>
      <c r="X272" s="120"/>
      <c r="Y272" s="122"/>
      <c r="Z272" s="120"/>
      <c r="AA272" s="300"/>
      <c r="AB272" s="120"/>
      <c r="AC272" s="300"/>
      <c r="AD272" s="123"/>
      <c r="AE272" s="300"/>
      <c r="AF272" s="123"/>
      <c r="AG272" s="147"/>
      <c r="AH272" s="148"/>
      <c r="AI272" s="148"/>
      <c r="AJ272" s="172"/>
      <c r="AK272" s="48"/>
      <c r="AL272" s="48"/>
      <c r="AM272" s="48"/>
    </row>
    <row r="273" spans="1:39" ht="14.25" customHeight="1" thickBot="1" x14ac:dyDescent="0.4">
      <c r="A273" s="305"/>
      <c r="B273" s="1019" t="s">
        <v>562</v>
      </c>
      <c r="C273" s="1020"/>
      <c r="D273" s="1020"/>
      <c r="E273" s="1020"/>
      <c r="F273" s="1020"/>
      <c r="G273" s="1020"/>
      <c r="H273" s="1020"/>
      <c r="I273" s="1020"/>
      <c r="J273" s="1020"/>
      <c r="K273" s="1020"/>
      <c r="L273" s="1020"/>
      <c r="M273" s="1020"/>
      <c r="N273" s="1020"/>
      <c r="O273" s="1020"/>
      <c r="P273" s="1020"/>
      <c r="Q273" s="1020"/>
      <c r="R273" s="1020"/>
      <c r="S273" s="1020"/>
      <c r="T273" s="1020"/>
      <c r="U273" s="1020"/>
      <c r="V273" s="1020"/>
      <c r="W273" s="1020"/>
      <c r="X273" s="1020"/>
      <c r="Y273" s="1020"/>
      <c r="Z273" s="1020"/>
      <c r="AA273" s="1020"/>
      <c r="AB273" s="1020"/>
      <c r="AC273" s="1020"/>
      <c r="AD273" s="1020"/>
      <c r="AE273" s="1021"/>
      <c r="AF273" s="306"/>
      <c r="AG273" s="188"/>
      <c r="AH273" s="189"/>
      <c r="AI273" s="189"/>
      <c r="AJ273" s="201"/>
      <c r="AK273" s="48"/>
      <c r="AL273" s="48"/>
      <c r="AM273" s="48"/>
    </row>
    <row r="274" spans="1:39" ht="14.25" customHeight="1" x14ac:dyDescent="0.35">
      <c r="A274" s="307"/>
      <c r="B274" s="157"/>
      <c r="C274" s="159"/>
      <c r="D274" s="157"/>
      <c r="E274" s="159"/>
      <c r="F274" s="157"/>
      <c r="G274" s="159"/>
      <c r="H274" s="157"/>
      <c r="I274" s="159"/>
      <c r="J274" s="157"/>
      <c r="K274" s="159"/>
      <c r="L274" s="157"/>
      <c r="M274" s="159"/>
      <c r="N274" s="157"/>
      <c r="O274" s="159"/>
      <c r="P274" s="159"/>
      <c r="Q274" s="159"/>
      <c r="R274" s="157"/>
      <c r="S274" s="159"/>
      <c r="T274" s="157"/>
      <c r="U274" s="159"/>
      <c r="V274" s="157"/>
      <c r="W274" s="159"/>
      <c r="X274" s="157"/>
      <c r="Y274" s="159"/>
      <c r="Z274" s="157"/>
      <c r="AA274" s="308"/>
      <c r="AB274" s="157"/>
      <c r="AC274" s="309"/>
      <c r="AD274" s="160"/>
      <c r="AE274" s="308"/>
      <c r="AF274" s="160"/>
      <c r="AG274" s="166"/>
      <c r="AH274" s="167"/>
      <c r="AI274" s="167"/>
      <c r="AJ274" s="168"/>
      <c r="AK274" s="48"/>
      <c r="AL274" s="48"/>
      <c r="AM274" s="48"/>
    </row>
    <row r="275" spans="1:39" x14ac:dyDescent="0.35">
      <c r="A275" s="169"/>
      <c r="B275" s="120"/>
      <c r="C275" s="122" t="s">
        <v>749</v>
      </c>
      <c r="D275" s="122"/>
      <c r="E275" s="122" t="s">
        <v>750</v>
      </c>
      <c r="F275" s="122"/>
      <c r="G275" s="122" t="s">
        <v>751</v>
      </c>
      <c r="H275" s="122"/>
      <c r="I275" s="122" t="s">
        <v>752</v>
      </c>
      <c r="J275" s="122"/>
      <c r="K275" s="122" t="s">
        <v>753</v>
      </c>
      <c r="L275" s="122"/>
      <c r="M275" s="122" t="s">
        <v>754</v>
      </c>
      <c r="N275" s="122"/>
      <c r="O275" s="122" t="s">
        <v>755</v>
      </c>
      <c r="P275" s="122"/>
      <c r="Q275" s="122"/>
      <c r="R275" s="122"/>
      <c r="S275" s="122" t="s">
        <v>756</v>
      </c>
      <c r="T275" s="122"/>
      <c r="U275" s="122" t="s">
        <v>757</v>
      </c>
      <c r="V275" s="122"/>
      <c r="W275" s="122" t="s">
        <v>758</v>
      </c>
      <c r="X275" s="122"/>
      <c r="Y275" s="122" t="s">
        <v>759</v>
      </c>
      <c r="Z275" s="122"/>
      <c r="AA275" s="122" t="s">
        <v>760</v>
      </c>
      <c r="AB275" s="122"/>
      <c r="AC275" s="122" t="s">
        <v>761</v>
      </c>
      <c r="AD275" s="122"/>
      <c r="AE275" s="122" t="s">
        <v>762</v>
      </c>
      <c r="AF275" s="120"/>
      <c r="AG275" s="170"/>
      <c r="AH275" s="171"/>
      <c r="AI275" s="171"/>
      <c r="AJ275" s="172"/>
      <c r="AK275" s="48"/>
      <c r="AL275" s="48"/>
      <c r="AM275" s="48"/>
    </row>
    <row r="276" spans="1:39" x14ac:dyDescent="0.35">
      <c r="A276" s="173"/>
      <c r="B276" s="121"/>
      <c r="C276" s="121" t="e">
        <v>#N/A</v>
      </c>
      <c r="D276" s="121" t="e">
        <v>#N/A</v>
      </c>
      <c r="E276" s="121">
        <v>0</v>
      </c>
      <c r="F276" s="121" t="e">
        <v>#N/A</v>
      </c>
      <c r="G276" s="121">
        <v>0</v>
      </c>
      <c r="H276" s="121" t="e">
        <v>#N/A</v>
      </c>
      <c r="I276" s="121">
        <v>0</v>
      </c>
      <c r="J276" s="121" t="e">
        <v>#N/A</v>
      </c>
      <c r="K276" s="121">
        <v>0</v>
      </c>
      <c r="L276" s="121" t="e">
        <v>#N/A</v>
      </c>
      <c r="M276" s="121">
        <v>0</v>
      </c>
      <c r="N276" s="121" t="e">
        <v>#N/A</v>
      </c>
      <c r="O276" s="121">
        <v>0</v>
      </c>
      <c r="P276" s="121"/>
      <c r="Q276" s="121"/>
      <c r="R276" s="121"/>
      <c r="S276" s="121">
        <v>0</v>
      </c>
      <c r="T276" s="121"/>
      <c r="U276" s="121">
        <v>0</v>
      </c>
      <c r="V276" s="121"/>
      <c r="W276" s="121">
        <v>0</v>
      </c>
      <c r="X276" s="121"/>
      <c r="Y276" s="121">
        <v>0</v>
      </c>
      <c r="Z276" s="121"/>
      <c r="AA276" s="121">
        <v>0</v>
      </c>
      <c r="AB276" s="121"/>
      <c r="AC276" s="121">
        <v>0</v>
      </c>
      <c r="AD276" s="123"/>
      <c r="AE276" s="121">
        <v>0</v>
      </c>
      <c r="AF276" s="123"/>
      <c r="AG276" s="174"/>
      <c r="AH276" s="175"/>
      <c r="AI276" s="176"/>
      <c r="AJ276" s="172"/>
      <c r="AK276" s="48"/>
      <c r="AL276" s="48"/>
      <c r="AM276" s="48"/>
    </row>
    <row r="277" spans="1:39" s="140" customFormat="1" ht="15" thickBot="1" x14ac:dyDescent="0.4">
      <c r="A277" s="177">
        <v>333</v>
      </c>
      <c r="B277" s="121"/>
      <c r="C277" s="121">
        <v>334</v>
      </c>
      <c r="D277" s="121"/>
      <c r="E277" s="121">
        <v>335</v>
      </c>
      <c r="F277" s="121"/>
      <c r="G277" s="121">
        <v>336</v>
      </c>
      <c r="H277" s="121"/>
      <c r="I277" s="121">
        <v>337</v>
      </c>
      <c r="J277" s="121"/>
      <c r="K277" s="121">
        <v>338</v>
      </c>
      <c r="L277" s="121"/>
      <c r="M277" s="121">
        <v>339</v>
      </c>
      <c r="N277" s="121"/>
      <c r="O277" s="121">
        <v>340</v>
      </c>
      <c r="P277" s="121"/>
      <c r="Q277" s="121"/>
      <c r="R277" s="121"/>
      <c r="S277" s="121">
        <v>341</v>
      </c>
      <c r="T277" s="121"/>
      <c r="U277" s="121">
        <v>342</v>
      </c>
      <c r="V277" s="121"/>
      <c r="W277" s="121">
        <v>343</v>
      </c>
      <c r="X277" s="121"/>
      <c r="Y277" s="121">
        <v>344</v>
      </c>
      <c r="Z277" s="121"/>
      <c r="AA277" s="121">
        <v>345</v>
      </c>
      <c r="AB277" s="121"/>
      <c r="AC277" s="121">
        <v>346</v>
      </c>
      <c r="AD277" s="298"/>
      <c r="AE277" s="121">
        <v>347</v>
      </c>
      <c r="AF277" s="298"/>
      <c r="AG277" s="174"/>
      <c r="AH277" s="175"/>
      <c r="AI277" s="178"/>
      <c r="AJ277" s="172"/>
      <c r="AK277" s="192"/>
      <c r="AL277" s="192"/>
      <c r="AM277" s="192"/>
    </row>
    <row r="278" spans="1:39" ht="15" thickBot="1" x14ac:dyDescent="0.4">
      <c r="A278" s="177"/>
      <c r="B278" s="143">
        <v>423.00400000000002</v>
      </c>
      <c r="C278" s="961">
        <v>0</v>
      </c>
      <c r="D278" s="143">
        <v>345</v>
      </c>
      <c r="E278" s="961">
        <v>0</v>
      </c>
      <c r="F278" s="143">
        <v>381.40300000000002</v>
      </c>
      <c r="G278" s="961">
        <v>0</v>
      </c>
      <c r="H278" s="143">
        <v>396.00200000000001</v>
      </c>
      <c r="I278" s="961">
        <v>0</v>
      </c>
      <c r="J278" s="143">
        <v>371</v>
      </c>
      <c r="K278" s="961">
        <v>0</v>
      </c>
      <c r="L278" s="143">
        <v>329</v>
      </c>
      <c r="M278" s="961">
        <v>0</v>
      </c>
      <c r="N278" s="143">
        <v>366</v>
      </c>
      <c r="O278" s="961">
        <v>0</v>
      </c>
      <c r="P278" s="137"/>
      <c r="Q278" s="143">
        <v>340</v>
      </c>
      <c r="R278" s="143"/>
      <c r="S278" s="1017"/>
      <c r="T278" s="143">
        <v>347</v>
      </c>
      <c r="U278" s="961">
        <v>0</v>
      </c>
      <c r="V278" s="143">
        <v>352</v>
      </c>
      <c r="W278" s="961">
        <v>0</v>
      </c>
      <c r="X278" s="143">
        <v>381</v>
      </c>
      <c r="Y278" s="961">
        <v>0</v>
      </c>
      <c r="Z278" s="143">
        <v>389.73399999999998</v>
      </c>
      <c r="AA278" s="961">
        <v>0</v>
      </c>
      <c r="AB278" s="143">
        <v>374.99799999999999</v>
      </c>
      <c r="AC278" s="961" t="s">
        <v>399</v>
      </c>
      <c r="AD278" s="143">
        <v>365.99799999999999</v>
      </c>
      <c r="AE278" s="961">
        <v>0</v>
      </c>
      <c r="AF278" s="123"/>
      <c r="AG278" s="144">
        <v>0</v>
      </c>
      <c r="AH278" s="145">
        <v>0</v>
      </c>
      <c r="AI278" s="145">
        <v>0</v>
      </c>
      <c r="AJ278" s="180"/>
      <c r="AK278" s="48"/>
      <c r="AL278" s="48"/>
      <c r="AM278" s="48"/>
    </row>
    <row r="279" spans="1:39" x14ac:dyDescent="0.35">
      <c r="A279" s="177"/>
      <c r="B279" s="120"/>
      <c r="C279" s="962"/>
      <c r="D279" s="120"/>
      <c r="E279" s="962"/>
      <c r="F279" s="120"/>
      <c r="G279" s="962"/>
      <c r="H279" s="120"/>
      <c r="I279" s="962"/>
      <c r="J279" s="120"/>
      <c r="K279" s="962"/>
      <c r="L279" s="120"/>
      <c r="M279" s="962"/>
      <c r="N279" s="120"/>
      <c r="O279" s="962"/>
      <c r="P279" s="137"/>
      <c r="Q279" s="137"/>
      <c r="R279" s="120"/>
      <c r="S279" s="1030"/>
      <c r="T279" s="120"/>
      <c r="U279" s="962"/>
      <c r="V279" s="120"/>
      <c r="W279" s="962"/>
      <c r="X279" s="120"/>
      <c r="Y279" s="962"/>
      <c r="Z279" s="120"/>
      <c r="AA279" s="962"/>
      <c r="AB279" s="120"/>
      <c r="AC279" s="962"/>
      <c r="AD279" s="123"/>
      <c r="AE279" s="962"/>
      <c r="AF279" s="123"/>
      <c r="AG279" s="147"/>
      <c r="AH279" s="148"/>
      <c r="AI279" s="148"/>
      <c r="AJ279" s="172"/>
      <c r="AK279" s="48"/>
      <c r="AL279" s="48"/>
      <c r="AM279" s="48"/>
    </row>
    <row r="280" spans="1:39" ht="6" customHeight="1" x14ac:dyDescent="0.35">
      <c r="A280" s="177"/>
      <c r="B280" s="120"/>
      <c r="C280" s="150">
        <v>0</v>
      </c>
      <c r="D280" s="121"/>
      <c r="E280" s="150">
        <v>0</v>
      </c>
      <c r="F280" s="121"/>
      <c r="G280" s="150">
        <v>0</v>
      </c>
      <c r="H280" s="121"/>
      <c r="I280" s="150">
        <v>0</v>
      </c>
      <c r="J280" s="121"/>
      <c r="K280" s="150">
        <v>0</v>
      </c>
      <c r="L280" s="121"/>
      <c r="M280" s="150">
        <v>0</v>
      </c>
      <c r="N280" s="121"/>
      <c r="O280" s="150">
        <v>0</v>
      </c>
      <c r="P280" s="137"/>
      <c r="Q280" s="137"/>
      <c r="R280" s="121"/>
      <c r="S280" s="150">
        <v>0</v>
      </c>
      <c r="T280" s="121"/>
      <c r="U280" s="150">
        <v>0</v>
      </c>
      <c r="V280" s="121"/>
      <c r="W280" s="150">
        <v>0</v>
      </c>
      <c r="X280" s="121"/>
      <c r="Y280" s="150">
        <v>0</v>
      </c>
      <c r="Z280" s="121"/>
      <c r="AA280" s="150">
        <v>0</v>
      </c>
      <c r="AB280" s="121"/>
      <c r="AC280" s="150">
        <v>0</v>
      </c>
      <c r="AD280" s="123"/>
      <c r="AE280" s="150">
        <v>0</v>
      </c>
      <c r="AF280" s="123"/>
      <c r="AG280" s="147"/>
      <c r="AH280" s="148"/>
      <c r="AI280" s="148"/>
      <c r="AJ280" s="172"/>
      <c r="AK280" s="48"/>
      <c r="AL280" s="48"/>
      <c r="AM280" s="48"/>
    </row>
    <row r="281" spans="1:39" ht="14.25" customHeight="1" x14ac:dyDescent="0.35">
      <c r="A281" s="177"/>
      <c r="B281" s="120"/>
      <c r="C281" s="122" t="s">
        <v>126</v>
      </c>
      <c r="D281" s="120"/>
      <c r="E281" s="122" t="s">
        <v>142</v>
      </c>
      <c r="F281" s="120"/>
      <c r="G281" s="122" t="s">
        <v>360</v>
      </c>
      <c r="H281" s="120"/>
      <c r="I281" s="122" t="s">
        <v>126</v>
      </c>
      <c r="J281" s="120"/>
      <c r="K281" s="122" t="s">
        <v>142</v>
      </c>
      <c r="L281" s="120"/>
      <c r="M281" s="122" t="s">
        <v>142</v>
      </c>
      <c r="N281" s="120"/>
      <c r="O281" s="122" t="s">
        <v>126</v>
      </c>
      <c r="P281" s="122"/>
      <c r="Q281" s="122"/>
      <c r="R281" s="120"/>
      <c r="S281" s="122" t="s">
        <v>161</v>
      </c>
      <c r="T281" s="120"/>
      <c r="U281" s="122" t="s">
        <v>161</v>
      </c>
      <c r="V281" s="120"/>
      <c r="W281" s="122" t="s">
        <v>142</v>
      </c>
      <c r="X281" s="120"/>
      <c r="Y281" s="122" t="s">
        <v>142</v>
      </c>
      <c r="Z281" s="120"/>
      <c r="AA281" s="122" t="s">
        <v>360</v>
      </c>
      <c r="AB281" s="120"/>
      <c r="AC281" s="122" t="s">
        <v>142</v>
      </c>
      <c r="AD281" s="123"/>
      <c r="AE281" s="122" t="s">
        <v>137</v>
      </c>
      <c r="AF281" s="123"/>
      <c r="AG281" s="147"/>
      <c r="AH281" s="148"/>
      <c r="AI281" s="148"/>
      <c r="AJ281" s="172"/>
      <c r="AK281" s="48"/>
      <c r="AL281" s="48"/>
      <c r="AM281" s="48"/>
    </row>
    <row r="282" spans="1:39" ht="14.25" customHeight="1" x14ac:dyDescent="0.35">
      <c r="A282" s="177"/>
      <c r="B282" s="120"/>
      <c r="C282" s="122"/>
      <c r="D282" s="120"/>
      <c r="E282" s="122"/>
      <c r="F282" s="120"/>
      <c r="G282" s="122"/>
      <c r="H282" s="120"/>
      <c r="I282" s="122"/>
      <c r="J282" s="120"/>
      <c r="K282" s="122"/>
      <c r="L282" s="120"/>
      <c r="M282" s="122"/>
      <c r="N282" s="120"/>
      <c r="O282" s="122"/>
      <c r="P282" s="122"/>
      <c r="Q282" s="122"/>
      <c r="R282" s="120"/>
      <c r="S282" s="122"/>
      <c r="T282" s="120"/>
      <c r="U282" s="122"/>
      <c r="V282" s="120"/>
      <c r="W282" s="122"/>
      <c r="X282" s="120"/>
      <c r="Y282" s="122"/>
      <c r="Z282" s="120"/>
      <c r="AA282" s="122"/>
      <c r="AB282" s="120"/>
      <c r="AC282" s="122"/>
      <c r="AD282" s="123"/>
      <c r="AE282" s="122"/>
      <c r="AF282" s="123"/>
      <c r="AG282" s="147"/>
      <c r="AH282" s="148"/>
      <c r="AI282" s="148"/>
      <c r="AJ282" s="172"/>
      <c r="AK282" s="48"/>
      <c r="AL282" s="48"/>
      <c r="AM282" s="48"/>
    </row>
    <row r="283" spans="1:39" ht="14.25" customHeight="1" thickBot="1" x14ac:dyDescent="0.4">
      <c r="A283" s="177"/>
      <c r="B283" s="120"/>
      <c r="C283" s="122"/>
      <c r="D283" s="120"/>
      <c r="E283" s="122"/>
      <c r="F283" s="120"/>
      <c r="G283" s="122"/>
      <c r="H283" s="120"/>
      <c r="I283" s="122"/>
      <c r="J283" s="120"/>
      <c r="K283" s="122"/>
      <c r="L283" s="120"/>
      <c r="M283" s="122"/>
      <c r="N283" s="120"/>
      <c r="O283" s="122"/>
      <c r="P283" s="122"/>
      <c r="Q283" s="122"/>
      <c r="R283" s="120"/>
      <c r="S283" s="122"/>
      <c r="T283" s="120"/>
      <c r="U283" s="122"/>
      <c r="V283" s="120"/>
      <c r="W283" s="122"/>
      <c r="X283" s="120"/>
      <c r="Y283" s="122"/>
      <c r="Z283" s="120"/>
      <c r="AA283" s="300"/>
      <c r="AB283" s="120"/>
      <c r="AC283" s="300"/>
      <c r="AD283" s="123"/>
      <c r="AE283" s="300"/>
      <c r="AF283" s="123"/>
      <c r="AG283" s="147"/>
      <c r="AH283" s="148"/>
      <c r="AI283" s="148"/>
      <c r="AJ283" s="172"/>
      <c r="AK283" s="48"/>
      <c r="AL283" s="48"/>
      <c r="AM283" s="48"/>
    </row>
    <row r="284" spans="1:39" ht="14.25" customHeight="1" thickBot="1" x14ac:dyDescent="0.4">
      <c r="A284" s="305"/>
      <c r="B284" s="1019" t="s">
        <v>562</v>
      </c>
      <c r="C284" s="1020"/>
      <c r="D284" s="1020"/>
      <c r="E284" s="1020"/>
      <c r="F284" s="1020"/>
      <c r="G284" s="1020"/>
      <c r="H284" s="1020"/>
      <c r="I284" s="1020"/>
      <c r="J284" s="1020"/>
      <c r="K284" s="1020"/>
      <c r="L284" s="1020"/>
      <c r="M284" s="1020"/>
      <c r="N284" s="1020"/>
      <c r="O284" s="1020"/>
      <c r="P284" s="1020"/>
      <c r="Q284" s="1020"/>
      <c r="R284" s="1020"/>
      <c r="S284" s="1020"/>
      <c r="T284" s="1020"/>
      <c r="U284" s="1020"/>
      <c r="V284" s="1020"/>
      <c r="W284" s="1020"/>
      <c r="X284" s="1020"/>
      <c r="Y284" s="1020"/>
      <c r="Z284" s="1020"/>
      <c r="AA284" s="1020"/>
      <c r="AB284" s="1020"/>
      <c r="AC284" s="1020"/>
      <c r="AD284" s="1020"/>
      <c r="AE284" s="1021"/>
      <c r="AF284" s="306"/>
      <c r="AG284" s="188"/>
      <c r="AH284" s="189"/>
      <c r="AI284" s="189"/>
      <c r="AJ284" s="201"/>
      <c r="AK284" s="48"/>
      <c r="AL284" s="48"/>
      <c r="AM284" s="48"/>
    </row>
    <row r="285" spans="1:39" x14ac:dyDescent="0.35">
      <c r="A285" s="156"/>
      <c r="B285" s="157"/>
      <c r="C285" s="159"/>
      <c r="D285" s="159"/>
      <c r="E285" s="309"/>
      <c r="F285" s="310"/>
      <c r="G285" s="30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  <c r="AD285" s="157"/>
      <c r="AE285" s="163"/>
      <c r="AF285" s="163"/>
      <c r="AG285" s="166"/>
      <c r="AH285" s="167"/>
      <c r="AI285" s="311"/>
      <c r="AJ285" s="312"/>
      <c r="AK285" s="48"/>
      <c r="AL285" s="48"/>
      <c r="AM285" s="48"/>
    </row>
    <row r="286" spans="1:39" x14ac:dyDescent="0.35">
      <c r="A286" s="169"/>
      <c r="B286" s="120"/>
      <c r="C286" s="122" t="s">
        <v>763</v>
      </c>
      <c r="D286" s="122"/>
      <c r="E286" s="122" t="s">
        <v>764</v>
      </c>
      <c r="F286" s="122"/>
      <c r="G286" s="122" t="s">
        <v>765</v>
      </c>
      <c r="H286" s="122"/>
      <c r="I286" s="122" t="s">
        <v>766</v>
      </c>
      <c r="J286" s="122"/>
      <c r="K286" s="122" t="s">
        <v>767</v>
      </c>
      <c r="L286" s="122"/>
      <c r="M286" s="122" t="s">
        <v>768</v>
      </c>
      <c r="N286" s="122"/>
      <c r="O286" s="122" t="s">
        <v>769</v>
      </c>
      <c r="P286" s="122"/>
      <c r="Q286" s="122"/>
      <c r="R286" s="122"/>
      <c r="S286" s="122" t="s">
        <v>770</v>
      </c>
      <c r="T286" s="122"/>
      <c r="U286" s="122" t="s">
        <v>771</v>
      </c>
      <c r="V286" s="122"/>
      <c r="W286" s="122" t="s">
        <v>772</v>
      </c>
      <c r="X286" s="122"/>
      <c r="Y286" s="122" t="s">
        <v>773</v>
      </c>
      <c r="Z286" s="122"/>
      <c r="AA286" s="122" t="s">
        <v>774</v>
      </c>
      <c r="AB286" s="122"/>
      <c r="AC286" s="122" t="s">
        <v>775</v>
      </c>
      <c r="AD286" s="122"/>
      <c r="AE286" s="122" t="s">
        <v>776</v>
      </c>
      <c r="AF286" s="120"/>
      <c r="AG286" s="170"/>
      <c r="AH286" s="171"/>
      <c r="AI286" s="171"/>
      <c r="AJ286" s="172"/>
      <c r="AK286" s="48"/>
      <c r="AL286" s="48"/>
      <c r="AM286" s="48"/>
    </row>
    <row r="287" spans="1:39" x14ac:dyDescent="0.35">
      <c r="A287" s="173"/>
      <c r="B287" s="121"/>
      <c r="C287" s="121">
        <v>0</v>
      </c>
      <c r="D287" s="121" t="e">
        <v>#N/A</v>
      </c>
      <c r="E287" s="121">
        <v>0</v>
      </c>
      <c r="F287" s="121" t="e">
        <v>#N/A</v>
      </c>
      <c r="G287" s="121">
        <v>0</v>
      </c>
      <c r="H287" s="121" t="e">
        <v>#N/A</v>
      </c>
      <c r="I287" s="121">
        <v>0</v>
      </c>
      <c r="J287" s="121" t="e">
        <v>#N/A</v>
      </c>
      <c r="K287" s="121">
        <v>0</v>
      </c>
      <c r="L287" s="121" t="e">
        <v>#N/A</v>
      </c>
      <c r="M287" s="121">
        <v>0</v>
      </c>
      <c r="N287" s="121" t="e">
        <v>#N/A</v>
      </c>
      <c r="O287" s="121">
        <v>0</v>
      </c>
      <c r="P287" s="121"/>
      <c r="Q287" s="121"/>
      <c r="R287" s="121"/>
      <c r="S287" s="121">
        <v>0</v>
      </c>
      <c r="T287" s="121"/>
      <c r="U287" s="121">
        <v>0</v>
      </c>
      <c r="V287" s="121"/>
      <c r="W287" s="121">
        <v>0</v>
      </c>
      <c r="X287" s="121"/>
      <c r="Y287" s="121">
        <v>0</v>
      </c>
      <c r="Z287" s="121"/>
      <c r="AA287" s="121" t="e">
        <v>#N/A</v>
      </c>
      <c r="AB287" s="121"/>
      <c r="AC287" s="121" t="e">
        <v>#N/A</v>
      </c>
      <c r="AD287" s="123"/>
      <c r="AE287" s="121" t="e">
        <v>#N/A</v>
      </c>
      <c r="AF287" s="123"/>
      <c r="AG287" s="174"/>
      <c r="AH287" s="175"/>
      <c r="AI287" s="176"/>
      <c r="AJ287" s="172"/>
      <c r="AK287" s="48"/>
      <c r="AL287" s="48"/>
      <c r="AM287" s="48"/>
    </row>
    <row r="288" spans="1:39" s="140" customFormat="1" ht="15" thickBot="1" x14ac:dyDescent="0.4">
      <c r="A288" s="177">
        <v>347</v>
      </c>
      <c r="B288" s="121"/>
      <c r="C288" s="121">
        <v>348</v>
      </c>
      <c r="D288" s="121"/>
      <c r="E288" s="121">
        <v>349</v>
      </c>
      <c r="F288" s="121"/>
      <c r="G288" s="121">
        <v>350</v>
      </c>
      <c r="H288" s="121"/>
      <c r="I288" s="121">
        <v>351</v>
      </c>
      <c r="J288" s="121"/>
      <c r="K288" s="121">
        <v>352</v>
      </c>
      <c r="L288" s="121"/>
      <c r="M288" s="121">
        <v>353</v>
      </c>
      <c r="N288" s="121"/>
      <c r="O288" s="121">
        <v>354</v>
      </c>
      <c r="P288" s="121"/>
      <c r="Q288" s="121"/>
      <c r="R288" s="121"/>
      <c r="S288" s="121">
        <v>355</v>
      </c>
      <c r="T288" s="121"/>
      <c r="U288" s="121">
        <v>356</v>
      </c>
      <c r="V288" s="121"/>
      <c r="W288" s="121">
        <v>357</v>
      </c>
      <c r="X288" s="121"/>
      <c r="Y288" s="121">
        <v>358</v>
      </c>
      <c r="Z288" s="121"/>
      <c r="AA288" s="121">
        <v>359</v>
      </c>
      <c r="AB288" s="121"/>
      <c r="AC288" s="121">
        <v>360</v>
      </c>
      <c r="AD288" s="298"/>
      <c r="AE288" s="121">
        <v>361</v>
      </c>
      <c r="AF288" s="298"/>
      <c r="AG288" s="174"/>
      <c r="AH288" s="175"/>
      <c r="AI288" s="178"/>
      <c r="AJ288" s="172"/>
      <c r="AK288" s="192"/>
      <c r="AL288" s="192"/>
      <c r="AM288" s="192"/>
    </row>
    <row r="289" spans="1:39" ht="15" thickBot="1" x14ac:dyDescent="0.4">
      <c r="A289" s="177"/>
      <c r="B289" s="143">
        <v>464</v>
      </c>
      <c r="C289" s="961">
        <v>0</v>
      </c>
      <c r="D289" s="143">
        <v>352.00400000000002</v>
      </c>
      <c r="E289" s="961" t="s">
        <v>399</v>
      </c>
      <c r="F289" s="143">
        <v>330</v>
      </c>
      <c r="G289" s="961" t="s">
        <v>399</v>
      </c>
      <c r="H289" s="143">
        <v>378.94</v>
      </c>
      <c r="I289" s="961">
        <v>0</v>
      </c>
      <c r="J289" s="143">
        <v>365</v>
      </c>
      <c r="K289" s="961">
        <v>0</v>
      </c>
      <c r="L289" s="143">
        <v>406</v>
      </c>
      <c r="M289" s="961">
        <v>0</v>
      </c>
      <c r="N289" s="143">
        <v>408.99900000000002</v>
      </c>
      <c r="O289" s="961">
        <v>0</v>
      </c>
      <c r="P289" s="137"/>
      <c r="Q289" s="143">
        <v>383.00099999999998</v>
      </c>
      <c r="R289" s="143"/>
      <c r="S289" s="961">
        <v>0</v>
      </c>
      <c r="T289" s="143">
        <v>311</v>
      </c>
      <c r="U289" s="961">
        <v>0</v>
      </c>
      <c r="V289" s="143">
        <v>360</v>
      </c>
      <c r="W289" s="961">
        <v>0</v>
      </c>
      <c r="X289" s="143">
        <v>378</v>
      </c>
      <c r="Y289" s="961">
        <v>0</v>
      </c>
      <c r="Z289" s="143">
        <v>339</v>
      </c>
      <c r="AA289" s="961">
        <v>0</v>
      </c>
      <c r="AB289" s="143">
        <v>344.02199999999999</v>
      </c>
      <c r="AC289" s="961">
        <v>0</v>
      </c>
      <c r="AD289" s="143">
        <v>340.12099999999998</v>
      </c>
      <c r="AE289" s="961" t="s">
        <v>399</v>
      </c>
      <c r="AF289" s="123"/>
      <c r="AG289" s="144">
        <v>0</v>
      </c>
      <c r="AH289" s="145">
        <v>0</v>
      </c>
      <c r="AI289" s="145">
        <v>0</v>
      </c>
      <c r="AJ289" s="180"/>
      <c r="AK289" s="48"/>
      <c r="AL289" s="48"/>
      <c r="AM289" s="48"/>
    </row>
    <row r="290" spans="1:39" x14ac:dyDescent="0.35">
      <c r="A290" s="177"/>
      <c r="B290" s="120"/>
      <c r="C290" s="962"/>
      <c r="D290" s="120"/>
      <c r="E290" s="962"/>
      <c r="F290" s="120"/>
      <c r="G290" s="962"/>
      <c r="H290" s="120"/>
      <c r="I290" s="962"/>
      <c r="J290" s="120"/>
      <c r="K290" s="962"/>
      <c r="L290" s="120"/>
      <c r="M290" s="962"/>
      <c r="N290" s="120"/>
      <c r="O290" s="962"/>
      <c r="P290" s="137"/>
      <c r="Q290" s="137"/>
      <c r="R290" s="120"/>
      <c r="S290" s="962"/>
      <c r="T290" s="120"/>
      <c r="U290" s="962"/>
      <c r="V290" s="120"/>
      <c r="W290" s="962"/>
      <c r="X290" s="120"/>
      <c r="Y290" s="962"/>
      <c r="Z290" s="120"/>
      <c r="AA290" s="962"/>
      <c r="AB290" s="120"/>
      <c r="AC290" s="962"/>
      <c r="AD290" s="123"/>
      <c r="AE290" s="962"/>
      <c r="AF290" s="123"/>
      <c r="AG290" s="147"/>
      <c r="AH290" s="148"/>
      <c r="AI290" s="148"/>
      <c r="AJ290" s="172"/>
      <c r="AK290" s="48"/>
      <c r="AL290" s="48"/>
      <c r="AM290" s="48"/>
    </row>
    <row r="291" spans="1:39" ht="6" customHeight="1" x14ac:dyDescent="0.35">
      <c r="A291" s="177"/>
      <c r="B291" s="120"/>
      <c r="C291" s="150">
        <v>0</v>
      </c>
      <c r="D291" s="121"/>
      <c r="E291" s="150">
        <v>0</v>
      </c>
      <c r="F291" s="121"/>
      <c r="G291" s="150">
        <v>0</v>
      </c>
      <c r="H291" s="121"/>
      <c r="I291" s="150">
        <v>0</v>
      </c>
      <c r="J291" s="121"/>
      <c r="K291" s="150">
        <v>0</v>
      </c>
      <c r="L291" s="121"/>
      <c r="M291" s="150">
        <v>0</v>
      </c>
      <c r="N291" s="121"/>
      <c r="O291" s="150">
        <v>0</v>
      </c>
      <c r="P291" s="137"/>
      <c r="Q291" s="137"/>
      <c r="R291" s="121"/>
      <c r="S291" s="150">
        <v>0</v>
      </c>
      <c r="T291" s="121"/>
      <c r="U291" s="150">
        <v>0</v>
      </c>
      <c r="V291" s="121"/>
      <c r="W291" s="150">
        <v>0</v>
      </c>
      <c r="X291" s="121"/>
      <c r="Y291" s="150">
        <v>0</v>
      </c>
      <c r="Z291" s="121"/>
      <c r="AA291" s="150">
        <v>0</v>
      </c>
      <c r="AB291" s="121"/>
      <c r="AC291" s="150">
        <v>0</v>
      </c>
      <c r="AD291" s="123"/>
      <c r="AE291" s="150">
        <v>0</v>
      </c>
      <c r="AF291" s="123"/>
      <c r="AG291" s="147"/>
      <c r="AH291" s="148"/>
      <c r="AI291" s="148"/>
      <c r="AJ291" s="172"/>
      <c r="AK291" s="48"/>
      <c r="AL291" s="48"/>
      <c r="AM291" s="48"/>
    </row>
    <row r="292" spans="1:39" ht="14.25" customHeight="1" x14ac:dyDescent="0.35">
      <c r="A292" s="177"/>
      <c r="B292" s="120"/>
      <c r="C292" s="122" t="s">
        <v>126</v>
      </c>
      <c r="D292" s="120"/>
      <c r="E292" s="122" t="s">
        <v>161</v>
      </c>
      <c r="F292" s="120"/>
      <c r="G292" s="122" t="s">
        <v>142</v>
      </c>
      <c r="H292" s="120"/>
      <c r="I292" s="122" t="s">
        <v>176</v>
      </c>
      <c r="J292" s="120"/>
      <c r="K292" s="122" t="s">
        <v>126</v>
      </c>
      <c r="L292" s="120"/>
      <c r="M292" s="122" t="s">
        <v>126</v>
      </c>
      <c r="N292" s="120"/>
      <c r="O292" s="122" t="s">
        <v>142</v>
      </c>
      <c r="P292" s="122"/>
      <c r="Q292" s="122"/>
      <c r="R292" s="120"/>
      <c r="S292" s="122" t="s">
        <v>161</v>
      </c>
      <c r="T292" s="120"/>
      <c r="U292" s="122" t="s">
        <v>142</v>
      </c>
      <c r="V292" s="120"/>
      <c r="W292" s="122" t="s">
        <v>142</v>
      </c>
      <c r="X292" s="120"/>
      <c r="Y292" s="122" t="s">
        <v>142</v>
      </c>
      <c r="Z292" s="120"/>
      <c r="AA292" s="122" t="s">
        <v>142</v>
      </c>
      <c r="AB292" s="120"/>
      <c r="AC292" s="122" t="s">
        <v>126</v>
      </c>
      <c r="AD292" s="123"/>
      <c r="AE292" s="122" t="s">
        <v>369</v>
      </c>
      <c r="AF292" s="123"/>
      <c r="AG292" s="147"/>
      <c r="AH292" s="148"/>
      <c r="AI292" s="148"/>
      <c r="AJ292" s="172"/>
      <c r="AK292" s="48"/>
      <c r="AL292" s="48"/>
      <c r="AM292" s="48"/>
    </row>
    <row r="293" spans="1:39" ht="14.25" customHeight="1" x14ac:dyDescent="0.35">
      <c r="A293" s="177"/>
      <c r="B293" s="120"/>
      <c r="C293" s="122"/>
      <c r="D293" s="120"/>
      <c r="E293" s="122"/>
      <c r="F293" s="120"/>
      <c r="G293" s="122"/>
      <c r="H293" s="120"/>
      <c r="I293" s="122"/>
      <c r="J293" s="120"/>
      <c r="K293" s="122"/>
      <c r="L293" s="120"/>
      <c r="M293" s="122"/>
      <c r="N293" s="120"/>
      <c r="O293" s="122"/>
      <c r="P293" s="122"/>
      <c r="Q293" s="122"/>
      <c r="R293" s="120"/>
      <c r="S293" s="122"/>
      <c r="T293" s="120"/>
      <c r="U293" s="122"/>
      <c r="V293" s="120"/>
      <c r="W293" s="122"/>
      <c r="X293" s="120"/>
      <c r="Y293" s="122"/>
      <c r="Z293" s="120"/>
      <c r="AA293" s="122"/>
      <c r="AB293" s="120"/>
      <c r="AC293" s="122"/>
      <c r="AD293" s="123"/>
      <c r="AE293" s="122"/>
      <c r="AF293" s="123"/>
      <c r="AG293" s="147"/>
      <c r="AH293" s="148"/>
      <c r="AI293" s="148"/>
      <c r="AJ293" s="172"/>
      <c r="AK293" s="48"/>
      <c r="AL293" s="48"/>
      <c r="AM293" s="48"/>
    </row>
    <row r="294" spans="1:39" ht="14.25" customHeight="1" thickBot="1" x14ac:dyDescent="0.4">
      <c r="A294" s="177"/>
      <c r="B294" s="120"/>
      <c r="C294" s="122"/>
      <c r="D294" s="120"/>
      <c r="E294" s="122"/>
      <c r="F294" s="120"/>
      <c r="G294" s="122"/>
      <c r="H294" s="120"/>
      <c r="I294" s="122"/>
      <c r="J294" s="120"/>
      <c r="K294" s="122"/>
      <c r="L294" s="120"/>
      <c r="M294" s="122"/>
      <c r="N294" s="120"/>
      <c r="O294" s="122"/>
      <c r="P294" s="122"/>
      <c r="Q294" s="122"/>
      <c r="R294" s="120"/>
      <c r="S294" s="122"/>
      <c r="T294" s="120"/>
      <c r="U294" s="122"/>
      <c r="V294" s="120"/>
      <c r="W294" s="122"/>
      <c r="X294" s="120"/>
      <c r="Y294" s="122"/>
      <c r="Z294" s="120"/>
      <c r="AA294" s="122"/>
      <c r="AB294" s="120"/>
      <c r="AC294" s="122"/>
      <c r="AD294" s="123"/>
      <c r="AE294" s="122"/>
      <c r="AF294" s="123"/>
      <c r="AG294" s="147"/>
      <c r="AH294" s="148"/>
      <c r="AI294" s="148"/>
      <c r="AJ294" s="172"/>
      <c r="AK294" s="48"/>
      <c r="AL294" s="48"/>
      <c r="AM294" s="48"/>
    </row>
    <row r="295" spans="1:39" ht="14.25" customHeight="1" thickBot="1" x14ac:dyDescent="0.4">
      <c r="A295" s="305"/>
      <c r="B295" s="1019" t="s">
        <v>562</v>
      </c>
      <c r="C295" s="1020"/>
      <c r="D295" s="1020"/>
      <c r="E295" s="1020"/>
      <c r="F295" s="1020"/>
      <c r="G295" s="1020"/>
      <c r="H295" s="1020"/>
      <c r="I295" s="1020"/>
      <c r="J295" s="1020"/>
      <c r="K295" s="1020"/>
      <c r="L295" s="1020"/>
      <c r="M295" s="1020"/>
      <c r="N295" s="1020"/>
      <c r="O295" s="1020"/>
      <c r="P295" s="1020"/>
      <c r="Q295" s="1020"/>
      <c r="R295" s="1020"/>
      <c r="S295" s="1020"/>
      <c r="T295" s="1020"/>
      <c r="U295" s="1020"/>
      <c r="V295" s="1020"/>
      <c r="W295" s="1020"/>
      <c r="X295" s="1020"/>
      <c r="Y295" s="1020"/>
      <c r="Z295" s="1020"/>
      <c r="AA295" s="1020"/>
      <c r="AB295" s="1020"/>
      <c r="AC295" s="1020"/>
      <c r="AD295" s="1020"/>
      <c r="AE295" s="1021"/>
      <c r="AF295" s="306"/>
      <c r="AG295" s="188"/>
      <c r="AH295" s="189"/>
      <c r="AI295" s="189"/>
      <c r="AJ295" s="201"/>
      <c r="AK295" s="48"/>
      <c r="AL295" s="48"/>
      <c r="AM295" s="48"/>
    </row>
    <row r="296" spans="1:39" ht="14.25" customHeight="1" x14ac:dyDescent="0.35">
      <c r="A296" s="121"/>
      <c r="B296" s="128" t="s">
        <v>777</v>
      </c>
      <c r="C296" s="122"/>
      <c r="D296" s="120"/>
      <c r="E296" s="122"/>
      <c r="F296" s="120"/>
      <c r="G296" s="122"/>
      <c r="H296" s="120"/>
      <c r="I296" s="122"/>
      <c r="J296" s="120"/>
      <c r="K296" s="122"/>
      <c r="L296" s="120"/>
      <c r="M296" s="122"/>
      <c r="N296" s="120"/>
      <c r="O296" s="122"/>
      <c r="P296" s="122"/>
      <c r="Q296" s="122"/>
      <c r="R296" s="120"/>
      <c r="S296" s="139"/>
      <c r="T296" s="120"/>
      <c r="U296" s="122"/>
      <c r="V296" s="120"/>
      <c r="W296" s="122"/>
      <c r="X296" s="120"/>
      <c r="Y296" s="122"/>
      <c r="Z296" s="120"/>
      <c r="AA296" s="122"/>
      <c r="AB296" s="120"/>
      <c r="AC296" s="122"/>
      <c r="AD296" s="123"/>
      <c r="AE296" s="122"/>
      <c r="AF296" s="123"/>
      <c r="AG296" s="147"/>
      <c r="AH296" s="148"/>
      <c r="AI296" s="148"/>
      <c r="AJ296" s="149"/>
      <c r="AK296" s="48"/>
      <c r="AL296" s="48"/>
      <c r="AM296" s="48"/>
    </row>
    <row r="297" spans="1:39" x14ac:dyDescent="0.35">
      <c r="A297" s="120"/>
      <c r="B297" s="120"/>
      <c r="C297" s="122" t="s">
        <v>778</v>
      </c>
      <c r="D297" s="122"/>
      <c r="E297" s="122" t="s">
        <v>779</v>
      </c>
      <c r="F297" s="122"/>
      <c r="G297" s="122" t="s">
        <v>780</v>
      </c>
      <c r="H297" s="122"/>
      <c r="I297" s="122" t="s">
        <v>781</v>
      </c>
      <c r="J297" s="122"/>
      <c r="K297" s="122" t="s">
        <v>782</v>
      </c>
      <c r="L297" s="122"/>
      <c r="M297" s="122" t="s">
        <v>783</v>
      </c>
      <c r="N297" s="122"/>
      <c r="O297" s="122" t="s">
        <v>784</v>
      </c>
      <c r="P297" s="122"/>
      <c r="Q297" s="122"/>
      <c r="R297" s="122"/>
      <c r="S297" s="122" t="s">
        <v>177</v>
      </c>
      <c r="T297" s="122"/>
      <c r="U297" s="122" t="s">
        <v>785</v>
      </c>
      <c r="V297" s="122"/>
      <c r="W297" s="122" t="s">
        <v>786</v>
      </c>
      <c r="X297" s="122"/>
      <c r="Y297" s="122" t="s">
        <v>787</v>
      </c>
      <c r="Z297" s="122"/>
      <c r="AA297" s="122"/>
      <c r="AB297" s="122"/>
      <c r="AC297" s="122"/>
      <c r="AD297" s="122"/>
      <c r="AE297" s="122"/>
      <c r="AF297" s="120"/>
      <c r="AG297" s="170"/>
      <c r="AH297" s="171"/>
      <c r="AI297" s="171"/>
      <c r="AJ297" s="149"/>
      <c r="AK297" s="48"/>
      <c r="AL297" s="48"/>
      <c r="AM297" s="48"/>
    </row>
    <row r="298" spans="1:39" x14ac:dyDescent="0.35">
      <c r="A298" s="128"/>
      <c r="B298" s="121"/>
      <c r="C298" s="121">
        <v>0</v>
      </c>
      <c r="D298" s="121" t="e">
        <v>#N/A</v>
      </c>
      <c r="E298" s="121">
        <v>0</v>
      </c>
      <c r="F298" s="121" t="e">
        <v>#N/A</v>
      </c>
      <c r="G298" s="121" t="e">
        <v>#N/A</v>
      </c>
      <c r="H298" s="121" t="e">
        <v>#N/A</v>
      </c>
      <c r="I298" s="121" t="e">
        <v>#N/A</v>
      </c>
      <c r="J298" s="121" t="e">
        <v>#N/A</v>
      </c>
      <c r="K298" s="121" t="e">
        <v>#N/A</v>
      </c>
      <c r="L298" s="121" t="e">
        <v>#N/A</v>
      </c>
      <c r="M298" s="121" t="e">
        <v>#N/A</v>
      </c>
      <c r="N298" s="121" t="e">
        <v>#N/A</v>
      </c>
      <c r="O298" s="121" t="e">
        <v>#N/A</v>
      </c>
      <c r="P298" s="121"/>
      <c r="Q298" s="121"/>
      <c r="R298" s="121"/>
      <c r="S298" s="121" t="e">
        <v>#N/A</v>
      </c>
      <c r="T298" s="121"/>
      <c r="U298" s="121" t="e">
        <v>#N/A</v>
      </c>
      <c r="V298" s="121"/>
      <c r="W298" s="121" t="e">
        <v>#N/A</v>
      </c>
      <c r="X298" s="121"/>
      <c r="Y298" s="121" t="e">
        <v>#N/A</v>
      </c>
      <c r="Z298" s="121"/>
      <c r="AA298" s="121"/>
      <c r="AB298" s="121"/>
      <c r="AC298" s="121"/>
      <c r="AD298" s="123"/>
      <c r="AE298" s="121"/>
      <c r="AF298" s="123"/>
      <c r="AG298" s="174"/>
      <c r="AH298" s="175"/>
      <c r="AI298" s="176"/>
      <c r="AJ298" s="149"/>
      <c r="AK298" s="48"/>
      <c r="AL298" s="48"/>
      <c r="AM298" s="48"/>
    </row>
    <row r="299" spans="1:39" s="140" customFormat="1" ht="15" thickBot="1" x14ac:dyDescent="0.4">
      <c r="A299" s="121">
        <v>361</v>
      </c>
      <c r="B299" s="121"/>
      <c r="C299" s="121">
        <v>362</v>
      </c>
      <c r="D299" s="121"/>
      <c r="E299" s="121">
        <v>363</v>
      </c>
      <c r="F299" s="121"/>
      <c r="G299" s="121">
        <v>364</v>
      </c>
      <c r="H299" s="121"/>
      <c r="I299" s="121">
        <v>365</v>
      </c>
      <c r="J299" s="121"/>
      <c r="K299" s="121">
        <v>366</v>
      </c>
      <c r="L299" s="121"/>
      <c r="M299" s="121">
        <v>367</v>
      </c>
      <c r="N299" s="121"/>
      <c r="O299" s="121">
        <v>368</v>
      </c>
      <c r="P299" s="121"/>
      <c r="Q299" s="121"/>
      <c r="R299" s="121"/>
      <c r="S299" s="121">
        <v>369</v>
      </c>
      <c r="T299" s="121"/>
      <c r="U299" s="121">
        <v>370</v>
      </c>
      <c r="V299" s="121"/>
      <c r="W299" s="121">
        <v>371</v>
      </c>
      <c r="X299" s="121"/>
      <c r="Y299" s="121">
        <v>372</v>
      </c>
      <c r="Z299" s="121"/>
      <c r="AA299" s="121"/>
      <c r="AB299" s="121"/>
      <c r="AC299" s="121"/>
      <c r="AD299" s="298"/>
      <c r="AE299" s="121"/>
      <c r="AF299" s="298"/>
      <c r="AG299" s="174"/>
      <c r="AH299" s="175"/>
      <c r="AI299" s="178"/>
      <c r="AJ299" s="149"/>
      <c r="AK299" s="192"/>
      <c r="AL299" s="192"/>
      <c r="AM299" s="192"/>
    </row>
    <row r="300" spans="1:39" ht="15" thickBot="1" x14ac:dyDescent="0.4">
      <c r="A300" s="121"/>
      <c r="B300" s="143">
        <v>209.655</v>
      </c>
      <c r="C300" s="961" t="s">
        <v>399</v>
      </c>
      <c r="D300" s="143">
        <v>339</v>
      </c>
      <c r="E300" s="961">
        <v>0</v>
      </c>
      <c r="F300" s="143">
        <v>334</v>
      </c>
      <c r="G300" s="961">
        <v>0</v>
      </c>
      <c r="H300" s="143">
        <v>324</v>
      </c>
      <c r="I300" s="961">
        <v>0</v>
      </c>
      <c r="J300" s="143">
        <v>338</v>
      </c>
      <c r="K300" s="961">
        <v>0</v>
      </c>
      <c r="L300" s="143">
        <v>342</v>
      </c>
      <c r="M300" s="961">
        <v>0</v>
      </c>
      <c r="N300" s="143">
        <v>371</v>
      </c>
      <c r="O300" s="961">
        <v>0</v>
      </c>
      <c r="P300" s="137"/>
      <c r="Q300" s="143">
        <v>326.06400000000002</v>
      </c>
      <c r="R300" s="143"/>
      <c r="S300" s="961" t="s">
        <v>399</v>
      </c>
      <c r="T300" s="143">
        <v>436.21</v>
      </c>
      <c r="U300" s="961">
        <v>0</v>
      </c>
      <c r="V300" s="143">
        <v>223.893</v>
      </c>
      <c r="W300" s="961">
        <v>0</v>
      </c>
      <c r="X300" s="143">
        <v>88.412000000000006</v>
      </c>
      <c r="Y300" s="961">
        <v>0</v>
      </c>
      <c r="Z300" s="143"/>
      <c r="AA300" s="1031"/>
      <c r="AB300" s="143"/>
      <c r="AC300" s="1031"/>
      <c r="AD300" s="143"/>
      <c r="AE300" s="1031"/>
      <c r="AF300" s="123"/>
      <c r="AG300" s="144">
        <v>0</v>
      </c>
      <c r="AH300" s="145">
        <v>0</v>
      </c>
      <c r="AI300" s="145">
        <v>0</v>
      </c>
      <c r="AJ300" s="146"/>
      <c r="AK300" s="48"/>
      <c r="AL300" s="48"/>
      <c r="AM300" s="48"/>
    </row>
    <row r="301" spans="1:39" x14ac:dyDescent="0.35">
      <c r="A301" s="121"/>
      <c r="B301" s="120"/>
      <c r="C301" s="962"/>
      <c r="D301" s="120"/>
      <c r="E301" s="962"/>
      <c r="F301" s="120"/>
      <c r="G301" s="962"/>
      <c r="H301" s="120"/>
      <c r="I301" s="962"/>
      <c r="J301" s="120"/>
      <c r="K301" s="962"/>
      <c r="L301" s="120"/>
      <c r="M301" s="962"/>
      <c r="N301" s="120"/>
      <c r="O301" s="962"/>
      <c r="P301" s="137"/>
      <c r="Q301" s="137"/>
      <c r="R301" s="120"/>
      <c r="S301" s="962"/>
      <c r="T301" s="120"/>
      <c r="U301" s="962"/>
      <c r="V301" s="120"/>
      <c r="W301" s="962"/>
      <c r="X301" s="120"/>
      <c r="Y301" s="962"/>
      <c r="Z301" s="120"/>
      <c r="AA301" s="1031"/>
      <c r="AB301" s="120"/>
      <c r="AC301" s="1031"/>
      <c r="AD301" s="123"/>
      <c r="AE301" s="1031"/>
      <c r="AF301" s="123"/>
      <c r="AG301" s="147"/>
      <c r="AH301" s="148"/>
      <c r="AI301" s="148"/>
      <c r="AJ301" s="149"/>
      <c r="AK301" s="48"/>
      <c r="AL301" s="48"/>
      <c r="AM301" s="48"/>
    </row>
    <row r="302" spans="1:39" ht="6" customHeight="1" x14ac:dyDescent="0.35">
      <c r="A302" s="121"/>
      <c r="B302" s="120"/>
      <c r="C302" s="150">
        <v>0</v>
      </c>
      <c r="D302" s="121"/>
      <c r="E302" s="150">
        <v>0</v>
      </c>
      <c r="F302" s="121"/>
      <c r="G302" s="150">
        <v>0</v>
      </c>
      <c r="H302" s="121"/>
      <c r="I302" s="150">
        <v>0</v>
      </c>
      <c r="J302" s="121"/>
      <c r="K302" s="150">
        <v>0</v>
      </c>
      <c r="L302" s="121"/>
      <c r="M302" s="150">
        <v>0</v>
      </c>
      <c r="N302" s="121"/>
      <c r="O302" s="150">
        <v>0</v>
      </c>
      <c r="P302" s="137"/>
      <c r="Q302" s="137"/>
      <c r="R302" s="121"/>
      <c r="S302" s="150">
        <v>0</v>
      </c>
      <c r="T302" s="121"/>
      <c r="U302" s="150">
        <v>0</v>
      </c>
      <c r="V302" s="121"/>
      <c r="W302" s="150">
        <v>0</v>
      </c>
      <c r="X302" s="121"/>
      <c r="Y302" s="150">
        <v>0</v>
      </c>
      <c r="Z302" s="121"/>
      <c r="AA302" s="137"/>
      <c r="AB302" s="121"/>
      <c r="AC302" s="137"/>
      <c r="AD302" s="123"/>
      <c r="AE302" s="137"/>
      <c r="AF302" s="123"/>
      <c r="AG302" s="147"/>
      <c r="AH302" s="148"/>
      <c r="AI302" s="148"/>
      <c r="AJ302" s="149"/>
      <c r="AK302" s="48"/>
      <c r="AL302" s="48"/>
      <c r="AM302" s="48"/>
    </row>
    <row r="303" spans="1:39" ht="14.25" customHeight="1" thickBot="1" x14ac:dyDescent="0.4">
      <c r="A303" s="121"/>
      <c r="B303" s="120"/>
      <c r="C303" s="122" t="s">
        <v>134</v>
      </c>
      <c r="D303" s="120"/>
      <c r="E303" s="122" t="s">
        <v>142</v>
      </c>
      <c r="F303" s="120"/>
      <c r="G303" s="122" t="s">
        <v>161</v>
      </c>
      <c r="H303" s="120"/>
      <c r="I303" s="122" t="s">
        <v>161</v>
      </c>
      <c r="J303" s="120"/>
      <c r="K303" s="122" t="s">
        <v>142</v>
      </c>
      <c r="L303" s="120"/>
      <c r="M303" s="122" t="s">
        <v>161</v>
      </c>
      <c r="N303" s="120"/>
      <c r="O303" s="122" t="s">
        <v>161</v>
      </c>
      <c r="P303" s="122"/>
      <c r="Q303" s="122"/>
      <c r="R303" s="120"/>
      <c r="S303" s="122" t="s">
        <v>178</v>
      </c>
      <c r="T303" s="120"/>
      <c r="U303" s="122" t="s">
        <v>318</v>
      </c>
      <c r="V303" s="120"/>
      <c r="W303" s="122" t="s">
        <v>308</v>
      </c>
      <c r="X303" s="120"/>
      <c r="Y303" s="122" t="s">
        <v>787</v>
      </c>
      <c r="Z303" s="120"/>
      <c r="AA303" s="122"/>
      <c r="AB303" s="120"/>
      <c r="AC303" s="122"/>
      <c r="AD303" s="123"/>
      <c r="AE303" s="122"/>
      <c r="AF303" s="123"/>
      <c r="AG303" s="147"/>
      <c r="AH303" s="148"/>
      <c r="AI303" s="148"/>
      <c r="AJ303" s="149"/>
      <c r="AK303" s="48"/>
      <c r="AL303" s="48"/>
      <c r="AM303" s="48"/>
    </row>
    <row r="304" spans="1:39" ht="14.25" customHeight="1" thickBot="1" x14ac:dyDescent="0.4">
      <c r="A304" s="121"/>
      <c r="B304" s="1019" t="s">
        <v>562</v>
      </c>
      <c r="C304" s="1020"/>
      <c r="D304" s="1020"/>
      <c r="E304" s="1020"/>
      <c r="F304" s="1020"/>
      <c r="G304" s="1020"/>
      <c r="H304" s="1020"/>
      <c r="I304" s="1020"/>
      <c r="J304" s="1020"/>
      <c r="K304" s="1020"/>
      <c r="L304" s="1020"/>
      <c r="M304" s="1020"/>
      <c r="N304" s="1020"/>
      <c r="O304" s="1020"/>
      <c r="P304" s="1020"/>
      <c r="Q304" s="1020"/>
      <c r="R304" s="1020"/>
      <c r="S304" s="1020"/>
      <c r="T304" s="1020"/>
      <c r="U304" s="1020"/>
      <c r="V304" s="1020"/>
      <c r="W304" s="1020"/>
      <c r="X304" s="1020"/>
      <c r="Y304" s="1021"/>
      <c r="Z304" s="194"/>
      <c r="AA304" s="194"/>
      <c r="AB304" s="194"/>
      <c r="AC304" s="194"/>
      <c r="AD304" s="194"/>
      <c r="AE304" s="194"/>
      <c r="AF304" s="123"/>
      <c r="AG304" s="147"/>
      <c r="AH304" s="148"/>
      <c r="AI304" s="148"/>
      <c r="AJ304" s="149"/>
      <c r="AK304" s="48"/>
      <c r="AL304" s="48"/>
      <c r="AM304" s="48"/>
    </row>
    <row r="305" spans="1:39" ht="14.25" customHeight="1" x14ac:dyDescent="0.35">
      <c r="A305" s="121"/>
      <c r="B305" s="120"/>
      <c r="C305" s="122"/>
      <c r="D305" s="120"/>
      <c r="E305" s="122"/>
      <c r="F305" s="120"/>
      <c r="G305" s="122"/>
      <c r="H305" s="120"/>
      <c r="I305" s="122"/>
      <c r="J305" s="120"/>
      <c r="K305" s="122"/>
      <c r="L305" s="120"/>
      <c r="M305" s="122"/>
      <c r="N305" s="120"/>
      <c r="O305" s="122"/>
      <c r="P305" s="122"/>
      <c r="Q305" s="122"/>
      <c r="R305" s="120"/>
      <c r="S305" s="122"/>
      <c r="T305" s="120"/>
      <c r="U305" s="122"/>
      <c r="V305" s="120"/>
      <c r="W305" s="122"/>
      <c r="X305" s="120"/>
      <c r="Y305" s="122"/>
      <c r="Z305" s="120"/>
      <c r="AA305" s="122"/>
      <c r="AB305" s="120"/>
      <c r="AC305" s="122"/>
      <c r="AD305" s="123"/>
      <c r="AE305" s="122"/>
      <c r="AF305" s="123"/>
      <c r="AG305" s="147"/>
      <c r="AH305" s="148"/>
      <c r="AI305" s="148"/>
      <c r="AJ305" s="149"/>
      <c r="AK305" s="48"/>
      <c r="AL305" s="48"/>
      <c r="AM305" s="48"/>
    </row>
    <row r="306" spans="1:39" ht="14.25" customHeight="1" thickBot="1" x14ac:dyDescent="0.4">
      <c r="A306" s="121"/>
      <c r="B306" s="120"/>
      <c r="C306" s="122"/>
      <c r="D306" s="120"/>
      <c r="E306" s="122"/>
      <c r="F306" s="120"/>
      <c r="G306" s="122"/>
      <c r="H306" s="120"/>
      <c r="I306" s="122"/>
      <c r="J306" s="120"/>
      <c r="K306" s="122"/>
      <c r="L306" s="120"/>
      <c r="M306" s="122"/>
      <c r="N306" s="120"/>
      <c r="O306" s="122"/>
      <c r="P306" s="122"/>
      <c r="Q306" s="122"/>
      <c r="R306" s="120"/>
      <c r="S306" s="122"/>
      <c r="T306" s="120"/>
      <c r="U306" s="122"/>
      <c r="V306" s="120"/>
      <c r="W306" s="122"/>
      <c r="X306" s="120"/>
      <c r="Y306" s="122"/>
      <c r="Z306" s="120"/>
      <c r="AA306" s="122"/>
      <c r="AB306" s="120"/>
      <c r="AC306" s="122"/>
      <c r="AD306" s="123"/>
      <c r="AE306" s="122"/>
      <c r="AF306" s="123"/>
      <c r="AG306" s="147"/>
      <c r="AH306" s="148"/>
      <c r="AI306" s="148"/>
      <c r="AJ306" s="149"/>
      <c r="AK306" s="48"/>
      <c r="AL306" s="48"/>
      <c r="AM306" s="48"/>
    </row>
    <row r="307" spans="1:39" ht="15" thickBot="1" x14ac:dyDescent="0.4">
      <c r="A307" s="120"/>
      <c r="B307" s="120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0"/>
      <c r="AE307" s="1045" t="s">
        <v>788</v>
      </c>
      <c r="AF307" s="1045"/>
      <c r="AG307" s="313">
        <f>SUM(AG14:AG300)</f>
        <v>173</v>
      </c>
      <c r="AH307" s="313">
        <f>SUM(AH14:AH300)</f>
        <v>89</v>
      </c>
      <c r="AI307" s="313">
        <f>SUM(AI14:AI300)</f>
        <v>28</v>
      </c>
      <c r="AJ307" s="314">
        <f>SUM(AJ14:AJ300)</f>
        <v>0</v>
      </c>
      <c r="AK307" s="48"/>
      <c r="AL307" s="48"/>
      <c r="AM307" s="48"/>
    </row>
    <row r="308" spans="1:39" ht="35.25" customHeight="1" x14ac:dyDescent="0.35">
      <c r="A308" s="120"/>
      <c r="B308" s="315" t="s">
        <v>789</v>
      </c>
      <c r="C308" s="316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046" t="s">
        <v>790</v>
      </c>
      <c r="V308" s="1046"/>
      <c r="W308" s="1046"/>
      <c r="X308" s="1046"/>
      <c r="Y308" s="1046"/>
      <c r="Z308" s="1046"/>
      <c r="AA308" s="1046"/>
      <c r="AB308" s="1046"/>
      <c r="AC308" s="148"/>
      <c r="AD308" s="148"/>
      <c r="AE308" s="148"/>
      <c r="AF308" s="148"/>
      <c r="AG308" s="148"/>
      <c r="AH308" s="148"/>
      <c r="AI308" s="148"/>
      <c r="AJ308" s="148"/>
      <c r="AK308" s="48"/>
      <c r="AL308" s="48"/>
      <c r="AM308" s="48"/>
    </row>
    <row r="309" spans="1:39" ht="15" thickBot="1" x14ac:dyDescent="0.4">
      <c r="A309" s="120"/>
      <c r="B309" s="175"/>
      <c r="C309" s="175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  <c r="AB309" s="148"/>
      <c r="AC309" s="148"/>
      <c r="AD309" s="148"/>
      <c r="AE309" s="148"/>
      <c r="AF309" s="148"/>
      <c r="AG309" s="148"/>
      <c r="AH309" s="148"/>
      <c r="AI309" s="148"/>
      <c r="AJ309" s="148"/>
      <c r="AK309" s="48"/>
      <c r="AL309" s="48"/>
      <c r="AM309" s="48"/>
    </row>
    <row r="310" spans="1:39" ht="15" customHeight="1" x14ac:dyDescent="0.35">
      <c r="B310" s="317"/>
      <c r="C310" s="318"/>
      <c r="D310" s="318"/>
      <c r="E310" s="318"/>
      <c r="F310" s="318"/>
      <c r="G310" s="1047" t="s">
        <v>791</v>
      </c>
      <c r="H310" s="1047"/>
      <c r="I310" s="1049" t="s">
        <v>792</v>
      </c>
      <c r="J310" s="1049"/>
      <c r="K310" s="1049"/>
      <c r="L310" s="1049"/>
      <c r="M310" s="1051" t="s">
        <v>793</v>
      </c>
      <c r="N310" s="1051"/>
      <c r="O310" s="1053" t="s">
        <v>794</v>
      </c>
      <c r="P310" s="1053"/>
      <c r="Q310" s="1053"/>
      <c r="R310" s="1053"/>
      <c r="S310" s="319"/>
      <c r="T310" s="320"/>
      <c r="U310" s="1055" t="s">
        <v>795</v>
      </c>
      <c r="V310" s="1036"/>
      <c r="W310" s="1035" t="s">
        <v>796</v>
      </c>
      <c r="X310" s="1051"/>
      <c r="Y310" s="1036"/>
      <c r="Z310" s="1032" t="s">
        <v>797</v>
      </c>
      <c r="AA310" s="1035" t="s">
        <v>788</v>
      </c>
      <c r="AB310" s="1036"/>
      <c r="AC310" s="1041" t="s">
        <v>798</v>
      </c>
      <c r="AD310" s="1041"/>
      <c r="AE310" s="1041" t="s">
        <v>799</v>
      </c>
      <c r="AF310" s="1043"/>
      <c r="AI310" s="321"/>
      <c r="AJ310" s="321"/>
      <c r="AK310" s="48"/>
      <c r="AL310" s="48"/>
      <c r="AM310" s="48"/>
    </row>
    <row r="311" spans="1:39" ht="22.75" customHeight="1" thickBot="1" x14ac:dyDescent="0.4">
      <c r="B311" s="322"/>
      <c r="C311" s="216"/>
      <c r="D311" s="216"/>
      <c r="E311" s="216"/>
      <c r="G311" s="1048"/>
      <c r="H311" s="1048"/>
      <c r="I311" s="1050"/>
      <c r="J311" s="1050"/>
      <c r="K311" s="1050"/>
      <c r="L311" s="1050"/>
      <c r="M311" s="1052"/>
      <c r="N311" s="1052"/>
      <c r="O311" s="1054"/>
      <c r="P311" s="1054"/>
      <c r="Q311" s="1054"/>
      <c r="R311" s="1054"/>
      <c r="S311" s="323"/>
      <c r="T311" s="324"/>
      <c r="U311" s="1056"/>
      <c r="V311" s="1038"/>
      <c r="W311" s="1037"/>
      <c r="X311" s="1058"/>
      <c r="Y311" s="1038"/>
      <c r="Z311" s="1033"/>
      <c r="AA311" s="1037"/>
      <c r="AB311" s="1038"/>
      <c r="AC311" s="1042"/>
      <c r="AD311" s="1042"/>
      <c r="AE311" s="1042"/>
      <c r="AF311" s="1044"/>
      <c r="AI311" s="321"/>
      <c r="AJ311" s="321"/>
      <c r="AK311" s="48"/>
      <c r="AL311" s="48"/>
      <c r="AM311" s="48"/>
    </row>
    <row r="312" spans="1:39" x14ac:dyDescent="0.35">
      <c r="B312" s="322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323"/>
      <c r="P312" s="323"/>
      <c r="Q312" s="323"/>
      <c r="R312" s="323"/>
      <c r="S312" s="323"/>
      <c r="T312" s="324"/>
      <c r="U312" s="1056"/>
      <c r="V312" s="1038"/>
      <c r="W312" s="1037"/>
      <c r="X312" s="1058"/>
      <c r="Y312" s="1038"/>
      <c r="Z312" s="1033"/>
      <c r="AA312" s="1037"/>
      <c r="AB312" s="1038"/>
      <c r="AC312" s="1042"/>
      <c r="AD312" s="1042"/>
      <c r="AE312" s="1042"/>
      <c r="AF312" s="1044"/>
      <c r="AI312" s="321"/>
      <c r="AJ312" s="321"/>
      <c r="AK312" s="48"/>
      <c r="AL312" s="48"/>
      <c r="AM312" s="48"/>
    </row>
    <row r="313" spans="1:39" x14ac:dyDescent="0.35">
      <c r="B313" s="322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326"/>
      <c r="U313" s="1056"/>
      <c r="V313" s="1038"/>
      <c r="W313" s="1037"/>
      <c r="X313" s="1058"/>
      <c r="Y313" s="1038"/>
      <c r="Z313" s="1033"/>
      <c r="AA313" s="1037"/>
      <c r="AB313" s="1038"/>
      <c r="AC313" s="1042"/>
      <c r="AD313" s="1042"/>
      <c r="AE313" s="1042"/>
      <c r="AF313" s="1044"/>
      <c r="AI313" s="321"/>
      <c r="AJ313" s="321"/>
      <c r="AK313" s="48"/>
      <c r="AL313" s="48"/>
      <c r="AM313" s="48"/>
    </row>
    <row r="314" spans="1:39" x14ac:dyDescent="0.35">
      <c r="B314" s="322"/>
      <c r="C314" s="216"/>
      <c r="D314" s="216"/>
      <c r="E314" s="196" t="s">
        <v>800</v>
      </c>
      <c r="F314" s="216"/>
      <c r="G314" s="216"/>
      <c r="H314" s="216"/>
      <c r="I314" s="327"/>
      <c r="J314" s="216"/>
      <c r="K314" s="216"/>
      <c r="L314" s="216"/>
      <c r="M314" s="216"/>
      <c r="N314" s="196" t="s">
        <v>801</v>
      </c>
      <c r="O314" s="216"/>
      <c r="P314" s="216"/>
      <c r="Q314" s="216"/>
      <c r="R314" s="216"/>
      <c r="S314" s="216"/>
      <c r="T314" s="326"/>
      <c r="U314" s="1057"/>
      <c r="V314" s="1040"/>
      <c r="W314" s="1039"/>
      <c r="X314" s="1059"/>
      <c r="Y314" s="1040"/>
      <c r="Z314" s="1034"/>
      <c r="AA314" s="1039"/>
      <c r="AB314" s="1040"/>
      <c r="AC314" s="1042"/>
      <c r="AD314" s="1042"/>
      <c r="AE314" s="1042"/>
      <c r="AF314" s="1044"/>
      <c r="AI314" s="321" t="s">
        <v>548</v>
      </c>
      <c r="AJ314" s="321"/>
      <c r="AK314" s="48"/>
      <c r="AL314" s="48"/>
      <c r="AM314" s="48"/>
    </row>
    <row r="315" spans="1:39" x14ac:dyDescent="0.35">
      <c r="B315" s="322"/>
      <c r="C315" s="216"/>
      <c r="D315" s="216"/>
      <c r="E315" s="196" t="s">
        <v>802</v>
      </c>
      <c r="F315" s="216"/>
      <c r="G315" s="216"/>
      <c r="H315" s="1073"/>
      <c r="I315" s="196" t="s">
        <v>803</v>
      </c>
      <c r="J315" s="1073"/>
      <c r="K315" s="196" t="s">
        <v>803</v>
      </c>
      <c r="L315" s="1074"/>
      <c r="M315" s="216"/>
      <c r="N315" s="196" t="s">
        <v>804</v>
      </c>
      <c r="O315" s="216"/>
      <c r="P315" s="216"/>
      <c r="Q315" s="216"/>
      <c r="R315" s="216"/>
      <c r="S315" s="216"/>
      <c r="T315" s="326"/>
      <c r="U315" s="1062">
        <v>1</v>
      </c>
      <c r="V315" s="1063"/>
      <c r="W315" s="1064" t="s">
        <v>805</v>
      </c>
      <c r="X315" s="1065"/>
      <c r="Y315" s="1063"/>
      <c r="Z315" s="1066" t="s">
        <v>806</v>
      </c>
      <c r="AA315" s="1067">
        <v>372</v>
      </c>
      <c r="AB315" s="1068"/>
      <c r="AC315" s="1071">
        <f>AG307</f>
        <v>173</v>
      </c>
      <c r="AD315" s="1071"/>
      <c r="AE315" s="1071">
        <f>+AA315-AC315</f>
        <v>199</v>
      </c>
      <c r="AF315" s="1072"/>
      <c r="AI315" s="321"/>
      <c r="AJ315" s="321"/>
      <c r="AK315" s="1060"/>
      <c r="AL315" s="328"/>
      <c r="AM315" s="48"/>
    </row>
    <row r="316" spans="1:39" x14ac:dyDescent="0.35">
      <c r="B316" s="322"/>
      <c r="C316" s="216"/>
      <c r="D316" s="216"/>
      <c r="E316" s="1061" t="s">
        <v>807</v>
      </c>
      <c r="F316" s="1061"/>
      <c r="G316" s="216"/>
      <c r="H316" s="1073"/>
      <c r="I316" s="216"/>
      <c r="J316" s="1073"/>
      <c r="K316" s="216"/>
      <c r="L316" s="1074"/>
      <c r="M316" s="216"/>
      <c r="N316" s="216"/>
      <c r="O316" s="216"/>
      <c r="P316" s="216"/>
      <c r="Q316" s="216"/>
      <c r="R316" s="216"/>
      <c r="S316" s="216"/>
      <c r="T316" s="326"/>
      <c r="U316" s="1057"/>
      <c r="V316" s="1040"/>
      <c r="W316" s="1039"/>
      <c r="X316" s="1059"/>
      <c r="Y316" s="1040"/>
      <c r="Z316" s="1034"/>
      <c r="AA316" s="1069"/>
      <c r="AB316" s="1070"/>
      <c r="AC316" s="1071"/>
      <c r="AD316" s="1071"/>
      <c r="AE316" s="1071"/>
      <c r="AF316" s="1072"/>
      <c r="AI316" s="321"/>
      <c r="AJ316" s="321"/>
      <c r="AK316" s="1060"/>
      <c r="AL316" s="48"/>
      <c r="AM316" s="48"/>
    </row>
    <row r="317" spans="1:39" ht="12.5" customHeight="1" x14ac:dyDescent="0.35">
      <c r="B317" s="322"/>
      <c r="C317" s="216"/>
      <c r="D317" s="196"/>
      <c r="E317" s="1061"/>
      <c r="F317" s="1061"/>
      <c r="G317" s="329"/>
      <c r="H317" s="330"/>
      <c r="I317" s="329"/>
      <c r="J317" s="330"/>
      <c r="K317" s="329"/>
      <c r="L317" s="329"/>
      <c r="M317" s="329"/>
      <c r="N317" s="196"/>
      <c r="O317" s="216"/>
      <c r="P317" s="216"/>
      <c r="Q317" s="216"/>
      <c r="R317" s="216"/>
      <c r="S317" s="216"/>
      <c r="T317" s="326"/>
      <c r="U317" s="1062">
        <v>2</v>
      </c>
      <c r="V317" s="1063"/>
      <c r="W317" s="1064" t="s">
        <v>808</v>
      </c>
      <c r="X317" s="1065"/>
      <c r="Y317" s="1063"/>
      <c r="Z317" s="1066" t="s">
        <v>806</v>
      </c>
      <c r="AA317" s="1067">
        <f>+AA315</f>
        <v>372</v>
      </c>
      <c r="AB317" s="1068"/>
      <c r="AC317" s="1071">
        <f>AI307</f>
        <v>28</v>
      </c>
      <c r="AD317" s="1071"/>
      <c r="AE317" s="1071">
        <f>+AA317-AC317</f>
        <v>344</v>
      </c>
      <c r="AF317" s="1072"/>
      <c r="AI317" s="321"/>
      <c r="AJ317" s="321"/>
      <c r="AK317" s="1060"/>
      <c r="AL317" s="48"/>
      <c r="AM317" s="48"/>
    </row>
    <row r="318" spans="1:39" x14ac:dyDescent="0.35">
      <c r="B318" s="322"/>
      <c r="C318" s="216"/>
      <c r="D318" s="216"/>
      <c r="E318" s="216"/>
      <c r="G318" s="216"/>
      <c r="H318" s="216"/>
      <c r="I318" s="216"/>
      <c r="J318" s="216"/>
      <c r="K318" s="196"/>
      <c r="L318" s="216"/>
      <c r="M318" s="216"/>
      <c r="N318" s="216"/>
      <c r="O318" s="216"/>
      <c r="P318" s="216"/>
      <c r="Q318" s="216"/>
      <c r="R318" s="216"/>
      <c r="S318" s="216"/>
      <c r="T318" s="326"/>
      <c r="U318" s="1057"/>
      <c r="V318" s="1040"/>
      <c r="W318" s="1039"/>
      <c r="X318" s="1059"/>
      <c r="Y318" s="1040"/>
      <c r="Z318" s="1034"/>
      <c r="AA318" s="1069"/>
      <c r="AB318" s="1070"/>
      <c r="AC318" s="1071"/>
      <c r="AD318" s="1071"/>
      <c r="AE318" s="1071"/>
      <c r="AF318" s="1072"/>
      <c r="AI318" s="321"/>
      <c r="AJ318" s="321"/>
      <c r="AK318" s="1060"/>
      <c r="AL318" s="48"/>
      <c r="AM318" s="48"/>
    </row>
    <row r="319" spans="1:39" x14ac:dyDescent="0.35">
      <c r="B319" s="322"/>
      <c r="C319" s="216"/>
      <c r="D319" s="216"/>
      <c r="E319" s="216"/>
      <c r="F319" s="331"/>
      <c r="G319" s="216"/>
      <c r="H319" s="216"/>
      <c r="I319" s="323"/>
      <c r="J319" s="323"/>
      <c r="K319" s="216"/>
      <c r="L319" s="216"/>
      <c r="M319" s="216"/>
      <c r="N319" s="216"/>
      <c r="O319" s="216"/>
      <c r="P319" s="216"/>
      <c r="Q319" s="216"/>
      <c r="R319" s="216"/>
      <c r="S319" s="216"/>
      <c r="T319" s="326"/>
      <c r="U319" s="1062">
        <v>3</v>
      </c>
      <c r="V319" s="1063"/>
      <c r="W319" s="1064" t="s">
        <v>809</v>
      </c>
      <c r="X319" s="1065"/>
      <c r="Y319" s="1063"/>
      <c r="Z319" s="1066" t="s">
        <v>810</v>
      </c>
      <c r="AA319" s="1075">
        <v>136.59399999999999</v>
      </c>
      <c r="AB319" s="1076"/>
      <c r="AC319" s="1079">
        <f>AJ307</f>
        <v>0</v>
      </c>
      <c r="AD319" s="1079"/>
      <c r="AE319" s="1079">
        <f>+AA319-AC319</f>
        <v>136.59399999999999</v>
      </c>
      <c r="AF319" s="1080"/>
      <c r="AI319" s="321"/>
      <c r="AJ319" s="321"/>
      <c r="AK319" s="1060"/>
      <c r="AL319" s="48"/>
      <c r="AM319" s="48"/>
    </row>
    <row r="320" spans="1:39" x14ac:dyDescent="0.35">
      <c r="B320" s="322"/>
      <c r="C320" s="216"/>
      <c r="D320" s="216"/>
      <c r="E320" s="216"/>
      <c r="F320" s="331"/>
      <c r="G320" s="216"/>
      <c r="H320" s="216"/>
      <c r="I320" s="323"/>
      <c r="J320" s="323"/>
      <c r="K320" s="216"/>
      <c r="L320" s="216"/>
      <c r="M320" s="216"/>
      <c r="N320" s="216"/>
      <c r="O320" s="216"/>
      <c r="P320" s="216"/>
      <c r="Q320" s="216"/>
      <c r="R320" s="216"/>
      <c r="S320" s="216"/>
      <c r="T320" s="326"/>
      <c r="U320" s="1057"/>
      <c r="V320" s="1040"/>
      <c r="W320" s="1039"/>
      <c r="X320" s="1059"/>
      <c r="Y320" s="1040"/>
      <c r="Z320" s="1034"/>
      <c r="AA320" s="1077"/>
      <c r="AB320" s="1078"/>
      <c r="AC320" s="1079"/>
      <c r="AD320" s="1079"/>
      <c r="AE320" s="1079"/>
      <c r="AF320" s="1080"/>
      <c r="AI320" s="321"/>
      <c r="AJ320" s="321"/>
      <c r="AK320" s="1060"/>
      <c r="AL320" s="48"/>
      <c r="AM320" s="48"/>
    </row>
    <row r="321" spans="2:39" x14ac:dyDescent="0.35">
      <c r="B321" s="322"/>
      <c r="C321" s="216"/>
      <c r="D321" s="216"/>
      <c r="E321" s="216"/>
      <c r="F321" s="331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326"/>
      <c r="U321" s="1062">
        <v>4</v>
      </c>
      <c r="V321" s="1063"/>
      <c r="W321" s="1064" t="s">
        <v>811</v>
      </c>
      <c r="X321" s="1065"/>
      <c r="Y321" s="1063"/>
      <c r="Z321" s="1066" t="s">
        <v>806</v>
      </c>
      <c r="AA321" s="1067">
        <f>+AA315</f>
        <v>372</v>
      </c>
      <c r="AB321" s="1068"/>
      <c r="AC321" s="1071">
        <v>103</v>
      </c>
      <c r="AD321" s="1071"/>
      <c r="AE321" s="1071">
        <f>+AA321-AC321</f>
        <v>269</v>
      </c>
      <c r="AF321" s="1072"/>
      <c r="AI321" s="321"/>
      <c r="AJ321" s="321"/>
      <c r="AK321" s="1060"/>
      <c r="AL321" s="48"/>
      <c r="AM321" s="48"/>
    </row>
    <row r="322" spans="2:39" x14ac:dyDescent="0.35">
      <c r="B322" s="1083" t="s">
        <v>812</v>
      </c>
      <c r="C322" s="1084"/>
      <c r="D322" s="333" t="s">
        <v>813</v>
      </c>
      <c r="E322" s="333"/>
      <c r="F322" s="333"/>
      <c r="G322" s="333" t="s">
        <v>814</v>
      </c>
      <c r="H322" s="333"/>
      <c r="I322" s="333"/>
      <c r="J322" s="333"/>
      <c r="K322" s="333"/>
      <c r="L322" s="333"/>
      <c r="M322" s="333" t="s">
        <v>815</v>
      </c>
      <c r="N322" s="333"/>
      <c r="O322" s="333"/>
      <c r="P322" s="333"/>
      <c r="Q322" s="333"/>
      <c r="R322" s="333" t="s">
        <v>816</v>
      </c>
      <c r="S322" s="333"/>
      <c r="T322" s="334"/>
      <c r="U322" s="1057"/>
      <c r="V322" s="1040"/>
      <c r="W322" s="1039"/>
      <c r="X322" s="1059"/>
      <c r="Y322" s="1040"/>
      <c r="Z322" s="1034"/>
      <c r="AA322" s="1069"/>
      <c r="AB322" s="1070"/>
      <c r="AC322" s="1071"/>
      <c r="AD322" s="1071"/>
      <c r="AE322" s="1071"/>
      <c r="AF322" s="1072"/>
      <c r="AI322" s="321"/>
      <c r="AJ322" s="321"/>
      <c r="AK322" s="1060"/>
      <c r="AL322" s="48"/>
      <c r="AM322" s="48"/>
    </row>
    <row r="323" spans="2:39" x14ac:dyDescent="0.35">
      <c r="B323" s="332"/>
      <c r="C323" s="333"/>
      <c r="D323" s="333"/>
      <c r="E323" s="333"/>
      <c r="F323" s="333"/>
      <c r="G323" s="333"/>
      <c r="H323" s="333"/>
      <c r="I323" s="333"/>
      <c r="J323" s="333" t="s">
        <v>817</v>
      </c>
      <c r="K323" s="333"/>
      <c r="L323" s="333"/>
      <c r="M323" s="333"/>
      <c r="N323" s="333"/>
      <c r="O323" s="333"/>
      <c r="P323" s="333"/>
      <c r="Q323" s="333"/>
      <c r="R323" s="333" t="s">
        <v>818</v>
      </c>
      <c r="S323" s="333"/>
      <c r="T323" s="334"/>
      <c r="U323" s="1062">
        <v>5</v>
      </c>
      <c r="V323" s="1063"/>
      <c r="W323" s="1087" t="s">
        <v>130</v>
      </c>
      <c r="X323" s="1088"/>
      <c r="Y323" s="1089"/>
      <c r="Z323" s="325" t="s">
        <v>806</v>
      </c>
      <c r="AA323" s="1090"/>
      <c r="AB323" s="1091"/>
      <c r="AC323" s="1071"/>
      <c r="AD323" s="1071"/>
      <c r="AE323" s="1071">
        <f>+AA323-AC323</f>
        <v>0</v>
      </c>
      <c r="AF323" s="1072"/>
      <c r="AI323" s="321"/>
      <c r="AJ323" s="321"/>
      <c r="AK323" s="1060"/>
      <c r="AL323" s="48"/>
      <c r="AM323" s="48"/>
    </row>
    <row r="324" spans="2:39" ht="19" thickBot="1" x14ac:dyDescent="0.4">
      <c r="B324" s="335"/>
      <c r="C324" s="336"/>
      <c r="D324" s="336"/>
      <c r="E324" s="336"/>
      <c r="F324" s="336"/>
      <c r="G324" s="336"/>
      <c r="H324" s="336"/>
      <c r="I324" s="336"/>
      <c r="J324" s="336"/>
      <c r="K324" s="336"/>
      <c r="L324" s="336"/>
      <c r="M324" s="336"/>
      <c r="N324" s="337"/>
      <c r="O324" s="337"/>
      <c r="P324" s="337"/>
      <c r="Q324" s="337"/>
      <c r="R324" s="337"/>
      <c r="S324" s="337"/>
      <c r="T324" s="338"/>
      <c r="U324" s="1085"/>
      <c r="V324" s="1086"/>
      <c r="W324" s="1092" t="s">
        <v>819</v>
      </c>
      <c r="X324" s="1093"/>
      <c r="Y324" s="1094"/>
      <c r="Z324" s="339" t="s">
        <v>806</v>
      </c>
      <c r="AA324" s="1095"/>
      <c r="AB324" s="1096"/>
      <c r="AC324" s="1081"/>
      <c r="AD324" s="1081"/>
      <c r="AE324" s="1081">
        <f>+AA324-AC324</f>
        <v>0</v>
      </c>
      <c r="AF324" s="1082"/>
      <c r="AI324" s="321"/>
      <c r="AJ324" s="321"/>
      <c r="AK324" s="1060"/>
      <c r="AL324" s="48"/>
      <c r="AM324" s="48"/>
    </row>
    <row r="325" spans="2:39" x14ac:dyDescent="0.35">
      <c r="AK325" s="48"/>
      <c r="AL325" s="48"/>
      <c r="AM325" s="48"/>
    </row>
    <row r="326" spans="2:39" x14ac:dyDescent="0.35">
      <c r="AK326" s="48"/>
      <c r="AL326" s="48"/>
      <c r="AM326" s="48"/>
    </row>
    <row r="327" spans="2:39" x14ac:dyDescent="0.35">
      <c r="AK327" s="48"/>
      <c r="AL327" s="48"/>
      <c r="AM327" s="48"/>
    </row>
    <row r="328" spans="2:39" x14ac:dyDescent="0.35">
      <c r="AK328" s="48"/>
      <c r="AL328" s="48"/>
      <c r="AM328" s="48"/>
    </row>
    <row r="329" spans="2:39" x14ac:dyDescent="0.35">
      <c r="AK329" s="48"/>
      <c r="AL329" s="48"/>
      <c r="AM329" s="48"/>
    </row>
    <row r="330" spans="2:39" x14ac:dyDescent="0.35">
      <c r="AK330" s="48"/>
      <c r="AL330" s="48"/>
      <c r="AM330" s="48"/>
    </row>
    <row r="331" spans="2:39" x14ac:dyDescent="0.35">
      <c r="AK331" s="48"/>
      <c r="AL331" s="48"/>
      <c r="AM331" s="48"/>
    </row>
    <row r="332" spans="2:39" x14ac:dyDescent="0.35">
      <c r="AK332" s="48"/>
      <c r="AL332" s="48"/>
      <c r="AM332" s="48"/>
    </row>
    <row r="333" spans="2:39" x14ac:dyDescent="0.35">
      <c r="AK333" s="48"/>
      <c r="AL333" s="48"/>
      <c r="AM333" s="48"/>
    </row>
    <row r="334" spans="2:39" x14ac:dyDescent="0.35">
      <c r="AK334" s="48"/>
      <c r="AL334" s="48"/>
      <c r="AM334" s="48"/>
    </row>
    <row r="335" spans="2:39" x14ac:dyDescent="0.35">
      <c r="AK335" s="48"/>
      <c r="AL335" s="48"/>
      <c r="AM335" s="48"/>
    </row>
    <row r="336" spans="2:39" x14ac:dyDescent="0.35">
      <c r="AK336" s="48"/>
      <c r="AL336" s="48"/>
      <c r="AM336" s="48"/>
    </row>
    <row r="337" spans="37:39" x14ac:dyDescent="0.35">
      <c r="AK337" s="48"/>
      <c r="AL337" s="48"/>
      <c r="AM337" s="48"/>
    </row>
    <row r="338" spans="37:39" x14ac:dyDescent="0.35">
      <c r="AK338" s="48"/>
      <c r="AL338" s="48"/>
      <c r="AM338" s="48"/>
    </row>
    <row r="339" spans="37:39" x14ac:dyDescent="0.35">
      <c r="AK339" s="48"/>
      <c r="AL339" s="48"/>
      <c r="AM339" s="48"/>
    </row>
    <row r="340" spans="37:39" x14ac:dyDescent="0.35">
      <c r="AK340" s="48"/>
      <c r="AL340" s="48"/>
      <c r="AM340" s="48"/>
    </row>
    <row r="341" spans="37:39" x14ac:dyDescent="0.35">
      <c r="AK341" s="48"/>
      <c r="AL341" s="48"/>
      <c r="AM341" s="48"/>
    </row>
    <row r="342" spans="37:39" x14ac:dyDescent="0.35">
      <c r="AK342" s="48"/>
      <c r="AL342" s="48"/>
      <c r="AM342" s="48"/>
    </row>
    <row r="343" spans="37:39" x14ac:dyDescent="0.35">
      <c r="AK343" s="48"/>
      <c r="AL343" s="48"/>
      <c r="AM343" s="48"/>
    </row>
    <row r="344" spans="37:39" x14ac:dyDescent="0.35">
      <c r="AK344" s="48"/>
      <c r="AL344" s="48"/>
      <c r="AM344" s="48"/>
    </row>
    <row r="345" spans="37:39" x14ac:dyDescent="0.35">
      <c r="AK345" s="48"/>
      <c r="AL345" s="48"/>
      <c r="AM345" s="48"/>
    </row>
    <row r="346" spans="37:39" x14ac:dyDescent="0.35">
      <c r="AK346" s="48"/>
      <c r="AL346" s="48"/>
      <c r="AM346" s="48"/>
    </row>
    <row r="347" spans="37:39" x14ac:dyDescent="0.35">
      <c r="AK347" s="48"/>
      <c r="AL347" s="48"/>
      <c r="AM347" s="48"/>
    </row>
    <row r="348" spans="37:39" x14ac:dyDescent="0.35">
      <c r="AK348" s="48"/>
      <c r="AL348" s="48"/>
      <c r="AM348" s="48"/>
    </row>
    <row r="349" spans="37:39" x14ac:dyDescent="0.35">
      <c r="AK349" s="48"/>
      <c r="AL349" s="48"/>
      <c r="AM349" s="48"/>
    </row>
    <row r="350" spans="37:39" x14ac:dyDescent="0.35">
      <c r="AK350" s="48"/>
      <c r="AL350" s="48"/>
      <c r="AM350" s="48"/>
    </row>
    <row r="351" spans="37:39" x14ac:dyDescent="0.35">
      <c r="AK351" s="48"/>
      <c r="AL351" s="48"/>
      <c r="AM351" s="48"/>
    </row>
    <row r="352" spans="37:39" x14ac:dyDescent="0.35">
      <c r="AK352" s="48"/>
      <c r="AL352" s="48"/>
      <c r="AM352" s="48"/>
    </row>
    <row r="353" spans="37:39" x14ac:dyDescent="0.35">
      <c r="AK353" s="48"/>
      <c r="AL353" s="48"/>
      <c r="AM353" s="48"/>
    </row>
    <row r="354" spans="37:39" x14ac:dyDescent="0.35">
      <c r="AK354" s="48"/>
      <c r="AL354" s="48"/>
      <c r="AM354" s="48"/>
    </row>
    <row r="355" spans="37:39" x14ac:dyDescent="0.35">
      <c r="AK355" s="48"/>
      <c r="AL355" s="48"/>
      <c r="AM355" s="48"/>
    </row>
    <row r="356" spans="37:39" x14ac:dyDescent="0.35">
      <c r="AK356" s="48"/>
      <c r="AL356" s="48"/>
      <c r="AM356" s="48"/>
    </row>
    <row r="357" spans="37:39" x14ac:dyDescent="0.35">
      <c r="AK357" s="48"/>
      <c r="AL357" s="48"/>
      <c r="AM357" s="48"/>
    </row>
    <row r="358" spans="37:39" x14ac:dyDescent="0.35">
      <c r="AK358" s="48"/>
      <c r="AL358" s="48"/>
      <c r="AM358" s="48"/>
    </row>
    <row r="359" spans="37:39" x14ac:dyDescent="0.35">
      <c r="AK359" s="48"/>
      <c r="AL359" s="48"/>
      <c r="AM359" s="48"/>
    </row>
    <row r="360" spans="37:39" x14ac:dyDescent="0.35">
      <c r="AK360" s="48"/>
      <c r="AL360" s="48"/>
      <c r="AM360" s="48"/>
    </row>
    <row r="361" spans="37:39" x14ac:dyDescent="0.35">
      <c r="AK361" s="48"/>
      <c r="AL361" s="48"/>
      <c r="AM361" s="48"/>
    </row>
    <row r="362" spans="37:39" x14ac:dyDescent="0.35">
      <c r="AK362" s="48"/>
      <c r="AL362" s="48"/>
      <c r="AM362" s="48"/>
    </row>
    <row r="363" spans="37:39" x14ac:dyDescent="0.35">
      <c r="AK363" s="48"/>
      <c r="AL363" s="48"/>
      <c r="AM363" s="48"/>
    </row>
    <row r="364" spans="37:39" x14ac:dyDescent="0.35">
      <c r="AK364" s="48"/>
      <c r="AL364" s="48"/>
      <c r="AM364" s="48"/>
    </row>
    <row r="365" spans="37:39" x14ac:dyDescent="0.35">
      <c r="AK365" s="48"/>
      <c r="AL365" s="48"/>
      <c r="AM365" s="48"/>
    </row>
    <row r="366" spans="37:39" x14ac:dyDescent="0.35">
      <c r="AK366" s="48"/>
      <c r="AL366" s="48"/>
      <c r="AM366" s="48"/>
    </row>
    <row r="367" spans="37:39" x14ac:dyDescent="0.35">
      <c r="AK367" s="48"/>
      <c r="AL367" s="48"/>
      <c r="AM367" s="48"/>
    </row>
    <row r="368" spans="37:39" x14ac:dyDescent="0.35">
      <c r="AK368" s="48"/>
      <c r="AL368" s="48"/>
      <c r="AM368" s="48"/>
    </row>
    <row r="369" spans="37:39" x14ac:dyDescent="0.35">
      <c r="AK369" s="48"/>
      <c r="AL369" s="48"/>
      <c r="AM369" s="48"/>
    </row>
    <row r="370" spans="37:39" x14ac:dyDescent="0.35">
      <c r="AK370" s="48"/>
      <c r="AL370" s="48"/>
      <c r="AM370" s="48"/>
    </row>
    <row r="371" spans="37:39" x14ac:dyDescent="0.35">
      <c r="AK371" s="48"/>
      <c r="AL371" s="48"/>
      <c r="AM371" s="48"/>
    </row>
    <row r="372" spans="37:39" x14ac:dyDescent="0.35">
      <c r="AK372" s="48"/>
      <c r="AL372" s="48"/>
      <c r="AM372" s="48"/>
    </row>
    <row r="373" spans="37:39" x14ac:dyDescent="0.35">
      <c r="AK373" s="48"/>
      <c r="AL373" s="48"/>
      <c r="AM373" s="48"/>
    </row>
    <row r="374" spans="37:39" x14ac:dyDescent="0.35">
      <c r="AK374" s="48"/>
      <c r="AL374" s="48"/>
      <c r="AM374" s="48"/>
    </row>
    <row r="375" spans="37:39" x14ac:dyDescent="0.35">
      <c r="AK375" s="48"/>
      <c r="AL375" s="48"/>
      <c r="AM375" s="48"/>
    </row>
    <row r="376" spans="37:39" x14ac:dyDescent="0.35">
      <c r="AK376" s="48"/>
      <c r="AL376" s="48"/>
      <c r="AM376" s="48"/>
    </row>
    <row r="377" spans="37:39" x14ac:dyDescent="0.35">
      <c r="AK377" s="48"/>
      <c r="AL377" s="48"/>
      <c r="AM377" s="48"/>
    </row>
    <row r="378" spans="37:39" x14ac:dyDescent="0.35">
      <c r="AK378" s="48"/>
      <c r="AL378" s="48"/>
      <c r="AM378" s="48"/>
    </row>
    <row r="379" spans="37:39" x14ac:dyDescent="0.35">
      <c r="AK379" s="48"/>
      <c r="AL379" s="48"/>
      <c r="AM379" s="48"/>
    </row>
    <row r="380" spans="37:39" x14ac:dyDescent="0.35">
      <c r="AK380" s="48"/>
      <c r="AL380" s="48"/>
      <c r="AM380" s="48"/>
    </row>
    <row r="381" spans="37:39" x14ac:dyDescent="0.35">
      <c r="AK381" s="48"/>
      <c r="AL381" s="48"/>
      <c r="AM381" s="48"/>
    </row>
    <row r="382" spans="37:39" x14ac:dyDescent="0.35">
      <c r="AK382" s="48"/>
      <c r="AL382" s="48"/>
      <c r="AM382" s="48"/>
    </row>
    <row r="383" spans="37:39" x14ac:dyDescent="0.35">
      <c r="AK383" s="48"/>
      <c r="AL383" s="48"/>
      <c r="AM383" s="48"/>
    </row>
    <row r="384" spans="37:39" x14ac:dyDescent="0.35">
      <c r="AK384" s="48"/>
      <c r="AL384" s="48"/>
      <c r="AM384" s="48"/>
    </row>
    <row r="385" spans="37:39" x14ac:dyDescent="0.35">
      <c r="AK385" s="48"/>
      <c r="AL385" s="48"/>
      <c r="AM385" s="48"/>
    </row>
    <row r="386" spans="37:39" x14ac:dyDescent="0.35">
      <c r="AK386" s="48"/>
      <c r="AL386" s="48"/>
      <c r="AM386" s="48"/>
    </row>
    <row r="387" spans="37:39" x14ac:dyDescent="0.35">
      <c r="AK387" s="48"/>
      <c r="AL387" s="48"/>
      <c r="AM387" s="48"/>
    </row>
    <row r="388" spans="37:39" x14ac:dyDescent="0.35">
      <c r="AK388" s="48"/>
      <c r="AL388" s="48"/>
      <c r="AM388" s="48"/>
    </row>
    <row r="389" spans="37:39" x14ac:dyDescent="0.35">
      <c r="AK389" s="48"/>
      <c r="AL389" s="48"/>
      <c r="AM389" s="48"/>
    </row>
    <row r="390" spans="37:39" x14ac:dyDescent="0.35">
      <c r="AK390" s="48"/>
      <c r="AL390" s="48"/>
      <c r="AM390" s="48"/>
    </row>
    <row r="391" spans="37:39" x14ac:dyDescent="0.35">
      <c r="AK391" s="48"/>
      <c r="AL391" s="48"/>
      <c r="AM391" s="48"/>
    </row>
    <row r="392" spans="37:39" x14ac:dyDescent="0.35">
      <c r="AK392" s="48"/>
      <c r="AL392" s="48"/>
      <c r="AM392" s="48"/>
    </row>
    <row r="393" spans="37:39" x14ac:dyDescent="0.35">
      <c r="AK393" s="48"/>
      <c r="AL393" s="48"/>
      <c r="AM393" s="48"/>
    </row>
    <row r="394" spans="37:39" x14ac:dyDescent="0.35">
      <c r="AK394" s="48"/>
      <c r="AL394" s="48"/>
      <c r="AM394" s="48"/>
    </row>
    <row r="395" spans="37:39" x14ac:dyDescent="0.35">
      <c r="AK395" s="48"/>
      <c r="AL395" s="48"/>
      <c r="AM395" s="48"/>
    </row>
    <row r="396" spans="37:39" x14ac:dyDescent="0.35">
      <c r="AK396" s="48"/>
      <c r="AL396" s="48"/>
      <c r="AM396" s="48"/>
    </row>
    <row r="397" spans="37:39" x14ac:dyDescent="0.35">
      <c r="AK397" s="48"/>
      <c r="AL397" s="48"/>
      <c r="AM397" s="48"/>
    </row>
    <row r="398" spans="37:39" x14ac:dyDescent="0.35">
      <c r="AK398" s="48"/>
      <c r="AL398" s="48"/>
      <c r="AM398" s="48"/>
    </row>
    <row r="399" spans="37:39" x14ac:dyDescent="0.35">
      <c r="AK399" s="48"/>
      <c r="AL399" s="48"/>
      <c r="AM399" s="48"/>
    </row>
    <row r="400" spans="37:39" x14ac:dyDescent="0.35">
      <c r="AK400" s="48"/>
      <c r="AL400" s="48"/>
      <c r="AM400" s="48"/>
    </row>
    <row r="401" spans="37:39" x14ac:dyDescent="0.35">
      <c r="AK401" s="48"/>
      <c r="AL401" s="48"/>
      <c r="AM401" s="48"/>
    </row>
    <row r="402" spans="37:39" x14ac:dyDescent="0.35">
      <c r="AK402" s="48"/>
      <c r="AL402" s="48"/>
      <c r="AM402" s="48"/>
    </row>
    <row r="403" spans="37:39" x14ac:dyDescent="0.35">
      <c r="AK403" s="48"/>
      <c r="AL403" s="48"/>
      <c r="AM403" s="48"/>
    </row>
    <row r="404" spans="37:39" x14ac:dyDescent="0.35">
      <c r="AK404" s="48"/>
      <c r="AL404" s="48"/>
      <c r="AM404" s="48"/>
    </row>
    <row r="405" spans="37:39" x14ac:dyDescent="0.35">
      <c r="AK405" s="48"/>
      <c r="AL405" s="48"/>
      <c r="AM405" s="48"/>
    </row>
    <row r="406" spans="37:39" x14ac:dyDescent="0.35">
      <c r="AK406" s="48"/>
      <c r="AL406" s="48"/>
      <c r="AM406" s="48"/>
    </row>
    <row r="407" spans="37:39" x14ac:dyDescent="0.35">
      <c r="AK407" s="48"/>
      <c r="AL407" s="48"/>
      <c r="AM407" s="48"/>
    </row>
    <row r="408" spans="37:39" x14ac:dyDescent="0.35">
      <c r="AK408" s="48"/>
      <c r="AL408" s="48"/>
      <c r="AM408" s="48"/>
    </row>
    <row r="409" spans="37:39" x14ac:dyDescent="0.35">
      <c r="AK409" s="48"/>
      <c r="AL409" s="48"/>
      <c r="AM409" s="48"/>
    </row>
    <row r="410" spans="37:39" x14ac:dyDescent="0.35">
      <c r="AK410" s="48"/>
      <c r="AL410" s="48"/>
      <c r="AM410" s="48"/>
    </row>
    <row r="411" spans="37:39" x14ac:dyDescent="0.35">
      <c r="AK411" s="48"/>
      <c r="AL411" s="48"/>
      <c r="AM411" s="48"/>
    </row>
    <row r="412" spans="37:39" x14ac:dyDescent="0.35">
      <c r="AK412" s="48"/>
      <c r="AL412" s="48"/>
      <c r="AM412" s="48"/>
    </row>
    <row r="413" spans="37:39" x14ac:dyDescent="0.35">
      <c r="AK413" s="48"/>
      <c r="AL413" s="48"/>
      <c r="AM413" s="48"/>
    </row>
    <row r="414" spans="37:39" x14ac:dyDescent="0.35">
      <c r="AK414" s="48"/>
      <c r="AL414" s="48"/>
      <c r="AM414" s="48"/>
    </row>
    <row r="415" spans="37:39" x14ac:dyDescent="0.35">
      <c r="AK415" s="48"/>
      <c r="AL415" s="48"/>
      <c r="AM415" s="48"/>
    </row>
    <row r="416" spans="37:39" x14ac:dyDescent="0.35">
      <c r="AK416" s="48"/>
      <c r="AL416" s="48"/>
      <c r="AM416" s="48"/>
    </row>
    <row r="417" spans="37:39" x14ac:dyDescent="0.35">
      <c r="AK417" s="48"/>
      <c r="AL417" s="48"/>
      <c r="AM417" s="48"/>
    </row>
    <row r="418" spans="37:39" x14ac:dyDescent="0.35">
      <c r="AK418" s="48"/>
      <c r="AL418" s="48"/>
      <c r="AM418" s="48"/>
    </row>
    <row r="419" spans="37:39" x14ac:dyDescent="0.35">
      <c r="AK419" s="48"/>
      <c r="AL419" s="48"/>
      <c r="AM419" s="48"/>
    </row>
    <row r="420" spans="37:39" x14ac:dyDescent="0.35">
      <c r="AK420" s="48"/>
      <c r="AL420" s="48"/>
      <c r="AM420" s="48"/>
    </row>
    <row r="421" spans="37:39" x14ac:dyDescent="0.35">
      <c r="AK421" s="48"/>
      <c r="AL421" s="48"/>
      <c r="AM421" s="48"/>
    </row>
    <row r="422" spans="37:39" x14ac:dyDescent="0.35">
      <c r="AK422" s="48"/>
      <c r="AL422" s="48"/>
      <c r="AM422" s="48"/>
    </row>
    <row r="423" spans="37:39" x14ac:dyDescent="0.35">
      <c r="AK423" s="48"/>
      <c r="AL423" s="48"/>
      <c r="AM423" s="48"/>
    </row>
    <row r="424" spans="37:39" x14ac:dyDescent="0.35">
      <c r="AK424" s="48"/>
      <c r="AL424" s="48"/>
      <c r="AM424" s="48"/>
    </row>
    <row r="425" spans="37:39" x14ac:dyDescent="0.35">
      <c r="AK425" s="48"/>
      <c r="AL425" s="48"/>
      <c r="AM425" s="48"/>
    </row>
    <row r="426" spans="37:39" x14ac:dyDescent="0.35">
      <c r="AK426" s="48"/>
      <c r="AL426" s="48"/>
      <c r="AM426" s="48"/>
    </row>
    <row r="427" spans="37:39" x14ac:dyDescent="0.35">
      <c r="AK427" s="48"/>
      <c r="AL427" s="48"/>
      <c r="AM427" s="48"/>
    </row>
    <row r="428" spans="37:39" x14ac:dyDescent="0.35">
      <c r="AK428" s="48"/>
      <c r="AL428" s="48"/>
      <c r="AM428" s="48"/>
    </row>
    <row r="429" spans="37:39" x14ac:dyDescent="0.35">
      <c r="AK429" s="48"/>
      <c r="AL429" s="48"/>
      <c r="AM429" s="48"/>
    </row>
    <row r="430" spans="37:39" x14ac:dyDescent="0.35">
      <c r="AK430" s="48"/>
      <c r="AL430" s="48"/>
      <c r="AM430" s="48"/>
    </row>
    <row r="431" spans="37:39" x14ac:dyDescent="0.35">
      <c r="AK431" s="48"/>
      <c r="AL431" s="48"/>
      <c r="AM431" s="48"/>
    </row>
    <row r="432" spans="37:39" x14ac:dyDescent="0.35">
      <c r="AK432" s="48"/>
      <c r="AL432" s="48"/>
      <c r="AM432" s="48"/>
    </row>
    <row r="433" spans="37:39" x14ac:dyDescent="0.35">
      <c r="AK433" s="48"/>
      <c r="AL433" s="48"/>
      <c r="AM433" s="48"/>
    </row>
    <row r="434" spans="37:39" x14ac:dyDescent="0.35">
      <c r="AK434" s="48"/>
      <c r="AL434" s="48"/>
      <c r="AM434" s="48"/>
    </row>
    <row r="435" spans="37:39" x14ac:dyDescent="0.35">
      <c r="AK435" s="48"/>
      <c r="AL435" s="48"/>
      <c r="AM435" s="48"/>
    </row>
    <row r="436" spans="37:39" x14ac:dyDescent="0.35">
      <c r="AK436" s="48"/>
      <c r="AL436" s="48"/>
      <c r="AM436" s="48"/>
    </row>
    <row r="437" spans="37:39" x14ac:dyDescent="0.35">
      <c r="AK437" s="48"/>
      <c r="AL437" s="48"/>
      <c r="AM437" s="48"/>
    </row>
    <row r="438" spans="37:39" x14ac:dyDescent="0.35">
      <c r="AK438" s="48"/>
      <c r="AL438" s="48"/>
      <c r="AM438" s="48"/>
    </row>
    <row r="439" spans="37:39" x14ac:dyDescent="0.35">
      <c r="AK439" s="48"/>
      <c r="AL439" s="48"/>
      <c r="AM439" s="48"/>
    </row>
    <row r="440" spans="37:39" x14ac:dyDescent="0.35">
      <c r="AK440" s="48"/>
      <c r="AL440" s="48"/>
      <c r="AM440" s="48"/>
    </row>
    <row r="441" spans="37:39" x14ac:dyDescent="0.35">
      <c r="AK441" s="48"/>
      <c r="AL441" s="48"/>
      <c r="AM441" s="48"/>
    </row>
    <row r="442" spans="37:39" x14ac:dyDescent="0.35">
      <c r="AK442" s="48"/>
      <c r="AL442" s="48"/>
      <c r="AM442" s="48"/>
    </row>
    <row r="443" spans="37:39" x14ac:dyDescent="0.35">
      <c r="AK443" s="48"/>
      <c r="AL443" s="48"/>
      <c r="AM443" s="48"/>
    </row>
    <row r="444" spans="37:39" x14ac:dyDescent="0.35">
      <c r="AK444" s="48"/>
      <c r="AL444" s="48"/>
      <c r="AM444" s="48"/>
    </row>
    <row r="445" spans="37:39" x14ac:dyDescent="0.35">
      <c r="AK445" s="48"/>
      <c r="AL445" s="48"/>
      <c r="AM445" s="48"/>
    </row>
    <row r="446" spans="37:39" x14ac:dyDescent="0.35">
      <c r="AK446" s="48"/>
      <c r="AL446" s="48"/>
      <c r="AM446" s="48"/>
    </row>
    <row r="447" spans="37:39" x14ac:dyDescent="0.35">
      <c r="AK447" s="48"/>
      <c r="AL447" s="48"/>
      <c r="AM447" s="48"/>
    </row>
    <row r="448" spans="37:39" x14ac:dyDescent="0.35">
      <c r="AK448" s="48"/>
      <c r="AL448" s="48"/>
      <c r="AM448" s="48"/>
    </row>
    <row r="449" spans="37:39" x14ac:dyDescent="0.35">
      <c r="AK449" s="48"/>
      <c r="AL449" s="48"/>
      <c r="AM449" s="48"/>
    </row>
    <row r="450" spans="37:39" x14ac:dyDescent="0.35">
      <c r="AK450" s="48"/>
      <c r="AL450" s="48"/>
      <c r="AM450" s="48"/>
    </row>
    <row r="451" spans="37:39" x14ac:dyDescent="0.35">
      <c r="AK451" s="48"/>
      <c r="AL451" s="48"/>
      <c r="AM451" s="48"/>
    </row>
    <row r="452" spans="37:39" x14ac:dyDescent="0.35">
      <c r="AK452" s="48"/>
      <c r="AL452" s="48"/>
      <c r="AM452" s="48"/>
    </row>
    <row r="453" spans="37:39" x14ac:dyDescent="0.35">
      <c r="AK453" s="48"/>
      <c r="AL453" s="48"/>
      <c r="AM453" s="48"/>
    </row>
    <row r="454" spans="37:39" x14ac:dyDescent="0.35">
      <c r="AK454" s="48"/>
      <c r="AL454" s="48"/>
      <c r="AM454" s="48"/>
    </row>
    <row r="455" spans="37:39" x14ac:dyDescent="0.35">
      <c r="AK455" s="48"/>
      <c r="AL455" s="48"/>
      <c r="AM455" s="48"/>
    </row>
    <row r="456" spans="37:39" x14ac:dyDescent="0.35">
      <c r="AK456" s="48"/>
      <c r="AL456" s="48"/>
      <c r="AM456" s="48"/>
    </row>
    <row r="457" spans="37:39" x14ac:dyDescent="0.35">
      <c r="AK457" s="48"/>
      <c r="AL457" s="48"/>
      <c r="AM457" s="48"/>
    </row>
    <row r="458" spans="37:39" x14ac:dyDescent="0.35">
      <c r="AK458" s="48"/>
      <c r="AL458" s="48"/>
      <c r="AM458" s="48"/>
    </row>
    <row r="459" spans="37:39" x14ac:dyDescent="0.35">
      <c r="AK459" s="48"/>
      <c r="AL459" s="48"/>
      <c r="AM459" s="48"/>
    </row>
    <row r="460" spans="37:39" x14ac:dyDescent="0.35">
      <c r="AK460" s="48"/>
      <c r="AL460" s="48"/>
      <c r="AM460" s="48"/>
    </row>
    <row r="461" spans="37:39" x14ac:dyDescent="0.35">
      <c r="AK461" s="48"/>
      <c r="AL461" s="48"/>
      <c r="AM461" s="48"/>
    </row>
    <row r="462" spans="37:39" x14ac:dyDescent="0.35">
      <c r="AK462" s="48"/>
      <c r="AL462" s="48"/>
      <c r="AM462" s="48"/>
    </row>
    <row r="463" spans="37:39" x14ac:dyDescent="0.35">
      <c r="AK463" s="48"/>
      <c r="AL463" s="48"/>
      <c r="AM463" s="48"/>
    </row>
    <row r="464" spans="37:39" x14ac:dyDescent="0.35">
      <c r="AK464" s="48"/>
      <c r="AL464" s="48"/>
      <c r="AM464" s="48"/>
    </row>
    <row r="465" spans="37:39" x14ac:dyDescent="0.35">
      <c r="AK465" s="48"/>
      <c r="AL465" s="48"/>
      <c r="AM465" s="48"/>
    </row>
    <row r="466" spans="37:39" x14ac:dyDescent="0.35">
      <c r="AK466" s="48"/>
      <c r="AL466" s="48"/>
      <c r="AM466" s="48"/>
    </row>
    <row r="467" spans="37:39" x14ac:dyDescent="0.35">
      <c r="AK467" s="48"/>
      <c r="AL467" s="48"/>
      <c r="AM467" s="48"/>
    </row>
    <row r="468" spans="37:39" x14ac:dyDescent="0.35">
      <c r="AK468" s="48"/>
      <c r="AL468" s="48"/>
      <c r="AM468" s="48"/>
    </row>
    <row r="469" spans="37:39" x14ac:dyDescent="0.35">
      <c r="AK469" s="48"/>
      <c r="AL469" s="48"/>
      <c r="AM469" s="48"/>
    </row>
    <row r="470" spans="37:39" x14ac:dyDescent="0.35">
      <c r="AK470" s="48"/>
      <c r="AL470" s="48"/>
      <c r="AM470" s="48"/>
    </row>
    <row r="471" spans="37:39" x14ac:dyDescent="0.35">
      <c r="AK471" s="48"/>
      <c r="AL471" s="48"/>
      <c r="AM471" s="48"/>
    </row>
    <row r="472" spans="37:39" x14ac:dyDescent="0.35">
      <c r="AK472" s="48"/>
      <c r="AL472" s="48"/>
      <c r="AM472" s="48"/>
    </row>
    <row r="473" spans="37:39" x14ac:dyDescent="0.35">
      <c r="AK473" s="48"/>
      <c r="AL473" s="48"/>
      <c r="AM473" s="48"/>
    </row>
    <row r="474" spans="37:39" x14ac:dyDescent="0.35">
      <c r="AK474" s="48"/>
      <c r="AL474" s="48"/>
      <c r="AM474" s="48"/>
    </row>
    <row r="475" spans="37:39" x14ac:dyDescent="0.35">
      <c r="AK475" s="48"/>
      <c r="AL475" s="48"/>
      <c r="AM475" s="48"/>
    </row>
    <row r="476" spans="37:39" x14ac:dyDescent="0.35">
      <c r="AK476" s="48"/>
      <c r="AL476" s="48"/>
      <c r="AM476" s="48"/>
    </row>
    <row r="477" spans="37:39" x14ac:dyDescent="0.35">
      <c r="AK477" s="48"/>
      <c r="AL477" s="48"/>
      <c r="AM477" s="48"/>
    </row>
    <row r="478" spans="37:39" x14ac:dyDescent="0.35">
      <c r="AK478" s="48"/>
      <c r="AL478" s="48"/>
      <c r="AM478" s="48"/>
    </row>
    <row r="479" spans="37:39" x14ac:dyDescent="0.35">
      <c r="AK479" s="48"/>
      <c r="AL479" s="48"/>
      <c r="AM479" s="48"/>
    </row>
    <row r="480" spans="37:39" x14ac:dyDescent="0.35">
      <c r="AK480" s="48"/>
      <c r="AL480" s="48"/>
      <c r="AM480" s="48"/>
    </row>
    <row r="481" spans="37:39" x14ac:dyDescent="0.35">
      <c r="AK481" s="48"/>
      <c r="AL481" s="48"/>
      <c r="AM481" s="48"/>
    </row>
    <row r="482" spans="37:39" x14ac:dyDescent="0.35">
      <c r="AK482" s="48"/>
      <c r="AL482" s="48"/>
      <c r="AM482" s="48"/>
    </row>
    <row r="483" spans="37:39" x14ac:dyDescent="0.35">
      <c r="AK483" s="48"/>
      <c r="AL483" s="48"/>
      <c r="AM483" s="48"/>
    </row>
    <row r="484" spans="37:39" x14ac:dyDescent="0.35">
      <c r="AK484" s="48"/>
      <c r="AL484" s="48"/>
      <c r="AM484" s="48"/>
    </row>
    <row r="485" spans="37:39" x14ac:dyDescent="0.35">
      <c r="AK485" s="48"/>
      <c r="AL485" s="48"/>
      <c r="AM485" s="48"/>
    </row>
    <row r="486" spans="37:39" x14ac:dyDescent="0.35">
      <c r="AK486" s="48"/>
      <c r="AL486" s="48"/>
      <c r="AM486" s="48"/>
    </row>
    <row r="487" spans="37:39" x14ac:dyDescent="0.35">
      <c r="AK487" s="48"/>
      <c r="AL487" s="48"/>
      <c r="AM487" s="48"/>
    </row>
    <row r="488" spans="37:39" x14ac:dyDescent="0.35">
      <c r="AK488" s="48"/>
      <c r="AL488" s="48"/>
      <c r="AM488" s="48"/>
    </row>
    <row r="489" spans="37:39" x14ac:dyDescent="0.35">
      <c r="AK489" s="48"/>
      <c r="AL489" s="48"/>
      <c r="AM489" s="48"/>
    </row>
    <row r="490" spans="37:39" x14ac:dyDescent="0.35">
      <c r="AK490" s="48"/>
      <c r="AL490" s="48"/>
      <c r="AM490" s="48"/>
    </row>
    <row r="491" spans="37:39" x14ac:dyDescent="0.35">
      <c r="AK491" s="48"/>
      <c r="AL491" s="48"/>
      <c r="AM491" s="48"/>
    </row>
    <row r="492" spans="37:39" x14ac:dyDescent="0.35">
      <c r="AK492" s="48"/>
      <c r="AL492" s="48"/>
      <c r="AM492" s="48"/>
    </row>
    <row r="493" spans="37:39" x14ac:dyDescent="0.35">
      <c r="AK493" s="48"/>
      <c r="AL493" s="48"/>
      <c r="AM493" s="48"/>
    </row>
    <row r="494" spans="37:39" x14ac:dyDescent="0.35">
      <c r="AL494" s="340"/>
    </row>
    <row r="495" spans="37:39" x14ac:dyDescent="0.35">
      <c r="AL495" s="340"/>
    </row>
    <row r="496" spans="37:39" x14ac:dyDescent="0.35">
      <c r="AL496" s="340"/>
    </row>
  </sheetData>
  <mergeCells count="487">
    <mergeCell ref="B322:C322"/>
    <mergeCell ref="U323:V324"/>
    <mergeCell ref="W323:Y323"/>
    <mergeCell ref="AA323:AB323"/>
    <mergeCell ref="AC323:AD323"/>
    <mergeCell ref="AE323:AF323"/>
    <mergeCell ref="AK323:AK324"/>
    <mergeCell ref="W324:Y324"/>
    <mergeCell ref="AA324:AB324"/>
    <mergeCell ref="U321:V322"/>
    <mergeCell ref="W321:Y322"/>
    <mergeCell ref="Z321:Z322"/>
    <mergeCell ref="AA321:AB322"/>
    <mergeCell ref="AC321:AD322"/>
    <mergeCell ref="AE321:AF322"/>
    <mergeCell ref="U319:V320"/>
    <mergeCell ref="W319:Y320"/>
    <mergeCell ref="Z319:Z320"/>
    <mergeCell ref="AA319:AB320"/>
    <mergeCell ref="AC319:AD320"/>
    <mergeCell ref="AE319:AF320"/>
    <mergeCell ref="AK319:AK320"/>
    <mergeCell ref="AC324:AD324"/>
    <mergeCell ref="AE324:AF324"/>
    <mergeCell ref="AK321:AK322"/>
    <mergeCell ref="AK315:AK316"/>
    <mergeCell ref="E316:F317"/>
    <mergeCell ref="U317:V318"/>
    <mergeCell ref="W317:Y318"/>
    <mergeCell ref="Z317:Z318"/>
    <mergeCell ref="AA317:AB318"/>
    <mergeCell ref="AC317:AD318"/>
    <mergeCell ref="AE317:AF318"/>
    <mergeCell ref="AK317:AK318"/>
    <mergeCell ref="H315:H316"/>
    <mergeCell ref="J315:J316"/>
    <mergeCell ref="L315:L316"/>
    <mergeCell ref="U315:V316"/>
    <mergeCell ref="W315:Y316"/>
    <mergeCell ref="Z315:Z316"/>
    <mergeCell ref="AA315:AB316"/>
    <mergeCell ref="AC315:AD316"/>
    <mergeCell ref="AE315:AF316"/>
    <mergeCell ref="U300:U301"/>
    <mergeCell ref="W300:W301"/>
    <mergeCell ref="Y300:Y301"/>
    <mergeCell ref="AA300:AA301"/>
    <mergeCell ref="AC300:AC301"/>
    <mergeCell ref="Z310:Z314"/>
    <mergeCell ref="AA310:AB314"/>
    <mergeCell ref="AC310:AD314"/>
    <mergeCell ref="AE310:AF314"/>
    <mergeCell ref="B304:Y304"/>
    <mergeCell ref="AE307:AF307"/>
    <mergeCell ref="U308:AB308"/>
    <mergeCell ref="G310:H311"/>
    <mergeCell ref="I310:L311"/>
    <mergeCell ref="M310:N311"/>
    <mergeCell ref="O310:R311"/>
    <mergeCell ref="U310:V314"/>
    <mergeCell ref="W310:Y314"/>
    <mergeCell ref="AC289:AC290"/>
    <mergeCell ref="AE289:AE290"/>
    <mergeCell ref="B295:AE295"/>
    <mergeCell ref="C300:C301"/>
    <mergeCell ref="E300:E301"/>
    <mergeCell ref="G300:G301"/>
    <mergeCell ref="I300:I301"/>
    <mergeCell ref="K300:K301"/>
    <mergeCell ref="M300:M301"/>
    <mergeCell ref="O300:O301"/>
    <mergeCell ref="O289:O290"/>
    <mergeCell ref="S289:S290"/>
    <mergeCell ref="U289:U290"/>
    <mergeCell ref="W289:W290"/>
    <mergeCell ref="Y289:Y290"/>
    <mergeCell ref="AA289:AA290"/>
    <mergeCell ref="C289:C290"/>
    <mergeCell ref="E289:E290"/>
    <mergeCell ref="G289:G290"/>
    <mergeCell ref="I289:I290"/>
    <mergeCell ref="K289:K290"/>
    <mergeCell ref="M289:M290"/>
    <mergeCell ref="AE300:AE301"/>
    <mergeCell ref="S300:S301"/>
    <mergeCell ref="W278:W279"/>
    <mergeCell ref="Y278:Y279"/>
    <mergeCell ref="AA278:AA279"/>
    <mergeCell ref="AC278:AC279"/>
    <mergeCell ref="AE278:AE279"/>
    <mergeCell ref="B284:AE284"/>
    <mergeCell ref="B273:AE273"/>
    <mergeCell ref="C278:C279"/>
    <mergeCell ref="E278:E279"/>
    <mergeCell ref="G278:G279"/>
    <mergeCell ref="I278:I279"/>
    <mergeCell ref="K278:K279"/>
    <mergeCell ref="M278:M279"/>
    <mergeCell ref="O278:O279"/>
    <mergeCell ref="S278:S279"/>
    <mergeCell ref="U278:U279"/>
    <mergeCell ref="U267:U268"/>
    <mergeCell ref="W267:W268"/>
    <mergeCell ref="Y267:Y268"/>
    <mergeCell ref="AA267:AA268"/>
    <mergeCell ref="AC267:AC268"/>
    <mergeCell ref="AE267:AE268"/>
    <mergeCell ref="AE256:AE257"/>
    <mergeCell ref="B262:AE262"/>
    <mergeCell ref="C267:C268"/>
    <mergeCell ref="E267:E268"/>
    <mergeCell ref="G267:G268"/>
    <mergeCell ref="I267:I268"/>
    <mergeCell ref="K267:K268"/>
    <mergeCell ref="M267:M268"/>
    <mergeCell ref="O267:O268"/>
    <mergeCell ref="S267:S268"/>
    <mergeCell ref="S256:S257"/>
    <mergeCell ref="U256:U257"/>
    <mergeCell ref="W256:W257"/>
    <mergeCell ref="Y256:Y257"/>
    <mergeCell ref="AA256:AA257"/>
    <mergeCell ref="AC256:AC257"/>
    <mergeCell ref="AC246:AC247"/>
    <mergeCell ref="AE246:AE247"/>
    <mergeCell ref="B252:AE252"/>
    <mergeCell ref="C256:C257"/>
    <mergeCell ref="E256:E257"/>
    <mergeCell ref="G256:G257"/>
    <mergeCell ref="I256:I257"/>
    <mergeCell ref="K256:K257"/>
    <mergeCell ref="M256:M257"/>
    <mergeCell ref="O256:O257"/>
    <mergeCell ref="O246:O247"/>
    <mergeCell ref="S246:S247"/>
    <mergeCell ref="U246:U247"/>
    <mergeCell ref="W246:W247"/>
    <mergeCell ref="Y246:Y247"/>
    <mergeCell ref="AA246:AA247"/>
    <mergeCell ref="C246:C247"/>
    <mergeCell ref="E246:E247"/>
    <mergeCell ref="G246:G247"/>
    <mergeCell ref="I246:I247"/>
    <mergeCell ref="K246:K247"/>
    <mergeCell ref="M246:M247"/>
    <mergeCell ref="W236:W237"/>
    <mergeCell ref="Y236:Y237"/>
    <mergeCell ref="AA236:AA237"/>
    <mergeCell ref="AC236:AC237"/>
    <mergeCell ref="AE236:AE237"/>
    <mergeCell ref="B242:AE242"/>
    <mergeCell ref="B232:AE232"/>
    <mergeCell ref="C236:C237"/>
    <mergeCell ref="E236:E237"/>
    <mergeCell ref="G236:G237"/>
    <mergeCell ref="I236:I237"/>
    <mergeCell ref="K236:K237"/>
    <mergeCell ref="M236:M237"/>
    <mergeCell ref="O236:O237"/>
    <mergeCell ref="S236:S237"/>
    <mergeCell ref="U236:U237"/>
    <mergeCell ref="U226:U227"/>
    <mergeCell ref="W226:W227"/>
    <mergeCell ref="Y226:Y227"/>
    <mergeCell ref="AA226:AA227"/>
    <mergeCell ref="AC226:AC227"/>
    <mergeCell ref="AE226:AE227"/>
    <mergeCell ref="G219:W219"/>
    <mergeCell ref="B221:AE221"/>
    <mergeCell ref="C226:C227"/>
    <mergeCell ref="E226:E227"/>
    <mergeCell ref="G226:G227"/>
    <mergeCell ref="I226:I227"/>
    <mergeCell ref="K226:K227"/>
    <mergeCell ref="M226:M227"/>
    <mergeCell ref="O226:O227"/>
    <mergeCell ref="S226:S227"/>
    <mergeCell ref="U215:U216"/>
    <mergeCell ref="W215:W216"/>
    <mergeCell ref="Y215:Y216"/>
    <mergeCell ref="AA215:AA216"/>
    <mergeCell ref="AC215:AC216"/>
    <mergeCell ref="AE215:AE216"/>
    <mergeCell ref="AE204:AE205"/>
    <mergeCell ref="B210:AE210"/>
    <mergeCell ref="C215:C216"/>
    <mergeCell ref="E215:E216"/>
    <mergeCell ref="G215:G216"/>
    <mergeCell ref="I215:I216"/>
    <mergeCell ref="K215:K216"/>
    <mergeCell ref="M215:M216"/>
    <mergeCell ref="O215:O216"/>
    <mergeCell ref="S215:S216"/>
    <mergeCell ref="S204:S205"/>
    <mergeCell ref="U204:U205"/>
    <mergeCell ref="W204:W205"/>
    <mergeCell ref="Y204:Y205"/>
    <mergeCell ref="AA204:AA205"/>
    <mergeCell ref="AC204:AC205"/>
    <mergeCell ref="B199:AE199"/>
    <mergeCell ref="C204:C205"/>
    <mergeCell ref="E204:E205"/>
    <mergeCell ref="G204:G205"/>
    <mergeCell ref="I204:I205"/>
    <mergeCell ref="K204:K205"/>
    <mergeCell ref="M204:M205"/>
    <mergeCell ref="O204:O205"/>
    <mergeCell ref="O193:O194"/>
    <mergeCell ref="S193:S194"/>
    <mergeCell ref="U193:U194"/>
    <mergeCell ref="W193:W194"/>
    <mergeCell ref="Y193:Y194"/>
    <mergeCell ref="AA193:AA194"/>
    <mergeCell ref="B189:Z189"/>
    <mergeCell ref="AA189:AE189"/>
    <mergeCell ref="C193:C194"/>
    <mergeCell ref="E193:E194"/>
    <mergeCell ref="G193:G194"/>
    <mergeCell ref="I193:I194"/>
    <mergeCell ref="K193:K194"/>
    <mergeCell ref="M193:M194"/>
    <mergeCell ref="O183:O184"/>
    <mergeCell ref="S183:S184"/>
    <mergeCell ref="U183:U184"/>
    <mergeCell ref="W183:W184"/>
    <mergeCell ref="Y183:Y184"/>
    <mergeCell ref="AA183:AA184"/>
    <mergeCell ref="AC193:AC194"/>
    <mergeCell ref="AE193:AE194"/>
    <mergeCell ref="B178:AE178"/>
    <mergeCell ref="W179:Y179"/>
    <mergeCell ref="AA179:AC179"/>
    <mergeCell ref="C183:C184"/>
    <mergeCell ref="E183:E184"/>
    <mergeCell ref="G183:G184"/>
    <mergeCell ref="I183:I184"/>
    <mergeCell ref="K183:K184"/>
    <mergeCell ref="M183:M184"/>
    <mergeCell ref="AC183:AC184"/>
    <mergeCell ref="AE183:AE184"/>
    <mergeCell ref="B167:AE167"/>
    <mergeCell ref="C172:C173"/>
    <mergeCell ref="E172:E173"/>
    <mergeCell ref="G172:G173"/>
    <mergeCell ref="I172:I173"/>
    <mergeCell ref="K172:K173"/>
    <mergeCell ref="M172:M173"/>
    <mergeCell ref="O172:O173"/>
    <mergeCell ref="O161:O162"/>
    <mergeCell ref="S161:S162"/>
    <mergeCell ref="U161:U162"/>
    <mergeCell ref="W161:W162"/>
    <mergeCell ref="Y161:Y162"/>
    <mergeCell ref="AA161:AA162"/>
    <mergeCell ref="AE172:AE173"/>
    <mergeCell ref="S172:S173"/>
    <mergeCell ref="U172:U173"/>
    <mergeCell ref="W172:W173"/>
    <mergeCell ref="Y172:Y173"/>
    <mergeCell ref="AA172:AA173"/>
    <mergeCell ref="AC172:AC173"/>
    <mergeCell ref="AC150:AC151"/>
    <mergeCell ref="AE150:AE151"/>
    <mergeCell ref="B156:F156"/>
    <mergeCell ref="H156:AE156"/>
    <mergeCell ref="C161:C162"/>
    <mergeCell ref="E161:E162"/>
    <mergeCell ref="G161:G162"/>
    <mergeCell ref="I161:I162"/>
    <mergeCell ref="K161:K162"/>
    <mergeCell ref="M161:M162"/>
    <mergeCell ref="O150:O151"/>
    <mergeCell ref="S150:S151"/>
    <mergeCell ref="U150:U151"/>
    <mergeCell ref="W150:W151"/>
    <mergeCell ref="Y150:Y151"/>
    <mergeCell ref="AA150:AA151"/>
    <mergeCell ref="C150:C151"/>
    <mergeCell ref="E150:E151"/>
    <mergeCell ref="G150:G151"/>
    <mergeCell ref="I150:I151"/>
    <mergeCell ref="K150:K151"/>
    <mergeCell ref="M150:M151"/>
    <mergeCell ref="AC161:AC162"/>
    <mergeCell ref="AE161:AE162"/>
    <mergeCell ref="AE139:AE140"/>
    <mergeCell ref="B145:AC145"/>
    <mergeCell ref="AD145:AE145"/>
    <mergeCell ref="B146:G146"/>
    <mergeCell ref="M139:M140"/>
    <mergeCell ref="O139:O140"/>
    <mergeCell ref="S139:S140"/>
    <mergeCell ref="U139:U140"/>
    <mergeCell ref="W139:W140"/>
    <mergeCell ref="Y139:Y140"/>
    <mergeCell ref="AC127:AC128"/>
    <mergeCell ref="AE127:AE128"/>
    <mergeCell ref="B133:AE133"/>
    <mergeCell ref="Y134:AC134"/>
    <mergeCell ref="AD134:AE134"/>
    <mergeCell ref="C139:C140"/>
    <mergeCell ref="E139:E140"/>
    <mergeCell ref="G139:G140"/>
    <mergeCell ref="I139:I140"/>
    <mergeCell ref="K139:K140"/>
    <mergeCell ref="O127:O128"/>
    <mergeCell ref="S127:S128"/>
    <mergeCell ref="U127:U128"/>
    <mergeCell ref="W127:W128"/>
    <mergeCell ref="Y127:Y128"/>
    <mergeCell ref="AA127:AA128"/>
    <mergeCell ref="C127:C128"/>
    <mergeCell ref="E127:E128"/>
    <mergeCell ref="G127:G128"/>
    <mergeCell ref="I127:I128"/>
    <mergeCell ref="K127:K128"/>
    <mergeCell ref="M127:M128"/>
    <mergeCell ref="AA139:AA140"/>
    <mergeCell ref="AC139:AC140"/>
    <mergeCell ref="B121:AE121"/>
    <mergeCell ref="G122:K122"/>
    <mergeCell ref="Y122:AA122"/>
    <mergeCell ref="M115:M116"/>
    <mergeCell ref="O115:O116"/>
    <mergeCell ref="S115:S116"/>
    <mergeCell ref="U115:U116"/>
    <mergeCell ref="W115:W116"/>
    <mergeCell ref="Y115:Y116"/>
    <mergeCell ref="B109:AE109"/>
    <mergeCell ref="S110:AA110"/>
    <mergeCell ref="AE110:AF110"/>
    <mergeCell ref="C115:C116"/>
    <mergeCell ref="E115:E116"/>
    <mergeCell ref="G115:G116"/>
    <mergeCell ref="I115:I116"/>
    <mergeCell ref="K115:K116"/>
    <mergeCell ref="O103:O104"/>
    <mergeCell ref="S103:S104"/>
    <mergeCell ref="U103:U104"/>
    <mergeCell ref="W103:W104"/>
    <mergeCell ref="Y103:Y104"/>
    <mergeCell ref="AA103:AA104"/>
    <mergeCell ref="AA115:AA116"/>
    <mergeCell ref="AC115:AC116"/>
    <mergeCell ref="AE115:AE116"/>
    <mergeCell ref="B97:AE97"/>
    <mergeCell ref="O98:S98"/>
    <mergeCell ref="C103:C104"/>
    <mergeCell ref="E103:E104"/>
    <mergeCell ref="G103:G104"/>
    <mergeCell ref="I103:I104"/>
    <mergeCell ref="K103:K104"/>
    <mergeCell ref="M103:M104"/>
    <mergeCell ref="O91:O92"/>
    <mergeCell ref="S91:S92"/>
    <mergeCell ref="U91:U92"/>
    <mergeCell ref="W91:W92"/>
    <mergeCell ref="Y91:Y92"/>
    <mergeCell ref="AA91:AA92"/>
    <mergeCell ref="AC103:AC104"/>
    <mergeCell ref="AE103:AE104"/>
    <mergeCell ref="U83:V83"/>
    <mergeCell ref="B85:AE85"/>
    <mergeCell ref="W86:Y86"/>
    <mergeCell ref="C91:C92"/>
    <mergeCell ref="E91:E92"/>
    <mergeCell ref="G91:G92"/>
    <mergeCell ref="I91:I92"/>
    <mergeCell ref="K91:K92"/>
    <mergeCell ref="M91:M92"/>
    <mergeCell ref="AC91:AC92"/>
    <mergeCell ref="AE91:AE92"/>
    <mergeCell ref="B74:AE74"/>
    <mergeCell ref="C79:C80"/>
    <mergeCell ref="E79:E80"/>
    <mergeCell ref="G79:G80"/>
    <mergeCell ref="I79:I80"/>
    <mergeCell ref="K79:K80"/>
    <mergeCell ref="M79:M80"/>
    <mergeCell ref="O79:O80"/>
    <mergeCell ref="O68:O69"/>
    <mergeCell ref="S68:S69"/>
    <mergeCell ref="U68:U69"/>
    <mergeCell ref="W68:W69"/>
    <mergeCell ref="Y68:Y69"/>
    <mergeCell ref="AA68:AA69"/>
    <mergeCell ref="AE79:AE80"/>
    <mergeCell ref="S79:S80"/>
    <mergeCell ref="U79:U80"/>
    <mergeCell ref="W79:W80"/>
    <mergeCell ref="Y79:Y80"/>
    <mergeCell ref="AA79:AA80"/>
    <mergeCell ref="AC79:AC80"/>
    <mergeCell ref="AC57:AC58"/>
    <mergeCell ref="AE57:AE58"/>
    <mergeCell ref="B63:AE63"/>
    <mergeCell ref="AE64:AF64"/>
    <mergeCell ref="C68:C69"/>
    <mergeCell ref="E68:E69"/>
    <mergeCell ref="G68:G69"/>
    <mergeCell ref="I68:I69"/>
    <mergeCell ref="K68:K69"/>
    <mergeCell ref="M68:M69"/>
    <mergeCell ref="O57:O58"/>
    <mergeCell ref="S57:S58"/>
    <mergeCell ref="U57:U58"/>
    <mergeCell ref="W57:W58"/>
    <mergeCell ref="Y57:Y58"/>
    <mergeCell ref="AA57:AA58"/>
    <mergeCell ref="C57:C58"/>
    <mergeCell ref="E57:E58"/>
    <mergeCell ref="G57:G58"/>
    <mergeCell ref="I57:I58"/>
    <mergeCell ref="K57:K58"/>
    <mergeCell ref="M57:M58"/>
    <mergeCell ref="AC68:AC69"/>
    <mergeCell ref="AE68:AE69"/>
    <mergeCell ref="W46:W47"/>
    <mergeCell ref="Y46:Y47"/>
    <mergeCell ref="AA46:AA47"/>
    <mergeCell ref="AC46:AC47"/>
    <mergeCell ref="AE46:AE47"/>
    <mergeCell ref="B52:AE52"/>
    <mergeCell ref="B42:AE42"/>
    <mergeCell ref="C46:C47"/>
    <mergeCell ref="E46:E47"/>
    <mergeCell ref="G46:G47"/>
    <mergeCell ref="I46:I47"/>
    <mergeCell ref="K46:K47"/>
    <mergeCell ref="M46:M47"/>
    <mergeCell ref="O46:O47"/>
    <mergeCell ref="S46:S47"/>
    <mergeCell ref="U46:U47"/>
    <mergeCell ref="U36:U37"/>
    <mergeCell ref="W36:W37"/>
    <mergeCell ref="Y36:Y37"/>
    <mergeCell ref="AA36:AA37"/>
    <mergeCell ref="AC36:AC37"/>
    <mergeCell ref="AE36:AE37"/>
    <mergeCell ref="C29:S29"/>
    <mergeCell ref="B31:AE31"/>
    <mergeCell ref="C36:C37"/>
    <mergeCell ref="E36:E37"/>
    <mergeCell ref="G36:G37"/>
    <mergeCell ref="I36:I37"/>
    <mergeCell ref="K36:K37"/>
    <mergeCell ref="M36:M37"/>
    <mergeCell ref="O36:O37"/>
    <mergeCell ref="S36:S37"/>
    <mergeCell ref="U25:U26"/>
    <mergeCell ref="W25:W26"/>
    <mergeCell ref="Y25:Y26"/>
    <mergeCell ref="AA25:AA26"/>
    <mergeCell ref="AC25:AC26"/>
    <mergeCell ref="AE25:AE26"/>
    <mergeCell ref="I20:AE20"/>
    <mergeCell ref="C25:C26"/>
    <mergeCell ref="E25:E26"/>
    <mergeCell ref="G25:G26"/>
    <mergeCell ref="I25:I26"/>
    <mergeCell ref="K25:K26"/>
    <mergeCell ref="M25:M26"/>
    <mergeCell ref="O25:O26"/>
    <mergeCell ref="Q25:Q26"/>
    <mergeCell ref="S25:S26"/>
    <mergeCell ref="AI9:AI10"/>
    <mergeCell ref="AJ9:AJ10"/>
    <mergeCell ref="I14:I15"/>
    <mergeCell ref="K14:K15"/>
    <mergeCell ref="M14:M15"/>
    <mergeCell ref="O14:O15"/>
    <mergeCell ref="S14:S15"/>
    <mergeCell ref="M2:T2"/>
    <mergeCell ref="W2:W4"/>
    <mergeCell ref="X2:X3"/>
    <mergeCell ref="Y2:AJ3"/>
    <mergeCell ref="D5:I5"/>
    <mergeCell ref="W5:X5"/>
    <mergeCell ref="U14:U15"/>
    <mergeCell ref="W14:W15"/>
    <mergeCell ref="Y14:Y15"/>
    <mergeCell ref="AA14:AA15"/>
    <mergeCell ref="AC14:AC15"/>
    <mergeCell ref="AE14:AE15"/>
    <mergeCell ref="F7:J7"/>
    <mergeCell ref="AG9:AG10"/>
    <mergeCell ref="AH9:AH10"/>
  </mergeCells>
  <conditionalFormatting sqref="A219:A221">
    <cfRule type="cellIs" dxfId="2116" priority="489" operator="equal">
      <formula>"HOLD"</formula>
    </cfRule>
    <cfRule type="cellIs" dxfId="2115" priority="490" operator="equal">
      <formula>"ROW"</formula>
    </cfRule>
    <cfRule type="cellIs" dxfId="2114" priority="488" operator="equal">
      <formula>"completedw"</formula>
    </cfRule>
  </conditionalFormatting>
  <conditionalFormatting sqref="A25:B27">
    <cfRule type="cellIs" dxfId="2113" priority="1776" operator="equal">
      <formula>"ROW"</formula>
    </cfRule>
    <cfRule type="cellIs" dxfId="2112" priority="1774" operator="equal">
      <formula>"completedw"</formula>
    </cfRule>
    <cfRule type="cellIs" dxfId="2111" priority="1775" operator="equal">
      <formula>"HOLD"</formula>
    </cfRule>
  </conditionalFormatting>
  <conditionalFormatting sqref="A31:B31">
    <cfRule type="cellIs" dxfId="2110" priority="231" operator="equal">
      <formula>"ROW"</formula>
    </cfRule>
    <cfRule type="cellIs" dxfId="2109" priority="229" operator="equal">
      <formula>"completedw"</formula>
    </cfRule>
    <cfRule type="cellIs" dxfId="2108" priority="230" operator="equal">
      <formula>"HOLD"</formula>
    </cfRule>
  </conditionalFormatting>
  <conditionalFormatting sqref="A42:B42">
    <cfRule type="cellIs" dxfId="2107" priority="226" operator="equal">
      <formula>"completedw"</formula>
    </cfRule>
    <cfRule type="cellIs" dxfId="2106" priority="227" operator="equal">
      <formula>"HOLD"</formula>
    </cfRule>
    <cfRule type="cellIs" dxfId="2105" priority="228" operator="equal">
      <formula>"ROW"</formula>
    </cfRule>
  </conditionalFormatting>
  <conditionalFormatting sqref="A52:B52">
    <cfRule type="cellIs" dxfId="2104" priority="225" operator="equal">
      <formula>"ROW"</formula>
    </cfRule>
    <cfRule type="cellIs" dxfId="2103" priority="223" operator="equal">
      <formula>"completedw"</formula>
    </cfRule>
    <cfRule type="cellIs" dxfId="2102" priority="224" operator="equal">
      <formula>"HOLD"</formula>
    </cfRule>
  </conditionalFormatting>
  <conditionalFormatting sqref="A57:B59">
    <cfRule type="cellIs" dxfId="2101" priority="1769" operator="equal">
      <formula>"completedw"</formula>
    </cfRule>
    <cfRule type="cellIs" dxfId="2100" priority="1770" operator="equal">
      <formula>"HOLD"</formula>
    </cfRule>
    <cfRule type="cellIs" dxfId="2099" priority="1771" operator="equal">
      <formula>"ROW"</formula>
    </cfRule>
  </conditionalFormatting>
  <conditionalFormatting sqref="A63:B63">
    <cfRule type="cellIs" dxfId="2098" priority="221" operator="equal">
      <formula>"HOLD"</formula>
    </cfRule>
    <cfRule type="cellIs" dxfId="2097" priority="222" operator="equal">
      <formula>"ROW"</formula>
    </cfRule>
    <cfRule type="cellIs" dxfId="2096" priority="220" operator="equal">
      <formula>"completedw"</formula>
    </cfRule>
  </conditionalFormatting>
  <conditionalFormatting sqref="A68:B70">
    <cfRule type="cellIs" dxfId="2095" priority="1766" operator="equal">
      <formula>"ROW"</formula>
    </cfRule>
    <cfRule type="cellIs" dxfId="2094" priority="1764" operator="equal">
      <formula>"completedw"</formula>
    </cfRule>
    <cfRule type="cellIs" dxfId="2093" priority="1765" operator="equal">
      <formula>"HOLD"</formula>
    </cfRule>
  </conditionalFormatting>
  <conditionalFormatting sqref="A74:B74">
    <cfRule type="cellIs" dxfId="2092" priority="219" operator="equal">
      <formula>"ROW"</formula>
    </cfRule>
    <cfRule type="cellIs" dxfId="2091" priority="218" operator="equal">
      <formula>"HOLD"</formula>
    </cfRule>
    <cfRule type="cellIs" dxfId="2090" priority="217" operator="equal">
      <formula>"completedw"</formula>
    </cfRule>
  </conditionalFormatting>
  <conditionalFormatting sqref="A79:B81">
    <cfRule type="cellIs" dxfId="2089" priority="1761" operator="equal">
      <formula>"ROW"</formula>
    </cfRule>
    <cfRule type="cellIs" dxfId="2088" priority="1760" operator="equal">
      <formula>"HOLD"</formula>
    </cfRule>
    <cfRule type="cellIs" dxfId="2087" priority="1759" operator="equal">
      <formula>"completedw"</formula>
    </cfRule>
  </conditionalFormatting>
  <conditionalFormatting sqref="A85:B85">
    <cfRule type="cellIs" dxfId="2086" priority="214" operator="equal">
      <formula>"completedw"</formula>
    </cfRule>
    <cfRule type="cellIs" dxfId="2085" priority="215" operator="equal">
      <formula>"HOLD"</formula>
    </cfRule>
    <cfRule type="cellIs" dxfId="2084" priority="216" operator="equal">
      <formula>"ROW"</formula>
    </cfRule>
  </conditionalFormatting>
  <conditionalFormatting sqref="A97:B97">
    <cfRule type="cellIs" dxfId="2083" priority="211" operator="equal">
      <formula>"completedw"</formula>
    </cfRule>
    <cfRule type="cellIs" dxfId="2082" priority="213" operator="equal">
      <formula>"ROW"</formula>
    </cfRule>
    <cfRule type="cellIs" dxfId="2081" priority="212" operator="equal">
      <formula>"HOLD"</formula>
    </cfRule>
  </conditionalFormatting>
  <conditionalFormatting sqref="A109:B109">
    <cfRule type="cellIs" dxfId="2080" priority="205" operator="equal">
      <formula>"completedw"</formula>
    </cfRule>
    <cfRule type="cellIs" dxfId="2079" priority="206" operator="equal">
      <formula>"HOLD"</formula>
    </cfRule>
    <cfRule type="cellIs" dxfId="2078" priority="207" operator="equal">
      <formula>"ROW"</formula>
    </cfRule>
  </conditionalFormatting>
  <conditionalFormatting sqref="A121:B121">
    <cfRule type="cellIs" dxfId="2077" priority="203" operator="equal">
      <formula>"HOLD"</formula>
    </cfRule>
    <cfRule type="cellIs" dxfId="2076" priority="204" operator="equal">
      <formula>"ROW"</formula>
    </cfRule>
    <cfRule type="cellIs" dxfId="2075" priority="202" operator="equal">
      <formula>"completedw"</formula>
    </cfRule>
  </conditionalFormatting>
  <conditionalFormatting sqref="A133:B133">
    <cfRule type="cellIs" dxfId="2074" priority="177" operator="equal">
      <formula>"ROW"</formula>
    </cfRule>
    <cfRule type="cellIs" dxfId="2073" priority="176" operator="equal">
      <formula>"HOLD"</formula>
    </cfRule>
    <cfRule type="cellIs" dxfId="2072" priority="175" operator="equal">
      <formula>"completedw"</formula>
    </cfRule>
  </conditionalFormatting>
  <conditionalFormatting sqref="A145:B146">
    <cfRule type="cellIs" dxfId="2071" priority="172" operator="equal">
      <formula>"completedw"</formula>
    </cfRule>
    <cfRule type="cellIs" dxfId="2070" priority="174" operator="equal">
      <formula>"ROW"</formula>
    </cfRule>
    <cfRule type="cellIs" dxfId="2069" priority="173" operator="equal">
      <formula>"HOLD"</formula>
    </cfRule>
  </conditionalFormatting>
  <conditionalFormatting sqref="A156:B156">
    <cfRule type="cellIs" dxfId="2068" priority="201" operator="equal">
      <formula>"ROW"</formula>
    </cfRule>
    <cfRule type="cellIs" dxfId="2067" priority="200" operator="equal">
      <formula>"HOLD"</formula>
    </cfRule>
    <cfRule type="cellIs" dxfId="2066" priority="199" operator="equal">
      <formula>"completedw"</formula>
    </cfRule>
  </conditionalFormatting>
  <conditionalFormatting sqref="A167:B167">
    <cfRule type="cellIs" dxfId="2065" priority="197" operator="equal">
      <formula>"HOLD"</formula>
    </cfRule>
    <cfRule type="cellIs" dxfId="2064" priority="196" operator="equal">
      <formula>"completedw"</formula>
    </cfRule>
    <cfRule type="cellIs" dxfId="2063" priority="198" operator="equal">
      <formula>"ROW"</formula>
    </cfRule>
  </conditionalFormatting>
  <conditionalFormatting sqref="A178:B178">
    <cfRule type="cellIs" dxfId="2062" priority="195" operator="equal">
      <formula>"ROW"</formula>
    </cfRule>
    <cfRule type="cellIs" dxfId="2061" priority="193" operator="equal">
      <formula>"completedw"</formula>
    </cfRule>
    <cfRule type="cellIs" dxfId="2060" priority="194" operator="equal">
      <formula>"HOLD"</formula>
    </cfRule>
  </conditionalFormatting>
  <conditionalFormatting sqref="A189:B189">
    <cfRule type="cellIs" dxfId="2059" priority="170" operator="equal">
      <formula>"HOLD"</formula>
    </cfRule>
    <cfRule type="cellIs" dxfId="2058" priority="169" operator="equal">
      <formula>"completedw"</formula>
    </cfRule>
    <cfRule type="cellIs" dxfId="2057" priority="171" operator="equal">
      <formula>"ROW"</formula>
    </cfRule>
  </conditionalFormatting>
  <conditionalFormatting sqref="A232:B232">
    <cfRule type="cellIs" dxfId="2056" priority="240" operator="equal">
      <formula>"ROW"</formula>
    </cfRule>
    <cfRule type="cellIs" dxfId="2055" priority="239" operator="equal">
      <formula>"HOLD"</formula>
    </cfRule>
    <cfRule type="cellIs" dxfId="2054" priority="238" operator="equal">
      <formula>"completedw"</formula>
    </cfRule>
  </conditionalFormatting>
  <conditionalFormatting sqref="A242:B242">
    <cfRule type="cellIs" dxfId="2053" priority="237" operator="equal">
      <formula>"ROW"</formula>
    </cfRule>
    <cfRule type="cellIs" dxfId="2052" priority="236" operator="equal">
      <formula>"HOLD"</formula>
    </cfRule>
    <cfRule type="cellIs" dxfId="2051" priority="235" operator="equal">
      <formula>"completedw"</formula>
    </cfRule>
  </conditionalFormatting>
  <conditionalFormatting sqref="A252:B252">
    <cfRule type="cellIs" dxfId="2050" priority="234" operator="equal">
      <formula>"ROW"</formula>
    </cfRule>
    <cfRule type="cellIs" dxfId="2049" priority="233" operator="equal">
      <formula>"HOLD"</formula>
    </cfRule>
    <cfRule type="cellIs" dxfId="2048" priority="232" operator="equal">
      <formula>"completedw"</formula>
    </cfRule>
  </conditionalFormatting>
  <conditionalFormatting sqref="A262:B262">
    <cfRule type="cellIs" dxfId="2047" priority="192" operator="equal">
      <formula>"ROW"</formula>
    </cfRule>
    <cfRule type="cellIs" dxfId="2046" priority="190" operator="equal">
      <formula>"completedw"</formula>
    </cfRule>
    <cfRule type="cellIs" dxfId="2045" priority="191" operator="equal">
      <formula>"HOLD"</formula>
    </cfRule>
  </conditionalFormatting>
  <conditionalFormatting sqref="A267:B269">
    <cfRule type="cellIs" dxfId="2044" priority="1672" operator="equal">
      <formula>"completedw"</formula>
    </cfRule>
    <cfRule type="cellIs" dxfId="2043" priority="1673" operator="equal">
      <formula>"HOLD"</formula>
    </cfRule>
    <cfRule type="cellIs" dxfId="2042" priority="1674" operator="equal">
      <formula>"ROW"</formula>
    </cfRule>
  </conditionalFormatting>
  <conditionalFormatting sqref="A273:B273">
    <cfRule type="cellIs" dxfId="2041" priority="189" operator="equal">
      <formula>"ROW"</formula>
    </cfRule>
    <cfRule type="cellIs" dxfId="2040" priority="187" operator="equal">
      <formula>"completedw"</formula>
    </cfRule>
    <cfRule type="cellIs" dxfId="2039" priority="188" operator="equal">
      <formula>"HOLD"</formula>
    </cfRule>
  </conditionalFormatting>
  <conditionalFormatting sqref="A278:B280">
    <cfRule type="cellIs" dxfId="2038" priority="1667" operator="equal">
      <formula>"ROW"</formula>
    </cfRule>
    <cfRule type="cellIs" dxfId="2037" priority="1666" operator="equal">
      <formula>"HOLD"</formula>
    </cfRule>
    <cfRule type="cellIs" dxfId="2036" priority="1665" operator="equal">
      <formula>"completedw"</formula>
    </cfRule>
  </conditionalFormatting>
  <conditionalFormatting sqref="A284:B284">
    <cfRule type="cellIs" dxfId="2035" priority="184" operator="equal">
      <formula>"completedw"</formula>
    </cfRule>
    <cfRule type="cellIs" dxfId="2034" priority="185" operator="equal">
      <formula>"HOLD"</formula>
    </cfRule>
    <cfRule type="cellIs" dxfId="2033" priority="186" operator="equal">
      <formula>"ROW"</formula>
    </cfRule>
  </conditionalFormatting>
  <conditionalFormatting sqref="A289:B291">
    <cfRule type="cellIs" dxfId="2032" priority="840" operator="equal">
      <formula>"ROW"</formula>
    </cfRule>
    <cfRule type="cellIs" dxfId="2031" priority="839" operator="equal">
      <formula>"HOLD"</formula>
    </cfRule>
    <cfRule type="cellIs" dxfId="2030" priority="838" operator="equal">
      <formula>"completedw"</formula>
    </cfRule>
  </conditionalFormatting>
  <conditionalFormatting sqref="A295:B295">
    <cfRule type="cellIs" dxfId="2029" priority="183" operator="equal">
      <formula>"ROW"</formula>
    </cfRule>
    <cfRule type="cellIs" dxfId="2028" priority="182" operator="equal">
      <formula>"HOLD"</formula>
    </cfRule>
    <cfRule type="cellIs" dxfId="2027" priority="181" operator="equal">
      <formula>"completedw"</formula>
    </cfRule>
  </conditionalFormatting>
  <conditionalFormatting sqref="A300:B302">
    <cfRule type="cellIs" dxfId="2026" priority="725" operator="equal">
      <formula>"completedw"</formula>
    </cfRule>
    <cfRule type="cellIs" dxfId="2025" priority="726" operator="equal">
      <formula>"HOLD"</formula>
    </cfRule>
    <cfRule type="cellIs" dxfId="2024" priority="727" operator="equal">
      <formula>"ROW"</formula>
    </cfRule>
  </conditionalFormatting>
  <conditionalFormatting sqref="A304:B304">
    <cfRule type="cellIs" dxfId="2023" priority="146" operator="equal">
      <formula>"ROW"</formula>
    </cfRule>
    <cfRule type="cellIs" dxfId="2022" priority="144" operator="equal">
      <formula>"completedw"</formula>
    </cfRule>
    <cfRule type="cellIs" dxfId="2021" priority="145" operator="equal">
      <formula>"HOLD"</formula>
    </cfRule>
  </conditionalFormatting>
  <conditionalFormatting sqref="A50:C51">
    <cfRule type="cellIs" dxfId="2020" priority="418" operator="equal">
      <formula>"completedw"</formula>
    </cfRule>
    <cfRule type="cellIs" dxfId="2019" priority="419" operator="equal">
      <formula>"HOLD"</formula>
    </cfRule>
    <cfRule type="cellIs" dxfId="2018" priority="420" operator="equal">
      <formula>"ROW"</formula>
    </cfRule>
  </conditionalFormatting>
  <conditionalFormatting sqref="A95:C96">
    <cfRule type="cellIs" dxfId="2017" priority="880" operator="equal">
      <formula>"ROW"</formula>
    </cfRule>
    <cfRule type="cellIs" dxfId="2016" priority="878" operator="equal">
      <formula>"completedw"</formula>
    </cfRule>
    <cfRule type="cellIs" dxfId="2015" priority="879" operator="equal">
      <formula>"HOLD"</formula>
    </cfRule>
  </conditionalFormatting>
  <conditionalFormatting sqref="A256:C257">
    <cfRule type="cellIs" dxfId="2014" priority="1142" operator="equal">
      <formula>"ROW"</formula>
    </cfRule>
    <cfRule type="cellIs" dxfId="2013" priority="1141" operator="equal">
      <formula>"HOLD"</formula>
    </cfRule>
    <cfRule type="cellIs" dxfId="2012" priority="1140" operator="equal">
      <formula>"completedw"</formula>
    </cfRule>
  </conditionalFormatting>
  <conditionalFormatting sqref="A176:E176">
    <cfRule type="cellIs" dxfId="2011" priority="277" operator="equal">
      <formula>"completedw"</formula>
    </cfRule>
    <cfRule type="cellIs" dxfId="2010" priority="278" operator="equal">
      <formula>"HOLD"</formula>
    </cfRule>
    <cfRule type="cellIs" dxfId="2009" priority="279" operator="equal">
      <formula>"ROW"</formula>
    </cfRule>
  </conditionalFormatting>
  <conditionalFormatting sqref="A197:E198">
    <cfRule type="cellIs" dxfId="2008" priority="121" operator="equal">
      <formula>"HOLD"</formula>
    </cfRule>
    <cfRule type="cellIs" dxfId="2007" priority="120" operator="equal">
      <formula>"completedw"</formula>
    </cfRule>
    <cfRule type="cellIs" dxfId="2006" priority="122" operator="equal">
      <formula>"ROW"</formula>
    </cfRule>
  </conditionalFormatting>
  <conditionalFormatting sqref="A61:I62">
    <cfRule type="cellIs" dxfId="2005" priority="366" operator="equal">
      <formula>"ROW"</formula>
    </cfRule>
    <cfRule type="cellIs" dxfId="2004" priority="364" operator="equal">
      <formula>"completedw"</formula>
    </cfRule>
    <cfRule type="cellIs" dxfId="2003" priority="365" operator="equal">
      <formula>"HOLD"</formula>
    </cfRule>
  </conditionalFormatting>
  <conditionalFormatting sqref="A107:I108">
    <cfRule type="cellIs" dxfId="2002" priority="102" operator="equal">
      <formula>"completedw"</formula>
    </cfRule>
    <cfRule type="cellIs" dxfId="2001" priority="104" operator="equal">
      <formula>"ROW"</formula>
    </cfRule>
    <cfRule type="cellIs" dxfId="2000" priority="103" operator="equal">
      <formula>"HOLD"</formula>
    </cfRule>
  </conditionalFormatting>
  <conditionalFormatting sqref="A14:J15">
    <cfRule type="cellIs" dxfId="1999" priority="1406" operator="equal">
      <formula>"HOLD"</formula>
    </cfRule>
    <cfRule type="cellIs" dxfId="1998" priority="1405" operator="equal">
      <formula>"completedw"</formula>
    </cfRule>
    <cfRule type="cellIs" dxfId="1997" priority="1407" operator="equal">
      <formula>"ROW"</formula>
    </cfRule>
  </conditionalFormatting>
  <conditionalFormatting sqref="A169:L175">
    <cfRule type="cellIs" dxfId="1996" priority="1530" operator="equal">
      <formula>"ROW"</formula>
    </cfRule>
    <cfRule type="cellIs" dxfId="1995" priority="1529" operator="equal">
      <formula>"HOLD"</formula>
    </cfRule>
    <cfRule type="cellIs" dxfId="1994" priority="1528" operator="equal">
      <formula>"completedw"</formula>
    </cfRule>
  </conditionalFormatting>
  <conditionalFormatting sqref="A243:AB247">
    <cfRule type="cellIs" dxfId="1993" priority="1658" operator="equal">
      <formula>"completedw"</formula>
    </cfRule>
    <cfRule type="cellIs" dxfId="1992" priority="1659" operator="equal">
      <formula>"HOLD"</formula>
    </cfRule>
    <cfRule type="cellIs" dxfId="1991" priority="1660" operator="equal">
      <formula>"ROW"</formula>
    </cfRule>
  </conditionalFormatting>
  <conditionalFormatting sqref="A270:AB272">
    <cfRule type="cellIs" dxfId="1990" priority="1742" operator="equal">
      <formula>"ROW"</formula>
    </cfRule>
    <cfRule type="cellIs" dxfId="1989" priority="1740" operator="equal">
      <formula>"completedw"</formula>
    </cfRule>
    <cfRule type="cellIs" dxfId="1988" priority="1741" operator="equal">
      <formula>"HOLD"</formula>
    </cfRule>
  </conditionalFormatting>
  <conditionalFormatting sqref="A274:AB277 A281:AB283">
    <cfRule type="cellIs" dxfId="1987" priority="1736" operator="equal">
      <formula>"ROW"</formula>
    </cfRule>
    <cfRule type="cellIs" dxfId="1986" priority="1735" operator="equal">
      <formula>"HOLD"</formula>
    </cfRule>
    <cfRule type="cellIs" dxfId="1985" priority="1734" operator="equal">
      <formula>"completedw"</formula>
    </cfRule>
  </conditionalFormatting>
  <conditionalFormatting sqref="A297:AB299">
    <cfRule type="cellIs" dxfId="1984" priority="619" operator="equal">
      <formula>"HOLD"</formula>
    </cfRule>
    <cfRule type="cellIs" dxfId="1983" priority="618" operator="equal">
      <formula>"completedw"</formula>
    </cfRule>
    <cfRule type="cellIs" dxfId="1982" priority="620" operator="equal">
      <formula>"ROW"</formula>
    </cfRule>
  </conditionalFormatting>
  <conditionalFormatting sqref="A253:AC255">
    <cfRule type="cellIs" dxfId="1981" priority="1749" operator="equal">
      <formula>"completedw"</formula>
    </cfRule>
    <cfRule type="cellIs" dxfId="1980" priority="1751" operator="equal">
      <formula>"ROW"</formula>
    </cfRule>
    <cfRule type="cellIs" dxfId="1979" priority="1750" operator="equal">
      <formula>"HOLD"</formula>
    </cfRule>
  </conditionalFormatting>
  <conditionalFormatting sqref="A258:AC259 A260:AA260 A261:AC261">
    <cfRule type="cellIs" dxfId="1978" priority="1744" operator="equal">
      <formula>"HOLD"</formula>
    </cfRule>
    <cfRule type="cellIs" dxfId="1977" priority="1745" operator="equal">
      <formula>"ROW"</formula>
    </cfRule>
    <cfRule type="cellIs" dxfId="1976" priority="1743" operator="equal">
      <formula>"completedw"</formula>
    </cfRule>
  </conditionalFormatting>
  <conditionalFormatting sqref="A263:AC266">
    <cfRule type="cellIs" dxfId="1975" priority="1739" operator="equal">
      <formula>"ROW"</formula>
    </cfRule>
    <cfRule type="cellIs" dxfId="1974" priority="1737" operator="equal">
      <formula>"completedw"</formula>
    </cfRule>
    <cfRule type="cellIs" dxfId="1973" priority="1738" operator="equal">
      <formula>"HOLD"</formula>
    </cfRule>
  </conditionalFormatting>
  <conditionalFormatting sqref="A286:AC288">
    <cfRule type="cellIs" dxfId="1972" priority="821" operator="equal">
      <formula>"completedw"</formula>
    </cfRule>
    <cfRule type="cellIs" dxfId="1971" priority="823" operator="equal">
      <formula>"ROW"</formula>
    </cfRule>
    <cfRule type="cellIs" dxfId="1970" priority="822" operator="equal">
      <formula>"HOLD"</formula>
    </cfRule>
  </conditionalFormatting>
  <conditionalFormatting sqref="A292:AC294">
    <cfRule type="cellIs" dxfId="1969" priority="816" operator="equal">
      <formula>"HOLD"</formula>
    </cfRule>
    <cfRule type="cellIs" dxfId="1968" priority="817" operator="equal">
      <formula>"ROW"</formula>
    </cfRule>
    <cfRule type="cellIs" dxfId="1967" priority="815" operator="equal">
      <formula>"completedw"</formula>
    </cfRule>
  </conditionalFormatting>
  <conditionalFormatting sqref="A112:AD112">
    <cfRule type="cellIs" dxfId="1966" priority="1624" operator="equal">
      <formula>"ROW"</formula>
    </cfRule>
    <cfRule type="cellIs" dxfId="1965" priority="1622" operator="equal">
      <formula>"completedw"</formula>
    </cfRule>
    <cfRule type="cellIs" dxfId="1964" priority="1623" operator="equal">
      <formula>"HOLD"</formula>
    </cfRule>
  </conditionalFormatting>
  <conditionalFormatting sqref="A43:AE43">
    <cfRule type="cellIs" dxfId="1963" priority="1603" operator="equal">
      <formula>"ROW"</formula>
    </cfRule>
    <cfRule type="cellIs" dxfId="1962" priority="1602" operator="equal">
      <formula>"HOLD"</formula>
    </cfRule>
    <cfRule type="cellIs" dxfId="1961" priority="1601" operator="equal">
      <formula>"completedw"</formula>
    </cfRule>
  </conditionalFormatting>
  <conditionalFormatting sqref="A124:AE124">
    <cfRule type="cellIs" dxfId="1960" priority="1626" operator="equal">
      <formula>"HOLD"</formula>
    </cfRule>
    <cfRule type="cellIs" dxfId="1959" priority="1627" operator="equal">
      <formula>"ROW"</formula>
    </cfRule>
    <cfRule type="cellIs" dxfId="1958" priority="1625" operator="equal">
      <formula>"completedw"</formula>
    </cfRule>
  </conditionalFormatting>
  <conditionalFormatting sqref="A136:AE136">
    <cfRule type="cellIs" dxfId="1957" priority="1630" operator="equal">
      <formula>"ROW"</formula>
    </cfRule>
    <cfRule type="cellIs" dxfId="1956" priority="1629" operator="equal">
      <formula>"HOLD"</formula>
    </cfRule>
    <cfRule type="cellIs" dxfId="1955" priority="1628" operator="equal">
      <formula>"completedw"</formula>
    </cfRule>
  </conditionalFormatting>
  <conditionalFormatting sqref="A190:AE190">
    <cfRule type="cellIs" dxfId="1954" priority="1645" operator="equal">
      <formula>"ROW"</formula>
    </cfRule>
    <cfRule type="cellIs" dxfId="1953" priority="1644" operator="equal">
      <formula>"HOLD"</formula>
    </cfRule>
    <cfRule type="cellIs" dxfId="1952" priority="1643" operator="equal">
      <formula>"completedw"</formula>
    </cfRule>
  </conditionalFormatting>
  <conditionalFormatting sqref="A233:AE233">
    <cfRule type="cellIs" dxfId="1951" priority="1656" operator="equal">
      <formula>"HOLD"</formula>
    </cfRule>
    <cfRule type="cellIs" dxfId="1950" priority="1655" operator="equal">
      <formula>"completedw"</formula>
    </cfRule>
    <cfRule type="cellIs" dxfId="1949" priority="1657" operator="equal">
      <formula>"ROW"</formula>
    </cfRule>
  </conditionalFormatting>
  <conditionalFormatting sqref="A250:AE251">
    <cfRule type="cellIs" dxfId="1948" priority="1780" operator="equal">
      <formula>"completedw"</formula>
    </cfRule>
    <cfRule type="cellIs" dxfId="1947" priority="1781" operator="equal">
      <formula>"HOLD"</formula>
    </cfRule>
    <cfRule type="cellIs" dxfId="1946" priority="1782" operator="equal">
      <formula>"ROW"</formula>
    </cfRule>
  </conditionalFormatting>
  <conditionalFormatting sqref="A296:AE296">
    <cfRule type="cellIs" dxfId="1945" priority="250" operator="equal">
      <formula>"completedw"</formula>
    </cfRule>
    <cfRule type="cellIs" dxfId="1944" priority="252" operator="equal">
      <formula>"ROW"</formula>
    </cfRule>
    <cfRule type="cellIs" dxfId="1943" priority="251" operator="equal">
      <formula>"HOLD"</formula>
    </cfRule>
  </conditionalFormatting>
  <conditionalFormatting sqref="A305:AE306">
    <cfRule type="cellIs" dxfId="1942" priority="841" operator="equal">
      <formula>"completedw"</formula>
    </cfRule>
    <cfRule type="cellIs" dxfId="1941" priority="843" operator="equal">
      <formula>"ROW"</formula>
    </cfRule>
    <cfRule type="cellIs" dxfId="1940" priority="842" operator="equal">
      <formula>"HOLD"</formula>
    </cfRule>
  </conditionalFormatting>
  <conditionalFormatting sqref="A54:AJ56">
    <cfRule type="cellIs" dxfId="1939" priority="1605" operator="equal">
      <formula>"HOLD"</formula>
    </cfRule>
    <cfRule type="cellIs" dxfId="1938" priority="1606" operator="equal">
      <formula>"ROW"</formula>
    </cfRule>
    <cfRule type="cellIs" dxfId="1937" priority="1604" operator="equal">
      <formula>"completedw"</formula>
    </cfRule>
  </conditionalFormatting>
  <conditionalFormatting sqref="A76:AJ78">
    <cfRule type="cellIs" dxfId="1936" priority="1611" operator="equal">
      <formula>"HOLD"</formula>
    </cfRule>
    <cfRule type="cellIs" dxfId="1935" priority="1612" operator="equal">
      <formula>"ROW"</formula>
    </cfRule>
  </conditionalFormatting>
  <conditionalFormatting sqref="A100:AJ102">
    <cfRule type="cellIs" dxfId="1934" priority="1617" operator="equal">
      <formula>"HOLD"</formula>
    </cfRule>
    <cfRule type="cellIs" dxfId="1933" priority="1618" operator="equal">
      <formula>"ROW"</formula>
    </cfRule>
    <cfRule type="cellIs" dxfId="1932" priority="1616" operator="equal">
      <formula>"completedw"</formula>
    </cfRule>
  </conditionalFormatting>
  <conditionalFormatting sqref="A104:AJ106">
    <cfRule type="cellIs" dxfId="1931" priority="1498" operator="equal">
      <formula>"completedw"</formula>
    </cfRule>
    <cfRule type="cellIs" dxfId="1930" priority="1499" operator="equal">
      <formula>"HOLD"</formula>
    </cfRule>
    <cfRule type="cellIs" dxfId="1929" priority="1500" operator="equal">
      <formula>"ROW"</formula>
    </cfRule>
  </conditionalFormatting>
  <conditionalFormatting sqref="A117:AJ118">
    <cfRule type="cellIs" dxfId="1928" priority="587" operator="equal">
      <formula>"completedw"</formula>
    </cfRule>
    <cfRule type="cellIs" dxfId="1927" priority="588" operator="equal">
      <formula>"HOLD"</formula>
    </cfRule>
    <cfRule type="cellIs" dxfId="1926" priority="589" operator="equal">
      <formula>"ROW"</formula>
    </cfRule>
  </conditionalFormatting>
  <conditionalFormatting sqref="A128:AJ130">
    <cfRule type="cellIs" dxfId="1925" priority="1505" operator="equal">
      <formula>"completedw"</formula>
    </cfRule>
    <cfRule type="cellIs" dxfId="1924" priority="1506" operator="equal">
      <formula>"HOLD"</formula>
    </cfRule>
    <cfRule type="cellIs" dxfId="1923" priority="1507" operator="equal">
      <formula>"ROW"</formula>
    </cfRule>
  </conditionalFormatting>
  <conditionalFormatting sqref="A141:AJ142">
    <cfRule type="cellIs" dxfId="1922" priority="162" operator="equal">
      <formula>"completedw"</formula>
    </cfRule>
    <cfRule type="cellIs" dxfId="1921" priority="163" operator="equal">
      <formula>"HOLD"</formula>
    </cfRule>
    <cfRule type="cellIs" dxfId="1920" priority="164" operator="equal">
      <formula>"ROW"</formula>
    </cfRule>
  </conditionalFormatting>
  <conditionalFormatting sqref="A147:AJ149">
    <cfRule type="cellIs" dxfId="1919" priority="1633" operator="equal">
      <formula>"ROW"</formula>
    </cfRule>
    <cfRule type="cellIs" dxfId="1918" priority="1632" operator="equal">
      <formula>"HOLD"</formula>
    </cfRule>
    <cfRule type="cellIs" dxfId="1917" priority="1631" operator="equal">
      <formula>"completedw"</formula>
    </cfRule>
  </conditionalFormatting>
  <conditionalFormatting sqref="A151:AJ153">
    <cfRule type="cellIs" dxfId="1916" priority="1513" operator="equal">
      <formula>"HOLD"</formula>
    </cfRule>
    <cfRule type="cellIs" dxfId="1915" priority="1512" operator="equal">
      <formula>"completedw"</formula>
    </cfRule>
    <cfRule type="cellIs" dxfId="1914" priority="1514" operator="equal">
      <formula>"ROW"</formula>
    </cfRule>
  </conditionalFormatting>
  <conditionalFormatting sqref="A158:AJ160">
    <cfRule type="cellIs" dxfId="1913" priority="1634" operator="equal">
      <formula>"completedw"</formula>
    </cfRule>
    <cfRule type="cellIs" dxfId="1912" priority="1635" operator="equal">
      <formula>"HOLD"</formula>
    </cfRule>
    <cfRule type="cellIs" dxfId="1911" priority="1636" operator="equal">
      <formula>"ROW"</formula>
    </cfRule>
  </conditionalFormatting>
  <conditionalFormatting sqref="A162:AJ164">
    <cfRule type="cellIs" dxfId="1910" priority="1519" operator="equal">
      <formula>"completedw"</formula>
    </cfRule>
    <cfRule type="cellIs" dxfId="1909" priority="1520" operator="equal">
      <formula>"HOLD"</formula>
    </cfRule>
    <cfRule type="cellIs" dxfId="1908" priority="1521" operator="equal">
      <formula>"ROW"</formula>
    </cfRule>
  </conditionalFormatting>
  <conditionalFormatting sqref="A180:AJ182">
    <cfRule type="cellIs" dxfId="1907" priority="1640" operator="equal">
      <formula>"completedw"</formula>
    </cfRule>
    <cfRule type="cellIs" dxfId="1906" priority="1641" operator="equal">
      <formula>"HOLD"</formula>
    </cfRule>
    <cfRule type="cellIs" dxfId="1905" priority="1642" operator="equal">
      <formula>"ROW"</formula>
    </cfRule>
  </conditionalFormatting>
  <conditionalFormatting sqref="A184:AJ186">
    <cfRule type="cellIs" dxfId="1904" priority="1532" operator="equal">
      <formula>"completedw"</formula>
    </cfRule>
    <cfRule type="cellIs" dxfId="1903" priority="1533" operator="equal">
      <formula>"HOLD"</formula>
    </cfRule>
    <cfRule type="cellIs" dxfId="1902" priority="1534" operator="equal">
      <formula>"ROW"</formula>
    </cfRule>
  </conditionalFormatting>
  <conditionalFormatting sqref="A187:AJ188">
    <cfRule type="cellIs" dxfId="1901" priority="134" operator="equal">
      <formula>"ROW"</formula>
    </cfRule>
    <cfRule type="cellIs" dxfId="1900" priority="132" operator="equal">
      <formula>"completedw"</formula>
    </cfRule>
    <cfRule type="cellIs" dxfId="1899" priority="133" operator="equal">
      <formula>"HOLD"</formula>
    </cfRule>
  </conditionalFormatting>
  <conditionalFormatting sqref="A191:AJ196">
    <cfRule type="cellIs" dxfId="1898" priority="933" operator="equal">
      <formula>"HOLD"</formula>
    </cfRule>
    <cfRule type="cellIs" dxfId="1897" priority="934" operator="equal">
      <formula>"ROW"</formula>
    </cfRule>
    <cfRule type="cellIs" dxfId="1896" priority="932" operator="equal">
      <formula>"completedw"</formula>
    </cfRule>
  </conditionalFormatting>
  <conditionalFormatting sqref="A200:AJ203">
    <cfRule type="cellIs" dxfId="1895" priority="1648" operator="equal">
      <formula>"ROW"</formula>
    </cfRule>
    <cfRule type="cellIs" dxfId="1894" priority="1647" operator="equal">
      <formula>"HOLD"</formula>
    </cfRule>
    <cfRule type="cellIs" dxfId="1893" priority="1646" operator="equal">
      <formula>"completedw"</formula>
    </cfRule>
  </conditionalFormatting>
  <conditionalFormatting sqref="A205:AJ207">
    <cfRule type="cellIs" dxfId="1892" priority="1544" operator="equal">
      <formula>"HOLD"</formula>
    </cfRule>
    <cfRule type="cellIs" dxfId="1891" priority="1543" operator="equal">
      <formula>"completedw"</formula>
    </cfRule>
    <cfRule type="cellIs" dxfId="1890" priority="1545" operator="equal">
      <formula>"ROW"</formula>
    </cfRule>
  </conditionalFormatting>
  <conditionalFormatting sqref="A211:AJ214">
    <cfRule type="cellIs" dxfId="1889" priority="1649" operator="equal">
      <formula>"completedw"</formula>
    </cfRule>
    <cfRule type="cellIs" dxfId="1888" priority="1650" operator="equal">
      <formula>"HOLD"</formula>
    </cfRule>
    <cfRule type="cellIs" dxfId="1887" priority="1651" operator="equal">
      <formula>"ROW"</formula>
    </cfRule>
  </conditionalFormatting>
  <conditionalFormatting sqref="A216:AJ218">
    <cfRule type="cellIs" dxfId="1886" priority="1550" operator="equal">
      <formula>"completedw"</formula>
    </cfRule>
    <cfRule type="cellIs" dxfId="1885" priority="1551" operator="equal">
      <formula>"HOLD"</formula>
    </cfRule>
    <cfRule type="cellIs" dxfId="1884" priority="1552" operator="equal">
      <formula>"ROW"</formula>
    </cfRule>
  </conditionalFormatting>
  <conditionalFormatting sqref="A222:AJ225">
    <cfRule type="cellIs" dxfId="1883" priority="1652" operator="equal">
      <formula>"completedw"</formula>
    </cfRule>
    <cfRule type="cellIs" dxfId="1882" priority="1654" operator="equal">
      <formula>"ROW"</formula>
    </cfRule>
    <cfRule type="cellIs" dxfId="1881" priority="1653" operator="equal">
      <formula>"HOLD"</formula>
    </cfRule>
  </conditionalFormatting>
  <conditionalFormatting sqref="A227:AJ229">
    <cfRule type="cellIs" dxfId="1880" priority="1557" operator="equal">
      <formula>"completedw"</formula>
    </cfRule>
    <cfRule type="cellIs" dxfId="1879" priority="1558" operator="equal">
      <formula>"HOLD"</formula>
    </cfRule>
    <cfRule type="cellIs" dxfId="1878" priority="1559" operator="equal">
      <formula>"ROW"</formula>
    </cfRule>
  </conditionalFormatting>
  <conditionalFormatting sqref="A230:AJ231">
    <cfRule type="cellIs" dxfId="1877" priority="46" operator="equal">
      <formula>"completedw"</formula>
    </cfRule>
    <cfRule type="cellIs" dxfId="1876" priority="48" operator="equal">
      <formula>"ROW"</formula>
    </cfRule>
    <cfRule type="cellIs" dxfId="1875" priority="47" operator="equal">
      <formula>"HOLD"</formula>
    </cfRule>
  </conditionalFormatting>
  <conditionalFormatting sqref="A237:AJ241">
    <cfRule type="cellIs" dxfId="1874" priority="1564" operator="equal">
      <formula>"completedw"</formula>
    </cfRule>
    <cfRule type="cellIs" dxfId="1873" priority="1565" operator="equal">
      <formula>"HOLD"</formula>
    </cfRule>
    <cfRule type="cellIs" dxfId="1872" priority="1566" operator="equal">
      <formula>"ROW"</formula>
    </cfRule>
  </conditionalFormatting>
  <conditionalFormatting sqref="A1:XFD13">
    <cfRule type="cellIs" dxfId="1871" priority="1593" operator="equal">
      <formula>"HOLD"</formula>
    </cfRule>
    <cfRule type="cellIs" dxfId="1870" priority="1594" operator="equal">
      <formula>"ROW"</formula>
    </cfRule>
    <cfRule type="cellIs" dxfId="1869" priority="1592" operator="equal">
      <formula>"completedw"</formula>
    </cfRule>
  </conditionalFormatting>
  <conditionalFormatting sqref="A16:XFD17">
    <cfRule type="cellIs" dxfId="1868" priority="1447" operator="equal">
      <formula>"completedw"</formula>
    </cfRule>
    <cfRule type="cellIs" dxfId="1867" priority="1448" operator="equal">
      <formula>"HOLD"</formula>
    </cfRule>
    <cfRule type="cellIs" dxfId="1866" priority="1449" operator="equal">
      <formula>"ROW"</formula>
    </cfRule>
  </conditionalFormatting>
  <conditionalFormatting sqref="A22:XFD24">
    <cfRule type="cellIs" dxfId="1865" priority="1597" operator="equal">
      <formula>"ROW"</formula>
    </cfRule>
    <cfRule type="cellIs" dxfId="1864" priority="1595" operator="equal">
      <formula>"completedw"</formula>
    </cfRule>
    <cfRule type="cellIs" dxfId="1863" priority="1596" operator="equal">
      <formula>"HOLD"</formula>
    </cfRule>
  </conditionalFormatting>
  <conditionalFormatting sqref="A32:XFD35">
    <cfRule type="cellIs" dxfId="1862" priority="1598" operator="equal">
      <formula>"completedw"</formula>
    </cfRule>
    <cfRule type="cellIs" dxfId="1861" priority="1599" operator="equal">
      <formula>"HOLD"</formula>
    </cfRule>
    <cfRule type="cellIs" dxfId="1860" priority="1600" operator="equal">
      <formula>"ROW"</formula>
    </cfRule>
  </conditionalFormatting>
  <conditionalFormatting sqref="A44:XFD48">
    <cfRule type="cellIs" dxfId="1859" priority="890" operator="equal">
      <formula>"ROW"</formula>
    </cfRule>
    <cfRule type="cellIs" dxfId="1858" priority="888" operator="equal">
      <formula>"completedw"</formula>
    </cfRule>
    <cfRule type="cellIs" dxfId="1857" priority="889" operator="equal">
      <formula>"HOLD"</formula>
    </cfRule>
  </conditionalFormatting>
  <conditionalFormatting sqref="A64:XFD67">
    <cfRule type="cellIs" dxfId="1856" priority="1607" operator="equal">
      <formula>"completedw"</formula>
    </cfRule>
    <cfRule type="cellIs" dxfId="1855" priority="1608" operator="equal">
      <formula>"HOLD"</formula>
    </cfRule>
    <cfRule type="cellIs" dxfId="1854" priority="1609" operator="equal">
      <formula>"ROW"</formula>
    </cfRule>
  </conditionalFormatting>
  <conditionalFormatting sqref="A76:XFD78">
    <cfRule type="cellIs" dxfId="1853" priority="1610" operator="equal">
      <formula>"completedw"</formula>
    </cfRule>
  </conditionalFormatting>
  <conditionalFormatting sqref="A285:XFD285">
    <cfRule type="cellIs" dxfId="1852" priority="253" operator="equal">
      <formula>"completedw"</formula>
    </cfRule>
    <cfRule type="cellIs" dxfId="1851" priority="254" operator="equal">
      <formula>"HOLD"</formula>
    </cfRule>
    <cfRule type="cellIs" dxfId="1850" priority="255" operator="equal">
      <formula>"ROW"</formula>
    </cfRule>
  </conditionalFormatting>
  <conditionalFormatting sqref="B25">
    <cfRule type="cellIs" dxfId="1849" priority="1446" operator="equal">
      <formula>"Completed"</formula>
    </cfRule>
    <cfRule type="cellIs" dxfId="1848" priority="1445" operator="equal">
      <formula>"wip"</formula>
    </cfRule>
  </conditionalFormatting>
  <conditionalFormatting sqref="B36">
    <cfRule type="cellIs" dxfId="1847" priority="1998" operator="equal">
      <formula>"wip"</formula>
    </cfRule>
    <cfRule type="cellIs" dxfId="1846" priority="1999" operator="equal">
      <formula>"Completed"</formula>
    </cfRule>
  </conditionalFormatting>
  <conditionalFormatting sqref="B46">
    <cfRule type="cellIs" dxfId="1845" priority="1772" operator="equal">
      <formula>"wip"</formula>
    </cfRule>
    <cfRule type="cellIs" dxfId="1844" priority="1773" operator="equal">
      <formula>"Completed"</formula>
    </cfRule>
  </conditionalFormatting>
  <conditionalFormatting sqref="B57">
    <cfRule type="cellIs" dxfId="1843" priority="1768" operator="equal">
      <formula>"Completed"</formula>
    </cfRule>
    <cfRule type="cellIs" dxfId="1842" priority="1767" operator="equal">
      <formula>"wip"</formula>
    </cfRule>
  </conditionalFormatting>
  <conditionalFormatting sqref="B68">
    <cfRule type="cellIs" dxfId="1841" priority="1763" operator="equal">
      <formula>"Completed"</formula>
    </cfRule>
    <cfRule type="cellIs" dxfId="1840" priority="1762" operator="equal">
      <formula>"wip"</formula>
    </cfRule>
  </conditionalFormatting>
  <conditionalFormatting sqref="B79">
    <cfRule type="cellIs" dxfId="1839" priority="1758" operator="equal">
      <formula>"Completed"</formula>
    </cfRule>
    <cfRule type="cellIs" dxfId="1838" priority="1757" operator="equal">
      <formula>"wip"</formula>
    </cfRule>
  </conditionalFormatting>
  <conditionalFormatting sqref="B91">
    <cfRule type="cellIs" dxfId="1837" priority="1996" operator="equal">
      <formula>"wip"</formula>
    </cfRule>
    <cfRule type="cellIs" dxfId="1836" priority="1997" operator="equal">
      <formula>"Completed"</formula>
    </cfRule>
  </conditionalFormatting>
  <conditionalFormatting sqref="B103">
    <cfRule type="cellIs" dxfId="1835" priority="1995" operator="equal">
      <formula>"Completed"</formula>
    </cfRule>
    <cfRule type="cellIs" dxfId="1834" priority="1994" operator="equal">
      <formula>"wip"</formula>
    </cfRule>
  </conditionalFormatting>
  <conditionalFormatting sqref="B115">
    <cfRule type="cellIs" dxfId="1833" priority="1993" operator="equal">
      <formula>"Completed"</formula>
    </cfRule>
    <cfRule type="cellIs" dxfId="1832" priority="1992" operator="equal">
      <formula>"wip"</formula>
    </cfRule>
  </conditionalFormatting>
  <conditionalFormatting sqref="B127">
    <cfRule type="cellIs" dxfId="1831" priority="1991" operator="equal">
      <formula>"Completed"</formula>
    </cfRule>
    <cfRule type="cellIs" dxfId="1830" priority="1990" operator="equal">
      <formula>"wip"</formula>
    </cfRule>
  </conditionalFormatting>
  <conditionalFormatting sqref="B139">
    <cfRule type="cellIs" dxfId="1829" priority="1989" operator="equal">
      <formula>"Completed"</formula>
    </cfRule>
    <cfRule type="cellIs" dxfId="1828" priority="1988" operator="equal">
      <formula>"wip"</formula>
    </cfRule>
  </conditionalFormatting>
  <conditionalFormatting sqref="B150">
    <cfRule type="cellIs" dxfId="1827" priority="1986" operator="equal">
      <formula>"wip"</formula>
    </cfRule>
    <cfRule type="cellIs" dxfId="1826" priority="1987" operator="equal">
      <formula>"Completed"</formula>
    </cfRule>
  </conditionalFormatting>
  <conditionalFormatting sqref="B161">
    <cfRule type="cellIs" dxfId="1825" priority="1984" operator="equal">
      <formula>"wip"</formula>
    </cfRule>
    <cfRule type="cellIs" dxfId="1824" priority="1985" operator="equal">
      <formula>"Completed"</formula>
    </cfRule>
  </conditionalFormatting>
  <conditionalFormatting sqref="B172">
    <cfRule type="cellIs" dxfId="1823" priority="1957" operator="equal">
      <formula>"Completed"</formula>
    </cfRule>
    <cfRule type="cellIs" dxfId="1822" priority="1956" operator="equal">
      <formula>"wip"</formula>
    </cfRule>
  </conditionalFormatting>
  <conditionalFormatting sqref="B183">
    <cfRule type="cellIs" dxfId="1821" priority="1926" operator="equal">
      <formula>"wip"</formula>
    </cfRule>
    <cfRule type="cellIs" dxfId="1820" priority="1927" operator="equal">
      <formula>"Completed"</formula>
    </cfRule>
  </conditionalFormatting>
  <conditionalFormatting sqref="B193">
    <cfRule type="cellIs" dxfId="1819" priority="1898" operator="equal">
      <formula>"wip"</formula>
    </cfRule>
    <cfRule type="cellIs" dxfId="1818" priority="1899" operator="equal">
      <formula>"Completed"</formula>
    </cfRule>
  </conditionalFormatting>
  <conditionalFormatting sqref="B204">
    <cfRule type="cellIs" dxfId="1817" priority="1870" operator="equal">
      <formula>"wip"</formula>
    </cfRule>
    <cfRule type="cellIs" dxfId="1816" priority="1871" operator="equal">
      <formula>"Completed"</formula>
    </cfRule>
  </conditionalFormatting>
  <conditionalFormatting sqref="B210">
    <cfRule type="cellIs" dxfId="1815" priority="244" operator="equal">
      <formula>"completedw"</formula>
    </cfRule>
    <cfRule type="cellIs" dxfId="1814" priority="245" operator="equal">
      <formula>"HOLD"</formula>
    </cfRule>
    <cfRule type="cellIs" dxfId="1813" priority="246" operator="equal">
      <formula>"ROW"</formula>
    </cfRule>
  </conditionalFormatting>
  <conditionalFormatting sqref="B215">
    <cfRule type="cellIs" dxfId="1812" priority="1843" operator="equal">
      <formula>"Completed"</formula>
    </cfRule>
    <cfRule type="cellIs" dxfId="1811" priority="1842" operator="equal">
      <formula>"wip"</formula>
    </cfRule>
  </conditionalFormatting>
  <conditionalFormatting sqref="B221">
    <cfRule type="cellIs" dxfId="1810" priority="241" operator="equal">
      <formula>"completedw"</formula>
    </cfRule>
    <cfRule type="cellIs" dxfId="1809" priority="242" operator="equal">
      <formula>"HOLD"</formula>
    </cfRule>
    <cfRule type="cellIs" dxfId="1808" priority="243" operator="equal">
      <formula>"ROW"</formula>
    </cfRule>
  </conditionalFormatting>
  <conditionalFormatting sqref="B226">
    <cfRule type="cellIs" dxfId="1807" priority="1814" operator="equal">
      <formula>"wip"</formula>
    </cfRule>
    <cfRule type="cellIs" dxfId="1806" priority="1815" operator="equal">
      <formula>"Completed"</formula>
    </cfRule>
  </conditionalFormatting>
  <conditionalFormatting sqref="B236">
    <cfRule type="cellIs" dxfId="1805" priority="1786" operator="equal">
      <formula>"wip"</formula>
    </cfRule>
    <cfRule type="cellIs" dxfId="1804" priority="1787" operator="equal">
      <formula>"Completed"</formula>
    </cfRule>
  </conditionalFormatting>
  <conditionalFormatting sqref="B246">
    <cfRule type="cellIs" dxfId="1803" priority="1706" operator="equal">
      <formula>"wip"</formula>
    </cfRule>
    <cfRule type="cellIs" dxfId="1802" priority="1707" operator="equal">
      <formula>"Completed"</formula>
    </cfRule>
  </conditionalFormatting>
  <conditionalFormatting sqref="B256">
    <cfRule type="cellIs" dxfId="1801" priority="1756" operator="equal">
      <formula>"Completed"</formula>
    </cfRule>
    <cfRule type="cellIs" dxfId="1800" priority="1755" operator="equal">
      <formula>"wip"</formula>
    </cfRule>
  </conditionalFormatting>
  <conditionalFormatting sqref="B267">
    <cfRule type="cellIs" dxfId="1799" priority="1670" operator="equal">
      <formula>"wip"</formula>
    </cfRule>
    <cfRule type="cellIs" dxfId="1798" priority="1671" operator="equal">
      <formula>"Completed"</formula>
    </cfRule>
  </conditionalFormatting>
  <conditionalFormatting sqref="B278">
    <cfRule type="cellIs" dxfId="1797" priority="1663" operator="equal">
      <formula>"wip"</formula>
    </cfRule>
    <cfRule type="cellIs" dxfId="1796" priority="1664" operator="equal">
      <formula>"Completed"</formula>
    </cfRule>
  </conditionalFormatting>
  <conditionalFormatting sqref="B289">
    <cfRule type="cellIs" dxfId="1795" priority="836" operator="equal">
      <formula>"wip"</formula>
    </cfRule>
    <cfRule type="cellIs" dxfId="1794" priority="837" operator="equal">
      <formula>"Completed"</formula>
    </cfRule>
  </conditionalFormatting>
  <conditionalFormatting sqref="B300">
    <cfRule type="cellIs" dxfId="1793" priority="724" operator="equal">
      <formula>"Completed"</formula>
    </cfRule>
    <cfRule type="cellIs" dxfId="1792" priority="723" operator="equal">
      <formula>"wip"</formula>
    </cfRule>
  </conditionalFormatting>
  <conditionalFormatting sqref="C25:C26">
    <cfRule type="cellIs" dxfId="1791" priority="561" operator="equal">
      <formula>"wip"</formula>
    </cfRule>
    <cfRule type="cellIs" dxfId="1790" priority="562" operator="equal">
      <formula>"Completed"</formula>
    </cfRule>
    <cfRule type="cellIs" dxfId="1789" priority="560" operator="equal">
      <formula>"ROW"</formula>
    </cfRule>
    <cfRule type="cellIs" dxfId="1788" priority="559" operator="equal">
      <formula>"HOLD"</formula>
    </cfRule>
    <cfRule type="cellIs" dxfId="1787" priority="558" operator="equal">
      <formula>"completedw"</formula>
    </cfRule>
    <cfRule type="containsText" dxfId="1786" priority="557" operator="containsText" text="Hold">
      <formula>NOT(ISERROR(SEARCH("Hold",C25)))</formula>
    </cfRule>
  </conditionalFormatting>
  <conditionalFormatting sqref="C68:C69">
    <cfRule type="cellIs" dxfId="1785" priority="98" operator="equal">
      <formula>"Completed"</formula>
    </cfRule>
    <cfRule type="containsText" dxfId="1784" priority="93" operator="containsText" text="Hold">
      <formula>NOT(ISERROR(SEARCH("Hold",C68)))</formula>
    </cfRule>
    <cfRule type="cellIs" dxfId="1783" priority="94" operator="equal">
      <formula>"completedw"</formula>
    </cfRule>
    <cfRule type="cellIs" dxfId="1782" priority="96" operator="equal">
      <formula>"ROW"</formula>
    </cfRule>
    <cfRule type="cellIs" dxfId="1781" priority="97" operator="equal">
      <formula>"wip"</formula>
    </cfRule>
    <cfRule type="cellIs" dxfId="1780" priority="95" operator="equal">
      <formula>"HOLD"</formula>
    </cfRule>
  </conditionalFormatting>
  <conditionalFormatting sqref="C79:C80">
    <cfRule type="cellIs" dxfId="1779" priority="538" operator="equal">
      <formula>"Completed"</formula>
    </cfRule>
    <cfRule type="cellIs" dxfId="1778" priority="535" operator="equal">
      <formula>"HOLD"</formula>
    </cfRule>
    <cfRule type="cellIs" dxfId="1777" priority="536" operator="equal">
      <formula>"ROW"</formula>
    </cfRule>
    <cfRule type="cellIs" dxfId="1776" priority="537" operator="equal">
      <formula>"wip"</formula>
    </cfRule>
    <cfRule type="containsText" dxfId="1775" priority="533" operator="containsText" text="Hold">
      <formula>NOT(ISERROR(SEARCH("Hold",C79)))</formula>
    </cfRule>
    <cfRule type="cellIs" dxfId="1774" priority="534" operator="equal">
      <formula>"completedw"</formula>
    </cfRule>
  </conditionalFormatting>
  <conditionalFormatting sqref="C91:C92">
    <cfRule type="cellIs" dxfId="1773" priority="88" operator="equal">
      <formula>"completedw"</formula>
    </cfRule>
    <cfRule type="cellIs" dxfId="1772" priority="92" operator="equal">
      <formula>"Completed"</formula>
    </cfRule>
    <cfRule type="cellIs" dxfId="1771" priority="91" operator="equal">
      <formula>"wip"</formula>
    </cfRule>
    <cfRule type="cellIs" dxfId="1770" priority="90" operator="equal">
      <formula>"ROW"</formula>
    </cfRule>
    <cfRule type="containsText" dxfId="1769" priority="87" operator="containsText" text="Hold">
      <formula>NOT(ISERROR(SEARCH("Hold",C91)))</formula>
    </cfRule>
    <cfRule type="cellIs" dxfId="1768" priority="89" operator="equal">
      <formula>"HOLD"</formula>
    </cfRule>
  </conditionalFormatting>
  <conditionalFormatting sqref="C115:C116">
    <cfRule type="containsText" dxfId="1767" priority="859" operator="containsText" text="Hold">
      <formula>NOT(ISERROR(SEARCH("Hold",C115)))</formula>
    </cfRule>
  </conditionalFormatting>
  <conditionalFormatting sqref="C127:C128">
    <cfRule type="containsText" dxfId="1766" priority="1418" operator="containsText" text="Hold">
      <formula>NOT(ISERROR(SEARCH("Hold",C127)))</formula>
    </cfRule>
  </conditionalFormatting>
  <conditionalFormatting sqref="C150:C151">
    <cfRule type="containsText" dxfId="1765" priority="1301" operator="containsText" text="Hold">
      <formula>NOT(ISERROR(SEARCH("Hold",C150)))</formula>
    </cfRule>
  </conditionalFormatting>
  <conditionalFormatting sqref="C161:C162">
    <cfRule type="containsText" dxfId="1764" priority="495" operator="containsText" text="Hold">
      <formula>NOT(ISERROR(SEARCH("Hold",C161)))</formula>
    </cfRule>
  </conditionalFormatting>
  <conditionalFormatting sqref="C172:C173">
    <cfRule type="containsText" dxfId="1763" priority="1304" operator="containsText" text="Hold">
      <formula>NOT(ISERROR(SEARCH("Hold",C172)))</formula>
    </cfRule>
  </conditionalFormatting>
  <conditionalFormatting sqref="C183:C184">
    <cfRule type="containsText" dxfId="1762" priority="894" operator="containsText" text="Hold">
      <formula>NOT(ISERROR(SEARCH("Hold",C183)))</formula>
    </cfRule>
  </conditionalFormatting>
  <conditionalFormatting sqref="C193:C194">
    <cfRule type="containsText" dxfId="1761" priority="55" operator="containsText" text="Hold">
      <formula>NOT(ISERROR(SEARCH("Hold",C193)))</formula>
    </cfRule>
  </conditionalFormatting>
  <conditionalFormatting sqref="C209">
    <cfRule type="cellIs" dxfId="1760" priority="16" operator="equal">
      <formula>"ROW"</formula>
    </cfRule>
    <cfRule type="cellIs" dxfId="1759" priority="15" operator="equal">
      <formula>"HOLD"</formula>
    </cfRule>
    <cfRule type="cellIs" dxfId="1758" priority="14" operator="equal">
      <formula>"completedw"</formula>
    </cfRule>
  </conditionalFormatting>
  <conditionalFormatting sqref="C215:C216">
    <cfRule type="containsText" dxfId="1757" priority="1273" operator="containsText" text="Hold">
      <formula>NOT(ISERROR(SEARCH("Hold",C215)))</formula>
    </cfRule>
  </conditionalFormatting>
  <conditionalFormatting sqref="C219">
    <cfRule type="cellIs" dxfId="1756" priority="40" operator="equal">
      <formula>"completedw"</formula>
    </cfRule>
    <cfRule type="cellIs" dxfId="1755" priority="41" operator="equal">
      <formula>"HOLD"</formula>
    </cfRule>
    <cfRule type="cellIs" dxfId="1754" priority="42" operator="equal">
      <formula>"ROW"</formula>
    </cfRule>
  </conditionalFormatting>
  <conditionalFormatting sqref="C226:C227">
    <cfRule type="containsText" dxfId="1753" priority="1272" operator="containsText" text="Hold">
      <formula>NOT(ISERROR(SEARCH("Hold",C226)))</formula>
    </cfRule>
  </conditionalFormatting>
  <conditionalFormatting sqref="C236:C237">
    <cfRule type="containsText" dxfId="1752" priority="1246" operator="containsText" text="Hold">
      <formula>NOT(ISERROR(SEARCH("Hold",C236)))</formula>
    </cfRule>
  </conditionalFormatting>
  <conditionalFormatting sqref="C246:C247">
    <cfRule type="containsText" dxfId="1751" priority="1245" operator="containsText" text="Hold">
      <formula>NOT(ISERROR(SEARCH("Hold",C246)))</formula>
    </cfRule>
  </conditionalFormatting>
  <conditionalFormatting sqref="C256:C257">
    <cfRule type="cellIs" dxfId="1750" priority="1144" operator="equal">
      <formula>"Completed"</formula>
    </cfRule>
    <cfRule type="containsText" dxfId="1749" priority="1139" operator="containsText" text="Hold">
      <formula>NOT(ISERROR(SEARCH("Hold",C256)))</formula>
    </cfRule>
    <cfRule type="cellIs" dxfId="1748" priority="1143" operator="equal">
      <formula>"wip"</formula>
    </cfRule>
  </conditionalFormatting>
  <conditionalFormatting sqref="C267:C268">
    <cfRule type="containsText" dxfId="1747" priority="1133" operator="containsText" text="Hold">
      <formula>NOT(ISERROR(SEARCH("Hold",C267)))</formula>
    </cfRule>
  </conditionalFormatting>
  <conditionalFormatting sqref="C278:C279">
    <cfRule type="cellIs" dxfId="1746" priority="976" operator="equal">
      <formula>"Completed"</formula>
    </cfRule>
    <cfRule type="containsText" dxfId="1745" priority="971" operator="containsText" text="Hold">
      <formula>NOT(ISERROR(SEARCH("Hold",C278)))</formula>
    </cfRule>
    <cfRule type="cellIs" dxfId="1744" priority="975" operator="equal">
      <formula>"wip"</formula>
    </cfRule>
    <cfRule type="cellIs" dxfId="1743" priority="974" operator="equal">
      <formula>"ROW"</formula>
    </cfRule>
    <cfRule type="cellIs" dxfId="1742" priority="972" operator="equal">
      <formula>"completedw"</formula>
    </cfRule>
    <cfRule type="cellIs" dxfId="1741" priority="973" operator="equal">
      <formula>"HOLD"</formula>
    </cfRule>
  </conditionalFormatting>
  <conditionalFormatting sqref="C289:C290">
    <cfRule type="cellIs" dxfId="1740" priority="825" operator="equal">
      <formula>"completedw"</formula>
    </cfRule>
    <cfRule type="cellIs" dxfId="1739" priority="828" operator="equal">
      <formula>"wip"</formula>
    </cfRule>
    <cfRule type="cellIs" dxfId="1738" priority="827" operator="equal">
      <formula>"ROW"</formula>
    </cfRule>
    <cfRule type="containsText" dxfId="1737" priority="824" operator="containsText" text="Hold">
      <formula>NOT(ISERROR(SEARCH("Hold",C289)))</formula>
    </cfRule>
    <cfRule type="cellIs" dxfId="1736" priority="829" operator="equal">
      <formula>"Completed"</formula>
    </cfRule>
    <cfRule type="cellIs" dxfId="1735" priority="826" operator="equal">
      <formula>"HOLD"</formula>
    </cfRule>
  </conditionalFormatting>
  <conditionalFormatting sqref="C300:C301">
    <cfRule type="cellIs" dxfId="1734" priority="713" operator="equal">
      <formula>"HOLD"</formula>
    </cfRule>
    <cfRule type="cellIs" dxfId="1733" priority="714" operator="equal">
      <formula>"ROW"</formula>
    </cfRule>
    <cfRule type="cellIs" dxfId="1732" priority="715" operator="equal">
      <formula>"wip"</formula>
    </cfRule>
    <cfRule type="cellIs" dxfId="1731" priority="716" operator="equal">
      <formula>"Completed"</formula>
    </cfRule>
    <cfRule type="cellIs" dxfId="1730" priority="712" operator="equal">
      <formula>"completedw"</formula>
    </cfRule>
    <cfRule type="containsText" dxfId="1729" priority="711" operator="containsText" text="Hold">
      <formula>NOT(ISERROR(SEARCH("Hold",C300)))</formula>
    </cfRule>
  </conditionalFormatting>
  <conditionalFormatting sqref="C267:D268">
    <cfRule type="cellIs" dxfId="1728" priority="1137" operator="equal">
      <formula>"wip"</formula>
    </cfRule>
    <cfRule type="cellIs" dxfId="1727" priority="1136" operator="equal">
      <formula>"ROW"</formula>
    </cfRule>
    <cfRule type="cellIs" dxfId="1726" priority="1134" operator="equal">
      <formula>"completedw"</formula>
    </cfRule>
    <cfRule type="cellIs" dxfId="1725" priority="1135" operator="equal">
      <formula>"HOLD"</formula>
    </cfRule>
    <cfRule type="cellIs" dxfId="1724" priority="1138" operator="equal">
      <formula>"Completed"</formula>
    </cfRule>
  </conditionalFormatting>
  <conditionalFormatting sqref="C36:F37">
    <cfRule type="cellIs" dxfId="1723" priority="1391" operator="equal">
      <formula>"Completed"</formula>
    </cfRule>
    <cfRule type="cellIs" dxfId="1722" priority="1388" operator="equal">
      <formula>"HOLD"</formula>
    </cfRule>
    <cfRule type="cellIs" dxfId="1721" priority="1389" operator="equal">
      <formula>"ROW"</formula>
    </cfRule>
    <cfRule type="cellIs" dxfId="1720" priority="1390" operator="equal">
      <formula>"wip"</formula>
    </cfRule>
    <cfRule type="cellIs" dxfId="1719" priority="1387" operator="equal">
      <formula>"completedw"</formula>
    </cfRule>
  </conditionalFormatting>
  <conditionalFormatting sqref="C57:F58">
    <cfRule type="cellIs" dxfId="1718" priority="1403" operator="equal">
      <formula>"Completed"</formula>
    </cfRule>
    <cfRule type="cellIs" dxfId="1717" priority="1400" operator="equal">
      <formula>"HOLD"</formula>
    </cfRule>
    <cfRule type="cellIs" dxfId="1716" priority="1402" operator="equal">
      <formula>"wip"</formula>
    </cfRule>
    <cfRule type="cellIs" dxfId="1715" priority="1401" operator="equal">
      <formula>"ROW"</formula>
    </cfRule>
    <cfRule type="cellIs" dxfId="1714" priority="1399" operator="equal">
      <formula>"completedw"</formula>
    </cfRule>
  </conditionalFormatting>
  <conditionalFormatting sqref="C40:I40">
    <cfRule type="cellIs" dxfId="1713" priority="442" operator="equal">
      <formula>"completedw"</formula>
    </cfRule>
    <cfRule type="cellIs" dxfId="1712" priority="444" operator="equal">
      <formula>"ROW"</formula>
    </cfRule>
    <cfRule type="cellIs" dxfId="1711" priority="443" operator="equal">
      <formula>"HOLD"</formula>
    </cfRule>
  </conditionalFormatting>
  <conditionalFormatting sqref="C172:L174">
    <cfRule type="cellIs" dxfId="1710" priority="1531" operator="equal">
      <formula>"wip"</formula>
    </cfRule>
  </conditionalFormatting>
  <conditionalFormatting sqref="C246:AB248">
    <cfRule type="cellIs" dxfId="1709" priority="1576" operator="equal">
      <formula>"wip"</formula>
    </cfRule>
  </conditionalFormatting>
  <conditionalFormatting sqref="C269:AB269">
    <cfRule type="cellIs" dxfId="1708" priority="1586" operator="equal">
      <formula>"completedw"</formula>
    </cfRule>
    <cfRule type="cellIs" dxfId="1707" priority="1587" operator="equal">
      <formula>"HOLD"</formula>
    </cfRule>
    <cfRule type="cellIs" dxfId="1706" priority="1588" operator="equal">
      <formula>"ROW"</formula>
    </cfRule>
  </conditionalFormatting>
  <conditionalFormatting sqref="C280:AB280">
    <cfRule type="cellIs" dxfId="1705" priority="1582" operator="equal">
      <formula>"ROW"</formula>
    </cfRule>
    <cfRule type="cellIs" dxfId="1704" priority="1581" operator="equal">
      <formula>"HOLD"</formula>
    </cfRule>
    <cfRule type="cellIs" dxfId="1703" priority="1580" operator="equal">
      <formula>"completedw"</formula>
    </cfRule>
  </conditionalFormatting>
  <conditionalFormatting sqref="C16:AC16">
    <cfRule type="cellIs" dxfId="1702" priority="1453" operator="equal">
      <formula>"wip"</formula>
    </cfRule>
    <cfRule type="cellIs" dxfId="1701" priority="1452" operator="equal">
      <formula>"Completed"</formula>
    </cfRule>
  </conditionalFormatting>
  <conditionalFormatting sqref="C27:AC27">
    <cfRule type="cellIs" dxfId="1700" priority="1459" operator="equal">
      <formula>"Completed"</formula>
    </cfRule>
    <cfRule type="cellIs" dxfId="1699" priority="1460" operator="equal">
      <formula>"wip"</formula>
    </cfRule>
  </conditionalFormatting>
  <conditionalFormatting sqref="C38:AC38">
    <cfRule type="cellIs" dxfId="1698" priority="1466" operator="equal">
      <formula>"Completed"</formula>
    </cfRule>
    <cfRule type="cellIs" dxfId="1697" priority="1467" operator="equal">
      <formula>"wip"</formula>
    </cfRule>
  </conditionalFormatting>
  <conditionalFormatting sqref="C48:AC48">
    <cfRule type="cellIs" dxfId="1696" priority="1470" operator="equal">
      <formula>"Completed"</formula>
    </cfRule>
    <cfRule type="cellIs" dxfId="1695" priority="1471" operator="equal">
      <formula>"wip"</formula>
    </cfRule>
  </conditionalFormatting>
  <conditionalFormatting sqref="C59:AC59">
    <cfRule type="cellIs" dxfId="1694" priority="1476" operator="equal">
      <formula>"Completed"</formula>
    </cfRule>
    <cfRule type="cellIs" dxfId="1693" priority="1477" operator="equal">
      <formula>"wip"</formula>
    </cfRule>
  </conditionalFormatting>
  <conditionalFormatting sqref="C70:AC70">
    <cfRule type="cellIs" dxfId="1692" priority="1482" operator="equal">
      <formula>"Completed"</formula>
    </cfRule>
    <cfRule type="cellIs" dxfId="1691" priority="1483" operator="equal">
      <formula>"wip"</formula>
    </cfRule>
    <cfRule type="cellIs" dxfId="1690" priority="1479" operator="equal">
      <formula>"completedw"</formula>
    </cfRule>
    <cfRule type="cellIs" dxfId="1689" priority="1480" operator="equal">
      <formula>"HOLD"</formula>
    </cfRule>
    <cfRule type="cellIs" dxfId="1688" priority="1481" operator="equal">
      <formula>"ROW"</formula>
    </cfRule>
  </conditionalFormatting>
  <conditionalFormatting sqref="C81:AC81">
    <cfRule type="cellIs" dxfId="1687" priority="1489" operator="equal">
      <formula>"Completed"</formula>
    </cfRule>
    <cfRule type="cellIs" dxfId="1686" priority="1490" operator="equal">
      <formula>"wip"</formula>
    </cfRule>
  </conditionalFormatting>
  <conditionalFormatting sqref="C93:AC93">
    <cfRule type="cellIs" dxfId="1685" priority="1496" operator="equal">
      <formula>"Completed"</formula>
    </cfRule>
    <cfRule type="cellIs" dxfId="1684" priority="1497" operator="equal">
      <formula>"wip"</formula>
    </cfRule>
  </conditionalFormatting>
  <conditionalFormatting sqref="C105:AC105">
    <cfRule type="cellIs" dxfId="1683" priority="1504" operator="equal">
      <formula>"wip"</formula>
    </cfRule>
    <cfRule type="cellIs" dxfId="1682" priority="1503" operator="equal">
      <formula>"Completed"</formula>
    </cfRule>
  </conditionalFormatting>
  <conditionalFormatting sqref="C117:AC117">
    <cfRule type="cellIs" dxfId="1681" priority="592" operator="equal">
      <formula>"Completed"</formula>
    </cfRule>
    <cfRule type="cellIs" dxfId="1680" priority="593" operator="equal">
      <formula>"wip"</formula>
    </cfRule>
  </conditionalFormatting>
  <conditionalFormatting sqref="C129:AC129">
    <cfRule type="cellIs" dxfId="1679" priority="1510" operator="equal">
      <formula>"Completed"</formula>
    </cfRule>
    <cfRule type="cellIs" dxfId="1678" priority="1511" operator="equal">
      <formula>"wip"</formula>
    </cfRule>
  </conditionalFormatting>
  <conditionalFormatting sqref="C141:AC141">
    <cfRule type="cellIs" dxfId="1677" priority="605" operator="equal">
      <formula>"Completed"</formula>
    </cfRule>
    <cfRule type="cellIs" dxfId="1676" priority="606" operator="equal">
      <formula>"wip"</formula>
    </cfRule>
  </conditionalFormatting>
  <conditionalFormatting sqref="C152:AC152">
    <cfRule type="cellIs" dxfId="1675" priority="1518" operator="equal">
      <formula>"wip"</formula>
    </cfRule>
    <cfRule type="cellIs" dxfId="1674" priority="1517" operator="equal">
      <formula>"Completed"</formula>
    </cfRule>
  </conditionalFormatting>
  <conditionalFormatting sqref="C163:AC163">
    <cfRule type="cellIs" dxfId="1673" priority="1525" operator="equal">
      <formula>"wip"</formula>
    </cfRule>
    <cfRule type="cellIs" dxfId="1672" priority="1524" operator="equal">
      <formula>"Completed"</formula>
    </cfRule>
  </conditionalFormatting>
  <conditionalFormatting sqref="C174:AC174">
    <cfRule type="cellIs" dxfId="1671" priority="616" operator="equal">
      <formula>"Completed"</formula>
    </cfRule>
  </conditionalFormatting>
  <conditionalFormatting sqref="C185:AC185">
    <cfRule type="cellIs" dxfId="1670" priority="1538" operator="equal">
      <formula>"wip"</formula>
    </cfRule>
    <cfRule type="cellIs" dxfId="1669" priority="1537" operator="equal">
      <formula>"Completed"</formula>
    </cfRule>
  </conditionalFormatting>
  <conditionalFormatting sqref="C195:AC195">
    <cfRule type="cellIs" dxfId="1668" priority="1541" operator="equal">
      <formula>"Completed"</formula>
    </cfRule>
    <cfRule type="cellIs" dxfId="1667" priority="1542" operator="equal">
      <formula>"wip"</formula>
    </cfRule>
  </conditionalFormatting>
  <conditionalFormatting sqref="C206:AC206">
    <cfRule type="cellIs" dxfId="1666" priority="1548" operator="equal">
      <formula>"Completed"</formula>
    </cfRule>
    <cfRule type="cellIs" dxfId="1665" priority="1549" operator="equal">
      <formula>"wip"</formula>
    </cfRule>
  </conditionalFormatting>
  <conditionalFormatting sqref="C217:AC217">
    <cfRule type="cellIs" dxfId="1664" priority="1555" operator="equal">
      <formula>"Completed"</formula>
    </cfRule>
    <cfRule type="cellIs" dxfId="1663" priority="1556" operator="equal">
      <formula>"wip"</formula>
    </cfRule>
  </conditionalFormatting>
  <conditionalFormatting sqref="C228:AC228">
    <cfRule type="cellIs" dxfId="1662" priority="1562" operator="equal">
      <formula>"Completed"</formula>
    </cfRule>
    <cfRule type="cellIs" dxfId="1661" priority="1563" operator="equal">
      <formula>"wip"</formula>
    </cfRule>
  </conditionalFormatting>
  <conditionalFormatting sqref="C238:AC238">
    <cfRule type="cellIs" dxfId="1660" priority="1569" operator="equal">
      <formula>"Completed"</formula>
    </cfRule>
    <cfRule type="cellIs" dxfId="1659" priority="1570" operator="equal">
      <formula>"wip"</formula>
    </cfRule>
  </conditionalFormatting>
  <conditionalFormatting sqref="C248:AC248">
    <cfRule type="cellIs" dxfId="1658" priority="1572" operator="equal">
      <formula>"completedw"</formula>
    </cfRule>
    <cfRule type="cellIs" dxfId="1657" priority="1573" operator="equal">
      <formula>"HOLD"</formula>
    </cfRule>
    <cfRule type="cellIs" dxfId="1656" priority="1574" operator="equal">
      <formula>"ROW"</formula>
    </cfRule>
    <cfRule type="cellIs" dxfId="1655" priority="1575" operator="equal">
      <formula>"Completed"</formula>
    </cfRule>
  </conditionalFormatting>
  <conditionalFormatting sqref="C258:AC258">
    <cfRule type="cellIs" dxfId="1654" priority="1754" operator="equal">
      <formula>"wip"</formula>
    </cfRule>
    <cfRule type="cellIs" dxfId="1653" priority="1753" operator="equal">
      <formula>"Completed"</formula>
    </cfRule>
  </conditionalFormatting>
  <conditionalFormatting sqref="C269:AC269">
    <cfRule type="cellIs" dxfId="1652" priority="1584" operator="equal">
      <formula>"Completed"</formula>
    </cfRule>
    <cfRule type="cellIs" dxfId="1651" priority="1585" operator="equal">
      <formula>"wip"</formula>
    </cfRule>
  </conditionalFormatting>
  <conditionalFormatting sqref="C280:AC280">
    <cfRule type="cellIs" dxfId="1650" priority="1579" operator="equal">
      <formula>"wip"</formula>
    </cfRule>
    <cfRule type="cellIs" dxfId="1649" priority="1578" operator="equal">
      <formula>"Completed"</formula>
    </cfRule>
  </conditionalFormatting>
  <conditionalFormatting sqref="C291:AC291">
    <cfRule type="cellIs" dxfId="1648" priority="734" operator="equal">
      <formula>"HOLD"</formula>
    </cfRule>
    <cfRule type="cellIs" dxfId="1647" priority="733" operator="equal">
      <formula>"completedw"</formula>
    </cfRule>
    <cfRule type="cellIs" dxfId="1646" priority="735" operator="equal">
      <formula>"ROW"</formula>
    </cfRule>
    <cfRule type="cellIs" dxfId="1645" priority="736" operator="equal">
      <formula>"Completed"</formula>
    </cfRule>
    <cfRule type="cellIs" dxfId="1644" priority="737" operator="equal">
      <formula>"wip"</formula>
    </cfRule>
  </conditionalFormatting>
  <conditionalFormatting sqref="C302:AC302">
    <cfRule type="cellIs" dxfId="1643" priority="626" operator="equal">
      <formula>"completedw"</formula>
    </cfRule>
    <cfRule type="cellIs" dxfId="1642" priority="627" operator="equal">
      <formula>"HOLD"</formula>
    </cfRule>
    <cfRule type="cellIs" dxfId="1641" priority="630" operator="equal">
      <formula>"wip"</formula>
    </cfRule>
    <cfRule type="cellIs" dxfId="1640" priority="629" operator="equal">
      <formula>"Completed"</formula>
    </cfRule>
    <cfRule type="cellIs" dxfId="1639" priority="628" operator="equal">
      <formula>"ROW"</formula>
    </cfRule>
  </conditionalFormatting>
  <conditionalFormatting sqref="C38:AE38">
    <cfRule type="cellIs" dxfId="1638" priority="1462" operator="equal">
      <formula>"HOLD"</formula>
    </cfRule>
    <cfRule type="cellIs" dxfId="1637" priority="1461" operator="equal">
      <formula>"completedw"</formula>
    </cfRule>
    <cfRule type="cellIs" dxfId="1636" priority="1463" operator="equal">
      <formula>"ROW"</formula>
    </cfRule>
  </conditionalFormatting>
  <conditionalFormatting sqref="C46:AE47">
    <cfRule type="cellIs" dxfId="1635" priority="892" operator="equal">
      <formula>"Completed"</formula>
    </cfRule>
    <cfRule type="cellIs" dxfId="1634" priority="891" operator="equal">
      <formula>"wip"</formula>
    </cfRule>
  </conditionalFormatting>
  <conditionalFormatting sqref="C59:AE59">
    <cfRule type="cellIs" dxfId="1633" priority="1473" operator="equal">
      <formula>"HOLD"</formula>
    </cfRule>
    <cfRule type="cellIs" dxfId="1632" priority="1474" operator="equal">
      <formula>"ROW"</formula>
    </cfRule>
    <cfRule type="cellIs" dxfId="1631" priority="1472" operator="equal">
      <formula>"completedw"</formula>
    </cfRule>
  </conditionalFormatting>
  <conditionalFormatting sqref="C249:AE249">
    <cfRule type="cellIs" dxfId="1630" priority="1591" operator="equal">
      <formula>"ROW"</formula>
    </cfRule>
    <cfRule type="cellIs" dxfId="1629" priority="1590" operator="equal">
      <formula>"HOLD"</formula>
    </cfRule>
    <cfRule type="cellIs" dxfId="1628" priority="1589" operator="equal">
      <formula>"completedw"</formula>
    </cfRule>
  </conditionalFormatting>
  <conditionalFormatting sqref="C88:AJ88">
    <cfRule type="cellIs" dxfId="1627" priority="1615" operator="equal">
      <formula>"ROW"</formula>
    </cfRule>
    <cfRule type="cellIs" dxfId="1626" priority="1613" operator="equal">
      <formula>"completedw"</formula>
    </cfRule>
    <cfRule type="cellIs" dxfId="1625" priority="1614" operator="equal">
      <formula>"HOLD"</formula>
    </cfRule>
  </conditionalFormatting>
  <conditionalFormatting sqref="C93:AJ93">
    <cfRule type="cellIs" dxfId="1624" priority="1493" operator="equal">
      <formula>"ROW"</formula>
    </cfRule>
    <cfRule type="cellIs" dxfId="1623" priority="1492" operator="equal">
      <formula>"HOLD"</formula>
    </cfRule>
    <cfRule type="cellIs" dxfId="1622" priority="1491" operator="equal">
      <formula>"completedw"</formula>
    </cfRule>
  </conditionalFormatting>
  <conditionalFormatting sqref="C27:XFD27">
    <cfRule type="cellIs" dxfId="1621" priority="1455" operator="equal">
      <formula>"HOLD"</formula>
    </cfRule>
    <cfRule type="cellIs" dxfId="1620" priority="1456" operator="equal">
      <formula>"ROW"</formula>
    </cfRule>
    <cfRule type="cellIs" dxfId="1619" priority="1454" operator="equal">
      <formula>"completedw"</formula>
    </cfRule>
  </conditionalFormatting>
  <conditionalFormatting sqref="C81:XFD81">
    <cfRule type="cellIs" dxfId="1618" priority="1484" operator="equal">
      <formula>"completedw"</formula>
    </cfRule>
    <cfRule type="cellIs" dxfId="1617" priority="1486" operator="equal">
      <formula>"ROW"</formula>
    </cfRule>
    <cfRule type="cellIs" dxfId="1616" priority="1485" operator="equal">
      <formula>"HOLD"</formula>
    </cfRule>
  </conditionalFormatting>
  <conditionalFormatting sqref="D161">
    <cfRule type="cellIs" dxfId="1615" priority="1982" operator="equal">
      <formula>"wip"</formula>
    </cfRule>
    <cfRule type="cellIs" dxfId="1614" priority="1983" operator="equal">
      <formula>"Completed"</formula>
    </cfRule>
  </conditionalFormatting>
  <conditionalFormatting sqref="D172">
    <cfRule type="cellIs" dxfId="1613" priority="1954" operator="equal">
      <formula>"wip"</formula>
    </cfRule>
    <cfRule type="cellIs" dxfId="1612" priority="1955" operator="equal">
      <formula>"Completed"</formula>
    </cfRule>
  </conditionalFormatting>
  <conditionalFormatting sqref="D183">
    <cfRule type="cellIs" dxfId="1611" priority="1924" operator="equal">
      <formula>"wip"</formula>
    </cfRule>
    <cfRule type="cellIs" dxfId="1610" priority="1925" operator="equal">
      <formula>"Completed"</formula>
    </cfRule>
  </conditionalFormatting>
  <conditionalFormatting sqref="D193">
    <cfRule type="cellIs" dxfId="1609" priority="1896" operator="equal">
      <formula>"wip"</formula>
    </cfRule>
    <cfRule type="cellIs" dxfId="1608" priority="1897" operator="equal">
      <formula>"Completed"</formula>
    </cfRule>
  </conditionalFormatting>
  <conditionalFormatting sqref="D204">
    <cfRule type="cellIs" dxfId="1607" priority="1868" operator="equal">
      <formula>"wip"</formula>
    </cfRule>
    <cfRule type="cellIs" dxfId="1606" priority="1869" operator="equal">
      <formula>"Completed"</formula>
    </cfRule>
  </conditionalFormatting>
  <conditionalFormatting sqref="D215">
    <cfRule type="cellIs" dxfId="1605" priority="1840" operator="equal">
      <formula>"wip"</formula>
    </cfRule>
    <cfRule type="cellIs" dxfId="1604" priority="1841" operator="equal">
      <formula>"Completed"</formula>
    </cfRule>
  </conditionalFormatting>
  <conditionalFormatting sqref="D226">
    <cfRule type="cellIs" dxfId="1603" priority="1813" operator="equal">
      <formula>"Completed"</formula>
    </cfRule>
    <cfRule type="cellIs" dxfId="1602" priority="1812" operator="equal">
      <formula>"wip"</formula>
    </cfRule>
  </conditionalFormatting>
  <conditionalFormatting sqref="D236">
    <cfRule type="cellIs" dxfId="1601" priority="1733" operator="equal">
      <formula>"Completed"</formula>
    </cfRule>
    <cfRule type="cellIs" dxfId="1600" priority="1732" operator="equal">
      <formula>"wip"</formula>
    </cfRule>
  </conditionalFormatting>
  <conditionalFormatting sqref="D246">
    <cfRule type="cellIs" dxfId="1599" priority="1705" operator="equal">
      <formula>"Completed"</formula>
    </cfRule>
    <cfRule type="cellIs" dxfId="1598" priority="1704" operator="equal">
      <formula>"wip"</formula>
    </cfRule>
  </conditionalFormatting>
  <conditionalFormatting sqref="D25:E26">
    <cfRule type="cellIs" dxfId="1597" priority="568" operator="equal">
      <formula>"Completed"</formula>
    </cfRule>
    <cfRule type="cellIs" dxfId="1596" priority="565" operator="equal">
      <formula>"HOLD"</formula>
    </cfRule>
    <cfRule type="cellIs" dxfId="1595" priority="564" operator="equal">
      <formula>"completedw"</formula>
    </cfRule>
    <cfRule type="cellIs" dxfId="1594" priority="566" operator="equal">
      <formula>"ROW"</formula>
    </cfRule>
    <cfRule type="cellIs" dxfId="1593" priority="567" operator="equal">
      <formula>"wip"</formula>
    </cfRule>
  </conditionalFormatting>
  <conditionalFormatting sqref="D256:E257">
    <cfRule type="cellIs" dxfId="1592" priority="1148" operator="equal">
      <formula>"ROW"</formula>
    </cfRule>
    <cfRule type="cellIs" dxfId="1591" priority="1147" operator="equal">
      <formula>"HOLD"</formula>
    </cfRule>
    <cfRule type="cellIs" dxfId="1590" priority="1149" operator="equal">
      <formula>"wip"</formula>
    </cfRule>
    <cfRule type="cellIs" dxfId="1589" priority="1150" operator="equal">
      <formula>"Completed"</formula>
    </cfRule>
    <cfRule type="cellIs" dxfId="1588" priority="1146" operator="equal">
      <formula>"completedw"</formula>
    </cfRule>
  </conditionalFormatting>
  <conditionalFormatting sqref="D278:E279">
    <cfRule type="cellIs" dxfId="1587" priority="978" operator="equal">
      <formula>"completedw"</formula>
    </cfRule>
    <cfRule type="cellIs" dxfId="1586" priority="979" operator="equal">
      <formula>"HOLD"</formula>
    </cfRule>
    <cfRule type="cellIs" dxfId="1585" priority="980" operator="equal">
      <formula>"ROW"</formula>
    </cfRule>
    <cfRule type="cellIs" dxfId="1584" priority="981" operator="equal">
      <formula>"wip"</formula>
    </cfRule>
    <cfRule type="cellIs" dxfId="1583" priority="982" operator="equal">
      <formula>"Completed"</formula>
    </cfRule>
  </conditionalFormatting>
  <conditionalFormatting sqref="D289:E290">
    <cfRule type="cellIs" dxfId="1582" priority="831" operator="equal">
      <formula>"completedw"</formula>
    </cfRule>
    <cfRule type="cellIs" dxfId="1581" priority="834" operator="equal">
      <formula>"wip"</formula>
    </cfRule>
    <cfRule type="cellIs" dxfId="1580" priority="835" operator="equal">
      <formula>"Completed"</formula>
    </cfRule>
    <cfRule type="cellIs" dxfId="1579" priority="832" operator="equal">
      <formula>"HOLD"</formula>
    </cfRule>
    <cfRule type="cellIs" dxfId="1578" priority="833" operator="equal">
      <formula>"ROW"</formula>
    </cfRule>
  </conditionalFormatting>
  <conditionalFormatting sqref="D300:E301">
    <cfRule type="cellIs" dxfId="1577" priority="719" operator="equal">
      <formula>"HOLD"</formula>
    </cfRule>
    <cfRule type="cellIs" dxfId="1576" priority="722" operator="equal">
      <formula>"Completed"</formula>
    </cfRule>
    <cfRule type="cellIs" dxfId="1575" priority="721" operator="equal">
      <formula>"wip"</formula>
    </cfRule>
    <cfRule type="cellIs" dxfId="1574" priority="720" operator="equal">
      <formula>"ROW"</formula>
    </cfRule>
    <cfRule type="cellIs" dxfId="1573" priority="718" operator="equal">
      <formula>"completedw"</formula>
    </cfRule>
  </conditionalFormatting>
  <conditionalFormatting sqref="D208:G209">
    <cfRule type="cellIs" dxfId="1572" priority="65" operator="equal">
      <formula>"ROW"</formula>
    </cfRule>
    <cfRule type="cellIs" dxfId="1571" priority="63" operator="equal">
      <formula>"completedw"</formula>
    </cfRule>
    <cfRule type="cellIs" dxfId="1570" priority="64" operator="equal">
      <formula>"HOLD"</formula>
    </cfRule>
  </conditionalFormatting>
  <conditionalFormatting sqref="D79:I80">
    <cfRule type="cellIs" dxfId="1569" priority="1328" operator="equal">
      <formula>"HOLD"</formula>
    </cfRule>
    <cfRule type="cellIs" dxfId="1568" priority="1329" operator="equal">
      <formula>"ROW"</formula>
    </cfRule>
    <cfRule type="cellIs" dxfId="1567" priority="1330" operator="equal">
      <formula>"wip"</formula>
    </cfRule>
    <cfRule type="cellIs" dxfId="1566" priority="1331" operator="equal">
      <formula>"Completed"</formula>
    </cfRule>
    <cfRule type="cellIs" dxfId="1565" priority="1327" operator="equal">
      <formula>"completedw"</formula>
    </cfRule>
  </conditionalFormatting>
  <conditionalFormatting sqref="D68:R69">
    <cfRule type="cellIs" dxfId="1564" priority="1378" operator="equal">
      <formula>"wip"</formula>
    </cfRule>
    <cfRule type="cellIs" dxfId="1563" priority="1379" operator="equal">
      <formula>"Completed"</formula>
    </cfRule>
    <cfRule type="cellIs" dxfId="1562" priority="1377" operator="equal">
      <formula>"ROW"</formula>
    </cfRule>
    <cfRule type="cellIs" dxfId="1561" priority="1376" operator="equal">
      <formula>"HOLD"</formula>
    </cfRule>
    <cfRule type="cellIs" dxfId="1560" priority="1375" operator="equal">
      <formula>"completedw"</formula>
    </cfRule>
  </conditionalFormatting>
  <conditionalFormatting sqref="D91:AC92 A103:AH103 A127:AH127 A139:AH139 A140:AJ140 A183:AH183 A115:AH115 A116:AJ116 A150:AH150 A161:AH161 A204:AH204 A226:AH226 A215:AH215 A236:AH236 N172:AF173 M128 A18:I20 AF18:XFD20 A21:L21 N21 R21:XFD21 A28:XFD28 A29:C30 AF29:XFD31 A36:B38 A39:XFD39 A40 A41:X41 Z41:AB41 AF42:XFD43 A49:AJ49 AK49:XFD56 AF50:AJ52 A53:E53 H53:AJ53 A60:XFD60 AF61:XFD63 A71:AJ71 AK71:XFD78 A72:C73 AF74:AJ74 A75:C75 F75:Q75 Z75:AJ75 A82:AJ82 AK82:XFD252 A83:C84 AF83:AJ85 A86:C86 E86 G86:U86 AA86 AC86:AJ86 D87:I87 L87:Q87 Z87:AJ87 A87:B88 A89:AJ90 A91:B93 A94:AJ94 AF95:AJ97 A98:F99 I98:I99 N98:N99 T98:AJ99 AF107:AJ109 A110:H111 J110:K111 AB110:AC111 AG110:AJ111 AF112:AJ112 A113:AJ114 A119:B119 AF119:AJ124 A120:C120 A122:C122 AB122:AE122 F122:F123 A123 V123:Y123 A125:AJ126 A131:M132 AF131:AJ136 A134:M134 Y134 A135:V135 X135 A137:AJ138 A143:C144 AF145:AJ145 H146:L146 N146 R146 T146:AJ146 A154:I155 AF154:AJ156 A157:D157 F157:AJ157 A165:C166 AF165:AJ167 A168:K168 N168:S168 U168:Z168 AB168:AJ168 AJ169:AJ175 A177:K177 V177:X177 Z177:AJ177 AF178:AJ178 A179:K179 Z179 AD179:AJ179 AF189:AJ190 H197 J197 R197 X197:X198 AG197:AJ199 L198:M198 A199:B199 Z208:Z209 A208:A210 AG208:AJ210 X219:AJ220 J220:L220 AF221:AJ221 AF232:AJ233 A234:AJ235 A248:B249 A303:AE303 A307:XFD315 A316:AJ324 AL316:XFD324 AK317 AK319 AK321 AK323 A325:XFD1048576">
    <cfRule type="cellIs" dxfId="1559" priority="2001" operator="equal">
      <formula>"HOLD"</formula>
    </cfRule>
    <cfRule type="cellIs" dxfId="1558" priority="2002" operator="equal">
      <formula>"ROW"</formula>
    </cfRule>
  </conditionalFormatting>
  <conditionalFormatting sqref="D91:AC92 A103:AH103 A127:AH127 A139:AH139 A140:AJ140 A183:AH183 A115:AH115 A116:AJ116 A150:AH150 A161:AH161 A204:AH204 A226:AH226 A215:AH215 A236:AH236 N172:AF173 M128 A18:I20 AF18:XFD20 A21:L21 N21 R21:XFD21 A28:XFD28 A29:C30 AF29:XFD31 A36:B38 A39:XFD39 A40 A41:X41 Z41:AB41 AF42:XFD43 A49:AJ49 AK49:XFD56 AF50:AJ52 A53:E53 H53:AJ53 A60:XFD60 AF61:XFD63 A71:XFD71 A72:C73 AF74:XFD74 A75:Q75 Z75:XFD75 A82:AJ82 AK82:XFD252 A83:C84 AF83:AJ85 A86:C86 E86 G86:U86 AA86 AC86:AJ86 D87:I87 L87:Q87 Z87:AJ87 A87:B88 A89:AJ90 A91:B93 A94:AJ94 AF95:AJ97 A98:F99 I98:I99 N98:N99 T98:AJ99 AF107:AJ109 A110:H111 J110:K111 AB110:AC111 AG110:AJ111 AF112:AJ112 A113:AJ114 A119:B119 AF119:AJ124 A120:C120 A122:C122 AB122:AE122 F122:F123 A123 V123:Y123 A125:AJ126 A131:M132 AF131:AJ136 A134:M134 Y134 A135:V135 X135 A137:AJ138 A143:C144 AF145:AJ145 H146:L146 N146 R146 T146:AJ146 A154:I155 AF154:AJ156 A157:D157 F157:AJ157 A165:C166 AF165:AJ167 A168:K168 N168:S168 U168:Z168 AB168:AJ168 AJ169:AJ175 A177:K177 V177:X177 Z177:AJ177 AF178:AJ178 A179:K179 Z179 AD179:AJ179 AF189:AJ190 H197 J197 R197 X197:X198 AG197:AJ199 L198:M198 A199:B199 Z208:Z209 A208:A210 AG208:AJ210 X219:AJ220 J220:L220 AF221:AJ221 AF232:AJ233 A234:AJ235 A248:B249 A303:AE303 A307:XFD315 A316:AJ324 AL316:XFD324 AK317 AK319 AK321 AK323 A325:XFD1048576">
    <cfRule type="cellIs" dxfId="1557" priority="2000" operator="equal">
      <formula>"completedw"</formula>
    </cfRule>
  </conditionalFormatting>
  <conditionalFormatting sqref="D91:AE92 C103:AE104 C127:AE128 C139:AE140 C183:AE184 C115:AE116 C150:AE151 C161:AE162 C172:L173 C204:AE205 C226:AE227 C215:AE216 C236:AE237 C246:AB247 N172:AF173 C193:AE194">
    <cfRule type="cellIs" dxfId="1556" priority="2005" operator="equal">
      <formula>"Completed"</formula>
    </cfRule>
  </conditionalFormatting>
  <conditionalFormatting sqref="D91:AE92 C103:AE104 C127:AE128 C139:AE140 C183:AE184 C115:AE116 C150:AE151 C161:AE162 C204:AE205 C226:AE227 C215:AE216 C236:AE237 N172:AF173 C193:AE194 G9:H9">
    <cfRule type="cellIs" dxfId="1555" priority="2004" operator="equal">
      <formula>"wip"</formula>
    </cfRule>
  </conditionalFormatting>
  <conditionalFormatting sqref="E25:E26">
    <cfRule type="containsText" dxfId="1554" priority="563" operator="containsText" text="Hold">
      <formula>NOT(ISERROR(SEARCH("Hold",E25)))</formula>
    </cfRule>
  </conditionalFormatting>
  <conditionalFormatting sqref="E36:E37">
    <cfRule type="containsText" dxfId="1553" priority="1386" operator="containsText" text="Hold">
      <formula>NOT(ISERROR(SEARCH("Hold",E36)))</formula>
    </cfRule>
  </conditionalFormatting>
  <conditionalFormatting sqref="E57:E58">
    <cfRule type="containsText" dxfId="1552" priority="1398" operator="containsText" text="Hold">
      <formula>NOT(ISERROR(SEARCH("Hold",E57)))</formula>
    </cfRule>
  </conditionalFormatting>
  <conditionalFormatting sqref="E72:E73">
    <cfRule type="cellIs" dxfId="1551" priority="361" operator="equal">
      <formula>"completedw"</formula>
    </cfRule>
    <cfRule type="cellIs" dxfId="1550" priority="362" operator="equal">
      <formula>"HOLD"</formula>
    </cfRule>
    <cfRule type="cellIs" dxfId="1549" priority="363" operator="equal">
      <formula>"ROW"</formula>
    </cfRule>
  </conditionalFormatting>
  <conditionalFormatting sqref="E83:E84">
    <cfRule type="cellIs" dxfId="1548" priority="351" operator="equal">
      <formula>"ROW"</formula>
    </cfRule>
    <cfRule type="cellIs" dxfId="1547" priority="349" operator="equal">
      <formula>"completedw"</formula>
    </cfRule>
    <cfRule type="cellIs" dxfId="1546" priority="350" operator="equal">
      <formula>"HOLD"</formula>
    </cfRule>
  </conditionalFormatting>
  <conditionalFormatting sqref="E95:E96">
    <cfRule type="cellIs" dxfId="1545" priority="341" operator="equal">
      <formula>"HOLD"</formula>
    </cfRule>
    <cfRule type="cellIs" dxfId="1544" priority="340" operator="equal">
      <formula>"completedw"</formula>
    </cfRule>
    <cfRule type="cellIs" dxfId="1543" priority="342" operator="equal">
      <formula>"ROW"</formula>
    </cfRule>
  </conditionalFormatting>
  <conditionalFormatting sqref="E115:E116">
    <cfRule type="containsText" dxfId="1542" priority="871" operator="containsText" text="Hold">
      <formula>NOT(ISERROR(SEARCH("Hold",E115)))</formula>
    </cfRule>
  </conditionalFormatting>
  <conditionalFormatting sqref="E127:E128">
    <cfRule type="containsText" dxfId="1541" priority="1417" operator="containsText" text="Hold">
      <formula>NOT(ISERROR(SEARCH("Hold",E127)))</formula>
    </cfRule>
  </conditionalFormatting>
  <conditionalFormatting sqref="E143:E144">
    <cfRule type="cellIs" dxfId="1540" priority="314" operator="equal">
      <formula>"HOLD"</formula>
    </cfRule>
    <cfRule type="cellIs" dxfId="1539" priority="315" operator="equal">
      <formula>"ROW"</formula>
    </cfRule>
    <cfRule type="cellIs" dxfId="1538" priority="313" operator="equal">
      <formula>"completedw"</formula>
    </cfRule>
  </conditionalFormatting>
  <conditionalFormatting sqref="E150:E151">
    <cfRule type="containsText" dxfId="1537" priority="1300" operator="containsText" text="Hold">
      <formula>NOT(ISERROR(SEARCH("Hold",E150)))</formula>
    </cfRule>
  </conditionalFormatting>
  <conditionalFormatting sqref="E161:E162">
    <cfRule type="containsText" dxfId="1536" priority="494" operator="containsText" text="Hold">
      <formula>NOT(ISERROR(SEARCH("Hold",E161)))</formula>
    </cfRule>
  </conditionalFormatting>
  <conditionalFormatting sqref="E172:E173">
    <cfRule type="containsText" dxfId="1535" priority="863" operator="containsText" text="Hold">
      <formula>NOT(ISERROR(SEARCH("Hold",E172)))</formula>
    </cfRule>
  </conditionalFormatting>
  <conditionalFormatting sqref="E183:E184">
    <cfRule type="containsText" dxfId="1534" priority="895" operator="containsText" text="Hold">
      <formula>NOT(ISERROR(SEARCH("Hold",E183)))</formula>
    </cfRule>
  </conditionalFormatting>
  <conditionalFormatting sqref="E204:E205">
    <cfRule type="containsText" dxfId="1533" priority="1303" operator="containsText" text="Hold">
      <formula>NOT(ISERROR(SEARCH("Hold",E204)))</formula>
    </cfRule>
  </conditionalFormatting>
  <conditionalFormatting sqref="E215:E216">
    <cfRule type="containsText" dxfId="1532" priority="1274" operator="containsText" text="Hold">
      <formula>NOT(ISERROR(SEARCH("Hold",E215)))</formula>
    </cfRule>
  </conditionalFormatting>
  <conditionalFormatting sqref="E219">
    <cfRule type="cellIs" dxfId="1531" priority="485" operator="equal">
      <formula>"completedw"</formula>
    </cfRule>
    <cfRule type="cellIs" dxfId="1530" priority="486" operator="equal">
      <formula>"HOLD"</formula>
    </cfRule>
    <cfRule type="cellIs" dxfId="1529" priority="487" operator="equal">
      <formula>"ROW"</formula>
    </cfRule>
  </conditionalFormatting>
  <conditionalFormatting sqref="E226:E227">
    <cfRule type="containsText" dxfId="1528" priority="1271" operator="containsText" text="Hold">
      <formula>NOT(ISERROR(SEARCH("Hold",E226)))</formula>
    </cfRule>
  </conditionalFormatting>
  <conditionalFormatting sqref="E236:E237">
    <cfRule type="containsText" dxfId="1527" priority="1247" operator="containsText" text="Hold">
      <formula>NOT(ISERROR(SEARCH("Hold",E236)))</formula>
    </cfRule>
  </conditionalFormatting>
  <conditionalFormatting sqref="E246:E247">
    <cfRule type="containsText" dxfId="1526" priority="1244" operator="containsText" text="Hold">
      <formula>NOT(ISERROR(SEARCH("Hold",E246)))</formula>
    </cfRule>
  </conditionalFormatting>
  <conditionalFormatting sqref="E256:E257">
    <cfRule type="containsText" dxfId="1525" priority="1145" operator="containsText" text="Hold">
      <formula>NOT(ISERROR(SEARCH("Hold",E256)))</formula>
    </cfRule>
  </conditionalFormatting>
  <conditionalFormatting sqref="E267:E268">
    <cfRule type="containsText" dxfId="1524" priority="1127" operator="containsText" text="Hold">
      <formula>NOT(ISERROR(SEARCH("Hold",E267)))</formula>
    </cfRule>
  </conditionalFormatting>
  <conditionalFormatting sqref="E278:E279">
    <cfRule type="containsText" dxfId="1523" priority="977" operator="containsText" text="Hold">
      <formula>NOT(ISERROR(SEARCH("Hold",E278)))</formula>
    </cfRule>
  </conditionalFormatting>
  <conditionalFormatting sqref="E289:E290">
    <cfRule type="containsText" dxfId="1522" priority="830" operator="containsText" text="Hold">
      <formula>NOT(ISERROR(SEARCH("Hold",E289)))</formula>
    </cfRule>
  </conditionalFormatting>
  <conditionalFormatting sqref="E300:E301">
    <cfRule type="containsText" dxfId="1521" priority="717" operator="containsText" text="Hold">
      <formula>NOT(ISERROR(SEARCH("Hold",E300)))</formula>
    </cfRule>
  </conditionalFormatting>
  <conditionalFormatting sqref="E267:F268">
    <cfRule type="cellIs" dxfId="1520" priority="1132" operator="equal">
      <formula>"Completed"</formula>
    </cfRule>
    <cfRule type="cellIs" dxfId="1519" priority="1129" operator="equal">
      <formula>"HOLD"</formula>
    </cfRule>
    <cfRule type="cellIs" dxfId="1518" priority="1131" operator="equal">
      <formula>"wip"</formula>
    </cfRule>
    <cfRule type="cellIs" dxfId="1517" priority="1128" operator="equal">
      <formula>"completedw"</formula>
    </cfRule>
    <cfRule type="cellIs" dxfId="1516" priority="1130" operator="equal">
      <formula>"ROW"</formula>
    </cfRule>
  </conditionalFormatting>
  <conditionalFormatting sqref="E50:I51">
    <cfRule type="cellIs" dxfId="1515" priority="416" operator="equal">
      <formula>"HOLD"</formula>
    </cfRule>
    <cfRule type="cellIs" dxfId="1514" priority="417" operator="equal">
      <formula>"ROW"</formula>
    </cfRule>
    <cfRule type="cellIs" dxfId="1513" priority="415" operator="equal">
      <formula>"completedw"</formula>
    </cfRule>
  </conditionalFormatting>
  <conditionalFormatting sqref="F161">
    <cfRule type="cellIs" dxfId="1512" priority="1980" operator="equal">
      <formula>"wip"</formula>
    </cfRule>
    <cfRule type="cellIs" dxfId="1511" priority="1981" operator="equal">
      <formula>"Completed"</formula>
    </cfRule>
  </conditionalFormatting>
  <conditionalFormatting sqref="F172">
    <cfRule type="cellIs" dxfId="1510" priority="1953" operator="equal">
      <formula>"Completed"</formula>
    </cfRule>
    <cfRule type="cellIs" dxfId="1509" priority="1952" operator="equal">
      <formula>"wip"</formula>
    </cfRule>
  </conditionalFormatting>
  <conditionalFormatting sqref="F183">
    <cfRule type="cellIs" dxfId="1508" priority="1923" operator="equal">
      <formula>"Completed"</formula>
    </cfRule>
    <cfRule type="cellIs" dxfId="1507" priority="1922" operator="equal">
      <formula>"wip"</formula>
    </cfRule>
  </conditionalFormatting>
  <conditionalFormatting sqref="F193">
    <cfRule type="cellIs" dxfId="1506" priority="1895" operator="equal">
      <formula>"Completed"</formula>
    </cfRule>
    <cfRule type="cellIs" dxfId="1505" priority="1894" operator="equal">
      <formula>"wip"</formula>
    </cfRule>
  </conditionalFormatting>
  <conditionalFormatting sqref="F204">
    <cfRule type="cellIs" dxfId="1504" priority="1866" operator="equal">
      <formula>"wip"</formula>
    </cfRule>
    <cfRule type="cellIs" dxfId="1503" priority="1867" operator="equal">
      <formula>"Completed"</formula>
    </cfRule>
  </conditionalFormatting>
  <conditionalFormatting sqref="F215">
    <cfRule type="cellIs" dxfId="1502" priority="1838" operator="equal">
      <formula>"wip"</formula>
    </cfRule>
    <cfRule type="cellIs" dxfId="1501" priority="1839" operator="equal">
      <formula>"Completed"</formula>
    </cfRule>
  </conditionalFormatting>
  <conditionalFormatting sqref="F226">
    <cfRule type="cellIs" dxfId="1500" priority="1810" operator="equal">
      <formula>"wip"</formula>
    </cfRule>
    <cfRule type="cellIs" dxfId="1499" priority="1811" operator="equal">
      <formula>"Completed"</formula>
    </cfRule>
  </conditionalFormatting>
  <conditionalFormatting sqref="F236">
    <cfRule type="cellIs" dxfId="1498" priority="1731" operator="equal">
      <formula>"Completed"</formula>
    </cfRule>
    <cfRule type="cellIs" dxfId="1497" priority="1730" operator="equal">
      <formula>"wip"</formula>
    </cfRule>
  </conditionalFormatting>
  <conditionalFormatting sqref="F246">
    <cfRule type="cellIs" dxfId="1496" priority="1703" operator="equal">
      <formula>"Completed"</formula>
    </cfRule>
    <cfRule type="cellIs" dxfId="1495" priority="1702" operator="equal">
      <formula>"wip"</formula>
    </cfRule>
  </conditionalFormatting>
  <conditionalFormatting sqref="F25:G26">
    <cfRule type="cellIs" dxfId="1494" priority="570" operator="equal">
      <formula>"completedw"</formula>
    </cfRule>
    <cfRule type="cellIs" dxfId="1493" priority="572" operator="equal">
      <formula>"ROW"</formula>
    </cfRule>
    <cfRule type="cellIs" dxfId="1492" priority="571" operator="equal">
      <formula>"HOLD"</formula>
    </cfRule>
    <cfRule type="cellIs" dxfId="1491" priority="573" operator="equal">
      <formula>"wip"</formula>
    </cfRule>
    <cfRule type="cellIs" dxfId="1490" priority="574" operator="equal">
      <formula>"Completed"</formula>
    </cfRule>
  </conditionalFormatting>
  <conditionalFormatting sqref="F256:G257">
    <cfRule type="cellIs" dxfId="1489" priority="1152" operator="equal">
      <formula>"completedw"</formula>
    </cfRule>
    <cfRule type="cellIs" dxfId="1488" priority="1153" operator="equal">
      <formula>"HOLD"</formula>
    </cfRule>
    <cfRule type="cellIs" dxfId="1487" priority="1154" operator="equal">
      <formula>"ROW"</formula>
    </cfRule>
    <cfRule type="cellIs" dxfId="1486" priority="1155" operator="equal">
      <formula>"wip"</formula>
    </cfRule>
    <cfRule type="cellIs" dxfId="1485" priority="1156" operator="equal">
      <formula>"Completed"</formula>
    </cfRule>
  </conditionalFormatting>
  <conditionalFormatting sqref="F278:G279">
    <cfRule type="cellIs" dxfId="1484" priority="988" operator="equal">
      <formula>"Completed"</formula>
    </cfRule>
    <cfRule type="cellIs" dxfId="1483" priority="984" operator="equal">
      <formula>"completedw"</formula>
    </cfRule>
    <cfRule type="cellIs" dxfId="1482" priority="987" operator="equal">
      <formula>"wip"</formula>
    </cfRule>
    <cfRule type="cellIs" dxfId="1481" priority="985" operator="equal">
      <formula>"HOLD"</formula>
    </cfRule>
    <cfRule type="cellIs" dxfId="1480" priority="986" operator="equal">
      <formula>"ROW"</formula>
    </cfRule>
  </conditionalFormatting>
  <conditionalFormatting sqref="F289:H290">
    <cfRule type="cellIs" dxfId="1479" priority="805" operator="equal">
      <formula>"completedw"</formula>
    </cfRule>
    <cfRule type="cellIs" dxfId="1478" priority="806" operator="equal">
      <formula>"HOLD"</formula>
    </cfRule>
    <cfRule type="cellIs" dxfId="1477" priority="807" operator="equal">
      <formula>"ROW"</formula>
    </cfRule>
    <cfRule type="cellIs" dxfId="1476" priority="809" operator="equal">
      <formula>"Completed"</formula>
    </cfRule>
    <cfRule type="cellIs" dxfId="1475" priority="808" operator="equal">
      <formula>"wip"</formula>
    </cfRule>
  </conditionalFormatting>
  <conditionalFormatting sqref="F300:H301">
    <cfRule type="cellIs" dxfId="1474" priority="702" operator="equal">
      <formula>"Completed"</formula>
    </cfRule>
    <cfRule type="cellIs" dxfId="1473" priority="698" operator="equal">
      <formula>"completedw"</formula>
    </cfRule>
    <cfRule type="cellIs" dxfId="1472" priority="700" operator="equal">
      <formula>"ROW"</formula>
    </cfRule>
    <cfRule type="cellIs" dxfId="1471" priority="699" operator="equal">
      <formula>"HOLD"</formula>
    </cfRule>
    <cfRule type="cellIs" dxfId="1470" priority="701" operator="equal">
      <formula>"wip"</formula>
    </cfRule>
  </conditionalFormatting>
  <conditionalFormatting sqref="F119:AE120">
    <cfRule type="cellIs" dxfId="1469" priority="43" operator="equal">
      <formula>"completedw"</formula>
    </cfRule>
    <cfRule type="cellIs" dxfId="1468" priority="44" operator="equal">
      <formula>"HOLD"</formula>
    </cfRule>
    <cfRule type="cellIs" dxfId="1467" priority="45" operator="equal">
      <formula>"ROW"</formula>
    </cfRule>
  </conditionalFormatting>
  <conditionalFormatting sqref="G25:G26">
    <cfRule type="containsText" dxfId="1466" priority="569" operator="containsText" text="Hold">
      <formula>NOT(ISERROR(SEARCH("Hold",G25)))</formula>
    </cfRule>
  </conditionalFormatting>
  <conditionalFormatting sqref="G36:G37">
    <cfRule type="containsText" dxfId="1465" priority="1380" operator="containsText" text="Hold">
      <formula>NOT(ISERROR(SEARCH("Hold",G36)))</formula>
    </cfRule>
  </conditionalFormatting>
  <conditionalFormatting sqref="G57:G58">
    <cfRule type="containsText" dxfId="1464" priority="1392" operator="containsText" text="Hold">
      <formula>NOT(ISERROR(SEARCH("Hold",G57)))</formula>
    </cfRule>
  </conditionalFormatting>
  <conditionalFormatting sqref="G103:G104">
    <cfRule type="containsText" dxfId="1463" priority="1442" operator="containsText" text="Hold">
      <formula>NOT(ISERROR(SEARCH("Hold",G103)))</formula>
    </cfRule>
  </conditionalFormatting>
  <conditionalFormatting sqref="G115:G116">
    <cfRule type="containsText" dxfId="1462" priority="1426" operator="containsText" text="Hold">
      <formula>NOT(ISERROR(SEARCH("Hold",G115)))</formula>
    </cfRule>
  </conditionalFormatting>
  <conditionalFormatting sqref="G122">
    <cfRule type="cellIs" dxfId="1461" priority="153" operator="equal">
      <formula>"completedw"</formula>
    </cfRule>
    <cfRule type="cellIs" dxfId="1460" priority="154" operator="equal">
      <formula>"HOLD"</formula>
    </cfRule>
    <cfRule type="cellIs" dxfId="1459" priority="155" operator="equal">
      <formula>"ROW"</formula>
    </cfRule>
  </conditionalFormatting>
  <conditionalFormatting sqref="G127:G128">
    <cfRule type="containsText" dxfId="1458" priority="1438" operator="containsText" text="Hold">
      <formula>NOT(ISERROR(SEARCH("Hold",G127)))</formula>
    </cfRule>
  </conditionalFormatting>
  <conditionalFormatting sqref="G150:G151">
    <cfRule type="containsText" dxfId="1457" priority="1299" operator="containsText" text="Hold">
      <formula>NOT(ISERROR(SEARCH("Hold",G150)))</formula>
    </cfRule>
  </conditionalFormatting>
  <conditionalFormatting sqref="G165:G166">
    <cfRule type="cellIs" dxfId="1456" priority="280" operator="equal">
      <formula>"completedw"</formula>
    </cfRule>
    <cfRule type="cellIs" dxfId="1455" priority="281" operator="equal">
      <formula>"HOLD"</formula>
    </cfRule>
    <cfRule type="cellIs" dxfId="1454" priority="282" operator="equal">
      <formula>"ROW"</formula>
    </cfRule>
  </conditionalFormatting>
  <conditionalFormatting sqref="G176">
    <cfRule type="cellIs" dxfId="1453" priority="274" operator="equal">
      <formula>"completedw"</formula>
    </cfRule>
    <cfRule type="cellIs" dxfId="1452" priority="276" operator="equal">
      <formula>"ROW"</formula>
    </cfRule>
    <cfRule type="cellIs" dxfId="1451" priority="275" operator="equal">
      <formula>"HOLD"</formula>
    </cfRule>
  </conditionalFormatting>
  <conditionalFormatting sqref="G183:G184">
    <cfRule type="containsText" dxfId="1450" priority="896" operator="containsText" text="Hold">
      <formula>NOT(ISERROR(SEARCH("Hold",G183)))</formula>
    </cfRule>
  </conditionalFormatting>
  <conditionalFormatting sqref="G193:G194">
    <cfRule type="containsText" dxfId="1449" priority="864" operator="containsText" text="Hold">
      <formula>NOT(ISERROR(SEARCH("Hold",G193)))</formula>
    </cfRule>
  </conditionalFormatting>
  <conditionalFormatting sqref="G197:G198">
    <cfRule type="cellIs" dxfId="1448" priority="129" operator="equal">
      <formula>"completedw"</formula>
    </cfRule>
    <cfRule type="cellIs" dxfId="1447" priority="131" operator="equal">
      <formula>"ROW"</formula>
    </cfRule>
    <cfRule type="cellIs" dxfId="1446" priority="130" operator="equal">
      <formula>"HOLD"</formula>
    </cfRule>
  </conditionalFormatting>
  <conditionalFormatting sqref="G204:G205">
    <cfRule type="containsText" dxfId="1445" priority="1302" operator="containsText" text="Hold">
      <formula>NOT(ISERROR(SEARCH("Hold",G204)))</formula>
    </cfRule>
  </conditionalFormatting>
  <conditionalFormatting sqref="G215:G216">
    <cfRule type="containsText" dxfId="1444" priority="1275" operator="containsText" text="Hold">
      <formula>NOT(ISERROR(SEARCH("Hold",G215)))</formula>
    </cfRule>
  </conditionalFormatting>
  <conditionalFormatting sqref="G226:G227">
    <cfRule type="containsText" dxfId="1443" priority="1270" operator="containsText" text="Hold">
      <formula>NOT(ISERROR(SEARCH("Hold",G226)))</formula>
    </cfRule>
  </conditionalFormatting>
  <conditionalFormatting sqref="G236:G237">
    <cfRule type="containsText" dxfId="1442" priority="1248" operator="containsText" text="Hold">
      <formula>NOT(ISERROR(SEARCH("Hold",G236)))</formula>
    </cfRule>
  </conditionalFormatting>
  <conditionalFormatting sqref="G246:G247">
    <cfRule type="containsText" dxfId="1441" priority="1243" operator="containsText" text="Hold">
      <formula>NOT(ISERROR(SEARCH("Hold",G246)))</formula>
    </cfRule>
  </conditionalFormatting>
  <conditionalFormatting sqref="G256:G257">
    <cfRule type="containsText" dxfId="1440" priority="1151" operator="containsText" text="Hold">
      <formula>NOT(ISERROR(SEARCH("Hold",G256)))</formula>
    </cfRule>
  </conditionalFormatting>
  <conditionalFormatting sqref="G267:G268">
    <cfRule type="containsText" dxfId="1439" priority="1121" operator="containsText" text="Hold">
      <formula>NOT(ISERROR(SEARCH("Hold",G267)))</formula>
    </cfRule>
  </conditionalFormatting>
  <conditionalFormatting sqref="G278:G279">
    <cfRule type="containsText" dxfId="1438" priority="983" operator="containsText" text="Hold">
      <formula>NOT(ISERROR(SEARCH("Hold",G278)))</formula>
    </cfRule>
  </conditionalFormatting>
  <conditionalFormatting sqref="G289:G290">
    <cfRule type="containsText" dxfId="1437" priority="804" operator="containsText" text="Hold">
      <formula>NOT(ISERROR(SEARCH("Hold",G289)))</formula>
    </cfRule>
  </conditionalFormatting>
  <conditionalFormatting sqref="G300:G301">
    <cfRule type="containsText" dxfId="1436" priority="697" operator="containsText" text="Hold">
      <formula>NOT(ISERROR(SEARCH("Hold",G300)))</formula>
    </cfRule>
  </conditionalFormatting>
  <conditionalFormatting sqref="G9:H9">
    <cfRule type="cellIs" dxfId="1435" priority="2003" operator="equal">
      <formula>"Completed"</formula>
    </cfRule>
  </conditionalFormatting>
  <conditionalFormatting sqref="G36:H37">
    <cfRule type="cellIs" dxfId="1434" priority="1384" operator="equal">
      <formula>"wip"</formula>
    </cfRule>
    <cfRule type="cellIs" dxfId="1433" priority="1385" operator="equal">
      <formula>"Completed"</formula>
    </cfRule>
    <cfRule type="cellIs" dxfId="1432" priority="1383" operator="equal">
      <formula>"ROW"</formula>
    </cfRule>
    <cfRule type="cellIs" dxfId="1431" priority="1382" operator="equal">
      <formula>"HOLD"</formula>
    </cfRule>
    <cfRule type="cellIs" dxfId="1430" priority="1381" operator="equal">
      <formula>"completedw"</formula>
    </cfRule>
  </conditionalFormatting>
  <conditionalFormatting sqref="G57:H58">
    <cfRule type="cellIs" dxfId="1429" priority="1394" operator="equal">
      <formula>"HOLD"</formula>
    </cfRule>
    <cfRule type="cellIs" dxfId="1428" priority="1393" operator="equal">
      <formula>"completedw"</formula>
    </cfRule>
    <cfRule type="cellIs" dxfId="1427" priority="1397" operator="equal">
      <formula>"Completed"</formula>
    </cfRule>
    <cfRule type="cellIs" dxfId="1426" priority="1395" operator="equal">
      <formula>"ROW"</formula>
    </cfRule>
    <cfRule type="cellIs" dxfId="1425" priority="1396" operator="equal">
      <formula>"wip"</formula>
    </cfRule>
  </conditionalFormatting>
  <conditionalFormatting sqref="G267:H268">
    <cfRule type="cellIs" dxfId="1424" priority="1126" operator="equal">
      <formula>"Completed"</formula>
    </cfRule>
    <cfRule type="cellIs" dxfId="1423" priority="1124" operator="equal">
      <formula>"ROW"</formula>
    </cfRule>
    <cfRule type="cellIs" dxfId="1422" priority="1123" operator="equal">
      <formula>"HOLD"</formula>
    </cfRule>
    <cfRule type="cellIs" dxfId="1421" priority="1125" operator="equal">
      <formula>"wip"</formula>
    </cfRule>
    <cfRule type="cellIs" dxfId="1420" priority="1122" operator="equal">
      <formula>"completedw"</formula>
    </cfRule>
  </conditionalFormatting>
  <conditionalFormatting sqref="G72:I73">
    <cfRule type="cellIs" dxfId="1419" priority="358" operator="equal">
      <formula>"completedw"</formula>
    </cfRule>
    <cfRule type="cellIs" dxfId="1418" priority="359" operator="equal">
      <formula>"HOLD"</formula>
    </cfRule>
    <cfRule type="cellIs" dxfId="1417" priority="360" operator="equal">
      <formula>"ROW"</formula>
    </cfRule>
  </conditionalFormatting>
  <conditionalFormatting sqref="G95:I96">
    <cfRule type="cellIs" dxfId="1416" priority="339" operator="equal">
      <formula>"ROW"</formula>
    </cfRule>
    <cfRule type="cellIs" dxfId="1415" priority="337" operator="equal">
      <formula>"completedw"</formula>
    </cfRule>
    <cfRule type="cellIs" dxfId="1414" priority="338" operator="equal">
      <formula>"HOLD"</formula>
    </cfRule>
  </conditionalFormatting>
  <conditionalFormatting sqref="G83:U84">
    <cfRule type="cellIs" dxfId="1413" priority="346" operator="equal">
      <formula>"completedw"</formula>
    </cfRule>
    <cfRule type="cellIs" dxfId="1412" priority="347" operator="equal">
      <formula>"HOLD"</formula>
    </cfRule>
    <cfRule type="cellIs" dxfId="1411" priority="348" operator="equal">
      <formula>"ROW"</formula>
    </cfRule>
  </conditionalFormatting>
  <conditionalFormatting sqref="G143:AJ144">
    <cfRule type="cellIs" dxfId="1410" priority="9" operator="equal">
      <formula>"ROW"</formula>
    </cfRule>
    <cfRule type="cellIs" dxfId="1409" priority="8" operator="equal">
      <formula>"HOLD"</formula>
    </cfRule>
    <cfRule type="cellIs" dxfId="1408" priority="7" operator="equal">
      <formula>"completedw"</formula>
    </cfRule>
  </conditionalFormatting>
  <conditionalFormatting sqref="H123 J123">
    <cfRule type="cellIs" dxfId="1407" priority="152" operator="equal">
      <formula>"ROW"</formula>
    </cfRule>
    <cfRule type="cellIs" dxfId="1406" priority="151" operator="equal">
      <formula>"HOLD"</formula>
    </cfRule>
    <cfRule type="cellIs" dxfId="1405" priority="150" operator="equal">
      <formula>"completedw"</formula>
    </cfRule>
  </conditionalFormatting>
  <conditionalFormatting sqref="H156">
    <cfRule type="cellIs" dxfId="1404" priority="179" operator="equal">
      <formula>"HOLD"</formula>
    </cfRule>
    <cfRule type="cellIs" dxfId="1403" priority="180" operator="equal">
      <formula>"ROW"</formula>
    </cfRule>
    <cfRule type="cellIs" dxfId="1402" priority="178" operator="equal">
      <formula>"completedw"</formula>
    </cfRule>
  </conditionalFormatting>
  <conditionalFormatting sqref="H161">
    <cfRule type="cellIs" dxfId="1401" priority="1978" operator="equal">
      <formula>"wip"</formula>
    </cfRule>
    <cfRule type="cellIs" dxfId="1400" priority="1979" operator="equal">
      <formula>"Completed"</formula>
    </cfRule>
  </conditionalFormatting>
  <conditionalFormatting sqref="H172">
    <cfRule type="cellIs" dxfId="1399" priority="1951" operator="equal">
      <formula>"Completed"</formula>
    </cfRule>
    <cfRule type="cellIs" dxfId="1398" priority="1950" operator="equal">
      <formula>"wip"</formula>
    </cfRule>
  </conditionalFormatting>
  <conditionalFormatting sqref="H183">
    <cfRule type="cellIs" dxfId="1397" priority="1920" operator="equal">
      <formula>"wip"</formula>
    </cfRule>
    <cfRule type="cellIs" dxfId="1396" priority="1921" operator="equal">
      <formula>"Completed"</formula>
    </cfRule>
  </conditionalFormatting>
  <conditionalFormatting sqref="H193">
    <cfRule type="cellIs" dxfId="1395" priority="1893" operator="equal">
      <formula>"Completed"</formula>
    </cfRule>
    <cfRule type="cellIs" dxfId="1394" priority="1892" operator="equal">
      <formula>"wip"</formula>
    </cfRule>
  </conditionalFormatting>
  <conditionalFormatting sqref="H204">
    <cfRule type="cellIs" dxfId="1393" priority="1864" operator="equal">
      <formula>"wip"</formula>
    </cfRule>
    <cfRule type="cellIs" dxfId="1392" priority="1865" operator="equal">
      <formula>"Completed"</formula>
    </cfRule>
  </conditionalFormatting>
  <conditionalFormatting sqref="H215">
    <cfRule type="cellIs" dxfId="1391" priority="1837" operator="equal">
      <formula>"Completed"</formula>
    </cfRule>
    <cfRule type="cellIs" dxfId="1390" priority="1836" operator="equal">
      <formula>"wip"</formula>
    </cfRule>
  </conditionalFormatting>
  <conditionalFormatting sqref="H226">
    <cfRule type="cellIs" dxfId="1389" priority="1809" operator="equal">
      <formula>"Completed"</formula>
    </cfRule>
    <cfRule type="cellIs" dxfId="1388" priority="1808" operator="equal">
      <formula>"wip"</formula>
    </cfRule>
  </conditionalFormatting>
  <conditionalFormatting sqref="H236">
    <cfRule type="cellIs" dxfId="1387" priority="1729" operator="equal">
      <formula>"Completed"</formula>
    </cfRule>
    <cfRule type="cellIs" dxfId="1386" priority="1728" operator="equal">
      <formula>"wip"</formula>
    </cfRule>
  </conditionalFormatting>
  <conditionalFormatting sqref="H246">
    <cfRule type="cellIs" dxfId="1385" priority="1701" operator="equal">
      <formula>"Completed"</formula>
    </cfRule>
    <cfRule type="cellIs" dxfId="1384" priority="1700" operator="equal">
      <formula>"wip"</formula>
    </cfRule>
  </conditionalFormatting>
  <conditionalFormatting sqref="H25:I26">
    <cfRule type="cellIs" dxfId="1383" priority="580" operator="equal">
      <formula>"Completed"</formula>
    </cfRule>
    <cfRule type="cellIs" dxfId="1382" priority="577" operator="equal">
      <formula>"HOLD"</formula>
    </cfRule>
    <cfRule type="cellIs" dxfId="1381" priority="578" operator="equal">
      <formula>"ROW"</formula>
    </cfRule>
    <cfRule type="cellIs" dxfId="1380" priority="579" operator="equal">
      <formula>"wip"</formula>
    </cfRule>
    <cfRule type="cellIs" dxfId="1379" priority="576" operator="equal">
      <formula>"completedw"</formula>
    </cfRule>
  </conditionalFormatting>
  <conditionalFormatting sqref="H256:I257">
    <cfRule type="cellIs" dxfId="1378" priority="1162" operator="equal">
      <formula>"Completed"</formula>
    </cfRule>
    <cfRule type="cellIs" dxfId="1377" priority="1161" operator="equal">
      <formula>"wip"</formula>
    </cfRule>
    <cfRule type="cellIs" dxfId="1376" priority="1158" operator="equal">
      <formula>"completedw"</formula>
    </cfRule>
    <cfRule type="cellIs" dxfId="1375" priority="1160" operator="equal">
      <formula>"ROW"</formula>
    </cfRule>
    <cfRule type="cellIs" dxfId="1374" priority="1159" operator="equal">
      <formula>"HOLD"</formula>
    </cfRule>
  </conditionalFormatting>
  <conditionalFormatting sqref="H278:I279">
    <cfRule type="cellIs" dxfId="1373" priority="992" operator="equal">
      <formula>"ROW"</formula>
    </cfRule>
    <cfRule type="cellIs" dxfId="1372" priority="993" operator="equal">
      <formula>"wip"</formula>
    </cfRule>
    <cfRule type="cellIs" dxfId="1371" priority="991" operator="equal">
      <formula>"HOLD"</formula>
    </cfRule>
    <cfRule type="cellIs" dxfId="1370" priority="994" operator="equal">
      <formula>"Completed"</formula>
    </cfRule>
    <cfRule type="cellIs" dxfId="1369" priority="990" operator="equal">
      <formula>"completedw"</formula>
    </cfRule>
  </conditionalFormatting>
  <conditionalFormatting sqref="H14:J15">
    <cfRule type="cellIs" dxfId="1368" priority="1409" operator="equal">
      <formula>"Completed"</formula>
    </cfRule>
    <cfRule type="cellIs" dxfId="1367" priority="1408" operator="equal">
      <formula>"wip"</formula>
    </cfRule>
  </conditionalFormatting>
  <conditionalFormatting sqref="I14:I15">
    <cfRule type="containsText" dxfId="1366" priority="1404" operator="containsText" text="Hold">
      <formula>NOT(ISERROR(SEARCH("Hold",I14)))</formula>
    </cfRule>
  </conditionalFormatting>
  <conditionalFormatting sqref="I25:I26">
    <cfRule type="containsText" dxfId="1365" priority="575" operator="containsText" text="Hold">
      <formula>NOT(ISERROR(SEARCH("Hold",I25)))</formula>
    </cfRule>
  </conditionalFormatting>
  <conditionalFormatting sqref="I36:I37">
    <cfRule type="containsText" dxfId="1364" priority="545" operator="containsText" text="Hold">
      <formula>NOT(ISERROR(SEARCH("Hold",I36)))</formula>
    </cfRule>
  </conditionalFormatting>
  <conditionalFormatting sqref="I57:I58">
    <cfRule type="containsText" dxfId="1363" priority="496" operator="containsText" text="Hold">
      <formula>NOT(ISERROR(SEARCH("Hold",I57)))</formula>
    </cfRule>
    <cfRule type="cellIs" dxfId="1362" priority="497" operator="equal">
      <formula>"completedw"</formula>
    </cfRule>
    <cfRule type="cellIs" dxfId="1361" priority="498" operator="equal">
      <formula>"HOLD"</formula>
    </cfRule>
    <cfRule type="cellIs" dxfId="1360" priority="499" operator="equal">
      <formula>"ROW"</formula>
    </cfRule>
    <cfRule type="cellIs" dxfId="1359" priority="501" operator="equal">
      <formula>"Completed"</formula>
    </cfRule>
  </conditionalFormatting>
  <conditionalFormatting sqref="I79:I80">
    <cfRule type="containsText" dxfId="1358" priority="1326" operator="containsText" text="Hold">
      <formula>NOT(ISERROR(SEARCH("Hold",I79)))</formula>
    </cfRule>
  </conditionalFormatting>
  <conditionalFormatting sqref="I103:I104">
    <cfRule type="containsText" dxfId="1357" priority="1423" operator="containsText" text="Hold">
      <formula>NOT(ISERROR(SEARCH("Hold",I103)))</formula>
    </cfRule>
  </conditionalFormatting>
  <conditionalFormatting sqref="I115:I116">
    <cfRule type="containsText" dxfId="1356" priority="602" operator="containsText" text="Hold">
      <formula>NOT(ISERROR(SEARCH("Hold",I115)))</formula>
    </cfRule>
  </conditionalFormatting>
  <conditionalFormatting sqref="I127:I128">
    <cfRule type="containsText" dxfId="1355" priority="513" operator="containsText" text="Hold">
      <formula>NOT(ISERROR(SEARCH("Hold",I127)))</formula>
    </cfRule>
  </conditionalFormatting>
  <conditionalFormatting sqref="I150:I151">
    <cfRule type="containsText" dxfId="1354" priority="482" operator="containsText" text="Hold">
      <formula>NOT(ISERROR(SEARCH("Hold",I150)))</formula>
    </cfRule>
  </conditionalFormatting>
  <conditionalFormatting sqref="I165:I166">
    <cfRule type="cellIs" dxfId="1353" priority="284" operator="equal">
      <formula>"HOLD"</formula>
    </cfRule>
    <cfRule type="cellIs" dxfId="1352" priority="283" operator="equal">
      <formula>"completedw"</formula>
    </cfRule>
    <cfRule type="cellIs" dxfId="1351" priority="285" operator="equal">
      <formula>"ROW"</formula>
    </cfRule>
  </conditionalFormatting>
  <conditionalFormatting sqref="I183:I184">
    <cfRule type="containsText" dxfId="1350" priority="1435" operator="containsText" text="Hold">
      <formula>NOT(ISERROR(SEARCH("Hold",I183)))</formula>
    </cfRule>
  </conditionalFormatting>
  <conditionalFormatting sqref="I197:I198">
    <cfRule type="cellIs" dxfId="1349" priority="139" operator="equal">
      <formula>"HOLD"</formula>
    </cfRule>
    <cfRule type="cellIs" dxfId="1348" priority="140" operator="equal">
      <formula>"ROW"</formula>
    </cfRule>
    <cfRule type="cellIs" dxfId="1347" priority="138" operator="equal">
      <formula>"completedw"</formula>
    </cfRule>
  </conditionalFormatting>
  <conditionalFormatting sqref="I204:I205">
    <cfRule type="containsText" dxfId="1346" priority="1297" operator="containsText" text="Hold">
      <formula>NOT(ISERROR(SEARCH("Hold",I204)))</formula>
    </cfRule>
  </conditionalFormatting>
  <conditionalFormatting sqref="I215:I216">
    <cfRule type="containsText" dxfId="1345" priority="1276" operator="containsText" text="Hold">
      <formula>NOT(ISERROR(SEARCH("Hold",I215)))</formula>
    </cfRule>
  </conditionalFormatting>
  <conditionalFormatting sqref="I226:I227">
    <cfRule type="containsText" dxfId="1344" priority="1269" operator="containsText" text="Hold">
      <formula>NOT(ISERROR(SEARCH("Hold",I226)))</formula>
    </cfRule>
  </conditionalFormatting>
  <conditionalFormatting sqref="I236:I237">
    <cfRule type="containsText" dxfId="1343" priority="1249" operator="containsText" text="Hold">
      <formula>NOT(ISERROR(SEARCH("Hold",I236)))</formula>
    </cfRule>
  </conditionalFormatting>
  <conditionalFormatting sqref="I246:I247">
    <cfRule type="containsText" dxfId="1342" priority="1242" operator="containsText" text="Hold">
      <formula>NOT(ISERROR(SEARCH("Hold",I246)))</formula>
    </cfRule>
  </conditionalFormatting>
  <conditionalFormatting sqref="I256:I257">
    <cfRule type="containsText" dxfId="1341" priority="1157" operator="containsText" text="Hold">
      <formula>NOT(ISERROR(SEARCH("Hold",I256)))</formula>
    </cfRule>
  </conditionalFormatting>
  <conditionalFormatting sqref="I267:I268">
    <cfRule type="containsText" dxfId="1340" priority="1115" operator="containsText" text="Hold">
      <formula>NOT(ISERROR(SEARCH("Hold",I267)))</formula>
    </cfRule>
  </conditionalFormatting>
  <conditionalFormatting sqref="I278:I279">
    <cfRule type="containsText" dxfId="1339" priority="989" operator="containsText" text="Hold">
      <formula>NOT(ISERROR(SEARCH("Hold",I278)))</formula>
    </cfRule>
  </conditionalFormatting>
  <conditionalFormatting sqref="I289:I290">
    <cfRule type="containsText" dxfId="1338" priority="798" operator="containsText" text="Hold">
      <formula>NOT(ISERROR(SEARCH("Hold",I289)))</formula>
    </cfRule>
  </conditionalFormatting>
  <conditionalFormatting sqref="I300:I301">
    <cfRule type="containsText" dxfId="1337" priority="691" operator="containsText" text="Hold">
      <formula>NOT(ISERROR(SEARCH("Hold",I300)))</formula>
    </cfRule>
  </conditionalFormatting>
  <conditionalFormatting sqref="I267:J268">
    <cfRule type="cellIs" dxfId="1336" priority="1116" operator="equal">
      <formula>"completedw"</formula>
    </cfRule>
    <cfRule type="cellIs" dxfId="1335" priority="1117" operator="equal">
      <formula>"HOLD"</formula>
    </cfRule>
    <cfRule type="cellIs" dxfId="1334" priority="1119" operator="equal">
      <formula>"wip"</formula>
    </cfRule>
    <cfRule type="cellIs" dxfId="1333" priority="1118" operator="equal">
      <formula>"ROW"</formula>
    </cfRule>
    <cfRule type="cellIs" dxfId="1332" priority="1120" operator="equal">
      <formula>"Completed"</formula>
    </cfRule>
  </conditionalFormatting>
  <conditionalFormatting sqref="I289:J290">
    <cfRule type="cellIs" dxfId="1331" priority="799" operator="equal">
      <formula>"completedw"</formula>
    </cfRule>
    <cfRule type="cellIs" dxfId="1330" priority="802" operator="equal">
      <formula>"wip"</formula>
    </cfRule>
    <cfRule type="cellIs" dxfId="1329" priority="803" operator="equal">
      <formula>"Completed"</formula>
    </cfRule>
    <cfRule type="cellIs" dxfId="1328" priority="801" operator="equal">
      <formula>"ROW"</formula>
    </cfRule>
    <cfRule type="cellIs" dxfId="1327" priority="800" operator="equal">
      <formula>"HOLD"</formula>
    </cfRule>
  </conditionalFormatting>
  <conditionalFormatting sqref="I300:J301">
    <cfRule type="cellIs" dxfId="1326" priority="693" operator="equal">
      <formula>"HOLD"</formula>
    </cfRule>
    <cfRule type="cellIs" dxfId="1325" priority="694" operator="equal">
      <formula>"ROW"</formula>
    </cfRule>
    <cfRule type="cellIs" dxfId="1324" priority="695" operator="equal">
      <formula>"wip"</formula>
    </cfRule>
    <cfRule type="cellIs" dxfId="1323" priority="696" operator="equal">
      <formula>"Completed"</formula>
    </cfRule>
    <cfRule type="cellIs" dxfId="1322" priority="692" operator="equal">
      <formula>"completedw"</formula>
    </cfRule>
  </conditionalFormatting>
  <conditionalFormatting sqref="I208:M209">
    <cfRule type="cellIs" dxfId="1321" priority="61" operator="equal">
      <formula>"HOLD"</formula>
    </cfRule>
    <cfRule type="cellIs" dxfId="1320" priority="62" operator="equal">
      <formula>"ROW"</formula>
    </cfRule>
    <cfRule type="cellIs" dxfId="1319" priority="60" operator="equal">
      <formula>"completedw"</formula>
    </cfRule>
  </conditionalFormatting>
  <conditionalFormatting sqref="I57:AD58">
    <cfRule type="cellIs" dxfId="1318" priority="500" operator="equal">
      <formula>"wip"</formula>
    </cfRule>
  </conditionalFormatting>
  <conditionalFormatting sqref="I36:AE37">
    <cfRule type="cellIs" dxfId="1317" priority="548" operator="equal">
      <formula>"ROW"</formula>
    </cfRule>
    <cfRule type="cellIs" dxfId="1316" priority="549" operator="equal">
      <formula>"wip"</formula>
    </cfRule>
    <cfRule type="cellIs" dxfId="1315" priority="550" operator="equal">
      <formula>"Completed"</formula>
    </cfRule>
    <cfRule type="cellIs" dxfId="1314" priority="547" operator="equal">
      <formula>"HOLD"</formula>
    </cfRule>
    <cfRule type="cellIs" dxfId="1313" priority="546" operator="equal">
      <formula>"completedw"</formula>
    </cfRule>
  </conditionalFormatting>
  <conditionalFormatting sqref="J161">
    <cfRule type="cellIs" dxfId="1312" priority="1977" operator="equal">
      <formula>"Completed"</formula>
    </cfRule>
    <cfRule type="cellIs" dxfId="1311" priority="1976" operator="equal">
      <formula>"wip"</formula>
    </cfRule>
  </conditionalFormatting>
  <conditionalFormatting sqref="J172">
    <cfRule type="cellIs" dxfId="1310" priority="1949" operator="equal">
      <formula>"Completed"</formula>
    </cfRule>
    <cfRule type="cellIs" dxfId="1309" priority="1948" operator="equal">
      <formula>"wip"</formula>
    </cfRule>
  </conditionalFormatting>
  <conditionalFormatting sqref="J183">
    <cfRule type="cellIs" dxfId="1308" priority="1919" operator="equal">
      <formula>"Completed"</formula>
    </cfRule>
    <cfRule type="cellIs" dxfId="1307" priority="1918" operator="equal">
      <formula>"wip"</formula>
    </cfRule>
  </conditionalFormatting>
  <conditionalFormatting sqref="J193">
    <cfRule type="cellIs" dxfId="1306" priority="1890" operator="equal">
      <formula>"wip"</formula>
    </cfRule>
    <cfRule type="cellIs" dxfId="1305" priority="1891" operator="equal">
      <formula>"Completed"</formula>
    </cfRule>
  </conditionalFormatting>
  <conditionalFormatting sqref="J204">
    <cfRule type="cellIs" dxfId="1304" priority="1862" operator="equal">
      <formula>"wip"</formula>
    </cfRule>
    <cfRule type="cellIs" dxfId="1303" priority="1863" operator="equal">
      <formula>"Completed"</formula>
    </cfRule>
  </conditionalFormatting>
  <conditionalFormatting sqref="J215">
    <cfRule type="cellIs" dxfId="1302" priority="1834" operator="equal">
      <formula>"wip"</formula>
    </cfRule>
    <cfRule type="cellIs" dxfId="1301" priority="1835" operator="equal">
      <formula>"Completed"</formula>
    </cfRule>
  </conditionalFormatting>
  <conditionalFormatting sqref="J226">
    <cfRule type="cellIs" dxfId="1300" priority="1806" operator="equal">
      <formula>"wip"</formula>
    </cfRule>
    <cfRule type="cellIs" dxfId="1299" priority="1807" operator="equal">
      <formula>"Completed"</formula>
    </cfRule>
  </conditionalFormatting>
  <conditionalFormatting sqref="J236">
    <cfRule type="cellIs" dxfId="1298" priority="1726" operator="equal">
      <formula>"wip"</formula>
    </cfRule>
    <cfRule type="cellIs" dxfId="1297" priority="1727" operator="equal">
      <formula>"Completed"</formula>
    </cfRule>
  </conditionalFormatting>
  <conditionalFormatting sqref="J246">
    <cfRule type="cellIs" dxfId="1296" priority="1698" operator="equal">
      <formula>"wip"</formula>
    </cfRule>
    <cfRule type="cellIs" dxfId="1295" priority="1699" operator="equal">
      <formula>"Completed"</formula>
    </cfRule>
  </conditionalFormatting>
  <conditionalFormatting sqref="J25:K26">
    <cfRule type="cellIs" dxfId="1294" priority="586" operator="equal">
      <formula>"Completed"</formula>
    </cfRule>
    <cfRule type="cellIs" dxfId="1293" priority="585" operator="equal">
      <formula>"wip"</formula>
    </cfRule>
    <cfRule type="cellIs" dxfId="1292" priority="584" operator="equal">
      <formula>"ROW"</formula>
    </cfRule>
    <cfRule type="cellIs" dxfId="1291" priority="583" operator="equal">
      <formula>"HOLD"</formula>
    </cfRule>
    <cfRule type="cellIs" dxfId="1290" priority="582" operator="equal">
      <formula>"completedw"</formula>
    </cfRule>
  </conditionalFormatting>
  <conditionalFormatting sqref="J256:K257">
    <cfRule type="cellIs" dxfId="1289" priority="1166" operator="equal">
      <formula>"ROW"</formula>
    </cfRule>
    <cfRule type="cellIs" dxfId="1288" priority="1168" operator="equal">
      <formula>"Completed"</formula>
    </cfRule>
    <cfRule type="cellIs" dxfId="1287" priority="1164" operator="equal">
      <formula>"completedw"</formula>
    </cfRule>
    <cfRule type="cellIs" dxfId="1286" priority="1167" operator="equal">
      <formula>"wip"</formula>
    </cfRule>
    <cfRule type="cellIs" dxfId="1285" priority="1165" operator="equal">
      <formula>"HOLD"</formula>
    </cfRule>
  </conditionalFormatting>
  <conditionalFormatting sqref="J278:K279">
    <cfRule type="cellIs" dxfId="1284" priority="996" operator="equal">
      <formula>"completedw"</formula>
    </cfRule>
    <cfRule type="cellIs" dxfId="1283" priority="997" operator="equal">
      <formula>"HOLD"</formula>
    </cfRule>
    <cfRule type="cellIs" dxfId="1282" priority="998" operator="equal">
      <formula>"ROW"</formula>
    </cfRule>
    <cfRule type="cellIs" dxfId="1281" priority="999" operator="equal">
      <formula>"wip"</formula>
    </cfRule>
    <cfRule type="cellIs" dxfId="1280" priority="1000" operator="equal">
      <formula>"Completed"</formula>
    </cfRule>
  </conditionalFormatting>
  <conditionalFormatting sqref="J79:L80">
    <cfRule type="cellIs" dxfId="1279" priority="1343" operator="equal">
      <formula>"Completed"</formula>
    </cfRule>
    <cfRule type="cellIs" dxfId="1278" priority="1341" operator="equal">
      <formula>"ROW"</formula>
    </cfRule>
    <cfRule type="cellIs" dxfId="1277" priority="1339" operator="equal">
      <formula>"completedw"</formula>
    </cfRule>
    <cfRule type="cellIs" dxfId="1276" priority="1342" operator="equal">
      <formula>"wip"</formula>
    </cfRule>
    <cfRule type="cellIs" dxfId="1275" priority="1340" operator="equal">
      <formula>"HOLD"</formula>
    </cfRule>
  </conditionalFormatting>
  <conditionalFormatting sqref="J57:AE58">
    <cfRule type="cellIs" dxfId="1274" priority="902" operator="equal">
      <formula>"Completed"</formula>
    </cfRule>
    <cfRule type="cellIs" dxfId="1273" priority="900" operator="equal">
      <formula>"ROW"</formula>
    </cfRule>
    <cfRule type="cellIs" dxfId="1272" priority="899" operator="equal">
      <formula>"HOLD"</formula>
    </cfRule>
    <cfRule type="cellIs" dxfId="1271" priority="898" operator="equal">
      <formula>"completedw"</formula>
    </cfRule>
  </conditionalFormatting>
  <conditionalFormatting sqref="K14:K15">
    <cfRule type="containsText" dxfId="1270" priority="81" operator="containsText" text="Hold">
      <formula>NOT(ISERROR(SEARCH("Hold",K14)))</formula>
    </cfRule>
  </conditionalFormatting>
  <conditionalFormatting sqref="K25:K26">
    <cfRule type="containsText" dxfId="1269" priority="581" operator="containsText" text="Hold">
      <formula>NOT(ISERROR(SEARCH("Hold",K25)))</formula>
    </cfRule>
  </conditionalFormatting>
  <conditionalFormatting sqref="K40">
    <cfRule type="cellIs" dxfId="1268" priority="439" operator="equal">
      <formula>"completedw"</formula>
    </cfRule>
    <cfRule type="cellIs" dxfId="1267" priority="440" operator="equal">
      <formula>"HOLD"</formula>
    </cfRule>
    <cfRule type="cellIs" dxfId="1266" priority="441" operator="equal">
      <formula>"ROW"</formula>
    </cfRule>
  </conditionalFormatting>
  <conditionalFormatting sqref="K50:K51">
    <cfRule type="cellIs" dxfId="1265" priority="412" operator="equal">
      <formula>"completedw"</formula>
    </cfRule>
    <cfRule type="cellIs" dxfId="1264" priority="413" operator="equal">
      <formula>"HOLD"</formula>
    </cfRule>
    <cfRule type="cellIs" dxfId="1263" priority="414" operator="equal">
      <formula>"ROW"</formula>
    </cfRule>
  </conditionalFormatting>
  <conditionalFormatting sqref="K61:K62">
    <cfRule type="cellIs" dxfId="1262" priority="367" operator="equal">
      <formula>"completedw"</formula>
    </cfRule>
    <cfRule type="cellIs" dxfId="1261" priority="368" operator="equal">
      <formula>"HOLD"</formula>
    </cfRule>
    <cfRule type="cellIs" dxfId="1260" priority="369" operator="equal">
      <formula>"ROW"</formula>
    </cfRule>
  </conditionalFormatting>
  <conditionalFormatting sqref="K72:K73">
    <cfRule type="cellIs" dxfId="1259" priority="356" operator="equal">
      <formula>"HOLD"</formula>
    </cfRule>
    <cfRule type="cellIs" dxfId="1258" priority="357" operator="equal">
      <formula>"ROW"</formula>
    </cfRule>
    <cfRule type="cellIs" dxfId="1257" priority="355" operator="equal">
      <formula>"completedw"</formula>
    </cfRule>
  </conditionalFormatting>
  <conditionalFormatting sqref="K79:K80">
    <cfRule type="containsText" dxfId="1256" priority="1338" operator="containsText" text="Hold">
      <formula>NOT(ISERROR(SEARCH("Hold",K79)))</formula>
    </cfRule>
  </conditionalFormatting>
  <conditionalFormatting sqref="K95:K96">
    <cfRule type="cellIs" dxfId="1255" priority="335" operator="equal">
      <formula>"HOLD"</formula>
    </cfRule>
    <cfRule type="cellIs" dxfId="1254" priority="336" operator="equal">
      <formula>"ROW"</formula>
    </cfRule>
    <cfRule type="cellIs" dxfId="1253" priority="334" operator="equal">
      <formula>"completedw"</formula>
    </cfRule>
  </conditionalFormatting>
  <conditionalFormatting sqref="K103:K104">
    <cfRule type="containsText" dxfId="1252" priority="1424" operator="containsText" text="Hold">
      <formula>NOT(ISERROR(SEARCH("Hold",K103)))</formula>
    </cfRule>
  </conditionalFormatting>
  <conditionalFormatting sqref="K107:K108">
    <cfRule type="cellIs" dxfId="1251" priority="327" operator="equal">
      <formula>"ROW"</formula>
    </cfRule>
    <cfRule type="cellIs" dxfId="1250" priority="325" operator="equal">
      <formula>"completedw"</formula>
    </cfRule>
    <cfRule type="cellIs" dxfId="1249" priority="326" operator="equal">
      <formula>"HOLD"</formula>
    </cfRule>
  </conditionalFormatting>
  <conditionalFormatting sqref="K115:K116">
    <cfRule type="containsText" dxfId="1248" priority="601" operator="containsText" text="Hold">
      <formula>NOT(ISERROR(SEARCH("Hold",K115)))</formula>
    </cfRule>
  </conditionalFormatting>
  <conditionalFormatting sqref="K127:K128">
    <cfRule type="containsText" dxfId="1247" priority="512" operator="containsText" text="Hold">
      <formula>NOT(ISERROR(SEARCH("Hold",K127)))</formula>
    </cfRule>
  </conditionalFormatting>
  <conditionalFormatting sqref="K139:K140">
    <cfRule type="containsText" dxfId="1246" priority="1437" operator="containsText" text="Hold">
      <formula>NOT(ISERROR(SEARCH("Hold",K139)))</formula>
    </cfRule>
  </conditionalFormatting>
  <conditionalFormatting sqref="K150:K151">
    <cfRule type="containsText" dxfId="1245" priority="481" operator="containsText" text="Hold">
      <formula>NOT(ISERROR(SEARCH("Hold",K150)))</formula>
    </cfRule>
  </conditionalFormatting>
  <conditionalFormatting sqref="K165:K166">
    <cfRule type="cellIs" dxfId="1244" priority="286" operator="equal">
      <formula>"completedw"</formula>
    </cfRule>
    <cfRule type="cellIs" dxfId="1243" priority="287" operator="equal">
      <formula>"HOLD"</formula>
    </cfRule>
    <cfRule type="cellIs" dxfId="1242" priority="288" operator="equal">
      <formula>"ROW"</formula>
    </cfRule>
  </conditionalFormatting>
  <conditionalFormatting sqref="K172:K173">
    <cfRule type="containsText" dxfId="1241" priority="508" operator="containsText" text="Hold">
      <formula>NOT(ISERROR(SEARCH("Hold",K172)))</formula>
    </cfRule>
  </conditionalFormatting>
  <conditionalFormatting sqref="K183:K184">
    <cfRule type="containsText" dxfId="1240" priority="612" operator="containsText" text="Hold">
      <formula>NOT(ISERROR(SEARCH("Hold",K183)))</formula>
    </cfRule>
  </conditionalFormatting>
  <conditionalFormatting sqref="K197:K198">
    <cfRule type="cellIs" dxfId="1239" priority="119" operator="equal">
      <formula>"ROW"</formula>
    </cfRule>
    <cfRule type="cellIs" dxfId="1238" priority="117" operator="equal">
      <formula>"completedw"</formula>
    </cfRule>
    <cfRule type="cellIs" dxfId="1237" priority="118" operator="equal">
      <formula>"HOLD"</formula>
    </cfRule>
  </conditionalFormatting>
  <conditionalFormatting sqref="K204:K205">
    <cfRule type="containsText" dxfId="1236" priority="1296" operator="containsText" text="Hold">
      <formula>NOT(ISERROR(SEARCH("Hold",K204)))</formula>
    </cfRule>
  </conditionalFormatting>
  <conditionalFormatting sqref="K215:K216">
    <cfRule type="containsText" dxfId="1235" priority="1277" operator="containsText" text="Hold">
      <formula>NOT(ISERROR(SEARCH("Hold",K215)))</formula>
    </cfRule>
  </conditionalFormatting>
  <conditionalFormatting sqref="K226:K227">
    <cfRule type="containsText" dxfId="1234" priority="1298" operator="containsText" text="Hold">
      <formula>NOT(ISERROR(SEARCH("Hold",K226)))</formula>
    </cfRule>
  </conditionalFormatting>
  <conditionalFormatting sqref="K236:K237">
    <cfRule type="containsText" dxfId="1233" priority="1250" operator="containsText" text="Hold">
      <formula>NOT(ISERROR(SEARCH("Hold",K236)))</formula>
    </cfRule>
  </conditionalFormatting>
  <conditionalFormatting sqref="K246:K247">
    <cfRule type="containsText" dxfId="1232" priority="13" operator="containsText" text="Hold">
      <formula>NOT(ISERROR(SEARCH("Hold",K246)))</formula>
    </cfRule>
  </conditionalFormatting>
  <conditionalFormatting sqref="K256:K257">
    <cfRule type="containsText" dxfId="1231" priority="1163" operator="containsText" text="Hold">
      <formula>NOT(ISERROR(SEARCH("Hold",K256)))</formula>
    </cfRule>
  </conditionalFormatting>
  <conditionalFormatting sqref="K267:K268">
    <cfRule type="containsText" dxfId="1230" priority="1109" operator="containsText" text="Hold">
      <formula>NOT(ISERROR(SEARCH("Hold",K267)))</formula>
    </cfRule>
  </conditionalFormatting>
  <conditionalFormatting sqref="K278:K279">
    <cfRule type="containsText" dxfId="1229" priority="995" operator="containsText" text="Hold">
      <formula>NOT(ISERROR(SEARCH("Hold",K278)))</formula>
    </cfRule>
  </conditionalFormatting>
  <conditionalFormatting sqref="K289:K290">
    <cfRule type="containsText" dxfId="1228" priority="792" operator="containsText" text="Hold">
      <formula>NOT(ISERROR(SEARCH("Hold",K289)))</formula>
    </cfRule>
  </conditionalFormatting>
  <conditionalFormatting sqref="K300:K301">
    <cfRule type="containsText" dxfId="1227" priority="685" operator="containsText" text="Hold">
      <formula>NOT(ISERROR(SEARCH("Hold",K300)))</formula>
    </cfRule>
  </conditionalFormatting>
  <conditionalFormatting sqref="K267:L268">
    <cfRule type="cellIs" dxfId="1226" priority="1111" operator="equal">
      <formula>"HOLD"</formula>
    </cfRule>
    <cfRule type="cellIs" dxfId="1225" priority="1113" operator="equal">
      <formula>"wip"</formula>
    </cfRule>
    <cfRule type="cellIs" dxfId="1224" priority="1112" operator="equal">
      <formula>"ROW"</formula>
    </cfRule>
    <cfRule type="cellIs" dxfId="1223" priority="1114" operator="equal">
      <formula>"Completed"</formula>
    </cfRule>
    <cfRule type="cellIs" dxfId="1222" priority="1110" operator="equal">
      <formula>"completedw"</formula>
    </cfRule>
  </conditionalFormatting>
  <conditionalFormatting sqref="K289:L290">
    <cfRule type="cellIs" dxfId="1221" priority="793" operator="equal">
      <formula>"completedw"</formula>
    </cfRule>
    <cfRule type="cellIs" dxfId="1220" priority="795" operator="equal">
      <formula>"ROW"</formula>
    </cfRule>
    <cfRule type="cellIs" dxfId="1219" priority="796" operator="equal">
      <formula>"wip"</formula>
    </cfRule>
    <cfRule type="cellIs" dxfId="1218" priority="797" operator="equal">
      <formula>"Completed"</formula>
    </cfRule>
    <cfRule type="cellIs" dxfId="1217" priority="794" operator="equal">
      <formula>"HOLD"</formula>
    </cfRule>
  </conditionalFormatting>
  <conditionalFormatting sqref="K300:L301">
    <cfRule type="cellIs" dxfId="1216" priority="688" operator="equal">
      <formula>"ROW"</formula>
    </cfRule>
    <cfRule type="cellIs" dxfId="1215" priority="687" operator="equal">
      <formula>"HOLD"</formula>
    </cfRule>
    <cfRule type="cellIs" dxfId="1214" priority="686" operator="equal">
      <formula>"completedw"</formula>
    </cfRule>
    <cfRule type="cellIs" dxfId="1213" priority="689" operator="equal">
      <formula>"wip"</formula>
    </cfRule>
    <cfRule type="cellIs" dxfId="1212" priority="690" operator="equal">
      <formula>"Completed"</formula>
    </cfRule>
  </conditionalFormatting>
  <conditionalFormatting sqref="K14:AE15">
    <cfRule type="cellIs" dxfId="1211" priority="86" operator="equal">
      <formula>"Completed"</formula>
    </cfRule>
    <cfRule type="cellIs" dxfId="1210" priority="85" operator="equal">
      <formula>"wip"</formula>
    </cfRule>
  </conditionalFormatting>
  <conditionalFormatting sqref="K14:XFD15">
    <cfRule type="cellIs" dxfId="1209" priority="82" operator="equal">
      <formula>"completedw"</formula>
    </cfRule>
    <cfRule type="cellIs" dxfId="1208" priority="83" operator="equal">
      <formula>"HOLD"</formula>
    </cfRule>
    <cfRule type="cellIs" dxfId="1207" priority="84" operator="equal">
      <formula>"ROW"</formula>
    </cfRule>
  </conditionalFormatting>
  <conditionalFormatting sqref="L161">
    <cfRule type="cellIs" dxfId="1206" priority="1974" operator="equal">
      <formula>"wip"</formula>
    </cfRule>
    <cfRule type="cellIs" dxfId="1205" priority="1975" operator="equal">
      <formula>"Completed"</formula>
    </cfRule>
  </conditionalFormatting>
  <conditionalFormatting sqref="L172">
    <cfRule type="cellIs" dxfId="1204" priority="1945" operator="equal">
      <formula>"Completed"</formula>
    </cfRule>
    <cfRule type="cellIs" dxfId="1203" priority="1944" operator="equal">
      <formula>"wip"</formula>
    </cfRule>
  </conditionalFormatting>
  <conditionalFormatting sqref="L183">
    <cfRule type="cellIs" dxfId="1202" priority="1917" operator="equal">
      <formula>"Completed"</formula>
    </cfRule>
    <cfRule type="cellIs" dxfId="1201" priority="1916" operator="equal">
      <formula>"wip"</formula>
    </cfRule>
  </conditionalFormatting>
  <conditionalFormatting sqref="L193">
    <cfRule type="cellIs" dxfId="1200" priority="1889" operator="equal">
      <formula>"Completed"</formula>
    </cfRule>
    <cfRule type="cellIs" dxfId="1199" priority="1888" operator="equal">
      <formula>"wip"</formula>
    </cfRule>
  </conditionalFormatting>
  <conditionalFormatting sqref="L204">
    <cfRule type="cellIs" dxfId="1198" priority="1860" operator="equal">
      <formula>"wip"</formula>
    </cfRule>
    <cfRule type="cellIs" dxfId="1197" priority="1861" operator="equal">
      <formula>"Completed"</formula>
    </cfRule>
  </conditionalFormatting>
  <conditionalFormatting sqref="L215">
    <cfRule type="cellIs" dxfId="1196" priority="1832" operator="equal">
      <formula>"wip"</formula>
    </cfRule>
    <cfRule type="cellIs" dxfId="1195" priority="1833" operator="equal">
      <formula>"Completed"</formula>
    </cfRule>
  </conditionalFormatting>
  <conditionalFormatting sqref="L226">
    <cfRule type="cellIs" dxfId="1194" priority="1805" operator="equal">
      <formula>"Completed"</formula>
    </cfRule>
    <cfRule type="cellIs" dxfId="1193" priority="1804" operator="equal">
      <formula>"wip"</formula>
    </cfRule>
  </conditionalFormatting>
  <conditionalFormatting sqref="L236">
    <cfRule type="cellIs" dxfId="1192" priority="1725" operator="equal">
      <formula>"Completed"</formula>
    </cfRule>
    <cfRule type="cellIs" dxfId="1191" priority="1724" operator="equal">
      <formula>"wip"</formula>
    </cfRule>
  </conditionalFormatting>
  <conditionalFormatting sqref="L246">
    <cfRule type="cellIs" dxfId="1190" priority="1697" operator="equal">
      <formula>"Completed"</formula>
    </cfRule>
    <cfRule type="cellIs" dxfId="1189" priority="1696" operator="equal">
      <formula>"wip"</formula>
    </cfRule>
  </conditionalFormatting>
  <conditionalFormatting sqref="L256:M257">
    <cfRule type="cellIs" dxfId="1188" priority="1172" operator="equal">
      <formula>"ROW"</formula>
    </cfRule>
    <cfRule type="cellIs" dxfId="1187" priority="1171" operator="equal">
      <formula>"HOLD"</formula>
    </cfRule>
    <cfRule type="cellIs" dxfId="1186" priority="1170" operator="equal">
      <formula>"completedw"</formula>
    </cfRule>
    <cfRule type="cellIs" dxfId="1185" priority="1173" operator="equal">
      <formula>"wip"</formula>
    </cfRule>
    <cfRule type="cellIs" dxfId="1184" priority="1174" operator="equal">
      <formula>"Completed"</formula>
    </cfRule>
  </conditionalFormatting>
  <conditionalFormatting sqref="L278:M279">
    <cfRule type="cellIs" dxfId="1183" priority="1005" operator="equal">
      <formula>"wip"</formula>
    </cfRule>
    <cfRule type="cellIs" dxfId="1182" priority="1002" operator="equal">
      <formula>"completedw"</formula>
    </cfRule>
    <cfRule type="cellIs" dxfId="1181" priority="1003" operator="equal">
      <formula>"HOLD"</formula>
    </cfRule>
    <cfRule type="cellIs" dxfId="1180" priority="1004" operator="equal">
      <formula>"ROW"</formula>
    </cfRule>
    <cfRule type="cellIs" dxfId="1179" priority="1006" operator="equal">
      <formula>"Completed"</formula>
    </cfRule>
  </conditionalFormatting>
  <conditionalFormatting sqref="L25:N26">
    <cfRule type="cellIs" dxfId="1178" priority="848" operator="equal">
      <formula>"completedw"</formula>
    </cfRule>
    <cfRule type="cellIs" dxfId="1177" priority="849" operator="equal">
      <formula>"HOLD"</formula>
    </cfRule>
    <cfRule type="cellIs" dxfId="1176" priority="851" operator="equal">
      <formula>"wip"</formula>
    </cfRule>
    <cfRule type="cellIs" dxfId="1175" priority="850" operator="equal">
      <formula>"ROW"</formula>
    </cfRule>
    <cfRule type="cellIs" dxfId="1174" priority="852" operator="equal">
      <formula>"Completed"</formula>
    </cfRule>
  </conditionalFormatting>
  <conditionalFormatting sqref="L197:N197">
    <cfRule type="cellIs" dxfId="1173" priority="116" operator="equal">
      <formula>"ROW"</formula>
    </cfRule>
    <cfRule type="cellIs" dxfId="1172" priority="115" operator="equal">
      <formula>"HOLD"</formula>
    </cfRule>
    <cfRule type="cellIs" dxfId="1171" priority="114" operator="equal">
      <formula>"completedw"</formula>
    </cfRule>
  </conditionalFormatting>
  <conditionalFormatting sqref="L122:Y122">
    <cfRule type="cellIs" dxfId="1170" priority="147" operator="equal">
      <formula>"completedw"</formula>
    </cfRule>
    <cfRule type="cellIs" dxfId="1169" priority="149" operator="equal">
      <formula>"ROW"</formula>
    </cfRule>
    <cfRule type="cellIs" dxfId="1168" priority="148" operator="equal">
      <formula>"HOLD"</formula>
    </cfRule>
  </conditionalFormatting>
  <conditionalFormatting sqref="M18:M19">
    <cfRule type="cellIs" dxfId="1167" priority="861" operator="equal">
      <formula>"HOLD"</formula>
    </cfRule>
    <cfRule type="cellIs" dxfId="1166" priority="862" operator="equal">
      <formula>"ROW"</formula>
    </cfRule>
    <cfRule type="cellIs" dxfId="1165" priority="860" operator="equal">
      <formula>"completedw"</formula>
    </cfRule>
  </conditionalFormatting>
  <conditionalFormatting sqref="M25:M26">
    <cfRule type="containsText" dxfId="1164" priority="847" operator="containsText" text="Hold">
      <formula>NOT(ISERROR(SEARCH("Hold",M25)))</formula>
    </cfRule>
  </conditionalFormatting>
  <conditionalFormatting sqref="M40">
    <cfRule type="cellIs" dxfId="1163" priority="436" operator="equal">
      <formula>"completedw"</formula>
    </cfRule>
    <cfRule type="cellIs" dxfId="1162" priority="437" operator="equal">
      <formula>"HOLD"</formula>
    </cfRule>
    <cfRule type="cellIs" dxfId="1161" priority="438" operator="equal">
      <formula>"ROW"</formula>
    </cfRule>
  </conditionalFormatting>
  <conditionalFormatting sqref="M50:M51">
    <cfRule type="cellIs" dxfId="1160" priority="410" operator="equal">
      <formula>"HOLD"</formula>
    </cfRule>
    <cfRule type="cellIs" dxfId="1159" priority="411" operator="equal">
      <formula>"ROW"</formula>
    </cfRule>
    <cfRule type="cellIs" dxfId="1158" priority="409" operator="equal">
      <formula>"completedw"</formula>
    </cfRule>
  </conditionalFormatting>
  <conditionalFormatting sqref="M61:M62">
    <cfRule type="cellIs" dxfId="1157" priority="370" operator="equal">
      <formula>"completedw"</formula>
    </cfRule>
    <cfRule type="cellIs" dxfId="1156" priority="371" operator="equal">
      <formula>"HOLD"</formula>
    </cfRule>
    <cfRule type="cellIs" dxfId="1155" priority="372" operator="equal">
      <formula>"ROW"</formula>
    </cfRule>
  </conditionalFormatting>
  <conditionalFormatting sqref="M79:M80">
    <cfRule type="containsText" dxfId="1154" priority="1332" operator="containsText" text="Hold">
      <formula>NOT(ISERROR(SEARCH("Hold",M79)))</formula>
    </cfRule>
  </conditionalFormatting>
  <conditionalFormatting sqref="M103:M104">
    <cfRule type="containsText" dxfId="1153" priority="1441" operator="containsText" text="Hold">
      <formula>NOT(ISERROR(SEARCH("Hold",M103)))</formula>
    </cfRule>
  </conditionalFormatting>
  <conditionalFormatting sqref="M115:M116">
    <cfRule type="containsText" dxfId="1152" priority="600" operator="containsText" text="Hold">
      <formula>NOT(ISERROR(SEARCH("Hold",M115)))</formula>
    </cfRule>
  </conditionalFormatting>
  <conditionalFormatting sqref="M127:M128">
    <cfRule type="containsText" dxfId="1151" priority="39" operator="containsText" text="Hold">
      <formula>NOT(ISERROR(SEARCH("Hold",M127)))</formula>
    </cfRule>
  </conditionalFormatting>
  <conditionalFormatting sqref="M139:M140">
    <cfRule type="containsText" dxfId="1150" priority="1416" operator="containsText" text="Hold">
      <formula>NOT(ISERROR(SEARCH("Hold",M139)))</formula>
    </cfRule>
  </conditionalFormatting>
  <conditionalFormatting sqref="M150:M151">
    <cfRule type="containsText" dxfId="1149" priority="480" operator="containsText" text="Hold">
      <formula>NOT(ISERROR(SEARCH("Hold",M150)))</formula>
    </cfRule>
  </conditionalFormatting>
  <conditionalFormatting sqref="M165:M166">
    <cfRule type="cellIs" dxfId="1148" priority="289" operator="equal">
      <formula>"completedw"</formula>
    </cfRule>
    <cfRule type="cellIs" dxfId="1147" priority="290" operator="equal">
      <formula>"HOLD"</formula>
    </cfRule>
    <cfRule type="cellIs" dxfId="1146" priority="291" operator="equal">
      <formula>"ROW"</formula>
    </cfRule>
  </conditionalFormatting>
  <conditionalFormatting sqref="M168:M173">
    <cfRule type="cellIs" dxfId="1145" priority="505" operator="equal">
      <formula>"ROW"</formula>
    </cfRule>
    <cfRule type="cellIs" dxfId="1144" priority="504" operator="equal">
      <formula>"HOLD"</formula>
    </cfRule>
    <cfRule type="cellIs" dxfId="1143" priority="503" operator="equal">
      <formula>"completedw"</formula>
    </cfRule>
  </conditionalFormatting>
  <conditionalFormatting sqref="M172:M173">
    <cfRule type="cellIs" dxfId="1142" priority="507" operator="equal">
      <formula>"Completed"</formula>
    </cfRule>
    <cfRule type="cellIs" dxfId="1141" priority="506" operator="equal">
      <formula>"wip"</formula>
    </cfRule>
    <cfRule type="containsText" dxfId="1140" priority="502" operator="containsText" text="Hold">
      <formula>NOT(ISERROR(SEARCH("Hold",M172)))</formula>
    </cfRule>
  </conditionalFormatting>
  <conditionalFormatting sqref="M177">
    <cfRule type="cellIs" dxfId="1139" priority="856" operator="equal">
      <formula>"completedw"</formula>
    </cfRule>
    <cfRule type="cellIs" dxfId="1138" priority="858" operator="equal">
      <formula>"ROW"</formula>
    </cfRule>
    <cfRule type="cellIs" dxfId="1137" priority="857" operator="equal">
      <formula>"HOLD"</formula>
    </cfRule>
  </conditionalFormatting>
  <conditionalFormatting sqref="M183:M184">
    <cfRule type="containsText" dxfId="1136" priority="611" operator="containsText" text="Hold">
      <formula>NOT(ISERROR(SEARCH("Hold",M183)))</formula>
    </cfRule>
  </conditionalFormatting>
  <conditionalFormatting sqref="M204:M205">
    <cfRule type="containsText" dxfId="1135" priority="1295" operator="containsText" text="Hold">
      <formula>NOT(ISERROR(SEARCH("Hold",M204)))</formula>
    </cfRule>
  </conditionalFormatting>
  <conditionalFormatting sqref="M215:M216">
    <cfRule type="containsText" dxfId="1134" priority="1278" operator="containsText" text="Hold">
      <formula>NOT(ISERROR(SEARCH("Hold",M215)))</formula>
    </cfRule>
  </conditionalFormatting>
  <conditionalFormatting sqref="M226:M227">
    <cfRule type="containsText" dxfId="1133" priority="1268" operator="containsText" text="Hold">
      <formula>NOT(ISERROR(SEARCH("Hold",M226)))</formula>
    </cfRule>
  </conditionalFormatting>
  <conditionalFormatting sqref="M236:M237">
    <cfRule type="containsText" dxfId="1132" priority="1251" operator="containsText" text="Hold">
      <formula>NOT(ISERROR(SEARCH("Hold",M236)))</formula>
    </cfRule>
  </conditionalFormatting>
  <conditionalFormatting sqref="M246:M247">
    <cfRule type="containsText" dxfId="1131" priority="1241" operator="containsText" text="Hold">
      <formula>NOT(ISERROR(SEARCH("Hold",M246)))</formula>
    </cfRule>
  </conditionalFormatting>
  <conditionalFormatting sqref="M256:M257">
    <cfRule type="containsText" dxfId="1130" priority="1169" operator="containsText" text="Hold">
      <formula>NOT(ISERROR(SEARCH("Hold",M256)))</formula>
    </cfRule>
  </conditionalFormatting>
  <conditionalFormatting sqref="M267:M268">
    <cfRule type="containsText" dxfId="1129" priority="1103" operator="containsText" text="Hold">
      <formula>NOT(ISERROR(SEARCH("Hold",M267)))</formula>
    </cfRule>
  </conditionalFormatting>
  <conditionalFormatting sqref="M278:M279">
    <cfRule type="containsText" dxfId="1128" priority="1001" operator="containsText" text="Hold">
      <formula>NOT(ISERROR(SEARCH("Hold",M278)))</formula>
    </cfRule>
  </conditionalFormatting>
  <conditionalFormatting sqref="M289:M290">
    <cfRule type="containsText" dxfId="1127" priority="786" operator="containsText" text="Hold">
      <formula>NOT(ISERROR(SEARCH("Hold",M289)))</formula>
    </cfRule>
  </conditionalFormatting>
  <conditionalFormatting sqref="M300:M301">
    <cfRule type="containsText" dxfId="1126" priority="679" operator="containsText" text="Hold">
      <formula>NOT(ISERROR(SEARCH("Hold",M300)))</formula>
    </cfRule>
  </conditionalFormatting>
  <conditionalFormatting sqref="M79:N80">
    <cfRule type="cellIs" dxfId="1125" priority="1336" operator="equal">
      <formula>"wip"</formula>
    </cfRule>
    <cfRule type="cellIs" dxfId="1124" priority="1333" operator="equal">
      <formula>"completedw"</formula>
    </cfRule>
    <cfRule type="cellIs" dxfId="1123" priority="1337" operator="equal">
      <formula>"Completed"</formula>
    </cfRule>
    <cfRule type="cellIs" dxfId="1122" priority="1334" operator="equal">
      <formula>"HOLD"</formula>
    </cfRule>
    <cfRule type="cellIs" dxfId="1121" priority="1335" operator="equal">
      <formula>"ROW"</formula>
    </cfRule>
  </conditionalFormatting>
  <conditionalFormatting sqref="M267:N268">
    <cfRule type="cellIs" dxfId="1120" priority="1105" operator="equal">
      <formula>"HOLD"</formula>
    </cfRule>
    <cfRule type="cellIs" dxfId="1119" priority="1106" operator="equal">
      <formula>"ROW"</formula>
    </cfRule>
    <cfRule type="cellIs" dxfId="1118" priority="1107" operator="equal">
      <formula>"wip"</formula>
    </cfRule>
    <cfRule type="cellIs" dxfId="1117" priority="1108" operator="equal">
      <formula>"Completed"</formula>
    </cfRule>
    <cfRule type="cellIs" dxfId="1116" priority="1104" operator="equal">
      <formula>"completedw"</formula>
    </cfRule>
  </conditionalFormatting>
  <conditionalFormatting sqref="M289:N290">
    <cfRule type="cellIs" dxfId="1115" priority="789" operator="equal">
      <formula>"ROW"</formula>
    </cfRule>
    <cfRule type="cellIs" dxfId="1114" priority="788" operator="equal">
      <formula>"HOLD"</formula>
    </cfRule>
    <cfRule type="cellIs" dxfId="1113" priority="790" operator="equal">
      <formula>"wip"</formula>
    </cfRule>
    <cfRule type="cellIs" dxfId="1112" priority="787" operator="equal">
      <formula>"completedw"</formula>
    </cfRule>
    <cfRule type="cellIs" dxfId="1111" priority="791" operator="equal">
      <formula>"Completed"</formula>
    </cfRule>
  </conditionalFormatting>
  <conditionalFormatting sqref="M300:N301">
    <cfRule type="cellIs" dxfId="1110" priority="681" operator="equal">
      <formula>"HOLD"</formula>
    </cfRule>
    <cfRule type="cellIs" dxfId="1109" priority="680" operator="equal">
      <formula>"completedw"</formula>
    </cfRule>
    <cfRule type="cellIs" dxfId="1108" priority="684" operator="equal">
      <formula>"Completed"</formula>
    </cfRule>
    <cfRule type="cellIs" dxfId="1107" priority="683" operator="equal">
      <formula>"wip"</formula>
    </cfRule>
    <cfRule type="cellIs" dxfId="1106" priority="682" operator="equal">
      <formula>"ROW"</formula>
    </cfRule>
  </conditionalFormatting>
  <conditionalFormatting sqref="M95:S96">
    <cfRule type="cellIs" dxfId="1105" priority="333" operator="equal">
      <formula>"ROW"</formula>
    </cfRule>
    <cfRule type="cellIs" dxfId="1104" priority="332" operator="equal">
      <formula>"HOLD"</formula>
    </cfRule>
    <cfRule type="cellIs" dxfId="1103" priority="331" operator="equal">
      <formula>"completedw"</formula>
    </cfRule>
  </conditionalFormatting>
  <conditionalFormatting sqref="M123:S123">
    <cfRule type="cellIs" dxfId="1102" priority="855" operator="equal">
      <formula>"ROW"</formula>
    </cfRule>
    <cfRule type="cellIs" dxfId="1101" priority="854" operator="equal">
      <formula>"HOLD"</formula>
    </cfRule>
    <cfRule type="cellIs" dxfId="1100" priority="853" operator="equal">
      <formula>"completedw"</formula>
    </cfRule>
  </conditionalFormatting>
  <conditionalFormatting sqref="M72:U73">
    <cfRule type="cellIs" dxfId="1099" priority="353" operator="equal">
      <formula>"HOLD"</formula>
    </cfRule>
    <cfRule type="cellIs" dxfId="1098" priority="352" operator="equal">
      <formula>"completedw"</formula>
    </cfRule>
    <cfRule type="cellIs" dxfId="1097" priority="354" operator="equal">
      <formula>"ROW"</formula>
    </cfRule>
  </conditionalFormatting>
  <conditionalFormatting sqref="M174:AC174">
    <cfRule type="cellIs" dxfId="1096" priority="617" operator="equal">
      <formula>"wip"</formula>
    </cfRule>
  </conditionalFormatting>
  <conditionalFormatting sqref="M174:AG175">
    <cfRule type="cellIs" dxfId="1095" priority="615" operator="equal">
      <formula>"ROW"</formula>
    </cfRule>
    <cfRule type="cellIs" dxfId="1094" priority="614" operator="equal">
      <formula>"HOLD"</formula>
    </cfRule>
    <cfRule type="cellIs" dxfId="1093" priority="613" operator="equal">
      <formula>"completedw"</formula>
    </cfRule>
  </conditionalFormatting>
  <conditionalFormatting sqref="N161">
    <cfRule type="cellIs" dxfId="1092" priority="1972" operator="equal">
      <formula>"wip"</formula>
    </cfRule>
    <cfRule type="cellIs" dxfId="1091" priority="1973" operator="equal">
      <formula>"Completed"</formula>
    </cfRule>
  </conditionalFormatting>
  <conditionalFormatting sqref="N172">
    <cfRule type="cellIs" dxfId="1090" priority="1946" operator="equal">
      <formula>"wip"</formula>
    </cfRule>
    <cfRule type="cellIs" dxfId="1089" priority="1947" operator="equal">
      <formula>"Completed"</formula>
    </cfRule>
  </conditionalFormatting>
  <conditionalFormatting sqref="N183">
    <cfRule type="cellIs" dxfId="1088" priority="1914" operator="equal">
      <formula>"wip"</formula>
    </cfRule>
    <cfRule type="cellIs" dxfId="1087" priority="1915" operator="equal">
      <formula>"Completed"</formula>
    </cfRule>
  </conditionalFormatting>
  <conditionalFormatting sqref="N193">
    <cfRule type="cellIs" dxfId="1086" priority="1887" operator="equal">
      <formula>"Completed"</formula>
    </cfRule>
    <cfRule type="cellIs" dxfId="1085" priority="1886" operator="equal">
      <formula>"wip"</formula>
    </cfRule>
  </conditionalFormatting>
  <conditionalFormatting sqref="N204">
    <cfRule type="cellIs" dxfId="1084" priority="1858" operator="equal">
      <formula>"wip"</formula>
    </cfRule>
    <cfRule type="cellIs" dxfId="1083" priority="1859" operator="equal">
      <formula>"Completed"</formula>
    </cfRule>
  </conditionalFormatting>
  <conditionalFormatting sqref="N215">
    <cfRule type="cellIs" dxfId="1082" priority="1830" operator="equal">
      <formula>"wip"</formula>
    </cfRule>
    <cfRule type="cellIs" dxfId="1081" priority="1831" operator="equal">
      <formula>"Completed"</formula>
    </cfRule>
  </conditionalFormatting>
  <conditionalFormatting sqref="N226">
    <cfRule type="cellIs" dxfId="1080" priority="1802" operator="equal">
      <formula>"wip"</formula>
    </cfRule>
    <cfRule type="cellIs" dxfId="1079" priority="1803" operator="equal">
      <formula>"Completed"</formula>
    </cfRule>
  </conditionalFormatting>
  <conditionalFormatting sqref="N236">
    <cfRule type="cellIs" dxfId="1078" priority="1723" operator="equal">
      <formula>"Completed"</formula>
    </cfRule>
    <cfRule type="cellIs" dxfId="1077" priority="1722" operator="equal">
      <formula>"wip"</formula>
    </cfRule>
  </conditionalFormatting>
  <conditionalFormatting sqref="N246">
    <cfRule type="cellIs" dxfId="1076" priority="1694" operator="equal">
      <formula>"wip"</formula>
    </cfRule>
    <cfRule type="cellIs" dxfId="1075" priority="1695" operator="equal">
      <formula>"Completed"</formula>
    </cfRule>
  </conditionalFormatting>
  <conditionalFormatting sqref="N256:P256 N257:Q257">
    <cfRule type="cellIs" dxfId="1074" priority="1179" operator="equal">
      <formula>"wip"</formula>
    </cfRule>
    <cfRule type="cellIs" dxfId="1073" priority="1180" operator="equal">
      <formula>"Completed"</formula>
    </cfRule>
    <cfRule type="cellIs" dxfId="1072" priority="1178" operator="equal">
      <formula>"ROW"</formula>
    </cfRule>
    <cfRule type="cellIs" dxfId="1071" priority="1177" operator="equal">
      <formula>"HOLD"</formula>
    </cfRule>
    <cfRule type="cellIs" dxfId="1070" priority="1176" operator="equal">
      <formula>"completedw"</formula>
    </cfRule>
  </conditionalFormatting>
  <conditionalFormatting sqref="N278:P278 N279:Q279">
    <cfRule type="cellIs" dxfId="1069" priority="1009" operator="equal">
      <formula>"HOLD"</formula>
    </cfRule>
    <cfRule type="cellIs" dxfId="1068" priority="1008" operator="equal">
      <formula>"completedw"</formula>
    </cfRule>
    <cfRule type="cellIs" dxfId="1067" priority="1012" operator="equal">
      <formula>"Completed"</formula>
    </cfRule>
    <cfRule type="cellIs" dxfId="1066" priority="1011" operator="equal">
      <formula>"wip"</formula>
    </cfRule>
    <cfRule type="cellIs" dxfId="1065" priority="1010" operator="equal">
      <formula>"ROW"</formula>
    </cfRule>
  </conditionalFormatting>
  <conditionalFormatting sqref="N220:W220">
    <cfRule type="cellIs" dxfId="1064" priority="10" operator="equal">
      <formula>"completedw"</formula>
    </cfRule>
    <cfRule type="cellIs" dxfId="1063" priority="11" operator="equal">
      <formula>"HOLD"</formula>
    </cfRule>
    <cfRule type="cellIs" dxfId="1062" priority="12" operator="equal">
      <formula>"ROW"</formula>
    </cfRule>
  </conditionalFormatting>
  <conditionalFormatting sqref="N169:AG171">
    <cfRule type="cellIs" dxfId="1061" priority="1638" operator="equal">
      <formula>"HOLD"</formula>
    </cfRule>
    <cfRule type="cellIs" dxfId="1060" priority="1639" operator="equal">
      <formula>"ROW"</formula>
    </cfRule>
    <cfRule type="cellIs" dxfId="1059" priority="1637" operator="equal">
      <formula>"completedw"</formula>
    </cfRule>
  </conditionalFormatting>
  <conditionalFormatting sqref="O256:P256 O257:Q257">
    <cfRule type="containsText" dxfId="1058" priority="1175" operator="containsText" text="Hold">
      <formula>NOT(ISERROR(SEARCH("Hold",O256)))</formula>
    </cfRule>
  </conditionalFormatting>
  <conditionalFormatting sqref="O278:P278 O279:Q279">
    <cfRule type="containsText" dxfId="1057" priority="1007" operator="containsText" text="Hold">
      <formula>NOT(ISERROR(SEARCH("Hold",O278)))</formula>
    </cfRule>
  </conditionalFormatting>
  <conditionalFormatting sqref="O18:Q19">
    <cfRule type="cellIs" dxfId="1056" priority="477" operator="equal">
      <formula>"ROW"</formula>
    </cfRule>
    <cfRule type="cellIs" dxfId="1055" priority="476" operator="equal">
      <formula>"HOLD"</formula>
    </cfRule>
    <cfRule type="cellIs" dxfId="1054" priority="475" operator="equal">
      <formula>"completedw"</formula>
    </cfRule>
  </conditionalFormatting>
  <conditionalFormatting sqref="O25:Q26">
    <cfRule type="cellIs" dxfId="1053" priority="34" operator="equal">
      <formula>"wip"</formula>
    </cfRule>
    <cfRule type="cellIs" dxfId="1052" priority="35" operator="equal">
      <formula>"Completed"</formula>
    </cfRule>
    <cfRule type="containsText" dxfId="1051" priority="30" operator="containsText" text="Hold">
      <formula>NOT(ISERROR(SEARCH("Hold",O25)))</formula>
    </cfRule>
    <cfRule type="cellIs" dxfId="1050" priority="31" operator="equal">
      <formula>"completedw"</formula>
    </cfRule>
    <cfRule type="cellIs" dxfId="1049" priority="32" operator="equal">
      <formula>"HOLD"</formula>
    </cfRule>
    <cfRule type="cellIs" dxfId="1048" priority="33" operator="equal">
      <formula>"ROW"</formula>
    </cfRule>
  </conditionalFormatting>
  <conditionalFormatting sqref="O50:Q51">
    <cfRule type="cellIs" dxfId="1047" priority="408" operator="equal">
      <formula>"ROW"</formula>
    </cfRule>
    <cfRule type="cellIs" dxfId="1046" priority="407" operator="equal">
      <formula>"HOLD"</formula>
    </cfRule>
    <cfRule type="cellIs" dxfId="1045" priority="406" operator="equal">
      <formula>"completedw"</formula>
    </cfRule>
  </conditionalFormatting>
  <conditionalFormatting sqref="O61:Q62">
    <cfRule type="cellIs" dxfId="1044" priority="375" operator="equal">
      <formula>"ROW"</formula>
    </cfRule>
    <cfRule type="cellIs" dxfId="1043" priority="373" operator="equal">
      <formula>"completedw"</formula>
    </cfRule>
    <cfRule type="cellIs" dxfId="1042" priority="374" operator="equal">
      <formula>"HOLD"</formula>
    </cfRule>
  </conditionalFormatting>
  <conditionalFormatting sqref="O68:Q69">
    <cfRule type="containsText" dxfId="1041" priority="1374" operator="containsText" text="Hold">
      <formula>NOT(ISERROR(SEARCH("Hold",O68)))</formula>
    </cfRule>
  </conditionalFormatting>
  <conditionalFormatting sqref="O79:Q80">
    <cfRule type="containsText" dxfId="1040" priority="1320" operator="containsText" text="Hold">
      <formula>NOT(ISERROR(SEARCH("Hold",O79)))</formula>
    </cfRule>
  </conditionalFormatting>
  <conditionalFormatting sqref="O91:Q92">
    <cfRule type="containsText" dxfId="1039" priority="1444" operator="containsText" text="Hold">
      <formula>NOT(ISERROR(SEARCH("Hold",O91)))</formula>
    </cfRule>
  </conditionalFormatting>
  <conditionalFormatting sqref="O103:Q104">
    <cfRule type="containsText" dxfId="1038" priority="1422" operator="containsText" text="Hold">
      <formula>NOT(ISERROR(SEARCH("Hold",O103)))</formula>
    </cfRule>
  </conditionalFormatting>
  <conditionalFormatting sqref="O115:Q116">
    <cfRule type="containsText" dxfId="1037" priority="599" operator="containsText" text="Hold">
      <formula>NOT(ISERROR(SEARCH("Hold",O115)))</formula>
    </cfRule>
  </conditionalFormatting>
  <conditionalFormatting sqref="O127:Q128">
    <cfRule type="containsText" dxfId="1036" priority="1440" operator="containsText" text="Hold">
      <formula>NOT(ISERROR(SEARCH("Hold",O127)))</formula>
    </cfRule>
  </conditionalFormatting>
  <conditionalFormatting sqref="O131:Q132 O134:Q134">
    <cfRule type="cellIs" dxfId="1035" priority="323" operator="equal">
      <formula>"HOLD"</formula>
    </cfRule>
    <cfRule type="cellIs" dxfId="1034" priority="324" operator="equal">
      <formula>"ROW"</formula>
    </cfRule>
    <cfRule type="cellIs" dxfId="1033" priority="322" operator="equal">
      <formula>"completedw"</formula>
    </cfRule>
  </conditionalFormatting>
  <conditionalFormatting sqref="O139:Q140">
    <cfRule type="containsText" dxfId="1032" priority="1415" operator="containsText" text="Hold">
      <formula>NOT(ISERROR(SEARCH("Hold",O139)))</formula>
    </cfRule>
  </conditionalFormatting>
  <conditionalFormatting sqref="O150:Q151">
    <cfRule type="containsText" dxfId="1031" priority="479" operator="containsText" text="Hold">
      <formula>NOT(ISERROR(SEARCH("Hold",O150)))</formula>
    </cfRule>
  </conditionalFormatting>
  <conditionalFormatting sqref="O165:Q166">
    <cfRule type="cellIs" dxfId="1030" priority="294" operator="equal">
      <formula>"ROW"</formula>
    </cfRule>
    <cfRule type="cellIs" dxfId="1029" priority="292" operator="equal">
      <formula>"completedw"</formula>
    </cfRule>
    <cfRule type="cellIs" dxfId="1028" priority="293" operator="equal">
      <formula>"HOLD"</formula>
    </cfRule>
  </conditionalFormatting>
  <conditionalFormatting sqref="O176:Q176">
    <cfRule type="cellIs" dxfId="1027" priority="271" operator="equal">
      <formula>"completedw"</formula>
    </cfRule>
    <cfRule type="cellIs" dxfId="1026" priority="272" operator="equal">
      <formula>"HOLD"</formula>
    </cfRule>
    <cfRule type="cellIs" dxfId="1025" priority="273" operator="equal">
      <formula>"ROW"</formula>
    </cfRule>
  </conditionalFormatting>
  <conditionalFormatting sqref="O179:Q179">
    <cfRule type="cellIs" dxfId="1024" priority="875" operator="equal">
      <formula>"completedw"</formula>
    </cfRule>
    <cfRule type="cellIs" dxfId="1023" priority="876" operator="equal">
      <formula>"HOLD"</formula>
    </cfRule>
    <cfRule type="cellIs" dxfId="1022" priority="877" operator="equal">
      <formula>"ROW"</formula>
    </cfRule>
  </conditionalFormatting>
  <conditionalFormatting sqref="O183:Q184">
    <cfRule type="containsText" dxfId="1021" priority="610" operator="containsText" text="Hold">
      <formula>NOT(ISERROR(SEARCH("Hold",O183)))</formula>
    </cfRule>
  </conditionalFormatting>
  <conditionalFormatting sqref="O197:Q198">
    <cfRule type="cellIs" dxfId="1020" priority="66" operator="equal">
      <formula>"completedw"</formula>
    </cfRule>
    <cfRule type="cellIs" dxfId="1019" priority="68" operator="equal">
      <formula>"ROW"</formula>
    </cfRule>
    <cfRule type="cellIs" dxfId="1018" priority="67" operator="equal">
      <formula>"HOLD"</formula>
    </cfRule>
  </conditionalFormatting>
  <conditionalFormatting sqref="O204:Q205">
    <cfRule type="containsText" dxfId="1017" priority="1294" operator="containsText" text="Hold">
      <formula>NOT(ISERROR(SEARCH("Hold",O204)))</formula>
    </cfRule>
  </conditionalFormatting>
  <conditionalFormatting sqref="O215:Q216">
    <cfRule type="containsText" dxfId="1016" priority="1279" operator="containsText" text="Hold">
      <formula>NOT(ISERROR(SEARCH("Hold",O215)))</formula>
    </cfRule>
  </conditionalFormatting>
  <conditionalFormatting sqref="O226:Q227">
    <cfRule type="containsText" dxfId="1015" priority="1267" operator="containsText" text="Hold">
      <formula>NOT(ISERROR(SEARCH("Hold",O226)))</formula>
    </cfRule>
  </conditionalFormatting>
  <conditionalFormatting sqref="O236:Q237">
    <cfRule type="containsText" dxfId="1014" priority="1252" operator="containsText" text="Hold">
      <formula>NOT(ISERROR(SEARCH("Hold",O236)))</formula>
    </cfRule>
  </conditionalFormatting>
  <conditionalFormatting sqref="O246:Q247">
    <cfRule type="containsText" dxfId="1013" priority="1240" operator="containsText" text="Hold">
      <formula>NOT(ISERROR(SEARCH("Hold",O246)))</formula>
    </cfRule>
  </conditionalFormatting>
  <conditionalFormatting sqref="O267:Q268">
    <cfRule type="containsText" dxfId="1012" priority="1097" operator="containsText" text="Hold">
      <formula>NOT(ISERROR(SEARCH("Hold",O267)))</formula>
    </cfRule>
  </conditionalFormatting>
  <conditionalFormatting sqref="O289:Q290">
    <cfRule type="containsText" dxfId="1011" priority="780" operator="containsText" text="Hold">
      <formula>NOT(ISERROR(SEARCH("Hold",O289)))</formula>
    </cfRule>
  </conditionalFormatting>
  <conditionalFormatting sqref="O300:Q301">
    <cfRule type="containsText" dxfId="1010" priority="673" operator="containsText" text="Hold">
      <formula>NOT(ISERROR(SEARCH("Hold",O300)))</formula>
    </cfRule>
  </conditionalFormatting>
  <conditionalFormatting sqref="O79:R80">
    <cfRule type="cellIs" dxfId="1009" priority="1321" operator="equal">
      <formula>"completedw"</formula>
    </cfRule>
    <cfRule type="cellIs" dxfId="1008" priority="1322" operator="equal">
      <formula>"HOLD"</formula>
    </cfRule>
    <cfRule type="cellIs" dxfId="1007" priority="1324" operator="equal">
      <formula>"wip"</formula>
    </cfRule>
    <cfRule type="cellIs" dxfId="1006" priority="1325" operator="equal">
      <formula>"Completed"</formula>
    </cfRule>
    <cfRule type="cellIs" dxfId="1005" priority="1323" operator="equal">
      <formula>"ROW"</formula>
    </cfRule>
  </conditionalFormatting>
  <conditionalFormatting sqref="O267:R268">
    <cfRule type="cellIs" dxfId="1004" priority="1098" operator="equal">
      <formula>"completedw"</formula>
    </cfRule>
    <cfRule type="cellIs" dxfId="1003" priority="1099" operator="equal">
      <formula>"HOLD"</formula>
    </cfRule>
    <cfRule type="cellIs" dxfId="1002" priority="1101" operator="equal">
      <formula>"wip"</formula>
    </cfRule>
    <cfRule type="cellIs" dxfId="1001" priority="1100" operator="equal">
      <formula>"ROW"</formula>
    </cfRule>
    <cfRule type="cellIs" dxfId="1000" priority="1102" operator="equal">
      <formula>"Completed"</formula>
    </cfRule>
  </conditionalFormatting>
  <conditionalFormatting sqref="O289:R290">
    <cfRule type="cellIs" dxfId="999" priority="782" operator="equal">
      <formula>"HOLD"</formula>
    </cfRule>
    <cfRule type="cellIs" dxfId="998" priority="783" operator="equal">
      <formula>"ROW"</formula>
    </cfRule>
    <cfRule type="cellIs" dxfId="997" priority="785" operator="equal">
      <formula>"Completed"</formula>
    </cfRule>
    <cfRule type="cellIs" dxfId="996" priority="784" operator="equal">
      <formula>"wip"</formula>
    </cfRule>
    <cfRule type="cellIs" dxfId="995" priority="781" operator="equal">
      <formula>"completedw"</formula>
    </cfRule>
  </conditionalFormatting>
  <conditionalFormatting sqref="O300:R301">
    <cfRule type="cellIs" dxfId="994" priority="674" operator="equal">
      <formula>"completedw"</formula>
    </cfRule>
    <cfRule type="cellIs" dxfId="993" priority="675" operator="equal">
      <formula>"HOLD"</formula>
    </cfRule>
    <cfRule type="cellIs" dxfId="992" priority="676" operator="equal">
      <formula>"ROW"</formula>
    </cfRule>
    <cfRule type="cellIs" dxfId="991" priority="677" operator="equal">
      <formula>"wip"</formula>
    </cfRule>
    <cfRule type="cellIs" dxfId="990" priority="678" operator="equal">
      <formula>"Completed"</formula>
    </cfRule>
  </conditionalFormatting>
  <conditionalFormatting sqref="O40:S40">
    <cfRule type="cellIs" dxfId="989" priority="434" operator="equal">
      <formula>"HOLD"</formula>
    </cfRule>
    <cfRule type="cellIs" dxfId="988" priority="433" operator="equal">
      <formula>"completedw"</formula>
    </cfRule>
    <cfRule type="cellIs" dxfId="987" priority="435" operator="equal">
      <formula>"ROW"</formula>
    </cfRule>
  </conditionalFormatting>
  <conditionalFormatting sqref="Q256">
    <cfRule type="cellIs" dxfId="986" priority="27" operator="equal">
      <formula>"ROW"</formula>
    </cfRule>
    <cfRule type="cellIs" dxfId="985" priority="29" operator="equal">
      <formula>"Completed"</formula>
    </cfRule>
    <cfRule type="cellIs" dxfId="984" priority="28" operator="equal">
      <formula>"wip"</formula>
    </cfRule>
    <cfRule type="cellIs" dxfId="983" priority="26" operator="equal">
      <formula>"HOLD"</formula>
    </cfRule>
    <cfRule type="cellIs" dxfId="982" priority="25" operator="equal">
      <formula>"completedw"</formula>
    </cfRule>
  </conditionalFormatting>
  <conditionalFormatting sqref="Q278">
    <cfRule type="cellIs" dxfId="981" priority="22" operator="equal">
      <formula>"ROW"</formula>
    </cfRule>
    <cfRule type="cellIs" dxfId="980" priority="20" operator="equal">
      <formula>"completedw"</formula>
    </cfRule>
    <cfRule type="cellIs" dxfId="979" priority="21" operator="equal">
      <formula>"HOLD"</formula>
    </cfRule>
    <cfRule type="cellIs" dxfId="978" priority="24" operator="equal">
      <formula>"Completed"</formula>
    </cfRule>
    <cfRule type="cellIs" dxfId="977" priority="23" operator="equal">
      <formula>"wip"</formula>
    </cfRule>
  </conditionalFormatting>
  <conditionalFormatting sqref="Q161:R161">
    <cfRule type="cellIs" dxfId="976" priority="1971" operator="equal">
      <formula>"Completed"</formula>
    </cfRule>
    <cfRule type="cellIs" dxfId="975" priority="1970" operator="equal">
      <formula>"wip"</formula>
    </cfRule>
  </conditionalFormatting>
  <conditionalFormatting sqref="Q172:R172">
    <cfRule type="cellIs" dxfId="974" priority="1943" operator="equal">
      <formula>"Completed"</formula>
    </cfRule>
    <cfRule type="cellIs" dxfId="973" priority="1942" operator="equal">
      <formula>"wip"</formula>
    </cfRule>
  </conditionalFormatting>
  <conditionalFormatting sqref="Q183:R183">
    <cfRule type="cellIs" dxfId="972" priority="1913" operator="equal">
      <formula>"Completed"</formula>
    </cfRule>
    <cfRule type="cellIs" dxfId="971" priority="1912" operator="equal">
      <formula>"wip"</formula>
    </cfRule>
  </conditionalFormatting>
  <conditionalFormatting sqref="Q193:R193">
    <cfRule type="cellIs" dxfId="970" priority="1884" operator="equal">
      <formula>"wip"</formula>
    </cfRule>
    <cfRule type="cellIs" dxfId="969" priority="1885" operator="equal">
      <formula>"Completed"</formula>
    </cfRule>
  </conditionalFormatting>
  <conditionalFormatting sqref="Q204:R204">
    <cfRule type="cellIs" dxfId="968" priority="1856" operator="equal">
      <formula>"wip"</formula>
    </cfRule>
    <cfRule type="cellIs" dxfId="967" priority="1857" operator="equal">
      <formula>"Completed"</formula>
    </cfRule>
  </conditionalFormatting>
  <conditionalFormatting sqref="Q215:R215">
    <cfRule type="cellIs" dxfId="966" priority="1829" operator="equal">
      <formula>"Completed"</formula>
    </cfRule>
    <cfRule type="cellIs" dxfId="965" priority="1828" operator="equal">
      <formula>"wip"</formula>
    </cfRule>
  </conditionalFormatting>
  <conditionalFormatting sqref="Q226:R226">
    <cfRule type="cellIs" dxfId="964" priority="1801" operator="equal">
      <formula>"Completed"</formula>
    </cfRule>
    <cfRule type="cellIs" dxfId="963" priority="1800" operator="equal">
      <formula>"wip"</formula>
    </cfRule>
  </conditionalFormatting>
  <conditionalFormatting sqref="Q236:R236">
    <cfRule type="cellIs" dxfId="962" priority="1720" operator="equal">
      <formula>"wip"</formula>
    </cfRule>
    <cfRule type="cellIs" dxfId="961" priority="1721" operator="equal">
      <formula>"Completed"</formula>
    </cfRule>
  </conditionalFormatting>
  <conditionalFormatting sqref="Q246:R246">
    <cfRule type="cellIs" dxfId="960" priority="1692" operator="equal">
      <formula>"wip"</formula>
    </cfRule>
    <cfRule type="cellIs" dxfId="959" priority="1693" operator="equal">
      <formula>"Completed"</formula>
    </cfRule>
  </conditionalFormatting>
  <conditionalFormatting sqref="R99">
    <cfRule type="cellIs" dxfId="958" priority="159" operator="equal">
      <formula>"completedw"</formula>
    </cfRule>
    <cfRule type="cellIs" dxfId="957" priority="160" operator="equal">
      <formula>"HOLD"</formula>
    </cfRule>
    <cfRule type="cellIs" dxfId="956" priority="161" operator="equal">
      <formula>"ROW"</formula>
    </cfRule>
  </conditionalFormatting>
  <conditionalFormatting sqref="R177">
    <cfRule type="cellIs" dxfId="955" priority="874" operator="equal">
      <formula>"ROW"</formula>
    </cfRule>
    <cfRule type="cellIs" dxfId="954" priority="872" operator="equal">
      <formula>"completedw"</formula>
    </cfRule>
    <cfRule type="cellIs" dxfId="953" priority="873" operator="equal">
      <formula>"HOLD"</formula>
    </cfRule>
  </conditionalFormatting>
  <conditionalFormatting sqref="R208:S209">
    <cfRule type="cellIs" dxfId="952" priority="492" operator="equal">
      <formula>"HOLD"</formula>
    </cfRule>
    <cfRule type="cellIs" dxfId="951" priority="493" operator="equal">
      <formula>"ROW"</formula>
    </cfRule>
    <cfRule type="cellIs" dxfId="950" priority="491" operator="equal">
      <formula>"completedw"</formula>
    </cfRule>
  </conditionalFormatting>
  <conditionalFormatting sqref="R256:S257">
    <cfRule type="cellIs" dxfId="949" priority="1184" operator="equal">
      <formula>"ROW"</formula>
    </cfRule>
    <cfRule type="cellIs" dxfId="948" priority="1185" operator="equal">
      <formula>"wip"</formula>
    </cfRule>
    <cfRule type="cellIs" dxfId="947" priority="1186" operator="equal">
      <formula>"Completed"</formula>
    </cfRule>
    <cfRule type="cellIs" dxfId="946" priority="1182" operator="equal">
      <formula>"completedw"</formula>
    </cfRule>
    <cfRule type="cellIs" dxfId="945" priority="1183" operator="equal">
      <formula>"HOLD"</formula>
    </cfRule>
  </conditionalFormatting>
  <conditionalFormatting sqref="R278:S279">
    <cfRule type="cellIs" dxfId="944" priority="1015" operator="equal">
      <formula>"HOLD"</formula>
    </cfRule>
    <cfRule type="cellIs" dxfId="943" priority="1014" operator="equal">
      <formula>"completedw"</formula>
    </cfRule>
    <cfRule type="cellIs" dxfId="942" priority="1016" operator="equal">
      <formula>"ROW"</formula>
    </cfRule>
    <cfRule type="cellIs" dxfId="941" priority="1017" operator="equal">
      <formula>"wip"</formula>
    </cfRule>
    <cfRule type="cellIs" dxfId="940" priority="1018" operator="equal">
      <formula>"Completed"</formula>
    </cfRule>
  </conditionalFormatting>
  <conditionalFormatting sqref="R25:V26">
    <cfRule type="cellIs" dxfId="939" priority="552" operator="equal">
      <formula>"completedw"</formula>
    </cfRule>
    <cfRule type="cellIs" dxfId="938" priority="553" operator="equal">
      <formula>"HOLD"</formula>
    </cfRule>
    <cfRule type="cellIs" dxfId="937" priority="554" operator="equal">
      <formula>"ROW"</formula>
    </cfRule>
    <cfRule type="cellIs" dxfId="936" priority="555" operator="equal">
      <formula>"wip"</formula>
    </cfRule>
    <cfRule type="cellIs" dxfId="935" priority="556" operator="equal">
      <formula>"Completed"</formula>
    </cfRule>
  </conditionalFormatting>
  <conditionalFormatting sqref="S18:S19">
    <cfRule type="cellIs" dxfId="934" priority="474" operator="equal">
      <formula>"ROW"</formula>
    </cfRule>
    <cfRule type="cellIs" dxfId="933" priority="473" operator="equal">
      <formula>"HOLD"</formula>
    </cfRule>
    <cfRule type="cellIs" dxfId="932" priority="472" operator="equal">
      <formula>"completedw"</formula>
    </cfRule>
  </conditionalFormatting>
  <conditionalFormatting sqref="S25:S26">
    <cfRule type="containsText" dxfId="931" priority="551" operator="containsText" text="Hold">
      <formula>NOT(ISERROR(SEARCH("Hold",S25)))</formula>
    </cfRule>
  </conditionalFormatting>
  <conditionalFormatting sqref="S61:S62">
    <cfRule type="cellIs" dxfId="930" priority="378" operator="equal">
      <formula>"ROW"</formula>
    </cfRule>
    <cfRule type="cellIs" dxfId="929" priority="377" operator="equal">
      <formula>"HOLD"</formula>
    </cfRule>
    <cfRule type="cellIs" dxfId="928" priority="376" operator="equal">
      <formula>"completedw"</formula>
    </cfRule>
  </conditionalFormatting>
  <conditionalFormatting sqref="S68:S69">
    <cfRule type="containsText" dxfId="927" priority="1368" operator="containsText" text="Hold">
      <formula>NOT(ISERROR(SEARCH("Hold",S68)))</formula>
    </cfRule>
  </conditionalFormatting>
  <conditionalFormatting sqref="S79:S80">
    <cfRule type="containsText" dxfId="926" priority="1314" operator="containsText" text="Hold">
      <formula>NOT(ISERROR(SEARCH("Hold",S79)))</formula>
    </cfRule>
  </conditionalFormatting>
  <conditionalFormatting sqref="S87">
    <cfRule type="cellIs" dxfId="925" priority="1777" operator="equal">
      <formula>"completedw"</formula>
    </cfRule>
    <cfRule type="cellIs" dxfId="924" priority="1778" operator="equal">
      <formula>"HOLD"</formula>
    </cfRule>
    <cfRule type="cellIs" dxfId="923" priority="1779" operator="equal">
      <formula>"ROW"</formula>
    </cfRule>
  </conditionalFormatting>
  <conditionalFormatting sqref="S91:S92">
    <cfRule type="containsText" dxfId="922" priority="907" operator="containsText" text="Hold">
      <formula>NOT(ISERROR(SEARCH("Hold",S91)))</formula>
    </cfRule>
  </conditionalFormatting>
  <conditionalFormatting sqref="S103:S104">
    <cfRule type="containsText" dxfId="921" priority="1421" operator="containsText" text="Hold">
      <formula>NOT(ISERROR(SEARCH("Hold",S103)))</formula>
    </cfRule>
  </conditionalFormatting>
  <conditionalFormatting sqref="S115:S116">
    <cfRule type="containsText" dxfId="920" priority="598" operator="containsText" text="Hold">
      <formula>NOT(ISERROR(SEARCH("Hold",S115)))</formula>
    </cfRule>
  </conditionalFormatting>
  <conditionalFormatting sqref="S127:S128">
    <cfRule type="containsText" dxfId="919" priority="604" operator="containsText" text="Hold">
      <formula>NOT(ISERROR(SEARCH("Hold",S127)))</formula>
    </cfRule>
  </conditionalFormatting>
  <conditionalFormatting sqref="S132">
    <cfRule type="cellIs" dxfId="918" priority="38" operator="equal">
      <formula>"ROW"</formula>
    </cfRule>
    <cfRule type="cellIs" dxfId="917" priority="37" operator="equal">
      <formula>"HOLD"</formula>
    </cfRule>
    <cfRule type="cellIs" dxfId="916" priority="36" operator="equal">
      <formula>"completedw"</formula>
    </cfRule>
  </conditionalFormatting>
  <conditionalFormatting sqref="S139:S140">
    <cfRule type="containsText" dxfId="915" priority="1414" operator="containsText" text="Hold">
      <formula>NOT(ISERROR(SEARCH("Hold",S139)))</formula>
    </cfRule>
  </conditionalFormatting>
  <conditionalFormatting sqref="S150:S151">
    <cfRule type="containsText" dxfId="914" priority="478" operator="containsText" text="Hold">
      <formula>NOT(ISERROR(SEARCH("Hold",S150)))</formula>
    </cfRule>
  </conditionalFormatting>
  <conditionalFormatting sqref="S176">
    <cfRule type="cellIs" dxfId="913" priority="268" operator="equal">
      <formula>"completedw"</formula>
    </cfRule>
    <cfRule type="cellIs" dxfId="912" priority="269" operator="equal">
      <formula>"HOLD"</formula>
    </cfRule>
    <cfRule type="cellIs" dxfId="911" priority="270" operator="equal">
      <formula>"ROW"</formula>
    </cfRule>
  </conditionalFormatting>
  <conditionalFormatting sqref="S183:S184">
    <cfRule type="containsText" dxfId="910" priority="609" operator="containsText" text="Hold">
      <formula>NOT(ISERROR(SEARCH("Hold",S183)))</formula>
    </cfRule>
  </conditionalFormatting>
  <conditionalFormatting sqref="S204:S205">
    <cfRule type="containsText" dxfId="909" priority="1293" operator="containsText" text="Hold">
      <formula>NOT(ISERROR(SEARCH("Hold",S204)))</formula>
    </cfRule>
  </conditionalFormatting>
  <conditionalFormatting sqref="S215:S216">
    <cfRule type="containsText" dxfId="908" priority="1280" operator="containsText" text="Hold">
      <formula>NOT(ISERROR(SEARCH("Hold",S215)))</formula>
    </cfRule>
  </conditionalFormatting>
  <conditionalFormatting sqref="S226:S227">
    <cfRule type="containsText" dxfId="907" priority="1266" operator="containsText" text="Hold">
      <formula>NOT(ISERROR(SEARCH("Hold",S226)))</formula>
    </cfRule>
  </conditionalFormatting>
  <conditionalFormatting sqref="S236:S237">
    <cfRule type="containsText" dxfId="906" priority="1253" operator="containsText" text="Hold">
      <formula>NOT(ISERROR(SEARCH("Hold",S236)))</formula>
    </cfRule>
  </conditionalFormatting>
  <conditionalFormatting sqref="S246:S247">
    <cfRule type="containsText" dxfId="905" priority="1239" operator="containsText" text="Hold">
      <formula>NOT(ISERROR(SEARCH("Hold",S246)))</formula>
    </cfRule>
  </conditionalFormatting>
  <conditionalFormatting sqref="S256:S257">
    <cfRule type="containsText" dxfId="904" priority="1181" operator="containsText" text="Hold">
      <formula>NOT(ISERROR(SEARCH("Hold",S256)))</formula>
    </cfRule>
  </conditionalFormatting>
  <conditionalFormatting sqref="S267:S268">
    <cfRule type="containsText" dxfId="903" priority="1091" operator="containsText" text="Hold">
      <formula>NOT(ISERROR(SEARCH("Hold",S267)))</formula>
    </cfRule>
  </conditionalFormatting>
  <conditionalFormatting sqref="S278:S279">
    <cfRule type="containsText" dxfId="902" priority="1013" operator="containsText" text="Hold">
      <formula>NOT(ISERROR(SEARCH("Hold",S278)))</formula>
    </cfRule>
  </conditionalFormatting>
  <conditionalFormatting sqref="S289:S290">
    <cfRule type="containsText" dxfId="901" priority="774" operator="containsText" text="Hold">
      <formula>NOT(ISERROR(SEARCH("Hold",S289)))</formula>
    </cfRule>
  </conditionalFormatting>
  <conditionalFormatting sqref="S300:S301">
    <cfRule type="containsText" dxfId="900" priority="667" operator="containsText" text="Hold">
      <formula>NOT(ISERROR(SEARCH("Hold",S300)))</formula>
    </cfRule>
  </conditionalFormatting>
  <conditionalFormatting sqref="S68:T69">
    <cfRule type="cellIs" dxfId="899" priority="1369" operator="equal">
      <formula>"completedw"</formula>
    </cfRule>
    <cfRule type="cellIs" dxfId="898" priority="1372" operator="equal">
      <formula>"wip"</formula>
    </cfRule>
    <cfRule type="cellIs" dxfId="897" priority="1373" operator="equal">
      <formula>"Completed"</formula>
    </cfRule>
    <cfRule type="cellIs" dxfId="896" priority="1371" operator="equal">
      <formula>"ROW"</formula>
    </cfRule>
    <cfRule type="cellIs" dxfId="895" priority="1370" operator="equal">
      <formula>"HOLD"</formula>
    </cfRule>
  </conditionalFormatting>
  <conditionalFormatting sqref="S79:T80">
    <cfRule type="cellIs" dxfId="894" priority="1318" operator="equal">
      <formula>"wip"</formula>
    </cfRule>
    <cfRule type="cellIs" dxfId="893" priority="1317" operator="equal">
      <formula>"ROW"</formula>
    </cfRule>
    <cfRule type="cellIs" dxfId="892" priority="1316" operator="equal">
      <formula>"HOLD"</formula>
    </cfRule>
    <cfRule type="cellIs" dxfId="891" priority="1319" operator="equal">
      <formula>"Completed"</formula>
    </cfRule>
    <cfRule type="cellIs" dxfId="890" priority="1315" operator="equal">
      <formula>"completedw"</formula>
    </cfRule>
  </conditionalFormatting>
  <conditionalFormatting sqref="S267:T268">
    <cfRule type="cellIs" dxfId="889" priority="1092" operator="equal">
      <formula>"completedw"</formula>
    </cfRule>
    <cfRule type="cellIs" dxfId="888" priority="1093" operator="equal">
      <formula>"HOLD"</formula>
    </cfRule>
    <cfRule type="cellIs" dxfId="887" priority="1095" operator="equal">
      <formula>"wip"</formula>
    </cfRule>
    <cfRule type="cellIs" dxfId="886" priority="1094" operator="equal">
      <formula>"ROW"</formula>
    </cfRule>
    <cfRule type="cellIs" dxfId="885" priority="1096" operator="equal">
      <formula>"Completed"</formula>
    </cfRule>
  </conditionalFormatting>
  <conditionalFormatting sqref="S289:T290">
    <cfRule type="cellIs" dxfId="884" priority="776" operator="equal">
      <formula>"HOLD"</formula>
    </cfRule>
    <cfRule type="cellIs" dxfId="883" priority="778" operator="equal">
      <formula>"wip"</formula>
    </cfRule>
    <cfRule type="cellIs" dxfId="882" priority="775" operator="equal">
      <formula>"completedw"</formula>
    </cfRule>
    <cfRule type="cellIs" dxfId="881" priority="779" operator="equal">
      <formula>"Completed"</formula>
    </cfRule>
    <cfRule type="cellIs" dxfId="880" priority="777" operator="equal">
      <formula>"ROW"</formula>
    </cfRule>
  </conditionalFormatting>
  <conditionalFormatting sqref="S300:T301">
    <cfRule type="cellIs" dxfId="879" priority="669" operator="equal">
      <formula>"HOLD"</formula>
    </cfRule>
    <cfRule type="cellIs" dxfId="878" priority="672" operator="equal">
      <formula>"Completed"</formula>
    </cfRule>
    <cfRule type="cellIs" dxfId="877" priority="671" operator="equal">
      <formula>"wip"</formula>
    </cfRule>
    <cfRule type="cellIs" dxfId="876" priority="668" operator="equal">
      <formula>"completedw"</formula>
    </cfRule>
    <cfRule type="cellIs" dxfId="875" priority="670" operator="equal">
      <formula>"ROW"</formula>
    </cfRule>
  </conditionalFormatting>
  <conditionalFormatting sqref="S197:U198">
    <cfRule type="cellIs" dxfId="874" priority="112" operator="equal">
      <formula>"HOLD"</formula>
    </cfRule>
    <cfRule type="cellIs" dxfId="873" priority="113" operator="equal">
      <formula>"ROW"</formula>
    </cfRule>
    <cfRule type="cellIs" dxfId="872" priority="111" operator="equal">
      <formula>"completedw"</formula>
    </cfRule>
  </conditionalFormatting>
  <conditionalFormatting sqref="S50:Y51">
    <cfRule type="cellIs" dxfId="871" priority="105" operator="equal">
      <formula>"completedw"</formula>
    </cfRule>
    <cfRule type="cellIs" dxfId="870" priority="106" operator="equal">
      <formula>"HOLD"</formula>
    </cfRule>
    <cfRule type="cellIs" dxfId="869" priority="107" operator="equal">
      <formula>"ROW"</formula>
    </cfRule>
  </conditionalFormatting>
  <conditionalFormatting sqref="S165:Y166">
    <cfRule type="cellIs" dxfId="868" priority="295" operator="equal">
      <formula>"completedw"</formula>
    </cfRule>
    <cfRule type="cellIs" dxfId="867" priority="297" operator="equal">
      <formula>"ROW"</formula>
    </cfRule>
    <cfRule type="cellIs" dxfId="866" priority="296" operator="equal">
      <formula>"HOLD"</formula>
    </cfRule>
  </conditionalFormatting>
  <conditionalFormatting sqref="T161">
    <cfRule type="cellIs" dxfId="865" priority="1968" operator="equal">
      <formula>"wip"</formula>
    </cfRule>
    <cfRule type="cellIs" dxfId="864" priority="1969" operator="equal">
      <formula>"Completed"</formula>
    </cfRule>
  </conditionalFormatting>
  <conditionalFormatting sqref="T172">
    <cfRule type="cellIs" dxfId="863" priority="1940" operator="equal">
      <formula>"wip"</formula>
    </cfRule>
    <cfRule type="cellIs" dxfId="862" priority="1941" operator="equal">
      <formula>"Completed"</formula>
    </cfRule>
  </conditionalFormatting>
  <conditionalFormatting sqref="T183">
    <cfRule type="cellIs" dxfId="861" priority="1910" operator="equal">
      <formula>"wip"</formula>
    </cfRule>
    <cfRule type="cellIs" dxfId="860" priority="1911" operator="equal">
      <formula>"Completed"</formula>
    </cfRule>
  </conditionalFormatting>
  <conditionalFormatting sqref="T193">
    <cfRule type="cellIs" dxfId="859" priority="1883" operator="equal">
      <formula>"Completed"</formula>
    </cfRule>
    <cfRule type="cellIs" dxfId="858" priority="1882" operator="equal">
      <formula>"wip"</formula>
    </cfRule>
  </conditionalFormatting>
  <conditionalFormatting sqref="T204">
    <cfRule type="cellIs" dxfId="857" priority="1855" operator="equal">
      <formula>"Completed"</formula>
    </cfRule>
    <cfRule type="cellIs" dxfId="856" priority="1854" operator="equal">
      <formula>"wip"</formula>
    </cfRule>
  </conditionalFormatting>
  <conditionalFormatting sqref="T215">
    <cfRule type="cellIs" dxfId="855" priority="1827" operator="equal">
      <formula>"Completed"</formula>
    </cfRule>
    <cfRule type="cellIs" dxfId="854" priority="1826" operator="equal">
      <formula>"wip"</formula>
    </cfRule>
  </conditionalFormatting>
  <conditionalFormatting sqref="T226">
    <cfRule type="cellIs" dxfId="853" priority="1798" operator="equal">
      <formula>"wip"</formula>
    </cfRule>
    <cfRule type="cellIs" dxfId="852" priority="1799" operator="equal">
      <formula>"Completed"</formula>
    </cfRule>
  </conditionalFormatting>
  <conditionalFormatting sqref="T236">
    <cfRule type="cellIs" dxfId="851" priority="1718" operator="equal">
      <formula>"wip"</formula>
    </cfRule>
    <cfRule type="cellIs" dxfId="850" priority="1719" operator="equal">
      <formula>"Completed"</formula>
    </cfRule>
  </conditionalFormatting>
  <conditionalFormatting sqref="T246">
    <cfRule type="cellIs" dxfId="849" priority="1691" operator="equal">
      <formula>"Completed"</formula>
    </cfRule>
    <cfRule type="cellIs" dxfId="848" priority="1690" operator="equal">
      <formula>"wip"</formula>
    </cfRule>
  </conditionalFormatting>
  <conditionalFormatting sqref="T256:U257">
    <cfRule type="cellIs" dxfId="847" priority="1188" operator="equal">
      <formula>"completedw"</formula>
    </cfRule>
    <cfRule type="cellIs" dxfId="846" priority="1189" operator="equal">
      <formula>"HOLD"</formula>
    </cfRule>
    <cfRule type="cellIs" dxfId="845" priority="1190" operator="equal">
      <formula>"ROW"</formula>
    </cfRule>
    <cfRule type="cellIs" dxfId="844" priority="1191" operator="equal">
      <formula>"wip"</formula>
    </cfRule>
    <cfRule type="cellIs" dxfId="843" priority="1192" operator="equal">
      <formula>"Completed"</formula>
    </cfRule>
  </conditionalFormatting>
  <conditionalFormatting sqref="T278:U279">
    <cfRule type="cellIs" dxfId="842" priority="1023" operator="equal">
      <formula>"wip"</formula>
    </cfRule>
    <cfRule type="cellIs" dxfId="841" priority="1022" operator="equal">
      <formula>"ROW"</formula>
    </cfRule>
    <cfRule type="cellIs" dxfId="840" priority="1020" operator="equal">
      <formula>"completedw"</formula>
    </cfRule>
    <cfRule type="cellIs" dxfId="839" priority="1021" operator="equal">
      <formula>"HOLD"</formula>
    </cfRule>
    <cfRule type="cellIs" dxfId="838" priority="1024" operator="equal">
      <formula>"Completed"</formula>
    </cfRule>
  </conditionalFormatting>
  <conditionalFormatting sqref="U18:U19">
    <cfRule type="cellIs" dxfId="837" priority="469" operator="equal">
      <formula>"completedw"</formula>
    </cfRule>
    <cfRule type="cellIs" dxfId="836" priority="471" operator="equal">
      <formula>"ROW"</formula>
    </cfRule>
    <cfRule type="cellIs" dxfId="835" priority="470" operator="equal">
      <formula>"HOLD"</formula>
    </cfRule>
  </conditionalFormatting>
  <conditionalFormatting sqref="U29:U30">
    <cfRule type="cellIs" dxfId="834" priority="453" operator="equal">
      <formula>"ROW"</formula>
    </cfRule>
    <cfRule type="cellIs" dxfId="833" priority="452" operator="equal">
      <formula>"HOLD"</formula>
    </cfRule>
    <cfRule type="cellIs" dxfId="832" priority="451" operator="equal">
      <formula>"completedw"</formula>
    </cfRule>
  </conditionalFormatting>
  <conditionalFormatting sqref="U40">
    <cfRule type="cellIs" dxfId="831" priority="431" operator="equal">
      <formula>"HOLD"</formula>
    </cfRule>
    <cfRule type="cellIs" dxfId="830" priority="430" operator="equal">
      <formula>"completedw"</formula>
    </cfRule>
    <cfRule type="cellIs" dxfId="829" priority="432" operator="equal">
      <formula>"ROW"</formula>
    </cfRule>
  </conditionalFormatting>
  <conditionalFormatting sqref="U61:U62">
    <cfRule type="cellIs" dxfId="828" priority="381" operator="equal">
      <formula>"ROW"</formula>
    </cfRule>
    <cfRule type="cellIs" dxfId="827" priority="379" operator="equal">
      <formula>"completedw"</formula>
    </cfRule>
    <cfRule type="cellIs" dxfId="826" priority="380" operator="equal">
      <formula>"HOLD"</formula>
    </cfRule>
  </conditionalFormatting>
  <conditionalFormatting sqref="U68:U69">
    <cfRule type="containsText" dxfId="825" priority="539" operator="containsText" text="Hold">
      <formula>NOT(ISERROR(SEARCH("Hold",U68)))</formula>
    </cfRule>
    <cfRule type="cellIs" dxfId="824" priority="541" operator="equal">
      <formula>"HOLD"</formula>
    </cfRule>
    <cfRule type="cellIs" dxfId="823" priority="543" operator="equal">
      <formula>"wip"</formula>
    </cfRule>
    <cfRule type="cellIs" dxfId="822" priority="544" operator="equal">
      <formula>"Completed"</formula>
    </cfRule>
    <cfRule type="cellIs" dxfId="821" priority="540" operator="equal">
      <formula>"completedw"</formula>
    </cfRule>
    <cfRule type="cellIs" dxfId="820" priority="542" operator="equal">
      <formula>"ROW"</formula>
    </cfRule>
  </conditionalFormatting>
  <conditionalFormatting sqref="U79:U80">
    <cfRule type="cellIs" dxfId="819" priority="1311" operator="equal">
      <formula>"ROW"</formula>
    </cfRule>
    <cfRule type="cellIs" dxfId="818" priority="1310" operator="equal">
      <formula>"HOLD"</formula>
    </cfRule>
    <cfRule type="cellIs" dxfId="817" priority="1309" operator="equal">
      <formula>"completedw"</formula>
    </cfRule>
    <cfRule type="containsText" dxfId="816" priority="1308" operator="containsText" text="Hold">
      <formula>NOT(ISERROR(SEARCH("Hold",U79)))</formula>
    </cfRule>
    <cfRule type="cellIs" dxfId="815" priority="1313" operator="equal">
      <formula>"Completed"</formula>
    </cfRule>
    <cfRule type="cellIs" dxfId="814" priority="1312" operator="equal">
      <formula>"wip"</formula>
    </cfRule>
  </conditionalFormatting>
  <conditionalFormatting sqref="U91:U92">
    <cfRule type="containsText" dxfId="813" priority="906" operator="containsText" text="Hold">
      <formula>NOT(ISERROR(SEARCH("Hold",U91)))</formula>
    </cfRule>
  </conditionalFormatting>
  <conditionalFormatting sqref="U95:U96">
    <cfRule type="cellIs" dxfId="812" priority="329" operator="equal">
      <formula>"HOLD"</formula>
    </cfRule>
    <cfRule type="cellIs" dxfId="811" priority="330" operator="equal">
      <formula>"ROW"</formula>
    </cfRule>
    <cfRule type="cellIs" dxfId="810" priority="328" operator="equal">
      <formula>"completedw"</formula>
    </cfRule>
  </conditionalFormatting>
  <conditionalFormatting sqref="U103:U104">
    <cfRule type="containsText" dxfId="809" priority="1420" operator="containsText" text="Hold">
      <formula>NOT(ISERROR(SEARCH("Hold",U103)))</formula>
    </cfRule>
  </conditionalFormatting>
  <conditionalFormatting sqref="U107:U108">
    <cfRule type="cellIs" dxfId="808" priority="58" operator="equal">
      <formula>"HOLD"</formula>
    </cfRule>
    <cfRule type="cellIs" dxfId="807" priority="57" operator="equal">
      <formula>"completedw"</formula>
    </cfRule>
    <cfRule type="cellIs" dxfId="806" priority="59" operator="equal">
      <formula>"ROW"</formula>
    </cfRule>
  </conditionalFormatting>
  <conditionalFormatting sqref="U111">
    <cfRule type="cellIs" dxfId="805" priority="157" operator="equal">
      <formula>"HOLD"</formula>
    </cfRule>
    <cfRule type="cellIs" dxfId="804" priority="156" operator="equal">
      <formula>"completedw"</formula>
    </cfRule>
    <cfRule type="cellIs" dxfId="803" priority="158" operator="equal">
      <formula>"ROW"</formula>
    </cfRule>
  </conditionalFormatting>
  <conditionalFormatting sqref="U115:U116">
    <cfRule type="containsText" dxfId="802" priority="597" operator="containsText" text="Hold">
      <formula>NOT(ISERROR(SEARCH("Hold",U115)))</formula>
    </cfRule>
  </conditionalFormatting>
  <conditionalFormatting sqref="U127:U128">
    <cfRule type="containsText" dxfId="801" priority="603" operator="containsText" text="Hold">
      <formula>NOT(ISERROR(SEARCH("Hold",U127)))</formula>
    </cfRule>
  </conditionalFormatting>
  <conditionalFormatting sqref="U131:U132 U134">
    <cfRule type="cellIs" dxfId="800" priority="321" operator="equal">
      <formula>"ROW"</formula>
    </cfRule>
    <cfRule type="cellIs" dxfId="799" priority="320" operator="equal">
      <formula>"HOLD"</formula>
    </cfRule>
    <cfRule type="cellIs" dxfId="798" priority="319" operator="equal">
      <formula>"completedw"</formula>
    </cfRule>
  </conditionalFormatting>
  <conditionalFormatting sqref="U139:U140">
    <cfRule type="containsText" dxfId="797" priority="1413" operator="containsText" text="Hold">
      <formula>NOT(ISERROR(SEARCH("Hold",U139)))</formula>
    </cfRule>
  </conditionalFormatting>
  <conditionalFormatting sqref="U176">
    <cfRule type="cellIs" dxfId="796" priority="267" operator="equal">
      <formula>"ROW"</formula>
    </cfRule>
    <cfRule type="cellIs" dxfId="795" priority="266" operator="equal">
      <formula>"HOLD"</formula>
    </cfRule>
    <cfRule type="cellIs" dxfId="794" priority="265" operator="equal">
      <formula>"completedw"</formula>
    </cfRule>
  </conditionalFormatting>
  <conditionalFormatting sqref="U183:U184">
    <cfRule type="containsText" dxfId="793" priority="608" operator="containsText" text="Hold">
      <formula>NOT(ISERROR(SEARCH("Hold",U183)))</formula>
    </cfRule>
  </conditionalFormatting>
  <conditionalFormatting sqref="U204:U205">
    <cfRule type="containsText" dxfId="792" priority="1292" operator="containsText" text="Hold">
      <formula>NOT(ISERROR(SEARCH("Hold",U204)))</formula>
    </cfRule>
  </conditionalFormatting>
  <conditionalFormatting sqref="U215:U216">
    <cfRule type="containsText" dxfId="791" priority="1281" operator="containsText" text="Hold">
      <formula>NOT(ISERROR(SEARCH("Hold",U215)))</formula>
    </cfRule>
  </conditionalFormatting>
  <conditionalFormatting sqref="U226:U227">
    <cfRule type="containsText" dxfId="790" priority="1265" operator="containsText" text="Hold">
      <formula>NOT(ISERROR(SEARCH("Hold",U226)))</formula>
    </cfRule>
  </conditionalFormatting>
  <conditionalFormatting sqref="U236:U237">
    <cfRule type="containsText" dxfId="789" priority="1254" operator="containsText" text="Hold">
      <formula>NOT(ISERROR(SEARCH("Hold",U236)))</formula>
    </cfRule>
  </conditionalFormatting>
  <conditionalFormatting sqref="U246:U247">
    <cfRule type="containsText" dxfId="788" priority="1238" operator="containsText" text="Hold">
      <formula>NOT(ISERROR(SEARCH("Hold",U246)))</formula>
    </cfRule>
  </conditionalFormatting>
  <conditionalFormatting sqref="U256:U257">
    <cfRule type="containsText" dxfId="787" priority="1187" operator="containsText" text="Hold">
      <formula>NOT(ISERROR(SEARCH("Hold",U256)))</formula>
    </cfRule>
  </conditionalFormatting>
  <conditionalFormatting sqref="U267:U268">
    <cfRule type="containsText" dxfId="786" priority="1085" operator="containsText" text="Hold">
      <formula>NOT(ISERROR(SEARCH("Hold",U267)))</formula>
    </cfRule>
  </conditionalFormatting>
  <conditionalFormatting sqref="U278:U279">
    <cfRule type="containsText" dxfId="785" priority="1019" operator="containsText" text="Hold">
      <formula>NOT(ISERROR(SEARCH("Hold",U278)))</formula>
    </cfRule>
  </conditionalFormatting>
  <conditionalFormatting sqref="U289:U290">
    <cfRule type="containsText" dxfId="784" priority="768" operator="containsText" text="Hold">
      <formula>NOT(ISERROR(SEARCH("Hold",U289)))</formula>
    </cfRule>
  </conditionalFormatting>
  <conditionalFormatting sqref="U300:U301">
    <cfRule type="containsText" dxfId="783" priority="661" operator="containsText" text="Hold">
      <formula>NOT(ISERROR(SEARCH("Hold",U300)))</formula>
    </cfRule>
  </conditionalFormatting>
  <conditionalFormatting sqref="U267:V268">
    <cfRule type="cellIs" dxfId="782" priority="1088" operator="equal">
      <formula>"ROW"</formula>
    </cfRule>
    <cfRule type="cellIs" dxfId="781" priority="1087" operator="equal">
      <formula>"HOLD"</formula>
    </cfRule>
    <cfRule type="cellIs" dxfId="780" priority="1086" operator="equal">
      <formula>"completedw"</formula>
    </cfRule>
    <cfRule type="cellIs" dxfId="779" priority="1090" operator="equal">
      <formula>"Completed"</formula>
    </cfRule>
    <cfRule type="cellIs" dxfId="778" priority="1089" operator="equal">
      <formula>"wip"</formula>
    </cfRule>
  </conditionalFormatting>
  <conditionalFormatting sqref="U289:V290">
    <cfRule type="cellIs" dxfId="777" priority="770" operator="equal">
      <formula>"HOLD"</formula>
    </cfRule>
    <cfRule type="cellIs" dxfId="776" priority="773" operator="equal">
      <formula>"Completed"</formula>
    </cfRule>
    <cfRule type="cellIs" dxfId="775" priority="769" operator="equal">
      <formula>"completedw"</formula>
    </cfRule>
    <cfRule type="cellIs" dxfId="774" priority="771" operator="equal">
      <formula>"ROW"</formula>
    </cfRule>
    <cfRule type="cellIs" dxfId="773" priority="772" operator="equal">
      <formula>"wip"</formula>
    </cfRule>
  </conditionalFormatting>
  <conditionalFormatting sqref="U300:V301">
    <cfRule type="cellIs" dxfId="772" priority="663" operator="equal">
      <formula>"HOLD"</formula>
    </cfRule>
    <cfRule type="cellIs" dxfId="771" priority="664" operator="equal">
      <formula>"ROW"</formula>
    </cfRule>
    <cfRule type="cellIs" dxfId="770" priority="666" operator="equal">
      <formula>"Completed"</formula>
    </cfRule>
    <cfRule type="cellIs" dxfId="769" priority="665" operator="equal">
      <formula>"wip"</formula>
    </cfRule>
    <cfRule type="cellIs" dxfId="768" priority="662" operator="equal">
      <formula>"completedw"</formula>
    </cfRule>
  </conditionalFormatting>
  <conditionalFormatting sqref="V161">
    <cfRule type="cellIs" dxfId="767" priority="1967" operator="equal">
      <formula>"Completed"</formula>
    </cfRule>
    <cfRule type="cellIs" dxfId="766" priority="1966" operator="equal">
      <formula>"wip"</formula>
    </cfRule>
  </conditionalFormatting>
  <conditionalFormatting sqref="V172">
    <cfRule type="cellIs" dxfId="765" priority="1938" operator="equal">
      <formula>"wip"</formula>
    </cfRule>
    <cfRule type="cellIs" dxfId="764" priority="1939" operator="equal">
      <formula>"Completed"</formula>
    </cfRule>
  </conditionalFormatting>
  <conditionalFormatting sqref="V183">
    <cfRule type="cellIs" dxfId="763" priority="1908" operator="equal">
      <formula>"wip"</formula>
    </cfRule>
    <cfRule type="cellIs" dxfId="762" priority="1909" operator="equal">
      <formula>"Completed"</formula>
    </cfRule>
  </conditionalFormatting>
  <conditionalFormatting sqref="V193">
    <cfRule type="cellIs" dxfId="761" priority="1881" operator="equal">
      <formula>"Completed"</formula>
    </cfRule>
    <cfRule type="cellIs" dxfId="760" priority="1880" operator="equal">
      <formula>"wip"</formula>
    </cfRule>
  </conditionalFormatting>
  <conditionalFormatting sqref="V204">
    <cfRule type="cellIs" dxfId="759" priority="1853" operator="equal">
      <formula>"Completed"</formula>
    </cfRule>
    <cfRule type="cellIs" dxfId="758" priority="1852" operator="equal">
      <formula>"wip"</formula>
    </cfRule>
  </conditionalFormatting>
  <conditionalFormatting sqref="V215">
    <cfRule type="cellIs" dxfId="757" priority="1825" operator="equal">
      <formula>"Completed"</formula>
    </cfRule>
    <cfRule type="cellIs" dxfId="756" priority="1824" operator="equal">
      <formula>"wip"</formula>
    </cfRule>
  </conditionalFormatting>
  <conditionalFormatting sqref="V226">
    <cfRule type="cellIs" dxfId="755" priority="1796" operator="equal">
      <formula>"wip"</formula>
    </cfRule>
    <cfRule type="cellIs" dxfId="754" priority="1797" operator="equal">
      <formula>"Completed"</formula>
    </cfRule>
  </conditionalFormatting>
  <conditionalFormatting sqref="V236">
    <cfRule type="cellIs" dxfId="753" priority="1716" operator="equal">
      <formula>"wip"</formula>
    </cfRule>
    <cfRule type="cellIs" dxfId="752" priority="1717" operator="equal">
      <formula>"Completed"</formula>
    </cfRule>
  </conditionalFormatting>
  <conditionalFormatting sqref="V246">
    <cfRule type="cellIs" dxfId="751" priority="1688" operator="equal">
      <formula>"wip"</formula>
    </cfRule>
    <cfRule type="cellIs" dxfId="750" priority="1689" operator="equal">
      <formula>"Completed"</formula>
    </cfRule>
  </conditionalFormatting>
  <conditionalFormatting sqref="V256:W257">
    <cfRule type="cellIs" dxfId="749" priority="1196" operator="equal">
      <formula>"ROW"</formula>
    </cfRule>
    <cfRule type="cellIs" dxfId="748" priority="1194" operator="equal">
      <formula>"completedw"</formula>
    </cfRule>
    <cfRule type="cellIs" dxfId="747" priority="1198" operator="equal">
      <formula>"Completed"</formula>
    </cfRule>
    <cfRule type="cellIs" dxfId="746" priority="1197" operator="equal">
      <formula>"wip"</formula>
    </cfRule>
    <cfRule type="cellIs" dxfId="745" priority="1195" operator="equal">
      <formula>"HOLD"</formula>
    </cfRule>
  </conditionalFormatting>
  <conditionalFormatting sqref="V278:W279">
    <cfRule type="cellIs" dxfId="744" priority="1029" operator="equal">
      <formula>"wip"</formula>
    </cfRule>
    <cfRule type="cellIs" dxfId="743" priority="1030" operator="equal">
      <formula>"Completed"</formula>
    </cfRule>
    <cfRule type="cellIs" dxfId="742" priority="1027" operator="equal">
      <formula>"HOLD"</formula>
    </cfRule>
    <cfRule type="cellIs" dxfId="741" priority="1026" operator="equal">
      <formula>"completedw"</formula>
    </cfRule>
    <cfRule type="cellIs" dxfId="740" priority="1028" operator="equal">
      <formula>"ROW"</formula>
    </cfRule>
  </conditionalFormatting>
  <conditionalFormatting sqref="V79:X80">
    <cfRule type="cellIs" dxfId="739" priority="1430" operator="equal">
      <formula>"ROW"</formula>
    </cfRule>
    <cfRule type="cellIs" dxfId="738" priority="1428" operator="equal">
      <formula>"completedw"</formula>
    </cfRule>
    <cfRule type="cellIs" dxfId="737" priority="1429" operator="equal">
      <formula>"HOLD"</formula>
    </cfRule>
    <cfRule type="cellIs" dxfId="736" priority="1432" operator="equal">
      <formula>"Completed"</formula>
    </cfRule>
    <cfRule type="cellIs" dxfId="735" priority="1431" operator="equal">
      <formula>"wip"</formula>
    </cfRule>
  </conditionalFormatting>
  <conditionalFormatting sqref="V68:Z69">
    <cfRule type="cellIs" dxfId="734" priority="1363" operator="equal">
      <formula>"completedw"</formula>
    </cfRule>
    <cfRule type="cellIs" dxfId="733" priority="1366" operator="equal">
      <formula>"wip"</formula>
    </cfRule>
    <cfRule type="cellIs" dxfId="732" priority="1367" operator="equal">
      <formula>"Completed"</formula>
    </cfRule>
    <cfRule type="cellIs" dxfId="731" priority="1364" operator="equal">
      <formula>"HOLD"</formula>
    </cfRule>
    <cfRule type="cellIs" dxfId="730" priority="1365" operator="equal">
      <formula>"ROW"</formula>
    </cfRule>
  </conditionalFormatting>
  <conditionalFormatting sqref="V154:AA155">
    <cfRule type="cellIs" dxfId="729" priority="310" operator="equal">
      <formula>"completedw"</formula>
    </cfRule>
    <cfRule type="cellIs" dxfId="728" priority="312" operator="equal">
      <formula>"ROW"</formula>
    </cfRule>
    <cfRule type="cellIs" dxfId="727" priority="311" operator="equal">
      <formula>"HOLD"</formula>
    </cfRule>
  </conditionalFormatting>
  <conditionalFormatting sqref="W18:W19">
    <cfRule type="cellIs" dxfId="726" priority="468" operator="equal">
      <formula>"ROW"</formula>
    </cfRule>
    <cfRule type="cellIs" dxfId="725" priority="466" operator="equal">
      <formula>"completedw"</formula>
    </cfRule>
    <cfRule type="cellIs" dxfId="724" priority="467" operator="equal">
      <formula>"HOLD"</formula>
    </cfRule>
  </conditionalFormatting>
  <conditionalFormatting sqref="W25:W26">
    <cfRule type="containsText" dxfId="723" priority="521" operator="containsText" text="Hold">
      <formula>NOT(ISERROR(SEARCH("Hold",W25)))</formula>
    </cfRule>
  </conditionalFormatting>
  <conditionalFormatting sqref="W40">
    <cfRule type="cellIs" dxfId="722" priority="428" operator="equal">
      <formula>"HOLD"</formula>
    </cfRule>
    <cfRule type="cellIs" dxfId="721" priority="429" operator="equal">
      <formula>"ROW"</formula>
    </cfRule>
    <cfRule type="cellIs" dxfId="720" priority="427" operator="equal">
      <formula>"completedw"</formula>
    </cfRule>
  </conditionalFormatting>
  <conditionalFormatting sqref="W61:W62">
    <cfRule type="cellIs" dxfId="719" priority="383" operator="equal">
      <formula>"HOLD"</formula>
    </cfRule>
    <cfRule type="cellIs" dxfId="718" priority="382" operator="equal">
      <formula>"completedw"</formula>
    </cfRule>
    <cfRule type="cellIs" dxfId="717" priority="384" operator="equal">
      <formula>"ROW"</formula>
    </cfRule>
  </conditionalFormatting>
  <conditionalFormatting sqref="W79:W80">
    <cfRule type="containsText" dxfId="716" priority="1427" operator="containsText" text="Hold">
      <formula>NOT(ISERROR(SEARCH("Hold",W79)))</formula>
    </cfRule>
  </conditionalFormatting>
  <conditionalFormatting sqref="W91:W92">
    <cfRule type="containsText" dxfId="715" priority="1443" operator="containsText" text="Hold">
      <formula>NOT(ISERROR(SEARCH("Hold",W91)))</formula>
    </cfRule>
  </conditionalFormatting>
  <conditionalFormatting sqref="W103:W104">
    <cfRule type="containsText" dxfId="714" priority="1419" operator="containsText" text="Hold">
      <formula>NOT(ISERROR(SEARCH("Hold",W103)))</formula>
    </cfRule>
  </conditionalFormatting>
  <conditionalFormatting sqref="W115:W116">
    <cfRule type="containsText" dxfId="713" priority="596" operator="containsText" text="Hold">
      <formula>NOT(ISERROR(SEARCH("Hold",W115)))</formula>
    </cfRule>
  </conditionalFormatting>
  <conditionalFormatting sqref="W127:W128">
    <cfRule type="containsText" dxfId="712" priority="1439" operator="containsText" text="Hold">
      <formula>NOT(ISERROR(SEARCH("Hold",W127)))</formula>
    </cfRule>
  </conditionalFormatting>
  <conditionalFormatting sqref="W139:W140">
    <cfRule type="containsText" dxfId="711" priority="483" operator="containsText" text="Hold">
      <formula>NOT(ISERROR(SEARCH("Hold",W139)))</formula>
    </cfRule>
  </conditionalFormatting>
  <conditionalFormatting sqref="W150:W151">
    <cfRule type="containsText" dxfId="710" priority="1425" operator="containsText" text="Hold">
      <formula>NOT(ISERROR(SEARCH("Hold",W150)))</formula>
    </cfRule>
  </conditionalFormatting>
  <conditionalFormatting sqref="W183:W184">
    <cfRule type="containsText" dxfId="709" priority="607" operator="containsText" text="Hold">
      <formula>NOT(ISERROR(SEARCH("Hold",W183)))</formula>
    </cfRule>
  </conditionalFormatting>
  <conditionalFormatting sqref="W197">
    <cfRule type="cellIs" dxfId="708" priority="54" operator="equal">
      <formula>"ROW"</formula>
    </cfRule>
    <cfRule type="cellIs" dxfId="707" priority="52" operator="equal">
      <formula>"completedw"</formula>
    </cfRule>
    <cfRule type="cellIs" dxfId="706" priority="53" operator="equal">
      <formula>"HOLD"</formula>
    </cfRule>
  </conditionalFormatting>
  <conditionalFormatting sqref="W204:W205">
    <cfRule type="containsText" dxfId="705" priority="1291" operator="containsText" text="Hold">
      <formula>NOT(ISERROR(SEARCH("Hold",W204)))</formula>
    </cfRule>
  </conditionalFormatting>
  <conditionalFormatting sqref="W215:W216">
    <cfRule type="containsText" dxfId="704" priority="1282" operator="containsText" text="Hold">
      <formula>NOT(ISERROR(SEARCH("Hold",W215)))</formula>
    </cfRule>
  </conditionalFormatting>
  <conditionalFormatting sqref="W226:W227">
    <cfRule type="containsText" dxfId="703" priority="1264" operator="containsText" text="Hold">
      <formula>NOT(ISERROR(SEARCH("Hold",W226)))</formula>
    </cfRule>
  </conditionalFormatting>
  <conditionalFormatting sqref="W236:W237">
    <cfRule type="containsText" dxfId="702" priority="1255" operator="containsText" text="Hold">
      <formula>NOT(ISERROR(SEARCH("Hold",W236)))</formula>
    </cfRule>
  </conditionalFormatting>
  <conditionalFormatting sqref="W246:W247">
    <cfRule type="containsText" dxfId="701" priority="1237" operator="containsText" text="Hold">
      <formula>NOT(ISERROR(SEARCH("Hold",W246)))</formula>
    </cfRule>
  </conditionalFormatting>
  <conditionalFormatting sqref="W256:W257">
    <cfRule type="containsText" dxfId="700" priority="1193" operator="containsText" text="Hold">
      <formula>NOT(ISERROR(SEARCH("Hold",W256)))</formula>
    </cfRule>
  </conditionalFormatting>
  <conditionalFormatting sqref="W267:W268">
    <cfRule type="containsText" dxfId="699" priority="1079" operator="containsText" text="Hold">
      <formula>NOT(ISERROR(SEARCH("Hold",W267)))</formula>
    </cfRule>
  </conditionalFormatting>
  <conditionalFormatting sqref="W278:W279">
    <cfRule type="containsText" dxfId="698" priority="1025" operator="containsText" text="Hold">
      <formula>NOT(ISERROR(SEARCH("Hold",W278)))</formula>
    </cfRule>
  </conditionalFormatting>
  <conditionalFormatting sqref="W289:W290">
    <cfRule type="containsText" dxfId="697" priority="762" operator="containsText" text="Hold">
      <formula>NOT(ISERROR(SEARCH("Hold",W289)))</formula>
    </cfRule>
  </conditionalFormatting>
  <conditionalFormatting sqref="W300:W301">
    <cfRule type="containsText" dxfId="696" priority="655" operator="containsText" text="Hold">
      <formula>NOT(ISERROR(SEARCH("Hold",W300)))</formula>
    </cfRule>
  </conditionalFormatting>
  <conditionalFormatting sqref="W25:X26">
    <cfRule type="cellIs" dxfId="695" priority="526" operator="equal">
      <formula>"Completed"</formula>
    </cfRule>
    <cfRule type="cellIs" dxfId="694" priority="523" operator="equal">
      <formula>"HOLD"</formula>
    </cfRule>
    <cfRule type="cellIs" dxfId="693" priority="524" operator="equal">
      <formula>"ROW"</formula>
    </cfRule>
    <cfRule type="cellIs" dxfId="692" priority="522" operator="equal">
      <formula>"completedw"</formula>
    </cfRule>
    <cfRule type="cellIs" dxfId="691" priority="525" operator="equal">
      <formula>"wip"</formula>
    </cfRule>
  </conditionalFormatting>
  <conditionalFormatting sqref="W267:X268">
    <cfRule type="cellIs" dxfId="690" priority="1081" operator="equal">
      <formula>"HOLD"</formula>
    </cfRule>
    <cfRule type="cellIs" dxfId="689" priority="1082" operator="equal">
      <formula>"ROW"</formula>
    </cfRule>
    <cfRule type="cellIs" dxfId="688" priority="1084" operator="equal">
      <formula>"Completed"</formula>
    </cfRule>
    <cfRule type="cellIs" dxfId="687" priority="1080" operator="equal">
      <formula>"completedw"</formula>
    </cfRule>
    <cfRule type="cellIs" dxfId="686" priority="1083" operator="equal">
      <formula>"wip"</formula>
    </cfRule>
  </conditionalFormatting>
  <conditionalFormatting sqref="W289:X290">
    <cfRule type="cellIs" dxfId="685" priority="764" operator="equal">
      <formula>"HOLD"</formula>
    </cfRule>
    <cfRule type="cellIs" dxfId="684" priority="763" operator="equal">
      <formula>"completedw"</formula>
    </cfRule>
    <cfRule type="cellIs" dxfId="683" priority="767" operator="equal">
      <formula>"Completed"</formula>
    </cfRule>
    <cfRule type="cellIs" dxfId="682" priority="766" operator="equal">
      <formula>"wip"</formula>
    </cfRule>
    <cfRule type="cellIs" dxfId="681" priority="765" operator="equal">
      <formula>"ROW"</formula>
    </cfRule>
  </conditionalFormatting>
  <conditionalFormatting sqref="W300:X301">
    <cfRule type="cellIs" dxfId="680" priority="660" operator="equal">
      <formula>"Completed"</formula>
    </cfRule>
    <cfRule type="cellIs" dxfId="679" priority="657" operator="equal">
      <formula>"HOLD"</formula>
    </cfRule>
    <cfRule type="cellIs" dxfId="678" priority="659" operator="equal">
      <formula>"wip"</formula>
    </cfRule>
    <cfRule type="cellIs" dxfId="677" priority="656" operator="equal">
      <formula>"completedw"</formula>
    </cfRule>
    <cfRule type="cellIs" dxfId="676" priority="658" operator="equal">
      <formula>"ROW"</formula>
    </cfRule>
  </conditionalFormatting>
  <conditionalFormatting sqref="W83:Y84">
    <cfRule type="cellIs" dxfId="675" priority="883" operator="equal">
      <formula>"ROW"</formula>
    </cfRule>
    <cfRule type="cellIs" dxfId="674" priority="882" operator="equal">
      <formula>"HOLD"</formula>
    </cfRule>
    <cfRule type="cellIs" dxfId="673" priority="881" operator="equal">
      <formula>"completedw"</formula>
    </cfRule>
  </conditionalFormatting>
  <conditionalFormatting sqref="W107:Y108">
    <cfRule type="cellIs" dxfId="672" priority="123" operator="equal">
      <formula>"completedw"</formula>
    </cfRule>
    <cfRule type="cellIs" dxfId="671" priority="124" operator="equal">
      <formula>"HOLD"</formula>
    </cfRule>
    <cfRule type="cellIs" dxfId="670" priority="125" operator="equal">
      <formula>"ROW"</formula>
    </cfRule>
  </conditionalFormatting>
  <conditionalFormatting sqref="W72:AJ73">
    <cfRule type="cellIs" dxfId="669" priority="101" operator="equal">
      <formula>"ROW"</formula>
    </cfRule>
    <cfRule type="cellIs" dxfId="668" priority="100" operator="equal">
      <formula>"HOLD"</formula>
    </cfRule>
  </conditionalFormatting>
  <conditionalFormatting sqref="W72:XFD73">
    <cfRule type="cellIs" dxfId="667" priority="99" operator="equal">
      <formula>"completedw"</formula>
    </cfRule>
  </conditionalFormatting>
  <conditionalFormatting sqref="X87">
    <cfRule type="cellIs" dxfId="666" priority="141" operator="equal">
      <formula>"completedw"</formula>
    </cfRule>
    <cfRule type="cellIs" dxfId="665" priority="143" operator="equal">
      <formula>"ROW"</formula>
    </cfRule>
    <cfRule type="cellIs" dxfId="664" priority="142" operator="equal">
      <formula>"HOLD"</formula>
    </cfRule>
  </conditionalFormatting>
  <conditionalFormatting sqref="X161">
    <cfRule type="cellIs" dxfId="663" priority="1965" operator="equal">
      <formula>"Completed"</formula>
    </cfRule>
    <cfRule type="cellIs" dxfId="662" priority="1964" operator="equal">
      <formula>"wip"</formula>
    </cfRule>
  </conditionalFormatting>
  <conditionalFormatting sqref="X172">
    <cfRule type="cellIs" dxfId="661" priority="1936" operator="equal">
      <formula>"wip"</formula>
    </cfRule>
    <cfRule type="cellIs" dxfId="660" priority="1937" operator="equal">
      <formula>"Completed"</formula>
    </cfRule>
  </conditionalFormatting>
  <conditionalFormatting sqref="X183">
    <cfRule type="cellIs" dxfId="659" priority="1906" operator="equal">
      <formula>"wip"</formula>
    </cfRule>
    <cfRule type="cellIs" dxfId="658" priority="1907" operator="equal">
      <formula>"Completed"</formula>
    </cfRule>
  </conditionalFormatting>
  <conditionalFormatting sqref="X193">
    <cfRule type="cellIs" dxfId="657" priority="1879" operator="equal">
      <formula>"Completed"</formula>
    </cfRule>
    <cfRule type="cellIs" dxfId="656" priority="1878" operator="equal">
      <formula>"wip"</formula>
    </cfRule>
  </conditionalFormatting>
  <conditionalFormatting sqref="X204">
    <cfRule type="cellIs" dxfId="655" priority="1851" operator="equal">
      <formula>"Completed"</formula>
    </cfRule>
    <cfRule type="cellIs" dxfId="654" priority="1850" operator="equal">
      <formula>"wip"</formula>
    </cfRule>
  </conditionalFormatting>
  <conditionalFormatting sqref="X215">
    <cfRule type="cellIs" dxfId="653" priority="1823" operator="equal">
      <formula>"Completed"</formula>
    </cfRule>
    <cfRule type="cellIs" dxfId="652" priority="1822" operator="equal">
      <formula>"wip"</formula>
    </cfRule>
  </conditionalFormatting>
  <conditionalFormatting sqref="X226">
    <cfRule type="cellIs" dxfId="651" priority="1795" operator="equal">
      <formula>"Completed"</formula>
    </cfRule>
    <cfRule type="cellIs" dxfId="650" priority="1794" operator="equal">
      <formula>"wip"</formula>
    </cfRule>
  </conditionalFormatting>
  <conditionalFormatting sqref="X236">
    <cfRule type="cellIs" dxfId="649" priority="1715" operator="equal">
      <formula>"Completed"</formula>
    </cfRule>
    <cfRule type="cellIs" dxfId="648" priority="1714" operator="equal">
      <formula>"wip"</formula>
    </cfRule>
  </conditionalFormatting>
  <conditionalFormatting sqref="X246">
    <cfRule type="cellIs" dxfId="647" priority="1686" operator="equal">
      <formula>"wip"</formula>
    </cfRule>
    <cfRule type="cellIs" dxfId="646" priority="1687" operator="equal">
      <formula>"Completed"</formula>
    </cfRule>
  </conditionalFormatting>
  <conditionalFormatting sqref="X176:Y176">
    <cfRule type="cellIs" dxfId="645" priority="135" operator="equal">
      <formula>"completedw"</formula>
    </cfRule>
    <cfRule type="cellIs" dxfId="644" priority="136" operator="equal">
      <formula>"HOLD"</formula>
    </cfRule>
    <cfRule type="cellIs" dxfId="643" priority="137" operator="equal">
      <formula>"ROW"</formula>
    </cfRule>
  </conditionalFormatting>
  <conditionalFormatting sqref="X256:Y257">
    <cfRule type="cellIs" dxfId="642" priority="1204" operator="equal">
      <formula>"Completed"</formula>
    </cfRule>
    <cfRule type="cellIs" dxfId="641" priority="1203" operator="equal">
      <formula>"wip"</formula>
    </cfRule>
    <cfRule type="cellIs" dxfId="640" priority="1201" operator="equal">
      <formula>"HOLD"</formula>
    </cfRule>
    <cfRule type="cellIs" dxfId="639" priority="1200" operator="equal">
      <formula>"completedw"</formula>
    </cfRule>
    <cfRule type="cellIs" dxfId="638" priority="1202" operator="equal">
      <formula>"ROW"</formula>
    </cfRule>
  </conditionalFormatting>
  <conditionalFormatting sqref="X278:Y279">
    <cfRule type="cellIs" dxfId="637" priority="1034" operator="equal">
      <formula>"ROW"</formula>
    </cfRule>
    <cfRule type="cellIs" dxfId="636" priority="1035" operator="equal">
      <formula>"wip"</formula>
    </cfRule>
    <cfRule type="cellIs" dxfId="635" priority="1036" operator="equal">
      <formula>"Completed"</formula>
    </cfRule>
    <cfRule type="cellIs" dxfId="634" priority="1033" operator="equal">
      <formula>"HOLD"</formula>
    </cfRule>
    <cfRule type="cellIs" dxfId="633" priority="1032" operator="equal">
      <formula>"completedw"</formula>
    </cfRule>
  </conditionalFormatting>
  <conditionalFormatting sqref="Y18:Y19">
    <cfRule type="cellIs" dxfId="632" priority="463" operator="equal">
      <formula>"completedw"</formula>
    </cfRule>
    <cfRule type="cellIs" dxfId="631" priority="464" operator="equal">
      <formula>"HOLD"</formula>
    </cfRule>
    <cfRule type="cellIs" dxfId="630" priority="465" operator="equal">
      <formula>"ROW"</formula>
    </cfRule>
  </conditionalFormatting>
  <conditionalFormatting sqref="Y25:Y26">
    <cfRule type="containsText" dxfId="629" priority="515" operator="containsText" text="Hold">
      <formula>NOT(ISERROR(SEARCH("Hold",Y25)))</formula>
    </cfRule>
  </conditionalFormatting>
  <conditionalFormatting sqref="Y40">
    <cfRule type="cellIs" dxfId="628" priority="424" operator="equal">
      <formula>"completedw"</formula>
    </cfRule>
    <cfRule type="cellIs" dxfId="627" priority="425" operator="equal">
      <formula>"HOLD"</formula>
    </cfRule>
    <cfRule type="cellIs" dxfId="626" priority="426" operator="equal">
      <formula>"ROW"</formula>
    </cfRule>
  </conditionalFormatting>
  <conditionalFormatting sqref="Y46:Y47">
    <cfRule type="containsText" dxfId="625" priority="887" operator="containsText" text="Hold">
      <formula>NOT(ISERROR(SEARCH("Hold",Y46)))</formula>
    </cfRule>
  </conditionalFormatting>
  <conditionalFormatting sqref="Y61:Y62">
    <cfRule type="cellIs" dxfId="624" priority="387" operator="equal">
      <formula>"ROW"</formula>
    </cfRule>
    <cfRule type="cellIs" dxfId="623" priority="385" operator="equal">
      <formula>"completedw"</formula>
    </cfRule>
    <cfRule type="cellIs" dxfId="622" priority="386" operator="equal">
      <formula>"HOLD"</formula>
    </cfRule>
  </conditionalFormatting>
  <conditionalFormatting sqref="Y68:Y69">
    <cfRule type="containsText" dxfId="621" priority="1362" operator="containsText" text="Hold">
      <formula>NOT(ISERROR(SEARCH("Hold",Y68)))</formula>
    </cfRule>
  </conditionalFormatting>
  <conditionalFormatting sqref="Y79:Y80">
    <cfRule type="containsText" dxfId="620" priority="908" operator="containsText" text="Hold">
      <formula>NOT(ISERROR(SEARCH("Hold",Y79)))</formula>
    </cfRule>
  </conditionalFormatting>
  <conditionalFormatting sqref="Y91:Y92">
    <cfRule type="containsText" dxfId="619" priority="905" operator="containsText" text="Hold">
      <formula>NOT(ISERROR(SEARCH("Hold",Y91)))</formula>
    </cfRule>
  </conditionalFormatting>
  <conditionalFormatting sqref="Y115:Y116">
    <cfRule type="containsText" dxfId="618" priority="514" operator="containsText" text="Hold">
      <formula>NOT(ISERROR(SEARCH("Hold",Y115)))</formula>
    </cfRule>
  </conditionalFormatting>
  <conditionalFormatting sqref="Y127:Y128">
    <cfRule type="containsText" dxfId="617" priority="511" operator="containsText" text="Hold">
      <formula>NOT(ISERROR(SEARCH("Hold",Y127)))</formula>
    </cfRule>
  </conditionalFormatting>
  <conditionalFormatting sqref="Y139:Y140">
    <cfRule type="containsText" dxfId="616" priority="1412" operator="containsText" text="Hold">
      <formula>NOT(ISERROR(SEARCH("Hold",Y139)))</formula>
    </cfRule>
  </conditionalFormatting>
  <conditionalFormatting sqref="Y150:Y151">
    <cfRule type="containsText" dxfId="615" priority="1306" operator="containsText" text="Hold">
      <formula>NOT(ISERROR(SEARCH("Hold",Y150)))</formula>
    </cfRule>
  </conditionalFormatting>
  <conditionalFormatting sqref="Y183:Y184">
    <cfRule type="containsText" dxfId="614" priority="509" operator="containsText" text="Hold">
      <formula>NOT(ISERROR(SEARCH("Hold",Y183)))</formula>
    </cfRule>
  </conditionalFormatting>
  <conditionalFormatting sqref="Y204:Y205">
    <cfRule type="containsText" dxfId="613" priority="1290" operator="containsText" text="Hold">
      <formula>NOT(ISERROR(SEARCH("Hold",Y204)))</formula>
    </cfRule>
  </conditionalFormatting>
  <conditionalFormatting sqref="Y208">
    <cfRule type="cellIs" dxfId="612" priority="76" operator="equal">
      <formula>"HOLD"</formula>
    </cfRule>
    <cfRule type="cellIs" dxfId="611" priority="75" operator="equal">
      <formula>"completedw"</formula>
    </cfRule>
    <cfRule type="cellIs" dxfId="610" priority="77" operator="equal">
      <formula>"ROW"</formula>
    </cfRule>
  </conditionalFormatting>
  <conditionalFormatting sqref="Y215:Y216">
    <cfRule type="containsText" dxfId="609" priority="1283" operator="containsText" text="Hold">
      <formula>NOT(ISERROR(SEARCH("Hold",Y215)))</formula>
    </cfRule>
  </conditionalFormatting>
  <conditionalFormatting sqref="Y226:Y227">
    <cfRule type="containsText" dxfId="608" priority="1263" operator="containsText" text="Hold">
      <formula>NOT(ISERROR(SEARCH("Hold",Y226)))</formula>
    </cfRule>
  </conditionalFormatting>
  <conditionalFormatting sqref="Y236:Y237">
    <cfRule type="containsText" dxfId="607" priority="1256" operator="containsText" text="Hold">
      <formula>NOT(ISERROR(SEARCH("Hold",Y236)))</formula>
    </cfRule>
  </conditionalFormatting>
  <conditionalFormatting sqref="Y246:Y247">
    <cfRule type="containsText" dxfId="606" priority="1236" operator="containsText" text="Hold">
      <formula>NOT(ISERROR(SEARCH("Hold",Y246)))</formula>
    </cfRule>
  </conditionalFormatting>
  <conditionalFormatting sqref="Y256:Y257">
    <cfRule type="containsText" dxfId="605" priority="1199" operator="containsText" text="Hold">
      <formula>NOT(ISERROR(SEARCH("Hold",Y256)))</formula>
    </cfRule>
  </conditionalFormatting>
  <conditionalFormatting sqref="Y267:Y268">
    <cfRule type="containsText" dxfId="604" priority="1073" operator="containsText" text="Hold">
      <formula>NOT(ISERROR(SEARCH("Hold",Y267)))</formula>
    </cfRule>
  </conditionalFormatting>
  <conditionalFormatting sqref="Y278:Y279">
    <cfRule type="containsText" dxfId="603" priority="1031" operator="containsText" text="Hold">
      <formula>NOT(ISERROR(SEARCH("Hold",Y278)))</formula>
    </cfRule>
  </conditionalFormatting>
  <conditionalFormatting sqref="Y289:Y290">
    <cfRule type="containsText" dxfId="602" priority="756" operator="containsText" text="Hold">
      <formula>NOT(ISERROR(SEARCH("Hold",Y289)))</formula>
    </cfRule>
  </conditionalFormatting>
  <conditionalFormatting sqref="Y300:Y301">
    <cfRule type="containsText" dxfId="601" priority="649" operator="containsText" text="Hold">
      <formula>NOT(ISERROR(SEARCH("Hold",Y300)))</formula>
    </cfRule>
  </conditionalFormatting>
  <conditionalFormatting sqref="Y79:Z80">
    <cfRule type="cellIs" dxfId="600" priority="912" operator="equal">
      <formula>"wip"</formula>
    </cfRule>
    <cfRule type="cellIs" dxfId="599" priority="909" operator="equal">
      <formula>"completedw"</formula>
    </cfRule>
    <cfRule type="cellIs" dxfId="598" priority="913" operator="equal">
      <formula>"Completed"</formula>
    </cfRule>
    <cfRule type="cellIs" dxfId="597" priority="910" operator="equal">
      <formula>"HOLD"</formula>
    </cfRule>
    <cfRule type="cellIs" dxfId="596" priority="911" operator="equal">
      <formula>"ROW"</formula>
    </cfRule>
  </conditionalFormatting>
  <conditionalFormatting sqref="Y267:Z268">
    <cfRule type="cellIs" dxfId="595" priority="1074" operator="equal">
      <formula>"completedw"</formula>
    </cfRule>
    <cfRule type="cellIs" dxfId="594" priority="1076" operator="equal">
      <formula>"ROW"</formula>
    </cfRule>
    <cfRule type="cellIs" dxfId="593" priority="1075" operator="equal">
      <formula>"HOLD"</formula>
    </cfRule>
    <cfRule type="cellIs" dxfId="592" priority="1077" operator="equal">
      <formula>"wip"</formula>
    </cfRule>
    <cfRule type="cellIs" dxfId="591" priority="1078" operator="equal">
      <formula>"Completed"</formula>
    </cfRule>
  </conditionalFormatting>
  <conditionalFormatting sqref="Y289:Z290">
    <cfRule type="cellIs" dxfId="590" priority="759" operator="equal">
      <formula>"ROW"</formula>
    </cfRule>
    <cfRule type="cellIs" dxfId="589" priority="761" operator="equal">
      <formula>"Completed"</formula>
    </cfRule>
    <cfRule type="cellIs" dxfId="588" priority="760" operator="equal">
      <formula>"wip"</formula>
    </cfRule>
    <cfRule type="cellIs" dxfId="587" priority="758" operator="equal">
      <formula>"HOLD"</formula>
    </cfRule>
    <cfRule type="cellIs" dxfId="586" priority="757" operator="equal">
      <formula>"completedw"</formula>
    </cfRule>
  </conditionalFormatting>
  <conditionalFormatting sqref="Y300:Z301">
    <cfRule type="cellIs" dxfId="585" priority="654" operator="equal">
      <formula>"Completed"</formula>
    </cfRule>
    <cfRule type="cellIs" dxfId="584" priority="652" operator="equal">
      <formula>"ROW"</formula>
    </cfRule>
    <cfRule type="cellIs" dxfId="583" priority="650" operator="equal">
      <formula>"completedw"</formula>
    </cfRule>
    <cfRule type="cellIs" dxfId="582" priority="651" operator="equal">
      <formula>"HOLD"</formula>
    </cfRule>
    <cfRule type="cellIs" dxfId="581" priority="653" operator="equal">
      <formula>"wip"</formula>
    </cfRule>
  </conditionalFormatting>
  <conditionalFormatting sqref="Y25:AE26">
    <cfRule type="cellIs" dxfId="580" priority="519" operator="equal">
      <formula>"wip"</formula>
    </cfRule>
    <cfRule type="cellIs" dxfId="579" priority="520" operator="equal">
      <formula>"Completed"</formula>
    </cfRule>
  </conditionalFormatting>
  <conditionalFormatting sqref="Y197:AE197 Z198 AB198:AE198">
    <cfRule type="cellIs" dxfId="578" priority="51" operator="equal">
      <formula>"ROW"</formula>
    </cfRule>
    <cfRule type="cellIs" dxfId="577" priority="49" operator="equal">
      <formula>"completedw"</formula>
    </cfRule>
    <cfRule type="cellIs" dxfId="576" priority="50" operator="equal">
      <formula>"HOLD"</formula>
    </cfRule>
  </conditionalFormatting>
  <conditionalFormatting sqref="Y25:XFD26">
    <cfRule type="cellIs" dxfId="575" priority="516" operator="equal">
      <formula>"completedw"</formula>
    </cfRule>
    <cfRule type="cellIs" dxfId="574" priority="517" operator="equal">
      <formula>"HOLD"</formula>
    </cfRule>
    <cfRule type="cellIs" dxfId="573" priority="518" operator="equal">
      <formula>"ROW"</formula>
    </cfRule>
  </conditionalFormatting>
  <conditionalFormatting sqref="Z161">
    <cfRule type="cellIs" dxfId="572" priority="1962" operator="equal">
      <formula>"wip"</formula>
    </cfRule>
    <cfRule type="cellIs" dxfId="571" priority="1963" operator="equal">
      <formula>"Completed"</formula>
    </cfRule>
  </conditionalFormatting>
  <conditionalFormatting sqref="Z172">
    <cfRule type="cellIs" dxfId="570" priority="1934" operator="equal">
      <formula>"wip"</formula>
    </cfRule>
    <cfRule type="cellIs" dxfId="569" priority="1935" operator="equal">
      <formula>"Completed"</formula>
    </cfRule>
  </conditionalFormatting>
  <conditionalFormatting sqref="Z183">
    <cfRule type="cellIs" dxfId="568" priority="1905" operator="equal">
      <formula>"Completed"</formula>
    </cfRule>
    <cfRule type="cellIs" dxfId="567" priority="1904" operator="equal">
      <formula>"wip"</formula>
    </cfRule>
  </conditionalFormatting>
  <conditionalFormatting sqref="Z193">
    <cfRule type="cellIs" dxfId="566" priority="1877" operator="equal">
      <formula>"Completed"</formula>
    </cfRule>
    <cfRule type="cellIs" dxfId="565" priority="1876" operator="equal">
      <formula>"wip"</formula>
    </cfRule>
  </conditionalFormatting>
  <conditionalFormatting sqref="Z204">
    <cfRule type="cellIs" dxfId="564" priority="1849" operator="equal">
      <formula>"Completed"</formula>
    </cfRule>
    <cfRule type="cellIs" dxfId="563" priority="1848" operator="equal">
      <formula>"wip"</formula>
    </cfRule>
  </conditionalFormatting>
  <conditionalFormatting sqref="Z215">
    <cfRule type="cellIs" dxfId="562" priority="1820" operator="equal">
      <formula>"wip"</formula>
    </cfRule>
    <cfRule type="cellIs" dxfId="561" priority="1821" operator="equal">
      <formula>"Completed"</formula>
    </cfRule>
  </conditionalFormatting>
  <conditionalFormatting sqref="Z226">
    <cfRule type="cellIs" dxfId="560" priority="1792" operator="equal">
      <formula>"wip"</formula>
    </cfRule>
    <cfRule type="cellIs" dxfId="559" priority="1793" operator="equal">
      <formula>"Completed"</formula>
    </cfRule>
  </conditionalFormatting>
  <conditionalFormatting sqref="Z236">
    <cfRule type="cellIs" dxfId="558" priority="1713" operator="equal">
      <formula>"Completed"</formula>
    </cfRule>
    <cfRule type="cellIs" dxfId="557" priority="1712" operator="equal">
      <formula>"wip"</formula>
    </cfRule>
  </conditionalFormatting>
  <conditionalFormatting sqref="Z246">
    <cfRule type="cellIs" dxfId="556" priority="1684" operator="equal">
      <formula>"wip"</formula>
    </cfRule>
    <cfRule type="cellIs" dxfId="555" priority="1685" operator="equal">
      <formula>"Completed"</formula>
    </cfRule>
  </conditionalFormatting>
  <conditionalFormatting sqref="Z29:AA30">
    <cfRule type="cellIs" dxfId="554" priority="262" operator="equal">
      <formula>"completedw"</formula>
    </cfRule>
    <cfRule type="cellIs" dxfId="553" priority="264" operator="equal">
      <formula>"ROW"</formula>
    </cfRule>
    <cfRule type="cellIs" dxfId="552" priority="263" operator="equal">
      <formula>"HOLD"</formula>
    </cfRule>
  </conditionalFormatting>
  <conditionalFormatting sqref="Z256:AA257">
    <cfRule type="cellIs" dxfId="551" priority="1210" operator="equal">
      <formula>"Completed"</formula>
    </cfRule>
    <cfRule type="cellIs" dxfId="550" priority="1209" operator="equal">
      <formula>"wip"</formula>
    </cfRule>
    <cfRule type="cellIs" dxfId="549" priority="1208" operator="equal">
      <formula>"ROW"</formula>
    </cfRule>
    <cfRule type="cellIs" dxfId="548" priority="1207" operator="equal">
      <formula>"HOLD"</formula>
    </cfRule>
    <cfRule type="cellIs" dxfId="547" priority="1206" operator="equal">
      <formula>"completedw"</formula>
    </cfRule>
  </conditionalFormatting>
  <conditionalFormatting sqref="Z278:AA279">
    <cfRule type="cellIs" dxfId="546" priority="1041" operator="equal">
      <formula>"wip"</formula>
    </cfRule>
    <cfRule type="cellIs" dxfId="545" priority="1042" operator="equal">
      <formula>"Completed"</formula>
    </cfRule>
  </conditionalFormatting>
  <conditionalFormatting sqref="Z278:AB279">
    <cfRule type="cellIs" dxfId="544" priority="1038" operator="equal">
      <formula>"completedw"</formula>
    </cfRule>
    <cfRule type="cellIs" dxfId="543" priority="1039" operator="equal">
      <formula>"HOLD"</formula>
    </cfRule>
    <cfRule type="cellIs" dxfId="542" priority="1040" operator="equal">
      <formula>"ROW"</formula>
    </cfRule>
  </conditionalFormatting>
  <conditionalFormatting sqref="AA18:AA19">
    <cfRule type="cellIs" dxfId="541" priority="462" operator="equal">
      <formula>"ROW"</formula>
    </cfRule>
    <cfRule type="cellIs" dxfId="540" priority="461" operator="equal">
      <formula>"HOLD"</formula>
    </cfRule>
    <cfRule type="cellIs" dxfId="539" priority="460" operator="equal">
      <formula>"completedw"</formula>
    </cfRule>
  </conditionalFormatting>
  <conditionalFormatting sqref="AA50:AA51">
    <cfRule type="cellIs" dxfId="538" priority="405" operator="equal">
      <formula>"ROW"</formula>
    </cfRule>
    <cfRule type="cellIs" dxfId="537" priority="404" operator="equal">
      <formula>"HOLD"</formula>
    </cfRule>
    <cfRule type="cellIs" dxfId="536" priority="403" operator="equal">
      <formula>"completedw"</formula>
    </cfRule>
  </conditionalFormatting>
  <conditionalFormatting sqref="AA61:AA62">
    <cfRule type="cellIs" dxfId="535" priority="390" operator="equal">
      <formula>"ROW"</formula>
    </cfRule>
    <cfRule type="cellIs" dxfId="534" priority="388" operator="equal">
      <formula>"completedw"</formula>
    </cfRule>
    <cfRule type="cellIs" dxfId="533" priority="389" operator="equal">
      <formula>"HOLD"</formula>
    </cfRule>
  </conditionalFormatting>
  <conditionalFormatting sqref="AA68:AA69">
    <cfRule type="containsText" dxfId="532" priority="1356" operator="containsText" text="Hold">
      <formula>NOT(ISERROR(SEARCH("Hold",AA68)))</formula>
    </cfRule>
  </conditionalFormatting>
  <conditionalFormatting sqref="AA79:AA80">
    <cfRule type="cellIs" dxfId="531" priority="531" operator="equal">
      <formula>"wip"</formula>
    </cfRule>
    <cfRule type="cellIs" dxfId="530" priority="529" operator="equal">
      <formula>"HOLD"</formula>
    </cfRule>
    <cfRule type="cellIs" dxfId="529" priority="528" operator="equal">
      <formula>"completedw"</formula>
    </cfRule>
    <cfRule type="cellIs" dxfId="528" priority="530" operator="equal">
      <formula>"ROW"</formula>
    </cfRule>
    <cfRule type="containsText" dxfId="527" priority="527" operator="containsText" text="Hold">
      <formula>NOT(ISERROR(SEARCH("Hold",AA79)))</formula>
    </cfRule>
    <cfRule type="cellIs" dxfId="526" priority="532" operator="equal">
      <formula>"Completed"</formula>
    </cfRule>
  </conditionalFormatting>
  <conditionalFormatting sqref="AA83:AA84">
    <cfRule type="cellIs" dxfId="525" priority="886" operator="equal">
      <formula>"ROW"</formula>
    </cfRule>
    <cfRule type="cellIs" dxfId="524" priority="884" operator="equal">
      <formula>"completedw"</formula>
    </cfRule>
    <cfRule type="cellIs" dxfId="523" priority="885" operator="equal">
      <formula>"HOLD"</formula>
    </cfRule>
  </conditionalFormatting>
  <conditionalFormatting sqref="AA91:AA92">
    <cfRule type="containsText" dxfId="522" priority="904" operator="containsText" text="Hold">
      <formula>NOT(ISERROR(SEARCH("Hold",AA91)))</formula>
    </cfRule>
  </conditionalFormatting>
  <conditionalFormatting sqref="AA107:AA108">
    <cfRule type="cellIs" dxfId="521" priority="128" operator="equal">
      <formula>"ROW"</formula>
    </cfRule>
    <cfRule type="cellIs" dxfId="520" priority="126" operator="equal">
      <formula>"completedw"</formula>
    </cfRule>
    <cfRule type="cellIs" dxfId="519" priority="127" operator="equal">
      <formula>"HOLD"</formula>
    </cfRule>
  </conditionalFormatting>
  <conditionalFormatting sqref="AA115:AA116">
    <cfRule type="containsText" dxfId="518" priority="1307" operator="containsText" text="Hold">
      <formula>NOT(ISERROR(SEARCH("Hold",AA115)))</formula>
    </cfRule>
  </conditionalFormatting>
  <conditionalFormatting sqref="AA127:AA128">
    <cfRule type="containsText" dxfId="517" priority="510" operator="containsText" text="Hold">
      <formula>NOT(ISERROR(SEARCH("Hold",AA127)))</formula>
    </cfRule>
  </conditionalFormatting>
  <conditionalFormatting sqref="AA139:AA140">
    <cfRule type="containsText" dxfId="516" priority="1411" operator="containsText" text="Hold">
      <formula>NOT(ISERROR(SEARCH("Hold",AA139)))</formula>
    </cfRule>
  </conditionalFormatting>
  <conditionalFormatting sqref="AA165:AA166">
    <cfRule type="cellIs" dxfId="515" priority="298" operator="equal">
      <formula>"completedw"</formula>
    </cfRule>
    <cfRule type="cellIs" dxfId="514" priority="300" operator="equal">
      <formula>"ROW"</formula>
    </cfRule>
    <cfRule type="cellIs" dxfId="513" priority="299" operator="equal">
      <formula>"HOLD"</formula>
    </cfRule>
  </conditionalFormatting>
  <conditionalFormatting sqref="AA176">
    <cfRule type="cellIs" dxfId="512" priority="846" operator="equal">
      <formula>"ROW"</formula>
    </cfRule>
    <cfRule type="cellIs" dxfId="511" priority="845" operator="equal">
      <formula>"HOLD"</formula>
    </cfRule>
    <cfRule type="cellIs" dxfId="510" priority="844" operator="equal">
      <formula>"completedw"</formula>
    </cfRule>
  </conditionalFormatting>
  <conditionalFormatting sqref="AA183:AA184">
    <cfRule type="containsText" dxfId="509" priority="168" operator="containsText" text="Hold">
      <formula>NOT(ISERROR(SEARCH("Hold",AA183)))</formula>
    </cfRule>
  </conditionalFormatting>
  <conditionalFormatting sqref="AA204:AA205">
    <cfRule type="containsText" dxfId="508" priority="1289" operator="containsText" text="Hold">
      <formula>NOT(ISERROR(SEARCH("Hold",AA204)))</formula>
    </cfRule>
  </conditionalFormatting>
  <conditionalFormatting sqref="AA208">
    <cfRule type="cellIs" dxfId="507" priority="74" operator="equal">
      <formula>"ROW"</formula>
    </cfRule>
    <cfRule type="cellIs" dxfId="506" priority="72" operator="equal">
      <formula>"completedw"</formula>
    </cfRule>
    <cfRule type="cellIs" dxfId="505" priority="73" operator="equal">
      <formula>"HOLD"</formula>
    </cfRule>
  </conditionalFormatting>
  <conditionalFormatting sqref="AA215:AA216">
    <cfRule type="containsText" dxfId="504" priority="1284" operator="containsText" text="Hold">
      <formula>NOT(ISERROR(SEARCH("Hold",AA215)))</formula>
    </cfRule>
  </conditionalFormatting>
  <conditionalFormatting sqref="AA226:AA227">
    <cfRule type="containsText" dxfId="503" priority="1262" operator="containsText" text="Hold">
      <formula>NOT(ISERROR(SEARCH("Hold",AA226)))</formula>
    </cfRule>
  </conditionalFormatting>
  <conditionalFormatting sqref="AA236:AA237">
    <cfRule type="containsText" dxfId="502" priority="1257" operator="containsText" text="Hold">
      <formula>NOT(ISERROR(SEARCH("Hold",AA236)))</formula>
    </cfRule>
  </conditionalFormatting>
  <conditionalFormatting sqref="AA246:AA247">
    <cfRule type="containsText" dxfId="501" priority="1235" operator="containsText" text="Hold">
      <formula>NOT(ISERROR(SEARCH("Hold",AA246)))</formula>
    </cfRule>
  </conditionalFormatting>
  <conditionalFormatting sqref="AA256:AA257">
    <cfRule type="containsText" dxfId="500" priority="1205" operator="containsText" text="Hold">
      <formula>NOT(ISERROR(SEARCH("Hold",AA256)))</formula>
    </cfRule>
  </conditionalFormatting>
  <conditionalFormatting sqref="AA267:AA268">
    <cfRule type="containsText" dxfId="499" priority="1067" operator="containsText" text="Hold">
      <formula>NOT(ISERROR(SEARCH("Hold",AA267)))</formula>
    </cfRule>
  </conditionalFormatting>
  <conditionalFormatting sqref="AA278:AA279">
    <cfRule type="containsText" dxfId="498" priority="1037" operator="containsText" text="Hold">
      <formula>NOT(ISERROR(SEARCH("Hold",AA278)))</formula>
    </cfRule>
  </conditionalFormatting>
  <conditionalFormatting sqref="AA289:AA290">
    <cfRule type="containsText" dxfId="497" priority="750" operator="containsText" text="Hold">
      <formula>NOT(ISERROR(SEARCH("Hold",AA289)))</formula>
    </cfRule>
  </conditionalFormatting>
  <conditionalFormatting sqref="AA300:AA301">
    <cfRule type="containsText" dxfId="496" priority="643" operator="containsText" text="Hold">
      <formula>NOT(ISERROR(SEARCH("Hold",AA300)))</formula>
    </cfRule>
  </conditionalFormatting>
  <conditionalFormatting sqref="AA40:AB40">
    <cfRule type="cellIs" dxfId="495" priority="421" operator="equal">
      <formula>"completedw"</formula>
    </cfRule>
    <cfRule type="cellIs" dxfId="494" priority="423" operator="equal">
      <formula>"ROW"</formula>
    </cfRule>
    <cfRule type="cellIs" dxfId="493" priority="422" operator="equal">
      <formula>"HOLD"</formula>
    </cfRule>
  </conditionalFormatting>
  <conditionalFormatting sqref="AA68:AB69">
    <cfRule type="cellIs" dxfId="492" priority="1360" operator="equal">
      <formula>"wip"</formula>
    </cfRule>
    <cfRule type="cellIs" dxfId="491" priority="1361" operator="equal">
      <formula>"Completed"</formula>
    </cfRule>
    <cfRule type="cellIs" dxfId="490" priority="1357" operator="equal">
      <formula>"completedw"</formula>
    </cfRule>
    <cfRule type="cellIs" dxfId="489" priority="1358" operator="equal">
      <formula>"HOLD"</formula>
    </cfRule>
    <cfRule type="cellIs" dxfId="488" priority="1359" operator="equal">
      <formula>"ROW"</formula>
    </cfRule>
  </conditionalFormatting>
  <conditionalFormatting sqref="AA267:AB268">
    <cfRule type="cellIs" dxfId="487" priority="1069" operator="equal">
      <formula>"HOLD"</formula>
    </cfRule>
    <cfRule type="cellIs" dxfId="486" priority="1072" operator="equal">
      <formula>"Completed"</formula>
    </cfRule>
    <cfRule type="cellIs" dxfId="485" priority="1071" operator="equal">
      <formula>"wip"</formula>
    </cfRule>
    <cfRule type="cellIs" dxfId="484" priority="1070" operator="equal">
      <formula>"ROW"</formula>
    </cfRule>
    <cfRule type="cellIs" dxfId="483" priority="1068" operator="equal">
      <formula>"completedw"</formula>
    </cfRule>
  </conditionalFormatting>
  <conditionalFormatting sqref="AA289:AB290">
    <cfRule type="cellIs" dxfId="482" priority="751" operator="equal">
      <formula>"completedw"</formula>
    </cfRule>
    <cfRule type="cellIs" dxfId="481" priority="752" operator="equal">
      <formula>"HOLD"</formula>
    </cfRule>
    <cfRule type="cellIs" dxfId="480" priority="754" operator="equal">
      <formula>"wip"</formula>
    </cfRule>
    <cfRule type="cellIs" dxfId="479" priority="755" operator="equal">
      <formula>"Completed"</formula>
    </cfRule>
    <cfRule type="cellIs" dxfId="478" priority="753" operator="equal">
      <formula>"ROW"</formula>
    </cfRule>
  </conditionalFormatting>
  <conditionalFormatting sqref="AA300:AB301">
    <cfRule type="cellIs" dxfId="477" priority="648" operator="equal">
      <formula>"Completed"</formula>
    </cfRule>
    <cfRule type="cellIs" dxfId="476" priority="647" operator="equal">
      <formula>"wip"</formula>
    </cfRule>
    <cfRule type="cellIs" dxfId="475" priority="646" operator="equal">
      <formula>"ROW"</formula>
    </cfRule>
    <cfRule type="cellIs" dxfId="474" priority="645" operator="equal">
      <formula>"HOLD"</formula>
    </cfRule>
    <cfRule type="cellIs" dxfId="473" priority="644" operator="equal">
      <formula>"completedw"</formula>
    </cfRule>
  </conditionalFormatting>
  <conditionalFormatting sqref="AB161">
    <cfRule type="cellIs" dxfId="472" priority="1960" operator="equal">
      <formula>"wip"</formula>
    </cfRule>
    <cfRule type="cellIs" dxfId="471" priority="1961" operator="equal">
      <formula>"Completed"</formula>
    </cfRule>
  </conditionalFormatting>
  <conditionalFormatting sqref="AB172">
    <cfRule type="cellIs" dxfId="470" priority="1932" operator="equal">
      <formula>"wip"</formula>
    </cfRule>
    <cfRule type="cellIs" dxfId="469" priority="1933" operator="equal">
      <formula>"Completed"</formula>
    </cfRule>
  </conditionalFormatting>
  <conditionalFormatting sqref="AB183">
    <cfRule type="cellIs" dxfId="468" priority="1902" operator="equal">
      <formula>"wip"</formula>
    </cfRule>
    <cfRule type="cellIs" dxfId="467" priority="1903" operator="equal">
      <formula>"Completed"</formula>
    </cfRule>
  </conditionalFormatting>
  <conditionalFormatting sqref="AB193">
    <cfRule type="cellIs" dxfId="466" priority="1874" operator="equal">
      <formula>"wip"</formula>
    </cfRule>
    <cfRule type="cellIs" dxfId="465" priority="1875" operator="equal">
      <formula>"Completed"</formula>
    </cfRule>
  </conditionalFormatting>
  <conditionalFormatting sqref="AB204">
    <cfRule type="cellIs" dxfId="464" priority="1846" operator="equal">
      <formula>"wip"</formula>
    </cfRule>
    <cfRule type="cellIs" dxfId="463" priority="1847" operator="equal">
      <formula>"Completed"</formula>
    </cfRule>
  </conditionalFormatting>
  <conditionalFormatting sqref="AB215">
    <cfRule type="cellIs" dxfId="462" priority="1819" operator="equal">
      <formula>"Completed"</formula>
    </cfRule>
    <cfRule type="cellIs" dxfId="461" priority="1818" operator="equal">
      <formula>"wip"</formula>
    </cfRule>
  </conditionalFormatting>
  <conditionalFormatting sqref="AB226">
    <cfRule type="cellIs" dxfId="460" priority="1790" operator="equal">
      <formula>"wip"</formula>
    </cfRule>
    <cfRule type="cellIs" dxfId="459" priority="1791" operator="equal">
      <formula>"Completed"</formula>
    </cfRule>
  </conditionalFormatting>
  <conditionalFormatting sqref="AB236">
    <cfRule type="cellIs" dxfId="458" priority="1710" operator="equal">
      <formula>"wip"</formula>
    </cfRule>
    <cfRule type="cellIs" dxfId="457" priority="1711" operator="equal">
      <formula>"Completed"</formula>
    </cfRule>
  </conditionalFormatting>
  <conditionalFormatting sqref="AB246">
    <cfRule type="cellIs" dxfId="456" priority="1682" operator="equal">
      <formula>"wip"</formula>
    </cfRule>
    <cfRule type="cellIs" dxfId="455" priority="1683" operator="equal">
      <formula>"Completed"</formula>
    </cfRule>
  </conditionalFormatting>
  <conditionalFormatting sqref="AB256:AC257">
    <cfRule type="cellIs" dxfId="454" priority="1216" operator="equal">
      <formula>"Completed"</formula>
    </cfRule>
    <cfRule type="cellIs" dxfId="453" priority="1212" operator="equal">
      <formula>"completedw"</formula>
    </cfRule>
    <cfRule type="cellIs" dxfId="452" priority="1213" operator="equal">
      <formula>"HOLD"</formula>
    </cfRule>
    <cfRule type="cellIs" dxfId="451" priority="1215" operator="equal">
      <formula>"wip"</formula>
    </cfRule>
    <cfRule type="cellIs" dxfId="450" priority="1214" operator="equal">
      <formula>"ROW"</formula>
    </cfRule>
  </conditionalFormatting>
  <conditionalFormatting sqref="AB278:AC279">
    <cfRule type="cellIs" dxfId="449" priority="1047" operator="equal">
      <formula>"wip"</formula>
    </cfRule>
    <cfRule type="cellIs" dxfId="448" priority="1048" operator="equal">
      <formula>"Completed"</formula>
    </cfRule>
  </conditionalFormatting>
  <conditionalFormatting sqref="AB79:AE80">
    <cfRule type="cellIs" dxfId="447" priority="870" operator="equal">
      <formula>"Completed"</formula>
    </cfRule>
    <cfRule type="cellIs" dxfId="446" priority="869" operator="equal">
      <formula>"wip"</formula>
    </cfRule>
  </conditionalFormatting>
  <conditionalFormatting sqref="AB79:XFD80">
    <cfRule type="cellIs" dxfId="445" priority="868" operator="equal">
      <formula>"ROW"</formula>
    </cfRule>
    <cfRule type="cellIs" dxfId="444" priority="867" operator="equal">
      <formula>"HOLD"</formula>
    </cfRule>
    <cfRule type="cellIs" dxfId="443" priority="866" operator="equal">
      <formula>"completedw"</formula>
    </cfRule>
  </conditionalFormatting>
  <conditionalFormatting sqref="AC18:AC19">
    <cfRule type="cellIs" dxfId="442" priority="459" operator="equal">
      <formula>"ROW"</formula>
    </cfRule>
    <cfRule type="cellIs" dxfId="441" priority="458" operator="equal">
      <formula>"HOLD"</formula>
    </cfRule>
    <cfRule type="cellIs" dxfId="440" priority="457" operator="equal">
      <formula>"completedw"</formula>
    </cfRule>
  </conditionalFormatting>
  <conditionalFormatting sqref="AC29:AC30">
    <cfRule type="cellIs" dxfId="439" priority="449" operator="equal">
      <formula>"HOLD"</formula>
    </cfRule>
    <cfRule type="cellIs" dxfId="438" priority="450" operator="equal">
      <formula>"ROW"</formula>
    </cfRule>
    <cfRule type="cellIs" dxfId="437" priority="448" operator="equal">
      <formula>"completedw"</formula>
    </cfRule>
  </conditionalFormatting>
  <conditionalFormatting sqref="AC50:AC51">
    <cfRule type="cellIs" dxfId="436" priority="402" operator="equal">
      <formula>"ROW"</formula>
    </cfRule>
    <cfRule type="cellIs" dxfId="435" priority="400" operator="equal">
      <formula>"completedw"</formula>
    </cfRule>
    <cfRule type="cellIs" dxfId="434" priority="401" operator="equal">
      <formula>"HOLD"</formula>
    </cfRule>
  </conditionalFormatting>
  <conditionalFormatting sqref="AC61:AC62">
    <cfRule type="cellIs" dxfId="433" priority="391" operator="equal">
      <formula>"completedw"</formula>
    </cfRule>
    <cfRule type="cellIs" dxfId="432" priority="392" operator="equal">
      <formula>"HOLD"</formula>
    </cfRule>
    <cfRule type="cellIs" dxfId="431" priority="393" operator="equal">
      <formula>"ROW"</formula>
    </cfRule>
  </conditionalFormatting>
  <conditionalFormatting sqref="AC68:AC69">
    <cfRule type="cellIs" dxfId="430" priority="1351" operator="equal">
      <formula>"completedw"</formula>
    </cfRule>
    <cfRule type="cellIs" dxfId="429" priority="1352" operator="equal">
      <formula>"HOLD"</formula>
    </cfRule>
    <cfRule type="containsText" dxfId="428" priority="1350" operator="containsText" text="Hold">
      <formula>NOT(ISERROR(SEARCH("Hold",AC68)))</formula>
    </cfRule>
    <cfRule type="cellIs" dxfId="427" priority="1353" operator="equal">
      <formula>"ROW"</formula>
    </cfRule>
  </conditionalFormatting>
  <conditionalFormatting sqref="AC79:AC80">
    <cfRule type="containsText" dxfId="426" priority="865" operator="containsText" text="Hold">
      <formula>NOT(ISERROR(SEARCH("Hold",AC79)))</formula>
    </cfRule>
  </conditionalFormatting>
  <conditionalFormatting sqref="AC91:AC92">
    <cfRule type="containsText" dxfId="425" priority="903" operator="containsText" text="Hold">
      <formula>NOT(ISERROR(SEARCH("Hold",AC91)))</formula>
    </cfRule>
  </conditionalFormatting>
  <conditionalFormatting sqref="AC103:AC104">
    <cfRule type="containsText" dxfId="424" priority="1434" operator="containsText" text="Hold">
      <formula>NOT(ISERROR(SEARCH("Hold",AC103)))</formula>
    </cfRule>
  </conditionalFormatting>
  <conditionalFormatting sqref="AC115:AC116">
    <cfRule type="containsText" dxfId="423" priority="594" operator="containsText" text="Hold">
      <formula>NOT(ISERROR(SEARCH("Hold",AC115)))</formula>
    </cfRule>
  </conditionalFormatting>
  <conditionalFormatting sqref="AC127:AC128">
    <cfRule type="containsText" dxfId="422" priority="484" operator="containsText" text="Hold">
      <formula>NOT(ISERROR(SEARCH("Hold",AC127)))</formula>
    </cfRule>
  </conditionalFormatting>
  <conditionalFormatting sqref="AC132">
    <cfRule type="cellIs" dxfId="421" priority="17" operator="equal">
      <formula>"completedw"</formula>
    </cfRule>
    <cfRule type="cellIs" dxfId="420" priority="18" operator="equal">
      <formula>"HOLD"</formula>
    </cfRule>
    <cfRule type="cellIs" dxfId="419" priority="19" operator="equal">
      <formula>"ROW"</formula>
    </cfRule>
  </conditionalFormatting>
  <conditionalFormatting sqref="AC139:AC140">
    <cfRule type="containsText" dxfId="418" priority="1410" operator="containsText" text="Hold">
      <formula>NOT(ISERROR(SEARCH("Hold",AC139)))</formula>
    </cfRule>
  </conditionalFormatting>
  <conditionalFormatting sqref="AC154:AC155">
    <cfRule type="cellIs" dxfId="417" priority="307" operator="equal">
      <formula>"completedw"</formula>
    </cfRule>
    <cfRule type="cellIs" dxfId="416" priority="309" operator="equal">
      <formula>"ROW"</formula>
    </cfRule>
    <cfRule type="cellIs" dxfId="415" priority="308" operator="equal">
      <formula>"HOLD"</formula>
    </cfRule>
  </conditionalFormatting>
  <conditionalFormatting sqref="AC183:AC184">
    <cfRule type="containsText" dxfId="414" priority="167" operator="containsText" text="Hold">
      <formula>NOT(ISERROR(SEARCH("Hold",AC183)))</formula>
    </cfRule>
  </conditionalFormatting>
  <conditionalFormatting sqref="AC204:AC205">
    <cfRule type="containsText" dxfId="413" priority="1288" operator="containsText" text="Hold">
      <formula>NOT(ISERROR(SEARCH("Hold",AC204)))</formula>
    </cfRule>
  </conditionalFormatting>
  <conditionalFormatting sqref="AC208">
    <cfRule type="cellIs" dxfId="412" priority="110" operator="equal">
      <formula>"ROW"</formula>
    </cfRule>
    <cfRule type="cellIs" dxfId="411" priority="108" operator="equal">
      <formula>"completedw"</formula>
    </cfRule>
    <cfRule type="cellIs" dxfId="410" priority="109" operator="equal">
      <formula>"HOLD"</formula>
    </cfRule>
  </conditionalFormatting>
  <conditionalFormatting sqref="AC215:AC216">
    <cfRule type="containsText" dxfId="409" priority="1285" operator="containsText" text="Hold">
      <formula>NOT(ISERROR(SEARCH("Hold",AC215)))</formula>
    </cfRule>
  </conditionalFormatting>
  <conditionalFormatting sqref="AC226:AC227">
    <cfRule type="containsText" dxfId="408" priority="1261" operator="containsText" text="Hold">
      <formula>NOT(ISERROR(SEARCH("Hold",AC226)))</formula>
    </cfRule>
  </conditionalFormatting>
  <conditionalFormatting sqref="AC236:AC237">
    <cfRule type="containsText" dxfId="407" priority="1258" operator="containsText" text="Hold">
      <formula>NOT(ISERROR(SEARCH("Hold",AC236)))</formula>
    </cfRule>
  </conditionalFormatting>
  <conditionalFormatting sqref="AC243:AC247">
    <cfRule type="cellIs" dxfId="406" priority="1230" operator="equal">
      <formula>"completedw"</formula>
    </cfRule>
    <cfRule type="cellIs" dxfId="405" priority="1232" operator="equal">
      <formula>"ROW"</formula>
    </cfRule>
    <cfRule type="cellIs" dxfId="404" priority="1231" operator="equal">
      <formula>"HOLD"</formula>
    </cfRule>
  </conditionalFormatting>
  <conditionalFormatting sqref="AC246:AC247">
    <cfRule type="containsText" dxfId="403" priority="1229" operator="containsText" text="Hold">
      <formula>NOT(ISERROR(SEARCH("Hold",AC246)))</formula>
    </cfRule>
    <cfRule type="cellIs" dxfId="402" priority="1234" operator="equal">
      <formula>"Completed"</formula>
    </cfRule>
  </conditionalFormatting>
  <conditionalFormatting sqref="AC246:AC248">
    <cfRule type="cellIs" dxfId="401" priority="1233" operator="equal">
      <formula>"wip"</formula>
    </cfRule>
  </conditionalFormatting>
  <conditionalFormatting sqref="AC256:AC257">
    <cfRule type="containsText" dxfId="400" priority="1211" operator="containsText" text="Hold">
      <formula>NOT(ISERROR(SEARCH("Hold",AC256)))</formula>
    </cfRule>
  </conditionalFormatting>
  <conditionalFormatting sqref="AC260">
    <cfRule type="cellIs" dxfId="399" priority="4" operator="equal">
      <formula>"completedw"</formula>
    </cfRule>
    <cfRule type="cellIs" dxfId="398" priority="6" operator="equal">
      <formula>"ROW"</formula>
    </cfRule>
    <cfRule type="cellIs" dxfId="397" priority="5" operator="equal">
      <formula>"HOLD"</formula>
    </cfRule>
  </conditionalFormatting>
  <conditionalFormatting sqref="AC267:AC268">
    <cfRule type="containsText" dxfId="396" priority="1061" operator="containsText" text="Hold">
      <formula>NOT(ISERROR(SEARCH("Hold",AC267)))</formula>
    </cfRule>
    <cfRule type="cellIs" dxfId="395" priority="1065" operator="equal">
      <formula>"wip"</formula>
    </cfRule>
    <cfRule type="cellIs" dxfId="394" priority="1066" operator="equal">
      <formula>"Completed"</formula>
    </cfRule>
  </conditionalFormatting>
  <conditionalFormatting sqref="AC267:AC272">
    <cfRule type="cellIs" dxfId="393" priority="1063" operator="equal">
      <formula>"HOLD"</formula>
    </cfRule>
    <cfRule type="cellIs" dxfId="392" priority="1062" operator="equal">
      <formula>"completedw"</formula>
    </cfRule>
    <cfRule type="cellIs" dxfId="391" priority="1064" operator="equal">
      <formula>"ROW"</formula>
    </cfRule>
  </conditionalFormatting>
  <conditionalFormatting sqref="AC274">
    <cfRule type="cellIs" dxfId="390" priority="257" operator="equal">
      <formula>"HOLD"</formula>
    </cfRule>
    <cfRule type="cellIs" dxfId="389" priority="256" operator="equal">
      <formula>"completedw"</formula>
    </cfRule>
    <cfRule type="cellIs" dxfId="388" priority="258" operator="equal">
      <formula>"ROW"</formula>
    </cfRule>
  </conditionalFormatting>
  <conditionalFormatting sqref="AC275:AC283">
    <cfRule type="cellIs" dxfId="387" priority="1045" operator="equal">
      <formula>"HOLD"</formula>
    </cfRule>
    <cfRule type="cellIs" dxfId="386" priority="1044" operator="equal">
      <formula>"completedw"</formula>
    </cfRule>
    <cfRule type="cellIs" dxfId="385" priority="1046" operator="equal">
      <formula>"ROW"</formula>
    </cfRule>
  </conditionalFormatting>
  <conditionalFormatting sqref="AC278:AC279">
    <cfRule type="containsText" dxfId="384" priority="1043" operator="containsText" text="Hold">
      <formula>NOT(ISERROR(SEARCH("Hold",AC278)))</formula>
    </cfRule>
  </conditionalFormatting>
  <conditionalFormatting sqref="AC289:AC290">
    <cfRule type="cellIs" dxfId="383" priority="749" operator="equal">
      <formula>"Completed"</formula>
    </cfRule>
    <cfRule type="cellIs" dxfId="382" priority="748" operator="equal">
      <formula>"wip"</formula>
    </cfRule>
    <cfRule type="cellIs" dxfId="381" priority="747" operator="equal">
      <formula>"ROW"</formula>
    </cfRule>
    <cfRule type="cellIs" dxfId="380" priority="746" operator="equal">
      <formula>"HOLD"</formula>
    </cfRule>
    <cfRule type="cellIs" dxfId="379" priority="745" operator="equal">
      <formula>"completedw"</formula>
    </cfRule>
    <cfRule type="containsText" dxfId="378" priority="744" operator="containsText" text="Hold">
      <formula>NOT(ISERROR(SEARCH("Hold",AC289)))</formula>
    </cfRule>
  </conditionalFormatting>
  <conditionalFormatting sqref="AC297:AC301">
    <cfRule type="cellIs" dxfId="377" priority="638" operator="equal">
      <formula>"completedw"</formula>
    </cfRule>
    <cfRule type="cellIs" dxfId="376" priority="639" operator="equal">
      <formula>"HOLD"</formula>
    </cfRule>
    <cfRule type="cellIs" dxfId="375" priority="640" operator="equal">
      <formula>"ROW"</formula>
    </cfRule>
  </conditionalFormatting>
  <conditionalFormatting sqref="AC300:AC301">
    <cfRule type="containsText" dxfId="374" priority="637" operator="containsText" text="Hold">
      <formula>NOT(ISERROR(SEARCH("Hold",AC300)))</formula>
    </cfRule>
    <cfRule type="cellIs" dxfId="373" priority="641" operator="equal">
      <formula>"wip"</formula>
    </cfRule>
    <cfRule type="cellIs" dxfId="372" priority="642" operator="equal">
      <formula>"Completed"</formula>
    </cfRule>
  </conditionalFormatting>
  <conditionalFormatting sqref="AC68:AD69">
    <cfRule type="cellIs" dxfId="371" priority="1354" operator="equal">
      <formula>"wip"</formula>
    </cfRule>
    <cfRule type="cellIs" dxfId="370" priority="1355" operator="equal">
      <formula>"Completed"</formula>
    </cfRule>
  </conditionalFormatting>
  <conditionalFormatting sqref="AC83:AE84">
    <cfRule type="cellIs" dxfId="369" priority="345" operator="equal">
      <formula>"ROW"</formula>
    </cfRule>
    <cfRule type="cellIs" dxfId="368" priority="344" operator="equal">
      <formula>"HOLD"</formula>
    </cfRule>
    <cfRule type="cellIs" dxfId="367" priority="343" operator="equal">
      <formula>"completedw"</formula>
    </cfRule>
  </conditionalFormatting>
  <conditionalFormatting sqref="AC95:AE96">
    <cfRule type="cellIs" dxfId="366" priority="210" operator="equal">
      <formula>"ROW"</formula>
    </cfRule>
    <cfRule type="cellIs" dxfId="365" priority="209" operator="equal">
      <formula>"HOLD"</formula>
    </cfRule>
    <cfRule type="cellIs" dxfId="364" priority="208" operator="equal">
      <formula>"completedw"</formula>
    </cfRule>
  </conditionalFormatting>
  <conditionalFormatting sqref="AC165:AE166">
    <cfRule type="cellIs" dxfId="363" priority="303" operator="equal">
      <formula>"ROW"</formula>
    </cfRule>
    <cfRule type="cellIs" dxfId="362" priority="302" operator="equal">
      <formula>"HOLD"</formula>
    </cfRule>
    <cfRule type="cellIs" dxfId="361" priority="301" operator="equal">
      <formula>"completedw"</formula>
    </cfRule>
  </conditionalFormatting>
  <conditionalFormatting sqref="AC176:AJ176">
    <cfRule type="cellIs" dxfId="360" priority="80" operator="equal">
      <formula>"ROW"</formula>
    </cfRule>
    <cfRule type="cellIs" dxfId="359" priority="78" operator="equal">
      <formula>"completedw"</formula>
    </cfRule>
    <cfRule type="cellIs" dxfId="358" priority="79" operator="equal">
      <formula>"HOLD"</formula>
    </cfRule>
  </conditionalFormatting>
  <conditionalFormatting sqref="AC40:XFD41">
    <cfRule type="cellIs" dxfId="357" priority="249" operator="equal">
      <formula>"ROW"</formula>
    </cfRule>
    <cfRule type="cellIs" dxfId="356" priority="248" operator="equal">
      <formula>"HOLD"</formula>
    </cfRule>
    <cfRule type="cellIs" dxfId="355" priority="247" operator="equal">
      <formula>"completedw"</formula>
    </cfRule>
  </conditionalFormatting>
  <conditionalFormatting sqref="AD161">
    <cfRule type="cellIs" dxfId="354" priority="1958" operator="equal">
      <formula>"wip"</formula>
    </cfRule>
    <cfRule type="cellIs" dxfId="353" priority="1959" operator="equal">
      <formula>"Completed"</formula>
    </cfRule>
  </conditionalFormatting>
  <conditionalFormatting sqref="AD172">
    <cfRule type="cellIs" dxfId="352" priority="1930" operator="equal">
      <formula>"wip"</formula>
    </cfRule>
    <cfRule type="cellIs" dxfId="351" priority="1931" operator="equal">
      <formula>"Completed"</formula>
    </cfRule>
  </conditionalFormatting>
  <conditionalFormatting sqref="AD183">
    <cfRule type="cellIs" dxfId="350" priority="1900" operator="equal">
      <formula>"wip"</formula>
    </cfRule>
    <cfRule type="cellIs" dxfId="349" priority="1901" operator="equal">
      <formula>"Completed"</formula>
    </cfRule>
  </conditionalFormatting>
  <conditionalFormatting sqref="AD193">
    <cfRule type="cellIs" dxfId="348" priority="1873" operator="equal">
      <formula>"Completed"</formula>
    </cfRule>
    <cfRule type="cellIs" dxfId="347" priority="1872" operator="equal">
      <formula>"wip"</formula>
    </cfRule>
  </conditionalFormatting>
  <conditionalFormatting sqref="AD204">
    <cfRule type="cellIs" dxfId="346" priority="1845" operator="equal">
      <formula>"Completed"</formula>
    </cfRule>
    <cfRule type="cellIs" dxfId="345" priority="1844" operator="equal">
      <formula>"wip"</formula>
    </cfRule>
  </conditionalFormatting>
  <conditionalFormatting sqref="AD215">
    <cfRule type="cellIs" dxfId="344" priority="1817" operator="equal">
      <formula>"Completed"</formula>
    </cfRule>
    <cfRule type="cellIs" dxfId="343" priority="1816" operator="equal">
      <formula>"wip"</formula>
    </cfRule>
  </conditionalFormatting>
  <conditionalFormatting sqref="AD226">
    <cfRule type="cellIs" dxfId="342" priority="1788" operator="equal">
      <formula>"wip"</formula>
    </cfRule>
    <cfRule type="cellIs" dxfId="341" priority="1789" operator="equal">
      <formula>"Completed"</formula>
    </cfRule>
  </conditionalFormatting>
  <conditionalFormatting sqref="AD236">
    <cfRule type="cellIs" dxfId="340" priority="1708" operator="equal">
      <formula>"wip"</formula>
    </cfRule>
    <cfRule type="cellIs" dxfId="339" priority="1709" operator="equal">
      <formula>"Completed"</formula>
    </cfRule>
  </conditionalFormatting>
  <conditionalFormatting sqref="AD246">
    <cfRule type="cellIs" dxfId="338" priority="1680" operator="equal">
      <formula>"wip"</formula>
    </cfRule>
    <cfRule type="cellIs" dxfId="337" priority="1681" operator="equal">
      <formula>"Completed"</formula>
    </cfRule>
  </conditionalFormatting>
  <conditionalFormatting sqref="AD253:AD261">
    <cfRule type="cellIs" dxfId="336" priority="1677" operator="equal">
      <formula>"completedw"</formula>
    </cfRule>
    <cfRule type="cellIs" dxfId="335" priority="1678" operator="equal">
      <formula>"HOLD"</formula>
    </cfRule>
    <cfRule type="cellIs" dxfId="334" priority="1679" operator="equal">
      <formula>"ROW"</formula>
    </cfRule>
  </conditionalFormatting>
  <conditionalFormatting sqref="AD256">
    <cfRule type="cellIs" dxfId="333" priority="1676" operator="equal">
      <formula>"Completed"</formula>
    </cfRule>
    <cfRule type="cellIs" dxfId="332" priority="1675" operator="equal">
      <formula>"wip"</formula>
    </cfRule>
  </conditionalFormatting>
  <conditionalFormatting sqref="AD267">
    <cfRule type="cellIs" dxfId="331" priority="1668" operator="equal">
      <formula>"wip"</formula>
    </cfRule>
    <cfRule type="cellIs" dxfId="330" priority="1669" operator="equal">
      <formula>"Completed"</formula>
    </cfRule>
  </conditionalFormatting>
  <conditionalFormatting sqref="AD278">
    <cfRule type="cellIs" dxfId="329" priority="1662" operator="equal">
      <formula>"Completed"</formula>
    </cfRule>
    <cfRule type="cellIs" dxfId="328" priority="1661" operator="equal">
      <formula>"wip"</formula>
    </cfRule>
  </conditionalFormatting>
  <conditionalFormatting sqref="AD286:AD294">
    <cfRule type="cellIs" dxfId="327" priority="812" operator="equal">
      <formula>"completedw"</formula>
    </cfRule>
    <cfRule type="cellIs" dxfId="326" priority="813" operator="equal">
      <formula>"HOLD"</formula>
    </cfRule>
    <cfRule type="cellIs" dxfId="325" priority="814" operator="equal">
      <formula>"ROW"</formula>
    </cfRule>
  </conditionalFormatting>
  <conditionalFormatting sqref="AD289">
    <cfRule type="cellIs" dxfId="324" priority="811" operator="equal">
      <formula>"Completed"</formula>
    </cfRule>
    <cfRule type="cellIs" dxfId="323" priority="810" operator="equal">
      <formula>"wip"</formula>
    </cfRule>
  </conditionalFormatting>
  <conditionalFormatting sqref="AD297:AD302">
    <cfRule type="cellIs" dxfId="322" priority="705" operator="equal">
      <formula>"completedw"</formula>
    </cfRule>
    <cfRule type="cellIs" dxfId="321" priority="706" operator="equal">
      <formula>"HOLD"</formula>
    </cfRule>
    <cfRule type="cellIs" dxfId="320" priority="707" operator="equal">
      <formula>"ROW"</formula>
    </cfRule>
  </conditionalFormatting>
  <conditionalFormatting sqref="AD300">
    <cfRule type="cellIs" dxfId="319" priority="703" operator="equal">
      <formula>"wip"</formula>
    </cfRule>
    <cfRule type="cellIs" dxfId="318" priority="704" operator="equal">
      <formula>"Completed"</formula>
    </cfRule>
  </conditionalFormatting>
  <conditionalFormatting sqref="AD68:AE70">
    <cfRule type="cellIs" dxfId="317" priority="1346" operator="equal">
      <formula>"HOLD"</formula>
    </cfRule>
    <cfRule type="cellIs" dxfId="316" priority="1347" operator="equal">
      <formula>"ROW"</formula>
    </cfRule>
    <cfRule type="cellIs" dxfId="315" priority="1345" operator="equal">
      <formula>"completedw"</formula>
    </cfRule>
  </conditionalFormatting>
  <conditionalFormatting sqref="AD131:AE132">
    <cfRule type="cellIs" dxfId="314" priority="318" operator="equal">
      <formula>"ROW"</formula>
    </cfRule>
    <cfRule type="cellIs" dxfId="313" priority="317" operator="equal">
      <formula>"HOLD"</formula>
    </cfRule>
    <cfRule type="cellIs" dxfId="312" priority="316" operator="equal">
      <formula>"completedw"</formula>
    </cfRule>
  </conditionalFormatting>
  <conditionalFormatting sqref="AD243:AE248">
    <cfRule type="cellIs" dxfId="311" priority="1226" operator="equal">
      <formula>"ROW"</formula>
    </cfRule>
    <cfRule type="cellIs" dxfId="310" priority="1225" operator="equal">
      <formula>"HOLD"</formula>
    </cfRule>
    <cfRule type="cellIs" dxfId="309" priority="1224" operator="equal">
      <formula>"completedw"</formula>
    </cfRule>
  </conditionalFormatting>
  <conditionalFormatting sqref="AD263:AE272">
    <cfRule type="cellIs" dxfId="308" priority="1057" operator="equal">
      <formula>"HOLD"</formula>
    </cfRule>
    <cfRule type="cellIs" dxfId="307" priority="1056" operator="equal">
      <formula>"completedw"</formula>
    </cfRule>
    <cfRule type="cellIs" dxfId="306" priority="1058" operator="equal">
      <formula>"ROW"</formula>
    </cfRule>
  </conditionalFormatting>
  <conditionalFormatting sqref="AD274:AE283">
    <cfRule type="cellIs" dxfId="305" priority="1052" operator="equal">
      <formula>"ROW"</formula>
    </cfRule>
    <cfRule type="cellIs" dxfId="304" priority="1050" operator="equal">
      <formula>"completedw"</formula>
    </cfRule>
    <cfRule type="cellIs" dxfId="303" priority="1051" operator="equal">
      <formula>"HOLD"</formula>
    </cfRule>
  </conditionalFormatting>
  <conditionalFormatting sqref="AD91:AJ92">
    <cfRule type="cellIs" dxfId="302" priority="959" operator="equal">
      <formula>"completedw"</formula>
    </cfRule>
    <cfRule type="cellIs" dxfId="301" priority="960" operator="equal">
      <formula>"HOLD"</formula>
    </cfRule>
    <cfRule type="cellIs" dxfId="300" priority="961" operator="equal">
      <formula>"ROW"</formula>
    </cfRule>
  </conditionalFormatting>
  <conditionalFormatting sqref="AE16">
    <cfRule type="cellIs" dxfId="299" priority="1451" operator="equal">
      <formula>"wip"</formula>
    </cfRule>
    <cfRule type="cellIs" dxfId="298" priority="1450" operator="equal">
      <formula>"Completed"</formula>
    </cfRule>
  </conditionalFormatting>
  <conditionalFormatting sqref="AE18:AE19">
    <cfRule type="cellIs" dxfId="297" priority="454" operator="equal">
      <formula>"completedw"</formula>
    </cfRule>
    <cfRule type="cellIs" dxfId="296" priority="456" operator="equal">
      <formula>"ROW"</formula>
    </cfRule>
    <cfRule type="cellIs" dxfId="295" priority="455" operator="equal">
      <formula>"HOLD"</formula>
    </cfRule>
  </conditionalFormatting>
  <conditionalFormatting sqref="AE27">
    <cfRule type="cellIs" dxfId="294" priority="1457" operator="equal">
      <formula>"Completed"</formula>
    </cfRule>
    <cfRule type="cellIs" dxfId="293" priority="1458" operator="equal">
      <formula>"wip"</formula>
    </cfRule>
  </conditionalFormatting>
  <conditionalFormatting sqref="AE29:AE30">
    <cfRule type="cellIs" dxfId="292" priority="445" operator="equal">
      <formula>"completedw"</formula>
    </cfRule>
    <cfRule type="cellIs" dxfId="291" priority="446" operator="equal">
      <formula>"HOLD"</formula>
    </cfRule>
    <cfRule type="cellIs" dxfId="290" priority="447" operator="equal">
      <formula>"ROW"</formula>
    </cfRule>
  </conditionalFormatting>
  <conditionalFormatting sqref="AE38">
    <cfRule type="cellIs" dxfId="289" priority="1464" operator="equal">
      <formula>"Completed"</formula>
    </cfRule>
    <cfRule type="cellIs" dxfId="288" priority="1465" operator="equal">
      <formula>"wip"</formula>
    </cfRule>
  </conditionalFormatting>
  <conditionalFormatting sqref="AE48">
    <cfRule type="cellIs" dxfId="287" priority="1468" operator="equal">
      <formula>"Completed"</formula>
    </cfRule>
    <cfRule type="cellIs" dxfId="286" priority="1469" operator="equal">
      <formula>"wip"</formula>
    </cfRule>
  </conditionalFormatting>
  <conditionalFormatting sqref="AE50:AE51">
    <cfRule type="cellIs" dxfId="285" priority="399" operator="equal">
      <formula>"ROW"</formula>
    </cfRule>
    <cfRule type="cellIs" dxfId="284" priority="397" operator="equal">
      <formula>"completedw"</formula>
    </cfRule>
    <cfRule type="cellIs" dxfId="283" priority="398" operator="equal">
      <formula>"HOLD"</formula>
    </cfRule>
  </conditionalFormatting>
  <conditionalFormatting sqref="AE57:AE58">
    <cfRule type="containsText" dxfId="282" priority="897" operator="containsText" text="Hold">
      <formula>NOT(ISERROR(SEARCH("Hold",AE57)))</formula>
    </cfRule>
  </conditionalFormatting>
  <conditionalFormatting sqref="AE57:AE59">
    <cfRule type="cellIs" dxfId="281" priority="901" operator="equal">
      <formula>"wip"</formula>
    </cfRule>
  </conditionalFormatting>
  <conditionalFormatting sqref="AE59">
    <cfRule type="cellIs" dxfId="280" priority="1475" operator="equal">
      <formula>"Completed"</formula>
    </cfRule>
  </conditionalFormatting>
  <conditionalFormatting sqref="AE61:AE62">
    <cfRule type="cellIs" dxfId="279" priority="395" operator="equal">
      <formula>"HOLD"</formula>
    </cfRule>
    <cfRule type="cellIs" dxfId="278" priority="396" operator="equal">
      <formula>"ROW"</formula>
    </cfRule>
    <cfRule type="cellIs" dxfId="277" priority="394" operator="equal">
      <formula>"completedw"</formula>
    </cfRule>
  </conditionalFormatting>
  <conditionalFormatting sqref="AE68:AE69">
    <cfRule type="cellIs" dxfId="276" priority="1349" operator="equal">
      <formula>"Completed"</formula>
    </cfRule>
    <cfRule type="containsText" dxfId="275" priority="1344" operator="containsText" text="Hold">
      <formula>NOT(ISERROR(SEARCH("Hold",AE68)))</formula>
    </cfRule>
  </conditionalFormatting>
  <conditionalFormatting sqref="AE68:AE70">
    <cfRule type="cellIs" dxfId="274" priority="1348" operator="equal">
      <formula>"wip"</formula>
    </cfRule>
  </conditionalFormatting>
  <conditionalFormatting sqref="AE70">
    <cfRule type="cellIs" dxfId="273" priority="1478" operator="equal">
      <formula>"Completed"</formula>
    </cfRule>
  </conditionalFormatting>
  <conditionalFormatting sqref="AE81">
    <cfRule type="cellIs" dxfId="272" priority="1487" operator="equal">
      <formula>"Completed"</formula>
    </cfRule>
    <cfRule type="cellIs" dxfId="271" priority="1488" operator="equal">
      <formula>"wip"</formula>
    </cfRule>
  </conditionalFormatting>
  <conditionalFormatting sqref="AE93">
    <cfRule type="cellIs" dxfId="270" priority="1495" operator="equal">
      <formula>"wip"</formula>
    </cfRule>
    <cfRule type="cellIs" dxfId="269" priority="1494" operator="equal">
      <formula>"Completed"</formula>
    </cfRule>
  </conditionalFormatting>
  <conditionalFormatting sqref="AE103:AE104">
    <cfRule type="containsText" dxfId="268" priority="1433" operator="containsText" text="Hold">
      <formula>NOT(ISERROR(SEARCH("Hold",AE103)))</formula>
    </cfRule>
  </conditionalFormatting>
  <conditionalFormatting sqref="AE105">
    <cfRule type="cellIs" dxfId="267" priority="1501" operator="equal">
      <formula>"Completed"</formula>
    </cfRule>
    <cfRule type="cellIs" dxfId="266" priority="1502" operator="equal">
      <formula>"wip"</formula>
    </cfRule>
  </conditionalFormatting>
  <conditionalFormatting sqref="AE107:AE108">
    <cfRule type="cellIs" dxfId="265" priority="259" operator="equal">
      <formula>"completedw"</formula>
    </cfRule>
    <cfRule type="cellIs" dxfId="264" priority="261" operator="equal">
      <formula>"ROW"</formula>
    </cfRule>
    <cfRule type="cellIs" dxfId="263" priority="260" operator="equal">
      <formula>"HOLD"</formula>
    </cfRule>
  </conditionalFormatting>
  <conditionalFormatting sqref="AE110:AE112">
    <cfRule type="cellIs" dxfId="262" priority="1621" operator="equal">
      <formula>"ROW"</formula>
    </cfRule>
    <cfRule type="cellIs" dxfId="261" priority="1620" operator="equal">
      <formula>"HOLD"</formula>
    </cfRule>
    <cfRule type="cellIs" dxfId="260" priority="1619" operator="equal">
      <formula>"completedw"</formula>
    </cfRule>
  </conditionalFormatting>
  <conditionalFormatting sqref="AE115:AE116">
    <cfRule type="containsText" dxfId="259" priority="595" operator="containsText" text="Hold">
      <formula>NOT(ISERROR(SEARCH("Hold",AE115)))</formula>
    </cfRule>
  </conditionalFormatting>
  <conditionalFormatting sqref="AE117">
    <cfRule type="cellIs" dxfId="258" priority="590" operator="equal">
      <formula>"Completed"</formula>
    </cfRule>
    <cfRule type="cellIs" dxfId="257" priority="591" operator="equal">
      <formula>"wip"</formula>
    </cfRule>
  </conditionalFormatting>
  <conditionalFormatting sqref="AE129">
    <cfRule type="cellIs" dxfId="256" priority="1509" operator="equal">
      <formula>"wip"</formula>
    </cfRule>
    <cfRule type="cellIs" dxfId="255" priority="1508" operator="equal">
      <formula>"Completed"</formula>
    </cfRule>
  </conditionalFormatting>
  <conditionalFormatting sqref="AE139:AE140">
    <cfRule type="containsText" dxfId="254" priority="1436" operator="containsText" text="Hold">
      <formula>NOT(ISERROR(SEARCH("Hold",AE139)))</formula>
    </cfRule>
  </conditionalFormatting>
  <conditionalFormatting sqref="AE141">
    <cfRule type="cellIs" dxfId="253" priority="165" operator="equal">
      <formula>"Completed"</formula>
    </cfRule>
    <cfRule type="cellIs" dxfId="252" priority="166" operator="equal">
      <formula>"wip"</formula>
    </cfRule>
  </conditionalFormatting>
  <conditionalFormatting sqref="AE152">
    <cfRule type="cellIs" dxfId="251" priority="1515" operator="equal">
      <formula>"Completed"</formula>
    </cfRule>
    <cfRule type="cellIs" dxfId="250" priority="1516" operator="equal">
      <formula>"wip"</formula>
    </cfRule>
  </conditionalFormatting>
  <conditionalFormatting sqref="AE154:AE155">
    <cfRule type="cellIs" dxfId="249" priority="305" operator="equal">
      <formula>"HOLD"</formula>
    </cfRule>
    <cfRule type="cellIs" dxfId="248" priority="304" operator="equal">
      <formula>"completedw"</formula>
    </cfRule>
    <cfRule type="cellIs" dxfId="247" priority="306" operator="equal">
      <formula>"ROW"</formula>
    </cfRule>
  </conditionalFormatting>
  <conditionalFormatting sqref="AE161:AE162">
    <cfRule type="containsText" dxfId="246" priority="1305" operator="containsText" text="Hold">
      <formula>NOT(ISERROR(SEARCH("Hold",AE161)))</formula>
    </cfRule>
  </conditionalFormatting>
  <conditionalFormatting sqref="AE163">
    <cfRule type="cellIs" dxfId="245" priority="1522" operator="equal">
      <formula>"Completed"</formula>
    </cfRule>
    <cfRule type="cellIs" dxfId="244" priority="1523" operator="equal">
      <formula>"wip"</formula>
    </cfRule>
  </conditionalFormatting>
  <conditionalFormatting sqref="AE172:AE173">
    <cfRule type="containsText" dxfId="243" priority="893" operator="containsText" text="Hold">
      <formula>NOT(ISERROR(SEARCH("Hold",AE172)))</formula>
    </cfRule>
  </conditionalFormatting>
  <conditionalFormatting sqref="AE183:AE184">
    <cfRule type="containsText" dxfId="242" priority="56" operator="containsText" text="Hold">
      <formula>NOT(ISERROR(SEARCH("Hold",AE183)))</formula>
    </cfRule>
  </conditionalFormatting>
  <conditionalFormatting sqref="AE185">
    <cfRule type="cellIs" dxfId="241" priority="1535" operator="equal">
      <formula>"Completed"</formula>
    </cfRule>
    <cfRule type="cellIs" dxfId="240" priority="1536" operator="equal">
      <formula>"wip"</formula>
    </cfRule>
  </conditionalFormatting>
  <conditionalFormatting sqref="AE195">
    <cfRule type="cellIs" dxfId="239" priority="1539" operator="equal">
      <formula>"Completed"</formula>
    </cfRule>
    <cfRule type="cellIs" dxfId="238" priority="1540" operator="equal">
      <formula>"wip"</formula>
    </cfRule>
  </conditionalFormatting>
  <conditionalFormatting sqref="AE204:AE205">
    <cfRule type="containsText" dxfId="237" priority="1287" operator="containsText" text="Hold">
      <formula>NOT(ISERROR(SEARCH("Hold",AE204)))</formula>
    </cfRule>
  </conditionalFormatting>
  <conditionalFormatting sqref="AE206">
    <cfRule type="cellIs" dxfId="236" priority="1547" operator="equal">
      <formula>"wip"</formula>
    </cfRule>
    <cfRule type="cellIs" dxfId="235" priority="1546" operator="equal">
      <formula>"Completed"</formula>
    </cfRule>
  </conditionalFormatting>
  <conditionalFormatting sqref="AE208">
    <cfRule type="cellIs" dxfId="234" priority="71" operator="equal">
      <formula>"ROW"</formula>
    </cfRule>
    <cfRule type="cellIs" dxfId="233" priority="70" operator="equal">
      <formula>"HOLD"</formula>
    </cfRule>
    <cfRule type="cellIs" dxfId="232" priority="69" operator="equal">
      <formula>"completedw"</formula>
    </cfRule>
  </conditionalFormatting>
  <conditionalFormatting sqref="AE215:AE216">
    <cfRule type="containsText" dxfId="231" priority="1286" operator="containsText" text="Hold">
      <formula>NOT(ISERROR(SEARCH("Hold",AE215)))</formula>
    </cfRule>
  </conditionalFormatting>
  <conditionalFormatting sqref="AE217">
    <cfRule type="cellIs" dxfId="230" priority="1554" operator="equal">
      <formula>"wip"</formula>
    </cfRule>
    <cfRule type="cellIs" dxfId="229" priority="1553" operator="equal">
      <formula>"Completed"</formula>
    </cfRule>
  </conditionalFormatting>
  <conditionalFormatting sqref="AE226:AE227">
    <cfRule type="containsText" dxfId="228" priority="1260" operator="containsText" text="Hold">
      <formula>NOT(ISERROR(SEARCH("Hold",AE226)))</formula>
    </cfRule>
  </conditionalFormatting>
  <conditionalFormatting sqref="AE228">
    <cfRule type="cellIs" dxfId="227" priority="1560" operator="equal">
      <formula>"Completed"</formula>
    </cfRule>
    <cfRule type="cellIs" dxfId="226" priority="1561" operator="equal">
      <formula>"wip"</formula>
    </cfRule>
  </conditionalFormatting>
  <conditionalFormatting sqref="AE236:AE237">
    <cfRule type="containsText" dxfId="225" priority="1259" operator="containsText" text="Hold">
      <formula>NOT(ISERROR(SEARCH("Hold",AE236)))</formula>
    </cfRule>
  </conditionalFormatting>
  <conditionalFormatting sqref="AE238">
    <cfRule type="cellIs" dxfId="224" priority="1568" operator="equal">
      <formula>"wip"</formula>
    </cfRule>
    <cfRule type="cellIs" dxfId="223" priority="1567" operator="equal">
      <formula>"Completed"</formula>
    </cfRule>
  </conditionalFormatting>
  <conditionalFormatting sqref="AE246:AE247">
    <cfRule type="cellIs" dxfId="222" priority="1228" operator="equal">
      <formula>"Completed"</formula>
    </cfRule>
    <cfRule type="containsText" dxfId="221" priority="1223" operator="containsText" text="Hold">
      <formula>NOT(ISERROR(SEARCH("Hold",AE246)))</formula>
    </cfRule>
  </conditionalFormatting>
  <conditionalFormatting sqref="AE246:AE248">
    <cfRule type="cellIs" dxfId="220" priority="1227" operator="equal">
      <formula>"wip"</formula>
    </cfRule>
  </conditionalFormatting>
  <conditionalFormatting sqref="AE248">
    <cfRule type="cellIs" dxfId="219" priority="1571" operator="equal">
      <formula>"Completed"</formula>
    </cfRule>
  </conditionalFormatting>
  <conditionalFormatting sqref="AE256:AE257">
    <cfRule type="cellIs" dxfId="218" priority="1222" operator="equal">
      <formula>"Completed"</formula>
    </cfRule>
    <cfRule type="containsText" dxfId="217" priority="1217" operator="containsText" text="Hold">
      <formula>NOT(ISERROR(SEARCH("Hold",AE256)))</formula>
    </cfRule>
  </conditionalFormatting>
  <conditionalFormatting sqref="AE256:AE258">
    <cfRule type="cellIs" dxfId="216" priority="1221" operator="equal">
      <formula>"wip"</formula>
    </cfRule>
  </conditionalFormatting>
  <conditionalFormatting sqref="AE256:AE259">
    <cfRule type="cellIs" dxfId="215" priority="1219" operator="equal">
      <formula>"HOLD"</formula>
    </cfRule>
    <cfRule type="cellIs" dxfId="214" priority="1218" operator="equal">
      <formula>"completedw"</formula>
    </cfRule>
    <cfRule type="cellIs" dxfId="213" priority="1220" operator="equal">
      <formula>"ROW"</formula>
    </cfRule>
  </conditionalFormatting>
  <conditionalFormatting sqref="AE258">
    <cfRule type="cellIs" dxfId="212" priority="1752" operator="equal">
      <formula>"Completed"</formula>
    </cfRule>
  </conditionalFormatting>
  <conditionalFormatting sqref="AE260:AE261">
    <cfRule type="cellIs" dxfId="211" priority="2" operator="equal">
      <formula>"HOLD"</formula>
    </cfRule>
    <cfRule type="cellIs" dxfId="210" priority="1" operator="equal">
      <formula>"completedw"</formula>
    </cfRule>
    <cfRule type="cellIs" dxfId="209" priority="3" operator="equal">
      <formula>"ROW"</formula>
    </cfRule>
  </conditionalFormatting>
  <conditionalFormatting sqref="AE267:AE268">
    <cfRule type="containsText" dxfId="208" priority="1055" operator="containsText" text="Hold">
      <formula>NOT(ISERROR(SEARCH("Hold",AE267)))</formula>
    </cfRule>
    <cfRule type="cellIs" dxfId="207" priority="1060" operator="equal">
      <formula>"Completed"</formula>
    </cfRule>
  </conditionalFormatting>
  <conditionalFormatting sqref="AE267:AE269">
    <cfRule type="cellIs" dxfId="206" priority="1059" operator="equal">
      <formula>"wip"</formula>
    </cfRule>
  </conditionalFormatting>
  <conditionalFormatting sqref="AE269">
    <cfRule type="cellIs" dxfId="205" priority="1583" operator="equal">
      <formula>"Completed"</formula>
    </cfRule>
  </conditionalFormatting>
  <conditionalFormatting sqref="AE278:AE279">
    <cfRule type="containsText" dxfId="204" priority="1049" operator="containsText" text="Hold">
      <formula>NOT(ISERROR(SEARCH("Hold",AE278)))</formula>
    </cfRule>
    <cfRule type="cellIs" dxfId="203" priority="1054" operator="equal">
      <formula>"Completed"</formula>
    </cfRule>
  </conditionalFormatting>
  <conditionalFormatting sqref="AE278:AE280">
    <cfRule type="cellIs" dxfId="202" priority="1053" operator="equal">
      <formula>"wip"</formula>
    </cfRule>
  </conditionalFormatting>
  <conditionalFormatting sqref="AE280">
    <cfRule type="cellIs" dxfId="201" priority="1577" operator="equal">
      <formula>"Completed"</formula>
    </cfRule>
  </conditionalFormatting>
  <conditionalFormatting sqref="AE289:AE290">
    <cfRule type="cellIs" dxfId="200" priority="739" operator="equal">
      <formula>"completedw"</formula>
    </cfRule>
    <cfRule type="cellIs" dxfId="199" priority="740" operator="equal">
      <formula>"HOLD"</formula>
    </cfRule>
    <cfRule type="cellIs" dxfId="198" priority="743" operator="equal">
      <formula>"Completed"</formula>
    </cfRule>
    <cfRule type="cellIs" dxfId="197" priority="741" operator="equal">
      <formula>"ROW"</formula>
    </cfRule>
    <cfRule type="cellIs" dxfId="196" priority="742" operator="equal">
      <formula>"wip"</formula>
    </cfRule>
    <cfRule type="containsText" dxfId="195" priority="738" operator="containsText" text="Hold">
      <formula>NOT(ISERROR(SEARCH("Hold",AE289)))</formula>
    </cfRule>
  </conditionalFormatting>
  <conditionalFormatting sqref="AE291">
    <cfRule type="cellIs" dxfId="194" priority="732" operator="equal">
      <formula>"wip"</formula>
    </cfRule>
    <cfRule type="cellIs" dxfId="193" priority="731" operator="equal">
      <formula>"Completed"</formula>
    </cfRule>
  </conditionalFormatting>
  <conditionalFormatting sqref="AE291:AE294">
    <cfRule type="cellIs" dxfId="192" priority="729" operator="equal">
      <formula>"HOLD"</formula>
    </cfRule>
    <cfRule type="cellIs" dxfId="191" priority="730" operator="equal">
      <formula>"ROW"</formula>
    </cfRule>
    <cfRule type="cellIs" dxfId="190" priority="728" operator="equal">
      <formula>"completedw"</formula>
    </cfRule>
  </conditionalFormatting>
  <conditionalFormatting sqref="AE297:AE301">
    <cfRule type="cellIs" dxfId="189" priority="634" operator="equal">
      <formula>"ROW"</formula>
    </cfRule>
    <cfRule type="cellIs" dxfId="188" priority="633" operator="equal">
      <formula>"HOLD"</formula>
    </cfRule>
    <cfRule type="cellIs" dxfId="187" priority="632" operator="equal">
      <formula>"completedw"</formula>
    </cfRule>
  </conditionalFormatting>
  <conditionalFormatting sqref="AE300:AE301">
    <cfRule type="cellIs" dxfId="186" priority="635" operator="equal">
      <formula>"wip"</formula>
    </cfRule>
    <cfRule type="containsText" dxfId="185" priority="631" operator="containsText" text="Hold">
      <formula>NOT(ISERROR(SEARCH("Hold",AE300)))</formula>
    </cfRule>
    <cfRule type="cellIs" dxfId="184" priority="636" operator="equal">
      <formula>"Completed"</formula>
    </cfRule>
  </conditionalFormatting>
  <conditionalFormatting sqref="AE302">
    <cfRule type="cellIs" dxfId="183" priority="622" operator="equal">
      <formula>"HOLD"</formula>
    </cfRule>
    <cfRule type="cellIs" dxfId="182" priority="621" operator="equal">
      <formula>"completedw"</formula>
    </cfRule>
    <cfRule type="cellIs" dxfId="181" priority="625" operator="equal">
      <formula>"wip"</formula>
    </cfRule>
    <cfRule type="cellIs" dxfId="180" priority="624" operator="equal">
      <formula>"Completed"</formula>
    </cfRule>
    <cfRule type="cellIs" dxfId="179" priority="623" operator="equal">
      <formula>"ROW"</formula>
    </cfRule>
  </conditionalFormatting>
  <conditionalFormatting sqref="AE174:AG174">
    <cfRule type="cellIs" dxfId="178" priority="1526" operator="equal">
      <formula>"Completed"</formula>
    </cfRule>
    <cfRule type="cellIs" dxfId="177" priority="1527" operator="equal">
      <formula>"wip"</formula>
    </cfRule>
  </conditionalFormatting>
  <conditionalFormatting sqref="AE253:XFD255">
    <cfRule type="cellIs" dxfId="176" priority="1747" operator="equal">
      <formula>"HOLD"</formula>
    </cfRule>
    <cfRule type="cellIs" dxfId="175" priority="1746" operator="equal">
      <formula>"completedw"</formula>
    </cfRule>
    <cfRule type="cellIs" dxfId="174" priority="1748" operator="equal">
      <formula>"ROW"</formula>
    </cfRule>
  </conditionalFormatting>
  <conditionalFormatting sqref="AE286:XFD288">
    <cfRule type="cellIs" dxfId="173" priority="818" operator="equal">
      <formula>"completedw"</formula>
    </cfRule>
    <cfRule type="cellIs" dxfId="172" priority="819" operator="equal">
      <formula>"HOLD"</formula>
    </cfRule>
    <cfRule type="cellIs" dxfId="171" priority="820" operator="equal">
      <formula>"ROW"</formula>
    </cfRule>
  </conditionalFormatting>
  <conditionalFormatting sqref="AF172">
    <cfRule type="cellIs" dxfId="170" priority="1929" operator="equal">
      <formula>"Completed"</formula>
    </cfRule>
    <cfRule type="cellIs" dxfId="169" priority="1928" operator="equal">
      <formula>"wip"</formula>
    </cfRule>
  </conditionalFormatting>
  <conditionalFormatting sqref="AF242:AJ252">
    <cfRule type="cellIs" dxfId="168" priority="918" operator="equal">
      <formula>"HOLD"</formula>
    </cfRule>
    <cfRule type="cellIs" dxfId="167" priority="917" operator="equal">
      <formula>"completedw"</formula>
    </cfRule>
    <cfRule type="cellIs" dxfId="166" priority="919" operator="equal">
      <formula>"ROW"</formula>
    </cfRule>
  </conditionalFormatting>
  <conditionalFormatting sqref="AF36:XFD38">
    <cfRule type="cellIs" dxfId="165" priority="970" operator="equal">
      <formula>"ROW"</formula>
    </cfRule>
    <cfRule type="cellIs" dxfId="164" priority="969" operator="equal">
      <formula>"HOLD"</formula>
    </cfRule>
    <cfRule type="cellIs" dxfId="163" priority="968" operator="equal">
      <formula>"completedw"</formula>
    </cfRule>
  </conditionalFormatting>
  <conditionalFormatting sqref="AF57:XFD59">
    <cfRule type="cellIs" dxfId="162" priority="966" operator="equal">
      <formula>"HOLD"</formula>
    </cfRule>
    <cfRule type="cellIs" dxfId="161" priority="965" operator="equal">
      <formula>"completedw"</formula>
    </cfRule>
    <cfRule type="cellIs" dxfId="160" priority="967" operator="equal">
      <formula>"ROW"</formula>
    </cfRule>
  </conditionalFormatting>
  <conditionalFormatting sqref="AF68:XFD70">
    <cfRule type="cellIs" dxfId="159" priority="962" operator="equal">
      <formula>"completedw"</formula>
    </cfRule>
    <cfRule type="cellIs" dxfId="158" priority="964" operator="equal">
      <formula>"ROW"</formula>
    </cfRule>
    <cfRule type="cellIs" dxfId="157" priority="963" operator="equal">
      <formula>"HOLD"</formula>
    </cfRule>
  </conditionalFormatting>
  <conditionalFormatting sqref="AF256:XFD284">
    <cfRule type="cellIs" dxfId="156" priority="915" operator="equal">
      <formula>"HOLD"</formula>
    </cfRule>
    <cfRule type="cellIs" dxfId="155" priority="914" operator="equal">
      <formula>"completedw"</formula>
    </cfRule>
    <cfRule type="cellIs" dxfId="154" priority="916" operator="equal">
      <formula>"ROW"</formula>
    </cfRule>
  </conditionalFormatting>
  <conditionalFormatting sqref="AF289:XFD306">
    <cfRule type="cellIs" dxfId="153" priority="710" operator="equal">
      <formula>"ROW"</formula>
    </cfRule>
    <cfRule type="cellIs" dxfId="152" priority="708" operator="equal">
      <formula>"completedw"</formula>
    </cfRule>
    <cfRule type="cellIs" dxfId="151" priority="709" operator="equal">
      <formula>"HOLD"</formula>
    </cfRule>
  </conditionalFormatting>
  <conditionalFormatting sqref="AG173">
    <cfRule type="cellIs" dxfId="150" priority="1784" operator="equal">
      <formula>"HOLD"</formula>
    </cfRule>
    <cfRule type="cellIs" dxfId="149" priority="1783" operator="equal">
      <formula>"completedw"</formula>
    </cfRule>
    <cfRule type="cellIs" dxfId="148" priority="1785" operator="equal">
      <formula>"ROW"</formula>
    </cfRule>
  </conditionalFormatting>
  <conditionalFormatting sqref="AG172:AI172">
    <cfRule type="cellIs" dxfId="147" priority="938" operator="equal">
      <formula>"completedw"</formula>
    </cfRule>
    <cfRule type="cellIs" dxfId="146" priority="940" operator="equal">
      <formula>"ROW"</formula>
    </cfRule>
    <cfRule type="cellIs" dxfId="145" priority="939" operator="equal">
      <formula>"HOLD"</formula>
    </cfRule>
  </conditionalFormatting>
  <conditionalFormatting sqref="AI103:AJ103">
    <cfRule type="cellIs" dxfId="144" priority="958" operator="equal">
      <formula>"ROW"</formula>
    </cfRule>
    <cfRule type="cellIs" dxfId="143" priority="956" operator="equal">
      <formula>"completedw"</formula>
    </cfRule>
    <cfRule type="cellIs" dxfId="142" priority="957" operator="equal">
      <formula>"HOLD"</formula>
    </cfRule>
  </conditionalFormatting>
  <conditionalFormatting sqref="AI115:AJ115">
    <cfRule type="cellIs" dxfId="141" priority="953" operator="equal">
      <formula>"completedw"</formula>
    </cfRule>
    <cfRule type="cellIs" dxfId="140" priority="955" operator="equal">
      <formula>"ROW"</formula>
    </cfRule>
    <cfRule type="cellIs" dxfId="139" priority="954" operator="equal">
      <formula>"HOLD"</formula>
    </cfRule>
  </conditionalFormatting>
  <conditionalFormatting sqref="AI127:AJ127">
    <cfRule type="cellIs" dxfId="138" priority="950" operator="equal">
      <formula>"completedw"</formula>
    </cfRule>
    <cfRule type="cellIs" dxfId="137" priority="951" operator="equal">
      <formula>"HOLD"</formula>
    </cfRule>
    <cfRule type="cellIs" dxfId="136" priority="952" operator="equal">
      <formula>"ROW"</formula>
    </cfRule>
  </conditionalFormatting>
  <conditionalFormatting sqref="AI139:AJ139">
    <cfRule type="cellIs" dxfId="135" priority="949" operator="equal">
      <formula>"ROW"</formula>
    </cfRule>
    <cfRule type="cellIs" dxfId="134" priority="947" operator="equal">
      <formula>"completedw"</formula>
    </cfRule>
    <cfRule type="cellIs" dxfId="133" priority="948" operator="equal">
      <formula>"HOLD"</formula>
    </cfRule>
  </conditionalFormatting>
  <conditionalFormatting sqref="AI150:AJ150">
    <cfRule type="cellIs" dxfId="132" priority="944" operator="equal">
      <formula>"completedw"</formula>
    </cfRule>
    <cfRule type="cellIs" dxfId="131" priority="945" operator="equal">
      <formula>"HOLD"</formula>
    </cfRule>
    <cfRule type="cellIs" dxfId="130" priority="946" operator="equal">
      <formula>"ROW"</formula>
    </cfRule>
  </conditionalFormatting>
  <conditionalFormatting sqref="AI161:AJ161">
    <cfRule type="cellIs" dxfId="129" priority="942" operator="equal">
      <formula>"HOLD"</formula>
    </cfRule>
    <cfRule type="cellIs" dxfId="128" priority="943" operator="equal">
      <formula>"ROW"</formula>
    </cfRule>
    <cfRule type="cellIs" dxfId="127" priority="941" operator="equal">
      <formula>"completedw"</formula>
    </cfRule>
  </conditionalFormatting>
  <conditionalFormatting sqref="AI183:AJ183">
    <cfRule type="cellIs" dxfId="126" priority="937" operator="equal">
      <formula>"ROW"</formula>
    </cfRule>
    <cfRule type="cellIs" dxfId="125" priority="935" operator="equal">
      <formula>"completedw"</formula>
    </cfRule>
    <cfRule type="cellIs" dxfId="124" priority="936" operator="equal">
      <formula>"HOLD"</formula>
    </cfRule>
  </conditionalFormatting>
  <conditionalFormatting sqref="AI204:AJ204">
    <cfRule type="cellIs" dxfId="123" priority="931" operator="equal">
      <formula>"ROW"</formula>
    </cfRule>
    <cfRule type="cellIs" dxfId="122" priority="929" operator="equal">
      <formula>"completedw"</formula>
    </cfRule>
    <cfRule type="cellIs" dxfId="121" priority="930" operator="equal">
      <formula>"HOLD"</formula>
    </cfRule>
  </conditionalFormatting>
  <conditionalFormatting sqref="AI215:AJ215">
    <cfRule type="cellIs" dxfId="120" priority="927" operator="equal">
      <formula>"HOLD"</formula>
    </cfRule>
    <cfRule type="cellIs" dxfId="119" priority="928" operator="equal">
      <formula>"ROW"</formula>
    </cfRule>
    <cfRule type="cellIs" dxfId="118" priority="926" operator="equal">
      <formula>"completedw"</formula>
    </cfRule>
  </conditionalFormatting>
  <conditionalFormatting sqref="AI226:AJ226">
    <cfRule type="cellIs" dxfId="117" priority="923" operator="equal">
      <formula>"completedw"</formula>
    </cfRule>
    <cfRule type="cellIs" dxfId="116" priority="925" operator="equal">
      <formula>"ROW"</formula>
    </cfRule>
    <cfRule type="cellIs" dxfId="115" priority="924" operator="equal">
      <formula>"HOLD"</formula>
    </cfRule>
  </conditionalFormatting>
  <conditionalFormatting sqref="AI236:AJ236">
    <cfRule type="cellIs" dxfId="114" priority="922" operator="equal">
      <formula>"ROW"</formula>
    </cfRule>
    <cfRule type="cellIs" dxfId="113" priority="921" operator="equal">
      <formula>"HOLD"</formula>
    </cfRule>
    <cfRule type="cellIs" dxfId="112" priority="920" operator="equal">
      <formula>"completedw"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78AD-4D2E-4BEC-B6A8-5896D8278350}">
  <dimension ref="A1:F9"/>
  <sheetViews>
    <sheetView topLeftCell="A2" workbookViewId="0">
      <selection activeCell="A12" sqref="A12"/>
    </sheetView>
  </sheetViews>
  <sheetFormatPr defaultRowHeight="14.5" x14ac:dyDescent="0.35"/>
  <cols>
    <col min="1" max="1" width="6.1796875" customWidth="1"/>
    <col min="2" max="2" width="14" customWidth="1"/>
    <col min="3" max="3" width="12.36328125" customWidth="1"/>
    <col min="4" max="4" width="12.90625" customWidth="1"/>
    <col min="5" max="5" width="15" customWidth="1"/>
    <col min="6" max="6" width="14.08984375" customWidth="1"/>
  </cols>
  <sheetData>
    <row r="1" spans="1:6" ht="19" thickBot="1" x14ac:dyDescent="0.4">
      <c r="A1" s="1097" t="s">
        <v>1108</v>
      </c>
      <c r="B1" s="1098"/>
      <c r="C1" s="1098"/>
      <c r="D1" s="1098"/>
      <c r="E1" s="1098"/>
      <c r="F1" s="1099"/>
    </row>
    <row r="2" spans="1:6" ht="46.5" x14ac:dyDescent="0.35">
      <c r="A2" s="653" t="s">
        <v>104</v>
      </c>
      <c r="B2" s="654" t="s">
        <v>1109</v>
      </c>
      <c r="C2" s="654" t="s">
        <v>106</v>
      </c>
      <c r="D2" s="654" t="s">
        <v>1006</v>
      </c>
      <c r="E2" s="655" t="s">
        <v>1110</v>
      </c>
      <c r="F2" s="656" t="s">
        <v>1120</v>
      </c>
    </row>
    <row r="3" spans="1:6" ht="25" customHeight="1" x14ac:dyDescent="0.35">
      <c r="A3" s="657">
        <v>1</v>
      </c>
      <c r="B3" s="658" t="s">
        <v>1111</v>
      </c>
      <c r="C3" s="658" t="s">
        <v>1112</v>
      </c>
      <c r="D3" s="15">
        <v>371</v>
      </c>
      <c r="E3" s="15">
        <v>347</v>
      </c>
      <c r="F3" s="659">
        <v>358</v>
      </c>
    </row>
    <row r="4" spans="1:6" ht="25" customHeight="1" x14ac:dyDescent="0.35">
      <c r="A4" s="657">
        <v>2</v>
      </c>
      <c r="B4" s="658" t="s">
        <v>1113</v>
      </c>
      <c r="C4" s="658" t="s">
        <v>1112</v>
      </c>
      <c r="D4" s="15">
        <v>371</v>
      </c>
      <c r="E4" s="15">
        <v>286</v>
      </c>
      <c r="F4" s="659">
        <v>270</v>
      </c>
    </row>
    <row r="5" spans="1:6" ht="25" customHeight="1" x14ac:dyDescent="0.35">
      <c r="A5" s="38">
        <v>3</v>
      </c>
      <c r="B5" s="658" t="s">
        <v>1114</v>
      </c>
      <c r="C5" s="658" t="s">
        <v>110</v>
      </c>
      <c r="D5" s="15">
        <v>4971</v>
      </c>
      <c r="E5" s="15">
        <v>243</v>
      </c>
      <c r="F5" s="659">
        <v>2250</v>
      </c>
    </row>
    <row r="6" spans="1:6" ht="25" customHeight="1" x14ac:dyDescent="0.35">
      <c r="A6" s="38">
        <v>4</v>
      </c>
      <c r="B6" s="658" t="s">
        <v>1115</v>
      </c>
      <c r="C6" s="658" t="s">
        <v>1116</v>
      </c>
      <c r="D6" s="15">
        <v>16332</v>
      </c>
      <c r="E6" s="15">
        <v>4793</v>
      </c>
      <c r="F6" s="659">
        <v>6986</v>
      </c>
    </row>
    <row r="7" spans="1:6" ht="25" customHeight="1" x14ac:dyDescent="0.35">
      <c r="A7" s="38">
        <v>5</v>
      </c>
      <c r="B7" s="658" t="s">
        <v>1117</v>
      </c>
      <c r="C7" s="658" t="s">
        <v>834</v>
      </c>
      <c r="D7" s="660">
        <v>1</v>
      </c>
      <c r="E7" s="660">
        <v>0.5</v>
      </c>
      <c r="F7" s="661">
        <v>0.5</v>
      </c>
    </row>
    <row r="8" spans="1:6" ht="25" customHeight="1" x14ac:dyDescent="0.35">
      <c r="A8" s="38">
        <v>6</v>
      </c>
      <c r="B8" s="658" t="s">
        <v>1118</v>
      </c>
      <c r="C8" s="658" t="s">
        <v>834</v>
      </c>
      <c r="D8" s="660">
        <v>1</v>
      </c>
      <c r="E8" s="660">
        <v>0.45</v>
      </c>
      <c r="F8" s="661">
        <v>0.45</v>
      </c>
    </row>
    <row r="9" spans="1:6" ht="27.5" customHeight="1" thickBot="1" x14ac:dyDescent="0.4">
      <c r="A9" s="40">
        <v>7</v>
      </c>
      <c r="B9" s="662" t="s">
        <v>1119</v>
      </c>
      <c r="C9" s="662" t="s">
        <v>834</v>
      </c>
      <c r="D9" s="663">
        <v>1</v>
      </c>
      <c r="E9" s="663">
        <v>0</v>
      </c>
      <c r="F9" s="664">
        <v>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opLeftCell="C1" zoomScale="95" zoomScaleNormal="69" workbookViewId="0">
      <pane ySplit="2" topLeftCell="A60" activePane="bottomLeft" state="frozen"/>
      <selection pane="bottomLeft" activeCell="F65" sqref="F65"/>
    </sheetView>
  </sheetViews>
  <sheetFormatPr defaultRowHeight="15.5" x14ac:dyDescent="0.35"/>
  <cols>
    <col min="1" max="1" width="11.90625" customWidth="1"/>
    <col min="2" max="2" width="20.453125" customWidth="1"/>
    <col min="3" max="3" width="9.90625" customWidth="1"/>
    <col min="4" max="4" width="11.7265625" customWidth="1"/>
    <col min="5" max="5" width="13.54296875" customWidth="1"/>
    <col min="6" max="6" width="12.453125" customWidth="1"/>
    <col min="7" max="7" width="31.453125" customWidth="1"/>
    <col min="8" max="8" width="4.81640625" bestFit="1" customWidth="1"/>
    <col min="9" max="9" width="11.54296875" customWidth="1"/>
    <col min="10" max="10" width="21.7265625" customWidth="1"/>
    <col min="11" max="11" width="16.6328125" customWidth="1"/>
    <col min="12" max="12" width="14.453125" customWidth="1"/>
    <col min="13" max="13" width="13.1796875" customWidth="1"/>
    <col min="14" max="14" width="13.26953125" customWidth="1"/>
    <col min="15" max="15" width="31.6328125" customWidth="1"/>
    <col min="16" max="16" width="1.7265625" hidden="1" customWidth="1"/>
    <col min="17" max="21" width="7.54296875" style="1" hidden="1" customWidth="1"/>
    <col min="262" max="262" width="20.7265625" customWidth="1"/>
    <col min="263" max="263" width="18" customWidth="1"/>
    <col min="264" max="264" width="14.453125" customWidth="1"/>
    <col min="265" max="265" width="14.81640625" customWidth="1"/>
    <col min="267" max="267" width="15" customWidth="1"/>
    <col min="268" max="268" width="11" customWidth="1"/>
    <col min="269" max="269" width="13.81640625" customWidth="1"/>
    <col min="270" max="270" width="14.1796875" customWidth="1"/>
    <col min="271" max="271" width="40" customWidth="1"/>
    <col min="518" max="518" width="20.7265625" customWidth="1"/>
    <col min="519" max="519" width="18" customWidth="1"/>
    <col min="520" max="520" width="14.453125" customWidth="1"/>
    <col min="521" max="521" width="14.81640625" customWidth="1"/>
    <col min="523" max="523" width="15" customWidth="1"/>
    <col min="524" max="524" width="11" customWidth="1"/>
    <col min="525" max="525" width="13.81640625" customWidth="1"/>
    <col min="526" max="526" width="14.1796875" customWidth="1"/>
    <col min="527" max="527" width="40" customWidth="1"/>
    <col min="774" max="774" width="20.7265625" customWidth="1"/>
    <col min="775" max="775" width="18" customWidth="1"/>
    <col min="776" max="776" width="14.453125" customWidth="1"/>
    <col min="777" max="777" width="14.81640625" customWidth="1"/>
    <col min="779" max="779" width="15" customWidth="1"/>
    <col min="780" max="780" width="11" customWidth="1"/>
    <col min="781" max="781" width="13.81640625" customWidth="1"/>
    <col min="782" max="782" width="14.1796875" customWidth="1"/>
    <col min="783" max="783" width="40" customWidth="1"/>
    <col min="1030" max="1030" width="20.7265625" customWidth="1"/>
    <col min="1031" max="1031" width="18" customWidth="1"/>
    <col min="1032" max="1032" width="14.453125" customWidth="1"/>
    <col min="1033" max="1033" width="14.81640625" customWidth="1"/>
    <col min="1035" max="1035" width="15" customWidth="1"/>
    <col min="1036" max="1036" width="11" customWidth="1"/>
    <col min="1037" max="1037" width="13.81640625" customWidth="1"/>
    <col min="1038" max="1038" width="14.1796875" customWidth="1"/>
    <col min="1039" max="1039" width="40" customWidth="1"/>
    <col min="1286" max="1286" width="20.7265625" customWidth="1"/>
    <col min="1287" max="1287" width="18" customWidth="1"/>
    <col min="1288" max="1288" width="14.453125" customWidth="1"/>
    <col min="1289" max="1289" width="14.81640625" customWidth="1"/>
    <col min="1291" max="1291" width="15" customWidth="1"/>
    <col min="1292" max="1292" width="11" customWidth="1"/>
    <col min="1293" max="1293" width="13.81640625" customWidth="1"/>
    <col min="1294" max="1294" width="14.1796875" customWidth="1"/>
    <col min="1295" max="1295" width="40" customWidth="1"/>
    <col min="1542" max="1542" width="20.7265625" customWidth="1"/>
    <col min="1543" max="1543" width="18" customWidth="1"/>
    <col min="1544" max="1544" width="14.453125" customWidth="1"/>
    <col min="1545" max="1545" width="14.81640625" customWidth="1"/>
    <col min="1547" max="1547" width="15" customWidth="1"/>
    <col min="1548" max="1548" width="11" customWidth="1"/>
    <col min="1549" max="1549" width="13.81640625" customWidth="1"/>
    <col min="1550" max="1550" width="14.1796875" customWidth="1"/>
    <col min="1551" max="1551" width="40" customWidth="1"/>
    <col min="1798" max="1798" width="20.7265625" customWidth="1"/>
    <col min="1799" max="1799" width="18" customWidth="1"/>
    <col min="1800" max="1800" width="14.453125" customWidth="1"/>
    <col min="1801" max="1801" width="14.81640625" customWidth="1"/>
    <col min="1803" max="1803" width="15" customWidth="1"/>
    <col min="1804" max="1804" width="11" customWidth="1"/>
    <col min="1805" max="1805" width="13.81640625" customWidth="1"/>
    <col min="1806" max="1806" width="14.1796875" customWidth="1"/>
    <col min="1807" max="1807" width="40" customWidth="1"/>
    <col min="2054" max="2054" width="20.7265625" customWidth="1"/>
    <col min="2055" max="2055" width="18" customWidth="1"/>
    <col min="2056" max="2056" width="14.453125" customWidth="1"/>
    <col min="2057" max="2057" width="14.81640625" customWidth="1"/>
    <col min="2059" max="2059" width="15" customWidth="1"/>
    <col min="2060" max="2060" width="11" customWidth="1"/>
    <col min="2061" max="2061" width="13.81640625" customWidth="1"/>
    <col min="2062" max="2062" width="14.1796875" customWidth="1"/>
    <col min="2063" max="2063" width="40" customWidth="1"/>
    <col min="2310" max="2310" width="20.7265625" customWidth="1"/>
    <col min="2311" max="2311" width="18" customWidth="1"/>
    <col min="2312" max="2312" width="14.453125" customWidth="1"/>
    <col min="2313" max="2313" width="14.81640625" customWidth="1"/>
    <col min="2315" max="2315" width="15" customWidth="1"/>
    <col min="2316" max="2316" width="11" customWidth="1"/>
    <col min="2317" max="2317" width="13.81640625" customWidth="1"/>
    <col min="2318" max="2318" width="14.1796875" customWidth="1"/>
    <col min="2319" max="2319" width="40" customWidth="1"/>
    <col min="2566" max="2566" width="20.7265625" customWidth="1"/>
    <col min="2567" max="2567" width="18" customWidth="1"/>
    <col min="2568" max="2568" width="14.453125" customWidth="1"/>
    <col min="2569" max="2569" width="14.81640625" customWidth="1"/>
    <col min="2571" max="2571" width="15" customWidth="1"/>
    <col min="2572" max="2572" width="11" customWidth="1"/>
    <col min="2573" max="2573" width="13.81640625" customWidth="1"/>
    <col min="2574" max="2574" width="14.1796875" customWidth="1"/>
    <col min="2575" max="2575" width="40" customWidth="1"/>
    <col min="2822" max="2822" width="20.7265625" customWidth="1"/>
    <col min="2823" max="2823" width="18" customWidth="1"/>
    <col min="2824" max="2824" width="14.453125" customWidth="1"/>
    <col min="2825" max="2825" width="14.81640625" customWidth="1"/>
    <col min="2827" max="2827" width="15" customWidth="1"/>
    <col min="2828" max="2828" width="11" customWidth="1"/>
    <col min="2829" max="2829" width="13.81640625" customWidth="1"/>
    <col min="2830" max="2830" width="14.1796875" customWidth="1"/>
    <col min="2831" max="2831" width="40" customWidth="1"/>
    <col min="3078" max="3078" width="20.7265625" customWidth="1"/>
    <col min="3079" max="3079" width="18" customWidth="1"/>
    <col min="3080" max="3080" width="14.453125" customWidth="1"/>
    <col min="3081" max="3081" width="14.81640625" customWidth="1"/>
    <col min="3083" max="3083" width="15" customWidth="1"/>
    <col min="3084" max="3084" width="11" customWidth="1"/>
    <col min="3085" max="3085" width="13.81640625" customWidth="1"/>
    <col min="3086" max="3086" width="14.1796875" customWidth="1"/>
    <col min="3087" max="3087" width="40" customWidth="1"/>
    <col min="3334" max="3334" width="20.7265625" customWidth="1"/>
    <col min="3335" max="3335" width="18" customWidth="1"/>
    <col min="3336" max="3336" width="14.453125" customWidth="1"/>
    <col min="3337" max="3337" width="14.81640625" customWidth="1"/>
    <col min="3339" max="3339" width="15" customWidth="1"/>
    <col min="3340" max="3340" width="11" customWidth="1"/>
    <col min="3341" max="3341" width="13.81640625" customWidth="1"/>
    <col min="3342" max="3342" width="14.1796875" customWidth="1"/>
    <col min="3343" max="3343" width="40" customWidth="1"/>
    <col min="3590" max="3590" width="20.7265625" customWidth="1"/>
    <col min="3591" max="3591" width="18" customWidth="1"/>
    <col min="3592" max="3592" width="14.453125" customWidth="1"/>
    <col min="3593" max="3593" width="14.81640625" customWidth="1"/>
    <col min="3595" max="3595" width="15" customWidth="1"/>
    <col min="3596" max="3596" width="11" customWidth="1"/>
    <col min="3597" max="3597" width="13.81640625" customWidth="1"/>
    <col min="3598" max="3598" width="14.1796875" customWidth="1"/>
    <col min="3599" max="3599" width="40" customWidth="1"/>
    <col min="3846" max="3846" width="20.7265625" customWidth="1"/>
    <col min="3847" max="3847" width="18" customWidth="1"/>
    <col min="3848" max="3848" width="14.453125" customWidth="1"/>
    <col min="3849" max="3849" width="14.81640625" customWidth="1"/>
    <col min="3851" max="3851" width="15" customWidth="1"/>
    <col min="3852" max="3852" width="11" customWidth="1"/>
    <col min="3853" max="3853" width="13.81640625" customWidth="1"/>
    <col min="3854" max="3854" width="14.1796875" customWidth="1"/>
    <col min="3855" max="3855" width="40" customWidth="1"/>
    <col min="4102" max="4102" width="20.7265625" customWidth="1"/>
    <col min="4103" max="4103" width="18" customWidth="1"/>
    <col min="4104" max="4104" width="14.453125" customWidth="1"/>
    <col min="4105" max="4105" width="14.81640625" customWidth="1"/>
    <col min="4107" max="4107" width="15" customWidth="1"/>
    <col min="4108" max="4108" width="11" customWidth="1"/>
    <col min="4109" max="4109" width="13.81640625" customWidth="1"/>
    <col min="4110" max="4110" width="14.1796875" customWidth="1"/>
    <col min="4111" max="4111" width="40" customWidth="1"/>
    <col min="4358" max="4358" width="20.7265625" customWidth="1"/>
    <col min="4359" max="4359" width="18" customWidth="1"/>
    <col min="4360" max="4360" width="14.453125" customWidth="1"/>
    <col min="4361" max="4361" width="14.81640625" customWidth="1"/>
    <col min="4363" max="4363" width="15" customWidth="1"/>
    <col min="4364" max="4364" width="11" customWidth="1"/>
    <col min="4365" max="4365" width="13.81640625" customWidth="1"/>
    <col min="4366" max="4366" width="14.1796875" customWidth="1"/>
    <col min="4367" max="4367" width="40" customWidth="1"/>
    <col min="4614" max="4614" width="20.7265625" customWidth="1"/>
    <col min="4615" max="4615" width="18" customWidth="1"/>
    <col min="4616" max="4616" width="14.453125" customWidth="1"/>
    <col min="4617" max="4617" width="14.81640625" customWidth="1"/>
    <col min="4619" max="4619" width="15" customWidth="1"/>
    <col min="4620" max="4620" width="11" customWidth="1"/>
    <col min="4621" max="4621" width="13.81640625" customWidth="1"/>
    <col min="4622" max="4622" width="14.1796875" customWidth="1"/>
    <col min="4623" max="4623" width="40" customWidth="1"/>
    <col min="4870" max="4870" width="20.7265625" customWidth="1"/>
    <col min="4871" max="4871" width="18" customWidth="1"/>
    <col min="4872" max="4872" width="14.453125" customWidth="1"/>
    <col min="4873" max="4873" width="14.81640625" customWidth="1"/>
    <col min="4875" max="4875" width="15" customWidth="1"/>
    <col min="4876" max="4876" width="11" customWidth="1"/>
    <col min="4877" max="4877" width="13.81640625" customWidth="1"/>
    <col min="4878" max="4878" width="14.1796875" customWidth="1"/>
    <col min="4879" max="4879" width="40" customWidth="1"/>
    <col min="5126" max="5126" width="20.7265625" customWidth="1"/>
    <col min="5127" max="5127" width="18" customWidth="1"/>
    <col min="5128" max="5128" width="14.453125" customWidth="1"/>
    <col min="5129" max="5129" width="14.81640625" customWidth="1"/>
    <col min="5131" max="5131" width="15" customWidth="1"/>
    <col min="5132" max="5132" width="11" customWidth="1"/>
    <col min="5133" max="5133" width="13.81640625" customWidth="1"/>
    <col min="5134" max="5134" width="14.1796875" customWidth="1"/>
    <col min="5135" max="5135" width="40" customWidth="1"/>
    <col min="5382" max="5382" width="20.7265625" customWidth="1"/>
    <col min="5383" max="5383" width="18" customWidth="1"/>
    <col min="5384" max="5384" width="14.453125" customWidth="1"/>
    <col min="5385" max="5385" width="14.81640625" customWidth="1"/>
    <col min="5387" max="5387" width="15" customWidth="1"/>
    <col min="5388" max="5388" width="11" customWidth="1"/>
    <col min="5389" max="5389" width="13.81640625" customWidth="1"/>
    <col min="5390" max="5390" width="14.1796875" customWidth="1"/>
    <col min="5391" max="5391" width="40" customWidth="1"/>
    <col min="5638" max="5638" width="20.7265625" customWidth="1"/>
    <col min="5639" max="5639" width="18" customWidth="1"/>
    <col min="5640" max="5640" width="14.453125" customWidth="1"/>
    <col min="5641" max="5641" width="14.81640625" customWidth="1"/>
    <col min="5643" max="5643" width="15" customWidth="1"/>
    <col min="5644" max="5644" width="11" customWidth="1"/>
    <col min="5645" max="5645" width="13.81640625" customWidth="1"/>
    <col min="5646" max="5646" width="14.1796875" customWidth="1"/>
    <col min="5647" max="5647" width="40" customWidth="1"/>
    <col min="5894" max="5894" width="20.7265625" customWidth="1"/>
    <col min="5895" max="5895" width="18" customWidth="1"/>
    <col min="5896" max="5896" width="14.453125" customWidth="1"/>
    <col min="5897" max="5897" width="14.81640625" customWidth="1"/>
    <col min="5899" max="5899" width="15" customWidth="1"/>
    <col min="5900" max="5900" width="11" customWidth="1"/>
    <col min="5901" max="5901" width="13.81640625" customWidth="1"/>
    <col min="5902" max="5902" width="14.1796875" customWidth="1"/>
    <col min="5903" max="5903" width="40" customWidth="1"/>
    <col min="6150" max="6150" width="20.7265625" customWidth="1"/>
    <col min="6151" max="6151" width="18" customWidth="1"/>
    <col min="6152" max="6152" width="14.453125" customWidth="1"/>
    <col min="6153" max="6153" width="14.81640625" customWidth="1"/>
    <col min="6155" max="6155" width="15" customWidth="1"/>
    <col min="6156" max="6156" width="11" customWidth="1"/>
    <col min="6157" max="6157" width="13.81640625" customWidth="1"/>
    <col min="6158" max="6158" width="14.1796875" customWidth="1"/>
    <col min="6159" max="6159" width="40" customWidth="1"/>
    <col min="6406" max="6406" width="20.7265625" customWidth="1"/>
    <col min="6407" max="6407" width="18" customWidth="1"/>
    <col min="6408" max="6408" width="14.453125" customWidth="1"/>
    <col min="6409" max="6409" width="14.81640625" customWidth="1"/>
    <col min="6411" max="6411" width="15" customWidth="1"/>
    <col min="6412" max="6412" width="11" customWidth="1"/>
    <col min="6413" max="6413" width="13.81640625" customWidth="1"/>
    <col min="6414" max="6414" width="14.1796875" customWidth="1"/>
    <col min="6415" max="6415" width="40" customWidth="1"/>
    <col min="6662" max="6662" width="20.7265625" customWidth="1"/>
    <col min="6663" max="6663" width="18" customWidth="1"/>
    <col min="6664" max="6664" width="14.453125" customWidth="1"/>
    <col min="6665" max="6665" width="14.81640625" customWidth="1"/>
    <col min="6667" max="6667" width="15" customWidth="1"/>
    <col min="6668" max="6668" width="11" customWidth="1"/>
    <col min="6669" max="6669" width="13.81640625" customWidth="1"/>
    <col min="6670" max="6670" width="14.1796875" customWidth="1"/>
    <col min="6671" max="6671" width="40" customWidth="1"/>
    <col min="6918" max="6918" width="20.7265625" customWidth="1"/>
    <col min="6919" max="6919" width="18" customWidth="1"/>
    <col min="6920" max="6920" width="14.453125" customWidth="1"/>
    <col min="6921" max="6921" width="14.81640625" customWidth="1"/>
    <col min="6923" max="6923" width="15" customWidth="1"/>
    <col min="6924" max="6924" width="11" customWidth="1"/>
    <col min="6925" max="6925" width="13.81640625" customWidth="1"/>
    <col min="6926" max="6926" width="14.1796875" customWidth="1"/>
    <col min="6927" max="6927" width="40" customWidth="1"/>
    <col min="7174" max="7174" width="20.7265625" customWidth="1"/>
    <col min="7175" max="7175" width="18" customWidth="1"/>
    <col min="7176" max="7176" width="14.453125" customWidth="1"/>
    <col min="7177" max="7177" width="14.81640625" customWidth="1"/>
    <col min="7179" max="7179" width="15" customWidth="1"/>
    <col min="7180" max="7180" width="11" customWidth="1"/>
    <col min="7181" max="7181" width="13.81640625" customWidth="1"/>
    <col min="7182" max="7182" width="14.1796875" customWidth="1"/>
    <col min="7183" max="7183" width="40" customWidth="1"/>
    <col min="7430" max="7430" width="20.7265625" customWidth="1"/>
    <col min="7431" max="7431" width="18" customWidth="1"/>
    <col min="7432" max="7432" width="14.453125" customWidth="1"/>
    <col min="7433" max="7433" width="14.81640625" customWidth="1"/>
    <col min="7435" max="7435" width="15" customWidth="1"/>
    <col min="7436" max="7436" width="11" customWidth="1"/>
    <col min="7437" max="7437" width="13.81640625" customWidth="1"/>
    <col min="7438" max="7438" width="14.1796875" customWidth="1"/>
    <col min="7439" max="7439" width="40" customWidth="1"/>
    <col min="7686" max="7686" width="20.7265625" customWidth="1"/>
    <col min="7687" max="7687" width="18" customWidth="1"/>
    <col min="7688" max="7688" width="14.453125" customWidth="1"/>
    <col min="7689" max="7689" width="14.81640625" customWidth="1"/>
    <col min="7691" max="7691" width="15" customWidth="1"/>
    <col min="7692" max="7692" width="11" customWidth="1"/>
    <col min="7693" max="7693" width="13.81640625" customWidth="1"/>
    <col min="7694" max="7694" width="14.1796875" customWidth="1"/>
    <col min="7695" max="7695" width="40" customWidth="1"/>
    <col min="7942" max="7942" width="20.7265625" customWidth="1"/>
    <col min="7943" max="7943" width="18" customWidth="1"/>
    <col min="7944" max="7944" width="14.453125" customWidth="1"/>
    <col min="7945" max="7945" width="14.81640625" customWidth="1"/>
    <col min="7947" max="7947" width="15" customWidth="1"/>
    <col min="7948" max="7948" width="11" customWidth="1"/>
    <col min="7949" max="7949" width="13.81640625" customWidth="1"/>
    <col min="7950" max="7950" width="14.1796875" customWidth="1"/>
    <col min="7951" max="7951" width="40" customWidth="1"/>
    <col min="8198" max="8198" width="20.7265625" customWidth="1"/>
    <col min="8199" max="8199" width="18" customWidth="1"/>
    <col min="8200" max="8200" width="14.453125" customWidth="1"/>
    <col min="8201" max="8201" width="14.81640625" customWidth="1"/>
    <col min="8203" max="8203" width="15" customWidth="1"/>
    <col min="8204" max="8204" width="11" customWidth="1"/>
    <col min="8205" max="8205" width="13.81640625" customWidth="1"/>
    <col min="8206" max="8206" width="14.1796875" customWidth="1"/>
    <col min="8207" max="8207" width="40" customWidth="1"/>
    <col min="8454" max="8454" width="20.7265625" customWidth="1"/>
    <col min="8455" max="8455" width="18" customWidth="1"/>
    <col min="8456" max="8456" width="14.453125" customWidth="1"/>
    <col min="8457" max="8457" width="14.81640625" customWidth="1"/>
    <col min="8459" max="8459" width="15" customWidth="1"/>
    <col min="8460" max="8460" width="11" customWidth="1"/>
    <col min="8461" max="8461" width="13.81640625" customWidth="1"/>
    <col min="8462" max="8462" width="14.1796875" customWidth="1"/>
    <col min="8463" max="8463" width="40" customWidth="1"/>
    <col min="8710" max="8710" width="20.7265625" customWidth="1"/>
    <col min="8711" max="8711" width="18" customWidth="1"/>
    <col min="8712" max="8712" width="14.453125" customWidth="1"/>
    <col min="8713" max="8713" width="14.81640625" customWidth="1"/>
    <col min="8715" max="8715" width="15" customWidth="1"/>
    <col min="8716" max="8716" width="11" customWidth="1"/>
    <col min="8717" max="8717" width="13.81640625" customWidth="1"/>
    <col min="8718" max="8718" width="14.1796875" customWidth="1"/>
    <col min="8719" max="8719" width="40" customWidth="1"/>
    <col min="8966" max="8966" width="20.7265625" customWidth="1"/>
    <col min="8967" max="8967" width="18" customWidth="1"/>
    <col min="8968" max="8968" width="14.453125" customWidth="1"/>
    <col min="8969" max="8969" width="14.81640625" customWidth="1"/>
    <col min="8971" max="8971" width="15" customWidth="1"/>
    <col min="8972" max="8972" width="11" customWidth="1"/>
    <col min="8973" max="8973" width="13.81640625" customWidth="1"/>
    <col min="8974" max="8974" width="14.1796875" customWidth="1"/>
    <col min="8975" max="8975" width="40" customWidth="1"/>
    <col min="9222" max="9222" width="20.7265625" customWidth="1"/>
    <col min="9223" max="9223" width="18" customWidth="1"/>
    <col min="9224" max="9224" width="14.453125" customWidth="1"/>
    <col min="9225" max="9225" width="14.81640625" customWidth="1"/>
    <col min="9227" max="9227" width="15" customWidth="1"/>
    <col min="9228" max="9228" width="11" customWidth="1"/>
    <col min="9229" max="9229" width="13.81640625" customWidth="1"/>
    <col min="9230" max="9230" width="14.1796875" customWidth="1"/>
    <col min="9231" max="9231" width="40" customWidth="1"/>
    <col min="9478" max="9478" width="20.7265625" customWidth="1"/>
    <col min="9479" max="9479" width="18" customWidth="1"/>
    <col min="9480" max="9480" width="14.453125" customWidth="1"/>
    <col min="9481" max="9481" width="14.81640625" customWidth="1"/>
    <col min="9483" max="9483" width="15" customWidth="1"/>
    <col min="9484" max="9484" width="11" customWidth="1"/>
    <col min="9485" max="9485" width="13.81640625" customWidth="1"/>
    <col min="9486" max="9486" width="14.1796875" customWidth="1"/>
    <col min="9487" max="9487" width="40" customWidth="1"/>
    <col min="9734" max="9734" width="20.7265625" customWidth="1"/>
    <col min="9735" max="9735" width="18" customWidth="1"/>
    <col min="9736" max="9736" width="14.453125" customWidth="1"/>
    <col min="9737" max="9737" width="14.81640625" customWidth="1"/>
    <col min="9739" max="9739" width="15" customWidth="1"/>
    <col min="9740" max="9740" width="11" customWidth="1"/>
    <col min="9741" max="9741" width="13.81640625" customWidth="1"/>
    <col min="9742" max="9742" width="14.1796875" customWidth="1"/>
    <col min="9743" max="9743" width="40" customWidth="1"/>
    <col min="9990" max="9990" width="20.7265625" customWidth="1"/>
    <col min="9991" max="9991" width="18" customWidth="1"/>
    <col min="9992" max="9992" width="14.453125" customWidth="1"/>
    <col min="9993" max="9993" width="14.81640625" customWidth="1"/>
    <col min="9995" max="9995" width="15" customWidth="1"/>
    <col min="9996" max="9996" width="11" customWidth="1"/>
    <col min="9997" max="9997" width="13.81640625" customWidth="1"/>
    <col min="9998" max="9998" width="14.1796875" customWidth="1"/>
    <col min="9999" max="9999" width="40" customWidth="1"/>
    <col min="10246" max="10246" width="20.7265625" customWidth="1"/>
    <col min="10247" max="10247" width="18" customWidth="1"/>
    <col min="10248" max="10248" width="14.453125" customWidth="1"/>
    <col min="10249" max="10249" width="14.81640625" customWidth="1"/>
    <col min="10251" max="10251" width="15" customWidth="1"/>
    <col min="10252" max="10252" width="11" customWidth="1"/>
    <col min="10253" max="10253" width="13.81640625" customWidth="1"/>
    <col min="10254" max="10254" width="14.1796875" customWidth="1"/>
    <col min="10255" max="10255" width="40" customWidth="1"/>
    <col min="10502" max="10502" width="20.7265625" customWidth="1"/>
    <col min="10503" max="10503" width="18" customWidth="1"/>
    <col min="10504" max="10504" width="14.453125" customWidth="1"/>
    <col min="10505" max="10505" width="14.81640625" customWidth="1"/>
    <col min="10507" max="10507" width="15" customWidth="1"/>
    <col min="10508" max="10508" width="11" customWidth="1"/>
    <col min="10509" max="10509" width="13.81640625" customWidth="1"/>
    <col min="10510" max="10510" width="14.1796875" customWidth="1"/>
    <col min="10511" max="10511" width="40" customWidth="1"/>
    <col min="10758" max="10758" width="20.7265625" customWidth="1"/>
    <col min="10759" max="10759" width="18" customWidth="1"/>
    <col min="10760" max="10760" width="14.453125" customWidth="1"/>
    <col min="10761" max="10761" width="14.81640625" customWidth="1"/>
    <col min="10763" max="10763" width="15" customWidth="1"/>
    <col min="10764" max="10764" width="11" customWidth="1"/>
    <col min="10765" max="10765" width="13.81640625" customWidth="1"/>
    <col min="10766" max="10766" width="14.1796875" customWidth="1"/>
    <col min="10767" max="10767" width="40" customWidth="1"/>
    <col min="11014" max="11014" width="20.7265625" customWidth="1"/>
    <col min="11015" max="11015" width="18" customWidth="1"/>
    <col min="11016" max="11016" width="14.453125" customWidth="1"/>
    <col min="11017" max="11017" width="14.81640625" customWidth="1"/>
    <col min="11019" max="11019" width="15" customWidth="1"/>
    <col min="11020" max="11020" width="11" customWidth="1"/>
    <col min="11021" max="11021" width="13.81640625" customWidth="1"/>
    <col min="11022" max="11022" width="14.1796875" customWidth="1"/>
    <col min="11023" max="11023" width="40" customWidth="1"/>
    <col min="11270" max="11270" width="20.7265625" customWidth="1"/>
    <col min="11271" max="11271" width="18" customWidth="1"/>
    <col min="11272" max="11272" width="14.453125" customWidth="1"/>
    <col min="11273" max="11273" width="14.81640625" customWidth="1"/>
    <col min="11275" max="11275" width="15" customWidth="1"/>
    <col min="11276" max="11276" width="11" customWidth="1"/>
    <col min="11277" max="11277" width="13.81640625" customWidth="1"/>
    <col min="11278" max="11278" width="14.1796875" customWidth="1"/>
    <col min="11279" max="11279" width="40" customWidth="1"/>
    <col min="11526" max="11526" width="20.7265625" customWidth="1"/>
    <col min="11527" max="11527" width="18" customWidth="1"/>
    <col min="11528" max="11528" width="14.453125" customWidth="1"/>
    <col min="11529" max="11529" width="14.81640625" customWidth="1"/>
    <col min="11531" max="11531" width="15" customWidth="1"/>
    <col min="11532" max="11532" width="11" customWidth="1"/>
    <col min="11533" max="11533" width="13.81640625" customWidth="1"/>
    <col min="11534" max="11534" width="14.1796875" customWidth="1"/>
    <col min="11535" max="11535" width="40" customWidth="1"/>
    <col min="11782" max="11782" width="20.7265625" customWidth="1"/>
    <col min="11783" max="11783" width="18" customWidth="1"/>
    <col min="11784" max="11784" width="14.453125" customWidth="1"/>
    <col min="11785" max="11785" width="14.81640625" customWidth="1"/>
    <col min="11787" max="11787" width="15" customWidth="1"/>
    <col min="11788" max="11788" width="11" customWidth="1"/>
    <col min="11789" max="11789" width="13.81640625" customWidth="1"/>
    <col min="11790" max="11790" width="14.1796875" customWidth="1"/>
    <col min="11791" max="11791" width="40" customWidth="1"/>
    <col min="12038" max="12038" width="20.7265625" customWidth="1"/>
    <col min="12039" max="12039" width="18" customWidth="1"/>
    <col min="12040" max="12040" width="14.453125" customWidth="1"/>
    <col min="12041" max="12041" width="14.81640625" customWidth="1"/>
    <col min="12043" max="12043" width="15" customWidth="1"/>
    <col min="12044" max="12044" width="11" customWidth="1"/>
    <col min="12045" max="12045" width="13.81640625" customWidth="1"/>
    <col min="12046" max="12046" width="14.1796875" customWidth="1"/>
    <col min="12047" max="12047" width="40" customWidth="1"/>
    <col min="12294" max="12294" width="20.7265625" customWidth="1"/>
    <col min="12295" max="12295" width="18" customWidth="1"/>
    <col min="12296" max="12296" width="14.453125" customWidth="1"/>
    <col min="12297" max="12297" width="14.81640625" customWidth="1"/>
    <col min="12299" max="12299" width="15" customWidth="1"/>
    <col min="12300" max="12300" width="11" customWidth="1"/>
    <col min="12301" max="12301" width="13.81640625" customWidth="1"/>
    <col min="12302" max="12302" width="14.1796875" customWidth="1"/>
    <col min="12303" max="12303" width="40" customWidth="1"/>
    <col min="12550" max="12550" width="20.7265625" customWidth="1"/>
    <col min="12551" max="12551" width="18" customWidth="1"/>
    <col min="12552" max="12552" width="14.453125" customWidth="1"/>
    <col min="12553" max="12553" width="14.81640625" customWidth="1"/>
    <col min="12555" max="12555" width="15" customWidth="1"/>
    <col min="12556" max="12556" width="11" customWidth="1"/>
    <col min="12557" max="12557" width="13.81640625" customWidth="1"/>
    <col min="12558" max="12558" width="14.1796875" customWidth="1"/>
    <col min="12559" max="12559" width="40" customWidth="1"/>
    <col min="12806" max="12806" width="20.7265625" customWidth="1"/>
    <col min="12807" max="12807" width="18" customWidth="1"/>
    <col min="12808" max="12808" width="14.453125" customWidth="1"/>
    <col min="12809" max="12809" width="14.81640625" customWidth="1"/>
    <col min="12811" max="12811" width="15" customWidth="1"/>
    <col min="12812" max="12812" width="11" customWidth="1"/>
    <col min="12813" max="12813" width="13.81640625" customWidth="1"/>
    <col min="12814" max="12814" width="14.1796875" customWidth="1"/>
    <col min="12815" max="12815" width="40" customWidth="1"/>
    <col min="13062" max="13062" width="20.7265625" customWidth="1"/>
    <col min="13063" max="13063" width="18" customWidth="1"/>
    <col min="13064" max="13064" width="14.453125" customWidth="1"/>
    <col min="13065" max="13065" width="14.81640625" customWidth="1"/>
    <col min="13067" max="13067" width="15" customWidth="1"/>
    <col min="13068" max="13068" width="11" customWidth="1"/>
    <col min="13069" max="13069" width="13.81640625" customWidth="1"/>
    <col min="13070" max="13070" width="14.1796875" customWidth="1"/>
    <col min="13071" max="13071" width="40" customWidth="1"/>
    <col min="13318" max="13318" width="20.7265625" customWidth="1"/>
    <col min="13319" max="13319" width="18" customWidth="1"/>
    <col min="13320" max="13320" width="14.453125" customWidth="1"/>
    <col min="13321" max="13321" width="14.81640625" customWidth="1"/>
    <col min="13323" max="13323" width="15" customWidth="1"/>
    <col min="13324" max="13324" width="11" customWidth="1"/>
    <col min="13325" max="13325" width="13.81640625" customWidth="1"/>
    <col min="13326" max="13326" width="14.1796875" customWidth="1"/>
    <col min="13327" max="13327" width="40" customWidth="1"/>
    <col min="13574" max="13574" width="20.7265625" customWidth="1"/>
    <col min="13575" max="13575" width="18" customWidth="1"/>
    <col min="13576" max="13576" width="14.453125" customWidth="1"/>
    <col min="13577" max="13577" width="14.81640625" customWidth="1"/>
    <col min="13579" max="13579" width="15" customWidth="1"/>
    <col min="13580" max="13580" width="11" customWidth="1"/>
    <col min="13581" max="13581" width="13.81640625" customWidth="1"/>
    <col min="13582" max="13582" width="14.1796875" customWidth="1"/>
    <col min="13583" max="13583" width="40" customWidth="1"/>
    <col min="13830" max="13830" width="20.7265625" customWidth="1"/>
    <col min="13831" max="13831" width="18" customWidth="1"/>
    <col min="13832" max="13832" width="14.453125" customWidth="1"/>
    <col min="13833" max="13833" width="14.81640625" customWidth="1"/>
    <col min="13835" max="13835" width="15" customWidth="1"/>
    <col min="13836" max="13836" width="11" customWidth="1"/>
    <col min="13837" max="13837" width="13.81640625" customWidth="1"/>
    <col min="13838" max="13838" width="14.1796875" customWidth="1"/>
    <col min="13839" max="13839" width="40" customWidth="1"/>
    <col min="14086" max="14086" width="20.7265625" customWidth="1"/>
    <col min="14087" max="14087" width="18" customWidth="1"/>
    <col min="14088" max="14088" width="14.453125" customWidth="1"/>
    <col min="14089" max="14089" width="14.81640625" customWidth="1"/>
    <col min="14091" max="14091" width="15" customWidth="1"/>
    <col min="14092" max="14092" width="11" customWidth="1"/>
    <col min="14093" max="14093" width="13.81640625" customWidth="1"/>
    <col min="14094" max="14094" width="14.1796875" customWidth="1"/>
    <col min="14095" max="14095" width="40" customWidth="1"/>
    <col min="14342" max="14342" width="20.7265625" customWidth="1"/>
    <col min="14343" max="14343" width="18" customWidth="1"/>
    <col min="14344" max="14344" width="14.453125" customWidth="1"/>
    <col min="14345" max="14345" width="14.81640625" customWidth="1"/>
    <col min="14347" max="14347" width="15" customWidth="1"/>
    <col min="14348" max="14348" width="11" customWidth="1"/>
    <col min="14349" max="14349" width="13.81640625" customWidth="1"/>
    <col min="14350" max="14350" width="14.1796875" customWidth="1"/>
    <col min="14351" max="14351" width="40" customWidth="1"/>
    <col min="14598" max="14598" width="20.7265625" customWidth="1"/>
    <col min="14599" max="14599" width="18" customWidth="1"/>
    <col min="14600" max="14600" width="14.453125" customWidth="1"/>
    <col min="14601" max="14601" width="14.81640625" customWidth="1"/>
    <col min="14603" max="14603" width="15" customWidth="1"/>
    <col min="14604" max="14604" width="11" customWidth="1"/>
    <col min="14605" max="14605" width="13.81640625" customWidth="1"/>
    <col min="14606" max="14606" width="14.1796875" customWidth="1"/>
    <col min="14607" max="14607" width="40" customWidth="1"/>
    <col min="14854" max="14854" width="20.7265625" customWidth="1"/>
    <col min="14855" max="14855" width="18" customWidth="1"/>
    <col min="14856" max="14856" width="14.453125" customWidth="1"/>
    <col min="14857" max="14857" width="14.81640625" customWidth="1"/>
    <col min="14859" max="14859" width="15" customWidth="1"/>
    <col min="14860" max="14860" width="11" customWidth="1"/>
    <col min="14861" max="14861" width="13.81640625" customWidth="1"/>
    <col min="14862" max="14862" width="14.1796875" customWidth="1"/>
    <col min="14863" max="14863" width="40" customWidth="1"/>
    <col min="15110" max="15110" width="20.7265625" customWidth="1"/>
    <col min="15111" max="15111" width="18" customWidth="1"/>
    <col min="15112" max="15112" width="14.453125" customWidth="1"/>
    <col min="15113" max="15113" width="14.81640625" customWidth="1"/>
    <col min="15115" max="15115" width="15" customWidth="1"/>
    <col min="15116" max="15116" width="11" customWidth="1"/>
    <col min="15117" max="15117" width="13.81640625" customWidth="1"/>
    <col min="15118" max="15118" width="14.1796875" customWidth="1"/>
    <col min="15119" max="15119" width="40" customWidth="1"/>
    <col min="15366" max="15366" width="20.7265625" customWidth="1"/>
    <col min="15367" max="15367" width="18" customWidth="1"/>
    <col min="15368" max="15368" width="14.453125" customWidth="1"/>
    <col min="15369" max="15369" width="14.81640625" customWidth="1"/>
    <col min="15371" max="15371" width="15" customWidth="1"/>
    <col min="15372" max="15372" width="11" customWidth="1"/>
    <col min="15373" max="15373" width="13.81640625" customWidth="1"/>
    <col min="15374" max="15374" width="14.1796875" customWidth="1"/>
    <col min="15375" max="15375" width="40" customWidth="1"/>
    <col min="15622" max="15622" width="20.7265625" customWidth="1"/>
    <col min="15623" max="15623" width="18" customWidth="1"/>
    <col min="15624" max="15624" width="14.453125" customWidth="1"/>
    <col min="15625" max="15625" width="14.81640625" customWidth="1"/>
    <col min="15627" max="15627" width="15" customWidth="1"/>
    <col min="15628" max="15628" width="11" customWidth="1"/>
    <col min="15629" max="15629" width="13.81640625" customWidth="1"/>
    <col min="15630" max="15630" width="14.1796875" customWidth="1"/>
    <col min="15631" max="15631" width="40" customWidth="1"/>
    <col min="15878" max="15878" width="20.7265625" customWidth="1"/>
    <col min="15879" max="15879" width="18" customWidth="1"/>
    <col min="15880" max="15880" width="14.453125" customWidth="1"/>
    <col min="15881" max="15881" width="14.81640625" customWidth="1"/>
    <col min="15883" max="15883" width="15" customWidth="1"/>
    <col min="15884" max="15884" width="11" customWidth="1"/>
    <col min="15885" max="15885" width="13.81640625" customWidth="1"/>
    <col min="15886" max="15886" width="14.1796875" customWidth="1"/>
    <col min="15887" max="15887" width="40" customWidth="1"/>
    <col min="16134" max="16134" width="20.7265625" customWidth="1"/>
    <col min="16135" max="16135" width="18" customWidth="1"/>
    <col min="16136" max="16136" width="14.453125" customWidth="1"/>
    <col min="16137" max="16137" width="14.81640625" customWidth="1"/>
    <col min="16139" max="16139" width="15" customWidth="1"/>
    <col min="16140" max="16140" width="11" customWidth="1"/>
    <col min="16141" max="16141" width="13.81640625" customWidth="1"/>
    <col min="16142" max="16142" width="14.1796875" customWidth="1"/>
    <col min="16143" max="16143" width="40" customWidth="1"/>
  </cols>
  <sheetData>
    <row r="1" spans="1:21" ht="18.5" x14ac:dyDescent="0.35">
      <c r="A1" s="1105" t="s">
        <v>280</v>
      </c>
      <c r="B1" s="1105"/>
      <c r="C1" s="1105"/>
      <c r="D1" s="1105"/>
      <c r="E1" s="1105"/>
      <c r="F1" s="1105"/>
      <c r="G1" s="1105"/>
    </row>
    <row r="2" spans="1:21" ht="64.5" customHeight="1" x14ac:dyDescent="0.35">
      <c r="A2" s="2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2" t="s">
        <v>6</v>
      </c>
      <c r="H2" s="4"/>
      <c r="I2" s="2" t="s">
        <v>0</v>
      </c>
      <c r="J2" s="3" t="s">
        <v>1</v>
      </c>
      <c r="K2" s="3" t="s">
        <v>2</v>
      </c>
      <c r="L2" s="5" t="s">
        <v>3</v>
      </c>
      <c r="M2" s="3" t="s">
        <v>4</v>
      </c>
      <c r="N2" s="3" t="s">
        <v>5</v>
      </c>
      <c r="O2" s="2" t="s">
        <v>6</v>
      </c>
      <c r="P2" s="4"/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</row>
    <row r="3" spans="1:21" ht="38" customHeight="1" x14ac:dyDescent="0.35">
      <c r="A3" s="7" t="s">
        <v>12</v>
      </c>
      <c r="B3" s="8" t="s">
        <v>13</v>
      </c>
      <c r="C3" s="8">
        <v>136.70599999999999</v>
      </c>
      <c r="D3" s="8">
        <v>136.70599999999999</v>
      </c>
      <c r="E3" s="9">
        <v>136.70599999999999</v>
      </c>
      <c r="F3" s="9">
        <v>136.70599999999999</v>
      </c>
      <c r="G3" s="20" t="s">
        <v>14</v>
      </c>
      <c r="H3" s="1106" t="s">
        <v>18</v>
      </c>
      <c r="I3" s="1109" t="s">
        <v>19</v>
      </c>
      <c r="J3" s="4"/>
      <c r="K3" s="4"/>
      <c r="L3" s="4"/>
      <c r="M3" s="4"/>
      <c r="N3" s="4"/>
      <c r="O3" s="4"/>
      <c r="P3" s="4"/>
      <c r="Q3" s="10"/>
      <c r="R3" s="10"/>
      <c r="S3" s="10"/>
      <c r="T3" s="10"/>
      <c r="U3" s="10"/>
    </row>
    <row r="4" spans="1:21" ht="38" customHeight="1" x14ac:dyDescent="0.35">
      <c r="A4" s="1109" t="s">
        <v>15</v>
      </c>
      <c r="B4" s="867" t="s">
        <v>1272</v>
      </c>
      <c r="C4" s="867">
        <v>3.4780000000000002</v>
      </c>
      <c r="D4" s="867">
        <v>3.4780000000000002</v>
      </c>
      <c r="E4" s="867">
        <v>3.4780000000000002</v>
      </c>
      <c r="F4" s="867">
        <v>3.4780000000000002</v>
      </c>
      <c r="G4" s="867" t="s">
        <v>1273</v>
      </c>
      <c r="H4" s="1107"/>
      <c r="I4" s="1110"/>
      <c r="J4" s="867" t="s">
        <v>1272</v>
      </c>
      <c r="K4" s="867">
        <v>3.4780000000000002</v>
      </c>
      <c r="L4" s="867">
        <v>3.4780000000000002</v>
      </c>
      <c r="M4" s="867">
        <v>3.4780000000000002</v>
      </c>
      <c r="N4" s="867">
        <v>3.4780000000000002</v>
      </c>
      <c r="O4" s="867" t="s">
        <v>1273</v>
      </c>
      <c r="P4" s="4"/>
      <c r="Q4" s="10"/>
      <c r="R4" s="10"/>
      <c r="S4" s="10"/>
      <c r="T4" s="10"/>
      <c r="U4" s="10"/>
    </row>
    <row r="5" spans="1:21" ht="15.5" customHeight="1" x14ac:dyDescent="0.35">
      <c r="A5" s="1110"/>
      <c r="B5" s="11" t="s">
        <v>16</v>
      </c>
      <c r="C5" s="12">
        <v>4.3498999999999999</v>
      </c>
      <c r="D5" s="12">
        <v>4.3498999999999999</v>
      </c>
      <c r="E5" s="12">
        <v>4.3498999999999999</v>
      </c>
      <c r="F5" s="12">
        <v>4.3498999999999999</v>
      </c>
      <c r="G5" s="13" t="s">
        <v>17</v>
      </c>
      <c r="H5" s="1107"/>
      <c r="I5" s="1110"/>
      <c r="J5" s="11" t="s">
        <v>16</v>
      </c>
      <c r="K5" s="12">
        <v>4.3498999999999999</v>
      </c>
      <c r="L5" s="12">
        <v>4.3498999999999999</v>
      </c>
      <c r="M5" s="12">
        <v>4.3498999999999999</v>
      </c>
      <c r="N5" s="12">
        <v>4.3498999999999999</v>
      </c>
      <c r="O5" s="13" t="s">
        <v>20</v>
      </c>
      <c r="P5" s="14"/>
      <c r="Q5" s="15">
        <v>8</v>
      </c>
      <c r="R5" s="15"/>
      <c r="S5" s="15">
        <v>3</v>
      </c>
      <c r="T5" s="15">
        <v>1</v>
      </c>
      <c r="U5" s="15">
        <f>T5+S5+R5+Q5</f>
        <v>12</v>
      </c>
    </row>
    <row r="6" spans="1:21" ht="31" x14ac:dyDescent="0.35">
      <c r="A6" s="1110"/>
      <c r="B6" s="11" t="s">
        <v>21</v>
      </c>
      <c r="C6" s="12">
        <v>4.1639999999999997</v>
      </c>
      <c r="D6" s="12">
        <v>4.1639999999999997</v>
      </c>
      <c r="E6" s="12">
        <v>4.1639999999999997</v>
      </c>
      <c r="F6" s="12">
        <v>4.1639999999999997</v>
      </c>
      <c r="G6" s="22" t="s">
        <v>1227</v>
      </c>
      <c r="H6" s="1107"/>
      <c r="I6" s="1110"/>
      <c r="J6" s="11" t="s">
        <v>21</v>
      </c>
      <c r="K6" s="12">
        <v>4.1639999999999997</v>
      </c>
      <c r="L6" s="12">
        <v>4.1639999999999997</v>
      </c>
      <c r="M6" s="12">
        <v>4.1639999999999997</v>
      </c>
      <c r="N6" s="12">
        <v>4.1639999999999997</v>
      </c>
      <c r="O6" s="22" t="s">
        <v>22</v>
      </c>
      <c r="P6" s="14"/>
      <c r="Q6" s="15">
        <v>9</v>
      </c>
      <c r="R6" s="15"/>
      <c r="S6" s="15"/>
      <c r="T6" s="15">
        <v>3</v>
      </c>
      <c r="U6" s="15">
        <f t="shared" ref="U6:U62" si="0">T6+S6+R6+Q6</f>
        <v>12</v>
      </c>
    </row>
    <row r="7" spans="1:21" x14ac:dyDescent="0.35">
      <c r="A7" s="1110"/>
      <c r="B7" s="11" t="s">
        <v>23</v>
      </c>
      <c r="C7" s="12">
        <v>1.9339999999999999</v>
      </c>
      <c r="D7" s="12">
        <v>1.9339999999999999</v>
      </c>
      <c r="E7" s="12">
        <v>1.9339999999999999</v>
      </c>
      <c r="F7" s="12">
        <v>1.9339999999999999</v>
      </c>
      <c r="G7" s="13" t="s">
        <v>17</v>
      </c>
      <c r="H7" s="1107"/>
      <c r="I7" s="1110"/>
      <c r="J7" s="11" t="s">
        <v>23</v>
      </c>
      <c r="K7" s="12">
        <v>1.9339999999999999</v>
      </c>
      <c r="L7" s="12">
        <v>1.9339999999999999</v>
      </c>
      <c r="M7" s="12">
        <v>1.9339999999999999</v>
      </c>
      <c r="N7" s="12">
        <v>1.9339999999999999</v>
      </c>
      <c r="O7" s="13" t="s">
        <v>20</v>
      </c>
      <c r="P7" s="14"/>
      <c r="Q7" s="15">
        <v>3</v>
      </c>
      <c r="R7" s="15"/>
      <c r="S7" s="15">
        <v>1</v>
      </c>
      <c r="T7" s="15">
        <v>2</v>
      </c>
      <c r="U7" s="15">
        <f t="shared" si="0"/>
        <v>6</v>
      </c>
    </row>
    <row r="8" spans="1:21" ht="16" customHeight="1" x14ac:dyDescent="0.35">
      <c r="A8" s="1110"/>
      <c r="B8" s="11" t="s">
        <v>24</v>
      </c>
      <c r="C8" s="12">
        <v>3.6175999999999999</v>
      </c>
      <c r="D8" s="12">
        <v>3.6175999999999999</v>
      </c>
      <c r="E8" s="12">
        <v>3.6175999999999999</v>
      </c>
      <c r="F8" s="12">
        <v>3.6175999999999999</v>
      </c>
      <c r="G8" s="13" t="s">
        <v>25</v>
      </c>
      <c r="H8" s="1107"/>
      <c r="I8" s="1110"/>
      <c r="J8" s="11" t="s">
        <v>24</v>
      </c>
      <c r="K8" s="12">
        <v>3.6175999999999999</v>
      </c>
      <c r="L8" s="12">
        <v>3.6175999999999999</v>
      </c>
      <c r="M8" s="12">
        <v>3.6175999999999999</v>
      </c>
      <c r="N8" s="12">
        <v>3.6175999999999999</v>
      </c>
      <c r="O8" s="13" t="s">
        <v>26</v>
      </c>
      <c r="P8" s="14"/>
      <c r="Q8" s="15">
        <v>8</v>
      </c>
      <c r="R8" s="15"/>
      <c r="S8" s="15">
        <v>2</v>
      </c>
      <c r="T8" s="15"/>
      <c r="U8" s="15">
        <f t="shared" si="0"/>
        <v>10</v>
      </c>
    </row>
    <row r="9" spans="1:21" x14ac:dyDescent="0.35">
      <c r="A9" s="1110"/>
      <c r="B9" s="11" t="s">
        <v>27</v>
      </c>
      <c r="C9" s="12">
        <v>4.7430000000000003</v>
      </c>
      <c r="D9" s="12">
        <v>4.7430000000000003</v>
      </c>
      <c r="E9" s="12">
        <v>4.7430000000000003</v>
      </c>
      <c r="F9" s="12">
        <v>4.7430000000000003</v>
      </c>
      <c r="G9" s="13" t="s">
        <v>28</v>
      </c>
      <c r="H9" s="1107"/>
      <c r="I9" s="1110"/>
      <c r="J9" s="11" t="s">
        <v>27</v>
      </c>
      <c r="K9" s="12">
        <v>4.7430000000000003</v>
      </c>
      <c r="L9" s="12">
        <v>4.7430000000000003</v>
      </c>
      <c r="M9" s="12">
        <v>4.7430000000000003</v>
      </c>
      <c r="N9" s="12">
        <v>4.7430000000000003</v>
      </c>
      <c r="O9" s="13" t="s">
        <v>20</v>
      </c>
      <c r="P9" s="14"/>
      <c r="Q9" s="15">
        <v>10</v>
      </c>
      <c r="R9" s="15">
        <v>2</v>
      </c>
      <c r="S9" s="15"/>
      <c r="T9" s="15"/>
      <c r="U9" s="15">
        <f t="shared" si="0"/>
        <v>12</v>
      </c>
    </row>
    <row r="10" spans="1:21" x14ac:dyDescent="0.35">
      <c r="A10" s="1110"/>
      <c r="B10" s="11" t="s">
        <v>29</v>
      </c>
      <c r="C10" s="12">
        <v>1.954</v>
      </c>
      <c r="D10" s="12">
        <v>1.954</v>
      </c>
      <c r="E10" s="12">
        <v>1.954</v>
      </c>
      <c r="F10" s="12">
        <v>1.954</v>
      </c>
      <c r="G10" s="13" t="s">
        <v>28</v>
      </c>
      <c r="H10" s="1107"/>
      <c r="I10" s="1110"/>
      <c r="J10" s="11" t="s">
        <v>29</v>
      </c>
      <c r="K10" s="12">
        <v>1.954</v>
      </c>
      <c r="L10" s="12">
        <v>1.954</v>
      </c>
      <c r="M10" s="16">
        <v>1.954</v>
      </c>
      <c r="N10" s="16">
        <v>1.954</v>
      </c>
      <c r="O10" s="13" t="s">
        <v>30</v>
      </c>
      <c r="P10" s="14"/>
      <c r="Q10" s="15">
        <v>4</v>
      </c>
      <c r="R10" s="15"/>
      <c r="S10" s="15"/>
      <c r="T10" s="15">
        <v>1</v>
      </c>
      <c r="U10" s="15">
        <f t="shared" si="0"/>
        <v>5</v>
      </c>
    </row>
    <row r="11" spans="1:21" x14ac:dyDescent="0.35">
      <c r="A11" s="1110"/>
      <c r="B11" s="11" t="s">
        <v>31</v>
      </c>
      <c r="C11" s="12">
        <v>0.22600000000000001</v>
      </c>
      <c r="D11" s="12">
        <v>0.22600000000000001</v>
      </c>
      <c r="E11" s="12">
        <v>0.22600000000000001</v>
      </c>
      <c r="F11" s="12">
        <v>0.22600000000000001</v>
      </c>
      <c r="G11" s="13" t="s">
        <v>28</v>
      </c>
      <c r="H11" s="1107"/>
      <c r="I11" s="1110"/>
      <c r="J11" s="11" t="s">
        <v>31</v>
      </c>
      <c r="K11" s="12">
        <v>0.22600000000000001</v>
      </c>
      <c r="L11" s="8">
        <v>0.22600000000000001</v>
      </c>
      <c r="M11" s="16">
        <v>0.22600000000000001</v>
      </c>
      <c r="N11" s="16">
        <v>0.22600000000000001</v>
      </c>
      <c r="O11" s="450" t="s">
        <v>901</v>
      </c>
      <c r="P11" s="14"/>
      <c r="Q11" s="15"/>
      <c r="R11" s="15"/>
      <c r="S11" s="15"/>
      <c r="T11" s="15">
        <v>1</v>
      </c>
      <c r="U11" s="15">
        <f t="shared" si="0"/>
        <v>1</v>
      </c>
    </row>
    <row r="12" spans="1:21" x14ac:dyDescent="0.35">
      <c r="A12" s="1110"/>
      <c r="B12" s="11" t="s">
        <v>32</v>
      </c>
      <c r="C12" s="12">
        <v>2.5649999999999999</v>
      </c>
      <c r="D12" s="12">
        <v>2.5649999999999999</v>
      </c>
      <c r="E12" s="12">
        <v>2.5649999999999999</v>
      </c>
      <c r="F12" s="12">
        <v>2.5649999999999999</v>
      </c>
      <c r="G12" s="13" t="s">
        <v>28</v>
      </c>
      <c r="H12" s="1107"/>
      <c r="I12" s="1110"/>
      <c r="J12" s="11" t="s">
        <v>32</v>
      </c>
      <c r="K12" s="12">
        <v>2.5649999999999999</v>
      </c>
      <c r="L12" s="12">
        <v>2.5649999999999999</v>
      </c>
      <c r="M12" s="16">
        <v>2.5649999999999999</v>
      </c>
      <c r="N12" s="16">
        <v>2.5649999999999999</v>
      </c>
      <c r="O12" s="13" t="s">
        <v>30</v>
      </c>
      <c r="P12" s="14"/>
      <c r="Q12" s="15">
        <v>6</v>
      </c>
      <c r="R12" s="15"/>
      <c r="S12" s="15">
        <v>1</v>
      </c>
      <c r="T12" s="15"/>
      <c r="U12" s="15">
        <f t="shared" si="0"/>
        <v>7</v>
      </c>
    </row>
    <row r="13" spans="1:21" x14ac:dyDescent="0.35">
      <c r="A13" s="1110"/>
      <c r="B13" s="11" t="s">
        <v>33</v>
      </c>
      <c r="C13" s="12">
        <v>4.3040000000000003</v>
      </c>
      <c r="D13" s="12">
        <v>4.3040000000000003</v>
      </c>
      <c r="E13" s="12">
        <v>4.3040000000000003</v>
      </c>
      <c r="F13" s="12">
        <v>4.3040000000000003</v>
      </c>
      <c r="G13" s="13" t="s">
        <v>28</v>
      </c>
      <c r="H13" s="1107"/>
      <c r="I13" s="1110"/>
      <c r="J13" s="11" t="s">
        <v>33</v>
      </c>
      <c r="K13" s="12">
        <v>4.3040000000000003</v>
      </c>
      <c r="L13" s="12">
        <v>4.3040000000000003</v>
      </c>
      <c r="M13" s="16">
        <v>4.3040000000000003</v>
      </c>
      <c r="N13" s="16">
        <v>4.3040000000000003</v>
      </c>
      <c r="O13" s="13" t="s">
        <v>34</v>
      </c>
      <c r="P13" s="14"/>
      <c r="Q13" s="15">
        <v>10</v>
      </c>
      <c r="R13" s="15"/>
      <c r="S13" s="15"/>
      <c r="T13" s="15">
        <v>1</v>
      </c>
      <c r="U13" s="15">
        <f t="shared" si="0"/>
        <v>11</v>
      </c>
    </row>
    <row r="14" spans="1:21" x14ac:dyDescent="0.35">
      <c r="A14" s="1110"/>
      <c r="B14" s="11" t="s">
        <v>35</v>
      </c>
      <c r="C14" s="12">
        <v>3.794</v>
      </c>
      <c r="D14" s="12">
        <v>3.794</v>
      </c>
      <c r="E14" s="12">
        <v>3.794</v>
      </c>
      <c r="F14" s="12">
        <v>3.794</v>
      </c>
      <c r="G14" s="13" t="s">
        <v>28</v>
      </c>
      <c r="H14" s="1107"/>
      <c r="I14" s="1110"/>
      <c r="J14" s="11" t="s">
        <v>35</v>
      </c>
      <c r="K14" s="12">
        <v>3.794</v>
      </c>
      <c r="L14" s="12">
        <v>3.794</v>
      </c>
      <c r="M14" s="8">
        <v>3.794</v>
      </c>
      <c r="N14" s="8">
        <v>3.794</v>
      </c>
      <c r="O14" s="434" t="s">
        <v>899</v>
      </c>
      <c r="P14" s="14"/>
      <c r="Q14" s="15">
        <v>5</v>
      </c>
      <c r="R14" s="15">
        <v>1</v>
      </c>
      <c r="S14" s="15">
        <v>1</v>
      </c>
      <c r="T14" s="15">
        <v>4</v>
      </c>
      <c r="U14" s="15">
        <f t="shared" si="0"/>
        <v>11</v>
      </c>
    </row>
    <row r="15" spans="1:21" x14ac:dyDescent="0.35">
      <c r="A15" s="1110"/>
      <c r="B15" s="11" t="s">
        <v>36</v>
      </c>
      <c r="C15" s="12">
        <v>0.36</v>
      </c>
      <c r="D15" s="12">
        <v>0.36</v>
      </c>
      <c r="E15" s="12">
        <v>0.36</v>
      </c>
      <c r="F15" s="12">
        <v>0.36</v>
      </c>
      <c r="G15" s="22" t="s">
        <v>924</v>
      </c>
      <c r="H15" s="1107"/>
      <c r="I15" s="1110"/>
      <c r="J15" s="11" t="s">
        <v>36</v>
      </c>
      <c r="K15" s="12">
        <v>0.36</v>
      </c>
      <c r="L15" s="12">
        <v>0.36</v>
      </c>
      <c r="M15" s="12">
        <v>0.36</v>
      </c>
      <c r="N15" s="12">
        <v>0.36</v>
      </c>
      <c r="O15" s="22" t="s">
        <v>924</v>
      </c>
      <c r="P15" s="14"/>
      <c r="Q15" s="15"/>
      <c r="R15" s="15"/>
      <c r="S15" s="15"/>
      <c r="T15" s="15">
        <v>1</v>
      </c>
      <c r="U15" s="15">
        <f t="shared" si="0"/>
        <v>1</v>
      </c>
    </row>
    <row r="16" spans="1:21" x14ac:dyDescent="0.35">
      <c r="A16" s="1110"/>
      <c r="B16" s="11" t="s">
        <v>37</v>
      </c>
      <c r="C16" s="12">
        <v>1.54</v>
      </c>
      <c r="D16" s="12">
        <v>1.54</v>
      </c>
      <c r="E16" s="12">
        <v>1.54</v>
      </c>
      <c r="F16" s="12">
        <v>1.54</v>
      </c>
      <c r="G16" s="22" t="s">
        <v>924</v>
      </c>
      <c r="H16" s="1107"/>
      <c r="I16" s="1110"/>
      <c r="J16" s="11" t="s">
        <v>37</v>
      </c>
      <c r="K16" s="12">
        <v>1.54</v>
      </c>
      <c r="L16" s="12">
        <v>1.54</v>
      </c>
      <c r="M16" s="12">
        <v>1.54</v>
      </c>
      <c r="N16" s="12">
        <v>1.54</v>
      </c>
      <c r="O16" s="22" t="s">
        <v>924</v>
      </c>
      <c r="P16" s="14"/>
      <c r="Q16" s="15">
        <v>3</v>
      </c>
      <c r="R16" s="15"/>
      <c r="S16" s="15"/>
      <c r="T16" s="15">
        <v>2</v>
      </c>
      <c r="U16" s="15">
        <f t="shared" si="0"/>
        <v>5</v>
      </c>
    </row>
    <row r="17" spans="1:21" x14ac:dyDescent="0.35">
      <c r="A17" s="1110"/>
      <c r="B17" s="11" t="s">
        <v>38</v>
      </c>
      <c r="C17" s="12">
        <v>0.249</v>
      </c>
      <c r="D17" s="12">
        <v>0.249</v>
      </c>
      <c r="E17" s="12">
        <v>0.249</v>
      </c>
      <c r="F17" s="12">
        <v>0.249</v>
      </c>
      <c r="G17" s="22" t="s">
        <v>924</v>
      </c>
      <c r="H17" s="1107"/>
      <c r="I17" s="1110"/>
      <c r="J17" s="11" t="s">
        <v>38</v>
      </c>
      <c r="K17" s="12">
        <v>0.249</v>
      </c>
      <c r="L17" s="12">
        <v>0.249</v>
      </c>
      <c r="M17" s="12">
        <v>0.249</v>
      </c>
      <c r="N17" s="12">
        <v>0.249</v>
      </c>
      <c r="O17" s="22" t="s">
        <v>924</v>
      </c>
      <c r="P17" s="14"/>
      <c r="Q17" s="15"/>
      <c r="R17" s="15"/>
      <c r="S17" s="15"/>
      <c r="T17" s="15">
        <v>1</v>
      </c>
      <c r="U17" s="15">
        <f t="shared" si="0"/>
        <v>1</v>
      </c>
    </row>
    <row r="18" spans="1:21" x14ac:dyDescent="0.35">
      <c r="A18" s="1110"/>
      <c r="B18" s="11" t="s">
        <v>39</v>
      </c>
      <c r="C18" s="12">
        <v>0.74</v>
      </c>
      <c r="D18" s="12">
        <v>0.74</v>
      </c>
      <c r="E18" s="12">
        <v>0.74</v>
      </c>
      <c r="F18" s="12">
        <v>0.74</v>
      </c>
      <c r="G18" s="22" t="s">
        <v>924</v>
      </c>
      <c r="H18" s="1107"/>
      <c r="I18" s="1110"/>
      <c r="J18" s="11" t="s">
        <v>39</v>
      </c>
      <c r="K18" s="12">
        <v>0.74</v>
      </c>
      <c r="L18" s="12">
        <v>0.74</v>
      </c>
      <c r="M18" s="12">
        <v>0.74</v>
      </c>
      <c r="N18" s="12">
        <v>0.74</v>
      </c>
      <c r="O18" s="22" t="s">
        <v>924</v>
      </c>
      <c r="P18" s="14"/>
      <c r="Q18" s="15">
        <v>1</v>
      </c>
      <c r="R18" s="15">
        <v>1</v>
      </c>
      <c r="S18" s="15"/>
      <c r="T18" s="15"/>
      <c r="U18" s="15">
        <f t="shared" si="0"/>
        <v>2</v>
      </c>
    </row>
    <row r="19" spans="1:21" x14ac:dyDescent="0.35">
      <c r="A19" s="1110"/>
      <c r="B19" s="11" t="s">
        <v>40</v>
      </c>
      <c r="C19" s="12">
        <v>3.3969999999999998</v>
      </c>
      <c r="D19" s="12">
        <v>3.3969999999999998</v>
      </c>
      <c r="E19" s="12">
        <v>3.3969999999999998</v>
      </c>
      <c r="F19" s="12">
        <v>3.3969999999999998</v>
      </c>
      <c r="G19" s="13" t="s">
        <v>41</v>
      </c>
      <c r="H19" s="1107"/>
      <c r="I19" s="1110"/>
      <c r="J19" s="11" t="s">
        <v>40</v>
      </c>
      <c r="K19" s="12">
        <v>3.3969999999999998</v>
      </c>
      <c r="L19" s="16">
        <v>3.3969999999999998</v>
      </c>
      <c r="M19" s="8">
        <v>3.3969999999999998</v>
      </c>
      <c r="N19" s="8">
        <v>3.3969999999999998</v>
      </c>
      <c r="O19" s="20" t="s">
        <v>42</v>
      </c>
      <c r="P19" s="14"/>
      <c r="Q19" s="15">
        <v>7</v>
      </c>
      <c r="R19" s="15"/>
      <c r="S19" s="15">
        <v>1</v>
      </c>
      <c r="T19" s="15">
        <v>1</v>
      </c>
      <c r="U19" s="15">
        <f t="shared" si="0"/>
        <v>9</v>
      </c>
    </row>
    <row r="20" spans="1:21" x14ac:dyDescent="0.35">
      <c r="A20" s="1110"/>
      <c r="B20" s="11" t="s">
        <v>43</v>
      </c>
      <c r="C20" s="12">
        <v>0.42199999999999999</v>
      </c>
      <c r="D20" s="12">
        <v>0.42199999999999999</v>
      </c>
      <c r="E20" s="12">
        <v>0.42199999999999999</v>
      </c>
      <c r="F20" s="12">
        <v>0.42199999999999999</v>
      </c>
      <c r="G20" s="13" t="s">
        <v>44</v>
      </c>
      <c r="H20" s="1107"/>
      <c r="I20" s="1110"/>
      <c r="J20" s="11" t="s">
        <v>43</v>
      </c>
      <c r="K20" s="12">
        <v>0.42199999999999999</v>
      </c>
      <c r="L20" s="8">
        <v>0.42199999999999999</v>
      </c>
      <c r="M20" s="8">
        <v>0.42199999999999999</v>
      </c>
      <c r="N20" s="8">
        <v>0.42199999999999999</v>
      </c>
      <c r="O20" s="8" t="s">
        <v>902</v>
      </c>
      <c r="P20" s="14"/>
      <c r="Q20" s="15"/>
      <c r="R20" s="15">
        <v>1</v>
      </c>
      <c r="S20" s="15"/>
      <c r="T20" s="15"/>
      <c r="U20" s="15">
        <f t="shared" si="0"/>
        <v>1</v>
      </c>
    </row>
    <row r="21" spans="1:21" x14ac:dyDescent="0.35">
      <c r="A21" s="1110"/>
      <c r="B21" s="11" t="s">
        <v>45</v>
      </c>
      <c r="C21" s="12">
        <v>0.80400000000000005</v>
      </c>
      <c r="D21" s="12">
        <v>0.80400000000000005</v>
      </c>
      <c r="E21" s="12">
        <v>0.80400000000000005</v>
      </c>
      <c r="F21" s="12">
        <v>0.80400000000000005</v>
      </c>
      <c r="G21" s="22" t="s">
        <v>46</v>
      </c>
      <c r="H21" s="1107"/>
      <c r="I21" s="1110"/>
      <c r="J21" s="11" t="s">
        <v>45</v>
      </c>
      <c r="K21" s="12">
        <v>0.80400000000000005</v>
      </c>
      <c r="L21" s="12">
        <v>0.80400000000000005</v>
      </c>
      <c r="M21" s="12">
        <v>0.80400000000000005</v>
      </c>
      <c r="N21" s="12">
        <v>0.80400000000000005</v>
      </c>
      <c r="O21" s="8" t="s">
        <v>902</v>
      </c>
      <c r="P21" s="14"/>
      <c r="Q21" s="15"/>
      <c r="R21" s="15">
        <v>1</v>
      </c>
      <c r="S21" s="15"/>
      <c r="T21" s="15">
        <v>1</v>
      </c>
      <c r="U21" s="15"/>
    </row>
    <row r="22" spans="1:21" x14ac:dyDescent="0.35">
      <c r="A22" s="1110"/>
      <c r="B22" s="11" t="s">
        <v>47</v>
      </c>
      <c r="C22" s="12">
        <v>1.3440000000000001</v>
      </c>
      <c r="D22" s="12">
        <v>1.3440000000000001</v>
      </c>
      <c r="E22" s="12">
        <v>1.3440000000000001</v>
      </c>
      <c r="F22" s="12">
        <v>1.3440000000000001</v>
      </c>
      <c r="G22" s="22" t="s">
        <v>46</v>
      </c>
      <c r="H22" s="1107"/>
      <c r="I22" s="1110"/>
      <c r="J22" s="11" t="s">
        <v>47</v>
      </c>
      <c r="K22" s="12">
        <v>1.3440000000000001</v>
      </c>
      <c r="L22" s="12">
        <v>1.3440000000000001</v>
      </c>
      <c r="M22" s="12">
        <v>1.3440000000000001</v>
      </c>
      <c r="N22" s="12">
        <v>1.3440000000000001</v>
      </c>
      <c r="O22" s="8" t="s">
        <v>46</v>
      </c>
      <c r="P22" s="14"/>
      <c r="Q22" s="15">
        <v>3</v>
      </c>
      <c r="R22" s="15">
        <v>1</v>
      </c>
      <c r="S22" s="15"/>
      <c r="T22" s="15"/>
      <c r="U22" s="15">
        <f t="shared" si="0"/>
        <v>4</v>
      </c>
    </row>
    <row r="23" spans="1:21" x14ac:dyDescent="0.35">
      <c r="A23" s="1110"/>
      <c r="B23" s="11" t="s">
        <v>48</v>
      </c>
      <c r="C23" s="12">
        <v>1.62</v>
      </c>
      <c r="D23" s="12">
        <v>1.62</v>
      </c>
      <c r="E23" s="12">
        <v>1.62</v>
      </c>
      <c r="F23" s="12">
        <v>1.62</v>
      </c>
      <c r="G23" s="13" t="s">
        <v>49</v>
      </c>
      <c r="H23" s="1107"/>
      <c r="I23" s="1110"/>
      <c r="J23" s="11" t="s">
        <v>48</v>
      </c>
      <c r="K23" s="12">
        <v>1.62</v>
      </c>
      <c r="L23" s="8">
        <v>1.62</v>
      </c>
      <c r="M23" s="8">
        <v>1.62</v>
      </c>
      <c r="N23" s="8">
        <v>1.62</v>
      </c>
      <c r="O23" s="8" t="s">
        <v>42</v>
      </c>
      <c r="P23" s="14"/>
      <c r="Q23" s="15">
        <v>2</v>
      </c>
      <c r="R23" s="15"/>
      <c r="S23" s="15"/>
      <c r="T23" s="15">
        <v>2</v>
      </c>
      <c r="U23" s="15">
        <f t="shared" si="0"/>
        <v>4</v>
      </c>
    </row>
    <row r="24" spans="1:21" x14ac:dyDescent="0.35">
      <c r="A24" s="1110"/>
      <c r="B24" s="11" t="s">
        <v>50</v>
      </c>
      <c r="C24" s="12">
        <v>0.373</v>
      </c>
      <c r="D24" s="12">
        <v>0.373</v>
      </c>
      <c r="E24" s="12">
        <v>0.373</v>
      </c>
      <c r="F24" s="12">
        <v>0.373</v>
      </c>
      <c r="G24" s="13" t="s">
        <v>49</v>
      </c>
      <c r="H24" s="1107"/>
      <c r="I24" s="1110"/>
      <c r="J24" s="11" t="s">
        <v>50</v>
      </c>
      <c r="K24" s="12">
        <v>0.373</v>
      </c>
      <c r="L24" s="8">
        <v>0.373</v>
      </c>
      <c r="M24" s="8">
        <v>0.373</v>
      </c>
      <c r="N24" s="8">
        <v>0.373</v>
      </c>
      <c r="O24" s="8" t="s">
        <v>900</v>
      </c>
      <c r="P24" s="14"/>
      <c r="Q24" s="15"/>
      <c r="R24" s="15">
        <v>1</v>
      </c>
      <c r="S24" s="15"/>
      <c r="T24" s="15"/>
      <c r="U24" s="15">
        <f t="shared" si="0"/>
        <v>1</v>
      </c>
    </row>
    <row r="25" spans="1:21" x14ac:dyDescent="0.35">
      <c r="A25" s="1110"/>
      <c r="B25" s="11" t="s">
        <v>51</v>
      </c>
      <c r="C25" s="12">
        <v>0.55200000000000005</v>
      </c>
      <c r="D25" s="12">
        <v>0.55200000000000005</v>
      </c>
      <c r="E25" s="12">
        <v>0.55200000000000005</v>
      </c>
      <c r="F25" s="12">
        <v>0.55200000000000005</v>
      </c>
      <c r="G25" s="13" t="s">
        <v>49</v>
      </c>
      <c r="H25" s="1107"/>
      <c r="I25" s="1110"/>
      <c r="J25" s="11" t="s">
        <v>51</v>
      </c>
      <c r="K25" s="12">
        <v>0.55200000000000005</v>
      </c>
      <c r="L25" s="8">
        <v>0.55200000000000005</v>
      </c>
      <c r="M25" s="8">
        <v>0.55200000000000005</v>
      </c>
      <c r="N25" s="8">
        <v>0.55200000000000005</v>
      </c>
      <c r="O25" s="8" t="s">
        <v>900</v>
      </c>
      <c r="P25" s="14"/>
      <c r="Q25" s="15"/>
      <c r="R25" s="15"/>
      <c r="S25" s="15">
        <v>1</v>
      </c>
      <c r="T25" s="15"/>
      <c r="U25" s="15">
        <f t="shared" si="0"/>
        <v>1</v>
      </c>
    </row>
    <row r="26" spans="1:21" x14ac:dyDescent="0.35">
      <c r="A26" s="1110"/>
      <c r="B26" s="11" t="s">
        <v>52</v>
      </c>
      <c r="C26" s="12">
        <v>0.39700000000000002</v>
      </c>
      <c r="D26" s="12">
        <v>0.39700000000000002</v>
      </c>
      <c r="E26" s="12">
        <v>0.39700000000000002</v>
      </c>
      <c r="F26" s="12">
        <v>0.39700000000000002</v>
      </c>
      <c r="G26" s="22" t="s">
        <v>46</v>
      </c>
      <c r="H26" s="1107"/>
      <c r="I26" s="1110"/>
      <c r="J26" s="11" t="s">
        <v>52</v>
      </c>
      <c r="K26" s="12">
        <v>0.39700000000000002</v>
      </c>
      <c r="L26" s="8">
        <v>0.39700000000000002</v>
      </c>
      <c r="M26" s="8">
        <v>0.39700000000000002</v>
      </c>
      <c r="N26" s="8">
        <v>0.39700000000000002</v>
      </c>
      <c r="O26" s="8" t="s">
        <v>900</v>
      </c>
      <c r="P26" s="14"/>
      <c r="Q26" s="15"/>
      <c r="R26" s="15"/>
      <c r="S26" s="15"/>
      <c r="T26" s="15">
        <v>1</v>
      </c>
      <c r="U26" s="15">
        <f t="shared" si="0"/>
        <v>1</v>
      </c>
    </row>
    <row r="27" spans="1:21" ht="17.25" customHeight="1" x14ac:dyDescent="0.35">
      <c r="A27" s="1110"/>
      <c r="B27" s="11" t="s">
        <v>53</v>
      </c>
      <c r="C27" s="12">
        <v>1.599</v>
      </c>
      <c r="D27" s="12">
        <v>1.599</v>
      </c>
      <c r="E27" s="12">
        <v>1.599</v>
      </c>
      <c r="F27" s="12">
        <v>1.599</v>
      </c>
      <c r="G27" s="22" t="s">
        <v>46</v>
      </c>
      <c r="H27" s="1107"/>
      <c r="I27" s="1110"/>
      <c r="J27" s="11" t="s">
        <v>53</v>
      </c>
      <c r="K27" s="12">
        <v>1.599</v>
      </c>
      <c r="L27" s="8">
        <v>1.599</v>
      </c>
      <c r="M27" s="8">
        <v>1.599</v>
      </c>
      <c r="N27" s="8">
        <v>1.599</v>
      </c>
      <c r="O27" s="8" t="s">
        <v>46</v>
      </c>
      <c r="P27" s="14"/>
      <c r="Q27" s="15">
        <v>3</v>
      </c>
      <c r="R27" s="15"/>
      <c r="S27" s="15">
        <v>1</v>
      </c>
      <c r="T27" s="15"/>
      <c r="U27" s="15">
        <f t="shared" si="0"/>
        <v>4</v>
      </c>
    </row>
    <row r="28" spans="1:21" ht="17.25" customHeight="1" x14ac:dyDescent="0.35">
      <c r="A28" s="1110"/>
      <c r="B28" s="11" t="s">
        <v>54</v>
      </c>
      <c r="C28" s="12">
        <v>2.4119999999999999</v>
      </c>
      <c r="D28" s="12">
        <v>2.4119999999999999</v>
      </c>
      <c r="E28" s="12">
        <v>2.4119999999999999</v>
      </c>
      <c r="F28" s="12">
        <v>2.4119999999999999</v>
      </c>
      <c r="G28" s="22" t="s">
        <v>46</v>
      </c>
      <c r="H28" s="1107"/>
      <c r="I28" s="1110"/>
      <c r="J28" s="11" t="s">
        <v>54</v>
      </c>
      <c r="K28" s="12">
        <v>2.4119999999999999</v>
      </c>
      <c r="L28" s="12">
        <v>2.4119999999999999</v>
      </c>
      <c r="M28" s="12">
        <v>2.4119999999999999</v>
      </c>
      <c r="N28" s="12">
        <v>2.4119999999999999</v>
      </c>
      <c r="O28" s="8" t="s">
        <v>46</v>
      </c>
      <c r="P28" s="14"/>
      <c r="Q28" s="15"/>
      <c r="R28" s="15"/>
      <c r="S28" s="15">
        <v>1</v>
      </c>
      <c r="T28" s="15">
        <v>1</v>
      </c>
      <c r="U28" s="15"/>
    </row>
    <row r="29" spans="1:21" x14ac:dyDescent="0.35">
      <c r="A29" s="1110"/>
      <c r="B29" s="11" t="s">
        <v>55</v>
      </c>
      <c r="C29" s="12">
        <v>0.56699999999999995</v>
      </c>
      <c r="D29" s="12">
        <v>0.56699999999999995</v>
      </c>
      <c r="E29" s="12">
        <v>0.56699999999999995</v>
      </c>
      <c r="F29" s="12">
        <v>0.56699999999999995</v>
      </c>
      <c r="G29" s="22" t="s">
        <v>46</v>
      </c>
      <c r="H29" s="1107"/>
      <c r="I29" s="1110"/>
      <c r="J29" s="11" t="s">
        <v>55</v>
      </c>
      <c r="K29" s="12">
        <v>0.56699999999999995</v>
      </c>
      <c r="L29" s="12">
        <v>0.56699999999999995</v>
      </c>
      <c r="M29" s="12">
        <v>0.56699999999999995</v>
      </c>
      <c r="N29" s="12">
        <v>0.56699999999999995</v>
      </c>
      <c r="O29" s="8" t="s">
        <v>900</v>
      </c>
      <c r="P29" s="14"/>
      <c r="Q29" s="15">
        <v>5</v>
      </c>
      <c r="R29" s="15"/>
      <c r="S29" s="15">
        <v>1</v>
      </c>
      <c r="T29" s="15"/>
      <c r="U29" s="15">
        <f t="shared" si="0"/>
        <v>6</v>
      </c>
    </row>
    <row r="30" spans="1:21" x14ac:dyDescent="0.35">
      <c r="A30" s="1110"/>
      <c r="B30" s="11" t="s">
        <v>56</v>
      </c>
      <c r="C30" s="12">
        <v>2.6320000000000001</v>
      </c>
      <c r="D30" s="12">
        <v>2.6320000000000001</v>
      </c>
      <c r="E30" s="12">
        <v>2.6320000000000001</v>
      </c>
      <c r="F30" s="12">
        <v>2.6320000000000001</v>
      </c>
      <c r="G30" s="22" t="s">
        <v>49</v>
      </c>
      <c r="H30" s="1107"/>
      <c r="I30" s="1110"/>
      <c r="J30" s="11" t="s">
        <v>56</v>
      </c>
      <c r="K30" s="12">
        <v>2.6320000000000001</v>
      </c>
      <c r="L30" s="12">
        <v>2.6320000000000001</v>
      </c>
      <c r="M30" s="12">
        <v>2.6320000000000001</v>
      </c>
      <c r="N30" s="12">
        <v>2.6320000000000001</v>
      </c>
      <c r="O30" s="8" t="s">
        <v>900</v>
      </c>
      <c r="P30" s="14"/>
      <c r="Q30" s="15"/>
      <c r="R30" s="15">
        <v>4</v>
      </c>
      <c r="S30" s="15">
        <v>1</v>
      </c>
      <c r="T30" s="15"/>
      <c r="U30" s="15"/>
    </row>
    <row r="31" spans="1:21" x14ac:dyDescent="0.35">
      <c r="A31" s="1110"/>
      <c r="B31" s="11" t="s">
        <v>57</v>
      </c>
      <c r="C31" s="12">
        <v>0.83799999999999997</v>
      </c>
      <c r="D31" s="12">
        <v>0.83799999999999997</v>
      </c>
      <c r="E31" s="12">
        <v>0.83799999999999997</v>
      </c>
      <c r="F31" s="12">
        <v>0.83799999999999997</v>
      </c>
      <c r="G31" s="22" t="s">
        <v>49</v>
      </c>
      <c r="H31" s="1107"/>
      <c r="I31" s="1110"/>
      <c r="J31" s="11" t="s">
        <v>57</v>
      </c>
      <c r="K31" s="12">
        <v>0.83799999999999997</v>
      </c>
      <c r="L31" s="12">
        <v>0.83799999999999997</v>
      </c>
      <c r="M31" s="12">
        <v>0.83799999999999997</v>
      </c>
      <c r="N31" s="12">
        <v>0.83799999999999997</v>
      </c>
      <c r="O31" s="8" t="s">
        <v>46</v>
      </c>
      <c r="P31" s="14"/>
      <c r="Q31" s="15"/>
      <c r="R31" s="15"/>
      <c r="S31" s="15"/>
      <c r="T31" s="15">
        <v>1</v>
      </c>
      <c r="U31" s="15"/>
    </row>
    <row r="32" spans="1:21" x14ac:dyDescent="0.35">
      <c r="A32" s="1110"/>
      <c r="B32" s="11" t="s">
        <v>58</v>
      </c>
      <c r="C32" s="12">
        <v>1.474</v>
      </c>
      <c r="D32" s="12">
        <v>1.474</v>
      </c>
      <c r="E32" s="12">
        <v>1.474</v>
      </c>
      <c r="F32" s="12">
        <v>1.474</v>
      </c>
      <c r="G32" s="22" t="s">
        <v>49</v>
      </c>
      <c r="H32" s="1107"/>
      <c r="I32" s="1110"/>
      <c r="J32" s="11" t="s">
        <v>58</v>
      </c>
      <c r="K32" s="12">
        <v>1.474</v>
      </c>
      <c r="L32" s="12">
        <v>1.474</v>
      </c>
      <c r="M32" s="12">
        <v>1.474</v>
      </c>
      <c r="N32" s="12">
        <v>1.474</v>
      </c>
      <c r="O32" s="8" t="s">
        <v>900</v>
      </c>
      <c r="P32" s="14"/>
      <c r="Q32" s="15">
        <v>4</v>
      </c>
      <c r="R32" s="15"/>
      <c r="S32" s="15">
        <v>1</v>
      </c>
      <c r="T32" s="15">
        <v>3</v>
      </c>
      <c r="U32" s="15">
        <f t="shared" si="0"/>
        <v>8</v>
      </c>
    </row>
    <row r="33" spans="1:21" x14ac:dyDescent="0.35">
      <c r="A33" s="1110"/>
      <c r="B33" s="11" t="s">
        <v>59</v>
      </c>
      <c r="C33" s="12">
        <v>1.6020000000000001</v>
      </c>
      <c r="D33" s="12">
        <v>1.6020000000000001</v>
      </c>
      <c r="E33" s="12">
        <v>1.6020000000000001</v>
      </c>
      <c r="F33" s="12">
        <v>1.6020000000000001</v>
      </c>
      <c r="G33" s="22" t="s">
        <v>49</v>
      </c>
      <c r="H33" s="1107"/>
      <c r="I33" s="1110"/>
      <c r="J33" s="11" t="s">
        <v>59</v>
      </c>
      <c r="K33" s="12">
        <v>1.6020000000000001</v>
      </c>
      <c r="L33" s="8">
        <v>1.6020000000000001</v>
      </c>
      <c r="M33" s="8">
        <v>1.6020000000000001</v>
      </c>
      <c r="N33" s="8">
        <v>1.6020000000000001</v>
      </c>
      <c r="O33" s="8" t="s">
        <v>42</v>
      </c>
      <c r="P33" s="14"/>
      <c r="Q33" s="15">
        <v>2</v>
      </c>
      <c r="R33" s="15">
        <v>1</v>
      </c>
      <c r="S33" s="15"/>
      <c r="T33" s="15">
        <v>1</v>
      </c>
      <c r="U33" s="15">
        <f t="shared" si="0"/>
        <v>4</v>
      </c>
    </row>
    <row r="34" spans="1:21" ht="28.5" customHeight="1" x14ac:dyDescent="0.35">
      <c r="A34" s="1110"/>
      <c r="B34" s="11" t="s">
        <v>60</v>
      </c>
      <c r="C34" s="12">
        <v>1.075</v>
      </c>
      <c r="D34" s="12">
        <v>1.075</v>
      </c>
      <c r="E34" s="12">
        <v>1.075</v>
      </c>
      <c r="F34" s="12">
        <v>1.075</v>
      </c>
      <c r="G34" s="22" t="s">
        <v>61</v>
      </c>
      <c r="H34" s="1107"/>
      <c r="I34" s="1110"/>
      <c r="J34" s="11" t="s">
        <v>60</v>
      </c>
      <c r="K34" s="12">
        <v>1.075</v>
      </c>
      <c r="L34" s="12">
        <v>1.075</v>
      </c>
      <c r="M34" s="12">
        <v>1.075</v>
      </c>
      <c r="N34" s="12">
        <v>1.075</v>
      </c>
      <c r="O34" s="8" t="s">
        <v>900</v>
      </c>
      <c r="P34" s="14"/>
      <c r="Q34" s="15">
        <v>1</v>
      </c>
      <c r="R34" s="15">
        <v>1</v>
      </c>
      <c r="S34" s="15"/>
      <c r="T34" s="15">
        <v>1</v>
      </c>
      <c r="U34" s="15">
        <f t="shared" si="0"/>
        <v>3</v>
      </c>
    </row>
    <row r="35" spans="1:21" ht="16" customHeight="1" x14ac:dyDescent="0.35">
      <c r="A35" s="1110"/>
      <c r="B35" s="11" t="s">
        <v>62</v>
      </c>
      <c r="C35" s="12">
        <v>3.1419999999999999</v>
      </c>
      <c r="D35" s="12">
        <v>3.1419999999999999</v>
      </c>
      <c r="E35" s="12">
        <v>3.1419999999999999</v>
      </c>
      <c r="F35" s="12">
        <v>3.1419999999999999</v>
      </c>
      <c r="G35" s="22" t="s">
        <v>61</v>
      </c>
      <c r="H35" s="1107"/>
      <c r="I35" s="1110"/>
      <c r="J35" s="11" t="s">
        <v>62</v>
      </c>
      <c r="K35" s="12">
        <v>3.1419999999999999</v>
      </c>
      <c r="L35" s="12">
        <v>3.1419999999999999</v>
      </c>
      <c r="M35" s="8">
        <v>3.1419999999999999</v>
      </c>
      <c r="N35" s="8">
        <v>3.1419999999999999</v>
      </c>
      <c r="O35" s="8" t="s">
        <v>42</v>
      </c>
      <c r="P35" s="14"/>
      <c r="Q35" s="15">
        <v>6</v>
      </c>
      <c r="R35" s="15">
        <v>1</v>
      </c>
      <c r="S35" s="15"/>
      <c r="T35" s="15">
        <v>1</v>
      </c>
      <c r="U35" s="15">
        <f t="shared" si="0"/>
        <v>8</v>
      </c>
    </row>
    <row r="36" spans="1:21" ht="16" customHeight="1" x14ac:dyDescent="0.35">
      <c r="A36" s="1110"/>
      <c r="B36" s="11" t="s">
        <v>63</v>
      </c>
      <c r="C36" s="12">
        <v>0.67500000000000004</v>
      </c>
      <c r="D36" s="12">
        <v>0.67500000000000004</v>
      </c>
      <c r="E36" s="12">
        <v>0.67500000000000004</v>
      </c>
      <c r="F36" s="12">
        <v>0.67500000000000004</v>
      </c>
      <c r="G36" s="22" t="s">
        <v>46</v>
      </c>
      <c r="H36" s="1107"/>
      <c r="I36" s="1110"/>
      <c r="J36" s="11" t="s">
        <v>63</v>
      </c>
      <c r="K36" s="12">
        <v>0.67500000000000004</v>
      </c>
      <c r="L36" s="12">
        <v>0.67500000000000004</v>
      </c>
      <c r="M36" s="12">
        <v>0.67500000000000004</v>
      </c>
      <c r="N36" s="12">
        <v>0.67500000000000004</v>
      </c>
      <c r="O36" s="8" t="s">
        <v>46</v>
      </c>
      <c r="P36" s="14"/>
      <c r="Q36" s="15"/>
      <c r="R36" s="15">
        <v>1</v>
      </c>
      <c r="S36" s="15"/>
      <c r="T36" s="15"/>
      <c r="U36" s="15"/>
    </row>
    <row r="37" spans="1:21" ht="16" customHeight="1" x14ac:dyDescent="0.35">
      <c r="A37" s="1110"/>
      <c r="B37" s="11" t="s">
        <v>64</v>
      </c>
      <c r="C37" s="8">
        <v>1.9870000000000001</v>
      </c>
      <c r="D37" s="8">
        <v>1.9870000000000001</v>
      </c>
      <c r="E37" s="8">
        <v>1.9870000000000001</v>
      </c>
      <c r="F37" s="8">
        <v>1.9870000000000001</v>
      </c>
      <c r="G37" s="22" t="s">
        <v>46</v>
      </c>
      <c r="H37" s="1108"/>
      <c r="I37" s="1110"/>
      <c r="J37" s="11" t="s">
        <v>64</v>
      </c>
      <c r="K37" s="8">
        <v>1.9870000000000001</v>
      </c>
      <c r="L37" s="8">
        <v>1.9870000000000001</v>
      </c>
      <c r="M37" s="8">
        <v>1.9870000000000001</v>
      </c>
      <c r="N37" s="8">
        <v>1.9870000000000001</v>
      </c>
      <c r="O37" s="8" t="s">
        <v>900</v>
      </c>
      <c r="P37" s="14"/>
      <c r="Q37" s="15">
        <v>3</v>
      </c>
      <c r="R37" s="15">
        <v>2</v>
      </c>
      <c r="S37" s="15"/>
      <c r="T37" s="15">
        <v>1</v>
      </c>
      <c r="U37" s="15">
        <f t="shared" si="0"/>
        <v>6</v>
      </c>
    </row>
    <row r="38" spans="1:21" ht="56" customHeight="1" x14ac:dyDescent="0.35">
      <c r="A38" s="1110"/>
      <c r="B38" s="11" t="s">
        <v>65</v>
      </c>
      <c r="C38" s="12">
        <v>3.371</v>
      </c>
      <c r="D38" s="12">
        <v>3.371</v>
      </c>
      <c r="E38" s="12">
        <v>3.371</v>
      </c>
      <c r="F38" s="12">
        <v>3.371</v>
      </c>
      <c r="G38" s="22" t="s">
        <v>46</v>
      </c>
      <c r="H38" s="21" t="s">
        <v>66</v>
      </c>
      <c r="I38" s="1110"/>
      <c r="J38" s="11" t="s">
        <v>65</v>
      </c>
      <c r="K38" s="12">
        <v>3.371</v>
      </c>
      <c r="L38" s="8">
        <v>3.371</v>
      </c>
      <c r="M38" s="8">
        <v>3.371</v>
      </c>
      <c r="N38" s="8">
        <v>3.371</v>
      </c>
      <c r="O38" s="8" t="s">
        <v>900</v>
      </c>
      <c r="P38" s="14"/>
      <c r="Q38" s="15">
        <v>5</v>
      </c>
      <c r="R38" s="15">
        <v>2</v>
      </c>
      <c r="S38" s="15">
        <v>2</v>
      </c>
      <c r="T38" s="15"/>
      <c r="U38" s="15">
        <f t="shared" si="0"/>
        <v>9</v>
      </c>
    </row>
    <row r="39" spans="1:21" ht="16" customHeight="1" x14ac:dyDescent="0.35">
      <c r="A39" s="1110"/>
      <c r="B39" s="11" t="s">
        <v>67</v>
      </c>
      <c r="C39" s="12">
        <v>2.3980000000000001</v>
      </c>
      <c r="D39" s="12">
        <v>2.3980000000000001</v>
      </c>
      <c r="E39" s="12">
        <v>2.3980000000000001</v>
      </c>
      <c r="F39" s="12">
        <v>2.3980000000000001</v>
      </c>
      <c r="G39" s="13" t="s">
        <v>68</v>
      </c>
      <c r="H39" s="1106" t="s">
        <v>18</v>
      </c>
      <c r="I39" s="1110"/>
      <c r="J39" s="11" t="s">
        <v>67</v>
      </c>
      <c r="K39" s="12">
        <v>2.3980000000000001</v>
      </c>
      <c r="L39" s="12">
        <v>2.3980000000000001</v>
      </c>
      <c r="M39" s="8">
        <v>2.3980000000000001</v>
      </c>
      <c r="N39" s="8">
        <v>2.3980000000000001</v>
      </c>
      <c r="O39" s="22" t="s">
        <v>30</v>
      </c>
      <c r="P39" s="14"/>
      <c r="Q39" s="15">
        <v>5</v>
      </c>
      <c r="R39" s="15"/>
      <c r="S39" s="15"/>
      <c r="T39" s="15">
        <v>1</v>
      </c>
      <c r="U39" s="15">
        <f t="shared" si="0"/>
        <v>6</v>
      </c>
    </row>
    <row r="40" spans="1:21" x14ac:dyDescent="0.35">
      <c r="A40" s="1110"/>
      <c r="B40" s="11" t="s">
        <v>69</v>
      </c>
      <c r="C40" s="12">
        <v>0.22</v>
      </c>
      <c r="D40" s="12">
        <v>0.22</v>
      </c>
      <c r="E40" s="12">
        <v>0.22</v>
      </c>
      <c r="F40" s="12">
        <v>0.22</v>
      </c>
      <c r="G40" s="13" t="s">
        <v>41</v>
      </c>
      <c r="H40" s="1107"/>
      <c r="I40" s="1110"/>
      <c r="J40" s="11" t="s">
        <v>69</v>
      </c>
      <c r="K40" s="12">
        <v>0.22</v>
      </c>
      <c r="L40" s="12">
        <v>0.22</v>
      </c>
      <c r="M40" s="12">
        <v>0.22</v>
      </c>
      <c r="N40" s="12">
        <v>0.22</v>
      </c>
      <c r="O40" s="22" t="s">
        <v>924</v>
      </c>
      <c r="P40" s="14"/>
      <c r="Q40" s="15"/>
      <c r="R40" s="15"/>
      <c r="S40" s="15"/>
      <c r="T40" s="15">
        <v>1</v>
      </c>
      <c r="U40" s="15">
        <f t="shared" si="0"/>
        <v>1</v>
      </c>
    </row>
    <row r="41" spans="1:21" x14ac:dyDescent="0.35">
      <c r="A41" s="1110"/>
      <c r="B41" s="11" t="s">
        <v>70</v>
      </c>
      <c r="C41" s="12">
        <v>1.5449999999999999</v>
      </c>
      <c r="D41" s="12">
        <v>1.5449999999999999</v>
      </c>
      <c r="E41" s="12">
        <v>1.5449999999999999</v>
      </c>
      <c r="F41" s="12">
        <v>1.5449999999999999</v>
      </c>
      <c r="G41" s="13" t="s">
        <v>41</v>
      </c>
      <c r="H41" s="1107"/>
      <c r="I41" s="1110"/>
      <c r="J41" s="11" t="s">
        <v>70</v>
      </c>
      <c r="K41" s="12">
        <v>1.5449999999999999</v>
      </c>
      <c r="L41" s="12">
        <v>1.5449999999999999</v>
      </c>
      <c r="M41" s="12">
        <v>1.5449999999999999</v>
      </c>
      <c r="N41" s="16">
        <v>1.5449999999999999</v>
      </c>
      <c r="O41" s="22" t="s">
        <v>30</v>
      </c>
      <c r="P41" s="14"/>
      <c r="Q41" s="15">
        <v>3</v>
      </c>
      <c r="R41" s="15">
        <v>1</v>
      </c>
      <c r="S41" s="15"/>
      <c r="T41" s="15"/>
      <c r="U41" s="15">
        <f t="shared" si="0"/>
        <v>4</v>
      </c>
    </row>
    <row r="42" spans="1:21" x14ac:dyDescent="0.35">
      <c r="A42" s="1110"/>
      <c r="B42" s="11" t="s">
        <v>71</v>
      </c>
      <c r="C42" s="12">
        <v>4.9249999999999998</v>
      </c>
      <c r="D42" s="12">
        <v>4.9249999999999998</v>
      </c>
      <c r="E42" s="12">
        <v>4.9249999999999998</v>
      </c>
      <c r="F42" s="12">
        <v>4.9249999999999998</v>
      </c>
      <c r="G42" s="13" t="s">
        <v>41</v>
      </c>
      <c r="H42" s="1107"/>
      <c r="I42" s="1110"/>
      <c r="J42" s="11" t="s">
        <v>71</v>
      </c>
      <c r="K42" s="12">
        <v>4.9249999999999998</v>
      </c>
      <c r="L42" s="12">
        <v>4.9249999999999998</v>
      </c>
      <c r="M42" s="8">
        <v>4.9249999999999998</v>
      </c>
      <c r="N42" s="8">
        <v>4.9249999999999998</v>
      </c>
      <c r="O42" s="22" t="s">
        <v>30</v>
      </c>
      <c r="P42" s="14"/>
      <c r="Q42" s="15">
        <v>12</v>
      </c>
      <c r="R42" s="15">
        <v>1</v>
      </c>
      <c r="S42" s="15"/>
      <c r="T42" s="15"/>
      <c r="U42" s="15">
        <f t="shared" si="0"/>
        <v>13</v>
      </c>
    </row>
    <row r="43" spans="1:21" x14ac:dyDescent="0.35">
      <c r="A43" s="1110"/>
      <c r="B43" s="11" t="s">
        <v>72</v>
      </c>
      <c r="C43" s="12">
        <v>0.22600000000000001</v>
      </c>
      <c r="D43" s="12">
        <v>0.22600000000000001</v>
      </c>
      <c r="E43" s="12">
        <v>0.22600000000000001</v>
      </c>
      <c r="F43" s="12">
        <v>0.22600000000000001</v>
      </c>
      <c r="G43" s="13" t="s">
        <v>41</v>
      </c>
      <c r="H43" s="1107"/>
      <c r="I43" s="1110"/>
      <c r="J43" s="11" t="s">
        <v>72</v>
      </c>
      <c r="K43" s="12">
        <v>0.22600000000000001</v>
      </c>
      <c r="L43" s="12">
        <v>0.22600000000000001</v>
      </c>
      <c r="M43" s="12">
        <v>0.22600000000000001</v>
      </c>
      <c r="N43" s="12">
        <v>0.22600000000000001</v>
      </c>
      <c r="O43" s="22" t="s">
        <v>924</v>
      </c>
      <c r="P43" s="14"/>
      <c r="Q43" s="15"/>
      <c r="R43" s="15">
        <v>1</v>
      </c>
      <c r="S43" s="15"/>
      <c r="T43" s="15"/>
      <c r="U43" s="15">
        <f t="shared" si="0"/>
        <v>1</v>
      </c>
    </row>
    <row r="44" spans="1:21" x14ac:dyDescent="0.35">
      <c r="A44" s="1110"/>
      <c r="B44" s="11" t="s">
        <v>73</v>
      </c>
      <c r="C44" s="12">
        <v>2.0099999999999998</v>
      </c>
      <c r="D44" s="12">
        <v>2.0099999999999998</v>
      </c>
      <c r="E44" s="12">
        <v>2.0099999999999998</v>
      </c>
      <c r="F44" s="12">
        <v>2.0099999999999998</v>
      </c>
      <c r="G44" s="13" t="s">
        <v>41</v>
      </c>
      <c r="H44" s="1107"/>
      <c r="I44" s="1110"/>
      <c r="J44" s="11" t="s">
        <v>73</v>
      </c>
      <c r="K44" s="12">
        <v>2.0099999999999998</v>
      </c>
      <c r="L44" s="12">
        <v>2.0099999999999998</v>
      </c>
      <c r="M44" s="12">
        <v>2.0099999999999998</v>
      </c>
      <c r="N44" s="8">
        <v>2.0099999999999998</v>
      </c>
      <c r="O44" s="8" t="s">
        <v>42</v>
      </c>
      <c r="P44" s="14"/>
      <c r="Q44" s="15">
        <v>5</v>
      </c>
      <c r="R44" s="15"/>
      <c r="S44" s="15">
        <v>1</v>
      </c>
      <c r="T44" s="15"/>
      <c r="U44" s="15">
        <f t="shared" si="0"/>
        <v>6</v>
      </c>
    </row>
    <row r="45" spans="1:21" x14ac:dyDescent="0.35">
      <c r="A45" s="1110"/>
      <c r="B45" s="11" t="s">
        <v>74</v>
      </c>
      <c r="C45" s="12">
        <v>2.3069999999999999</v>
      </c>
      <c r="D45" s="12">
        <v>2.3069999999999999</v>
      </c>
      <c r="E45" s="12">
        <v>2.3069999999999999</v>
      </c>
      <c r="F45" s="12">
        <v>2.3069999999999999</v>
      </c>
      <c r="G45" s="13" t="s">
        <v>68</v>
      </c>
      <c r="H45" s="1107"/>
      <c r="I45" s="1110"/>
      <c r="J45" s="11" t="s">
        <v>74</v>
      </c>
      <c r="K45" s="12">
        <v>2.3069999999999999</v>
      </c>
      <c r="L45" s="8">
        <v>2.3069999999999999</v>
      </c>
      <c r="M45" s="8">
        <v>2.3069999999999999</v>
      </c>
      <c r="N45" s="8">
        <v>2.3069999999999999</v>
      </c>
      <c r="O45" s="8" t="s">
        <v>42</v>
      </c>
      <c r="P45" s="14"/>
      <c r="Q45" s="15">
        <v>5</v>
      </c>
      <c r="R45" s="15"/>
      <c r="S45" s="15">
        <v>1</v>
      </c>
      <c r="T45" s="15"/>
      <c r="U45" s="15">
        <f t="shared" si="0"/>
        <v>6</v>
      </c>
    </row>
    <row r="46" spans="1:21" x14ac:dyDescent="0.35">
      <c r="A46" s="1110"/>
      <c r="B46" s="11" t="s">
        <v>75</v>
      </c>
      <c r="C46" s="12">
        <v>1.494</v>
      </c>
      <c r="D46" s="12">
        <v>1.494</v>
      </c>
      <c r="E46" s="12">
        <v>1.494</v>
      </c>
      <c r="F46" s="12">
        <v>1.494</v>
      </c>
      <c r="G46" s="13" t="s">
        <v>68</v>
      </c>
      <c r="H46" s="1107"/>
      <c r="I46" s="1110"/>
      <c r="J46" s="11" t="s">
        <v>75</v>
      </c>
      <c r="K46" s="12">
        <v>1.494</v>
      </c>
      <c r="L46" s="12">
        <v>1.494</v>
      </c>
      <c r="M46" s="12">
        <v>1.494</v>
      </c>
      <c r="N46" s="12">
        <v>1.494</v>
      </c>
      <c r="O46" s="8" t="s">
        <v>76</v>
      </c>
      <c r="P46" s="14"/>
      <c r="Q46" s="15">
        <v>6</v>
      </c>
      <c r="R46" s="15"/>
      <c r="S46" s="15"/>
      <c r="T46" s="15"/>
      <c r="U46" s="15">
        <f t="shared" si="0"/>
        <v>6</v>
      </c>
    </row>
    <row r="47" spans="1:21" x14ac:dyDescent="0.35">
      <c r="A47" s="1110"/>
      <c r="B47" s="11" t="s">
        <v>77</v>
      </c>
      <c r="C47" s="12">
        <v>1.1719999999999999</v>
      </c>
      <c r="D47" s="12">
        <v>1.1719999999999999</v>
      </c>
      <c r="E47" s="12">
        <v>1.1719999999999999</v>
      </c>
      <c r="F47" s="12">
        <v>1.1719999999999999</v>
      </c>
      <c r="G47" s="13" t="s">
        <v>68</v>
      </c>
      <c r="H47" s="1108"/>
      <c r="I47" s="1110"/>
      <c r="J47" s="11" t="s">
        <v>77</v>
      </c>
      <c r="K47" s="12">
        <v>1.1719999999999999</v>
      </c>
      <c r="L47" s="12">
        <v>1.1719999999999999</v>
      </c>
      <c r="M47" s="12">
        <v>1.1719999999999999</v>
      </c>
      <c r="N47" s="12">
        <v>1.1719999999999999</v>
      </c>
      <c r="O47" s="8" t="s">
        <v>899</v>
      </c>
      <c r="P47" s="14"/>
      <c r="Q47" s="15"/>
      <c r="R47" s="15">
        <v>1</v>
      </c>
      <c r="S47" s="15"/>
      <c r="T47" s="15"/>
      <c r="U47" s="15"/>
    </row>
    <row r="48" spans="1:21" ht="12.5" customHeight="1" x14ac:dyDescent="0.35">
      <c r="A48" s="1110"/>
      <c r="B48" s="11" t="s">
        <v>78</v>
      </c>
      <c r="C48" s="12">
        <v>0.36099999999999999</v>
      </c>
      <c r="D48" s="12">
        <v>0.36099999999999999</v>
      </c>
      <c r="E48" s="12">
        <v>0.36099999999999999</v>
      </c>
      <c r="F48" s="12">
        <v>0.36099999999999999</v>
      </c>
      <c r="G48" s="13" t="s">
        <v>61</v>
      </c>
      <c r="H48" s="1106" t="s">
        <v>79</v>
      </c>
      <c r="I48" s="1110"/>
      <c r="J48" s="11" t="s">
        <v>78</v>
      </c>
      <c r="K48" s="12">
        <v>0.36099999999999999</v>
      </c>
      <c r="L48" s="8">
        <v>0.36099999999999999</v>
      </c>
      <c r="M48" s="8">
        <v>0.36099999999999999</v>
      </c>
      <c r="N48" s="8">
        <v>0.36099999999999999</v>
      </c>
      <c r="O48" s="8" t="s">
        <v>900</v>
      </c>
      <c r="P48" s="14"/>
      <c r="Q48" s="15"/>
      <c r="R48" s="15"/>
      <c r="S48" s="15">
        <v>1</v>
      </c>
      <c r="T48" s="15"/>
      <c r="U48" s="15"/>
    </row>
    <row r="49" spans="1:21" ht="14" customHeight="1" x14ac:dyDescent="0.35">
      <c r="A49" s="1110"/>
      <c r="B49" s="11" t="s">
        <v>80</v>
      </c>
      <c r="C49" s="12">
        <v>1.5820000000000001</v>
      </c>
      <c r="D49" s="12">
        <v>1.5820000000000001</v>
      </c>
      <c r="E49" s="12">
        <v>1.5820000000000001</v>
      </c>
      <c r="F49" s="12">
        <v>1.5820000000000001</v>
      </c>
      <c r="G49" s="22" t="s">
        <v>46</v>
      </c>
      <c r="H49" s="1107"/>
      <c r="I49" s="1110"/>
      <c r="J49" s="11" t="s">
        <v>80</v>
      </c>
      <c r="K49" s="12">
        <v>1.5820000000000001</v>
      </c>
      <c r="L49" s="12">
        <v>1.5820000000000001</v>
      </c>
      <c r="M49" s="12">
        <v>1.5820000000000001</v>
      </c>
      <c r="N49" s="12">
        <v>1.5820000000000001</v>
      </c>
      <c r="O49" s="8" t="s">
        <v>900</v>
      </c>
      <c r="P49" s="14"/>
      <c r="Q49" s="15"/>
      <c r="R49" s="15">
        <v>1</v>
      </c>
      <c r="S49" s="15"/>
      <c r="T49" s="15"/>
      <c r="U49" s="15"/>
    </row>
    <row r="50" spans="1:21" x14ac:dyDescent="0.35">
      <c r="A50" s="1110"/>
      <c r="B50" s="11" t="s">
        <v>81</v>
      </c>
      <c r="C50" s="12">
        <v>3.569</v>
      </c>
      <c r="D50" s="12">
        <v>3.569</v>
      </c>
      <c r="E50" s="12">
        <v>3.569</v>
      </c>
      <c r="F50" s="12">
        <v>3.569</v>
      </c>
      <c r="G50" s="22" t="s">
        <v>46</v>
      </c>
      <c r="H50" s="1107"/>
      <c r="I50" s="1110"/>
      <c r="J50" s="11" t="s">
        <v>81</v>
      </c>
      <c r="K50" s="12">
        <v>3.569</v>
      </c>
      <c r="L50" s="12">
        <v>3.569</v>
      </c>
      <c r="M50" s="12">
        <v>3.569</v>
      </c>
      <c r="N50" s="12">
        <v>3.569</v>
      </c>
      <c r="O50" s="8" t="s">
        <v>46</v>
      </c>
      <c r="P50" s="14"/>
      <c r="Q50" s="15">
        <v>11</v>
      </c>
      <c r="R50" s="15">
        <v>2</v>
      </c>
      <c r="S50" s="15"/>
      <c r="T50" s="15"/>
      <c r="U50" s="15">
        <f t="shared" si="0"/>
        <v>13</v>
      </c>
    </row>
    <row r="51" spans="1:21" x14ac:dyDescent="0.35">
      <c r="A51" s="1110"/>
      <c r="B51" s="11" t="s">
        <v>82</v>
      </c>
      <c r="C51" s="12">
        <v>2.4689999999999999</v>
      </c>
      <c r="D51" s="12">
        <v>2.4689999999999999</v>
      </c>
      <c r="E51" s="12">
        <v>2.4689999999999999</v>
      </c>
      <c r="F51" s="12">
        <v>2.4689999999999999</v>
      </c>
      <c r="G51" s="22" t="s">
        <v>83</v>
      </c>
      <c r="H51" s="1107"/>
      <c r="I51" s="1110"/>
      <c r="J51" s="11" t="s">
        <v>82</v>
      </c>
      <c r="K51" s="12">
        <v>2.4689999999999999</v>
      </c>
      <c r="L51" s="12">
        <v>2.4689999999999999</v>
      </c>
      <c r="M51" s="12">
        <v>2.4689999999999999</v>
      </c>
      <c r="N51" s="12">
        <v>2.4689999999999999</v>
      </c>
      <c r="O51" s="8" t="s">
        <v>83</v>
      </c>
      <c r="P51" s="14"/>
      <c r="Q51" s="15">
        <v>5</v>
      </c>
      <c r="R51" s="15">
        <v>1</v>
      </c>
      <c r="S51" s="15"/>
      <c r="T51" s="15"/>
      <c r="U51" s="15">
        <f t="shared" si="0"/>
        <v>6</v>
      </c>
    </row>
    <row r="52" spans="1:21" x14ac:dyDescent="0.35">
      <c r="A52" s="1110"/>
      <c r="B52" s="11" t="s">
        <v>84</v>
      </c>
      <c r="C52" s="12">
        <v>5.0060000000000002</v>
      </c>
      <c r="D52" s="12">
        <v>5.0060000000000002</v>
      </c>
      <c r="E52" s="12">
        <v>5.0060000000000002</v>
      </c>
      <c r="F52" s="12">
        <v>5.0060000000000002</v>
      </c>
      <c r="G52" s="22" t="s">
        <v>83</v>
      </c>
      <c r="H52" s="1107"/>
      <c r="I52" s="1110"/>
      <c r="J52" s="11" t="s">
        <v>84</v>
      </c>
      <c r="K52" s="12">
        <v>5.0060000000000002</v>
      </c>
      <c r="L52" s="12">
        <v>5.0060000000000002</v>
      </c>
      <c r="M52" s="12">
        <v>5.0060000000000002</v>
      </c>
      <c r="N52" s="12">
        <v>5.0060000000000002</v>
      </c>
      <c r="O52" s="8" t="s">
        <v>83</v>
      </c>
      <c r="P52" s="14"/>
      <c r="Q52" s="15">
        <v>10</v>
      </c>
      <c r="R52" s="15">
        <v>2</v>
      </c>
      <c r="S52" s="15">
        <v>1</v>
      </c>
      <c r="T52" s="15"/>
      <c r="U52" s="15">
        <f t="shared" si="0"/>
        <v>13</v>
      </c>
    </row>
    <row r="53" spans="1:21" x14ac:dyDescent="0.35">
      <c r="A53" s="1110"/>
      <c r="B53" s="11" t="s">
        <v>85</v>
      </c>
      <c r="C53" s="12">
        <v>2.5510000000000002</v>
      </c>
      <c r="D53" s="12">
        <v>2.5510000000000002</v>
      </c>
      <c r="E53" s="12">
        <v>2.5510000000000002</v>
      </c>
      <c r="F53" s="12">
        <v>2.5510000000000002</v>
      </c>
      <c r="G53" s="22" t="s">
        <v>86</v>
      </c>
      <c r="H53" s="1107"/>
      <c r="I53" s="1110"/>
      <c r="J53" s="11" t="s">
        <v>85</v>
      </c>
      <c r="K53" s="12">
        <v>2.5510000000000002</v>
      </c>
      <c r="L53" s="12">
        <v>2.5510000000000002</v>
      </c>
      <c r="M53" s="12">
        <v>2.5510000000000002</v>
      </c>
      <c r="N53" s="12">
        <v>2.5510000000000002</v>
      </c>
      <c r="O53" s="22" t="s">
        <v>86</v>
      </c>
      <c r="P53" s="14"/>
      <c r="Q53" s="15">
        <v>5</v>
      </c>
      <c r="R53" s="15"/>
      <c r="S53" s="15">
        <v>1</v>
      </c>
      <c r="T53" s="15"/>
      <c r="U53" s="15">
        <f t="shared" si="0"/>
        <v>6</v>
      </c>
    </row>
    <row r="54" spans="1:21" s="23" customFormat="1" ht="16" customHeight="1" x14ac:dyDescent="0.35">
      <c r="A54" s="1110"/>
      <c r="B54" s="11" t="s">
        <v>87</v>
      </c>
      <c r="C54" s="12">
        <v>5.742</v>
      </c>
      <c r="D54" s="12">
        <v>5.742</v>
      </c>
      <c r="E54" s="12">
        <v>5.742</v>
      </c>
      <c r="F54" s="12">
        <v>5.742</v>
      </c>
      <c r="G54" s="22" t="s">
        <v>88</v>
      </c>
      <c r="H54" s="1107"/>
      <c r="I54" s="1110"/>
      <c r="J54" s="11" t="s">
        <v>87</v>
      </c>
      <c r="K54" s="12">
        <v>5.742</v>
      </c>
      <c r="L54" s="12">
        <v>5.742</v>
      </c>
      <c r="M54" s="12">
        <v>5.742</v>
      </c>
      <c r="N54" s="12">
        <v>5.742</v>
      </c>
      <c r="O54" s="22" t="s">
        <v>88</v>
      </c>
      <c r="P54" s="14"/>
      <c r="Q54" s="15">
        <v>14</v>
      </c>
      <c r="R54" s="15">
        <v>1</v>
      </c>
      <c r="S54" s="15">
        <v>1</v>
      </c>
      <c r="T54" s="15"/>
      <c r="U54" s="15">
        <f t="shared" si="0"/>
        <v>16</v>
      </c>
    </row>
    <row r="55" spans="1:21" s="23" customFormat="1" ht="17" customHeight="1" x14ac:dyDescent="0.35">
      <c r="A55" s="1110"/>
      <c r="B55" s="11" t="s">
        <v>89</v>
      </c>
      <c r="C55" s="12">
        <v>0.21299999999999999</v>
      </c>
      <c r="D55" s="12">
        <v>0.21299999999999999</v>
      </c>
      <c r="E55" s="12">
        <v>0.21299999999999999</v>
      </c>
      <c r="F55" s="12">
        <v>0.21299999999999999</v>
      </c>
      <c r="G55" s="22" t="s">
        <v>88</v>
      </c>
      <c r="H55" s="1107"/>
      <c r="I55" s="1110"/>
      <c r="J55" s="11" t="s">
        <v>89</v>
      </c>
      <c r="K55" s="12">
        <v>0.21299999999999999</v>
      </c>
      <c r="L55" s="12">
        <v>0.21299999999999999</v>
      </c>
      <c r="M55" s="12">
        <v>0.21299999999999999</v>
      </c>
      <c r="N55" s="12">
        <v>0.21299999999999999</v>
      </c>
      <c r="O55" s="22" t="s">
        <v>88</v>
      </c>
      <c r="P55" s="14"/>
      <c r="Q55" s="15"/>
      <c r="R55" s="15"/>
      <c r="S55" s="15">
        <v>1</v>
      </c>
      <c r="T55" s="15"/>
      <c r="U55" s="15">
        <f t="shared" si="0"/>
        <v>1</v>
      </c>
    </row>
    <row r="56" spans="1:21" s="23" customFormat="1" ht="16" customHeight="1" x14ac:dyDescent="0.35">
      <c r="A56" s="1110"/>
      <c r="B56" s="11" t="s">
        <v>90</v>
      </c>
      <c r="C56" s="12">
        <v>3.589</v>
      </c>
      <c r="D56" s="12">
        <v>3.589</v>
      </c>
      <c r="E56" s="12">
        <v>3.589</v>
      </c>
      <c r="F56" s="12">
        <v>3.589</v>
      </c>
      <c r="G56" s="22" t="s">
        <v>88</v>
      </c>
      <c r="H56" s="1107"/>
      <c r="I56" s="1110"/>
      <c r="J56" s="11" t="s">
        <v>90</v>
      </c>
      <c r="K56" s="12">
        <v>3.589</v>
      </c>
      <c r="L56" s="12">
        <v>3.589</v>
      </c>
      <c r="M56" s="12">
        <v>3.589</v>
      </c>
      <c r="N56" s="12">
        <v>3.589</v>
      </c>
      <c r="O56" s="22" t="s">
        <v>88</v>
      </c>
      <c r="P56" s="14"/>
      <c r="Q56" s="15">
        <v>9</v>
      </c>
      <c r="R56" s="15">
        <v>1</v>
      </c>
      <c r="S56" s="15"/>
      <c r="T56" s="15"/>
      <c r="U56" s="15">
        <f t="shared" si="0"/>
        <v>10</v>
      </c>
    </row>
    <row r="57" spans="1:21" s="23" customFormat="1" ht="16" customHeight="1" x14ac:dyDescent="0.35">
      <c r="A57" s="1110"/>
      <c r="B57" s="11" t="s">
        <v>894</v>
      </c>
      <c r="C57" s="12">
        <v>11.856</v>
      </c>
      <c r="D57" s="12">
        <v>11.856</v>
      </c>
      <c r="E57" s="12">
        <v>11.856</v>
      </c>
      <c r="F57" s="12">
        <v>11.856</v>
      </c>
      <c r="G57" s="22" t="s">
        <v>88</v>
      </c>
      <c r="H57" s="1107"/>
      <c r="I57" s="1110"/>
      <c r="J57" s="11" t="s">
        <v>894</v>
      </c>
      <c r="K57" s="12">
        <v>11.856</v>
      </c>
      <c r="L57" s="12">
        <v>11.856</v>
      </c>
      <c r="M57" s="12">
        <v>11.856</v>
      </c>
      <c r="N57" s="12">
        <v>11.856</v>
      </c>
      <c r="O57" s="22" t="s">
        <v>88</v>
      </c>
      <c r="P57" s="14"/>
      <c r="Q57" s="15">
        <v>30</v>
      </c>
      <c r="R57" s="15">
        <v>3</v>
      </c>
      <c r="S57" s="15">
        <v>1</v>
      </c>
      <c r="T57" s="15"/>
      <c r="U57" s="15">
        <f t="shared" si="0"/>
        <v>34</v>
      </c>
    </row>
    <row r="58" spans="1:21" s="23" customFormat="1" ht="16" customHeight="1" x14ac:dyDescent="0.35">
      <c r="A58" s="1110"/>
      <c r="B58" s="11" t="s">
        <v>895</v>
      </c>
      <c r="C58" s="12">
        <v>4.4420000000000002</v>
      </c>
      <c r="D58" s="12">
        <v>4.4420000000000002</v>
      </c>
      <c r="E58" s="12">
        <v>4.4420000000000002</v>
      </c>
      <c r="F58" s="12">
        <v>4.4420000000000002</v>
      </c>
      <c r="G58" s="22" t="s">
        <v>86</v>
      </c>
      <c r="H58" s="1107"/>
      <c r="I58" s="1110"/>
      <c r="J58" s="11" t="s">
        <v>895</v>
      </c>
      <c r="K58" s="12">
        <v>4.4420000000000002</v>
      </c>
      <c r="L58" s="8">
        <v>4.4420000000000002</v>
      </c>
      <c r="M58" s="8">
        <v>4.4420000000000002</v>
      </c>
      <c r="N58" s="8">
        <v>4.4420000000000002</v>
      </c>
      <c r="O58" s="22" t="s">
        <v>86</v>
      </c>
      <c r="P58" s="14"/>
      <c r="Q58" s="15">
        <v>5</v>
      </c>
      <c r="R58" s="15">
        <v>2</v>
      </c>
      <c r="S58" s="15">
        <v>1</v>
      </c>
      <c r="T58" s="15"/>
      <c r="U58" s="15">
        <f t="shared" si="0"/>
        <v>8</v>
      </c>
    </row>
    <row r="59" spans="1:21" s="23" customFormat="1" ht="16" customHeight="1" x14ac:dyDescent="0.35">
      <c r="A59" s="1110"/>
      <c r="B59" s="11" t="s">
        <v>91</v>
      </c>
      <c r="C59" s="12">
        <v>4.8369999999999997</v>
      </c>
      <c r="D59" s="12">
        <v>4.8369999999999997</v>
      </c>
      <c r="E59" s="12">
        <v>4.8369999999999997</v>
      </c>
      <c r="F59" s="12">
        <v>4.8369999999999997</v>
      </c>
      <c r="G59" s="22" t="s">
        <v>88</v>
      </c>
      <c r="H59" s="1107"/>
      <c r="I59" s="1110"/>
      <c r="J59" s="11" t="s">
        <v>91</v>
      </c>
      <c r="K59" s="12">
        <v>4.8369999999999997</v>
      </c>
      <c r="L59" s="8">
        <v>4.8369999999999997</v>
      </c>
      <c r="M59" s="8">
        <v>4.8369999999999997</v>
      </c>
      <c r="N59" s="8">
        <v>4.8369999999999997</v>
      </c>
      <c r="O59" s="22" t="s">
        <v>88</v>
      </c>
      <c r="P59" s="14"/>
      <c r="Q59" s="15">
        <v>15</v>
      </c>
      <c r="R59" s="15">
        <v>2</v>
      </c>
      <c r="S59" s="15"/>
      <c r="T59" s="15"/>
      <c r="U59" s="15">
        <f t="shared" si="0"/>
        <v>17</v>
      </c>
    </row>
    <row r="60" spans="1:21" s="23" customFormat="1" ht="31.5" customHeight="1" x14ac:dyDescent="0.35">
      <c r="A60" s="1110"/>
      <c r="B60" s="11" t="s">
        <v>92</v>
      </c>
      <c r="C60" s="12">
        <v>5.9020000000000001</v>
      </c>
      <c r="D60" s="12">
        <v>5.9020000000000001</v>
      </c>
      <c r="E60" s="12">
        <v>5.9020000000000001</v>
      </c>
      <c r="F60" s="12">
        <v>5.9020000000000001</v>
      </c>
      <c r="G60" s="22" t="s">
        <v>93</v>
      </c>
      <c r="H60" s="1107"/>
      <c r="I60" s="1110"/>
      <c r="J60" s="11" t="s">
        <v>92</v>
      </c>
      <c r="K60" s="12">
        <v>5.9020000000000001</v>
      </c>
      <c r="L60" s="8">
        <v>5.9020000000000001</v>
      </c>
      <c r="M60" s="8">
        <v>5.9020000000000001</v>
      </c>
      <c r="N60" s="8">
        <v>5.9020000000000001</v>
      </c>
      <c r="O60" s="22" t="s">
        <v>88</v>
      </c>
      <c r="P60" s="14"/>
      <c r="Q60" s="15">
        <v>14</v>
      </c>
      <c r="R60" s="15"/>
      <c r="S60" s="15">
        <v>2</v>
      </c>
      <c r="T60" s="15"/>
      <c r="U60" s="15">
        <f t="shared" si="0"/>
        <v>16</v>
      </c>
    </row>
    <row r="61" spans="1:21" s="23" customFormat="1" ht="31.5" customHeight="1" x14ac:dyDescent="0.35">
      <c r="A61" s="1110"/>
      <c r="B61" s="11" t="s">
        <v>94</v>
      </c>
      <c r="C61" s="12">
        <v>0.20899999999999999</v>
      </c>
      <c r="D61" s="12">
        <v>0.20899999999999999</v>
      </c>
      <c r="E61" s="12">
        <v>0.20899999999999999</v>
      </c>
      <c r="F61" s="12">
        <v>0.20899999999999999</v>
      </c>
      <c r="G61" s="22" t="s">
        <v>95</v>
      </c>
      <c r="H61" s="1107"/>
      <c r="I61" s="1110"/>
      <c r="J61" s="11" t="s">
        <v>94</v>
      </c>
      <c r="K61" s="12">
        <v>0.20899999999999999</v>
      </c>
      <c r="L61" s="8">
        <v>0.20899999999999999</v>
      </c>
      <c r="M61" s="8">
        <v>0.20899999999999999</v>
      </c>
      <c r="N61" s="8">
        <v>0.20899999999999999</v>
      </c>
      <c r="O61" s="22" t="s">
        <v>22</v>
      </c>
      <c r="P61" s="14"/>
      <c r="Q61" s="15"/>
      <c r="R61" s="15"/>
      <c r="S61" s="15"/>
      <c r="T61" s="15">
        <v>1</v>
      </c>
      <c r="U61" s="15"/>
    </row>
    <row r="62" spans="1:21" s="23" customFormat="1" x14ac:dyDescent="0.35">
      <c r="A62" s="1110"/>
      <c r="B62" s="601" t="s">
        <v>96</v>
      </c>
      <c r="C62" s="602">
        <v>2.5760000000000001</v>
      </c>
      <c r="D62" s="602">
        <v>2.5760000000000001</v>
      </c>
      <c r="E62" s="602">
        <v>2.5760000000000001</v>
      </c>
      <c r="F62" s="602">
        <v>2.5760000000000001</v>
      </c>
      <c r="G62" s="603" t="s">
        <v>1228</v>
      </c>
      <c r="H62" s="1107"/>
      <c r="I62" s="1110"/>
      <c r="J62" s="601" t="s">
        <v>97</v>
      </c>
      <c r="K62" s="602">
        <v>2.5760000000000001</v>
      </c>
      <c r="L62" s="602">
        <v>2.5760000000000001</v>
      </c>
      <c r="M62" s="602">
        <v>2.5760000000000001</v>
      </c>
      <c r="N62" s="602">
        <v>2.5760000000000001</v>
      </c>
      <c r="O62" s="603" t="s">
        <v>1228</v>
      </c>
      <c r="P62" s="14"/>
      <c r="Q62" s="15">
        <v>6</v>
      </c>
      <c r="R62" s="15"/>
      <c r="S62" s="15"/>
      <c r="T62" s="15">
        <v>3</v>
      </c>
      <c r="U62" s="15">
        <f t="shared" si="0"/>
        <v>9</v>
      </c>
    </row>
    <row r="63" spans="1:21" s="23" customFormat="1" ht="31" x14ac:dyDescent="0.35">
      <c r="A63" s="1110"/>
      <c r="B63" s="17" t="s">
        <v>98</v>
      </c>
      <c r="C63" s="18">
        <v>8.7999999999999995E-2</v>
      </c>
      <c r="D63" s="18">
        <v>8.7999999999999995E-2</v>
      </c>
      <c r="E63" s="18">
        <v>8.7999999999999995E-2</v>
      </c>
      <c r="F63" s="18">
        <v>8.7999999999999995E-2</v>
      </c>
      <c r="G63" s="19" t="s">
        <v>899</v>
      </c>
      <c r="H63" s="1107"/>
      <c r="I63" s="1110"/>
      <c r="J63" s="17" t="s">
        <v>98</v>
      </c>
      <c r="K63" s="18">
        <v>8.7999999999999995E-2</v>
      </c>
      <c r="L63" s="18">
        <v>8.7999999999999995E-2</v>
      </c>
      <c r="M63" s="18">
        <v>8.7999999999999995E-2</v>
      </c>
      <c r="N63" s="18">
        <v>8.7999999999999995E-2</v>
      </c>
      <c r="O63" s="19" t="s">
        <v>899</v>
      </c>
      <c r="P63" s="14"/>
      <c r="Q63" s="15"/>
      <c r="R63" s="15"/>
      <c r="S63" s="15"/>
      <c r="T63" s="15"/>
      <c r="U63" s="15"/>
    </row>
    <row r="64" spans="1:21" x14ac:dyDescent="0.35">
      <c r="A64" s="1111"/>
      <c r="B64" s="7"/>
      <c r="C64" s="24">
        <f>SUM(C4:C63)</f>
        <v>139.59049999999993</v>
      </c>
      <c r="D64" s="24">
        <f t="shared" ref="D64:F64" si="1">SUM(D4:D63)</f>
        <v>139.59049999999993</v>
      </c>
      <c r="E64" s="24">
        <f t="shared" si="1"/>
        <v>139.59049999999993</v>
      </c>
      <c r="F64" s="24">
        <f t="shared" si="1"/>
        <v>139.59049999999993</v>
      </c>
      <c r="G64" s="25"/>
      <c r="H64" s="1108"/>
      <c r="I64" s="1111"/>
      <c r="J64" s="26"/>
      <c r="K64" s="24">
        <f>SUM(K4:K63)</f>
        <v>139.59049999999993</v>
      </c>
      <c r="L64" s="24">
        <f t="shared" ref="L64:N64" si="2">SUM(L4:L63)</f>
        <v>139.59049999999993</v>
      </c>
      <c r="M64" s="24">
        <f t="shared" si="2"/>
        <v>139.59049999999993</v>
      </c>
      <c r="N64" s="24">
        <f t="shared" si="2"/>
        <v>139.59049999999993</v>
      </c>
      <c r="O64" s="27"/>
      <c r="P64" s="4"/>
      <c r="Q64" s="28">
        <f>SUM(Q5:Q62)</f>
        <v>268</v>
      </c>
      <c r="R64" s="28">
        <f t="shared" ref="R64:T64" si="3">SUM(R5:R62)</f>
        <v>39</v>
      </c>
      <c r="S64" s="28">
        <f t="shared" si="3"/>
        <v>28</v>
      </c>
      <c r="T64" s="28">
        <f t="shared" si="3"/>
        <v>37</v>
      </c>
      <c r="U64" s="6">
        <f>SUM(Q64:T64)</f>
        <v>372</v>
      </c>
    </row>
    <row r="65" spans="1:15" ht="16" thickBot="1" x14ac:dyDescent="0.4">
      <c r="C65" s="1112" t="s">
        <v>99</v>
      </c>
      <c r="D65" s="1113"/>
      <c r="E65" s="1113"/>
      <c r="F65" s="29">
        <f>E64-F64</f>
        <v>0</v>
      </c>
      <c r="K65" s="1114" t="s">
        <v>100</v>
      </c>
      <c r="L65" s="1115"/>
      <c r="M65" s="1115"/>
      <c r="N65" s="30">
        <f>K64-L64</f>
        <v>0</v>
      </c>
    </row>
    <row r="66" spans="1:15" x14ac:dyDescent="0.35">
      <c r="K66" s="1100" t="s">
        <v>101</v>
      </c>
      <c r="L66" s="1101"/>
      <c r="M66" s="1101"/>
      <c r="N66" s="31">
        <f>L64-M64</f>
        <v>0</v>
      </c>
      <c r="O66" s="32"/>
    </row>
    <row r="67" spans="1:15" x14ac:dyDescent="0.35">
      <c r="K67" s="1100" t="s">
        <v>102</v>
      </c>
      <c r="L67" s="1101"/>
      <c r="M67" s="1101"/>
      <c r="N67" s="31">
        <f>M64-N64</f>
        <v>0</v>
      </c>
    </row>
    <row r="68" spans="1:15" ht="16" thickBot="1" x14ac:dyDescent="0.4">
      <c r="E68" s="32"/>
      <c r="K68" s="1102" t="s">
        <v>103</v>
      </c>
      <c r="L68" s="1103"/>
      <c r="M68" s="1103"/>
      <c r="N68" s="33">
        <f>SUM(N65:N67)</f>
        <v>0</v>
      </c>
    </row>
    <row r="69" spans="1:15" x14ac:dyDescent="0.35">
      <c r="N69" s="32"/>
    </row>
    <row r="70" spans="1:15" ht="16" thickBot="1" x14ac:dyDescent="0.4">
      <c r="F70" s="32"/>
      <c r="G70" s="32"/>
    </row>
    <row r="71" spans="1:15" ht="43.5" x14ac:dyDescent="0.35">
      <c r="A71" s="44" t="s">
        <v>104</v>
      </c>
      <c r="B71" s="45" t="s">
        <v>105</v>
      </c>
      <c r="C71" s="45" t="s">
        <v>106</v>
      </c>
      <c r="D71" s="45" t="s">
        <v>107</v>
      </c>
      <c r="E71" s="46" t="s">
        <v>108</v>
      </c>
      <c r="F71" s="47" t="s">
        <v>6</v>
      </c>
    </row>
    <row r="72" spans="1:15" x14ac:dyDescent="0.35">
      <c r="A72" s="34">
        <v>1</v>
      </c>
      <c r="B72" s="35" t="s">
        <v>109</v>
      </c>
      <c r="C72" s="954" t="s">
        <v>110</v>
      </c>
      <c r="D72" s="36">
        <f>C64</f>
        <v>139.59049999999993</v>
      </c>
      <c r="E72" s="35"/>
      <c r="F72" s="37"/>
    </row>
    <row r="73" spans="1:15" x14ac:dyDescent="0.35">
      <c r="A73" s="38" t="s">
        <v>111</v>
      </c>
      <c r="B73" s="39" t="s">
        <v>112</v>
      </c>
      <c r="C73" s="954"/>
      <c r="D73" s="36">
        <f>D64</f>
        <v>139.59049999999993</v>
      </c>
      <c r="E73" s="39"/>
      <c r="F73" s="37"/>
    </row>
    <row r="74" spans="1:15" x14ac:dyDescent="0.35">
      <c r="A74" s="38" t="s">
        <v>113</v>
      </c>
      <c r="B74" s="39" t="s">
        <v>114</v>
      </c>
      <c r="C74" s="954"/>
      <c r="D74" s="36">
        <f>E64</f>
        <v>139.59049999999993</v>
      </c>
      <c r="E74" s="39"/>
      <c r="F74" s="37"/>
    </row>
    <row r="75" spans="1:15" x14ac:dyDescent="0.35">
      <c r="A75" s="38" t="s">
        <v>115</v>
      </c>
      <c r="B75" s="39" t="s">
        <v>116</v>
      </c>
      <c r="C75" s="954"/>
      <c r="D75" s="36">
        <f>F64</f>
        <v>139.59049999999993</v>
      </c>
      <c r="E75" s="36">
        <f>D74-D75</f>
        <v>0</v>
      </c>
      <c r="F75" s="37"/>
    </row>
    <row r="76" spans="1:15" x14ac:dyDescent="0.35">
      <c r="A76" s="38">
        <v>2</v>
      </c>
      <c r="B76" s="35" t="s">
        <v>19</v>
      </c>
      <c r="C76" s="954"/>
      <c r="D76" s="36">
        <f>K64</f>
        <v>139.59049999999993</v>
      </c>
      <c r="E76" s="39"/>
      <c r="F76" s="37"/>
    </row>
    <row r="77" spans="1:15" x14ac:dyDescent="0.35">
      <c r="A77" s="38" t="s">
        <v>117</v>
      </c>
      <c r="B77" s="39" t="s">
        <v>112</v>
      </c>
      <c r="C77" s="954"/>
      <c r="D77" s="36">
        <f>L64</f>
        <v>139.59049999999993</v>
      </c>
      <c r="E77" s="39"/>
      <c r="F77" s="37"/>
    </row>
    <row r="78" spans="1:15" x14ac:dyDescent="0.35">
      <c r="A78" s="38" t="s">
        <v>118</v>
      </c>
      <c r="B78" s="39" t="s">
        <v>114</v>
      </c>
      <c r="C78" s="954"/>
      <c r="D78" s="36">
        <f>M64</f>
        <v>139.59049999999993</v>
      </c>
      <c r="E78" s="39"/>
      <c r="F78" s="37"/>
    </row>
    <row r="79" spans="1:15" ht="16" thickBot="1" x14ac:dyDescent="0.4">
      <c r="A79" s="40" t="s">
        <v>119</v>
      </c>
      <c r="B79" s="41" t="s">
        <v>116</v>
      </c>
      <c r="C79" s="1104"/>
      <c r="D79" s="42">
        <f>N64</f>
        <v>139.59049999999993</v>
      </c>
      <c r="E79" s="41">
        <f>D78-D79</f>
        <v>0</v>
      </c>
      <c r="F79" s="43"/>
    </row>
  </sheetData>
  <mergeCells count="12">
    <mergeCell ref="K66:M66"/>
    <mergeCell ref="K67:M67"/>
    <mergeCell ref="K68:M68"/>
    <mergeCell ref="C72:C79"/>
    <mergeCell ref="A1:G1"/>
    <mergeCell ref="H3:H37"/>
    <mergeCell ref="I3:I64"/>
    <mergeCell ref="H39:H47"/>
    <mergeCell ref="H48:H64"/>
    <mergeCell ref="C65:E65"/>
    <mergeCell ref="K65:M65"/>
    <mergeCell ref="A4:A64"/>
  </mergeCells>
  <printOptions horizontalCentered="1"/>
  <pageMargins left="0.70866141732283472" right="0.70866141732283472" top="0.74803149606299213" bottom="0.74803149606299213" header="0.31496062992125984" footer="0.31496062992125984"/>
  <pageSetup scale="35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C5BEA-DA1B-42A8-9922-E4FC0407554E}">
  <dimension ref="A1:K50"/>
  <sheetViews>
    <sheetView topLeftCell="C1" zoomScale="97" zoomScaleNormal="97" zoomScaleSheetLayoutView="83" workbookViewId="0">
      <selection activeCell="I12" sqref="I12"/>
    </sheetView>
  </sheetViews>
  <sheetFormatPr defaultRowHeight="14.5" x14ac:dyDescent="0.35"/>
  <cols>
    <col min="1" max="1" width="0" hidden="1" customWidth="1"/>
    <col min="2" max="2" width="17.90625" hidden="1" customWidth="1"/>
    <col min="3" max="3" width="6.54296875" customWidth="1"/>
    <col min="4" max="4" width="24.6328125" customWidth="1"/>
    <col min="5" max="5" width="15.6328125" customWidth="1"/>
    <col min="6" max="6" width="14.26953125" customWidth="1"/>
    <col min="7" max="7" width="14.08984375" customWidth="1"/>
    <col min="8" max="8" width="11.54296875" customWidth="1"/>
    <col min="9" max="9" width="34.90625" customWidth="1"/>
  </cols>
  <sheetData>
    <row r="1" spans="1:9" ht="27" customHeight="1" thickBot="1" x14ac:dyDescent="0.4">
      <c r="A1" s="1118" t="s">
        <v>910</v>
      </c>
      <c r="B1" s="1119"/>
      <c r="C1" s="1119"/>
      <c r="D1" s="1119"/>
      <c r="E1" s="1119"/>
      <c r="F1" s="1119"/>
      <c r="G1" s="1119"/>
      <c r="H1" s="1119"/>
      <c r="I1" s="1120"/>
    </row>
    <row r="2" spans="1:9" ht="15" hidden="1" thickBot="1" x14ac:dyDescent="0.4">
      <c r="A2" s="1121" t="s">
        <v>281</v>
      </c>
      <c r="B2" s="1122" t="s">
        <v>282</v>
      </c>
      <c r="C2" s="1122"/>
      <c r="D2" s="1122"/>
      <c r="E2" s="1123" t="s">
        <v>283</v>
      </c>
      <c r="F2" s="1122" t="s">
        <v>284</v>
      </c>
      <c r="G2" s="1123" t="s">
        <v>285</v>
      </c>
      <c r="H2" s="1124" t="s">
        <v>286</v>
      </c>
      <c r="I2" s="1125" t="s">
        <v>11</v>
      </c>
    </row>
    <row r="3" spans="1:9" ht="22" hidden="1" customHeight="1" x14ac:dyDescent="0.4">
      <c r="A3" s="1121"/>
      <c r="B3" s="504" t="s">
        <v>287</v>
      </c>
      <c r="C3" s="504" t="s">
        <v>288</v>
      </c>
      <c r="D3" s="504" t="s">
        <v>289</v>
      </c>
      <c r="E3" s="1123"/>
      <c r="F3" s="1122"/>
      <c r="G3" s="1123"/>
      <c r="H3" s="1124"/>
      <c r="I3" s="1125"/>
    </row>
    <row r="4" spans="1:9" ht="15" hidden="1" thickBot="1" x14ac:dyDescent="0.4">
      <c r="A4" s="521">
        <v>1</v>
      </c>
      <c r="B4" s="505">
        <v>6</v>
      </c>
      <c r="C4" s="505">
        <v>4</v>
      </c>
      <c r="D4" s="505">
        <v>2</v>
      </c>
      <c r="E4" s="505">
        <v>2</v>
      </c>
      <c r="F4" s="505">
        <v>1</v>
      </c>
      <c r="G4" s="505">
        <v>1</v>
      </c>
      <c r="H4" s="505">
        <v>10</v>
      </c>
      <c r="I4" s="522">
        <f>SUM(B4:H4)</f>
        <v>26</v>
      </c>
    </row>
    <row r="5" spans="1:9" ht="15" hidden="1" thickBot="1" x14ac:dyDescent="0.4">
      <c r="A5" s="521"/>
      <c r="B5" s="505"/>
      <c r="C5" s="506"/>
      <c r="D5" s="506"/>
      <c r="E5" s="506"/>
      <c r="F5" s="506"/>
      <c r="G5" s="506"/>
      <c r="H5" s="506"/>
      <c r="I5" s="523"/>
    </row>
    <row r="6" spans="1:9" ht="28" x14ac:dyDescent="0.35">
      <c r="A6" s="524"/>
      <c r="B6" s="507"/>
      <c r="C6" s="517" t="s">
        <v>975</v>
      </c>
      <c r="D6" s="518" t="s">
        <v>291</v>
      </c>
      <c r="E6" s="518" t="s">
        <v>292</v>
      </c>
      <c r="F6" s="519" t="s">
        <v>293</v>
      </c>
      <c r="G6" s="519" t="s">
        <v>294</v>
      </c>
      <c r="H6" s="520" t="s">
        <v>295</v>
      </c>
      <c r="I6" s="514" t="s">
        <v>6</v>
      </c>
    </row>
    <row r="7" spans="1:9" ht="48.5" customHeight="1" x14ac:dyDescent="0.35">
      <c r="A7" s="524"/>
      <c r="B7" s="507"/>
      <c r="C7" s="53">
        <v>1</v>
      </c>
      <c r="D7" s="54" t="s">
        <v>296</v>
      </c>
      <c r="E7" s="54">
        <v>12</v>
      </c>
      <c r="F7" s="511">
        <v>12</v>
      </c>
      <c r="G7" s="39">
        <v>0</v>
      </c>
      <c r="H7" s="435">
        <f>E7-G7</f>
        <v>12</v>
      </c>
      <c r="I7" s="527" t="s">
        <v>971</v>
      </c>
    </row>
    <row r="8" spans="1:9" ht="38" customHeight="1" x14ac:dyDescent="0.35">
      <c r="A8" s="524"/>
      <c r="B8" s="507"/>
      <c r="C8" s="53">
        <v>2</v>
      </c>
      <c r="D8" s="54" t="s">
        <v>286</v>
      </c>
      <c r="E8" s="54">
        <v>10</v>
      </c>
      <c r="F8" s="54">
        <v>10</v>
      </c>
      <c r="G8" s="39">
        <v>0</v>
      </c>
      <c r="H8" s="435">
        <f t="shared" ref="H8:H11" si="0">E8-G8</f>
        <v>10</v>
      </c>
      <c r="I8" s="527" t="s">
        <v>973</v>
      </c>
    </row>
    <row r="9" spans="1:9" ht="43.5" x14ac:dyDescent="0.35">
      <c r="A9" s="524"/>
      <c r="B9" s="507"/>
      <c r="C9" s="53">
        <v>4</v>
      </c>
      <c r="D9" s="54" t="s">
        <v>297</v>
      </c>
      <c r="E9" s="54">
        <v>2</v>
      </c>
      <c r="F9" s="54">
        <v>2</v>
      </c>
      <c r="G9" s="39">
        <v>0</v>
      </c>
      <c r="H9" s="435">
        <f t="shared" si="0"/>
        <v>2</v>
      </c>
      <c r="I9" s="527" t="s">
        <v>974</v>
      </c>
    </row>
    <row r="10" spans="1:9" ht="29" x14ac:dyDescent="0.35">
      <c r="A10" s="524"/>
      <c r="B10" s="507"/>
      <c r="C10" s="53">
        <v>5</v>
      </c>
      <c r="D10" s="54" t="s">
        <v>298</v>
      </c>
      <c r="E10" s="54">
        <v>1</v>
      </c>
      <c r="F10" s="54">
        <v>1</v>
      </c>
      <c r="G10" s="39">
        <v>0</v>
      </c>
      <c r="H10" s="435">
        <f t="shared" si="0"/>
        <v>1</v>
      </c>
      <c r="I10" s="527" t="s">
        <v>972</v>
      </c>
    </row>
    <row r="11" spans="1:9" ht="29" x14ac:dyDescent="0.35">
      <c r="A11" s="524"/>
      <c r="B11" s="507"/>
      <c r="C11" s="53">
        <v>6</v>
      </c>
      <c r="D11" s="54" t="s">
        <v>285</v>
      </c>
      <c r="E11" s="54">
        <v>1</v>
      </c>
      <c r="F11" s="54">
        <v>1</v>
      </c>
      <c r="G11" s="39">
        <v>0</v>
      </c>
      <c r="H11" s="435">
        <f t="shared" si="0"/>
        <v>1</v>
      </c>
      <c r="I11" s="527" t="s">
        <v>970</v>
      </c>
    </row>
    <row r="12" spans="1:9" ht="15" thickBot="1" x14ac:dyDescent="0.4">
      <c r="A12" s="525"/>
      <c r="B12" s="526"/>
      <c r="C12" s="1137" t="s">
        <v>11</v>
      </c>
      <c r="D12" s="1138"/>
      <c r="E12" s="512">
        <f>SUM(E7:E11)</f>
        <v>26</v>
      </c>
      <c r="F12" s="512">
        <f>SUM(F7:F11)</f>
        <v>26</v>
      </c>
      <c r="G12" s="512">
        <f>SUM(G7:G11)</f>
        <v>0</v>
      </c>
      <c r="H12" s="513">
        <f>SUM(H7:H11)</f>
        <v>26</v>
      </c>
      <c r="I12" s="411"/>
    </row>
    <row r="14" spans="1:9" ht="15" hidden="1" thickBot="1" x14ac:dyDescent="0.4"/>
    <row r="15" spans="1:9" ht="18.5" hidden="1" x14ac:dyDescent="0.45">
      <c r="A15" s="1141" t="s">
        <v>841</v>
      </c>
      <c r="B15" s="1142"/>
      <c r="C15" s="1142"/>
      <c r="D15" s="1142"/>
      <c r="E15" s="1142"/>
      <c r="F15" s="1142"/>
      <c r="G15" s="1142"/>
      <c r="H15" s="1142"/>
      <c r="I15" s="1143"/>
    </row>
    <row r="16" spans="1:9" ht="14.5" hidden="1" customHeight="1" x14ac:dyDescent="0.35">
      <c r="A16" s="1144" t="s">
        <v>299</v>
      </c>
      <c r="B16" s="1145"/>
      <c r="C16" s="1145"/>
      <c r="D16" s="1145"/>
      <c r="E16" s="1145"/>
      <c r="F16" s="1145"/>
      <c r="G16" s="1145"/>
      <c r="H16" s="1145"/>
      <c r="I16" s="1146"/>
    </row>
    <row r="17" spans="1:9" ht="45" hidden="1" customHeight="1" x14ac:dyDescent="0.35">
      <c r="A17" s="1129" t="s">
        <v>300</v>
      </c>
      <c r="B17" s="1126" t="s">
        <v>301</v>
      </c>
      <c r="C17" s="1126" t="s">
        <v>302</v>
      </c>
      <c r="D17" s="1126" t="s">
        <v>303</v>
      </c>
      <c r="E17" s="1126" t="s">
        <v>304</v>
      </c>
      <c r="F17" s="1126" t="s">
        <v>305</v>
      </c>
      <c r="G17" s="1126"/>
      <c r="H17" s="1126"/>
      <c r="I17" s="1147"/>
    </row>
    <row r="18" spans="1:9" ht="11" hidden="1" customHeight="1" x14ac:dyDescent="0.35">
      <c r="A18" s="1129"/>
      <c r="B18" s="1126"/>
      <c r="C18" s="1126"/>
      <c r="D18" s="1126"/>
      <c r="E18" s="1126"/>
      <c r="F18" s="1126"/>
      <c r="G18" s="1126"/>
      <c r="H18" s="1126"/>
      <c r="I18" s="1147"/>
    </row>
    <row r="19" spans="1:9" ht="45" hidden="1" customHeight="1" x14ac:dyDescent="0.35">
      <c r="A19" s="1127">
        <v>1</v>
      </c>
      <c r="B19" s="1128" t="s">
        <v>306</v>
      </c>
      <c r="C19" s="508" t="s">
        <v>307</v>
      </c>
      <c r="D19" s="508" t="s">
        <v>308</v>
      </c>
      <c r="E19" s="1128" t="s">
        <v>309</v>
      </c>
      <c r="F19" s="1128" t="s">
        <v>969</v>
      </c>
      <c r="G19" s="1128"/>
      <c r="H19" s="1128"/>
      <c r="I19" s="1148"/>
    </row>
    <row r="20" spans="1:9" ht="45" hidden="1" customHeight="1" x14ac:dyDescent="0.35">
      <c r="A20" s="1127"/>
      <c r="B20" s="1128"/>
      <c r="C20" s="508" t="s">
        <v>310</v>
      </c>
      <c r="D20" s="508" t="s">
        <v>129</v>
      </c>
      <c r="E20" s="1128"/>
      <c r="F20" s="1128"/>
      <c r="G20" s="1128"/>
      <c r="H20" s="1128"/>
      <c r="I20" s="1148"/>
    </row>
    <row r="21" spans="1:9" ht="45" hidden="1" customHeight="1" x14ac:dyDescent="0.35">
      <c r="A21" s="1131">
        <v>2</v>
      </c>
      <c r="B21" s="1128" t="s">
        <v>311</v>
      </c>
      <c r="C21" s="508" t="s">
        <v>312</v>
      </c>
      <c r="D21" s="508" t="s">
        <v>165</v>
      </c>
      <c r="E21" s="1130" t="s">
        <v>313</v>
      </c>
      <c r="F21" s="1132" t="s">
        <v>911</v>
      </c>
      <c r="G21" s="1132"/>
      <c r="H21" s="1132"/>
      <c r="I21" s="1133"/>
    </row>
    <row r="22" spans="1:9" ht="45" hidden="1" customHeight="1" x14ac:dyDescent="0.35">
      <c r="A22" s="1131"/>
      <c r="B22" s="1128"/>
      <c r="C22" s="508" t="s">
        <v>315</v>
      </c>
      <c r="D22" s="508" t="s">
        <v>912</v>
      </c>
      <c r="E22" s="1130"/>
      <c r="F22" s="1132"/>
      <c r="G22" s="1132"/>
      <c r="H22" s="1132"/>
      <c r="I22" s="1133"/>
    </row>
    <row r="23" spans="1:9" ht="45" hidden="1" customHeight="1" x14ac:dyDescent="0.35">
      <c r="A23" s="1127">
        <v>3</v>
      </c>
      <c r="B23" s="1128" t="s">
        <v>316</v>
      </c>
      <c r="C23" s="509" t="s">
        <v>317</v>
      </c>
      <c r="D23" s="508" t="s">
        <v>318</v>
      </c>
      <c r="E23" s="1132" t="s">
        <v>371</v>
      </c>
      <c r="F23" s="1132" t="s">
        <v>372</v>
      </c>
      <c r="G23" s="1132"/>
      <c r="H23" s="1132"/>
      <c r="I23" s="1133"/>
    </row>
    <row r="24" spans="1:9" ht="45" hidden="1" customHeight="1" x14ac:dyDescent="0.35">
      <c r="A24" s="1127"/>
      <c r="B24" s="1128"/>
      <c r="C24" s="509" t="s">
        <v>319</v>
      </c>
      <c r="D24" s="508" t="s">
        <v>320</v>
      </c>
      <c r="E24" s="1132"/>
      <c r="F24" s="1132"/>
      <c r="G24" s="1132"/>
      <c r="H24" s="1132"/>
      <c r="I24" s="1133"/>
    </row>
    <row r="25" spans="1:9" ht="45" hidden="1" customHeight="1" x14ac:dyDescent="0.35">
      <c r="A25" s="1127">
        <v>4</v>
      </c>
      <c r="B25" s="1128" t="s">
        <v>321</v>
      </c>
      <c r="C25" s="508" t="s">
        <v>322</v>
      </c>
      <c r="D25" s="508" t="s">
        <v>323</v>
      </c>
      <c r="E25" s="1130" t="s">
        <v>313</v>
      </c>
      <c r="F25" s="1132" t="s">
        <v>314</v>
      </c>
      <c r="G25" s="1132"/>
      <c r="H25" s="1132"/>
      <c r="I25" s="1133"/>
    </row>
    <row r="26" spans="1:9" ht="45" hidden="1" customHeight="1" x14ac:dyDescent="0.35">
      <c r="A26" s="1127"/>
      <c r="B26" s="1128"/>
      <c r="C26" s="508" t="s">
        <v>324</v>
      </c>
      <c r="D26" s="508" t="s">
        <v>178</v>
      </c>
      <c r="E26" s="1130"/>
      <c r="F26" s="1132"/>
      <c r="G26" s="1132"/>
      <c r="H26" s="1132"/>
      <c r="I26" s="1133"/>
    </row>
    <row r="27" spans="1:9" ht="45" hidden="1" customHeight="1" x14ac:dyDescent="0.35">
      <c r="A27" s="1131">
        <v>5</v>
      </c>
      <c r="B27" s="1128" t="s">
        <v>325</v>
      </c>
      <c r="C27" s="509" t="s">
        <v>326</v>
      </c>
      <c r="D27" s="508" t="s">
        <v>176</v>
      </c>
      <c r="E27" s="1132" t="s">
        <v>313</v>
      </c>
      <c r="F27" s="1132" t="s">
        <v>314</v>
      </c>
      <c r="G27" s="1132"/>
      <c r="H27" s="1132"/>
      <c r="I27" s="1133"/>
    </row>
    <row r="28" spans="1:9" ht="45" hidden="1" customHeight="1" x14ac:dyDescent="0.35">
      <c r="A28" s="1131"/>
      <c r="B28" s="1128"/>
      <c r="C28" s="509" t="s">
        <v>327</v>
      </c>
      <c r="D28" s="508" t="s">
        <v>320</v>
      </c>
      <c r="E28" s="1132"/>
      <c r="F28" s="1132"/>
      <c r="G28" s="1132"/>
      <c r="H28" s="1132"/>
      <c r="I28" s="1133"/>
    </row>
    <row r="29" spans="1:9" ht="45" hidden="1" customHeight="1" x14ac:dyDescent="0.35">
      <c r="A29" s="1127">
        <v>6</v>
      </c>
      <c r="B29" s="1128" t="s">
        <v>328</v>
      </c>
      <c r="C29" s="509" t="s">
        <v>329</v>
      </c>
      <c r="D29" s="508" t="s">
        <v>318</v>
      </c>
      <c r="E29" s="1132" t="s">
        <v>330</v>
      </c>
      <c r="F29" s="1132" t="s">
        <v>896</v>
      </c>
      <c r="G29" s="1132"/>
      <c r="H29" s="1132"/>
      <c r="I29" s="1133"/>
    </row>
    <row r="30" spans="1:9" ht="45" hidden="1" customHeight="1" x14ac:dyDescent="0.35">
      <c r="A30" s="1127"/>
      <c r="B30" s="1128"/>
      <c r="C30" s="509" t="s">
        <v>331</v>
      </c>
      <c r="D30" s="508" t="s">
        <v>178</v>
      </c>
      <c r="E30" s="1132"/>
      <c r="F30" s="1132"/>
      <c r="G30" s="1132"/>
      <c r="H30" s="1132"/>
      <c r="I30" s="1133"/>
    </row>
    <row r="31" spans="1:9" ht="45" hidden="1" customHeight="1" x14ac:dyDescent="0.35">
      <c r="A31" s="1127">
        <v>7</v>
      </c>
      <c r="B31" s="1128" t="s">
        <v>332</v>
      </c>
      <c r="C31" s="509" t="s">
        <v>333</v>
      </c>
      <c r="D31" s="508" t="s">
        <v>129</v>
      </c>
      <c r="E31" s="1132" t="s">
        <v>334</v>
      </c>
      <c r="F31" s="1149" t="s">
        <v>918</v>
      </c>
      <c r="G31" s="1149"/>
      <c r="H31" s="1149"/>
      <c r="I31" s="1150"/>
    </row>
    <row r="32" spans="1:9" ht="45" hidden="1" customHeight="1" x14ac:dyDescent="0.35">
      <c r="A32" s="1127"/>
      <c r="B32" s="1128"/>
      <c r="C32" s="509" t="s">
        <v>335</v>
      </c>
      <c r="D32" s="508" t="s">
        <v>308</v>
      </c>
      <c r="E32" s="1132"/>
      <c r="F32" s="1149"/>
      <c r="G32" s="1149"/>
      <c r="H32" s="1149"/>
      <c r="I32" s="1150"/>
    </row>
    <row r="33" spans="1:11" ht="45" hidden="1" customHeight="1" x14ac:dyDescent="0.35">
      <c r="A33" s="1131">
        <v>8</v>
      </c>
      <c r="B33" s="1128" t="s">
        <v>336</v>
      </c>
      <c r="C33" s="508" t="s">
        <v>337</v>
      </c>
      <c r="D33" s="508" t="s">
        <v>129</v>
      </c>
      <c r="E33" s="1130" t="s">
        <v>371</v>
      </c>
      <c r="F33" s="1132" t="s">
        <v>373</v>
      </c>
      <c r="G33" s="1132"/>
      <c r="H33" s="1132"/>
      <c r="I33" s="1133"/>
    </row>
    <row r="34" spans="1:11" ht="45" hidden="1" customHeight="1" x14ac:dyDescent="0.35">
      <c r="A34" s="1131"/>
      <c r="B34" s="1128"/>
      <c r="C34" s="508" t="s">
        <v>339</v>
      </c>
      <c r="D34" s="508" t="s">
        <v>320</v>
      </c>
      <c r="E34" s="1130"/>
      <c r="F34" s="1132"/>
      <c r="G34" s="1132"/>
      <c r="H34" s="1132"/>
      <c r="I34" s="1133"/>
    </row>
    <row r="35" spans="1:11" ht="45" hidden="1" customHeight="1" x14ac:dyDescent="0.35">
      <c r="A35" s="1127">
        <v>9</v>
      </c>
      <c r="B35" s="1128" t="s">
        <v>340</v>
      </c>
      <c r="C35" s="508" t="s">
        <v>341</v>
      </c>
      <c r="D35" s="508" t="s">
        <v>165</v>
      </c>
      <c r="E35" s="1130" t="s">
        <v>313</v>
      </c>
      <c r="F35" s="1132" t="s">
        <v>342</v>
      </c>
      <c r="G35" s="1132"/>
      <c r="H35" s="1132"/>
      <c r="I35" s="1133"/>
      <c r="J35" s="1116" t="s">
        <v>903</v>
      </c>
      <c r="K35" s="1117"/>
    </row>
    <row r="36" spans="1:11" ht="45" hidden="1" customHeight="1" x14ac:dyDescent="0.35">
      <c r="A36" s="1127"/>
      <c r="B36" s="1128"/>
      <c r="C36" s="508" t="s">
        <v>343</v>
      </c>
      <c r="D36" s="508" t="s">
        <v>165</v>
      </c>
      <c r="E36" s="1130"/>
      <c r="F36" s="1132"/>
      <c r="G36" s="1132"/>
      <c r="H36" s="1132"/>
      <c r="I36" s="1133"/>
      <c r="J36" s="1116"/>
      <c r="K36" s="1117"/>
    </row>
    <row r="37" spans="1:11" ht="45" hidden="1" customHeight="1" x14ac:dyDescent="0.35">
      <c r="A37" s="1127">
        <v>10</v>
      </c>
      <c r="B37" s="1128" t="s">
        <v>344</v>
      </c>
      <c r="C37" s="508" t="s">
        <v>345</v>
      </c>
      <c r="D37" s="508" t="s">
        <v>320</v>
      </c>
      <c r="E37" s="1130" t="s">
        <v>371</v>
      </c>
      <c r="F37" s="1132" t="s">
        <v>338</v>
      </c>
      <c r="G37" s="1132"/>
      <c r="H37" s="1132"/>
      <c r="I37" s="1133"/>
    </row>
    <row r="38" spans="1:11" ht="45" hidden="1" customHeight="1" x14ac:dyDescent="0.35">
      <c r="A38" s="1127"/>
      <c r="B38" s="1128"/>
      <c r="C38" s="508" t="s">
        <v>346</v>
      </c>
      <c r="D38" s="508" t="s">
        <v>178</v>
      </c>
      <c r="E38" s="1130"/>
      <c r="F38" s="1132"/>
      <c r="G38" s="1132"/>
      <c r="H38" s="1132"/>
      <c r="I38" s="1133"/>
    </row>
    <row r="39" spans="1:11" ht="45" hidden="1" customHeight="1" x14ac:dyDescent="0.35">
      <c r="A39" s="1131">
        <v>11</v>
      </c>
      <c r="B39" s="1132" t="s">
        <v>347</v>
      </c>
      <c r="C39" s="509" t="s">
        <v>348</v>
      </c>
      <c r="D39" s="509" t="s">
        <v>349</v>
      </c>
      <c r="E39" s="1132" t="s">
        <v>371</v>
      </c>
      <c r="F39" s="1132" t="s">
        <v>373</v>
      </c>
      <c r="G39" s="1132"/>
      <c r="H39" s="1132"/>
      <c r="I39" s="1133"/>
    </row>
    <row r="40" spans="1:11" ht="45" hidden="1" customHeight="1" x14ac:dyDescent="0.35">
      <c r="A40" s="1131"/>
      <c r="B40" s="1132"/>
      <c r="C40" s="509" t="s">
        <v>350</v>
      </c>
      <c r="D40" s="509" t="s">
        <v>174</v>
      </c>
      <c r="E40" s="1132"/>
      <c r="F40" s="1132"/>
      <c r="G40" s="1132"/>
      <c r="H40" s="1132"/>
      <c r="I40" s="1133"/>
    </row>
    <row r="41" spans="1:11" ht="45" hidden="1" customHeight="1" x14ac:dyDescent="0.35">
      <c r="A41" s="1127">
        <v>12</v>
      </c>
      <c r="B41" s="1132" t="s">
        <v>351</v>
      </c>
      <c r="C41" s="508" t="s">
        <v>352</v>
      </c>
      <c r="D41" s="508" t="s">
        <v>353</v>
      </c>
      <c r="E41" s="1130" t="s">
        <v>354</v>
      </c>
      <c r="F41" s="1132" t="s">
        <v>904</v>
      </c>
      <c r="G41" s="1132"/>
      <c r="H41" s="1132"/>
      <c r="I41" s="1133"/>
    </row>
    <row r="42" spans="1:11" ht="45" hidden="1" customHeight="1" x14ac:dyDescent="0.35">
      <c r="A42" s="1127"/>
      <c r="B42" s="1132"/>
      <c r="C42" s="508" t="s">
        <v>355</v>
      </c>
      <c r="D42" s="508" t="s">
        <v>356</v>
      </c>
      <c r="E42" s="1130"/>
      <c r="F42" s="1132"/>
      <c r="G42" s="1132"/>
      <c r="H42" s="1132"/>
      <c r="I42" s="1133"/>
    </row>
    <row r="43" spans="1:11" ht="45" hidden="1" customHeight="1" x14ac:dyDescent="0.35">
      <c r="A43" s="1127">
        <v>13</v>
      </c>
      <c r="B43" s="1132" t="s">
        <v>357</v>
      </c>
      <c r="C43" s="508" t="s">
        <v>352</v>
      </c>
      <c r="D43" s="508" t="s">
        <v>353</v>
      </c>
      <c r="E43" s="1130" t="s">
        <v>354</v>
      </c>
      <c r="F43" s="1132" t="s">
        <v>906</v>
      </c>
      <c r="G43" s="1132"/>
      <c r="H43" s="1132"/>
      <c r="I43" s="1133"/>
    </row>
    <row r="44" spans="1:11" ht="45" hidden="1" customHeight="1" x14ac:dyDescent="0.35">
      <c r="A44" s="1127"/>
      <c r="B44" s="1132"/>
      <c r="C44" s="508" t="s">
        <v>355</v>
      </c>
      <c r="D44" s="508" t="s">
        <v>356</v>
      </c>
      <c r="E44" s="1130"/>
      <c r="F44" s="1132"/>
      <c r="G44" s="1132"/>
      <c r="H44" s="1132"/>
      <c r="I44" s="1133"/>
    </row>
    <row r="45" spans="1:11" ht="45" hidden="1" customHeight="1" x14ac:dyDescent="0.35">
      <c r="A45" s="1131">
        <v>14</v>
      </c>
      <c r="B45" s="1132" t="s">
        <v>358</v>
      </c>
      <c r="C45" s="508" t="s">
        <v>359</v>
      </c>
      <c r="D45" s="508" t="s">
        <v>360</v>
      </c>
      <c r="E45" s="1130" t="s">
        <v>361</v>
      </c>
      <c r="F45" s="1132" t="s">
        <v>905</v>
      </c>
      <c r="G45" s="1132"/>
      <c r="H45" s="1132"/>
      <c r="I45" s="1133"/>
      <c r="J45" s="1116"/>
      <c r="K45" s="1117"/>
    </row>
    <row r="46" spans="1:11" ht="45" hidden="1" customHeight="1" x14ac:dyDescent="0.35">
      <c r="A46" s="1131"/>
      <c r="B46" s="1132"/>
      <c r="C46" s="508" t="s">
        <v>362</v>
      </c>
      <c r="D46" s="508" t="s">
        <v>167</v>
      </c>
      <c r="E46" s="1130"/>
      <c r="F46" s="1132"/>
      <c r="G46" s="1132"/>
      <c r="H46" s="1132"/>
      <c r="I46" s="1133"/>
      <c r="J46" s="1116"/>
      <c r="K46" s="1117"/>
    </row>
    <row r="47" spans="1:11" ht="45" hidden="1" customHeight="1" x14ac:dyDescent="0.35">
      <c r="A47" s="1127">
        <v>15</v>
      </c>
      <c r="B47" s="1128" t="s">
        <v>363</v>
      </c>
      <c r="C47" s="508" t="s">
        <v>364</v>
      </c>
      <c r="D47" s="508" t="s">
        <v>176</v>
      </c>
      <c r="E47" s="1130" t="s">
        <v>354</v>
      </c>
      <c r="F47" s="1132" t="s">
        <v>906</v>
      </c>
      <c r="G47" s="1132"/>
      <c r="H47" s="1132"/>
      <c r="I47" s="1133"/>
    </row>
    <row r="48" spans="1:11" ht="45" hidden="1" customHeight="1" x14ac:dyDescent="0.35">
      <c r="A48" s="1127"/>
      <c r="B48" s="1128"/>
      <c r="C48" s="508" t="s">
        <v>365</v>
      </c>
      <c r="D48" s="508" t="s">
        <v>366</v>
      </c>
      <c r="E48" s="1130"/>
      <c r="F48" s="1132"/>
      <c r="G48" s="1132"/>
      <c r="H48" s="1132"/>
      <c r="I48" s="1133"/>
    </row>
    <row r="49" spans="1:9" ht="45" hidden="1" customHeight="1" x14ac:dyDescent="0.35">
      <c r="A49" s="1127">
        <v>16</v>
      </c>
      <c r="B49" s="1128" t="s">
        <v>367</v>
      </c>
      <c r="C49" s="508" t="s">
        <v>368</v>
      </c>
      <c r="D49" s="508" t="s">
        <v>369</v>
      </c>
      <c r="E49" s="1130" t="s">
        <v>354</v>
      </c>
      <c r="F49" s="1132" t="s">
        <v>906</v>
      </c>
      <c r="G49" s="1132"/>
      <c r="H49" s="1132"/>
      <c r="I49" s="1133"/>
    </row>
    <row r="50" spans="1:9" ht="45" hidden="1" customHeight="1" thickBot="1" x14ac:dyDescent="0.4">
      <c r="A50" s="1134"/>
      <c r="B50" s="1135"/>
      <c r="C50" s="510" t="s">
        <v>370</v>
      </c>
      <c r="D50" s="510" t="s">
        <v>134</v>
      </c>
      <c r="E50" s="1136"/>
      <c r="F50" s="1139"/>
      <c r="G50" s="1139"/>
      <c r="H50" s="1139"/>
      <c r="I50" s="1140"/>
    </row>
  </sheetData>
  <mergeCells count="83">
    <mergeCell ref="C12:D12"/>
    <mergeCell ref="F49:I50"/>
    <mergeCell ref="A15:I15"/>
    <mergeCell ref="A16:I16"/>
    <mergeCell ref="F17:I18"/>
    <mergeCell ref="F19:I20"/>
    <mergeCell ref="F21:I22"/>
    <mergeCell ref="F23:I24"/>
    <mergeCell ref="F25:I26"/>
    <mergeCell ref="F43:I44"/>
    <mergeCell ref="F45:I46"/>
    <mergeCell ref="F37:I38"/>
    <mergeCell ref="F39:I40"/>
    <mergeCell ref="F31:I32"/>
    <mergeCell ref="F33:I34"/>
    <mergeCell ref="F27:I28"/>
    <mergeCell ref="F47:I48"/>
    <mergeCell ref="E41:E42"/>
    <mergeCell ref="A43:A44"/>
    <mergeCell ref="B43:B44"/>
    <mergeCell ref="E43:E44"/>
    <mergeCell ref="F41:I42"/>
    <mergeCell ref="A45:A46"/>
    <mergeCell ref="B45:B46"/>
    <mergeCell ref="A49:A50"/>
    <mergeCell ref="B49:B50"/>
    <mergeCell ref="E49:E50"/>
    <mergeCell ref="E45:E46"/>
    <mergeCell ref="A47:A48"/>
    <mergeCell ref="B47:B48"/>
    <mergeCell ref="E47:E48"/>
    <mergeCell ref="A37:A38"/>
    <mergeCell ref="B37:B38"/>
    <mergeCell ref="A41:A42"/>
    <mergeCell ref="B41:B42"/>
    <mergeCell ref="E37:E38"/>
    <mergeCell ref="A39:A40"/>
    <mergeCell ref="B39:B40"/>
    <mergeCell ref="E39:E40"/>
    <mergeCell ref="F35:I36"/>
    <mergeCell ref="E29:E30"/>
    <mergeCell ref="A31:A32"/>
    <mergeCell ref="B31:B32"/>
    <mergeCell ref="E31:E32"/>
    <mergeCell ref="A33:A34"/>
    <mergeCell ref="B33:B34"/>
    <mergeCell ref="A29:A30"/>
    <mergeCell ref="B29:B30"/>
    <mergeCell ref="E33:E34"/>
    <mergeCell ref="A35:A36"/>
    <mergeCell ref="B35:B36"/>
    <mergeCell ref="E35:E36"/>
    <mergeCell ref="F29:I30"/>
    <mergeCell ref="B17:B18"/>
    <mergeCell ref="C17:C18"/>
    <mergeCell ref="E25:E26"/>
    <mergeCell ref="A27:A28"/>
    <mergeCell ref="B27:B28"/>
    <mergeCell ref="E27:E28"/>
    <mergeCell ref="E21:E22"/>
    <mergeCell ref="A23:A24"/>
    <mergeCell ref="B23:B24"/>
    <mergeCell ref="E23:E24"/>
    <mergeCell ref="A25:A26"/>
    <mergeCell ref="B25:B26"/>
    <mergeCell ref="A21:A22"/>
    <mergeCell ref="B21:B22"/>
    <mergeCell ref="J35:K36"/>
    <mergeCell ref="J45:K46"/>
    <mergeCell ref="A1:I1"/>
    <mergeCell ref="A2:A3"/>
    <mergeCell ref="B2:D2"/>
    <mergeCell ref="E2:E3"/>
    <mergeCell ref="F2:F3"/>
    <mergeCell ref="G2:G3"/>
    <mergeCell ref="H2:H3"/>
    <mergeCell ref="I2:I3"/>
    <mergeCell ref="D17:D18"/>
    <mergeCell ref="E17:E18"/>
    <mergeCell ref="A19:A20"/>
    <mergeCell ref="B19:B20"/>
    <mergeCell ref="E19:E20"/>
    <mergeCell ref="A17:A18"/>
  </mergeCells>
  <pageMargins left="0.7" right="0.7" top="0.75" bottom="0.75" header="0.3" footer="0.3"/>
  <pageSetup scale="59" orientation="portrait" horizontalDpi="300" verticalDpi="300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8FCF-732C-4994-80D0-EBA870EF36BC}">
  <dimension ref="A1:K50"/>
  <sheetViews>
    <sheetView topLeftCell="C1" workbookViewId="0">
      <selection activeCell="I54" sqref="I54"/>
    </sheetView>
  </sheetViews>
  <sheetFormatPr defaultRowHeight="14.5" x14ac:dyDescent="0.35"/>
  <cols>
    <col min="1" max="1" width="0" hidden="1" customWidth="1"/>
    <col min="2" max="2" width="17.90625" hidden="1" customWidth="1"/>
    <col min="3" max="3" width="6.54296875" customWidth="1"/>
    <col min="4" max="4" width="24.6328125" customWidth="1"/>
    <col min="5" max="5" width="15.6328125" customWidth="1"/>
    <col min="6" max="6" width="14.26953125" customWidth="1"/>
    <col min="7" max="7" width="14.08984375" customWidth="1"/>
    <col min="8" max="8" width="11.54296875" customWidth="1"/>
    <col min="9" max="9" width="39.7265625" customWidth="1"/>
  </cols>
  <sheetData>
    <row r="1" spans="1:9" ht="27" customHeight="1" thickBot="1" x14ac:dyDescent="0.4">
      <c r="A1" s="1118" t="s">
        <v>910</v>
      </c>
      <c r="B1" s="1119"/>
      <c r="C1" s="1119"/>
      <c r="D1" s="1119"/>
      <c r="E1" s="1119"/>
      <c r="F1" s="1119"/>
      <c r="G1" s="1119"/>
      <c r="H1" s="1119"/>
      <c r="I1" s="1120"/>
    </row>
    <row r="2" spans="1:9" ht="15" hidden="1" thickBot="1" x14ac:dyDescent="0.4">
      <c r="A2" s="1121" t="s">
        <v>281</v>
      </c>
      <c r="B2" s="1122" t="s">
        <v>282</v>
      </c>
      <c r="C2" s="1122"/>
      <c r="D2" s="1122"/>
      <c r="E2" s="1123" t="s">
        <v>283</v>
      </c>
      <c r="F2" s="1122" t="s">
        <v>284</v>
      </c>
      <c r="G2" s="1123" t="s">
        <v>285</v>
      </c>
      <c r="H2" s="1124" t="s">
        <v>286</v>
      </c>
      <c r="I2" s="1125" t="s">
        <v>11</v>
      </c>
    </row>
    <row r="3" spans="1:9" ht="22" hidden="1" customHeight="1" x14ac:dyDescent="0.35">
      <c r="A3" s="1121"/>
      <c r="B3" s="504" t="s">
        <v>287</v>
      </c>
      <c r="C3" s="504" t="s">
        <v>288</v>
      </c>
      <c r="D3" s="504" t="s">
        <v>289</v>
      </c>
      <c r="E3" s="1123"/>
      <c r="F3" s="1122"/>
      <c r="G3" s="1123"/>
      <c r="H3" s="1124"/>
      <c r="I3" s="1125"/>
    </row>
    <row r="4" spans="1:9" ht="15" hidden="1" thickBot="1" x14ac:dyDescent="0.4">
      <c r="A4" s="521">
        <v>1</v>
      </c>
      <c r="B4" s="505">
        <v>6</v>
      </c>
      <c r="C4" s="505">
        <v>4</v>
      </c>
      <c r="D4" s="505">
        <v>2</v>
      </c>
      <c r="E4" s="505">
        <v>2</v>
      </c>
      <c r="F4" s="505">
        <v>1</v>
      </c>
      <c r="G4" s="505">
        <v>1</v>
      </c>
      <c r="H4" s="505">
        <v>10</v>
      </c>
      <c r="I4" s="522">
        <f>SUM(B4:H4)</f>
        <v>26</v>
      </c>
    </row>
    <row r="5" spans="1:9" ht="15" hidden="1" thickBot="1" x14ac:dyDescent="0.4">
      <c r="A5" s="521"/>
      <c r="B5" s="505"/>
      <c r="C5" s="506"/>
      <c r="D5" s="506"/>
      <c r="E5" s="506"/>
      <c r="F5" s="506"/>
      <c r="G5" s="506"/>
      <c r="H5" s="506"/>
      <c r="I5" s="523"/>
    </row>
    <row r="6" spans="1:9" ht="28" x14ac:dyDescent="0.35">
      <c r="A6" s="524"/>
      <c r="B6" s="507"/>
      <c r="C6" s="517" t="s">
        <v>975</v>
      </c>
      <c r="D6" s="518" t="s">
        <v>291</v>
      </c>
      <c r="E6" s="518" t="s">
        <v>292</v>
      </c>
      <c r="F6" s="519" t="s">
        <v>293</v>
      </c>
      <c r="G6" s="519" t="s">
        <v>294</v>
      </c>
      <c r="H6" s="520" t="s">
        <v>295</v>
      </c>
      <c r="I6" s="514" t="s">
        <v>6</v>
      </c>
    </row>
    <row r="7" spans="1:9" ht="18.5" customHeight="1" x14ac:dyDescent="0.35">
      <c r="A7" s="524"/>
      <c r="B7" s="507"/>
      <c r="C7" s="53">
        <v>1</v>
      </c>
      <c r="D7" s="54" t="s">
        <v>296</v>
      </c>
      <c r="E7" s="54">
        <v>12</v>
      </c>
      <c r="F7" s="511">
        <v>12</v>
      </c>
      <c r="G7" s="39">
        <v>12</v>
      </c>
      <c r="H7" s="435">
        <f>E7-G7</f>
        <v>0</v>
      </c>
      <c r="I7" s="527" t="s">
        <v>1089</v>
      </c>
    </row>
    <row r="8" spans="1:9" ht="36" customHeight="1" x14ac:dyDescent="0.35">
      <c r="A8" s="524"/>
      <c r="B8" s="507"/>
      <c r="C8" s="53">
        <v>2</v>
      </c>
      <c r="D8" s="54" t="s">
        <v>286</v>
      </c>
      <c r="E8" s="54">
        <v>10</v>
      </c>
      <c r="F8" s="54">
        <v>10</v>
      </c>
      <c r="G8" s="39">
        <v>0</v>
      </c>
      <c r="H8" s="435">
        <f t="shared" ref="H8:H10" si="0">E8-G8</f>
        <v>10</v>
      </c>
      <c r="I8" s="527" t="s">
        <v>1274</v>
      </c>
    </row>
    <row r="9" spans="1:9" ht="18.5" customHeight="1" x14ac:dyDescent="0.35">
      <c r="A9" s="524"/>
      <c r="B9" s="507"/>
      <c r="C9" s="53">
        <v>3</v>
      </c>
      <c r="D9" s="54" t="s">
        <v>297</v>
      </c>
      <c r="E9" s="54">
        <v>2</v>
      </c>
      <c r="F9" s="54">
        <v>2</v>
      </c>
      <c r="G9" s="39">
        <v>0</v>
      </c>
      <c r="H9" s="435">
        <f t="shared" si="0"/>
        <v>2</v>
      </c>
      <c r="I9" s="651" t="s">
        <v>1326</v>
      </c>
    </row>
    <row r="10" spans="1:9" x14ac:dyDescent="0.35">
      <c r="A10" s="524"/>
      <c r="B10" s="507"/>
      <c r="C10" s="53">
        <v>4</v>
      </c>
      <c r="D10" s="54" t="s">
        <v>298</v>
      </c>
      <c r="E10" s="54">
        <v>1</v>
      </c>
      <c r="F10" s="54">
        <v>1</v>
      </c>
      <c r="G10" s="39">
        <v>1</v>
      </c>
      <c r="H10" s="435">
        <f t="shared" si="0"/>
        <v>0</v>
      </c>
      <c r="I10" s="527" t="s">
        <v>899</v>
      </c>
    </row>
    <row r="11" spans="1:9" x14ac:dyDescent="0.35">
      <c r="A11" s="524"/>
      <c r="B11" s="507"/>
      <c r="C11" s="53">
        <v>5</v>
      </c>
      <c r="D11" s="54" t="s">
        <v>285</v>
      </c>
      <c r="E11" s="54">
        <v>1</v>
      </c>
      <c r="F11" s="54">
        <v>1</v>
      </c>
      <c r="G11" s="39">
        <v>1</v>
      </c>
      <c r="H11" s="435">
        <v>0</v>
      </c>
      <c r="I11" s="527" t="s">
        <v>899</v>
      </c>
    </row>
    <row r="12" spans="1:9" ht="15" thickBot="1" x14ac:dyDescent="0.4">
      <c r="A12" s="525"/>
      <c r="B12" s="526"/>
      <c r="C12" s="1137" t="s">
        <v>11</v>
      </c>
      <c r="D12" s="1138"/>
      <c r="E12" s="512">
        <f>SUM(E7:E11)</f>
        <v>26</v>
      </c>
      <c r="F12" s="512">
        <f>SUM(F7:F11)</f>
        <v>26</v>
      </c>
      <c r="G12" s="512">
        <f>SUM(G7:G11)</f>
        <v>14</v>
      </c>
      <c r="H12" s="513">
        <f>SUM(H7:H11)</f>
        <v>12</v>
      </c>
      <c r="I12" s="411"/>
    </row>
    <row r="14" spans="1:9" hidden="1" x14ac:dyDescent="0.35"/>
    <row r="15" spans="1:9" ht="18.5" hidden="1" x14ac:dyDescent="0.45">
      <c r="A15" s="1141" t="s">
        <v>841</v>
      </c>
      <c r="B15" s="1142"/>
      <c r="C15" s="1142"/>
      <c r="D15" s="1142"/>
      <c r="E15" s="1142"/>
      <c r="F15" s="1142"/>
      <c r="G15" s="1142"/>
      <c r="H15" s="1142"/>
      <c r="I15" s="1143"/>
    </row>
    <row r="16" spans="1:9" ht="14.5" hidden="1" customHeight="1" x14ac:dyDescent="0.35">
      <c r="A16" s="1144" t="s">
        <v>299</v>
      </c>
      <c r="B16" s="1145"/>
      <c r="C16" s="1145"/>
      <c r="D16" s="1145"/>
      <c r="E16" s="1145"/>
      <c r="F16" s="1145"/>
      <c r="G16" s="1145"/>
      <c r="H16" s="1145"/>
      <c r="I16" s="1146"/>
    </row>
    <row r="17" spans="1:9" ht="45" hidden="1" customHeight="1" x14ac:dyDescent="0.35">
      <c r="A17" s="1129" t="s">
        <v>300</v>
      </c>
      <c r="B17" s="1126" t="s">
        <v>301</v>
      </c>
      <c r="C17" s="1126" t="s">
        <v>302</v>
      </c>
      <c r="D17" s="1126" t="s">
        <v>303</v>
      </c>
      <c r="E17" s="1126" t="s">
        <v>304</v>
      </c>
      <c r="F17" s="1126" t="s">
        <v>305</v>
      </c>
      <c r="G17" s="1126"/>
      <c r="H17" s="1126"/>
      <c r="I17" s="1147"/>
    </row>
    <row r="18" spans="1:9" ht="11" hidden="1" customHeight="1" x14ac:dyDescent="0.35">
      <c r="A18" s="1129"/>
      <c r="B18" s="1126"/>
      <c r="C18" s="1126"/>
      <c r="D18" s="1126"/>
      <c r="E18" s="1126"/>
      <c r="F18" s="1126"/>
      <c r="G18" s="1126"/>
      <c r="H18" s="1126"/>
      <c r="I18" s="1147"/>
    </row>
    <row r="19" spans="1:9" ht="45" hidden="1" customHeight="1" x14ac:dyDescent="0.35">
      <c r="A19" s="1127">
        <v>1</v>
      </c>
      <c r="B19" s="1128" t="s">
        <v>306</v>
      </c>
      <c r="C19" s="508" t="s">
        <v>307</v>
      </c>
      <c r="D19" s="508" t="s">
        <v>308</v>
      </c>
      <c r="E19" s="1128" t="s">
        <v>309</v>
      </c>
      <c r="F19" s="1128" t="s">
        <v>969</v>
      </c>
      <c r="G19" s="1128"/>
      <c r="H19" s="1128"/>
      <c r="I19" s="1148"/>
    </row>
    <row r="20" spans="1:9" ht="45" hidden="1" customHeight="1" x14ac:dyDescent="0.35">
      <c r="A20" s="1127"/>
      <c r="B20" s="1128"/>
      <c r="C20" s="508" t="s">
        <v>310</v>
      </c>
      <c r="D20" s="508" t="s">
        <v>129</v>
      </c>
      <c r="E20" s="1128"/>
      <c r="F20" s="1128"/>
      <c r="G20" s="1128"/>
      <c r="H20" s="1128"/>
      <c r="I20" s="1148"/>
    </row>
    <row r="21" spans="1:9" ht="45" hidden="1" customHeight="1" x14ac:dyDescent="0.35">
      <c r="A21" s="1131">
        <v>2</v>
      </c>
      <c r="B21" s="1128" t="s">
        <v>311</v>
      </c>
      <c r="C21" s="508" t="s">
        <v>312</v>
      </c>
      <c r="D21" s="508" t="s">
        <v>165</v>
      </c>
      <c r="E21" s="1130" t="s">
        <v>313</v>
      </c>
      <c r="F21" s="1132" t="s">
        <v>911</v>
      </c>
      <c r="G21" s="1132"/>
      <c r="H21" s="1132"/>
      <c r="I21" s="1133"/>
    </row>
    <row r="22" spans="1:9" ht="45" hidden="1" customHeight="1" x14ac:dyDescent="0.35">
      <c r="A22" s="1131"/>
      <c r="B22" s="1128"/>
      <c r="C22" s="508" t="s">
        <v>315</v>
      </c>
      <c r="D22" s="508" t="s">
        <v>912</v>
      </c>
      <c r="E22" s="1130"/>
      <c r="F22" s="1132"/>
      <c r="G22" s="1132"/>
      <c r="H22" s="1132"/>
      <c r="I22" s="1133"/>
    </row>
    <row r="23" spans="1:9" ht="45" hidden="1" customHeight="1" x14ac:dyDescent="0.35">
      <c r="A23" s="1127">
        <v>3</v>
      </c>
      <c r="B23" s="1128" t="s">
        <v>316</v>
      </c>
      <c r="C23" s="509" t="s">
        <v>317</v>
      </c>
      <c r="D23" s="508" t="s">
        <v>318</v>
      </c>
      <c r="E23" s="1132" t="s">
        <v>371</v>
      </c>
      <c r="F23" s="1132" t="s">
        <v>372</v>
      </c>
      <c r="G23" s="1132"/>
      <c r="H23" s="1132"/>
      <c r="I23" s="1133"/>
    </row>
    <row r="24" spans="1:9" ht="45" hidden="1" customHeight="1" x14ac:dyDescent="0.35">
      <c r="A24" s="1127"/>
      <c r="B24" s="1128"/>
      <c r="C24" s="509" t="s">
        <v>319</v>
      </c>
      <c r="D24" s="508" t="s">
        <v>320</v>
      </c>
      <c r="E24" s="1132"/>
      <c r="F24" s="1132"/>
      <c r="G24" s="1132"/>
      <c r="H24" s="1132"/>
      <c r="I24" s="1133"/>
    </row>
    <row r="25" spans="1:9" ht="45" hidden="1" customHeight="1" x14ac:dyDescent="0.35">
      <c r="A25" s="1127">
        <v>4</v>
      </c>
      <c r="B25" s="1128" t="s">
        <v>321</v>
      </c>
      <c r="C25" s="508" t="s">
        <v>322</v>
      </c>
      <c r="D25" s="508" t="s">
        <v>323</v>
      </c>
      <c r="E25" s="1130" t="s">
        <v>313</v>
      </c>
      <c r="F25" s="1132" t="s">
        <v>314</v>
      </c>
      <c r="G25" s="1132"/>
      <c r="H25" s="1132"/>
      <c r="I25" s="1133"/>
    </row>
    <row r="26" spans="1:9" ht="45" hidden="1" customHeight="1" x14ac:dyDescent="0.35">
      <c r="A26" s="1127"/>
      <c r="B26" s="1128"/>
      <c r="C26" s="508" t="s">
        <v>324</v>
      </c>
      <c r="D26" s="508" t="s">
        <v>178</v>
      </c>
      <c r="E26" s="1130"/>
      <c r="F26" s="1132"/>
      <c r="G26" s="1132"/>
      <c r="H26" s="1132"/>
      <c r="I26" s="1133"/>
    </row>
    <row r="27" spans="1:9" ht="45" hidden="1" customHeight="1" x14ac:dyDescent="0.35">
      <c r="A27" s="1131">
        <v>5</v>
      </c>
      <c r="B27" s="1128" t="s">
        <v>325</v>
      </c>
      <c r="C27" s="509" t="s">
        <v>326</v>
      </c>
      <c r="D27" s="508" t="s">
        <v>176</v>
      </c>
      <c r="E27" s="1132" t="s">
        <v>313</v>
      </c>
      <c r="F27" s="1132" t="s">
        <v>314</v>
      </c>
      <c r="G27" s="1132"/>
      <c r="H27" s="1132"/>
      <c r="I27" s="1133"/>
    </row>
    <row r="28" spans="1:9" ht="45" hidden="1" customHeight="1" x14ac:dyDescent="0.35">
      <c r="A28" s="1131"/>
      <c r="B28" s="1128"/>
      <c r="C28" s="509" t="s">
        <v>327</v>
      </c>
      <c r="D28" s="508" t="s">
        <v>320</v>
      </c>
      <c r="E28" s="1132"/>
      <c r="F28" s="1132"/>
      <c r="G28" s="1132"/>
      <c r="H28" s="1132"/>
      <c r="I28" s="1133"/>
    </row>
    <row r="29" spans="1:9" ht="45" hidden="1" customHeight="1" x14ac:dyDescent="0.35">
      <c r="A29" s="1127">
        <v>6</v>
      </c>
      <c r="B29" s="1128" t="s">
        <v>328</v>
      </c>
      <c r="C29" s="509" t="s">
        <v>329</v>
      </c>
      <c r="D29" s="508" t="s">
        <v>318</v>
      </c>
      <c r="E29" s="1132" t="s">
        <v>330</v>
      </c>
      <c r="F29" s="1132" t="s">
        <v>896</v>
      </c>
      <c r="G29" s="1132"/>
      <c r="H29" s="1132"/>
      <c r="I29" s="1133"/>
    </row>
    <row r="30" spans="1:9" ht="45" hidden="1" customHeight="1" x14ac:dyDescent="0.35">
      <c r="A30" s="1127"/>
      <c r="B30" s="1128"/>
      <c r="C30" s="509" t="s">
        <v>331</v>
      </c>
      <c r="D30" s="508" t="s">
        <v>178</v>
      </c>
      <c r="E30" s="1132"/>
      <c r="F30" s="1132"/>
      <c r="G30" s="1132"/>
      <c r="H30" s="1132"/>
      <c r="I30" s="1133"/>
    </row>
    <row r="31" spans="1:9" ht="45" hidden="1" customHeight="1" x14ac:dyDescent="0.35">
      <c r="A31" s="1127">
        <v>7</v>
      </c>
      <c r="B31" s="1128" t="s">
        <v>332</v>
      </c>
      <c r="C31" s="509" t="s">
        <v>333</v>
      </c>
      <c r="D31" s="508" t="s">
        <v>129</v>
      </c>
      <c r="E31" s="1132" t="s">
        <v>334</v>
      </c>
      <c r="F31" s="1149" t="s">
        <v>918</v>
      </c>
      <c r="G31" s="1149"/>
      <c r="H31" s="1149"/>
      <c r="I31" s="1150"/>
    </row>
    <row r="32" spans="1:9" ht="45" hidden="1" customHeight="1" x14ac:dyDescent="0.35">
      <c r="A32" s="1127"/>
      <c r="B32" s="1128"/>
      <c r="C32" s="509" t="s">
        <v>335</v>
      </c>
      <c r="D32" s="508" t="s">
        <v>308</v>
      </c>
      <c r="E32" s="1132"/>
      <c r="F32" s="1149"/>
      <c r="G32" s="1149"/>
      <c r="H32" s="1149"/>
      <c r="I32" s="1150"/>
    </row>
    <row r="33" spans="1:11" ht="45" hidden="1" customHeight="1" x14ac:dyDescent="0.35">
      <c r="A33" s="1131">
        <v>8</v>
      </c>
      <c r="B33" s="1128" t="s">
        <v>336</v>
      </c>
      <c r="C33" s="508" t="s">
        <v>337</v>
      </c>
      <c r="D33" s="508" t="s">
        <v>129</v>
      </c>
      <c r="E33" s="1130" t="s">
        <v>371</v>
      </c>
      <c r="F33" s="1132" t="s">
        <v>373</v>
      </c>
      <c r="G33" s="1132"/>
      <c r="H33" s="1132"/>
      <c r="I33" s="1133"/>
    </row>
    <row r="34" spans="1:11" ht="45" hidden="1" customHeight="1" x14ac:dyDescent="0.35">
      <c r="A34" s="1131"/>
      <c r="B34" s="1128"/>
      <c r="C34" s="508" t="s">
        <v>339</v>
      </c>
      <c r="D34" s="508" t="s">
        <v>320</v>
      </c>
      <c r="E34" s="1130"/>
      <c r="F34" s="1132"/>
      <c r="G34" s="1132"/>
      <c r="H34" s="1132"/>
      <c r="I34" s="1133"/>
    </row>
    <row r="35" spans="1:11" ht="45" hidden="1" customHeight="1" x14ac:dyDescent="0.35">
      <c r="A35" s="1127">
        <v>9</v>
      </c>
      <c r="B35" s="1128" t="s">
        <v>340</v>
      </c>
      <c r="C35" s="508" t="s">
        <v>341</v>
      </c>
      <c r="D35" s="508" t="s">
        <v>165</v>
      </c>
      <c r="E35" s="1130" t="s">
        <v>313</v>
      </c>
      <c r="F35" s="1132" t="s">
        <v>342</v>
      </c>
      <c r="G35" s="1132"/>
      <c r="H35" s="1132"/>
      <c r="I35" s="1133"/>
      <c r="J35" s="1116" t="s">
        <v>903</v>
      </c>
      <c r="K35" s="1117"/>
    </row>
    <row r="36" spans="1:11" ht="45" hidden="1" customHeight="1" x14ac:dyDescent="0.35">
      <c r="A36" s="1127"/>
      <c r="B36" s="1128"/>
      <c r="C36" s="508" t="s">
        <v>343</v>
      </c>
      <c r="D36" s="508" t="s">
        <v>165</v>
      </c>
      <c r="E36" s="1130"/>
      <c r="F36" s="1132"/>
      <c r="G36" s="1132"/>
      <c r="H36" s="1132"/>
      <c r="I36" s="1133"/>
      <c r="J36" s="1116"/>
      <c r="K36" s="1117"/>
    </row>
    <row r="37" spans="1:11" ht="45" hidden="1" customHeight="1" x14ac:dyDescent="0.35">
      <c r="A37" s="1127">
        <v>10</v>
      </c>
      <c r="B37" s="1128" t="s">
        <v>344</v>
      </c>
      <c r="C37" s="508" t="s">
        <v>345</v>
      </c>
      <c r="D37" s="508" t="s">
        <v>320</v>
      </c>
      <c r="E37" s="1130" t="s">
        <v>371</v>
      </c>
      <c r="F37" s="1132" t="s">
        <v>338</v>
      </c>
      <c r="G37" s="1132"/>
      <c r="H37" s="1132"/>
      <c r="I37" s="1133"/>
    </row>
    <row r="38" spans="1:11" ht="45" hidden="1" customHeight="1" x14ac:dyDescent="0.35">
      <c r="A38" s="1127"/>
      <c r="B38" s="1128"/>
      <c r="C38" s="508" t="s">
        <v>346</v>
      </c>
      <c r="D38" s="508" t="s">
        <v>178</v>
      </c>
      <c r="E38" s="1130"/>
      <c r="F38" s="1132"/>
      <c r="G38" s="1132"/>
      <c r="H38" s="1132"/>
      <c r="I38" s="1133"/>
    </row>
    <row r="39" spans="1:11" ht="45" hidden="1" customHeight="1" x14ac:dyDescent="0.35">
      <c r="A39" s="1131">
        <v>11</v>
      </c>
      <c r="B39" s="1132" t="s">
        <v>347</v>
      </c>
      <c r="C39" s="509" t="s">
        <v>348</v>
      </c>
      <c r="D39" s="509" t="s">
        <v>349</v>
      </c>
      <c r="E39" s="1132" t="s">
        <v>371</v>
      </c>
      <c r="F39" s="1132" t="s">
        <v>373</v>
      </c>
      <c r="G39" s="1132"/>
      <c r="H39" s="1132"/>
      <c r="I39" s="1133"/>
    </row>
    <row r="40" spans="1:11" ht="45" hidden="1" customHeight="1" x14ac:dyDescent="0.35">
      <c r="A40" s="1131"/>
      <c r="B40" s="1132"/>
      <c r="C40" s="509" t="s">
        <v>350</v>
      </c>
      <c r="D40" s="509" t="s">
        <v>174</v>
      </c>
      <c r="E40" s="1132"/>
      <c r="F40" s="1132"/>
      <c r="G40" s="1132"/>
      <c r="H40" s="1132"/>
      <c r="I40" s="1133"/>
    </row>
    <row r="41" spans="1:11" ht="45" hidden="1" customHeight="1" x14ac:dyDescent="0.35">
      <c r="A41" s="1127">
        <v>12</v>
      </c>
      <c r="B41" s="1132" t="s">
        <v>351</v>
      </c>
      <c r="C41" s="508" t="s">
        <v>352</v>
      </c>
      <c r="D41" s="508" t="s">
        <v>353</v>
      </c>
      <c r="E41" s="1130" t="s">
        <v>354</v>
      </c>
      <c r="F41" s="1132" t="s">
        <v>904</v>
      </c>
      <c r="G41" s="1132"/>
      <c r="H41" s="1132"/>
      <c r="I41" s="1133"/>
    </row>
    <row r="42" spans="1:11" ht="45" hidden="1" customHeight="1" x14ac:dyDescent="0.35">
      <c r="A42" s="1127"/>
      <c r="B42" s="1132"/>
      <c r="C42" s="508" t="s">
        <v>355</v>
      </c>
      <c r="D42" s="508" t="s">
        <v>356</v>
      </c>
      <c r="E42" s="1130"/>
      <c r="F42" s="1132"/>
      <c r="G42" s="1132"/>
      <c r="H42" s="1132"/>
      <c r="I42" s="1133"/>
    </row>
    <row r="43" spans="1:11" ht="45" hidden="1" customHeight="1" x14ac:dyDescent="0.35">
      <c r="A43" s="1127">
        <v>13</v>
      </c>
      <c r="B43" s="1132" t="s">
        <v>357</v>
      </c>
      <c r="C43" s="508" t="s">
        <v>352</v>
      </c>
      <c r="D43" s="508" t="s">
        <v>353</v>
      </c>
      <c r="E43" s="1130" t="s">
        <v>354</v>
      </c>
      <c r="F43" s="1132" t="s">
        <v>906</v>
      </c>
      <c r="G43" s="1132"/>
      <c r="H43" s="1132"/>
      <c r="I43" s="1133"/>
    </row>
    <row r="44" spans="1:11" ht="45" hidden="1" customHeight="1" x14ac:dyDescent="0.35">
      <c r="A44" s="1127"/>
      <c r="B44" s="1132"/>
      <c r="C44" s="508" t="s">
        <v>355</v>
      </c>
      <c r="D44" s="508" t="s">
        <v>356</v>
      </c>
      <c r="E44" s="1130"/>
      <c r="F44" s="1132"/>
      <c r="G44" s="1132"/>
      <c r="H44" s="1132"/>
      <c r="I44" s="1133"/>
    </row>
    <row r="45" spans="1:11" ht="45" hidden="1" customHeight="1" x14ac:dyDescent="0.35">
      <c r="A45" s="1131">
        <v>14</v>
      </c>
      <c r="B45" s="1132" t="s">
        <v>358</v>
      </c>
      <c r="C45" s="508" t="s">
        <v>359</v>
      </c>
      <c r="D45" s="508" t="s">
        <v>360</v>
      </c>
      <c r="E45" s="1130" t="s">
        <v>361</v>
      </c>
      <c r="F45" s="1132" t="s">
        <v>905</v>
      </c>
      <c r="G45" s="1132"/>
      <c r="H45" s="1132"/>
      <c r="I45" s="1133"/>
      <c r="J45" s="1116"/>
      <c r="K45" s="1117"/>
    </row>
    <row r="46" spans="1:11" ht="45" hidden="1" customHeight="1" x14ac:dyDescent="0.35">
      <c r="A46" s="1131"/>
      <c r="B46" s="1132"/>
      <c r="C46" s="508" t="s">
        <v>362</v>
      </c>
      <c r="D46" s="508" t="s">
        <v>167</v>
      </c>
      <c r="E46" s="1130"/>
      <c r="F46" s="1132"/>
      <c r="G46" s="1132"/>
      <c r="H46" s="1132"/>
      <c r="I46" s="1133"/>
      <c r="J46" s="1116"/>
      <c r="K46" s="1117"/>
    </row>
    <row r="47" spans="1:11" ht="45" hidden="1" customHeight="1" x14ac:dyDescent="0.35">
      <c r="A47" s="1127">
        <v>15</v>
      </c>
      <c r="B47" s="1128" t="s">
        <v>363</v>
      </c>
      <c r="C47" s="508" t="s">
        <v>364</v>
      </c>
      <c r="D47" s="508" t="s">
        <v>176</v>
      </c>
      <c r="E47" s="1130" t="s">
        <v>354</v>
      </c>
      <c r="F47" s="1132" t="s">
        <v>906</v>
      </c>
      <c r="G47" s="1132"/>
      <c r="H47" s="1132"/>
      <c r="I47" s="1133"/>
    </row>
    <row r="48" spans="1:11" ht="45" hidden="1" customHeight="1" x14ac:dyDescent="0.35">
      <c r="A48" s="1127"/>
      <c r="B48" s="1128"/>
      <c r="C48" s="508" t="s">
        <v>365</v>
      </c>
      <c r="D48" s="508" t="s">
        <v>366</v>
      </c>
      <c r="E48" s="1130"/>
      <c r="F48" s="1132"/>
      <c r="G48" s="1132"/>
      <c r="H48" s="1132"/>
      <c r="I48" s="1133"/>
    </row>
    <row r="49" spans="1:9" ht="45" hidden="1" customHeight="1" x14ac:dyDescent="0.35">
      <c r="A49" s="1127">
        <v>16</v>
      </c>
      <c r="B49" s="1128" t="s">
        <v>367</v>
      </c>
      <c r="C49" s="508" t="s">
        <v>368</v>
      </c>
      <c r="D49" s="508" t="s">
        <v>369</v>
      </c>
      <c r="E49" s="1130" t="s">
        <v>354</v>
      </c>
      <c r="F49" s="1132" t="s">
        <v>906</v>
      </c>
      <c r="G49" s="1132"/>
      <c r="H49" s="1132"/>
      <c r="I49" s="1133"/>
    </row>
    <row r="50" spans="1:9" ht="45" hidden="1" customHeight="1" x14ac:dyDescent="0.35">
      <c r="A50" s="1134"/>
      <c r="B50" s="1135"/>
      <c r="C50" s="510" t="s">
        <v>370</v>
      </c>
      <c r="D50" s="510" t="s">
        <v>134</v>
      </c>
      <c r="E50" s="1136"/>
      <c r="F50" s="1139"/>
      <c r="G50" s="1139"/>
      <c r="H50" s="1139"/>
      <c r="I50" s="1140"/>
    </row>
  </sheetData>
  <mergeCells count="83">
    <mergeCell ref="A1:I1"/>
    <mergeCell ref="A2:A3"/>
    <mergeCell ref="B2:D2"/>
    <mergeCell ref="E2:E3"/>
    <mergeCell ref="F2:F3"/>
    <mergeCell ref="G2:G3"/>
    <mergeCell ref="H2:H3"/>
    <mergeCell ref="I2:I3"/>
    <mergeCell ref="C12:D12"/>
    <mergeCell ref="A15:I15"/>
    <mergeCell ref="A16:I16"/>
    <mergeCell ref="A17:A18"/>
    <mergeCell ref="B17:B18"/>
    <mergeCell ref="C17:C18"/>
    <mergeCell ref="D17:D18"/>
    <mergeCell ref="E17:E18"/>
    <mergeCell ref="F17:I18"/>
    <mergeCell ref="A19:A20"/>
    <mergeCell ref="B19:B20"/>
    <mergeCell ref="E19:E20"/>
    <mergeCell ref="F19:I20"/>
    <mergeCell ref="A21:A22"/>
    <mergeCell ref="B21:B22"/>
    <mergeCell ref="E21:E22"/>
    <mergeCell ref="F21:I22"/>
    <mergeCell ref="A23:A24"/>
    <mergeCell ref="B23:B24"/>
    <mergeCell ref="E23:E24"/>
    <mergeCell ref="F23:I24"/>
    <mergeCell ref="A25:A26"/>
    <mergeCell ref="B25:B26"/>
    <mergeCell ref="E25:E26"/>
    <mergeCell ref="F25:I26"/>
    <mergeCell ref="A27:A28"/>
    <mergeCell ref="B27:B28"/>
    <mergeCell ref="E27:E28"/>
    <mergeCell ref="F27:I28"/>
    <mergeCell ref="A29:A30"/>
    <mergeCell ref="B29:B30"/>
    <mergeCell ref="E29:E30"/>
    <mergeCell ref="F29:I30"/>
    <mergeCell ref="A31:A32"/>
    <mergeCell ref="B31:B32"/>
    <mergeCell ref="E31:E32"/>
    <mergeCell ref="F31:I32"/>
    <mergeCell ref="A33:A34"/>
    <mergeCell ref="B33:B34"/>
    <mergeCell ref="E33:E34"/>
    <mergeCell ref="F33:I34"/>
    <mergeCell ref="J35:K36"/>
    <mergeCell ref="A39:A40"/>
    <mergeCell ref="B39:B40"/>
    <mergeCell ref="E39:E40"/>
    <mergeCell ref="F39:I40"/>
    <mergeCell ref="A37:A38"/>
    <mergeCell ref="B37:B38"/>
    <mergeCell ref="E37:E38"/>
    <mergeCell ref="F37:I38"/>
    <mergeCell ref="A35:A36"/>
    <mergeCell ref="B35:B36"/>
    <mergeCell ref="E35:E36"/>
    <mergeCell ref="F35:I36"/>
    <mergeCell ref="A41:A42"/>
    <mergeCell ref="B41:B42"/>
    <mergeCell ref="E41:E42"/>
    <mergeCell ref="F41:I42"/>
    <mergeCell ref="A49:A50"/>
    <mergeCell ref="B49:B50"/>
    <mergeCell ref="E49:E50"/>
    <mergeCell ref="F49:I50"/>
    <mergeCell ref="A43:A44"/>
    <mergeCell ref="B43:B44"/>
    <mergeCell ref="E43:E44"/>
    <mergeCell ref="F43:I44"/>
    <mergeCell ref="A45:A46"/>
    <mergeCell ref="B45:B46"/>
    <mergeCell ref="E45:E46"/>
    <mergeCell ref="F45:I46"/>
    <mergeCell ref="J45:K46"/>
    <mergeCell ref="A47:A48"/>
    <mergeCell ref="B47:B48"/>
    <mergeCell ref="E47:E48"/>
    <mergeCell ref="F47:I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D984-D512-4F3B-BA0B-DE69371EDDF6}">
  <dimension ref="A1:EN37"/>
  <sheetViews>
    <sheetView zoomScale="79" zoomScaleNormal="100" workbookViewId="0">
      <pane ySplit="3" topLeftCell="A20" activePane="bottomLeft" state="frozen"/>
      <selection pane="bottomLeft" activeCell="I35" sqref="I35"/>
    </sheetView>
  </sheetViews>
  <sheetFormatPr defaultRowHeight="14.5" x14ac:dyDescent="0.35"/>
  <cols>
    <col min="1" max="1" width="5.7265625" customWidth="1"/>
    <col min="4" max="4" width="22.7265625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10.26953125" customWidth="1"/>
    <col min="14" max="14" width="16.7265625" customWidth="1"/>
    <col min="15" max="15" width="39.36328125" customWidth="1"/>
    <col min="16" max="144" width="8.7265625" style="456"/>
    <col min="244" max="244" width="5.7265625" customWidth="1"/>
    <col min="247" max="247" width="22.7265625" customWidth="1"/>
    <col min="248" max="248" width="6.26953125" customWidth="1"/>
    <col min="249" max="249" width="5.7265625" customWidth="1"/>
    <col min="250" max="250" width="6" customWidth="1"/>
    <col min="251" max="252" width="4.26953125" customWidth="1"/>
    <col min="253" max="253" width="4" customWidth="1"/>
    <col min="254" max="254" width="4.1796875" customWidth="1"/>
    <col min="255" max="255" width="4" customWidth="1"/>
    <col min="256" max="256" width="10.26953125" customWidth="1"/>
    <col min="257" max="257" width="16.7265625" customWidth="1"/>
    <col min="258" max="258" width="21" customWidth="1"/>
    <col min="500" max="500" width="5.7265625" customWidth="1"/>
    <col min="503" max="503" width="22.7265625" customWidth="1"/>
    <col min="504" max="504" width="6.26953125" customWidth="1"/>
    <col min="505" max="505" width="5.7265625" customWidth="1"/>
    <col min="506" max="506" width="6" customWidth="1"/>
    <col min="507" max="508" width="4.26953125" customWidth="1"/>
    <col min="509" max="509" width="4" customWidth="1"/>
    <col min="510" max="510" width="4.1796875" customWidth="1"/>
    <col min="511" max="511" width="4" customWidth="1"/>
    <col min="512" max="512" width="10.26953125" customWidth="1"/>
    <col min="513" max="513" width="16.7265625" customWidth="1"/>
    <col min="514" max="514" width="21" customWidth="1"/>
    <col min="756" max="756" width="5.7265625" customWidth="1"/>
    <col min="759" max="759" width="22.7265625" customWidth="1"/>
    <col min="760" max="760" width="6.26953125" customWidth="1"/>
    <col min="761" max="761" width="5.7265625" customWidth="1"/>
    <col min="762" max="762" width="6" customWidth="1"/>
    <col min="763" max="764" width="4.26953125" customWidth="1"/>
    <col min="765" max="765" width="4" customWidth="1"/>
    <col min="766" max="766" width="4.1796875" customWidth="1"/>
    <col min="767" max="767" width="4" customWidth="1"/>
    <col min="768" max="768" width="10.26953125" customWidth="1"/>
    <col min="769" max="769" width="16.7265625" customWidth="1"/>
    <col min="770" max="770" width="21" customWidth="1"/>
    <col min="1012" max="1012" width="5.7265625" customWidth="1"/>
    <col min="1015" max="1015" width="22.7265625" customWidth="1"/>
    <col min="1016" max="1016" width="6.26953125" customWidth="1"/>
    <col min="1017" max="1017" width="5.7265625" customWidth="1"/>
    <col min="1018" max="1018" width="6" customWidth="1"/>
    <col min="1019" max="1020" width="4.26953125" customWidth="1"/>
    <col min="1021" max="1021" width="4" customWidth="1"/>
    <col min="1022" max="1022" width="4.1796875" customWidth="1"/>
    <col min="1023" max="1023" width="4" customWidth="1"/>
    <col min="1024" max="1024" width="10.26953125" customWidth="1"/>
    <col min="1025" max="1025" width="16.7265625" customWidth="1"/>
    <col min="1026" max="1026" width="21" customWidth="1"/>
    <col min="1268" max="1268" width="5.7265625" customWidth="1"/>
    <col min="1271" max="1271" width="22.7265625" customWidth="1"/>
    <col min="1272" max="1272" width="6.26953125" customWidth="1"/>
    <col min="1273" max="1273" width="5.7265625" customWidth="1"/>
    <col min="1274" max="1274" width="6" customWidth="1"/>
    <col min="1275" max="1276" width="4.26953125" customWidth="1"/>
    <col min="1277" max="1277" width="4" customWidth="1"/>
    <col min="1278" max="1278" width="4.1796875" customWidth="1"/>
    <col min="1279" max="1279" width="4" customWidth="1"/>
    <col min="1280" max="1280" width="10.26953125" customWidth="1"/>
    <col min="1281" max="1281" width="16.7265625" customWidth="1"/>
    <col min="1282" max="1282" width="21" customWidth="1"/>
    <col min="1524" max="1524" width="5.7265625" customWidth="1"/>
    <col min="1527" max="1527" width="22.7265625" customWidth="1"/>
    <col min="1528" max="1528" width="6.26953125" customWidth="1"/>
    <col min="1529" max="1529" width="5.7265625" customWidth="1"/>
    <col min="1530" max="1530" width="6" customWidth="1"/>
    <col min="1531" max="1532" width="4.26953125" customWidth="1"/>
    <col min="1533" max="1533" width="4" customWidth="1"/>
    <col min="1534" max="1534" width="4.1796875" customWidth="1"/>
    <col min="1535" max="1535" width="4" customWidth="1"/>
    <col min="1536" max="1536" width="10.26953125" customWidth="1"/>
    <col min="1537" max="1537" width="16.7265625" customWidth="1"/>
    <col min="1538" max="1538" width="21" customWidth="1"/>
    <col min="1780" max="1780" width="5.7265625" customWidth="1"/>
    <col min="1783" max="1783" width="22.7265625" customWidth="1"/>
    <col min="1784" max="1784" width="6.26953125" customWidth="1"/>
    <col min="1785" max="1785" width="5.7265625" customWidth="1"/>
    <col min="1786" max="1786" width="6" customWidth="1"/>
    <col min="1787" max="1788" width="4.26953125" customWidth="1"/>
    <col min="1789" max="1789" width="4" customWidth="1"/>
    <col min="1790" max="1790" width="4.1796875" customWidth="1"/>
    <col min="1791" max="1791" width="4" customWidth="1"/>
    <col min="1792" max="1792" width="10.26953125" customWidth="1"/>
    <col min="1793" max="1793" width="16.7265625" customWidth="1"/>
    <col min="1794" max="1794" width="21" customWidth="1"/>
    <col min="2036" max="2036" width="5.7265625" customWidth="1"/>
    <col min="2039" max="2039" width="22.7265625" customWidth="1"/>
    <col min="2040" max="2040" width="6.26953125" customWidth="1"/>
    <col min="2041" max="2041" width="5.7265625" customWidth="1"/>
    <col min="2042" max="2042" width="6" customWidth="1"/>
    <col min="2043" max="2044" width="4.26953125" customWidth="1"/>
    <col min="2045" max="2045" width="4" customWidth="1"/>
    <col min="2046" max="2046" width="4.1796875" customWidth="1"/>
    <col min="2047" max="2047" width="4" customWidth="1"/>
    <col min="2048" max="2048" width="10.26953125" customWidth="1"/>
    <col min="2049" max="2049" width="16.7265625" customWidth="1"/>
    <col min="2050" max="2050" width="21" customWidth="1"/>
    <col min="2292" max="2292" width="5.7265625" customWidth="1"/>
    <col min="2295" max="2295" width="22.7265625" customWidth="1"/>
    <col min="2296" max="2296" width="6.26953125" customWidth="1"/>
    <col min="2297" max="2297" width="5.7265625" customWidth="1"/>
    <col min="2298" max="2298" width="6" customWidth="1"/>
    <col min="2299" max="2300" width="4.26953125" customWidth="1"/>
    <col min="2301" max="2301" width="4" customWidth="1"/>
    <col min="2302" max="2302" width="4.1796875" customWidth="1"/>
    <col min="2303" max="2303" width="4" customWidth="1"/>
    <col min="2304" max="2304" width="10.26953125" customWidth="1"/>
    <col min="2305" max="2305" width="16.7265625" customWidth="1"/>
    <col min="2306" max="2306" width="21" customWidth="1"/>
    <col min="2548" max="2548" width="5.7265625" customWidth="1"/>
    <col min="2551" max="2551" width="22.7265625" customWidth="1"/>
    <col min="2552" max="2552" width="6.26953125" customWidth="1"/>
    <col min="2553" max="2553" width="5.7265625" customWidth="1"/>
    <col min="2554" max="2554" width="6" customWidth="1"/>
    <col min="2555" max="2556" width="4.26953125" customWidth="1"/>
    <col min="2557" max="2557" width="4" customWidth="1"/>
    <col min="2558" max="2558" width="4.1796875" customWidth="1"/>
    <col min="2559" max="2559" width="4" customWidth="1"/>
    <col min="2560" max="2560" width="10.26953125" customWidth="1"/>
    <col min="2561" max="2561" width="16.7265625" customWidth="1"/>
    <col min="2562" max="2562" width="21" customWidth="1"/>
    <col min="2804" max="2804" width="5.7265625" customWidth="1"/>
    <col min="2807" max="2807" width="22.7265625" customWidth="1"/>
    <col min="2808" max="2808" width="6.26953125" customWidth="1"/>
    <col min="2809" max="2809" width="5.7265625" customWidth="1"/>
    <col min="2810" max="2810" width="6" customWidth="1"/>
    <col min="2811" max="2812" width="4.26953125" customWidth="1"/>
    <col min="2813" max="2813" width="4" customWidth="1"/>
    <col min="2814" max="2814" width="4.1796875" customWidth="1"/>
    <col min="2815" max="2815" width="4" customWidth="1"/>
    <col min="2816" max="2816" width="10.26953125" customWidth="1"/>
    <col min="2817" max="2817" width="16.7265625" customWidth="1"/>
    <col min="2818" max="2818" width="21" customWidth="1"/>
    <col min="3060" max="3060" width="5.7265625" customWidth="1"/>
    <col min="3063" max="3063" width="22.7265625" customWidth="1"/>
    <col min="3064" max="3064" width="6.26953125" customWidth="1"/>
    <col min="3065" max="3065" width="5.7265625" customWidth="1"/>
    <col min="3066" max="3066" width="6" customWidth="1"/>
    <col min="3067" max="3068" width="4.26953125" customWidth="1"/>
    <col min="3069" max="3069" width="4" customWidth="1"/>
    <col min="3070" max="3070" width="4.1796875" customWidth="1"/>
    <col min="3071" max="3071" width="4" customWidth="1"/>
    <col min="3072" max="3072" width="10.26953125" customWidth="1"/>
    <col min="3073" max="3073" width="16.7265625" customWidth="1"/>
    <col min="3074" max="3074" width="21" customWidth="1"/>
    <col min="3316" max="3316" width="5.7265625" customWidth="1"/>
    <col min="3319" max="3319" width="22.7265625" customWidth="1"/>
    <col min="3320" max="3320" width="6.26953125" customWidth="1"/>
    <col min="3321" max="3321" width="5.7265625" customWidth="1"/>
    <col min="3322" max="3322" width="6" customWidth="1"/>
    <col min="3323" max="3324" width="4.26953125" customWidth="1"/>
    <col min="3325" max="3325" width="4" customWidth="1"/>
    <col min="3326" max="3326" width="4.1796875" customWidth="1"/>
    <col min="3327" max="3327" width="4" customWidth="1"/>
    <col min="3328" max="3328" width="10.26953125" customWidth="1"/>
    <col min="3329" max="3329" width="16.7265625" customWidth="1"/>
    <col min="3330" max="3330" width="21" customWidth="1"/>
    <col min="3572" max="3572" width="5.7265625" customWidth="1"/>
    <col min="3575" max="3575" width="22.7265625" customWidth="1"/>
    <col min="3576" max="3576" width="6.26953125" customWidth="1"/>
    <col min="3577" max="3577" width="5.7265625" customWidth="1"/>
    <col min="3578" max="3578" width="6" customWidth="1"/>
    <col min="3579" max="3580" width="4.26953125" customWidth="1"/>
    <col min="3581" max="3581" width="4" customWidth="1"/>
    <col min="3582" max="3582" width="4.1796875" customWidth="1"/>
    <col min="3583" max="3583" width="4" customWidth="1"/>
    <col min="3584" max="3584" width="10.26953125" customWidth="1"/>
    <col min="3585" max="3585" width="16.7265625" customWidth="1"/>
    <col min="3586" max="3586" width="21" customWidth="1"/>
    <col min="3828" max="3828" width="5.7265625" customWidth="1"/>
    <col min="3831" max="3831" width="22.7265625" customWidth="1"/>
    <col min="3832" max="3832" width="6.26953125" customWidth="1"/>
    <col min="3833" max="3833" width="5.7265625" customWidth="1"/>
    <col min="3834" max="3834" width="6" customWidth="1"/>
    <col min="3835" max="3836" width="4.26953125" customWidth="1"/>
    <col min="3837" max="3837" width="4" customWidth="1"/>
    <col min="3838" max="3838" width="4.1796875" customWidth="1"/>
    <col min="3839" max="3839" width="4" customWidth="1"/>
    <col min="3840" max="3840" width="10.26953125" customWidth="1"/>
    <col min="3841" max="3841" width="16.7265625" customWidth="1"/>
    <col min="3842" max="3842" width="21" customWidth="1"/>
    <col min="4084" max="4084" width="5.7265625" customWidth="1"/>
    <col min="4087" max="4087" width="22.7265625" customWidth="1"/>
    <col min="4088" max="4088" width="6.26953125" customWidth="1"/>
    <col min="4089" max="4089" width="5.7265625" customWidth="1"/>
    <col min="4090" max="4090" width="6" customWidth="1"/>
    <col min="4091" max="4092" width="4.26953125" customWidth="1"/>
    <col min="4093" max="4093" width="4" customWidth="1"/>
    <col min="4094" max="4094" width="4.1796875" customWidth="1"/>
    <col min="4095" max="4095" width="4" customWidth="1"/>
    <col min="4096" max="4096" width="10.26953125" customWidth="1"/>
    <col min="4097" max="4097" width="16.7265625" customWidth="1"/>
    <col min="4098" max="4098" width="21" customWidth="1"/>
    <col min="4340" max="4340" width="5.7265625" customWidth="1"/>
    <col min="4343" max="4343" width="22.7265625" customWidth="1"/>
    <col min="4344" max="4344" width="6.26953125" customWidth="1"/>
    <col min="4345" max="4345" width="5.7265625" customWidth="1"/>
    <col min="4346" max="4346" width="6" customWidth="1"/>
    <col min="4347" max="4348" width="4.26953125" customWidth="1"/>
    <col min="4349" max="4349" width="4" customWidth="1"/>
    <col min="4350" max="4350" width="4.1796875" customWidth="1"/>
    <col min="4351" max="4351" width="4" customWidth="1"/>
    <col min="4352" max="4352" width="10.26953125" customWidth="1"/>
    <col min="4353" max="4353" width="16.7265625" customWidth="1"/>
    <col min="4354" max="4354" width="21" customWidth="1"/>
    <col min="4596" max="4596" width="5.7265625" customWidth="1"/>
    <col min="4599" max="4599" width="22.7265625" customWidth="1"/>
    <col min="4600" max="4600" width="6.26953125" customWidth="1"/>
    <col min="4601" max="4601" width="5.7265625" customWidth="1"/>
    <col min="4602" max="4602" width="6" customWidth="1"/>
    <col min="4603" max="4604" width="4.26953125" customWidth="1"/>
    <col min="4605" max="4605" width="4" customWidth="1"/>
    <col min="4606" max="4606" width="4.1796875" customWidth="1"/>
    <col min="4607" max="4607" width="4" customWidth="1"/>
    <col min="4608" max="4608" width="10.26953125" customWidth="1"/>
    <col min="4609" max="4609" width="16.7265625" customWidth="1"/>
    <col min="4610" max="4610" width="21" customWidth="1"/>
    <col min="4852" max="4852" width="5.7265625" customWidth="1"/>
    <col min="4855" max="4855" width="22.7265625" customWidth="1"/>
    <col min="4856" max="4856" width="6.26953125" customWidth="1"/>
    <col min="4857" max="4857" width="5.7265625" customWidth="1"/>
    <col min="4858" max="4858" width="6" customWidth="1"/>
    <col min="4859" max="4860" width="4.26953125" customWidth="1"/>
    <col min="4861" max="4861" width="4" customWidth="1"/>
    <col min="4862" max="4862" width="4.1796875" customWidth="1"/>
    <col min="4863" max="4863" width="4" customWidth="1"/>
    <col min="4864" max="4864" width="10.26953125" customWidth="1"/>
    <col min="4865" max="4865" width="16.7265625" customWidth="1"/>
    <col min="4866" max="4866" width="21" customWidth="1"/>
    <col min="5108" max="5108" width="5.7265625" customWidth="1"/>
    <col min="5111" max="5111" width="22.7265625" customWidth="1"/>
    <col min="5112" max="5112" width="6.26953125" customWidth="1"/>
    <col min="5113" max="5113" width="5.7265625" customWidth="1"/>
    <col min="5114" max="5114" width="6" customWidth="1"/>
    <col min="5115" max="5116" width="4.26953125" customWidth="1"/>
    <col min="5117" max="5117" width="4" customWidth="1"/>
    <col min="5118" max="5118" width="4.1796875" customWidth="1"/>
    <col min="5119" max="5119" width="4" customWidth="1"/>
    <col min="5120" max="5120" width="10.26953125" customWidth="1"/>
    <col min="5121" max="5121" width="16.7265625" customWidth="1"/>
    <col min="5122" max="5122" width="21" customWidth="1"/>
    <col min="5364" max="5364" width="5.7265625" customWidth="1"/>
    <col min="5367" max="5367" width="22.7265625" customWidth="1"/>
    <col min="5368" max="5368" width="6.26953125" customWidth="1"/>
    <col min="5369" max="5369" width="5.7265625" customWidth="1"/>
    <col min="5370" max="5370" width="6" customWidth="1"/>
    <col min="5371" max="5372" width="4.26953125" customWidth="1"/>
    <col min="5373" max="5373" width="4" customWidth="1"/>
    <col min="5374" max="5374" width="4.1796875" customWidth="1"/>
    <col min="5375" max="5375" width="4" customWidth="1"/>
    <col min="5376" max="5376" width="10.26953125" customWidth="1"/>
    <col min="5377" max="5377" width="16.7265625" customWidth="1"/>
    <col min="5378" max="5378" width="21" customWidth="1"/>
    <col min="5620" max="5620" width="5.7265625" customWidth="1"/>
    <col min="5623" max="5623" width="22.7265625" customWidth="1"/>
    <col min="5624" max="5624" width="6.26953125" customWidth="1"/>
    <col min="5625" max="5625" width="5.7265625" customWidth="1"/>
    <col min="5626" max="5626" width="6" customWidth="1"/>
    <col min="5627" max="5628" width="4.26953125" customWidth="1"/>
    <col min="5629" max="5629" width="4" customWidth="1"/>
    <col min="5630" max="5630" width="4.1796875" customWidth="1"/>
    <col min="5631" max="5631" width="4" customWidth="1"/>
    <col min="5632" max="5632" width="10.26953125" customWidth="1"/>
    <col min="5633" max="5633" width="16.7265625" customWidth="1"/>
    <col min="5634" max="5634" width="21" customWidth="1"/>
    <col min="5876" max="5876" width="5.7265625" customWidth="1"/>
    <col min="5879" max="5879" width="22.7265625" customWidth="1"/>
    <col min="5880" max="5880" width="6.26953125" customWidth="1"/>
    <col min="5881" max="5881" width="5.7265625" customWidth="1"/>
    <col min="5882" max="5882" width="6" customWidth="1"/>
    <col min="5883" max="5884" width="4.26953125" customWidth="1"/>
    <col min="5885" max="5885" width="4" customWidth="1"/>
    <col min="5886" max="5886" width="4.1796875" customWidth="1"/>
    <col min="5887" max="5887" width="4" customWidth="1"/>
    <col min="5888" max="5888" width="10.26953125" customWidth="1"/>
    <col min="5889" max="5889" width="16.7265625" customWidth="1"/>
    <col min="5890" max="5890" width="21" customWidth="1"/>
    <col min="6132" max="6132" width="5.7265625" customWidth="1"/>
    <col min="6135" max="6135" width="22.7265625" customWidth="1"/>
    <col min="6136" max="6136" width="6.26953125" customWidth="1"/>
    <col min="6137" max="6137" width="5.7265625" customWidth="1"/>
    <col min="6138" max="6138" width="6" customWidth="1"/>
    <col min="6139" max="6140" width="4.26953125" customWidth="1"/>
    <col min="6141" max="6141" width="4" customWidth="1"/>
    <col min="6142" max="6142" width="4.1796875" customWidth="1"/>
    <col min="6143" max="6143" width="4" customWidth="1"/>
    <col min="6144" max="6144" width="10.26953125" customWidth="1"/>
    <col min="6145" max="6145" width="16.7265625" customWidth="1"/>
    <col min="6146" max="6146" width="21" customWidth="1"/>
    <col min="6388" max="6388" width="5.7265625" customWidth="1"/>
    <col min="6391" max="6391" width="22.7265625" customWidth="1"/>
    <col min="6392" max="6392" width="6.26953125" customWidth="1"/>
    <col min="6393" max="6393" width="5.7265625" customWidth="1"/>
    <col min="6394" max="6394" width="6" customWidth="1"/>
    <col min="6395" max="6396" width="4.26953125" customWidth="1"/>
    <col min="6397" max="6397" width="4" customWidth="1"/>
    <col min="6398" max="6398" width="4.1796875" customWidth="1"/>
    <col min="6399" max="6399" width="4" customWidth="1"/>
    <col min="6400" max="6400" width="10.26953125" customWidth="1"/>
    <col min="6401" max="6401" width="16.7265625" customWidth="1"/>
    <col min="6402" max="6402" width="21" customWidth="1"/>
    <col min="6644" max="6644" width="5.7265625" customWidth="1"/>
    <col min="6647" max="6647" width="22.7265625" customWidth="1"/>
    <col min="6648" max="6648" width="6.26953125" customWidth="1"/>
    <col min="6649" max="6649" width="5.7265625" customWidth="1"/>
    <col min="6650" max="6650" width="6" customWidth="1"/>
    <col min="6651" max="6652" width="4.26953125" customWidth="1"/>
    <col min="6653" max="6653" width="4" customWidth="1"/>
    <col min="6654" max="6654" width="4.1796875" customWidth="1"/>
    <col min="6655" max="6655" width="4" customWidth="1"/>
    <col min="6656" max="6656" width="10.26953125" customWidth="1"/>
    <col min="6657" max="6657" width="16.7265625" customWidth="1"/>
    <col min="6658" max="6658" width="21" customWidth="1"/>
    <col min="6900" max="6900" width="5.7265625" customWidth="1"/>
    <col min="6903" max="6903" width="22.7265625" customWidth="1"/>
    <col min="6904" max="6904" width="6.26953125" customWidth="1"/>
    <col min="6905" max="6905" width="5.7265625" customWidth="1"/>
    <col min="6906" max="6906" width="6" customWidth="1"/>
    <col min="6907" max="6908" width="4.26953125" customWidth="1"/>
    <col min="6909" max="6909" width="4" customWidth="1"/>
    <col min="6910" max="6910" width="4.1796875" customWidth="1"/>
    <col min="6911" max="6911" width="4" customWidth="1"/>
    <col min="6912" max="6912" width="10.26953125" customWidth="1"/>
    <col min="6913" max="6913" width="16.7265625" customWidth="1"/>
    <col min="6914" max="6914" width="21" customWidth="1"/>
    <col min="7156" max="7156" width="5.7265625" customWidth="1"/>
    <col min="7159" max="7159" width="22.7265625" customWidth="1"/>
    <col min="7160" max="7160" width="6.26953125" customWidth="1"/>
    <col min="7161" max="7161" width="5.7265625" customWidth="1"/>
    <col min="7162" max="7162" width="6" customWidth="1"/>
    <col min="7163" max="7164" width="4.26953125" customWidth="1"/>
    <col min="7165" max="7165" width="4" customWidth="1"/>
    <col min="7166" max="7166" width="4.1796875" customWidth="1"/>
    <col min="7167" max="7167" width="4" customWidth="1"/>
    <col min="7168" max="7168" width="10.26953125" customWidth="1"/>
    <col min="7169" max="7169" width="16.7265625" customWidth="1"/>
    <col min="7170" max="7170" width="21" customWidth="1"/>
    <col min="7412" max="7412" width="5.7265625" customWidth="1"/>
    <col min="7415" max="7415" width="22.7265625" customWidth="1"/>
    <col min="7416" max="7416" width="6.26953125" customWidth="1"/>
    <col min="7417" max="7417" width="5.7265625" customWidth="1"/>
    <col min="7418" max="7418" width="6" customWidth="1"/>
    <col min="7419" max="7420" width="4.26953125" customWidth="1"/>
    <col min="7421" max="7421" width="4" customWidth="1"/>
    <col min="7422" max="7422" width="4.1796875" customWidth="1"/>
    <col min="7423" max="7423" width="4" customWidth="1"/>
    <col min="7424" max="7424" width="10.26953125" customWidth="1"/>
    <col min="7425" max="7425" width="16.7265625" customWidth="1"/>
    <col min="7426" max="7426" width="21" customWidth="1"/>
    <col min="7668" max="7668" width="5.7265625" customWidth="1"/>
    <col min="7671" max="7671" width="22.7265625" customWidth="1"/>
    <col min="7672" max="7672" width="6.26953125" customWidth="1"/>
    <col min="7673" max="7673" width="5.7265625" customWidth="1"/>
    <col min="7674" max="7674" width="6" customWidth="1"/>
    <col min="7675" max="7676" width="4.26953125" customWidth="1"/>
    <col min="7677" max="7677" width="4" customWidth="1"/>
    <col min="7678" max="7678" width="4.1796875" customWidth="1"/>
    <col min="7679" max="7679" width="4" customWidth="1"/>
    <col min="7680" max="7680" width="10.26953125" customWidth="1"/>
    <col min="7681" max="7681" width="16.7265625" customWidth="1"/>
    <col min="7682" max="7682" width="21" customWidth="1"/>
    <col min="7924" max="7924" width="5.7265625" customWidth="1"/>
    <col min="7927" max="7927" width="22.7265625" customWidth="1"/>
    <col min="7928" max="7928" width="6.26953125" customWidth="1"/>
    <col min="7929" max="7929" width="5.7265625" customWidth="1"/>
    <col min="7930" max="7930" width="6" customWidth="1"/>
    <col min="7931" max="7932" width="4.26953125" customWidth="1"/>
    <col min="7933" max="7933" width="4" customWidth="1"/>
    <col min="7934" max="7934" width="4.1796875" customWidth="1"/>
    <col min="7935" max="7935" width="4" customWidth="1"/>
    <col min="7936" max="7936" width="10.26953125" customWidth="1"/>
    <col min="7937" max="7937" width="16.7265625" customWidth="1"/>
    <col min="7938" max="7938" width="21" customWidth="1"/>
    <col min="8180" max="8180" width="5.7265625" customWidth="1"/>
    <col min="8183" max="8183" width="22.7265625" customWidth="1"/>
    <col min="8184" max="8184" width="6.26953125" customWidth="1"/>
    <col min="8185" max="8185" width="5.7265625" customWidth="1"/>
    <col min="8186" max="8186" width="6" customWidth="1"/>
    <col min="8187" max="8188" width="4.26953125" customWidth="1"/>
    <col min="8189" max="8189" width="4" customWidth="1"/>
    <col min="8190" max="8190" width="4.1796875" customWidth="1"/>
    <col min="8191" max="8191" width="4" customWidth="1"/>
    <col min="8192" max="8192" width="10.26953125" customWidth="1"/>
    <col min="8193" max="8193" width="16.7265625" customWidth="1"/>
    <col min="8194" max="8194" width="21" customWidth="1"/>
    <col min="8436" max="8436" width="5.7265625" customWidth="1"/>
    <col min="8439" max="8439" width="22.7265625" customWidth="1"/>
    <col min="8440" max="8440" width="6.26953125" customWidth="1"/>
    <col min="8441" max="8441" width="5.7265625" customWidth="1"/>
    <col min="8442" max="8442" width="6" customWidth="1"/>
    <col min="8443" max="8444" width="4.26953125" customWidth="1"/>
    <col min="8445" max="8445" width="4" customWidth="1"/>
    <col min="8446" max="8446" width="4.1796875" customWidth="1"/>
    <col min="8447" max="8447" width="4" customWidth="1"/>
    <col min="8448" max="8448" width="10.26953125" customWidth="1"/>
    <col min="8449" max="8449" width="16.7265625" customWidth="1"/>
    <col min="8450" max="8450" width="21" customWidth="1"/>
    <col min="8692" max="8692" width="5.7265625" customWidth="1"/>
    <col min="8695" max="8695" width="22.7265625" customWidth="1"/>
    <col min="8696" max="8696" width="6.26953125" customWidth="1"/>
    <col min="8697" max="8697" width="5.7265625" customWidth="1"/>
    <col min="8698" max="8698" width="6" customWidth="1"/>
    <col min="8699" max="8700" width="4.26953125" customWidth="1"/>
    <col min="8701" max="8701" width="4" customWidth="1"/>
    <col min="8702" max="8702" width="4.1796875" customWidth="1"/>
    <col min="8703" max="8703" width="4" customWidth="1"/>
    <col min="8704" max="8704" width="10.26953125" customWidth="1"/>
    <col min="8705" max="8705" width="16.7265625" customWidth="1"/>
    <col min="8706" max="8706" width="21" customWidth="1"/>
    <col min="8948" max="8948" width="5.7265625" customWidth="1"/>
    <col min="8951" max="8951" width="22.7265625" customWidth="1"/>
    <col min="8952" max="8952" width="6.26953125" customWidth="1"/>
    <col min="8953" max="8953" width="5.7265625" customWidth="1"/>
    <col min="8954" max="8954" width="6" customWidth="1"/>
    <col min="8955" max="8956" width="4.26953125" customWidth="1"/>
    <col min="8957" max="8957" width="4" customWidth="1"/>
    <col min="8958" max="8958" width="4.1796875" customWidth="1"/>
    <col min="8959" max="8959" width="4" customWidth="1"/>
    <col min="8960" max="8960" width="10.26953125" customWidth="1"/>
    <col min="8961" max="8961" width="16.7265625" customWidth="1"/>
    <col min="8962" max="8962" width="21" customWidth="1"/>
    <col min="9204" max="9204" width="5.7265625" customWidth="1"/>
    <col min="9207" max="9207" width="22.7265625" customWidth="1"/>
    <col min="9208" max="9208" width="6.26953125" customWidth="1"/>
    <col min="9209" max="9209" width="5.7265625" customWidth="1"/>
    <col min="9210" max="9210" width="6" customWidth="1"/>
    <col min="9211" max="9212" width="4.26953125" customWidth="1"/>
    <col min="9213" max="9213" width="4" customWidth="1"/>
    <col min="9214" max="9214" width="4.1796875" customWidth="1"/>
    <col min="9215" max="9215" width="4" customWidth="1"/>
    <col min="9216" max="9216" width="10.26953125" customWidth="1"/>
    <col min="9217" max="9217" width="16.7265625" customWidth="1"/>
    <col min="9218" max="9218" width="21" customWidth="1"/>
    <col min="9460" max="9460" width="5.7265625" customWidth="1"/>
    <col min="9463" max="9463" width="22.7265625" customWidth="1"/>
    <col min="9464" max="9464" width="6.26953125" customWidth="1"/>
    <col min="9465" max="9465" width="5.7265625" customWidth="1"/>
    <col min="9466" max="9466" width="6" customWidth="1"/>
    <col min="9467" max="9468" width="4.26953125" customWidth="1"/>
    <col min="9469" max="9469" width="4" customWidth="1"/>
    <col min="9470" max="9470" width="4.1796875" customWidth="1"/>
    <col min="9471" max="9471" width="4" customWidth="1"/>
    <col min="9472" max="9472" width="10.26953125" customWidth="1"/>
    <col min="9473" max="9473" width="16.7265625" customWidth="1"/>
    <col min="9474" max="9474" width="21" customWidth="1"/>
    <col min="9716" max="9716" width="5.7265625" customWidth="1"/>
    <col min="9719" max="9719" width="22.7265625" customWidth="1"/>
    <col min="9720" max="9720" width="6.26953125" customWidth="1"/>
    <col min="9721" max="9721" width="5.7265625" customWidth="1"/>
    <col min="9722" max="9722" width="6" customWidth="1"/>
    <col min="9723" max="9724" width="4.26953125" customWidth="1"/>
    <col min="9725" max="9725" width="4" customWidth="1"/>
    <col min="9726" max="9726" width="4.1796875" customWidth="1"/>
    <col min="9727" max="9727" width="4" customWidth="1"/>
    <col min="9728" max="9728" width="10.26953125" customWidth="1"/>
    <col min="9729" max="9729" width="16.7265625" customWidth="1"/>
    <col min="9730" max="9730" width="21" customWidth="1"/>
    <col min="9972" max="9972" width="5.7265625" customWidth="1"/>
    <col min="9975" max="9975" width="22.7265625" customWidth="1"/>
    <col min="9976" max="9976" width="6.26953125" customWidth="1"/>
    <col min="9977" max="9977" width="5.7265625" customWidth="1"/>
    <col min="9978" max="9978" width="6" customWidth="1"/>
    <col min="9979" max="9980" width="4.26953125" customWidth="1"/>
    <col min="9981" max="9981" width="4" customWidth="1"/>
    <col min="9982" max="9982" width="4.1796875" customWidth="1"/>
    <col min="9983" max="9983" width="4" customWidth="1"/>
    <col min="9984" max="9984" width="10.26953125" customWidth="1"/>
    <col min="9985" max="9985" width="16.7265625" customWidth="1"/>
    <col min="9986" max="9986" width="21" customWidth="1"/>
    <col min="10228" max="10228" width="5.7265625" customWidth="1"/>
    <col min="10231" max="10231" width="22.7265625" customWidth="1"/>
    <col min="10232" max="10232" width="6.26953125" customWidth="1"/>
    <col min="10233" max="10233" width="5.7265625" customWidth="1"/>
    <col min="10234" max="10234" width="6" customWidth="1"/>
    <col min="10235" max="10236" width="4.26953125" customWidth="1"/>
    <col min="10237" max="10237" width="4" customWidth="1"/>
    <col min="10238" max="10238" width="4.1796875" customWidth="1"/>
    <col min="10239" max="10239" width="4" customWidth="1"/>
    <col min="10240" max="10240" width="10.26953125" customWidth="1"/>
    <col min="10241" max="10241" width="16.7265625" customWidth="1"/>
    <col min="10242" max="10242" width="21" customWidth="1"/>
    <col min="10484" max="10484" width="5.7265625" customWidth="1"/>
    <col min="10487" max="10487" width="22.7265625" customWidth="1"/>
    <col min="10488" max="10488" width="6.26953125" customWidth="1"/>
    <col min="10489" max="10489" width="5.7265625" customWidth="1"/>
    <col min="10490" max="10490" width="6" customWidth="1"/>
    <col min="10491" max="10492" width="4.26953125" customWidth="1"/>
    <col min="10493" max="10493" width="4" customWidth="1"/>
    <col min="10494" max="10494" width="4.1796875" customWidth="1"/>
    <col min="10495" max="10495" width="4" customWidth="1"/>
    <col min="10496" max="10496" width="10.26953125" customWidth="1"/>
    <col min="10497" max="10497" width="16.7265625" customWidth="1"/>
    <col min="10498" max="10498" width="21" customWidth="1"/>
    <col min="10740" max="10740" width="5.7265625" customWidth="1"/>
    <col min="10743" max="10743" width="22.7265625" customWidth="1"/>
    <col min="10744" max="10744" width="6.26953125" customWidth="1"/>
    <col min="10745" max="10745" width="5.7265625" customWidth="1"/>
    <col min="10746" max="10746" width="6" customWidth="1"/>
    <col min="10747" max="10748" width="4.26953125" customWidth="1"/>
    <col min="10749" max="10749" width="4" customWidth="1"/>
    <col min="10750" max="10750" width="4.1796875" customWidth="1"/>
    <col min="10751" max="10751" width="4" customWidth="1"/>
    <col min="10752" max="10752" width="10.26953125" customWidth="1"/>
    <col min="10753" max="10753" width="16.7265625" customWidth="1"/>
    <col min="10754" max="10754" width="21" customWidth="1"/>
    <col min="10996" max="10996" width="5.7265625" customWidth="1"/>
    <col min="10999" max="10999" width="22.7265625" customWidth="1"/>
    <col min="11000" max="11000" width="6.26953125" customWidth="1"/>
    <col min="11001" max="11001" width="5.7265625" customWidth="1"/>
    <col min="11002" max="11002" width="6" customWidth="1"/>
    <col min="11003" max="11004" width="4.26953125" customWidth="1"/>
    <col min="11005" max="11005" width="4" customWidth="1"/>
    <col min="11006" max="11006" width="4.1796875" customWidth="1"/>
    <col min="11007" max="11007" width="4" customWidth="1"/>
    <col min="11008" max="11008" width="10.26953125" customWidth="1"/>
    <col min="11009" max="11009" width="16.7265625" customWidth="1"/>
    <col min="11010" max="11010" width="21" customWidth="1"/>
    <col min="11252" max="11252" width="5.7265625" customWidth="1"/>
    <col min="11255" max="11255" width="22.7265625" customWidth="1"/>
    <col min="11256" max="11256" width="6.26953125" customWidth="1"/>
    <col min="11257" max="11257" width="5.7265625" customWidth="1"/>
    <col min="11258" max="11258" width="6" customWidth="1"/>
    <col min="11259" max="11260" width="4.26953125" customWidth="1"/>
    <col min="11261" max="11261" width="4" customWidth="1"/>
    <col min="11262" max="11262" width="4.1796875" customWidth="1"/>
    <col min="11263" max="11263" width="4" customWidth="1"/>
    <col min="11264" max="11264" width="10.26953125" customWidth="1"/>
    <col min="11265" max="11265" width="16.7265625" customWidth="1"/>
    <col min="11266" max="11266" width="21" customWidth="1"/>
    <col min="11508" max="11508" width="5.7265625" customWidth="1"/>
    <col min="11511" max="11511" width="22.7265625" customWidth="1"/>
    <col min="11512" max="11512" width="6.26953125" customWidth="1"/>
    <col min="11513" max="11513" width="5.7265625" customWidth="1"/>
    <col min="11514" max="11514" width="6" customWidth="1"/>
    <col min="11515" max="11516" width="4.26953125" customWidth="1"/>
    <col min="11517" max="11517" width="4" customWidth="1"/>
    <col min="11518" max="11518" width="4.1796875" customWidth="1"/>
    <col min="11519" max="11519" width="4" customWidth="1"/>
    <col min="11520" max="11520" width="10.26953125" customWidth="1"/>
    <col min="11521" max="11521" width="16.7265625" customWidth="1"/>
    <col min="11522" max="11522" width="21" customWidth="1"/>
    <col min="11764" max="11764" width="5.7265625" customWidth="1"/>
    <col min="11767" max="11767" width="22.7265625" customWidth="1"/>
    <col min="11768" max="11768" width="6.26953125" customWidth="1"/>
    <col min="11769" max="11769" width="5.7265625" customWidth="1"/>
    <col min="11770" max="11770" width="6" customWidth="1"/>
    <col min="11771" max="11772" width="4.26953125" customWidth="1"/>
    <col min="11773" max="11773" width="4" customWidth="1"/>
    <col min="11774" max="11774" width="4.1796875" customWidth="1"/>
    <col min="11775" max="11775" width="4" customWidth="1"/>
    <col min="11776" max="11776" width="10.26953125" customWidth="1"/>
    <col min="11777" max="11777" width="16.7265625" customWidth="1"/>
    <col min="11778" max="11778" width="21" customWidth="1"/>
    <col min="12020" max="12020" width="5.7265625" customWidth="1"/>
    <col min="12023" max="12023" width="22.7265625" customWidth="1"/>
    <col min="12024" max="12024" width="6.26953125" customWidth="1"/>
    <col min="12025" max="12025" width="5.7265625" customWidth="1"/>
    <col min="12026" max="12026" width="6" customWidth="1"/>
    <col min="12027" max="12028" width="4.26953125" customWidth="1"/>
    <col min="12029" max="12029" width="4" customWidth="1"/>
    <col min="12030" max="12030" width="4.1796875" customWidth="1"/>
    <col min="12031" max="12031" width="4" customWidth="1"/>
    <col min="12032" max="12032" width="10.26953125" customWidth="1"/>
    <col min="12033" max="12033" width="16.7265625" customWidth="1"/>
    <col min="12034" max="12034" width="21" customWidth="1"/>
    <col min="12276" max="12276" width="5.7265625" customWidth="1"/>
    <col min="12279" max="12279" width="22.7265625" customWidth="1"/>
    <col min="12280" max="12280" width="6.26953125" customWidth="1"/>
    <col min="12281" max="12281" width="5.7265625" customWidth="1"/>
    <col min="12282" max="12282" width="6" customWidth="1"/>
    <col min="12283" max="12284" width="4.26953125" customWidth="1"/>
    <col min="12285" max="12285" width="4" customWidth="1"/>
    <col min="12286" max="12286" width="4.1796875" customWidth="1"/>
    <col min="12287" max="12287" width="4" customWidth="1"/>
    <col min="12288" max="12288" width="10.26953125" customWidth="1"/>
    <col min="12289" max="12289" width="16.7265625" customWidth="1"/>
    <col min="12290" max="12290" width="21" customWidth="1"/>
    <col min="12532" max="12532" width="5.7265625" customWidth="1"/>
    <col min="12535" max="12535" width="22.7265625" customWidth="1"/>
    <col min="12536" max="12536" width="6.26953125" customWidth="1"/>
    <col min="12537" max="12537" width="5.7265625" customWidth="1"/>
    <col min="12538" max="12538" width="6" customWidth="1"/>
    <col min="12539" max="12540" width="4.26953125" customWidth="1"/>
    <col min="12541" max="12541" width="4" customWidth="1"/>
    <col min="12542" max="12542" width="4.1796875" customWidth="1"/>
    <col min="12543" max="12543" width="4" customWidth="1"/>
    <col min="12544" max="12544" width="10.26953125" customWidth="1"/>
    <col min="12545" max="12545" width="16.7265625" customWidth="1"/>
    <col min="12546" max="12546" width="21" customWidth="1"/>
    <col min="12788" max="12788" width="5.7265625" customWidth="1"/>
    <col min="12791" max="12791" width="22.7265625" customWidth="1"/>
    <col min="12792" max="12792" width="6.26953125" customWidth="1"/>
    <col min="12793" max="12793" width="5.7265625" customWidth="1"/>
    <col min="12794" max="12794" width="6" customWidth="1"/>
    <col min="12795" max="12796" width="4.26953125" customWidth="1"/>
    <col min="12797" max="12797" width="4" customWidth="1"/>
    <col min="12798" max="12798" width="4.1796875" customWidth="1"/>
    <col min="12799" max="12799" width="4" customWidth="1"/>
    <col min="12800" max="12800" width="10.26953125" customWidth="1"/>
    <col min="12801" max="12801" width="16.7265625" customWidth="1"/>
    <col min="12802" max="12802" width="21" customWidth="1"/>
    <col min="13044" max="13044" width="5.7265625" customWidth="1"/>
    <col min="13047" max="13047" width="22.7265625" customWidth="1"/>
    <col min="13048" max="13048" width="6.26953125" customWidth="1"/>
    <col min="13049" max="13049" width="5.7265625" customWidth="1"/>
    <col min="13050" max="13050" width="6" customWidth="1"/>
    <col min="13051" max="13052" width="4.26953125" customWidth="1"/>
    <col min="13053" max="13053" width="4" customWidth="1"/>
    <col min="13054" max="13054" width="4.1796875" customWidth="1"/>
    <col min="13055" max="13055" width="4" customWidth="1"/>
    <col min="13056" max="13056" width="10.26953125" customWidth="1"/>
    <col min="13057" max="13057" width="16.7265625" customWidth="1"/>
    <col min="13058" max="13058" width="21" customWidth="1"/>
    <col min="13300" max="13300" width="5.7265625" customWidth="1"/>
    <col min="13303" max="13303" width="22.7265625" customWidth="1"/>
    <col min="13304" max="13304" width="6.26953125" customWidth="1"/>
    <col min="13305" max="13305" width="5.7265625" customWidth="1"/>
    <col min="13306" max="13306" width="6" customWidth="1"/>
    <col min="13307" max="13308" width="4.26953125" customWidth="1"/>
    <col min="13309" max="13309" width="4" customWidth="1"/>
    <col min="13310" max="13310" width="4.1796875" customWidth="1"/>
    <col min="13311" max="13311" width="4" customWidth="1"/>
    <col min="13312" max="13312" width="10.26953125" customWidth="1"/>
    <col min="13313" max="13313" width="16.7265625" customWidth="1"/>
    <col min="13314" max="13314" width="21" customWidth="1"/>
    <col min="13556" max="13556" width="5.7265625" customWidth="1"/>
    <col min="13559" max="13559" width="22.7265625" customWidth="1"/>
    <col min="13560" max="13560" width="6.26953125" customWidth="1"/>
    <col min="13561" max="13561" width="5.7265625" customWidth="1"/>
    <col min="13562" max="13562" width="6" customWidth="1"/>
    <col min="13563" max="13564" width="4.26953125" customWidth="1"/>
    <col min="13565" max="13565" width="4" customWidth="1"/>
    <col min="13566" max="13566" width="4.1796875" customWidth="1"/>
    <col min="13567" max="13567" width="4" customWidth="1"/>
    <col min="13568" max="13568" width="10.26953125" customWidth="1"/>
    <col min="13569" max="13569" width="16.7265625" customWidth="1"/>
    <col min="13570" max="13570" width="21" customWidth="1"/>
    <col min="13812" max="13812" width="5.7265625" customWidth="1"/>
    <col min="13815" max="13815" width="22.7265625" customWidth="1"/>
    <col min="13816" max="13816" width="6.26953125" customWidth="1"/>
    <col min="13817" max="13817" width="5.7265625" customWidth="1"/>
    <col min="13818" max="13818" width="6" customWidth="1"/>
    <col min="13819" max="13820" width="4.26953125" customWidth="1"/>
    <col min="13821" max="13821" width="4" customWidth="1"/>
    <col min="13822" max="13822" width="4.1796875" customWidth="1"/>
    <col min="13823" max="13823" width="4" customWidth="1"/>
    <col min="13824" max="13824" width="10.26953125" customWidth="1"/>
    <col min="13825" max="13825" width="16.7265625" customWidth="1"/>
    <col min="13826" max="13826" width="21" customWidth="1"/>
    <col min="14068" max="14068" width="5.7265625" customWidth="1"/>
    <col min="14071" max="14071" width="22.7265625" customWidth="1"/>
    <col min="14072" max="14072" width="6.26953125" customWidth="1"/>
    <col min="14073" max="14073" width="5.7265625" customWidth="1"/>
    <col min="14074" max="14074" width="6" customWidth="1"/>
    <col min="14075" max="14076" width="4.26953125" customWidth="1"/>
    <col min="14077" max="14077" width="4" customWidth="1"/>
    <col min="14078" max="14078" width="4.1796875" customWidth="1"/>
    <col min="14079" max="14079" width="4" customWidth="1"/>
    <col min="14080" max="14080" width="10.26953125" customWidth="1"/>
    <col min="14081" max="14081" width="16.7265625" customWidth="1"/>
    <col min="14082" max="14082" width="21" customWidth="1"/>
    <col min="14324" max="14324" width="5.7265625" customWidth="1"/>
    <col min="14327" max="14327" width="22.7265625" customWidth="1"/>
    <col min="14328" max="14328" width="6.26953125" customWidth="1"/>
    <col min="14329" max="14329" width="5.7265625" customWidth="1"/>
    <col min="14330" max="14330" width="6" customWidth="1"/>
    <col min="14331" max="14332" width="4.26953125" customWidth="1"/>
    <col min="14333" max="14333" width="4" customWidth="1"/>
    <col min="14334" max="14334" width="4.1796875" customWidth="1"/>
    <col min="14335" max="14335" width="4" customWidth="1"/>
    <col min="14336" max="14336" width="10.26953125" customWidth="1"/>
    <col min="14337" max="14337" width="16.7265625" customWidth="1"/>
    <col min="14338" max="14338" width="21" customWidth="1"/>
    <col min="14580" max="14580" width="5.7265625" customWidth="1"/>
    <col min="14583" max="14583" width="22.7265625" customWidth="1"/>
    <col min="14584" max="14584" width="6.26953125" customWidth="1"/>
    <col min="14585" max="14585" width="5.7265625" customWidth="1"/>
    <col min="14586" max="14586" width="6" customWidth="1"/>
    <col min="14587" max="14588" width="4.26953125" customWidth="1"/>
    <col min="14589" max="14589" width="4" customWidth="1"/>
    <col min="14590" max="14590" width="4.1796875" customWidth="1"/>
    <col min="14591" max="14591" width="4" customWidth="1"/>
    <col min="14592" max="14592" width="10.26953125" customWidth="1"/>
    <col min="14593" max="14593" width="16.7265625" customWidth="1"/>
    <col min="14594" max="14594" width="21" customWidth="1"/>
    <col min="14836" max="14836" width="5.7265625" customWidth="1"/>
    <col min="14839" max="14839" width="22.7265625" customWidth="1"/>
    <col min="14840" max="14840" width="6.26953125" customWidth="1"/>
    <col min="14841" max="14841" width="5.7265625" customWidth="1"/>
    <col min="14842" max="14842" width="6" customWidth="1"/>
    <col min="14843" max="14844" width="4.26953125" customWidth="1"/>
    <col min="14845" max="14845" width="4" customWidth="1"/>
    <col min="14846" max="14846" width="4.1796875" customWidth="1"/>
    <col min="14847" max="14847" width="4" customWidth="1"/>
    <col min="14848" max="14848" width="10.26953125" customWidth="1"/>
    <col min="14849" max="14849" width="16.7265625" customWidth="1"/>
    <col min="14850" max="14850" width="21" customWidth="1"/>
    <col min="15092" max="15092" width="5.7265625" customWidth="1"/>
    <col min="15095" max="15095" width="22.7265625" customWidth="1"/>
    <col min="15096" max="15096" width="6.26953125" customWidth="1"/>
    <col min="15097" max="15097" width="5.7265625" customWidth="1"/>
    <col min="15098" max="15098" width="6" customWidth="1"/>
    <col min="15099" max="15100" width="4.26953125" customWidth="1"/>
    <col min="15101" max="15101" width="4" customWidth="1"/>
    <col min="15102" max="15102" width="4.1796875" customWidth="1"/>
    <col min="15103" max="15103" width="4" customWidth="1"/>
    <col min="15104" max="15104" width="10.26953125" customWidth="1"/>
    <col min="15105" max="15105" width="16.7265625" customWidth="1"/>
    <col min="15106" max="15106" width="21" customWidth="1"/>
    <col min="15348" max="15348" width="5.7265625" customWidth="1"/>
    <col min="15351" max="15351" width="22.7265625" customWidth="1"/>
    <col min="15352" max="15352" width="6.26953125" customWidth="1"/>
    <col min="15353" max="15353" width="5.7265625" customWidth="1"/>
    <col min="15354" max="15354" width="6" customWidth="1"/>
    <col min="15355" max="15356" width="4.26953125" customWidth="1"/>
    <col min="15357" max="15357" width="4" customWidth="1"/>
    <col min="15358" max="15358" width="4.1796875" customWidth="1"/>
    <col min="15359" max="15359" width="4" customWidth="1"/>
    <col min="15360" max="15360" width="10.26953125" customWidth="1"/>
    <col min="15361" max="15361" width="16.7265625" customWidth="1"/>
    <col min="15362" max="15362" width="21" customWidth="1"/>
    <col min="15604" max="15604" width="5.7265625" customWidth="1"/>
    <col min="15607" max="15607" width="22.7265625" customWidth="1"/>
    <col min="15608" max="15608" width="6.26953125" customWidth="1"/>
    <col min="15609" max="15609" width="5.7265625" customWidth="1"/>
    <col min="15610" max="15610" width="6" customWidth="1"/>
    <col min="15611" max="15612" width="4.26953125" customWidth="1"/>
    <col min="15613" max="15613" width="4" customWidth="1"/>
    <col min="15614" max="15614" width="4.1796875" customWidth="1"/>
    <col min="15615" max="15615" width="4" customWidth="1"/>
    <col min="15616" max="15616" width="10.26953125" customWidth="1"/>
    <col min="15617" max="15617" width="16.7265625" customWidth="1"/>
    <col min="15618" max="15618" width="21" customWidth="1"/>
    <col min="15860" max="15860" width="5.7265625" customWidth="1"/>
    <col min="15863" max="15863" width="22.7265625" customWidth="1"/>
    <col min="15864" max="15864" width="6.26953125" customWidth="1"/>
    <col min="15865" max="15865" width="5.7265625" customWidth="1"/>
    <col min="15866" max="15866" width="6" customWidth="1"/>
    <col min="15867" max="15868" width="4.26953125" customWidth="1"/>
    <col min="15869" max="15869" width="4" customWidth="1"/>
    <col min="15870" max="15870" width="4.1796875" customWidth="1"/>
    <col min="15871" max="15871" width="4" customWidth="1"/>
    <col min="15872" max="15872" width="10.26953125" customWidth="1"/>
    <col min="15873" max="15873" width="16.7265625" customWidth="1"/>
    <col min="15874" max="15874" width="21" customWidth="1"/>
    <col min="16116" max="16116" width="5.7265625" customWidth="1"/>
    <col min="16119" max="16119" width="22.7265625" customWidth="1"/>
    <col min="16120" max="16120" width="6.26953125" customWidth="1"/>
    <col min="16121" max="16121" width="5.7265625" customWidth="1"/>
    <col min="16122" max="16122" width="6" customWidth="1"/>
    <col min="16123" max="16124" width="4.26953125" customWidth="1"/>
    <col min="16125" max="16125" width="4" customWidth="1"/>
    <col min="16126" max="16126" width="4.1796875" customWidth="1"/>
    <col min="16127" max="16127" width="4" customWidth="1"/>
    <col min="16128" max="16128" width="10.26953125" customWidth="1"/>
    <col min="16129" max="16129" width="16.7265625" customWidth="1"/>
    <col min="16130" max="16130" width="21" customWidth="1"/>
  </cols>
  <sheetData>
    <row r="1" spans="1:144" x14ac:dyDescent="0.35">
      <c r="A1" s="1151" t="s">
        <v>120</v>
      </c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2"/>
      <c r="N1" s="1153"/>
      <c r="O1" s="1157"/>
    </row>
    <row r="2" spans="1:144" ht="23.5" customHeight="1" x14ac:dyDescent="0.35">
      <c r="A2" s="1154"/>
      <c r="B2" s="1155"/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6"/>
      <c r="O2" s="1158"/>
    </row>
    <row r="3" spans="1:144" ht="14.5" customHeight="1" x14ac:dyDescent="0.35">
      <c r="A3" s="1162" t="s">
        <v>121</v>
      </c>
      <c r="B3" s="954" t="s">
        <v>122</v>
      </c>
      <c r="C3" s="954" t="s">
        <v>123</v>
      </c>
      <c r="D3" s="954" t="s">
        <v>105</v>
      </c>
      <c r="E3" s="954" t="s">
        <v>124</v>
      </c>
      <c r="F3" s="954"/>
      <c r="G3" s="954"/>
      <c r="H3" s="954"/>
      <c r="I3" s="954"/>
      <c r="J3" s="954"/>
      <c r="K3" s="954"/>
      <c r="L3" s="954"/>
      <c r="M3" s="954"/>
      <c r="N3" s="1159" t="s">
        <v>913</v>
      </c>
      <c r="O3" s="1158" t="s">
        <v>914</v>
      </c>
    </row>
    <row r="4" spans="1:144" ht="28.9" customHeight="1" x14ac:dyDescent="0.35">
      <c r="A4" s="1162"/>
      <c r="B4" s="954"/>
      <c r="C4" s="954"/>
      <c r="D4" s="954"/>
      <c r="E4" s="1161" t="s">
        <v>920</v>
      </c>
      <c r="F4" s="1161"/>
      <c r="G4" s="1161"/>
      <c r="H4" s="1161"/>
      <c r="I4" s="1161" t="s">
        <v>921</v>
      </c>
      <c r="J4" s="1161"/>
      <c r="K4" s="1161"/>
      <c r="L4" s="1161"/>
      <c r="M4" s="950" t="s">
        <v>915</v>
      </c>
      <c r="N4" s="1160"/>
      <c r="O4" s="1158"/>
    </row>
    <row r="5" spans="1:144" x14ac:dyDescent="0.35">
      <c r="A5" s="1162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950"/>
      <c r="N5" s="440"/>
      <c r="O5" s="412"/>
    </row>
    <row r="6" spans="1:144" x14ac:dyDescent="0.35">
      <c r="A6" s="473">
        <v>1</v>
      </c>
      <c r="B6" s="474" t="s">
        <v>125</v>
      </c>
      <c r="C6" s="474" t="s">
        <v>126</v>
      </c>
      <c r="D6" s="474" t="s">
        <v>127</v>
      </c>
      <c r="E6" s="474">
        <v>1</v>
      </c>
      <c r="F6" s="474">
        <v>1</v>
      </c>
      <c r="G6" s="474" t="s">
        <v>916</v>
      </c>
      <c r="H6" s="475" t="s">
        <v>916</v>
      </c>
      <c r="I6" s="475" t="s">
        <v>916</v>
      </c>
      <c r="J6" s="475" t="s">
        <v>916</v>
      </c>
      <c r="K6" s="475" t="s">
        <v>916</v>
      </c>
      <c r="L6" s="475" t="s">
        <v>916</v>
      </c>
      <c r="M6" s="477">
        <v>28.315000000000001</v>
      </c>
      <c r="N6" s="474" t="s">
        <v>917</v>
      </c>
      <c r="O6" s="476" t="s">
        <v>945</v>
      </c>
    </row>
    <row r="7" spans="1:144" x14ac:dyDescent="0.35">
      <c r="A7" s="441">
        <v>2</v>
      </c>
      <c r="B7" s="442" t="s">
        <v>128</v>
      </c>
      <c r="C7" s="442" t="s">
        <v>129</v>
      </c>
      <c r="D7" s="442" t="s">
        <v>130</v>
      </c>
      <c r="E7" s="442" t="s">
        <v>916</v>
      </c>
      <c r="F7" s="442" t="s">
        <v>916</v>
      </c>
      <c r="G7" s="442" t="s">
        <v>916</v>
      </c>
      <c r="H7" s="444" t="s">
        <v>916</v>
      </c>
      <c r="I7" s="443" t="s">
        <v>916</v>
      </c>
      <c r="J7" s="443" t="s">
        <v>916</v>
      </c>
      <c r="K7" s="443" t="s">
        <v>916</v>
      </c>
      <c r="L7" s="443" t="s">
        <v>916</v>
      </c>
      <c r="M7" s="478">
        <v>57.536999999999999</v>
      </c>
      <c r="N7" s="442" t="s">
        <v>917</v>
      </c>
      <c r="O7" s="457"/>
    </row>
    <row r="8" spans="1:144" x14ac:dyDescent="0.35">
      <c r="A8" s="441">
        <v>3</v>
      </c>
      <c r="B8" s="442" t="s">
        <v>131</v>
      </c>
      <c r="C8" s="442" t="s">
        <v>132</v>
      </c>
      <c r="D8" s="442" t="s">
        <v>130</v>
      </c>
      <c r="E8" s="442" t="s">
        <v>916</v>
      </c>
      <c r="F8" s="442" t="s">
        <v>916</v>
      </c>
      <c r="G8" s="442" t="s">
        <v>916</v>
      </c>
      <c r="H8" s="444" t="s">
        <v>916</v>
      </c>
      <c r="I8" s="443" t="s">
        <v>916</v>
      </c>
      <c r="J8" s="443" t="s">
        <v>916</v>
      </c>
      <c r="K8" s="443" t="s">
        <v>916</v>
      </c>
      <c r="L8" s="443" t="s">
        <v>916</v>
      </c>
      <c r="M8" s="478">
        <v>67.992999999999995</v>
      </c>
      <c r="N8" s="442" t="s">
        <v>917</v>
      </c>
      <c r="O8" s="457"/>
    </row>
    <row r="9" spans="1:144" s="445" customFormat="1" x14ac:dyDescent="0.35">
      <c r="A9" s="481">
        <v>4</v>
      </c>
      <c r="B9" s="482" t="s">
        <v>133</v>
      </c>
      <c r="C9" s="482" t="s">
        <v>134</v>
      </c>
      <c r="D9" s="482" t="s">
        <v>135</v>
      </c>
      <c r="E9" s="482">
        <v>3</v>
      </c>
      <c r="F9" s="482">
        <v>3</v>
      </c>
      <c r="G9" s="482">
        <v>3</v>
      </c>
      <c r="H9" s="482">
        <v>3</v>
      </c>
      <c r="I9" s="483" t="s">
        <v>916</v>
      </c>
      <c r="J9" s="483" t="s">
        <v>916</v>
      </c>
      <c r="K9" s="483" t="s">
        <v>916</v>
      </c>
      <c r="L9" s="483" t="s">
        <v>916</v>
      </c>
      <c r="M9" s="478"/>
      <c r="N9" s="482" t="s">
        <v>917</v>
      </c>
      <c r="O9" s="476" t="s">
        <v>945</v>
      </c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  <c r="EN9" s="456"/>
    </row>
    <row r="10" spans="1:144" s="445" customFormat="1" x14ac:dyDescent="0.35">
      <c r="A10" s="441">
        <v>5</v>
      </c>
      <c r="B10" s="442" t="s">
        <v>136</v>
      </c>
      <c r="C10" s="442" t="s">
        <v>137</v>
      </c>
      <c r="D10" s="442" t="s">
        <v>130</v>
      </c>
      <c r="E10" s="442" t="s">
        <v>916</v>
      </c>
      <c r="F10" s="442" t="s">
        <v>916</v>
      </c>
      <c r="G10" s="442" t="s">
        <v>916</v>
      </c>
      <c r="H10" s="444" t="s">
        <v>916</v>
      </c>
      <c r="I10" s="443" t="s">
        <v>916</v>
      </c>
      <c r="J10" s="443" t="s">
        <v>916</v>
      </c>
      <c r="K10" s="443" t="s">
        <v>916</v>
      </c>
      <c r="L10" s="443" t="s">
        <v>916</v>
      </c>
      <c r="M10" s="478">
        <v>21.815999999999999</v>
      </c>
      <c r="N10" s="442" t="s">
        <v>917</v>
      </c>
      <c r="O10" s="44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  <c r="EN10" s="456"/>
    </row>
    <row r="11" spans="1:144" x14ac:dyDescent="0.35">
      <c r="A11" s="481">
        <v>6</v>
      </c>
      <c r="B11" s="482" t="s">
        <v>138</v>
      </c>
      <c r="C11" s="482" t="s">
        <v>139</v>
      </c>
      <c r="D11" s="482" t="s">
        <v>140</v>
      </c>
      <c r="E11" s="482">
        <v>1</v>
      </c>
      <c r="F11" s="482">
        <v>1</v>
      </c>
      <c r="G11" s="482" t="s">
        <v>916</v>
      </c>
      <c r="H11" s="483" t="s">
        <v>916</v>
      </c>
      <c r="I11" s="483" t="s">
        <v>916</v>
      </c>
      <c r="J11" s="483" t="s">
        <v>916</v>
      </c>
      <c r="K11" s="483" t="s">
        <v>916</v>
      </c>
      <c r="L11" s="483" t="s">
        <v>916</v>
      </c>
      <c r="M11" s="478">
        <v>6.7489999999999997</v>
      </c>
      <c r="N11" s="482" t="s">
        <v>917</v>
      </c>
      <c r="O11" s="476" t="s">
        <v>945</v>
      </c>
    </row>
    <row r="12" spans="1:144" x14ac:dyDescent="0.35">
      <c r="A12" s="441">
        <v>7</v>
      </c>
      <c r="B12" s="442" t="s">
        <v>141</v>
      </c>
      <c r="C12" s="442" t="s">
        <v>142</v>
      </c>
      <c r="D12" s="442" t="s">
        <v>130</v>
      </c>
      <c r="E12" s="442" t="s">
        <v>916</v>
      </c>
      <c r="F12" s="442" t="s">
        <v>916</v>
      </c>
      <c r="G12" s="442" t="s">
        <v>916</v>
      </c>
      <c r="H12" s="444" t="s">
        <v>916</v>
      </c>
      <c r="I12" s="443" t="s">
        <v>916</v>
      </c>
      <c r="J12" s="443" t="s">
        <v>916</v>
      </c>
      <c r="K12" s="443" t="s">
        <v>916</v>
      </c>
      <c r="L12" s="443" t="s">
        <v>916</v>
      </c>
      <c r="M12" s="478">
        <v>24.495999999999999</v>
      </c>
      <c r="N12" s="442" t="s">
        <v>917</v>
      </c>
      <c r="O12" s="457"/>
    </row>
    <row r="13" spans="1:144" x14ac:dyDescent="0.35">
      <c r="A13" s="441">
        <v>8</v>
      </c>
      <c r="B13" s="39" t="s">
        <v>143</v>
      </c>
      <c r="C13" s="39" t="s">
        <v>144</v>
      </c>
      <c r="D13" s="39" t="s">
        <v>127</v>
      </c>
      <c r="E13" s="458"/>
      <c r="F13" s="458"/>
      <c r="G13" s="458"/>
      <c r="H13" s="458">
        <v>1</v>
      </c>
      <c r="I13" s="459" t="s">
        <v>916</v>
      </c>
      <c r="J13" s="459" t="s">
        <v>916</v>
      </c>
      <c r="K13" s="459" t="s">
        <v>916</v>
      </c>
      <c r="L13" s="459" t="s">
        <v>916</v>
      </c>
      <c r="M13" s="479">
        <v>29.094000000000001</v>
      </c>
      <c r="N13" s="458" t="s">
        <v>853</v>
      </c>
      <c r="O13" s="460" t="s">
        <v>922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</row>
    <row r="14" spans="1:144" ht="29" x14ac:dyDescent="0.35">
      <c r="A14" s="441">
        <v>9</v>
      </c>
      <c r="B14" s="39" t="s">
        <v>145</v>
      </c>
      <c r="C14" s="39" t="s">
        <v>146</v>
      </c>
      <c r="D14" s="461" t="s">
        <v>147</v>
      </c>
      <c r="E14" s="459">
        <v>0</v>
      </c>
      <c r="F14" s="459">
        <v>0</v>
      </c>
      <c r="G14" s="459">
        <v>3</v>
      </c>
      <c r="H14" s="459">
        <v>0</v>
      </c>
      <c r="I14" s="459">
        <v>6</v>
      </c>
      <c r="J14" s="459">
        <v>9</v>
      </c>
      <c r="K14" s="459">
        <v>9</v>
      </c>
      <c r="L14" s="459">
        <v>9</v>
      </c>
      <c r="M14" s="479">
        <v>29.029</v>
      </c>
      <c r="N14" s="458" t="s">
        <v>853</v>
      </c>
      <c r="O14" s="489" t="s">
        <v>923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</row>
    <row r="15" spans="1:144" x14ac:dyDescent="0.35">
      <c r="A15" s="481">
        <v>10</v>
      </c>
      <c r="B15" s="482" t="s">
        <v>148</v>
      </c>
      <c r="C15" s="482" t="s">
        <v>149</v>
      </c>
      <c r="D15" s="482" t="s">
        <v>127</v>
      </c>
      <c r="E15" s="482" t="s">
        <v>916</v>
      </c>
      <c r="F15" s="482" t="s">
        <v>916</v>
      </c>
      <c r="G15" s="482">
        <v>1.5</v>
      </c>
      <c r="H15" s="482"/>
      <c r="I15" s="482">
        <v>1.5</v>
      </c>
      <c r="J15" s="483">
        <v>3</v>
      </c>
      <c r="K15" s="483">
        <v>3</v>
      </c>
      <c r="L15" s="483">
        <v>3</v>
      </c>
      <c r="M15" s="478">
        <v>13.173999999999999</v>
      </c>
      <c r="N15" s="482" t="s">
        <v>853</v>
      </c>
      <c r="O15" s="476" t="s">
        <v>945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</row>
    <row r="16" spans="1:144" x14ac:dyDescent="0.35">
      <c r="A16" s="441">
        <v>11</v>
      </c>
      <c r="B16" s="39" t="s">
        <v>150</v>
      </c>
      <c r="C16" s="39" t="s">
        <v>151</v>
      </c>
      <c r="D16" s="39" t="s">
        <v>152</v>
      </c>
      <c r="E16" s="458">
        <v>1</v>
      </c>
      <c r="F16" s="458" t="s">
        <v>916</v>
      </c>
      <c r="G16" s="458" t="s">
        <v>916</v>
      </c>
      <c r="H16" s="458" t="s">
        <v>916</v>
      </c>
      <c r="I16" s="458" t="s">
        <v>916</v>
      </c>
      <c r="J16" s="459" t="s">
        <v>916</v>
      </c>
      <c r="K16" s="459" t="s">
        <v>916</v>
      </c>
      <c r="L16" s="459" t="s">
        <v>916</v>
      </c>
      <c r="M16" s="479">
        <v>14.43</v>
      </c>
      <c r="N16" s="458" t="s">
        <v>853</v>
      </c>
      <c r="O16" s="460" t="s">
        <v>922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</row>
    <row r="17" spans="1:144" x14ac:dyDescent="0.35">
      <c r="A17" s="441">
        <v>12</v>
      </c>
      <c r="B17" s="442" t="s">
        <v>153</v>
      </c>
      <c r="C17" s="442" t="s">
        <v>139</v>
      </c>
      <c r="D17" s="442" t="s">
        <v>130</v>
      </c>
      <c r="E17" s="442" t="s">
        <v>916</v>
      </c>
      <c r="F17" s="442" t="s">
        <v>916</v>
      </c>
      <c r="G17" s="442" t="s">
        <v>916</v>
      </c>
      <c r="H17" s="442" t="s">
        <v>916</v>
      </c>
      <c r="I17" s="442" t="s">
        <v>916</v>
      </c>
      <c r="J17" s="443" t="s">
        <v>916</v>
      </c>
      <c r="K17" s="443" t="s">
        <v>916</v>
      </c>
      <c r="L17" s="443" t="s">
        <v>916</v>
      </c>
      <c r="M17" s="478">
        <v>28.233000000000001</v>
      </c>
      <c r="N17" s="442" t="s">
        <v>917</v>
      </c>
      <c r="O17" s="460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</row>
    <row r="18" spans="1:144" x14ac:dyDescent="0.35">
      <c r="A18" s="481">
        <v>13</v>
      </c>
      <c r="B18" s="482" t="s">
        <v>154</v>
      </c>
      <c r="C18" s="482" t="s">
        <v>134</v>
      </c>
      <c r="D18" s="482" t="s">
        <v>135</v>
      </c>
      <c r="E18" s="482">
        <v>4</v>
      </c>
      <c r="F18" s="482">
        <v>4</v>
      </c>
      <c r="G18" s="482">
        <v>4</v>
      </c>
      <c r="H18" s="482">
        <v>4</v>
      </c>
      <c r="I18" s="482" t="s">
        <v>916</v>
      </c>
      <c r="J18" s="483" t="s">
        <v>916</v>
      </c>
      <c r="K18" s="483" t="s">
        <v>916</v>
      </c>
      <c r="L18" s="483" t="s">
        <v>916</v>
      </c>
      <c r="M18" s="478"/>
      <c r="N18" s="482" t="s">
        <v>917</v>
      </c>
      <c r="O18" s="476" t="s">
        <v>945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</row>
    <row r="19" spans="1:144" ht="15.75" customHeight="1" x14ac:dyDescent="0.35">
      <c r="A19" s="441">
        <v>14</v>
      </c>
      <c r="B19" s="39" t="s">
        <v>155</v>
      </c>
      <c r="C19" s="39" t="s">
        <v>156</v>
      </c>
      <c r="D19" s="39" t="s">
        <v>127</v>
      </c>
      <c r="E19" s="458">
        <v>1.5</v>
      </c>
      <c r="F19" s="458" t="s">
        <v>916</v>
      </c>
      <c r="G19" s="458" t="s">
        <v>916</v>
      </c>
      <c r="H19" s="459">
        <v>1.5</v>
      </c>
      <c r="I19" s="458" t="s">
        <v>916</v>
      </c>
      <c r="J19" s="459" t="s">
        <v>916</v>
      </c>
      <c r="K19" s="459" t="s">
        <v>916</v>
      </c>
      <c r="L19" s="459" t="s">
        <v>916</v>
      </c>
      <c r="M19" s="479">
        <v>50.168999999999997</v>
      </c>
      <c r="N19" s="458" t="s">
        <v>917</v>
      </c>
      <c r="O19" s="460" t="s">
        <v>922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</row>
    <row r="20" spans="1:144" x14ac:dyDescent="0.35">
      <c r="A20" s="481">
        <v>15</v>
      </c>
      <c r="B20" s="482" t="s">
        <v>157</v>
      </c>
      <c r="C20" s="482" t="s">
        <v>144</v>
      </c>
      <c r="D20" s="482" t="s">
        <v>127</v>
      </c>
      <c r="E20" s="482">
        <v>2</v>
      </c>
      <c r="F20" s="482" t="s">
        <v>916</v>
      </c>
      <c r="G20" s="482" t="s">
        <v>916</v>
      </c>
      <c r="H20" s="482" t="s">
        <v>916</v>
      </c>
      <c r="I20" s="484">
        <v>3</v>
      </c>
      <c r="J20" s="485">
        <v>3</v>
      </c>
      <c r="K20" s="485">
        <v>1.5</v>
      </c>
      <c r="L20" s="485">
        <v>3</v>
      </c>
      <c r="M20" s="478">
        <v>19.466000000000001</v>
      </c>
      <c r="N20" s="482" t="s">
        <v>917</v>
      </c>
      <c r="O20" s="476" t="s">
        <v>945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</row>
    <row r="21" spans="1:144" x14ac:dyDescent="0.35">
      <c r="A21" s="481">
        <v>16</v>
      </c>
      <c r="B21" s="482" t="s">
        <v>158</v>
      </c>
      <c r="C21" s="482" t="s">
        <v>146</v>
      </c>
      <c r="D21" s="482" t="s">
        <v>135</v>
      </c>
      <c r="E21" s="482">
        <v>2</v>
      </c>
      <c r="F21" s="482">
        <v>2</v>
      </c>
      <c r="G21" s="482">
        <v>2</v>
      </c>
      <c r="H21" s="482">
        <v>2</v>
      </c>
      <c r="I21" s="482" t="s">
        <v>916</v>
      </c>
      <c r="J21" s="483" t="s">
        <v>916</v>
      </c>
      <c r="K21" s="483" t="s">
        <v>916</v>
      </c>
      <c r="L21" s="483" t="s">
        <v>916</v>
      </c>
      <c r="M21" s="478"/>
      <c r="N21" s="482" t="s">
        <v>853</v>
      </c>
      <c r="O21" s="476" t="s">
        <v>945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</row>
    <row r="22" spans="1:144" x14ac:dyDescent="0.35">
      <c r="A22" s="481">
        <v>17</v>
      </c>
      <c r="B22" s="482" t="s">
        <v>159</v>
      </c>
      <c r="C22" s="482" t="s">
        <v>126</v>
      </c>
      <c r="D22" s="482" t="s">
        <v>127</v>
      </c>
      <c r="E22" s="482">
        <v>2</v>
      </c>
      <c r="F22" s="482">
        <v>1</v>
      </c>
      <c r="G22" s="482" t="s">
        <v>916</v>
      </c>
      <c r="H22" s="483" t="s">
        <v>916</v>
      </c>
      <c r="I22" s="482" t="s">
        <v>916</v>
      </c>
      <c r="J22" s="483" t="s">
        <v>916</v>
      </c>
      <c r="K22" s="483" t="s">
        <v>916</v>
      </c>
      <c r="L22" s="483" t="s">
        <v>916</v>
      </c>
      <c r="M22" s="478">
        <v>18.893999999999998</v>
      </c>
      <c r="N22" s="482" t="s">
        <v>853</v>
      </c>
      <c r="O22" s="476" t="s">
        <v>945</v>
      </c>
    </row>
    <row r="23" spans="1:144" x14ac:dyDescent="0.35">
      <c r="A23" s="481">
        <v>18</v>
      </c>
      <c r="B23" s="482" t="s">
        <v>160</v>
      </c>
      <c r="C23" s="482" t="s">
        <v>161</v>
      </c>
      <c r="D23" s="482" t="s">
        <v>127</v>
      </c>
      <c r="E23" s="482" t="s">
        <v>916</v>
      </c>
      <c r="F23" s="482" t="s">
        <v>916</v>
      </c>
      <c r="G23" s="482" t="s">
        <v>916</v>
      </c>
      <c r="H23" s="482">
        <v>1</v>
      </c>
      <c r="I23" s="482" t="s">
        <v>916</v>
      </c>
      <c r="J23" s="483" t="s">
        <v>916</v>
      </c>
      <c r="K23" s="483" t="s">
        <v>916</v>
      </c>
      <c r="L23" s="483" t="s">
        <v>916</v>
      </c>
      <c r="M23" s="478">
        <v>36.183999999999997</v>
      </c>
      <c r="N23" s="482" t="s">
        <v>853</v>
      </c>
      <c r="O23" s="476" t="s">
        <v>945</v>
      </c>
    </row>
    <row r="24" spans="1:144" x14ac:dyDescent="0.35">
      <c r="A24" s="481">
        <v>19</v>
      </c>
      <c r="B24" s="482" t="s">
        <v>162</v>
      </c>
      <c r="C24" s="482" t="s">
        <v>129</v>
      </c>
      <c r="D24" s="482" t="s">
        <v>127</v>
      </c>
      <c r="E24" s="482" t="s">
        <v>916</v>
      </c>
      <c r="F24" s="482" t="s">
        <v>916</v>
      </c>
      <c r="G24" s="482">
        <v>2</v>
      </c>
      <c r="H24" s="483">
        <v>1</v>
      </c>
      <c r="I24" s="484">
        <v>-1.5</v>
      </c>
      <c r="J24" s="485">
        <v>0</v>
      </c>
      <c r="K24" s="485">
        <v>0</v>
      </c>
      <c r="L24" s="485">
        <v>0</v>
      </c>
      <c r="M24" s="478">
        <v>11.930999999999999</v>
      </c>
      <c r="N24" s="482" t="s">
        <v>853</v>
      </c>
      <c r="O24" s="476" t="s">
        <v>945</v>
      </c>
    </row>
    <row r="25" spans="1:144" x14ac:dyDescent="0.35">
      <c r="A25" s="481">
        <v>20</v>
      </c>
      <c r="B25" s="482" t="s">
        <v>163</v>
      </c>
      <c r="C25" s="482" t="s">
        <v>151</v>
      </c>
      <c r="D25" s="482" t="s">
        <v>140</v>
      </c>
      <c r="E25" s="482" t="s">
        <v>916</v>
      </c>
      <c r="F25" s="482" t="s">
        <v>916</v>
      </c>
      <c r="G25" s="482" t="s">
        <v>916</v>
      </c>
      <c r="H25" s="483" t="s">
        <v>916</v>
      </c>
      <c r="I25" s="484" t="s">
        <v>916</v>
      </c>
      <c r="J25" s="485" t="s">
        <v>916</v>
      </c>
      <c r="K25" s="485">
        <v>3</v>
      </c>
      <c r="L25" s="485">
        <v>1.5</v>
      </c>
      <c r="M25" s="478">
        <v>5.4909999999999997</v>
      </c>
      <c r="N25" s="482" t="s">
        <v>853</v>
      </c>
      <c r="O25" s="476" t="s">
        <v>945</v>
      </c>
    </row>
    <row r="26" spans="1:144" x14ac:dyDescent="0.35">
      <c r="A26" s="481">
        <v>21</v>
      </c>
      <c r="B26" s="482" t="s">
        <v>164</v>
      </c>
      <c r="C26" s="482" t="s">
        <v>165</v>
      </c>
      <c r="D26" s="482" t="s">
        <v>127</v>
      </c>
      <c r="E26" s="482">
        <v>3</v>
      </c>
      <c r="F26" s="482" t="s">
        <v>916</v>
      </c>
      <c r="G26" s="482">
        <v>3</v>
      </c>
      <c r="H26" s="483">
        <v>3</v>
      </c>
      <c r="I26" s="482" t="s">
        <v>916</v>
      </c>
      <c r="J26" s="483" t="s">
        <v>916</v>
      </c>
      <c r="K26" s="483" t="s">
        <v>916</v>
      </c>
      <c r="L26" s="483" t="s">
        <v>916</v>
      </c>
      <c r="M26" s="478">
        <v>95.665000000000006</v>
      </c>
      <c r="N26" s="482" t="s">
        <v>853</v>
      </c>
      <c r="O26" s="476" t="s">
        <v>945</v>
      </c>
    </row>
    <row r="27" spans="1:144" x14ac:dyDescent="0.35">
      <c r="A27" s="481">
        <v>22</v>
      </c>
      <c r="B27" s="482" t="s">
        <v>166</v>
      </c>
      <c r="C27" s="482" t="s">
        <v>167</v>
      </c>
      <c r="D27" s="482" t="s">
        <v>127</v>
      </c>
      <c r="E27" s="482">
        <v>1</v>
      </c>
      <c r="F27" s="482" t="s">
        <v>916</v>
      </c>
      <c r="G27" s="482" t="s">
        <v>916</v>
      </c>
      <c r="H27" s="483" t="s">
        <v>916</v>
      </c>
      <c r="I27" s="484">
        <v>1.5</v>
      </c>
      <c r="J27" s="485" t="s">
        <v>916</v>
      </c>
      <c r="K27" s="485" t="s">
        <v>916</v>
      </c>
      <c r="L27" s="485">
        <v>1.5</v>
      </c>
      <c r="M27" s="478">
        <v>16.606000000000002</v>
      </c>
      <c r="N27" s="482" t="s">
        <v>917</v>
      </c>
      <c r="O27" s="476" t="s">
        <v>945</v>
      </c>
    </row>
    <row r="28" spans="1:144" x14ac:dyDescent="0.35">
      <c r="A28" s="481">
        <v>23</v>
      </c>
      <c r="B28" s="482" t="s">
        <v>168</v>
      </c>
      <c r="C28" s="482" t="s">
        <v>142</v>
      </c>
      <c r="D28" s="482" t="s">
        <v>127</v>
      </c>
      <c r="E28" s="482" t="s">
        <v>916</v>
      </c>
      <c r="F28" s="482" t="s">
        <v>916</v>
      </c>
      <c r="G28" s="482">
        <v>1</v>
      </c>
      <c r="H28" s="482" t="s">
        <v>916</v>
      </c>
      <c r="I28" s="482" t="s">
        <v>916</v>
      </c>
      <c r="J28" s="483" t="s">
        <v>916</v>
      </c>
      <c r="K28" s="483" t="s">
        <v>916</v>
      </c>
      <c r="L28" s="483" t="s">
        <v>916</v>
      </c>
      <c r="M28" s="478">
        <v>28.18</v>
      </c>
      <c r="N28" s="482" t="s">
        <v>853</v>
      </c>
      <c r="O28" s="476" t="s">
        <v>945</v>
      </c>
    </row>
    <row r="29" spans="1:144" x14ac:dyDescent="0.35">
      <c r="A29" s="481">
        <v>24</v>
      </c>
      <c r="B29" s="482" t="s">
        <v>169</v>
      </c>
      <c r="C29" s="482" t="s">
        <v>146</v>
      </c>
      <c r="D29" s="482" t="s">
        <v>127</v>
      </c>
      <c r="E29" s="482" t="s">
        <v>916</v>
      </c>
      <c r="F29" s="482" t="s">
        <v>916</v>
      </c>
      <c r="G29" s="482">
        <v>2</v>
      </c>
      <c r="H29" s="482" t="s">
        <v>916</v>
      </c>
      <c r="I29" s="482">
        <v>7.5</v>
      </c>
      <c r="J29" s="483">
        <v>9</v>
      </c>
      <c r="K29" s="483">
        <v>9</v>
      </c>
      <c r="L29" s="483">
        <v>9</v>
      </c>
      <c r="M29" s="478">
        <v>4.6289999999999996</v>
      </c>
      <c r="N29" s="482" t="s">
        <v>853</v>
      </c>
      <c r="O29" s="476" t="s">
        <v>945</v>
      </c>
    </row>
    <row r="30" spans="1:144" s="447" customFormat="1" x14ac:dyDescent="0.35">
      <c r="A30" s="481">
        <v>25</v>
      </c>
      <c r="B30" s="482" t="s">
        <v>170</v>
      </c>
      <c r="C30" s="482" t="s">
        <v>137</v>
      </c>
      <c r="D30" s="482" t="s">
        <v>127</v>
      </c>
      <c r="E30" s="482" t="s">
        <v>916</v>
      </c>
      <c r="F30" s="482" t="s">
        <v>916</v>
      </c>
      <c r="G30" s="482" t="s">
        <v>916</v>
      </c>
      <c r="H30" s="482">
        <v>1.5</v>
      </c>
      <c r="I30" s="482" t="s">
        <v>916</v>
      </c>
      <c r="J30" s="483" t="s">
        <v>916</v>
      </c>
      <c r="K30" s="483" t="s">
        <v>916</v>
      </c>
      <c r="L30" s="483" t="s">
        <v>916</v>
      </c>
      <c r="M30" s="478">
        <v>20.512</v>
      </c>
      <c r="N30" s="482" t="s">
        <v>917</v>
      </c>
      <c r="O30" s="476" t="s">
        <v>945</v>
      </c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/>
      <c r="DO30" s="456"/>
      <c r="DP30" s="456"/>
      <c r="DQ30" s="456"/>
      <c r="DR30" s="456"/>
      <c r="DS30" s="456"/>
      <c r="DT30" s="456"/>
      <c r="DU30" s="456"/>
      <c r="DV30" s="456"/>
      <c r="DW30" s="456"/>
      <c r="DX30" s="456"/>
      <c r="DY30" s="456"/>
      <c r="DZ30" s="456"/>
      <c r="EA30" s="456"/>
      <c r="EB30" s="456"/>
      <c r="EC30" s="456"/>
      <c r="ED30" s="456"/>
      <c r="EE30" s="456"/>
      <c r="EF30" s="456"/>
      <c r="EG30" s="456"/>
      <c r="EH30" s="456"/>
      <c r="EI30" s="456"/>
      <c r="EJ30" s="456"/>
      <c r="EK30" s="456"/>
      <c r="EL30" s="456"/>
      <c r="EM30" s="456"/>
      <c r="EN30" s="456"/>
    </row>
    <row r="31" spans="1:144" s="447" customFormat="1" x14ac:dyDescent="0.35">
      <c r="A31" s="481">
        <v>26</v>
      </c>
      <c r="B31" s="482" t="s">
        <v>171</v>
      </c>
      <c r="C31" s="482" t="s">
        <v>126</v>
      </c>
      <c r="D31" s="482" t="s">
        <v>127</v>
      </c>
      <c r="E31" s="482" t="s">
        <v>916</v>
      </c>
      <c r="F31" s="482" t="s">
        <v>916</v>
      </c>
      <c r="G31" s="482">
        <v>1</v>
      </c>
      <c r="H31" s="483">
        <v>1.5</v>
      </c>
      <c r="I31" s="482" t="s">
        <v>916</v>
      </c>
      <c r="J31" s="483" t="s">
        <v>916</v>
      </c>
      <c r="K31" s="483" t="s">
        <v>916</v>
      </c>
      <c r="L31" s="483" t="s">
        <v>916</v>
      </c>
      <c r="M31" s="478">
        <v>20.960999999999999</v>
      </c>
      <c r="N31" s="482" t="s">
        <v>917</v>
      </c>
      <c r="O31" s="476" t="s">
        <v>945</v>
      </c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6"/>
      <c r="DF31" s="456"/>
      <c r="DG31" s="456"/>
      <c r="DH31" s="456"/>
      <c r="DI31" s="456"/>
      <c r="DJ31" s="456"/>
      <c r="DK31" s="456"/>
      <c r="DL31" s="456"/>
      <c r="DM31" s="456"/>
      <c r="DN31" s="456"/>
      <c r="DO31" s="456"/>
      <c r="DP31" s="456"/>
      <c r="DQ31" s="456"/>
      <c r="DR31" s="456"/>
      <c r="DS31" s="456"/>
      <c r="DT31" s="456"/>
      <c r="DU31" s="456"/>
      <c r="DV31" s="456"/>
      <c r="DW31" s="456"/>
      <c r="DX31" s="456"/>
      <c r="DY31" s="456"/>
      <c r="DZ31" s="456"/>
      <c r="EA31" s="456"/>
      <c r="EB31" s="456"/>
      <c r="EC31" s="456"/>
      <c r="ED31" s="456"/>
      <c r="EE31" s="456"/>
      <c r="EF31" s="456"/>
      <c r="EG31" s="456"/>
      <c r="EH31" s="456"/>
      <c r="EI31" s="456"/>
      <c r="EJ31" s="456"/>
      <c r="EK31" s="456"/>
      <c r="EL31" s="456"/>
      <c r="EM31" s="456"/>
      <c r="EN31" s="456"/>
    </row>
    <row r="32" spans="1:144" s="447" customFormat="1" x14ac:dyDescent="0.35">
      <c r="A32" s="481">
        <v>27</v>
      </c>
      <c r="B32" s="482" t="s">
        <v>172</v>
      </c>
      <c r="C32" s="482" t="s">
        <v>142</v>
      </c>
      <c r="D32" s="482" t="s">
        <v>140</v>
      </c>
      <c r="E32" s="482" t="s">
        <v>916</v>
      </c>
      <c r="F32" s="482" t="s">
        <v>916</v>
      </c>
      <c r="G32" s="482">
        <v>2</v>
      </c>
      <c r="H32" s="483">
        <v>2.5</v>
      </c>
      <c r="I32" s="482" t="s">
        <v>916</v>
      </c>
      <c r="J32" s="483" t="s">
        <v>916</v>
      </c>
      <c r="K32" s="483" t="s">
        <v>916</v>
      </c>
      <c r="L32" s="483" t="s">
        <v>916</v>
      </c>
      <c r="M32" s="478">
        <v>7.2590000000000003</v>
      </c>
      <c r="N32" s="482" t="s">
        <v>917</v>
      </c>
      <c r="O32" s="476" t="s">
        <v>945</v>
      </c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  <c r="EN32" s="456"/>
    </row>
    <row r="33" spans="1:144" s="447" customFormat="1" x14ac:dyDescent="0.35">
      <c r="A33" s="441">
        <v>28</v>
      </c>
      <c r="B33" s="466" t="s">
        <v>173</v>
      </c>
      <c r="C33" s="466" t="s">
        <v>174</v>
      </c>
      <c r="D33" s="466" t="s">
        <v>135</v>
      </c>
      <c r="E33" s="467">
        <v>3</v>
      </c>
      <c r="F33" s="467">
        <v>3</v>
      </c>
      <c r="G33" s="467">
        <v>3</v>
      </c>
      <c r="H33" s="467">
        <v>3</v>
      </c>
      <c r="I33" s="467" t="s">
        <v>916</v>
      </c>
      <c r="J33" s="468" t="s">
        <v>916</v>
      </c>
      <c r="K33" s="468" t="s">
        <v>916</v>
      </c>
      <c r="L33" s="468" t="s">
        <v>916</v>
      </c>
      <c r="M33" s="479" t="s">
        <v>916</v>
      </c>
      <c r="N33" s="467" t="s">
        <v>853</v>
      </c>
      <c r="O33" s="469" t="s">
        <v>922</v>
      </c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56"/>
      <c r="DZ33" s="456"/>
      <c r="EA33" s="456"/>
      <c r="EB33" s="456"/>
      <c r="EC33" s="456"/>
      <c r="ED33" s="456"/>
      <c r="EE33" s="456"/>
      <c r="EF33" s="456"/>
      <c r="EG33" s="456"/>
      <c r="EH33" s="456"/>
      <c r="EI33" s="456"/>
      <c r="EJ33" s="456"/>
      <c r="EK33" s="456"/>
      <c r="EL33" s="456"/>
      <c r="EM33" s="456"/>
      <c r="EN33" s="456"/>
    </row>
    <row r="34" spans="1:144" s="447" customFormat="1" x14ac:dyDescent="0.35">
      <c r="A34" s="481">
        <v>29</v>
      </c>
      <c r="B34" s="482" t="s">
        <v>175</v>
      </c>
      <c r="C34" s="482" t="s">
        <v>349</v>
      </c>
      <c r="D34" s="482" t="s">
        <v>140</v>
      </c>
      <c r="E34" s="482" t="s">
        <v>916</v>
      </c>
      <c r="F34" s="482" t="s">
        <v>916</v>
      </c>
      <c r="G34" s="482">
        <v>1</v>
      </c>
      <c r="H34" s="483">
        <v>1</v>
      </c>
      <c r="I34" s="482" t="s">
        <v>916</v>
      </c>
      <c r="J34" s="483" t="s">
        <v>916</v>
      </c>
      <c r="K34" s="483" t="s">
        <v>916</v>
      </c>
      <c r="L34" s="483" t="s">
        <v>916</v>
      </c>
      <c r="M34" s="478">
        <v>6.1989999999999998</v>
      </c>
      <c r="N34" s="482" t="s">
        <v>917</v>
      </c>
      <c r="O34" s="476" t="s">
        <v>945</v>
      </c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</row>
    <row r="35" spans="1:144" s="447" customFormat="1" x14ac:dyDescent="0.35">
      <c r="A35" s="481">
        <v>30</v>
      </c>
      <c r="B35" s="482" t="s">
        <v>762</v>
      </c>
      <c r="C35" s="482" t="s">
        <v>137</v>
      </c>
      <c r="D35" s="482" t="s">
        <v>140</v>
      </c>
      <c r="E35" s="482">
        <v>1</v>
      </c>
      <c r="F35" s="482">
        <v>1.5</v>
      </c>
      <c r="G35" s="482" t="s">
        <v>916</v>
      </c>
      <c r="H35" s="483" t="s">
        <v>916</v>
      </c>
      <c r="I35" s="482" t="s">
        <v>916</v>
      </c>
      <c r="J35" s="483" t="s">
        <v>916</v>
      </c>
      <c r="K35" s="483" t="s">
        <v>916</v>
      </c>
      <c r="L35" s="483" t="s">
        <v>916</v>
      </c>
      <c r="M35" s="478">
        <v>4.7789999999999999</v>
      </c>
      <c r="N35" s="482" t="s">
        <v>917</v>
      </c>
      <c r="O35" s="476" t="s">
        <v>945</v>
      </c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</row>
    <row r="36" spans="1:144" s="447" customFormat="1" x14ac:dyDescent="0.35">
      <c r="A36" s="481">
        <v>31</v>
      </c>
      <c r="B36" s="482" t="s">
        <v>177</v>
      </c>
      <c r="C36" s="482" t="s">
        <v>178</v>
      </c>
      <c r="D36" s="482" t="s">
        <v>140</v>
      </c>
      <c r="E36" s="482" t="s">
        <v>916</v>
      </c>
      <c r="F36" s="482" t="s">
        <v>916</v>
      </c>
      <c r="G36" s="482">
        <v>1</v>
      </c>
      <c r="H36" s="483">
        <v>1</v>
      </c>
      <c r="I36" s="482" t="s">
        <v>916</v>
      </c>
      <c r="J36" s="483" t="s">
        <v>916</v>
      </c>
      <c r="K36" s="483" t="s">
        <v>916</v>
      </c>
      <c r="L36" s="483" t="s">
        <v>916</v>
      </c>
      <c r="M36" s="478">
        <v>19.489000000000001</v>
      </c>
      <c r="N36" s="482" t="s">
        <v>917</v>
      </c>
      <c r="O36" s="476" t="s">
        <v>945</v>
      </c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6"/>
      <c r="DF36" s="456"/>
      <c r="DG36" s="456"/>
      <c r="DH36" s="456"/>
      <c r="DI36" s="456"/>
      <c r="DJ36" s="456"/>
      <c r="DK36" s="456"/>
      <c r="DL36" s="456"/>
      <c r="DM36" s="456"/>
      <c r="DN36" s="456"/>
      <c r="DO36" s="456"/>
      <c r="DP36" s="456"/>
      <c r="DQ36" s="456"/>
      <c r="DR36" s="456"/>
      <c r="DS36" s="456"/>
      <c r="DT36" s="456"/>
      <c r="DU36" s="456"/>
      <c r="DV36" s="456"/>
      <c r="DW36" s="456"/>
      <c r="DX36" s="456"/>
      <c r="DY36" s="456"/>
      <c r="DZ36" s="456"/>
      <c r="EA36" s="456"/>
      <c r="EB36" s="456"/>
      <c r="EC36" s="456"/>
      <c r="ED36" s="456"/>
      <c r="EE36" s="456"/>
      <c r="EF36" s="456"/>
      <c r="EG36" s="456"/>
      <c r="EH36" s="456"/>
      <c r="EI36" s="456"/>
      <c r="EJ36" s="456"/>
      <c r="EK36" s="456"/>
      <c r="EL36" s="456"/>
      <c r="EM36" s="456"/>
      <c r="EN36" s="456"/>
    </row>
    <row r="37" spans="1:144" s="447" customFormat="1" ht="15" customHeight="1" thickBot="1" x14ac:dyDescent="0.4">
      <c r="A37" s="486">
        <v>32</v>
      </c>
      <c r="B37" s="487" t="s">
        <v>179</v>
      </c>
      <c r="C37" s="487" t="s">
        <v>142</v>
      </c>
      <c r="D37" s="487" t="s">
        <v>140</v>
      </c>
      <c r="E37" s="487" t="s">
        <v>916</v>
      </c>
      <c r="F37" s="487">
        <v>1</v>
      </c>
      <c r="G37" s="487">
        <v>1</v>
      </c>
      <c r="H37" s="488">
        <v>1</v>
      </c>
      <c r="I37" s="487" t="s">
        <v>916</v>
      </c>
      <c r="J37" s="488" t="s">
        <v>916</v>
      </c>
      <c r="K37" s="488" t="s">
        <v>916</v>
      </c>
      <c r="L37" s="488" t="s">
        <v>916</v>
      </c>
      <c r="M37" s="480">
        <v>6.4080000000000004</v>
      </c>
      <c r="N37" s="487" t="s">
        <v>917</v>
      </c>
      <c r="O37" s="476" t="s">
        <v>945</v>
      </c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6"/>
      <c r="DF37" s="456"/>
      <c r="DG37" s="456"/>
      <c r="DH37" s="456"/>
      <c r="DI37" s="456"/>
      <c r="DJ37" s="456"/>
      <c r="DK37" s="456"/>
      <c r="DL37" s="456"/>
      <c r="DM37" s="456"/>
      <c r="DN37" s="456"/>
      <c r="DO37" s="456"/>
      <c r="DP37" s="456"/>
      <c r="DQ37" s="456"/>
      <c r="DR37" s="456"/>
      <c r="DS37" s="456"/>
      <c r="DT37" s="456"/>
      <c r="DU37" s="456"/>
      <c r="DV37" s="456"/>
      <c r="DW37" s="456"/>
      <c r="DX37" s="456"/>
      <c r="DY37" s="456"/>
      <c r="DZ37" s="456"/>
      <c r="EA37" s="456"/>
      <c r="EB37" s="456"/>
      <c r="EC37" s="456"/>
      <c r="ED37" s="456"/>
      <c r="EE37" s="456"/>
      <c r="EF37" s="456"/>
      <c r="EG37" s="456"/>
      <c r="EH37" s="456"/>
      <c r="EI37" s="456"/>
      <c r="EJ37" s="456"/>
      <c r="EK37" s="456"/>
      <c r="EL37" s="456"/>
      <c r="EM37" s="456"/>
      <c r="EN37" s="456"/>
    </row>
  </sheetData>
  <autoFilter ref="A3:O37" xr:uid="{D6A6D984-D512-4F3B-BA0B-DE69371EDDF6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2">
    <mergeCell ref="A1:N2"/>
    <mergeCell ref="O1:O2"/>
    <mergeCell ref="N3:N4"/>
    <mergeCell ref="O3:O4"/>
    <mergeCell ref="E4:H4"/>
    <mergeCell ref="I4:L4"/>
    <mergeCell ref="M4:M5"/>
    <mergeCell ref="A3:A5"/>
    <mergeCell ref="B3:B5"/>
    <mergeCell ref="C3:C5"/>
    <mergeCell ref="D3:D5"/>
    <mergeCell ref="E3:M3"/>
  </mergeCells>
  <conditionalFormatting sqref="B10">
    <cfRule type="duplicateValues" dxfId="111" priority="3"/>
    <cfRule type="duplicateValues" dxfId="110" priority="4"/>
  </conditionalFormatting>
  <conditionalFormatting sqref="B17 B12 B7:B8">
    <cfRule type="duplicateValues" dxfId="109" priority="14"/>
    <cfRule type="duplicateValues" dxfId="108" priority="15"/>
  </conditionalFormatting>
  <conditionalFormatting sqref="B25">
    <cfRule type="duplicateValues" dxfId="107" priority="7"/>
    <cfRule type="duplicateValues" dxfId="106" priority="8"/>
  </conditionalFormatting>
  <conditionalFormatting sqref="B27">
    <cfRule type="duplicateValues" dxfId="105" priority="5"/>
    <cfRule type="duplicateValues" dxfId="104" priority="6"/>
  </conditionalFormatting>
  <conditionalFormatting sqref="B28:B36 B26 B9 B13:B16 B18:B24 B11">
    <cfRule type="duplicateValues" dxfId="103" priority="12"/>
    <cfRule type="duplicateValues" dxfId="102" priority="13"/>
  </conditionalFormatting>
  <conditionalFormatting sqref="B36">
    <cfRule type="duplicateValues" dxfId="101" priority="9"/>
  </conditionalFormatting>
  <conditionalFormatting sqref="H7:H8 H12 H18 H21">
    <cfRule type="cellIs" dxfId="100" priority="10" operator="equal">
      <formula>"Approved"</formula>
    </cfRule>
    <cfRule type="cellIs" dxfId="99" priority="11" operator="equal">
      <formula>"Submitted"</formula>
    </cfRule>
  </conditionalFormatting>
  <conditionalFormatting sqref="H10">
    <cfRule type="cellIs" dxfId="98" priority="1" operator="equal">
      <formula>"Approved"</formula>
    </cfRule>
    <cfRule type="cellIs" dxfId="97" priority="2" operator="equal">
      <formula>"Submitted"</formula>
    </cfRule>
  </conditionalFormatting>
  <pageMargins left="0.7" right="0.7" top="0.75" bottom="0.75" header="0.3" footer="0.3"/>
  <pageSetup paperSize="9" scale="62" orientation="portrait" horizontalDpi="300" verticalDpi="300" r:id="rId1"/>
  <colBreaks count="1" manualBreakCount="1">
    <brk id="15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6179A-1635-400D-A4F7-B41A8F2AFE48}">
  <sheetPr filterMode="1"/>
  <dimension ref="A1:EN38"/>
  <sheetViews>
    <sheetView topLeftCell="A4" workbookViewId="0">
      <selection activeCell="O14" sqref="O14"/>
    </sheetView>
  </sheetViews>
  <sheetFormatPr defaultRowHeight="14.5" x14ac:dyDescent="0.35"/>
  <cols>
    <col min="1" max="1" width="5.7265625" customWidth="1"/>
    <col min="4" max="4" width="24.26953125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10.26953125" customWidth="1"/>
    <col min="14" max="14" width="16.7265625" customWidth="1"/>
    <col min="15" max="15" width="39.36328125" customWidth="1"/>
    <col min="16" max="144" width="8.7265625" style="456"/>
    <col min="244" max="244" width="5.7265625" customWidth="1"/>
    <col min="247" max="247" width="22.7265625" customWidth="1"/>
    <col min="248" max="248" width="6.26953125" customWidth="1"/>
    <col min="249" max="249" width="5.7265625" customWidth="1"/>
    <col min="250" max="250" width="6" customWidth="1"/>
    <col min="251" max="252" width="4.26953125" customWidth="1"/>
    <col min="253" max="253" width="4" customWidth="1"/>
    <col min="254" max="254" width="4.1796875" customWidth="1"/>
    <col min="255" max="255" width="4" customWidth="1"/>
    <col min="256" max="256" width="10.26953125" customWidth="1"/>
    <col min="257" max="257" width="16.7265625" customWidth="1"/>
    <col min="258" max="258" width="21" customWidth="1"/>
    <col min="500" max="500" width="5.7265625" customWidth="1"/>
    <col min="503" max="503" width="22.7265625" customWidth="1"/>
    <col min="504" max="504" width="6.26953125" customWidth="1"/>
    <col min="505" max="505" width="5.7265625" customWidth="1"/>
    <col min="506" max="506" width="6" customWidth="1"/>
    <col min="507" max="508" width="4.26953125" customWidth="1"/>
    <col min="509" max="509" width="4" customWidth="1"/>
    <col min="510" max="510" width="4.1796875" customWidth="1"/>
    <col min="511" max="511" width="4" customWidth="1"/>
    <col min="512" max="512" width="10.26953125" customWidth="1"/>
    <col min="513" max="513" width="16.7265625" customWidth="1"/>
    <col min="514" max="514" width="21" customWidth="1"/>
    <col min="756" max="756" width="5.7265625" customWidth="1"/>
    <col min="759" max="759" width="22.7265625" customWidth="1"/>
    <col min="760" max="760" width="6.26953125" customWidth="1"/>
    <col min="761" max="761" width="5.7265625" customWidth="1"/>
    <col min="762" max="762" width="6" customWidth="1"/>
    <col min="763" max="764" width="4.26953125" customWidth="1"/>
    <col min="765" max="765" width="4" customWidth="1"/>
    <col min="766" max="766" width="4.1796875" customWidth="1"/>
    <col min="767" max="767" width="4" customWidth="1"/>
    <col min="768" max="768" width="10.26953125" customWidth="1"/>
    <col min="769" max="769" width="16.7265625" customWidth="1"/>
    <col min="770" max="770" width="21" customWidth="1"/>
    <col min="1012" max="1012" width="5.7265625" customWidth="1"/>
    <col min="1015" max="1015" width="22.7265625" customWidth="1"/>
    <col min="1016" max="1016" width="6.26953125" customWidth="1"/>
    <col min="1017" max="1017" width="5.7265625" customWidth="1"/>
    <col min="1018" max="1018" width="6" customWidth="1"/>
    <col min="1019" max="1020" width="4.26953125" customWidth="1"/>
    <col min="1021" max="1021" width="4" customWidth="1"/>
    <col min="1022" max="1022" width="4.1796875" customWidth="1"/>
    <col min="1023" max="1023" width="4" customWidth="1"/>
    <col min="1024" max="1024" width="10.26953125" customWidth="1"/>
    <col min="1025" max="1025" width="16.7265625" customWidth="1"/>
    <col min="1026" max="1026" width="21" customWidth="1"/>
    <col min="1268" max="1268" width="5.7265625" customWidth="1"/>
    <col min="1271" max="1271" width="22.7265625" customWidth="1"/>
    <col min="1272" max="1272" width="6.26953125" customWidth="1"/>
    <col min="1273" max="1273" width="5.7265625" customWidth="1"/>
    <col min="1274" max="1274" width="6" customWidth="1"/>
    <col min="1275" max="1276" width="4.26953125" customWidth="1"/>
    <col min="1277" max="1277" width="4" customWidth="1"/>
    <col min="1278" max="1278" width="4.1796875" customWidth="1"/>
    <col min="1279" max="1279" width="4" customWidth="1"/>
    <col min="1280" max="1280" width="10.26953125" customWidth="1"/>
    <col min="1281" max="1281" width="16.7265625" customWidth="1"/>
    <col min="1282" max="1282" width="21" customWidth="1"/>
    <col min="1524" max="1524" width="5.7265625" customWidth="1"/>
    <col min="1527" max="1527" width="22.7265625" customWidth="1"/>
    <col min="1528" max="1528" width="6.26953125" customWidth="1"/>
    <col min="1529" max="1529" width="5.7265625" customWidth="1"/>
    <col min="1530" max="1530" width="6" customWidth="1"/>
    <col min="1531" max="1532" width="4.26953125" customWidth="1"/>
    <col min="1533" max="1533" width="4" customWidth="1"/>
    <col min="1534" max="1534" width="4.1796875" customWidth="1"/>
    <col min="1535" max="1535" width="4" customWidth="1"/>
    <col min="1536" max="1536" width="10.26953125" customWidth="1"/>
    <col min="1537" max="1537" width="16.7265625" customWidth="1"/>
    <col min="1538" max="1538" width="21" customWidth="1"/>
    <col min="1780" max="1780" width="5.7265625" customWidth="1"/>
    <col min="1783" max="1783" width="22.7265625" customWidth="1"/>
    <col min="1784" max="1784" width="6.26953125" customWidth="1"/>
    <col min="1785" max="1785" width="5.7265625" customWidth="1"/>
    <col min="1786" max="1786" width="6" customWidth="1"/>
    <col min="1787" max="1788" width="4.26953125" customWidth="1"/>
    <col min="1789" max="1789" width="4" customWidth="1"/>
    <col min="1790" max="1790" width="4.1796875" customWidth="1"/>
    <col min="1791" max="1791" width="4" customWidth="1"/>
    <col min="1792" max="1792" width="10.26953125" customWidth="1"/>
    <col min="1793" max="1793" width="16.7265625" customWidth="1"/>
    <col min="1794" max="1794" width="21" customWidth="1"/>
    <col min="2036" max="2036" width="5.7265625" customWidth="1"/>
    <col min="2039" max="2039" width="22.7265625" customWidth="1"/>
    <col min="2040" max="2040" width="6.26953125" customWidth="1"/>
    <col min="2041" max="2041" width="5.7265625" customWidth="1"/>
    <col min="2042" max="2042" width="6" customWidth="1"/>
    <col min="2043" max="2044" width="4.26953125" customWidth="1"/>
    <col min="2045" max="2045" width="4" customWidth="1"/>
    <col min="2046" max="2046" width="4.1796875" customWidth="1"/>
    <col min="2047" max="2047" width="4" customWidth="1"/>
    <col min="2048" max="2048" width="10.26953125" customWidth="1"/>
    <col min="2049" max="2049" width="16.7265625" customWidth="1"/>
    <col min="2050" max="2050" width="21" customWidth="1"/>
    <col min="2292" max="2292" width="5.7265625" customWidth="1"/>
    <col min="2295" max="2295" width="22.7265625" customWidth="1"/>
    <col min="2296" max="2296" width="6.26953125" customWidth="1"/>
    <col min="2297" max="2297" width="5.7265625" customWidth="1"/>
    <col min="2298" max="2298" width="6" customWidth="1"/>
    <col min="2299" max="2300" width="4.26953125" customWidth="1"/>
    <col min="2301" max="2301" width="4" customWidth="1"/>
    <col min="2302" max="2302" width="4.1796875" customWidth="1"/>
    <col min="2303" max="2303" width="4" customWidth="1"/>
    <col min="2304" max="2304" width="10.26953125" customWidth="1"/>
    <col min="2305" max="2305" width="16.7265625" customWidth="1"/>
    <col min="2306" max="2306" width="21" customWidth="1"/>
    <col min="2548" max="2548" width="5.7265625" customWidth="1"/>
    <col min="2551" max="2551" width="22.7265625" customWidth="1"/>
    <col min="2552" max="2552" width="6.26953125" customWidth="1"/>
    <col min="2553" max="2553" width="5.7265625" customWidth="1"/>
    <col min="2554" max="2554" width="6" customWidth="1"/>
    <col min="2555" max="2556" width="4.26953125" customWidth="1"/>
    <col min="2557" max="2557" width="4" customWidth="1"/>
    <col min="2558" max="2558" width="4.1796875" customWidth="1"/>
    <col min="2559" max="2559" width="4" customWidth="1"/>
    <col min="2560" max="2560" width="10.26953125" customWidth="1"/>
    <col min="2561" max="2561" width="16.7265625" customWidth="1"/>
    <col min="2562" max="2562" width="21" customWidth="1"/>
    <col min="2804" max="2804" width="5.7265625" customWidth="1"/>
    <col min="2807" max="2807" width="22.7265625" customWidth="1"/>
    <col min="2808" max="2808" width="6.26953125" customWidth="1"/>
    <col min="2809" max="2809" width="5.7265625" customWidth="1"/>
    <col min="2810" max="2810" width="6" customWidth="1"/>
    <col min="2811" max="2812" width="4.26953125" customWidth="1"/>
    <col min="2813" max="2813" width="4" customWidth="1"/>
    <col min="2814" max="2814" width="4.1796875" customWidth="1"/>
    <col min="2815" max="2815" width="4" customWidth="1"/>
    <col min="2816" max="2816" width="10.26953125" customWidth="1"/>
    <col min="2817" max="2817" width="16.7265625" customWidth="1"/>
    <col min="2818" max="2818" width="21" customWidth="1"/>
    <col min="3060" max="3060" width="5.7265625" customWidth="1"/>
    <col min="3063" max="3063" width="22.7265625" customWidth="1"/>
    <col min="3064" max="3064" width="6.26953125" customWidth="1"/>
    <col min="3065" max="3065" width="5.7265625" customWidth="1"/>
    <col min="3066" max="3066" width="6" customWidth="1"/>
    <col min="3067" max="3068" width="4.26953125" customWidth="1"/>
    <col min="3069" max="3069" width="4" customWidth="1"/>
    <col min="3070" max="3070" width="4.1796875" customWidth="1"/>
    <col min="3071" max="3071" width="4" customWidth="1"/>
    <col min="3072" max="3072" width="10.26953125" customWidth="1"/>
    <col min="3073" max="3073" width="16.7265625" customWidth="1"/>
    <col min="3074" max="3074" width="21" customWidth="1"/>
    <col min="3316" max="3316" width="5.7265625" customWidth="1"/>
    <col min="3319" max="3319" width="22.7265625" customWidth="1"/>
    <col min="3320" max="3320" width="6.26953125" customWidth="1"/>
    <col min="3321" max="3321" width="5.7265625" customWidth="1"/>
    <col min="3322" max="3322" width="6" customWidth="1"/>
    <col min="3323" max="3324" width="4.26953125" customWidth="1"/>
    <col min="3325" max="3325" width="4" customWidth="1"/>
    <col min="3326" max="3326" width="4.1796875" customWidth="1"/>
    <col min="3327" max="3327" width="4" customWidth="1"/>
    <col min="3328" max="3328" width="10.26953125" customWidth="1"/>
    <col min="3329" max="3329" width="16.7265625" customWidth="1"/>
    <col min="3330" max="3330" width="21" customWidth="1"/>
    <col min="3572" max="3572" width="5.7265625" customWidth="1"/>
    <col min="3575" max="3575" width="22.7265625" customWidth="1"/>
    <col min="3576" max="3576" width="6.26953125" customWidth="1"/>
    <col min="3577" max="3577" width="5.7265625" customWidth="1"/>
    <col min="3578" max="3578" width="6" customWidth="1"/>
    <col min="3579" max="3580" width="4.26953125" customWidth="1"/>
    <col min="3581" max="3581" width="4" customWidth="1"/>
    <col min="3582" max="3582" width="4.1796875" customWidth="1"/>
    <col min="3583" max="3583" width="4" customWidth="1"/>
    <col min="3584" max="3584" width="10.26953125" customWidth="1"/>
    <col min="3585" max="3585" width="16.7265625" customWidth="1"/>
    <col min="3586" max="3586" width="21" customWidth="1"/>
    <col min="3828" max="3828" width="5.7265625" customWidth="1"/>
    <col min="3831" max="3831" width="22.7265625" customWidth="1"/>
    <col min="3832" max="3832" width="6.26953125" customWidth="1"/>
    <col min="3833" max="3833" width="5.7265625" customWidth="1"/>
    <col min="3834" max="3834" width="6" customWidth="1"/>
    <col min="3835" max="3836" width="4.26953125" customWidth="1"/>
    <col min="3837" max="3837" width="4" customWidth="1"/>
    <col min="3838" max="3838" width="4.1796875" customWidth="1"/>
    <col min="3839" max="3839" width="4" customWidth="1"/>
    <col min="3840" max="3840" width="10.26953125" customWidth="1"/>
    <col min="3841" max="3841" width="16.7265625" customWidth="1"/>
    <col min="3842" max="3842" width="21" customWidth="1"/>
    <col min="4084" max="4084" width="5.7265625" customWidth="1"/>
    <col min="4087" max="4087" width="22.7265625" customWidth="1"/>
    <col min="4088" max="4088" width="6.26953125" customWidth="1"/>
    <col min="4089" max="4089" width="5.7265625" customWidth="1"/>
    <col min="4090" max="4090" width="6" customWidth="1"/>
    <col min="4091" max="4092" width="4.26953125" customWidth="1"/>
    <col min="4093" max="4093" width="4" customWidth="1"/>
    <col min="4094" max="4094" width="4.1796875" customWidth="1"/>
    <col min="4095" max="4095" width="4" customWidth="1"/>
    <col min="4096" max="4096" width="10.26953125" customWidth="1"/>
    <col min="4097" max="4097" width="16.7265625" customWidth="1"/>
    <col min="4098" max="4098" width="21" customWidth="1"/>
    <col min="4340" max="4340" width="5.7265625" customWidth="1"/>
    <col min="4343" max="4343" width="22.7265625" customWidth="1"/>
    <col min="4344" max="4344" width="6.26953125" customWidth="1"/>
    <col min="4345" max="4345" width="5.7265625" customWidth="1"/>
    <col min="4346" max="4346" width="6" customWidth="1"/>
    <col min="4347" max="4348" width="4.26953125" customWidth="1"/>
    <col min="4349" max="4349" width="4" customWidth="1"/>
    <col min="4350" max="4350" width="4.1796875" customWidth="1"/>
    <col min="4351" max="4351" width="4" customWidth="1"/>
    <col min="4352" max="4352" width="10.26953125" customWidth="1"/>
    <col min="4353" max="4353" width="16.7265625" customWidth="1"/>
    <col min="4354" max="4354" width="21" customWidth="1"/>
    <col min="4596" max="4596" width="5.7265625" customWidth="1"/>
    <col min="4599" max="4599" width="22.7265625" customWidth="1"/>
    <col min="4600" max="4600" width="6.26953125" customWidth="1"/>
    <col min="4601" max="4601" width="5.7265625" customWidth="1"/>
    <col min="4602" max="4602" width="6" customWidth="1"/>
    <col min="4603" max="4604" width="4.26953125" customWidth="1"/>
    <col min="4605" max="4605" width="4" customWidth="1"/>
    <col min="4606" max="4606" width="4.1796875" customWidth="1"/>
    <col min="4607" max="4607" width="4" customWidth="1"/>
    <col min="4608" max="4608" width="10.26953125" customWidth="1"/>
    <col min="4609" max="4609" width="16.7265625" customWidth="1"/>
    <col min="4610" max="4610" width="21" customWidth="1"/>
    <col min="4852" max="4852" width="5.7265625" customWidth="1"/>
    <col min="4855" max="4855" width="22.7265625" customWidth="1"/>
    <col min="4856" max="4856" width="6.26953125" customWidth="1"/>
    <col min="4857" max="4857" width="5.7265625" customWidth="1"/>
    <col min="4858" max="4858" width="6" customWidth="1"/>
    <col min="4859" max="4860" width="4.26953125" customWidth="1"/>
    <col min="4861" max="4861" width="4" customWidth="1"/>
    <col min="4862" max="4862" width="4.1796875" customWidth="1"/>
    <col min="4863" max="4863" width="4" customWidth="1"/>
    <col min="4864" max="4864" width="10.26953125" customWidth="1"/>
    <col min="4865" max="4865" width="16.7265625" customWidth="1"/>
    <col min="4866" max="4866" width="21" customWidth="1"/>
    <col min="5108" max="5108" width="5.7265625" customWidth="1"/>
    <col min="5111" max="5111" width="22.7265625" customWidth="1"/>
    <col min="5112" max="5112" width="6.26953125" customWidth="1"/>
    <col min="5113" max="5113" width="5.7265625" customWidth="1"/>
    <col min="5114" max="5114" width="6" customWidth="1"/>
    <col min="5115" max="5116" width="4.26953125" customWidth="1"/>
    <col min="5117" max="5117" width="4" customWidth="1"/>
    <col min="5118" max="5118" width="4.1796875" customWidth="1"/>
    <col min="5119" max="5119" width="4" customWidth="1"/>
    <col min="5120" max="5120" width="10.26953125" customWidth="1"/>
    <col min="5121" max="5121" width="16.7265625" customWidth="1"/>
    <col min="5122" max="5122" width="21" customWidth="1"/>
    <col min="5364" max="5364" width="5.7265625" customWidth="1"/>
    <col min="5367" max="5367" width="22.7265625" customWidth="1"/>
    <col min="5368" max="5368" width="6.26953125" customWidth="1"/>
    <col min="5369" max="5369" width="5.7265625" customWidth="1"/>
    <col min="5370" max="5370" width="6" customWidth="1"/>
    <col min="5371" max="5372" width="4.26953125" customWidth="1"/>
    <col min="5373" max="5373" width="4" customWidth="1"/>
    <col min="5374" max="5374" width="4.1796875" customWidth="1"/>
    <col min="5375" max="5375" width="4" customWidth="1"/>
    <col min="5376" max="5376" width="10.26953125" customWidth="1"/>
    <col min="5377" max="5377" width="16.7265625" customWidth="1"/>
    <col min="5378" max="5378" width="21" customWidth="1"/>
    <col min="5620" max="5620" width="5.7265625" customWidth="1"/>
    <col min="5623" max="5623" width="22.7265625" customWidth="1"/>
    <col min="5624" max="5624" width="6.26953125" customWidth="1"/>
    <col min="5625" max="5625" width="5.7265625" customWidth="1"/>
    <col min="5626" max="5626" width="6" customWidth="1"/>
    <col min="5627" max="5628" width="4.26953125" customWidth="1"/>
    <col min="5629" max="5629" width="4" customWidth="1"/>
    <col min="5630" max="5630" width="4.1796875" customWidth="1"/>
    <col min="5631" max="5631" width="4" customWidth="1"/>
    <col min="5632" max="5632" width="10.26953125" customWidth="1"/>
    <col min="5633" max="5633" width="16.7265625" customWidth="1"/>
    <col min="5634" max="5634" width="21" customWidth="1"/>
    <col min="5876" max="5876" width="5.7265625" customWidth="1"/>
    <col min="5879" max="5879" width="22.7265625" customWidth="1"/>
    <col min="5880" max="5880" width="6.26953125" customWidth="1"/>
    <col min="5881" max="5881" width="5.7265625" customWidth="1"/>
    <col min="5882" max="5882" width="6" customWidth="1"/>
    <col min="5883" max="5884" width="4.26953125" customWidth="1"/>
    <col min="5885" max="5885" width="4" customWidth="1"/>
    <col min="5886" max="5886" width="4.1796875" customWidth="1"/>
    <col min="5887" max="5887" width="4" customWidth="1"/>
    <col min="5888" max="5888" width="10.26953125" customWidth="1"/>
    <col min="5889" max="5889" width="16.7265625" customWidth="1"/>
    <col min="5890" max="5890" width="21" customWidth="1"/>
    <col min="6132" max="6132" width="5.7265625" customWidth="1"/>
    <col min="6135" max="6135" width="22.7265625" customWidth="1"/>
    <col min="6136" max="6136" width="6.26953125" customWidth="1"/>
    <col min="6137" max="6137" width="5.7265625" customWidth="1"/>
    <col min="6138" max="6138" width="6" customWidth="1"/>
    <col min="6139" max="6140" width="4.26953125" customWidth="1"/>
    <col min="6141" max="6141" width="4" customWidth="1"/>
    <col min="6142" max="6142" width="4.1796875" customWidth="1"/>
    <col min="6143" max="6143" width="4" customWidth="1"/>
    <col min="6144" max="6144" width="10.26953125" customWidth="1"/>
    <col min="6145" max="6145" width="16.7265625" customWidth="1"/>
    <col min="6146" max="6146" width="21" customWidth="1"/>
    <col min="6388" max="6388" width="5.7265625" customWidth="1"/>
    <col min="6391" max="6391" width="22.7265625" customWidth="1"/>
    <col min="6392" max="6392" width="6.26953125" customWidth="1"/>
    <col min="6393" max="6393" width="5.7265625" customWidth="1"/>
    <col min="6394" max="6394" width="6" customWidth="1"/>
    <col min="6395" max="6396" width="4.26953125" customWidth="1"/>
    <col min="6397" max="6397" width="4" customWidth="1"/>
    <col min="6398" max="6398" width="4.1796875" customWidth="1"/>
    <col min="6399" max="6399" width="4" customWidth="1"/>
    <col min="6400" max="6400" width="10.26953125" customWidth="1"/>
    <col min="6401" max="6401" width="16.7265625" customWidth="1"/>
    <col min="6402" max="6402" width="21" customWidth="1"/>
    <col min="6644" max="6644" width="5.7265625" customWidth="1"/>
    <col min="6647" max="6647" width="22.7265625" customWidth="1"/>
    <col min="6648" max="6648" width="6.26953125" customWidth="1"/>
    <col min="6649" max="6649" width="5.7265625" customWidth="1"/>
    <col min="6650" max="6650" width="6" customWidth="1"/>
    <col min="6651" max="6652" width="4.26953125" customWidth="1"/>
    <col min="6653" max="6653" width="4" customWidth="1"/>
    <col min="6654" max="6654" width="4.1796875" customWidth="1"/>
    <col min="6655" max="6655" width="4" customWidth="1"/>
    <col min="6656" max="6656" width="10.26953125" customWidth="1"/>
    <col min="6657" max="6657" width="16.7265625" customWidth="1"/>
    <col min="6658" max="6658" width="21" customWidth="1"/>
    <col min="6900" max="6900" width="5.7265625" customWidth="1"/>
    <col min="6903" max="6903" width="22.7265625" customWidth="1"/>
    <col min="6904" max="6904" width="6.26953125" customWidth="1"/>
    <col min="6905" max="6905" width="5.7265625" customWidth="1"/>
    <col min="6906" max="6906" width="6" customWidth="1"/>
    <col min="6907" max="6908" width="4.26953125" customWidth="1"/>
    <col min="6909" max="6909" width="4" customWidth="1"/>
    <col min="6910" max="6910" width="4.1796875" customWidth="1"/>
    <col min="6911" max="6911" width="4" customWidth="1"/>
    <col min="6912" max="6912" width="10.26953125" customWidth="1"/>
    <col min="6913" max="6913" width="16.7265625" customWidth="1"/>
    <col min="6914" max="6914" width="21" customWidth="1"/>
    <col min="7156" max="7156" width="5.7265625" customWidth="1"/>
    <col min="7159" max="7159" width="22.7265625" customWidth="1"/>
    <col min="7160" max="7160" width="6.26953125" customWidth="1"/>
    <col min="7161" max="7161" width="5.7265625" customWidth="1"/>
    <col min="7162" max="7162" width="6" customWidth="1"/>
    <col min="7163" max="7164" width="4.26953125" customWidth="1"/>
    <col min="7165" max="7165" width="4" customWidth="1"/>
    <col min="7166" max="7166" width="4.1796875" customWidth="1"/>
    <col min="7167" max="7167" width="4" customWidth="1"/>
    <col min="7168" max="7168" width="10.26953125" customWidth="1"/>
    <col min="7169" max="7169" width="16.7265625" customWidth="1"/>
    <col min="7170" max="7170" width="21" customWidth="1"/>
    <col min="7412" max="7412" width="5.7265625" customWidth="1"/>
    <col min="7415" max="7415" width="22.7265625" customWidth="1"/>
    <col min="7416" max="7416" width="6.26953125" customWidth="1"/>
    <col min="7417" max="7417" width="5.7265625" customWidth="1"/>
    <col min="7418" max="7418" width="6" customWidth="1"/>
    <col min="7419" max="7420" width="4.26953125" customWidth="1"/>
    <col min="7421" max="7421" width="4" customWidth="1"/>
    <col min="7422" max="7422" width="4.1796875" customWidth="1"/>
    <col min="7423" max="7423" width="4" customWidth="1"/>
    <col min="7424" max="7424" width="10.26953125" customWidth="1"/>
    <col min="7425" max="7425" width="16.7265625" customWidth="1"/>
    <col min="7426" max="7426" width="21" customWidth="1"/>
    <col min="7668" max="7668" width="5.7265625" customWidth="1"/>
    <col min="7671" max="7671" width="22.7265625" customWidth="1"/>
    <col min="7672" max="7672" width="6.26953125" customWidth="1"/>
    <col min="7673" max="7673" width="5.7265625" customWidth="1"/>
    <col min="7674" max="7674" width="6" customWidth="1"/>
    <col min="7675" max="7676" width="4.26953125" customWidth="1"/>
    <col min="7677" max="7677" width="4" customWidth="1"/>
    <col min="7678" max="7678" width="4.1796875" customWidth="1"/>
    <col min="7679" max="7679" width="4" customWidth="1"/>
    <col min="7680" max="7680" width="10.26953125" customWidth="1"/>
    <col min="7681" max="7681" width="16.7265625" customWidth="1"/>
    <col min="7682" max="7682" width="21" customWidth="1"/>
    <col min="7924" max="7924" width="5.7265625" customWidth="1"/>
    <col min="7927" max="7927" width="22.7265625" customWidth="1"/>
    <col min="7928" max="7928" width="6.26953125" customWidth="1"/>
    <col min="7929" max="7929" width="5.7265625" customWidth="1"/>
    <col min="7930" max="7930" width="6" customWidth="1"/>
    <col min="7931" max="7932" width="4.26953125" customWidth="1"/>
    <col min="7933" max="7933" width="4" customWidth="1"/>
    <col min="7934" max="7934" width="4.1796875" customWidth="1"/>
    <col min="7935" max="7935" width="4" customWidth="1"/>
    <col min="7936" max="7936" width="10.26953125" customWidth="1"/>
    <col min="7937" max="7937" width="16.7265625" customWidth="1"/>
    <col min="7938" max="7938" width="21" customWidth="1"/>
    <col min="8180" max="8180" width="5.7265625" customWidth="1"/>
    <col min="8183" max="8183" width="22.7265625" customWidth="1"/>
    <col min="8184" max="8184" width="6.26953125" customWidth="1"/>
    <col min="8185" max="8185" width="5.7265625" customWidth="1"/>
    <col min="8186" max="8186" width="6" customWidth="1"/>
    <col min="8187" max="8188" width="4.26953125" customWidth="1"/>
    <col min="8189" max="8189" width="4" customWidth="1"/>
    <col min="8190" max="8190" width="4.1796875" customWidth="1"/>
    <col min="8191" max="8191" width="4" customWidth="1"/>
    <col min="8192" max="8192" width="10.26953125" customWidth="1"/>
    <col min="8193" max="8193" width="16.7265625" customWidth="1"/>
    <col min="8194" max="8194" width="21" customWidth="1"/>
    <col min="8436" max="8436" width="5.7265625" customWidth="1"/>
    <col min="8439" max="8439" width="22.7265625" customWidth="1"/>
    <col min="8440" max="8440" width="6.26953125" customWidth="1"/>
    <col min="8441" max="8441" width="5.7265625" customWidth="1"/>
    <col min="8442" max="8442" width="6" customWidth="1"/>
    <col min="8443" max="8444" width="4.26953125" customWidth="1"/>
    <col min="8445" max="8445" width="4" customWidth="1"/>
    <col min="8446" max="8446" width="4.1796875" customWidth="1"/>
    <col min="8447" max="8447" width="4" customWidth="1"/>
    <col min="8448" max="8448" width="10.26953125" customWidth="1"/>
    <col min="8449" max="8449" width="16.7265625" customWidth="1"/>
    <col min="8450" max="8450" width="21" customWidth="1"/>
    <col min="8692" max="8692" width="5.7265625" customWidth="1"/>
    <col min="8695" max="8695" width="22.7265625" customWidth="1"/>
    <col min="8696" max="8696" width="6.26953125" customWidth="1"/>
    <col min="8697" max="8697" width="5.7265625" customWidth="1"/>
    <col min="8698" max="8698" width="6" customWidth="1"/>
    <col min="8699" max="8700" width="4.26953125" customWidth="1"/>
    <col min="8701" max="8701" width="4" customWidth="1"/>
    <col min="8702" max="8702" width="4.1796875" customWidth="1"/>
    <col min="8703" max="8703" width="4" customWidth="1"/>
    <col min="8704" max="8704" width="10.26953125" customWidth="1"/>
    <col min="8705" max="8705" width="16.7265625" customWidth="1"/>
    <col min="8706" max="8706" width="21" customWidth="1"/>
    <col min="8948" max="8948" width="5.7265625" customWidth="1"/>
    <col min="8951" max="8951" width="22.7265625" customWidth="1"/>
    <col min="8952" max="8952" width="6.26953125" customWidth="1"/>
    <col min="8953" max="8953" width="5.7265625" customWidth="1"/>
    <col min="8954" max="8954" width="6" customWidth="1"/>
    <col min="8955" max="8956" width="4.26953125" customWidth="1"/>
    <col min="8957" max="8957" width="4" customWidth="1"/>
    <col min="8958" max="8958" width="4.1796875" customWidth="1"/>
    <col min="8959" max="8959" width="4" customWidth="1"/>
    <col min="8960" max="8960" width="10.26953125" customWidth="1"/>
    <col min="8961" max="8961" width="16.7265625" customWidth="1"/>
    <col min="8962" max="8962" width="21" customWidth="1"/>
    <col min="9204" max="9204" width="5.7265625" customWidth="1"/>
    <col min="9207" max="9207" width="22.7265625" customWidth="1"/>
    <col min="9208" max="9208" width="6.26953125" customWidth="1"/>
    <col min="9209" max="9209" width="5.7265625" customWidth="1"/>
    <col min="9210" max="9210" width="6" customWidth="1"/>
    <col min="9211" max="9212" width="4.26953125" customWidth="1"/>
    <col min="9213" max="9213" width="4" customWidth="1"/>
    <col min="9214" max="9214" width="4.1796875" customWidth="1"/>
    <col min="9215" max="9215" width="4" customWidth="1"/>
    <col min="9216" max="9216" width="10.26953125" customWidth="1"/>
    <col min="9217" max="9217" width="16.7265625" customWidth="1"/>
    <col min="9218" max="9218" width="21" customWidth="1"/>
    <col min="9460" max="9460" width="5.7265625" customWidth="1"/>
    <col min="9463" max="9463" width="22.7265625" customWidth="1"/>
    <col min="9464" max="9464" width="6.26953125" customWidth="1"/>
    <col min="9465" max="9465" width="5.7265625" customWidth="1"/>
    <col min="9466" max="9466" width="6" customWidth="1"/>
    <col min="9467" max="9468" width="4.26953125" customWidth="1"/>
    <col min="9469" max="9469" width="4" customWidth="1"/>
    <col min="9470" max="9470" width="4.1796875" customWidth="1"/>
    <col min="9471" max="9471" width="4" customWidth="1"/>
    <col min="9472" max="9472" width="10.26953125" customWidth="1"/>
    <col min="9473" max="9473" width="16.7265625" customWidth="1"/>
    <col min="9474" max="9474" width="21" customWidth="1"/>
    <col min="9716" max="9716" width="5.7265625" customWidth="1"/>
    <col min="9719" max="9719" width="22.7265625" customWidth="1"/>
    <col min="9720" max="9720" width="6.26953125" customWidth="1"/>
    <col min="9721" max="9721" width="5.7265625" customWidth="1"/>
    <col min="9722" max="9722" width="6" customWidth="1"/>
    <col min="9723" max="9724" width="4.26953125" customWidth="1"/>
    <col min="9725" max="9725" width="4" customWidth="1"/>
    <col min="9726" max="9726" width="4.1796875" customWidth="1"/>
    <col min="9727" max="9727" width="4" customWidth="1"/>
    <col min="9728" max="9728" width="10.26953125" customWidth="1"/>
    <col min="9729" max="9729" width="16.7265625" customWidth="1"/>
    <col min="9730" max="9730" width="21" customWidth="1"/>
    <col min="9972" max="9972" width="5.7265625" customWidth="1"/>
    <col min="9975" max="9975" width="22.7265625" customWidth="1"/>
    <col min="9976" max="9976" width="6.26953125" customWidth="1"/>
    <col min="9977" max="9977" width="5.7265625" customWidth="1"/>
    <col min="9978" max="9978" width="6" customWidth="1"/>
    <col min="9979" max="9980" width="4.26953125" customWidth="1"/>
    <col min="9981" max="9981" width="4" customWidth="1"/>
    <col min="9982" max="9982" width="4.1796875" customWidth="1"/>
    <col min="9983" max="9983" width="4" customWidth="1"/>
    <col min="9984" max="9984" width="10.26953125" customWidth="1"/>
    <col min="9985" max="9985" width="16.7265625" customWidth="1"/>
    <col min="9986" max="9986" width="21" customWidth="1"/>
    <col min="10228" max="10228" width="5.7265625" customWidth="1"/>
    <col min="10231" max="10231" width="22.7265625" customWidth="1"/>
    <col min="10232" max="10232" width="6.26953125" customWidth="1"/>
    <col min="10233" max="10233" width="5.7265625" customWidth="1"/>
    <col min="10234" max="10234" width="6" customWidth="1"/>
    <col min="10235" max="10236" width="4.26953125" customWidth="1"/>
    <col min="10237" max="10237" width="4" customWidth="1"/>
    <col min="10238" max="10238" width="4.1796875" customWidth="1"/>
    <col min="10239" max="10239" width="4" customWidth="1"/>
    <col min="10240" max="10240" width="10.26953125" customWidth="1"/>
    <col min="10241" max="10241" width="16.7265625" customWidth="1"/>
    <col min="10242" max="10242" width="21" customWidth="1"/>
    <col min="10484" max="10484" width="5.7265625" customWidth="1"/>
    <col min="10487" max="10487" width="22.7265625" customWidth="1"/>
    <col min="10488" max="10488" width="6.26953125" customWidth="1"/>
    <col min="10489" max="10489" width="5.7265625" customWidth="1"/>
    <col min="10490" max="10490" width="6" customWidth="1"/>
    <col min="10491" max="10492" width="4.26953125" customWidth="1"/>
    <col min="10493" max="10493" width="4" customWidth="1"/>
    <col min="10494" max="10494" width="4.1796875" customWidth="1"/>
    <col min="10495" max="10495" width="4" customWidth="1"/>
    <col min="10496" max="10496" width="10.26953125" customWidth="1"/>
    <col min="10497" max="10497" width="16.7265625" customWidth="1"/>
    <col min="10498" max="10498" width="21" customWidth="1"/>
    <col min="10740" max="10740" width="5.7265625" customWidth="1"/>
    <col min="10743" max="10743" width="22.7265625" customWidth="1"/>
    <col min="10744" max="10744" width="6.26953125" customWidth="1"/>
    <col min="10745" max="10745" width="5.7265625" customWidth="1"/>
    <col min="10746" max="10746" width="6" customWidth="1"/>
    <col min="10747" max="10748" width="4.26953125" customWidth="1"/>
    <col min="10749" max="10749" width="4" customWidth="1"/>
    <col min="10750" max="10750" width="4.1796875" customWidth="1"/>
    <col min="10751" max="10751" width="4" customWidth="1"/>
    <col min="10752" max="10752" width="10.26953125" customWidth="1"/>
    <col min="10753" max="10753" width="16.7265625" customWidth="1"/>
    <col min="10754" max="10754" width="21" customWidth="1"/>
    <col min="10996" max="10996" width="5.7265625" customWidth="1"/>
    <col min="10999" max="10999" width="22.7265625" customWidth="1"/>
    <col min="11000" max="11000" width="6.26953125" customWidth="1"/>
    <col min="11001" max="11001" width="5.7265625" customWidth="1"/>
    <col min="11002" max="11002" width="6" customWidth="1"/>
    <col min="11003" max="11004" width="4.26953125" customWidth="1"/>
    <col min="11005" max="11005" width="4" customWidth="1"/>
    <col min="11006" max="11006" width="4.1796875" customWidth="1"/>
    <col min="11007" max="11007" width="4" customWidth="1"/>
    <col min="11008" max="11008" width="10.26953125" customWidth="1"/>
    <col min="11009" max="11009" width="16.7265625" customWidth="1"/>
    <col min="11010" max="11010" width="21" customWidth="1"/>
    <col min="11252" max="11252" width="5.7265625" customWidth="1"/>
    <col min="11255" max="11255" width="22.7265625" customWidth="1"/>
    <col min="11256" max="11256" width="6.26953125" customWidth="1"/>
    <col min="11257" max="11257" width="5.7265625" customWidth="1"/>
    <col min="11258" max="11258" width="6" customWidth="1"/>
    <col min="11259" max="11260" width="4.26953125" customWidth="1"/>
    <col min="11261" max="11261" width="4" customWidth="1"/>
    <col min="11262" max="11262" width="4.1796875" customWidth="1"/>
    <col min="11263" max="11263" width="4" customWidth="1"/>
    <col min="11264" max="11264" width="10.26953125" customWidth="1"/>
    <col min="11265" max="11265" width="16.7265625" customWidth="1"/>
    <col min="11266" max="11266" width="21" customWidth="1"/>
    <col min="11508" max="11508" width="5.7265625" customWidth="1"/>
    <col min="11511" max="11511" width="22.7265625" customWidth="1"/>
    <col min="11512" max="11512" width="6.26953125" customWidth="1"/>
    <col min="11513" max="11513" width="5.7265625" customWidth="1"/>
    <col min="11514" max="11514" width="6" customWidth="1"/>
    <col min="11515" max="11516" width="4.26953125" customWidth="1"/>
    <col min="11517" max="11517" width="4" customWidth="1"/>
    <col min="11518" max="11518" width="4.1796875" customWidth="1"/>
    <col min="11519" max="11519" width="4" customWidth="1"/>
    <col min="11520" max="11520" width="10.26953125" customWidth="1"/>
    <col min="11521" max="11521" width="16.7265625" customWidth="1"/>
    <col min="11522" max="11522" width="21" customWidth="1"/>
    <col min="11764" max="11764" width="5.7265625" customWidth="1"/>
    <col min="11767" max="11767" width="22.7265625" customWidth="1"/>
    <col min="11768" max="11768" width="6.26953125" customWidth="1"/>
    <col min="11769" max="11769" width="5.7265625" customWidth="1"/>
    <col min="11770" max="11770" width="6" customWidth="1"/>
    <col min="11771" max="11772" width="4.26953125" customWidth="1"/>
    <col min="11773" max="11773" width="4" customWidth="1"/>
    <col min="11774" max="11774" width="4.1796875" customWidth="1"/>
    <col min="11775" max="11775" width="4" customWidth="1"/>
    <col min="11776" max="11776" width="10.26953125" customWidth="1"/>
    <col min="11777" max="11777" width="16.7265625" customWidth="1"/>
    <col min="11778" max="11778" width="21" customWidth="1"/>
    <col min="12020" max="12020" width="5.7265625" customWidth="1"/>
    <col min="12023" max="12023" width="22.7265625" customWidth="1"/>
    <col min="12024" max="12024" width="6.26953125" customWidth="1"/>
    <col min="12025" max="12025" width="5.7265625" customWidth="1"/>
    <col min="12026" max="12026" width="6" customWidth="1"/>
    <col min="12027" max="12028" width="4.26953125" customWidth="1"/>
    <col min="12029" max="12029" width="4" customWidth="1"/>
    <col min="12030" max="12030" width="4.1796875" customWidth="1"/>
    <col min="12031" max="12031" width="4" customWidth="1"/>
    <col min="12032" max="12032" width="10.26953125" customWidth="1"/>
    <col min="12033" max="12033" width="16.7265625" customWidth="1"/>
    <col min="12034" max="12034" width="21" customWidth="1"/>
    <col min="12276" max="12276" width="5.7265625" customWidth="1"/>
    <col min="12279" max="12279" width="22.7265625" customWidth="1"/>
    <col min="12280" max="12280" width="6.26953125" customWidth="1"/>
    <col min="12281" max="12281" width="5.7265625" customWidth="1"/>
    <col min="12282" max="12282" width="6" customWidth="1"/>
    <col min="12283" max="12284" width="4.26953125" customWidth="1"/>
    <col min="12285" max="12285" width="4" customWidth="1"/>
    <col min="12286" max="12286" width="4.1796875" customWidth="1"/>
    <col min="12287" max="12287" width="4" customWidth="1"/>
    <col min="12288" max="12288" width="10.26953125" customWidth="1"/>
    <col min="12289" max="12289" width="16.7265625" customWidth="1"/>
    <col min="12290" max="12290" width="21" customWidth="1"/>
    <col min="12532" max="12532" width="5.7265625" customWidth="1"/>
    <col min="12535" max="12535" width="22.7265625" customWidth="1"/>
    <col min="12536" max="12536" width="6.26953125" customWidth="1"/>
    <col min="12537" max="12537" width="5.7265625" customWidth="1"/>
    <col min="12538" max="12538" width="6" customWidth="1"/>
    <col min="12539" max="12540" width="4.26953125" customWidth="1"/>
    <col min="12541" max="12541" width="4" customWidth="1"/>
    <col min="12542" max="12542" width="4.1796875" customWidth="1"/>
    <col min="12543" max="12543" width="4" customWidth="1"/>
    <col min="12544" max="12544" width="10.26953125" customWidth="1"/>
    <col min="12545" max="12545" width="16.7265625" customWidth="1"/>
    <col min="12546" max="12546" width="21" customWidth="1"/>
    <col min="12788" max="12788" width="5.7265625" customWidth="1"/>
    <col min="12791" max="12791" width="22.7265625" customWidth="1"/>
    <col min="12792" max="12792" width="6.26953125" customWidth="1"/>
    <col min="12793" max="12793" width="5.7265625" customWidth="1"/>
    <col min="12794" max="12794" width="6" customWidth="1"/>
    <col min="12795" max="12796" width="4.26953125" customWidth="1"/>
    <col min="12797" max="12797" width="4" customWidth="1"/>
    <col min="12798" max="12798" width="4.1796875" customWidth="1"/>
    <col min="12799" max="12799" width="4" customWidth="1"/>
    <col min="12800" max="12800" width="10.26953125" customWidth="1"/>
    <col min="12801" max="12801" width="16.7265625" customWidth="1"/>
    <col min="12802" max="12802" width="21" customWidth="1"/>
    <col min="13044" max="13044" width="5.7265625" customWidth="1"/>
    <col min="13047" max="13047" width="22.7265625" customWidth="1"/>
    <col min="13048" max="13048" width="6.26953125" customWidth="1"/>
    <col min="13049" max="13049" width="5.7265625" customWidth="1"/>
    <col min="13050" max="13050" width="6" customWidth="1"/>
    <col min="13051" max="13052" width="4.26953125" customWidth="1"/>
    <col min="13053" max="13053" width="4" customWidth="1"/>
    <col min="13054" max="13054" width="4.1796875" customWidth="1"/>
    <col min="13055" max="13055" width="4" customWidth="1"/>
    <col min="13056" max="13056" width="10.26953125" customWidth="1"/>
    <col min="13057" max="13057" width="16.7265625" customWidth="1"/>
    <col min="13058" max="13058" width="21" customWidth="1"/>
    <col min="13300" max="13300" width="5.7265625" customWidth="1"/>
    <col min="13303" max="13303" width="22.7265625" customWidth="1"/>
    <col min="13304" max="13304" width="6.26953125" customWidth="1"/>
    <col min="13305" max="13305" width="5.7265625" customWidth="1"/>
    <col min="13306" max="13306" width="6" customWidth="1"/>
    <col min="13307" max="13308" width="4.26953125" customWidth="1"/>
    <col min="13309" max="13309" width="4" customWidth="1"/>
    <col min="13310" max="13310" width="4.1796875" customWidth="1"/>
    <col min="13311" max="13311" width="4" customWidth="1"/>
    <col min="13312" max="13312" width="10.26953125" customWidth="1"/>
    <col min="13313" max="13313" width="16.7265625" customWidth="1"/>
    <col min="13314" max="13314" width="21" customWidth="1"/>
    <col min="13556" max="13556" width="5.7265625" customWidth="1"/>
    <col min="13559" max="13559" width="22.7265625" customWidth="1"/>
    <col min="13560" max="13560" width="6.26953125" customWidth="1"/>
    <col min="13561" max="13561" width="5.7265625" customWidth="1"/>
    <col min="13562" max="13562" width="6" customWidth="1"/>
    <col min="13563" max="13564" width="4.26953125" customWidth="1"/>
    <col min="13565" max="13565" width="4" customWidth="1"/>
    <col min="13566" max="13566" width="4.1796875" customWidth="1"/>
    <col min="13567" max="13567" width="4" customWidth="1"/>
    <col min="13568" max="13568" width="10.26953125" customWidth="1"/>
    <col min="13569" max="13569" width="16.7265625" customWidth="1"/>
    <col min="13570" max="13570" width="21" customWidth="1"/>
    <col min="13812" max="13812" width="5.7265625" customWidth="1"/>
    <col min="13815" max="13815" width="22.7265625" customWidth="1"/>
    <col min="13816" max="13816" width="6.26953125" customWidth="1"/>
    <col min="13817" max="13817" width="5.7265625" customWidth="1"/>
    <col min="13818" max="13818" width="6" customWidth="1"/>
    <col min="13819" max="13820" width="4.26953125" customWidth="1"/>
    <col min="13821" max="13821" width="4" customWidth="1"/>
    <col min="13822" max="13822" width="4.1796875" customWidth="1"/>
    <col min="13823" max="13823" width="4" customWidth="1"/>
    <col min="13824" max="13824" width="10.26953125" customWidth="1"/>
    <col min="13825" max="13825" width="16.7265625" customWidth="1"/>
    <col min="13826" max="13826" width="21" customWidth="1"/>
    <col min="14068" max="14068" width="5.7265625" customWidth="1"/>
    <col min="14071" max="14071" width="22.7265625" customWidth="1"/>
    <col min="14072" max="14072" width="6.26953125" customWidth="1"/>
    <col min="14073" max="14073" width="5.7265625" customWidth="1"/>
    <col min="14074" max="14074" width="6" customWidth="1"/>
    <col min="14075" max="14076" width="4.26953125" customWidth="1"/>
    <col min="14077" max="14077" width="4" customWidth="1"/>
    <col min="14078" max="14078" width="4.1796875" customWidth="1"/>
    <col min="14079" max="14079" width="4" customWidth="1"/>
    <col min="14080" max="14080" width="10.26953125" customWidth="1"/>
    <col min="14081" max="14081" width="16.7265625" customWidth="1"/>
    <col min="14082" max="14082" width="21" customWidth="1"/>
    <col min="14324" max="14324" width="5.7265625" customWidth="1"/>
    <col min="14327" max="14327" width="22.7265625" customWidth="1"/>
    <col min="14328" max="14328" width="6.26953125" customWidth="1"/>
    <col min="14329" max="14329" width="5.7265625" customWidth="1"/>
    <col min="14330" max="14330" width="6" customWidth="1"/>
    <col min="14331" max="14332" width="4.26953125" customWidth="1"/>
    <col min="14333" max="14333" width="4" customWidth="1"/>
    <col min="14334" max="14334" width="4.1796875" customWidth="1"/>
    <col min="14335" max="14335" width="4" customWidth="1"/>
    <col min="14336" max="14336" width="10.26953125" customWidth="1"/>
    <col min="14337" max="14337" width="16.7265625" customWidth="1"/>
    <col min="14338" max="14338" width="21" customWidth="1"/>
    <col min="14580" max="14580" width="5.7265625" customWidth="1"/>
    <col min="14583" max="14583" width="22.7265625" customWidth="1"/>
    <col min="14584" max="14584" width="6.26953125" customWidth="1"/>
    <col min="14585" max="14585" width="5.7265625" customWidth="1"/>
    <col min="14586" max="14586" width="6" customWidth="1"/>
    <col min="14587" max="14588" width="4.26953125" customWidth="1"/>
    <col min="14589" max="14589" width="4" customWidth="1"/>
    <col min="14590" max="14590" width="4.1796875" customWidth="1"/>
    <col min="14591" max="14591" width="4" customWidth="1"/>
    <col min="14592" max="14592" width="10.26953125" customWidth="1"/>
    <col min="14593" max="14593" width="16.7265625" customWidth="1"/>
    <col min="14594" max="14594" width="21" customWidth="1"/>
    <col min="14836" max="14836" width="5.7265625" customWidth="1"/>
    <col min="14839" max="14839" width="22.7265625" customWidth="1"/>
    <col min="14840" max="14840" width="6.26953125" customWidth="1"/>
    <col min="14841" max="14841" width="5.7265625" customWidth="1"/>
    <col min="14842" max="14842" width="6" customWidth="1"/>
    <col min="14843" max="14844" width="4.26953125" customWidth="1"/>
    <col min="14845" max="14845" width="4" customWidth="1"/>
    <col min="14846" max="14846" width="4.1796875" customWidth="1"/>
    <col min="14847" max="14847" width="4" customWidth="1"/>
    <col min="14848" max="14848" width="10.26953125" customWidth="1"/>
    <col min="14849" max="14849" width="16.7265625" customWidth="1"/>
    <col min="14850" max="14850" width="21" customWidth="1"/>
    <col min="15092" max="15092" width="5.7265625" customWidth="1"/>
    <col min="15095" max="15095" width="22.7265625" customWidth="1"/>
    <col min="15096" max="15096" width="6.26953125" customWidth="1"/>
    <col min="15097" max="15097" width="5.7265625" customWidth="1"/>
    <col min="15098" max="15098" width="6" customWidth="1"/>
    <col min="15099" max="15100" width="4.26953125" customWidth="1"/>
    <col min="15101" max="15101" width="4" customWidth="1"/>
    <col min="15102" max="15102" width="4.1796875" customWidth="1"/>
    <col min="15103" max="15103" width="4" customWidth="1"/>
    <col min="15104" max="15104" width="10.26953125" customWidth="1"/>
    <col min="15105" max="15105" width="16.7265625" customWidth="1"/>
    <col min="15106" max="15106" width="21" customWidth="1"/>
    <col min="15348" max="15348" width="5.7265625" customWidth="1"/>
    <col min="15351" max="15351" width="22.7265625" customWidth="1"/>
    <col min="15352" max="15352" width="6.26953125" customWidth="1"/>
    <col min="15353" max="15353" width="5.7265625" customWidth="1"/>
    <col min="15354" max="15354" width="6" customWidth="1"/>
    <col min="15355" max="15356" width="4.26953125" customWidth="1"/>
    <col min="15357" max="15357" width="4" customWidth="1"/>
    <col min="15358" max="15358" width="4.1796875" customWidth="1"/>
    <col min="15359" max="15359" width="4" customWidth="1"/>
    <col min="15360" max="15360" width="10.26953125" customWidth="1"/>
    <col min="15361" max="15361" width="16.7265625" customWidth="1"/>
    <col min="15362" max="15362" width="21" customWidth="1"/>
    <col min="15604" max="15604" width="5.7265625" customWidth="1"/>
    <col min="15607" max="15607" width="22.7265625" customWidth="1"/>
    <col min="15608" max="15608" width="6.26953125" customWidth="1"/>
    <col min="15609" max="15609" width="5.7265625" customWidth="1"/>
    <col min="15610" max="15610" width="6" customWidth="1"/>
    <col min="15611" max="15612" width="4.26953125" customWidth="1"/>
    <col min="15613" max="15613" width="4" customWidth="1"/>
    <col min="15614" max="15614" width="4.1796875" customWidth="1"/>
    <col min="15615" max="15615" width="4" customWidth="1"/>
    <col min="15616" max="15616" width="10.26953125" customWidth="1"/>
    <col min="15617" max="15617" width="16.7265625" customWidth="1"/>
    <col min="15618" max="15618" width="21" customWidth="1"/>
    <col min="15860" max="15860" width="5.7265625" customWidth="1"/>
    <col min="15863" max="15863" width="22.7265625" customWidth="1"/>
    <col min="15864" max="15864" width="6.26953125" customWidth="1"/>
    <col min="15865" max="15865" width="5.7265625" customWidth="1"/>
    <col min="15866" max="15866" width="6" customWidth="1"/>
    <col min="15867" max="15868" width="4.26953125" customWidth="1"/>
    <col min="15869" max="15869" width="4" customWidth="1"/>
    <col min="15870" max="15870" width="4.1796875" customWidth="1"/>
    <col min="15871" max="15871" width="4" customWidth="1"/>
    <col min="15872" max="15872" width="10.26953125" customWidth="1"/>
    <col min="15873" max="15873" width="16.7265625" customWidth="1"/>
    <col min="15874" max="15874" width="21" customWidth="1"/>
    <col min="16116" max="16116" width="5.7265625" customWidth="1"/>
    <col min="16119" max="16119" width="22.7265625" customWidth="1"/>
    <col min="16120" max="16120" width="6.26953125" customWidth="1"/>
    <col min="16121" max="16121" width="5.7265625" customWidth="1"/>
    <col min="16122" max="16122" width="6" customWidth="1"/>
    <col min="16123" max="16124" width="4.26953125" customWidth="1"/>
    <col min="16125" max="16125" width="4" customWidth="1"/>
    <col min="16126" max="16126" width="4.1796875" customWidth="1"/>
    <col min="16127" max="16127" width="4" customWidth="1"/>
    <col min="16128" max="16128" width="10.26953125" customWidth="1"/>
    <col min="16129" max="16129" width="16.7265625" customWidth="1"/>
    <col min="16130" max="16130" width="21" customWidth="1"/>
  </cols>
  <sheetData>
    <row r="1" spans="1:144" ht="14.5" customHeight="1" x14ac:dyDescent="0.35">
      <c r="A1" s="1151" t="s">
        <v>120</v>
      </c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2"/>
      <c r="N1" s="1152"/>
      <c r="O1" s="1167"/>
    </row>
    <row r="2" spans="1:144" ht="23.5" customHeight="1" x14ac:dyDescent="0.35">
      <c r="A2" s="1154"/>
      <c r="B2" s="1155"/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5"/>
      <c r="O2" s="1168"/>
    </row>
    <row r="3" spans="1:144" ht="14.5" customHeight="1" x14ac:dyDescent="0.35">
      <c r="A3" s="1162" t="s">
        <v>121</v>
      </c>
      <c r="B3" s="954" t="s">
        <v>122</v>
      </c>
      <c r="C3" s="954" t="s">
        <v>123</v>
      </c>
      <c r="D3" s="954" t="s">
        <v>105</v>
      </c>
      <c r="E3" s="954" t="s">
        <v>124</v>
      </c>
      <c r="F3" s="954"/>
      <c r="G3" s="954"/>
      <c r="H3" s="954"/>
      <c r="I3" s="954"/>
      <c r="J3" s="954"/>
      <c r="K3" s="954"/>
      <c r="L3" s="954"/>
      <c r="M3" s="954"/>
      <c r="N3" s="1159" t="s">
        <v>913</v>
      </c>
      <c r="O3" s="1164" t="s">
        <v>914</v>
      </c>
    </row>
    <row r="4" spans="1:144" ht="28.9" customHeight="1" x14ac:dyDescent="0.35">
      <c r="A4" s="1162"/>
      <c r="B4" s="954"/>
      <c r="C4" s="954"/>
      <c r="D4" s="954"/>
      <c r="E4" s="1161" t="s">
        <v>920</v>
      </c>
      <c r="F4" s="1161"/>
      <c r="G4" s="1161"/>
      <c r="H4" s="1161"/>
      <c r="I4" s="1161" t="s">
        <v>921</v>
      </c>
      <c r="J4" s="1161"/>
      <c r="K4" s="1161"/>
      <c r="L4" s="1161"/>
      <c r="M4" s="950" t="s">
        <v>915</v>
      </c>
      <c r="N4" s="1163"/>
      <c r="O4" s="1165"/>
    </row>
    <row r="5" spans="1:144" x14ac:dyDescent="0.35">
      <c r="A5" s="1162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950"/>
      <c r="N5" s="1160"/>
      <c r="O5" s="1166"/>
    </row>
    <row r="6" spans="1:144" x14ac:dyDescent="0.35">
      <c r="A6" s="473">
        <v>1</v>
      </c>
      <c r="B6" s="474" t="s">
        <v>125</v>
      </c>
      <c r="C6" s="474" t="s">
        <v>126</v>
      </c>
      <c r="D6" s="474" t="s">
        <v>127</v>
      </c>
      <c r="E6" s="474">
        <v>1</v>
      </c>
      <c r="F6" s="474">
        <v>1</v>
      </c>
      <c r="G6" s="474" t="s">
        <v>916</v>
      </c>
      <c r="H6" s="475" t="s">
        <v>916</v>
      </c>
      <c r="I6" s="475" t="s">
        <v>916</v>
      </c>
      <c r="J6" s="475" t="s">
        <v>916</v>
      </c>
      <c r="K6" s="475" t="s">
        <v>916</v>
      </c>
      <c r="L6" s="475" t="s">
        <v>916</v>
      </c>
      <c r="M6" s="477">
        <v>28.315000000000001</v>
      </c>
      <c r="N6" s="474" t="s">
        <v>917</v>
      </c>
      <c r="O6" s="596" t="s">
        <v>945</v>
      </c>
    </row>
    <row r="7" spans="1:144" hidden="1" x14ac:dyDescent="0.35">
      <c r="A7" s="441">
        <v>2</v>
      </c>
      <c r="B7" s="442" t="s">
        <v>128</v>
      </c>
      <c r="C7" s="442" t="s">
        <v>129</v>
      </c>
      <c r="D7" s="442" t="s">
        <v>130</v>
      </c>
      <c r="E7" s="442" t="s">
        <v>916</v>
      </c>
      <c r="F7" s="442" t="s">
        <v>916</v>
      </c>
      <c r="G7" s="442" t="s">
        <v>916</v>
      </c>
      <c r="H7" s="444" t="s">
        <v>916</v>
      </c>
      <c r="I7" s="443" t="s">
        <v>916</v>
      </c>
      <c r="J7" s="443" t="s">
        <v>916</v>
      </c>
      <c r="K7" s="443" t="s">
        <v>916</v>
      </c>
      <c r="L7" s="443" t="s">
        <v>916</v>
      </c>
      <c r="M7" s="478">
        <v>57.536999999999999</v>
      </c>
      <c r="N7" s="442" t="s">
        <v>917</v>
      </c>
      <c r="O7" s="597"/>
    </row>
    <row r="8" spans="1:144" hidden="1" x14ac:dyDescent="0.35">
      <c r="A8" s="441">
        <v>3</v>
      </c>
      <c r="B8" s="442" t="s">
        <v>131</v>
      </c>
      <c r="C8" s="442" t="s">
        <v>132</v>
      </c>
      <c r="D8" s="442" t="s">
        <v>130</v>
      </c>
      <c r="E8" s="442" t="s">
        <v>916</v>
      </c>
      <c r="F8" s="442" t="s">
        <v>916</v>
      </c>
      <c r="G8" s="442" t="s">
        <v>916</v>
      </c>
      <c r="H8" s="444" t="s">
        <v>916</v>
      </c>
      <c r="I8" s="443" t="s">
        <v>916</v>
      </c>
      <c r="J8" s="443" t="s">
        <v>916</v>
      </c>
      <c r="K8" s="443" t="s">
        <v>916</v>
      </c>
      <c r="L8" s="443" t="s">
        <v>916</v>
      </c>
      <c r="M8" s="478">
        <v>67.992999999999995</v>
      </c>
      <c r="N8" s="442" t="s">
        <v>917</v>
      </c>
      <c r="O8" s="597"/>
    </row>
    <row r="9" spans="1:144" s="445" customFormat="1" x14ac:dyDescent="0.35">
      <c r="A9" s="481">
        <v>4</v>
      </c>
      <c r="B9" s="482" t="s">
        <v>133</v>
      </c>
      <c r="C9" s="482" t="s">
        <v>134</v>
      </c>
      <c r="D9" s="482" t="s">
        <v>135</v>
      </c>
      <c r="E9" s="482">
        <v>3</v>
      </c>
      <c r="F9" s="482">
        <v>3</v>
      </c>
      <c r="G9" s="482">
        <v>3</v>
      </c>
      <c r="H9" s="482">
        <v>3</v>
      </c>
      <c r="I9" s="483" t="s">
        <v>916</v>
      </c>
      <c r="J9" s="483" t="s">
        <v>916</v>
      </c>
      <c r="K9" s="483" t="s">
        <v>916</v>
      </c>
      <c r="L9" s="483" t="s">
        <v>916</v>
      </c>
      <c r="M9" s="478"/>
      <c r="N9" s="482" t="s">
        <v>917</v>
      </c>
      <c r="O9" s="596" t="s">
        <v>945</v>
      </c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  <c r="EN9" s="456"/>
    </row>
    <row r="10" spans="1:144" s="445" customFormat="1" hidden="1" x14ac:dyDescent="0.35">
      <c r="A10" s="441">
        <v>5</v>
      </c>
      <c r="B10" s="442" t="s">
        <v>136</v>
      </c>
      <c r="C10" s="442" t="s">
        <v>137</v>
      </c>
      <c r="D10" s="442" t="s">
        <v>130</v>
      </c>
      <c r="E10" s="442" t="s">
        <v>916</v>
      </c>
      <c r="F10" s="442" t="s">
        <v>916</v>
      </c>
      <c r="G10" s="442" t="s">
        <v>916</v>
      </c>
      <c r="H10" s="444" t="s">
        <v>916</v>
      </c>
      <c r="I10" s="443" t="s">
        <v>916</v>
      </c>
      <c r="J10" s="443" t="s">
        <v>916</v>
      </c>
      <c r="K10" s="443" t="s">
        <v>916</v>
      </c>
      <c r="L10" s="443" t="s">
        <v>916</v>
      </c>
      <c r="M10" s="478">
        <v>21.815999999999999</v>
      </c>
      <c r="N10" s="442" t="s">
        <v>917</v>
      </c>
      <c r="O10" s="446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  <c r="EN10" s="456"/>
    </row>
    <row r="11" spans="1:144" x14ac:dyDescent="0.35">
      <c r="A11" s="481">
        <v>6</v>
      </c>
      <c r="B11" s="482" t="s">
        <v>138</v>
      </c>
      <c r="C11" s="482" t="s">
        <v>139</v>
      </c>
      <c r="D11" s="474" t="s">
        <v>127</v>
      </c>
      <c r="E11" s="482">
        <v>1</v>
      </c>
      <c r="F11" s="482">
        <v>1</v>
      </c>
      <c r="G11" s="482" t="s">
        <v>916</v>
      </c>
      <c r="H11" s="483" t="s">
        <v>916</v>
      </c>
      <c r="I11" s="483" t="s">
        <v>916</v>
      </c>
      <c r="J11" s="483" t="s">
        <v>916</v>
      </c>
      <c r="K11" s="483" t="s">
        <v>916</v>
      </c>
      <c r="L11" s="483" t="s">
        <v>916</v>
      </c>
      <c r="M11" s="478">
        <v>6.7489999999999997</v>
      </c>
      <c r="N11" s="482" t="s">
        <v>917</v>
      </c>
      <c r="O11" s="596" t="s">
        <v>945</v>
      </c>
    </row>
    <row r="12" spans="1:144" hidden="1" x14ac:dyDescent="0.35">
      <c r="A12" s="441">
        <v>7</v>
      </c>
      <c r="B12" s="442" t="s">
        <v>141</v>
      </c>
      <c r="C12" s="442" t="s">
        <v>142</v>
      </c>
      <c r="D12" s="442" t="s">
        <v>130</v>
      </c>
      <c r="E12" s="442" t="s">
        <v>916</v>
      </c>
      <c r="F12" s="442" t="s">
        <v>916</v>
      </c>
      <c r="G12" s="442" t="s">
        <v>916</v>
      </c>
      <c r="H12" s="444" t="s">
        <v>916</v>
      </c>
      <c r="I12" s="443" t="s">
        <v>916</v>
      </c>
      <c r="J12" s="443" t="s">
        <v>916</v>
      </c>
      <c r="K12" s="443" t="s">
        <v>916</v>
      </c>
      <c r="L12" s="443" t="s">
        <v>916</v>
      </c>
      <c r="M12" s="478">
        <v>24.495999999999999</v>
      </c>
      <c r="N12" s="442" t="s">
        <v>917</v>
      </c>
      <c r="O12" s="597"/>
    </row>
    <row r="13" spans="1:144" x14ac:dyDescent="0.35">
      <c r="A13" s="441">
        <v>8</v>
      </c>
      <c r="B13" s="39" t="s">
        <v>143</v>
      </c>
      <c r="C13" s="39" t="s">
        <v>144</v>
      </c>
      <c r="D13" s="39" t="s">
        <v>127</v>
      </c>
      <c r="E13" s="458"/>
      <c r="F13" s="458"/>
      <c r="G13" s="458"/>
      <c r="H13" s="458">
        <v>1</v>
      </c>
      <c r="I13" s="459" t="s">
        <v>916</v>
      </c>
      <c r="J13" s="459" t="s">
        <v>916</v>
      </c>
      <c r="K13" s="459" t="s">
        <v>916</v>
      </c>
      <c r="L13" s="459" t="s">
        <v>916</v>
      </c>
      <c r="M13" s="479">
        <v>29.094000000000001</v>
      </c>
      <c r="N13" s="458" t="s">
        <v>853</v>
      </c>
      <c r="O13" s="598" t="s">
        <v>922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</row>
    <row r="14" spans="1:144" ht="29" x14ac:dyDescent="0.35">
      <c r="A14" s="441">
        <v>9</v>
      </c>
      <c r="B14" s="39" t="s">
        <v>145</v>
      </c>
      <c r="C14" s="39" t="s">
        <v>146</v>
      </c>
      <c r="D14" s="461" t="s">
        <v>147</v>
      </c>
      <c r="E14" s="459">
        <v>0</v>
      </c>
      <c r="F14" s="459">
        <v>0</v>
      </c>
      <c r="G14" s="459">
        <v>3</v>
      </c>
      <c r="H14" s="459">
        <v>0</v>
      </c>
      <c r="I14" s="459">
        <v>6</v>
      </c>
      <c r="J14" s="459">
        <v>9</v>
      </c>
      <c r="K14" s="459">
        <v>9</v>
      </c>
      <c r="L14" s="459">
        <v>9</v>
      </c>
      <c r="M14" s="479">
        <v>29.029</v>
      </c>
      <c r="N14" s="458" t="s">
        <v>853</v>
      </c>
      <c r="O14" s="489" t="s">
        <v>923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</row>
    <row r="15" spans="1:144" ht="29" x14ac:dyDescent="0.35">
      <c r="A15" s="481">
        <v>10</v>
      </c>
      <c r="B15" s="482" t="s">
        <v>148</v>
      </c>
      <c r="C15" s="482" t="s">
        <v>149</v>
      </c>
      <c r="D15" s="483" t="s">
        <v>147</v>
      </c>
      <c r="E15" s="482" t="s">
        <v>916</v>
      </c>
      <c r="F15" s="482" t="s">
        <v>916</v>
      </c>
      <c r="G15" s="482">
        <v>1.5</v>
      </c>
      <c r="H15" s="482"/>
      <c r="I15" s="482">
        <v>1.5</v>
      </c>
      <c r="J15" s="483">
        <v>3</v>
      </c>
      <c r="K15" s="483">
        <v>3</v>
      </c>
      <c r="L15" s="483">
        <v>3</v>
      </c>
      <c r="M15" s="478">
        <v>13.173999999999999</v>
      </c>
      <c r="N15" s="482" t="s">
        <v>853</v>
      </c>
      <c r="O15" s="596" t="s">
        <v>945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</row>
    <row r="16" spans="1:144" x14ac:dyDescent="0.35">
      <c r="A16" s="441">
        <v>11</v>
      </c>
      <c r="B16" s="39" t="s">
        <v>150</v>
      </c>
      <c r="C16" s="39" t="s">
        <v>151</v>
      </c>
      <c r="D16" s="39" t="s">
        <v>127</v>
      </c>
      <c r="E16" s="458">
        <v>1</v>
      </c>
      <c r="F16" s="458" t="s">
        <v>916</v>
      </c>
      <c r="G16" s="458" t="s">
        <v>916</v>
      </c>
      <c r="H16" s="458" t="s">
        <v>916</v>
      </c>
      <c r="I16" s="458" t="s">
        <v>916</v>
      </c>
      <c r="J16" s="459" t="s">
        <v>916</v>
      </c>
      <c r="K16" s="459" t="s">
        <v>916</v>
      </c>
      <c r="L16" s="459" t="s">
        <v>916</v>
      </c>
      <c r="M16" s="479">
        <v>14.43</v>
      </c>
      <c r="N16" s="458" t="s">
        <v>853</v>
      </c>
      <c r="O16" s="598" t="s">
        <v>922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</row>
    <row r="17" spans="1:144" hidden="1" x14ac:dyDescent="0.35">
      <c r="A17" s="441">
        <v>12</v>
      </c>
      <c r="B17" s="442" t="s">
        <v>153</v>
      </c>
      <c r="C17" s="442" t="s">
        <v>139</v>
      </c>
      <c r="D17" s="442" t="s">
        <v>130</v>
      </c>
      <c r="E17" s="442" t="s">
        <v>916</v>
      </c>
      <c r="F17" s="442" t="s">
        <v>916</v>
      </c>
      <c r="G17" s="442" t="s">
        <v>916</v>
      </c>
      <c r="H17" s="442" t="s">
        <v>916</v>
      </c>
      <c r="I17" s="442" t="s">
        <v>916</v>
      </c>
      <c r="J17" s="443" t="s">
        <v>916</v>
      </c>
      <c r="K17" s="443" t="s">
        <v>916</v>
      </c>
      <c r="L17" s="443" t="s">
        <v>916</v>
      </c>
      <c r="M17" s="478">
        <v>28.233000000000001</v>
      </c>
      <c r="N17" s="442" t="s">
        <v>917</v>
      </c>
      <c r="O17" s="598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</row>
    <row r="18" spans="1:144" x14ac:dyDescent="0.35">
      <c r="A18" s="481">
        <v>13</v>
      </c>
      <c r="B18" s="482" t="s">
        <v>154</v>
      </c>
      <c r="C18" s="482" t="s">
        <v>134</v>
      </c>
      <c r="D18" s="482" t="s">
        <v>135</v>
      </c>
      <c r="E18" s="482">
        <v>4</v>
      </c>
      <c r="F18" s="482">
        <v>4</v>
      </c>
      <c r="G18" s="482">
        <v>4</v>
      </c>
      <c r="H18" s="482">
        <v>4</v>
      </c>
      <c r="I18" s="482" t="s">
        <v>916</v>
      </c>
      <c r="J18" s="483" t="s">
        <v>916</v>
      </c>
      <c r="K18" s="483" t="s">
        <v>916</v>
      </c>
      <c r="L18" s="483" t="s">
        <v>916</v>
      </c>
      <c r="M18" s="478"/>
      <c r="N18" s="482" t="s">
        <v>917</v>
      </c>
      <c r="O18" s="596" t="s">
        <v>945</v>
      </c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</row>
    <row r="19" spans="1:144" ht="15.75" customHeight="1" x14ac:dyDescent="0.35">
      <c r="A19" s="441">
        <v>14</v>
      </c>
      <c r="B19" s="39" t="s">
        <v>155</v>
      </c>
      <c r="C19" s="39" t="s">
        <v>156</v>
      </c>
      <c r="D19" s="39" t="s">
        <v>127</v>
      </c>
      <c r="E19" s="458">
        <v>1.5</v>
      </c>
      <c r="F19" s="458" t="s">
        <v>916</v>
      </c>
      <c r="G19" s="458" t="s">
        <v>916</v>
      </c>
      <c r="H19" s="459">
        <v>1.5</v>
      </c>
      <c r="I19" s="458" t="s">
        <v>916</v>
      </c>
      <c r="J19" s="459" t="s">
        <v>916</v>
      </c>
      <c r="K19" s="459" t="s">
        <v>916</v>
      </c>
      <c r="L19" s="459" t="s">
        <v>916</v>
      </c>
      <c r="M19" s="479">
        <v>50.168999999999997</v>
      </c>
      <c r="N19" s="458" t="s">
        <v>917</v>
      </c>
      <c r="O19" s="598" t="s">
        <v>922</v>
      </c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</row>
    <row r="20" spans="1:144" x14ac:dyDescent="0.35">
      <c r="A20" s="481">
        <v>15</v>
      </c>
      <c r="B20" s="482" t="s">
        <v>157</v>
      </c>
      <c r="C20" s="482" t="s">
        <v>144</v>
      </c>
      <c r="D20" s="482" t="s">
        <v>947</v>
      </c>
      <c r="E20" s="482">
        <v>2</v>
      </c>
      <c r="F20" s="482" t="s">
        <v>916</v>
      </c>
      <c r="G20" s="482" t="s">
        <v>916</v>
      </c>
      <c r="H20" s="482" t="s">
        <v>916</v>
      </c>
      <c r="I20" s="484">
        <v>3</v>
      </c>
      <c r="J20" s="485">
        <v>3</v>
      </c>
      <c r="K20" s="485">
        <v>1.5</v>
      </c>
      <c r="L20" s="485">
        <v>3</v>
      </c>
      <c r="M20" s="478">
        <v>19.466000000000001</v>
      </c>
      <c r="N20" s="482" t="s">
        <v>917</v>
      </c>
      <c r="O20" s="596" t="s">
        <v>945</v>
      </c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</row>
    <row r="21" spans="1:144" x14ac:dyDescent="0.35">
      <c r="A21" s="481">
        <v>16</v>
      </c>
      <c r="B21" s="482" t="s">
        <v>158</v>
      </c>
      <c r="C21" s="482" t="s">
        <v>146</v>
      </c>
      <c r="D21" s="482" t="s">
        <v>135</v>
      </c>
      <c r="E21" s="482">
        <v>2</v>
      </c>
      <c r="F21" s="482">
        <v>2</v>
      </c>
      <c r="G21" s="482">
        <v>2</v>
      </c>
      <c r="H21" s="482">
        <v>2</v>
      </c>
      <c r="I21" s="482" t="s">
        <v>916</v>
      </c>
      <c r="J21" s="483" t="s">
        <v>916</v>
      </c>
      <c r="K21" s="483" t="s">
        <v>916</v>
      </c>
      <c r="L21" s="483" t="s">
        <v>916</v>
      </c>
      <c r="M21" s="478"/>
      <c r="N21" s="482" t="s">
        <v>853</v>
      </c>
      <c r="O21" s="596" t="s">
        <v>945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</row>
    <row r="22" spans="1:144" x14ac:dyDescent="0.35">
      <c r="A22" s="481">
        <v>17</v>
      </c>
      <c r="B22" s="482" t="s">
        <v>159</v>
      </c>
      <c r="C22" s="482" t="s">
        <v>126</v>
      </c>
      <c r="D22" s="482" t="s">
        <v>127</v>
      </c>
      <c r="E22" s="482">
        <v>2</v>
      </c>
      <c r="F22" s="482">
        <v>1</v>
      </c>
      <c r="G22" s="482" t="s">
        <v>916</v>
      </c>
      <c r="H22" s="483" t="s">
        <v>916</v>
      </c>
      <c r="I22" s="482" t="s">
        <v>916</v>
      </c>
      <c r="J22" s="483" t="s">
        <v>916</v>
      </c>
      <c r="K22" s="483" t="s">
        <v>916</v>
      </c>
      <c r="L22" s="483" t="s">
        <v>916</v>
      </c>
      <c r="M22" s="478">
        <v>18.893999999999998</v>
      </c>
      <c r="N22" s="482" t="s">
        <v>853</v>
      </c>
      <c r="O22" s="596" t="s">
        <v>945</v>
      </c>
    </row>
    <row r="23" spans="1:144" x14ac:dyDescent="0.35">
      <c r="A23" s="481">
        <v>18</v>
      </c>
      <c r="B23" s="482" t="s">
        <v>160</v>
      </c>
      <c r="C23" s="482" t="s">
        <v>161</v>
      </c>
      <c r="D23" s="482" t="s">
        <v>127</v>
      </c>
      <c r="E23" s="482" t="s">
        <v>916</v>
      </c>
      <c r="F23" s="482" t="s">
        <v>916</v>
      </c>
      <c r="G23" s="482" t="s">
        <v>916</v>
      </c>
      <c r="H23" s="482">
        <v>1</v>
      </c>
      <c r="I23" s="482" t="s">
        <v>916</v>
      </c>
      <c r="J23" s="483" t="s">
        <v>916</v>
      </c>
      <c r="K23" s="483" t="s">
        <v>916</v>
      </c>
      <c r="L23" s="483" t="s">
        <v>916</v>
      </c>
      <c r="M23" s="478">
        <v>36.183999999999997</v>
      </c>
      <c r="N23" s="482" t="s">
        <v>853</v>
      </c>
      <c r="O23" s="596" t="s">
        <v>945</v>
      </c>
    </row>
    <row r="24" spans="1:144" x14ac:dyDescent="0.35">
      <c r="A24" s="481">
        <v>19</v>
      </c>
      <c r="B24" s="482" t="s">
        <v>162</v>
      </c>
      <c r="C24" s="482" t="s">
        <v>129</v>
      </c>
      <c r="D24" s="482" t="s">
        <v>947</v>
      </c>
      <c r="E24" s="482" t="s">
        <v>916</v>
      </c>
      <c r="F24" s="482" t="s">
        <v>916</v>
      </c>
      <c r="G24" s="482">
        <v>2</v>
      </c>
      <c r="H24" s="483">
        <v>1</v>
      </c>
      <c r="I24" s="484">
        <v>-1.5</v>
      </c>
      <c r="J24" s="485">
        <v>0</v>
      </c>
      <c r="K24" s="485">
        <v>0</v>
      </c>
      <c r="L24" s="485">
        <v>0</v>
      </c>
      <c r="M24" s="478">
        <v>11.930999999999999</v>
      </c>
      <c r="N24" s="482" t="s">
        <v>853</v>
      </c>
      <c r="O24" s="596" t="s">
        <v>945</v>
      </c>
    </row>
    <row r="25" spans="1:144" x14ac:dyDescent="0.35">
      <c r="A25" s="481">
        <v>20</v>
      </c>
      <c r="B25" s="482" t="s">
        <v>163</v>
      </c>
      <c r="C25" s="482" t="s">
        <v>151</v>
      </c>
      <c r="D25" s="482" t="s">
        <v>948</v>
      </c>
      <c r="E25" s="482" t="s">
        <v>916</v>
      </c>
      <c r="F25" s="482" t="s">
        <v>916</v>
      </c>
      <c r="G25" s="482" t="s">
        <v>916</v>
      </c>
      <c r="H25" s="483" t="s">
        <v>916</v>
      </c>
      <c r="I25" s="484" t="s">
        <v>916</v>
      </c>
      <c r="J25" s="485" t="s">
        <v>916</v>
      </c>
      <c r="K25" s="485">
        <v>3</v>
      </c>
      <c r="L25" s="485">
        <v>1.5</v>
      </c>
      <c r="M25" s="478">
        <v>5.4909999999999997</v>
      </c>
      <c r="N25" s="482" t="s">
        <v>853</v>
      </c>
      <c r="O25" s="596" t="s">
        <v>945</v>
      </c>
    </row>
    <row r="26" spans="1:144" x14ac:dyDescent="0.35">
      <c r="A26" s="481">
        <v>21</v>
      </c>
      <c r="B26" s="482" t="s">
        <v>164</v>
      </c>
      <c r="C26" s="482" t="s">
        <v>165</v>
      </c>
      <c r="D26" s="482" t="s">
        <v>127</v>
      </c>
      <c r="E26" s="482">
        <v>3</v>
      </c>
      <c r="F26" s="482" t="s">
        <v>916</v>
      </c>
      <c r="G26" s="482">
        <v>3</v>
      </c>
      <c r="H26" s="483">
        <v>3</v>
      </c>
      <c r="I26" s="482" t="s">
        <v>916</v>
      </c>
      <c r="J26" s="483" t="s">
        <v>916</v>
      </c>
      <c r="K26" s="483" t="s">
        <v>916</v>
      </c>
      <c r="L26" s="483" t="s">
        <v>916</v>
      </c>
      <c r="M26" s="478">
        <v>95.665000000000006</v>
      </c>
      <c r="N26" s="482" t="s">
        <v>853</v>
      </c>
      <c r="O26" s="596" t="s">
        <v>945</v>
      </c>
    </row>
    <row r="27" spans="1:144" x14ac:dyDescent="0.35">
      <c r="A27" s="481">
        <v>22</v>
      </c>
      <c r="B27" s="482" t="s">
        <v>166</v>
      </c>
      <c r="C27" s="482" t="s">
        <v>167</v>
      </c>
      <c r="D27" s="482" t="s">
        <v>947</v>
      </c>
      <c r="E27" s="482">
        <v>1</v>
      </c>
      <c r="F27" s="482" t="s">
        <v>916</v>
      </c>
      <c r="G27" s="482" t="s">
        <v>916</v>
      </c>
      <c r="H27" s="483" t="s">
        <v>916</v>
      </c>
      <c r="I27" s="484">
        <v>1.5</v>
      </c>
      <c r="J27" s="485" t="s">
        <v>916</v>
      </c>
      <c r="K27" s="485" t="s">
        <v>916</v>
      </c>
      <c r="L27" s="485">
        <v>1.5</v>
      </c>
      <c r="M27" s="478">
        <v>16.606000000000002</v>
      </c>
      <c r="N27" s="482" t="s">
        <v>917</v>
      </c>
      <c r="O27" s="596" t="s">
        <v>945</v>
      </c>
    </row>
    <row r="28" spans="1:144" x14ac:dyDescent="0.35">
      <c r="A28" s="481">
        <v>23</v>
      </c>
      <c r="B28" s="482" t="s">
        <v>168</v>
      </c>
      <c r="C28" s="482" t="s">
        <v>142</v>
      </c>
      <c r="D28" s="482" t="s">
        <v>127</v>
      </c>
      <c r="E28" s="482" t="s">
        <v>916</v>
      </c>
      <c r="F28" s="482" t="s">
        <v>916</v>
      </c>
      <c r="G28" s="482">
        <v>1</v>
      </c>
      <c r="H28" s="482" t="s">
        <v>916</v>
      </c>
      <c r="I28" s="482" t="s">
        <v>916</v>
      </c>
      <c r="J28" s="483" t="s">
        <v>916</v>
      </c>
      <c r="K28" s="483" t="s">
        <v>916</v>
      </c>
      <c r="L28" s="483" t="s">
        <v>916</v>
      </c>
      <c r="M28" s="478">
        <v>28.18</v>
      </c>
      <c r="N28" s="482" t="s">
        <v>853</v>
      </c>
      <c r="O28" s="596" t="s">
        <v>945</v>
      </c>
    </row>
    <row r="29" spans="1:144" x14ac:dyDescent="0.35">
      <c r="A29" s="481">
        <v>24</v>
      </c>
      <c r="B29" s="482" t="s">
        <v>169</v>
      </c>
      <c r="C29" s="482" t="s">
        <v>146</v>
      </c>
      <c r="D29" s="482" t="s">
        <v>949</v>
      </c>
      <c r="E29" s="482" t="s">
        <v>916</v>
      </c>
      <c r="F29" s="482" t="s">
        <v>916</v>
      </c>
      <c r="G29" s="482">
        <v>2</v>
      </c>
      <c r="H29" s="482" t="s">
        <v>916</v>
      </c>
      <c r="I29" s="482">
        <v>7.5</v>
      </c>
      <c r="J29" s="483">
        <v>9</v>
      </c>
      <c r="K29" s="483">
        <v>9</v>
      </c>
      <c r="L29" s="483">
        <v>9</v>
      </c>
      <c r="M29" s="478">
        <v>4.6289999999999996</v>
      </c>
      <c r="N29" s="482" t="s">
        <v>853</v>
      </c>
      <c r="O29" s="596" t="s">
        <v>945</v>
      </c>
    </row>
    <row r="30" spans="1:144" s="447" customFormat="1" x14ac:dyDescent="0.35">
      <c r="A30" s="481">
        <v>25</v>
      </c>
      <c r="B30" s="482" t="s">
        <v>170</v>
      </c>
      <c r="C30" s="482" t="s">
        <v>137</v>
      </c>
      <c r="D30" s="482" t="s">
        <v>127</v>
      </c>
      <c r="E30" s="482" t="s">
        <v>916</v>
      </c>
      <c r="F30" s="482" t="s">
        <v>916</v>
      </c>
      <c r="G30" s="482" t="s">
        <v>916</v>
      </c>
      <c r="H30" s="482">
        <v>1.5</v>
      </c>
      <c r="I30" s="482" t="s">
        <v>916</v>
      </c>
      <c r="J30" s="483" t="s">
        <v>916</v>
      </c>
      <c r="K30" s="483" t="s">
        <v>916</v>
      </c>
      <c r="L30" s="483" t="s">
        <v>916</v>
      </c>
      <c r="M30" s="478">
        <v>20.512</v>
      </c>
      <c r="N30" s="482" t="s">
        <v>917</v>
      </c>
      <c r="O30" s="596" t="s">
        <v>945</v>
      </c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/>
      <c r="DO30" s="456"/>
      <c r="DP30" s="456"/>
      <c r="DQ30" s="456"/>
      <c r="DR30" s="456"/>
      <c r="DS30" s="456"/>
      <c r="DT30" s="456"/>
      <c r="DU30" s="456"/>
      <c r="DV30" s="456"/>
      <c r="DW30" s="456"/>
      <c r="DX30" s="456"/>
      <c r="DY30" s="456"/>
      <c r="DZ30" s="456"/>
      <c r="EA30" s="456"/>
      <c r="EB30" s="456"/>
      <c r="EC30" s="456"/>
      <c r="ED30" s="456"/>
      <c r="EE30" s="456"/>
      <c r="EF30" s="456"/>
      <c r="EG30" s="456"/>
      <c r="EH30" s="456"/>
      <c r="EI30" s="456"/>
      <c r="EJ30" s="456"/>
      <c r="EK30" s="456"/>
      <c r="EL30" s="456"/>
      <c r="EM30" s="456"/>
      <c r="EN30" s="456"/>
    </row>
    <row r="31" spans="1:144" s="447" customFormat="1" x14ac:dyDescent="0.35">
      <c r="A31" s="481">
        <v>26</v>
      </c>
      <c r="B31" s="482" t="s">
        <v>171</v>
      </c>
      <c r="C31" s="482" t="s">
        <v>126</v>
      </c>
      <c r="D31" s="482" t="s">
        <v>127</v>
      </c>
      <c r="E31" s="482" t="s">
        <v>916</v>
      </c>
      <c r="F31" s="482" t="s">
        <v>916</v>
      </c>
      <c r="G31" s="482">
        <v>1</v>
      </c>
      <c r="H31" s="483">
        <v>1.5</v>
      </c>
      <c r="I31" s="482" t="s">
        <v>916</v>
      </c>
      <c r="J31" s="483" t="s">
        <v>916</v>
      </c>
      <c r="K31" s="483" t="s">
        <v>916</v>
      </c>
      <c r="L31" s="483" t="s">
        <v>916</v>
      </c>
      <c r="M31" s="478">
        <v>20.960999999999999</v>
      </c>
      <c r="N31" s="482" t="s">
        <v>917</v>
      </c>
      <c r="O31" s="596" t="s">
        <v>945</v>
      </c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6"/>
      <c r="DF31" s="456"/>
      <c r="DG31" s="456"/>
      <c r="DH31" s="456"/>
      <c r="DI31" s="456"/>
      <c r="DJ31" s="456"/>
      <c r="DK31" s="456"/>
      <c r="DL31" s="456"/>
      <c r="DM31" s="456"/>
      <c r="DN31" s="456"/>
      <c r="DO31" s="456"/>
      <c r="DP31" s="456"/>
      <c r="DQ31" s="456"/>
      <c r="DR31" s="456"/>
      <c r="DS31" s="456"/>
      <c r="DT31" s="456"/>
      <c r="DU31" s="456"/>
      <c r="DV31" s="456"/>
      <c r="DW31" s="456"/>
      <c r="DX31" s="456"/>
      <c r="DY31" s="456"/>
      <c r="DZ31" s="456"/>
      <c r="EA31" s="456"/>
      <c r="EB31" s="456"/>
      <c r="EC31" s="456"/>
      <c r="ED31" s="456"/>
      <c r="EE31" s="456"/>
      <c r="EF31" s="456"/>
      <c r="EG31" s="456"/>
      <c r="EH31" s="456"/>
      <c r="EI31" s="456"/>
      <c r="EJ31" s="456"/>
      <c r="EK31" s="456"/>
      <c r="EL31" s="456"/>
      <c r="EM31" s="456"/>
      <c r="EN31" s="456"/>
    </row>
    <row r="32" spans="1:144" s="447" customFormat="1" x14ac:dyDescent="0.35">
      <c r="A32" s="481">
        <v>27</v>
      </c>
      <c r="B32" s="482" t="s">
        <v>172</v>
      </c>
      <c r="C32" s="482" t="s">
        <v>142</v>
      </c>
      <c r="D32" s="482" t="s">
        <v>127</v>
      </c>
      <c r="E32" s="482" t="s">
        <v>916</v>
      </c>
      <c r="F32" s="482" t="s">
        <v>916</v>
      </c>
      <c r="G32" s="482">
        <v>2</v>
      </c>
      <c r="H32" s="483">
        <v>2.5</v>
      </c>
      <c r="I32" s="482" t="s">
        <v>916</v>
      </c>
      <c r="J32" s="483" t="s">
        <v>916</v>
      </c>
      <c r="K32" s="483" t="s">
        <v>916</v>
      </c>
      <c r="L32" s="483" t="s">
        <v>916</v>
      </c>
      <c r="M32" s="478">
        <v>7.2590000000000003</v>
      </c>
      <c r="N32" s="482" t="s">
        <v>917</v>
      </c>
      <c r="O32" s="596" t="s">
        <v>945</v>
      </c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  <c r="EN32" s="456"/>
    </row>
    <row r="33" spans="1:144" s="447" customFormat="1" x14ac:dyDescent="0.35">
      <c r="A33" s="441">
        <v>28</v>
      </c>
      <c r="B33" s="466" t="s">
        <v>173</v>
      </c>
      <c r="C33" s="466" t="s">
        <v>174</v>
      </c>
      <c r="D33" s="466" t="s">
        <v>135</v>
      </c>
      <c r="E33" s="467">
        <v>3</v>
      </c>
      <c r="F33" s="467">
        <v>3</v>
      </c>
      <c r="G33" s="467">
        <v>3</v>
      </c>
      <c r="H33" s="467">
        <v>3</v>
      </c>
      <c r="I33" s="467" t="s">
        <v>916</v>
      </c>
      <c r="J33" s="468" t="s">
        <v>916</v>
      </c>
      <c r="K33" s="468" t="s">
        <v>916</v>
      </c>
      <c r="L33" s="468" t="s">
        <v>916</v>
      </c>
      <c r="M33" s="479" t="s">
        <v>916</v>
      </c>
      <c r="N33" s="467" t="s">
        <v>853</v>
      </c>
      <c r="O33" s="599" t="s">
        <v>922</v>
      </c>
      <c r="P33" s="456"/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56"/>
      <c r="DZ33" s="456"/>
      <c r="EA33" s="456"/>
      <c r="EB33" s="456"/>
      <c r="EC33" s="456"/>
      <c r="ED33" s="456"/>
      <c r="EE33" s="456"/>
      <c r="EF33" s="456"/>
      <c r="EG33" s="456"/>
      <c r="EH33" s="456"/>
      <c r="EI33" s="456"/>
      <c r="EJ33" s="456"/>
      <c r="EK33" s="456"/>
      <c r="EL33" s="456"/>
      <c r="EM33" s="456"/>
      <c r="EN33" s="456"/>
    </row>
    <row r="34" spans="1:144" s="447" customFormat="1" x14ac:dyDescent="0.35">
      <c r="A34" s="481">
        <v>29</v>
      </c>
      <c r="B34" s="482" t="s">
        <v>175</v>
      </c>
      <c r="C34" s="482" t="s">
        <v>349</v>
      </c>
      <c r="D34" s="482" t="s">
        <v>127</v>
      </c>
      <c r="E34" s="482" t="s">
        <v>916</v>
      </c>
      <c r="F34" s="482" t="s">
        <v>916</v>
      </c>
      <c r="G34" s="482">
        <v>1</v>
      </c>
      <c r="H34" s="483">
        <v>1</v>
      </c>
      <c r="I34" s="482" t="s">
        <v>916</v>
      </c>
      <c r="J34" s="483" t="s">
        <v>916</v>
      </c>
      <c r="K34" s="483" t="s">
        <v>916</v>
      </c>
      <c r="L34" s="483" t="s">
        <v>916</v>
      </c>
      <c r="M34" s="478">
        <v>6.1989999999999998</v>
      </c>
      <c r="N34" s="482" t="s">
        <v>917</v>
      </c>
      <c r="O34" s="596" t="s">
        <v>945</v>
      </c>
      <c r="P34" s="456"/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</row>
    <row r="35" spans="1:144" s="447" customFormat="1" x14ac:dyDescent="0.35">
      <c r="A35" s="481">
        <v>30</v>
      </c>
      <c r="B35" s="482" t="s">
        <v>762</v>
      </c>
      <c r="C35" s="482" t="s">
        <v>137</v>
      </c>
      <c r="D35" s="482" t="s">
        <v>127</v>
      </c>
      <c r="E35" s="482">
        <v>1</v>
      </c>
      <c r="F35" s="482">
        <v>1.5</v>
      </c>
      <c r="G35" s="482" t="s">
        <v>916</v>
      </c>
      <c r="H35" s="483" t="s">
        <v>916</v>
      </c>
      <c r="I35" s="482" t="s">
        <v>916</v>
      </c>
      <c r="J35" s="483" t="s">
        <v>916</v>
      </c>
      <c r="K35" s="483" t="s">
        <v>916</v>
      </c>
      <c r="L35" s="483" t="s">
        <v>916</v>
      </c>
      <c r="M35" s="478">
        <v>4.7789999999999999</v>
      </c>
      <c r="N35" s="482" t="s">
        <v>917</v>
      </c>
      <c r="O35" s="596" t="s">
        <v>945</v>
      </c>
      <c r="P35" s="456"/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</row>
    <row r="36" spans="1:144" s="447" customFormat="1" x14ac:dyDescent="0.35">
      <c r="A36" s="481">
        <v>31</v>
      </c>
      <c r="B36" s="482" t="s">
        <v>177</v>
      </c>
      <c r="C36" s="482" t="s">
        <v>178</v>
      </c>
      <c r="D36" s="482" t="s">
        <v>127</v>
      </c>
      <c r="E36" s="482">
        <v>1</v>
      </c>
      <c r="F36" s="482">
        <v>1</v>
      </c>
      <c r="G36" s="482"/>
      <c r="H36" s="483"/>
      <c r="I36" s="482" t="s">
        <v>916</v>
      </c>
      <c r="J36" s="483" t="s">
        <v>916</v>
      </c>
      <c r="K36" s="483" t="s">
        <v>916</v>
      </c>
      <c r="L36" s="483" t="s">
        <v>916</v>
      </c>
      <c r="M36" s="854">
        <v>15.88</v>
      </c>
      <c r="N36" s="482" t="s">
        <v>917</v>
      </c>
      <c r="O36" s="596" t="s">
        <v>945</v>
      </c>
      <c r="P36" s="456"/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6"/>
      <c r="DF36" s="456"/>
      <c r="DG36" s="456"/>
      <c r="DH36" s="456"/>
      <c r="DI36" s="456"/>
      <c r="DJ36" s="456"/>
      <c r="DK36" s="456"/>
      <c r="DL36" s="456"/>
      <c r="DM36" s="456"/>
      <c r="DN36" s="456"/>
      <c r="DO36" s="456"/>
      <c r="DP36" s="456"/>
      <c r="DQ36" s="456"/>
      <c r="DR36" s="456"/>
      <c r="DS36" s="456"/>
      <c r="DT36" s="456"/>
      <c r="DU36" s="456"/>
      <c r="DV36" s="456"/>
      <c r="DW36" s="456"/>
      <c r="DX36" s="456"/>
      <c r="DY36" s="456"/>
      <c r="DZ36" s="456"/>
      <c r="EA36" s="456"/>
      <c r="EB36" s="456"/>
      <c r="EC36" s="456"/>
      <c r="ED36" s="456"/>
      <c r="EE36" s="456"/>
      <c r="EF36" s="456"/>
      <c r="EG36" s="456"/>
      <c r="EH36" s="456"/>
      <c r="EI36" s="456"/>
      <c r="EJ36" s="456"/>
      <c r="EK36" s="456"/>
      <c r="EL36" s="456"/>
      <c r="EM36" s="456"/>
      <c r="EN36" s="456"/>
    </row>
    <row r="37" spans="1:144" s="447" customFormat="1" ht="15" customHeight="1" x14ac:dyDescent="0.35">
      <c r="A37" s="837">
        <v>32</v>
      </c>
      <c r="B37" s="838" t="s">
        <v>179</v>
      </c>
      <c r="C37" s="838" t="s">
        <v>142</v>
      </c>
      <c r="D37" s="838" t="s">
        <v>127</v>
      </c>
      <c r="E37" s="838" t="s">
        <v>916</v>
      </c>
      <c r="F37" s="838">
        <v>1</v>
      </c>
      <c r="G37" s="838">
        <v>1</v>
      </c>
      <c r="H37" s="839">
        <v>1</v>
      </c>
      <c r="I37" s="838" t="s">
        <v>916</v>
      </c>
      <c r="J37" s="839" t="s">
        <v>916</v>
      </c>
      <c r="K37" s="839" t="s">
        <v>916</v>
      </c>
      <c r="L37" s="839" t="s">
        <v>916</v>
      </c>
      <c r="M37" s="840">
        <v>6.4080000000000004</v>
      </c>
      <c r="N37" s="838" t="s">
        <v>917</v>
      </c>
      <c r="O37" s="841" t="s">
        <v>945</v>
      </c>
      <c r="P37" s="456"/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6"/>
      <c r="DF37" s="456"/>
      <c r="DG37" s="456"/>
      <c r="DH37" s="456"/>
      <c r="DI37" s="456"/>
      <c r="DJ37" s="456"/>
      <c r="DK37" s="456"/>
      <c r="DL37" s="456"/>
      <c r="DM37" s="456"/>
      <c r="DN37" s="456"/>
      <c r="DO37" s="456"/>
      <c r="DP37" s="456"/>
      <c r="DQ37" s="456"/>
      <c r="DR37" s="456"/>
      <c r="DS37" s="456"/>
      <c r="DT37" s="456"/>
      <c r="DU37" s="456"/>
      <c r="DV37" s="456"/>
      <c r="DW37" s="456"/>
      <c r="DX37" s="456"/>
      <c r="DY37" s="456"/>
      <c r="DZ37" s="456"/>
      <c r="EA37" s="456"/>
      <c r="EB37" s="456"/>
      <c r="EC37" s="456"/>
      <c r="ED37" s="456"/>
      <c r="EE37" s="456"/>
      <c r="EF37" s="456"/>
      <c r="EG37" s="456"/>
      <c r="EH37" s="456"/>
      <c r="EI37" s="456"/>
      <c r="EJ37" s="456"/>
      <c r="EK37" s="456"/>
      <c r="EL37" s="456"/>
      <c r="EM37" s="456"/>
      <c r="EN37" s="456"/>
    </row>
    <row r="38" spans="1:144" ht="15" thickBot="1" x14ac:dyDescent="0.4">
      <c r="A38" s="851">
        <v>33</v>
      </c>
      <c r="B38" s="852" t="s">
        <v>784</v>
      </c>
      <c r="C38" s="852" t="s">
        <v>137</v>
      </c>
      <c r="D38" s="853" t="s">
        <v>127</v>
      </c>
      <c r="E38" s="852">
        <v>1</v>
      </c>
      <c r="F38" s="852"/>
      <c r="G38" s="852"/>
      <c r="H38" s="852"/>
      <c r="I38" s="852"/>
      <c r="J38" s="852"/>
      <c r="K38" s="852"/>
      <c r="L38" s="852"/>
      <c r="M38" s="855">
        <v>6.43</v>
      </c>
      <c r="N38" s="853" t="s">
        <v>917</v>
      </c>
      <c r="O38" s="596" t="s">
        <v>945</v>
      </c>
    </row>
  </sheetData>
  <autoFilter ref="A3:O38" xr:uid="{6AF6179A-1635-400D-A4F7-B41A8F2AFE48}">
    <filterColumn colId="3">
      <filters blank="1">
        <filter val="Equal - RC"/>
        <filter val="ULE &amp; Benching"/>
        <filter val="Un-equal RC &amp; Benching"/>
        <filter val="Un-equal RC, ULE &amp; Benching"/>
        <filter val="Un-equal RC,ULE  &amp; Benching"/>
        <filter val="Un-equal RC,ULE &amp; Benching"/>
      </filters>
    </filterColumn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1">
    <mergeCell ref="N3:N5"/>
    <mergeCell ref="O3:O5"/>
    <mergeCell ref="A1:O2"/>
    <mergeCell ref="I4:L4"/>
    <mergeCell ref="M4:M5"/>
    <mergeCell ref="A3:A5"/>
    <mergeCell ref="B3:B5"/>
    <mergeCell ref="C3:C5"/>
    <mergeCell ref="D3:D5"/>
    <mergeCell ref="E3:M3"/>
    <mergeCell ref="E4:H4"/>
  </mergeCells>
  <conditionalFormatting sqref="B10">
    <cfRule type="duplicateValues" dxfId="96" priority="3"/>
    <cfRule type="duplicateValues" dxfId="95" priority="4"/>
  </conditionalFormatting>
  <conditionalFormatting sqref="B17 B12 B7:B8">
    <cfRule type="duplicateValues" dxfId="94" priority="14"/>
    <cfRule type="duplicateValues" dxfId="93" priority="15"/>
  </conditionalFormatting>
  <conditionalFormatting sqref="B25">
    <cfRule type="duplicateValues" dxfId="92" priority="7"/>
    <cfRule type="duplicateValues" dxfId="91" priority="8"/>
  </conditionalFormatting>
  <conditionalFormatting sqref="B27">
    <cfRule type="duplicateValues" dxfId="90" priority="5"/>
    <cfRule type="duplicateValues" dxfId="89" priority="6"/>
  </conditionalFormatting>
  <conditionalFormatting sqref="B28:B36 B26 B9 B13:B16 B18:B24 B11">
    <cfRule type="duplicateValues" dxfId="88" priority="12"/>
    <cfRule type="duplicateValues" dxfId="87" priority="13"/>
  </conditionalFormatting>
  <conditionalFormatting sqref="B36">
    <cfRule type="duplicateValues" dxfId="86" priority="9"/>
  </conditionalFormatting>
  <conditionalFormatting sqref="H7:H8 H12 H18 H21">
    <cfRule type="cellIs" dxfId="85" priority="10" operator="equal">
      <formula>"Approved"</formula>
    </cfRule>
    <cfRule type="cellIs" dxfId="84" priority="11" operator="equal">
      <formula>"Submitted"</formula>
    </cfRule>
  </conditionalFormatting>
  <conditionalFormatting sqref="H10">
    <cfRule type="cellIs" dxfId="83" priority="1" operator="equal">
      <formula>"Approved"</formula>
    </cfRule>
    <cfRule type="cellIs" dxfId="82" priority="2" operator="equal">
      <formula>"Submitted"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77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95B3-2169-4AE4-A807-3B4F59EF9954}">
  <dimension ref="A1:P34"/>
  <sheetViews>
    <sheetView tabSelected="1" topLeftCell="A21" zoomScale="88" zoomScaleNormal="70" workbookViewId="0">
      <selection activeCell="S27" sqref="S27"/>
    </sheetView>
  </sheetViews>
  <sheetFormatPr defaultRowHeight="14.5" x14ac:dyDescent="0.35"/>
  <cols>
    <col min="1" max="1" width="4.453125" customWidth="1"/>
    <col min="4" max="4" width="12" customWidth="1"/>
    <col min="5" max="5" width="25.26953125" hidden="1" customWidth="1"/>
    <col min="6" max="13" width="5.6328125" customWidth="1"/>
    <col min="14" max="14" width="18.6328125" hidden="1" customWidth="1"/>
    <col min="15" max="15" width="34.6328125" customWidth="1"/>
  </cols>
  <sheetData>
    <row r="1" spans="1:16" ht="14.5" customHeight="1" x14ac:dyDescent="0.35">
      <c r="A1" s="1151" t="s">
        <v>120</v>
      </c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2"/>
      <c r="N1" s="1152"/>
      <c r="O1" s="1167"/>
    </row>
    <row r="2" spans="1:16" ht="14.5" customHeight="1" thickBot="1" x14ac:dyDescent="0.4">
      <c r="A2" s="1415"/>
      <c r="B2" s="1413"/>
      <c r="C2" s="1413"/>
      <c r="D2" s="1413"/>
      <c r="E2" s="1413"/>
      <c r="F2" s="1413"/>
      <c r="G2" s="1413"/>
      <c r="H2" s="1413"/>
      <c r="I2" s="1413"/>
      <c r="J2" s="1413"/>
      <c r="K2" s="1413"/>
      <c r="L2" s="1413"/>
      <c r="M2" s="1413"/>
      <c r="N2" s="1413"/>
      <c r="O2" s="1416"/>
    </row>
    <row r="3" spans="1:16" ht="16" thickBot="1" x14ac:dyDescent="0.4">
      <c r="A3" s="1418" t="s">
        <v>1266</v>
      </c>
      <c r="B3" s="1419"/>
      <c r="C3" s="1419"/>
      <c r="D3" s="1419"/>
      <c r="E3" s="1419"/>
      <c r="F3" s="1419"/>
      <c r="G3" s="1419"/>
      <c r="H3" s="1419"/>
      <c r="I3" s="1419"/>
      <c r="J3" s="1419"/>
      <c r="K3" s="1419"/>
      <c r="L3" s="1419"/>
      <c r="M3" s="1419"/>
      <c r="N3" s="1419"/>
      <c r="O3" s="1420"/>
    </row>
    <row r="4" spans="1:16" x14ac:dyDescent="0.35">
      <c r="A4" s="1417" t="s">
        <v>121</v>
      </c>
      <c r="B4" s="1391" t="s">
        <v>122</v>
      </c>
      <c r="C4" s="1391" t="s">
        <v>123</v>
      </c>
      <c r="D4" s="1160" t="s">
        <v>926</v>
      </c>
      <c r="E4" s="1391" t="s">
        <v>105</v>
      </c>
      <c r="F4" s="1391" t="s">
        <v>124</v>
      </c>
      <c r="G4" s="1391"/>
      <c r="H4" s="1391"/>
      <c r="I4" s="1391"/>
      <c r="J4" s="1391"/>
      <c r="K4" s="1391"/>
      <c r="L4" s="1391"/>
      <c r="M4" s="1391"/>
      <c r="N4" s="1160" t="s">
        <v>913</v>
      </c>
      <c r="O4" s="1166" t="s">
        <v>6</v>
      </c>
    </row>
    <row r="5" spans="1:16" x14ac:dyDescent="0.35">
      <c r="A5" s="1169"/>
      <c r="B5" s="954"/>
      <c r="C5" s="954"/>
      <c r="D5" s="1161"/>
      <c r="E5" s="954"/>
      <c r="F5" s="1161" t="s">
        <v>920</v>
      </c>
      <c r="G5" s="1161"/>
      <c r="H5" s="1161"/>
      <c r="I5" s="1161"/>
      <c r="J5" s="1161" t="s">
        <v>921</v>
      </c>
      <c r="K5" s="1161"/>
      <c r="L5" s="1161"/>
      <c r="M5" s="1161"/>
      <c r="N5" s="1161"/>
      <c r="O5" s="1158"/>
    </row>
    <row r="6" spans="1:16" x14ac:dyDescent="0.35">
      <c r="A6" s="1169"/>
      <c r="B6" s="954"/>
      <c r="C6" s="954"/>
      <c r="D6" s="1161"/>
      <c r="E6" s="954"/>
      <c r="F6" s="439" t="s">
        <v>7</v>
      </c>
      <c r="G6" s="439" t="s">
        <v>8</v>
      </c>
      <c r="H6" s="439" t="s">
        <v>9</v>
      </c>
      <c r="I6" s="439" t="s">
        <v>10</v>
      </c>
      <c r="J6" s="439" t="s">
        <v>7</v>
      </c>
      <c r="K6" s="439" t="s">
        <v>8</v>
      </c>
      <c r="L6" s="439" t="s">
        <v>9</v>
      </c>
      <c r="M6" s="439" t="s">
        <v>10</v>
      </c>
      <c r="N6" s="1161"/>
      <c r="O6" s="1158"/>
    </row>
    <row r="7" spans="1:16" ht="28" customHeight="1" x14ac:dyDescent="0.35">
      <c r="A7" s="814">
        <v>1</v>
      </c>
      <c r="B7" s="532" t="s">
        <v>125</v>
      </c>
      <c r="C7" s="532" t="s">
        <v>126</v>
      </c>
      <c r="D7" s="532" t="s">
        <v>421</v>
      </c>
      <c r="E7" s="532" t="s">
        <v>127</v>
      </c>
      <c r="F7" s="532">
        <v>1</v>
      </c>
      <c r="G7" s="532">
        <v>1</v>
      </c>
      <c r="H7" s="532" t="s">
        <v>916</v>
      </c>
      <c r="I7" s="533" t="s">
        <v>916</v>
      </c>
      <c r="J7" s="533" t="s">
        <v>916</v>
      </c>
      <c r="K7" s="533" t="s">
        <v>916</v>
      </c>
      <c r="L7" s="533" t="s">
        <v>916</v>
      </c>
      <c r="M7" s="533" t="s">
        <v>916</v>
      </c>
      <c r="N7" s="532" t="s">
        <v>917</v>
      </c>
      <c r="O7" s="527" t="s">
        <v>1333</v>
      </c>
    </row>
    <row r="8" spans="1:16" ht="28" customHeight="1" x14ac:dyDescent="0.35">
      <c r="A8" s="38">
        <v>2</v>
      </c>
      <c r="B8" s="39" t="s">
        <v>133</v>
      </c>
      <c r="C8" s="39" t="s">
        <v>134</v>
      </c>
      <c r="D8" s="532" t="s">
        <v>421</v>
      </c>
      <c r="E8" s="39" t="s">
        <v>135</v>
      </c>
      <c r="F8" s="39">
        <v>3</v>
      </c>
      <c r="G8" s="39">
        <v>3</v>
      </c>
      <c r="H8" s="39">
        <v>3</v>
      </c>
      <c r="I8" s="39">
        <v>3</v>
      </c>
      <c r="J8" s="461" t="s">
        <v>916</v>
      </c>
      <c r="K8" s="461" t="s">
        <v>916</v>
      </c>
      <c r="L8" s="461" t="s">
        <v>916</v>
      </c>
      <c r="M8" s="461" t="s">
        <v>916</v>
      </c>
      <c r="N8" s="39" t="s">
        <v>917</v>
      </c>
      <c r="O8" s="527" t="s">
        <v>1333</v>
      </c>
      <c r="P8" s="537"/>
    </row>
    <row r="9" spans="1:16" ht="28" customHeight="1" x14ac:dyDescent="0.35">
      <c r="A9" s="38">
        <v>3</v>
      </c>
      <c r="B9" s="39" t="s">
        <v>138</v>
      </c>
      <c r="C9" s="39" t="s">
        <v>139</v>
      </c>
      <c r="D9" s="532" t="s">
        <v>1334</v>
      </c>
      <c r="E9" s="532" t="s">
        <v>127</v>
      </c>
      <c r="F9" s="532">
        <v>1</v>
      </c>
      <c r="G9" s="532">
        <v>1</v>
      </c>
      <c r="H9" s="532" t="s">
        <v>916</v>
      </c>
      <c r="I9" s="533" t="s">
        <v>916</v>
      </c>
      <c r="J9" s="533" t="s">
        <v>916</v>
      </c>
      <c r="K9" s="533" t="s">
        <v>916</v>
      </c>
      <c r="L9" s="533" t="s">
        <v>916</v>
      </c>
      <c r="M9" s="533" t="s">
        <v>916</v>
      </c>
      <c r="N9" s="532" t="s">
        <v>917</v>
      </c>
      <c r="O9" s="527" t="s">
        <v>1333</v>
      </c>
    </row>
    <row r="10" spans="1:16" ht="28" customHeight="1" x14ac:dyDescent="0.35">
      <c r="A10" s="38">
        <v>4</v>
      </c>
      <c r="B10" s="39" t="s">
        <v>143</v>
      </c>
      <c r="C10" s="39" t="s">
        <v>144</v>
      </c>
      <c r="D10" s="532" t="s">
        <v>421</v>
      </c>
      <c r="E10" s="39" t="s">
        <v>127</v>
      </c>
      <c r="F10" s="532"/>
      <c r="G10" s="532"/>
      <c r="H10" s="532"/>
      <c r="I10" s="532">
        <v>1</v>
      </c>
      <c r="J10" s="533" t="s">
        <v>916</v>
      </c>
      <c r="K10" s="533" t="s">
        <v>916</v>
      </c>
      <c r="L10" s="533" t="s">
        <v>916</v>
      </c>
      <c r="M10" s="533" t="s">
        <v>916</v>
      </c>
      <c r="N10" s="532" t="s">
        <v>853</v>
      </c>
      <c r="O10" s="527" t="s">
        <v>1333</v>
      </c>
    </row>
    <row r="11" spans="1:16" ht="28" customHeight="1" x14ac:dyDescent="0.35">
      <c r="A11" s="814">
        <v>5</v>
      </c>
      <c r="B11" s="39" t="s">
        <v>145</v>
      </c>
      <c r="C11" s="39" t="s">
        <v>146</v>
      </c>
      <c r="D11" s="532" t="s">
        <v>1264</v>
      </c>
      <c r="E11" s="461" t="s">
        <v>147</v>
      </c>
      <c r="F11" s="533">
        <v>0</v>
      </c>
      <c r="G11" s="533">
        <v>0</v>
      </c>
      <c r="H11" s="533">
        <v>3</v>
      </c>
      <c r="I11" s="533">
        <v>0</v>
      </c>
      <c r="J11" s="533">
        <v>6</v>
      </c>
      <c r="K11" s="533">
        <v>9</v>
      </c>
      <c r="L11" s="533">
        <v>9</v>
      </c>
      <c r="M11" s="533">
        <v>9</v>
      </c>
      <c r="N11" s="532" t="s">
        <v>853</v>
      </c>
      <c r="O11" s="1414" t="s">
        <v>1335</v>
      </c>
    </row>
    <row r="12" spans="1:16" ht="28" customHeight="1" x14ac:dyDescent="0.35">
      <c r="A12" s="38">
        <v>6</v>
      </c>
      <c r="B12" s="39" t="s">
        <v>148</v>
      </c>
      <c r="C12" s="39" t="s">
        <v>149</v>
      </c>
      <c r="D12" s="532" t="s">
        <v>1264</v>
      </c>
      <c r="E12" s="461" t="s">
        <v>147</v>
      </c>
      <c r="F12" s="532" t="s">
        <v>916</v>
      </c>
      <c r="G12" s="532" t="s">
        <v>916</v>
      </c>
      <c r="H12" s="532">
        <v>1.5</v>
      </c>
      <c r="I12" s="532"/>
      <c r="J12" s="532">
        <v>1.5</v>
      </c>
      <c r="K12" s="533">
        <v>3</v>
      </c>
      <c r="L12" s="533">
        <v>3</v>
      </c>
      <c r="M12" s="533">
        <v>3</v>
      </c>
      <c r="N12" s="532" t="s">
        <v>853</v>
      </c>
      <c r="O12" s="1414" t="s">
        <v>1335</v>
      </c>
    </row>
    <row r="13" spans="1:16" ht="28" customHeight="1" x14ac:dyDescent="0.35">
      <c r="A13" s="38">
        <v>7</v>
      </c>
      <c r="B13" s="39" t="s">
        <v>150</v>
      </c>
      <c r="C13" s="39" t="s">
        <v>151</v>
      </c>
      <c r="D13" s="532" t="s">
        <v>1264</v>
      </c>
      <c r="E13" s="39" t="s">
        <v>127</v>
      </c>
      <c r="F13" s="532">
        <v>1</v>
      </c>
      <c r="G13" s="532" t="s">
        <v>916</v>
      </c>
      <c r="H13" s="532" t="s">
        <v>916</v>
      </c>
      <c r="I13" s="532" t="s">
        <v>916</v>
      </c>
      <c r="J13" s="532" t="s">
        <v>916</v>
      </c>
      <c r="K13" s="533" t="s">
        <v>916</v>
      </c>
      <c r="L13" s="533" t="s">
        <v>916</v>
      </c>
      <c r="M13" s="533" t="s">
        <v>916</v>
      </c>
      <c r="N13" s="532" t="s">
        <v>853</v>
      </c>
      <c r="O13" s="1414" t="s">
        <v>1335</v>
      </c>
    </row>
    <row r="14" spans="1:16" ht="28" customHeight="1" x14ac:dyDescent="0.35">
      <c r="A14" s="38">
        <v>8</v>
      </c>
      <c r="B14" s="39" t="s">
        <v>154</v>
      </c>
      <c r="C14" s="39" t="s">
        <v>134</v>
      </c>
      <c r="D14" s="532" t="s">
        <v>1264</v>
      </c>
      <c r="E14" s="39" t="s">
        <v>135</v>
      </c>
      <c r="F14" s="532">
        <v>4</v>
      </c>
      <c r="G14" s="532">
        <v>4</v>
      </c>
      <c r="H14" s="532">
        <v>4</v>
      </c>
      <c r="I14" s="532">
        <v>4</v>
      </c>
      <c r="J14" s="532" t="s">
        <v>916</v>
      </c>
      <c r="K14" s="533" t="s">
        <v>916</v>
      </c>
      <c r="L14" s="533" t="s">
        <v>916</v>
      </c>
      <c r="M14" s="533" t="s">
        <v>916</v>
      </c>
      <c r="N14" s="532" t="s">
        <v>917</v>
      </c>
      <c r="O14" s="1414" t="s">
        <v>1335</v>
      </c>
      <c r="P14" s="537"/>
    </row>
    <row r="15" spans="1:16" ht="28" customHeight="1" x14ac:dyDescent="0.35">
      <c r="A15" s="814">
        <v>9</v>
      </c>
      <c r="B15" s="39" t="s">
        <v>155</v>
      </c>
      <c r="C15" s="39" t="s">
        <v>156</v>
      </c>
      <c r="D15" s="532" t="s">
        <v>1264</v>
      </c>
      <c r="E15" s="39" t="s">
        <v>127</v>
      </c>
      <c r="F15" s="532">
        <v>1.5</v>
      </c>
      <c r="G15" s="532" t="s">
        <v>916</v>
      </c>
      <c r="H15" s="532" t="s">
        <v>916</v>
      </c>
      <c r="I15" s="533">
        <v>1.5</v>
      </c>
      <c r="J15" s="532" t="s">
        <v>916</v>
      </c>
      <c r="K15" s="533" t="s">
        <v>916</v>
      </c>
      <c r="L15" s="533" t="s">
        <v>916</v>
      </c>
      <c r="M15" s="533" t="s">
        <v>916</v>
      </c>
      <c r="N15" s="532" t="s">
        <v>917</v>
      </c>
      <c r="O15" s="1414" t="s">
        <v>1335</v>
      </c>
    </row>
    <row r="16" spans="1:16" ht="28" customHeight="1" x14ac:dyDescent="0.35">
      <c r="A16" s="38">
        <v>10</v>
      </c>
      <c r="B16" s="39" t="s">
        <v>157</v>
      </c>
      <c r="C16" s="39" t="s">
        <v>144</v>
      </c>
      <c r="D16" s="532" t="s">
        <v>421</v>
      </c>
      <c r="E16" s="39" t="s">
        <v>947</v>
      </c>
      <c r="F16" s="532">
        <v>2</v>
      </c>
      <c r="G16" s="532" t="s">
        <v>916</v>
      </c>
      <c r="H16" s="532" t="s">
        <v>916</v>
      </c>
      <c r="I16" s="532" t="s">
        <v>916</v>
      </c>
      <c r="J16" s="535">
        <v>3</v>
      </c>
      <c r="K16" s="536">
        <v>3</v>
      </c>
      <c r="L16" s="536">
        <v>1.5</v>
      </c>
      <c r="M16" s="536">
        <v>3</v>
      </c>
      <c r="N16" s="532" t="s">
        <v>917</v>
      </c>
      <c r="O16" s="527" t="s">
        <v>1333</v>
      </c>
    </row>
    <row r="17" spans="1:15" ht="28" customHeight="1" x14ac:dyDescent="0.35">
      <c r="A17" s="38">
        <v>11</v>
      </c>
      <c r="B17" s="39" t="s">
        <v>158</v>
      </c>
      <c r="C17" s="39" t="s">
        <v>146</v>
      </c>
      <c r="D17" s="532" t="s">
        <v>421</v>
      </c>
      <c r="E17" s="39" t="s">
        <v>135</v>
      </c>
      <c r="F17" s="532">
        <v>2</v>
      </c>
      <c r="G17" s="532">
        <v>2</v>
      </c>
      <c r="H17" s="532">
        <v>2</v>
      </c>
      <c r="I17" s="532">
        <v>2</v>
      </c>
      <c r="J17" s="532" t="s">
        <v>916</v>
      </c>
      <c r="K17" s="533" t="s">
        <v>916</v>
      </c>
      <c r="L17" s="533" t="s">
        <v>916</v>
      </c>
      <c r="M17" s="533" t="s">
        <v>916</v>
      </c>
      <c r="N17" s="532" t="s">
        <v>853</v>
      </c>
      <c r="O17" s="527" t="s">
        <v>1333</v>
      </c>
    </row>
    <row r="18" spans="1:15" ht="28" customHeight="1" x14ac:dyDescent="0.35">
      <c r="A18" s="38">
        <v>12</v>
      </c>
      <c r="B18" s="39" t="s">
        <v>159</v>
      </c>
      <c r="C18" s="39" t="s">
        <v>126</v>
      </c>
      <c r="D18" s="532" t="s">
        <v>421</v>
      </c>
      <c r="E18" s="39" t="s">
        <v>127</v>
      </c>
      <c r="F18" s="532">
        <v>2</v>
      </c>
      <c r="G18" s="532">
        <v>1</v>
      </c>
      <c r="H18" s="532" t="s">
        <v>916</v>
      </c>
      <c r="I18" s="533" t="s">
        <v>916</v>
      </c>
      <c r="J18" s="532" t="s">
        <v>916</v>
      </c>
      <c r="K18" s="533" t="s">
        <v>916</v>
      </c>
      <c r="L18" s="533" t="s">
        <v>916</v>
      </c>
      <c r="M18" s="533" t="s">
        <v>916</v>
      </c>
      <c r="N18" s="532" t="s">
        <v>853</v>
      </c>
      <c r="O18" s="527" t="s">
        <v>1333</v>
      </c>
    </row>
    <row r="19" spans="1:15" ht="28" customHeight="1" x14ac:dyDescent="0.35">
      <c r="A19" s="814">
        <v>13</v>
      </c>
      <c r="B19" s="39" t="s">
        <v>160</v>
      </c>
      <c r="C19" s="39" t="s">
        <v>161</v>
      </c>
      <c r="D19" s="532" t="s">
        <v>421</v>
      </c>
      <c r="E19" s="39" t="s">
        <v>127</v>
      </c>
      <c r="F19" s="532" t="s">
        <v>916</v>
      </c>
      <c r="G19" s="532" t="s">
        <v>916</v>
      </c>
      <c r="H19" s="532" t="s">
        <v>916</v>
      </c>
      <c r="I19" s="532">
        <v>1</v>
      </c>
      <c r="J19" s="532" t="s">
        <v>916</v>
      </c>
      <c r="K19" s="533" t="s">
        <v>916</v>
      </c>
      <c r="L19" s="533" t="s">
        <v>916</v>
      </c>
      <c r="M19" s="533" t="s">
        <v>916</v>
      </c>
      <c r="N19" s="532" t="s">
        <v>853</v>
      </c>
      <c r="O19" s="527" t="s">
        <v>1333</v>
      </c>
    </row>
    <row r="20" spans="1:15" ht="28" customHeight="1" x14ac:dyDescent="0.35">
      <c r="A20" s="38">
        <v>14</v>
      </c>
      <c r="B20" s="39" t="s">
        <v>162</v>
      </c>
      <c r="C20" s="39" t="s">
        <v>129</v>
      </c>
      <c r="D20" s="532" t="s">
        <v>1264</v>
      </c>
      <c r="E20" s="39" t="s">
        <v>947</v>
      </c>
      <c r="F20" s="532" t="s">
        <v>916</v>
      </c>
      <c r="G20" s="532" t="s">
        <v>916</v>
      </c>
      <c r="H20" s="532">
        <v>2</v>
      </c>
      <c r="I20" s="533">
        <v>1</v>
      </c>
      <c r="J20" s="535">
        <v>-1.5</v>
      </c>
      <c r="K20" s="536">
        <v>0</v>
      </c>
      <c r="L20" s="536">
        <v>0</v>
      </c>
      <c r="M20" s="536">
        <v>0</v>
      </c>
      <c r="N20" s="532" t="s">
        <v>853</v>
      </c>
      <c r="O20" s="1414" t="s">
        <v>1335</v>
      </c>
    </row>
    <row r="21" spans="1:15" ht="28" customHeight="1" x14ac:dyDescent="0.35">
      <c r="A21" s="38">
        <v>15</v>
      </c>
      <c r="B21" s="39" t="s">
        <v>163</v>
      </c>
      <c r="C21" s="39" t="s">
        <v>151</v>
      </c>
      <c r="D21" s="532" t="s">
        <v>421</v>
      </c>
      <c r="E21" s="39" t="s">
        <v>948</v>
      </c>
      <c r="F21" s="532" t="s">
        <v>916</v>
      </c>
      <c r="G21" s="532" t="s">
        <v>916</v>
      </c>
      <c r="H21" s="532" t="s">
        <v>916</v>
      </c>
      <c r="I21" s="533" t="s">
        <v>916</v>
      </c>
      <c r="J21" s="535" t="s">
        <v>916</v>
      </c>
      <c r="K21" s="536" t="s">
        <v>916</v>
      </c>
      <c r="L21" s="536">
        <v>3</v>
      </c>
      <c r="M21" s="536">
        <v>1.5</v>
      </c>
      <c r="N21" s="532" t="s">
        <v>853</v>
      </c>
      <c r="O21" s="527" t="s">
        <v>1333</v>
      </c>
    </row>
    <row r="22" spans="1:15" ht="28" customHeight="1" x14ac:dyDescent="0.35">
      <c r="A22" s="38">
        <v>16</v>
      </c>
      <c r="B22" s="39" t="s">
        <v>164</v>
      </c>
      <c r="C22" s="39" t="s">
        <v>165</v>
      </c>
      <c r="D22" s="532" t="s">
        <v>1264</v>
      </c>
      <c r="E22" s="39" t="s">
        <v>127</v>
      </c>
      <c r="F22" s="532">
        <v>3</v>
      </c>
      <c r="G22" s="532" t="s">
        <v>916</v>
      </c>
      <c r="H22" s="532">
        <v>3</v>
      </c>
      <c r="I22" s="533">
        <v>3</v>
      </c>
      <c r="J22" s="532" t="s">
        <v>916</v>
      </c>
      <c r="K22" s="533" t="s">
        <v>916</v>
      </c>
      <c r="L22" s="533" t="s">
        <v>916</v>
      </c>
      <c r="M22" s="533" t="s">
        <v>916</v>
      </c>
      <c r="N22" s="532" t="s">
        <v>853</v>
      </c>
      <c r="O22" s="1414" t="s">
        <v>1335</v>
      </c>
    </row>
    <row r="23" spans="1:15" ht="28" customHeight="1" x14ac:dyDescent="0.35">
      <c r="A23" s="814">
        <v>17</v>
      </c>
      <c r="B23" s="39" t="s">
        <v>166</v>
      </c>
      <c r="C23" s="39" t="s">
        <v>167</v>
      </c>
      <c r="D23" s="532" t="s">
        <v>421</v>
      </c>
      <c r="E23" s="39" t="s">
        <v>947</v>
      </c>
      <c r="F23" s="532">
        <v>1</v>
      </c>
      <c r="G23" s="532" t="s">
        <v>916</v>
      </c>
      <c r="H23" s="532" t="s">
        <v>916</v>
      </c>
      <c r="I23" s="533" t="s">
        <v>916</v>
      </c>
      <c r="J23" s="535">
        <v>1.5</v>
      </c>
      <c r="K23" s="536" t="s">
        <v>916</v>
      </c>
      <c r="L23" s="536" t="s">
        <v>916</v>
      </c>
      <c r="M23" s="536">
        <v>1.5</v>
      </c>
      <c r="N23" s="532" t="s">
        <v>917</v>
      </c>
      <c r="O23" s="527" t="s">
        <v>1333</v>
      </c>
    </row>
    <row r="24" spans="1:15" ht="28" customHeight="1" x14ac:dyDescent="0.35">
      <c r="A24" s="38">
        <v>18</v>
      </c>
      <c r="B24" s="39" t="s">
        <v>168</v>
      </c>
      <c r="C24" s="39" t="s">
        <v>142</v>
      </c>
      <c r="D24" s="532" t="s">
        <v>421</v>
      </c>
      <c r="E24" s="39" t="s">
        <v>127</v>
      </c>
      <c r="F24" s="532" t="s">
        <v>916</v>
      </c>
      <c r="G24" s="532" t="s">
        <v>916</v>
      </c>
      <c r="H24" s="532">
        <v>1</v>
      </c>
      <c r="I24" s="532" t="s">
        <v>916</v>
      </c>
      <c r="J24" s="532" t="s">
        <v>916</v>
      </c>
      <c r="K24" s="533" t="s">
        <v>916</v>
      </c>
      <c r="L24" s="533" t="s">
        <v>916</v>
      </c>
      <c r="M24" s="533" t="s">
        <v>916</v>
      </c>
      <c r="N24" s="532" t="s">
        <v>853</v>
      </c>
      <c r="O24" s="527" t="s">
        <v>1333</v>
      </c>
    </row>
    <row r="25" spans="1:15" ht="28" customHeight="1" x14ac:dyDescent="0.35">
      <c r="A25" s="38">
        <v>19</v>
      </c>
      <c r="B25" s="39" t="s">
        <v>169</v>
      </c>
      <c r="C25" s="39" t="s">
        <v>146</v>
      </c>
      <c r="D25" s="532" t="s">
        <v>1264</v>
      </c>
      <c r="E25" s="39" t="s">
        <v>949</v>
      </c>
      <c r="F25" s="532" t="s">
        <v>916</v>
      </c>
      <c r="G25" s="532" t="s">
        <v>916</v>
      </c>
      <c r="H25" s="532">
        <v>2</v>
      </c>
      <c r="I25" s="532" t="s">
        <v>916</v>
      </c>
      <c r="J25" s="532">
        <v>7.5</v>
      </c>
      <c r="K25" s="533">
        <v>9</v>
      </c>
      <c r="L25" s="533">
        <v>9</v>
      </c>
      <c r="M25" s="533">
        <v>9</v>
      </c>
      <c r="N25" s="532" t="s">
        <v>853</v>
      </c>
      <c r="O25" s="1414" t="s">
        <v>1335</v>
      </c>
    </row>
    <row r="26" spans="1:15" ht="28" customHeight="1" x14ac:dyDescent="0.35">
      <c r="A26" s="38">
        <v>20</v>
      </c>
      <c r="B26" s="39" t="s">
        <v>170</v>
      </c>
      <c r="C26" s="39" t="s">
        <v>137</v>
      </c>
      <c r="D26" s="532" t="s">
        <v>421</v>
      </c>
      <c r="E26" s="39" t="s">
        <v>127</v>
      </c>
      <c r="F26" s="532" t="s">
        <v>916</v>
      </c>
      <c r="G26" s="532" t="s">
        <v>916</v>
      </c>
      <c r="H26" s="532" t="s">
        <v>916</v>
      </c>
      <c r="I26" s="532">
        <v>1.5</v>
      </c>
      <c r="J26" s="532" t="s">
        <v>916</v>
      </c>
      <c r="K26" s="533" t="s">
        <v>916</v>
      </c>
      <c r="L26" s="533" t="s">
        <v>916</v>
      </c>
      <c r="M26" s="533" t="s">
        <v>916</v>
      </c>
      <c r="N26" s="532" t="s">
        <v>917</v>
      </c>
      <c r="O26" s="527" t="s">
        <v>1333</v>
      </c>
    </row>
    <row r="27" spans="1:15" ht="28" customHeight="1" x14ac:dyDescent="0.35">
      <c r="A27" s="814">
        <v>21</v>
      </c>
      <c r="B27" s="39" t="s">
        <v>171</v>
      </c>
      <c r="C27" s="39" t="s">
        <v>126</v>
      </c>
      <c r="D27" s="532" t="s">
        <v>421</v>
      </c>
      <c r="E27" s="39" t="s">
        <v>127</v>
      </c>
      <c r="F27" s="532" t="s">
        <v>916</v>
      </c>
      <c r="G27" s="532" t="s">
        <v>916</v>
      </c>
      <c r="H27" s="532">
        <v>1</v>
      </c>
      <c r="I27" s="533">
        <v>1.5</v>
      </c>
      <c r="J27" s="532" t="s">
        <v>916</v>
      </c>
      <c r="K27" s="533" t="s">
        <v>916</v>
      </c>
      <c r="L27" s="533" t="s">
        <v>916</v>
      </c>
      <c r="M27" s="533" t="s">
        <v>916</v>
      </c>
      <c r="N27" s="532" t="s">
        <v>917</v>
      </c>
      <c r="O27" s="527" t="s">
        <v>1333</v>
      </c>
    </row>
    <row r="28" spans="1:15" ht="28" customHeight="1" x14ac:dyDescent="0.35">
      <c r="A28" s="38">
        <v>22</v>
      </c>
      <c r="B28" s="39" t="s">
        <v>172</v>
      </c>
      <c r="C28" s="39" t="s">
        <v>142</v>
      </c>
      <c r="D28" s="532" t="s">
        <v>421</v>
      </c>
      <c r="E28" s="39" t="s">
        <v>127</v>
      </c>
      <c r="F28" s="532" t="s">
        <v>916</v>
      </c>
      <c r="G28" s="532" t="s">
        <v>916</v>
      </c>
      <c r="H28" s="532">
        <v>2</v>
      </c>
      <c r="I28" s="533">
        <v>2.5</v>
      </c>
      <c r="J28" s="532" t="s">
        <v>916</v>
      </c>
      <c r="K28" s="533" t="s">
        <v>916</v>
      </c>
      <c r="L28" s="533" t="s">
        <v>916</v>
      </c>
      <c r="M28" s="533" t="s">
        <v>916</v>
      </c>
      <c r="N28" s="532" t="s">
        <v>917</v>
      </c>
      <c r="O28" s="527" t="s">
        <v>1333</v>
      </c>
    </row>
    <row r="29" spans="1:15" ht="28" customHeight="1" x14ac:dyDescent="0.35">
      <c r="A29" s="38">
        <v>23</v>
      </c>
      <c r="B29" s="532" t="s">
        <v>173</v>
      </c>
      <c r="C29" s="532" t="s">
        <v>174</v>
      </c>
      <c r="D29" s="532" t="s">
        <v>1265</v>
      </c>
      <c r="E29" s="532" t="s">
        <v>135</v>
      </c>
      <c r="F29" s="532">
        <v>3</v>
      </c>
      <c r="G29" s="532">
        <v>3</v>
      </c>
      <c r="H29" s="532">
        <v>3</v>
      </c>
      <c r="I29" s="532">
        <v>3</v>
      </c>
      <c r="J29" s="532" t="s">
        <v>916</v>
      </c>
      <c r="K29" s="533" t="s">
        <v>916</v>
      </c>
      <c r="L29" s="533" t="s">
        <v>916</v>
      </c>
      <c r="M29" s="533" t="s">
        <v>916</v>
      </c>
      <c r="N29" s="532" t="s">
        <v>853</v>
      </c>
      <c r="O29" s="1414" t="s">
        <v>1335</v>
      </c>
    </row>
    <row r="30" spans="1:15" ht="28" customHeight="1" x14ac:dyDescent="0.35">
      <c r="A30" s="38">
        <v>24</v>
      </c>
      <c r="B30" s="39" t="s">
        <v>175</v>
      </c>
      <c r="C30" s="39" t="s">
        <v>349</v>
      </c>
      <c r="D30" s="532" t="s">
        <v>421</v>
      </c>
      <c r="E30" s="39" t="s">
        <v>127</v>
      </c>
      <c r="F30" s="532" t="s">
        <v>916</v>
      </c>
      <c r="G30" s="532" t="s">
        <v>916</v>
      </c>
      <c r="H30" s="532">
        <v>1</v>
      </c>
      <c r="I30" s="533">
        <v>1</v>
      </c>
      <c r="J30" s="532" t="s">
        <v>916</v>
      </c>
      <c r="K30" s="533" t="s">
        <v>916</v>
      </c>
      <c r="L30" s="533" t="s">
        <v>916</v>
      </c>
      <c r="M30" s="533" t="s">
        <v>916</v>
      </c>
      <c r="N30" s="532" t="s">
        <v>917</v>
      </c>
      <c r="O30" s="527" t="s">
        <v>1333</v>
      </c>
    </row>
    <row r="31" spans="1:15" ht="28" customHeight="1" x14ac:dyDescent="0.35">
      <c r="A31" s="814">
        <v>25</v>
      </c>
      <c r="B31" s="39" t="s">
        <v>762</v>
      </c>
      <c r="C31" s="39" t="s">
        <v>137</v>
      </c>
      <c r="D31" s="532" t="s">
        <v>421</v>
      </c>
      <c r="E31" s="39" t="s">
        <v>127</v>
      </c>
      <c r="F31" s="532">
        <v>1</v>
      </c>
      <c r="G31" s="532">
        <v>1.5</v>
      </c>
      <c r="H31" s="532" t="s">
        <v>916</v>
      </c>
      <c r="I31" s="533" t="s">
        <v>916</v>
      </c>
      <c r="J31" s="532" t="s">
        <v>916</v>
      </c>
      <c r="K31" s="533" t="s">
        <v>916</v>
      </c>
      <c r="L31" s="533" t="s">
        <v>916</v>
      </c>
      <c r="M31" s="533" t="s">
        <v>916</v>
      </c>
      <c r="N31" s="532" t="s">
        <v>917</v>
      </c>
      <c r="O31" s="527" t="s">
        <v>1333</v>
      </c>
    </row>
    <row r="32" spans="1:15" ht="28" customHeight="1" x14ac:dyDescent="0.35">
      <c r="A32" s="38">
        <v>26</v>
      </c>
      <c r="B32" s="39" t="s">
        <v>177</v>
      </c>
      <c r="C32" s="39" t="s">
        <v>178</v>
      </c>
      <c r="D32" s="532" t="s">
        <v>1336</v>
      </c>
      <c r="E32" s="39" t="s">
        <v>127</v>
      </c>
      <c r="F32" s="532">
        <v>1</v>
      </c>
      <c r="G32" s="532">
        <v>1</v>
      </c>
      <c r="H32" s="532"/>
      <c r="I32" s="533"/>
      <c r="J32" s="532" t="s">
        <v>916</v>
      </c>
      <c r="K32" s="533" t="s">
        <v>916</v>
      </c>
      <c r="L32" s="533" t="s">
        <v>916</v>
      </c>
      <c r="M32" s="533" t="s">
        <v>916</v>
      </c>
      <c r="N32" s="532" t="s">
        <v>917</v>
      </c>
      <c r="O32" s="527" t="s">
        <v>1333</v>
      </c>
    </row>
    <row r="33" spans="1:15" ht="28" customHeight="1" x14ac:dyDescent="0.35">
      <c r="A33" s="38">
        <v>27</v>
      </c>
      <c r="B33" s="39" t="s">
        <v>179</v>
      </c>
      <c r="C33" s="39" t="s">
        <v>142</v>
      </c>
      <c r="D33" s="532" t="s">
        <v>421</v>
      </c>
      <c r="E33" s="39" t="s">
        <v>127</v>
      </c>
      <c r="F33" s="532" t="s">
        <v>916</v>
      </c>
      <c r="G33" s="532">
        <v>1</v>
      </c>
      <c r="H33" s="532">
        <v>1</v>
      </c>
      <c r="I33" s="533">
        <v>1</v>
      </c>
      <c r="J33" s="532" t="s">
        <v>916</v>
      </c>
      <c r="K33" s="533" t="s">
        <v>916</v>
      </c>
      <c r="L33" s="533" t="s">
        <v>916</v>
      </c>
      <c r="M33" s="533" t="s">
        <v>916</v>
      </c>
      <c r="N33" s="532" t="s">
        <v>917</v>
      </c>
      <c r="O33" s="527" t="s">
        <v>1333</v>
      </c>
    </row>
    <row r="34" spans="1:15" ht="28" customHeight="1" thickBot="1" x14ac:dyDescent="0.4">
      <c r="A34" s="40">
        <v>28</v>
      </c>
      <c r="B34" s="856" t="s">
        <v>784</v>
      </c>
      <c r="C34" s="856" t="s">
        <v>137</v>
      </c>
      <c r="D34" s="856" t="s">
        <v>421</v>
      </c>
      <c r="E34" s="856" t="s">
        <v>127</v>
      </c>
      <c r="F34" s="856">
        <v>1</v>
      </c>
      <c r="G34" s="856"/>
      <c r="H34" s="856"/>
      <c r="I34" s="856"/>
      <c r="J34" s="856"/>
      <c r="K34" s="856"/>
      <c r="L34" s="856"/>
      <c r="M34" s="856"/>
      <c r="N34" s="856" t="s">
        <v>917</v>
      </c>
      <c r="O34" s="614" t="s">
        <v>1333</v>
      </c>
    </row>
  </sheetData>
  <mergeCells count="12">
    <mergeCell ref="O4:O6"/>
    <mergeCell ref="A1:O2"/>
    <mergeCell ref="A3:O3"/>
    <mergeCell ref="A4:A6"/>
    <mergeCell ref="B4:B6"/>
    <mergeCell ref="C4:C6"/>
    <mergeCell ref="E4:E6"/>
    <mergeCell ref="F4:M4"/>
    <mergeCell ref="N4:N6"/>
    <mergeCell ref="F5:I5"/>
    <mergeCell ref="J5:M5"/>
    <mergeCell ref="D4:D6"/>
  </mergeCells>
  <conditionalFormatting sqref="B21">
    <cfRule type="duplicateValues" dxfId="81" priority="3"/>
    <cfRule type="duplicateValues" dxfId="80" priority="4"/>
  </conditionalFormatting>
  <conditionalFormatting sqref="B23">
    <cfRule type="duplicateValues" dxfId="79" priority="1"/>
    <cfRule type="duplicateValues" dxfId="78" priority="2"/>
  </conditionalFormatting>
  <conditionalFormatting sqref="B24:B32 B22 B8:B20">
    <cfRule type="duplicateValues" dxfId="77" priority="8"/>
    <cfRule type="duplicateValues" dxfId="76" priority="9"/>
  </conditionalFormatting>
  <conditionalFormatting sqref="B32">
    <cfRule type="duplicateValues" dxfId="75" priority="5"/>
  </conditionalFormatting>
  <conditionalFormatting sqref="I14 I17">
    <cfRule type="cellIs" dxfId="74" priority="6" operator="equal">
      <formula>"Approved"</formula>
    </cfRule>
    <cfRule type="cellIs" dxfId="73" priority="7" operator="equal">
      <formula>"Submitted"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E208-21E2-4FEA-B82E-67F75431A3C7}">
  <sheetPr filterMode="1"/>
  <dimension ref="A1:EL79"/>
  <sheetViews>
    <sheetView workbookViewId="0">
      <selection activeCell="B19" sqref="B19"/>
    </sheetView>
  </sheetViews>
  <sheetFormatPr defaultRowHeight="14.5" x14ac:dyDescent="0.35"/>
  <cols>
    <col min="1" max="1" width="5.7265625" customWidth="1"/>
    <col min="4" max="4" width="25.26953125" bestFit="1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39.36328125" customWidth="1"/>
    <col min="14" max="142" width="8.7265625" style="456"/>
    <col min="242" max="242" width="5.7265625" customWidth="1"/>
    <col min="245" max="245" width="22.7265625" customWidth="1"/>
    <col min="246" max="246" width="6.26953125" customWidth="1"/>
    <col min="247" max="247" width="5.7265625" customWidth="1"/>
    <col min="248" max="248" width="6" customWidth="1"/>
    <col min="249" max="250" width="4.26953125" customWidth="1"/>
    <col min="251" max="251" width="4" customWidth="1"/>
    <col min="252" max="252" width="4.1796875" customWidth="1"/>
    <col min="253" max="253" width="4" customWidth="1"/>
    <col min="254" max="254" width="10.26953125" customWidth="1"/>
    <col min="255" max="255" width="16.7265625" customWidth="1"/>
    <col min="256" max="256" width="21" customWidth="1"/>
    <col min="498" max="498" width="5.7265625" customWidth="1"/>
    <col min="501" max="501" width="22.7265625" customWidth="1"/>
    <col min="502" max="502" width="6.26953125" customWidth="1"/>
    <col min="503" max="503" width="5.7265625" customWidth="1"/>
    <col min="504" max="504" width="6" customWidth="1"/>
    <col min="505" max="506" width="4.26953125" customWidth="1"/>
    <col min="507" max="507" width="4" customWidth="1"/>
    <col min="508" max="508" width="4.1796875" customWidth="1"/>
    <col min="509" max="509" width="4" customWidth="1"/>
    <col min="510" max="510" width="10.26953125" customWidth="1"/>
    <col min="511" max="511" width="16.7265625" customWidth="1"/>
    <col min="512" max="512" width="21" customWidth="1"/>
    <col min="754" max="754" width="5.7265625" customWidth="1"/>
    <col min="757" max="757" width="22.7265625" customWidth="1"/>
    <col min="758" max="758" width="6.26953125" customWidth="1"/>
    <col min="759" max="759" width="5.7265625" customWidth="1"/>
    <col min="760" max="760" width="6" customWidth="1"/>
    <col min="761" max="762" width="4.26953125" customWidth="1"/>
    <col min="763" max="763" width="4" customWidth="1"/>
    <col min="764" max="764" width="4.1796875" customWidth="1"/>
    <col min="765" max="765" width="4" customWidth="1"/>
    <col min="766" max="766" width="10.26953125" customWidth="1"/>
    <col min="767" max="767" width="16.7265625" customWidth="1"/>
    <col min="768" max="768" width="21" customWidth="1"/>
    <col min="1010" max="1010" width="5.7265625" customWidth="1"/>
    <col min="1013" max="1013" width="22.7265625" customWidth="1"/>
    <col min="1014" max="1014" width="6.26953125" customWidth="1"/>
    <col min="1015" max="1015" width="5.7265625" customWidth="1"/>
    <col min="1016" max="1016" width="6" customWidth="1"/>
    <col min="1017" max="1018" width="4.26953125" customWidth="1"/>
    <col min="1019" max="1019" width="4" customWidth="1"/>
    <col min="1020" max="1020" width="4.1796875" customWidth="1"/>
    <col min="1021" max="1021" width="4" customWidth="1"/>
    <col min="1022" max="1022" width="10.26953125" customWidth="1"/>
    <col min="1023" max="1023" width="16.7265625" customWidth="1"/>
    <col min="1024" max="1024" width="21" customWidth="1"/>
    <col min="1266" max="1266" width="5.7265625" customWidth="1"/>
    <col min="1269" max="1269" width="22.7265625" customWidth="1"/>
    <col min="1270" max="1270" width="6.26953125" customWidth="1"/>
    <col min="1271" max="1271" width="5.7265625" customWidth="1"/>
    <col min="1272" max="1272" width="6" customWidth="1"/>
    <col min="1273" max="1274" width="4.26953125" customWidth="1"/>
    <col min="1275" max="1275" width="4" customWidth="1"/>
    <col min="1276" max="1276" width="4.1796875" customWidth="1"/>
    <col min="1277" max="1277" width="4" customWidth="1"/>
    <col min="1278" max="1278" width="10.26953125" customWidth="1"/>
    <col min="1279" max="1279" width="16.7265625" customWidth="1"/>
    <col min="1280" max="1280" width="21" customWidth="1"/>
    <col min="1522" max="1522" width="5.7265625" customWidth="1"/>
    <col min="1525" max="1525" width="22.7265625" customWidth="1"/>
    <col min="1526" max="1526" width="6.26953125" customWidth="1"/>
    <col min="1527" max="1527" width="5.7265625" customWidth="1"/>
    <col min="1528" max="1528" width="6" customWidth="1"/>
    <col min="1529" max="1530" width="4.26953125" customWidth="1"/>
    <col min="1531" max="1531" width="4" customWidth="1"/>
    <col min="1532" max="1532" width="4.1796875" customWidth="1"/>
    <col min="1533" max="1533" width="4" customWidth="1"/>
    <col min="1534" max="1534" width="10.26953125" customWidth="1"/>
    <col min="1535" max="1535" width="16.7265625" customWidth="1"/>
    <col min="1536" max="1536" width="21" customWidth="1"/>
    <col min="1778" max="1778" width="5.7265625" customWidth="1"/>
    <col min="1781" max="1781" width="22.7265625" customWidth="1"/>
    <col min="1782" max="1782" width="6.26953125" customWidth="1"/>
    <col min="1783" max="1783" width="5.7265625" customWidth="1"/>
    <col min="1784" max="1784" width="6" customWidth="1"/>
    <col min="1785" max="1786" width="4.26953125" customWidth="1"/>
    <col min="1787" max="1787" width="4" customWidth="1"/>
    <col min="1788" max="1788" width="4.1796875" customWidth="1"/>
    <col min="1789" max="1789" width="4" customWidth="1"/>
    <col min="1790" max="1790" width="10.26953125" customWidth="1"/>
    <col min="1791" max="1791" width="16.7265625" customWidth="1"/>
    <col min="1792" max="1792" width="21" customWidth="1"/>
    <col min="2034" max="2034" width="5.7265625" customWidth="1"/>
    <col min="2037" max="2037" width="22.7265625" customWidth="1"/>
    <col min="2038" max="2038" width="6.26953125" customWidth="1"/>
    <col min="2039" max="2039" width="5.7265625" customWidth="1"/>
    <col min="2040" max="2040" width="6" customWidth="1"/>
    <col min="2041" max="2042" width="4.26953125" customWidth="1"/>
    <col min="2043" max="2043" width="4" customWidth="1"/>
    <col min="2044" max="2044" width="4.1796875" customWidth="1"/>
    <col min="2045" max="2045" width="4" customWidth="1"/>
    <col min="2046" max="2046" width="10.26953125" customWidth="1"/>
    <col min="2047" max="2047" width="16.7265625" customWidth="1"/>
    <col min="2048" max="2048" width="21" customWidth="1"/>
    <col min="2290" max="2290" width="5.7265625" customWidth="1"/>
    <col min="2293" max="2293" width="22.7265625" customWidth="1"/>
    <col min="2294" max="2294" width="6.26953125" customWidth="1"/>
    <col min="2295" max="2295" width="5.7265625" customWidth="1"/>
    <col min="2296" max="2296" width="6" customWidth="1"/>
    <col min="2297" max="2298" width="4.26953125" customWidth="1"/>
    <col min="2299" max="2299" width="4" customWidth="1"/>
    <col min="2300" max="2300" width="4.1796875" customWidth="1"/>
    <col min="2301" max="2301" width="4" customWidth="1"/>
    <col min="2302" max="2302" width="10.26953125" customWidth="1"/>
    <col min="2303" max="2303" width="16.7265625" customWidth="1"/>
    <col min="2304" max="2304" width="21" customWidth="1"/>
    <col min="2546" max="2546" width="5.7265625" customWidth="1"/>
    <col min="2549" max="2549" width="22.7265625" customWidth="1"/>
    <col min="2550" max="2550" width="6.26953125" customWidth="1"/>
    <col min="2551" max="2551" width="5.7265625" customWidth="1"/>
    <col min="2552" max="2552" width="6" customWidth="1"/>
    <col min="2553" max="2554" width="4.26953125" customWidth="1"/>
    <col min="2555" max="2555" width="4" customWidth="1"/>
    <col min="2556" max="2556" width="4.1796875" customWidth="1"/>
    <col min="2557" max="2557" width="4" customWidth="1"/>
    <col min="2558" max="2558" width="10.26953125" customWidth="1"/>
    <col min="2559" max="2559" width="16.7265625" customWidth="1"/>
    <col min="2560" max="2560" width="21" customWidth="1"/>
    <col min="2802" max="2802" width="5.7265625" customWidth="1"/>
    <col min="2805" max="2805" width="22.7265625" customWidth="1"/>
    <col min="2806" max="2806" width="6.26953125" customWidth="1"/>
    <col min="2807" max="2807" width="5.7265625" customWidth="1"/>
    <col min="2808" max="2808" width="6" customWidth="1"/>
    <col min="2809" max="2810" width="4.26953125" customWidth="1"/>
    <col min="2811" max="2811" width="4" customWidth="1"/>
    <col min="2812" max="2812" width="4.1796875" customWidth="1"/>
    <col min="2813" max="2813" width="4" customWidth="1"/>
    <col min="2814" max="2814" width="10.26953125" customWidth="1"/>
    <col min="2815" max="2815" width="16.7265625" customWidth="1"/>
    <col min="2816" max="2816" width="21" customWidth="1"/>
    <col min="3058" max="3058" width="5.7265625" customWidth="1"/>
    <col min="3061" max="3061" width="22.7265625" customWidth="1"/>
    <col min="3062" max="3062" width="6.26953125" customWidth="1"/>
    <col min="3063" max="3063" width="5.7265625" customWidth="1"/>
    <col min="3064" max="3064" width="6" customWidth="1"/>
    <col min="3065" max="3066" width="4.26953125" customWidth="1"/>
    <col min="3067" max="3067" width="4" customWidth="1"/>
    <col min="3068" max="3068" width="4.1796875" customWidth="1"/>
    <col min="3069" max="3069" width="4" customWidth="1"/>
    <col min="3070" max="3070" width="10.26953125" customWidth="1"/>
    <col min="3071" max="3071" width="16.7265625" customWidth="1"/>
    <col min="3072" max="3072" width="21" customWidth="1"/>
    <col min="3314" max="3314" width="5.7265625" customWidth="1"/>
    <col min="3317" max="3317" width="22.7265625" customWidth="1"/>
    <col min="3318" max="3318" width="6.26953125" customWidth="1"/>
    <col min="3319" max="3319" width="5.7265625" customWidth="1"/>
    <col min="3320" max="3320" width="6" customWidth="1"/>
    <col min="3321" max="3322" width="4.26953125" customWidth="1"/>
    <col min="3323" max="3323" width="4" customWidth="1"/>
    <col min="3324" max="3324" width="4.1796875" customWidth="1"/>
    <col min="3325" max="3325" width="4" customWidth="1"/>
    <col min="3326" max="3326" width="10.26953125" customWidth="1"/>
    <col min="3327" max="3327" width="16.7265625" customWidth="1"/>
    <col min="3328" max="3328" width="21" customWidth="1"/>
    <col min="3570" max="3570" width="5.7265625" customWidth="1"/>
    <col min="3573" max="3573" width="22.7265625" customWidth="1"/>
    <col min="3574" max="3574" width="6.26953125" customWidth="1"/>
    <col min="3575" max="3575" width="5.7265625" customWidth="1"/>
    <col min="3576" max="3576" width="6" customWidth="1"/>
    <col min="3577" max="3578" width="4.26953125" customWidth="1"/>
    <col min="3579" max="3579" width="4" customWidth="1"/>
    <col min="3580" max="3580" width="4.1796875" customWidth="1"/>
    <col min="3581" max="3581" width="4" customWidth="1"/>
    <col min="3582" max="3582" width="10.26953125" customWidth="1"/>
    <col min="3583" max="3583" width="16.7265625" customWidth="1"/>
    <col min="3584" max="3584" width="21" customWidth="1"/>
    <col min="3826" max="3826" width="5.7265625" customWidth="1"/>
    <col min="3829" max="3829" width="22.7265625" customWidth="1"/>
    <col min="3830" max="3830" width="6.26953125" customWidth="1"/>
    <col min="3831" max="3831" width="5.7265625" customWidth="1"/>
    <col min="3832" max="3832" width="6" customWidth="1"/>
    <col min="3833" max="3834" width="4.26953125" customWidth="1"/>
    <col min="3835" max="3835" width="4" customWidth="1"/>
    <col min="3836" max="3836" width="4.1796875" customWidth="1"/>
    <col min="3837" max="3837" width="4" customWidth="1"/>
    <col min="3838" max="3838" width="10.26953125" customWidth="1"/>
    <col min="3839" max="3839" width="16.7265625" customWidth="1"/>
    <col min="3840" max="3840" width="21" customWidth="1"/>
    <col min="4082" max="4082" width="5.7265625" customWidth="1"/>
    <col min="4085" max="4085" width="22.7265625" customWidth="1"/>
    <col min="4086" max="4086" width="6.26953125" customWidth="1"/>
    <col min="4087" max="4087" width="5.7265625" customWidth="1"/>
    <col min="4088" max="4088" width="6" customWidth="1"/>
    <col min="4089" max="4090" width="4.26953125" customWidth="1"/>
    <col min="4091" max="4091" width="4" customWidth="1"/>
    <col min="4092" max="4092" width="4.1796875" customWidth="1"/>
    <col min="4093" max="4093" width="4" customWidth="1"/>
    <col min="4094" max="4094" width="10.26953125" customWidth="1"/>
    <col min="4095" max="4095" width="16.7265625" customWidth="1"/>
    <col min="4096" max="4096" width="21" customWidth="1"/>
    <col min="4338" max="4338" width="5.7265625" customWidth="1"/>
    <col min="4341" max="4341" width="22.7265625" customWidth="1"/>
    <col min="4342" max="4342" width="6.26953125" customWidth="1"/>
    <col min="4343" max="4343" width="5.7265625" customWidth="1"/>
    <col min="4344" max="4344" width="6" customWidth="1"/>
    <col min="4345" max="4346" width="4.26953125" customWidth="1"/>
    <col min="4347" max="4347" width="4" customWidth="1"/>
    <col min="4348" max="4348" width="4.1796875" customWidth="1"/>
    <col min="4349" max="4349" width="4" customWidth="1"/>
    <col min="4350" max="4350" width="10.26953125" customWidth="1"/>
    <col min="4351" max="4351" width="16.7265625" customWidth="1"/>
    <col min="4352" max="4352" width="21" customWidth="1"/>
    <col min="4594" max="4594" width="5.7265625" customWidth="1"/>
    <col min="4597" max="4597" width="22.7265625" customWidth="1"/>
    <col min="4598" max="4598" width="6.26953125" customWidth="1"/>
    <col min="4599" max="4599" width="5.7265625" customWidth="1"/>
    <col min="4600" max="4600" width="6" customWidth="1"/>
    <col min="4601" max="4602" width="4.26953125" customWidth="1"/>
    <col min="4603" max="4603" width="4" customWidth="1"/>
    <col min="4604" max="4604" width="4.1796875" customWidth="1"/>
    <col min="4605" max="4605" width="4" customWidth="1"/>
    <col min="4606" max="4606" width="10.26953125" customWidth="1"/>
    <col min="4607" max="4607" width="16.7265625" customWidth="1"/>
    <col min="4608" max="4608" width="21" customWidth="1"/>
    <col min="4850" max="4850" width="5.7265625" customWidth="1"/>
    <col min="4853" max="4853" width="22.7265625" customWidth="1"/>
    <col min="4854" max="4854" width="6.26953125" customWidth="1"/>
    <col min="4855" max="4855" width="5.7265625" customWidth="1"/>
    <col min="4856" max="4856" width="6" customWidth="1"/>
    <col min="4857" max="4858" width="4.26953125" customWidth="1"/>
    <col min="4859" max="4859" width="4" customWidth="1"/>
    <col min="4860" max="4860" width="4.1796875" customWidth="1"/>
    <col min="4861" max="4861" width="4" customWidth="1"/>
    <col min="4862" max="4862" width="10.26953125" customWidth="1"/>
    <col min="4863" max="4863" width="16.7265625" customWidth="1"/>
    <col min="4864" max="4864" width="21" customWidth="1"/>
    <col min="5106" max="5106" width="5.7265625" customWidth="1"/>
    <col min="5109" max="5109" width="22.7265625" customWidth="1"/>
    <col min="5110" max="5110" width="6.26953125" customWidth="1"/>
    <col min="5111" max="5111" width="5.7265625" customWidth="1"/>
    <col min="5112" max="5112" width="6" customWidth="1"/>
    <col min="5113" max="5114" width="4.26953125" customWidth="1"/>
    <col min="5115" max="5115" width="4" customWidth="1"/>
    <col min="5116" max="5116" width="4.1796875" customWidth="1"/>
    <col min="5117" max="5117" width="4" customWidth="1"/>
    <col min="5118" max="5118" width="10.26953125" customWidth="1"/>
    <col min="5119" max="5119" width="16.7265625" customWidth="1"/>
    <col min="5120" max="5120" width="21" customWidth="1"/>
    <col min="5362" max="5362" width="5.7265625" customWidth="1"/>
    <col min="5365" max="5365" width="22.7265625" customWidth="1"/>
    <col min="5366" max="5366" width="6.26953125" customWidth="1"/>
    <col min="5367" max="5367" width="5.7265625" customWidth="1"/>
    <col min="5368" max="5368" width="6" customWidth="1"/>
    <col min="5369" max="5370" width="4.26953125" customWidth="1"/>
    <col min="5371" max="5371" width="4" customWidth="1"/>
    <col min="5372" max="5372" width="4.1796875" customWidth="1"/>
    <col min="5373" max="5373" width="4" customWidth="1"/>
    <col min="5374" max="5374" width="10.26953125" customWidth="1"/>
    <col min="5375" max="5375" width="16.7265625" customWidth="1"/>
    <col min="5376" max="5376" width="21" customWidth="1"/>
    <col min="5618" max="5618" width="5.7265625" customWidth="1"/>
    <col min="5621" max="5621" width="22.7265625" customWidth="1"/>
    <col min="5622" max="5622" width="6.26953125" customWidth="1"/>
    <col min="5623" max="5623" width="5.7265625" customWidth="1"/>
    <col min="5624" max="5624" width="6" customWidth="1"/>
    <col min="5625" max="5626" width="4.26953125" customWidth="1"/>
    <col min="5627" max="5627" width="4" customWidth="1"/>
    <col min="5628" max="5628" width="4.1796875" customWidth="1"/>
    <col min="5629" max="5629" width="4" customWidth="1"/>
    <col min="5630" max="5630" width="10.26953125" customWidth="1"/>
    <col min="5631" max="5631" width="16.7265625" customWidth="1"/>
    <col min="5632" max="5632" width="21" customWidth="1"/>
    <col min="5874" max="5874" width="5.7265625" customWidth="1"/>
    <col min="5877" max="5877" width="22.7265625" customWidth="1"/>
    <col min="5878" max="5878" width="6.26953125" customWidth="1"/>
    <col min="5879" max="5879" width="5.7265625" customWidth="1"/>
    <col min="5880" max="5880" width="6" customWidth="1"/>
    <col min="5881" max="5882" width="4.26953125" customWidth="1"/>
    <col min="5883" max="5883" width="4" customWidth="1"/>
    <col min="5884" max="5884" width="4.1796875" customWidth="1"/>
    <col min="5885" max="5885" width="4" customWidth="1"/>
    <col min="5886" max="5886" width="10.26953125" customWidth="1"/>
    <col min="5887" max="5887" width="16.7265625" customWidth="1"/>
    <col min="5888" max="5888" width="21" customWidth="1"/>
    <col min="6130" max="6130" width="5.7265625" customWidth="1"/>
    <col min="6133" max="6133" width="22.7265625" customWidth="1"/>
    <col min="6134" max="6134" width="6.26953125" customWidth="1"/>
    <col min="6135" max="6135" width="5.7265625" customWidth="1"/>
    <col min="6136" max="6136" width="6" customWidth="1"/>
    <col min="6137" max="6138" width="4.26953125" customWidth="1"/>
    <col min="6139" max="6139" width="4" customWidth="1"/>
    <col min="6140" max="6140" width="4.1796875" customWidth="1"/>
    <col min="6141" max="6141" width="4" customWidth="1"/>
    <col min="6142" max="6142" width="10.26953125" customWidth="1"/>
    <col min="6143" max="6143" width="16.7265625" customWidth="1"/>
    <col min="6144" max="6144" width="21" customWidth="1"/>
    <col min="6386" max="6386" width="5.7265625" customWidth="1"/>
    <col min="6389" max="6389" width="22.7265625" customWidth="1"/>
    <col min="6390" max="6390" width="6.26953125" customWidth="1"/>
    <col min="6391" max="6391" width="5.7265625" customWidth="1"/>
    <col min="6392" max="6392" width="6" customWidth="1"/>
    <col min="6393" max="6394" width="4.26953125" customWidth="1"/>
    <col min="6395" max="6395" width="4" customWidth="1"/>
    <col min="6396" max="6396" width="4.1796875" customWidth="1"/>
    <col min="6397" max="6397" width="4" customWidth="1"/>
    <col min="6398" max="6398" width="10.26953125" customWidth="1"/>
    <col min="6399" max="6399" width="16.7265625" customWidth="1"/>
    <col min="6400" max="6400" width="21" customWidth="1"/>
    <col min="6642" max="6642" width="5.7265625" customWidth="1"/>
    <col min="6645" max="6645" width="22.7265625" customWidth="1"/>
    <col min="6646" max="6646" width="6.26953125" customWidth="1"/>
    <col min="6647" max="6647" width="5.7265625" customWidth="1"/>
    <col min="6648" max="6648" width="6" customWidth="1"/>
    <col min="6649" max="6650" width="4.26953125" customWidth="1"/>
    <col min="6651" max="6651" width="4" customWidth="1"/>
    <col min="6652" max="6652" width="4.1796875" customWidth="1"/>
    <col min="6653" max="6653" width="4" customWidth="1"/>
    <col min="6654" max="6654" width="10.26953125" customWidth="1"/>
    <col min="6655" max="6655" width="16.7265625" customWidth="1"/>
    <col min="6656" max="6656" width="21" customWidth="1"/>
    <col min="6898" max="6898" width="5.7265625" customWidth="1"/>
    <col min="6901" max="6901" width="22.7265625" customWidth="1"/>
    <col min="6902" max="6902" width="6.26953125" customWidth="1"/>
    <col min="6903" max="6903" width="5.7265625" customWidth="1"/>
    <col min="6904" max="6904" width="6" customWidth="1"/>
    <col min="6905" max="6906" width="4.26953125" customWidth="1"/>
    <col min="6907" max="6907" width="4" customWidth="1"/>
    <col min="6908" max="6908" width="4.1796875" customWidth="1"/>
    <col min="6909" max="6909" width="4" customWidth="1"/>
    <col min="6910" max="6910" width="10.26953125" customWidth="1"/>
    <col min="6911" max="6911" width="16.7265625" customWidth="1"/>
    <col min="6912" max="6912" width="21" customWidth="1"/>
    <col min="7154" max="7154" width="5.7265625" customWidth="1"/>
    <col min="7157" max="7157" width="22.7265625" customWidth="1"/>
    <col min="7158" max="7158" width="6.26953125" customWidth="1"/>
    <col min="7159" max="7159" width="5.7265625" customWidth="1"/>
    <col min="7160" max="7160" width="6" customWidth="1"/>
    <col min="7161" max="7162" width="4.26953125" customWidth="1"/>
    <col min="7163" max="7163" width="4" customWidth="1"/>
    <col min="7164" max="7164" width="4.1796875" customWidth="1"/>
    <col min="7165" max="7165" width="4" customWidth="1"/>
    <col min="7166" max="7166" width="10.26953125" customWidth="1"/>
    <col min="7167" max="7167" width="16.7265625" customWidth="1"/>
    <col min="7168" max="7168" width="21" customWidth="1"/>
    <col min="7410" max="7410" width="5.7265625" customWidth="1"/>
    <col min="7413" max="7413" width="22.7265625" customWidth="1"/>
    <col min="7414" max="7414" width="6.26953125" customWidth="1"/>
    <col min="7415" max="7415" width="5.7265625" customWidth="1"/>
    <col min="7416" max="7416" width="6" customWidth="1"/>
    <col min="7417" max="7418" width="4.26953125" customWidth="1"/>
    <col min="7419" max="7419" width="4" customWidth="1"/>
    <col min="7420" max="7420" width="4.1796875" customWidth="1"/>
    <col min="7421" max="7421" width="4" customWidth="1"/>
    <col min="7422" max="7422" width="10.26953125" customWidth="1"/>
    <col min="7423" max="7423" width="16.7265625" customWidth="1"/>
    <col min="7424" max="7424" width="21" customWidth="1"/>
    <col min="7666" max="7666" width="5.7265625" customWidth="1"/>
    <col min="7669" max="7669" width="22.7265625" customWidth="1"/>
    <col min="7670" max="7670" width="6.26953125" customWidth="1"/>
    <col min="7671" max="7671" width="5.7265625" customWidth="1"/>
    <col min="7672" max="7672" width="6" customWidth="1"/>
    <col min="7673" max="7674" width="4.26953125" customWidth="1"/>
    <col min="7675" max="7675" width="4" customWidth="1"/>
    <col min="7676" max="7676" width="4.1796875" customWidth="1"/>
    <col min="7677" max="7677" width="4" customWidth="1"/>
    <col min="7678" max="7678" width="10.26953125" customWidth="1"/>
    <col min="7679" max="7679" width="16.7265625" customWidth="1"/>
    <col min="7680" max="7680" width="21" customWidth="1"/>
    <col min="7922" max="7922" width="5.7265625" customWidth="1"/>
    <col min="7925" max="7925" width="22.7265625" customWidth="1"/>
    <col min="7926" max="7926" width="6.26953125" customWidth="1"/>
    <col min="7927" max="7927" width="5.7265625" customWidth="1"/>
    <col min="7928" max="7928" width="6" customWidth="1"/>
    <col min="7929" max="7930" width="4.26953125" customWidth="1"/>
    <col min="7931" max="7931" width="4" customWidth="1"/>
    <col min="7932" max="7932" width="4.1796875" customWidth="1"/>
    <col min="7933" max="7933" width="4" customWidth="1"/>
    <col min="7934" max="7934" width="10.26953125" customWidth="1"/>
    <col min="7935" max="7935" width="16.7265625" customWidth="1"/>
    <col min="7936" max="7936" width="21" customWidth="1"/>
    <col min="8178" max="8178" width="5.7265625" customWidth="1"/>
    <col min="8181" max="8181" width="22.7265625" customWidth="1"/>
    <col min="8182" max="8182" width="6.26953125" customWidth="1"/>
    <col min="8183" max="8183" width="5.7265625" customWidth="1"/>
    <col min="8184" max="8184" width="6" customWidth="1"/>
    <col min="8185" max="8186" width="4.26953125" customWidth="1"/>
    <col min="8187" max="8187" width="4" customWidth="1"/>
    <col min="8188" max="8188" width="4.1796875" customWidth="1"/>
    <col min="8189" max="8189" width="4" customWidth="1"/>
    <col min="8190" max="8190" width="10.26953125" customWidth="1"/>
    <col min="8191" max="8191" width="16.7265625" customWidth="1"/>
    <col min="8192" max="8192" width="21" customWidth="1"/>
    <col min="8434" max="8434" width="5.7265625" customWidth="1"/>
    <col min="8437" max="8437" width="22.7265625" customWidth="1"/>
    <col min="8438" max="8438" width="6.26953125" customWidth="1"/>
    <col min="8439" max="8439" width="5.7265625" customWidth="1"/>
    <col min="8440" max="8440" width="6" customWidth="1"/>
    <col min="8441" max="8442" width="4.26953125" customWidth="1"/>
    <col min="8443" max="8443" width="4" customWidth="1"/>
    <col min="8444" max="8444" width="4.1796875" customWidth="1"/>
    <col min="8445" max="8445" width="4" customWidth="1"/>
    <col min="8446" max="8446" width="10.26953125" customWidth="1"/>
    <col min="8447" max="8447" width="16.7265625" customWidth="1"/>
    <col min="8448" max="8448" width="21" customWidth="1"/>
    <col min="8690" max="8690" width="5.7265625" customWidth="1"/>
    <col min="8693" max="8693" width="22.7265625" customWidth="1"/>
    <col min="8694" max="8694" width="6.26953125" customWidth="1"/>
    <col min="8695" max="8695" width="5.7265625" customWidth="1"/>
    <col min="8696" max="8696" width="6" customWidth="1"/>
    <col min="8697" max="8698" width="4.26953125" customWidth="1"/>
    <col min="8699" max="8699" width="4" customWidth="1"/>
    <col min="8700" max="8700" width="4.1796875" customWidth="1"/>
    <col min="8701" max="8701" width="4" customWidth="1"/>
    <col min="8702" max="8702" width="10.26953125" customWidth="1"/>
    <col min="8703" max="8703" width="16.7265625" customWidth="1"/>
    <col min="8704" max="8704" width="21" customWidth="1"/>
    <col min="8946" max="8946" width="5.7265625" customWidth="1"/>
    <col min="8949" max="8949" width="22.7265625" customWidth="1"/>
    <col min="8950" max="8950" width="6.26953125" customWidth="1"/>
    <col min="8951" max="8951" width="5.7265625" customWidth="1"/>
    <col min="8952" max="8952" width="6" customWidth="1"/>
    <col min="8953" max="8954" width="4.26953125" customWidth="1"/>
    <col min="8955" max="8955" width="4" customWidth="1"/>
    <col min="8956" max="8956" width="4.1796875" customWidth="1"/>
    <col min="8957" max="8957" width="4" customWidth="1"/>
    <col min="8958" max="8958" width="10.26953125" customWidth="1"/>
    <col min="8959" max="8959" width="16.7265625" customWidth="1"/>
    <col min="8960" max="8960" width="21" customWidth="1"/>
    <col min="9202" max="9202" width="5.7265625" customWidth="1"/>
    <col min="9205" max="9205" width="22.7265625" customWidth="1"/>
    <col min="9206" max="9206" width="6.26953125" customWidth="1"/>
    <col min="9207" max="9207" width="5.7265625" customWidth="1"/>
    <col min="9208" max="9208" width="6" customWidth="1"/>
    <col min="9209" max="9210" width="4.26953125" customWidth="1"/>
    <col min="9211" max="9211" width="4" customWidth="1"/>
    <col min="9212" max="9212" width="4.1796875" customWidth="1"/>
    <col min="9213" max="9213" width="4" customWidth="1"/>
    <col min="9214" max="9214" width="10.26953125" customWidth="1"/>
    <col min="9215" max="9215" width="16.7265625" customWidth="1"/>
    <col min="9216" max="9216" width="21" customWidth="1"/>
    <col min="9458" max="9458" width="5.7265625" customWidth="1"/>
    <col min="9461" max="9461" width="22.7265625" customWidth="1"/>
    <col min="9462" max="9462" width="6.26953125" customWidth="1"/>
    <col min="9463" max="9463" width="5.7265625" customWidth="1"/>
    <col min="9464" max="9464" width="6" customWidth="1"/>
    <col min="9465" max="9466" width="4.26953125" customWidth="1"/>
    <col min="9467" max="9467" width="4" customWidth="1"/>
    <col min="9468" max="9468" width="4.1796875" customWidth="1"/>
    <col min="9469" max="9469" width="4" customWidth="1"/>
    <col min="9470" max="9470" width="10.26953125" customWidth="1"/>
    <col min="9471" max="9471" width="16.7265625" customWidth="1"/>
    <col min="9472" max="9472" width="21" customWidth="1"/>
    <col min="9714" max="9714" width="5.7265625" customWidth="1"/>
    <col min="9717" max="9717" width="22.7265625" customWidth="1"/>
    <col min="9718" max="9718" width="6.26953125" customWidth="1"/>
    <col min="9719" max="9719" width="5.7265625" customWidth="1"/>
    <col min="9720" max="9720" width="6" customWidth="1"/>
    <col min="9721" max="9722" width="4.26953125" customWidth="1"/>
    <col min="9723" max="9723" width="4" customWidth="1"/>
    <col min="9724" max="9724" width="4.1796875" customWidth="1"/>
    <col min="9725" max="9725" width="4" customWidth="1"/>
    <col min="9726" max="9726" width="10.26953125" customWidth="1"/>
    <col min="9727" max="9727" width="16.7265625" customWidth="1"/>
    <col min="9728" max="9728" width="21" customWidth="1"/>
    <col min="9970" max="9970" width="5.7265625" customWidth="1"/>
    <col min="9973" max="9973" width="22.7265625" customWidth="1"/>
    <col min="9974" max="9974" width="6.26953125" customWidth="1"/>
    <col min="9975" max="9975" width="5.7265625" customWidth="1"/>
    <col min="9976" max="9976" width="6" customWidth="1"/>
    <col min="9977" max="9978" width="4.26953125" customWidth="1"/>
    <col min="9979" max="9979" width="4" customWidth="1"/>
    <col min="9980" max="9980" width="4.1796875" customWidth="1"/>
    <col min="9981" max="9981" width="4" customWidth="1"/>
    <col min="9982" max="9982" width="10.26953125" customWidth="1"/>
    <col min="9983" max="9983" width="16.7265625" customWidth="1"/>
    <col min="9984" max="9984" width="21" customWidth="1"/>
    <col min="10226" max="10226" width="5.7265625" customWidth="1"/>
    <col min="10229" max="10229" width="22.7265625" customWidth="1"/>
    <col min="10230" max="10230" width="6.26953125" customWidth="1"/>
    <col min="10231" max="10231" width="5.7265625" customWidth="1"/>
    <col min="10232" max="10232" width="6" customWidth="1"/>
    <col min="10233" max="10234" width="4.26953125" customWidth="1"/>
    <col min="10235" max="10235" width="4" customWidth="1"/>
    <col min="10236" max="10236" width="4.1796875" customWidth="1"/>
    <col min="10237" max="10237" width="4" customWidth="1"/>
    <col min="10238" max="10238" width="10.26953125" customWidth="1"/>
    <col min="10239" max="10239" width="16.7265625" customWidth="1"/>
    <col min="10240" max="10240" width="21" customWidth="1"/>
    <col min="10482" max="10482" width="5.7265625" customWidth="1"/>
    <col min="10485" max="10485" width="22.7265625" customWidth="1"/>
    <col min="10486" max="10486" width="6.26953125" customWidth="1"/>
    <col min="10487" max="10487" width="5.7265625" customWidth="1"/>
    <col min="10488" max="10488" width="6" customWidth="1"/>
    <col min="10489" max="10490" width="4.26953125" customWidth="1"/>
    <col min="10491" max="10491" width="4" customWidth="1"/>
    <col min="10492" max="10492" width="4.1796875" customWidth="1"/>
    <col min="10493" max="10493" width="4" customWidth="1"/>
    <col min="10494" max="10494" width="10.26953125" customWidth="1"/>
    <col min="10495" max="10495" width="16.7265625" customWidth="1"/>
    <col min="10496" max="10496" width="21" customWidth="1"/>
    <col min="10738" max="10738" width="5.7265625" customWidth="1"/>
    <col min="10741" max="10741" width="22.7265625" customWidth="1"/>
    <col min="10742" max="10742" width="6.26953125" customWidth="1"/>
    <col min="10743" max="10743" width="5.7265625" customWidth="1"/>
    <col min="10744" max="10744" width="6" customWidth="1"/>
    <col min="10745" max="10746" width="4.26953125" customWidth="1"/>
    <col min="10747" max="10747" width="4" customWidth="1"/>
    <col min="10748" max="10748" width="4.1796875" customWidth="1"/>
    <col min="10749" max="10749" width="4" customWidth="1"/>
    <col min="10750" max="10750" width="10.26953125" customWidth="1"/>
    <col min="10751" max="10751" width="16.7265625" customWidth="1"/>
    <col min="10752" max="10752" width="21" customWidth="1"/>
    <col min="10994" max="10994" width="5.7265625" customWidth="1"/>
    <col min="10997" max="10997" width="22.7265625" customWidth="1"/>
    <col min="10998" max="10998" width="6.26953125" customWidth="1"/>
    <col min="10999" max="10999" width="5.7265625" customWidth="1"/>
    <col min="11000" max="11000" width="6" customWidth="1"/>
    <col min="11001" max="11002" width="4.26953125" customWidth="1"/>
    <col min="11003" max="11003" width="4" customWidth="1"/>
    <col min="11004" max="11004" width="4.1796875" customWidth="1"/>
    <col min="11005" max="11005" width="4" customWidth="1"/>
    <col min="11006" max="11006" width="10.26953125" customWidth="1"/>
    <col min="11007" max="11007" width="16.7265625" customWidth="1"/>
    <col min="11008" max="11008" width="21" customWidth="1"/>
    <col min="11250" max="11250" width="5.7265625" customWidth="1"/>
    <col min="11253" max="11253" width="22.7265625" customWidth="1"/>
    <col min="11254" max="11254" width="6.26953125" customWidth="1"/>
    <col min="11255" max="11255" width="5.7265625" customWidth="1"/>
    <col min="11256" max="11256" width="6" customWidth="1"/>
    <col min="11257" max="11258" width="4.26953125" customWidth="1"/>
    <col min="11259" max="11259" width="4" customWidth="1"/>
    <col min="11260" max="11260" width="4.1796875" customWidth="1"/>
    <col min="11261" max="11261" width="4" customWidth="1"/>
    <col min="11262" max="11262" width="10.26953125" customWidth="1"/>
    <col min="11263" max="11263" width="16.7265625" customWidth="1"/>
    <col min="11264" max="11264" width="21" customWidth="1"/>
    <col min="11506" max="11506" width="5.7265625" customWidth="1"/>
    <col min="11509" max="11509" width="22.7265625" customWidth="1"/>
    <col min="11510" max="11510" width="6.26953125" customWidth="1"/>
    <col min="11511" max="11511" width="5.7265625" customWidth="1"/>
    <col min="11512" max="11512" width="6" customWidth="1"/>
    <col min="11513" max="11514" width="4.26953125" customWidth="1"/>
    <col min="11515" max="11515" width="4" customWidth="1"/>
    <col min="11516" max="11516" width="4.1796875" customWidth="1"/>
    <col min="11517" max="11517" width="4" customWidth="1"/>
    <col min="11518" max="11518" width="10.26953125" customWidth="1"/>
    <col min="11519" max="11519" width="16.7265625" customWidth="1"/>
    <col min="11520" max="11520" width="21" customWidth="1"/>
    <col min="11762" max="11762" width="5.7265625" customWidth="1"/>
    <col min="11765" max="11765" width="22.7265625" customWidth="1"/>
    <col min="11766" max="11766" width="6.26953125" customWidth="1"/>
    <col min="11767" max="11767" width="5.7265625" customWidth="1"/>
    <col min="11768" max="11768" width="6" customWidth="1"/>
    <col min="11769" max="11770" width="4.26953125" customWidth="1"/>
    <col min="11771" max="11771" width="4" customWidth="1"/>
    <col min="11772" max="11772" width="4.1796875" customWidth="1"/>
    <col min="11773" max="11773" width="4" customWidth="1"/>
    <col min="11774" max="11774" width="10.26953125" customWidth="1"/>
    <col min="11775" max="11775" width="16.7265625" customWidth="1"/>
    <col min="11776" max="11776" width="21" customWidth="1"/>
    <col min="12018" max="12018" width="5.7265625" customWidth="1"/>
    <col min="12021" max="12021" width="22.7265625" customWidth="1"/>
    <col min="12022" max="12022" width="6.26953125" customWidth="1"/>
    <col min="12023" max="12023" width="5.7265625" customWidth="1"/>
    <col min="12024" max="12024" width="6" customWidth="1"/>
    <col min="12025" max="12026" width="4.26953125" customWidth="1"/>
    <col min="12027" max="12027" width="4" customWidth="1"/>
    <col min="12028" max="12028" width="4.1796875" customWidth="1"/>
    <col min="12029" max="12029" width="4" customWidth="1"/>
    <col min="12030" max="12030" width="10.26953125" customWidth="1"/>
    <col min="12031" max="12031" width="16.7265625" customWidth="1"/>
    <col min="12032" max="12032" width="21" customWidth="1"/>
    <col min="12274" max="12274" width="5.7265625" customWidth="1"/>
    <col min="12277" max="12277" width="22.7265625" customWidth="1"/>
    <col min="12278" max="12278" width="6.26953125" customWidth="1"/>
    <col min="12279" max="12279" width="5.7265625" customWidth="1"/>
    <col min="12280" max="12280" width="6" customWidth="1"/>
    <col min="12281" max="12282" width="4.26953125" customWidth="1"/>
    <col min="12283" max="12283" width="4" customWidth="1"/>
    <col min="12284" max="12284" width="4.1796875" customWidth="1"/>
    <col min="12285" max="12285" width="4" customWidth="1"/>
    <col min="12286" max="12286" width="10.26953125" customWidth="1"/>
    <col min="12287" max="12287" width="16.7265625" customWidth="1"/>
    <col min="12288" max="12288" width="21" customWidth="1"/>
    <col min="12530" max="12530" width="5.7265625" customWidth="1"/>
    <col min="12533" max="12533" width="22.7265625" customWidth="1"/>
    <col min="12534" max="12534" width="6.26953125" customWidth="1"/>
    <col min="12535" max="12535" width="5.7265625" customWidth="1"/>
    <col min="12536" max="12536" width="6" customWidth="1"/>
    <col min="12537" max="12538" width="4.26953125" customWidth="1"/>
    <col min="12539" max="12539" width="4" customWidth="1"/>
    <col min="12540" max="12540" width="4.1796875" customWidth="1"/>
    <col min="12541" max="12541" width="4" customWidth="1"/>
    <col min="12542" max="12542" width="10.26953125" customWidth="1"/>
    <col min="12543" max="12543" width="16.7265625" customWidth="1"/>
    <col min="12544" max="12544" width="21" customWidth="1"/>
    <col min="12786" max="12786" width="5.7265625" customWidth="1"/>
    <col min="12789" max="12789" width="22.7265625" customWidth="1"/>
    <col min="12790" max="12790" width="6.26953125" customWidth="1"/>
    <col min="12791" max="12791" width="5.7265625" customWidth="1"/>
    <col min="12792" max="12792" width="6" customWidth="1"/>
    <col min="12793" max="12794" width="4.26953125" customWidth="1"/>
    <col min="12795" max="12795" width="4" customWidth="1"/>
    <col min="12796" max="12796" width="4.1796875" customWidth="1"/>
    <col min="12797" max="12797" width="4" customWidth="1"/>
    <col min="12798" max="12798" width="10.26953125" customWidth="1"/>
    <col min="12799" max="12799" width="16.7265625" customWidth="1"/>
    <col min="12800" max="12800" width="21" customWidth="1"/>
    <col min="13042" max="13042" width="5.7265625" customWidth="1"/>
    <col min="13045" max="13045" width="22.7265625" customWidth="1"/>
    <col min="13046" max="13046" width="6.26953125" customWidth="1"/>
    <col min="13047" max="13047" width="5.7265625" customWidth="1"/>
    <col min="13048" max="13048" width="6" customWidth="1"/>
    <col min="13049" max="13050" width="4.26953125" customWidth="1"/>
    <col min="13051" max="13051" width="4" customWidth="1"/>
    <col min="13052" max="13052" width="4.1796875" customWidth="1"/>
    <col min="13053" max="13053" width="4" customWidth="1"/>
    <col min="13054" max="13054" width="10.26953125" customWidth="1"/>
    <col min="13055" max="13055" width="16.7265625" customWidth="1"/>
    <col min="13056" max="13056" width="21" customWidth="1"/>
    <col min="13298" max="13298" width="5.7265625" customWidth="1"/>
    <col min="13301" max="13301" width="22.7265625" customWidth="1"/>
    <col min="13302" max="13302" width="6.26953125" customWidth="1"/>
    <col min="13303" max="13303" width="5.7265625" customWidth="1"/>
    <col min="13304" max="13304" width="6" customWidth="1"/>
    <col min="13305" max="13306" width="4.26953125" customWidth="1"/>
    <col min="13307" max="13307" width="4" customWidth="1"/>
    <col min="13308" max="13308" width="4.1796875" customWidth="1"/>
    <col min="13309" max="13309" width="4" customWidth="1"/>
    <col min="13310" max="13310" width="10.26953125" customWidth="1"/>
    <col min="13311" max="13311" width="16.7265625" customWidth="1"/>
    <col min="13312" max="13312" width="21" customWidth="1"/>
    <col min="13554" max="13554" width="5.7265625" customWidth="1"/>
    <col min="13557" max="13557" width="22.7265625" customWidth="1"/>
    <col min="13558" max="13558" width="6.26953125" customWidth="1"/>
    <col min="13559" max="13559" width="5.7265625" customWidth="1"/>
    <col min="13560" max="13560" width="6" customWidth="1"/>
    <col min="13561" max="13562" width="4.26953125" customWidth="1"/>
    <col min="13563" max="13563" width="4" customWidth="1"/>
    <col min="13564" max="13564" width="4.1796875" customWidth="1"/>
    <col min="13565" max="13565" width="4" customWidth="1"/>
    <col min="13566" max="13566" width="10.26953125" customWidth="1"/>
    <col min="13567" max="13567" width="16.7265625" customWidth="1"/>
    <col min="13568" max="13568" width="21" customWidth="1"/>
    <col min="13810" max="13810" width="5.7265625" customWidth="1"/>
    <col min="13813" max="13813" width="22.7265625" customWidth="1"/>
    <col min="13814" max="13814" width="6.26953125" customWidth="1"/>
    <col min="13815" max="13815" width="5.7265625" customWidth="1"/>
    <col min="13816" max="13816" width="6" customWidth="1"/>
    <col min="13817" max="13818" width="4.26953125" customWidth="1"/>
    <col min="13819" max="13819" width="4" customWidth="1"/>
    <col min="13820" max="13820" width="4.1796875" customWidth="1"/>
    <col min="13821" max="13821" width="4" customWidth="1"/>
    <col min="13822" max="13822" width="10.26953125" customWidth="1"/>
    <col min="13823" max="13823" width="16.7265625" customWidth="1"/>
    <col min="13824" max="13824" width="21" customWidth="1"/>
    <col min="14066" max="14066" width="5.7265625" customWidth="1"/>
    <col min="14069" max="14069" width="22.7265625" customWidth="1"/>
    <col min="14070" max="14070" width="6.26953125" customWidth="1"/>
    <col min="14071" max="14071" width="5.7265625" customWidth="1"/>
    <col min="14072" max="14072" width="6" customWidth="1"/>
    <col min="14073" max="14074" width="4.26953125" customWidth="1"/>
    <col min="14075" max="14075" width="4" customWidth="1"/>
    <col min="14076" max="14076" width="4.1796875" customWidth="1"/>
    <col min="14077" max="14077" width="4" customWidth="1"/>
    <col min="14078" max="14078" width="10.26953125" customWidth="1"/>
    <col min="14079" max="14079" width="16.7265625" customWidth="1"/>
    <col min="14080" max="14080" width="21" customWidth="1"/>
    <col min="14322" max="14322" width="5.7265625" customWidth="1"/>
    <col min="14325" max="14325" width="22.7265625" customWidth="1"/>
    <col min="14326" max="14326" width="6.26953125" customWidth="1"/>
    <col min="14327" max="14327" width="5.7265625" customWidth="1"/>
    <col min="14328" max="14328" width="6" customWidth="1"/>
    <col min="14329" max="14330" width="4.26953125" customWidth="1"/>
    <col min="14331" max="14331" width="4" customWidth="1"/>
    <col min="14332" max="14332" width="4.1796875" customWidth="1"/>
    <col min="14333" max="14333" width="4" customWidth="1"/>
    <col min="14334" max="14334" width="10.26953125" customWidth="1"/>
    <col min="14335" max="14335" width="16.7265625" customWidth="1"/>
    <col min="14336" max="14336" width="21" customWidth="1"/>
    <col min="14578" max="14578" width="5.7265625" customWidth="1"/>
    <col min="14581" max="14581" width="22.7265625" customWidth="1"/>
    <col min="14582" max="14582" width="6.26953125" customWidth="1"/>
    <col min="14583" max="14583" width="5.7265625" customWidth="1"/>
    <col min="14584" max="14584" width="6" customWidth="1"/>
    <col min="14585" max="14586" width="4.26953125" customWidth="1"/>
    <col min="14587" max="14587" width="4" customWidth="1"/>
    <col min="14588" max="14588" width="4.1796875" customWidth="1"/>
    <col min="14589" max="14589" width="4" customWidth="1"/>
    <col min="14590" max="14590" width="10.26953125" customWidth="1"/>
    <col min="14591" max="14591" width="16.7265625" customWidth="1"/>
    <col min="14592" max="14592" width="21" customWidth="1"/>
    <col min="14834" max="14834" width="5.7265625" customWidth="1"/>
    <col min="14837" max="14837" width="22.7265625" customWidth="1"/>
    <col min="14838" max="14838" width="6.26953125" customWidth="1"/>
    <col min="14839" max="14839" width="5.7265625" customWidth="1"/>
    <col min="14840" max="14840" width="6" customWidth="1"/>
    <col min="14841" max="14842" width="4.26953125" customWidth="1"/>
    <col min="14843" max="14843" width="4" customWidth="1"/>
    <col min="14844" max="14844" width="4.1796875" customWidth="1"/>
    <col min="14845" max="14845" width="4" customWidth="1"/>
    <col min="14846" max="14846" width="10.26953125" customWidth="1"/>
    <col min="14847" max="14847" width="16.7265625" customWidth="1"/>
    <col min="14848" max="14848" width="21" customWidth="1"/>
    <col min="15090" max="15090" width="5.7265625" customWidth="1"/>
    <col min="15093" max="15093" width="22.7265625" customWidth="1"/>
    <col min="15094" max="15094" width="6.26953125" customWidth="1"/>
    <col min="15095" max="15095" width="5.7265625" customWidth="1"/>
    <col min="15096" max="15096" width="6" customWidth="1"/>
    <col min="15097" max="15098" width="4.26953125" customWidth="1"/>
    <col min="15099" max="15099" width="4" customWidth="1"/>
    <col min="15100" max="15100" width="4.1796875" customWidth="1"/>
    <col min="15101" max="15101" width="4" customWidth="1"/>
    <col min="15102" max="15102" width="10.26953125" customWidth="1"/>
    <col min="15103" max="15103" width="16.7265625" customWidth="1"/>
    <col min="15104" max="15104" width="21" customWidth="1"/>
    <col min="15346" max="15346" width="5.7265625" customWidth="1"/>
    <col min="15349" max="15349" width="22.7265625" customWidth="1"/>
    <col min="15350" max="15350" width="6.26953125" customWidth="1"/>
    <col min="15351" max="15351" width="5.7265625" customWidth="1"/>
    <col min="15352" max="15352" width="6" customWidth="1"/>
    <col min="15353" max="15354" width="4.26953125" customWidth="1"/>
    <col min="15355" max="15355" width="4" customWidth="1"/>
    <col min="15356" max="15356" width="4.1796875" customWidth="1"/>
    <col min="15357" max="15357" width="4" customWidth="1"/>
    <col min="15358" max="15358" width="10.26953125" customWidth="1"/>
    <col min="15359" max="15359" width="16.7265625" customWidth="1"/>
    <col min="15360" max="15360" width="21" customWidth="1"/>
    <col min="15602" max="15602" width="5.7265625" customWidth="1"/>
    <col min="15605" max="15605" width="22.7265625" customWidth="1"/>
    <col min="15606" max="15606" width="6.26953125" customWidth="1"/>
    <col min="15607" max="15607" width="5.7265625" customWidth="1"/>
    <col min="15608" max="15608" width="6" customWidth="1"/>
    <col min="15609" max="15610" width="4.26953125" customWidth="1"/>
    <col min="15611" max="15611" width="4" customWidth="1"/>
    <col min="15612" max="15612" width="4.1796875" customWidth="1"/>
    <col min="15613" max="15613" width="4" customWidth="1"/>
    <col min="15614" max="15614" width="10.26953125" customWidth="1"/>
    <col min="15615" max="15615" width="16.7265625" customWidth="1"/>
    <col min="15616" max="15616" width="21" customWidth="1"/>
    <col min="15858" max="15858" width="5.7265625" customWidth="1"/>
    <col min="15861" max="15861" width="22.7265625" customWidth="1"/>
    <col min="15862" max="15862" width="6.26953125" customWidth="1"/>
    <col min="15863" max="15863" width="5.7265625" customWidth="1"/>
    <col min="15864" max="15864" width="6" customWidth="1"/>
    <col min="15865" max="15866" width="4.26953125" customWidth="1"/>
    <col min="15867" max="15867" width="4" customWidth="1"/>
    <col min="15868" max="15868" width="4.1796875" customWidth="1"/>
    <col min="15869" max="15869" width="4" customWidth="1"/>
    <col min="15870" max="15870" width="10.26953125" customWidth="1"/>
    <col min="15871" max="15871" width="16.7265625" customWidth="1"/>
    <col min="15872" max="15872" width="21" customWidth="1"/>
    <col min="16114" max="16114" width="5.7265625" customWidth="1"/>
    <col min="16117" max="16117" width="22.7265625" customWidth="1"/>
    <col min="16118" max="16118" width="6.26953125" customWidth="1"/>
    <col min="16119" max="16119" width="5.7265625" customWidth="1"/>
    <col min="16120" max="16120" width="6" customWidth="1"/>
    <col min="16121" max="16122" width="4.26953125" customWidth="1"/>
    <col min="16123" max="16123" width="4" customWidth="1"/>
    <col min="16124" max="16124" width="4.1796875" customWidth="1"/>
    <col min="16125" max="16125" width="4" customWidth="1"/>
    <col min="16126" max="16126" width="10.26953125" customWidth="1"/>
    <col min="16127" max="16127" width="16.7265625" customWidth="1"/>
    <col min="16128" max="16128" width="21" customWidth="1"/>
  </cols>
  <sheetData>
    <row r="1" spans="1:142" x14ac:dyDescent="0.35">
      <c r="A1" s="1151" t="s">
        <v>120</v>
      </c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7"/>
    </row>
    <row r="2" spans="1:142" ht="23.5" customHeight="1" x14ac:dyDescent="0.35">
      <c r="A2" s="1154"/>
      <c r="B2" s="1155"/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8"/>
    </row>
    <row r="3" spans="1:142" ht="14.5" customHeight="1" x14ac:dyDescent="0.35">
      <c r="A3" s="1162" t="s">
        <v>121</v>
      </c>
      <c r="B3" s="954" t="s">
        <v>122</v>
      </c>
      <c r="C3" s="954" t="s">
        <v>123</v>
      </c>
      <c r="D3" s="954" t="s">
        <v>105</v>
      </c>
      <c r="E3" s="1170" t="s">
        <v>920</v>
      </c>
      <c r="F3" s="1171"/>
      <c r="G3" s="1171"/>
      <c r="H3" s="1172"/>
      <c r="I3" s="1170" t="s">
        <v>921</v>
      </c>
      <c r="J3" s="1171"/>
      <c r="K3" s="1171"/>
      <c r="L3" s="1172"/>
      <c r="M3" s="1158" t="s">
        <v>914</v>
      </c>
    </row>
    <row r="4" spans="1:142" ht="28.9" hidden="1" customHeight="1" x14ac:dyDescent="0.35">
      <c r="A4" s="1162"/>
      <c r="B4" s="954"/>
      <c r="C4" s="954"/>
      <c r="D4" s="954"/>
      <c r="E4" s="1173"/>
      <c r="F4" s="1174"/>
      <c r="G4" s="1174"/>
      <c r="H4" s="1175"/>
      <c r="I4" s="1173"/>
      <c r="J4" s="1174"/>
      <c r="K4" s="1174"/>
      <c r="L4" s="1175"/>
      <c r="M4" s="1158"/>
    </row>
    <row r="5" spans="1:142" hidden="1" x14ac:dyDescent="0.35">
      <c r="A5" s="1162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412"/>
    </row>
    <row r="6" spans="1:142" x14ac:dyDescent="0.35">
      <c r="A6" s="473">
        <v>1</v>
      </c>
      <c r="B6" s="477" t="s">
        <v>125</v>
      </c>
      <c r="C6" s="474" t="s">
        <v>126</v>
      </c>
      <c r="D6" s="474" t="s">
        <v>127</v>
      </c>
      <c r="E6" s="474">
        <v>1</v>
      </c>
      <c r="F6" s="474">
        <v>1</v>
      </c>
      <c r="G6" s="474" t="s">
        <v>916</v>
      </c>
      <c r="H6" s="475" t="s">
        <v>916</v>
      </c>
      <c r="I6" s="475" t="s">
        <v>916</v>
      </c>
      <c r="J6" s="475" t="s">
        <v>916</v>
      </c>
      <c r="K6" s="475" t="s">
        <v>916</v>
      </c>
      <c r="L6" s="475" t="s">
        <v>916</v>
      </c>
      <c r="M6" s="476" t="s">
        <v>945</v>
      </c>
      <c r="N6" s="456" t="s">
        <v>965</v>
      </c>
    </row>
    <row r="7" spans="1:142" s="445" customFormat="1" hidden="1" x14ac:dyDescent="0.35">
      <c r="A7" s="481">
        <v>4</v>
      </c>
      <c r="B7" s="482" t="s">
        <v>133</v>
      </c>
      <c r="C7" s="482" t="s">
        <v>134</v>
      </c>
      <c r="D7" s="482" t="s">
        <v>135</v>
      </c>
      <c r="E7" s="482">
        <v>3</v>
      </c>
      <c r="F7" s="482">
        <v>3</v>
      </c>
      <c r="G7" s="482">
        <v>3</v>
      </c>
      <c r="H7" s="482">
        <v>3</v>
      </c>
      <c r="I7" s="483" t="s">
        <v>916</v>
      </c>
      <c r="J7" s="483" t="s">
        <v>916</v>
      </c>
      <c r="K7" s="483" t="s">
        <v>916</v>
      </c>
      <c r="L7" s="483" t="s">
        <v>916</v>
      </c>
      <c r="M7" s="476" t="s">
        <v>945</v>
      </c>
      <c r="N7" s="456"/>
      <c r="O7" s="456"/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  <c r="AA7" s="456"/>
      <c r="AB7" s="456"/>
      <c r="AC7" s="456"/>
      <c r="AD7" s="456"/>
      <c r="AE7" s="456"/>
      <c r="AF7" s="456"/>
      <c r="AG7" s="456"/>
      <c r="AH7" s="456"/>
      <c r="AI7" s="456"/>
      <c r="AJ7" s="456"/>
      <c r="AK7" s="456"/>
      <c r="AL7" s="456"/>
      <c r="AM7" s="456"/>
      <c r="AN7" s="456"/>
      <c r="AO7" s="456"/>
      <c r="AP7" s="456"/>
      <c r="AQ7" s="456"/>
      <c r="AR7" s="456"/>
      <c r="AS7" s="456"/>
      <c r="AT7" s="456"/>
      <c r="AU7" s="456"/>
      <c r="AV7" s="456"/>
      <c r="AW7" s="456"/>
      <c r="AX7" s="456"/>
      <c r="AY7" s="456"/>
      <c r="AZ7" s="456"/>
      <c r="BA7" s="456"/>
      <c r="BB7" s="456"/>
      <c r="BC7" s="456"/>
      <c r="BD7" s="456"/>
      <c r="BE7" s="456"/>
      <c r="BF7" s="456"/>
      <c r="BG7" s="456"/>
      <c r="BH7" s="456"/>
      <c r="BI7" s="456"/>
      <c r="BJ7" s="456"/>
      <c r="BK7" s="456"/>
      <c r="BL7" s="456"/>
      <c r="BM7" s="456"/>
      <c r="BN7" s="456"/>
      <c r="BO7" s="456"/>
      <c r="BP7" s="456"/>
      <c r="BQ7" s="456"/>
      <c r="BR7" s="456"/>
      <c r="BS7" s="456"/>
      <c r="BT7" s="456"/>
      <c r="BU7" s="456"/>
      <c r="BV7" s="456"/>
      <c r="BW7" s="456"/>
      <c r="BX7" s="456"/>
      <c r="BY7" s="456"/>
      <c r="BZ7" s="456"/>
      <c r="CA7" s="456"/>
      <c r="CB7" s="456"/>
      <c r="CC7" s="456"/>
      <c r="CD7" s="456"/>
      <c r="CE7" s="456"/>
      <c r="CF7" s="456"/>
      <c r="CG7" s="456"/>
      <c r="CH7" s="456"/>
      <c r="CI7" s="456"/>
      <c r="CJ7" s="456"/>
      <c r="CK7" s="456"/>
      <c r="CL7" s="456"/>
      <c r="CM7" s="456"/>
      <c r="CN7" s="456"/>
      <c r="CO7" s="456"/>
      <c r="CP7" s="456"/>
      <c r="CQ7" s="456"/>
      <c r="CR7" s="456"/>
      <c r="CS7" s="456"/>
      <c r="CT7" s="456"/>
      <c r="CU7" s="456"/>
      <c r="CV7" s="456"/>
      <c r="CW7" s="456"/>
      <c r="CX7" s="456"/>
      <c r="CY7" s="456"/>
      <c r="CZ7" s="456"/>
      <c r="DA7" s="456"/>
      <c r="DB7" s="456"/>
      <c r="DC7" s="456"/>
      <c r="DD7" s="456"/>
      <c r="DE7" s="456"/>
      <c r="DF7" s="456"/>
      <c r="DG7" s="456"/>
      <c r="DH7" s="456"/>
      <c r="DI7" s="456"/>
      <c r="DJ7" s="456"/>
      <c r="DK7" s="456"/>
      <c r="DL7" s="456"/>
      <c r="DM7" s="456"/>
      <c r="DN7" s="456"/>
      <c r="DO7" s="456"/>
      <c r="DP7" s="456"/>
      <c r="DQ7" s="456"/>
      <c r="DR7" s="456"/>
      <c r="DS7" s="456"/>
      <c r="DT7" s="456"/>
      <c r="DU7" s="456"/>
      <c r="DV7" s="456"/>
      <c r="DW7" s="456"/>
      <c r="DX7" s="456"/>
      <c r="DY7" s="456"/>
      <c r="DZ7" s="456"/>
      <c r="EA7" s="456"/>
      <c r="EB7" s="456"/>
      <c r="EC7" s="456"/>
      <c r="ED7" s="456"/>
      <c r="EE7" s="456"/>
      <c r="EF7" s="456"/>
      <c r="EG7" s="456"/>
      <c r="EH7" s="456"/>
      <c r="EI7" s="456"/>
      <c r="EJ7" s="456"/>
      <c r="EK7" s="456"/>
      <c r="EL7" s="456"/>
    </row>
    <row r="8" spans="1:142" x14ac:dyDescent="0.35">
      <c r="A8" s="481">
        <v>6</v>
      </c>
      <c r="B8" s="478" t="s">
        <v>138</v>
      </c>
      <c r="C8" s="482" t="s">
        <v>139</v>
      </c>
      <c r="D8" s="474" t="s">
        <v>127</v>
      </c>
      <c r="E8" s="482">
        <v>1</v>
      </c>
      <c r="F8" s="482">
        <v>1</v>
      </c>
      <c r="G8" s="482" t="s">
        <v>916</v>
      </c>
      <c r="H8" s="483" t="s">
        <v>916</v>
      </c>
      <c r="I8" s="483" t="s">
        <v>916</v>
      </c>
      <c r="J8" s="483" t="s">
        <v>916</v>
      </c>
      <c r="K8" s="483" t="s">
        <v>916</v>
      </c>
      <c r="L8" s="483" t="s">
        <v>916</v>
      </c>
      <c r="M8" s="476" t="s">
        <v>945</v>
      </c>
      <c r="N8" s="456" t="s">
        <v>965</v>
      </c>
    </row>
    <row r="9" spans="1:142" hidden="1" x14ac:dyDescent="0.35">
      <c r="A9" s="481">
        <v>10</v>
      </c>
      <c r="B9" s="482" t="s">
        <v>148</v>
      </c>
      <c r="C9" s="482" t="s">
        <v>149</v>
      </c>
      <c r="D9" s="483" t="s">
        <v>147</v>
      </c>
      <c r="E9" s="482" t="s">
        <v>916</v>
      </c>
      <c r="F9" s="482" t="s">
        <v>916</v>
      </c>
      <c r="G9" s="482">
        <v>1.5</v>
      </c>
      <c r="H9" s="482"/>
      <c r="I9" s="482">
        <v>1.5</v>
      </c>
      <c r="J9" s="483">
        <v>3</v>
      </c>
      <c r="K9" s="483">
        <v>3</v>
      </c>
      <c r="L9" s="483">
        <v>3</v>
      </c>
      <c r="M9" s="476" t="s">
        <v>945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</row>
    <row r="10" spans="1:142" hidden="1" x14ac:dyDescent="0.35">
      <c r="A10" s="481">
        <v>13</v>
      </c>
      <c r="B10" s="482" t="s">
        <v>154</v>
      </c>
      <c r="C10" s="482" t="s">
        <v>134</v>
      </c>
      <c r="D10" s="482" t="s">
        <v>135</v>
      </c>
      <c r="E10" s="482">
        <v>4</v>
      </c>
      <c r="F10" s="482">
        <v>4</v>
      </c>
      <c r="G10" s="482">
        <v>4</v>
      </c>
      <c r="H10" s="482">
        <v>4</v>
      </c>
      <c r="I10" s="482" t="s">
        <v>916</v>
      </c>
      <c r="J10" s="483" t="s">
        <v>916</v>
      </c>
      <c r="K10" s="483" t="s">
        <v>916</v>
      </c>
      <c r="L10" s="483" t="s">
        <v>916</v>
      </c>
      <c r="M10" s="476" t="s">
        <v>945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</row>
    <row r="11" spans="1:142" hidden="1" x14ac:dyDescent="0.35">
      <c r="A11" s="481">
        <v>15</v>
      </c>
      <c r="B11" s="482" t="s">
        <v>157</v>
      </c>
      <c r="C11" s="482" t="s">
        <v>144</v>
      </c>
      <c r="D11" s="482" t="s">
        <v>947</v>
      </c>
      <c r="E11" s="482">
        <v>2</v>
      </c>
      <c r="F11" s="482" t="s">
        <v>916</v>
      </c>
      <c r="G11" s="482" t="s">
        <v>916</v>
      </c>
      <c r="H11" s="482" t="s">
        <v>916</v>
      </c>
      <c r="I11" s="484">
        <v>3</v>
      </c>
      <c r="J11" s="485">
        <v>3</v>
      </c>
      <c r="K11" s="485">
        <v>1.5</v>
      </c>
      <c r="L11" s="485">
        <v>3</v>
      </c>
      <c r="M11" s="476" t="s">
        <v>945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</row>
    <row r="12" spans="1:142" hidden="1" x14ac:dyDescent="0.35">
      <c r="A12" s="481">
        <v>16</v>
      </c>
      <c r="B12" s="482" t="s">
        <v>158</v>
      </c>
      <c r="C12" s="482" t="s">
        <v>146</v>
      </c>
      <c r="D12" s="482" t="s">
        <v>135</v>
      </c>
      <c r="E12" s="482">
        <v>2</v>
      </c>
      <c r="F12" s="482">
        <v>2</v>
      </c>
      <c r="G12" s="482">
        <v>2</v>
      </c>
      <c r="H12" s="482">
        <v>2</v>
      </c>
      <c r="I12" s="482" t="s">
        <v>916</v>
      </c>
      <c r="J12" s="483" t="s">
        <v>916</v>
      </c>
      <c r="K12" s="483" t="s">
        <v>916</v>
      </c>
      <c r="L12" s="483" t="s">
        <v>916</v>
      </c>
      <c r="M12" s="476" t="s">
        <v>945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</row>
    <row r="13" spans="1:142" x14ac:dyDescent="0.35">
      <c r="A13" s="481">
        <v>17</v>
      </c>
      <c r="B13" s="482" t="s">
        <v>159</v>
      </c>
      <c r="C13" s="482" t="s">
        <v>126</v>
      </c>
      <c r="D13" s="482" t="s">
        <v>127</v>
      </c>
      <c r="E13" s="482">
        <v>2</v>
      </c>
      <c r="F13" s="482">
        <v>1</v>
      </c>
      <c r="G13" s="482" t="s">
        <v>916</v>
      </c>
      <c r="H13" s="483" t="s">
        <v>916</v>
      </c>
      <c r="I13" s="482" t="s">
        <v>916</v>
      </c>
      <c r="J13" s="483" t="s">
        <v>916</v>
      </c>
      <c r="K13" s="483" t="s">
        <v>916</v>
      </c>
      <c r="L13" s="483" t="s">
        <v>916</v>
      </c>
      <c r="M13" s="476" t="s">
        <v>945</v>
      </c>
      <c r="N13" s="456" t="s">
        <v>965</v>
      </c>
    </row>
    <row r="14" spans="1:142" x14ac:dyDescent="0.35">
      <c r="A14" s="481">
        <v>18</v>
      </c>
      <c r="B14" s="478" t="s">
        <v>160</v>
      </c>
      <c r="C14" s="482" t="s">
        <v>161</v>
      </c>
      <c r="D14" s="482" t="s">
        <v>127</v>
      </c>
      <c r="E14" s="482" t="s">
        <v>916</v>
      </c>
      <c r="F14" s="482" t="s">
        <v>916</v>
      </c>
      <c r="G14" s="482" t="s">
        <v>916</v>
      </c>
      <c r="H14" s="482">
        <v>1</v>
      </c>
      <c r="I14" s="482" t="s">
        <v>916</v>
      </c>
      <c r="J14" s="483" t="s">
        <v>916</v>
      </c>
      <c r="K14" s="483" t="s">
        <v>916</v>
      </c>
      <c r="L14" s="483" t="s">
        <v>916</v>
      </c>
      <c r="M14" s="476" t="s">
        <v>945</v>
      </c>
      <c r="N14" s="456" t="s">
        <v>965</v>
      </c>
    </row>
    <row r="15" spans="1:142" hidden="1" x14ac:dyDescent="0.35">
      <c r="A15" s="481">
        <v>19</v>
      </c>
      <c r="B15" s="482" t="s">
        <v>162</v>
      </c>
      <c r="C15" s="482" t="s">
        <v>129</v>
      </c>
      <c r="D15" s="482" t="s">
        <v>947</v>
      </c>
      <c r="E15" s="482" t="s">
        <v>916</v>
      </c>
      <c r="F15" s="482" t="s">
        <v>916</v>
      </c>
      <c r="G15" s="482">
        <v>2</v>
      </c>
      <c r="H15" s="483">
        <v>1</v>
      </c>
      <c r="I15" s="484">
        <v>-1.5</v>
      </c>
      <c r="J15" s="485">
        <v>0</v>
      </c>
      <c r="K15" s="485">
        <v>0</v>
      </c>
      <c r="L15" s="485">
        <v>0</v>
      </c>
      <c r="M15" s="476" t="s">
        <v>945</v>
      </c>
    </row>
    <row r="16" spans="1:142" hidden="1" x14ac:dyDescent="0.35">
      <c r="A16" s="481">
        <v>20</v>
      </c>
      <c r="B16" s="482" t="s">
        <v>163</v>
      </c>
      <c r="C16" s="482" t="s">
        <v>151</v>
      </c>
      <c r="D16" s="482" t="s">
        <v>948</v>
      </c>
      <c r="E16" s="482" t="s">
        <v>916</v>
      </c>
      <c r="F16" s="482" t="s">
        <v>916</v>
      </c>
      <c r="G16" s="482" t="s">
        <v>916</v>
      </c>
      <c r="H16" s="483" t="s">
        <v>916</v>
      </c>
      <c r="I16" s="484" t="s">
        <v>916</v>
      </c>
      <c r="J16" s="485" t="s">
        <v>916</v>
      </c>
      <c r="K16" s="485">
        <v>3</v>
      </c>
      <c r="L16" s="485">
        <v>1.5</v>
      </c>
      <c r="M16" s="476" t="s">
        <v>945</v>
      </c>
    </row>
    <row r="17" spans="1:142" hidden="1" x14ac:dyDescent="0.35">
      <c r="A17" s="481">
        <v>21</v>
      </c>
      <c r="B17" s="482" t="s">
        <v>164</v>
      </c>
      <c r="C17" s="482" t="s">
        <v>165</v>
      </c>
      <c r="D17" s="482" t="s">
        <v>127</v>
      </c>
      <c r="E17" s="482">
        <v>3</v>
      </c>
      <c r="F17" s="482" t="s">
        <v>916</v>
      </c>
      <c r="G17" s="482">
        <v>3</v>
      </c>
      <c r="H17" s="483">
        <v>3</v>
      </c>
      <c r="I17" s="482" t="s">
        <v>916</v>
      </c>
      <c r="J17" s="483" t="s">
        <v>916</v>
      </c>
      <c r="K17" s="483" t="s">
        <v>916</v>
      </c>
      <c r="L17" s="483" t="s">
        <v>916</v>
      </c>
      <c r="M17" s="476" t="s">
        <v>945</v>
      </c>
    </row>
    <row r="18" spans="1:142" hidden="1" x14ac:dyDescent="0.35">
      <c r="A18" s="481">
        <v>22</v>
      </c>
      <c r="B18" s="482" t="s">
        <v>166</v>
      </c>
      <c r="C18" s="482" t="s">
        <v>167</v>
      </c>
      <c r="D18" s="482" t="s">
        <v>947</v>
      </c>
      <c r="E18" s="482">
        <v>1</v>
      </c>
      <c r="F18" s="482" t="s">
        <v>916</v>
      </c>
      <c r="G18" s="482" t="s">
        <v>916</v>
      </c>
      <c r="H18" s="483" t="s">
        <v>916</v>
      </c>
      <c r="I18" s="484">
        <v>1.5</v>
      </c>
      <c r="J18" s="485" t="s">
        <v>916</v>
      </c>
      <c r="K18" s="485" t="s">
        <v>916</v>
      </c>
      <c r="L18" s="485">
        <v>1.5</v>
      </c>
      <c r="M18" s="476" t="s">
        <v>945</v>
      </c>
    </row>
    <row r="19" spans="1:142" x14ac:dyDescent="0.35">
      <c r="A19" s="481">
        <v>23</v>
      </c>
      <c r="B19" s="482" t="s">
        <v>168</v>
      </c>
      <c r="C19" s="482" t="s">
        <v>142</v>
      </c>
      <c r="D19" s="482" t="s">
        <v>127</v>
      </c>
      <c r="E19" s="482" t="s">
        <v>916</v>
      </c>
      <c r="F19" s="482" t="s">
        <v>916</v>
      </c>
      <c r="G19" s="482">
        <v>1</v>
      </c>
      <c r="H19" s="482" t="s">
        <v>916</v>
      </c>
      <c r="I19" s="482" t="s">
        <v>916</v>
      </c>
      <c r="J19" s="483" t="s">
        <v>916</v>
      </c>
      <c r="K19" s="483" t="s">
        <v>916</v>
      </c>
      <c r="L19" s="483" t="s">
        <v>916</v>
      </c>
      <c r="M19" s="476" t="s">
        <v>945</v>
      </c>
      <c r="N19" s="456" t="s">
        <v>965</v>
      </c>
    </row>
    <row r="20" spans="1:142" hidden="1" x14ac:dyDescent="0.35">
      <c r="A20" s="481">
        <v>24</v>
      </c>
      <c r="B20" s="482" t="s">
        <v>169</v>
      </c>
      <c r="C20" s="482" t="s">
        <v>146</v>
      </c>
      <c r="D20" s="482" t="s">
        <v>949</v>
      </c>
      <c r="E20" s="482" t="s">
        <v>916</v>
      </c>
      <c r="F20" s="482" t="s">
        <v>916</v>
      </c>
      <c r="G20" s="482">
        <v>2</v>
      </c>
      <c r="H20" s="482" t="s">
        <v>916</v>
      </c>
      <c r="I20" s="482">
        <v>7.5</v>
      </c>
      <c r="J20" s="483">
        <v>9</v>
      </c>
      <c r="K20" s="483">
        <v>9</v>
      </c>
      <c r="L20" s="483">
        <v>9</v>
      </c>
      <c r="M20" s="476" t="s">
        <v>945</v>
      </c>
    </row>
    <row r="21" spans="1:142" s="447" customFormat="1" x14ac:dyDescent="0.35">
      <c r="A21" s="481">
        <v>25</v>
      </c>
      <c r="B21" s="482" t="s">
        <v>170</v>
      </c>
      <c r="C21" s="482" t="s">
        <v>137</v>
      </c>
      <c r="D21" s="482" t="s">
        <v>127</v>
      </c>
      <c r="E21" s="482" t="s">
        <v>916</v>
      </c>
      <c r="F21" s="482" t="s">
        <v>916</v>
      </c>
      <c r="G21" s="482" t="s">
        <v>916</v>
      </c>
      <c r="H21" s="482">
        <v>1.5</v>
      </c>
      <c r="I21" s="482" t="s">
        <v>916</v>
      </c>
      <c r="J21" s="483" t="s">
        <v>916</v>
      </c>
      <c r="K21" s="483" t="s">
        <v>916</v>
      </c>
      <c r="L21" s="483" t="s">
        <v>916</v>
      </c>
      <c r="M21" s="476" t="s">
        <v>945</v>
      </c>
      <c r="N21" s="456" t="s">
        <v>965</v>
      </c>
      <c r="O21" s="456"/>
      <c r="P21" s="456"/>
      <c r="Q21" s="456"/>
      <c r="R21" s="456"/>
      <c r="S21" s="456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  <c r="AE21" s="456"/>
      <c r="AF21" s="456"/>
      <c r="AG21" s="456"/>
      <c r="AH21" s="456"/>
      <c r="AI21" s="456"/>
      <c r="AJ21" s="456"/>
      <c r="AK21" s="456"/>
      <c r="AL21" s="456"/>
      <c r="AM21" s="456"/>
      <c r="AN21" s="456"/>
      <c r="AO21" s="456"/>
      <c r="AP21" s="456"/>
      <c r="AQ21" s="456"/>
      <c r="AR21" s="456"/>
      <c r="AS21" s="456"/>
      <c r="AT21" s="456"/>
      <c r="AU21" s="456"/>
      <c r="AV21" s="456"/>
      <c r="AW21" s="456"/>
      <c r="AX21" s="456"/>
      <c r="AY21" s="456"/>
      <c r="AZ21" s="456"/>
      <c r="BA21" s="456"/>
      <c r="BB21" s="456"/>
      <c r="BC21" s="456"/>
      <c r="BD21" s="456"/>
      <c r="BE21" s="456"/>
      <c r="BF21" s="456"/>
      <c r="BG21" s="456"/>
      <c r="BH21" s="456"/>
      <c r="BI21" s="456"/>
      <c r="BJ21" s="456"/>
      <c r="BK21" s="456"/>
      <c r="BL21" s="456"/>
      <c r="BM21" s="456"/>
      <c r="BN21" s="456"/>
      <c r="BO21" s="456"/>
      <c r="BP21" s="456"/>
      <c r="BQ21" s="456"/>
      <c r="BR21" s="456"/>
      <c r="BS21" s="456"/>
      <c r="BT21" s="456"/>
      <c r="BU21" s="456"/>
      <c r="BV21" s="456"/>
      <c r="BW21" s="456"/>
      <c r="BX21" s="456"/>
      <c r="BY21" s="456"/>
      <c r="BZ21" s="456"/>
      <c r="CA21" s="456"/>
      <c r="CB21" s="456"/>
      <c r="CC21" s="456"/>
      <c r="CD21" s="456"/>
      <c r="CE21" s="456"/>
      <c r="CF21" s="456"/>
      <c r="CG21" s="456"/>
      <c r="CH21" s="456"/>
      <c r="CI21" s="456"/>
      <c r="CJ21" s="456"/>
      <c r="CK21" s="456"/>
      <c r="CL21" s="456"/>
      <c r="CM21" s="456"/>
      <c r="CN21" s="456"/>
      <c r="CO21" s="456"/>
      <c r="CP21" s="456"/>
      <c r="CQ21" s="456"/>
      <c r="CR21" s="456"/>
      <c r="CS21" s="456"/>
      <c r="CT21" s="456"/>
      <c r="CU21" s="456"/>
      <c r="CV21" s="456"/>
      <c r="CW21" s="456"/>
      <c r="CX21" s="456"/>
      <c r="CY21" s="456"/>
      <c r="CZ21" s="456"/>
      <c r="DA21" s="456"/>
      <c r="DB21" s="456"/>
      <c r="DC21" s="456"/>
      <c r="DD21" s="456"/>
      <c r="DE21" s="456"/>
      <c r="DF21" s="456"/>
      <c r="DG21" s="456"/>
      <c r="DH21" s="456"/>
      <c r="DI21" s="456"/>
      <c r="DJ21" s="456"/>
      <c r="DK21" s="456"/>
      <c r="DL21" s="456"/>
      <c r="DM21" s="456"/>
      <c r="DN21" s="456"/>
      <c r="DO21" s="456"/>
      <c r="DP21" s="456"/>
      <c r="DQ21" s="456"/>
      <c r="DR21" s="456"/>
      <c r="DS21" s="456"/>
      <c r="DT21" s="456"/>
      <c r="DU21" s="456"/>
      <c r="DV21" s="456"/>
      <c r="DW21" s="456"/>
      <c r="DX21" s="456"/>
      <c r="DY21" s="456"/>
      <c r="DZ21" s="456"/>
      <c r="EA21" s="456"/>
      <c r="EB21" s="456"/>
      <c r="EC21" s="456"/>
      <c r="ED21" s="456"/>
      <c r="EE21" s="456"/>
      <c r="EF21" s="456"/>
      <c r="EG21" s="456"/>
      <c r="EH21" s="456"/>
      <c r="EI21" s="456"/>
      <c r="EJ21" s="456"/>
      <c r="EK21" s="456"/>
      <c r="EL21" s="456"/>
    </row>
    <row r="22" spans="1:142" s="447" customFormat="1" x14ac:dyDescent="0.35">
      <c r="A22" s="481">
        <v>26</v>
      </c>
      <c r="B22" s="482" t="s">
        <v>171</v>
      </c>
      <c r="C22" s="482" t="s">
        <v>126</v>
      </c>
      <c r="D22" s="482" t="s">
        <v>127</v>
      </c>
      <c r="E22" s="482" t="s">
        <v>916</v>
      </c>
      <c r="F22" s="482" t="s">
        <v>916</v>
      </c>
      <c r="G22" s="482">
        <v>1</v>
      </c>
      <c r="H22" s="483">
        <v>1.5</v>
      </c>
      <c r="I22" s="482" t="s">
        <v>916</v>
      </c>
      <c r="J22" s="483" t="s">
        <v>916</v>
      </c>
      <c r="K22" s="483" t="s">
        <v>916</v>
      </c>
      <c r="L22" s="483" t="s">
        <v>916</v>
      </c>
      <c r="M22" s="476" t="s">
        <v>945</v>
      </c>
      <c r="N22" s="456" t="s">
        <v>965</v>
      </c>
      <c r="O22" s="456"/>
      <c r="P22" s="456"/>
      <c r="Q22" s="456"/>
      <c r="R22" s="456"/>
      <c r="S22" s="456"/>
      <c r="T22" s="456"/>
      <c r="U22" s="456"/>
      <c r="V22" s="456"/>
      <c r="W22" s="456"/>
      <c r="X22" s="456"/>
      <c r="Y22" s="456"/>
      <c r="Z22" s="456"/>
      <c r="AA22" s="456"/>
      <c r="AB22" s="456"/>
      <c r="AC22" s="456"/>
      <c r="AD22" s="456"/>
      <c r="AE22" s="456"/>
      <c r="AF22" s="456"/>
      <c r="AG22" s="456"/>
      <c r="AH22" s="456"/>
      <c r="AI22" s="456"/>
      <c r="AJ22" s="456"/>
      <c r="AK22" s="456"/>
      <c r="AL22" s="456"/>
      <c r="AM22" s="456"/>
      <c r="AN22" s="456"/>
      <c r="AO22" s="456"/>
      <c r="AP22" s="456"/>
      <c r="AQ22" s="456"/>
      <c r="AR22" s="456"/>
      <c r="AS22" s="456"/>
      <c r="AT22" s="456"/>
      <c r="AU22" s="456"/>
      <c r="AV22" s="456"/>
      <c r="AW22" s="456"/>
      <c r="AX22" s="456"/>
      <c r="AY22" s="456"/>
      <c r="AZ22" s="456"/>
      <c r="BA22" s="456"/>
      <c r="BB22" s="456"/>
      <c r="BC22" s="456"/>
      <c r="BD22" s="456"/>
      <c r="BE22" s="456"/>
      <c r="BF22" s="456"/>
      <c r="BG22" s="456"/>
      <c r="BH22" s="456"/>
      <c r="BI22" s="456"/>
      <c r="BJ22" s="456"/>
      <c r="BK22" s="456"/>
      <c r="BL22" s="456"/>
      <c r="BM22" s="456"/>
      <c r="BN22" s="456"/>
      <c r="BO22" s="456"/>
      <c r="BP22" s="456"/>
      <c r="BQ22" s="456"/>
      <c r="BR22" s="456"/>
      <c r="BS22" s="456"/>
      <c r="BT22" s="456"/>
      <c r="BU22" s="456"/>
      <c r="BV22" s="456"/>
      <c r="BW22" s="456"/>
      <c r="BX22" s="456"/>
      <c r="BY22" s="456"/>
      <c r="BZ22" s="456"/>
      <c r="CA22" s="456"/>
      <c r="CB22" s="456"/>
      <c r="CC22" s="456"/>
      <c r="CD22" s="456"/>
      <c r="CE22" s="456"/>
      <c r="CF22" s="456"/>
      <c r="CG22" s="456"/>
      <c r="CH22" s="456"/>
      <c r="CI22" s="456"/>
      <c r="CJ22" s="456"/>
      <c r="CK22" s="456"/>
      <c r="CL22" s="456"/>
      <c r="CM22" s="456"/>
      <c r="CN22" s="456"/>
      <c r="CO22" s="456"/>
      <c r="CP22" s="456"/>
      <c r="CQ22" s="456"/>
      <c r="CR22" s="456"/>
      <c r="CS22" s="456"/>
      <c r="CT22" s="456"/>
      <c r="CU22" s="456"/>
      <c r="CV22" s="456"/>
      <c r="CW22" s="456"/>
      <c r="CX22" s="456"/>
      <c r="CY22" s="456"/>
      <c r="CZ22" s="456"/>
      <c r="DA22" s="456"/>
      <c r="DB22" s="456"/>
      <c r="DC22" s="456"/>
      <c r="DD22" s="456"/>
      <c r="DE22" s="456"/>
      <c r="DF22" s="456"/>
      <c r="DG22" s="456"/>
      <c r="DH22" s="456"/>
      <c r="DI22" s="456"/>
      <c r="DJ22" s="456"/>
      <c r="DK22" s="456"/>
      <c r="DL22" s="456"/>
      <c r="DM22" s="456"/>
      <c r="DN22" s="456"/>
      <c r="DO22" s="456"/>
      <c r="DP22" s="456"/>
      <c r="DQ22" s="456"/>
      <c r="DR22" s="456"/>
      <c r="DS22" s="456"/>
      <c r="DT22" s="456"/>
      <c r="DU22" s="456"/>
      <c r="DV22" s="456"/>
      <c r="DW22" s="456"/>
      <c r="DX22" s="456"/>
      <c r="DY22" s="456"/>
      <c r="DZ22" s="456"/>
      <c r="EA22" s="456"/>
      <c r="EB22" s="456"/>
      <c r="EC22" s="456"/>
      <c r="ED22" s="456"/>
      <c r="EE22" s="456"/>
      <c r="EF22" s="456"/>
      <c r="EG22" s="456"/>
      <c r="EH22" s="456"/>
      <c r="EI22" s="456"/>
      <c r="EJ22" s="456"/>
      <c r="EK22" s="456"/>
      <c r="EL22" s="456"/>
    </row>
    <row r="23" spans="1:142" s="447" customFormat="1" x14ac:dyDescent="0.35">
      <c r="A23" s="481">
        <v>27</v>
      </c>
      <c r="B23" s="482" t="s">
        <v>172</v>
      </c>
      <c r="C23" s="482" t="s">
        <v>142</v>
      </c>
      <c r="D23" s="482" t="s">
        <v>127</v>
      </c>
      <c r="E23" s="482" t="s">
        <v>916</v>
      </c>
      <c r="F23" s="482" t="s">
        <v>916</v>
      </c>
      <c r="G23" s="482">
        <v>2</v>
      </c>
      <c r="H23" s="483">
        <v>2.5</v>
      </c>
      <c r="I23" s="482" t="s">
        <v>916</v>
      </c>
      <c r="J23" s="483" t="s">
        <v>916</v>
      </c>
      <c r="K23" s="483" t="s">
        <v>916</v>
      </c>
      <c r="L23" s="483" t="s">
        <v>916</v>
      </c>
      <c r="M23" s="476" t="s">
        <v>945</v>
      </c>
      <c r="N23" s="456" t="s">
        <v>965</v>
      </c>
      <c r="O23" s="456"/>
      <c r="P23" s="456"/>
      <c r="Q23" s="456"/>
      <c r="R23" s="456"/>
      <c r="S23" s="456"/>
      <c r="T23" s="456"/>
      <c r="U23" s="456"/>
      <c r="V23" s="456"/>
      <c r="W23" s="456"/>
      <c r="X23" s="456"/>
      <c r="Y23" s="456"/>
      <c r="Z23" s="456"/>
      <c r="AA23" s="456"/>
      <c r="AB23" s="456"/>
      <c r="AC23" s="456"/>
      <c r="AD23" s="456"/>
      <c r="AE23" s="456"/>
      <c r="AF23" s="456"/>
      <c r="AG23" s="456"/>
      <c r="AH23" s="456"/>
      <c r="AI23" s="456"/>
      <c r="AJ23" s="456"/>
      <c r="AK23" s="456"/>
      <c r="AL23" s="456"/>
      <c r="AM23" s="456"/>
      <c r="AN23" s="456"/>
      <c r="AO23" s="456"/>
      <c r="AP23" s="456"/>
      <c r="AQ23" s="456"/>
      <c r="AR23" s="456"/>
      <c r="AS23" s="456"/>
      <c r="AT23" s="456"/>
      <c r="AU23" s="456"/>
      <c r="AV23" s="456"/>
      <c r="AW23" s="456"/>
      <c r="AX23" s="456"/>
      <c r="AY23" s="456"/>
      <c r="AZ23" s="456"/>
      <c r="BA23" s="456"/>
      <c r="BB23" s="456"/>
      <c r="BC23" s="456"/>
      <c r="BD23" s="456"/>
      <c r="BE23" s="456"/>
      <c r="BF23" s="456"/>
      <c r="BG23" s="456"/>
      <c r="BH23" s="456"/>
      <c r="BI23" s="456"/>
      <c r="BJ23" s="456"/>
      <c r="BK23" s="456"/>
      <c r="BL23" s="456"/>
      <c r="BM23" s="456"/>
      <c r="BN23" s="456"/>
      <c r="BO23" s="456"/>
      <c r="BP23" s="456"/>
      <c r="BQ23" s="456"/>
      <c r="BR23" s="456"/>
      <c r="BS23" s="456"/>
      <c r="BT23" s="456"/>
      <c r="BU23" s="456"/>
      <c r="BV23" s="456"/>
      <c r="BW23" s="456"/>
      <c r="BX23" s="456"/>
      <c r="BY23" s="456"/>
      <c r="BZ23" s="456"/>
      <c r="CA23" s="456"/>
      <c r="CB23" s="456"/>
      <c r="CC23" s="456"/>
      <c r="CD23" s="456"/>
      <c r="CE23" s="456"/>
      <c r="CF23" s="456"/>
      <c r="CG23" s="456"/>
      <c r="CH23" s="456"/>
      <c r="CI23" s="456"/>
      <c r="CJ23" s="456"/>
      <c r="CK23" s="456"/>
      <c r="CL23" s="456"/>
      <c r="CM23" s="456"/>
      <c r="CN23" s="456"/>
      <c r="CO23" s="456"/>
      <c r="CP23" s="456"/>
      <c r="CQ23" s="456"/>
      <c r="CR23" s="456"/>
      <c r="CS23" s="456"/>
      <c r="CT23" s="456"/>
      <c r="CU23" s="456"/>
      <c r="CV23" s="456"/>
      <c r="CW23" s="456"/>
      <c r="CX23" s="456"/>
      <c r="CY23" s="456"/>
      <c r="CZ23" s="456"/>
      <c r="DA23" s="456"/>
      <c r="DB23" s="456"/>
      <c r="DC23" s="456"/>
      <c r="DD23" s="456"/>
      <c r="DE23" s="456"/>
      <c r="DF23" s="456"/>
      <c r="DG23" s="456"/>
      <c r="DH23" s="456"/>
      <c r="DI23" s="456"/>
      <c r="DJ23" s="456"/>
      <c r="DK23" s="456"/>
      <c r="DL23" s="456"/>
      <c r="DM23" s="456"/>
      <c r="DN23" s="456"/>
      <c r="DO23" s="456"/>
      <c r="DP23" s="456"/>
      <c r="DQ23" s="456"/>
      <c r="DR23" s="456"/>
      <c r="DS23" s="456"/>
      <c r="DT23" s="456"/>
      <c r="DU23" s="456"/>
      <c r="DV23" s="456"/>
      <c r="DW23" s="456"/>
      <c r="DX23" s="456"/>
      <c r="DY23" s="456"/>
      <c r="DZ23" s="456"/>
      <c r="EA23" s="456"/>
      <c r="EB23" s="456"/>
      <c r="EC23" s="456"/>
      <c r="ED23" s="456"/>
      <c r="EE23" s="456"/>
      <c r="EF23" s="456"/>
      <c r="EG23" s="456"/>
      <c r="EH23" s="456"/>
      <c r="EI23" s="456"/>
      <c r="EJ23" s="456"/>
      <c r="EK23" s="456"/>
      <c r="EL23" s="456"/>
    </row>
    <row r="24" spans="1:142" s="447" customFormat="1" hidden="1" x14ac:dyDescent="0.35">
      <c r="A24" s="481">
        <v>29</v>
      </c>
      <c r="B24" s="482" t="s">
        <v>175</v>
      </c>
      <c r="C24" s="482" t="s">
        <v>349</v>
      </c>
      <c r="D24" s="482" t="s">
        <v>127</v>
      </c>
      <c r="E24" s="482" t="s">
        <v>916</v>
      </c>
      <c r="F24" s="482" t="s">
        <v>916</v>
      </c>
      <c r="G24" s="482">
        <v>1</v>
      </c>
      <c r="H24" s="483">
        <v>1</v>
      </c>
      <c r="I24" s="482" t="s">
        <v>916</v>
      </c>
      <c r="J24" s="483" t="s">
        <v>916</v>
      </c>
      <c r="K24" s="483" t="s">
        <v>916</v>
      </c>
      <c r="L24" s="483" t="s">
        <v>916</v>
      </c>
      <c r="M24" s="476" t="s">
        <v>945</v>
      </c>
      <c r="N24" s="456"/>
      <c r="O24" s="456"/>
      <c r="P24" s="456"/>
      <c r="Q24" s="456"/>
      <c r="R24" s="456"/>
      <c r="S24" s="456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  <c r="AE24" s="456"/>
      <c r="AF24" s="456"/>
      <c r="AG24" s="456"/>
      <c r="AH24" s="456"/>
      <c r="AI24" s="456"/>
      <c r="AJ24" s="456"/>
      <c r="AK24" s="456"/>
      <c r="AL24" s="456"/>
      <c r="AM24" s="456"/>
      <c r="AN24" s="456"/>
      <c r="AO24" s="456"/>
      <c r="AP24" s="456"/>
      <c r="AQ24" s="456"/>
      <c r="AR24" s="456"/>
      <c r="AS24" s="456"/>
      <c r="AT24" s="456"/>
      <c r="AU24" s="456"/>
      <c r="AV24" s="456"/>
      <c r="AW24" s="456"/>
      <c r="AX24" s="456"/>
      <c r="AY24" s="456"/>
      <c r="AZ24" s="456"/>
      <c r="BA24" s="456"/>
      <c r="BB24" s="456"/>
      <c r="BC24" s="456"/>
      <c r="BD24" s="456"/>
      <c r="BE24" s="456"/>
      <c r="BF24" s="456"/>
      <c r="BG24" s="456"/>
      <c r="BH24" s="456"/>
      <c r="BI24" s="456"/>
      <c r="BJ24" s="456"/>
      <c r="BK24" s="456"/>
      <c r="BL24" s="456"/>
      <c r="BM24" s="456"/>
      <c r="BN24" s="456"/>
      <c r="BO24" s="456"/>
      <c r="BP24" s="456"/>
      <c r="BQ24" s="456"/>
      <c r="BR24" s="456"/>
      <c r="BS24" s="456"/>
      <c r="BT24" s="456"/>
      <c r="BU24" s="456"/>
      <c r="BV24" s="456"/>
      <c r="BW24" s="456"/>
      <c r="BX24" s="456"/>
      <c r="BY24" s="456"/>
      <c r="BZ24" s="456"/>
      <c r="CA24" s="456"/>
      <c r="CB24" s="456"/>
      <c r="CC24" s="456"/>
      <c r="CD24" s="456"/>
      <c r="CE24" s="456"/>
      <c r="CF24" s="456"/>
      <c r="CG24" s="456"/>
      <c r="CH24" s="456"/>
      <c r="CI24" s="456"/>
      <c r="CJ24" s="456"/>
      <c r="CK24" s="456"/>
      <c r="CL24" s="456"/>
      <c r="CM24" s="456"/>
      <c r="CN24" s="456"/>
      <c r="CO24" s="456"/>
      <c r="CP24" s="456"/>
      <c r="CQ24" s="456"/>
      <c r="CR24" s="456"/>
      <c r="CS24" s="456"/>
      <c r="CT24" s="456"/>
      <c r="CU24" s="456"/>
      <c r="CV24" s="456"/>
      <c r="CW24" s="456"/>
      <c r="CX24" s="456"/>
      <c r="CY24" s="456"/>
      <c r="CZ24" s="456"/>
      <c r="DA24" s="456"/>
      <c r="DB24" s="456"/>
      <c r="DC24" s="456"/>
      <c r="DD24" s="456"/>
      <c r="DE24" s="456"/>
      <c r="DF24" s="456"/>
      <c r="DG24" s="456"/>
      <c r="DH24" s="456"/>
      <c r="DI24" s="456"/>
      <c r="DJ24" s="456"/>
      <c r="DK24" s="456"/>
      <c r="DL24" s="456"/>
      <c r="DM24" s="456"/>
      <c r="DN24" s="456"/>
      <c r="DO24" s="456"/>
      <c r="DP24" s="456"/>
      <c r="DQ24" s="456"/>
      <c r="DR24" s="456"/>
      <c r="DS24" s="456"/>
      <c r="DT24" s="456"/>
      <c r="DU24" s="456"/>
      <c r="DV24" s="456"/>
      <c r="DW24" s="456"/>
      <c r="DX24" s="456"/>
      <c r="DY24" s="456"/>
      <c r="DZ24" s="456"/>
      <c r="EA24" s="456"/>
      <c r="EB24" s="456"/>
      <c r="EC24" s="456"/>
      <c r="ED24" s="456"/>
      <c r="EE24" s="456"/>
      <c r="EF24" s="456"/>
      <c r="EG24" s="456"/>
      <c r="EH24" s="456"/>
      <c r="EI24" s="456"/>
      <c r="EJ24" s="456"/>
      <c r="EK24" s="456"/>
      <c r="EL24" s="456"/>
    </row>
    <row r="25" spans="1:142" s="447" customFormat="1" x14ac:dyDescent="0.35">
      <c r="A25" s="481">
        <v>30</v>
      </c>
      <c r="B25" s="482" t="s">
        <v>762</v>
      </c>
      <c r="C25" s="482" t="s">
        <v>137</v>
      </c>
      <c r="D25" s="482" t="s">
        <v>127</v>
      </c>
      <c r="E25" s="482">
        <v>1</v>
      </c>
      <c r="F25" s="482">
        <v>1.5</v>
      </c>
      <c r="G25" s="482" t="s">
        <v>916</v>
      </c>
      <c r="H25" s="483" t="s">
        <v>916</v>
      </c>
      <c r="I25" s="482" t="s">
        <v>916</v>
      </c>
      <c r="J25" s="483" t="s">
        <v>916</v>
      </c>
      <c r="K25" s="483" t="s">
        <v>916</v>
      </c>
      <c r="L25" s="483" t="s">
        <v>916</v>
      </c>
      <c r="M25" s="476" t="s">
        <v>945</v>
      </c>
      <c r="N25" s="456" t="s">
        <v>965</v>
      </c>
      <c r="O25" s="456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456"/>
      <c r="AN25" s="456"/>
      <c r="AO25" s="456"/>
      <c r="AP25" s="456"/>
      <c r="AQ25" s="456"/>
      <c r="AR25" s="456"/>
      <c r="AS25" s="456"/>
      <c r="AT25" s="456"/>
      <c r="AU25" s="456"/>
      <c r="AV25" s="456"/>
      <c r="AW25" s="456"/>
      <c r="AX25" s="456"/>
      <c r="AY25" s="456"/>
      <c r="AZ25" s="456"/>
      <c r="BA25" s="456"/>
      <c r="BB25" s="456"/>
      <c r="BC25" s="456"/>
      <c r="BD25" s="456"/>
      <c r="BE25" s="456"/>
      <c r="BF25" s="456"/>
      <c r="BG25" s="456"/>
      <c r="BH25" s="456"/>
      <c r="BI25" s="456"/>
      <c r="BJ25" s="456"/>
      <c r="BK25" s="456"/>
      <c r="BL25" s="456"/>
      <c r="BM25" s="456"/>
      <c r="BN25" s="456"/>
      <c r="BO25" s="456"/>
      <c r="BP25" s="456"/>
      <c r="BQ25" s="456"/>
      <c r="BR25" s="456"/>
      <c r="BS25" s="456"/>
      <c r="BT25" s="456"/>
      <c r="BU25" s="456"/>
      <c r="BV25" s="456"/>
      <c r="BW25" s="456"/>
      <c r="BX25" s="456"/>
      <c r="BY25" s="456"/>
      <c r="BZ25" s="456"/>
      <c r="CA25" s="456"/>
      <c r="CB25" s="456"/>
      <c r="CC25" s="456"/>
      <c r="CD25" s="456"/>
      <c r="CE25" s="456"/>
      <c r="CF25" s="456"/>
      <c r="CG25" s="456"/>
      <c r="CH25" s="456"/>
      <c r="CI25" s="456"/>
      <c r="CJ25" s="456"/>
      <c r="CK25" s="456"/>
      <c r="CL25" s="456"/>
      <c r="CM25" s="456"/>
      <c r="CN25" s="456"/>
      <c r="CO25" s="456"/>
      <c r="CP25" s="456"/>
      <c r="CQ25" s="456"/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56"/>
      <c r="DC25" s="456"/>
      <c r="DD25" s="456"/>
      <c r="DE25" s="456"/>
      <c r="DF25" s="456"/>
      <c r="DG25" s="456"/>
      <c r="DH25" s="456"/>
      <c r="DI25" s="456"/>
      <c r="DJ25" s="456"/>
      <c r="DK25" s="456"/>
      <c r="DL25" s="456"/>
      <c r="DM25" s="456"/>
      <c r="DN25" s="456"/>
      <c r="DO25" s="456"/>
      <c r="DP25" s="456"/>
      <c r="DQ25" s="456"/>
      <c r="DR25" s="456"/>
      <c r="DS25" s="456"/>
      <c r="DT25" s="456"/>
      <c r="DU25" s="456"/>
      <c r="DV25" s="456"/>
      <c r="DW25" s="456"/>
      <c r="DX25" s="456"/>
      <c r="DY25" s="456"/>
      <c r="DZ25" s="456"/>
      <c r="EA25" s="456"/>
      <c r="EB25" s="456"/>
      <c r="EC25" s="456"/>
      <c r="ED25" s="456"/>
      <c r="EE25" s="456"/>
      <c r="EF25" s="456"/>
      <c r="EG25" s="456"/>
      <c r="EH25" s="456"/>
      <c r="EI25" s="456"/>
      <c r="EJ25" s="456"/>
      <c r="EK25" s="456"/>
      <c r="EL25" s="456"/>
    </row>
    <row r="26" spans="1:142" s="447" customFormat="1" hidden="1" x14ac:dyDescent="0.35">
      <c r="A26" s="481">
        <v>31</v>
      </c>
      <c r="B26" s="482" t="s">
        <v>177</v>
      </c>
      <c r="C26" s="482" t="s">
        <v>178</v>
      </c>
      <c r="D26" s="482" t="s">
        <v>127</v>
      </c>
      <c r="E26" s="482" t="s">
        <v>916</v>
      </c>
      <c r="F26" s="482" t="s">
        <v>916</v>
      </c>
      <c r="G26" s="482">
        <v>1</v>
      </c>
      <c r="H26" s="483">
        <v>1</v>
      </c>
      <c r="I26" s="482" t="s">
        <v>916</v>
      </c>
      <c r="J26" s="483" t="s">
        <v>916</v>
      </c>
      <c r="K26" s="483" t="s">
        <v>916</v>
      </c>
      <c r="L26" s="483" t="s">
        <v>916</v>
      </c>
      <c r="M26" s="476" t="s">
        <v>945</v>
      </c>
      <c r="N26" s="456"/>
      <c r="O26" s="456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  <c r="AO26" s="456"/>
      <c r="AP26" s="456"/>
      <c r="AQ26" s="456"/>
      <c r="AR26" s="456"/>
      <c r="AS26" s="456"/>
      <c r="AT26" s="456"/>
      <c r="AU26" s="456"/>
      <c r="AV26" s="456"/>
      <c r="AW26" s="456"/>
      <c r="AX26" s="456"/>
      <c r="AY26" s="456"/>
      <c r="AZ26" s="456"/>
      <c r="BA26" s="456"/>
      <c r="BB26" s="456"/>
      <c r="BC26" s="456"/>
      <c r="BD26" s="456"/>
      <c r="BE26" s="456"/>
      <c r="BF26" s="456"/>
      <c r="BG26" s="456"/>
      <c r="BH26" s="456"/>
      <c r="BI26" s="456"/>
      <c r="BJ26" s="456"/>
      <c r="BK26" s="456"/>
      <c r="BL26" s="456"/>
      <c r="BM26" s="456"/>
      <c r="BN26" s="456"/>
      <c r="BO26" s="456"/>
      <c r="BP26" s="456"/>
      <c r="BQ26" s="456"/>
      <c r="BR26" s="456"/>
      <c r="BS26" s="456"/>
      <c r="BT26" s="456"/>
      <c r="BU26" s="456"/>
      <c r="BV26" s="456"/>
      <c r="BW26" s="456"/>
      <c r="BX26" s="456"/>
      <c r="BY26" s="456"/>
      <c r="BZ26" s="456"/>
      <c r="CA26" s="456"/>
      <c r="CB26" s="456"/>
      <c r="CC26" s="456"/>
      <c r="CD26" s="456"/>
      <c r="CE26" s="456"/>
      <c r="CF26" s="456"/>
      <c r="CG26" s="456"/>
      <c r="CH26" s="456"/>
      <c r="CI26" s="456"/>
      <c r="CJ26" s="456"/>
      <c r="CK26" s="456"/>
      <c r="CL26" s="456"/>
      <c r="CM26" s="456"/>
      <c r="CN26" s="456"/>
      <c r="CO26" s="456"/>
      <c r="CP26" s="456"/>
      <c r="CQ26" s="456"/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56"/>
      <c r="DC26" s="456"/>
      <c r="DD26" s="456"/>
      <c r="DE26" s="456"/>
      <c r="DF26" s="456"/>
      <c r="DG26" s="456"/>
      <c r="DH26" s="456"/>
      <c r="DI26" s="456"/>
      <c r="DJ26" s="456"/>
      <c r="DK26" s="456"/>
      <c r="DL26" s="456"/>
      <c r="DM26" s="456"/>
      <c r="DN26" s="456"/>
      <c r="DO26" s="456"/>
      <c r="DP26" s="456"/>
      <c r="DQ26" s="456"/>
      <c r="DR26" s="456"/>
      <c r="DS26" s="456"/>
      <c r="DT26" s="456"/>
      <c r="DU26" s="456"/>
      <c r="DV26" s="456"/>
      <c r="DW26" s="456"/>
      <c r="DX26" s="456"/>
      <c r="DY26" s="456"/>
      <c r="DZ26" s="456"/>
      <c r="EA26" s="456"/>
      <c r="EB26" s="456"/>
      <c r="EC26" s="456"/>
      <c r="ED26" s="456"/>
      <c r="EE26" s="456"/>
      <c r="EF26" s="456"/>
      <c r="EG26" s="456"/>
      <c r="EH26" s="456"/>
      <c r="EI26" s="456"/>
      <c r="EJ26" s="456"/>
      <c r="EK26" s="456"/>
      <c r="EL26" s="456"/>
    </row>
    <row r="27" spans="1:142" s="447" customFormat="1" ht="15" customHeight="1" thickBot="1" x14ac:dyDescent="0.4">
      <c r="A27" s="486">
        <v>32</v>
      </c>
      <c r="B27" s="480" t="s">
        <v>179</v>
      </c>
      <c r="C27" s="487" t="s">
        <v>142</v>
      </c>
      <c r="D27" s="482" t="s">
        <v>127</v>
      </c>
      <c r="E27" s="487" t="s">
        <v>916</v>
      </c>
      <c r="F27" s="487">
        <v>1</v>
      </c>
      <c r="G27" s="487">
        <v>1</v>
      </c>
      <c r="H27" s="488">
        <v>1</v>
      </c>
      <c r="I27" s="487" t="s">
        <v>916</v>
      </c>
      <c r="J27" s="488" t="s">
        <v>916</v>
      </c>
      <c r="K27" s="488" t="s">
        <v>916</v>
      </c>
      <c r="L27" s="488" t="s">
        <v>916</v>
      </c>
      <c r="M27" s="476" t="s">
        <v>945</v>
      </c>
      <c r="N27" s="456" t="s">
        <v>965</v>
      </c>
      <c r="O27" s="456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6"/>
      <c r="BF27" s="456"/>
      <c r="BG27" s="456"/>
      <c r="BH27" s="456"/>
      <c r="BI27" s="456"/>
      <c r="BJ27" s="456"/>
      <c r="BK27" s="456"/>
      <c r="BL27" s="456"/>
      <c r="BM27" s="456"/>
      <c r="BN27" s="456"/>
      <c r="BO27" s="456"/>
      <c r="BP27" s="456"/>
      <c r="BQ27" s="456"/>
      <c r="BR27" s="456"/>
      <c r="BS27" s="456"/>
      <c r="BT27" s="456"/>
      <c r="BU27" s="456"/>
      <c r="BV27" s="456"/>
      <c r="BW27" s="456"/>
      <c r="BX27" s="456"/>
      <c r="BY27" s="456"/>
      <c r="BZ27" s="456"/>
      <c r="CA27" s="456"/>
      <c r="CB27" s="456"/>
      <c r="CC27" s="456"/>
      <c r="CD27" s="456"/>
      <c r="CE27" s="456"/>
      <c r="CF27" s="456"/>
      <c r="CG27" s="456"/>
      <c r="CH27" s="456"/>
      <c r="CI27" s="456"/>
      <c r="CJ27" s="456"/>
      <c r="CK27" s="456"/>
      <c r="CL27" s="456"/>
      <c r="CM27" s="456"/>
      <c r="CN27" s="456"/>
      <c r="CO27" s="456"/>
      <c r="CP27" s="456"/>
      <c r="CQ27" s="456"/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56"/>
      <c r="DC27" s="456"/>
      <c r="DD27" s="456"/>
      <c r="DE27" s="456"/>
      <c r="DF27" s="456"/>
      <c r="DG27" s="456"/>
      <c r="DH27" s="456"/>
      <c r="DI27" s="456"/>
      <c r="DJ27" s="456"/>
      <c r="DK27" s="456"/>
      <c r="DL27" s="456"/>
      <c r="DM27" s="456"/>
      <c r="DN27" s="456"/>
      <c r="DO27" s="456"/>
      <c r="DP27" s="456"/>
      <c r="DQ27" s="456"/>
      <c r="DR27" s="456"/>
      <c r="DS27" s="456"/>
      <c r="DT27" s="456"/>
      <c r="DU27" s="456"/>
      <c r="DV27" s="456"/>
      <c r="DW27" s="456"/>
      <c r="DX27" s="456"/>
      <c r="DY27" s="456"/>
      <c r="DZ27" s="456"/>
      <c r="EA27" s="456"/>
      <c r="EB27" s="456"/>
      <c r="EC27" s="456"/>
      <c r="ED27" s="456"/>
      <c r="EE27" s="456"/>
      <c r="EF27" s="456"/>
      <c r="EG27" s="456"/>
      <c r="EH27" s="456"/>
      <c r="EI27" s="456"/>
      <c r="EJ27" s="456"/>
      <c r="EK27" s="456"/>
      <c r="EL27" s="456"/>
    </row>
    <row r="30" spans="1:142" x14ac:dyDescent="0.35">
      <c r="C30" s="48"/>
      <c r="D30" s="500"/>
    </row>
    <row r="31" spans="1:142" x14ac:dyDescent="0.35">
      <c r="B31" s="1117"/>
    </row>
    <row r="32" spans="1:142" x14ac:dyDescent="0.35">
      <c r="B32" s="1117"/>
    </row>
    <row r="33" spans="2:2" x14ac:dyDescent="0.35">
      <c r="B33" s="1117"/>
    </row>
    <row r="34" spans="2:2" x14ac:dyDescent="0.35">
      <c r="B34" s="1117"/>
    </row>
    <row r="35" spans="2:2" x14ac:dyDescent="0.35">
      <c r="B35" s="1117"/>
    </row>
    <row r="36" spans="2:2" x14ac:dyDescent="0.35">
      <c r="B36" s="1117"/>
    </row>
    <row r="37" spans="2:2" x14ac:dyDescent="0.35">
      <c r="B37" s="1117"/>
    </row>
    <row r="38" spans="2:2" x14ac:dyDescent="0.35">
      <c r="B38" s="1117"/>
    </row>
    <row r="39" spans="2:2" x14ac:dyDescent="0.35">
      <c r="B39" s="1117"/>
    </row>
    <row r="40" spans="2:2" x14ac:dyDescent="0.35">
      <c r="B40" s="1117"/>
    </row>
    <row r="41" spans="2:2" x14ac:dyDescent="0.35">
      <c r="B41" s="1117"/>
    </row>
    <row r="42" spans="2:2" x14ac:dyDescent="0.35">
      <c r="B42" s="1117"/>
    </row>
    <row r="43" spans="2:2" x14ac:dyDescent="0.35">
      <c r="B43" s="1117"/>
    </row>
    <row r="44" spans="2:2" x14ac:dyDescent="0.35">
      <c r="B44" s="1117"/>
    </row>
    <row r="45" spans="2:2" x14ac:dyDescent="0.35">
      <c r="B45" s="1117"/>
    </row>
    <row r="46" spans="2:2" x14ac:dyDescent="0.35">
      <c r="B46" s="1117"/>
    </row>
    <row r="47" spans="2:2" x14ac:dyDescent="0.35">
      <c r="B47" s="1117"/>
    </row>
    <row r="48" spans="2:2" x14ac:dyDescent="0.35">
      <c r="B48" s="1117"/>
    </row>
    <row r="49" spans="2:2" x14ac:dyDescent="0.35">
      <c r="B49" s="1117"/>
    </row>
    <row r="50" spans="2:2" x14ac:dyDescent="0.35">
      <c r="B50" s="1117"/>
    </row>
    <row r="51" spans="2:2" x14ac:dyDescent="0.35">
      <c r="B51" s="1117"/>
    </row>
    <row r="52" spans="2:2" x14ac:dyDescent="0.35">
      <c r="B52" s="1117"/>
    </row>
    <row r="53" spans="2:2" x14ac:dyDescent="0.35">
      <c r="B53" s="1117"/>
    </row>
    <row r="54" spans="2:2" x14ac:dyDescent="0.35">
      <c r="B54" s="1117"/>
    </row>
    <row r="55" spans="2:2" x14ac:dyDescent="0.35">
      <c r="B55" s="1117"/>
    </row>
    <row r="56" spans="2:2" x14ac:dyDescent="0.35">
      <c r="B56" s="1117"/>
    </row>
    <row r="57" spans="2:2" x14ac:dyDescent="0.35">
      <c r="B57" s="1117"/>
    </row>
    <row r="58" spans="2:2" x14ac:dyDescent="0.35">
      <c r="B58" s="1117"/>
    </row>
    <row r="59" spans="2:2" x14ac:dyDescent="0.35">
      <c r="B59" s="1117"/>
    </row>
    <row r="60" spans="2:2" x14ac:dyDescent="0.35">
      <c r="B60" s="1117"/>
    </row>
    <row r="61" spans="2:2" x14ac:dyDescent="0.35">
      <c r="B61" s="1117"/>
    </row>
    <row r="62" spans="2:2" x14ac:dyDescent="0.35">
      <c r="B62" s="1117"/>
    </row>
    <row r="63" spans="2:2" x14ac:dyDescent="0.35">
      <c r="B63" s="1117"/>
    </row>
    <row r="64" spans="2:2" x14ac:dyDescent="0.35">
      <c r="B64" s="1117"/>
    </row>
    <row r="65" spans="2:2" x14ac:dyDescent="0.35">
      <c r="B65" s="1117"/>
    </row>
    <row r="66" spans="2:2" x14ac:dyDescent="0.35">
      <c r="B66" s="1117"/>
    </row>
    <row r="67" spans="2:2" x14ac:dyDescent="0.35">
      <c r="B67" s="1117"/>
    </row>
    <row r="68" spans="2:2" x14ac:dyDescent="0.35">
      <c r="B68" s="1117"/>
    </row>
    <row r="69" spans="2:2" x14ac:dyDescent="0.35">
      <c r="B69" s="1117"/>
    </row>
    <row r="70" spans="2:2" x14ac:dyDescent="0.35">
      <c r="B70" s="1117"/>
    </row>
    <row r="71" spans="2:2" x14ac:dyDescent="0.35">
      <c r="B71" s="1117"/>
    </row>
    <row r="72" spans="2:2" x14ac:dyDescent="0.35">
      <c r="B72" s="1117"/>
    </row>
    <row r="73" spans="2:2" x14ac:dyDescent="0.35">
      <c r="B73" s="1117"/>
    </row>
    <row r="74" spans="2:2" x14ac:dyDescent="0.35">
      <c r="B74" s="1117"/>
    </row>
    <row r="75" spans="2:2" x14ac:dyDescent="0.35">
      <c r="B75" s="1117"/>
    </row>
    <row r="76" spans="2:2" x14ac:dyDescent="0.35">
      <c r="B76" s="1117"/>
    </row>
    <row r="77" spans="2:2" x14ac:dyDescent="0.35">
      <c r="B77" s="1117"/>
    </row>
    <row r="78" spans="2:2" x14ac:dyDescent="0.35">
      <c r="B78" s="1117"/>
    </row>
    <row r="79" spans="2:2" x14ac:dyDescent="0.35">
      <c r="B79" s="1117"/>
    </row>
  </sheetData>
  <autoFilter ref="A3:M27" xr:uid="{2827E208-21E2-4FEA-B82E-67F75431A3C7}">
    <filterColumn colId="2">
      <filters>
        <filter val="DA+0"/>
        <filter val="DA+3"/>
        <filter val="DA+6"/>
        <filter val="DA+9"/>
        <filter val="DA-3"/>
      </filters>
    </filterColumn>
    <filterColumn colId="4" showButton="0"/>
    <filterColumn colId="5" showButton="0"/>
    <filterColumn colId="6" showButton="0"/>
    <filterColumn colId="8" showButton="0"/>
    <filterColumn colId="9" showButton="0"/>
    <filterColumn colId="10" showButton="0"/>
  </autoFilter>
  <mergeCells count="16">
    <mergeCell ref="E3:H4"/>
    <mergeCell ref="I3:L4"/>
    <mergeCell ref="A1:L2"/>
    <mergeCell ref="M1:M2"/>
    <mergeCell ref="A3:A5"/>
    <mergeCell ref="B3:B5"/>
    <mergeCell ref="C3:C5"/>
    <mergeCell ref="D3:D5"/>
    <mergeCell ref="M3:M4"/>
    <mergeCell ref="B66:B72"/>
    <mergeCell ref="B73:B79"/>
    <mergeCell ref="B31:B37"/>
    <mergeCell ref="B38:B44"/>
    <mergeCell ref="B45:B51"/>
    <mergeCell ref="B52:B58"/>
    <mergeCell ref="B59:B65"/>
  </mergeCells>
  <conditionalFormatting sqref="B16">
    <cfRule type="duplicateValues" dxfId="72" priority="7"/>
    <cfRule type="duplicateValues" dxfId="71" priority="8"/>
  </conditionalFormatting>
  <conditionalFormatting sqref="B18">
    <cfRule type="duplicateValues" dxfId="70" priority="5"/>
    <cfRule type="duplicateValues" dxfId="69" priority="6"/>
  </conditionalFormatting>
  <conditionalFormatting sqref="B19:B26 B17 B7:B15">
    <cfRule type="duplicateValues" dxfId="68" priority="2006"/>
    <cfRule type="duplicateValues" dxfId="67" priority="2007"/>
  </conditionalFormatting>
  <conditionalFormatting sqref="B26">
    <cfRule type="duplicateValues" dxfId="66" priority="9"/>
  </conditionalFormatting>
  <conditionalFormatting sqref="H10 H12">
    <cfRule type="cellIs" dxfId="65" priority="10" operator="equal">
      <formula>"Approved"</formula>
    </cfRule>
    <cfRule type="cellIs" dxfId="64" priority="11" operator="equal">
      <formula>"Submitted"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FD2A0-0D1B-47CD-8F4D-097FD48E21B6}">
  <dimension ref="A1:M20"/>
  <sheetViews>
    <sheetView workbookViewId="0">
      <selection activeCell="A6" sqref="A6"/>
    </sheetView>
  </sheetViews>
  <sheetFormatPr defaultRowHeight="14.5" x14ac:dyDescent="0.35"/>
  <cols>
    <col min="1" max="1" width="5" customWidth="1"/>
    <col min="2" max="2" width="11.6328125" customWidth="1"/>
    <col min="3" max="3" width="7.54296875" customWidth="1"/>
    <col min="4" max="4" width="10" customWidth="1"/>
    <col min="5" max="5" width="11" customWidth="1"/>
    <col min="6" max="6" width="15" customWidth="1"/>
    <col min="7" max="7" width="14.36328125" customWidth="1"/>
    <col min="8" max="8" width="12.81640625" customWidth="1"/>
    <col min="9" max="9" width="27.08984375" customWidth="1"/>
    <col min="10" max="10" width="8.90625" bestFit="1" customWidth="1"/>
  </cols>
  <sheetData>
    <row r="1" spans="1:13" ht="15" thickBot="1" x14ac:dyDescent="0.4"/>
    <row r="2" spans="1:13" ht="18.5" x14ac:dyDescent="0.35">
      <c r="A2" s="1176" t="s">
        <v>1108</v>
      </c>
      <c r="B2" s="1177"/>
      <c r="C2" s="1177"/>
      <c r="D2" s="1177"/>
      <c r="E2" s="1177"/>
      <c r="F2" s="1177"/>
      <c r="G2" s="1177"/>
      <c r="H2" s="1177"/>
      <c r="I2" s="1178"/>
    </row>
    <row r="3" spans="1:13" ht="46.5" x14ac:dyDescent="0.35">
      <c r="A3" s="671" t="s">
        <v>104</v>
      </c>
      <c r="B3" s="672" t="s">
        <v>1109</v>
      </c>
      <c r="C3" s="672" t="s">
        <v>106</v>
      </c>
      <c r="D3" s="672" t="s">
        <v>1006</v>
      </c>
      <c r="E3" s="673" t="s">
        <v>1230</v>
      </c>
      <c r="F3" s="673" t="s">
        <v>1110</v>
      </c>
      <c r="G3" s="673" t="s">
        <v>1121</v>
      </c>
      <c r="H3" s="673" t="s">
        <v>1275</v>
      </c>
      <c r="I3" s="674" t="s">
        <v>6</v>
      </c>
    </row>
    <row r="4" spans="1:13" ht="22" customHeight="1" x14ac:dyDescent="0.35">
      <c r="A4" s="657">
        <v>1</v>
      </c>
      <c r="B4" s="658" t="s">
        <v>1111</v>
      </c>
      <c r="C4" s="658" t="s">
        <v>1112</v>
      </c>
      <c r="D4" s="15">
        <v>371</v>
      </c>
      <c r="E4" s="15">
        <v>371</v>
      </c>
      <c r="F4" s="15">
        <v>351</v>
      </c>
      <c r="G4" s="15">
        <f>E4-F4</f>
        <v>20</v>
      </c>
      <c r="H4" s="15">
        <v>358</v>
      </c>
      <c r="I4" s="845"/>
    </row>
    <row r="5" spans="1:13" ht="47.5" customHeight="1" thickBot="1" x14ac:dyDescent="0.4">
      <c r="A5" s="657">
        <v>2</v>
      </c>
      <c r="B5" s="658" t="s">
        <v>1113</v>
      </c>
      <c r="C5" s="658" t="s">
        <v>1112</v>
      </c>
      <c r="D5" s="15">
        <v>371</v>
      </c>
      <c r="E5" s="15">
        <v>362</v>
      </c>
      <c r="F5" s="15">
        <v>330</v>
      </c>
      <c r="G5" s="15">
        <f t="shared" ref="G5:G7" si="0">E5-F5</f>
        <v>32</v>
      </c>
      <c r="H5" s="15">
        <v>270</v>
      </c>
      <c r="I5" s="845" t="s">
        <v>1260</v>
      </c>
    </row>
    <row r="6" spans="1:13" ht="15.5" x14ac:dyDescent="0.35">
      <c r="A6" s="38">
        <v>3</v>
      </c>
      <c r="B6" s="658" t="s">
        <v>1114</v>
      </c>
      <c r="C6" s="658" t="s">
        <v>110</v>
      </c>
      <c r="D6" s="15">
        <v>4971</v>
      </c>
      <c r="E6" s="15">
        <v>4971</v>
      </c>
      <c r="F6" s="15">
        <f>1466+1938</f>
        <v>3404</v>
      </c>
      <c r="G6" s="15">
        <f t="shared" si="0"/>
        <v>1567</v>
      </c>
      <c r="H6" s="15">
        <v>3000</v>
      </c>
      <c r="I6" s="857" t="s">
        <v>1267</v>
      </c>
      <c r="J6" s="1190" t="s">
        <v>1115</v>
      </c>
      <c r="K6" s="1191"/>
      <c r="L6" s="1191"/>
      <c r="M6" s="1192"/>
    </row>
    <row r="7" spans="1:13" ht="15.5" x14ac:dyDescent="0.35">
      <c r="A7" s="38">
        <v>4</v>
      </c>
      <c r="B7" s="658" t="s">
        <v>1115</v>
      </c>
      <c r="C7" s="658" t="s">
        <v>1116</v>
      </c>
      <c r="D7" s="15">
        <v>16332</v>
      </c>
      <c r="E7" s="15">
        <v>16332</v>
      </c>
      <c r="F7" s="15">
        <f>4793+3800</f>
        <v>8593</v>
      </c>
      <c r="G7" s="15">
        <f t="shared" si="0"/>
        <v>7739</v>
      </c>
      <c r="H7" s="15">
        <v>11643</v>
      </c>
      <c r="I7" s="857" t="s">
        <v>1267</v>
      </c>
      <c r="J7" s="861" t="s">
        <v>1268</v>
      </c>
      <c r="K7" s="862" t="s">
        <v>1269</v>
      </c>
      <c r="L7" s="862" t="s">
        <v>11</v>
      </c>
      <c r="M7" s="863" t="s">
        <v>6</v>
      </c>
    </row>
    <row r="8" spans="1:13" ht="15.5" x14ac:dyDescent="0.35">
      <c r="A8" s="38">
        <v>5</v>
      </c>
      <c r="B8" s="658" t="s">
        <v>1117</v>
      </c>
      <c r="C8" s="658" t="s">
        <v>834</v>
      </c>
      <c r="D8" s="660">
        <v>1</v>
      </c>
      <c r="E8" s="660">
        <v>1</v>
      </c>
      <c r="F8" s="660">
        <f>50%+20%</f>
        <v>0.7</v>
      </c>
      <c r="G8" s="660">
        <v>0.5</v>
      </c>
      <c r="H8" s="660">
        <v>0.75</v>
      </c>
      <c r="I8" s="857" t="s">
        <v>1267</v>
      </c>
      <c r="J8" s="454">
        <v>1900</v>
      </c>
      <c r="K8" s="15">
        <v>1900</v>
      </c>
      <c r="L8" s="591">
        <f>SUM(J8:K8)</f>
        <v>3800</v>
      </c>
      <c r="M8" s="412" t="s">
        <v>79</v>
      </c>
    </row>
    <row r="9" spans="1:13" ht="15.5" x14ac:dyDescent="0.35">
      <c r="A9" s="38">
        <v>6</v>
      </c>
      <c r="B9" s="658" t="s">
        <v>1118</v>
      </c>
      <c r="C9" s="658" t="s">
        <v>834</v>
      </c>
      <c r="D9" s="660">
        <v>1</v>
      </c>
      <c r="E9" s="660">
        <v>1</v>
      </c>
      <c r="F9" s="660">
        <v>0.45</v>
      </c>
      <c r="G9" s="660">
        <v>0.55000000000000004</v>
      </c>
      <c r="H9" s="660">
        <v>0.75</v>
      </c>
      <c r="I9" s="857" t="s">
        <v>1270</v>
      </c>
      <c r="J9" s="619">
        <v>1400</v>
      </c>
      <c r="K9" s="591">
        <v>3393</v>
      </c>
      <c r="L9" s="591">
        <f>SUM(J9:K9)</f>
        <v>4793</v>
      </c>
      <c r="M9" s="412" t="s">
        <v>1270</v>
      </c>
    </row>
    <row r="10" spans="1:13" ht="16" thickBot="1" x14ac:dyDescent="0.4">
      <c r="A10" s="40">
        <v>7</v>
      </c>
      <c r="B10" s="662" t="s">
        <v>1119</v>
      </c>
      <c r="C10" s="662" t="s">
        <v>834</v>
      </c>
      <c r="D10" s="663">
        <v>1</v>
      </c>
      <c r="E10" s="663">
        <v>0.97</v>
      </c>
      <c r="F10" s="663">
        <v>0</v>
      </c>
      <c r="G10" s="663">
        <v>0.97</v>
      </c>
      <c r="H10" s="663">
        <v>0</v>
      </c>
      <c r="I10" s="858"/>
      <c r="J10" s="859">
        <f>SUM(J8:J9)</f>
        <v>3300</v>
      </c>
      <c r="K10" s="860">
        <f>SUM(K8:K9)</f>
        <v>5293</v>
      </c>
      <c r="L10" s="860">
        <f>SUM(J10:K10)</f>
        <v>8593</v>
      </c>
      <c r="M10" s="411"/>
    </row>
    <row r="11" spans="1:13" ht="15" thickBot="1" x14ac:dyDescent="0.4"/>
    <row r="12" spans="1:13" ht="18.5" x14ac:dyDescent="0.45">
      <c r="A12" s="1181" t="s">
        <v>1247</v>
      </c>
      <c r="B12" s="1182"/>
      <c r="C12" s="1182"/>
      <c r="D12" s="1182"/>
      <c r="E12" s="1182"/>
      <c r="F12" s="1182"/>
      <c r="G12" s="1183"/>
    </row>
    <row r="13" spans="1:13" ht="15.5" x14ac:dyDescent="0.35">
      <c r="A13" s="779" t="s">
        <v>104</v>
      </c>
      <c r="B13" s="1180" t="s">
        <v>1238</v>
      </c>
      <c r="C13" s="1180"/>
      <c r="D13" s="28" t="s">
        <v>1240</v>
      </c>
      <c r="E13" s="28" t="s">
        <v>1239</v>
      </c>
      <c r="F13" s="28" t="s">
        <v>1240</v>
      </c>
      <c r="G13" s="780" t="s">
        <v>6</v>
      </c>
    </row>
    <row r="14" spans="1:13" ht="23.5" customHeight="1" x14ac:dyDescent="0.35">
      <c r="A14" s="38">
        <v>1</v>
      </c>
      <c r="B14" s="1179" t="s">
        <v>1241</v>
      </c>
      <c r="C14" s="1179"/>
      <c r="D14" s="777">
        <v>1</v>
      </c>
      <c r="E14" s="1184" t="s">
        <v>1261</v>
      </c>
      <c r="F14" s="1185"/>
      <c r="G14" s="1194" t="s">
        <v>1262</v>
      </c>
    </row>
    <row r="15" spans="1:13" ht="25.5" customHeight="1" x14ac:dyDescent="0.35">
      <c r="A15" s="38">
        <v>2</v>
      </c>
      <c r="B15" s="1179" t="s">
        <v>1242</v>
      </c>
      <c r="C15" s="1179"/>
      <c r="D15" s="777">
        <v>4</v>
      </c>
      <c r="E15" s="1186"/>
      <c r="F15" s="1187"/>
      <c r="G15" s="1195"/>
    </row>
    <row r="16" spans="1:13" ht="23" customHeight="1" x14ac:dyDescent="0.35">
      <c r="A16" s="38">
        <v>3</v>
      </c>
      <c r="B16" s="1179" t="s">
        <v>1243</v>
      </c>
      <c r="C16" s="1179"/>
      <c r="D16" s="777">
        <v>3</v>
      </c>
      <c r="E16" s="1186"/>
      <c r="F16" s="1187"/>
      <c r="G16" s="1195"/>
    </row>
    <row r="17" spans="1:7" ht="21.5" customHeight="1" x14ac:dyDescent="0.35">
      <c r="A17" s="38">
        <v>4</v>
      </c>
      <c r="B17" s="1179" t="s">
        <v>1244</v>
      </c>
      <c r="C17" s="1179"/>
      <c r="D17" s="777">
        <v>0</v>
      </c>
      <c r="E17" s="1186"/>
      <c r="F17" s="1187"/>
      <c r="G17" s="1195"/>
    </row>
    <row r="18" spans="1:7" ht="21" customHeight="1" x14ac:dyDescent="0.35">
      <c r="A18" s="38">
        <v>5</v>
      </c>
      <c r="B18" s="1179" t="s">
        <v>1245</v>
      </c>
      <c r="C18" s="1179"/>
      <c r="D18" s="777">
        <v>1</v>
      </c>
      <c r="E18" s="1186"/>
      <c r="F18" s="1187"/>
      <c r="G18" s="1195"/>
    </row>
    <row r="19" spans="1:7" ht="19.5" customHeight="1" x14ac:dyDescent="0.35">
      <c r="A19" s="38">
        <v>6</v>
      </c>
      <c r="B19" s="1179" t="s">
        <v>1246</v>
      </c>
      <c r="C19" s="1179"/>
      <c r="D19" s="777">
        <v>0</v>
      </c>
      <c r="E19" s="1188"/>
      <c r="F19" s="1189"/>
      <c r="G19" s="1196"/>
    </row>
    <row r="20" spans="1:7" ht="19" customHeight="1" thickBot="1" x14ac:dyDescent="0.4">
      <c r="A20" s="40">
        <v>8</v>
      </c>
      <c r="B20" s="1193" t="s">
        <v>11</v>
      </c>
      <c r="C20" s="1193"/>
      <c r="D20" s="778">
        <f>SUM(D14:D19)</f>
        <v>9</v>
      </c>
      <c r="E20" s="778" t="s">
        <v>11</v>
      </c>
      <c r="F20" s="502">
        <f>SUM(F14:F19)</f>
        <v>0</v>
      </c>
      <c r="G20" s="411"/>
    </row>
  </sheetData>
  <mergeCells count="13">
    <mergeCell ref="J6:M6"/>
    <mergeCell ref="B20:C20"/>
    <mergeCell ref="G14:G19"/>
    <mergeCell ref="B18:C18"/>
    <mergeCell ref="B19:C19"/>
    <mergeCell ref="A2:I2"/>
    <mergeCell ref="B14:C14"/>
    <mergeCell ref="B15:C15"/>
    <mergeCell ref="B16:C16"/>
    <mergeCell ref="B17:C17"/>
    <mergeCell ref="B13:C13"/>
    <mergeCell ref="A12:G12"/>
    <mergeCell ref="E14:F19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E2FA-B512-4AA9-A88C-F208DA3F8568}">
  <dimension ref="A1:K11"/>
  <sheetViews>
    <sheetView topLeftCell="B1" workbookViewId="0">
      <selection activeCell="F9" sqref="F9"/>
    </sheetView>
  </sheetViews>
  <sheetFormatPr defaultColWidth="9.1796875" defaultRowHeight="14.5" x14ac:dyDescent="0.35"/>
  <cols>
    <col min="1" max="1" width="7.453125" style="341" customWidth="1"/>
    <col min="2" max="2" width="24.08984375" style="353" bestFit="1" customWidth="1"/>
    <col min="3" max="3" width="9.1796875" style="341"/>
    <col min="4" max="4" width="13.81640625" style="341" customWidth="1"/>
    <col min="5" max="7" width="14.26953125" style="341" customWidth="1"/>
    <col min="8" max="8" width="14.26953125" style="342" customWidth="1"/>
    <col min="9" max="9" width="10.7265625" style="342" customWidth="1"/>
    <col min="10" max="11" width="10.7265625" style="341" customWidth="1"/>
    <col min="12" max="16384" width="9.1796875" style="341"/>
  </cols>
  <sheetData>
    <row r="1" spans="1:11" ht="20.5" customHeight="1" thickBot="1" x14ac:dyDescent="0.4">
      <c r="A1" s="437" t="s">
        <v>820</v>
      </c>
      <c r="B1" s="438" t="s">
        <v>821</v>
      </c>
      <c r="C1" s="1197" t="s">
        <v>892</v>
      </c>
      <c r="D1" s="1198"/>
      <c r="E1" s="1198"/>
      <c r="F1" s="1198"/>
      <c r="G1" s="1198"/>
      <c r="H1" s="1198"/>
      <c r="I1" s="1198"/>
      <c r="J1" s="1198"/>
      <c r="K1" s="1198"/>
    </row>
    <row r="2" spans="1:11" s="342" customFormat="1" ht="25.5" customHeight="1" x14ac:dyDescent="0.35">
      <c r="A2" s="1201" t="s">
        <v>104</v>
      </c>
      <c r="B2" s="1203" t="s">
        <v>822</v>
      </c>
      <c r="C2" s="1205" t="s">
        <v>823</v>
      </c>
      <c r="D2" s="1205" t="s">
        <v>824</v>
      </c>
      <c r="E2" s="1207" t="s">
        <v>893</v>
      </c>
      <c r="F2" s="1207"/>
      <c r="G2" s="1207"/>
      <c r="H2" s="1207"/>
      <c r="I2" s="1199" t="s">
        <v>891</v>
      </c>
      <c r="J2" s="1199"/>
      <c r="K2" s="1200"/>
    </row>
    <row r="3" spans="1:11" s="342" customFormat="1" ht="29" x14ac:dyDescent="0.35">
      <c r="A3" s="1202"/>
      <c r="B3" s="1204"/>
      <c r="C3" s="1206" t="s">
        <v>823</v>
      </c>
      <c r="D3" s="1206" t="s">
        <v>825</v>
      </c>
      <c r="E3" s="343" t="s">
        <v>826</v>
      </c>
      <c r="F3" s="343" t="s">
        <v>827</v>
      </c>
      <c r="G3" s="343" t="s">
        <v>1122</v>
      </c>
      <c r="H3" s="343" t="s">
        <v>828</v>
      </c>
      <c r="I3" s="344" t="s">
        <v>1123</v>
      </c>
      <c r="J3" s="344" t="s">
        <v>1124</v>
      </c>
      <c r="K3" s="354" t="s">
        <v>1125</v>
      </c>
    </row>
    <row r="4" spans="1:11" ht="15" thickBot="1" x14ac:dyDescent="0.4">
      <c r="A4" s="355">
        <v>1</v>
      </c>
      <c r="B4" s="345">
        <v>2</v>
      </c>
      <c r="C4" s="345">
        <v>3</v>
      </c>
      <c r="D4" s="345">
        <v>4</v>
      </c>
      <c r="E4" s="345">
        <v>6</v>
      </c>
      <c r="F4" s="345">
        <v>7</v>
      </c>
      <c r="G4" s="345"/>
      <c r="H4" s="346" t="s">
        <v>829</v>
      </c>
      <c r="I4" s="345">
        <v>10</v>
      </c>
      <c r="J4" s="345">
        <v>11</v>
      </c>
      <c r="K4" s="356">
        <v>12</v>
      </c>
    </row>
    <row r="5" spans="1:11" x14ac:dyDescent="0.35">
      <c r="A5" s="357">
        <v>1</v>
      </c>
      <c r="B5" s="347" t="s">
        <v>830</v>
      </c>
      <c r="C5" s="352" t="s">
        <v>836</v>
      </c>
      <c r="D5" s="675">
        <v>4970.6000000000004</v>
      </c>
      <c r="E5" s="676">
        <v>1500</v>
      </c>
      <c r="F5" s="676">
        <v>3470.6</v>
      </c>
      <c r="G5" s="676"/>
      <c r="H5" s="676">
        <f>D5-(E5+F5+G5)</f>
        <v>0</v>
      </c>
      <c r="I5" s="349"/>
      <c r="J5" s="350"/>
      <c r="K5" s="358"/>
    </row>
    <row r="6" spans="1:11" x14ac:dyDescent="0.35">
      <c r="A6" s="357">
        <v>2</v>
      </c>
      <c r="B6" s="347" t="s">
        <v>831</v>
      </c>
      <c r="C6" s="348" t="s">
        <v>832</v>
      </c>
      <c r="D6" s="675">
        <v>16332</v>
      </c>
      <c r="E6" s="676">
        <v>4105</v>
      </c>
      <c r="F6" s="676">
        <v>12227</v>
      </c>
      <c r="G6" s="676"/>
      <c r="H6" s="676">
        <f t="shared" ref="H6:H10" si="0">D6-(E6+F6+G6)</f>
        <v>0</v>
      </c>
      <c r="I6" s="349"/>
      <c r="J6" s="350"/>
      <c r="K6" s="358"/>
    </row>
    <row r="7" spans="1:11" x14ac:dyDescent="0.35">
      <c r="A7" s="357">
        <v>3</v>
      </c>
      <c r="B7" s="347" t="s">
        <v>833</v>
      </c>
      <c r="C7" s="348" t="s">
        <v>834</v>
      </c>
      <c r="D7" s="675">
        <v>100</v>
      </c>
      <c r="E7" s="676">
        <v>26</v>
      </c>
      <c r="F7" s="676">
        <v>74</v>
      </c>
      <c r="G7" s="676"/>
      <c r="H7" s="676">
        <f t="shared" si="0"/>
        <v>0</v>
      </c>
      <c r="I7" s="349"/>
      <c r="J7" s="350"/>
      <c r="K7" s="358"/>
    </row>
    <row r="8" spans="1:11" x14ac:dyDescent="0.35">
      <c r="A8" s="357">
        <v>4</v>
      </c>
      <c r="B8" s="351" t="s">
        <v>835</v>
      </c>
      <c r="C8" s="352" t="s">
        <v>836</v>
      </c>
      <c r="D8" s="675">
        <v>138.05000000000001</v>
      </c>
      <c r="E8" s="676">
        <v>28</v>
      </c>
      <c r="F8" s="677">
        <v>110.05</v>
      </c>
      <c r="G8" s="676"/>
      <c r="H8" s="676">
        <f t="shared" si="0"/>
        <v>0</v>
      </c>
      <c r="I8" s="349"/>
      <c r="J8" s="350"/>
      <c r="K8" s="358"/>
    </row>
    <row r="9" spans="1:11" x14ac:dyDescent="0.35">
      <c r="A9" s="357">
        <v>5</v>
      </c>
      <c r="B9" s="351" t="s">
        <v>837</v>
      </c>
      <c r="C9" s="352" t="s">
        <v>836</v>
      </c>
      <c r="D9" s="675">
        <v>142.965</v>
      </c>
      <c r="E9" s="676">
        <v>0</v>
      </c>
      <c r="F9" s="677">
        <v>0</v>
      </c>
      <c r="G9" s="676">
        <v>138.43799999999999</v>
      </c>
      <c r="H9" s="676">
        <f t="shared" si="0"/>
        <v>4.5270000000000152</v>
      </c>
      <c r="I9" s="349"/>
      <c r="J9" s="349">
        <v>4.53</v>
      </c>
      <c r="K9" s="358"/>
    </row>
    <row r="10" spans="1:11" x14ac:dyDescent="0.35">
      <c r="A10" s="357">
        <v>6</v>
      </c>
      <c r="B10" s="347" t="s">
        <v>838</v>
      </c>
      <c r="C10" s="348" t="s">
        <v>834</v>
      </c>
      <c r="D10" s="675">
        <v>100</v>
      </c>
      <c r="E10" s="676">
        <v>0</v>
      </c>
      <c r="F10" s="676">
        <v>0</v>
      </c>
      <c r="G10" s="676">
        <v>100</v>
      </c>
      <c r="H10" s="676">
        <f t="shared" si="0"/>
        <v>0</v>
      </c>
      <c r="I10" s="349"/>
      <c r="J10" s="349"/>
      <c r="K10" s="358"/>
    </row>
    <row r="11" spans="1:11" ht="20.149999999999999" customHeight="1" thickBot="1" x14ac:dyDescent="0.4">
      <c r="A11" s="359"/>
      <c r="B11" s="360"/>
      <c r="C11" s="361"/>
      <c r="D11" s="678"/>
      <c r="E11" s="679"/>
      <c r="F11" s="679"/>
      <c r="G11" s="679"/>
      <c r="H11" s="679"/>
      <c r="I11" s="362"/>
      <c r="J11" s="363"/>
      <c r="K11" s="364"/>
    </row>
  </sheetData>
  <mergeCells count="7">
    <mergeCell ref="C1:K1"/>
    <mergeCell ref="I2:K2"/>
    <mergeCell ref="A2:A3"/>
    <mergeCell ref="B2:B3"/>
    <mergeCell ref="C2:C3"/>
    <mergeCell ref="D2:D3"/>
    <mergeCell ref="E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4C69-C512-4589-B364-D67D9D43BEA9}">
  <dimension ref="A1:R71"/>
  <sheetViews>
    <sheetView view="pageBreakPreview" zoomScale="72" zoomScaleNormal="72" zoomScaleSheetLayoutView="82" workbookViewId="0">
      <pane xSplit="1" ySplit="2" topLeftCell="B54" activePane="bottomRight" state="frozen"/>
      <selection pane="topRight" activeCell="B1" sqref="B1"/>
      <selection pane="bottomLeft" activeCell="A3" sqref="A3"/>
      <selection pane="bottomRight" activeCell="P32" sqref="P32"/>
    </sheetView>
  </sheetViews>
  <sheetFormatPr defaultRowHeight="14.5" x14ac:dyDescent="0.35"/>
  <cols>
    <col min="1" max="1" width="15.6328125" customWidth="1"/>
    <col min="2" max="2" width="23.7265625" bestFit="1" customWidth="1"/>
    <col min="3" max="3" width="11.54296875" customWidth="1"/>
    <col min="4" max="4" width="11.90625" bestFit="1" customWidth="1"/>
    <col min="5" max="5" width="9.36328125" customWidth="1"/>
    <col min="6" max="6" width="11.1796875" customWidth="1"/>
    <col min="7" max="7" width="13.08984375" customWidth="1"/>
    <col min="8" max="8" width="11.26953125" customWidth="1"/>
    <col min="9" max="9" width="12.7265625" customWidth="1"/>
    <col min="10" max="10" width="13.26953125" customWidth="1"/>
    <col min="11" max="11" width="12.7265625" customWidth="1"/>
    <col min="12" max="12" width="13.6328125" hidden="1" customWidth="1"/>
    <col min="13" max="13" width="13.6328125" customWidth="1"/>
    <col min="14" max="14" width="36.90625" customWidth="1"/>
    <col min="18" max="18" width="10" customWidth="1"/>
  </cols>
  <sheetData>
    <row r="1" spans="1:18" ht="32.5" customHeight="1" thickBot="1" x14ac:dyDescent="0.4">
      <c r="A1" s="1097" t="s">
        <v>180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9"/>
    </row>
    <row r="2" spans="1:18" ht="77.5" x14ac:dyDescent="0.35">
      <c r="A2" s="82" t="s">
        <v>181</v>
      </c>
      <c r="B2" s="83" t="s">
        <v>182</v>
      </c>
      <c r="C2" s="84" t="s">
        <v>183</v>
      </c>
      <c r="D2" s="84" t="s">
        <v>184</v>
      </c>
      <c r="E2" s="84" t="s">
        <v>185</v>
      </c>
      <c r="F2" s="84" t="s">
        <v>845</v>
      </c>
      <c r="G2" s="85" t="s">
        <v>186</v>
      </c>
      <c r="H2" s="84" t="s">
        <v>187</v>
      </c>
      <c r="I2" s="85" t="s">
        <v>188</v>
      </c>
      <c r="J2" s="86" t="s">
        <v>189</v>
      </c>
      <c r="K2" s="85" t="s">
        <v>1088</v>
      </c>
      <c r="L2" s="642" t="s">
        <v>1086</v>
      </c>
      <c r="M2" s="86" t="s">
        <v>1129</v>
      </c>
      <c r="N2" s="87" t="s">
        <v>6</v>
      </c>
      <c r="O2" s="1210" t="s">
        <v>190</v>
      </c>
      <c r="P2" s="1210"/>
      <c r="Q2" s="1211"/>
      <c r="R2" s="56">
        <v>17607</v>
      </c>
    </row>
    <row r="3" spans="1:18" x14ac:dyDescent="0.35">
      <c r="A3" s="1208" t="s">
        <v>191</v>
      </c>
      <c r="B3" s="425" t="s">
        <v>192</v>
      </c>
      <c r="C3" s="432">
        <v>268</v>
      </c>
      <c r="D3" s="433">
        <f>141</f>
        <v>141</v>
      </c>
      <c r="E3" s="433">
        <v>127</v>
      </c>
      <c r="F3" s="428">
        <f>SUM(D3:E3)</f>
        <v>268</v>
      </c>
      <c r="G3" s="429">
        <f>128+5</f>
        <v>133</v>
      </c>
      <c r="H3" s="428">
        <f>24+20+56+27</f>
        <v>127</v>
      </c>
      <c r="I3" s="429">
        <f>G3+H3</f>
        <v>260</v>
      </c>
      <c r="J3" s="429">
        <f>F3-I3</f>
        <v>8</v>
      </c>
      <c r="K3" s="429">
        <f>C3-F3</f>
        <v>0</v>
      </c>
      <c r="L3" s="429"/>
      <c r="M3" s="429">
        <f>L3-K3</f>
        <v>0</v>
      </c>
      <c r="N3" s="430"/>
      <c r="O3" s="1212" t="s">
        <v>193</v>
      </c>
      <c r="P3" s="1212"/>
      <c r="Q3" s="1213"/>
      <c r="R3" s="57">
        <v>15312</v>
      </c>
    </row>
    <row r="4" spans="1:18" x14ac:dyDescent="0.35">
      <c r="A4" s="1208"/>
      <c r="B4" s="66" t="s">
        <v>194</v>
      </c>
      <c r="C4" s="62">
        <v>148</v>
      </c>
      <c r="D4" s="67">
        <f>72</f>
        <v>72</v>
      </c>
      <c r="E4" s="67">
        <v>76</v>
      </c>
      <c r="F4" s="63">
        <f t="shared" ref="F4:F52" si="0">SUM(D4:E4)</f>
        <v>148</v>
      </c>
      <c r="G4" s="64">
        <f>63+5</f>
        <v>68</v>
      </c>
      <c r="H4" s="63">
        <v>76</v>
      </c>
      <c r="I4" s="64">
        <f t="shared" ref="I4:I52" si="1">G4+H4</f>
        <v>144</v>
      </c>
      <c r="J4" s="64">
        <f t="shared" ref="J4:J52" si="2">F4-I4</f>
        <v>4</v>
      </c>
      <c r="K4" s="64">
        <f t="shared" ref="K4:K52" si="3">C4-F4</f>
        <v>0</v>
      </c>
      <c r="L4" s="64"/>
      <c r="M4" s="64">
        <f t="shared" ref="M4:M9" si="4">L4-K4</f>
        <v>0</v>
      </c>
      <c r="N4" s="65"/>
      <c r="O4" s="1212" t="s">
        <v>195</v>
      </c>
      <c r="P4" s="1212"/>
      <c r="Q4" s="1213"/>
      <c r="R4" s="57">
        <v>372</v>
      </c>
    </row>
    <row r="5" spans="1:18" ht="15" thickBot="1" x14ac:dyDescent="0.4">
      <c r="A5" s="1208"/>
      <c r="B5" s="66" t="s">
        <v>196</v>
      </c>
      <c r="C5" s="62">
        <v>60</v>
      </c>
      <c r="D5" s="67">
        <f>39</f>
        <v>39</v>
      </c>
      <c r="E5" s="67">
        <v>21</v>
      </c>
      <c r="F5" s="63">
        <f t="shared" si="0"/>
        <v>60</v>
      </c>
      <c r="G5" s="64">
        <v>36</v>
      </c>
      <c r="H5" s="63">
        <v>20</v>
      </c>
      <c r="I5" s="64">
        <f t="shared" si="1"/>
        <v>56</v>
      </c>
      <c r="J5" s="64">
        <f t="shared" si="2"/>
        <v>4</v>
      </c>
      <c r="K5" s="64">
        <f t="shared" si="3"/>
        <v>0</v>
      </c>
      <c r="L5" s="64"/>
      <c r="M5" s="64">
        <f t="shared" si="4"/>
        <v>0</v>
      </c>
      <c r="N5" s="65"/>
      <c r="O5" s="1214" t="s">
        <v>197</v>
      </c>
      <c r="P5" s="1214"/>
      <c r="Q5" s="1215"/>
      <c r="R5" s="58">
        <v>337</v>
      </c>
    </row>
    <row r="6" spans="1:18" x14ac:dyDescent="0.35">
      <c r="A6" s="1208"/>
      <c r="B6" s="66" t="s">
        <v>198</v>
      </c>
      <c r="C6" s="62">
        <v>27</v>
      </c>
      <c r="D6" s="67">
        <v>21</v>
      </c>
      <c r="E6" s="67">
        <v>6</v>
      </c>
      <c r="F6" s="63">
        <f t="shared" si="0"/>
        <v>27</v>
      </c>
      <c r="G6" s="64">
        <f>5+14</f>
        <v>19</v>
      </c>
      <c r="H6" s="63">
        <v>6</v>
      </c>
      <c r="I6" s="64">
        <f t="shared" si="1"/>
        <v>25</v>
      </c>
      <c r="J6" s="64">
        <f t="shared" si="2"/>
        <v>2</v>
      </c>
      <c r="K6" s="64">
        <f t="shared" si="3"/>
        <v>0</v>
      </c>
      <c r="L6" s="64"/>
      <c r="M6" s="64">
        <f t="shared" si="4"/>
        <v>0</v>
      </c>
      <c r="N6" s="65"/>
    </row>
    <row r="7" spans="1:18" x14ac:dyDescent="0.35">
      <c r="A7" s="1208"/>
      <c r="B7" s="66" t="s">
        <v>199</v>
      </c>
      <c r="C7" s="62">
        <v>12</v>
      </c>
      <c r="D7" s="67">
        <v>10</v>
      </c>
      <c r="E7" s="67">
        <v>2</v>
      </c>
      <c r="F7" s="63">
        <f t="shared" si="0"/>
        <v>12</v>
      </c>
      <c r="G7" s="64">
        <f>7+1</f>
        <v>8</v>
      </c>
      <c r="H7" s="63">
        <v>2</v>
      </c>
      <c r="I7" s="64">
        <f t="shared" si="1"/>
        <v>10</v>
      </c>
      <c r="J7" s="64">
        <f t="shared" si="2"/>
        <v>2</v>
      </c>
      <c r="K7" s="64">
        <f t="shared" si="3"/>
        <v>0</v>
      </c>
      <c r="L7" s="64"/>
      <c r="M7" s="64">
        <f t="shared" si="4"/>
        <v>0</v>
      </c>
      <c r="N7" s="65"/>
    </row>
    <row r="8" spans="1:18" x14ac:dyDescent="0.35">
      <c r="A8" s="1208"/>
      <c r="B8" s="66" t="s">
        <v>200</v>
      </c>
      <c r="C8" s="62">
        <v>16</v>
      </c>
      <c r="D8" s="67">
        <v>11</v>
      </c>
      <c r="E8" s="67">
        <v>5</v>
      </c>
      <c r="F8" s="63">
        <f t="shared" si="0"/>
        <v>16</v>
      </c>
      <c r="G8" s="64">
        <f>6+5</f>
        <v>11</v>
      </c>
      <c r="H8" s="63">
        <v>5</v>
      </c>
      <c r="I8" s="64">
        <f t="shared" si="1"/>
        <v>16</v>
      </c>
      <c r="J8" s="64">
        <f t="shared" si="2"/>
        <v>0</v>
      </c>
      <c r="K8" s="64">
        <f t="shared" si="3"/>
        <v>0</v>
      </c>
      <c r="L8" s="64"/>
      <c r="M8" s="64">
        <f t="shared" si="4"/>
        <v>0</v>
      </c>
      <c r="N8" s="65"/>
    </row>
    <row r="9" spans="1:18" x14ac:dyDescent="0.35">
      <c r="A9" s="1208"/>
      <c r="B9" s="66" t="s">
        <v>201</v>
      </c>
      <c r="C9" s="62">
        <v>44</v>
      </c>
      <c r="D9" s="67">
        <v>19</v>
      </c>
      <c r="E9" s="67">
        <v>25</v>
      </c>
      <c r="F9" s="63">
        <f t="shared" si="0"/>
        <v>44</v>
      </c>
      <c r="G9" s="64">
        <f>18+1</f>
        <v>19</v>
      </c>
      <c r="H9" s="63">
        <v>25</v>
      </c>
      <c r="I9" s="64">
        <f t="shared" si="1"/>
        <v>44</v>
      </c>
      <c r="J9" s="64">
        <f t="shared" si="2"/>
        <v>0</v>
      </c>
      <c r="K9" s="64">
        <f t="shared" si="3"/>
        <v>0</v>
      </c>
      <c r="L9" s="64"/>
      <c r="M9" s="64">
        <f t="shared" si="4"/>
        <v>0</v>
      </c>
      <c r="N9" s="65"/>
    </row>
    <row r="10" spans="1:18" x14ac:dyDescent="0.35">
      <c r="A10" s="1208" t="s">
        <v>202</v>
      </c>
      <c r="B10" s="425" t="s">
        <v>203</v>
      </c>
      <c r="C10" s="431">
        <v>23</v>
      </c>
      <c r="D10" s="427">
        <v>14</v>
      </c>
      <c r="E10" s="427">
        <v>7</v>
      </c>
      <c r="F10" s="428">
        <f t="shared" si="0"/>
        <v>21</v>
      </c>
      <c r="G10" s="429">
        <v>12</v>
      </c>
      <c r="H10" s="428">
        <v>3</v>
      </c>
      <c r="I10" s="429">
        <f t="shared" si="1"/>
        <v>15</v>
      </c>
      <c r="J10" s="429">
        <f t="shared" si="2"/>
        <v>6</v>
      </c>
      <c r="K10" s="429">
        <f t="shared" si="3"/>
        <v>2</v>
      </c>
      <c r="L10" s="429"/>
      <c r="M10" s="429">
        <f>K10-L10</f>
        <v>2</v>
      </c>
      <c r="N10" s="430"/>
    </row>
    <row r="11" spans="1:18" x14ac:dyDescent="0.35">
      <c r="A11" s="1208"/>
      <c r="B11" s="66" t="s">
        <v>204</v>
      </c>
      <c r="C11" s="68">
        <v>19</v>
      </c>
      <c r="D11" s="67">
        <v>9</v>
      </c>
      <c r="E11" s="67">
        <v>8</v>
      </c>
      <c r="F11" s="63">
        <f t="shared" si="0"/>
        <v>17</v>
      </c>
      <c r="G11" s="64">
        <f>6+1</f>
        <v>7</v>
      </c>
      <c r="H11" s="63">
        <v>3</v>
      </c>
      <c r="I11" s="64">
        <f t="shared" si="1"/>
        <v>10</v>
      </c>
      <c r="J11" s="64">
        <f t="shared" si="2"/>
        <v>7</v>
      </c>
      <c r="K11" s="64">
        <f t="shared" si="3"/>
        <v>2</v>
      </c>
      <c r="L11" s="64"/>
      <c r="M11" s="64">
        <f t="shared" ref="M11:M17" si="5">K11-L11</f>
        <v>2</v>
      </c>
      <c r="N11" s="65"/>
      <c r="O11" s="422"/>
      <c r="P11" s="422"/>
    </row>
    <row r="12" spans="1:18" x14ac:dyDescent="0.35">
      <c r="A12" s="1208"/>
      <c r="B12" s="66" t="s">
        <v>205</v>
      </c>
      <c r="C12" s="68">
        <v>4</v>
      </c>
      <c r="D12" s="67">
        <f>4-1</f>
        <v>3</v>
      </c>
      <c r="E12" s="67"/>
      <c r="F12" s="63">
        <f t="shared" si="0"/>
        <v>3</v>
      </c>
      <c r="G12" s="64">
        <v>2</v>
      </c>
      <c r="H12" s="63"/>
      <c r="I12" s="64">
        <f t="shared" si="1"/>
        <v>2</v>
      </c>
      <c r="J12" s="64">
        <f t="shared" si="2"/>
        <v>1</v>
      </c>
      <c r="K12" s="64">
        <f t="shared" si="3"/>
        <v>1</v>
      </c>
      <c r="L12" s="64"/>
      <c r="M12" s="64">
        <f t="shared" si="5"/>
        <v>1</v>
      </c>
      <c r="N12" s="65"/>
      <c r="O12" s="422"/>
      <c r="P12" s="422"/>
    </row>
    <row r="13" spans="1:18" x14ac:dyDescent="0.35">
      <c r="A13" s="1208"/>
      <c r="B13" s="66" t="s">
        <v>206</v>
      </c>
      <c r="C13" s="69">
        <v>5</v>
      </c>
      <c r="D13" s="67">
        <v>4</v>
      </c>
      <c r="E13" s="67">
        <v>1</v>
      </c>
      <c r="F13" s="63">
        <f t="shared" si="0"/>
        <v>5</v>
      </c>
      <c r="G13" s="64">
        <v>3</v>
      </c>
      <c r="H13" s="63"/>
      <c r="I13" s="64">
        <f t="shared" si="1"/>
        <v>3</v>
      </c>
      <c r="J13" s="64">
        <f t="shared" si="2"/>
        <v>2</v>
      </c>
      <c r="K13" s="64">
        <f t="shared" si="3"/>
        <v>0</v>
      </c>
      <c r="L13" s="64"/>
      <c r="M13" s="64">
        <f t="shared" si="5"/>
        <v>0</v>
      </c>
      <c r="N13" s="65"/>
      <c r="O13" s="422"/>
      <c r="P13" s="422"/>
    </row>
    <row r="14" spans="1:18" x14ac:dyDescent="0.35">
      <c r="A14" s="1208"/>
      <c r="B14" s="66" t="s">
        <v>207</v>
      </c>
      <c r="C14" s="69">
        <v>3</v>
      </c>
      <c r="D14" s="67">
        <v>3</v>
      </c>
      <c r="E14" s="67"/>
      <c r="F14" s="63">
        <f t="shared" si="0"/>
        <v>3</v>
      </c>
      <c r="G14" s="64">
        <v>2</v>
      </c>
      <c r="H14" s="63"/>
      <c r="I14" s="64">
        <f t="shared" si="1"/>
        <v>2</v>
      </c>
      <c r="J14" s="64">
        <f t="shared" si="2"/>
        <v>1</v>
      </c>
      <c r="K14" s="64">
        <f t="shared" si="3"/>
        <v>0</v>
      </c>
      <c r="L14" s="64"/>
      <c r="M14" s="64">
        <f t="shared" si="5"/>
        <v>0</v>
      </c>
      <c r="N14" s="65"/>
      <c r="O14" s="422"/>
      <c r="P14" s="422"/>
    </row>
    <row r="15" spans="1:18" x14ac:dyDescent="0.35">
      <c r="A15" s="1208"/>
      <c r="B15" s="66" t="s">
        <v>208</v>
      </c>
      <c r="C15" s="69">
        <v>0</v>
      </c>
      <c r="D15" s="67">
        <f>1-1</f>
        <v>0</v>
      </c>
      <c r="E15" s="67"/>
      <c r="F15" s="63">
        <f t="shared" si="0"/>
        <v>0</v>
      </c>
      <c r="G15" s="64"/>
      <c r="H15" s="63"/>
      <c r="I15" s="64">
        <f t="shared" si="1"/>
        <v>0</v>
      </c>
      <c r="J15" s="64">
        <f t="shared" si="2"/>
        <v>0</v>
      </c>
      <c r="K15" s="64">
        <f t="shared" si="3"/>
        <v>0</v>
      </c>
      <c r="L15" s="64"/>
      <c r="M15" s="64">
        <f t="shared" si="5"/>
        <v>0</v>
      </c>
      <c r="N15" s="65"/>
    </row>
    <row r="16" spans="1:18" x14ac:dyDescent="0.35">
      <c r="A16" s="1208"/>
      <c r="B16" s="781" t="s">
        <v>209</v>
      </c>
      <c r="C16" s="782">
        <v>1</v>
      </c>
      <c r="D16" s="783"/>
      <c r="E16" s="783">
        <v>1</v>
      </c>
      <c r="F16" s="784">
        <f t="shared" si="0"/>
        <v>1</v>
      </c>
      <c r="G16" s="785"/>
      <c r="H16" s="784"/>
      <c r="I16" s="785">
        <f t="shared" si="1"/>
        <v>0</v>
      </c>
      <c r="J16" s="785">
        <f t="shared" si="2"/>
        <v>1</v>
      </c>
      <c r="K16" s="785">
        <f t="shared" si="3"/>
        <v>0</v>
      </c>
      <c r="L16" s="785"/>
      <c r="M16" s="785">
        <f t="shared" si="5"/>
        <v>0</v>
      </c>
      <c r="N16" s="786" t="s">
        <v>1248</v>
      </c>
    </row>
    <row r="17" spans="1:14" x14ac:dyDescent="0.35">
      <c r="A17" s="1208"/>
      <c r="B17" s="629" t="s">
        <v>210</v>
      </c>
      <c r="C17" s="640">
        <v>1</v>
      </c>
      <c r="D17" s="630">
        <f>1-1</f>
        <v>0</v>
      </c>
      <c r="E17" s="630"/>
      <c r="F17" s="631">
        <f t="shared" si="0"/>
        <v>0</v>
      </c>
      <c r="G17" s="632"/>
      <c r="H17" s="631"/>
      <c r="I17" s="632">
        <f t="shared" si="1"/>
        <v>0</v>
      </c>
      <c r="J17" s="632">
        <f t="shared" si="2"/>
        <v>0</v>
      </c>
      <c r="K17" s="632">
        <f t="shared" si="3"/>
        <v>1</v>
      </c>
      <c r="L17" s="632"/>
      <c r="M17" s="632">
        <f t="shared" si="5"/>
        <v>1</v>
      </c>
      <c r="N17" s="423" t="s">
        <v>1083</v>
      </c>
    </row>
    <row r="18" spans="1:14" x14ac:dyDescent="0.35">
      <c r="A18" s="1208" t="s">
        <v>211</v>
      </c>
      <c r="B18" s="425" t="s">
        <v>212</v>
      </c>
      <c r="C18" s="426">
        <v>16</v>
      </c>
      <c r="D18" s="427">
        <v>8</v>
      </c>
      <c r="E18" s="427">
        <v>7</v>
      </c>
      <c r="F18" s="428">
        <f t="shared" si="0"/>
        <v>15</v>
      </c>
      <c r="G18" s="429">
        <v>6</v>
      </c>
      <c r="H18" s="428">
        <v>6</v>
      </c>
      <c r="I18" s="429">
        <f t="shared" si="1"/>
        <v>12</v>
      </c>
      <c r="J18" s="429">
        <f t="shared" si="2"/>
        <v>3</v>
      </c>
      <c r="K18" s="429">
        <f t="shared" si="3"/>
        <v>1</v>
      </c>
      <c r="L18" s="429"/>
      <c r="M18" s="429">
        <f>K18-L18</f>
        <v>1</v>
      </c>
      <c r="N18" s="430" t="s">
        <v>1097</v>
      </c>
    </row>
    <row r="19" spans="1:14" x14ac:dyDescent="0.35">
      <c r="A19" s="1208"/>
      <c r="B19" s="66" t="s">
        <v>213</v>
      </c>
      <c r="C19" s="69">
        <v>14</v>
      </c>
      <c r="D19" s="67">
        <v>7</v>
      </c>
      <c r="E19" s="67">
        <v>6</v>
      </c>
      <c r="F19" s="63">
        <f t="shared" si="0"/>
        <v>13</v>
      </c>
      <c r="G19" s="64">
        <v>6</v>
      </c>
      <c r="H19" s="63">
        <v>4</v>
      </c>
      <c r="I19" s="64">
        <f t="shared" si="1"/>
        <v>10</v>
      </c>
      <c r="J19" s="64">
        <f t="shared" si="2"/>
        <v>3</v>
      </c>
      <c r="K19" s="64">
        <f t="shared" si="3"/>
        <v>1</v>
      </c>
      <c r="L19" s="64"/>
      <c r="M19" s="64">
        <f t="shared" ref="M19:M23" si="6">K19-L19</f>
        <v>1</v>
      </c>
      <c r="N19" s="65"/>
    </row>
    <row r="20" spans="1:14" x14ac:dyDescent="0.35">
      <c r="A20" s="1208"/>
      <c r="B20" s="66" t="s">
        <v>214</v>
      </c>
      <c r="C20" s="69">
        <v>2</v>
      </c>
      <c r="D20" s="67">
        <v>1</v>
      </c>
      <c r="E20" s="67">
        <v>1</v>
      </c>
      <c r="F20" s="63">
        <f t="shared" si="0"/>
        <v>2</v>
      </c>
      <c r="G20" s="64">
        <v>1</v>
      </c>
      <c r="H20" s="63">
        <v>1</v>
      </c>
      <c r="I20" s="64">
        <f t="shared" si="1"/>
        <v>2</v>
      </c>
      <c r="J20" s="64">
        <f t="shared" si="2"/>
        <v>0</v>
      </c>
      <c r="K20" s="64">
        <f t="shared" si="3"/>
        <v>0</v>
      </c>
      <c r="L20" s="64"/>
      <c r="M20" s="64">
        <f t="shared" si="6"/>
        <v>0</v>
      </c>
      <c r="N20" s="65"/>
    </row>
    <row r="21" spans="1:14" x14ac:dyDescent="0.35">
      <c r="A21" s="1208"/>
      <c r="B21" s="66" t="s">
        <v>215</v>
      </c>
      <c r="C21" s="69">
        <v>1</v>
      </c>
      <c r="D21" s="67">
        <v>2</v>
      </c>
      <c r="E21" s="67"/>
      <c r="F21" s="63">
        <f t="shared" si="0"/>
        <v>2</v>
      </c>
      <c r="G21" s="64">
        <v>1</v>
      </c>
      <c r="H21" s="63"/>
      <c r="I21" s="64">
        <f t="shared" si="1"/>
        <v>1</v>
      </c>
      <c r="J21" s="64">
        <f t="shared" si="2"/>
        <v>1</v>
      </c>
      <c r="K21" s="64">
        <f t="shared" si="3"/>
        <v>-1</v>
      </c>
      <c r="L21" s="64"/>
      <c r="M21" s="64">
        <f t="shared" si="6"/>
        <v>-1</v>
      </c>
      <c r="N21" s="65"/>
    </row>
    <row r="22" spans="1:14" x14ac:dyDescent="0.35">
      <c r="A22" s="1208"/>
      <c r="B22" s="66" t="s">
        <v>216</v>
      </c>
      <c r="C22" s="69">
        <v>2</v>
      </c>
      <c r="D22" s="67">
        <v>1</v>
      </c>
      <c r="E22" s="67"/>
      <c r="F22" s="63">
        <f t="shared" si="0"/>
        <v>1</v>
      </c>
      <c r="G22" s="64">
        <v>1</v>
      </c>
      <c r="H22" s="63"/>
      <c r="I22" s="64">
        <f t="shared" si="1"/>
        <v>1</v>
      </c>
      <c r="J22" s="64">
        <f t="shared" si="2"/>
        <v>0</v>
      </c>
      <c r="K22" s="64">
        <f t="shared" si="3"/>
        <v>1</v>
      </c>
      <c r="L22" s="64"/>
      <c r="M22" s="64">
        <f t="shared" si="6"/>
        <v>1</v>
      </c>
      <c r="N22" s="65"/>
    </row>
    <row r="23" spans="1:14" x14ac:dyDescent="0.35">
      <c r="A23" s="1208"/>
      <c r="B23" s="66" t="s">
        <v>1090</v>
      </c>
      <c r="C23" s="69">
        <v>1</v>
      </c>
      <c r="D23" s="67">
        <v>1</v>
      </c>
      <c r="E23" s="67"/>
      <c r="F23" s="63">
        <f t="shared" si="0"/>
        <v>1</v>
      </c>
      <c r="G23" s="64"/>
      <c r="H23" s="63"/>
      <c r="I23" s="64">
        <f t="shared" si="1"/>
        <v>0</v>
      </c>
      <c r="J23" s="64">
        <f t="shared" si="2"/>
        <v>1</v>
      </c>
      <c r="K23" s="64">
        <f t="shared" si="3"/>
        <v>0</v>
      </c>
      <c r="L23" s="64"/>
      <c r="M23" s="64">
        <f t="shared" si="6"/>
        <v>0</v>
      </c>
      <c r="N23" s="65"/>
    </row>
    <row r="24" spans="1:14" x14ac:dyDescent="0.35">
      <c r="A24" s="1208" t="s">
        <v>218</v>
      </c>
      <c r="B24" s="425" t="s">
        <v>219</v>
      </c>
      <c r="C24" s="426">
        <v>13</v>
      </c>
      <c r="D24" s="427">
        <v>7</v>
      </c>
      <c r="E24" s="427">
        <v>4</v>
      </c>
      <c r="F24" s="428">
        <f t="shared" si="0"/>
        <v>11</v>
      </c>
      <c r="G24" s="429">
        <f>5+2</f>
        <v>7</v>
      </c>
      <c r="H24" s="428">
        <v>2</v>
      </c>
      <c r="I24" s="429">
        <f t="shared" si="1"/>
        <v>9</v>
      </c>
      <c r="J24" s="429">
        <f t="shared" si="2"/>
        <v>2</v>
      </c>
      <c r="K24" s="429">
        <f t="shared" si="3"/>
        <v>2</v>
      </c>
      <c r="L24" s="429"/>
      <c r="M24" s="429">
        <f>K24-L24</f>
        <v>2</v>
      </c>
      <c r="N24" s="430"/>
    </row>
    <row r="25" spans="1:14" x14ac:dyDescent="0.35">
      <c r="A25" s="1208"/>
      <c r="B25" s="66" t="s">
        <v>220</v>
      </c>
      <c r="C25" s="69">
        <v>9</v>
      </c>
      <c r="D25" s="67">
        <f>9-2-1</f>
        <v>6</v>
      </c>
      <c r="E25" s="67">
        <v>1</v>
      </c>
      <c r="F25" s="63">
        <f t="shared" si="0"/>
        <v>7</v>
      </c>
      <c r="G25" s="64">
        <f>5+1</f>
        <v>6</v>
      </c>
      <c r="H25" s="63"/>
      <c r="I25" s="64">
        <f t="shared" si="1"/>
        <v>6</v>
      </c>
      <c r="J25" s="64">
        <f t="shared" si="2"/>
        <v>1</v>
      </c>
      <c r="K25" s="64">
        <f t="shared" si="3"/>
        <v>2</v>
      </c>
      <c r="L25" s="64"/>
      <c r="M25" s="64">
        <f t="shared" ref="M25:M29" si="7">K25-L25</f>
        <v>2</v>
      </c>
      <c r="N25" s="65"/>
    </row>
    <row r="26" spans="1:14" x14ac:dyDescent="0.35">
      <c r="A26" s="1208"/>
      <c r="B26" s="66" t="s">
        <v>221</v>
      </c>
      <c r="C26" s="70">
        <v>4</v>
      </c>
      <c r="D26" s="67">
        <v>1</v>
      </c>
      <c r="E26" s="67">
        <v>3</v>
      </c>
      <c r="F26" s="63">
        <f t="shared" si="0"/>
        <v>4</v>
      </c>
      <c r="G26" s="64">
        <v>1</v>
      </c>
      <c r="H26" s="63">
        <v>2</v>
      </c>
      <c r="I26" s="64">
        <f t="shared" si="1"/>
        <v>3</v>
      </c>
      <c r="J26" s="64">
        <f t="shared" si="2"/>
        <v>1</v>
      </c>
      <c r="K26" s="64">
        <f t="shared" si="3"/>
        <v>0</v>
      </c>
      <c r="L26" s="64"/>
      <c r="M26" s="64">
        <f t="shared" si="7"/>
        <v>0</v>
      </c>
      <c r="N26" s="65"/>
    </row>
    <row r="27" spans="1:14" x14ac:dyDescent="0.35">
      <c r="A27" s="1208"/>
      <c r="B27" s="66" t="s">
        <v>222</v>
      </c>
      <c r="C27" s="70">
        <v>1</v>
      </c>
      <c r="D27" s="67">
        <v>1</v>
      </c>
      <c r="E27" s="67"/>
      <c r="F27" s="63">
        <f t="shared" si="0"/>
        <v>1</v>
      </c>
      <c r="G27" s="64">
        <v>1</v>
      </c>
      <c r="H27" s="63"/>
      <c r="I27" s="64">
        <f t="shared" si="1"/>
        <v>1</v>
      </c>
      <c r="J27" s="64">
        <f t="shared" si="2"/>
        <v>0</v>
      </c>
      <c r="K27" s="646">
        <f t="shared" si="3"/>
        <v>0</v>
      </c>
      <c r="L27" s="646"/>
      <c r="M27" s="64">
        <f t="shared" si="7"/>
        <v>0</v>
      </c>
      <c r="N27" s="647" t="s">
        <v>1096</v>
      </c>
    </row>
    <row r="28" spans="1:14" x14ac:dyDescent="0.35">
      <c r="A28" s="1208"/>
      <c r="B28" s="66" t="s">
        <v>223</v>
      </c>
      <c r="C28" s="69">
        <v>1</v>
      </c>
      <c r="D28" s="67">
        <v>1</v>
      </c>
      <c r="E28" s="67"/>
      <c r="F28" s="63">
        <f t="shared" si="0"/>
        <v>1</v>
      </c>
      <c r="G28" s="64">
        <v>1</v>
      </c>
      <c r="H28" s="63"/>
      <c r="I28" s="64">
        <f t="shared" si="1"/>
        <v>1</v>
      </c>
      <c r="J28" s="64">
        <f t="shared" si="2"/>
        <v>0</v>
      </c>
      <c r="K28" s="64">
        <f t="shared" si="3"/>
        <v>0</v>
      </c>
      <c r="L28" s="64"/>
      <c r="M28" s="64">
        <f t="shared" si="7"/>
        <v>0</v>
      </c>
      <c r="N28" s="65"/>
    </row>
    <row r="29" spans="1:14" x14ac:dyDescent="0.35">
      <c r="A29" s="1208"/>
      <c r="B29" s="66" t="s">
        <v>224</v>
      </c>
      <c r="C29" s="69">
        <v>0</v>
      </c>
      <c r="D29" s="67"/>
      <c r="E29" s="67">
        <f>1-1</f>
        <v>0</v>
      </c>
      <c r="F29" s="63">
        <f t="shared" si="0"/>
        <v>0</v>
      </c>
      <c r="G29" s="64"/>
      <c r="H29" s="63"/>
      <c r="I29" s="64">
        <f t="shared" si="1"/>
        <v>0</v>
      </c>
      <c r="J29" s="64">
        <f t="shared" si="2"/>
        <v>0</v>
      </c>
      <c r="K29" s="64">
        <f t="shared" si="3"/>
        <v>0</v>
      </c>
      <c r="L29" s="64"/>
      <c r="M29" s="64">
        <f t="shared" si="7"/>
        <v>0</v>
      </c>
      <c r="N29" s="65"/>
    </row>
    <row r="30" spans="1:14" x14ac:dyDescent="0.35">
      <c r="A30" s="1209" t="s">
        <v>225</v>
      </c>
      <c r="B30" s="425" t="s">
        <v>226</v>
      </c>
      <c r="C30" s="426">
        <v>14</v>
      </c>
      <c r="D30" s="427">
        <v>8</v>
      </c>
      <c r="E30" s="427">
        <v>5</v>
      </c>
      <c r="F30" s="428">
        <f t="shared" si="0"/>
        <v>13</v>
      </c>
      <c r="G30" s="429">
        <v>7</v>
      </c>
      <c r="H30" s="428"/>
      <c r="I30" s="429">
        <f t="shared" si="1"/>
        <v>7</v>
      </c>
      <c r="J30" s="429">
        <f t="shared" si="2"/>
        <v>6</v>
      </c>
      <c r="K30" s="429">
        <f t="shared" si="3"/>
        <v>1</v>
      </c>
      <c r="L30" s="429">
        <v>0</v>
      </c>
      <c r="M30" s="429">
        <f>K30-L30</f>
        <v>1</v>
      </c>
      <c r="N30" s="430"/>
    </row>
    <row r="31" spans="1:14" x14ac:dyDescent="0.35">
      <c r="A31" s="1216"/>
      <c r="B31" s="66" t="s">
        <v>227</v>
      </c>
      <c r="C31" s="69">
        <v>11</v>
      </c>
      <c r="D31" s="67">
        <v>5</v>
      </c>
      <c r="E31" s="67">
        <v>5</v>
      </c>
      <c r="F31" s="63">
        <f t="shared" si="0"/>
        <v>10</v>
      </c>
      <c r="G31" s="64">
        <v>5</v>
      </c>
      <c r="H31" s="63"/>
      <c r="I31" s="64">
        <f t="shared" si="1"/>
        <v>5</v>
      </c>
      <c r="J31" s="64">
        <f t="shared" si="2"/>
        <v>5</v>
      </c>
      <c r="K31" s="64">
        <f t="shared" si="3"/>
        <v>1</v>
      </c>
      <c r="L31" s="64"/>
      <c r="M31" s="64">
        <f t="shared" ref="M31:M38" si="8">K31-L31</f>
        <v>1</v>
      </c>
      <c r="N31" s="424" t="s">
        <v>898</v>
      </c>
    </row>
    <row r="32" spans="1:14" x14ac:dyDescent="0.35">
      <c r="A32" s="1216"/>
      <c r="B32" s="66" t="s">
        <v>228</v>
      </c>
      <c r="C32" s="70">
        <v>3</v>
      </c>
      <c r="D32" s="67">
        <v>3</v>
      </c>
      <c r="E32" s="67"/>
      <c r="F32" s="63">
        <f t="shared" si="0"/>
        <v>3</v>
      </c>
      <c r="G32" s="64">
        <v>2</v>
      </c>
      <c r="H32" s="63"/>
      <c r="I32" s="64">
        <f t="shared" si="1"/>
        <v>2</v>
      </c>
      <c r="J32" s="64">
        <f t="shared" si="2"/>
        <v>1</v>
      </c>
      <c r="K32" s="64">
        <f t="shared" si="3"/>
        <v>0</v>
      </c>
      <c r="L32" s="64"/>
      <c r="M32" s="64">
        <f t="shared" si="8"/>
        <v>0</v>
      </c>
      <c r="N32" s="65"/>
    </row>
    <row r="33" spans="1:14" x14ac:dyDescent="0.35">
      <c r="A33" s="1216"/>
      <c r="B33" s="66" t="s">
        <v>229</v>
      </c>
      <c r="C33" s="70">
        <f t="shared" ref="C33:C51" si="9">SUM(D33:E33)</f>
        <v>0</v>
      </c>
      <c r="D33" s="67"/>
      <c r="E33" s="67"/>
      <c r="F33" s="63">
        <f t="shared" si="0"/>
        <v>0</v>
      </c>
      <c r="G33" s="64"/>
      <c r="H33" s="63"/>
      <c r="I33" s="64">
        <f t="shared" si="1"/>
        <v>0</v>
      </c>
      <c r="J33" s="64">
        <f t="shared" si="2"/>
        <v>0</v>
      </c>
      <c r="K33" s="64">
        <f t="shared" si="3"/>
        <v>0</v>
      </c>
      <c r="L33" s="64"/>
      <c r="M33" s="64">
        <f t="shared" si="8"/>
        <v>0</v>
      </c>
      <c r="N33" s="65"/>
    </row>
    <row r="34" spans="1:14" x14ac:dyDescent="0.35">
      <c r="A34" s="1216"/>
      <c r="B34" s="66" t="s">
        <v>230</v>
      </c>
      <c r="C34" s="69">
        <v>1</v>
      </c>
      <c r="D34" s="67">
        <f>1</f>
        <v>1</v>
      </c>
      <c r="E34" s="67"/>
      <c r="F34" s="63">
        <f t="shared" si="0"/>
        <v>1</v>
      </c>
      <c r="G34" s="64">
        <v>1</v>
      </c>
      <c r="H34" s="63"/>
      <c r="I34" s="64">
        <f t="shared" si="1"/>
        <v>1</v>
      </c>
      <c r="J34" s="64">
        <f t="shared" si="2"/>
        <v>0</v>
      </c>
      <c r="K34" s="64">
        <f t="shared" si="3"/>
        <v>0</v>
      </c>
      <c r="L34" s="64"/>
      <c r="M34" s="64">
        <f t="shared" si="8"/>
        <v>0</v>
      </c>
      <c r="N34" s="65"/>
    </row>
    <row r="35" spans="1:14" x14ac:dyDescent="0.35">
      <c r="A35" s="1216"/>
      <c r="B35" s="66" t="s">
        <v>231</v>
      </c>
      <c r="C35" s="69">
        <v>1</v>
      </c>
      <c r="D35" s="67"/>
      <c r="E35" s="67">
        <v>1</v>
      </c>
      <c r="F35" s="63">
        <f t="shared" si="0"/>
        <v>1</v>
      </c>
      <c r="G35" s="64"/>
      <c r="H35" s="63"/>
      <c r="I35" s="64">
        <f t="shared" si="1"/>
        <v>0</v>
      </c>
      <c r="J35" s="64">
        <f t="shared" si="2"/>
        <v>1</v>
      </c>
      <c r="K35" s="64">
        <f t="shared" si="3"/>
        <v>0</v>
      </c>
      <c r="L35" s="64"/>
      <c r="M35" s="64">
        <f t="shared" si="8"/>
        <v>0</v>
      </c>
      <c r="N35" s="65"/>
    </row>
    <row r="36" spans="1:14" x14ac:dyDescent="0.35">
      <c r="A36" s="1216"/>
      <c r="B36" s="66" t="s">
        <v>232</v>
      </c>
      <c r="C36" s="69">
        <v>3</v>
      </c>
      <c r="D36" s="67"/>
      <c r="E36" s="67">
        <v>2</v>
      </c>
      <c r="F36" s="63">
        <f t="shared" si="0"/>
        <v>2</v>
      </c>
      <c r="G36" s="64"/>
      <c r="H36" s="63"/>
      <c r="I36" s="64">
        <f t="shared" si="1"/>
        <v>0</v>
      </c>
      <c r="J36" s="64">
        <f t="shared" si="2"/>
        <v>2</v>
      </c>
      <c r="K36" s="64">
        <f t="shared" si="3"/>
        <v>1</v>
      </c>
      <c r="L36" s="64"/>
      <c r="M36" s="64">
        <f t="shared" si="8"/>
        <v>1</v>
      </c>
      <c r="N36" s="65"/>
    </row>
    <row r="37" spans="1:14" x14ac:dyDescent="0.35">
      <c r="A37" s="1216"/>
      <c r="B37" s="66" t="s">
        <v>233</v>
      </c>
      <c r="C37" s="69">
        <v>1</v>
      </c>
      <c r="D37" s="67">
        <f>1</f>
        <v>1</v>
      </c>
      <c r="E37" s="67"/>
      <c r="F37" s="63">
        <f t="shared" si="0"/>
        <v>1</v>
      </c>
      <c r="G37" s="64"/>
      <c r="H37" s="63"/>
      <c r="I37" s="64">
        <f t="shared" si="1"/>
        <v>0</v>
      </c>
      <c r="J37" s="64">
        <f t="shared" si="2"/>
        <v>1</v>
      </c>
      <c r="K37" s="64">
        <f t="shared" si="3"/>
        <v>0</v>
      </c>
      <c r="L37" s="64"/>
      <c r="M37" s="64">
        <f t="shared" si="8"/>
        <v>0</v>
      </c>
      <c r="N37" s="65"/>
    </row>
    <row r="38" spans="1:14" x14ac:dyDescent="0.35">
      <c r="A38" s="1217"/>
      <c r="B38" s="633" t="s">
        <v>1091</v>
      </c>
      <c r="C38" s="426">
        <v>1</v>
      </c>
      <c r="D38" s="427">
        <v>1</v>
      </c>
      <c r="E38" s="427"/>
      <c r="F38" s="428">
        <f>SUM(D38:E38)</f>
        <v>1</v>
      </c>
      <c r="G38" s="429"/>
      <c r="H38" s="428"/>
      <c r="I38" s="429"/>
      <c r="J38" s="429"/>
      <c r="K38" s="429">
        <f t="shared" si="3"/>
        <v>0</v>
      </c>
      <c r="L38" s="429"/>
      <c r="M38" s="429">
        <f t="shared" si="8"/>
        <v>0</v>
      </c>
      <c r="N38" s="430"/>
    </row>
    <row r="39" spans="1:14" x14ac:dyDescent="0.35">
      <c r="A39" s="1208" t="s">
        <v>234</v>
      </c>
      <c r="B39" s="425" t="s">
        <v>235</v>
      </c>
      <c r="C39" s="426">
        <v>18</v>
      </c>
      <c r="D39" s="427">
        <v>17</v>
      </c>
      <c r="E39" s="427">
        <f>1-1</f>
        <v>0</v>
      </c>
      <c r="F39" s="428">
        <f t="shared" si="0"/>
        <v>17</v>
      </c>
      <c r="G39" s="429">
        <f>9+4</f>
        <v>13</v>
      </c>
      <c r="H39" s="428"/>
      <c r="I39" s="429">
        <f t="shared" si="1"/>
        <v>13</v>
      </c>
      <c r="J39" s="429">
        <f t="shared" si="2"/>
        <v>4</v>
      </c>
      <c r="K39" s="429">
        <f t="shared" si="3"/>
        <v>1</v>
      </c>
      <c r="L39" s="429"/>
      <c r="M39" s="429">
        <f>K39-L39</f>
        <v>1</v>
      </c>
      <c r="N39" s="430"/>
    </row>
    <row r="40" spans="1:14" x14ac:dyDescent="0.35">
      <c r="A40" s="1208"/>
      <c r="B40" s="66" t="s">
        <v>236</v>
      </c>
      <c r="C40" s="69">
        <v>12</v>
      </c>
      <c r="D40" s="67">
        <v>10</v>
      </c>
      <c r="E40" s="67">
        <f>1-1</f>
        <v>0</v>
      </c>
      <c r="F40" s="63">
        <f t="shared" si="0"/>
        <v>10</v>
      </c>
      <c r="G40" s="64">
        <v>5</v>
      </c>
      <c r="H40" s="63"/>
      <c r="I40" s="64">
        <f t="shared" si="1"/>
        <v>5</v>
      </c>
      <c r="J40" s="64">
        <f t="shared" si="2"/>
        <v>5</v>
      </c>
      <c r="K40" s="64">
        <f t="shared" si="3"/>
        <v>2</v>
      </c>
      <c r="L40" s="64"/>
      <c r="M40" s="64">
        <f t="shared" ref="M40:M44" si="10">K40-L40</f>
        <v>2</v>
      </c>
      <c r="N40" s="65"/>
    </row>
    <row r="41" spans="1:14" x14ac:dyDescent="0.35">
      <c r="A41" s="1208"/>
      <c r="B41" s="66" t="s">
        <v>237</v>
      </c>
      <c r="C41" s="69">
        <v>6</v>
      </c>
      <c r="D41" s="67">
        <v>6</v>
      </c>
      <c r="E41" s="67"/>
      <c r="F41" s="63">
        <f t="shared" si="0"/>
        <v>6</v>
      </c>
      <c r="G41" s="64">
        <f>4+1</f>
        <v>5</v>
      </c>
      <c r="H41" s="63"/>
      <c r="I41" s="64">
        <f t="shared" si="1"/>
        <v>5</v>
      </c>
      <c r="J41" s="64">
        <f t="shared" si="2"/>
        <v>1</v>
      </c>
      <c r="K41" s="64">
        <f t="shared" si="3"/>
        <v>0</v>
      </c>
      <c r="L41" s="64"/>
      <c r="M41" s="64">
        <f t="shared" si="10"/>
        <v>0</v>
      </c>
      <c r="N41" s="65"/>
    </row>
    <row r="42" spans="1:14" x14ac:dyDescent="0.35">
      <c r="A42" s="1208"/>
      <c r="B42" s="66" t="s">
        <v>238</v>
      </c>
      <c r="C42" s="69">
        <v>2</v>
      </c>
      <c r="D42" s="67">
        <v>2</v>
      </c>
      <c r="E42" s="67"/>
      <c r="F42" s="63">
        <f t="shared" si="0"/>
        <v>2</v>
      </c>
      <c r="G42" s="64">
        <f>1+1</f>
        <v>2</v>
      </c>
      <c r="H42" s="63"/>
      <c r="I42" s="64">
        <f t="shared" si="1"/>
        <v>2</v>
      </c>
      <c r="J42" s="64">
        <f t="shared" si="2"/>
        <v>0</v>
      </c>
      <c r="K42" s="64">
        <f t="shared" si="3"/>
        <v>0</v>
      </c>
      <c r="L42" s="64"/>
      <c r="M42" s="64">
        <f t="shared" si="10"/>
        <v>0</v>
      </c>
      <c r="N42" s="65"/>
    </row>
    <row r="43" spans="1:14" x14ac:dyDescent="0.35">
      <c r="A43" s="1208"/>
      <c r="B43" s="66" t="s">
        <v>239</v>
      </c>
      <c r="C43" s="69">
        <v>2</v>
      </c>
      <c r="D43" s="67">
        <v>2</v>
      </c>
      <c r="E43" s="67">
        <f>1-1</f>
        <v>0</v>
      </c>
      <c r="F43" s="63">
        <f t="shared" si="0"/>
        <v>2</v>
      </c>
      <c r="G43" s="64">
        <v>1</v>
      </c>
      <c r="H43" s="63"/>
      <c r="I43" s="64">
        <f t="shared" si="1"/>
        <v>1</v>
      </c>
      <c r="J43" s="64">
        <f t="shared" si="2"/>
        <v>1</v>
      </c>
      <c r="K43" s="64">
        <f t="shared" si="3"/>
        <v>0</v>
      </c>
      <c r="L43" s="64"/>
      <c r="M43" s="64">
        <f t="shared" si="10"/>
        <v>0</v>
      </c>
      <c r="N43" s="65"/>
    </row>
    <row r="44" spans="1:14" x14ac:dyDescent="0.35">
      <c r="A44" s="1208"/>
      <c r="B44" s="66" t="s">
        <v>240</v>
      </c>
      <c r="C44" s="68">
        <f t="shared" si="9"/>
        <v>0</v>
      </c>
      <c r="D44" s="67"/>
      <c r="E44" s="67"/>
      <c r="F44" s="63">
        <f t="shared" si="0"/>
        <v>0</v>
      </c>
      <c r="G44" s="64"/>
      <c r="H44" s="63"/>
      <c r="I44" s="64">
        <f t="shared" si="1"/>
        <v>0</v>
      </c>
      <c r="J44" s="64">
        <f t="shared" si="2"/>
        <v>0</v>
      </c>
      <c r="K44" s="64">
        <f t="shared" si="3"/>
        <v>0</v>
      </c>
      <c r="L44" s="64"/>
      <c r="M44" s="64">
        <f t="shared" si="10"/>
        <v>0</v>
      </c>
      <c r="N44" s="65"/>
    </row>
    <row r="45" spans="1:14" x14ac:dyDescent="0.35">
      <c r="A45" s="1208" t="s">
        <v>241</v>
      </c>
      <c r="B45" s="425" t="s">
        <v>242</v>
      </c>
      <c r="C45" s="426">
        <v>17</v>
      </c>
      <c r="D45" s="427">
        <v>13</v>
      </c>
      <c r="E45" s="427">
        <f>4-1</f>
        <v>3</v>
      </c>
      <c r="F45" s="428">
        <f t="shared" si="0"/>
        <v>16</v>
      </c>
      <c r="G45" s="429">
        <v>11</v>
      </c>
      <c r="H45" s="428">
        <v>3</v>
      </c>
      <c r="I45" s="429">
        <f t="shared" si="1"/>
        <v>14</v>
      </c>
      <c r="J45" s="429">
        <f t="shared" si="2"/>
        <v>2</v>
      </c>
      <c r="K45" s="429">
        <f t="shared" si="3"/>
        <v>1</v>
      </c>
      <c r="L45" s="429">
        <v>0</v>
      </c>
      <c r="M45" s="429">
        <f>K45-L45</f>
        <v>1</v>
      </c>
      <c r="N45" s="430"/>
    </row>
    <row r="46" spans="1:14" x14ac:dyDescent="0.35">
      <c r="A46" s="1208"/>
      <c r="B46" s="66" t="s">
        <v>243</v>
      </c>
      <c r="C46" s="69">
        <v>14</v>
      </c>
      <c r="D46" s="67">
        <v>11</v>
      </c>
      <c r="E46" s="67">
        <f>3-1</f>
        <v>2</v>
      </c>
      <c r="F46" s="63">
        <f t="shared" si="0"/>
        <v>13</v>
      </c>
      <c r="G46" s="64">
        <f>9+1</f>
        <v>10</v>
      </c>
      <c r="H46" s="63">
        <v>2</v>
      </c>
      <c r="I46" s="64">
        <f t="shared" si="1"/>
        <v>12</v>
      </c>
      <c r="J46" s="64">
        <f t="shared" si="2"/>
        <v>1</v>
      </c>
      <c r="K46" s="64">
        <f t="shared" si="3"/>
        <v>1</v>
      </c>
      <c r="L46" s="64"/>
      <c r="M46" s="64">
        <f t="shared" ref="M46:M51" si="11">K46-L46</f>
        <v>1</v>
      </c>
      <c r="N46" s="65"/>
    </row>
    <row r="47" spans="1:14" x14ac:dyDescent="0.35">
      <c r="A47" s="1208"/>
      <c r="B47" s="66" t="s">
        <v>244</v>
      </c>
      <c r="C47" s="70">
        <v>3</v>
      </c>
      <c r="D47" s="67">
        <f>3-1</f>
        <v>2</v>
      </c>
      <c r="E47" s="67">
        <v>1</v>
      </c>
      <c r="F47" s="63">
        <f t="shared" si="0"/>
        <v>3</v>
      </c>
      <c r="G47" s="64">
        <v>2</v>
      </c>
      <c r="H47" s="63">
        <v>1</v>
      </c>
      <c r="I47" s="64">
        <f t="shared" si="1"/>
        <v>3</v>
      </c>
      <c r="J47" s="64">
        <f t="shared" si="2"/>
        <v>0</v>
      </c>
      <c r="K47" s="64">
        <f t="shared" si="3"/>
        <v>0</v>
      </c>
      <c r="L47" s="64"/>
      <c r="M47" s="64">
        <f t="shared" si="11"/>
        <v>0</v>
      </c>
      <c r="N47" s="65"/>
    </row>
    <row r="48" spans="1:14" x14ac:dyDescent="0.35">
      <c r="A48" s="1208"/>
      <c r="B48" s="66" t="s">
        <v>245</v>
      </c>
      <c r="C48" s="70">
        <v>6</v>
      </c>
      <c r="D48" s="67">
        <v>5</v>
      </c>
      <c r="E48" s="67"/>
      <c r="F48" s="63">
        <f t="shared" si="0"/>
        <v>5</v>
      </c>
      <c r="G48" s="64"/>
      <c r="H48" s="63"/>
      <c r="I48" s="64">
        <f t="shared" si="1"/>
        <v>0</v>
      </c>
      <c r="J48" s="64">
        <f t="shared" si="2"/>
        <v>5</v>
      </c>
      <c r="K48" s="64">
        <f t="shared" si="3"/>
        <v>1</v>
      </c>
      <c r="L48" s="64"/>
      <c r="M48" s="64">
        <f t="shared" si="11"/>
        <v>1</v>
      </c>
      <c r="N48" s="65"/>
    </row>
    <row r="49" spans="1:18" x14ac:dyDescent="0.35">
      <c r="A49" s="1208"/>
      <c r="B49" s="66" t="s">
        <v>246</v>
      </c>
      <c r="C49" s="69">
        <v>3</v>
      </c>
      <c r="D49" s="67">
        <v>2</v>
      </c>
      <c r="E49" s="67">
        <v>1</v>
      </c>
      <c r="F49" s="63">
        <f t="shared" si="0"/>
        <v>3</v>
      </c>
      <c r="G49" s="64">
        <v>2</v>
      </c>
      <c r="H49" s="63"/>
      <c r="I49" s="64">
        <f t="shared" si="1"/>
        <v>2</v>
      </c>
      <c r="J49" s="64">
        <f t="shared" si="2"/>
        <v>1</v>
      </c>
      <c r="K49" s="64">
        <f t="shared" si="3"/>
        <v>0</v>
      </c>
      <c r="L49" s="64"/>
      <c r="M49" s="64">
        <f t="shared" si="11"/>
        <v>0</v>
      </c>
      <c r="N49" s="65"/>
    </row>
    <row r="50" spans="1:18" x14ac:dyDescent="0.35">
      <c r="A50" s="1208"/>
      <c r="B50" s="66" t="s">
        <v>247</v>
      </c>
      <c r="C50" s="68">
        <v>3</v>
      </c>
      <c r="D50" s="67">
        <v>3</v>
      </c>
      <c r="E50" s="67"/>
      <c r="F50" s="63">
        <f t="shared" si="0"/>
        <v>3</v>
      </c>
      <c r="G50" s="64">
        <f>2+1</f>
        <v>3</v>
      </c>
      <c r="H50" s="63"/>
      <c r="I50" s="64">
        <f t="shared" si="1"/>
        <v>3</v>
      </c>
      <c r="J50" s="64">
        <f t="shared" si="2"/>
        <v>0</v>
      </c>
      <c r="K50" s="64">
        <f t="shared" si="3"/>
        <v>0</v>
      </c>
      <c r="L50" s="64"/>
      <c r="M50" s="64">
        <f t="shared" si="11"/>
        <v>0</v>
      </c>
      <c r="N50" s="65"/>
    </row>
    <row r="51" spans="1:18" x14ac:dyDescent="0.35">
      <c r="A51" s="1208"/>
      <c r="B51" s="66" t="s">
        <v>248</v>
      </c>
      <c r="C51" s="69">
        <f t="shared" si="9"/>
        <v>0</v>
      </c>
      <c r="D51" s="67"/>
      <c r="E51" s="67"/>
      <c r="F51" s="63">
        <f t="shared" si="0"/>
        <v>0</v>
      </c>
      <c r="G51" s="64"/>
      <c r="H51" s="63"/>
      <c r="I51" s="64">
        <f t="shared" si="1"/>
        <v>0</v>
      </c>
      <c r="J51" s="64">
        <f t="shared" si="2"/>
        <v>0</v>
      </c>
      <c r="K51" s="64">
        <f t="shared" si="3"/>
        <v>0</v>
      </c>
      <c r="L51" s="64"/>
      <c r="M51" s="64">
        <f t="shared" si="11"/>
        <v>0</v>
      </c>
      <c r="N51" s="65"/>
    </row>
    <row r="52" spans="1:18" ht="29.5" thickBot="1" x14ac:dyDescent="0.4">
      <c r="A52" s="1209"/>
      <c r="B52" s="641" t="s">
        <v>1092</v>
      </c>
      <c r="C52" s="634">
        <v>1</v>
      </c>
      <c r="D52" s="635"/>
      <c r="E52" s="635"/>
      <c r="F52" s="636">
        <f t="shared" si="0"/>
        <v>0</v>
      </c>
      <c r="G52" s="637"/>
      <c r="H52" s="636"/>
      <c r="I52" s="429">
        <f t="shared" si="1"/>
        <v>0</v>
      </c>
      <c r="J52" s="637">
        <f t="shared" si="2"/>
        <v>0</v>
      </c>
      <c r="K52" s="637">
        <f t="shared" si="3"/>
        <v>1</v>
      </c>
      <c r="L52" s="637"/>
      <c r="M52" s="637">
        <f>K52-L52</f>
        <v>1</v>
      </c>
      <c r="N52" s="638"/>
    </row>
    <row r="53" spans="1:18" ht="21.5" customHeight="1" thickBot="1" x14ac:dyDescent="0.4">
      <c r="A53" s="94"/>
      <c r="B53" s="95"/>
      <c r="C53" s="92">
        <f>C45+C39+C30+C24+C18+C10+C3+C52+C38</f>
        <v>371</v>
      </c>
      <c r="D53" s="92">
        <f>D45+D39+D30+D24+D18+D10+D3+D52+D38</f>
        <v>209</v>
      </c>
      <c r="E53" s="92">
        <f>E45+E39+E30+E24+E18+E10+E3+E52+E38</f>
        <v>153</v>
      </c>
      <c r="F53" s="92">
        <f>F45+F39+F30+F24+F18+F10+F3+F52+F38</f>
        <v>362</v>
      </c>
      <c r="G53" s="71">
        <f>G45+G39+G30+G24+G18+G10+G3</f>
        <v>189</v>
      </c>
      <c r="H53" s="71">
        <f>H45+H39+H30+H24+H18+H10+H3</f>
        <v>141</v>
      </c>
      <c r="I53" s="71">
        <f>I45+I39+I30+I24+I18+I10+I3</f>
        <v>330</v>
      </c>
      <c r="J53" s="96">
        <f>J45+J39+J30+J24+J18+J10+J3</f>
        <v>31</v>
      </c>
      <c r="K53" s="97">
        <f>C53-F53</f>
        <v>9</v>
      </c>
      <c r="L53" s="643">
        <f>L52+L45+L39+L30+L24+L18+L10+L3</f>
        <v>0</v>
      </c>
      <c r="M53" s="639">
        <f>M52+M45+M39+M38+M30+M24+M18+M10+M3</f>
        <v>9</v>
      </c>
      <c r="N53" s="93"/>
    </row>
    <row r="54" spans="1:18" ht="27.5" customHeight="1" thickBot="1" x14ac:dyDescent="0.4">
      <c r="A54" s="1097" t="s">
        <v>250</v>
      </c>
      <c r="B54" s="1098"/>
      <c r="C54" s="1098"/>
      <c r="D54" s="1098"/>
      <c r="E54" s="1098"/>
      <c r="F54" s="1098"/>
      <c r="G54" s="1098"/>
      <c r="H54" s="1098"/>
      <c r="I54" s="1098"/>
      <c r="J54" s="1098"/>
      <c r="K54" s="1098"/>
      <c r="L54" s="1098"/>
      <c r="M54" s="1098"/>
      <c r="N54" s="1099"/>
    </row>
    <row r="55" spans="1:18" ht="77.5" x14ac:dyDescent="0.35">
      <c r="A55" s="88" t="s">
        <v>251</v>
      </c>
      <c r="B55" s="89" t="s">
        <v>374</v>
      </c>
      <c r="C55" s="90" t="s">
        <v>183</v>
      </c>
      <c r="D55" s="90" t="s">
        <v>842</v>
      </c>
      <c r="E55" s="90" t="s">
        <v>843</v>
      </c>
      <c r="F55" s="90" t="s">
        <v>844</v>
      </c>
      <c r="G55" s="85" t="s">
        <v>252</v>
      </c>
      <c r="H55" s="84" t="s">
        <v>253</v>
      </c>
      <c r="I55" s="85" t="s">
        <v>254</v>
      </c>
      <c r="J55" s="86" t="s">
        <v>189</v>
      </c>
      <c r="K55" s="86" t="s">
        <v>1087</v>
      </c>
      <c r="L55" s="642" t="s">
        <v>1086</v>
      </c>
      <c r="M55" s="86" t="s">
        <v>1129</v>
      </c>
      <c r="N55" s="87" t="s">
        <v>6</v>
      </c>
      <c r="O55" s="1210" t="s">
        <v>255</v>
      </c>
      <c r="P55" s="1210"/>
      <c r="Q55" s="1211"/>
      <c r="R55" s="59">
        <v>470</v>
      </c>
    </row>
    <row r="56" spans="1:18" x14ac:dyDescent="0.35">
      <c r="A56" s="72" t="s">
        <v>256</v>
      </c>
      <c r="B56" s="73" t="s">
        <v>257</v>
      </c>
      <c r="C56" s="50">
        <v>268</v>
      </c>
      <c r="D56" s="816">
        <f>137+4+2</f>
        <v>143</v>
      </c>
      <c r="E56" s="50">
        <f>124+1</f>
        <v>125</v>
      </c>
      <c r="F56" s="50">
        <f>SUM(D56:E56)</f>
        <v>268</v>
      </c>
      <c r="G56" s="817">
        <f>127+8+4</f>
        <v>139</v>
      </c>
      <c r="H56" s="627">
        <f>50+50+24</f>
        <v>124</v>
      </c>
      <c r="I56" s="627">
        <f>G56+H56</f>
        <v>263</v>
      </c>
      <c r="J56" s="627">
        <f>F56-I56</f>
        <v>5</v>
      </c>
      <c r="K56" s="627">
        <f>C56-F56</f>
        <v>0</v>
      </c>
      <c r="L56" s="817"/>
      <c r="M56" s="627">
        <f>K56-L56</f>
        <v>0</v>
      </c>
      <c r="N56" s="628" t="s">
        <v>1257</v>
      </c>
      <c r="O56" s="1212" t="s">
        <v>258</v>
      </c>
      <c r="P56" s="1212"/>
      <c r="Q56" s="1213"/>
      <c r="R56" s="60">
        <v>430</v>
      </c>
    </row>
    <row r="57" spans="1:18" x14ac:dyDescent="0.35">
      <c r="A57" s="72" t="s">
        <v>259</v>
      </c>
      <c r="B57" s="73" t="s">
        <v>260</v>
      </c>
      <c r="C57" s="74">
        <v>21</v>
      </c>
      <c r="D57" s="50">
        <f>12+2</f>
        <v>14</v>
      </c>
      <c r="E57" s="50">
        <f>6+1</f>
        <v>7</v>
      </c>
      <c r="F57" s="74">
        <f t="shared" ref="F57:F70" si="12">SUM(D57:E57)</f>
        <v>21</v>
      </c>
      <c r="G57" s="75">
        <f>9+1</f>
        <v>10</v>
      </c>
      <c r="H57" s="75">
        <f>3+2+1</f>
        <v>6</v>
      </c>
      <c r="I57" s="75">
        <f t="shared" ref="I57:I70" si="13">G57+H57</f>
        <v>16</v>
      </c>
      <c r="J57" s="75">
        <f t="shared" ref="J57:J70" si="14">F57-I57</f>
        <v>5</v>
      </c>
      <c r="K57" s="75">
        <f t="shared" ref="K57:K70" si="15">C57-F57</f>
        <v>0</v>
      </c>
      <c r="L57" s="75"/>
      <c r="M57" s="627">
        <f t="shared" ref="M57:M70" si="16">K57-L57</f>
        <v>0</v>
      </c>
      <c r="N57" s="76"/>
      <c r="O57" s="1212" t="s">
        <v>261</v>
      </c>
      <c r="P57" s="1212"/>
      <c r="Q57" s="1213"/>
      <c r="R57" s="60">
        <v>372</v>
      </c>
    </row>
    <row r="58" spans="1:18" ht="15" thickBot="1" x14ac:dyDescent="0.4">
      <c r="A58" s="72" t="s">
        <v>262</v>
      </c>
      <c r="B58" s="73" t="s">
        <v>263</v>
      </c>
      <c r="C58" s="74">
        <v>15</v>
      </c>
      <c r="D58" s="50">
        <f>7+1</f>
        <v>8</v>
      </c>
      <c r="E58" s="50">
        <v>7</v>
      </c>
      <c r="F58" s="74">
        <f t="shared" si="12"/>
        <v>15</v>
      </c>
      <c r="G58" s="75">
        <f>6+1</f>
        <v>7</v>
      </c>
      <c r="H58" s="75">
        <v>8</v>
      </c>
      <c r="I58" s="75">
        <f t="shared" si="13"/>
        <v>15</v>
      </c>
      <c r="J58" s="75">
        <f t="shared" si="14"/>
        <v>0</v>
      </c>
      <c r="K58" s="75">
        <f t="shared" si="15"/>
        <v>0</v>
      </c>
      <c r="L58" s="75"/>
      <c r="M58" s="627">
        <f t="shared" si="16"/>
        <v>0</v>
      </c>
      <c r="N58" s="76"/>
      <c r="O58" s="1214" t="s">
        <v>264</v>
      </c>
      <c r="P58" s="1214"/>
      <c r="Q58" s="1215"/>
      <c r="R58" s="61">
        <v>348</v>
      </c>
    </row>
    <row r="59" spans="1:18" x14ac:dyDescent="0.35">
      <c r="A59" s="72" t="s">
        <v>259</v>
      </c>
      <c r="B59" s="73" t="s">
        <v>265</v>
      </c>
      <c r="C59" s="74">
        <v>2</v>
      </c>
      <c r="D59" s="50">
        <v>1</v>
      </c>
      <c r="E59" s="50">
        <v>1</v>
      </c>
      <c r="F59" s="74">
        <f t="shared" si="12"/>
        <v>2</v>
      </c>
      <c r="G59" s="75"/>
      <c r="H59" s="75"/>
      <c r="I59" s="75">
        <f t="shared" si="13"/>
        <v>0</v>
      </c>
      <c r="J59" s="75">
        <f t="shared" si="14"/>
        <v>2</v>
      </c>
      <c r="K59" s="75">
        <f t="shared" si="15"/>
        <v>0</v>
      </c>
      <c r="L59" s="75"/>
      <c r="M59" s="627">
        <f t="shared" si="16"/>
        <v>0</v>
      </c>
      <c r="N59" s="423"/>
    </row>
    <row r="60" spans="1:18" x14ac:dyDescent="0.35">
      <c r="A60" s="72" t="s">
        <v>262</v>
      </c>
      <c r="B60" s="73" t="s">
        <v>1084</v>
      </c>
      <c r="C60" s="74">
        <v>1</v>
      </c>
      <c r="D60" s="50">
        <v>1</v>
      </c>
      <c r="E60" s="50"/>
      <c r="F60" s="74">
        <f t="shared" si="12"/>
        <v>1</v>
      </c>
      <c r="G60" s="75"/>
      <c r="H60" s="75"/>
      <c r="I60" s="75">
        <f t="shared" si="13"/>
        <v>0</v>
      </c>
      <c r="J60" s="75">
        <f t="shared" si="14"/>
        <v>1</v>
      </c>
      <c r="K60" s="75">
        <f t="shared" si="15"/>
        <v>0</v>
      </c>
      <c r="L60" s="75"/>
      <c r="M60" s="627">
        <f t="shared" si="16"/>
        <v>0</v>
      </c>
      <c r="N60" s="423"/>
    </row>
    <row r="61" spans="1:18" x14ac:dyDescent="0.35">
      <c r="A61" s="72" t="s">
        <v>267</v>
      </c>
      <c r="B61" s="73" t="s">
        <v>268</v>
      </c>
      <c r="C61" s="74">
        <v>13</v>
      </c>
      <c r="D61" s="50">
        <f>10-1</f>
        <v>9</v>
      </c>
      <c r="E61" s="50">
        <v>4</v>
      </c>
      <c r="F61" s="74">
        <f t="shared" si="12"/>
        <v>13</v>
      </c>
      <c r="G61" s="75">
        <f>6+2+1</f>
        <v>9</v>
      </c>
      <c r="H61" s="75">
        <f>1+1+2</f>
        <v>4</v>
      </c>
      <c r="I61" s="75">
        <f t="shared" si="13"/>
        <v>13</v>
      </c>
      <c r="J61" s="75">
        <f t="shared" si="14"/>
        <v>0</v>
      </c>
      <c r="K61" s="75">
        <f t="shared" si="15"/>
        <v>0</v>
      </c>
      <c r="L61" s="75"/>
      <c r="M61" s="627">
        <f t="shared" si="16"/>
        <v>0</v>
      </c>
      <c r="N61" s="423"/>
    </row>
    <row r="62" spans="1:18" x14ac:dyDescent="0.35">
      <c r="A62" s="72" t="s">
        <v>269</v>
      </c>
      <c r="B62" s="73" t="s">
        <v>270</v>
      </c>
      <c r="C62" s="74">
        <v>10</v>
      </c>
      <c r="D62" s="50">
        <f>7+1</f>
        <v>8</v>
      </c>
      <c r="E62" s="50">
        <v>2</v>
      </c>
      <c r="F62" s="74">
        <f t="shared" si="12"/>
        <v>10</v>
      </c>
      <c r="G62" s="75">
        <v>7</v>
      </c>
      <c r="H62" s="75">
        <f>2</f>
        <v>2</v>
      </c>
      <c r="I62" s="75">
        <f t="shared" si="13"/>
        <v>9</v>
      </c>
      <c r="J62" s="75">
        <f t="shared" si="14"/>
        <v>1</v>
      </c>
      <c r="K62" s="75">
        <f t="shared" si="15"/>
        <v>0</v>
      </c>
      <c r="L62" s="75"/>
      <c r="M62" s="627">
        <f t="shared" si="16"/>
        <v>0</v>
      </c>
      <c r="N62" s="76"/>
    </row>
    <row r="63" spans="1:18" x14ac:dyDescent="0.35">
      <c r="A63" s="72" t="s">
        <v>267</v>
      </c>
      <c r="B63" s="73" t="s">
        <v>271</v>
      </c>
      <c r="C63" s="74">
        <v>0</v>
      </c>
      <c r="D63" s="50"/>
      <c r="E63" s="50">
        <f>1-1</f>
        <v>0</v>
      </c>
      <c r="F63" s="74">
        <f t="shared" si="12"/>
        <v>0</v>
      </c>
      <c r="G63" s="75"/>
      <c r="H63" s="75"/>
      <c r="I63" s="75">
        <f t="shared" si="13"/>
        <v>0</v>
      </c>
      <c r="J63" s="75">
        <f t="shared" si="14"/>
        <v>0</v>
      </c>
      <c r="K63" s="75">
        <f t="shared" si="15"/>
        <v>0</v>
      </c>
      <c r="L63" s="75"/>
      <c r="M63" s="627">
        <f t="shared" si="16"/>
        <v>0</v>
      </c>
      <c r="N63" s="423"/>
    </row>
    <row r="64" spans="1:18" x14ac:dyDescent="0.35">
      <c r="A64" s="72" t="s">
        <v>269</v>
      </c>
      <c r="B64" s="73" t="s">
        <v>272</v>
      </c>
      <c r="C64" s="74">
        <v>4</v>
      </c>
      <c r="D64" s="50">
        <v>1</v>
      </c>
      <c r="E64" s="50">
        <v>3</v>
      </c>
      <c r="F64" s="74">
        <f t="shared" si="12"/>
        <v>4</v>
      </c>
      <c r="G64" s="75">
        <v>1</v>
      </c>
      <c r="H64" s="75">
        <v>2</v>
      </c>
      <c r="I64" s="75">
        <f t="shared" si="13"/>
        <v>3</v>
      </c>
      <c r="J64" s="75">
        <f t="shared" si="14"/>
        <v>1</v>
      </c>
      <c r="K64" s="75">
        <f t="shared" si="15"/>
        <v>0</v>
      </c>
      <c r="L64" s="75"/>
      <c r="M64" s="627">
        <f t="shared" si="16"/>
        <v>0</v>
      </c>
      <c r="N64" s="76"/>
    </row>
    <row r="65" spans="1:14" x14ac:dyDescent="0.35">
      <c r="A65" s="72" t="s">
        <v>269</v>
      </c>
      <c r="B65" s="73" t="s">
        <v>1085</v>
      </c>
      <c r="C65" s="74">
        <v>1</v>
      </c>
      <c r="D65" s="50"/>
      <c r="E65" s="50">
        <v>1</v>
      </c>
      <c r="F65" s="74">
        <f t="shared" si="12"/>
        <v>1</v>
      </c>
      <c r="G65" s="75"/>
      <c r="H65" s="75"/>
      <c r="I65" s="75">
        <f t="shared" si="13"/>
        <v>0</v>
      </c>
      <c r="J65" s="75">
        <f t="shared" si="14"/>
        <v>1</v>
      </c>
      <c r="K65" s="75">
        <f t="shared" si="15"/>
        <v>0</v>
      </c>
      <c r="L65" s="75"/>
      <c r="M65" s="627">
        <f t="shared" si="16"/>
        <v>0</v>
      </c>
      <c r="N65" s="76"/>
    </row>
    <row r="66" spans="1:14" x14ac:dyDescent="0.35">
      <c r="A66" s="72" t="s">
        <v>273</v>
      </c>
      <c r="B66" s="73" t="s">
        <v>274</v>
      </c>
      <c r="C66" s="74">
        <v>18</v>
      </c>
      <c r="D66" s="50">
        <f>15+2</f>
        <v>17</v>
      </c>
      <c r="E66" s="50">
        <v>1</v>
      </c>
      <c r="F66" s="74">
        <f t="shared" si="12"/>
        <v>18</v>
      </c>
      <c r="G66" s="75">
        <f>9+2+4</f>
        <v>15</v>
      </c>
      <c r="H66" s="75">
        <v>1</v>
      </c>
      <c r="I66" s="75">
        <f t="shared" si="13"/>
        <v>16</v>
      </c>
      <c r="J66" s="75">
        <f t="shared" si="14"/>
        <v>2</v>
      </c>
      <c r="K66" s="75">
        <f t="shared" si="15"/>
        <v>0</v>
      </c>
      <c r="L66" s="75"/>
      <c r="M66" s="627">
        <f t="shared" si="16"/>
        <v>0</v>
      </c>
      <c r="N66" s="76"/>
    </row>
    <row r="67" spans="1:14" x14ac:dyDescent="0.35">
      <c r="A67" s="72" t="s">
        <v>273</v>
      </c>
      <c r="B67" s="73" t="s">
        <v>275</v>
      </c>
      <c r="C67" s="74"/>
      <c r="D67" s="50"/>
      <c r="E67" s="50"/>
      <c r="F67" s="74">
        <f t="shared" si="12"/>
        <v>0</v>
      </c>
      <c r="G67" s="75"/>
      <c r="H67" s="75"/>
      <c r="I67" s="75">
        <f t="shared" si="13"/>
        <v>0</v>
      </c>
      <c r="J67" s="75">
        <f t="shared" si="14"/>
        <v>0</v>
      </c>
      <c r="K67" s="75">
        <f t="shared" si="15"/>
        <v>0</v>
      </c>
      <c r="L67" s="75"/>
      <c r="M67" s="627">
        <f t="shared" si="16"/>
        <v>0</v>
      </c>
      <c r="N67" s="76"/>
    </row>
    <row r="68" spans="1:14" x14ac:dyDescent="0.35">
      <c r="A68" s="72" t="s">
        <v>276</v>
      </c>
      <c r="B68" s="73" t="s">
        <v>277</v>
      </c>
      <c r="C68" s="74">
        <v>15</v>
      </c>
      <c r="D68" s="50">
        <f>11+1</f>
        <v>12</v>
      </c>
      <c r="E68" s="50">
        <f>4-1</f>
        <v>3</v>
      </c>
      <c r="F68" s="74">
        <f t="shared" si="12"/>
        <v>15</v>
      </c>
      <c r="G68" s="75">
        <v>12</v>
      </c>
      <c r="H68" s="75">
        <f>1+1</f>
        <v>2</v>
      </c>
      <c r="I68" s="75">
        <f t="shared" si="13"/>
        <v>14</v>
      </c>
      <c r="J68" s="75">
        <f t="shared" si="14"/>
        <v>1</v>
      </c>
      <c r="K68" s="75">
        <f t="shared" si="15"/>
        <v>0</v>
      </c>
      <c r="L68" s="75"/>
      <c r="M68" s="627">
        <f t="shared" si="16"/>
        <v>0</v>
      </c>
      <c r="N68" s="76"/>
    </row>
    <row r="69" spans="1:14" x14ac:dyDescent="0.35">
      <c r="A69" s="72" t="s">
        <v>276</v>
      </c>
      <c r="B69" s="73" t="s">
        <v>278</v>
      </c>
      <c r="C69" s="74">
        <v>3</v>
      </c>
      <c r="D69" s="50">
        <v>3</v>
      </c>
      <c r="E69" s="50">
        <v>0</v>
      </c>
      <c r="F69" s="74">
        <f t="shared" si="12"/>
        <v>3</v>
      </c>
      <c r="G69" s="75">
        <f>1+1</f>
        <v>2</v>
      </c>
      <c r="H69" s="75"/>
      <c r="I69" s="75">
        <f t="shared" si="13"/>
        <v>2</v>
      </c>
      <c r="J69" s="75">
        <f t="shared" si="14"/>
        <v>1</v>
      </c>
      <c r="K69" s="75">
        <f t="shared" si="15"/>
        <v>0</v>
      </c>
      <c r="L69" s="75"/>
      <c r="M69" s="627">
        <f t="shared" si="16"/>
        <v>0</v>
      </c>
      <c r="N69" s="76"/>
    </row>
    <row r="70" spans="1:14" ht="15" thickBot="1" x14ac:dyDescent="0.4">
      <c r="A70" s="77" t="s">
        <v>276</v>
      </c>
      <c r="B70" s="78" t="s">
        <v>279</v>
      </c>
      <c r="C70" s="79"/>
      <c r="D70" s="51"/>
      <c r="E70" s="51"/>
      <c r="F70" s="79">
        <f t="shared" si="12"/>
        <v>0</v>
      </c>
      <c r="G70" s="80"/>
      <c r="H70" s="80"/>
      <c r="I70" s="75">
        <f t="shared" si="13"/>
        <v>0</v>
      </c>
      <c r="J70" s="80">
        <f t="shared" si="14"/>
        <v>0</v>
      </c>
      <c r="K70" s="80">
        <f t="shared" si="15"/>
        <v>0</v>
      </c>
      <c r="L70" s="80"/>
      <c r="M70" s="627">
        <f t="shared" si="16"/>
        <v>0</v>
      </c>
      <c r="N70" s="81"/>
    </row>
    <row r="71" spans="1:14" ht="26" customHeight="1" thickBot="1" x14ac:dyDescent="0.4">
      <c r="A71" s="91"/>
      <c r="B71" s="92"/>
      <c r="C71" s="92">
        <f>SUM(C56:C70)</f>
        <v>371</v>
      </c>
      <c r="D71" s="92">
        <f>SUM(D56:D70)</f>
        <v>217</v>
      </c>
      <c r="E71" s="92">
        <f>SUM(E56:E70)</f>
        <v>154</v>
      </c>
      <c r="F71" s="92">
        <f t="shared" ref="F71:K71" si="17">SUM(F56:F70)</f>
        <v>371</v>
      </c>
      <c r="G71" s="92">
        <f t="shared" si="17"/>
        <v>202</v>
      </c>
      <c r="H71" s="92">
        <f t="shared" si="17"/>
        <v>149</v>
      </c>
      <c r="I71" s="92">
        <f t="shared" si="17"/>
        <v>351</v>
      </c>
      <c r="J71" s="92">
        <f t="shared" si="17"/>
        <v>20</v>
      </c>
      <c r="K71" s="92">
        <f t="shared" si="17"/>
        <v>0</v>
      </c>
      <c r="L71" s="644">
        <f>SUM(L56:L70)</f>
        <v>0</v>
      </c>
      <c r="M71" s="97">
        <f>SUM(M56:M70)</f>
        <v>0</v>
      </c>
      <c r="N71" s="93"/>
    </row>
  </sheetData>
  <mergeCells count="17">
    <mergeCell ref="A54:N54"/>
    <mergeCell ref="O55:Q55"/>
    <mergeCell ref="O56:Q56"/>
    <mergeCell ref="O57:Q57"/>
    <mergeCell ref="O58:Q58"/>
    <mergeCell ref="A45:A52"/>
    <mergeCell ref="A1:N1"/>
    <mergeCell ref="O2:Q2"/>
    <mergeCell ref="A3:A9"/>
    <mergeCell ref="O3:Q3"/>
    <mergeCell ref="O4:Q4"/>
    <mergeCell ref="O5:Q5"/>
    <mergeCell ref="A10:A17"/>
    <mergeCell ref="A18:A23"/>
    <mergeCell ref="A24:A29"/>
    <mergeCell ref="A39:A44"/>
    <mergeCell ref="A30:A38"/>
  </mergeCells>
  <pageMargins left="0.70866141732283472" right="0.70866141732283472" top="0.74803149606299213" bottom="0.74803149606299213" header="0.31496062992125984" footer="0.31496062992125984"/>
  <pageSetup paperSize="9" scale="55" orientation="landscape" horizontalDpi="300" verticalDpi="300" r:id="rId1"/>
  <rowBreaks count="1" manualBreakCount="1">
    <brk id="53" max="1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963E-CE94-4155-8796-31B20212B10A}">
  <dimension ref="A1:P19"/>
  <sheetViews>
    <sheetView topLeftCell="A5" zoomScale="84" workbookViewId="0">
      <selection activeCell="B11" sqref="B11:H11"/>
    </sheetView>
  </sheetViews>
  <sheetFormatPr defaultRowHeight="14.5" x14ac:dyDescent="0.35"/>
  <cols>
    <col min="2" max="2" width="9.453125" customWidth="1"/>
    <col min="3" max="3" width="19" customWidth="1"/>
    <col min="9" max="9" width="11.26953125" bestFit="1" customWidth="1"/>
  </cols>
  <sheetData>
    <row r="1" spans="1:16" ht="21.5" customHeight="1" x14ac:dyDescent="0.35">
      <c r="A1" s="1222" t="s">
        <v>976</v>
      </c>
      <c r="B1" s="1221" t="s">
        <v>251</v>
      </c>
      <c r="C1" s="1221" t="s">
        <v>963</v>
      </c>
      <c r="D1" s="1218" t="s">
        <v>964</v>
      </c>
      <c r="E1" s="1219"/>
      <c r="F1" s="1219"/>
      <c r="G1" s="1219"/>
      <c r="H1" s="1220"/>
    </row>
    <row r="2" spans="1:16" ht="20.5" customHeight="1" x14ac:dyDescent="0.35">
      <c r="A2" s="1162"/>
      <c r="B2" s="954"/>
      <c r="C2" s="954"/>
      <c r="D2" s="35" t="s">
        <v>956</v>
      </c>
      <c r="E2" s="35" t="s">
        <v>957</v>
      </c>
      <c r="F2" s="35" t="s">
        <v>958</v>
      </c>
      <c r="G2" s="35" t="s">
        <v>959</v>
      </c>
      <c r="H2" s="515" t="s">
        <v>11</v>
      </c>
    </row>
    <row r="3" spans="1:16" ht="25" customHeight="1" x14ac:dyDescent="0.35">
      <c r="A3" s="1224">
        <v>1</v>
      </c>
      <c r="B3" s="1223" t="s">
        <v>191</v>
      </c>
      <c r="C3" s="886" t="s">
        <v>952</v>
      </c>
      <c r="D3" s="886">
        <v>3</v>
      </c>
      <c r="E3" s="886">
        <v>4</v>
      </c>
      <c r="F3" s="886">
        <v>3</v>
      </c>
      <c r="G3" s="886">
        <v>2</v>
      </c>
      <c r="H3" s="887">
        <f>SUM(D3:G3)</f>
        <v>12</v>
      </c>
    </row>
    <row r="4" spans="1:16" ht="25" customHeight="1" x14ac:dyDescent="0.35">
      <c r="A4" s="1224"/>
      <c r="B4" s="1223"/>
      <c r="C4" s="886" t="s">
        <v>950</v>
      </c>
      <c r="D4" s="886"/>
      <c r="E4" s="886">
        <v>1</v>
      </c>
      <c r="F4" s="886"/>
      <c r="G4" s="886">
        <v>2</v>
      </c>
      <c r="H4" s="887">
        <f t="shared" ref="H4:H17" si="0">SUM(D4:G4)</f>
        <v>3</v>
      </c>
    </row>
    <row r="5" spans="1:16" ht="25" customHeight="1" x14ac:dyDescent="0.35">
      <c r="A5" s="1224"/>
      <c r="B5" s="1223"/>
      <c r="C5" s="886" t="s">
        <v>951</v>
      </c>
      <c r="D5" s="886">
        <v>1</v>
      </c>
      <c r="E5" s="886"/>
      <c r="F5" s="886">
        <v>1</v>
      </c>
      <c r="G5" s="886"/>
      <c r="H5" s="887">
        <f t="shared" si="0"/>
        <v>2</v>
      </c>
    </row>
    <row r="6" spans="1:16" ht="25" customHeight="1" x14ac:dyDescent="0.35">
      <c r="A6" s="1224"/>
      <c r="B6" s="1223"/>
      <c r="C6" s="886" t="s">
        <v>953</v>
      </c>
      <c r="D6" s="886"/>
      <c r="E6" s="886"/>
      <c r="F6" s="886"/>
      <c r="G6" s="886">
        <v>1</v>
      </c>
      <c r="H6" s="887">
        <f t="shared" si="0"/>
        <v>1</v>
      </c>
      <c r="P6" s="649"/>
    </row>
    <row r="7" spans="1:16" ht="25" customHeight="1" x14ac:dyDescent="0.35">
      <c r="A7" s="1224">
        <v>2</v>
      </c>
      <c r="B7" s="1223" t="s">
        <v>202</v>
      </c>
      <c r="C7" s="886" t="s">
        <v>952</v>
      </c>
      <c r="D7" s="886">
        <v>1</v>
      </c>
      <c r="E7" s="886"/>
      <c r="F7" s="886">
        <v>1</v>
      </c>
      <c r="G7" s="886">
        <v>1</v>
      </c>
      <c r="H7" s="887">
        <f t="shared" si="0"/>
        <v>3</v>
      </c>
    </row>
    <row r="8" spans="1:16" ht="25" customHeight="1" x14ac:dyDescent="0.35">
      <c r="A8" s="1224"/>
      <c r="B8" s="1223"/>
      <c r="C8" s="886" t="s">
        <v>951</v>
      </c>
      <c r="D8" s="886">
        <v>2</v>
      </c>
      <c r="E8" s="886">
        <v>1</v>
      </c>
      <c r="F8" s="886">
        <v>2</v>
      </c>
      <c r="G8" s="886">
        <v>1</v>
      </c>
      <c r="H8" s="887">
        <f t="shared" si="0"/>
        <v>6</v>
      </c>
    </row>
    <row r="9" spans="1:16" ht="25" customHeight="1" thickBot="1" x14ac:dyDescent="0.4">
      <c r="A9" s="40">
        <v>3</v>
      </c>
      <c r="B9" s="41" t="s">
        <v>211</v>
      </c>
      <c r="C9" s="888" t="s">
        <v>950</v>
      </c>
      <c r="D9" s="889"/>
      <c r="E9" s="889"/>
      <c r="F9" s="888">
        <v>1</v>
      </c>
      <c r="G9" s="889"/>
      <c r="H9" s="890">
        <f t="shared" si="0"/>
        <v>1</v>
      </c>
    </row>
    <row r="10" spans="1:16" ht="25" customHeight="1" x14ac:dyDescent="0.35">
      <c r="A10" s="724">
        <v>4</v>
      </c>
      <c r="B10" s="711" t="s">
        <v>218</v>
      </c>
      <c r="C10" s="711" t="s">
        <v>952</v>
      </c>
      <c r="D10" s="711">
        <v>1</v>
      </c>
      <c r="E10" s="711"/>
      <c r="F10" s="711"/>
      <c r="G10" s="711"/>
      <c r="H10" s="850">
        <f>SUM(D10:G10)</f>
        <v>1</v>
      </c>
      <c r="I10" s="453" t="s">
        <v>1229</v>
      </c>
    </row>
    <row r="11" spans="1:16" ht="25" customHeight="1" x14ac:dyDescent="0.35">
      <c r="A11" s="38">
        <v>5</v>
      </c>
      <c r="B11" s="39" t="s">
        <v>156</v>
      </c>
      <c r="C11" s="39" t="s">
        <v>950</v>
      </c>
      <c r="D11" s="39">
        <v>1</v>
      </c>
      <c r="E11" s="39"/>
      <c r="F11" s="39"/>
      <c r="G11" s="39">
        <v>1</v>
      </c>
      <c r="H11" s="515">
        <f>SUM(D11:G11)</f>
        <v>2</v>
      </c>
      <c r="I11" s="453" t="s">
        <v>1229</v>
      </c>
    </row>
    <row r="12" spans="1:16" ht="25" customHeight="1" x14ac:dyDescent="0.35">
      <c r="A12" s="1224">
        <v>6</v>
      </c>
      <c r="B12" s="1223" t="s">
        <v>960</v>
      </c>
      <c r="C12" s="478" t="s">
        <v>952</v>
      </c>
      <c r="D12" s="503"/>
      <c r="E12" s="503"/>
      <c r="F12" s="503"/>
      <c r="G12" s="478">
        <v>1</v>
      </c>
      <c r="H12" s="516">
        <f t="shared" si="0"/>
        <v>1</v>
      </c>
      <c r="I12" s="453"/>
    </row>
    <row r="13" spans="1:16" ht="25" customHeight="1" x14ac:dyDescent="0.35">
      <c r="A13" s="1224"/>
      <c r="B13" s="1223"/>
      <c r="C13" s="478" t="s">
        <v>951</v>
      </c>
      <c r="D13" s="503"/>
      <c r="E13" s="503"/>
      <c r="F13" s="478">
        <v>1</v>
      </c>
      <c r="G13" s="478"/>
      <c r="H13" s="516">
        <f t="shared" si="0"/>
        <v>1</v>
      </c>
      <c r="I13" s="453"/>
    </row>
    <row r="14" spans="1:16" ht="25" customHeight="1" x14ac:dyDescent="0.35">
      <c r="A14" s="1224">
        <v>7</v>
      </c>
      <c r="B14" s="1223" t="s">
        <v>961</v>
      </c>
      <c r="C14" s="477" t="s">
        <v>952</v>
      </c>
      <c r="D14" s="477">
        <v>1</v>
      </c>
      <c r="E14" s="477">
        <v>1</v>
      </c>
      <c r="F14" s="477"/>
      <c r="G14" s="477"/>
      <c r="H14" s="868">
        <f t="shared" si="0"/>
        <v>2</v>
      </c>
      <c r="I14" s="453" t="s">
        <v>1276</v>
      </c>
    </row>
    <row r="15" spans="1:16" ht="25" customHeight="1" x14ac:dyDescent="0.35">
      <c r="A15" s="1224"/>
      <c r="B15" s="1223"/>
      <c r="C15" s="478" t="s">
        <v>954</v>
      </c>
      <c r="D15" s="478">
        <v>1</v>
      </c>
      <c r="E15" s="478">
        <v>1</v>
      </c>
      <c r="F15" s="478">
        <v>1</v>
      </c>
      <c r="G15" s="478">
        <v>1</v>
      </c>
      <c r="H15" s="516">
        <f t="shared" si="0"/>
        <v>4</v>
      </c>
      <c r="I15" s="453"/>
    </row>
    <row r="16" spans="1:16" ht="25" customHeight="1" x14ac:dyDescent="0.35">
      <c r="A16" s="1224"/>
      <c r="B16" s="1223"/>
      <c r="C16" s="478" t="s">
        <v>955</v>
      </c>
      <c r="D16" s="478">
        <v>1</v>
      </c>
      <c r="E16" s="478">
        <v>1</v>
      </c>
      <c r="F16" s="478">
        <v>1</v>
      </c>
      <c r="G16" s="478">
        <v>1</v>
      </c>
      <c r="H16" s="516">
        <f t="shared" si="0"/>
        <v>4</v>
      </c>
      <c r="I16" s="453"/>
    </row>
    <row r="17" spans="1:9" ht="25" customHeight="1" thickBot="1" x14ac:dyDescent="0.4">
      <c r="A17" s="501">
        <v>8</v>
      </c>
      <c r="B17" s="502" t="s">
        <v>962</v>
      </c>
      <c r="C17" s="480" t="s">
        <v>954</v>
      </c>
      <c r="D17" s="480">
        <v>1</v>
      </c>
      <c r="E17" s="480"/>
      <c r="F17" s="480">
        <v>1</v>
      </c>
      <c r="G17" s="480">
        <v>1</v>
      </c>
      <c r="H17" s="842">
        <f t="shared" si="0"/>
        <v>3</v>
      </c>
      <c r="I17" s="453"/>
    </row>
    <row r="18" spans="1:9" ht="15" thickBot="1" x14ac:dyDescent="0.4">
      <c r="H18" s="453"/>
    </row>
    <row r="19" spans="1:9" ht="15" thickBot="1" x14ac:dyDescent="0.4">
      <c r="A19" s="843"/>
      <c r="B19" s="844" t="s">
        <v>137</v>
      </c>
      <c r="C19" s="869" t="s">
        <v>952</v>
      </c>
      <c r="D19" s="869">
        <v>1</v>
      </c>
      <c r="E19" s="870"/>
      <c r="F19" s="870"/>
      <c r="G19" s="870"/>
      <c r="H19" s="871">
        <v>1</v>
      </c>
      <c r="I19" s="453" t="s">
        <v>1276</v>
      </c>
    </row>
  </sheetData>
  <mergeCells count="12">
    <mergeCell ref="D1:H1"/>
    <mergeCell ref="C1:C2"/>
    <mergeCell ref="B1:B2"/>
    <mergeCell ref="A1:A2"/>
    <mergeCell ref="B14:B16"/>
    <mergeCell ref="A3:A6"/>
    <mergeCell ref="A7:A8"/>
    <mergeCell ref="A12:A13"/>
    <mergeCell ref="A14:A16"/>
    <mergeCell ref="B3:B6"/>
    <mergeCell ref="B7:B8"/>
    <mergeCell ref="B12:B13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EFBE-012A-4997-99F4-2C1B3EADE8F7}">
  <dimension ref="A1:EM39"/>
  <sheetViews>
    <sheetView topLeftCell="B4" zoomScaleNormal="100" workbookViewId="0">
      <selection activeCell="CU13" sqref="CU13"/>
    </sheetView>
  </sheetViews>
  <sheetFormatPr defaultRowHeight="14.5" x14ac:dyDescent="0.35"/>
  <cols>
    <col min="1" max="1" width="6.08984375" hidden="1" customWidth="1"/>
    <col min="4" max="4" width="25.1796875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10.26953125" customWidth="1"/>
    <col min="14" max="14" width="16.7265625" hidden="1" customWidth="1"/>
    <col min="15" max="15" width="38.54296875" bestFit="1" customWidth="1"/>
    <col min="16" max="143" width="8.7265625" style="456"/>
    <col min="243" max="243" width="5.7265625" customWidth="1"/>
    <col min="246" max="246" width="22.7265625" customWidth="1"/>
    <col min="247" max="247" width="6.26953125" customWidth="1"/>
    <col min="248" max="248" width="5.7265625" customWidth="1"/>
    <col min="249" max="249" width="6" customWidth="1"/>
    <col min="250" max="251" width="4.26953125" customWidth="1"/>
    <col min="252" max="252" width="4" customWidth="1"/>
    <col min="253" max="253" width="4.1796875" customWidth="1"/>
    <col min="254" max="254" width="4" customWidth="1"/>
    <col min="255" max="255" width="10.26953125" customWidth="1"/>
    <col min="256" max="256" width="16.7265625" customWidth="1"/>
    <col min="257" max="257" width="21" customWidth="1"/>
    <col min="499" max="499" width="5.7265625" customWidth="1"/>
    <col min="502" max="502" width="22.7265625" customWidth="1"/>
    <col min="503" max="503" width="6.26953125" customWidth="1"/>
    <col min="504" max="504" width="5.7265625" customWidth="1"/>
    <col min="505" max="505" width="6" customWidth="1"/>
    <col min="506" max="507" width="4.26953125" customWidth="1"/>
    <col min="508" max="508" width="4" customWidth="1"/>
    <col min="509" max="509" width="4.1796875" customWidth="1"/>
    <col min="510" max="510" width="4" customWidth="1"/>
    <col min="511" max="511" width="10.26953125" customWidth="1"/>
    <col min="512" max="512" width="16.7265625" customWidth="1"/>
    <col min="513" max="513" width="21" customWidth="1"/>
    <col min="755" max="755" width="5.7265625" customWidth="1"/>
    <col min="758" max="758" width="22.7265625" customWidth="1"/>
    <col min="759" max="759" width="6.26953125" customWidth="1"/>
    <col min="760" max="760" width="5.7265625" customWidth="1"/>
    <col min="761" max="761" width="6" customWidth="1"/>
    <col min="762" max="763" width="4.26953125" customWidth="1"/>
    <col min="764" max="764" width="4" customWidth="1"/>
    <col min="765" max="765" width="4.1796875" customWidth="1"/>
    <col min="766" max="766" width="4" customWidth="1"/>
    <col min="767" max="767" width="10.26953125" customWidth="1"/>
    <col min="768" max="768" width="16.7265625" customWidth="1"/>
    <col min="769" max="769" width="21" customWidth="1"/>
    <col min="1011" max="1011" width="5.7265625" customWidth="1"/>
    <col min="1014" max="1014" width="22.7265625" customWidth="1"/>
    <col min="1015" max="1015" width="6.26953125" customWidth="1"/>
    <col min="1016" max="1016" width="5.7265625" customWidth="1"/>
    <col min="1017" max="1017" width="6" customWidth="1"/>
    <col min="1018" max="1019" width="4.26953125" customWidth="1"/>
    <col min="1020" max="1020" width="4" customWidth="1"/>
    <col min="1021" max="1021" width="4.1796875" customWidth="1"/>
    <col min="1022" max="1022" width="4" customWidth="1"/>
    <col min="1023" max="1023" width="10.26953125" customWidth="1"/>
    <col min="1024" max="1024" width="16.7265625" customWidth="1"/>
    <col min="1025" max="1025" width="21" customWidth="1"/>
    <col min="1267" max="1267" width="5.7265625" customWidth="1"/>
    <col min="1270" max="1270" width="22.7265625" customWidth="1"/>
    <col min="1271" max="1271" width="6.26953125" customWidth="1"/>
    <col min="1272" max="1272" width="5.7265625" customWidth="1"/>
    <col min="1273" max="1273" width="6" customWidth="1"/>
    <col min="1274" max="1275" width="4.26953125" customWidth="1"/>
    <col min="1276" max="1276" width="4" customWidth="1"/>
    <col min="1277" max="1277" width="4.1796875" customWidth="1"/>
    <col min="1278" max="1278" width="4" customWidth="1"/>
    <col min="1279" max="1279" width="10.26953125" customWidth="1"/>
    <col min="1280" max="1280" width="16.7265625" customWidth="1"/>
    <col min="1281" max="1281" width="21" customWidth="1"/>
    <col min="1523" max="1523" width="5.7265625" customWidth="1"/>
    <col min="1526" max="1526" width="22.7265625" customWidth="1"/>
    <col min="1527" max="1527" width="6.26953125" customWidth="1"/>
    <col min="1528" max="1528" width="5.7265625" customWidth="1"/>
    <col min="1529" max="1529" width="6" customWidth="1"/>
    <col min="1530" max="1531" width="4.26953125" customWidth="1"/>
    <col min="1532" max="1532" width="4" customWidth="1"/>
    <col min="1533" max="1533" width="4.1796875" customWidth="1"/>
    <col min="1534" max="1534" width="4" customWidth="1"/>
    <col min="1535" max="1535" width="10.26953125" customWidth="1"/>
    <col min="1536" max="1536" width="16.7265625" customWidth="1"/>
    <col min="1537" max="1537" width="21" customWidth="1"/>
    <col min="1779" max="1779" width="5.7265625" customWidth="1"/>
    <col min="1782" max="1782" width="22.7265625" customWidth="1"/>
    <col min="1783" max="1783" width="6.26953125" customWidth="1"/>
    <col min="1784" max="1784" width="5.7265625" customWidth="1"/>
    <col min="1785" max="1785" width="6" customWidth="1"/>
    <col min="1786" max="1787" width="4.26953125" customWidth="1"/>
    <col min="1788" max="1788" width="4" customWidth="1"/>
    <col min="1789" max="1789" width="4.1796875" customWidth="1"/>
    <col min="1790" max="1790" width="4" customWidth="1"/>
    <col min="1791" max="1791" width="10.26953125" customWidth="1"/>
    <col min="1792" max="1792" width="16.7265625" customWidth="1"/>
    <col min="1793" max="1793" width="21" customWidth="1"/>
    <col min="2035" max="2035" width="5.7265625" customWidth="1"/>
    <col min="2038" max="2038" width="22.7265625" customWidth="1"/>
    <col min="2039" max="2039" width="6.26953125" customWidth="1"/>
    <col min="2040" max="2040" width="5.7265625" customWidth="1"/>
    <col min="2041" max="2041" width="6" customWidth="1"/>
    <col min="2042" max="2043" width="4.26953125" customWidth="1"/>
    <col min="2044" max="2044" width="4" customWidth="1"/>
    <col min="2045" max="2045" width="4.1796875" customWidth="1"/>
    <col min="2046" max="2046" width="4" customWidth="1"/>
    <col min="2047" max="2047" width="10.26953125" customWidth="1"/>
    <col min="2048" max="2048" width="16.7265625" customWidth="1"/>
    <col min="2049" max="2049" width="21" customWidth="1"/>
    <col min="2291" max="2291" width="5.7265625" customWidth="1"/>
    <col min="2294" max="2294" width="22.7265625" customWidth="1"/>
    <col min="2295" max="2295" width="6.26953125" customWidth="1"/>
    <col min="2296" max="2296" width="5.7265625" customWidth="1"/>
    <col min="2297" max="2297" width="6" customWidth="1"/>
    <col min="2298" max="2299" width="4.26953125" customWidth="1"/>
    <col min="2300" max="2300" width="4" customWidth="1"/>
    <col min="2301" max="2301" width="4.1796875" customWidth="1"/>
    <col min="2302" max="2302" width="4" customWidth="1"/>
    <col min="2303" max="2303" width="10.26953125" customWidth="1"/>
    <col min="2304" max="2304" width="16.7265625" customWidth="1"/>
    <col min="2305" max="2305" width="21" customWidth="1"/>
    <col min="2547" max="2547" width="5.7265625" customWidth="1"/>
    <col min="2550" max="2550" width="22.7265625" customWidth="1"/>
    <col min="2551" max="2551" width="6.26953125" customWidth="1"/>
    <col min="2552" max="2552" width="5.7265625" customWidth="1"/>
    <col min="2553" max="2553" width="6" customWidth="1"/>
    <col min="2554" max="2555" width="4.26953125" customWidth="1"/>
    <col min="2556" max="2556" width="4" customWidth="1"/>
    <col min="2557" max="2557" width="4.1796875" customWidth="1"/>
    <col min="2558" max="2558" width="4" customWidth="1"/>
    <col min="2559" max="2559" width="10.26953125" customWidth="1"/>
    <col min="2560" max="2560" width="16.7265625" customWidth="1"/>
    <col min="2561" max="2561" width="21" customWidth="1"/>
    <col min="2803" max="2803" width="5.7265625" customWidth="1"/>
    <col min="2806" max="2806" width="22.7265625" customWidth="1"/>
    <col min="2807" max="2807" width="6.26953125" customWidth="1"/>
    <col min="2808" max="2808" width="5.7265625" customWidth="1"/>
    <col min="2809" max="2809" width="6" customWidth="1"/>
    <col min="2810" max="2811" width="4.26953125" customWidth="1"/>
    <col min="2812" max="2812" width="4" customWidth="1"/>
    <col min="2813" max="2813" width="4.1796875" customWidth="1"/>
    <col min="2814" max="2814" width="4" customWidth="1"/>
    <col min="2815" max="2815" width="10.26953125" customWidth="1"/>
    <col min="2816" max="2816" width="16.7265625" customWidth="1"/>
    <col min="2817" max="2817" width="21" customWidth="1"/>
    <col min="3059" max="3059" width="5.7265625" customWidth="1"/>
    <col min="3062" max="3062" width="22.7265625" customWidth="1"/>
    <col min="3063" max="3063" width="6.26953125" customWidth="1"/>
    <col min="3064" max="3064" width="5.7265625" customWidth="1"/>
    <col min="3065" max="3065" width="6" customWidth="1"/>
    <col min="3066" max="3067" width="4.26953125" customWidth="1"/>
    <col min="3068" max="3068" width="4" customWidth="1"/>
    <col min="3069" max="3069" width="4.1796875" customWidth="1"/>
    <col min="3070" max="3070" width="4" customWidth="1"/>
    <col min="3071" max="3071" width="10.26953125" customWidth="1"/>
    <col min="3072" max="3072" width="16.7265625" customWidth="1"/>
    <col min="3073" max="3073" width="21" customWidth="1"/>
    <col min="3315" max="3315" width="5.7265625" customWidth="1"/>
    <col min="3318" max="3318" width="22.7265625" customWidth="1"/>
    <col min="3319" max="3319" width="6.26953125" customWidth="1"/>
    <col min="3320" max="3320" width="5.7265625" customWidth="1"/>
    <col min="3321" max="3321" width="6" customWidth="1"/>
    <col min="3322" max="3323" width="4.26953125" customWidth="1"/>
    <col min="3324" max="3324" width="4" customWidth="1"/>
    <col min="3325" max="3325" width="4.1796875" customWidth="1"/>
    <col min="3326" max="3326" width="4" customWidth="1"/>
    <col min="3327" max="3327" width="10.26953125" customWidth="1"/>
    <col min="3328" max="3328" width="16.7265625" customWidth="1"/>
    <col min="3329" max="3329" width="21" customWidth="1"/>
    <col min="3571" max="3571" width="5.7265625" customWidth="1"/>
    <col min="3574" max="3574" width="22.7265625" customWidth="1"/>
    <col min="3575" max="3575" width="6.26953125" customWidth="1"/>
    <col min="3576" max="3576" width="5.7265625" customWidth="1"/>
    <col min="3577" max="3577" width="6" customWidth="1"/>
    <col min="3578" max="3579" width="4.26953125" customWidth="1"/>
    <col min="3580" max="3580" width="4" customWidth="1"/>
    <col min="3581" max="3581" width="4.1796875" customWidth="1"/>
    <col min="3582" max="3582" width="4" customWidth="1"/>
    <col min="3583" max="3583" width="10.26953125" customWidth="1"/>
    <col min="3584" max="3584" width="16.7265625" customWidth="1"/>
    <col min="3585" max="3585" width="21" customWidth="1"/>
    <col min="3827" max="3827" width="5.7265625" customWidth="1"/>
    <col min="3830" max="3830" width="22.7265625" customWidth="1"/>
    <col min="3831" max="3831" width="6.26953125" customWidth="1"/>
    <col min="3832" max="3832" width="5.7265625" customWidth="1"/>
    <col min="3833" max="3833" width="6" customWidth="1"/>
    <col min="3834" max="3835" width="4.26953125" customWidth="1"/>
    <col min="3836" max="3836" width="4" customWidth="1"/>
    <col min="3837" max="3837" width="4.1796875" customWidth="1"/>
    <col min="3838" max="3838" width="4" customWidth="1"/>
    <col min="3839" max="3839" width="10.26953125" customWidth="1"/>
    <col min="3840" max="3840" width="16.7265625" customWidth="1"/>
    <col min="3841" max="3841" width="21" customWidth="1"/>
    <col min="4083" max="4083" width="5.7265625" customWidth="1"/>
    <col min="4086" max="4086" width="22.7265625" customWidth="1"/>
    <col min="4087" max="4087" width="6.26953125" customWidth="1"/>
    <col min="4088" max="4088" width="5.7265625" customWidth="1"/>
    <col min="4089" max="4089" width="6" customWidth="1"/>
    <col min="4090" max="4091" width="4.26953125" customWidth="1"/>
    <col min="4092" max="4092" width="4" customWidth="1"/>
    <col min="4093" max="4093" width="4.1796875" customWidth="1"/>
    <col min="4094" max="4094" width="4" customWidth="1"/>
    <col min="4095" max="4095" width="10.26953125" customWidth="1"/>
    <col min="4096" max="4096" width="16.7265625" customWidth="1"/>
    <col min="4097" max="4097" width="21" customWidth="1"/>
    <col min="4339" max="4339" width="5.7265625" customWidth="1"/>
    <col min="4342" max="4342" width="22.7265625" customWidth="1"/>
    <col min="4343" max="4343" width="6.26953125" customWidth="1"/>
    <col min="4344" max="4344" width="5.7265625" customWidth="1"/>
    <col min="4345" max="4345" width="6" customWidth="1"/>
    <col min="4346" max="4347" width="4.26953125" customWidth="1"/>
    <col min="4348" max="4348" width="4" customWidth="1"/>
    <col min="4349" max="4349" width="4.1796875" customWidth="1"/>
    <col min="4350" max="4350" width="4" customWidth="1"/>
    <col min="4351" max="4351" width="10.26953125" customWidth="1"/>
    <col min="4352" max="4352" width="16.7265625" customWidth="1"/>
    <col min="4353" max="4353" width="21" customWidth="1"/>
    <col min="4595" max="4595" width="5.7265625" customWidth="1"/>
    <col min="4598" max="4598" width="22.7265625" customWidth="1"/>
    <col min="4599" max="4599" width="6.26953125" customWidth="1"/>
    <col min="4600" max="4600" width="5.7265625" customWidth="1"/>
    <col min="4601" max="4601" width="6" customWidth="1"/>
    <col min="4602" max="4603" width="4.26953125" customWidth="1"/>
    <col min="4604" max="4604" width="4" customWidth="1"/>
    <col min="4605" max="4605" width="4.1796875" customWidth="1"/>
    <col min="4606" max="4606" width="4" customWidth="1"/>
    <col min="4607" max="4607" width="10.26953125" customWidth="1"/>
    <col min="4608" max="4608" width="16.7265625" customWidth="1"/>
    <col min="4609" max="4609" width="21" customWidth="1"/>
    <col min="4851" max="4851" width="5.7265625" customWidth="1"/>
    <col min="4854" max="4854" width="22.7265625" customWidth="1"/>
    <col min="4855" max="4855" width="6.26953125" customWidth="1"/>
    <col min="4856" max="4856" width="5.7265625" customWidth="1"/>
    <col min="4857" max="4857" width="6" customWidth="1"/>
    <col min="4858" max="4859" width="4.26953125" customWidth="1"/>
    <col min="4860" max="4860" width="4" customWidth="1"/>
    <col min="4861" max="4861" width="4.1796875" customWidth="1"/>
    <col min="4862" max="4862" width="4" customWidth="1"/>
    <col min="4863" max="4863" width="10.26953125" customWidth="1"/>
    <col min="4864" max="4864" width="16.7265625" customWidth="1"/>
    <col min="4865" max="4865" width="21" customWidth="1"/>
    <col min="5107" max="5107" width="5.7265625" customWidth="1"/>
    <col min="5110" max="5110" width="22.7265625" customWidth="1"/>
    <col min="5111" max="5111" width="6.26953125" customWidth="1"/>
    <col min="5112" max="5112" width="5.7265625" customWidth="1"/>
    <col min="5113" max="5113" width="6" customWidth="1"/>
    <col min="5114" max="5115" width="4.26953125" customWidth="1"/>
    <col min="5116" max="5116" width="4" customWidth="1"/>
    <col min="5117" max="5117" width="4.1796875" customWidth="1"/>
    <col min="5118" max="5118" width="4" customWidth="1"/>
    <col min="5119" max="5119" width="10.26953125" customWidth="1"/>
    <col min="5120" max="5120" width="16.7265625" customWidth="1"/>
    <col min="5121" max="5121" width="21" customWidth="1"/>
    <col min="5363" max="5363" width="5.7265625" customWidth="1"/>
    <col min="5366" max="5366" width="22.7265625" customWidth="1"/>
    <col min="5367" max="5367" width="6.26953125" customWidth="1"/>
    <col min="5368" max="5368" width="5.7265625" customWidth="1"/>
    <col min="5369" max="5369" width="6" customWidth="1"/>
    <col min="5370" max="5371" width="4.26953125" customWidth="1"/>
    <col min="5372" max="5372" width="4" customWidth="1"/>
    <col min="5373" max="5373" width="4.1796875" customWidth="1"/>
    <col min="5374" max="5374" width="4" customWidth="1"/>
    <col min="5375" max="5375" width="10.26953125" customWidth="1"/>
    <col min="5376" max="5376" width="16.7265625" customWidth="1"/>
    <col min="5377" max="5377" width="21" customWidth="1"/>
    <col min="5619" max="5619" width="5.7265625" customWidth="1"/>
    <col min="5622" max="5622" width="22.7265625" customWidth="1"/>
    <col min="5623" max="5623" width="6.26953125" customWidth="1"/>
    <col min="5624" max="5624" width="5.7265625" customWidth="1"/>
    <col min="5625" max="5625" width="6" customWidth="1"/>
    <col min="5626" max="5627" width="4.26953125" customWidth="1"/>
    <col min="5628" max="5628" width="4" customWidth="1"/>
    <col min="5629" max="5629" width="4.1796875" customWidth="1"/>
    <col min="5630" max="5630" width="4" customWidth="1"/>
    <col min="5631" max="5631" width="10.26953125" customWidth="1"/>
    <col min="5632" max="5632" width="16.7265625" customWidth="1"/>
    <col min="5633" max="5633" width="21" customWidth="1"/>
    <col min="5875" max="5875" width="5.7265625" customWidth="1"/>
    <col min="5878" max="5878" width="22.7265625" customWidth="1"/>
    <col min="5879" max="5879" width="6.26953125" customWidth="1"/>
    <col min="5880" max="5880" width="5.7265625" customWidth="1"/>
    <col min="5881" max="5881" width="6" customWidth="1"/>
    <col min="5882" max="5883" width="4.26953125" customWidth="1"/>
    <col min="5884" max="5884" width="4" customWidth="1"/>
    <col min="5885" max="5885" width="4.1796875" customWidth="1"/>
    <col min="5886" max="5886" width="4" customWidth="1"/>
    <col min="5887" max="5887" width="10.26953125" customWidth="1"/>
    <col min="5888" max="5888" width="16.7265625" customWidth="1"/>
    <col min="5889" max="5889" width="21" customWidth="1"/>
    <col min="6131" max="6131" width="5.7265625" customWidth="1"/>
    <col min="6134" max="6134" width="22.7265625" customWidth="1"/>
    <col min="6135" max="6135" width="6.26953125" customWidth="1"/>
    <col min="6136" max="6136" width="5.7265625" customWidth="1"/>
    <col min="6137" max="6137" width="6" customWidth="1"/>
    <col min="6138" max="6139" width="4.26953125" customWidth="1"/>
    <col min="6140" max="6140" width="4" customWidth="1"/>
    <col min="6141" max="6141" width="4.1796875" customWidth="1"/>
    <col min="6142" max="6142" width="4" customWidth="1"/>
    <col min="6143" max="6143" width="10.26953125" customWidth="1"/>
    <col min="6144" max="6144" width="16.7265625" customWidth="1"/>
    <col min="6145" max="6145" width="21" customWidth="1"/>
    <col min="6387" max="6387" width="5.7265625" customWidth="1"/>
    <col min="6390" max="6390" width="22.7265625" customWidth="1"/>
    <col min="6391" max="6391" width="6.26953125" customWidth="1"/>
    <col min="6392" max="6392" width="5.7265625" customWidth="1"/>
    <col min="6393" max="6393" width="6" customWidth="1"/>
    <col min="6394" max="6395" width="4.26953125" customWidth="1"/>
    <col min="6396" max="6396" width="4" customWidth="1"/>
    <col min="6397" max="6397" width="4.1796875" customWidth="1"/>
    <col min="6398" max="6398" width="4" customWidth="1"/>
    <col min="6399" max="6399" width="10.26953125" customWidth="1"/>
    <col min="6400" max="6400" width="16.7265625" customWidth="1"/>
    <col min="6401" max="6401" width="21" customWidth="1"/>
    <col min="6643" max="6643" width="5.7265625" customWidth="1"/>
    <col min="6646" max="6646" width="22.7265625" customWidth="1"/>
    <col min="6647" max="6647" width="6.26953125" customWidth="1"/>
    <col min="6648" max="6648" width="5.7265625" customWidth="1"/>
    <col min="6649" max="6649" width="6" customWidth="1"/>
    <col min="6650" max="6651" width="4.26953125" customWidth="1"/>
    <col min="6652" max="6652" width="4" customWidth="1"/>
    <col min="6653" max="6653" width="4.1796875" customWidth="1"/>
    <col min="6654" max="6654" width="4" customWidth="1"/>
    <col min="6655" max="6655" width="10.26953125" customWidth="1"/>
    <col min="6656" max="6656" width="16.7265625" customWidth="1"/>
    <col min="6657" max="6657" width="21" customWidth="1"/>
    <col min="6899" max="6899" width="5.7265625" customWidth="1"/>
    <col min="6902" max="6902" width="22.7265625" customWidth="1"/>
    <col min="6903" max="6903" width="6.26953125" customWidth="1"/>
    <col min="6904" max="6904" width="5.7265625" customWidth="1"/>
    <col min="6905" max="6905" width="6" customWidth="1"/>
    <col min="6906" max="6907" width="4.26953125" customWidth="1"/>
    <col min="6908" max="6908" width="4" customWidth="1"/>
    <col min="6909" max="6909" width="4.1796875" customWidth="1"/>
    <col min="6910" max="6910" width="4" customWidth="1"/>
    <col min="6911" max="6911" width="10.26953125" customWidth="1"/>
    <col min="6912" max="6912" width="16.7265625" customWidth="1"/>
    <col min="6913" max="6913" width="21" customWidth="1"/>
    <col min="7155" max="7155" width="5.7265625" customWidth="1"/>
    <col min="7158" max="7158" width="22.7265625" customWidth="1"/>
    <col min="7159" max="7159" width="6.26953125" customWidth="1"/>
    <col min="7160" max="7160" width="5.7265625" customWidth="1"/>
    <col min="7161" max="7161" width="6" customWidth="1"/>
    <col min="7162" max="7163" width="4.26953125" customWidth="1"/>
    <col min="7164" max="7164" width="4" customWidth="1"/>
    <col min="7165" max="7165" width="4.1796875" customWidth="1"/>
    <col min="7166" max="7166" width="4" customWidth="1"/>
    <col min="7167" max="7167" width="10.26953125" customWidth="1"/>
    <col min="7168" max="7168" width="16.7265625" customWidth="1"/>
    <col min="7169" max="7169" width="21" customWidth="1"/>
    <col min="7411" max="7411" width="5.7265625" customWidth="1"/>
    <col min="7414" max="7414" width="22.7265625" customWidth="1"/>
    <col min="7415" max="7415" width="6.26953125" customWidth="1"/>
    <col min="7416" max="7416" width="5.7265625" customWidth="1"/>
    <col min="7417" max="7417" width="6" customWidth="1"/>
    <col min="7418" max="7419" width="4.26953125" customWidth="1"/>
    <col min="7420" max="7420" width="4" customWidth="1"/>
    <col min="7421" max="7421" width="4.1796875" customWidth="1"/>
    <col min="7422" max="7422" width="4" customWidth="1"/>
    <col min="7423" max="7423" width="10.26953125" customWidth="1"/>
    <col min="7424" max="7424" width="16.7265625" customWidth="1"/>
    <col min="7425" max="7425" width="21" customWidth="1"/>
    <col min="7667" max="7667" width="5.7265625" customWidth="1"/>
    <col min="7670" max="7670" width="22.7265625" customWidth="1"/>
    <col min="7671" max="7671" width="6.26953125" customWidth="1"/>
    <col min="7672" max="7672" width="5.7265625" customWidth="1"/>
    <col min="7673" max="7673" width="6" customWidth="1"/>
    <col min="7674" max="7675" width="4.26953125" customWidth="1"/>
    <col min="7676" max="7676" width="4" customWidth="1"/>
    <col min="7677" max="7677" width="4.1796875" customWidth="1"/>
    <col min="7678" max="7678" width="4" customWidth="1"/>
    <col min="7679" max="7679" width="10.26953125" customWidth="1"/>
    <col min="7680" max="7680" width="16.7265625" customWidth="1"/>
    <col min="7681" max="7681" width="21" customWidth="1"/>
    <col min="7923" max="7923" width="5.7265625" customWidth="1"/>
    <col min="7926" max="7926" width="22.7265625" customWidth="1"/>
    <col min="7927" max="7927" width="6.26953125" customWidth="1"/>
    <col min="7928" max="7928" width="5.7265625" customWidth="1"/>
    <col min="7929" max="7929" width="6" customWidth="1"/>
    <col min="7930" max="7931" width="4.26953125" customWidth="1"/>
    <col min="7932" max="7932" width="4" customWidth="1"/>
    <col min="7933" max="7933" width="4.1796875" customWidth="1"/>
    <col min="7934" max="7934" width="4" customWidth="1"/>
    <col min="7935" max="7935" width="10.26953125" customWidth="1"/>
    <col min="7936" max="7936" width="16.7265625" customWidth="1"/>
    <col min="7937" max="7937" width="21" customWidth="1"/>
    <col min="8179" max="8179" width="5.7265625" customWidth="1"/>
    <col min="8182" max="8182" width="22.7265625" customWidth="1"/>
    <col min="8183" max="8183" width="6.26953125" customWidth="1"/>
    <col min="8184" max="8184" width="5.7265625" customWidth="1"/>
    <col min="8185" max="8185" width="6" customWidth="1"/>
    <col min="8186" max="8187" width="4.26953125" customWidth="1"/>
    <col min="8188" max="8188" width="4" customWidth="1"/>
    <col min="8189" max="8189" width="4.1796875" customWidth="1"/>
    <col min="8190" max="8190" width="4" customWidth="1"/>
    <col min="8191" max="8191" width="10.26953125" customWidth="1"/>
    <col min="8192" max="8192" width="16.7265625" customWidth="1"/>
    <col min="8193" max="8193" width="21" customWidth="1"/>
    <col min="8435" max="8435" width="5.7265625" customWidth="1"/>
    <col min="8438" max="8438" width="22.7265625" customWidth="1"/>
    <col min="8439" max="8439" width="6.26953125" customWidth="1"/>
    <col min="8440" max="8440" width="5.7265625" customWidth="1"/>
    <col min="8441" max="8441" width="6" customWidth="1"/>
    <col min="8442" max="8443" width="4.26953125" customWidth="1"/>
    <col min="8444" max="8444" width="4" customWidth="1"/>
    <col min="8445" max="8445" width="4.1796875" customWidth="1"/>
    <col min="8446" max="8446" width="4" customWidth="1"/>
    <col min="8447" max="8447" width="10.26953125" customWidth="1"/>
    <col min="8448" max="8448" width="16.7265625" customWidth="1"/>
    <col min="8449" max="8449" width="21" customWidth="1"/>
    <col min="8691" max="8691" width="5.7265625" customWidth="1"/>
    <col min="8694" max="8694" width="22.7265625" customWidth="1"/>
    <col min="8695" max="8695" width="6.26953125" customWidth="1"/>
    <col min="8696" max="8696" width="5.7265625" customWidth="1"/>
    <col min="8697" max="8697" width="6" customWidth="1"/>
    <col min="8698" max="8699" width="4.26953125" customWidth="1"/>
    <col min="8700" max="8700" width="4" customWidth="1"/>
    <col min="8701" max="8701" width="4.1796875" customWidth="1"/>
    <col min="8702" max="8702" width="4" customWidth="1"/>
    <col min="8703" max="8703" width="10.26953125" customWidth="1"/>
    <col min="8704" max="8704" width="16.7265625" customWidth="1"/>
    <col min="8705" max="8705" width="21" customWidth="1"/>
    <col min="8947" max="8947" width="5.7265625" customWidth="1"/>
    <col min="8950" max="8950" width="22.7265625" customWidth="1"/>
    <col min="8951" max="8951" width="6.26953125" customWidth="1"/>
    <col min="8952" max="8952" width="5.7265625" customWidth="1"/>
    <col min="8953" max="8953" width="6" customWidth="1"/>
    <col min="8954" max="8955" width="4.26953125" customWidth="1"/>
    <col min="8956" max="8956" width="4" customWidth="1"/>
    <col min="8957" max="8957" width="4.1796875" customWidth="1"/>
    <col min="8958" max="8958" width="4" customWidth="1"/>
    <col min="8959" max="8959" width="10.26953125" customWidth="1"/>
    <col min="8960" max="8960" width="16.7265625" customWidth="1"/>
    <col min="8961" max="8961" width="21" customWidth="1"/>
    <col min="9203" max="9203" width="5.7265625" customWidth="1"/>
    <col min="9206" max="9206" width="22.7265625" customWidth="1"/>
    <col min="9207" max="9207" width="6.26953125" customWidth="1"/>
    <col min="9208" max="9208" width="5.7265625" customWidth="1"/>
    <col min="9209" max="9209" width="6" customWidth="1"/>
    <col min="9210" max="9211" width="4.26953125" customWidth="1"/>
    <col min="9212" max="9212" width="4" customWidth="1"/>
    <col min="9213" max="9213" width="4.1796875" customWidth="1"/>
    <col min="9214" max="9214" width="4" customWidth="1"/>
    <col min="9215" max="9215" width="10.26953125" customWidth="1"/>
    <col min="9216" max="9216" width="16.7265625" customWidth="1"/>
    <col min="9217" max="9217" width="21" customWidth="1"/>
    <col min="9459" max="9459" width="5.7265625" customWidth="1"/>
    <col min="9462" max="9462" width="22.7265625" customWidth="1"/>
    <col min="9463" max="9463" width="6.26953125" customWidth="1"/>
    <col min="9464" max="9464" width="5.7265625" customWidth="1"/>
    <col min="9465" max="9465" width="6" customWidth="1"/>
    <col min="9466" max="9467" width="4.26953125" customWidth="1"/>
    <col min="9468" max="9468" width="4" customWidth="1"/>
    <col min="9469" max="9469" width="4.1796875" customWidth="1"/>
    <col min="9470" max="9470" width="4" customWidth="1"/>
    <col min="9471" max="9471" width="10.26953125" customWidth="1"/>
    <col min="9472" max="9472" width="16.7265625" customWidth="1"/>
    <col min="9473" max="9473" width="21" customWidth="1"/>
    <col min="9715" max="9715" width="5.7265625" customWidth="1"/>
    <col min="9718" max="9718" width="22.7265625" customWidth="1"/>
    <col min="9719" max="9719" width="6.26953125" customWidth="1"/>
    <col min="9720" max="9720" width="5.7265625" customWidth="1"/>
    <col min="9721" max="9721" width="6" customWidth="1"/>
    <col min="9722" max="9723" width="4.26953125" customWidth="1"/>
    <col min="9724" max="9724" width="4" customWidth="1"/>
    <col min="9725" max="9725" width="4.1796875" customWidth="1"/>
    <col min="9726" max="9726" width="4" customWidth="1"/>
    <col min="9727" max="9727" width="10.26953125" customWidth="1"/>
    <col min="9728" max="9728" width="16.7265625" customWidth="1"/>
    <col min="9729" max="9729" width="21" customWidth="1"/>
    <col min="9971" max="9971" width="5.7265625" customWidth="1"/>
    <col min="9974" max="9974" width="22.7265625" customWidth="1"/>
    <col min="9975" max="9975" width="6.26953125" customWidth="1"/>
    <col min="9976" max="9976" width="5.7265625" customWidth="1"/>
    <col min="9977" max="9977" width="6" customWidth="1"/>
    <col min="9978" max="9979" width="4.26953125" customWidth="1"/>
    <col min="9980" max="9980" width="4" customWidth="1"/>
    <col min="9981" max="9981" width="4.1796875" customWidth="1"/>
    <col min="9982" max="9982" width="4" customWidth="1"/>
    <col min="9983" max="9983" width="10.26953125" customWidth="1"/>
    <col min="9984" max="9984" width="16.7265625" customWidth="1"/>
    <col min="9985" max="9985" width="21" customWidth="1"/>
    <col min="10227" max="10227" width="5.7265625" customWidth="1"/>
    <col min="10230" max="10230" width="22.7265625" customWidth="1"/>
    <col min="10231" max="10231" width="6.26953125" customWidth="1"/>
    <col min="10232" max="10232" width="5.7265625" customWidth="1"/>
    <col min="10233" max="10233" width="6" customWidth="1"/>
    <col min="10234" max="10235" width="4.26953125" customWidth="1"/>
    <col min="10236" max="10236" width="4" customWidth="1"/>
    <col min="10237" max="10237" width="4.1796875" customWidth="1"/>
    <col min="10238" max="10238" width="4" customWidth="1"/>
    <col min="10239" max="10239" width="10.26953125" customWidth="1"/>
    <col min="10240" max="10240" width="16.7265625" customWidth="1"/>
    <col min="10241" max="10241" width="21" customWidth="1"/>
    <col min="10483" max="10483" width="5.7265625" customWidth="1"/>
    <col min="10486" max="10486" width="22.7265625" customWidth="1"/>
    <col min="10487" max="10487" width="6.26953125" customWidth="1"/>
    <col min="10488" max="10488" width="5.7265625" customWidth="1"/>
    <col min="10489" max="10489" width="6" customWidth="1"/>
    <col min="10490" max="10491" width="4.26953125" customWidth="1"/>
    <col min="10492" max="10492" width="4" customWidth="1"/>
    <col min="10493" max="10493" width="4.1796875" customWidth="1"/>
    <col min="10494" max="10494" width="4" customWidth="1"/>
    <col min="10495" max="10495" width="10.26953125" customWidth="1"/>
    <col min="10496" max="10496" width="16.7265625" customWidth="1"/>
    <col min="10497" max="10497" width="21" customWidth="1"/>
    <col min="10739" max="10739" width="5.7265625" customWidth="1"/>
    <col min="10742" max="10742" width="22.7265625" customWidth="1"/>
    <col min="10743" max="10743" width="6.26953125" customWidth="1"/>
    <col min="10744" max="10744" width="5.7265625" customWidth="1"/>
    <col min="10745" max="10745" width="6" customWidth="1"/>
    <col min="10746" max="10747" width="4.26953125" customWidth="1"/>
    <col min="10748" max="10748" width="4" customWidth="1"/>
    <col min="10749" max="10749" width="4.1796875" customWidth="1"/>
    <col min="10750" max="10750" width="4" customWidth="1"/>
    <col min="10751" max="10751" width="10.26953125" customWidth="1"/>
    <col min="10752" max="10752" width="16.7265625" customWidth="1"/>
    <col min="10753" max="10753" width="21" customWidth="1"/>
    <col min="10995" max="10995" width="5.7265625" customWidth="1"/>
    <col min="10998" max="10998" width="22.7265625" customWidth="1"/>
    <col min="10999" max="10999" width="6.26953125" customWidth="1"/>
    <col min="11000" max="11000" width="5.7265625" customWidth="1"/>
    <col min="11001" max="11001" width="6" customWidth="1"/>
    <col min="11002" max="11003" width="4.26953125" customWidth="1"/>
    <col min="11004" max="11004" width="4" customWidth="1"/>
    <col min="11005" max="11005" width="4.1796875" customWidth="1"/>
    <col min="11006" max="11006" width="4" customWidth="1"/>
    <col min="11007" max="11007" width="10.26953125" customWidth="1"/>
    <col min="11008" max="11008" width="16.7265625" customWidth="1"/>
    <col min="11009" max="11009" width="21" customWidth="1"/>
    <col min="11251" max="11251" width="5.7265625" customWidth="1"/>
    <col min="11254" max="11254" width="22.7265625" customWidth="1"/>
    <col min="11255" max="11255" width="6.26953125" customWidth="1"/>
    <col min="11256" max="11256" width="5.7265625" customWidth="1"/>
    <col min="11257" max="11257" width="6" customWidth="1"/>
    <col min="11258" max="11259" width="4.26953125" customWidth="1"/>
    <col min="11260" max="11260" width="4" customWidth="1"/>
    <col min="11261" max="11261" width="4.1796875" customWidth="1"/>
    <col min="11262" max="11262" width="4" customWidth="1"/>
    <col min="11263" max="11263" width="10.26953125" customWidth="1"/>
    <col min="11264" max="11264" width="16.7265625" customWidth="1"/>
    <col min="11265" max="11265" width="21" customWidth="1"/>
    <col min="11507" max="11507" width="5.7265625" customWidth="1"/>
    <col min="11510" max="11510" width="22.7265625" customWidth="1"/>
    <col min="11511" max="11511" width="6.26953125" customWidth="1"/>
    <col min="11512" max="11512" width="5.7265625" customWidth="1"/>
    <col min="11513" max="11513" width="6" customWidth="1"/>
    <col min="11514" max="11515" width="4.26953125" customWidth="1"/>
    <col min="11516" max="11516" width="4" customWidth="1"/>
    <col min="11517" max="11517" width="4.1796875" customWidth="1"/>
    <col min="11518" max="11518" width="4" customWidth="1"/>
    <col min="11519" max="11519" width="10.26953125" customWidth="1"/>
    <col min="11520" max="11520" width="16.7265625" customWidth="1"/>
    <col min="11521" max="11521" width="21" customWidth="1"/>
    <col min="11763" max="11763" width="5.7265625" customWidth="1"/>
    <col min="11766" max="11766" width="22.7265625" customWidth="1"/>
    <col min="11767" max="11767" width="6.26953125" customWidth="1"/>
    <col min="11768" max="11768" width="5.7265625" customWidth="1"/>
    <col min="11769" max="11769" width="6" customWidth="1"/>
    <col min="11770" max="11771" width="4.26953125" customWidth="1"/>
    <col min="11772" max="11772" width="4" customWidth="1"/>
    <col min="11773" max="11773" width="4.1796875" customWidth="1"/>
    <col min="11774" max="11774" width="4" customWidth="1"/>
    <col min="11775" max="11775" width="10.26953125" customWidth="1"/>
    <col min="11776" max="11776" width="16.7265625" customWidth="1"/>
    <col min="11777" max="11777" width="21" customWidth="1"/>
    <col min="12019" max="12019" width="5.7265625" customWidth="1"/>
    <col min="12022" max="12022" width="22.7265625" customWidth="1"/>
    <col min="12023" max="12023" width="6.26953125" customWidth="1"/>
    <col min="12024" max="12024" width="5.7265625" customWidth="1"/>
    <col min="12025" max="12025" width="6" customWidth="1"/>
    <col min="12026" max="12027" width="4.26953125" customWidth="1"/>
    <col min="12028" max="12028" width="4" customWidth="1"/>
    <col min="12029" max="12029" width="4.1796875" customWidth="1"/>
    <col min="12030" max="12030" width="4" customWidth="1"/>
    <col min="12031" max="12031" width="10.26953125" customWidth="1"/>
    <col min="12032" max="12032" width="16.7265625" customWidth="1"/>
    <col min="12033" max="12033" width="21" customWidth="1"/>
    <col min="12275" max="12275" width="5.7265625" customWidth="1"/>
    <col min="12278" max="12278" width="22.7265625" customWidth="1"/>
    <col min="12279" max="12279" width="6.26953125" customWidth="1"/>
    <col min="12280" max="12280" width="5.7265625" customWidth="1"/>
    <col min="12281" max="12281" width="6" customWidth="1"/>
    <col min="12282" max="12283" width="4.26953125" customWidth="1"/>
    <col min="12284" max="12284" width="4" customWidth="1"/>
    <col min="12285" max="12285" width="4.1796875" customWidth="1"/>
    <col min="12286" max="12286" width="4" customWidth="1"/>
    <col min="12287" max="12287" width="10.26953125" customWidth="1"/>
    <col min="12288" max="12288" width="16.7265625" customWidth="1"/>
    <col min="12289" max="12289" width="21" customWidth="1"/>
    <col min="12531" max="12531" width="5.7265625" customWidth="1"/>
    <col min="12534" max="12534" width="22.7265625" customWidth="1"/>
    <col min="12535" max="12535" width="6.26953125" customWidth="1"/>
    <col min="12536" max="12536" width="5.7265625" customWidth="1"/>
    <col min="12537" max="12537" width="6" customWidth="1"/>
    <col min="12538" max="12539" width="4.26953125" customWidth="1"/>
    <col min="12540" max="12540" width="4" customWidth="1"/>
    <col min="12541" max="12541" width="4.1796875" customWidth="1"/>
    <col min="12542" max="12542" width="4" customWidth="1"/>
    <col min="12543" max="12543" width="10.26953125" customWidth="1"/>
    <col min="12544" max="12544" width="16.7265625" customWidth="1"/>
    <col min="12545" max="12545" width="21" customWidth="1"/>
    <col min="12787" max="12787" width="5.7265625" customWidth="1"/>
    <col min="12790" max="12790" width="22.7265625" customWidth="1"/>
    <col min="12791" max="12791" width="6.26953125" customWidth="1"/>
    <col min="12792" max="12792" width="5.7265625" customWidth="1"/>
    <col min="12793" max="12793" width="6" customWidth="1"/>
    <col min="12794" max="12795" width="4.26953125" customWidth="1"/>
    <col min="12796" max="12796" width="4" customWidth="1"/>
    <col min="12797" max="12797" width="4.1796875" customWidth="1"/>
    <col min="12798" max="12798" width="4" customWidth="1"/>
    <col min="12799" max="12799" width="10.26953125" customWidth="1"/>
    <col min="12800" max="12800" width="16.7265625" customWidth="1"/>
    <col min="12801" max="12801" width="21" customWidth="1"/>
    <col min="13043" max="13043" width="5.7265625" customWidth="1"/>
    <col min="13046" max="13046" width="22.7265625" customWidth="1"/>
    <col min="13047" max="13047" width="6.26953125" customWidth="1"/>
    <col min="13048" max="13048" width="5.7265625" customWidth="1"/>
    <col min="13049" max="13049" width="6" customWidth="1"/>
    <col min="13050" max="13051" width="4.26953125" customWidth="1"/>
    <col min="13052" max="13052" width="4" customWidth="1"/>
    <col min="13053" max="13053" width="4.1796875" customWidth="1"/>
    <col min="13054" max="13054" width="4" customWidth="1"/>
    <col min="13055" max="13055" width="10.26953125" customWidth="1"/>
    <col min="13056" max="13056" width="16.7265625" customWidth="1"/>
    <col min="13057" max="13057" width="21" customWidth="1"/>
    <col min="13299" max="13299" width="5.7265625" customWidth="1"/>
    <col min="13302" max="13302" width="22.7265625" customWidth="1"/>
    <col min="13303" max="13303" width="6.26953125" customWidth="1"/>
    <col min="13304" max="13304" width="5.7265625" customWidth="1"/>
    <col min="13305" max="13305" width="6" customWidth="1"/>
    <col min="13306" max="13307" width="4.26953125" customWidth="1"/>
    <col min="13308" max="13308" width="4" customWidth="1"/>
    <col min="13309" max="13309" width="4.1796875" customWidth="1"/>
    <col min="13310" max="13310" width="4" customWidth="1"/>
    <col min="13311" max="13311" width="10.26953125" customWidth="1"/>
    <col min="13312" max="13312" width="16.7265625" customWidth="1"/>
    <col min="13313" max="13313" width="21" customWidth="1"/>
    <col min="13555" max="13555" width="5.7265625" customWidth="1"/>
    <col min="13558" max="13558" width="22.7265625" customWidth="1"/>
    <col min="13559" max="13559" width="6.26953125" customWidth="1"/>
    <col min="13560" max="13560" width="5.7265625" customWidth="1"/>
    <col min="13561" max="13561" width="6" customWidth="1"/>
    <col min="13562" max="13563" width="4.26953125" customWidth="1"/>
    <col min="13564" max="13564" width="4" customWidth="1"/>
    <col min="13565" max="13565" width="4.1796875" customWidth="1"/>
    <col min="13566" max="13566" width="4" customWidth="1"/>
    <col min="13567" max="13567" width="10.26953125" customWidth="1"/>
    <col min="13568" max="13568" width="16.7265625" customWidth="1"/>
    <col min="13569" max="13569" width="21" customWidth="1"/>
    <col min="13811" max="13811" width="5.7265625" customWidth="1"/>
    <col min="13814" max="13814" width="22.7265625" customWidth="1"/>
    <col min="13815" max="13815" width="6.26953125" customWidth="1"/>
    <col min="13816" max="13816" width="5.7265625" customWidth="1"/>
    <col min="13817" max="13817" width="6" customWidth="1"/>
    <col min="13818" max="13819" width="4.26953125" customWidth="1"/>
    <col min="13820" max="13820" width="4" customWidth="1"/>
    <col min="13821" max="13821" width="4.1796875" customWidth="1"/>
    <col min="13822" max="13822" width="4" customWidth="1"/>
    <col min="13823" max="13823" width="10.26953125" customWidth="1"/>
    <col min="13824" max="13824" width="16.7265625" customWidth="1"/>
    <col min="13825" max="13825" width="21" customWidth="1"/>
    <col min="14067" max="14067" width="5.7265625" customWidth="1"/>
    <col min="14070" max="14070" width="22.7265625" customWidth="1"/>
    <col min="14071" max="14071" width="6.26953125" customWidth="1"/>
    <col min="14072" max="14072" width="5.7265625" customWidth="1"/>
    <col min="14073" max="14073" width="6" customWidth="1"/>
    <col min="14074" max="14075" width="4.26953125" customWidth="1"/>
    <col min="14076" max="14076" width="4" customWidth="1"/>
    <col min="14077" max="14077" width="4.1796875" customWidth="1"/>
    <col min="14078" max="14078" width="4" customWidth="1"/>
    <col min="14079" max="14079" width="10.26953125" customWidth="1"/>
    <col min="14080" max="14080" width="16.7265625" customWidth="1"/>
    <col min="14081" max="14081" width="21" customWidth="1"/>
    <col min="14323" max="14323" width="5.7265625" customWidth="1"/>
    <col min="14326" max="14326" width="22.7265625" customWidth="1"/>
    <col min="14327" max="14327" width="6.26953125" customWidth="1"/>
    <col min="14328" max="14328" width="5.7265625" customWidth="1"/>
    <col min="14329" max="14329" width="6" customWidth="1"/>
    <col min="14330" max="14331" width="4.26953125" customWidth="1"/>
    <col min="14332" max="14332" width="4" customWidth="1"/>
    <col min="14333" max="14333" width="4.1796875" customWidth="1"/>
    <col min="14334" max="14334" width="4" customWidth="1"/>
    <col min="14335" max="14335" width="10.26953125" customWidth="1"/>
    <col min="14336" max="14336" width="16.7265625" customWidth="1"/>
    <col min="14337" max="14337" width="21" customWidth="1"/>
    <col min="14579" max="14579" width="5.7265625" customWidth="1"/>
    <col min="14582" max="14582" width="22.7265625" customWidth="1"/>
    <col min="14583" max="14583" width="6.26953125" customWidth="1"/>
    <col min="14584" max="14584" width="5.7265625" customWidth="1"/>
    <col min="14585" max="14585" width="6" customWidth="1"/>
    <col min="14586" max="14587" width="4.26953125" customWidth="1"/>
    <col min="14588" max="14588" width="4" customWidth="1"/>
    <col min="14589" max="14589" width="4.1796875" customWidth="1"/>
    <col min="14590" max="14590" width="4" customWidth="1"/>
    <col min="14591" max="14591" width="10.26953125" customWidth="1"/>
    <col min="14592" max="14592" width="16.7265625" customWidth="1"/>
    <col min="14593" max="14593" width="21" customWidth="1"/>
    <col min="14835" max="14835" width="5.7265625" customWidth="1"/>
    <col min="14838" max="14838" width="22.7265625" customWidth="1"/>
    <col min="14839" max="14839" width="6.26953125" customWidth="1"/>
    <col min="14840" max="14840" width="5.7265625" customWidth="1"/>
    <col min="14841" max="14841" width="6" customWidth="1"/>
    <col min="14842" max="14843" width="4.26953125" customWidth="1"/>
    <col min="14844" max="14844" width="4" customWidth="1"/>
    <col min="14845" max="14845" width="4.1796875" customWidth="1"/>
    <col min="14846" max="14846" width="4" customWidth="1"/>
    <col min="14847" max="14847" width="10.26953125" customWidth="1"/>
    <col min="14848" max="14848" width="16.7265625" customWidth="1"/>
    <col min="14849" max="14849" width="21" customWidth="1"/>
    <col min="15091" max="15091" width="5.7265625" customWidth="1"/>
    <col min="15094" max="15094" width="22.7265625" customWidth="1"/>
    <col min="15095" max="15095" width="6.26953125" customWidth="1"/>
    <col min="15096" max="15096" width="5.7265625" customWidth="1"/>
    <col min="15097" max="15097" width="6" customWidth="1"/>
    <col min="15098" max="15099" width="4.26953125" customWidth="1"/>
    <col min="15100" max="15100" width="4" customWidth="1"/>
    <col min="15101" max="15101" width="4.1796875" customWidth="1"/>
    <col min="15102" max="15102" width="4" customWidth="1"/>
    <col min="15103" max="15103" width="10.26953125" customWidth="1"/>
    <col min="15104" max="15104" width="16.7265625" customWidth="1"/>
    <col min="15105" max="15105" width="21" customWidth="1"/>
    <col min="15347" max="15347" width="5.7265625" customWidth="1"/>
    <col min="15350" max="15350" width="22.7265625" customWidth="1"/>
    <col min="15351" max="15351" width="6.26953125" customWidth="1"/>
    <col min="15352" max="15352" width="5.7265625" customWidth="1"/>
    <col min="15353" max="15353" width="6" customWidth="1"/>
    <col min="15354" max="15355" width="4.26953125" customWidth="1"/>
    <col min="15356" max="15356" width="4" customWidth="1"/>
    <col min="15357" max="15357" width="4.1796875" customWidth="1"/>
    <col min="15358" max="15358" width="4" customWidth="1"/>
    <col min="15359" max="15359" width="10.26953125" customWidth="1"/>
    <col min="15360" max="15360" width="16.7265625" customWidth="1"/>
    <col min="15361" max="15361" width="21" customWidth="1"/>
    <col min="15603" max="15603" width="5.7265625" customWidth="1"/>
    <col min="15606" max="15606" width="22.7265625" customWidth="1"/>
    <col min="15607" max="15607" width="6.26953125" customWidth="1"/>
    <col min="15608" max="15608" width="5.7265625" customWidth="1"/>
    <col min="15609" max="15609" width="6" customWidth="1"/>
    <col min="15610" max="15611" width="4.26953125" customWidth="1"/>
    <col min="15612" max="15612" width="4" customWidth="1"/>
    <col min="15613" max="15613" width="4.1796875" customWidth="1"/>
    <col min="15614" max="15614" width="4" customWidth="1"/>
    <col min="15615" max="15615" width="10.26953125" customWidth="1"/>
    <col min="15616" max="15616" width="16.7265625" customWidth="1"/>
    <col min="15617" max="15617" width="21" customWidth="1"/>
    <col min="15859" max="15859" width="5.7265625" customWidth="1"/>
    <col min="15862" max="15862" width="22.7265625" customWidth="1"/>
    <col min="15863" max="15863" width="6.26953125" customWidth="1"/>
    <col min="15864" max="15864" width="5.7265625" customWidth="1"/>
    <col min="15865" max="15865" width="6" customWidth="1"/>
    <col min="15866" max="15867" width="4.26953125" customWidth="1"/>
    <col min="15868" max="15868" width="4" customWidth="1"/>
    <col min="15869" max="15869" width="4.1796875" customWidth="1"/>
    <col min="15870" max="15870" width="4" customWidth="1"/>
    <col min="15871" max="15871" width="10.26953125" customWidth="1"/>
    <col min="15872" max="15872" width="16.7265625" customWidth="1"/>
    <col min="15873" max="15873" width="21" customWidth="1"/>
    <col min="16115" max="16115" width="5.7265625" customWidth="1"/>
    <col min="16118" max="16118" width="22.7265625" customWidth="1"/>
    <col min="16119" max="16119" width="6.26953125" customWidth="1"/>
    <col min="16120" max="16120" width="5.7265625" customWidth="1"/>
    <col min="16121" max="16121" width="6" customWidth="1"/>
    <col min="16122" max="16123" width="4.26953125" customWidth="1"/>
    <col min="16124" max="16124" width="4" customWidth="1"/>
    <col min="16125" max="16125" width="4.1796875" customWidth="1"/>
    <col min="16126" max="16126" width="4" customWidth="1"/>
    <col min="16127" max="16127" width="10.26953125" customWidth="1"/>
    <col min="16128" max="16128" width="16.7265625" customWidth="1"/>
    <col min="16129" max="16129" width="21" customWidth="1"/>
  </cols>
  <sheetData>
    <row r="1" spans="1:143" ht="14.5" customHeight="1" x14ac:dyDescent="0.35">
      <c r="A1" s="1226" t="s">
        <v>120</v>
      </c>
      <c r="B1" s="1227"/>
      <c r="C1" s="1227"/>
      <c r="D1" s="1227"/>
      <c r="E1" s="1227"/>
      <c r="F1" s="1227"/>
      <c r="G1" s="1227"/>
      <c r="H1" s="1227"/>
      <c r="I1" s="1227"/>
      <c r="J1" s="1227"/>
      <c r="K1" s="1227"/>
      <c r="L1" s="1227"/>
      <c r="M1" s="1227"/>
      <c r="N1" s="1227"/>
      <c r="O1" s="1228"/>
    </row>
    <row r="2" spans="1:143" ht="23.5" customHeight="1" x14ac:dyDescent="0.35">
      <c r="A2" s="1229"/>
      <c r="B2" s="1230"/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  <c r="N2" s="1230"/>
      <c r="O2" s="1231"/>
    </row>
    <row r="3" spans="1:143" ht="14.5" customHeight="1" x14ac:dyDescent="0.35">
      <c r="A3" s="1162" t="s">
        <v>121</v>
      </c>
      <c r="B3" s="954" t="s">
        <v>122</v>
      </c>
      <c r="C3" s="954" t="s">
        <v>123</v>
      </c>
      <c r="D3" s="954" t="s">
        <v>105</v>
      </c>
      <c r="E3" s="954" t="s">
        <v>124</v>
      </c>
      <c r="F3" s="954"/>
      <c r="G3" s="954"/>
      <c r="H3" s="954"/>
      <c r="I3" s="954"/>
      <c r="J3" s="954"/>
      <c r="K3" s="954"/>
      <c r="L3" s="954"/>
      <c r="M3" s="954"/>
      <c r="N3" s="1161" t="s">
        <v>913</v>
      </c>
      <c r="O3" s="1232" t="s">
        <v>914</v>
      </c>
    </row>
    <row r="4" spans="1:143" ht="28.9" customHeight="1" x14ac:dyDescent="0.35">
      <c r="A4" s="1162"/>
      <c r="B4" s="954"/>
      <c r="C4" s="954"/>
      <c r="D4" s="954"/>
      <c r="E4" s="1161" t="s">
        <v>920</v>
      </c>
      <c r="F4" s="1161"/>
      <c r="G4" s="1161"/>
      <c r="H4" s="1161"/>
      <c r="I4" s="1161" t="s">
        <v>921</v>
      </c>
      <c r="J4" s="1161"/>
      <c r="K4" s="1161"/>
      <c r="L4" s="1161"/>
      <c r="M4" s="1161" t="s">
        <v>915</v>
      </c>
      <c r="N4" s="1161"/>
      <c r="O4" s="1232"/>
    </row>
    <row r="5" spans="1:143" x14ac:dyDescent="0.35">
      <c r="A5" s="1162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1161"/>
      <c r="N5" s="440"/>
      <c r="O5" s="1232"/>
    </row>
    <row r="6" spans="1:143" hidden="1" x14ac:dyDescent="0.35">
      <c r="A6" s="814">
        <v>1</v>
      </c>
      <c r="B6" s="532" t="s">
        <v>125</v>
      </c>
      <c r="C6" s="532" t="s">
        <v>126</v>
      </c>
      <c r="D6" s="532" t="s">
        <v>127</v>
      </c>
      <c r="E6" s="532">
        <v>1</v>
      </c>
      <c r="F6" s="532">
        <v>1</v>
      </c>
      <c r="G6" s="532" t="s">
        <v>916</v>
      </c>
      <c r="H6" s="533" t="s">
        <v>916</v>
      </c>
      <c r="I6" s="533" t="s">
        <v>916</v>
      </c>
      <c r="J6" s="533" t="s">
        <v>916</v>
      </c>
      <c r="K6" s="533" t="s">
        <v>916</v>
      </c>
      <c r="L6" s="533" t="s">
        <v>916</v>
      </c>
      <c r="M6" s="532">
        <v>28.315000000000001</v>
      </c>
      <c r="N6" s="532" t="s">
        <v>917</v>
      </c>
      <c r="O6" s="900" t="s">
        <v>945</v>
      </c>
    </row>
    <row r="7" spans="1:143" hidden="1" x14ac:dyDescent="0.35">
      <c r="A7" s="38">
        <v>2</v>
      </c>
      <c r="B7" s="39" t="s">
        <v>128</v>
      </c>
      <c r="C7" s="39" t="s">
        <v>129</v>
      </c>
      <c r="D7" s="39" t="s">
        <v>130</v>
      </c>
      <c r="E7" s="39" t="s">
        <v>916</v>
      </c>
      <c r="F7" s="39" t="s">
        <v>916</v>
      </c>
      <c r="G7" s="39" t="s">
        <v>916</v>
      </c>
      <c r="H7" s="534" t="s">
        <v>916</v>
      </c>
      <c r="I7" s="461" t="s">
        <v>916</v>
      </c>
      <c r="J7" s="461" t="s">
        <v>916</v>
      </c>
      <c r="K7" s="461" t="s">
        <v>916</v>
      </c>
      <c r="L7" s="461" t="s">
        <v>916</v>
      </c>
      <c r="M7" s="39">
        <v>57.536999999999999</v>
      </c>
      <c r="N7" s="39" t="s">
        <v>917</v>
      </c>
      <c r="O7" s="412"/>
    </row>
    <row r="8" spans="1:143" hidden="1" x14ac:dyDescent="0.35">
      <c r="A8" s="38">
        <v>3</v>
      </c>
      <c r="B8" s="39" t="s">
        <v>131</v>
      </c>
      <c r="C8" s="39" t="s">
        <v>132</v>
      </c>
      <c r="D8" s="39" t="s">
        <v>130</v>
      </c>
      <c r="E8" s="39" t="s">
        <v>916</v>
      </c>
      <c r="F8" s="39" t="s">
        <v>916</v>
      </c>
      <c r="G8" s="39" t="s">
        <v>916</v>
      </c>
      <c r="H8" s="534" t="s">
        <v>916</v>
      </c>
      <c r="I8" s="461" t="s">
        <v>916</v>
      </c>
      <c r="J8" s="461" t="s">
        <v>916</v>
      </c>
      <c r="K8" s="461" t="s">
        <v>916</v>
      </c>
      <c r="L8" s="461" t="s">
        <v>916</v>
      </c>
      <c r="M8" s="39">
        <v>67.992999999999995</v>
      </c>
      <c r="N8" s="39" t="s">
        <v>917</v>
      </c>
      <c r="O8" s="412"/>
    </row>
    <row r="9" spans="1:143" s="445" customFormat="1" hidden="1" x14ac:dyDescent="0.35">
      <c r="A9" s="38">
        <v>4</v>
      </c>
      <c r="B9" s="39" t="s">
        <v>133</v>
      </c>
      <c r="C9" s="39" t="s">
        <v>134</v>
      </c>
      <c r="D9" s="39" t="s">
        <v>135</v>
      </c>
      <c r="E9" s="39">
        <v>3</v>
      </c>
      <c r="F9" s="39">
        <v>3</v>
      </c>
      <c r="G9" s="39">
        <v>3</v>
      </c>
      <c r="H9" s="39">
        <v>3</v>
      </c>
      <c r="I9" s="461" t="s">
        <v>916</v>
      </c>
      <c r="J9" s="461" t="s">
        <v>916</v>
      </c>
      <c r="K9" s="461" t="s">
        <v>916</v>
      </c>
      <c r="L9" s="461" t="s">
        <v>916</v>
      </c>
      <c r="M9" s="39"/>
      <c r="N9" s="39" t="s">
        <v>917</v>
      </c>
      <c r="O9" s="900" t="s">
        <v>945</v>
      </c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</row>
    <row r="10" spans="1:143" s="445" customFormat="1" hidden="1" x14ac:dyDescent="0.35">
      <c r="A10" s="38">
        <v>5</v>
      </c>
      <c r="B10" s="39" t="s">
        <v>136</v>
      </c>
      <c r="C10" s="39" t="s">
        <v>137</v>
      </c>
      <c r="D10" s="39" t="s">
        <v>130</v>
      </c>
      <c r="E10" s="39" t="s">
        <v>916</v>
      </c>
      <c r="F10" s="39" t="s">
        <v>916</v>
      </c>
      <c r="G10" s="39" t="s">
        <v>916</v>
      </c>
      <c r="H10" s="534" t="s">
        <v>916</v>
      </c>
      <c r="I10" s="461" t="s">
        <v>916</v>
      </c>
      <c r="J10" s="461" t="s">
        <v>916</v>
      </c>
      <c r="K10" s="461" t="s">
        <v>916</v>
      </c>
      <c r="L10" s="461" t="s">
        <v>916</v>
      </c>
      <c r="M10" s="39">
        <v>21.815999999999999</v>
      </c>
      <c r="N10" s="39" t="s">
        <v>917</v>
      </c>
      <c r="O10" s="527"/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</row>
    <row r="11" spans="1:143" hidden="1" x14ac:dyDescent="0.35">
      <c r="A11" s="38">
        <v>6</v>
      </c>
      <c r="B11" s="39" t="s">
        <v>138</v>
      </c>
      <c r="C11" s="39" t="s">
        <v>139</v>
      </c>
      <c r="D11" s="532" t="s">
        <v>127</v>
      </c>
      <c r="E11" s="39">
        <v>1</v>
      </c>
      <c r="F11" s="39">
        <v>1</v>
      </c>
      <c r="G11" s="39" t="s">
        <v>916</v>
      </c>
      <c r="H11" s="461" t="s">
        <v>916</v>
      </c>
      <c r="I11" s="461" t="s">
        <v>916</v>
      </c>
      <c r="J11" s="461" t="s">
        <v>916</v>
      </c>
      <c r="K11" s="461" t="s">
        <v>916</v>
      </c>
      <c r="L11" s="461" t="s">
        <v>916</v>
      </c>
      <c r="M11" s="39">
        <v>6.7489999999999997</v>
      </c>
      <c r="N11" s="39" t="s">
        <v>917</v>
      </c>
      <c r="O11" s="900" t="s">
        <v>945</v>
      </c>
    </row>
    <row r="12" spans="1:143" hidden="1" x14ac:dyDescent="0.35">
      <c r="A12" s="38">
        <v>7</v>
      </c>
      <c r="B12" s="39" t="s">
        <v>141</v>
      </c>
      <c r="C12" s="39" t="s">
        <v>142</v>
      </c>
      <c r="D12" s="39" t="s">
        <v>130</v>
      </c>
      <c r="E12" s="39" t="s">
        <v>916</v>
      </c>
      <c r="F12" s="39" t="s">
        <v>916</v>
      </c>
      <c r="G12" s="39" t="s">
        <v>916</v>
      </c>
      <c r="H12" s="534" t="s">
        <v>916</v>
      </c>
      <c r="I12" s="461" t="s">
        <v>916</v>
      </c>
      <c r="J12" s="461" t="s">
        <v>916</v>
      </c>
      <c r="K12" s="461" t="s">
        <v>916</v>
      </c>
      <c r="L12" s="461" t="s">
        <v>916</v>
      </c>
      <c r="M12" s="39">
        <v>24.495999999999999</v>
      </c>
      <c r="N12" s="39" t="s">
        <v>917</v>
      </c>
      <c r="O12" s="412"/>
    </row>
    <row r="13" spans="1:143" ht="29" x14ac:dyDescent="0.35">
      <c r="A13" s="38">
        <v>8</v>
      </c>
      <c r="B13" s="790" t="s">
        <v>143</v>
      </c>
      <c r="C13" s="790" t="s">
        <v>144</v>
      </c>
      <c r="D13" s="791" t="s">
        <v>1094</v>
      </c>
      <c r="E13" s="790"/>
      <c r="F13" s="790"/>
      <c r="G13" s="790"/>
      <c r="H13" s="790">
        <v>1</v>
      </c>
      <c r="I13" s="791" t="s">
        <v>916</v>
      </c>
      <c r="J13" s="791" t="s">
        <v>916</v>
      </c>
      <c r="K13" s="791" t="s">
        <v>916</v>
      </c>
      <c r="L13" s="791" t="s">
        <v>916</v>
      </c>
      <c r="M13" s="790">
        <v>29.094000000000001</v>
      </c>
      <c r="N13" s="790" t="s">
        <v>853</v>
      </c>
      <c r="O13" s="1225" t="s">
        <v>1329</v>
      </c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</row>
    <row r="14" spans="1:143" ht="29" x14ac:dyDescent="0.35">
      <c r="A14" s="38">
        <v>11</v>
      </c>
      <c r="B14" s="790" t="s">
        <v>150</v>
      </c>
      <c r="C14" s="790" t="s">
        <v>151</v>
      </c>
      <c r="D14" s="791" t="s">
        <v>1094</v>
      </c>
      <c r="E14" s="790">
        <v>1</v>
      </c>
      <c r="F14" s="790" t="s">
        <v>916</v>
      </c>
      <c r="G14" s="790" t="s">
        <v>916</v>
      </c>
      <c r="H14" s="790" t="s">
        <v>916</v>
      </c>
      <c r="I14" s="790" t="s">
        <v>916</v>
      </c>
      <c r="J14" s="791" t="s">
        <v>916</v>
      </c>
      <c r="K14" s="791" t="s">
        <v>916</v>
      </c>
      <c r="L14" s="791" t="s">
        <v>916</v>
      </c>
      <c r="M14" s="790">
        <v>14.43</v>
      </c>
      <c r="N14" s="790" t="s">
        <v>853</v>
      </c>
      <c r="O14" s="1225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</row>
    <row r="15" spans="1:143" ht="14.5" hidden="1" customHeight="1" x14ac:dyDescent="0.35">
      <c r="A15" s="38">
        <v>12</v>
      </c>
      <c r="B15" s="39" t="s">
        <v>153</v>
      </c>
      <c r="C15" s="39" t="s">
        <v>139</v>
      </c>
      <c r="D15" s="39" t="s">
        <v>130</v>
      </c>
      <c r="E15" s="532" t="s">
        <v>916</v>
      </c>
      <c r="F15" s="532" t="s">
        <v>916</v>
      </c>
      <c r="G15" s="532" t="s">
        <v>916</v>
      </c>
      <c r="H15" s="532" t="s">
        <v>916</v>
      </c>
      <c r="I15" s="532" t="s">
        <v>916</v>
      </c>
      <c r="J15" s="533" t="s">
        <v>916</v>
      </c>
      <c r="K15" s="533" t="s">
        <v>916</v>
      </c>
      <c r="L15" s="533" t="s">
        <v>916</v>
      </c>
      <c r="M15" s="532">
        <v>28.233000000000001</v>
      </c>
      <c r="N15" s="532" t="s">
        <v>917</v>
      </c>
      <c r="O15" s="122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</row>
    <row r="16" spans="1:143" ht="14.5" hidden="1" customHeight="1" x14ac:dyDescent="0.35">
      <c r="A16" s="38">
        <v>13</v>
      </c>
      <c r="B16" s="39" t="s">
        <v>154</v>
      </c>
      <c r="C16" s="39" t="s">
        <v>134</v>
      </c>
      <c r="D16" s="39" t="s">
        <v>135</v>
      </c>
      <c r="E16" s="532">
        <v>4</v>
      </c>
      <c r="F16" s="532">
        <v>4</v>
      </c>
      <c r="G16" s="532">
        <v>4</v>
      </c>
      <c r="H16" s="532">
        <v>4</v>
      </c>
      <c r="I16" s="532" t="s">
        <v>916</v>
      </c>
      <c r="J16" s="533" t="s">
        <v>916</v>
      </c>
      <c r="K16" s="533" t="s">
        <v>916</v>
      </c>
      <c r="L16" s="533" t="s">
        <v>916</v>
      </c>
      <c r="M16" s="532"/>
      <c r="N16" s="532" t="s">
        <v>917</v>
      </c>
      <c r="O16" s="1225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</row>
    <row r="17" spans="1:143" ht="31" hidden="1" customHeight="1" x14ac:dyDescent="0.35">
      <c r="A17" s="38">
        <v>14</v>
      </c>
      <c r="B17" s="532" t="s">
        <v>155</v>
      </c>
      <c r="C17" s="532" t="s">
        <v>156</v>
      </c>
      <c r="D17" s="532" t="s">
        <v>127</v>
      </c>
      <c r="E17" s="532">
        <v>1.5</v>
      </c>
      <c r="F17" s="532" t="s">
        <v>916</v>
      </c>
      <c r="G17" s="532" t="s">
        <v>916</v>
      </c>
      <c r="H17" s="533">
        <v>1.5</v>
      </c>
      <c r="I17" s="532" t="s">
        <v>916</v>
      </c>
      <c r="J17" s="533" t="s">
        <v>916</v>
      </c>
      <c r="K17" s="533" t="s">
        <v>916</v>
      </c>
      <c r="L17" s="533" t="s">
        <v>916</v>
      </c>
      <c r="M17" s="532">
        <v>50.168999999999997</v>
      </c>
      <c r="N17" s="532" t="s">
        <v>917</v>
      </c>
      <c r="O17" s="1225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</row>
    <row r="18" spans="1:143" x14ac:dyDescent="0.35">
      <c r="A18" s="38">
        <v>15</v>
      </c>
      <c r="B18" s="39" t="s">
        <v>157</v>
      </c>
      <c r="C18" s="39" t="s">
        <v>144</v>
      </c>
      <c r="D18" s="39" t="s">
        <v>947</v>
      </c>
      <c r="E18" s="532">
        <v>2</v>
      </c>
      <c r="F18" s="532" t="s">
        <v>916</v>
      </c>
      <c r="G18" s="532" t="s">
        <v>916</v>
      </c>
      <c r="H18" s="532" t="s">
        <v>916</v>
      </c>
      <c r="I18" s="535">
        <v>3</v>
      </c>
      <c r="J18" s="536">
        <v>3</v>
      </c>
      <c r="K18" s="536">
        <v>1.5</v>
      </c>
      <c r="L18" s="536">
        <v>3</v>
      </c>
      <c r="M18" s="532">
        <v>19.466000000000001</v>
      </c>
      <c r="N18" s="532" t="s">
        <v>917</v>
      </c>
      <c r="O18" s="1225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</row>
    <row r="19" spans="1:143" ht="14.5" hidden="1" customHeight="1" x14ac:dyDescent="0.35">
      <c r="A19" s="38">
        <v>16</v>
      </c>
      <c r="B19" s="39" t="s">
        <v>158</v>
      </c>
      <c r="C19" s="39" t="s">
        <v>146</v>
      </c>
      <c r="D19" s="39" t="s">
        <v>135</v>
      </c>
      <c r="E19" s="532">
        <v>2</v>
      </c>
      <c r="F19" s="532">
        <v>2</v>
      </c>
      <c r="G19" s="532">
        <v>2</v>
      </c>
      <c r="H19" s="532">
        <v>2</v>
      </c>
      <c r="I19" s="532" t="s">
        <v>916</v>
      </c>
      <c r="J19" s="533" t="s">
        <v>916</v>
      </c>
      <c r="K19" s="533" t="s">
        <v>916</v>
      </c>
      <c r="L19" s="533" t="s">
        <v>916</v>
      </c>
      <c r="M19" s="532"/>
      <c r="N19" s="532" t="s">
        <v>853</v>
      </c>
      <c r="O19" s="1225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</row>
    <row r="20" spans="1:143" ht="14.5" hidden="1" customHeight="1" x14ac:dyDescent="0.35">
      <c r="A20" s="38">
        <v>17</v>
      </c>
      <c r="B20" s="39" t="s">
        <v>159</v>
      </c>
      <c r="C20" s="39" t="s">
        <v>126</v>
      </c>
      <c r="D20" s="39" t="s">
        <v>127</v>
      </c>
      <c r="E20" s="532">
        <v>2</v>
      </c>
      <c r="F20" s="532">
        <v>1</v>
      </c>
      <c r="G20" s="532" t="s">
        <v>916</v>
      </c>
      <c r="H20" s="533" t="s">
        <v>916</v>
      </c>
      <c r="I20" s="532" t="s">
        <v>916</v>
      </c>
      <c r="J20" s="533" t="s">
        <v>916</v>
      </c>
      <c r="K20" s="533" t="s">
        <v>916</v>
      </c>
      <c r="L20" s="533" t="s">
        <v>916</v>
      </c>
      <c r="M20" s="532">
        <v>18.893999999999998</v>
      </c>
      <c r="N20" s="532" t="s">
        <v>853</v>
      </c>
      <c r="O20" s="1225"/>
    </row>
    <row r="21" spans="1:143" ht="14.5" hidden="1" customHeight="1" x14ac:dyDescent="0.35">
      <c r="A21" s="38">
        <v>18</v>
      </c>
      <c r="B21" s="39" t="s">
        <v>160</v>
      </c>
      <c r="C21" s="39" t="s">
        <v>161</v>
      </c>
      <c r="D21" s="39" t="s">
        <v>127</v>
      </c>
      <c r="E21" s="532" t="s">
        <v>916</v>
      </c>
      <c r="F21" s="532" t="s">
        <v>916</v>
      </c>
      <c r="G21" s="532" t="s">
        <v>916</v>
      </c>
      <c r="H21" s="532">
        <v>1</v>
      </c>
      <c r="I21" s="532" t="s">
        <v>916</v>
      </c>
      <c r="J21" s="533" t="s">
        <v>916</v>
      </c>
      <c r="K21" s="533" t="s">
        <v>916</v>
      </c>
      <c r="L21" s="533" t="s">
        <v>916</v>
      </c>
      <c r="M21" s="532">
        <v>36.183999999999997</v>
      </c>
      <c r="N21" s="532" t="s">
        <v>853</v>
      </c>
      <c r="O21" s="1225"/>
    </row>
    <row r="22" spans="1:143" x14ac:dyDescent="0.35">
      <c r="A22" s="38">
        <v>19</v>
      </c>
      <c r="B22" s="39" t="s">
        <v>162</v>
      </c>
      <c r="C22" s="39" t="s">
        <v>129</v>
      </c>
      <c r="D22" s="39" t="s">
        <v>947</v>
      </c>
      <c r="E22" s="532" t="s">
        <v>916</v>
      </c>
      <c r="F22" s="532" t="s">
        <v>916</v>
      </c>
      <c r="G22" s="532">
        <v>2</v>
      </c>
      <c r="H22" s="533">
        <v>1</v>
      </c>
      <c r="I22" s="535">
        <v>-1.5</v>
      </c>
      <c r="J22" s="536">
        <v>0</v>
      </c>
      <c r="K22" s="536">
        <v>0</v>
      </c>
      <c r="L22" s="536">
        <v>0</v>
      </c>
      <c r="M22" s="532">
        <v>11.930999999999999</v>
      </c>
      <c r="N22" s="532" t="s">
        <v>853</v>
      </c>
      <c r="O22" s="1225"/>
    </row>
    <row r="23" spans="1:143" x14ac:dyDescent="0.35">
      <c r="A23" s="38">
        <v>20</v>
      </c>
      <c r="B23" s="39" t="s">
        <v>163</v>
      </c>
      <c r="C23" s="39" t="s">
        <v>151</v>
      </c>
      <c r="D23" s="39" t="s">
        <v>948</v>
      </c>
      <c r="E23" s="532" t="s">
        <v>916</v>
      </c>
      <c r="F23" s="532" t="s">
        <v>916</v>
      </c>
      <c r="G23" s="532" t="s">
        <v>916</v>
      </c>
      <c r="H23" s="533" t="s">
        <v>916</v>
      </c>
      <c r="I23" s="535" t="s">
        <v>916</v>
      </c>
      <c r="J23" s="536" t="s">
        <v>916</v>
      </c>
      <c r="K23" s="536">
        <v>3</v>
      </c>
      <c r="L23" s="536">
        <v>1.5</v>
      </c>
      <c r="M23" s="532">
        <v>5.4909999999999997</v>
      </c>
      <c r="N23" s="532" t="s">
        <v>853</v>
      </c>
      <c r="O23" s="1225"/>
    </row>
    <row r="24" spans="1:143" ht="14.5" hidden="1" customHeight="1" x14ac:dyDescent="0.35">
      <c r="A24" s="38">
        <v>21</v>
      </c>
      <c r="B24" s="39" t="s">
        <v>164</v>
      </c>
      <c r="C24" s="39" t="s">
        <v>165</v>
      </c>
      <c r="D24" s="39" t="s">
        <v>127</v>
      </c>
      <c r="E24" s="532">
        <v>3</v>
      </c>
      <c r="F24" s="532" t="s">
        <v>916</v>
      </c>
      <c r="G24" s="532">
        <v>3</v>
      </c>
      <c r="H24" s="533">
        <v>3</v>
      </c>
      <c r="I24" s="532" t="s">
        <v>916</v>
      </c>
      <c r="J24" s="533" t="s">
        <v>916</v>
      </c>
      <c r="K24" s="533" t="s">
        <v>916</v>
      </c>
      <c r="L24" s="533" t="s">
        <v>916</v>
      </c>
      <c r="M24" s="532">
        <v>95.665000000000006</v>
      </c>
      <c r="N24" s="532" t="s">
        <v>853</v>
      </c>
      <c r="O24" s="1225"/>
    </row>
    <row r="25" spans="1:143" s="447" customFormat="1" ht="14.5" hidden="1" customHeight="1" x14ac:dyDescent="0.35">
      <c r="A25" s="38">
        <v>25</v>
      </c>
      <c r="B25" s="39" t="s">
        <v>170</v>
      </c>
      <c r="C25" s="39" t="s">
        <v>137</v>
      </c>
      <c r="D25" s="39" t="s">
        <v>127</v>
      </c>
      <c r="E25" s="532" t="s">
        <v>916</v>
      </c>
      <c r="F25" s="532" t="s">
        <v>916</v>
      </c>
      <c r="G25" s="532" t="s">
        <v>916</v>
      </c>
      <c r="H25" s="532">
        <v>1.5</v>
      </c>
      <c r="I25" s="532" t="s">
        <v>916</v>
      </c>
      <c r="J25" s="533" t="s">
        <v>916</v>
      </c>
      <c r="K25" s="533" t="s">
        <v>916</v>
      </c>
      <c r="L25" s="533" t="s">
        <v>916</v>
      </c>
      <c r="M25" s="532">
        <v>20.512</v>
      </c>
      <c r="N25" s="532" t="s">
        <v>917</v>
      </c>
      <c r="O25" s="1225"/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  <c r="AE25" s="456"/>
      <c r="AF25" s="456"/>
      <c r="AG25" s="456"/>
      <c r="AH25" s="456"/>
      <c r="AI25" s="456"/>
      <c r="AJ25" s="456"/>
      <c r="AK25" s="456"/>
      <c r="AL25" s="456"/>
      <c r="AM25" s="456"/>
      <c r="AN25" s="456"/>
      <c r="AO25" s="456"/>
      <c r="AP25" s="456"/>
      <c r="AQ25" s="456"/>
      <c r="AR25" s="456"/>
      <c r="AS25" s="456"/>
      <c r="AT25" s="456"/>
      <c r="AU25" s="456"/>
      <c r="AV25" s="456"/>
      <c r="AW25" s="456"/>
      <c r="AX25" s="456"/>
      <c r="AY25" s="456"/>
      <c r="AZ25" s="456"/>
      <c r="BA25" s="456"/>
      <c r="BB25" s="456"/>
      <c r="BC25" s="456"/>
      <c r="BD25" s="456"/>
      <c r="BE25" s="456"/>
      <c r="BF25" s="456"/>
      <c r="BG25" s="456"/>
      <c r="BH25" s="456"/>
      <c r="BI25" s="456"/>
      <c r="BJ25" s="456"/>
      <c r="BK25" s="456"/>
      <c r="BL25" s="456"/>
      <c r="BM25" s="456"/>
      <c r="BN25" s="456"/>
      <c r="BO25" s="456"/>
      <c r="BP25" s="456"/>
      <c r="BQ25" s="456"/>
      <c r="BR25" s="456"/>
      <c r="BS25" s="456"/>
      <c r="BT25" s="456"/>
      <c r="BU25" s="456"/>
      <c r="BV25" s="456"/>
      <c r="BW25" s="456"/>
      <c r="BX25" s="456"/>
      <c r="BY25" s="456"/>
      <c r="BZ25" s="456"/>
      <c r="CA25" s="456"/>
      <c r="CB25" s="456"/>
      <c r="CC25" s="456"/>
      <c r="CD25" s="456"/>
      <c r="CE25" s="456"/>
      <c r="CF25" s="456"/>
      <c r="CG25" s="456"/>
      <c r="CH25" s="456"/>
      <c r="CI25" s="456"/>
      <c r="CJ25" s="456"/>
      <c r="CK25" s="456"/>
      <c r="CL25" s="456"/>
      <c r="CM25" s="456"/>
      <c r="CN25" s="456"/>
      <c r="CO25" s="456"/>
      <c r="CP25" s="456"/>
      <c r="CQ25" s="456"/>
      <c r="CR25" s="456"/>
      <c r="CS25" s="456"/>
      <c r="CT25" s="456"/>
      <c r="CU25" s="456"/>
      <c r="CV25" s="456"/>
      <c r="CW25" s="456"/>
      <c r="CX25" s="456"/>
      <c r="CY25" s="456"/>
      <c r="CZ25" s="456"/>
      <c r="DA25" s="456"/>
      <c r="DB25" s="456"/>
      <c r="DC25" s="456"/>
      <c r="DD25" s="456"/>
      <c r="DE25" s="456"/>
      <c r="DF25" s="456"/>
      <c r="DG25" s="456"/>
      <c r="DH25" s="456"/>
      <c r="DI25" s="456"/>
      <c r="DJ25" s="456"/>
      <c r="DK25" s="456"/>
      <c r="DL25" s="456"/>
      <c r="DM25" s="456"/>
      <c r="DN25" s="456"/>
      <c r="DO25" s="456"/>
      <c r="DP25" s="456"/>
      <c r="DQ25" s="456"/>
      <c r="DR25" s="456"/>
      <c r="DS25" s="456"/>
      <c r="DT25" s="456"/>
      <c r="DU25" s="456"/>
      <c r="DV25" s="456"/>
      <c r="DW25" s="456"/>
      <c r="DX25" s="456"/>
      <c r="DY25" s="456"/>
      <c r="DZ25" s="456"/>
      <c r="EA25" s="456"/>
      <c r="EB25" s="456"/>
      <c r="EC25" s="456"/>
      <c r="ED25" s="456"/>
      <c r="EE25" s="456"/>
      <c r="EF25" s="456"/>
      <c r="EG25" s="456"/>
      <c r="EH25" s="456"/>
      <c r="EI25" s="456"/>
      <c r="EJ25" s="456"/>
      <c r="EK25" s="456"/>
      <c r="EL25" s="456"/>
      <c r="EM25" s="456"/>
    </row>
    <row r="26" spans="1:143" s="447" customFormat="1" ht="14.5" hidden="1" customHeight="1" x14ac:dyDescent="0.35">
      <c r="A26" s="38">
        <v>26</v>
      </c>
      <c r="B26" s="39" t="s">
        <v>171</v>
      </c>
      <c r="C26" s="39" t="s">
        <v>126</v>
      </c>
      <c r="D26" s="39" t="s">
        <v>127</v>
      </c>
      <c r="E26" s="532" t="s">
        <v>916</v>
      </c>
      <c r="F26" s="532" t="s">
        <v>916</v>
      </c>
      <c r="G26" s="532">
        <v>1</v>
      </c>
      <c r="H26" s="533">
        <v>1.5</v>
      </c>
      <c r="I26" s="532" t="s">
        <v>916</v>
      </c>
      <c r="J26" s="533" t="s">
        <v>916</v>
      </c>
      <c r="K26" s="533" t="s">
        <v>916</v>
      </c>
      <c r="L26" s="533" t="s">
        <v>916</v>
      </c>
      <c r="M26" s="532">
        <v>20.960999999999999</v>
      </c>
      <c r="N26" s="532" t="s">
        <v>917</v>
      </c>
      <c r="O26" s="1225"/>
      <c r="P26" s="456"/>
      <c r="Q26" s="456"/>
      <c r="R26" s="456"/>
      <c r="S26" s="456"/>
      <c r="T26" s="456"/>
      <c r="U26" s="456"/>
      <c r="V26" s="456"/>
      <c r="W26" s="456"/>
      <c r="X26" s="456"/>
      <c r="Y26" s="456"/>
      <c r="Z26" s="456"/>
      <c r="AA26" s="456"/>
      <c r="AB26" s="456"/>
      <c r="AC26" s="456"/>
      <c r="AD26" s="456"/>
      <c r="AE26" s="456"/>
      <c r="AF26" s="456"/>
      <c r="AG26" s="456"/>
      <c r="AH26" s="456"/>
      <c r="AI26" s="456"/>
      <c r="AJ26" s="456"/>
      <c r="AK26" s="456"/>
      <c r="AL26" s="456"/>
      <c r="AM26" s="456"/>
      <c r="AN26" s="456"/>
      <c r="AO26" s="456"/>
      <c r="AP26" s="456"/>
      <c r="AQ26" s="456"/>
      <c r="AR26" s="456"/>
      <c r="AS26" s="456"/>
      <c r="AT26" s="456"/>
      <c r="AU26" s="456"/>
      <c r="AV26" s="456"/>
      <c r="AW26" s="456"/>
      <c r="AX26" s="456"/>
      <c r="AY26" s="456"/>
      <c r="AZ26" s="456"/>
      <c r="BA26" s="456"/>
      <c r="BB26" s="456"/>
      <c r="BC26" s="456"/>
      <c r="BD26" s="456"/>
      <c r="BE26" s="456"/>
      <c r="BF26" s="456"/>
      <c r="BG26" s="456"/>
      <c r="BH26" s="456"/>
      <c r="BI26" s="456"/>
      <c r="BJ26" s="456"/>
      <c r="BK26" s="456"/>
      <c r="BL26" s="456"/>
      <c r="BM26" s="456"/>
      <c r="BN26" s="456"/>
      <c r="BO26" s="456"/>
      <c r="BP26" s="456"/>
      <c r="BQ26" s="456"/>
      <c r="BR26" s="456"/>
      <c r="BS26" s="456"/>
      <c r="BT26" s="456"/>
      <c r="BU26" s="456"/>
      <c r="BV26" s="456"/>
      <c r="BW26" s="456"/>
      <c r="BX26" s="456"/>
      <c r="BY26" s="456"/>
      <c r="BZ26" s="456"/>
      <c r="CA26" s="456"/>
      <c r="CB26" s="456"/>
      <c r="CC26" s="456"/>
      <c r="CD26" s="456"/>
      <c r="CE26" s="456"/>
      <c r="CF26" s="456"/>
      <c r="CG26" s="456"/>
      <c r="CH26" s="456"/>
      <c r="CI26" s="456"/>
      <c r="CJ26" s="456"/>
      <c r="CK26" s="456"/>
      <c r="CL26" s="456"/>
      <c r="CM26" s="456"/>
      <c r="CN26" s="456"/>
      <c r="CO26" s="456"/>
      <c r="CP26" s="456"/>
      <c r="CQ26" s="456"/>
      <c r="CR26" s="456"/>
      <c r="CS26" s="456"/>
      <c r="CT26" s="456"/>
      <c r="CU26" s="456"/>
      <c r="CV26" s="456"/>
      <c r="CW26" s="456"/>
      <c r="CX26" s="456"/>
      <c r="CY26" s="456"/>
      <c r="CZ26" s="456"/>
      <c r="DA26" s="456"/>
      <c r="DB26" s="456"/>
      <c r="DC26" s="456"/>
      <c r="DD26" s="456"/>
      <c r="DE26" s="456"/>
      <c r="DF26" s="456"/>
      <c r="DG26" s="456"/>
      <c r="DH26" s="456"/>
      <c r="DI26" s="456"/>
      <c r="DJ26" s="456"/>
      <c r="DK26" s="456"/>
      <c r="DL26" s="456"/>
      <c r="DM26" s="456"/>
      <c r="DN26" s="456"/>
      <c r="DO26" s="456"/>
      <c r="DP26" s="456"/>
      <c r="DQ26" s="456"/>
      <c r="DR26" s="456"/>
      <c r="DS26" s="456"/>
      <c r="DT26" s="456"/>
      <c r="DU26" s="456"/>
      <c r="DV26" s="456"/>
      <c r="DW26" s="456"/>
      <c r="DX26" s="456"/>
      <c r="DY26" s="456"/>
      <c r="DZ26" s="456"/>
      <c r="EA26" s="456"/>
      <c r="EB26" s="456"/>
      <c r="EC26" s="456"/>
      <c r="ED26" s="456"/>
      <c r="EE26" s="456"/>
      <c r="EF26" s="456"/>
      <c r="EG26" s="456"/>
      <c r="EH26" s="456"/>
      <c r="EI26" s="456"/>
      <c r="EJ26" s="456"/>
      <c r="EK26" s="456"/>
      <c r="EL26" s="456"/>
      <c r="EM26" s="456"/>
    </row>
    <row r="27" spans="1:143" s="447" customFormat="1" ht="14.5" hidden="1" customHeight="1" x14ac:dyDescent="0.35">
      <c r="A27" s="38">
        <v>27</v>
      </c>
      <c r="B27" s="39" t="s">
        <v>172</v>
      </c>
      <c r="C27" s="39" t="s">
        <v>142</v>
      </c>
      <c r="D27" s="39" t="s">
        <v>127</v>
      </c>
      <c r="E27" s="532" t="s">
        <v>916</v>
      </c>
      <c r="F27" s="532" t="s">
        <v>916</v>
      </c>
      <c r="G27" s="532">
        <v>2</v>
      </c>
      <c r="H27" s="533">
        <v>2.5</v>
      </c>
      <c r="I27" s="532" t="s">
        <v>916</v>
      </c>
      <c r="J27" s="533" t="s">
        <v>916</v>
      </c>
      <c r="K27" s="533" t="s">
        <v>916</v>
      </c>
      <c r="L27" s="533" t="s">
        <v>916</v>
      </c>
      <c r="M27" s="532">
        <v>7.2590000000000003</v>
      </c>
      <c r="N27" s="532" t="s">
        <v>917</v>
      </c>
      <c r="O27" s="1225"/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  <c r="AE27" s="456"/>
      <c r="AF27" s="456"/>
      <c r="AG27" s="456"/>
      <c r="AH27" s="456"/>
      <c r="AI27" s="456"/>
      <c r="AJ27" s="456"/>
      <c r="AK27" s="456"/>
      <c r="AL27" s="456"/>
      <c r="AM27" s="456"/>
      <c r="AN27" s="456"/>
      <c r="AO27" s="456"/>
      <c r="AP27" s="456"/>
      <c r="AQ27" s="456"/>
      <c r="AR27" s="456"/>
      <c r="AS27" s="456"/>
      <c r="AT27" s="456"/>
      <c r="AU27" s="456"/>
      <c r="AV27" s="456"/>
      <c r="AW27" s="456"/>
      <c r="AX27" s="456"/>
      <c r="AY27" s="456"/>
      <c r="AZ27" s="456"/>
      <c r="BA27" s="456"/>
      <c r="BB27" s="456"/>
      <c r="BC27" s="456"/>
      <c r="BD27" s="456"/>
      <c r="BE27" s="456"/>
      <c r="BF27" s="456"/>
      <c r="BG27" s="456"/>
      <c r="BH27" s="456"/>
      <c r="BI27" s="456"/>
      <c r="BJ27" s="456"/>
      <c r="BK27" s="456"/>
      <c r="BL27" s="456"/>
      <c r="BM27" s="456"/>
      <c r="BN27" s="456"/>
      <c r="BO27" s="456"/>
      <c r="BP27" s="456"/>
      <c r="BQ27" s="456"/>
      <c r="BR27" s="456"/>
      <c r="BS27" s="456"/>
      <c r="BT27" s="456"/>
      <c r="BU27" s="456"/>
      <c r="BV27" s="456"/>
      <c r="BW27" s="456"/>
      <c r="BX27" s="456"/>
      <c r="BY27" s="456"/>
      <c r="BZ27" s="456"/>
      <c r="CA27" s="456"/>
      <c r="CB27" s="456"/>
      <c r="CC27" s="456"/>
      <c r="CD27" s="456"/>
      <c r="CE27" s="456"/>
      <c r="CF27" s="456"/>
      <c r="CG27" s="456"/>
      <c r="CH27" s="456"/>
      <c r="CI27" s="456"/>
      <c r="CJ27" s="456"/>
      <c r="CK27" s="456"/>
      <c r="CL27" s="456"/>
      <c r="CM27" s="456"/>
      <c r="CN27" s="456"/>
      <c r="CO27" s="456"/>
      <c r="CP27" s="456"/>
      <c r="CQ27" s="456"/>
      <c r="CR27" s="456"/>
      <c r="CS27" s="456"/>
      <c r="CT27" s="456"/>
      <c r="CU27" s="456"/>
      <c r="CV27" s="456"/>
      <c r="CW27" s="456"/>
      <c r="CX27" s="456"/>
      <c r="CY27" s="456"/>
      <c r="CZ27" s="456"/>
      <c r="DA27" s="456"/>
      <c r="DB27" s="456"/>
      <c r="DC27" s="456"/>
      <c r="DD27" s="456"/>
      <c r="DE27" s="456"/>
      <c r="DF27" s="456"/>
      <c r="DG27" s="456"/>
      <c r="DH27" s="456"/>
      <c r="DI27" s="456"/>
      <c r="DJ27" s="456"/>
      <c r="DK27" s="456"/>
      <c r="DL27" s="456"/>
      <c r="DM27" s="456"/>
      <c r="DN27" s="456"/>
      <c r="DO27" s="456"/>
      <c r="DP27" s="456"/>
      <c r="DQ27" s="456"/>
      <c r="DR27" s="456"/>
      <c r="DS27" s="456"/>
      <c r="DT27" s="456"/>
      <c r="DU27" s="456"/>
      <c r="DV27" s="456"/>
      <c r="DW27" s="456"/>
      <c r="DX27" s="456"/>
      <c r="DY27" s="456"/>
      <c r="DZ27" s="456"/>
      <c r="EA27" s="456"/>
      <c r="EB27" s="456"/>
      <c r="EC27" s="456"/>
      <c r="ED27" s="456"/>
      <c r="EE27" s="456"/>
      <c r="EF27" s="456"/>
      <c r="EG27" s="456"/>
      <c r="EH27" s="456"/>
      <c r="EI27" s="456"/>
      <c r="EJ27" s="456"/>
      <c r="EK27" s="456"/>
      <c r="EL27" s="456"/>
      <c r="EM27" s="456"/>
    </row>
    <row r="28" spans="1:143" s="447" customFormat="1" ht="29" x14ac:dyDescent="0.35">
      <c r="A28" s="38">
        <v>28</v>
      </c>
      <c r="B28" s="790" t="s">
        <v>173</v>
      </c>
      <c r="C28" s="790" t="s">
        <v>174</v>
      </c>
      <c r="D28" s="791" t="s">
        <v>1095</v>
      </c>
      <c r="E28" s="790">
        <v>3</v>
      </c>
      <c r="F28" s="790">
        <v>3</v>
      </c>
      <c r="G28" s="790">
        <v>3</v>
      </c>
      <c r="H28" s="790">
        <v>3</v>
      </c>
      <c r="I28" s="790" t="s">
        <v>916</v>
      </c>
      <c r="J28" s="791" t="s">
        <v>916</v>
      </c>
      <c r="K28" s="791" t="s">
        <v>916</v>
      </c>
      <c r="L28" s="791" t="s">
        <v>916</v>
      </c>
      <c r="M28" s="790" t="s">
        <v>916</v>
      </c>
      <c r="N28" s="790" t="s">
        <v>853</v>
      </c>
      <c r="O28" s="1225"/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  <c r="AE28" s="456"/>
      <c r="AF28" s="456"/>
      <c r="AG28" s="456"/>
      <c r="AH28" s="456"/>
      <c r="AI28" s="456"/>
      <c r="AJ28" s="456"/>
      <c r="AK28" s="456"/>
      <c r="AL28" s="456"/>
      <c r="AM28" s="456"/>
      <c r="AN28" s="456"/>
      <c r="AO28" s="456"/>
      <c r="AP28" s="456"/>
      <c r="AQ28" s="456"/>
      <c r="AR28" s="456"/>
      <c r="AS28" s="456"/>
      <c r="AT28" s="456"/>
      <c r="AU28" s="456"/>
      <c r="AV28" s="456"/>
      <c r="AW28" s="456"/>
      <c r="AX28" s="456"/>
      <c r="AY28" s="456"/>
      <c r="AZ28" s="456"/>
      <c r="BA28" s="456"/>
      <c r="BB28" s="456"/>
      <c r="BC28" s="456"/>
      <c r="BD28" s="456"/>
      <c r="BE28" s="456"/>
      <c r="BF28" s="456"/>
      <c r="BG28" s="456"/>
      <c r="BH28" s="456"/>
      <c r="BI28" s="456"/>
      <c r="BJ28" s="456"/>
      <c r="BK28" s="456"/>
      <c r="BL28" s="456"/>
      <c r="BM28" s="456"/>
      <c r="BN28" s="456"/>
      <c r="BO28" s="456"/>
      <c r="BP28" s="456"/>
      <c r="BQ28" s="456"/>
      <c r="BR28" s="456"/>
      <c r="BS28" s="456"/>
      <c r="BT28" s="456"/>
      <c r="BU28" s="456"/>
      <c r="BV28" s="456"/>
      <c r="BW28" s="456"/>
      <c r="BX28" s="456"/>
      <c r="BY28" s="456"/>
      <c r="BZ28" s="456"/>
      <c r="CA28" s="456"/>
      <c r="CB28" s="456"/>
      <c r="CC28" s="456"/>
      <c r="CD28" s="456"/>
      <c r="CE28" s="456"/>
      <c r="CF28" s="456"/>
      <c r="CG28" s="456"/>
      <c r="CH28" s="456"/>
      <c r="CI28" s="456"/>
      <c r="CJ28" s="456"/>
      <c r="CK28" s="456"/>
      <c r="CL28" s="456"/>
      <c r="CM28" s="456"/>
      <c r="CN28" s="456"/>
      <c r="CO28" s="456"/>
      <c r="CP28" s="456"/>
      <c r="CQ28" s="456"/>
      <c r="CR28" s="456"/>
      <c r="CS28" s="456"/>
      <c r="CT28" s="456"/>
      <c r="CU28" s="456"/>
      <c r="CV28" s="456"/>
      <c r="CW28" s="456"/>
      <c r="CX28" s="456"/>
      <c r="CY28" s="456"/>
      <c r="CZ28" s="456"/>
      <c r="DA28" s="456"/>
      <c r="DB28" s="456"/>
      <c r="DC28" s="456"/>
      <c r="DD28" s="456"/>
      <c r="DE28" s="456"/>
      <c r="DF28" s="456"/>
      <c r="DG28" s="456"/>
      <c r="DH28" s="456"/>
      <c r="DI28" s="456"/>
      <c r="DJ28" s="456"/>
      <c r="DK28" s="456"/>
      <c r="DL28" s="456"/>
      <c r="DM28" s="456"/>
      <c r="DN28" s="456"/>
      <c r="DO28" s="456"/>
      <c r="DP28" s="456"/>
      <c r="DQ28" s="456"/>
      <c r="DR28" s="456"/>
      <c r="DS28" s="456"/>
      <c r="DT28" s="456"/>
      <c r="DU28" s="456"/>
      <c r="DV28" s="456"/>
      <c r="DW28" s="456"/>
      <c r="DX28" s="456"/>
      <c r="DY28" s="456"/>
      <c r="DZ28" s="456"/>
      <c r="EA28" s="456"/>
      <c r="EB28" s="456"/>
      <c r="EC28" s="456"/>
      <c r="ED28" s="456"/>
      <c r="EE28" s="456"/>
      <c r="EF28" s="456"/>
      <c r="EG28" s="456"/>
      <c r="EH28" s="456"/>
      <c r="EI28" s="456"/>
      <c r="EJ28" s="456"/>
      <c r="EK28" s="456"/>
      <c r="EL28" s="456"/>
      <c r="EM28" s="456"/>
    </row>
    <row r="29" spans="1:143" s="447" customFormat="1" ht="14.5" hidden="1" customHeight="1" x14ac:dyDescent="0.35">
      <c r="A29" s="38">
        <v>29</v>
      </c>
      <c r="B29" s="39" t="s">
        <v>175</v>
      </c>
      <c r="C29" s="39" t="s">
        <v>349</v>
      </c>
      <c r="D29" s="39" t="s">
        <v>127</v>
      </c>
      <c r="E29" s="532" t="s">
        <v>916</v>
      </c>
      <c r="F29" s="532" t="s">
        <v>916</v>
      </c>
      <c r="G29" s="532">
        <v>1</v>
      </c>
      <c r="H29" s="533">
        <v>1</v>
      </c>
      <c r="I29" s="532" t="s">
        <v>916</v>
      </c>
      <c r="J29" s="533" t="s">
        <v>916</v>
      </c>
      <c r="K29" s="533" t="s">
        <v>916</v>
      </c>
      <c r="L29" s="533" t="s">
        <v>916</v>
      </c>
      <c r="M29" s="532">
        <v>6.1989999999999998</v>
      </c>
      <c r="N29" s="532" t="s">
        <v>917</v>
      </c>
      <c r="O29" s="1225"/>
      <c r="P29" s="456"/>
      <c r="Q29" s="456"/>
      <c r="R29" s="456"/>
      <c r="S29" s="456"/>
      <c r="T29" s="456"/>
      <c r="U29" s="456"/>
      <c r="V29" s="456"/>
      <c r="W29" s="456"/>
      <c r="X29" s="456"/>
      <c r="Y29" s="456"/>
      <c r="Z29" s="456"/>
      <c r="AA29" s="456"/>
      <c r="AB29" s="456"/>
      <c r="AC29" s="456"/>
      <c r="AD29" s="456"/>
      <c r="AE29" s="456"/>
      <c r="AF29" s="456"/>
      <c r="AG29" s="456"/>
      <c r="AH29" s="456"/>
      <c r="AI29" s="456"/>
      <c r="AJ29" s="456"/>
      <c r="AK29" s="456"/>
      <c r="AL29" s="456"/>
      <c r="AM29" s="456"/>
      <c r="AN29" s="456"/>
      <c r="AO29" s="456"/>
      <c r="AP29" s="456"/>
      <c r="AQ29" s="456"/>
      <c r="AR29" s="456"/>
      <c r="AS29" s="456"/>
      <c r="AT29" s="456"/>
      <c r="AU29" s="456"/>
      <c r="AV29" s="456"/>
      <c r="AW29" s="456"/>
      <c r="AX29" s="456"/>
      <c r="AY29" s="456"/>
      <c r="AZ29" s="456"/>
      <c r="BA29" s="456"/>
      <c r="BB29" s="456"/>
      <c r="BC29" s="456"/>
      <c r="BD29" s="456"/>
      <c r="BE29" s="456"/>
      <c r="BF29" s="456"/>
      <c r="BG29" s="456"/>
      <c r="BH29" s="456"/>
      <c r="BI29" s="456"/>
      <c r="BJ29" s="456"/>
      <c r="BK29" s="456"/>
      <c r="BL29" s="456"/>
      <c r="BM29" s="456"/>
      <c r="BN29" s="456"/>
      <c r="BO29" s="456"/>
      <c r="BP29" s="456"/>
      <c r="BQ29" s="456"/>
      <c r="BR29" s="456"/>
      <c r="BS29" s="456"/>
      <c r="BT29" s="456"/>
      <c r="BU29" s="456"/>
      <c r="BV29" s="456"/>
      <c r="BW29" s="456"/>
      <c r="BX29" s="456"/>
      <c r="BY29" s="456"/>
      <c r="BZ29" s="456"/>
      <c r="CA29" s="456"/>
      <c r="CB29" s="456"/>
      <c r="CC29" s="456"/>
      <c r="CD29" s="456"/>
      <c r="CE29" s="456"/>
      <c r="CF29" s="456"/>
      <c r="CG29" s="456"/>
      <c r="CH29" s="456"/>
      <c r="CI29" s="456"/>
      <c r="CJ29" s="456"/>
      <c r="CK29" s="456"/>
      <c r="CL29" s="456"/>
      <c r="CM29" s="456"/>
      <c r="CN29" s="456"/>
      <c r="CO29" s="456"/>
      <c r="CP29" s="456"/>
      <c r="CQ29" s="456"/>
      <c r="CR29" s="456"/>
      <c r="CS29" s="456"/>
      <c r="CT29" s="456"/>
      <c r="CU29" s="456"/>
      <c r="CV29" s="456"/>
      <c r="CW29" s="456"/>
      <c r="CX29" s="456"/>
      <c r="CY29" s="456"/>
      <c r="CZ29" s="456"/>
      <c r="DA29" s="456"/>
      <c r="DB29" s="456"/>
      <c r="DC29" s="456"/>
      <c r="DD29" s="456"/>
      <c r="DE29" s="456"/>
      <c r="DF29" s="456"/>
      <c r="DG29" s="456"/>
      <c r="DH29" s="456"/>
      <c r="DI29" s="456"/>
      <c r="DJ29" s="456"/>
      <c r="DK29" s="456"/>
      <c r="DL29" s="456"/>
      <c r="DM29" s="456"/>
      <c r="DN29" s="456"/>
      <c r="DO29" s="456"/>
      <c r="DP29" s="456"/>
      <c r="DQ29" s="456"/>
      <c r="DR29" s="456"/>
      <c r="DS29" s="456"/>
      <c r="DT29" s="456"/>
      <c r="DU29" s="456"/>
      <c r="DV29" s="456"/>
      <c r="DW29" s="456"/>
      <c r="DX29" s="456"/>
      <c r="DY29" s="456"/>
      <c r="DZ29" s="456"/>
      <c r="EA29" s="456"/>
      <c r="EB29" s="456"/>
      <c r="EC29" s="456"/>
      <c r="ED29" s="456"/>
      <c r="EE29" s="456"/>
      <c r="EF29" s="456"/>
      <c r="EG29" s="456"/>
      <c r="EH29" s="456"/>
      <c r="EI29" s="456"/>
      <c r="EJ29" s="456"/>
      <c r="EK29" s="456"/>
      <c r="EL29" s="456"/>
      <c r="EM29" s="456"/>
    </row>
    <row r="30" spans="1:143" s="447" customFormat="1" ht="14.5" hidden="1" customHeight="1" x14ac:dyDescent="0.35">
      <c r="A30" s="38">
        <v>30</v>
      </c>
      <c r="B30" s="39" t="s">
        <v>762</v>
      </c>
      <c r="C30" s="39" t="s">
        <v>137</v>
      </c>
      <c r="D30" s="39" t="s">
        <v>127</v>
      </c>
      <c r="E30" s="532">
        <v>1</v>
      </c>
      <c r="F30" s="532">
        <v>1.5</v>
      </c>
      <c r="G30" s="532" t="s">
        <v>916</v>
      </c>
      <c r="H30" s="533" t="s">
        <v>916</v>
      </c>
      <c r="I30" s="532" t="s">
        <v>916</v>
      </c>
      <c r="J30" s="533" t="s">
        <v>916</v>
      </c>
      <c r="K30" s="533" t="s">
        <v>916</v>
      </c>
      <c r="L30" s="533" t="s">
        <v>916</v>
      </c>
      <c r="M30" s="532">
        <v>4.7789999999999999</v>
      </c>
      <c r="N30" s="532" t="s">
        <v>917</v>
      </c>
      <c r="O30" s="1225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/>
      <c r="DO30" s="456"/>
      <c r="DP30" s="456"/>
      <c r="DQ30" s="456"/>
      <c r="DR30" s="456"/>
      <c r="DS30" s="456"/>
      <c r="DT30" s="456"/>
      <c r="DU30" s="456"/>
      <c r="DV30" s="456"/>
      <c r="DW30" s="456"/>
      <c r="DX30" s="456"/>
      <c r="DY30" s="456"/>
      <c r="DZ30" s="456"/>
      <c r="EA30" s="456"/>
      <c r="EB30" s="456"/>
      <c r="EC30" s="456"/>
      <c r="ED30" s="456"/>
      <c r="EE30" s="456"/>
      <c r="EF30" s="456"/>
      <c r="EG30" s="456"/>
      <c r="EH30" s="456"/>
      <c r="EI30" s="456"/>
      <c r="EJ30" s="456"/>
      <c r="EK30" s="456"/>
      <c r="EL30" s="456"/>
      <c r="EM30" s="456"/>
    </row>
    <row r="31" spans="1:143" s="447" customFormat="1" ht="14.5" hidden="1" customHeight="1" x14ac:dyDescent="0.35">
      <c r="A31" s="38">
        <v>31</v>
      </c>
      <c r="B31" s="39" t="s">
        <v>177</v>
      </c>
      <c r="C31" s="39" t="s">
        <v>178</v>
      </c>
      <c r="D31" s="39" t="s">
        <v>127</v>
      </c>
      <c r="E31" s="532" t="s">
        <v>916</v>
      </c>
      <c r="F31" s="532" t="s">
        <v>916</v>
      </c>
      <c r="G31" s="532">
        <v>1</v>
      </c>
      <c r="H31" s="533">
        <v>1</v>
      </c>
      <c r="I31" s="532" t="s">
        <v>916</v>
      </c>
      <c r="J31" s="533" t="s">
        <v>916</v>
      </c>
      <c r="K31" s="533" t="s">
        <v>916</v>
      </c>
      <c r="L31" s="533" t="s">
        <v>916</v>
      </c>
      <c r="M31" s="532">
        <v>19.489000000000001</v>
      </c>
      <c r="N31" s="532" t="s">
        <v>917</v>
      </c>
      <c r="O31" s="1225"/>
      <c r="P31" s="456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6"/>
      <c r="DF31" s="456"/>
      <c r="DG31" s="456"/>
      <c r="DH31" s="456"/>
      <c r="DI31" s="456"/>
      <c r="DJ31" s="456"/>
      <c r="DK31" s="456"/>
      <c r="DL31" s="456"/>
      <c r="DM31" s="456"/>
      <c r="DN31" s="456"/>
      <c r="DO31" s="456"/>
      <c r="DP31" s="456"/>
      <c r="DQ31" s="456"/>
      <c r="DR31" s="456"/>
      <c r="DS31" s="456"/>
      <c r="DT31" s="456"/>
      <c r="DU31" s="456"/>
      <c r="DV31" s="456"/>
      <c r="DW31" s="456"/>
      <c r="DX31" s="456"/>
      <c r="DY31" s="456"/>
      <c r="DZ31" s="456"/>
      <c r="EA31" s="456"/>
      <c r="EB31" s="456"/>
      <c r="EC31" s="456"/>
      <c r="ED31" s="456"/>
      <c r="EE31" s="456"/>
      <c r="EF31" s="456"/>
      <c r="EG31" s="456"/>
      <c r="EH31" s="456"/>
      <c r="EI31" s="456"/>
      <c r="EJ31" s="456"/>
      <c r="EK31" s="456"/>
      <c r="EL31" s="456"/>
      <c r="EM31" s="456"/>
    </row>
    <row r="32" spans="1:143" s="447" customFormat="1" ht="15" hidden="1" customHeight="1" x14ac:dyDescent="0.35">
      <c r="A32" s="481">
        <v>32</v>
      </c>
      <c r="B32" s="39" t="s">
        <v>179</v>
      </c>
      <c r="C32" s="39" t="s">
        <v>142</v>
      </c>
      <c r="D32" s="39" t="s">
        <v>127</v>
      </c>
      <c r="E32" s="39" t="s">
        <v>916</v>
      </c>
      <c r="F32" s="39">
        <v>1</v>
      </c>
      <c r="G32" s="39">
        <v>1</v>
      </c>
      <c r="H32" s="461">
        <v>1</v>
      </c>
      <c r="I32" s="39" t="s">
        <v>916</v>
      </c>
      <c r="J32" s="461" t="s">
        <v>916</v>
      </c>
      <c r="K32" s="461" t="s">
        <v>916</v>
      </c>
      <c r="L32" s="461" t="s">
        <v>916</v>
      </c>
      <c r="M32" s="39">
        <v>6.4080000000000004</v>
      </c>
      <c r="N32" s="39" t="s">
        <v>917</v>
      </c>
      <c r="O32" s="1225"/>
      <c r="P32" s="456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</row>
    <row r="33" spans="1:15" x14ac:dyDescent="0.35">
      <c r="A33" s="825"/>
      <c r="B33" s="810" t="s">
        <v>1093</v>
      </c>
      <c r="C33" s="810" t="s">
        <v>619</v>
      </c>
      <c r="D33" s="810" t="s">
        <v>1147</v>
      </c>
      <c r="E33" s="811"/>
      <c r="F33" s="811"/>
      <c r="G33" s="811"/>
      <c r="H33" s="811"/>
      <c r="I33" s="811"/>
      <c r="J33" s="811"/>
      <c r="K33" s="811"/>
      <c r="L33" s="811"/>
      <c r="M33" s="811"/>
      <c r="N33" s="811"/>
      <c r="O33" s="1225"/>
    </row>
    <row r="34" spans="1:15" ht="14.5" hidden="1" customHeight="1" x14ac:dyDescent="0.35">
      <c r="A34" s="825"/>
      <c r="B34" s="39" t="s">
        <v>1101</v>
      </c>
      <c r="C34" s="39" t="s">
        <v>176</v>
      </c>
      <c r="D34" s="39" t="s">
        <v>1098</v>
      </c>
      <c r="E34" s="531"/>
      <c r="F34" s="531"/>
      <c r="G34" s="531"/>
      <c r="H34" s="531"/>
      <c r="I34" s="531"/>
      <c r="J34" s="531"/>
      <c r="K34" s="531"/>
      <c r="L34" s="531"/>
      <c r="M34" s="531"/>
      <c r="N34" s="531"/>
      <c r="O34" s="1225"/>
    </row>
    <row r="35" spans="1:15" ht="14.5" hidden="1" customHeight="1" x14ac:dyDescent="0.35">
      <c r="A35" s="825"/>
      <c r="B35" s="39" t="s">
        <v>644</v>
      </c>
      <c r="C35" s="39" t="s">
        <v>353</v>
      </c>
      <c r="D35" s="39" t="s">
        <v>1102</v>
      </c>
      <c r="E35" s="531"/>
      <c r="F35" s="531"/>
      <c r="G35" s="531"/>
      <c r="H35" s="531"/>
      <c r="I35" s="531"/>
      <c r="J35" s="531"/>
      <c r="K35" s="531"/>
      <c r="L35" s="531"/>
      <c r="M35" s="531"/>
      <c r="N35" s="531"/>
      <c r="O35" s="1225"/>
    </row>
    <row r="36" spans="1:15" x14ac:dyDescent="0.35">
      <c r="A36" s="825"/>
      <c r="B36" s="39" t="s">
        <v>566</v>
      </c>
      <c r="C36" s="39" t="s">
        <v>575</v>
      </c>
      <c r="D36" s="39" t="s">
        <v>1102</v>
      </c>
      <c r="E36" s="531"/>
      <c r="F36" s="531"/>
      <c r="G36" s="531"/>
      <c r="H36" s="531"/>
      <c r="I36" s="531"/>
      <c r="J36" s="531"/>
      <c r="K36" s="531"/>
      <c r="L36" s="531"/>
      <c r="M36" s="531"/>
      <c r="N36" s="531"/>
      <c r="O36" s="1225"/>
    </row>
    <row r="37" spans="1:15" ht="15" hidden="1" customHeight="1" thickBot="1" x14ac:dyDescent="0.35">
      <c r="A37" s="825"/>
      <c r="B37" s="39" t="s">
        <v>1100</v>
      </c>
      <c r="C37" s="39" t="s">
        <v>308</v>
      </c>
      <c r="D37" s="39" t="s">
        <v>1099</v>
      </c>
      <c r="E37" s="531"/>
      <c r="F37" s="531"/>
      <c r="G37" s="531"/>
      <c r="H37" s="531"/>
      <c r="I37" s="531"/>
      <c r="J37" s="531"/>
      <c r="K37" s="531"/>
      <c r="L37" s="531"/>
      <c r="M37" s="531"/>
      <c r="N37" s="531"/>
      <c r="O37" s="1225"/>
    </row>
    <row r="38" spans="1:15" x14ac:dyDescent="0.35">
      <c r="A38" s="825"/>
      <c r="B38" s="39" t="s">
        <v>1100</v>
      </c>
      <c r="C38" s="39" t="s">
        <v>308</v>
      </c>
      <c r="D38" s="39" t="s">
        <v>1099</v>
      </c>
      <c r="E38" s="531"/>
      <c r="F38" s="531"/>
      <c r="G38" s="531"/>
      <c r="H38" s="531"/>
      <c r="I38" s="531"/>
      <c r="J38" s="531"/>
      <c r="K38" s="531"/>
      <c r="L38" s="531"/>
      <c r="M38" s="531"/>
      <c r="N38" s="531"/>
      <c r="O38" s="1225"/>
    </row>
    <row r="39" spans="1:15" ht="15" thickBot="1" x14ac:dyDescent="0.4">
      <c r="A39" s="901"/>
      <c r="B39" s="41" t="s">
        <v>155</v>
      </c>
      <c r="C39" s="502" t="s">
        <v>156</v>
      </c>
      <c r="D39" s="502" t="s">
        <v>1330</v>
      </c>
      <c r="E39" s="902">
        <v>1.5</v>
      </c>
      <c r="F39" s="902"/>
      <c r="G39" s="902"/>
      <c r="H39" s="902">
        <v>1.5</v>
      </c>
      <c r="I39" s="902"/>
      <c r="J39" s="902"/>
      <c r="K39" s="902"/>
      <c r="L39" s="902"/>
      <c r="M39" s="902"/>
      <c r="N39" s="902"/>
      <c r="O39" s="903" t="s">
        <v>1331</v>
      </c>
    </row>
  </sheetData>
  <mergeCells count="12">
    <mergeCell ref="M4:M5"/>
    <mergeCell ref="O13:O38"/>
    <mergeCell ref="A1:O2"/>
    <mergeCell ref="A3:A5"/>
    <mergeCell ref="B3:B5"/>
    <mergeCell ref="C3:C5"/>
    <mergeCell ref="D3:D5"/>
    <mergeCell ref="E3:M3"/>
    <mergeCell ref="N3:N4"/>
    <mergeCell ref="O3:O5"/>
    <mergeCell ref="E4:H4"/>
    <mergeCell ref="I4:L4"/>
  </mergeCells>
  <conditionalFormatting sqref="B10">
    <cfRule type="duplicateValues" dxfId="63" priority="3"/>
    <cfRule type="duplicateValues" dxfId="62" priority="4"/>
  </conditionalFormatting>
  <conditionalFormatting sqref="B15 B12 B7:B8">
    <cfRule type="duplicateValues" dxfId="61" priority="14"/>
    <cfRule type="duplicateValues" dxfId="60" priority="15"/>
  </conditionalFormatting>
  <conditionalFormatting sqref="B23">
    <cfRule type="duplicateValues" dxfId="59" priority="7"/>
    <cfRule type="duplicateValues" dxfId="58" priority="8"/>
  </conditionalFormatting>
  <conditionalFormatting sqref="B24:B31 B9 B13:B14 B16:B22 B11">
    <cfRule type="duplicateValues" dxfId="57" priority="2018"/>
    <cfRule type="duplicateValues" dxfId="56" priority="2019"/>
  </conditionalFormatting>
  <conditionalFormatting sqref="B31">
    <cfRule type="duplicateValues" dxfId="55" priority="9"/>
  </conditionalFormatting>
  <conditionalFormatting sqref="H7:H8 H12 H16 H19">
    <cfRule type="cellIs" dxfId="54" priority="10" operator="equal">
      <formula>"Approved"</formula>
    </cfRule>
    <cfRule type="cellIs" dxfId="53" priority="11" operator="equal">
      <formula>"Submitted"</formula>
    </cfRule>
  </conditionalFormatting>
  <conditionalFormatting sqref="H10">
    <cfRule type="cellIs" dxfId="52" priority="1" operator="equal">
      <formula>"Approved"</formula>
    </cfRule>
    <cfRule type="cellIs" dxfId="51" priority="2" operator="equal">
      <formula>"Submitted"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63AF1-D61A-47FA-A8F3-F7C5A4761051}">
  <dimension ref="A1:O40"/>
  <sheetViews>
    <sheetView zoomScale="66" workbookViewId="0">
      <selection activeCell="B23" sqref="B23"/>
    </sheetView>
  </sheetViews>
  <sheetFormatPr defaultRowHeight="14.5" x14ac:dyDescent="0.35"/>
  <cols>
    <col min="2" max="2" width="15.1796875" customWidth="1"/>
    <col min="3" max="3" width="17.453125" customWidth="1"/>
    <col min="4" max="4" width="21.1796875" bestFit="1" customWidth="1"/>
    <col min="5" max="5" width="13.08984375" customWidth="1"/>
    <col min="6" max="6" width="26.08984375" customWidth="1"/>
    <col min="14" max="14" width="12.90625" hidden="1" customWidth="1"/>
    <col min="15" max="15" width="25.54296875" style="23" customWidth="1"/>
  </cols>
  <sheetData>
    <row r="1" spans="1:15" x14ac:dyDescent="0.35">
      <c r="A1" s="1222" t="s">
        <v>121</v>
      </c>
      <c r="B1" s="1221" t="s">
        <v>122</v>
      </c>
      <c r="C1" s="1221" t="s">
        <v>123</v>
      </c>
      <c r="D1" s="1221" t="s">
        <v>105</v>
      </c>
      <c r="E1" s="1221" t="s">
        <v>124</v>
      </c>
      <c r="F1" s="1221"/>
      <c r="G1" s="1221"/>
      <c r="H1" s="1221"/>
      <c r="I1" s="1221"/>
      <c r="J1" s="1221"/>
      <c r="K1" s="1221"/>
      <c r="L1" s="1221"/>
      <c r="M1" s="1221"/>
      <c r="N1" s="1234" t="s">
        <v>913</v>
      </c>
      <c r="O1" s="1233" t="s">
        <v>914</v>
      </c>
    </row>
    <row r="2" spans="1:15" x14ac:dyDescent="0.35">
      <c r="A2" s="1162"/>
      <c r="B2" s="954"/>
      <c r="C2" s="954"/>
      <c r="D2" s="954"/>
      <c r="E2" s="1161" t="s">
        <v>920</v>
      </c>
      <c r="F2" s="1161"/>
      <c r="G2" s="1161"/>
      <c r="H2" s="1161"/>
      <c r="I2" s="1161" t="s">
        <v>921</v>
      </c>
      <c r="J2" s="1161"/>
      <c r="K2" s="1161"/>
      <c r="L2" s="1161"/>
      <c r="M2" s="1161" t="s">
        <v>915</v>
      </c>
      <c r="N2" s="1160"/>
      <c r="O2" s="1232"/>
    </row>
    <row r="3" spans="1:15" x14ac:dyDescent="0.35">
      <c r="A3" s="1162"/>
      <c r="B3" s="954"/>
      <c r="C3" s="954"/>
      <c r="D3" s="954"/>
      <c r="E3" s="439" t="s">
        <v>7</v>
      </c>
      <c r="F3" s="439" t="s">
        <v>8</v>
      </c>
      <c r="G3" s="439" t="s">
        <v>9</v>
      </c>
      <c r="H3" s="439" t="s">
        <v>10</v>
      </c>
      <c r="I3" s="439" t="s">
        <v>7</v>
      </c>
      <c r="J3" s="439" t="s">
        <v>8</v>
      </c>
      <c r="K3" s="439" t="s">
        <v>9</v>
      </c>
      <c r="L3" s="439" t="s">
        <v>10</v>
      </c>
      <c r="M3" s="1161"/>
      <c r="N3" s="440"/>
      <c r="O3" s="436"/>
    </row>
    <row r="4" spans="1:15" ht="29" x14ac:dyDescent="0.35">
      <c r="A4" s="441">
        <v>1</v>
      </c>
      <c r="B4" s="442" t="s">
        <v>125</v>
      </c>
      <c r="C4" s="442" t="s">
        <v>126</v>
      </c>
      <c r="D4" s="442" t="s">
        <v>127</v>
      </c>
      <c r="E4" s="442">
        <v>1</v>
      </c>
      <c r="F4" s="442">
        <v>1</v>
      </c>
      <c r="G4" s="442" t="s">
        <v>916</v>
      </c>
      <c r="H4" s="443" t="s">
        <v>916</v>
      </c>
      <c r="I4" s="443" t="s">
        <v>916</v>
      </c>
      <c r="J4" s="443" t="s">
        <v>916</v>
      </c>
      <c r="K4" s="443" t="s">
        <v>916</v>
      </c>
      <c r="L4" s="443" t="s">
        <v>916</v>
      </c>
      <c r="M4" s="442">
        <v>28.315000000000001</v>
      </c>
      <c r="N4" s="442" t="s">
        <v>917</v>
      </c>
      <c r="O4" s="471" t="s">
        <v>925</v>
      </c>
    </row>
    <row r="5" spans="1:15" ht="29" x14ac:dyDescent="0.35">
      <c r="A5" s="441">
        <v>2</v>
      </c>
      <c r="B5" s="442" t="s">
        <v>133</v>
      </c>
      <c r="C5" s="442" t="s">
        <v>134</v>
      </c>
      <c r="D5" s="442" t="s">
        <v>135</v>
      </c>
      <c r="E5" s="442">
        <v>3</v>
      </c>
      <c r="F5" s="442">
        <v>3</v>
      </c>
      <c r="G5" s="442">
        <v>3</v>
      </c>
      <c r="H5" s="442">
        <v>3</v>
      </c>
      <c r="I5" s="443" t="s">
        <v>916</v>
      </c>
      <c r="J5" s="443" t="s">
        <v>916</v>
      </c>
      <c r="K5" s="443" t="s">
        <v>916</v>
      </c>
      <c r="L5" s="443" t="s">
        <v>916</v>
      </c>
      <c r="M5" s="442"/>
      <c r="N5" s="442" t="s">
        <v>917</v>
      </c>
      <c r="O5" s="471" t="s">
        <v>925</v>
      </c>
    </row>
    <row r="6" spans="1:15" ht="29" x14ac:dyDescent="0.35">
      <c r="A6" s="441">
        <v>3</v>
      </c>
      <c r="B6" s="442" t="s">
        <v>138</v>
      </c>
      <c r="C6" s="442" t="s">
        <v>139</v>
      </c>
      <c r="D6" s="442" t="s">
        <v>140</v>
      </c>
      <c r="E6" s="442">
        <v>1</v>
      </c>
      <c r="F6" s="442">
        <v>1</v>
      </c>
      <c r="G6" s="442" t="s">
        <v>916</v>
      </c>
      <c r="H6" s="443" t="s">
        <v>916</v>
      </c>
      <c r="I6" s="443" t="s">
        <v>916</v>
      </c>
      <c r="J6" s="443" t="s">
        <v>916</v>
      </c>
      <c r="K6" s="443" t="s">
        <v>916</v>
      </c>
      <c r="L6" s="443" t="s">
        <v>916</v>
      </c>
      <c r="M6" s="442">
        <v>6.7489999999999997</v>
      </c>
      <c r="N6" s="442" t="s">
        <v>917</v>
      </c>
      <c r="O6" s="471" t="s">
        <v>925</v>
      </c>
    </row>
    <row r="7" spans="1:15" ht="29" x14ac:dyDescent="0.35">
      <c r="A7" s="441">
        <v>4</v>
      </c>
      <c r="B7" s="39" t="s">
        <v>148</v>
      </c>
      <c r="C7" s="39" t="s">
        <v>149</v>
      </c>
      <c r="D7" s="39" t="s">
        <v>127</v>
      </c>
      <c r="E7" s="39" t="s">
        <v>916</v>
      </c>
      <c r="F7" s="39" t="s">
        <v>916</v>
      </c>
      <c r="G7" s="39">
        <v>1.5</v>
      </c>
      <c r="H7" s="39"/>
      <c r="I7" s="39">
        <v>1.5</v>
      </c>
      <c r="J7" s="461">
        <v>3</v>
      </c>
      <c r="K7" s="461">
        <v>3</v>
      </c>
      <c r="L7" s="461">
        <v>3</v>
      </c>
      <c r="M7" s="39">
        <v>13.173999999999999</v>
      </c>
      <c r="N7" s="39" t="s">
        <v>853</v>
      </c>
      <c r="O7" s="471" t="s">
        <v>925</v>
      </c>
    </row>
    <row r="8" spans="1:15" ht="29" x14ac:dyDescent="0.35">
      <c r="A8" s="441">
        <v>5</v>
      </c>
      <c r="B8" s="39" t="s">
        <v>154</v>
      </c>
      <c r="C8" s="39" t="s">
        <v>134</v>
      </c>
      <c r="D8" s="39" t="s">
        <v>135</v>
      </c>
      <c r="E8" s="39">
        <v>4</v>
      </c>
      <c r="F8" s="39">
        <v>4</v>
      </c>
      <c r="G8" s="39">
        <v>4</v>
      </c>
      <c r="H8" s="39">
        <v>4</v>
      </c>
      <c r="I8" s="39" t="s">
        <v>916</v>
      </c>
      <c r="J8" s="461" t="s">
        <v>916</v>
      </c>
      <c r="K8" s="461" t="s">
        <v>916</v>
      </c>
      <c r="L8" s="461" t="s">
        <v>916</v>
      </c>
      <c r="M8" s="39"/>
      <c r="N8" s="39" t="s">
        <v>917</v>
      </c>
      <c r="O8" s="471" t="s">
        <v>925</v>
      </c>
    </row>
    <row r="9" spans="1:15" ht="29" x14ac:dyDescent="0.35">
      <c r="A9" s="441">
        <v>6</v>
      </c>
      <c r="B9" s="39" t="s">
        <v>157</v>
      </c>
      <c r="C9" s="39" t="s">
        <v>144</v>
      </c>
      <c r="D9" s="39" t="s">
        <v>127</v>
      </c>
      <c r="E9" s="39">
        <v>2</v>
      </c>
      <c r="F9" s="39" t="s">
        <v>916</v>
      </c>
      <c r="G9" s="39" t="s">
        <v>916</v>
      </c>
      <c r="H9" s="39" t="s">
        <v>916</v>
      </c>
      <c r="I9" s="462">
        <v>3</v>
      </c>
      <c r="J9" s="463">
        <v>3</v>
      </c>
      <c r="K9" s="463">
        <v>1.5</v>
      </c>
      <c r="L9" s="463">
        <v>3</v>
      </c>
      <c r="M9" s="39">
        <v>19.466000000000001</v>
      </c>
      <c r="N9" s="39" t="s">
        <v>917</v>
      </c>
      <c r="O9" s="471" t="s">
        <v>925</v>
      </c>
    </row>
    <row r="10" spans="1:15" ht="29" x14ac:dyDescent="0.35">
      <c r="A10" s="441">
        <v>7</v>
      </c>
      <c r="B10" s="39" t="s">
        <v>158</v>
      </c>
      <c r="C10" s="39" t="s">
        <v>146</v>
      </c>
      <c r="D10" s="39" t="s">
        <v>135</v>
      </c>
      <c r="E10" s="39">
        <v>2</v>
      </c>
      <c r="F10" s="39">
        <v>2</v>
      </c>
      <c r="G10" s="39">
        <v>2</v>
      </c>
      <c r="H10" s="39">
        <v>2</v>
      </c>
      <c r="I10" s="39" t="s">
        <v>916</v>
      </c>
      <c r="J10" s="461" t="s">
        <v>916</v>
      </c>
      <c r="K10" s="461" t="s">
        <v>916</v>
      </c>
      <c r="L10" s="461" t="s">
        <v>916</v>
      </c>
      <c r="M10" s="39"/>
      <c r="N10" s="39" t="s">
        <v>853</v>
      </c>
      <c r="O10" s="471" t="s">
        <v>925</v>
      </c>
    </row>
    <row r="11" spans="1:15" ht="29" x14ac:dyDescent="0.35">
      <c r="A11" s="441">
        <v>8</v>
      </c>
      <c r="B11" s="442" t="s">
        <v>159</v>
      </c>
      <c r="C11" s="442" t="s">
        <v>126</v>
      </c>
      <c r="D11" s="442" t="s">
        <v>127</v>
      </c>
      <c r="E11" s="442">
        <v>2</v>
      </c>
      <c r="F11" s="442">
        <v>1</v>
      </c>
      <c r="G11" s="442" t="s">
        <v>916</v>
      </c>
      <c r="H11" s="443" t="s">
        <v>916</v>
      </c>
      <c r="I11" s="442" t="s">
        <v>916</v>
      </c>
      <c r="J11" s="443" t="s">
        <v>916</v>
      </c>
      <c r="K11" s="443" t="s">
        <v>916</v>
      </c>
      <c r="L11" s="443" t="s">
        <v>916</v>
      </c>
      <c r="M11" s="442">
        <v>18.893999999999998</v>
      </c>
      <c r="N11" s="442" t="s">
        <v>853</v>
      </c>
      <c r="O11" s="471" t="s">
        <v>925</v>
      </c>
    </row>
    <row r="12" spans="1:15" ht="29" x14ac:dyDescent="0.35">
      <c r="A12" s="441">
        <v>9</v>
      </c>
      <c r="B12" s="442" t="s">
        <v>160</v>
      </c>
      <c r="C12" s="442" t="s">
        <v>161</v>
      </c>
      <c r="D12" s="442" t="s">
        <v>127</v>
      </c>
      <c r="E12" s="442" t="s">
        <v>916</v>
      </c>
      <c r="F12" s="442" t="s">
        <v>916</v>
      </c>
      <c r="G12" s="442" t="s">
        <v>916</v>
      </c>
      <c r="H12" s="442">
        <v>1</v>
      </c>
      <c r="I12" s="442" t="s">
        <v>916</v>
      </c>
      <c r="J12" s="443" t="s">
        <v>916</v>
      </c>
      <c r="K12" s="443" t="s">
        <v>916</v>
      </c>
      <c r="L12" s="443" t="s">
        <v>916</v>
      </c>
      <c r="M12" s="442">
        <v>36.183999999999997</v>
      </c>
      <c r="N12" s="442" t="s">
        <v>853</v>
      </c>
      <c r="O12" s="471" t="s">
        <v>925</v>
      </c>
    </row>
    <row r="13" spans="1:15" ht="29" x14ac:dyDescent="0.35">
      <c r="A13" s="441">
        <v>10</v>
      </c>
      <c r="B13" s="442" t="s">
        <v>162</v>
      </c>
      <c r="C13" s="442" t="s">
        <v>129</v>
      </c>
      <c r="D13" s="442" t="s">
        <v>127</v>
      </c>
      <c r="E13" s="442" t="s">
        <v>916</v>
      </c>
      <c r="F13" s="442" t="s">
        <v>916</v>
      </c>
      <c r="G13" s="442">
        <v>2</v>
      </c>
      <c r="H13" s="443">
        <v>1</v>
      </c>
      <c r="I13" s="464">
        <v>-1.5</v>
      </c>
      <c r="J13" s="465">
        <v>0</v>
      </c>
      <c r="K13" s="465">
        <v>0</v>
      </c>
      <c r="L13" s="465">
        <v>0</v>
      </c>
      <c r="M13" s="442">
        <v>11.930999999999999</v>
      </c>
      <c r="N13" s="442" t="s">
        <v>853</v>
      </c>
      <c r="O13" s="471" t="s">
        <v>925</v>
      </c>
    </row>
    <row r="14" spans="1:15" ht="29" x14ac:dyDescent="0.35">
      <c r="A14" s="441">
        <v>11</v>
      </c>
      <c r="B14" s="442" t="s">
        <v>163</v>
      </c>
      <c r="C14" s="442" t="s">
        <v>151</v>
      </c>
      <c r="D14" s="442" t="s">
        <v>140</v>
      </c>
      <c r="E14" s="442" t="s">
        <v>916</v>
      </c>
      <c r="F14" s="442" t="s">
        <v>916</v>
      </c>
      <c r="G14" s="442" t="s">
        <v>916</v>
      </c>
      <c r="H14" s="443" t="s">
        <v>916</v>
      </c>
      <c r="I14" s="464" t="s">
        <v>916</v>
      </c>
      <c r="J14" s="465" t="s">
        <v>916</v>
      </c>
      <c r="K14" s="465">
        <v>3</v>
      </c>
      <c r="L14" s="465">
        <v>1.5</v>
      </c>
      <c r="M14" s="442">
        <v>5.4909999999999997</v>
      </c>
      <c r="N14" s="442" t="s">
        <v>853</v>
      </c>
      <c r="O14" s="471" t="s">
        <v>925</v>
      </c>
    </row>
    <row r="15" spans="1:15" ht="29" x14ac:dyDescent="0.35">
      <c r="A15" s="441">
        <v>12</v>
      </c>
      <c r="B15" s="442" t="s">
        <v>164</v>
      </c>
      <c r="C15" s="442" t="s">
        <v>165</v>
      </c>
      <c r="D15" s="442" t="s">
        <v>127</v>
      </c>
      <c r="E15" s="442">
        <v>3</v>
      </c>
      <c r="F15" s="442" t="s">
        <v>916</v>
      </c>
      <c r="G15" s="442">
        <v>3</v>
      </c>
      <c r="H15" s="443">
        <v>3</v>
      </c>
      <c r="I15" s="442" t="s">
        <v>916</v>
      </c>
      <c r="J15" s="443" t="s">
        <v>916</v>
      </c>
      <c r="K15" s="443" t="s">
        <v>916</v>
      </c>
      <c r="L15" s="443" t="s">
        <v>916</v>
      </c>
      <c r="M15" s="442">
        <v>95.665000000000006</v>
      </c>
      <c r="N15" s="442" t="s">
        <v>853</v>
      </c>
      <c r="O15" s="471" t="s">
        <v>925</v>
      </c>
    </row>
    <row r="16" spans="1:15" ht="29" x14ac:dyDescent="0.35">
      <c r="A16" s="441">
        <v>13</v>
      </c>
      <c r="B16" s="442" t="s">
        <v>166</v>
      </c>
      <c r="C16" s="442" t="s">
        <v>167</v>
      </c>
      <c r="D16" s="442" t="s">
        <v>127</v>
      </c>
      <c r="E16" s="442">
        <v>1</v>
      </c>
      <c r="F16" s="442" t="s">
        <v>916</v>
      </c>
      <c r="G16" s="442" t="s">
        <v>916</v>
      </c>
      <c r="H16" s="443" t="s">
        <v>916</v>
      </c>
      <c r="I16" s="464">
        <v>1.5</v>
      </c>
      <c r="J16" s="465" t="s">
        <v>916</v>
      </c>
      <c r="K16" s="465" t="s">
        <v>916</v>
      </c>
      <c r="L16" s="465">
        <v>1.5</v>
      </c>
      <c r="M16" s="442">
        <v>16.606000000000002</v>
      </c>
      <c r="N16" s="442" t="s">
        <v>917</v>
      </c>
      <c r="O16" s="471" t="s">
        <v>925</v>
      </c>
    </row>
    <row r="17" spans="1:15" ht="29" x14ac:dyDescent="0.35">
      <c r="A17" s="441">
        <v>14</v>
      </c>
      <c r="B17" s="442" t="s">
        <v>168</v>
      </c>
      <c r="C17" s="442" t="s">
        <v>142</v>
      </c>
      <c r="D17" s="442" t="s">
        <v>127</v>
      </c>
      <c r="E17" s="442" t="s">
        <v>916</v>
      </c>
      <c r="F17" s="442" t="s">
        <v>916</v>
      </c>
      <c r="G17" s="442">
        <v>1</v>
      </c>
      <c r="H17" s="442" t="s">
        <v>916</v>
      </c>
      <c r="I17" s="442" t="s">
        <v>916</v>
      </c>
      <c r="J17" s="443" t="s">
        <v>916</v>
      </c>
      <c r="K17" s="443" t="s">
        <v>916</v>
      </c>
      <c r="L17" s="443" t="s">
        <v>916</v>
      </c>
      <c r="M17" s="442">
        <v>28.18</v>
      </c>
      <c r="N17" s="442" t="s">
        <v>853</v>
      </c>
      <c r="O17" s="471" t="s">
        <v>925</v>
      </c>
    </row>
    <row r="18" spans="1:15" ht="29" x14ac:dyDescent="0.35">
      <c r="A18" s="441">
        <v>15</v>
      </c>
      <c r="B18" s="442" t="s">
        <v>169</v>
      </c>
      <c r="C18" s="442" t="s">
        <v>146</v>
      </c>
      <c r="D18" s="442" t="s">
        <v>127</v>
      </c>
      <c r="E18" s="442" t="s">
        <v>916</v>
      </c>
      <c r="F18" s="442" t="s">
        <v>916</v>
      </c>
      <c r="G18" s="442">
        <v>2</v>
      </c>
      <c r="H18" s="442" t="s">
        <v>916</v>
      </c>
      <c r="I18" s="442">
        <v>7.5</v>
      </c>
      <c r="J18" s="443">
        <v>9</v>
      </c>
      <c r="K18" s="443">
        <v>9</v>
      </c>
      <c r="L18" s="443">
        <v>9</v>
      </c>
      <c r="M18" s="442">
        <v>4.6289999999999996</v>
      </c>
      <c r="N18" s="442" t="s">
        <v>853</v>
      </c>
      <c r="O18" s="471" t="s">
        <v>925</v>
      </c>
    </row>
    <row r="19" spans="1:15" ht="29" x14ac:dyDescent="0.35">
      <c r="A19" s="441">
        <v>16</v>
      </c>
      <c r="B19" s="442" t="s">
        <v>170</v>
      </c>
      <c r="C19" s="442" t="s">
        <v>137</v>
      </c>
      <c r="D19" s="442" t="s">
        <v>127</v>
      </c>
      <c r="E19" s="442" t="s">
        <v>916</v>
      </c>
      <c r="F19" s="442" t="s">
        <v>916</v>
      </c>
      <c r="G19" s="442" t="s">
        <v>916</v>
      </c>
      <c r="H19" s="442">
        <v>1.5</v>
      </c>
      <c r="I19" s="442" t="s">
        <v>916</v>
      </c>
      <c r="J19" s="443" t="s">
        <v>916</v>
      </c>
      <c r="K19" s="443" t="s">
        <v>916</v>
      </c>
      <c r="L19" s="443" t="s">
        <v>916</v>
      </c>
      <c r="M19" s="442">
        <v>20.512</v>
      </c>
      <c r="N19" s="442" t="s">
        <v>917</v>
      </c>
      <c r="O19" s="471" t="s">
        <v>925</v>
      </c>
    </row>
    <row r="20" spans="1:15" ht="29" x14ac:dyDescent="0.35">
      <c r="A20" s="441">
        <v>17</v>
      </c>
      <c r="B20" s="442" t="s">
        <v>171</v>
      </c>
      <c r="C20" s="442" t="s">
        <v>126</v>
      </c>
      <c r="D20" s="442" t="s">
        <v>127</v>
      </c>
      <c r="E20" s="442" t="s">
        <v>916</v>
      </c>
      <c r="F20" s="442" t="s">
        <v>916</v>
      </c>
      <c r="G20" s="442">
        <v>1</v>
      </c>
      <c r="H20" s="443">
        <v>1.5</v>
      </c>
      <c r="I20" s="442" t="s">
        <v>916</v>
      </c>
      <c r="J20" s="443" t="s">
        <v>916</v>
      </c>
      <c r="K20" s="443" t="s">
        <v>916</v>
      </c>
      <c r="L20" s="443" t="s">
        <v>916</v>
      </c>
      <c r="M20" s="442">
        <v>20.960999999999999</v>
      </c>
      <c r="N20" s="442" t="s">
        <v>917</v>
      </c>
      <c r="O20" s="471" t="s">
        <v>925</v>
      </c>
    </row>
    <row r="21" spans="1:15" ht="29" x14ac:dyDescent="0.35">
      <c r="A21" s="441">
        <v>18</v>
      </c>
      <c r="B21" s="442" t="s">
        <v>172</v>
      </c>
      <c r="C21" s="442" t="s">
        <v>142</v>
      </c>
      <c r="D21" s="442" t="s">
        <v>140</v>
      </c>
      <c r="E21" s="442" t="s">
        <v>916</v>
      </c>
      <c r="F21" s="442" t="s">
        <v>916</v>
      </c>
      <c r="G21" s="442">
        <v>2</v>
      </c>
      <c r="H21" s="443">
        <v>2.5</v>
      </c>
      <c r="I21" s="442" t="s">
        <v>916</v>
      </c>
      <c r="J21" s="443" t="s">
        <v>916</v>
      </c>
      <c r="K21" s="443" t="s">
        <v>916</v>
      </c>
      <c r="L21" s="443" t="s">
        <v>916</v>
      </c>
      <c r="M21" s="442">
        <v>7.2590000000000003</v>
      </c>
      <c r="N21" s="442" t="s">
        <v>917</v>
      </c>
      <c r="O21" s="471" t="s">
        <v>925</v>
      </c>
    </row>
    <row r="22" spans="1:15" ht="29" x14ac:dyDescent="0.35">
      <c r="A22" s="441">
        <v>19</v>
      </c>
      <c r="B22" s="442" t="s">
        <v>175</v>
      </c>
      <c r="C22" s="442" t="s">
        <v>349</v>
      </c>
      <c r="D22" s="442" t="s">
        <v>140</v>
      </c>
      <c r="E22" s="442" t="s">
        <v>916</v>
      </c>
      <c r="F22" s="442" t="s">
        <v>916</v>
      </c>
      <c r="G22" s="442">
        <v>1</v>
      </c>
      <c r="H22" s="443">
        <v>1</v>
      </c>
      <c r="I22" s="442" t="s">
        <v>916</v>
      </c>
      <c r="J22" s="443" t="s">
        <v>916</v>
      </c>
      <c r="K22" s="443" t="s">
        <v>916</v>
      </c>
      <c r="L22" s="443" t="s">
        <v>916</v>
      </c>
      <c r="M22" s="442">
        <v>6.1989999999999998</v>
      </c>
      <c r="N22" s="442" t="s">
        <v>917</v>
      </c>
      <c r="O22" s="471" t="s">
        <v>925</v>
      </c>
    </row>
    <row r="23" spans="1:15" ht="29" x14ac:dyDescent="0.35">
      <c r="A23" s="441">
        <v>20</v>
      </c>
      <c r="B23" s="442" t="s">
        <v>762</v>
      </c>
      <c r="C23" s="442" t="s">
        <v>137</v>
      </c>
      <c r="D23" s="442" t="s">
        <v>140</v>
      </c>
      <c r="E23" s="442">
        <v>1</v>
      </c>
      <c r="F23" s="442">
        <v>1.5</v>
      </c>
      <c r="G23" s="442" t="s">
        <v>916</v>
      </c>
      <c r="H23" s="443" t="s">
        <v>916</v>
      </c>
      <c r="I23" s="442" t="s">
        <v>916</v>
      </c>
      <c r="J23" s="443" t="s">
        <v>916</v>
      </c>
      <c r="K23" s="443" t="s">
        <v>916</v>
      </c>
      <c r="L23" s="443" t="s">
        <v>916</v>
      </c>
      <c r="M23" s="442">
        <v>4.7789999999999999</v>
      </c>
      <c r="N23" s="442" t="s">
        <v>917</v>
      </c>
      <c r="O23" s="471" t="s">
        <v>925</v>
      </c>
    </row>
    <row r="24" spans="1:15" ht="29" x14ac:dyDescent="0.35">
      <c r="A24" s="441">
        <v>21</v>
      </c>
      <c r="B24" s="442" t="s">
        <v>177</v>
      </c>
      <c r="C24" s="442" t="s">
        <v>178</v>
      </c>
      <c r="D24" s="442" t="s">
        <v>140</v>
      </c>
      <c r="E24" s="442" t="s">
        <v>916</v>
      </c>
      <c r="F24" s="442" t="s">
        <v>916</v>
      </c>
      <c r="G24" s="442">
        <v>1</v>
      </c>
      <c r="H24" s="443">
        <v>1</v>
      </c>
      <c r="I24" s="442" t="s">
        <v>916</v>
      </c>
      <c r="J24" s="443" t="s">
        <v>916</v>
      </c>
      <c r="K24" s="443" t="s">
        <v>916</v>
      </c>
      <c r="L24" s="443" t="s">
        <v>916</v>
      </c>
      <c r="M24" s="442">
        <v>19.489000000000001</v>
      </c>
      <c r="N24" s="442" t="s">
        <v>917</v>
      </c>
      <c r="O24" s="471" t="s">
        <v>925</v>
      </c>
    </row>
    <row r="25" spans="1:15" ht="29.5" thickBot="1" x14ac:dyDescent="0.4">
      <c r="A25" s="470">
        <v>22</v>
      </c>
      <c r="B25" s="448" t="s">
        <v>179</v>
      </c>
      <c r="C25" s="448" t="s">
        <v>142</v>
      </c>
      <c r="D25" s="448" t="s">
        <v>140</v>
      </c>
      <c r="E25" s="448" t="s">
        <v>916</v>
      </c>
      <c r="F25" s="448">
        <v>1</v>
      </c>
      <c r="G25" s="448">
        <v>1</v>
      </c>
      <c r="H25" s="449">
        <v>1</v>
      </c>
      <c r="I25" s="448" t="s">
        <v>916</v>
      </c>
      <c r="J25" s="449" t="s">
        <v>916</v>
      </c>
      <c r="K25" s="449" t="s">
        <v>916</v>
      </c>
      <c r="L25" s="449" t="s">
        <v>916</v>
      </c>
      <c r="M25" s="448">
        <v>6.4080000000000004</v>
      </c>
      <c r="N25" s="448" t="s">
        <v>917</v>
      </c>
      <c r="O25" s="472" t="s">
        <v>925</v>
      </c>
    </row>
    <row r="28" spans="1:15" x14ac:dyDescent="0.35">
      <c r="A28" s="954" t="s">
        <v>121</v>
      </c>
      <c r="B28" s="954" t="s">
        <v>123</v>
      </c>
      <c r="C28" s="1161" t="s">
        <v>926</v>
      </c>
      <c r="D28" s="954" t="s">
        <v>105</v>
      </c>
      <c r="E28" s="1161" t="s">
        <v>929</v>
      </c>
      <c r="F28" s="954" t="s">
        <v>6</v>
      </c>
    </row>
    <row r="29" spans="1:15" x14ac:dyDescent="0.35">
      <c r="A29" s="954"/>
      <c r="B29" s="954"/>
      <c r="C29" s="1161"/>
      <c r="D29" s="954"/>
      <c r="E29" s="1161"/>
      <c r="F29" s="954"/>
    </row>
    <row r="30" spans="1:15" x14ac:dyDescent="0.35">
      <c r="A30" s="954"/>
      <c r="B30" s="954"/>
      <c r="C30" s="1161"/>
      <c r="D30" s="954"/>
      <c r="E30" s="1161"/>
      <c r="F30" s="954"/>
    </row>
    <row r="31" spans="1:15" ht="29" x14ac:dyDescent="0.35">
      <c r="A31" s="39">
        <v>1</v>
      </c>
      <c r="B31" s="39" t="s">
        <v>927</v>
      </c>
      <c r="C31" s="461" t="s">
        <v>928</v>
      </c>
      <c r="D31" s="442" t="s">
        <v>140</v>
      </c>
      <c r="E31" s="39" t="s">
        <v>942</v>
      </c>
      <c r="F31" s="39" t="s">
        <v>931</v>
      </c>
    </row>
    <row r="32" spans="1:15" ht="29" x14ac:dyDescent="0.35">
      <c r="A32" s="39">
        <f>A31+1</f>
        <v>2</v>
      </c>
      <c r="B32" s="39" t="s">
        <v>932</v>
      </c>
      <c r="C32" s="461" t="s">
        <v>928</v>
      </c>
      <c r="D32" s="442" t="s">
        <v>140</v>
      </c>
      <c r="E32" s="39" t="s">
        <v>930</v>
      </c>
      <c r="F32" s="39" t="s">
        <v>931</v>
      </c>
    </row>
    <row r="33" spans="1:6" ht="29" x14ac:dyDescent="0.35">
      <c r="A33" s="39">
        <f t="shared" ref="A33:A40" si="0">A32+1</f>
        <v>3</v>
      </c>
      <c r="B33" s="39" t="s">
        <v>944</v>
      </c>
      <c r="C33" s="461" t="s">
        <v>928</v>
      </c>
      <c r="D33" s="442" t="s">
        <v>140</v>
      </c>
      <c r="E33" s="39" t="s">
        <v>943</v>
      </c>
      <c r="F33" s="39" t="s">
        <v>931</v>
      </c>
    </row>
    <row r="34" spans="1:6" ht="29" x14ac:dyDescent="0.35">
      <c r="A34" s="39">
        <f t="shared" si="0"/>
        <v>4</v>
      </c>
      <c r="B34" s="39" t="s">
        <v>933</v>
      </c>
      <c r="C34" s="461" t="s">
        <v>928</v>
      </c>
      <c r="D34" s="442" t="s">
        <v>140</v>
      </c>
      <c r="E34" s="39" t="s">
        <v>930</v>
      </c>
      <c r="F34" s="39" t="s">
        <v>931</v>
      </c>
    </row>
    <row r="35" spans="1:6" ht="29" x14ac:dyDescent="0.35">
      <c r="A35" s="39">
        <f t="shared" si="0"/>
        <v>5</v>
      </c>
      <c r="B35" s="39" t="s">
        <v>934</v>
      </c>
      <c r="C35" s="461" t="s">
        <v>928</v>
      </c>
      <c r="D35" s="442" t="s">
        <v>140</v>
      </c>
      <c r="E35" s="39" t="s">
        <v>935</v>
      </c>
      <c r="F35" s="39" t="s">
        <v>931</v>
      </c>
    </row>
    <row r="36" spans="1:6" ht="29" x14ac:dyDescent="0.35">
      <c r="A36" s="39">
        <f t="shared" si="0"/>
        <v>6</v>
      </c>
      <c r="B36" s="39" t="s">
        <v>936</v>
      </c>
      <c r="C36" s="461" t="s">
        <v>928</v>
      </c>
      <c r="D36" s="442" t="s">
        <v>140</v>
      </c>
      <c r="E36" s="39" t="s">
        <v>930</v>
      </c>
      <c r="F36" s="39" t="s">
        <v>931</v>
      </c>
    </row>
    <row r="37" spans="1:6" ht="29" x14ac:dyDescent="0.35">
      <c r="A37" s="39">
        <f t="shared" si="0"/>
        <v>7</v>
      </c>
      <c r="B37" s="39" t="s">
        <v>937</v>
      </c>
      <c r="C37" s="461" t="s">
        <v>928</v>
      </c>
      <c r="D37" s="442" t="s">
        <v>140</v>
      </c>
      <c r="E37" s="39" t="s">
        <v>938</v>
      </c>
      <c r="F37" s="39" t="s">
        <v>931</v>
      </c>
    </row>
    <row r="38" spans="1:6" ht="29" x14ac:dyDescent="0.35">
      <c r="A38" s="39">
        <f t="shared" si="0"/>
        <v>8</v>
      </c>
      <c r="B38" s="39" t="s">
        <v>939</v>
      </c>
      <c r="C38" s="461" t="s">
        <v>928</v>
      </c>
      <c r="D38" s="442" t="s">
        <v>140</v>
      </c>
      <c r="E38" s="39" t="s">
        <v>940</v>
      </c>
      <c r="F38" s="39" t="s">
        <v>931</v>
      </c>
    </row>
    <row r="39" spans="1:6" ht="29" x14ac:dyDescent="0.35">
      <c r="A39" s="39">
        <f t="shared" si="0"/>
        <v>9</v>
      </c>
      <c r="B39" s="39" t="s">
        <v>933</v>
      </c>
      <c r="C39" s="461" t="s">
        <v>928</v>
      </c>
      <c r="D39" s="442" t="s">
        <v>135</v>
      </c>
      <c r="E39" s="39" t="s">
        <v>930</v>
      </c>
      <c r="F39" s="39" t="s">
        <v>931</v>
      </c>
    </row>
    <row r="40" spans="1:6" ht="29" x14ac:dyDescent="0.35">
      <c r="A40" s="39">
        <f t="shared" si="0"/>
        <v>10</v>
      </c>
      <c r="B40" s="39" t="s">
        <v>937</v>
      </c>
      <c r="C40" s="461" t="s">
        <v>928</v>
      </c>
      <c r="D40" s="442" t="s">
        <v>135</v>
      </c>
      <c r="E40" s="39" t="s">
        <v>941</v>
      </c>
      <c r="F40" s="39" t="s">
        <v>931</v>
      </c>
    </row>
  </sheetData>
  <autoFilter ref="A1:O25" xr:uid="{81563AF1-D61A-47FA-A8F3-F7C5A4761051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16">
    <mergeCell ref="O1:O2"/>
    <mergeCell ref="E2:H2"/>
    <mergeCell ref="I2:L2"/>
    <mergeCell ref="M2:M3"/>
    <mergeCell ref="A1:A3"/>
    <mergeCell ref="B1:B3"/>
    <mergeCell ref="C1:C3"/>
    <mergeCell ref="D1:D3"/>
    <mergeCell ref="E1:M1"/>
    <mergeCell ref="N1:N2"/>
    <mergeCell ref="F28:F30"/>
    <mergeCell ref="A28:A30"/>
    <mergeCell ref="B28:B30"/>
    <mergeCell ref="C28:C30"/>
    <mergeCell ref="D28:D30"/>
    <mergeCell ref="E28:E30"/>
  </mergeCells>
  <conditionalFormatting sqref="B5">
    <cfRule type="duplicateValues" dxfId="50" priority="20"/>
    <cfRule type="duplicateValues" dxfId="49" priority="21"/>
  </conditionalFormatting>
  <conditionalFormatting sqref="B6">
    <cfRule type="duplicateValues" dxfId="48" priority="18"/>
    <cfRule type="duplicateValues" dxfId="47" priority="19"/>
  </conditionalFormatting>
  <conditionalFormatting sqref="B7">
    <cfRule type="duplicateValues" dxfId="46" priority="16"/>
    <cfRule type="duplicateValues" dxfId="45" priority="17"/>
  </conditionalFormatting>
  <conditionalFormatting sqref="B8">
    <cfRule type="duplicateValues" dxfId="44" priority="14"/>
    <cfRule type="duplicateValues" dxfId="43" priority="15"/>
  </conditionalFormatting>
  <conditionalFormatting sqref="B14">
    <cfRule type="duplicateValues" dxfId="42" priority="6"/>
    <cfRule type="duplicateValues" dxfId="41" priority="7"/>
  </conditionalFormatting>
  <conditionalFormatting sqref="B16">
    <cfRule type="duplicateValues" dxfId="40" priority="4"/>
    <cfRule type="duplicateValues" dxfId="39" priority="5"/>
  </conditionalFormatting>
  <conditionalFormatting sqref="B17:B21 B15 B9:B13">
    <cfRule type="duplicateValues" dxfId="38" priority="10"/>
    <cfRule type="duplicateValues" dxfId="37" priority="11"/>
  </conditionalFormatting>
  <conditionalFormatting sqref="B22:B24">
    <cfRule type="duplicateValues" dxfId="36" priority="2"/>
    <cfRule type="duplicateValues" dxfId="35" priority="3"/>
  </conditionalFormatting>
  <conditionalFormatting sqref="B24">
    <cfRule type="duplicateValues" dxfId="34" priority="1"/>
  </conditionalFormatting>
  <conditionalFormatting sqref="H8">
    <cfRule type="cellIs" dxfId="33" priority="12" operator="equal">
      <formula>"Approved"</formula>
    </cfRule>
    <cfRule type="cellIs" dxfId="32" priority="13" operator="equal">
      <formula>"Submitted"</formula>
    </cfRule>
  </conditionalFormatting>
  <conditionalFormatting sqref="H10">
    <cfRule type="cellIs" dxfId="31" priority="8" operator="equal">
      <formula>"Approved"</formula>
    </cfRule>
    <cfRule type="cellIs" dxfId="30" priority="9" operator="equal">
      <formula>"Submitted"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6CBC-6519-4585-819D-B1149CD506F3}">
  <dimension ref="A1:C69"/>
  <sheetViews>
    <sheetView workbookViewId="0">
      <selection activeCell="C18" sqref="C18"/>
    </sheetView>
  </sheetViews>
  <sheetFormatPr defaultRowHeight="14.5" x14ac:dyDescent="0.35"/>
  <cols>
    <col min="1" max="1" width="15.6328125" customWidth="1"/>
    <col min="2" max="2" width="24.6328125" customWidth="1"/>
    <col min="3" max="3" width="17.81640625" customWidth="1"/>
  </cols>
  <sheetData>
    <row r="1" spans="1:3" ht="18.5" x14ac:dyDescent="0.35">
      <c r="A1" s="1240" t="s">
        <v>839</v>
      </c>
      <c r="B1" s="1241"/>
      <c r="C1" s="1242"/>
    </row>
    <row r="2" spans="1:3" ht="15.5" x14ac:dyDescent="0.35">
      <c r="A2" s="365" t="s">
        <v>181</v>
      </c>
      <c r="B2" s="366" t="s">
        <v>182</v>
      </c>
      <c r="C2" s="367" t="s">
        <v>183</v>
      </c>
    </row>
    <row r="3" spans="1:3" x14ac:dyDescent="0.35">
      <c r="A3" s="1235" t="s">
        <v>191</v>
      </c>
      <c r="B3" s="368" t="s">
        <v>192</v>
      </c>
      <c r="C3" s="369">
        <v>268</v>
      </c>
    </row>
    <row r="4" spans="1:3" x14ac:dyDescent="0.35">
      <c r="A4" s="1235"/>
      <c r="B4" s="370" t="s">
        <v>194</v>
      </c>
      <c r="C4" s="369">
        <v>109</v>
      </c>
    </row>
    <row r="5" spans="1:3" x14ac:dyDescent="0.35">
      <c r="A5" s="1235"/>
      <c r="B5" s="370" t="s">
        <v>196</v>
      </c>
      <c r="C5" s="369">
        <v>60</v>
      </c>
    </row>
    <row r="6" spans="1:3" x14ac:dyDescent="0.35">
      <c r="A6" s="1235"/>
      <c r="B6" s="370" t="s">
        <v>198</v>
      </c>
      <c r="C6" s="369">
        <v>27</v>
      </c>
    </row>
    <row r="7" spans="1:3" x14ac:dyDescent="0.35">
      <c r="A7" s="1235"/>
      <c r="B7" s="370" t="s">
        <v>199</v>
      </c>
      <c r="C7" s="369">
        <v>12</v>
      </c>
    </row>
    <row r="8" spans="1:3" x14ac:dyDescent="0.35">
      <c r="A8" s="1235"/>
      <c r="B8" s="370" t="s">
        <v>200</v>
      </c>
      <c r="C8" s="369">
        <v>16</v>
      </c>
    </row>
    <row r="9" spans="1:3" x14ac:dyDescent="0.35">
      <c r="A9" s="1235"/>
      <c r="B9" s="370" t="s">
        <v>201</v>
      </c>
      <c r="C9" s="369">
        <v>44</v>
      </c>
    </row>
    <row r="10" spans="1:3" x14ac:dyDescent="0.35">
      <c r="A10" s="1235" t="s">
        <v>202</v>
      </c>
      <c r="B10" s="368" t="s">
        <v>203</v>
      </c>
      <c r="C10" s="371">
        <v>24</v>
      </c>
    </row>
    <row r="11" spans="1:3" x14ac:dyDescent="0.35">
      <c r="A11" s="1235"/>
      <c r="B11" s="370" t="s">
        <v>204</v>
      </c>
      <c r="C11" s="371">
        <v>9</v>
      </c>
    </row>
    <row r="12" spans="1:3" x14ac:dyDescent="0.35">
      <c r="A12" s="1235"/>
      <c r="B12" s="370" t="s">
        <v>205</v>
      </c>
      <c r="C12" s="371">
        <v>4</v>
      </c>
    </row>
    <row r="13" spans="1:3" x14ac:dyDescent="0.35">
      <c r="A13" s="1235"/>
      <c r="B13" s="370" t="s">
        <v>206</v>
      </c>
      <c r="C13" s="372">
        <v>5</v>
      </c>
    </row>
    <row r="14" spans="1:3" x14ac:dyDescent="0.35">
      <c r="A14" s="1235"/>
      <c r="B14" s="370" t="s">
        <v>207</v>
      </c>
      <c r="C14" s="372">
        <v>3</v>
      </c>
    </row>
    <row r="15" spans="1:3" x14ac:dyDescent="0.35">
      <c r="A15" s="1235"/>
      <c r="B15" s="373" t="s">
        <v>208</v>
      </c>
      <c r="C15" s="372">
        <v>1</v>
      </c>
    </row>
    <row r="16" spans="1:3" x14ac:dyDescent="0.35">
      <c r="A16" s="1235"/>
      <c r="B16" s="373" t="s">
        <v>209</v>
      </c>
      <c r="C16" s="372">
        <v>1</v>
      </c>
    </row>
    <row r="17" spans="1:3" x14ac:dyDescent="0.35">
      <c r="A17" s="1235"/>
      <c r="B17" s="370" t="s">
        <v>210</v>
      </c>
      <c r="C17" s="372">
        <v>1</v>
      </c>
    </row>
    <row r="18" spans="1:3" x14ac:dyDescent="0.35">
      <c r="A18" s="1235" t="s">
        <v>211</v>
      </c>
      <c r="B18" s="368" t="s">
        <v>212</v>
      </c>
      <c r="C18" s="372">
        <v>15</v>
      </c>
    </row>
    <row r="19" spans="1:3" x14ac:dyDescent="0.35">
      <c r="A19" s="1235"/>
      <c r="B19" s="370" t="s">
        <v>213</v>
      </c>
      <c r="C19" s="372">
        <v>10</v>
      </c>
    </row>
    <row r="20" spans="1:3" x14ac:dyDescent="0.35">
      <c r="A20" s="1235"/>
      <c r="B20" s="370" t="s">
        <v>214</v>
      </c>
      <c r="C20" s="372">
        <v>2</v>
      </c>
    </row>
    <row r="21" spans="1:3" x14ac:dyDescent="0.35">
      <c r="A21" s="1235"/>
      <c r="B21" s="370" t="s">
        <v>215</v>
      </c>
      <c r="C21" s="372">
        <v>1</v>
      </c>
    </row>
    <row r="22" spans="1:3" x14ac:dyDescent="0.35">
      <c r="A22" s="1235"/>
      <c r="B22" s="370" t="s">
        <v>216</v>
      </c>
      <c r="C22" s="372">
        <v>2</v>
      </c>
    </row>
    <row r="23" spans="1:3" x14ac:dyDescent="0.35">
      <c r="A23" s="1235"/>
      <c r="B23" s="370" t="s">
        <v>217</v>
      </c>
      <c r="C23" s="372">
        <v>0</v>
      </c>
    </row>
    <row r="24" spans="1:3" x14ac:dyDescent="0.35">
      <c r="A24" s="1235" t="s">
        <v>218</v>
      </c>
      <c r="B24" s="368" t="s">
        <v>219</v>
      </c>
      <c r="C24" s="372">
        <v>15</v>
      </c>
    </row>
    <row r="25" spans="1:3" x14ac:dyDescent="0.35">
      <c r="A25" s="1235"/>
      <c r="B25" s="370" t="s">
        <v>220</v>
      </c>
      <c r="C25" s="372">
        <v>8</v>
      </c>
    </row>
    <row r="26" spans="1:3" x14ac:dyDescent="0.35">
      <c r="A26" s="1235"/>
      <c r="B26" s="373" t="s">
        <v>221</v>
      </c>
      <c r="C26" s="374">
        <v>4</v>
      </c>
    </row>
    <row r="27" spans="1:3" x14ac:dyDescent="0.35">
      <c r="A27" s="1235"/>
      <c r="B27" s="373" t="s">
        <v>222</v>
      </c>
      <c r="C27" s="374">
        <v>1</v>
      </c>
    </row>
    <row r="28" spans="1:3" x14ac:dyDescent="0.35">
      <c r="A28" s="1235"/>
      <c r="B28" s="373" t="s">
        <v>223</v>
      </c>
      <c r="C28" s="372">
        <v>1</v>
      </c>
    </row>
    <row r="29" spans="1:3" x14ac:dyDescent="0.35">
      <c r="A29" s="1235"/>
      <c r="B29" s="373" t="s">
        <v>224</v>
      </c>
      <c r="C29" s="372">
        <v>1</v>
      </c>
    </row>
    <row r="30" spans="1:3" x14ac:dyDescent="0.35">
      <c r="A30" s="1235" t="s">
        <v>225</v>
      </c>
      <c r="B30" s="368" t="s">
        <v>226</v>
      </c>
      <c r="C30" s="372">
        <v>13</v>
      </c>
    </row>
    <row r="31" spans="1:3" x14ac:dyDescent="0.35">
      <c r="A31" s="1235"/>
      <c r="B31" s="370" t="s">
        <v>227</v>
      </c>
      <c r="C31" s="372">
        <v>5</v>
      </c>
    </row>
    <row r="32" spans="1:3" x14ac:dyDescent="0.35">
      <c r="A32" s="1235"/>
      <c r="B32" s="370" t="s">
        <v>228</v>
      </c>
      <c r="C32" s="374">
        <v>3</v>
      </c>
    </row>
    <row r="33" spans="1:3" x14ac:dyDescent="0.35">
      <c r="A33" s="1235"/>
      <c r="B33" s="370" t="s">
        <v>229</v>
      </c>
      <c r="C33" s="374">
        <v>0</v>
      </c>
    </row>
    <row r="34" spans="1:3" x14ac:dyDescent="0.35">
      <c r="A34" s="1235"/>
      <c r="B34" s="370" t="s">
        <v>230</v>
      </c>
      <c r="C34" s="372">
        <v>1</v>
      </c>
    </row>
    <row r="35" spans="1:3" x14ac:dyDescent="0.35">
      <c r="A35" s="1235"/>
      <c r="B35" s="373" t="s">
        <v>231</v>
      </c>
      <c r="C35" s="372">
        <v>1</v>
      </c>
    </row>
    <row r="36" spans="1:3" x14ac:dyDescent="0.35">
      <c r="A36" s="1235"/>
      <c r="B36" s="373" t="s">
        <v>232</v>
      </c>
      <c r="C36" s="372">
        <v>2</v>
      </c>
    </row>
    <row r="37" spans="1:3" x14ac:dyDescent="0.35">
      <c r="A37" s="1235"/>
      <c r="B37" s="370" t="s">
        <v>233</v>
      </c>
      <c r="C37" s="372">
        <v>1</v>
      </c>
    </row>
    <row r="38" spans="1:3" x14ac:dyDescent="0.35">
      <c r="A38" s="1235" t="s">
        <v>234</v>
      </c>
      <c r="B38" s="368" t="s">
        <v>235</v>
      </c>
      <c r="C38" s="372">
        <v>18</v>
      </c>
    </row>
    <row r="39" spans="1:3" x14ac:dyDescent="0.35">
      <c r="A39" s="1235"/>
      <c r="B39" s="370" t="s">
        <v>236</v>
      </c>
      <c r="C39" s="372">
        <v>9</v>
      </c>
    </row>
    <row r="40" spans="1:3" x14ac:dyDescent="0.35">
      <c r="A40" s="1235"/>
      <c r="B40" s="370" t="s">
        <v>237</v>
      </c>
      <c r="C40" s="372">
        <v>5</v>
      </c>
    </row>
    <row r="41" spans="1:3" x14ac:dyDescent="0.35">
      <c r="A41" s="1235"/>
      <c r="B41" s="370" t="s">
        <v>238</v>
      </c>
      <c r="C41" s="372">
        <v>2</v>
      </c>
    </row>
    <row r="42" spans="1:3" x14ac:dyDescent="0.35">
      <c r="A42" s="1235"/>
      <c r="B42" s="370" t="s">
        <v>239</v>
      </c>
      <c r="C42" s="372">
        <v>2</v>
      </c>
    </row>
    <row r="43" spans="1:3" x14ac:dyDescent="0.35">
      <c r="A43" s="1235"/>
      <c r="B43" s="370" t="s">
        <v>240</v>
      </c>
      <c r="C43" s="371">
        <v>0</v>
      </c>
    </row>
    <row r="44" spans="1:3" x14ac:dyDescent="0.35">
      <c r="A44" s="1235" t="s">
        <v>241</v>
      </c>
      <c r="B44" s="368" t="s">
        <v>242</v>
      </c>
      <c r="C44" s="372">
        <v>19</v>
      </c>
    </row>
    <row r="45" spans="1:3" x14ac:dyDescent="0.35">
      <c r="A45" s="1235"/>
      <c r="B45" s="370" t="s">
        <v>243</v>
      </c>
      <c r="C45" s="372">
        <v>4</v>
      </c>
    </row>
    <row r="46" spans="1:3" x14ac:dyDescent="0.35">
      <c r="A46" s="1235"/>
      <c r="B46" s="370" t="s">
        <v>244</v>
      </c>
      <c r="C46" s="374">
        <v>4</v>
      </c>
    </row>
    <row r="47" spans="1:3" x14ac:dyDescent="0.35">
      <c r="A47" s="1235"/>
      <c r="B47" s="370" t="s">
        <v>245</v>
      </c>
      <c r="C47" s="374">
        <v>5</v>
      </c>
    </row>
    <row r="48" spans="1:3" x14ac:dyDescent="0.35">
      <c r="A48" s="1235"/>
      <c r="B48" s="373" t="s">
        <v>246</v>
      </c>
      <c r="C48" s="372">
        <v>3</v>
      </c>
    </row>
    <row r="49" spans="1:3" x14ac:dyDescent="0.35">
      <c r="A49" s="1235"/>
      <c r="B49" s="370" t="s">
        <v>247</v>
      </c>
      <c r="C49" s="371">
        <v>3</v>
      </c>
    </row>
    <row r="50" spans="1:3" x14ac:dyDescent="0.35">
      <c r="A50" s="1235"/>
      <c r="B50" s="370" t="s">
        <v>248</v>
      </c>
      <c r="C50" s="372">
        <v>0</v>
      </c>
    </row>
    <row r="51" spans="1:3" ht="15" thickBot="1" x14ac:dyDescent="0.4">
      <c r="A51" s="1236"/>
      <c r="B51" s="375" t="s">
        <v>249</v>
      </c>
      <c r="C51" s="376">
        <v>0</v>
      </c>
    </row>
    <row r="52" spans="1:3" ht="15" thickBot="1" x14ac:dyDescent="0.4">
      <c r="A52" s="377"/>
      <c r="B52" s="378"/>
      <c r="C52" s="379">
        <f>C44+C38+C30+C24+C18+C10+C3</f>
        <v>372</v>
      </c>
    </row>
    <row r="53" spans="1:3" ht="19" thickBot="1" x14ac:dyDescent="0.4">
      <c r="A53" s="1237" t="s">
        <v>840</v>
      </c>
      <c r="B53" s="1238"/>
      <c r="C53" s="1239"/>
    </row>
    <row r="54" spans="1:3" ht="15.5" x14ac:dyDescent="0.35">
      <c r="A54" s="380" t="s">
        <v>251</v>
      </c>
      <c r="B54" s="381" t="s">
        <v>182</v>
      </c>
      <c r="C54" s="382" t="s">
        <v>183</v>
      </c>
    </row>
    <row r="55" spans="1:3" x14ac:dyDescent="0.35">
      <c r="A55" s="72" t="s">
        <v>256</v>
      </c>
      <c r="B55" s="73" t="s">
        <v>257</v>
      </c>
      <c r="C55" s="76">
        <v>268</v>
      </c>
    </row>
    <row r="56" spans="1:3" x14ac:dyDescent="0.35">
      <c r="A56" s="72" t="s">
        <v>259</v>
      </c>
      <c r="B56" s="73" t="s">
        <v>260</v>
      </c>
      <c r="C56" s="76">
        <v>22</v>
      </c>
    </row>
    <row r="57" spans="1:3" x14ac:dyDescent="0.35">
      <c r="A57" s="72" t="s">
        <v>262</v>
      </c>
      <c r="B57" s="73" t="s">
        <v>263</v>
      </c>
      <c r="C57" s="76">
        <v>15</v>
      </c>
    </row>
    <row r="58" spans="1:3" x14ac:dyDescent="0.35">
      <c r="A58" s="72" t="s">
        <v>259</v>
      </c>
      <c r="B58" s="73" t="s">
        <v>265</v>
      </c>
      <c r="C58" s="76">
        <v>2</v>
      </c>
    </row>
    <row r="59" spans="1:3" x14ac:dyDescent="0.35">
      <c r="A59" s="72" t="s">
        <v>262</v>
      </c>
      <c r="B59" s="73" t="s">
        <v>266</v>
      </c>
      <c r="C59" s="76"/>
    </row>
    <row r="60" spans="1:3" x14ac:dyDescent="0.35">
      <c r="A60" s="72" t="s">
        <v>267</v>
      </c>
      <c r="B60" s="73" t="s">
        <v>268</v>
      </c>
      <c r="C60" s="76">
        <v>14</v>
      </c>
    </row>
    <row r="61" spans="1:3" x14ac:dyDescent="0.35">
      <c r="A61" s="72" t="s">
        <v>269</v>
      </c>
      <c r="B61" s="73" t="s">
        <v>270</v>
      </c>
      <c r="C61" s="76">
        <v>10</v>
      </c>
    </row>
    <row r="62" spans="1:3" x14ac:dyDescent="0.35">
      <c r="A62" s="72" t="s">
        <v>267</v>
      </c>
      <c r="B62" s="73" t="s">
        <v>271</v>
      </c>
      <c r="C62" s="76">
        <v>1</v>
      </c>
    </row>
    <row r="63" spans="1:3" x14ac:dyDescent="0.35">
      <c r="A63" s="72" t="s">
        <v>269</v>
      </c>
      <c r="B63" s="73" t="s">
        <v>272</v>
      </c>
      <c r="C63" s="76">
        <v>3</v>
      </c>
    </row>
    <row r="64" spans="1:3" x14ac:dyDescent="0.35">
      <c r="A64" s="72" t="s">
        <v>273</v>
      </c>
      <c r="B64" s="73" t="s">
        <v>274</v>
      </c>
      <c r="C64" s="76">
        <v>18</v>
      </c>
    </row>
    <row r="65" spans="1:3" x14ac:dyDescent="0.35">
      <c r="A65" s="72" t="s">
        <v>273</v>
      </c>
      <c r="B65" s="73" t="s">
        <v>275</v>
      </c>
      <c r="C65" s="76"/>
    </row>
    <row r="66" spans="1:3" x14ac:dyDescent="0.35">
      <c r="A66" s="72" t="s">
        <v>276</v>
      </c>
      <c r="B66" s="73" t="s">
        <v>277</v>
      </c>
      <c r="C66" s="76">
        <v>16</v>
      </c>
    </row>
    <row r="67" spans="1:3" x14ac:dyDescent="0.35">
      <c r="A67" s="72" t="s">
        <v>276</v>
      </c>
      <c r="B67" s="73" t="s">
        <v>278</v>
      </c>
      <c r="C67" s="76">
        <v>3</v>
      </c>
    </row>
    <row r="68" spans="1:3" ht="15" thickBot="1" x14ac:dyDescent="0.4">
      <c r="A68" s="77" t="s">
        <v>276</v>
      </c>
      <c r="B68" s="78" t="s">
        <v>279</v>
      </c>
      <c r="C68" s="81"/>
    </row>
    <row r="69" spans="1:3" ht="15" thickBot="1" x14ac:dyDescent="0.4">
      <c r="A69" s="383"/>
      <c r="B69" s="420"/>
      <c r="C69" s="421">
        <f>SUM(C55:C68)</f>
        <v>372</v>
      </c>
    </row>
  </sheetData>
  <mergeCells count="9">
    <mergeCell ref="A44:A51"/>
    <mergeCell ref="A53:C53"/>
    <mergeCell ref="A1:C1"/>
    <mergeCell ref="A3:A9"/>
    <mergeCell ref="A10:A17"/>
    <mergeCell ref="A18:A23"/>
    <mergeCell ref="A24:A29"/>
    <mergeCell ref="A30:A37"/>
    <mergeCell ref="A38:A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1184-B636-4EA9-9EF2-DC5CC6E0EDB1}">
  <dimension ref="B1:Q16"/>
  <sheetViews>
    <sheetView workbookViewId="0">
      <selection activeCell="K15" sqref="K15"/>
    </sheetView>
  </sheetViews>
  <sheetFormatPr defaultColWidth="8.90625" defaultRowHeight="14.5" x14ac:dyDescent="0.35"/>
  <cols>
    <col min="1" max="1" width="8.90625" style="48"/>
    <col min="2" max="2" width="5.453125" style="48" bestFit="1" customWidth="1"/>
    <col min="3" max="3" width="13.54296875" style="99" bestFit="1" customWidth="1"/>
    <col min="4" max="4" width="5.6328125" style="48" bestFit="1" customWidth="1"/>
    <col min="5" max="5" width="7.90625" style="48" bestFit="1" customWidth="1"/>
    <col min="6" max="6" width="8.1796875" style="48" bestFit="1" customWidth="1"/>
    <col min="7" max="7" width="10.81640625" style="48" bestFit="1" customWidth="1"/>
    <col min="8" max="8" width="7.90625" style="48" bestFit="1" customWidth="1"/>
    <col min="9" max="9" width="7.08984375" style="48" customWidth="1"/>
    <col min="10" max="10" width="7" style="48" customWidth="1"/>
    <col min="11" max="11" width="6.1796875" style="48" bestFit="1" customWidth="1"/>
    <col min="12" max="12" width="6.54296875" style="48" bestFit="1" customWidth="1"/>
    <col min="13" max="13" width="6.36328125" style="48" bestFit="1" customWidth="1"/>
    <col min="14" max="14" width="5.6328125" style="48" bestFit="1" customWidth="1"/>
    <col min="15" max="15" width="5.81640625" style="48" bestFit="1" customWidth="1"/>
    <col min="16" max="16" width="6.1796875" style="48" bestFit="1" customWidth="1"/>
    <col min="17" max="17" width="50.1796875" style="48" customWidth="1"/>
    <col min="18" max="16384" width="8.90625" style="48"/>
  </cols>
  <sheetData>
    <row r="1" spans="2:17" ht="15" thickBot="1" x14ac:dyDescent="0.4"/>
    <row r="2" spans="2:17" ht="26.4" customHeight="1" x14ac:dyDescent="0.35">
      <c r="B2" s="1245" t="s">
        <v>1126</v>
      </c>
      <c r="C2" s="1246"/>
      <c r="D2" s="1246"/>
      <c r="E2" s="1246"/>
      <c r="F2" s="1246"/>
      <c r="G2" s="1246"/>
      <c r="H2" s="1246"/>
      <c r="I2" s="1246"/>
      <c r="J2" s="1246"/>
      <c r="K2" s="1246"/>
      <c r="L2" s="1246"/>
      <c r="M2" s="1246"/>
      <c r="N2" s="1246"/>
      <c r="O2" s="1246"/>
      <c r="P2" s="1246"/>
      <c r="Q2" s="1247"/>
    </row>
    <row r="3" spans="2:17" s="682" customFormat="1" ht="15.5" x14ac:dyDescent="0.35">
      <c r="B3" s="1248" t="s">
        <v>281</v>
      </c>
      <c r="C3" s="1250" t="s">
        <v>105</v>
      </c>
      <c r="D3" s="1250" t="s">
        <v>106</v>
      </c>
      <c r="E3" s="1250" t="s">
        <v>1127</v>
      </c>
      <c r="F3" s="1250" t="s">
        <v>1128</v>
      </c>
      <c r="G3" s="680" t="s">
        <v>400</v>
      </c>
      <c r="H3" s="680" t="s">
        <v>1129</v>
      </c>
      <c r="I3" s="681" t="s">
        <v>1130</v>
      </c>
      <c r="J3" s="680" t="s">
        <v>1131</v>
      </c>
      <c r="K3" s="680" t="s">
        <v>1132</v>
      </c>
      <c r="L3" s="680" t="s">
        <v>1133</v>
      </c>
      <c r="M3" s="680" t="s">
        <v>1134</v>
      </c>
      <c r="N3" s="680" t="s">
        <v>1135</v>
      </c>
      <c r="O3" s="680" t="s">
        <v>1136</v>
      </c>
      <c r="P3" s="680" t="s">
        <v>1137</v>
      </c>
      <c r="Q3" s="1252" t="s">
        <v>1138</v>
      </c>
    </row>
    <row r="4" spans="2:17" s="682" customFormat="1" ht="16" thickBot="1" x14ac:dyDescent="0.4">
      <c r="B4" s="1249"/>
      <c r="C4" s="1251"/>
      <c r="D4" s="1251"/>
      <c r="E4" s="1251"/>
      <c r="F4" s="1251"/>
      <c r="G4" s="683" t="s">
        <v>1139</v>
      </c>
      <c r="H4" s="683" t="s">
        <v>1140</v>
      </c>
      <c r="I4" s="1254" t="s">
        <v>1015</v>
      </c>
      <c r="J4" s="1255"/>
      <c r="K4" s="1255"/>
      <c r="L4" s="1255"/>
      <c r="M4" s="1255"/>
      <c r="N4" s="1255"/>
      <c r="O4" s="1255"/>
      <c r="P4" s="1256"/>
      <c r="Q4" s="1253"/>
    </row>
    <row r="5" spans="2:17" s="689" customFormat="1" ht="25" customHeight="1" x14ac:dyDescent="0.35">
      <c r="B5" s="684">
        <v>1</v>
      </c>
      <c r="C5" s="685" t="s">
        <v>1141</v>
      </c>
      <c r="D5" s="686" t="s">
        <v>1142</v>
      </c>
      <c r="E5" s="686">
        <v>136</v>
      </c>
      <c r="F5" s="686">
        <v>136</v>
      </c>
      <c r="G5" s="686">
        <v>136</v>
      </c>
      <c r="H5" s="686">
        <f>F5-G5</f>
        <v>0</v>
      </c>
      <c r="I5" s="686"/>
      <c r="J5" s="686"/>
      <c r="K5" s="687"/>
      <c r="L5" s="687"/>
      <c r="M5" s="687"/>
      <c r="N5" s="688"/>
      <c r="O5" s="688"/>
      <c r="P5" s="688"/>
      <c r="Q5" s="1243"/>
    </row>
    <row r="6" spans="2:17" s="689" customFormat="1" ht="25" customHeight="1" x14ac:dyDescent="0.35">
      <c r="B6" s="441">
        <v>2</v>
      </c>
      <c r="C6" s="690" t="s">
        <v>19</v>
      </c>
      <c r="D6" s="442" t="s">
        <v>1142</v>
      </c>
      <c r="E6" s="442">
        <v>136</v>
      </c>
      <c r="F6" s="442">
        <v>136</v>
      </c>
      <c r="G6" s="442">
        <v>136</v>
      </c>
      <c r="H6" s="442">
        <f>F6-G6</f>
        <v>0</v>
      </c>
      <c r="I6" s="442"/>
      <c r="J6" s="442"/>
      <c r="K6" s="691"/>
      <c r="L6" s="691"/>
      <c r="M6" s="691"/>
      <c r="N6" s="443"/>
      <c r="O6" s="443"/>
      <c r="P6" s="443"/>
      <c r="Q6" s="1244"/>
    </row>
    <row r="7" spans="2:17" s="689" customFormat="1" ht="25" customHeight="1" x14ac:dyDescent="0.35">
      <c r="B7" s="441">
        <v>3</v>
      </c>
      <c r="C7" s="690" t="s">
        <v>805</v>
      </c>
      <c r="D7" s="442" t="s">
        <v>806</v>
      </c>
      <c r="E7" s="442">
        <v>356</v>
      </c>
      <c r="F7" s="442">
        <v>371</v>
      </c>
      <c r="G7" s="442">
        <v>272</v>
      </c>
      <c r="H7" s="442">
        <f>F7-G7</f>
        <v>99</v>
      </c>
      <c r="I7" s="442">
        <v>15</v>
      </c>
      <c r="J7" s="442">
        <v>25</v>
      </c>
      <c r="K7" s="443">
        <v>45</v>
      </c>
      <c r="L7" s="443">
        <v>14</v>
      </c>
      <c r="M7" s="443"/>
      <c r="N7" s="443"/>
      <c r="O7" s="443"/>
      <c r="P7" s="443"/>
      <c r="Q7" s="692" t="s">
        <v>1145</v>
      </c>
    </row>
    <row r="8" spans="2:17" s="689" customFormat="1" ht="25" customHeight="1" x14ac:dyDescent="0.35">
      <c r="B8" s="693"/>
      <c r="C8" s="694" t="s">
        <v>874</v>
      </c>
      <c r="D8" s="695"/>
      <c r="E8" s="695"/>
      <c r="F8" s="695"/>
      <c r="G8" s="695"/>
      <c r="H8" s="695"/>
      <c r="I8" s="695">
        <v>5</v>
      </c>
      <c r="J8" s="695">
        <v>8</v>
      </c>
      <c r="K8" s="695">
        <v>12</v>
      </c>
      <c r="L8" s="695">
        <v>5</v>
      </c>
      <c r="M8" s="695"/>
      <c r="N8" s="695"/>
      <c r="O8" s="695"/>
      <c r="P8" s="695"/>
      <c r="Q8" s="696"/>
    </row>
    <row r="9" spans="2:17" s="689" customFormat="1" ht="25" customHeight="1" x14ac:dyDescent="0.35">
      <c r="B9" s="441">
        <v>4</v>
      </c>
      <c r="C9" s="690" t="s">
        <v>808</v>
      </c>
      <c r="D9" s="442" t="s">
        <v>806</v>
      </c>
      <c r="E9" s="442">
        <v>356</v>
      </c>
      <c r="F9" s="442">
        <v>371</v>
      </c>
      <c r="G9" s="442">
        <v>90</v>
      </c>
      <c r="H9" s="442">
        <f>F9-G9</f>
        <v>281</v>
      </c>
      <c r="I9" s="552">
        <v>20</v>
      </c>
      <c r="J9" s="557">
        <v>41</v>
      </c>
      <c r="K9" s="557">
        <v>55</v>
      </c>
      <c r="L9" s="557">
        <v>55</v>
      </c>
      <c r="M9" s="557">
        <v>55</v>
      </c>
      <c r="N9" s="557">
        <v>55</v>
      </c>
      <c r="O9" s="442"/>
      <c r="P9" s="442"/>
      <c r="Q9" s="697"/>
    </row>
    <row r="10" spans="2:17" s="689" customFormat="1" ht="25" customHeight="1" x14ac:dyDescent="0.35">
      <c r="B10" s="693"/>
      <c r="C10" s="694" t="s">
        <v>874</v>
      </c>
      <c r="D10" s="695"/>
      <c r="E10" s="695"/>
      <c r="F10" s="695"/>
      <c r="G10" s="695"/>
      <c r="H10" s="695"/>
      <c r="I10" s="695">
        <v>10</v>
      </c>
      <c r="J10" s="695">
        <v>14</v>
      </c>
      <c r="K10" s="695">
        <v>14</v>
      </c>
      <c r="L10" s="695">
        <v>14</v>
      </c>
      <c r="M10" s="695">
        <v>14</v>
      </c>
      <c r="N10" s="695">
        <v>14</v>
      </c>
      <c r="O10" s="695"/>
      <c r="P10" s="695"/>
      <c r="Q10" s="698"/>
    </row>
    <row r="11" spans="2:17" s="689" customFormat="1" ht="25" customHeight="1" x14ac:dyDescent="0.35">
      <c r="B11" s="441">
        <v>5</v>
      </c>
      <c r="C11" s="690" t="s">
        <v>1020</v>
      </c>
      <c r="D11" s="442" t="s">
        <v>1142</v>
      </c>
      <c r="E11" s="442">
        <v>136</v>
      </c>
      <c r="F11" s="442">
        <v>136</v>
      </c>
      <c r="G11" s="442"/>
      <c r="H11" s="442">
        <f>F11</f>
        <v>136</v>
      </c>
      <c r="I11" s="552"/>
      <c r="J11" s="552">
        <v>14</v>
      </c>
      <c r="K11" s="557">
        <v>21</v>
      </c>
      <c r="L11" s="557">
        <v>21</v>
      </c>
      <c r="M11" s="557">
        <v>21</v>
      </c>
      <c r="N11" s="557">
        <v>21</v>
      </c>
      <c r="O11" s="557">
        <v>20</v>
      </c>
      <c r="P11" s="557">
        <v>18</v>
      </c>
      <c r="Q11" s="699"/>
    </row>
    <row r="12" spans="2:17" s="689" customFormat="1" ht="25" customHeight="1" x14ac:dyDescent="0.35">
      <c r="B12" s="693"/>
      <c r="C12" s="694" t="s">
        <v>874</v>
      </c>
      <c r="D12" s="695"/>
      <c r="E12" s="695"/>
      <c r="F12" s="695"/>
      <c r="G12" s="695"/>
      <c r="H12" s="695"/>
      <c r="I12" s="695"/>
      <c r="J12" s="700" t="s">
        <v>1143</v>
      </c>
      <c r="K12" s="700" t="s">
        <v>1143</v>
      </c>
      <c r="L12" s="700" t="s">
        <v>1143</v>
      </c>
      <c r="M12" s="700" t="s">
        <v>1143</v>
      </c>
      <c r="N12" s="700" t="s">
        <v>1144</v>
      </c>
      <c r="O12" s="700" t="s">
        <v>1144</v>
      </c>
      <c r="P12" s="700" t="s">
        <v>1144</v>
      </c>
      <c r="Q12" s="696"/>
    </row>
    <row r="13" spans="2:17" s="689" customFormat="1" ht="25" customHeight="1" x14ac:dyDescent="0.35">
      <c r="B13" s="38">
        <v>6</v>
      </c>
      <c r="C13" s="701" t="s">
        <v>1119</v>
      </c>
      <c r="D13" s="39" t="s">
        <v>1142</v>
      </c>
      <c r="E13" s="39">
        <v>136</v>
      </c>
      <c r="F13" s="39">
        <v>136</v>
      </c>
      <c r="G13" s="39"/>
      <c r="H13" s="39">
        <f>F13</f>
        <v>136</v>
      </c>
      <c r="I13" s="442"/>
      <c r="J13" s="39"/>
      <c r="K13" s="39"/>
      <c r="L13" s="39">
        <v>25</v>
      </c>
      <c r="M13" s="39">
        <v>30</v>
      </c>
      <c r="N13" s="39">
        <v>30</v>
      </c>
      <c r="O13" s="39">
        <v>30</v>
      </c>
      <c r="P13" s="39">
        <v>21</v>
      </c>
      <c r="Q13" s="702"/>
    </row>
    <row r="14" spans="2:17" s="689" customFormat="1" ht="25" customHeight="1" thickBot="1" x14ac:dyDescent="0.4">
      <c r="B14" s="703"/>
      <c r="C14" s="704" t="s">
        <v>874</v>
      </c>
      <c r="D14" s="705"/>
      <c r="E14" s="705"/>
      <c r="F14" s="705"/>
      <c r="G14" s="705"/>
      <c r="H14" s="705"/>
      <c r="I14" s="705"/>
      <c r="J14" s="705"/>
      <c r="K14" s="706"/>
      <c r="L14" s="706">
        <v>2</v>
      </c>
      <c r="M14" s="706">
        <v>2</v>
      </c>
      <c r="N14" s="706">
        <v>2</v>
      </c>
      <c r="O14" s="706">
        <v>2</v>
      </c>
      <c r="P14" s="706">
        <v>2</v>
      </c>
      <c r="Q14" s="707"/>
    </row>
    <row r="15" spans="2:17" x14ac:dyDescent="0.35">
      <c r="C15" s="708"/>
      <c r="D15" s="709"/>
      <c r="E15" s="709"/>
      <c r="F15" s="709"/>
      <c r="G15" s="709"/>
      <c r="H15" s="709"/>
    </row>
    <row r="16" spans="2:17" x14ac:dyDescent="0.35">
      <c r="C16" s="232"/>
      <c r="D16" s="232"/>
      <c r="E16" s="232"/>
      <c r="F16" s="232"/>
      <c r="G16" s="49"/>
    </row>
  </sheetData>
  <mergeCells count="9">
    <mergeCell ref="Q5:Q6"/>
    <mergeCell ref="B2:Q2"/>
    <mergeCell ref="B3:B4"/>
    <mergeCell ref="C3:C4"/>
    <mergeCell ref="D3:D4"/>
    <mergeCell ref="E3:E4"/>
    <mergeCell ref="F3:F4"/>
    <mergeCell ref="Q3:Q4"/>
    <mergeCell ref="I4:P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8B1E-BBAE-4384-9EA3-FDE7D204F66F}">
  <dimension ref="B1:AC13"/>
  <sheetViews>
    <sheetView topLeftCell="K1" workbookViewId="0">
      <selection activeCell="AC9" sqref="AC9"/>
    </sheetView>
  </sheetViews>
  <sheetFormatPr defaultRowHeight="14.5" x14ac:dyDescent="0.35"/>
  <cols>
    <col min="1" max="1" width="2.81640625" style="48" customWidth="1"/>
    <col min="2" max="2" width="5.1796875" style="48" customWidth="1"/>
    <col min="3" max="3" width="12.54296875" style="48" customWidth="1"/>
    <col min="4" max="4" width="15.26953125" style="48" customWidth="1"/>
    <col min="5" max="5" width="9" style="48" customWidth="1"/>
    <col min="6" max="6" width="8.81640625" style="48" bestFit="1" customWidth="1"/>
    <col min="7" max="7" width="8.81640625" style="48" customWidth="1"/>
    <col min="8" max="28" width="7.7265625" style="48" customWidth="1"/>
    <col min="29" max="29" width="8.36328125" style="48" customWidth="1"/>
    <col min="30" max="16384" width="8.7265625" style="48"/>
  </cols>
  <sheetData>
    <row r="1" spans="2:29" ht="15" thickBot="1" x14ac:dyDescent="0.4"/>
    <row r="2" spans="2:29" ht="18.5" x14ac:dyDescent="0.35">
      <c r="B2" s="1257" t="s">
        <v>1225</v>
      </c>
      <c r="C2" s="1258"/>
      <c r="D2" s="1258"/>
      <c r="E2" s="1258"/>
      <c r="F2" s="1258"/>
      <c r="G2" s="1258"/>
      <c r="H2" s="1258"/>
      <c r="I2" s="1258"/>
      <c r="J2" s="1258"/>
      <c r="K2" s="1258"/>
      <c r="L2" s="1258"/>
      <c r="M2" s="1258"/>
      <c r="N2" s="1258"/>
      <c r="O2" s="1258"/>
      <c r="P2" s="1258"/>
      <c r="Q2" s="1258"/>
      <c r="R2" s="1258"/>
      <c r="S2" s="1258"/>
      <c r="T2" s="1258"/>
      <c r="U2" s="1258"/>
      <c r="V2" s="1258"/>
      <c r="W2" s="1258"/>
      <c r="X2" s="1258"/>
      <c r="Y2" s="1258"/>
      <c r="Z2" s="1258"/>
      <c r="AA2" s="1258"/>
      <c r="AB2" s="1258"/>
      <c r="AC2" s="1259"/>
    </row>
    <row r="3" spans="2:29" ht="15.5" x14ac:dyDescent="0.35">
      <c r="B3" s="1260" t="s">
        <v>1215</v>
      </c>
      <c r="C3" s="1261" t="s">
        <v>1216</v>
      </c>
      <c r="D3" s="1262" t="s">
        <v>1217</v>
      </c>
      <c r="E3" s="1264" t="s">
        <v>1277</v>
      </c>
      <c r="F3" s="1264"/>
      <c r="G3" s="1264"/>
      <c r="H3" s="1265">
        <v>45931</v>
      </c>
      <c r="I3" s="1266"/>
      <c r="J3" s="1267"/>
      <c r="K3" s="1265">
        <f t="shared" ref="K3" si="0">H3+31</f>
        <v>45962</v>
      </c>
      <c r="L3" s="1266"/>
      <c r="M3" s="1267"/>
      <c r="N3" s="1265">
        <f t="shared" ref="N3" si="1">K3+31</f>
        <v>45993</v>
      </c>
      <c r="O3" s="1266"/>
      <c r="P3" s="1267"/>
      <c r="Q3" s="1265">
        <f t="shared" ref="Q3" si="2">N3+31</f>
        <v>46024</v>
      </c>
      <c r="R3" s="1266"/>
      <c r="S3" s="1267"/>
      <c r="T3" s="1265">
        <f t="shared" ref="T3" si="3">Q3+31</f>
        <v>46055</v>
      </c>
      <c r="U3" s="1266"/>
      <c r="V3" s="1267"/>
      <c r="W3" s="1265">
        <f t="shared" ref="W3" si="4">T3+31</f>
        <v>46086</v>
      </c>
      <c r="X3" s="1266"/>
      <c r="Y3" s="1267"/>
      <c r="Z3" s="1265">
        <f t="shared" ref="Z3" si="5">W3+31</f>
        <v>46117</v>
      </c>
      <c r="AA3" s="1266"/>
      <c r="AB3" s="1267"/>
      <c r="AC3" s="1268" t="s">
        <v>11</v>
      </c>
    </row>
    <row r="4" spans="2:29" ht="29" x14ac:dyDescent="0.35">
      <c r="B4" s="1260"/>
      <c r="C4" s="1261"/>
      <c r="D4" s="1263"/>
      <c r="E4" s="752" t="s">
        <v>1218</v>
      </c>
      <c r="F4" s="751" t="s">
        <v>1011</v>
      </c>
      <c r="G4" s="751" t="s">
        <v>1129</v>
      </c>
      <c r="H4" s="751" t="s">
        <v>1219</v>
      </c>
      <c r="I4" s="751" t="s">
        <v>1282</v>
      </c>
      <c r="J4" s="752" t="s">
        <v>1220</v>
      </c>
      <c r="K4" s="751" t="s">
        <v>1219</v>
      </c>
      <c r="L4" s="751" t="s">
        <v>1058</v>
      </c>
      <c r="M4" s="752" t="s">
        <v>1220</v>
      </c>
      <c r="N4" s="751" t="s">
        <v>1219</v>
      </c>
      <c r="O4" s="751" t="s">
        <v>1058</v>
      </c>
      <c r="P4" s="752" t="s">
        <v>1220</v>
      </c>
      <c r="Q4" s="751" t="s">
        <v>1219</v>
      </c>
      <c r="R4" s="751" t="s">
        <v>1058</v>
      </c>
      <c r="S4" s="752" t="s">
        <v>1220</v>
      </c>
      <c r="T4" s="751" t="s">
        <v>1219</v>
      </c>
      <c r="U4" s="751" t="s">
        <v>1058</v>
      </c>
      <c r="V4" s="752" t="s">
        <v>1220</v>
      </c>
      <c r="W4" s="751" t="s">
        <v>1219</v>
      </c>
      <c r="X4" s="751" t="s">
        <v>1058</v>
      </c>
      <c r="Y4" s="752" t="s">
        <v>1220</v>
      </c>
      <c r="Z4" s="751" t="s">
        <v>1219</v>
      </c>
      <c r="AA4" s="751" t="s">
        <v>1058</v>
      </c>
      <c r="AB4" s="752" t="s">
        <v>1220</v>
      </c>
      <c r="AC4" s="1269"/>
    </row>
    <row r="5" spans="2:29" ht="25" customHeight="1" x14ac:dyDescent="0.35">
      <c r="B5" s="771" t="s">
        <v>7</v>
      </c>
      <c r="C5" s="753" t="s">
        <v>805</v>
      </c>
      <c r="D5" s="754">
        <v>379</v>
      </c>
      <c r="E5" s="15">
        <v>295</v>
      </c>
      <c r="F5" s="755">
        <v>283</v>
      </c>
      <c r="G5" s="756">
        <f>D5-F5</f>
        <v>96</v>
      </c>
      <c r="H5" s="756">
        <v>25</v>
      </c>
      <c r="I5" s="757">
        <v>14</v>
      </c>
      <c r="J5" s="756">
        <f>G5-I5</f>
        <v>82</v>
      </c>
      <c r="K5" s="756">
        <v>20</v>
      </c>
      <c r="L5" s="757">
        <v>45</v>
      </c>
      <c r="M5" s="756">
        <f>J5-L5</f>
        <v>37</v>
      </c>
      <c r="N5" s="756">
        <v>15</v>
      </c>
      <c r="O5" s="757">
        <v>37</v>
      </c>
      <c r="P5" s="756">
        <f>M5-O5</f>
        <v>0</v>
      </c>
      <c r="Q5" s="756">
        <v>3</v>
      </c>
      <c r="R5" s="757"/>
      <c r="S5" s="756">
        <f>P5-R5</f>
        <v>0</v>
      </c>
      <c r="T5" s="756"/>
      <c r="U5" s="757"/>
      <c r="V5" s="756">
        <f>S5-U5</f>
        <v>0</v>
      </c>
      <c r="W5" s="756"/>
      <c r="X5" s="757"/>
      <c r="Y5" s="756">
        <f>V5-X5</f>
        <v>0</v>
      </c>
      <c r="Z5" s="756"/>
      <c r="AA5" s="756"/>
      <c r="AB5" s="756">
        <f>Y5-AA5</f>
        <v>0</v>
      </c>
      <c r="AC5" s="772">
        <f>F5+I5+L5+O5+R5+U5+X5</f>
        <v>379</v>
      </c>
    </row>
    <row r="6" spans="2:29" ht="25" customHeight="1" x14ac:dyDescent="0.35">
      <c r="B6" s="1270" t="s">
        <v>1221</v>
      </c>
      <c r="C6" s="1271"/>
      <c r="D6" s="1272"/>
      <c r="E6" s="758"/>
      <c r="F6" s="759"/>
      <c r="G6" s="759"/>
      <c r="H6" s="760"/>
      <c r="I6" s="760">
        <v>7</v>
      </c>
      <c r="J6" s="756"/>
      <c r="K6" s="760"/>
      <c r="L6" s="760">
        <v>15</v>
      </c>
      <c r="M6" s="760"/>
      <c r="N6" s="760"/>
      <c r="O6" s="760">
        <v>12</v>
      </c>
      <c r="P6" s="760"/>
      <c r="Q6" s="760"/>
      <c r="R6" s="760"/>
      <c r="S6" s="760"/>
      <c r="T6" s="760"/>
      <c r="U6" s="760"/>
      <c r="V6" s="760"/>
      <c r="W6" s="760"/>
      <c r="X6" s="760"/>
      <c r="Y6" s="760"/>
      <c r="Z6" s="760"/>
      <c r="AA6" s="760"/>
      <c r="AB6" s="760"/>
      <c r="AC6" s="772"/>
    </row>
    <row r="7" spans="2:29" ht="25" customHeight="1" x14ac:dyDescent="0.35">
      <c r="B7" s="771" t="s">
        <v>8</v>
      </c>
      <c r="C7" s="753" t="s">
        <v>808</v>
      </c>
      <c r="D7" s="754">
        <v>379</v>
      </c>
      <c r="E7" s="761" t="s">
        <v>1278</v>
      </c>
      <c r="F7" s="762">
        <v>127</v>
      </c>
      <c r="G7" s="763">
        <f>D7-F7</f>
        <v>252</v>
      </c>
      <c r="H7" s="756">
        <v>30</v>
      </c>
      <c r="I7" s="765">
        <v>30</v>
      </c>
      <c r="J7" s="756">
        <f t="shared" ref="J7:J9" si="6">G7-I7</f>
        <v>222</v>
      </c>
      <c r="K7" s="756">
        <v>30</v>
      </c>
      <c r="L7" s="765">
        <v>55</v>
      </c>
      <c r="M7" s="756">
        <f>J7-L7</f>
        <v>167</v>
      </c>
      <c r="N7" s="756">
        <v>30</v>
      </c>
      <c r="O7" s="765">
        <v>55</v>
      </c>
      <c r="P7" s="756">
        <f>M7-O7</f>
        <v>112</v>
      </c>
      <c r="Q7" s="756">
        <v>30</v>
      </c>
      <c r="R7" s="765">
        <v>56</v>
      </c>
      <c r="S7" s="756">
        <f>P7-R7</f>
        <v>56</v>
      </c>
      <c r="T7" s="756">
        <v>20</v>
      </c>
      <c r="U7" s="765">
        <v>56</v>
      </c>
      <c r="V7" s="756">
        <f>S7-U7</f>
        <v>0</v>
      </c>
      <c r="W7" s="756"/>
      <c r="X7" s="765"/>
      <c r="Y7" s="756"/>
      <c r="Z7" s="756"/>
      <c r="AA7" s="756"/>
      <c r="AB7" s="756"/>
      <c r="AC7" s="772">
        <f t="shared" ref="AC7:AC9" si="7">F7+I7+L7+O7+R7+U7+X7</f>
        <v>379</v>
      </c>
    </row>
    <row r="8" spans="2:29" ht="25" customHeight="1" x14ac:dyDescent="0.35">
      <c r="B8" s="1270" t="s">
        <v>1221</v>
      </c>
      <c r="C8" s="1271"/>
      <c r="D8" s="1272"/>
      <c r="E8" s="766"/>
      <c r="F8" s="759"/>
      <c r="G8" s="759"/>
      <c r="H8" s="760"/>
      <c r="I8" s="760">
        <v>10</v>
      </c>
      <c r="J8" s="756"/>
      <c r="K8" s="760"/>
      <c r="L8" s="760">
        <v>15</v>
      </c>
      <c r="M8" s="760"/>
      <c r="N8" s="760"/>
      <c r="O8" s="760">
        <v>15</v>
      </c>
      <c r="P8" s="760"/>
      <c r="Q8" s="760"/>
      <c r="R8" s="760">
        <v>15</v>
      </c>
      <c r="S8" s="760"/>
      <c r="T8" s="760"/>
      <c r="U8" s="760">
        <v>15</v>
      </c>
      <c r="V8" s="760"/>
      <c r="W8" s="760"/>
      <c r="X8" s="760"/>
      <c r="Y8" s="760"/>
      <c r="Z8" s="760"/>
      <c r="AA8" s="760"/>
      <c r="AB8" s="760"/>
      <c r="AC8" s="772"/>
    </row>
    <row r="9" spans="2:29" ht="25" customHeight="1" x14ac:dyDescent="0.35">
      <c r="B9" s="771" t="s">
        <v>9</v>
      </c>
      <c r="C9" s="753" t="s">
        <v>1020</v>
      </c>
      <c r="D9" s="754">
        <v>140</v>
      </c>
      <c r="E9" s="764">
        <v>54</v>
      </c>
      <c r="F9" s="762">
        <v>0</v>
      </c>
      <c r="G9" s="763">
        <f>D9-F9</f>
        <v>140</v>
      </c>
      <c r="H9" s="756">
        <v>11</v>
      </c>
      <c r="I9" s="765"/>
      <c r="J9" s="756">
        <f t="shared" si="6"/>
        <v>140</v>
      </c>
      <c r="K9" s="756">
        <v>11</v>
      </c>
      <c r="L9" s="765">
        <v>5</v>
      </c>
      <c r="M9" s="756">
        <f>J9-L9</f>
        <v>135</v>
      </c>
      <c r="N9" s="756">
        <v>11</v>
      </c>
      <c r="O9" s="765">
        <v>28</v>
      </c>
      <c r="P9" s="756">
        <f>M9-O9</f>
        <v>107</v>
      </c>
      <c r="Q9" s="756">
        <v>11</v>
      </c>
      <c r="R9" s="765">
        <v>34</v>
      </c>
      <c r="S9" s="756">
        <f>P9-R9</f>
        <v>73</v>
      </c>
      <c r="T9" s="756">
        <v>10</v>
      </c>
      <c r="U9" s="765">
        <v>34</v>
      </c>
      <c r="V9" s="756">
        <f>S9-U9</f>
        <v>39</v>
      </c>
      <c r="W9" s="756">
        <v>10</v>
      </c>
      <c r="X9" s="765">
        <v>39</v>
      </c>
      <c r="Y9" s="756">
        <f>V9-X9</f>
        <v>0</v>
      </c>
      <c r="Z9" s="756"/>
      <c r="AA9" s="756"/>
      <c r="AB9" s="756">
        <f>Y9-AA9</f>
        <v>0</v>
      </c>
      <c r="AC9" s="772">
        <f t="shared" si="7"/>
        <v>140</v>
      </c>
    </row>
    <row r="10" spans="2:29" ht="25" customHeight="1" thickBot="1" x14ac:dyDescent="0.4">
      <c r="B10" s="847" t="s">
        <v>1283</v>
      </c>
      <c r="C10" s="848"/>
      <c r="D10" s="849"/>
      <c r="E10" s="773"/>
      <c r="F10" s="774"/>
      <c r="G10" s="774"/>
      <c r="H10" s="773"/>
      <c r="I10" s="775"/>
      <c r="J10" s="773"/>
      <c r="K10" s="773"/>
      <c r="L10" s="775" t="s">
        <v>1307</v>
      </c>
      <c r="M10" s="773"/>
      <c r="N10" s="773"/>
      <c r="O10" s="775" t="s">
        <v>1263</v>
      </c>
      <c r="P10" s="773"/>
      <c r="Q10" s="773"/>
      <c r="R10" s="775" t="s">
        <v>1263</v>
      </c>
      <c r="S10" s="773"/>
      <c r="T10" s="773"/>
      <c r="U10" s="775" t="s">
        <v>1263</v>
      </c>
      <c r="V10" s="773"/>
      <c r="W10" s="773"/>
      <c r="X10" s="775" t="s">
        <v>1263</v>
      </c>
      <c r="Y10" s="773"/>
      <c r="Z10" s="773"/>
      <c r="AA10" s="773"/>
      <c r="AB10" s="773"/>
      <c r="AC10" s="776"/>
    </row>
    <row r="11" spans="2:29" ht="15.5" hidden="1" x14ac:dyDescent="0.35">
      <c r="B11" s="1263" t="s">
        <v>1222</v>
      </c>
      <c r="C11" s="1263"/>
      <c r="D11" s="767" t="s">
        <v>1223</v>
      </c>
      <c r="E11" s="1273">
        <v>25</v>
      </c>
      <c r="F11" s="1274"/>
      <c r="G11" s="1275"/>
      <c r="H11" s="769"/>
      <c r="I11" s="768">
        <v>6</v>
      </c>
      <c r="J11" s="769"/>
      <c r="K11" s="769"/>
      <c r="L11" s="768">
        <v>6</v>
      </c>
      <c r="M11" s="769"/>
      <c r="N11" s="769"/>
      <c r="O11" s="768">
        <v>7</v>
      </c>
      <c r="P11" s="769"/>
      <c r="Q11" s="769"/>
      <c r="R11" s="768">
        <v>7.5</v>
      </c>
      <c r="S11" s="769"/>
      <c r="T11" s="769"/>
      <c r="U11" s="768">
        <v>7.5</v>
      </c>
      <c r="V11" s="769"/>
      <c r="W11" s="769"/>
      <c r="X11" s="768">
        <v>7</v>
      </c>
      <c r="Y11" s="769"/>
      <c r="Z11" s="769"/>
      <c r="AA11" s="769"/>
      <c r="AB11" s="769"/>
      <c r="AC11" s="770" t="e">
        <f>F11+#REF!+#REF!+I11+L11+O11+R11+U11+X11</f>
        <v>#REF!</v>
      </c>
    </row>
    <row r="13" spans="2:29" hidden="1" x14ac:dyDescent="0.35">
      <c r="C13" s="49" t="s">
        <v>1224</v>
      </c>
    </row>
  </sheetData>
  <mergeCells count="17">
    <mergeCell ref="B6:D6"/>
    <mergeCell ref="B8:D8"/>
    <mergeCell ref="B11:C11"/>
    <mergeCell ref="E11:G11"/>
    <mergeCell ref="B2:AC2"/>
    <mergeCell ref="B3:B4"/>
    <mergeCell ref="C3:C4"/>
    <mergeCell ref="D3:D4"/>
    <mergeCell ref="E3:G3"/>
    <mergeCell ref="H3:J3"/>
    <mergeCell ref="K3:M3"/>
    <mergeCell ref="N3:P3"/>
    <mergeCell ref="T3:V3"/>
    <mergeCell ref="W3:Y3"/>
    <mergeCell ref="Z3:AB3"/>
    <mergeCell ref="AC3:AC4"/>
    <mergeCell ref="Q3:S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B4CB7-BCCD-4F6C-9A14-F2565CE4C83B}">
  <dimension ref="A1:AJ42"/>
  <sheetViews>
    <sheetView topLeftCell="A18" workbookViewId="0">
      <selection activeCell="AK36" sqref="AK36"/>
    </sheetView>
  </sheetViews>
  <sheetFormatPr defaultRowHeight="14.5" x14ac:dyDescent="0.35"/>
  <cols>
    <col min="1" max="1" width="5.7265625" customWidth="1"/>
    <col min="2" max="2" width="12.54296875" customWidth="1"/>
    <col min="3" max="3" width="14.26953125" customWidth="1"/>
    <col min="4" max="4" width="10.26953125" customWidth="1"/>
    <col min="5" max="5" width="4.7265625" hidden="1" customWidth="1"/>
    <col min="6" max="6" width="5.1796875" hidden="1" customWidth="1"/>
    <col min="7" max="7" width="5.81640625" hidden="1" customWidth="1"/>
    <col min="8" max="9" width="5.1796875" hidden="1" customWidth="1"/>
    <col min="10" max="10" width="4.81640625" hidden="1" customWidth="1"/>
    <col min="11" max="11" width="5.1796875" hidden="1" customWidth="1"/>
    <col min="12" max="13" width="4.7265625" hidden="1" customWidth="1"/>
    <col min="14" max="14" width="5.1796875" hidden="1" customWidth="1"/>
    <col min="15" max="15" width="4.453125" hidden="1" customWidth="1"/>
    <col min="16" max="16" width="4.54296875" hidden="1" customWidth="1"/>
    <col min="17" max="17" width="4.453125" hidden="1" customWidth="1"/>
    <col min="18" max="18" width="7.81640625" bestFit="1" customWidth="1"/>
    <col min="19" max="22" width="4.453125" customWidth="1"/>
    <col min="23" max="23" width="5.1796875" bestFit="1" customWidth="1"/>
    <col min="24" max="24" width="4.81640625" bestFit="1" customWidth="1"/>
    <col min="25" max="26" width="4.54296875" customWidth="1"/>
    <col min="27" max="27" width="4.54296875" style="537" customWidth="1"/>
    <col min="28" max="30" width="4.54296875" customWidth="1"/>
    <col min="31" max="31" width="3.26953125" hidden="1" customWidth="1"/>
    <col min="32" max="32" width="3" hidden="1" customWidth="1"/>
    <col min="33" max="33" width="4.26953125" customWidth="1"/>
    <col min="34" max="34" width="0.7265625" customWidth="1"/>
    <col min="35" max="35" width="34.26953125" customWidth="1"/>
  </cols>
  <sheetData>
    <row r="1" spans="1:36" ht="15" thickBot="1" x14ac:dyDescent="0.4">
      <c r="A1" s="1293" t="s">
        <v>977</v>
      </c>
      <c r="B1" s="1294"/>
      <c r="C1" s="1294"/>
      <c r="D1" s="1294"/>
      <c r="E1" s="1294"/>
      <c r="F1" s="1294"/>
      <c r="G1" s="1294"/>
      <c r="H1" s="1294"/>
      <c r="I1" s="1294"/>
      <c r="J1" s="1294"/>
      <c r="K1" s="1294"/>
      <c r="L1" s="1294"/>
      <c r="M1" s="1294"/>
      <c r="N1" s="1294"/>
      <c r="O1" s="1294"/>
      <c r="P1" s="1294"/>
      <c r="Q1" s="1294"/>
      <c r="R1" s="1294"/>
      <c r="S1" s="1294"/>
      <c r="T1" s="1294"/>
      <c r="U1" s="1294"/>
      <c r="V1" s="1294"/>
      <c r="W1" s="1294"/>
      <c r="X1" s="1294"/>
      <c r="Y1" s="1294"/>
      <c r="Z1" s="1294"/>
      <c r="AA1" s="1294"/>
      <c r="AB1" s="1294"/>
      <c r="AC1" s="1294"/>
      <c r="AD1" s="1294"/>
      <c r="AE1" s="1294"/>
      <c r="AF1" s="1294"/>
      <c r="AG1" s="1295"/>
      <c r="AH1" s="541"/>
      <c r="AI1" s="1276" t="s">
        <v>6</v>
      </c>
    </row>
    <row r="2" spans="1:36" ht="15" thickBot="1" x14ac:dyDescent="0.4">
      <c r="A2" s="538"/>
      <c r="B2" s="539"/>
      <c r="C2" s="539" t="s">
        <v>978</v>
      </c>
      <c r="D2" s="539"/>
      <c r="E2" s="542" t="s">
        <v>979</v>
      </c>
      <c r="F2" s="542" t="s">
        <v>980</v>
      </c>
      <c r="G2" s="542" t="s">
        <v>981</v>
      </c>
      <c r="H2" s="542" t="s">
        <v>982</v>
      </c>
      <c r="I2" s="542" t="s">
        <v>983</v>
      </c>
      <c r="J2" s="542" t="s">
        <v>984</v>
      </c>
      <c r="K2" s="542" t="s">
        <v>985</v>
      </c>
      <c r="L2" s="542" t="s">
        <v>986</v>
      </c>
      <c r="M2" s="542" t="s">
        <v>987</v>
      </c>
      <c r="N2" s="542" t="s">
        <v>988</v>
      </c>
      <c r="O2" s="542" t="s">
        <v>989</v>
      </c>
      <c r="P2" s="542" t="s">
        <v>990</v>
      </c>
      <c r="Q2" s="542" t="s">
        <v>991</v>
      </c>
      <c r="R2" s="542"/>
      <c r="S2" s="542" t="s">
        <v>992</v>
      </c>
      <c r="T2" s="542" t="s">
        <v>993</v>
      </c>
      <c r="U2" s="542" t="s">
        <v>994</v>
      </c>
      <c r="V2" s="542" t="s">
        <v>995</v>
      </c>
      <c r="W2" s="542" t="s">
        <v>996</v>
      </c>
      <c r="X2" s="542" t="s">
        <v>997</v>
      </c>
      <c r="Y2" s="542" t="s">
        <v>998</v>
      </c>
      <c r="Z2" s="542" t="s">
        <v>999</v>
      </c>
      <c r="AA2" s="542" t="s">
        <v>1000</v>
      </c>
      <c r="AB2" s="542" t="s">
        <v>1001</v>
      </c>
      <c r="AC2" s="542" t="s">
        <v>1002</v>
      </c>
      <c r="AD2" s="542" t="s">
        <v>1003</v>
      </c>
      <c r="AE2" s="542"/>
      <c r="AF2" s="540"/>
      <c r="AG2" s="540"/>
      <c r="AI2" s="1277"/>
    </row>
    <row r="3" spans="1:36" ht="62" customHeight="1" thickBot="1" x14ac:dyDescent="0.4">
      <c r="A3" s="543" t="s">
        <v>1004</v>
      </c>
      <c r="B3" s="544" t="s">
        <v>0</v>
      </c>
      <c r="C3" s="545" t="s">
        <v>1005</v>
      </c>
      <c r="D3" s="546" t="s">
        <v>1006</v>
      </c>
      <c r="E3" s="547">
        <v>45474</v>
      </c>
      <c r="F3" s="547">
        <f>E3+31</f>
        <v>45505</v>
      </c>
      <c r="G3" s="547">
        <f t="shared" ref="G3:AD3" si="0">F3+31</f>
        <v>45536</v>
      </c>
      <c r="H3" s="547">
        <f t="shared" si="0"/>
        <v>45567</v>
      </c>
      <c r="I3" s="547">
        <f t="shared" si="0"/>
        <v>45598</v>
      </c>
      <c r="J3" s="547">
        <f t="shared" si="0"/>
        <v>45629</v>
      </c>
      <c r="K3" s="547">
        <f t="shared" si="0"/>
        <v>45660</v>
      </c>
      <c r="L3" s="547">
        <f t="shared" si="0"/>
        <v>45691</v>
      </c>
      <c r="M3" s="547">
        <f t="shared" si="0"/>
        <v>45722</v>
      </c>
      <c r="N3" s="547">
        <f t="shared" si="0"/>
        <v>45753</v>
      </c>
      <c r="O3" s="547">
        <f t="shared" si="0"/>
        <v>45784</v>
      </c>
      <c r="P3" s="547">
        <f>O3+31</f>
        <v>45815</v>
      </c>
      <c r="Q3" s="547">
        <f>P3+31</f>
        <v>45846</v>
      </c>
      <c r="R3" s="548" t="s">
        <v>1146</v>
      </c>
      <c r="S3" s="547">
        <f>Q3+31</f>
        <v>45877</v>
      </c>
      <c r="T3" s="547">
        <f t="shared" si="0"/>
        <v>45908</v>
      </c>
      <c r="U3" s="547">
        <f t="shared" si="0"/>
        <v>45939</v>
      </c>
      <c r="V3" s="547">
        <f t="shared" si="0"/>
        <v>45970</v>
      </c>
      <c r="W3" s="547">
        <f t="shared" si="0"/>
        <v>46001</v>
      </c>
      <c r="X3" s="547">
        <f t="shared" si="0"/>
        <v>46032</v>
      </c>
      <c r="Y3" s="547">
        <f t="shared" si="0"/>
        <v>46063</v>
      </c>
      <c r="Z3" s="547">
        <f t="shared" si="0"/>
        <v>46094</v>
      </c>
      <c r="AA3" s="547">
        <f t="shared" si="0"/>
        <v>46125</v>
      </c>
      <c r="AB3" s="547">
        <f t="shared" si="0"/>
        <v>46156</v>
      </c>
      <c r="AC3" s="547">
        <f t="shared" si="0"/>
        <v>46187</v>
      </c>
      <c r="AD3" s="547">
        <f t="shared" si="0"/>
        <v>46218</v>
      </c>
      <c r="AE3" s="547">
        <v>44835</v>
      </c>
      <c r="AF3" s="549" t="s">
        <v>11</v>
      </c>
      <c r="AG3" s="550" t="s">
        <v>295</v>
      </c>
      <c r="AI3" s="1278"/>
    </row>
    <row r="4" spans="1:36" ht="18" hidden="1" customHeight="1" thickBot="1" x14ac:dyDescent="0.4">
      <c r="A4" s="1279">
        <v>1</v>
      </c>
      <c r="B4" s="1282" t="s">
        <v>109</v>
      </c>
      <c r="C4" s="551" t="s">
        <v>1007</v>
      </c>
      <c r="D4" s="1285">
        <v>136.58099999999999</v>
      </c>
      <c r="E4" s="552"/>
      <c r="F4" s="552"/>
      <c r="G4" s="552"/>
      <c r="H4" s="552"/>
      <c r="I4" s="552"/>
      <c r="J4" s="552"/>
      <c r="K4" s="553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552"/>
      <c r="Z4" s="552"/>
      <c r="AA4" s="552"/>
      <c r="AB4" s="552"/>
      <c r="AC4" s="552"/>
      <c r="AD4" s="552"/>
      <c r="AE4" s="552"/>
      <c r="AF4" s="554">
        <f>SUM(E4:AC4)</f>
        <v>0</v>
      </c>
      <c r="AG4" s="1288">
        <f>D4-SUM(E7:O7)</f>
        <v>-1.300000000000523E-2</v>
      </c>
      <c r="AI4" s="1291" t="s">
        <v>1008</v>
      </c>
    </row>
    <row r="5" spans="1:36" ht="18" hidden="1" customHeight="1" x14ac:dyDescent="0.4">
      <c r="A5" s="1280"/>
      <c r="B5" s="1283"/>
      <c r="C5" s="555" t="s">
        <v>1009</v>
      </c>
      <c r="D5" s="1286"/>
      <c r="E5" s="557"/>
      <c r="F5" s="552"/>
      <c r="G5" s="552"/>
      <c r="H5" s="552"/>
      <c r="I5" s="552"/>
      <c r="J5" s="552"/>
      <c r="K5" s="553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  <c r="Z5" s="557"/>
      <c r="AA5" s="557"/>
      <c r="AB5" s="557"/>
      <c r="AC5" s="557"/>
      <c r="AD5" s="557"/>
      <c r="AE5" s="557"/>
      <c r="AF5" s="558">
        <f>SUM(E5:AC5)</f>
        <v>0</v>
      </c>
      <c r="AG5" s="1289"/>
      <c r="AI5" s="1292"/>
    </row>
    <row r="6" spans="1:36" ht="18" hidden="1" customHeight="1" x14ac:dyDescent="0.4">
      <c r="A6" s="1280"/>
      <c r="B6" s="1283"/>
      <c r="C6" s="555" t="s">
        <v>1010</v>
      </c>
      <c r="D6" s="1286"/>
      <c r="E6" s="557"/>
      <c r="F6" s="557"/>
      <c r="G6" s="557"/>
      <c r="H6" s="557"/>
      <c r="I6" s="557"/>
      <c r="J6" s="557"/>
      <c r="K6" s="559"/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7"/>
      <c r="X6" s="557"/>
      <c r="Y6" s="557"/>
      <c r="Z6" s="557"/>
      <c r="AA6" s="557"/>
      <c r="AB6" s="557"/>
      <c r="AC6" s="557"/>
      <c r="AD6" s="557"/>
      <c r="AE6" s="557"/>
      <c r="AF6" s="560"/>
      <c r="AG6" s="1289"/>
      <c r="AI6" s="1292"/>
    </row>
    <row r="7" spans="1:36" ht="18" hidden="1" customHeight="1" x14ac:dyDescent="0.4">
      <c r="A7" s="1280"/>
      <c r="B7" s="1283"/>
      <c r="C7" s="555" t="s">
        <v>1011</v>
      </c>
      <c r="D7" s="1286"/>
      <c r="E7" s="557"/>
      <c r="F7" s="557"/>
      <c r="G7" s="557"/>
      <c r="H7" s="557"/>
      <c r="I7" s="557"/>
      <c r="J7" s="557"/>
      <c r="K7" s="559"/>
      <c r="L7" s="557"/>
      <c r="M7" s="557"/>
      <c r="N7" s="557"/>
      <c r="O7" s="557">
        <v>136.59399999999999</v>
      </c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60"/>
      <c r="AG7" s="1289"/>
      <c r="AI7" s="1292"/>
    </row>
    <row r="8" spans="1:36" ht="18" hidden="1" customHeight="1" x14ac:dyDescent="0.4">
      <c r="A8" s="1281"/>
      <c r="B8" s="1284"/>
      <c r="C8" s="561" t="s">
        <v>1012</v>
      </c>
      <c r="D8" s="1287"/>
      <c r="E8" s="562"/>
      <c r="F8" s="562"/>
      <c r="G8" s="562"/>
      <c r="H8" s="562"/>
      <c r="I8" s="562"/>
      <c r="J8" s="562"/>
      <c r="K8" s="563"/>
      <c r="L8" s="562"/>
      <c r="M8" s="562"/>
      <c r="N8" s="562"/>
      <c r="O8" s="562"/>
      <c r="P8" s="562"/>
      <c r="Q8" s="562"/>
      <c r="R8" s="562"/>
      <c r="S8" s="562"/>
      <c r="T8" s="562"/>
      <c r="U8" s="562"/>
      <c r="V8" s="562"/>
      <c r="W8" s="562"/>
      <c r="X8" s="562"/>
      <c r="Y8" s="562"/>
      <c r="Z8" s="562"/>
      <c r="AA8" s="562"/>
      <c r="AB8" s="562"/>
      <c r="AC8" s="562"/>
      <c r="AD8" s="562"/>
      <c r="AE8" s="562"/>
      <c r="AF8" s="564"/>
      <c r="AG8" s="1290"/>
      <c r="AI8" s="1292"/>
    </row>
    <row r="9" spans="1:36" ht="14.15" hidden="1" customHeight="1" x14ac:dyDescent="0.4">
      <c r="A9" s="1279">
        <f>A4+1</f>
        <v>2</v>
      </c>
      <c r="B9" s="1282" t="s">
        <v>19</v>
      </c>
      <c r="C9" s="551" t="s">
        <v>1007</v>
      </c>
      <c r="D9" s="1285">
        <f>D4</f>
        <v>136.58099999999999</v>
      </c>
      <c r="E9" s="552"/>
      <c r="F9" s="552"/>
      <c r="G9" s="552"/>
      <c r="H9" s="552"/>
      <c r="I9" s="552"/>
      <c r="J9" s="552"/>
      <c r="K9" s="553"/>
      <c r="L9" s="552"/>
      <c r="M9" s="552"/>
      <c r="N9" s="552"/>
      <c r="O9" s="552"/>
      <c r="P9" s="552"/>
      <c r="Q9" s="552"/>
      <c r="R9" s="552"/>
      <c r="S9" s="552"/>
      <c r="T9" s="552"/>
      <c r="U9" s="552"/>
      <c r="V9" s="552"/>
      <c r="W9" s="552"/>
      <c r="X9" s="552"/>
      <c r="Y9" s="552"/>
      <c r="Z9" s="552"/>
      <c r="AA9" s="552"/>
      <c r="AB9" s="552"/>
      <c r="AC9" s="552"/>
      <c r="AD9" s="552"/>
      <c r="AE9" s="552"/>
      <c r="AF9" s="554">
        <f>SUM(E9:AC9)</f>
        <v>0</v>
      </c>
      <c r="AG9" s="1288">
        <f>D9-SUM(E12:O12)</f>
        <v>7.6999999999998181E-2</v>
      </c>
      <c r="AI9" s="1291" t="s">
        <v>1013</v>
      </c>
    </row>
    <row r="10" spans="1:36" ht="14.15" hidden="1" customHeight="1" x14ac:dyDescent="0.4">
      <c r="A10" s="1280"/>
      <c r="B10" s="1283"/>
      <c r="C10" s="555" t="s">
        <v>1009</v>
      </c>
      <c r="D10" s="1286"/>
      <c r="E10" s="557"/>
      <c r="F10" s="552"/>
      <c r="G10" s="552"/>
      <c r="H10" s="552"/>
      <c r="I10" s="552"/>
      <c r="J10" s="557"/>
      <c r="K10" s="559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  <c r="Z10" s="557"/>
      <c r="AA10" s="557"/>
      <c r="AB10" s="557"/>
      <c r="AC10" s="557"/>
      <c r="AD10" s="557"/>
      <c r="AE10" s="557"/>
      <c r="AF10" s="558">
        <f>SUM(E10:AC10)</f>
        <v>0</v>
      </c>
      <c r="AG10" s="1289"/>
      <c r="AI10" s="1292"/>
    </row>
    <row r="11" spans="1:36" ht="14.15" hidden="1" customHeight="1" x14ac:dyDescent="0.4">
      <c r="A11" s="1280"/>
      <c r="B11" s="1283"/>
      <c r="C11" s="555" t="s">
        <v>1010</v>
      </c>
      <c r="D11" s="1286"/>
      <c r="E11" s="557"/>
      <c r="F11" s="557"/>
      <c r="G11" s="557"/>
      <c r="H11" s="557"/>
      <c r="I11" s="557"/>
      <c r="J11" s="557"/>
      <c r="K11" s="559"/>
      <c r="L11" s="557"/>
      <c r="M11" s="557"/>
      <c r="N11" s="557"/>
      <c r="O11" s="557"/>
      <c r="P11" s="557"/>
      <c r="Q11" s="557"/>
      <c r="R11" s="557"/>
      <c r="S11" s="557"/>
      <c r="T11" s="557"/>
      <c r="U11" s="557"/>
      <c r="V11" s="557"/>
      <c r="W11" s="557"/>
      <c r="X11" s="557"/>
      <c r="Y11" s="557"/>
      <c r="Z11" s="557"/>
      <c r="AA11" s="557"/>
      <c r="AB11" s="557"/>
      <c r="AC11" s="557"/>
      <c r="AD11" s="557"/>
      <c r="AE11" s="557"/>
      <c r="AF11" s="565"/>
      <c r="AG11" s="1289"/>
      <c r="AI11" s="1292"/>
    </row>
    <row r="12" spans="1:36" ht="14.15" hidden="1" customHeight="1" x14ac:dyDescent="0.4">
      <c r="A12" s="1280"/>
      <c r="B12" s="1283"/>
      <c r="C12" s="555" t="s">
        <v>1011</v>
      </c>
      <c r="D12" s="1286"/>
      <c r="E12" s="557"/>
      <c r="F12" s="557"/>
      <c r="G12" s="557"/>
      <c r="H12" s="557"/>
      <c r="I12" s="557"/>
      <c r="J12" s="557"/>
      <c r="K12" s="559"/>
      <c r="L12" s="557"/>
      <c r="M12" s="557"/>
      <c r="N12" s="557"/>
      <c r="O12" s="557">
        <v>136.50399999999999</v>
      </c>
      <c r="P12" s="557"/>
      <c r="Q12" s="557"/>
      <c r="R12" s="557"/>
      <c r="S12" s="557"/>
      <c r="T12" s="557"/>
      <c r="U12" s="557"/>
      <c r="V12" s="557"/>
      <c r="W12" s="557"/>
      <c r="X12" s="557"/>
      <c r="Y12" s="557"/>
      <c r="Z12" s="557"/>
      <c r="AA12" s="557"/>
      <c r="AB12" s="557"/>
      <c r="AC12" s="557"/>
      <c r="AD12" s="557"/>
      <c r="AE12" s="557"/>
      <c r="AF12" s="565"/>
      <c r="AG12" s="1289"/>
      <c r="AI12" s="1292"/>
    </row>
    <row r="13" spans="1:36" ht="14.15" hidden="1" customHeight="1" x14ac:dyDescent="0.4">
      <c r="A13" s="1280"/>
      <c r="B13" s="1283"/>
      <c r="C13" s="566" t="s">
        <v>1012</v>
      </c>
      <c r="D13" s="1286"/>
      <c r="E13" s="556"/>
      <c r="F13" s="556"/>
      <c r="G13" s="556"/>
      <c r="H13" s="556"/>
      <c r="I13" s="556"/>
      <c r="J13" s="556"/>
      <c r="K13" s="567"/>
      <c r="L13" s="556"/>
      <c r="M13" s="556"/>
      <c r="N13" s="556"/>
      <c r="O13" s="556"/>
      <c r="P13" s="556"/>
      <c r="Q13" s="556"/>
      <c r="R13" s="556"/>
      <c r="S13" s="556"/>
      <c r="T13" s="556"/>
      <c r="U13" s="556"/>
      <c r="V13" s="556"/>
      <c r="W13" s="556"/>
      <c r="X13" s="556"/>
      <c r="Y13" s="556"/>
      <c r="Z13" s="556"/>
      <c r="AA13" s="556"/>
      <c r="AB13" s="556"/>
      <c r="AC13" s="556"/>
      <c r="AD13" s="556"/>
      <c r="AE13" s="556"/>
      <c r="AF13" s="565"/>
      <c r="AG13" s="1289"/>
      <c r="AI13" s="1292"/>
    </row>
    <row r="14" spans="1:36" ht="28" customHeight="1" x14ac:dyDescent="0.35">
      <c r="A14" s="1296">
        <v>1</v>
      </c>
      <c r="B14" s="1299" t="s">
        <v>805</v>
      </c>
      <c r="C14" s="568" t="s">
        <v>1014</v>
      </c>
      <c r="D14" s="1302">
        <v>371</v>
      </c>
      <c r="E14" s="569"/>
      <c r="F14" s="569"/>
      <c r="G14" s="714">
        <v>5</v>
      </c>
      <c r="H14" s="714">
        <v>20</v>
      </c>
      <c r="I14" s="714">
        <v>25</v>
      </c>
      <c r="J14" s="714">
        <v>25</v>
      </c>
      <c r="K14" s="714">
        <v>30</v>
      </c>
      <c r="L14" s="714">
        <v>30</v>
      </c>
      <c r="M14" s="714">
        <v>30</v>
      </c>
      <c r="N14" s="714">
        <v>30</v>
      </c>
      <c r="O14" s="714">
        <v>30</v>
      </c>
      <c r="P14" s="714">
        <v>15</v>
      </c>
      <c r="Q14" s="570">
        <v>15</v>
      </c>
      <c r="R14" s="570">
        <f>SUM(G14:Q14)</f>
        <v>255</v>
      </c>
      <c r="S14" s="570">
        <v>15</v>
      </c>
      <c r="T14" s="570">
        <v>25</v>
      </c>
      <c r="U14" s="571">
        <v>25</v>
      </c>
      <c r="V14" s="571">
        <v>20</v>
      </c>
      <c r="W14" s="571">
        <v>15</v>
      </c>
      <c r="X14" s="571">
        <v>3</v>
      </c>
      <c r="Y14" s="569"/>
      <c r="Z14" s="569"/>
      <c r="AA14" s="569"/>
      <c r="AB14" s="569"/>
      <c r="AC14" s="569"/>
      <c r="AD14" s="569"/>
      <c r="AE14" s="569"/>
      <c r="AF14" s="572">
        <f>SUM(E14:AC14)</f>
        <v>613</v>
      </c>
      <c r="AG14" s="1288">
        <f>D14-SUM(E18:U18)+272</f>
        <v>99</v>
      </c>
      <c r="AH14" s="1305"/>
      <c r="AI14" s="1308" t="s">
        <v>1231</v>
      </c>
      <c r="AJ14" s="453"/>
    </row>
    <row r="15" spans="1:36" ht="18" customHeight="1" x14ac:dyDescent="0.35">
      <c r="A15" s="1297"/>
      <c r="B15" s="1300"/>
      <c r="C15" s="555" t="s">
        <v>1015</v>
      </c>
      <c r="D15" s="1303"/>
      <c r="E15" s="557"/>
      <c r="F15" s="557"/>
      <c r="G15" s="573"/>
      <c r="H15" s="573"/>
      <c r="I15" s="573"/>
      <c r="J15" s="573"/>
      <c r="K15" s="574"/>
      <c r="L15" s="557"/>
      <c r="M15" s="557"/>
      <c r="N15" s="557"/>
      <c r="O15" s="557"/>
      <c r="P15" s="557"/>
      <c r="Q15" s="557"/>
      <c r="R15" s="557"/>
      <c r="S15" s="718">
        <v>15</v>
      </c>
      <c r="T15" s="718">
        <v>25</v>
      </c>
      <c r="U15" s="719">
        <v>45</v>
      </c>
      <c r="V15" s="719">
        <v>14</v>
      </c>
      <c r="W15" s="557"/>
      <c r="X15" s="557"/>
      <c r="Y15" s="557"/>
      <c r="Z15" s="557"/>
      <c r="AA15" s="557"/>
      <c r="AB15" s="557"/>
      <c r="AC15" s="557"/>
      <c r="AD15" s="557"/>
      <c r="AE15" s="557"/>
      <c r="AF15" s="575">
        <f>SUM(E15:AC15)</f>
        <v>99</v>
      </c>
      <c r="AG15" s="1289"/>
      <c r="AH15" s="1306"/>
      <c r="AI15" s="1309"/>
      <c r="AJ15" s="99"/>
    </row>
    <row r="16" spans="1:36" ht="18" customHeight="1" x14ac:dyDescent="0.35">
      <c r="A16" s="1297"/>
      <c r="B16" s="1300"/>
      <c r="C16" s="555" t="s">
        <v>1016</v>
      </c>
      <c r="D16" s="1303"/>
      <c r="E16" s="557"/>
      <c r="F16" s="557"/>
      <c r="G16" s="573"/>
      <c r="H16" s="573"/>
      <c r="I16" s="573"/>
      <c r="J16" s="573"/>
      <c r="K16" s="574"/>
      <c r="L16" s="557"/>
      <c r="M16" s="557"/>
      <c r="N16" s="557"/>
      <c r="O16" s="557"/>
      <c r="P16" s="557"/>
      <c r="Q16" s="557"/>
      <c r="R16" s="557"/>
      <c r="S16" s="695">
        <v>5</v>
      </c>
      <c r="T16" s="695">
        <v>8</v>
      </c>
      <c r="U16" s="695">
        <v>12</v>
      </c>
      <c r="V16" s="695">
        <v>5</v>
      </c>
      <c r="W16" s="557"/>
      <c r="X16" s="557"/>
      <c r="Y16" s="557"/>
      <c r="Z16" s="557"/>
      <c r="AA16" s="557"/>
      <c r="AB16" s="557"/>
      <c r="AC16" s="557"/>
      <c r="AD16" s="557"/>
      <c r="AE16" s="557"/>
      <c r="AF16" s="575"/>
      <c r="AG16" s="1289"/>
      <c r="AH16" s="1306"/>
      <c r="AI16" s="1309"/>
      <c r="AJ16" s="99"/>
    </row>
    <row r="17" spans="1:36" ht="18" hidden="1" customHeight="1" x14ac:dyDescent="0.35">
      <c r="A17" s="1297"/>
      <c r="B17" s="1300"/>
      <c r="C17" s="555" t="s">
        <v>1017</v>
      </c>
      <c r="D17" s="1303"/>
      <c r="E17" s="557"/>
      <c r="F17" s="557"/>
      <c r="G17" s="573"/>
      <c r="H17" s="573"/>
      <c r="I17" s="573"/>
      <c r="J17" s="573"/>
      <c r="K17" s="574"/>
      <c r="L17" s="557"/>
      <c r="M17" s="557"/>
      <c r="N17" s="557"/>
      <c r="O17" s="557"/>
      <c r="P17" s="557"/>
      <c r="Q17" s="557"/>
      <c r="R17" s="557"/>
      <c r="S17" s="695">
        <v>5</v>
      </c>
      <c r="T17" s="695">
        <v>8</v>
      </c>
      <c r="U17" s="695">
        <v>12</v>
      </c>
      <c r="V17" s="695">
        <v>5</v>
      </c>
      <c r="W17" s="557"/>
      <c r="X17" s="557"/>
      <c r="Y17" s="557"/>
      <c r="Z17" s="557"/>
      <c r="AA17" s="557"/>
      <c r="AB17" s="557"/>
      <c r="AC17" s="557"/>
      <c r="AD17" s="557"/>
      <c r="AE17" s="557"/>
      <c r="AF17" s="575"/>
      <c r="AG17" s="1289"/>
      <c r="AH17" s="1306"/>
      <c r="AI17" s="1309"/>
      <c r="AJ17" s="99"/>
    </row>
    <row r="18" spans="1:36" ht="15" customHeight="1" x14ac:dyDescent="0.35">
      <c r="A18" s="1297"/>
      <c r="B18" s="1300"/>
      <c r="C18" s="555" t="s">
        <v>1011</v>
      </c>
      <c r="D18" s="1303"/>
      <c r="E18" s="39"/>
      <c r="F18" s="39"/>
      <c r="G18" s="39"/>
      <c r="H18" s="39">
        <v>9</v>
      </c>
      <c r="I18" s="39">
        <v>26</v>
      </c>
      <c r="J18" s="39">
        <v>36</v>
      </c>
      <c r="K18" s="39">
        <v>30</v>
      </c>
      <c r="L18" s="39">
        <v>32</v>
      </c>
      <c r="M18" s="39">
        <v>22</v>
      </c>
      <c r="N18" s="39">
        <v>51</v>
      </c>
      <c r="O18" s="39">
        <v>48</v>
      </c>
      <c r="P18" s="557">
        <v>15</v>
      </c>
      <c r="Q18" s="557">
        <v>3</v>
      </c>
      <c r="R18" s="557">
        <f>SUM(H18:Q18)</f>
        <v>272</v>
      </c>
      <c r="S18" s="557"/>
      <c r="T18" s="557"/>
      <c r="U18" s="557"/>
      <c r="V18" s="557"/>
      <c r="W18" s="557"/>
      <c r="X18" s="557"/>
      <c r="Y18" s="557"/>
      <c r="Z18" s="557"/>
      <c r="AA18" s="557"/>
      <c r="AB18" s="557"/>
      <c r="AC18" s="557"/>
      <c r="AD18" s="557"/>
      <c r="AE18" s="557"/>
      <c r="AF18" s="575"/>
      <c r="AG18" s="1289"/>
      <c r="AH18" s="1306"/>
      <c r="AI18" s="1309"/>
    </row>
    <row r="19" spans="1:36" ht="15" customHeight="1" x14ac:dyDescent="0.35">
      <c r="A19" s="1297"/>
      <c r="B19" s="1300"/>
      <c r="C19" s="555" t="s">
        <v>1018</v>
      </c>
      <c r="D19" s="1303"/>
      <c r="E19" s="557"/>
      <c r="F19" s="557"/>
      <c r="G19" s="557"/>
      <c r="H19" s="557"/>
      <c r="I19" s="557"/>
      <c r="J19" s="557"/>
      <c r="K19" s="559"/>
      <c r="L19" s="557"/>
      <c r="M19" s="557"/>
      <c r="N19" s="557"/>
      <c r="O19" s="557"/>
      <c r="P19" s="557"/>
      <c r="Q19" s="557"/>
      <c r="R19" s="557"/>
      <c r="S19" s="557"/>
      <c r="T19" s="557"/>
      <c r="U19" s="557"/>
      <c r="V19" s="557"/>
      <c r="W19" s="557"/>
      <c r="X19" s="557"/>
      <c r="Y19" s="557"/>
      <c r="Z19" s="557"/>
      <c r="AA19" s="557"/>
      <c r="AB19" s="557"/>
      <c r="AC19" s="557"/>
      <c r="AD19" s="557"/>
      <c r="AE19" s="557"/>
      <c r="AF19" s="575"/>
      <c r="AG19" s="1289"/>
      <c r="AH19" s="1306"/>
      <c r="AI19" s="1309"/>
    </row>
    <row r="20" spans="1:36" ht="15" customHeight="1" thickBot="1" x14ac:dyDescent="0.4">
      <c r="A20" s="1298"/>
      <c r="B20" s="1301"/>
      <c r="C20" s="576" t="s">
        <v>1019</v>
      </c>
      <c r="D20" s="1304"/>
      <c r="E20" s="577"/>
      <c r="F20" s="577"/>
      <c r="G20" s="577"/>
      <c r="H20" s="577"/>
      <c r="I20" s="577"/>
      <c r="J20" s="577"/>
      <c r="K20" s="578"/>
      <c r="L20" s="577"/>
      <c r="M20" s="577"/>
      <c r="N20" s="577"/>
      <c r="O20" s="577"/>
      <c r="P20" s="577"/>
      <c r="Q20" s="577"/>
      <c r="R20" s="577"/>
      <c r="S20" s="577"/>
      <c r="T20" s="577"/>
      <c r="U20" s="577"/>
      <c r="V20" s="577"/>
      <c r="W20" s="577"/>
      <c r="X20" s="577"/>
      <c r="Y20" s="577"/>
      <c r="Z20" s="577"/>
      <c r="AA20" s="577"/>
      <c r="AB20" s="577"/>
      <c r="AC20" s="577"/>
      <c r="AD20" s="577"/>
      <c r="AE20" s="577"/>
      <c r="AF20" s="579"/>
      <c r="AG20" s="1290"/>
      <c r="AH20" s="1307"/>
      <c r="AI20" s="1310"/>
    </row>
    <row r="21" spans="1:36" ht="16" customHeight="1" x14ac:dyDescent="0.35">
      <c r="A21" s="1279">
        <f>A14+1</f>
        <v>2</v>
      </c>
      <c r="B21" s="1282" t="s">
        <v>808</v>
      </c>
      <c r="C21" s="568" t="s">
        <v>1014</v>
      </c>
      <c r="D21" s="1285">
        <f>D14</f>
        <v>371</v>
      </c>
      <c r="E21" s="569"/>
      <c r="F21" s="569"/>
      <c r="G21" s="569"/>
      <c r="H21" s="569"/>
      <c r="I21" s="715">
        <v>5</v>
      </c>
      <c r="J21" s="715">
        <v>18</v>
      </c>
      <c r="K21" s="715">
        <v>25</v>
      </c>
      <c r="L21" s="715">
        <v>25</v>
      </c>
      <c r="M21" s="715">
        <v>25</v>
      </c>
      <c r="N21" s="715">
        <v>25</v>
      </c>
      <c r="O21" s="715">
        <v>25</v>
      </c>
      <c r="P21" s="715">
        <v>15</v>
      </c>
      <c r="Q21" s="571">
        <v>15</v>
      </c>
      <c r="R21" s="580">
        <f>SUM(I21:Q21)</f>
        <v>178</v>
      </c>
      <c r="S21" s="580">
        <v>15</v>
      </c>
      <c r="T21" s="580">
        <v>25</v>
      </c>
      <c r="U21" s="580">
        <v>30</v>
      </c>
      <c r="V21" s="580">
        <v>30</v>
      </c>
      <c r="W21" s="580">
        <v>30</v>
      </c>
      <c r="X21" s="580">
        <v>30</v>
      </c>
      <c r="Y21" s="580">
        <v>20</v>
      </c>
      <c r="Z21" s="569"/>
      <c r="AA21" s="569"/>
      <c r="AB21" s="569"/>
      <c r="AC21" s="569"/>
      <c r="AD21" s="569"/>
      <c r="AE21" s="569"/>
      <c r="AF21" s="581">
        <f>SUM(E21:AC21)</f>
        <v>536</v>
      </c>
      <c r="AG21" s="1288">
        <f>D21-SUM(F25:X25)+90</f>
        <v>280</v>
      </c>
      <c r="AH21" s="541"/>
      <c r="AI21" s="1291" t="s">
        <v>1232</v>
      </c>
    </row>
    <row r="22" spans="1:36" x14ac:dyDescent="0.35">
      <c r="A22" s="1280"/>
      <c r="B22" s="1283"/>
      <c r="C22" s="555" t="s">
        <v>1015</v>
      </c>
      <c r="D22" s="1286"/>
      <c r="E22" s="557"/>
      <c r="F22" s="552"/>
      <c r="G22" s="582"/>
      <c r="H22" s="582"/>
      <c r="I22" s="582"/>
      <c r="J22" s="582"/>
      <c r="K22" s="583"/>
      <c r="L22" s="552"/>
      <c r="M22" s="552"/>
      <c r="N22" s="552"/>
      <c r="O22" s="552"/>
      <c r="P22" s="552"/>
      <c r="Q22" s="552"/>
      <c r="R22" s="552"/>
      <c r="S22" s="552">
        <v>20</v>
      </c>
      <c r="T22" s="557">
        <v>41</v>
      </c>
      <c r="U22" s="557">
        <v>55</v>
      </c>
      <c r="V22" s="557">
        <v>55</v>
      </c>
      <c r="W22" s="557">
        <v>55</v>
      </c>
      <c r="X22" s="557">
        <v>55</v>
      </c>
      <c r="Y22" s="557"/>
      <c r="Z22" s="557"/>
      <c r="AA22" s="557"/>
      <c r="AB22" s="557"/>
      <c r="AC22" s="557"/>
      <c r="AD22" s="557"/>
      <c r="AE22" s="557"/>
      <c r="AF22" s="558">
        <f>SUM(E22:AC22)</f>
        <v>281</v>
      </c>
      <c r="AG22" s="1289"/>
      <c r="AI22" s="1292"/>
    </row>
    <row r="23" spans="1:36" x14ac:dyDescent="0.35">
      <c r="A23" s="1280"/>
      <c r="B23" s="1283"/>
      <c r="C23" s="555" t="s">
        <v>1016</v>
      </c>
      <c r="D23" s="1286"/>
      <c r="E23" s="557"/>
      <c r="F23" s="552"/>
      <c r="G23" s="582"/>
      <c r="H23" s="582"/>
      <c r="I23" s="582"/>
      <c r="J23" s="582"/>
      <c r="K23" s="583"/>
      <c r="L23" s="552"/>
      <c r="M23" s="552"/>
      <c r="N23" s="552"/>
      <c r="O23" s="552"/>
      <c r="P23" s="552"/>
      <c r="Q23" s="552"/>
      <c r="R23" s="552"/>
      <c r="S23" s="720">
        <v>10</v>
      </c>
      <c r="T23" s="720">
        <v>14</v>
      </c>
      <c r="U23" s="720">
        <v>14</v>
      </c>
      <c r="V23" s="720">
        <v>14</v>
      </c>
      <c r="W23" s="720">
        <v>14</v>
      </c>
      <c r="X23" s="720">
        <v>14</v>
      </c>
      <c r="Y23" s="557"/>
      <c r="Z23" s="557"/>
      <c r="AA23" s="557"/>
      <c r="AB23" s="557"/>
      <c r="AC23" s="557"/>
      <c r="AD23" s="557"/>
      <c r="AE23" s="557"/>
      <c r="AF23" s="565"/>
      <c r="AG23" s="1289"/>
      <c r="AI23" s="1292"/>
    </row>
    <row r="24" spans="1:36" hidden="1" x14ac:dyDescent="0.35">
      <c r="A24" s="1280"/>
      <c r="B24" s="1283"/>
      <c r="C24" s="555" t="s">
        <v>1017</v>
      </c>
      <c r="D24" s="1286"/>
      <c r="E24" s="557"/>
      <c r="F24" s="552"/>
      <c r="G24" s="582"/>
      <c r="H24" s="582"/>
      <c r="I24" s="582"/>
      <c r="J24" s="582"/>
      <c r="K24" s="583"/>
      <c r="L24" s="552"/>
      <c r="M24" s="552"/>
      <c r="N24" s="552"/>
      <c r="O24" s="552"/>
      <c r="P24" s="552"/>
      <c r="Q24" s="552"/>
      <c r="R24" s="552"/>
      <c r="S24" s="695">
        <v>10</v>
      </c>
      <c r="T24" s="695">
        <v>14</v>
      </c>
      <c r="U24" s="695">
        <v>14</v>
      </c>
      <c r="V24" s="695">
        <v>14</v>
      </c>
      <c r="W24" s="695">
        <v>14</v>
      </c>
      <c r="X24" s="695">
        <v>14</v>
      </c>
      <c r="Y24" s="557"/>
      <c r="Z24" s="557"/>
      <c r="AA24" s="557"/>
      <c r="AB24" s="557"/>
      <c r="AC24" s="557"/>
      <c r="AD24" s="557"/>
      <c r="AE24" s="557"/>
      <c r="AF24" s="565"/>
      <c r="AG24" s="1289"/>
      <c r="AI24" s="1292"/>
    </row>
    <row r="25" spans="1:36" x14ac:dyDescent="0.35">
      <c r="A25" s="1280"/>
      <c r="B25" s="1283"/>
      <c r="C25" s="555" t="s">
        <v>1011</v>
      </c>
      <c r="D25" s="1286"/>
      <c r="E25" s="557"/>
      <c r="F25" s="557"/>
      <c r="G25" s="557"/>
      <c r="H25" s="557"/>
      <c r="I25" s="557"/>
      <c r="J25" s="557"/>
      <c r="K25" s="559">
        <v>4</v>
      </c>
      <c r="L25" s="557">
        <v>7</v>
      </c>
      <c r="M25" s="557">
        <v>11</v>
      </c>
      <c r="N25" s="557">
        <v>19</v>
      </c>
      <c r="O25" s="557">
        <v>24</v>
      </c>
      <c r="P25" s="557">
        <v>16</v>
      </c>
      <c r="Q25" s="557">
        <v>9</v>
      </c>
      <c r="R25" s="557">
        <f>SUM(K25:Q25)</f>
        <v>90</v>
      </c>
      <c r="S25" s="557">
        <v>1</v>
      </c>
      <c r="T25" s="557"/>
      <c r="U25" s="557"/>
      <c r="V25" s="557"/>
      <c r="W25" s="557"/>
      <c r="X25" s="557"/>
      <c r="Y25" s="557"/>
      <c r="Z25" s="557"/>
      <c r="AA25" s="557"/>
      <c r="AB25" s="557"/>
      <c r="AC25" s="557"/>
      <c r="AD25" s="557"/>
      <c r="AE25" s="557"/>
      <c r="AF25" s="565"/>
      <c r="AG25" s="1289"/>
      <c r="AI25" s="1292"/>
    </row>
    <row r="26" spans="1:36" x14ac:dyDescent="0.35">
      <c r="A26" s="1280"/>
      <c r="B26" s="1283"/>
      <c r="C26" s="555" t="s">
        <v>1018</v>
      </c>
      <c r="D26" s="1286"/>
      <c r="E26" s="557"/>
      <c r="F26" s="557"/>
      <c r="G26" s="557"/>
      <c r="H26" s="557"/>
      <c r="I26" s="557"/>
      <c r="J26" s="557"/>
      <c r="K26" s="559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57"/>
      <c r="AB26" s="557"/>
      <c r="AC26" s="557"/>
      <c r="AD26" s="557"/>
      <c r="AE26" s="556"/>
      <c r="AF26" s="565"/>
      <c r="AG26" s="1289"/>
      <c r="AI26" s="1292"/>
    </row>
    <row r="27" spans="1:36" ht="15" thickBot="1" x14ac:dyDescent="0.4">
      <c r="A27" s="1281"/>
      <c r="B27" s="1284"/>
      <c r="C27" s="576" t="s">
        <v>1019</v>
      </c>
      <c r="D27" s="1287"/>
      <c r="E27" s="577"/>
      <c r="F27" s="577"/>
      <c r="G27" s="577"/>
      <c r="H27" s="577"/>
      <c r="I27" s="577"/>
      <c r="J27" s="577"/>
      <c r="K27" s="578"/>
      <c r="L27" s="577"/>
      <c r="M27" s="577"/>
      <c r="N27" s="577"/>
      <c r="O27" s="577"/>
      <c r="P27" s="577"/>
      <c r="Q27" s="577"/>
      <c r="R27" s="577"/>
      <c r="S27" s="577"/>
      <c r="T27" s="577"/>
      <c r="U27" s="577"/>
      <c r="V27" s="577"/>
      <c r="W27" s="577"/>
      <c r="X27" s="577"/>
      <c r="Y27" s="577"/>
      <c r="Z27" s="577"/>
      <c r="AA27" s="577"/>
      <c r="AB27" s="577"/>
      <c r="AC27" s="577"/>
      <c r="AD27" s="577"/>
      <c r="AE27" s="562"/>
      <c r="AF27" s="564"/>
      <c r="AG27" s="1290"/>
      <c r="AH27" s="584"/>
      <c r="AI27" s="1311"/>
    </row>
    <row r="28" spans="1:36" ht="31" customHeight="1" x14ac:dyDescent="0.35">
      <c r="A28" s="1279">
        <f>A21+1</f>
        <v>3</v>
      </c>
      <c r="B28" s="1282" t="s">
        <v>1020</v>
      </c>
      <c r="C28" s="568" t="s">
        <v>1014</v>
      </c>
      <c r="D28" s="1285">
        <f>D4</f>
        <v>136.58099999999999</v>
      </c>
      <c r="E28" s="569"/>
      <c r="F28" s="569"/>
      <c r="G28" s="569"/>
      <c r="H28" s="569"/>
      <c r="I28" s="569"/>
      <c r="J28" s="569"/>
      <c r="K28" s="585"/>
      <c r="L28" s="569"/>
      <c r="M28" s="569"/>
      <c r="N28" s="716">
        <v>4</v>
      </c>
      <c r="O28" s="716">
        <v>10</v>
      </c>
      <c r="P28" s="716">
        <v>10</v>
      </c>
      <c r="Q28" s="570">
        <v>10</v>
      </c>
      <c r="R28" s="570"/>
      <c r="S28" s="570">
        <v>10</v>
      </c>
      <c r="T28" s="570">
        <v>10</v>
      </c>
      <c r="U28" s="570">
        <v>11</v>
      </c>
      <c r="V28" s="570">
        <v>11</v>
      </c>
      <c r="W28" s="570">
        <v>11</v>
      </c>
      <c r="X28" s="570">
        <v>11</v>
      </c>
      <c r="Y28" s="570">
        <v>10</v>
      </c>
      <c r="Z28" s="570">
        <v>10</v>
      </c>
      <c r="AA28" s="570">
        <v>8</v>
      </c>
      <c r="AB28" s="569"/>
      <c r="AC28" s="569"/>
      <c r="AD28" s="569"/>
      <c r="AE28" s="569">
        <v>16</v>
      </c>
      <c r="AF28" s="581">
        <f>SUM(E28:AC28)</f>
        <v>126</v>
      </c>
      <c r="AG28" s="1288">
        <f>D28-SUM(F33:Z33)</f>
        <v>136.58099999999999</v>
      </c>
      <c r="AH28" s="541"/>
      <c r="AI28" s="1291" t="s">
        <v>1233</v>
      </c>
    </row>
    <row r="29" spans="1:36" ht="20.25" customHeight="1" x14ac:dyDescent="0.35">
      <c r="A29" s="1280"/>
      <c r="B29" s="1283"/>
      <c r="C29" s="555" t="s">
        <v>1015</v>
      </c>
      <c r="D29" s="1286"/>
      <c r="E29" s="557"/>
      <c r="F29" s="552"/>
      <c r="G29" s="582"/>
      <c r="H29" s="582"/>
      <c r="I29" s="552"/>
      <c r="J29" s="552"/>
      <c r="K29" s="553"/>
      <c r="L29" s="552"/>
      <c r="M29" s="552"/>
      <c r="N29" s="552"/>
      <c r="O29" s="552"/>
      <c r="P29" s="552"/>
      <c r="Q29" s="552"/>
      <c r="R29" s="552"/>
      <c r="S29" s="552"/>
      <c r="T29" s="552">
        <v>14</v>
      </c>
      <c r="U29" s="557">
        <v>21</v>
      </c>
      <c r="V29" s="557">
        <v>21</v>
      </c>
      <c r="W29" s="557">
        <v>21</v>
      </c>
      <c r="X29" s="557">
        <v>21</v>
      </c>
      <c r="Y29" s="557">
        <v>20</v>
      </c>
      <c r="Z29" s="557">
        <v>19</v>
      </c>
      <c r="AA29" s="557"/>
      <c r="AB29" s="557"/>
      <c r="AC29" s="557"/>
      <c r="AD29" s="557"/>
      <c r="AE29" s="557"/>
      <c r="AF29" s="558">
        <f>SUM(E29:AC29)</f>
        <v>137</v>
      </c>
      <c r="AG29" s="1289"/>
      <c r="AI29" s="1292"/>
    </row>
    <row r="30" spans="1:36" ht="20.25" customHeight="1" x14ac:dyDescent="0.35">
      <c r="A30" s="1280"/>
      <c r="B30" s="1283"/>
      <c r="C30" s="555" t="s">
        <v>1021</v>
      </c>
      <c r="D30" s="1286"/>
      <c r="E30" s="557"/>
      <c r="F30" s="552"/>
      <c r="G30" s="582"/>
      <c r="H30" s="582"/>
      <c r="I30" s="552"/>
      <c r="J30" s="552"/>
      <c r="K30" s="553"/>
      <c r="L30" s="552"/>
      <c r="M30" s="552"/>
      <c r="N30" s="552"/>
      <c r="O30" s="552"/>
      <c r="P30" s="552"/>
      <c r="Q30" s="552"/>
      <c r="R30" s="552"/>
      <c r="S30" s="552"/>
      <c r="T30" s="717">
        <v>2</v>
      </c>
      <c r="U30" s="717">
        <v>2</v>
      </c>
      <c r="V30" s="717">
        <v>2</v>
      </c>
      <c r="W30" s="717">
        <v>2</v>
      </c>
      <c r="X30" s="717">
        <v>2</v>
      </c>
      <c r="Y30" s="717">
        <v>2</v>
      </c>
      <c r="Z30" s="717">
        <v>2</v>
      </c>
      <c r="AA30" s="557"/>
      <c r="AB30" s="557"/>
      <c r="AC30" s="557"/>
      <c r="AD30" s="557"/>
      <c r="AE30" s="557"/>
      <c r="AF30" s="565"/>
      <c r="AG30" s="1289"/>
      <c r="AI30" s="1292"/>
    </row>
    <row r="31" spans="1:36" ht="20.25" customHeight="1" x14ac:dyDescent="0.35">
      <c r="A31" s="1280"/>
      <c r="B31" s="1283"/>
      <c r="C31" s="555" t="s">
        <v>1016</v>
      </c>
      <c r="D31" s="1286"/>
      <c r="E31" s="557"/>
      <c r="F31" s="552"/>
      <c r="G31" s="582"/>
      <c r="H31" s="582"/>
      <c r="I31" s="552"/>
      <c r="J31" s="552"/>
      <c r="K31" s="553"/>
      <c r="L31" s="552"/>
      <c r="M31" s="552"/>
      <c r="N31" s="552"/>
      <c r="O31" s="552"/>
      <c r="P31" s="552"/>
      <c r="Q31" s="552"/>
      <c r="R31" s="552"/>
      <c r="S31" s="552"/>
      <c r="T31" s="717">
        <v>2</v>
      </c>
      <c r="U31" s="717">
        <v>2</v>
      </c>
      <c r="V31" s="717">
        <v>2</v>
      </c>
      <c r="W31" s="717">
        <v>2</v>
      </c>
      <c r="X31" s="717">
        <v>2</v>
      </c>
      <c r="Y31" s="717">
        <v>2</v>
      </c>
      <c r="Z31" s="717">
        <v>2</v>
      </c>
      <c r="AA31" s="557"/>
      <c r="AB31" s="557"/>
      <c r="AC31" s="557"/>
      <c r="AD31" s="557"/>
      <c r="AE31" s="557"/>
      <c r="AF31" s="565"/>
      <c r="AG31" s="1289"/>
      <c r="AI31" s="1292"/>
    </row>
    <row r="32" spans="1:36" ht="20.25" hidden="1" customHeight="1" x14ac:dyDescent="0.35">
      <c r="A32" s="1280"/>
      <c r="B32" s="1283"/>
      <c r="C32" s="555" t="s">
        <v>1017</v>
      </c>
      <c r="D32" s="1286"/>
      <c r="E32" s="557"/>
      <c r="F32" s="552"/>
      <c r="G32" s="582"/>
      <c r="H32" s="582"/>
      <c r="I32" s="552"/>
      <c r="J32" s="552"/>
      <c r="K32" s="553"/>
      <c r="L32" s="552"/>
      <c r="M32" s="552"/>
      <c r="N32" s="552"/>
      <c r="O32" s="552"/>
      <c r="P32" s="552"/>
      <c r="Q32" s="552"/>
      <c r="R32" s="552"/>
      <c r="S32" s="552"/>
      <c r="T32" s="552">
        <v>10</v>
      </c>
      <c r="U32" s="557">
        <v>15</v>
      </c>
      <c r="V32" s="557">
        <v>15</v>
      </c>
      <c r="W32" s="557">
        <v>15</v>
      </c>
      <c r="X32" s="557">
        <v>15</v>
      </c>
      <c r="Y32" s="557">
        <v>15</v>
      </c>
      <c r="Z32" s="557">
        <v>5</v>
      </c>
      <c r="AA32" s="557"/>
      <c r="AB32" s="557"/>
      <c r="AC32" s="557"/>
      <c r="AD32" s="557"/>
      <c r="AE32" s="557"/>
      <c r="AF32" s="565"/>
      <c r="AG32" s="1289"/>
      <c r="AI32" s="1292"/>
    </row>
    <row r="33" spans="1:35" x14ac:dyDescent="0.35">
      <c r="A33" s="1280"/>
      <c r="B33" s="1283"/>
      <c r="C33" s="555" t="s">
        <v>1011</v>
      </c>
      <c r="D33" s="1286"/>
      <c r="E33" s="557"/>
      <c r="F33" s="557"/>
      <c r="G33" s="557"/>
      <c r="H33" s="557"/>
      <c r="I33" s="557"/>
      <c r="J33" s="557"/>
      <c r="K33" s="559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57"/>
      <c r="AB33" s="557"/>
      <c r="AC33" s="557"/>
      <c r="AD33" s="557"/>
      <c r="AE33" s="557"/>
      <c r="AF33" s="565"/>
      <c r="AG33" s="1289"/>
      <c r="AI33" s="1292"/>
    </row>
    <row r="34" spans="1:35" x14ac:dyDescent="0.35">
      <c r="A34" s="1280"/>
      <c r="B34" s="1283"/>
      <c r="C34" s="555" t="s">
        <v>1022</v>
      </c>
      <c r="D34" s="1286"/>
      <c r="E34" s="557"/>
      <c r="F34" s="557"/>
      <c r="G34" s="557"/>
      <c r="H34" s="557"/>
      <c r="I34" s="557"/>
      <c r="J34" s="557"/>
      <c r="K34" s="559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57"/>
      <c r="AB34" s="557"/>
      <c r="AC34" s="557"/>
      <c r="AD34" s="557"/>
      <c r="AE34" s="556"/>
      <c r="AF34" s="565"/>
      <c r="AG34" s="1289"/>
      <c r="AI34" s="1292"/>
    </row>
    <row r="35" spans="1:35" x14ac:dyDescent="0.35">
      <c r="A35" s="1280"/>
      <c r="B35" s="1283"/>
      <c r="C35" s="555" t="s">
        <v>1018</v>
      </c>
      <c r="D35" s="1286"/>
      <c r="E35" s="557"/>
      <c r="F35" s="557"/>
      <c r="G35" s="557"/>
      <c r="H35" s="557"/>
      <c r="I35" s="557"/>
      <c r="J35" s="557"/>
      <c r="K35" s="559"/>
      <c r="L35" s="557"/>
      <c r="M35" s="557"/>
      <c r="N35" s="557"/>
      <c r="O35" s="557"/>
      <c r="P35" s="557"/>
      <c r="Q35" s="557"/>
      <c r="R35" s="557"/>
      <c r="S35" s="557"/>
      <c r="T35" s="557"/>
      <c r="U35" s="557"/>
      <c r="V35" s="557"/>
      <c r="W35" s="557"/>
      <c r="X35" s="557"/>
      <c r="Y35" s="557"/>
      <c r="Z35" s="557"/>
      <c r="AA35" s="557"/>
      <c r="AB35" s="557"/>
      <c r="AC35" s="557"/>
      <c r="AD35" s="557"/>
      <c r="AE35" s="556"/>
      <c r="AF35" s="565"/>
      <c r="AG35" s="1289"/>
      <c r="AI35" s="1292"/>
    </row>
    <row r="36" spans="1:35" ht="17.25" customHeight="1" thickBot="1" x14ac:dyDescent="0.4">
      <c r="A36" s="1281"/>
      <c r="B36" s="1284"/>
      <c r="C36" s="576" t="s">
        <v>1019</v>
      </c>
      <c r="D36" s="1287"/>
      <c r="E36" s="562"/>
      <c r="F36" s="562"/>
      <c r="G36" s="562"/>
      <c r="H36" s="562"/>
      <c r="I36" s="562"/>
      <c r="J36" s="562"/>
      <c r="K36" s="563"/>
      <c r="L36" s="562"/>
      <c r="M36" s="562"/>
      <c r="N36" s="562"/>
      <c r="O36" s="562"/>
      <c r="P36" s="562"/>
      <c r="Q36" s="562"/>
      <c r="R36" s="562"/>
      <c r="S36" s="562"/>
      <c r="T36" s="562"/>
      <c r="U36" s="562"/>
      <c r="V36" s="562"/>
      <c r="W36" s="562"/>
      <c r="X36" s="562"/>
      <c r="Y36" s="562"/>
      <c r="Z36" s="562"/>
      <c r="AA36" s="562"/>
      <c r="AB36" s="562"/>
      <c r="AC36" s="562"/>
      <c r="AD36" s="562"/>
      <c r="AE36" s="562"/>
      <c r="AF36" s="564"/>
      <c r="AG36" s="1290"/>
      <c r="AH36" s="584"/>
      <c r="AI36" s="1311"/>
    </row>
    <row r="37" spans="1:35" ht="25" hidden="1" customHeight="1" thickBot="1" x14ac:dyDescent="0.4">
      <c r="A37" s="1280">
        <f t="shared" ref="A37" si="1">A28+1</f>
        <v>4</v>
      </c>
      <c r="B37" s="1283" t="s">
        <v>1023</v>
      </c>
      <c r="C37" s="551" t="s">
        <v>1007</v>
      </c>
      <c r="D37" s="1286">
        <v>136.58099999999999</v>
      </c>
      <c r="E37" s="552"/>
      <c r="F37" s="552"/>
      <c r="G37" s="552"/>
      <c r="H37" s="552"/>
      <c r="I37" s="552"/>
      <c r="J37" s="552"/>
      <c r="K37" s="553"/>
      <c r="L37" s="552"/>
      <c r="M37" s="552"/>
      <c r="N37" s="552"/>
      <c r="O37" s="552"/>
      <c r="P37" s="552"/>
      <c r="Q37" s="552"/>
      <c r="R37" s="552"/>
      <c r="S37" s="552"/>
      <c r="T37" s="552"/>
      <c r="U37" s="552"/>
      <c r="V37" s="552">
        <v>20</v>
      </c>
      <c r="W37" s="552">
        <v>20</v>
      </c>
      <c r="X37" s="552">
        <v>20</v>
      </c>
      <c r="Y37" s="552">
        <v>20</v>
      </c>
      <c r="Z37" s="552">
        <v>20</v>
      </c>
      <c r="AA37" s="552">
        <v>20</v>
      </c>
      <c r="AB37" s="552">
        <v>6</v>
      </c>
      <c r="AC37" s="552"/>
      <c r="AD37" s="552"/>
      <c r="AE37" s="552">
        <v>16</v>
      </c>
      <c r="AF37" s="554">
        <f>SUM(E37:AC37)</f>
        <v>126</v>
      </c>
      <c r="AG37" s="1289">
        <f>D37-SUM(F39:Z39)</f>
        <v>136.58099999999999</v>
      </c>
      <c r="AI37" s="1292"/>
    </row>
    <row r="38" spans="1:35" ht="20.25" hidden="1" customHeight="1" x14ac:dyDescent="0.35">
      <c r="A38" s="1280"/>
      <c r="B38" s="1283"/>
      <c r="C38" s="555" t="s">
        <v>1009</v>
      </c>
      <c r="D38" s="1286"/>
      <c r="E38" s="557"/>
      <c r="F38" s="552"/>
      <c r="G38" s="582"/>
      <c r="H38" s="582"/>
      <c r="I38" s="582"/>
      <c r="J38" s="582"/>
      <c r="K38" s="583"/>
      <c r="L38" s="557"/>
      <c r="M38" s="557"/>
      <c r="N38" s="552"/>
      <c r="O38" s="552"/>
      <c r="P38" s="552"/>
      <c r="Q38" s="552"/>
      <c r="R38" s="552"/>
      <c r="S38" s="552"/>
      <c r="T38" s="552">
        <v>20</v>
      </c>
      <c r="U38" s="552">
        <v>20</v>
      </c>
      <c r="V38" s="552">
        <v>20</v>
      </c>
      <c r="W38" s="552">
        <v>20</v>
      </c>
      <c r="X38" s="552">
        <v>20</v>
      </c>
      <c r="Y38" s="552">
        <v>20</v>
      </c>
      <c r="Z38" s="552">
        <v>16</v>
      </c>
      <c r="AA38" s="557"/>
      <c r="AB38" s="557"/>
      <c r="AC38" s="557"/>
      <c r="AD38" s="557"/>
      <c r="AE38" s="557"/>
      <c r="AF38" s="558">
        <f>SUM(E38:AC38)</f>
        <v>136</v>
      </c>
      <c r="AG38" s="1289"/>
      <c r="AI38" s="1292"/>
    </row>
    <row r="39" spans="1:35" hidden="1" x14ac:dyDescent="0.35">
      <c r="A39" s="1280"/>
      <c r="B39" s="1283"/>
      <c r="C39" s="555" t="s">
        <v>1011</v>
      </c>
      <c r="D39" s="1286"/>
      <c r="E39" s="557"/>
      <c r="F39" s="557"/>
      <c r="G39" s="557"/>
      <c r="H39" s="557"/>
      <c r="I39" s="557"/>
      <c r="J39" s="557"/>
      <c r="K39" s="559"/>
      <c r="L39" s="557"/>
      <c r="M39" s="557"/>
      <c r="N39" s="557">
        <v>0</v>
      </c>
      <c r="O39" s="557">
        <v>0</v>
      </c>
      <c r="P39" s="557">
        <v>0</v>
      </c>
      <c r="Q39" s="557">
        <v>0</v>
      </c>
      <c r="R39" s="557"/>
      <c r="S39" s="557">
        <v>0</v>
      </c>
      <c r="T39" s="557"/>
      <c r="U39" s="557"/>
      <c r="V39" s="557"/>
      <c r="W39" s="557"/>
      <c r="X39" s="557"/>
      <c r="Y39" s="557"/>
      <c r="Z39" s="557"/>
      <c r="AA39" s="557"/>
      <c r="AB39" s="557"/>
      <c r="AC39" s="557"/>
      <c r="AD39" s="557"/>
      <c r="AE39" s="557"/>
      <c r="AF39" s="565"/>
      <c r="AG39" s="1289"/>
      <c r="AI39" s="1292"/>
    </row>
    <row r="40" spans="1:35" hidden="1" x14ac:dyDescent="0.35">
      <c r="A40" s="1280"/>
      <c r="B40" s="1283"/>
      <c r="C40" s="566"/>
      <c r="D40" s="1286"/>
      <c r="E40" s="556"/>
      <c r="F40" s="556"/>
      <c r="G40" s="556"/>
      <c r="H40" s="556"/>
      <c r="I40" s="556"/>
      <c r="J40" s="556"/>
      <c r="K40" s="567"/>
      <c r="L40" s="556"/>
      <c r="M40" s="556"/>
      <c r="N40" s="556"/>
      <c r="O40" s="556"/>
      <c r="P40" s="556"/>
      <c r="Q40" s="556"/>
      <c r="R40" s="556"/>
      <c r="S40" s="556"/>
      <c r="T40" s="556"/>
      <c r="U40" s="556"/>
      <c r="V40" s="556"/>
      <c r="W40" s="556"/>
      <c r="X40" s="556"/>
      <c r="Y40" s="556"/>
      <c r="Z40" s="556"/>
      <c r="AA40" s="556"/>
      <c r="AB40" s="556"/>
      <c r="AC40" s="556"/>
      <c r="AD40" s="556"/>
      <c r="AE40" s="556"/>
      <c r="AF40" s="565"/>
      <c r="AG40" s="1289"/>
      <c r="AI40" s="1292"/>
    </row>
    <row r="41" spans="1:35" ht="17.25" hidden="1" customHeight="1" x14ac:dyDescent="0.35">
      <c r="A41" s="1281"/>
      <c r="B41" s="1284"/>
      <c r="C41" s="561" t="s">
        <v>1012</v>
      </c>
      <c r="D41" s="1287"/>
      <c r="E41" s="562"/>
      <c r="F41" s="562"/>
      <c r="G41" s="562"/>
      <c r="H41" s="562"/>
      <c r="I41" s="562"/>
      <c r="J41" s="562"/>
      <c r="K41" s="563"/>
      <c r="L41" s="562"/>
      <c r="M41" s="562"/>
      <c r="N41" s="562"/>
      <c r="O41" s="562"/>
      <c r="P41" s="562"/>
      <c r="Q41" s="562"/>
      <c r="R41" s="562"/>
      <c r="S41" s="562"/>
      <c r="T41" s="562">
        <v>1</v>
      </c>
      <c r="U41" s="562">
        <v>1</v>
      </c>
      <c r="V41" s="562">
        <v>1</v>
      </c>
      <c r="W41" s="562">
        <v>1</v>
      </c>
      <c r="X41" s="562">
        <v>1</v>
      </c>
      <c r="Y41" s="562">
        <v>1</v>
      </c>
      <c r="Z41" s="562">
        <v>1</v>
      </c>
      <c r="AA41" s="562"/>
      <c r="AB41" s="562"/>
      <c r="AC41" s="562"/>
      <c r="AD41" s="562"/>
      <c r="AE41" s="562"/>
      <c r="AF41" s="564"/>
      <c r="AG41" s="1290"/>
      <c r="AI41" s="1292"/>
    </row>
    <row r="42" spans="1:35" x14ac:dyDescent="0.35">
      <c r="A42" s="586"/>
      <c r="B42" s="153"/>
      <c r="C42" s="587"/>
      <c r="D42" s="587"/>
      <c r="E42" s="588"/>
      <c r="F42" s="588"/>
      <c r="G42" s="588"/>
      <c r="H42" s="588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9"/>
      <c r="Y42" s="589"/>
    </row>
  </sheetData>
  <mergeCells count="33">
    <mergeCell ref="AI28:AI36"/>
    <mergeCell ref="A37:A41"/>
    <mergeCell ref="B37:B41"/>
    <mergeCell ref="D37:D41"/>
    <mergeCell ref="AG37:AG41"/>
    <mergeCell ref="AI37:AI41"/>
    <mergeCell ref="A28:A36"/>
    <mergeCell ref="B28:B36"/>
    <mergeCell ref="D28:D36"/>
    <mergeCell ref="AG28:AG36"/>
    <mergeCell ref="A21:A27"/>
    <mergeCell ref="B21:B27"/>
    <mergeCell ref="D21:D27"/>
    <mergeCell ref="AG21:AG27"/>
    <mergeCell ref="AI21:AI27"/>
    <mergeCell ref="AI9:AI13"/>
    <mergeCell ref="A14:A20"/>
    <mergeCell ref="B14:B20"/>
    <mergeCell ref="D14:D20"/>
    <mergeCell ref="AG14:AG20"/>
    <mergeCell ref="AH14:AH20"/>
    <mergeCell ref="AI14:AI20"/>
    <mergeCell ref="A9:A13"/>
    <mergeCell ref="B9:B13"/>
    <mergeCell ref="D9:D13"/>
    <mergeCell ref="AG9:AG13"/>
    <mergeCell ref="AI1:AI3"/>
    <mergeCell ref="A4:A8"/>
    <mergeCell ref="B4:B8"/>
    <mergeCell ref="D4:D8"/>
    <mergeCell ref="AG4:AG8"/>
    <mergeCell ref="AI4:AI8"/>
    <mergeCell ref="A1:AG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A446-AFD4-403D-9811-6A4E9B38781D}">
  <dimension ref="C1:K52"/>
  <sheetViews>
    <sheetView topLeftCell="A39" workbookViewId="0">
      <selection activeCell="N20" sqref="N20"/>
    </sheetView>
  </sheetViews>
  <sheetFormatPr defaultRowHeight="14.5" x14ac:dyDescent="0.35"/>
  <cols>
    <col min="3" max="3" width="15" customWidth="1"/>
    <col min="4" max="4" width="16" bestFit="1" customWidth="1"/>
    <col min="5" max="5" width="18.6328125" bestFit="1" customWidth="1"/>
    <col min="6" max="6" width="17.54296875" bestFit="1" customWidth="1"/>
    <col min="7" max="7" width="22.1796875" customWidth="1"/>
    <col min="8" max="8" width="14.1796875" customWidth="1"/>
    <col min="9" max="9" width="22.6328125" hidden="1" customWidth="1"/>
    <col min="10" max="10" width="14.81640625" customWidth="1"/>
    <col min="11" max="11" width="13.90625" customWidth="1"/>
  </cols>
  <sheetData>
    <row r="1" spans="3:11" ht="15" thickBot="1" x14ac:dyDescent="0.4"/>
    <row r="2" spans="3:11" ht="23" customHeight="1" thickBot="1" x14ac:dyDescent="0.4">
      <c r="C2" s="1338" t="s">
        <v>1148</v>
      </c>
      <c r="D2" s="1339"/>
      <c r="E2" s="1339"/>
      <c r="F2" s="1339"/>
      <c r="G2" s="1339"/>
      <c r="H2" s="1339"/>
      <c r="I2" s="1339"/>
      <c r="J2" s="1339"/>
      <c r="K2" s="1340"/>
    </row>
    <row r="3" spans="3:11" ht="15" thickBot="1" x14ac:dyDescent="0.4">
      <c r="C3" s="1341" t="s">
        <v>1149</v>
      </c>
      <c r="D3" s="1342"/>
      <c r="E3" s="1342"/>
      <c r="F3" s="1342"/>
      <c r="G3" s="1342"/>
      <c r="H3" s="1342"/>
      <c r="I3" s="1342"/>
      <c r="J3" s="1342"/>
      <c r="K3" s="1343"/>
    </row>
    <row r="4" spans="3:11" ht="38" customHeight="1" x14ac:dyDescent="0.35">
      <c r="C4" s="721" t="s">
        <v>1150</v>
      </c>
      <c r="D4" s="722" t="s">
        <v>1151</v>
      </c>
      <c r="E4" s="722" t="s">
        <v>1152</v>
      </c>
      <c r="F4" s="722" t="s">
        <v>1153</v>
      </c>
      <c r="G4" s="723" t="s">
        <v>1154</v>
      </c>
      <c r="H4" s="722" t="s">
        <v>1155</v>
      </c>
      <c r="I4" s="722" t="s">
        <v>1156</v>
      </c>
      <c r="J4" s="722" t="s">
        <v>1157</v>
      </c>
      <c r="K4" s="746" t="s">
        <v>1237</v>
      </c>
    </row>
    <row r="5" spans="3:11" ht="38" customHeight="1" x14ac:dyDescent="0.35">
      <c r="C5" s="724" t="s">
        <v>1158</v>
      </c>
      <c r="D5" s="711">
        <v>10</v>
      </c>
      <c r="E5" s="711">
        <v>3470</v>
      </c>
      <c r="F5" s="712"/>
      <c r="G5" s="725" t="s">
        <v>1159</v>
      </c>
      <c r="H5" s="725" t="s">
        <v>1235</v>
      </c>
      <c r="I5" s="713"/>
      <c r="J5" s="726" t="s">
        <v>1160</v>
      </c>
      <c r="K5" s="872">
        <v>45962</v>
      </c>
    </row>
    <row r="6" spans="3:11" x14ac:dyDescent="0.35">
      <c r="C6" s="1344" t="s">
        <v>1161</v>
      </c>
      <c r="D6" s="1223">
        <v>6</v>
      </c>
      <c r="E6" s="1223">
        <v>1668</v>
      </c>
      <c r="F6" s="1314"/>
      <c r="G6" s="1312" t="s">
        <v>1162</v>
      </c>
      <c r="H6" s="1314" t="s">
        <v>1236</v>
      </c>
      <c r="I6" s="39"/>
      <c r="J6" s="1324" t="s">
        <v>1160</v>
      </c>
      <c r="K6" s="1331">
        <v>45962</v>
      </c>
    </row>
    <row r="7" spans="3:11" x14ac:dyDescent="0.35">
      <c r="C7" s="1344"/>
      <c r="D7" s="1223"/>
      <c r="E7" s="1223"/>
      <c r="F7" s="1315"/>
      <c r="G7" s="1313"/>
      <c r="H7" s="1315"/>
      <c r="I7" s="39"/>
      <c r="J7" s="1326"/>
      <c r="K7" s="1332"/>
    </row>
    <row r="8" spans="3:11" x14ac:dyDescent="0.35">
      <c r="C8" s="1345" t="s">
        <v>1163</v>
      </c>
      <c r="D8" s="1314">
        <v>6</v>
      </c>
      <c r="E8" s="1314">
        <v>1949</v>
      </c>
      <c r="F8" s="1314"/>
      <c r="G8" s="39" t="s">
        <v>1162</v>
      </c>
      <c r="H8" s="39" t="s">
        <v>1236</v>
      </c>
      <c r="I8" s="39"/>
      <c r="J8" s="1324" t="s">
        <v>1160</v>
      </c>
      <c r="K8" s="1332"/>
    </row>
    <row r="9" spans="3:11" x14ac:dyDescent="0.35">
      <c r="C9" s="1346"/>
      <c r="D9" s="1315"/>
      <c r="E9" s="1315"/>
      <c r="F9" s="1315"/>
      <c r="G9" s="39" t="s">
        <v>1164</v>
      </c>
      <c r="H9" s="39"/>
      <c r="I9" s="39"/>
      <c r="J9" s="1326"/>
      <c r="K9" s="1333"/>
    </row>
    <row r="10" spans="3:11" x14ac:dyDescent="0.35">
      <c r="C10" s="1345" t="s">
        <v>1165</v>
      </c>
      <c r="D10" s="1314">
        <v>10</v>
      </c>
      <c r="E10" s="1314">
        <v>3514</v>
      </c>
      <c r="F10" s="1351"/>
      <c r="G10" s="1314" t="s">
        <v>1164</v>
      </c>
      <c r="H10" s="39"/>
      <c r="I10" s="39"/>
      <c r="J10" s="1324" t="s">
        <v>1160</v>
      </c>
      <c r="K10" s="1332">
        <v>45962</v>
      </c>
    </row>
    <row r="11" spans="3:11" x14ac:dyDescent="0.35">
      <c r="C11" s="1347"/>
      <c r="D11" s="1323"/>
      <c r="E11" s="1323"/>
      <c r="F11" s="1352"/>
      <c r="G11" s="1323"/>
      <c r="H11" s="39"/>
      <c r="I11" s="39"/>
      <c r="J11" s="1325"/>
      <c r="K11" s="1332"/>
    </row>
    <row r="12" spans="3:11" x14ac:dyDescent="0.35">
      <c r="C12" s="1346"/>
      <c r="D12" s="1315"/>
      <c r="E12" s="1315"/>
      <c r="F12" s="1353"/>
      <c r="G12" s="1315"/>
      <c r="H12" s="39"/>
      <c r="I12" s="728"/>
      <c r="J12" s="1326"/>
      <c r="K12" s="1333"/>
    </row>
    <row r="13" spans="3:11" x14ac:dyDescent="0.35">
      <c r="C13" s="1320" t="s">
        <v>1166</v>
      </c>
      <c r="D13" s="1314">
        <v>4</v>
      </c>
      <c r="E13" s="1314">
        <v>1230</v>
      </c>
      <c r="F13" s="1334"/>
      <c r="G13" s="1314"/>
      <c r="H13" s="1314"/>
      <c r="I13" s="728"/>
      <c r="J13" s="1324" t="s">
        <v>1160</v>
      </c>
      <c r="K13" s="1331">
        <v>45962</v>
      </c>
    </row>
    <row r="14" spans="3:11" x14ac:dyDescent="0.35">
      <c r="C14" s="1321"/>
      <c r="D14" s="1323"/>
      <c r="E14" s="1323"/>
      <c r="F14" s="1335"/>
      <c r="G14" s="1323"/>
      <c r="H14" s="1323"/>
      <c r="I14" s="728"/>
      <c r="J14" s="1325"/>
      <c r="K14" s="1332"/>
    </row>
    <row r="15" spans="3:11" x14ac:dyDescent="0.35">
      <c r="C15" s="1321"/>
      <c r="D15" s="1323"/>
      <c r="E15" s="1323"/>
      <c r="F15" s="1336"/>
      <c r="G15" s="1315"/>
      <c r="H15" s="1315"/>
      <c r="I15" s="39"/>
      <c r="J15" s="1325"/>
      <c r="K15" s="1332"/>
    </row>
    <row r="16" spans="3:11" x14ac:dyDescent="0.35">
      <c r="C16" s="1224" t="s">
        <v>1167</v>
      </c>
      <c r="D16" s="1223">
        <v>6</v>
      </c>
      <c r="E16" s="1223">
        <v>1954</v>
      </c>
      <c r="F16" s="1334"/>
      <c r="G16" s="1314"/>
      <c r="H16" s="39"/>
      <c r="I16" s="39"/>
      <c r="J16" s="1337" t="s">
        <v>1160</v>
      </c>
      <c r="K16" s="1332"/>
    </row>
    <row r="17" spans="3:11" x14ac:dyDescent="0.35">
      <c r="C17" s="1224"/>
      <c r="D17" s="1223"/>
      <c r="E17" s="1223"/>
      <c r="F17" s="1335"/>
      <c r="G17" s="1323"/>
      <c r="H17" s="39"/>
      <c r="I17" s="39"/>
      <c r="J17" s="1337"/>
      <c r="K17" s="1332"/>
    </row>
    <row r="18" spans="3:11" x14ac:dyDescent="0.35">
      <c r="C18" s="1224"/>
      <c r="D18" s="1223"/>
      <c r="E18" s="1223"/>
      <c r="F18" s="1336"/>
      <c r="G18" s="1315"/>
      <c r="H18" s="39"/>
      <c r="I18" s="39"/>
      <c r="J18" s="1337"/>
      <c r="K18" s="1333"/>
    </row>
    <row r="19" spans="3:11" x14ac:dyDescent="0.35">
      <c r="C19" s="1320" t="s">
        <v>1168</v>
      </c>
      <c r="D19" s="1314">
        <v>8</v>
      </c>
      <c r="E19" s="1314">
        <v>2564</v>
      </c>
      <c r="F19" s="1314" t="s">
        <v>1259</v>
      </c>
      <c r="G19" s="39" t="s">
        <v>1169</v>
      </c>
      <c r="H19" s="39"/>
      <c r="I19" s="39"/>
      <c r="J19" s="1324" t="s">
        <v>1160</v>
      </c>
      <c r="K19" s="1327">
        <v>45992</v>
      </c>
    </row>
    <row r="20" spans="3:11" x14ac:dyDescent="0.35">
      <c r="C20" s="1321"/>
      <c r="D20" s="1323"/>
      <c r="E20" s="1323"/>
      <c r="F20" s="1323"/>
      <c r="G20" s="1314" t="s">
        <v>1170</v>
      </c>
      <c r="H20" s="39"/>
      <c r="I20" s="39"/>
      <c r="J20" s="1325"/>
      <c r="K20" s="1328"/>
    </row>
    <row r="21" spans="3:11" x14ac:dyDescent="0.35">
      <c r="C21" s="1322"/>
      <c r="D21" s="1315"/>
      <c r="E21" s="1315"/>
      <c r="F21" s="1315"/>
      <c r="G21" s="1315"/>
      <c r="H21" s="39"/>
      <c r="I21" s="39"/>
      <c r="J21" s="1326"/>
      <c r="K21" s="1329"/>
    </row>
    <row r="22" spans="3:11" x14ac:dyDescent="0.35">
      <c r="C22" s="1320" t="s">
        <v>1171</v>
      </c>
      <c r="D22" s="1314">
        <v>12</v>
      </c>
      <c r="E22" s="1314">
        <v>4304</v>
      </c>
      <c r="F22" s="1314"/>
      <c r="G22" s="1314" t="s">
        <v>1170</v>
      </c>
      <c r="H22" s="39"/>
      <c r="I22" s="39"/>
      <c r="J22" s="1324" t="s">
        <v>1160</v>
      </c>
      <c r="K22" s="1319">
        <v>45992</v>
      </c>
    </row>
    <row r="23" spans="3:11" x14ac:dyDescent="0.35">
      <c r="C23" s="1321"/>
      <c r="D23" s="1323"/>
      <c r="E23" s="1323"/>
      <c r="F23" s="1323"/>
      <c r="G23" s="1315"/>
      <c r="H23" s="39"/>
      <c r="I23" s="39"/>
      <c r="J23" s="1325"/>
      <c r="K23" s="1330"/>
    </row>
    <row r="24" spans="3:11" x14ac:dyDescent="0.35">
      <c r="C24" s="1321"/>
      <c r="D24" s="1323"/>
      <c r="E24" s="1323"/>
      <c r="F24" s="1323"/>
      <c r="G24" s="39" t="s">
        <v>1172</v>
      </c>
      <c r="H24" s="39"/>
      <c r="I24" s="39"/>
      <c r="J24" s="1325"/>
      <c r="K24" s="1330"/>
    </row>
    <row r="25" spans="3:11" x14ac:dyDescent="0.35">
      <c r="C25" s="1321"/>
      <c r="D25" s="1323"/>
      <c r="E25" s="1323"/>
      <c r="F25" s="1323"/>
      <c r="G25" s="1314" t="s">
        <v>1173</v>
      </c>
      <c r="H25" s="39"/>
      <c r="I25" s="39"/>
      <c r="J25" s="1325"/>
      <c r="K25" s="1330"/>
    </row>
    <row r="26" spans="3:11" x14ac:dyDescent="0.35">
      <c r="C26" s="1322"/>
      <c r="D26" s="1315"/>
      <c r="E26" s="1315"/>
      <c r="F26" s="1315"/>
      <c r="G26" s="1315"/>
      <c r="H26" s="39"/>
      <c r="I26" s="39"/>
      <c r="J26" s="1326"/>
      <c r="K26" s="1330"/>
    </row>
    <row r="27" spans="3:11" x14ac:dyDescent="0.35">
      <c r="C27" s="1320" t="s">
        <v>1174</v>
      </c>
      <c r="D27" s="1314">
        <v>4</v>
      </c>
      <c r="E27" s="1314">
        <v>1147</v>
      </c>
      <c r="F27" s="1314" t="s">
        <v>1175</v>
      </c>
      <c r="G27" s="1348" t="s">
        <v>1175</v>
      </c>
      <c r="H27" s="532"/>
      <c r="I27" s="477"/>
      <c r="J27" s="1324" t="s">
        <v>1160</v>
      </c>
      <c r="K27" s="1327">
        <v>45992</v>
      </c>
    </row>
    <row r="28" spans="3:11" x14ac:dyDescent="0.35">
      <c r="C28" s="1321"/>
      <c r="D28" s="1323"/>
      <c r="E28" s="1323"/>
      <c r="F28" s="1323"/>
      <c r="G28" s="1349"/>
      <c r="H28" s="532"/>
      <c r="I28" s="477"/>
      <c r="J28" s="1325"/>
      <c r="K28" s="1328"/>
    </row>
    <row r="29" spans="3:11" x14ac:dyDescent="0.35">
      <c r="C29" s="1322"/>
      <c r="D29" s="1315"/>
      <c r="E29" s="1315"/>
      <c r="F29" s="1315"/>
      <c r="G29" s="1350"/>
      <c r="H29" s="39"/>
      <c r="I29" s="39"/>
      <c r="J29" s="1326"/>
      <c r="K29" s="1329"/>
    </row>
    <row r="30" spans="3:11" x14ac:dyDescent="0.35">
      <c r="C30" s="1224" t="s">
        <v>1176</v>
      </c>
      <c r="D30" s="1223">
        <v>5</v>
      </c>
      <c r="E30" s="1223">
        <v>1593</v>
      </c>
      <c r="F30" s="1317"/>
      <c r="G30" s="1314" t="s">
        <v>1177</v>
      </c>
      <c r="H30" s="532"/>
      <c r="I30" s="477"/>
      <c r="J30" s="1318" t="s">
        <v>1160</v>
      </c>
      <c r="K30" s="1319">
        <v>45992</v>
      </c>
    </row>
    <row r="31" spans="3:11" x14ac:dyDescent="0.35">
      <c r="C31" s="1224"/>
      <c r="D31" s="1223"/>
      <c r="E31" s="1223"/>
      <c r="F31" s="1317"/>
      <c r="G31" s="1315"/>
      <c r="H31" s="39"/>
      <c r="I31" s="39"/>
      <c r="J31" s="1318"/>
      <c r="K31" s="1319"/>
    </row>
    <row r="32" spans="3:11" ht="54" customHeight="1" x14ac:dyDescent="0.35">
      <c r="C32" s="38" t="s">
        <v>1178</v>
      </c>
      <c r="D32" s="39">
        <v>6</v>
      </c>
      <c r="E32" s="39">
        <v>1957</v>
      </c>
      <c r="F32" s="39"/>
      <c r="G32" s="846" t="s">
        <v>1258</v>
      </c>
      <c r="H32" s="39"/>
      <c r="I32" s="39"/>
      <c r="J32" s="727" t="s">
        <v>1160</v>
      </c>
      <c r="K32" s="730">
        <v>45992</v>
      </c>
    </row>
    <row r="33" spans="3:11" ht="38" customHeight="1" thickBot="1" x14ac:dyDescent="0.4">
      <c r="C33" s="40" t="s">
        <v>1179</v>
      </c>
      <c r="D33" s="41">
        <v>5</v>
      </c>
      <c r="E33" s="41">
        <v>1441</v>
      </c>
      <c r="F33" s="502"/>
      <c r="G33" s="41"/>
      <c r="H33" s="41"/>
      <c r="I33" s="41"/>
      <c r="J33" s="731" t="s">
        <v>1160</v>
      </c>
      <c r="K33" s="732">
        <v>45992</v>
      </c>
    </row>
    <row r="34" spans="3:11" ht="15" thickBot="1" x14ac:dyDescent="0.4">
      <c r="E34" s="710">
        <f>SUM(E5:E33)</f>
        <v>26791</v>
      </c>
    </row>
    <row r="38" spans="3:11" ht="15" thickBot="1" x14ac:dyDescent="0.4"/>
    <row r="39" spans="3:11" ht="26.5" thickBot="1" x14ac:dyDescent="0.4">
      <c r="C39" s="733" t="s">
        <v>121</v>
      </c>
      <c r="D39" s="829" t="s">
        <v>1180</v>
      </c>
      <c r="E39" s="734" t="s">
        <v>1181</v>
      </c>
      <c r="F39" s="734" t="s">
        <v>1155</v>
      </c>
      <c r="G39" s="735" t="s">
        <v>1157</v>
      </c>
      <c r="I39" s="1316"/>
      <c r="J39" s="1316"/>
    </row>
    <row r="40" spans="3:11" x14ac:dyDescent="0.35">
      <c r="C40" s="724">
        <v>1</v>
      </c>
      <c r="D40" s="830" t="s">
        <v>1161</v>
      </c>
      <c r="E40" s="736">
        <v>1668</v>
      </c>
      <c r="F40" s="737"/>
      <c r="G40" s="738" t="s">
        <v>1182</v>
      </c>
      <c r="I40" s="652"/>
      <c r="J40" s="1316"/>
      <c r="K40" s="1316"/>
    </row>
    <row r="41" spans="3:11" x14ac:dyDescent="0.35">
      <c r="C41" s="38">
        <f>1+C40</f>
        <v>2</v>
      </c>
      <c r="D41" s="831" t="s">
        <v>1163</v>
      </c>
      <c r="E41" s="739">
        <v>1949</v>
      </c>
      <c r="F41" s="458"/>
      <c r="G41" s="651" t="s">
        <v>1182</v>
      </c>
      <c r="I41" s="744"/>
      <c r="J41" s="652"/>
      <c r="K41" s="49"/>
    </row>
    <row r="42" spans="3:11" x14ac:dyDescent="0.35">
      <c r="C42" s="38">
        <f t="shared" ref="C42:C45" si="0">1+C41</f>
        <v>3</v>
      </c>
      <c r="D42" s="831" t="s">
        <v>1165</v>
      </c>
      <c r="E42" s="739">
        <v>3514</v>
      </c>
      <c r="F42" s="458"/>
      <c r="G42" s="651" t="s">
        <v>1182</v>
      </c>
      <c r="I42" s="652"/>
      <c r="J42" s="744"/>
      <c r="K42" s="49"/>
    </row>
    <row r="43" spans="3:11" x14ac:dyDescent="0.35">
      <c r="C43" s="38">
        <f t="shared" si="0"/>
        <v>4</v>
      </c>
      <c r="D43" s="831" t="s">
        <v>1166</v>
      </c>
      <c r="E43" s="739">
        <v>1230</v>
      </c>
      <c r="F43" s="459"/>
      <c r="G43" s="651" t="s">
        <v>1182</v>
      </c>
      <c r="I43" s="652"/>
      <c r="J43" s="652"/>
      <c r="K43" s="49"/>
    </row>
    <row r="44" spans="3:11" x14ac:dyDescent="0.35">
      <c r="C44" s="38">
        <f t="shared" si="0"/>
        <v>5</v>
      </c>
      <c r="D44" s="831" t="s">
        <v>1167</v>
      </c>
      <c r="E44" s="739">
        <v>1954</v>
      </c>
      <c r="F44" s="459"/>
      <c r="G44" s="651" t="s">
        <v>1182</v>
      </c>
      <c r="I44" s="652"/>
      <c r="J44" s="652"/>
      <c r="K44" s="49"/>
    </row>
    <row r="45" spans="3:11" x14ac:dyDescent="0.35">
      <c r="C45" s="38">
        <f t="shared" si="0"/>
        <v>6</v>
      </c>
      <c r="D45" s="831" t="s">
        <v>1168</v>
      </c>
      <c r="E45" s="739">
        <v>2564</v>
      </c>
      <c r="F45" s="459"/>
      <c r="G45" s="651" t="s">
        <v>1182</v>
      </c>
      <c r="I45" s="278"/>
      <c r="J45" s="278"/>
    </row>
    <row r="46" spans="3:11" x14ac:dyDescent="0.35">
      <c r="C46" s="729">
        <v>7</v>
      </c>
      <c r="D46" s="831" t="s">
        <v>1171</v>
      </c>
      <c r="E46" s="740">
        <v>4304</v>
      </c>
      <c r="F46" s="741"/>
      <c r="G46" s="651" t="s">
        <v>1182</v>
      </c>
      <c r="I46" s="278"/>
      <c r="J46" s="278"/>
    </row>
    <row r="47" spans="3:11" x14ac:dyDescent="0.35">
      <c r="C47" s="729">
        <v>8</v>
      </c>
      <c r="D47" s="831" t="s">
        <v>1174</v>
      </c>
      <c r="E47" s="740">
        <v>1147</v>
      </c>
      <c r="F47" s="741"/>
      <c r="G47" s="651" t="s">
        <v>1182</v>
      </c>
      <c r="I47" s="278"/>
      <c r="J47" s="745"/>
      <c r="K47" s="745"/>
    </row>
    <row r="48" spans="3:11" x14ac:dyDescent="0.35">
      <c r="C48" s="729">
        <v>9</v>
      </c>
      <c r="D48" s="832" t="s">
        <v>1176</v>
      </c>
      <c r="E48" s="740">
        <v>1593</v>
      </c>
      <c r="F48" s="741"/>
      <c r="G48" s="742" t="s">
        <v>1182</v>
      </c>
      <c r="I48" s="278"/>
      <c r="J48" s="652"/>
      <c r="K48" s="49"/>
    </row>
    <row r="49" spans="3:11" x14ac:dyDescent="0.35">
      <c r="C49" s="38">
        <v>10</v>
      </c>
      <c r="D49" s="831" t="s">
        <v>1158</v>
      </c>
      <c r="E49" s="739">
        <v>3470</v>
      </c>
      <c r="F49" s="459"/>
      <c r="G49" s="651" t="s">
        <v>1182</v>
      </c>
      <c r="I49" s="278"/>
      <c r="J49" s="744"/>
      <c r="K49" s="49"/>
    </row>
    <row r="50" spans="3:11" x14ac:dyDescent="0.35">
      <c r="C50" s="38">
        <v>11</v>
      </c>
      <c r="D50" s="831" t="s">
        <v>1178</v>
      </c>
      <c r="E50" s="739">
        <v>1957</v>
      </c>
      <c r="F50" s="459"/>
      <c r="G50" s="651" t="s">
        <v>1182</v>
      </c>
      <c r="I50" s="278"/>
      <c r="J50" s="652"/>
      <c r="K50" s="49"/>
    </row>
    <row r="51" spans="3:11" x14ac:dyDescent="0.35">
      <c r="C51" s="38">
        <v>12</v>
      </c>
      <c r="D51" s="831" t="s">
        <v>1179</v>
      </c>
      <c r="E51" s="739">
        <v>1441</v>
      </c>
      <c r="F51" s="459"/>
      <c r="G51" s="651" t="s">
        <v>1182</v>
      </c>
      <c r="I51" s="278"/>
      <c r="J51" s="652"/>
      <c r="K51" s="49"/>
    </row>
    <row r="52" spans="3:11" ht="15" thickBot="1" x14ac:dyDescent="0.4">
      <c r="C52" s="833"/>
      <c r="D52" s="834" t="s">
        <v>1183</v>
      </c>
      <c r="E52" s="743">
        <f>SUM(E40:E51)/1000</f>
        <v>26.791</v>
      </c>
      <c r="F52" s="835"/>
      <c r="G52" s="836"/>
      <c r="I52" s="278"/>
      <c r="J52" s="278"/>
    </row>
  </sheetData>
  <mergeCells count="67">
    <mergeCell ref="G10:G12"/>
    <mergeCell ref="G25:G26"/>
    <mergeCell ref="G27:G29"/>
    <mergeCell ref="G30:G31"/>
    <mergeCell ref="F10:F12"/>
    <mergeCell ref="J10:J12"/>
    <mergeCell ref="C2:K2"/>
    <mergeCell ref="C3:K3"/>
    <mergeCell ref="C6:C7"/>
    <mergeCell ref="D6:D7"/>
    <mergeCell ref="E6:E7"/>
    <mergeCell ref="F6:F7"/>
    <mergeCell ref="J6:J7"/>
    <mergeCell ref="K6:K9"/>
    <mergeCell ref="C8:C9"/>
    <mergeCell ref="D8:D9"/>
    <mergeCell ref="E8:E9"/>
    <mergeCell ref="F8:F9"/>
    <mergeCell ref="J8:J9"/>
    <mergeCell ref="K10:K12"/>
    <mergeCell ref="C10:C12"/>
    <mergeCell ref="K13:K18"/>
    <mergeCell ref="C16:C18"/>
    <mergeCell ref="D16:D18"/>
    <mergeCell ref="E16:E18"/>
    <mergeCell ref="F16:F18"/>
    <mergeCell ref="J16:J18"/>
    <mergeCell ref="C13:C15"/>
    <mergeCell ref="D13:D15"/>
    <mergeCell ref="E13:E15"/>
    <mergeCell ref="F13:F15"/>
    <mergeCell ref="J13:J15"/>
    <mergeCell ref="G16:G18"/>
    <mergeCell ref="G13:G15"/>
    <mergeCell ref="H13:H15"/>
    <mergeCell ref="D10:D12"/>
    <mergeCell ref="E10:E12"/>
    <mergeCell ref="C19:C21"/>
    <mergeCell ref="D19:D21"/>
    <mergeCell ref="E19:E21"/>
    <mergeCell ref="J19:J21"/>
    <mergeCell ref="K27:K29"/>
    <mergeCell ref="K19:K21"/>
    <mergeCell ref="G20:G21"/>
    <mergeCell ref="J22:J26"/>
    <mergeCell ref="K22:K26"/>
    <mergeCell ref="D22:D26"/>
    <mergeCell ref="E22:E26"/>
    <mergeCell ref="F22:F26"/>
    <mergeCell ref="G22:G23"/>
    <mergeCell ref="F19:F21"/>
    <mergeCell ref="G6:G7"/>
    <mergeCell ref="H6:H7"/>
    <mergeCell ref="I39:J39"/>
    <mergeCell ref="J40:K40"/>
    <mergeCell ref="C30:C31"/>
    <mergeCell ref="D30:D31"/>
    <mergeCell ref="E30:E31"/>
    <mergeCell ref="F30:F31"/>
    <mergeCell ref="J30:J31"/>
    <mergeCell ref="K30:K31"/>
    <mergeCell ref="C27:C29"/>
    <mergeCell ref="D27:D29"/>
    <mergeCell ref="E27:E29"/>
    <mergeCell ref="F27:F29"/>
    <mergeCell ref="J27:J29"/>
    <mergeCell ref="C22:C2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CF5CE-17C9-462F-8E8F-D2F293EC5A2A}">
  <dimension ref="C1:K40"/>
  <sheetViews>
    <sheetView zoomScale="88" workbookViewId="0">
      <selection activeCell="E19" sqref="E19:E20"/>
    </sheetView>
  </sheetViews>
  <sheetFormatPr defaultRowHeight="14.5" x14ac:dyDescent="0.35"/>
  <cols>
    <col min="3" max="3" width="15" customWidth="1"/>
    <col min="4" max="4" width="16" bestFit="1" customWidth="1"/>
    <col min="5" max="5" width="18.6328125" bestFit="1" customWidth="1"/>
    <col min="6" max="6" width="17.54296875" bestFit="1" customWidth="1"/>
    <col min="7" max="7" width="15.26953125" customWidth="1"/>
    <col min="8" max="8" width="14.1796875" customWidth="1"/>
    <col min="9" max="9" width="22.6328125" hidden="1" customWidth="1"/>
    <col min="10" max="10" width="14.81640625" customWidth="1"/>
    <col min="11" max="11" width="13.90625" customWidth="1"/>
  </cols>
  <sheetData>
    <row r="1" spans="3:11" ht="15" thickBot="1" x14ac:dyDescent="0.4"/>
    <row r="2" spans="3:11" ht="15.5" x14ac:dyDescent="0.35">
      <c r="C2" s="1354" t="s">
        <v>1148</v>
      </c>
      <c r="D2" s="1355"/>
      <c r="E2" s="1355"/>
      <c r="F2" s="1355"/>
      <c r="G2" s="1355"/>
      <c r="H2" s="1355"/>
      <c r="I2" s="1355"/>
      <c r="J2" s="1355"/>
      <c r="K2" s="1356"/>
    </row>
    <row r="3" spans="3:11" x14ac:dyDescent="0.35">
      <c r="C3" s="1357" t="s">
        <v>1149</v>
      </c>
      <c r="D3" s="1358"/>
      <c r="E3" s="1358"/>
      <c r="F3" s="1358"/>
      <c r="G3" s="1358"/>
      <c r="H3" s="1358"/>
      <c r="I3" s="1358"/>
      <c r="J3" s="1358"/>
      <c r="K3" s="1359"/>
    </row>
    <row r="4" spans="3:11" ht="32" customHeight="1" x14ac:dyDescent="0.35">
      <c r="C4" s="671" t="s">
        <v>1150</v>
      </c>
      <c r="D4" s="891" t="s">
        <v>1151</v>
      </c>
      <c r="E4" s="891" t="s">
        <v>1152</v>
      </c>
      <c r="F4" s="891" t="s">
        <v>1153</v>
      </c>
      <c r="G4" s="892" t="s">
        <v>1154</v>
      </c>
      <c r="H4" s="891" t="s">
        <v>6</v>
      </c>
      <c r="I4" s="891" t="s">
        <v>1156</v>
      </c>
      <c r="J4" s="891" t="s">
        <v>1157</v>
      </c>
      <c r="K4" s="893" t="s">
        <v>1237</v>
      </c>
    </row>
    <row r="5" spans="3:11" ht="17" customHeight="1" x14ac:dyDescent="0.35">
      <c r="C5" s="38" t="s">
        <v>1158</v>
      </c>
      <c r="D5" s="39">
        <v>10</v>
      </c>
      <c r="E5" s="39">
        <v>3470</v>
      </c>
      <c r="F5" s="35"/>
      <c r="G5" s="461"/>
      <c r="H5" s="461"/>
      <c r="I5" s="35"/>
      <c r="J5" s="874" t="s">
        <v>1294</v>
      </c>
      <c r="K5" s="1360">
        <v>45962</v>
      </c>
    </row>
    <row r="6" spans="3:11" ht="17" customHeight="1" x14ac:dyDescent="0.35">
      <c r="C6" s="38" t="s">
        <v>1284</v>
      </c>
      <c r="D6" s="39">
        <v>2</v>
      </c>
      <c r="E6" s="39">
        <v>461</v>
      </c>
      <c r="F6" s="35"/>
      <c r="G6" s="461"/>
      <c r="H6" s="461"/>
      <c r="I6" s="35"/>
      <c r="J6" s="874" t="s">
        <v>1285</v>
      </c>
      <c r="K6" s="1361"/>
    </row>
    <row r="7" spans="3:11" ht="17" customHeight="1" x14ac:dyDescent="0.35">
      <c r="C7" s="38" t="s">
        <v>1286</v>
      </c>
      <c r="D7" s="39">
        <v>3</v>
      </c>
      <c r="E7" s="39">
        <v>563</v>
      </c>
      <c r="F7" s="35"/>
      <c r="G7" s="461"/>
      <c r="H7" s="461"/>
      <c r="I7" s="35"/>
      <c r="J7" s="874" t="s">
        <v>1294</v>
      </c>
      <c r="K7" s="1361"/>
    </row>
    <row r="8" spans="3:11" ht="17" customHeight="1" x14ac:dyDescent="0.35">
      <c r="C8" s="38" t="s">
        <v>1287</v>
      </c>
      <c r="D8" s="39">
        <v>4</v>
      </c>
      <c r="E8" s="39">
        <v>967</v>
      </c>
      <c r="F8" s="35"/>
      <c r="G8" s="461"/>
      <c r="H8" s="461"/>
      <c r="I8" s="35"/>
      <c r="J8" s="874" t="s">
        <v>1294</v>
      </c>
      <c r="K8" s="1361"/>
    </row>
    <row r="9" spans="3:11" ht="17" customHeight="1" x14ac:dyDescent="0.35">
      <c r="C9" s="38" t="s">
        <v>1288</v>
      </c>
      <c r="D9" s="39">
        <v>3</v>
      </c>
      <c r="E9" s="39">
        <v>754</v>
      </c>
      <c r="F9" s="35"/>
      <c r="G9" s="461"/>
      <c r="H9" s="461"/>
      <c r="I9" s="35"/>
      <c r="J9" s="874" t="s">
        <v>1294</v>
      </c>
      <c r="K9" s="1361"/>
    </row>
    <row r="10" spans="3:11" ht="17" customHeight="1" x14ac:dyDescent="0.35">
      <c r="C10" s="38" t="s">
        <v>1289</v>
      </c>
      <c r="D10" s="39">
        <v>2</v>
      </c>
      <c r="E10" s="39">
        <v>212</v>
      </c>
      <c r="F10" s="35"/>
      <c r="G10" s="461"/>
      <c r="H10" s="461"/>
      <c r="I10" s="35"/>
      <c r="J10" s="874" t="s">
        <v>1285</v>
      </c>
      <c r="K10" s="1361"/>
    </row>
    <row r="11" spans="3:11" x14ac:dyDescent="0.35">
      <c r="C11" s="814" t="s">
        <v>1161</v>
      </c>
      <c r="D11" s="39">
        <v>6</v>
      </c>
      <c r="E11" s="39">
        <v>1668</v>
      </c>
      <c r="F11" s="39"/>
      <c r="G11" s="461" t="s">
        <v>1162</v>
      </c>
      <c r="H11" s="39" t="s">
        <v>1236</v>
      </c>
      <c r="I11" s="39"/>
      <c r="J11" s="874" t="s">
        <v>1294</v>
      </c>
      <c r="K11" s="1328">
        <v>45992</v>
      </c>
    </row>
    <row r="12" spans="3:11" ht="17" customHeight="1" x14ac:dyDescent="0.35">
      <c r="C12" s="1344" t="s">
        <v>1163</v>
      </c>
      <c r="D12" s="1223">
        <v>6</v>
      </c>
      <c r="E12" s="1223">
        <v>1949</v>
      </c>
      <c r="F12" s="1223"/>
      <c r="G12" s="39" t="s">
        <v>1162</v>
      </c>
      <c r="H12" s="39" t="s">
        <v>1236</v>
      </c>
      <c r="I12" s="39"/>
      <c r="J12" s="874" t="s">
        <v>1294</v>
      </c>
      <c r="K12" s="1328"/>
    </row>
    <row r="13" spans="3:11" ht="17" customHeight="1" x14ac:dyDescent="0.35">
      <c r="C13" s="1344"/>
      <c r="D13" s="1223"/>
      <c r="E13" s="1223"/>
      <c r="F13" s="1223"/>
      <c r="G13" s="39" t="s">
        <v>1164</v>
      </c>
      <c r="H13" s="39" t="s">
        <v>1296</v>
      </c>
      <c r="I13" s="39"/>
      <c r="J13" s="874" t="s">
        <v>1294</v>
      </c>
      <c r="K13" s="1328"/>
    </row>
    <row r="14" spans="3:11" ht="17" customHeight="1" x14ac:dyDescent="0.35">
      <c r="C14" s="814" t="s">
        <v>1165</v>
      </c>
      <c r="D14" s="39">
        <v>10</v>
      </c>
      <c r="E14" s="39">
        <v>3514</v>
      </c>
      <c r="F14" s="532"/>
      <c r="G14" s="39" t="s">
        <v>1164</v>
      </c>
      <c r="H14" s="39" t="s">
        <v>1296</v>
      </c>
      <c r="I14" s="39"/>
      <c r="J14" s="874" t="s">
        <v>1294</v>
      </c>
      <c r="K14" s="1328"/>
    </row>
    <row r="15" spans="3:11" ht="17" customHeight="1" x14ac:dyDescent="0.35">
      <c r="C15" s="38" t="s">
        <v>1166</v>
      </c>
      <c r="D15" s="39">
        <v>4</v>
      </c>
      <c r="E15" s="39">
        <v>1230</v>
      </c>
      <c r="F15" s="591"/>
      <c r="G15" s="39"/>
      <c r="H15" s="39"/>
      <c r="I15" s="728"/>
      <c r="J15" s="874" t="s">
        <v>1294</v>
      </c>
      <c r="K15" s="1328"/>
    </row>
    <row r="16" spans="3:11" ht="17" customHeight="1" x14ac:dyDescent="0.35">
      <c r="C16" s="38" t="s">
        <v>1167</v>
      </c>
      <c r="D16" s="39">
        <v>6</v>
      </c>
      <c r="E16" s="39">
        <v>1954</v>
      </c>
      <c r="F16" s="591"/>
      <c r="G16" s="39"/>
      <c r="H16" s="39"/>
      <c r="I16" s="39"/>
      <c r="J16" s="874" t="s">
        <v>1294</v>
      </c>
      <c r="K16" s="1328"/>
    </row>
    <row r="17" spans="3:11" ht="28" customHeight="1" x14ac:dyDescent="0.35">
      <c r="C17" s="1224" t="s">
        <v>1168</v>
      </c>
      <c r="D17" s="1223">
        <v>8</v>
      </c>
      <c r="E17" s="1223">
        <v>2564</v>
      </c>
      <c r="F17" s="1223" t="s">
        <v>1259</v>
      </c>
      <c r="G17" s="39" t="s">
        <v>1169</v>
      </c>
      <c r="H17" s="461" t="s">
        <v>1297</v>
      </c>
      <c r="I17" s="39"/>
      <c r="J17" s="874" t="s">
        <v>1294</v>
      </c>
      <c r="K17" s="1328"/>
    </row>
    <row r="18" spans="3:11" ht="17" customHeight="1" x14ac:dyDescent="0.35">
      <c r="C18" s="1224"/>
      <c r="D18" s="1223"/>
      <c r="E18" s="1223"/>
      <c r="F18" s="1223"/>
      <c r="G18" s="39" t="s">
        <v>1170</v>
      </c>
      <c r="H18" s="39" t="s">
        <v>418</v>
      </c>
      <c r="I18" s="39"/>
      <c r="J18" s="874" t="s">
        <v>1294</v>
      </c>
      <c r="K18" s="1328"/>
    </row>
    <row r="19" spans="3:11" ht="17" customHeight="1" x14ac:dyDescent="0.35">
      <c r="C19" s="1224" t="s">
        <v>1171</v>
      </c>
      <c r="D19" s="1366">
        <v>12</v>
      </c>
      <c r="E19" s="1223">
        <v>4304</v>
      </c>
      <c r="F19" s="39"/>
      <c r="G19" s="39" t="s">
        <v>1170</v>
      </c>
      <c r="H19" s="39" t="s">
        <v>418</v>
      </c>
      <c r="I19" s="39"/>
      <c r="J19" s="874" t="s">
        <v>1294</v>
      </c>
      <c r="K19" s="1328"/>
    </row>
    <row r="20" spans="3:11" ht="17" customHeight="1" x14ac:dyDescent="0.35">
      <c r="C20" s="1224"/>
      <c r="D20" s="1366"/>
      <c r="E20" s="1223"/>
      <c r="F20" s="39"/>
      <c r="G20" s="39" t="s">
        <v>1172</v>
      </c>
      <c r="H20" s="39"/>
      <c r="I20" s="39"/>
      <c r="J20" s="874" t="s">
        <v>1294</v>
      </c>
      <c r="K20" s="1328"/>
    </row>
    <row r="21" spans="3:11" ht="17" customHeight="1" x14ac:dyDescent="0.35">
      <c r="C21" s="1224" t="s">
        <v>1174</v>
      </c>
      <c r="D21" s="1223">
        <v>4</v>
      </c>
      <c r="E21" s="1223">
        <v>1147</v>
      </c>
      <c r="F21" s="1223" t="s">
        <v>1175</v>
      </c>
      <c r="G21" s="1369" t="s">
        <v>1175</v>
      </c>
      <c r="H21" s="1362" t="s">
        <v>1298</v>
      </c>
      <c r="I21" s="477"/>
      <c r="J21" s="874" t="s">
        <v>1294</v>
      </c>
      <c r="K21" s="1328"/>
    </row>
    <row r="22" spans="3:11" ht="17" customHeight="1" x14ac:dyDescent="0.35">
      <c r="C22" s="1224"/>
      <c r="D22" s="1223"/>
      <c r="E22" s="1223"/>
      <c r="F22" s="1223"/>
      <c r="G22" s="1369"/>
      <c r="H22" s="1362"/>
      <c r="I22" s="477"/>
      <c r="J22" s="874" t="s">
        <v>1294</v>
      </c>
      <c r="K22" s="1328"/>
    </row>
    <row r="23" spans="3:11" ht="17" customHeight="1" x14ac:dyDescent="0.35">
      <c r="C23" s="38" t="s">
        <v>1176</v>
      </c>
      <c r="D23" s="39">
        <v>5</v>
      </c>
      <c r="E23" s="39">
        <v>1593</v>
      </c>
      <c r="F23" s="591"/>
      <c r="G23" s="39"/>
      <c r="H23" s="532"/>
      <c r="I23" s="477"/>
      <c r="J23" s="874" t="s">
        <v>1294</v>
      </c>
      <c r="K23" s="1328"/>
    </row>
    <row r="24" spans="3:11" x14ac:dyDescent="0.35">
      <c r="C24" s="1224" t="s">
        <v>1178</v>
      </c>
      <c r="D24" s="1223">
        <v>6</v>
      </c>
      <c r="E24" s="1223">
        <v>1957</v>
      </c>
      <c r="F24" s="39"/>
      <c r="G24" s="846" t="s">
        <v>1290</v>
      </c>
      <c r="H24" s="39"/>
      <c r="I24" s="39"/>
      <c r="J24" s="874" t="s">
        <v>1294</v>
      </c>
      <c r="K24" s="1328"/>
    </row>
    <row r="25" spans="3:11" x14ac:dyDescent="0.35">
      <c r="C25" s="1224"/>
      <c r="D25" s="1223"/>
      <c r="E25" s="1223"/>
      <c r="F25" s="39"/>
      <c r="G25" s="846" t="s">
        <v>1291</v>
      </c>
      <c r="H25" s="39"/>
      <c r="I25" s="39"/>
      <c r="J25" s="874" t="s">
        <v>1294</v>
      </c>
      <c r="K25" s="1328"/>
    </row>
    <row r="26" spans="3:11" ht="17" customHeight="1" x14ac:dyDescent="0.35">
      <c r="C26" s="38" t="s">
        <v>1179</v>
      </c>
      <c r="D26" s="39">
        <v>5</v>
      </c>
      <c r="E26" s="39">
        <v>1441</v>
      </c>
      <c r="F26" s="591"/>
      <c r="G26" s="39"/>
      <c r="H26" s="39"/>
      <c r="I26" s="39"/>
      <c r="J26" s="874" t="s">
        <v>1294</v>
      </c>
      <c r="K26" s="1329"/>
    </row>
    <row r="27" spans="3:11" ht="17" customHeight="1" x14ac:dyDescent="0.35">
      <c r="C27" s="38" t="s">
        <v>1308</v>
      </c>
      <c r="D27" s="39">
        <v>4</v>
      </c>
      <c r="E27" s="39">
        <v>1136</v>
      </c>
      <c r="F27" s="591"/>
      <c r="G27" s="39" t="s">
        <v>1316</v>
      </c>
      <c r="H27" s="39"/>
      <c r="I27" s="39"/>
      <c r="J27" s="874" t="s">
        <v>1294</v>
      </c>
      <c r="K27" s="1363">
        <v>45658</v>
      </c>
    </row>
    <row r="28" spans="3:11" ht="17" customHeight="1" x14ac:dyDescent="0.35">
      <c r="C28" s="38" t="s">
        <v>1309</v>
      </c>
      <c r="D28" s="39">
        <v>2</v>
      </c>
      <c r="E28" s="39">
        <v>484</v>
      </c>
      <c r="F28" s="591"/>
      <c r="G28" s="39" t="s">
        <v>1317</v>
      </c>
      <c r="H28" s="39" t="s">
        <v>1320</v>
      </c>
      <c r="I28" s="39"/>
      <c r="J28" s="874" t="s">
        <v>1285</v>
      </c>
      <c r="K28" s="1364"/>
    </row>
    <row r="29" spans="3:11" ht="17" customHeight="1" x14ac:dyDescent="0.35">
      <c r="C29" s="38" t="s">
        <v>1310</v>
      </c>
      <c r="D29" s="39">
        <v>3</v>
      </c>
      <c r="E29" s="39">
        <v>836</v>
      </c>
      <c r="F29" s="591"/>
      <c r="G29" s="39" t="s">
        <v>1318</v>
      </c>
      <c r="H29" s="39"/>
      <c r="I29" s="39"/>
      <c r="J29" s="874" t="s">
        <v>1294</v>
      </c>
      <c r="K29" s="1364"/>
    </row>
    <row r="30" spans="3:11" ht="17" customHeight="1" x14ac:dyDescent="0.35">
      <c r="C30" s="38" t="s">
        <v>1311</v>
      </c>
      <c r="D30" s="39">
        <v>7</v>
      </c>
      <c r="E30" s="39">
        <v>2306</v>
      </c>
      <c r="F30" s="591"/>
      <c r="G30" s="39" t="s">
        <v>1319</v>
      </c>
      <c r="H30" s="39" t="s">
        <v>1320</v>
      </c>
      <c r="I30" s="39"/>
      <c r="J30" s="874" t="s">
        <v>1294</v>
      </c>
      <c r="K30" s="1364"/>
    </row>
    <row r="31" spans="3:11" ht="17" customHeight="1" x14ac:dyDescent="0.35">
      <c r="C31" s="38" t="s">
        <v>1312</v>
      </c>
      <c r="D31" s="39">
        <v>7</v>
      </c>
      <c r="E31" s="39">
        <v>2398</v>
      </c>
      <c r="F31" s="591"/>
      <c r="G31" s="39" t="s">
        <v>1321</v>
      </c>
      <c r="H31" s="39"/>
      <c r="I31" s="39"/>
      <c r="J31" s="874" t="s">
        <v>1294</v>
      </c>
      <c r="K31" s="1364"/>
    </row>
    <row r="32" spans="3:11" ht="27.5" customHeight="1" x14ac:dyDescent="0.35">
      <c r="C32" s="38" t="s">
        <v>1313</v>
      </c>
      <c r="D32" s="39">
        <v>5</v>
      </c>
      <c r="E32" s="39">
        <v>1507</v>
      </c>
      <c r="F32" s="591"/>
      <c r="G32" s="461" t="s">
        <v>1322</v>
      </c>
      <c r="H32" s="39"/>
      <c r="I32" s="39"/>
      <c r="J32" s="874" t="s">
        <v>1294</v>
      </c>
      <c r="K32" s="1364"/>
    </row>
    <row r="33" spans="3:11" ht="17" customHeight="1" x14ac:dyDescent="0.35">
      <c r="C33" s="38" t="s">
        <v>1314</v>
      </c>
      <c r="D33" s="39">
        <v>7</v>
      </c>
      <c r="E33" s="39">
        <v>2062</v>
      </c>
      <c r="F33" s="591"/>
      <c r="G33" s="39" t="s">
        <v>1323</v>
      </c>
      <c r="H33" s="39"/>
      <c r="I33" s="39"/>
      <c r="J33" s="874" t="s">
        <v>1294</v>
      </c>
      <c r="K33" s="1364"/>
    </row>
    <row r="34" spans="3:11" ht="32" customHeight="1" x14ac:dyDescent="0.35">
      <c r="C34" s="38" t="s">
        <v>1315</v>
      </c>
      <c r="D34" s="39">
        <v>7</v>
      </c>
      <c r="E34" s="39">
        <v>2087</v>
      </c>
      <c r="F34" s="591"/>
      <c r="G34" s="461" t="s">
        <v>1324</v>
      </c>
      <c r="H34" s="39"/>
      <c r="I34" s="39"/>
      <c r="J34" s="874" t="s">
        <v>1294</v>
      </c>
      <c r="K34" s="1365"/>
    </row>
    <row r="35" spans="3:11" ht="15" thickBot="1" x14ac:dyDescent="0.4">
      <c r="C35" s="1367" t="s">
        <v>11</v>
      </c>
      <c r="D35" s="1368"/>
      <c r="E35" s="860">
        <f>SUM(E5:E34)</f>
        <v>42564</v>
      </c>
      <c r="F35" s="860">
        <v>2</v>
      </c>
      <c r="G35" s="860">
        <v>18</v>
      </c>
      <c r="H35" s="875"/>
      <c r="I35" s="875"/>
      <c r="J35" s="875"/>
      <c r="K35" s="876"/>
    </row>
    <row r="36" spans="3:11" ht="15" thickBot="1" x14ac:dyDescent="0.4"/>
    <row r="37" spans="3:11" x14ac:dyDescent="0.35">
      <c r="H37" s="877" t="s">
        <v>1157</v>
      </c>
      <c r="I37" s="878"/>
      <c r="J37" s="878" t="s">
        <v>1292</v>
      </c>
      <c r="K37" s="879" t="s">
        <v>1293</v>
      </c>
    </row>
    <row r="38" spans="3:11" x14ac:dyDescent="0.35">
      <c r="H38" s="880" t="s">
        <v>1294</v>
      </c>
      <c r="I38" s="478"/>
      <c r="J38" s="478">
        <v>27</v>
      </c>
      <c r="K38" s="881">
        <f>E35-K39</f>
        <v>41407</v>
      </c>
    </row>
    <row r="39" spans="3:11" ht="14.5" customHeight="1" x14ac:dyDescent="0.35">
      <c r="H39" s="880" t="s">
        <v>1285</v>
      </c>
      <c r="I39" s="478"/>
      <c r="J39" s="478">
        <v>3</v>
      </c>
      <c r="K39" s="881">
        <f>E6+E10+E28</f>
        <v>1157</v>
      </c>
    </row>
    <row r="40" spans="3:11" ht="15" thickBot="1" x14ac:dyDescent="0.4">
      <c r="H40" s="807" t="s">
        <v>11</v>
      </c>
      <c r="I40" s="882"/>
      <c r="J40" s="882">
        <f>SUM(J38:J39)</f>
        <v>30</v>
      </c>
      <c r="K40" s="883">
        <f>SUM(K38:K39)</f>
        <v>42564</v>
      </c>
    </row>
  </sheetData>
  <mergeCells count="26">
    <mergeCell ref="C35:D35"/>
    <mergeCell ref="G21:G22"/>
    <mergeCell ref="C24:C25"/>
    <mergeCell ref="D24:D25"/>
    <mergeCell ref="E24:E25"/>
    <mergeCell ref="H21:H22"/>
    <mergeCell ref="K27:K34"/>
    <mergeCell ref="K11:K26"/>
    <mergeCell ref="C19:C20"/>
    <mergeCell ref="D19:D20"/>
    <mergeCell ref="E19:E20"/>
    <mergeCell ref="C21:C22"/>
    <mergeCell ref="D21:D22"/>
    <mergeCell ref="E21:E22"/>
    <mergeCell ref="F21:F22"/>
    <mergeCell ref="C17:C18"/>
    <mergeCell ref="D17:D18"/>
    <mergeCell ref="E17:E18"/>
    <mergeCell ref="F17:F18"/>
    <mergeCell ref="C2:K2"/>
    <mergeCell ref="C3:K3"/>
    <mergeCell ref="K5:K10"/>
    <mergeCell ref="C12:C13"/>
    <mergeCell ref="D12:D13"/>
    <mergeCell ref="E12:E13"/>
    <mergeCell ref="F12:F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EE4A-1F83-4555-A2CF-2532F61F9669}">
  <dimension ref="A1:EN43"/>
  <sheetViews>
    <sheetView topLeftCell="B13" zoomScale="78" workbookViewId="0">
      <selection activeCell="O24" sqref="O24"/>
    </sheetView>
  </sheetViews>
  <sheetFormatPr defaultRowHeight="14.5" x14ac:dyDescent="0.35"/>
  <cols>
    <col min="1" max="1" width="6.08984375" hidden="1" customWidth="1"/>
    <col min="4" max="4" width="25.1796875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10.26953125" customWidth="1"/>
    <col min="14" max="14" width="16.7265625" hidden="1" customWidth="1"/>
    <col min="15" max="15" width="38.54296875" bestFit="1" customWidth="1"/>
    <col min="16" max="144" width="8.7265625" style="456"/>
    <col min="244" max="244" width="5.7265625" customWidth="1"/>
    <col min="247" max="247" width="22.7265625" customWidth="1"/>
    <col min="248" max="248" width="6.26953125" customWidth="1"/>
    <col min="249" max="249" width="5.7265625" customWidth="1"/>
    <col min="250" max="250" width="6" customWidth="1"/>
    <col min="251" max="252" width="4.26953125" customWidth="1"/>
    <col min="253" max="253" width="4" customWidth="1"/>
    <col min="254" max="254" width="4.1796875" customWidth="1"/>
    <col min="255" max="255" width="4" customWidth="1"/>
    <col min="256" max="256" width="10.26953125" customWidth="1"/>
    <col min="257" max="257" width="16.7265625" customWidth="1"/>
    <col min="258" max="258" width="21" customWidth="1"/>
    <col min="500" max="500" width="5.7265625" customWidth="1"/>
    <col min="503" max="503" width="22.7265625" customWidth="1"/>
    <col min="504" max="504" width="6.26953125" customWidth="1"/>
    <col min="505" max="505" width="5.7265625" customWidth="1"/>
    <col min="506" max="506" width="6" customWidth="1"/>
    <col min="507" max="508" width="4.26953125" customWidth="1"/>
    <col min="509" max="509" width="4" customWidth="1"/>
    <col min="510" max="510" width="4.1796875" customWidth="1"/>
    <col min="511" max="511" width="4" customWidth="1"/>
    <col min="512" max="512" width="10.26953125" customWidth="1"/>
    <col min="513" max="513" width="16.7265625" customWidth="1"/>
    <col min="514" max="514" width="21" customWidth="1"/>
    <col min="756" max="756" width="5.7265625" customWidth="1"/>
    <col min="759" max="759" width="22.7265625" customWidth="1"/>
    <col min="760" max="760" width="6.26953125" customWidth="1"/>
    <col min="761" max="761" width="5.7265625" customWidth="1"/>
    <col min="762" max="762" width="6" customWidth="1"/>
    <col min="763" max="764" width="4.26953125" customWidth="1"/>
    <col min="765" max="765" width="4" customWidth="1"/>
    <col min="766" max="766" width="4.1796875" customWidth="1"/>
    <col min="767" max="767" width="4" customWidth="1"/>
    <col min="768" max="768" width="10.26953125" customWidth="1"/>
    <col min="769" max="769" width="16.7265625" customWidth="1"/>
    <col min="770" max="770" width="21" customWidth="1"/>
    <col min="1012" max="1012" width="5.7265625" customWidth="1"/>
    <col min="1015" max="1015" width="22.7265625" customWidth="1"/>
    <col min="1016" max="1016" width="6.26953125" customWidth="1"/>
    <col min="1017" max="1017" width="5.7265625" customWidth="1"/>
    <col min="1018" max="1018" width="6" customWidth="1"/>
    <col min="1019" max="1020" width="4.26953125" customWidth="1"/>
    <col min="1021" max="1021" width="4" customWidth="1"/>
    <col min="1022" max="1022" width="4.1796875" customWidth="1"/>
    <col min="1023" max="1023" width="4" customWidth="1"/>
    <col min="1024" max="1024" width="10.26953125" customWidth="1"/>
    <col min="1025" max="1025" width="16.7265625" customWidth="1"/>
    <col min="1026" max="1026" width="21" customWidth="1"/>
    <col min="1268" max="1268" width="5.7265625" customWidth="1"/>
    <col min="1271" max="1271" width="22.7265625" customWidth="1"/>
    <col min="1272" max="1272" width="6.26953125" customWidth="1"/>
    <col min="1273" max="1273" width="5.7265625" customWidth="1"/>
    <col min="1274" max="1274" width="6" customWidth="1"/>
    <col min="1275" max="1276" width="4.26953125" customWidth="1"/>
    <col min="1277" max="1277" width="4" customWidth="1"/>
    <col min="1278" max="1278" width="4.1796875" customWidth="1"/>
    <col min="1279" max="1279" width="4" customWidth="1"/>
    <col min="1280" max="1280" width="10.26953125" customWidth="1"/>
    <col min="1281" max="1281" width="16.7265625" customWidth="1"/>
    <col min="1282" max="1282" width="21" customWidth="1"/>
    <col min="1524" max="1524" width="5.7265625" customWidth="1"/>
    <col min="1527" max="1527" width="22.7265625" customWidth="1"/>
    <col min="1528" max="1528" width="6.26953125" customWidth="1"/>
    <col min="1529" max="1529" width="5.7265625" customWidth="1"/>
    <col min="1530" max="1530" width="6" customWidth="1"/>
    <col min="1531" max="1532" width="4.26953125" customWidth="1"/>
    <col min="1533" max="1533" width="4" customWidth="1"/>
    <col min="1534" max="1534" width="4.1796875" customWidth="1"/>
    <col min="1535" max="1535" width="4" customWidth="1"/>
    <col min="1536" max="1536" width="10.26953125" customWidth="1"/>
    <col min="1537" max="1537" width="16.7265625" customWidth="1"/>
    <col min="1538" max="1538" width="21" customWidth="1"/>
    <col min="1780" max="1780" width="5.7265625" customWidth="1"/>
    <col min="1783" max="1783" width="22.7265625" customWidth="1"/>
    <col min="1784" max="1784" width="6.26953125" customWidth="1"/>
    <col min="1785" max="1785" width="5.7265625" customWidth="1"/>
    <col min="1786" max="1786" width="6" customWidth="1"/>
    <col min="1787" max="1788" width="4.26953125" customWidth="1"/>
    <col min="1789" max="1789" width="4" customWidth="1"/>
    <col min="1790" max="1790" width="4.1796875" customWidth="1"/>
    <col min="1791" max="1791" width="4" customWidth="1"/>
    <col min="1792" max="1792" width="10.26953125" customWidth="1"/>
    <col min="1793" max="1793" width="16.7265625" customWidth="1"/>
    <col min="1794" max="1794" width="21" customWidth="1"/>
    <col min="2036" max="2036" width="5.7265625" customWidth="1"/>
    <col min="2039" max="2039" width="22.7265625" customWidth="1"/>
    <col min="2040" max="2040" width="6.26953125" customWidth="1"/>
    <col min="2041" max="2041" width="5.7265625" customWidth="1"/>
    <col min="2042" max="2042" width="6" customWidth="1"/>
    <col min="2043" max="2044" width="4.26953125" customWidth="1"/>
    <col min="2045" max="2045" width="4" customWidth="1"/>
    <col min="2046" max="2046" width="4.1796875" customWidth="1"/>
    <col min="2047" max="2047" width="4" customWidth="1"/>
    <col min="2048" max="2048" width="10.26953125" customWidth="1"/>
    <col min="2049" max="2049" width="16.7265625" customWidth="1"/>
    <col min="2050" max="2050" width="21" customWidth="1"/>
    <col min="2292" max="2292" width="5.7265625" customWidth="1"/>
    <col min="2295" max="2295" width="22.7265625" customWidth="1"/>
    <col min="2296" max="2296" width="6.26953125" customWidth="1"/>
    <col min="2297" max="2297" width="5.7265625" customWidth="1"/>
    <col min="2298" max="2298" width="6" customWidth="1"/>
    <col min="2299" max="2300" width="4.26953125" customWidth="1"/>
    <col min="2301" max="2301" width="4" customWidth="1"/>
    <col min="2302" max="2302" width="4.1796875" customWidth="1"/>
    <col min="2303" max="2303" width="4" customWidth="1"/>
    <col min="2304" max="2304" width="10.26953125" customWidth="1"/>
    <col min="2305" max="2305" width="16.7265625" customWidth="1"/>
    <col min="2306" max="2306" width="21" customWidth="1"/>
    <col min="2548" max="2548" width="5.7265625" customWidth="1"/>
    <col min="2551" max="2551" width="22.7265625" customWidth="1"/>
    <col min="2552" max="2552" width="6.26953125" customWidth="1"/>
    <col min="2553" max="2553" width="5.7265625" customWidth="1"/>
    <col min="2554" max="2554" width="6" customWidth="1"/>
    <col min="2555" max="2556" width="4.26953125" customWidth="1"/>
    <col min="2557" max="2557" width="4" customWidth="1"/>
    <col min="2558" max="2558" width="4.1796875" customWidth="1"/>
    <col min="2559" max="2559" width="4" customWidth="1"/>
    <col min="2560" max="2560" width="10.26953125" customWidth="1"/>
    <col min="2561" max="2561" width="16.7265625" customWidth="1"/>
    <col min="2562" max="2562" width="21" customWidth="1"/>
    <col min="2804" max="2804" width="5.7265625" customWidth="1"/>
    <col min="2807" max="2807" width="22.7265625" customWidth="1"/>
    <col min="2808" max="2808" width="6.26953125" customWidth="1"/>
    <col min="2809" max="2809" width="5.7265625" customWidth="1"/>
    <col min="2810" max="2810" width="6" customWidth="1"/>
    <col min="2811" max="2812" width="4.26953125" customWidth="1"/>
    <col min="2813" max="2813" width="4" customWidth="1"/>
    <col min="2814" max="2814" width="4.1796875" customWidth="1"/>
    <col min="2815" max="2815" width="4" customWidth="1"/>
    <col min="2816" max="2816" width="10.26953125" customWidth="1"/>
    <col min="2817" max="2817" width="16.7265625" customWidth="1"/>
    <col min="2818" max="2818" width="21" customWidth="1"/>
    <col min="3060" max="3060" width="5.7265625" customWidth="1"/>
    <col min="3063" max="3063" width="22.7265625" customWidth="1"/>
    <col min="3064" max="3064" width="6.26953125" customWidth="1"/>
    <col min="3065" max="3065" width="5.7265625" customWidth="1"/>
    <col min="3066" max="3066" width="6" customWidth="1"/>
    <col min="3067" max="3068" width="4.26953125" customWidth="1"/>
    <col min="3069" max="3069" width="4" customWidth="1"/>
    <col min="3070" max="3070" width="4.1796875" customWidth="1"/>
    <col min="3071" max="3071" width="4" customWidth="1"/>
    <col min="3072" max="3072" width="10.26953125" customWidth="1"/>
    <col min="3073" max="3073" width="16.7265625" customWidth="1"/>
    <col min="3074" max="3074" width="21" customWidth="1"/>
    <col min="3316" max="3316" width="5.7265625" customWidth="1"/>
    <col min="3319" max="3319" width="22.7265625" customWidth="1"/>
    <col min="3320" max="3320" width="6.26953125" customWidth="1"/>
    <col min="3321" max="3321" width="5.7265625" customWidth="1"/>
    <col min="3322" max="3322" width="6" customWidth="1"/>
    <col min="3323" max="3324" width="4.26953125" customWidth="1"/>
    <col min="3325" max="3325" width="4" customWidth="1"/>
    <col min="3326" max="3326" width="4.1796875" customWidth="1"/>
    <col min="3327" max="3327" width="4" customWidth="1"/>
    <col min="3328" max="3328" width="10.26953125" customWidth="1"/>
    <col min="3329" max="3329" width="16.7265625" customWidth="1"/>
    <col min="3330" max="3330" width="21" customWidth="1"/>
    <col min="3572" max="3572" width="5.7265625" customWidth="1"/>
    <col min="3575" max="3575" width="22.7265625" customWidth="1"/>
    <col min="3576" max="3576" width="6.26953125" customWidth="1"/>
    <col min="3577" max="3577" width="5.7265625" customWidth="1"/>
    <col min="3578" max="3578" width="6" customWidth="1"/>
    <col min="3579" max="3580" width="4.26953125" customWidth="1"/>
    <col min="3581" max="3581" width="4" customWidth="1"/>
    <col min="3582" max="3582" width="4.1796875" customWidth="1"/>
    <col min="3583" max="3583" width="4" customWidth="1"/>
    <col min="3584" max="3584" width="10.26953125" customWidth="1"/>
    <col min="3585" max="3585" width="16.7265625" customWidth="1"/>
    <col min="3586" max="3586" width="21" customWidth="1"/>
    <col min="3828" max="3828" width="5.7265625" customWidth="1"/>
    <col min="3831" max="3831" width="22.7265625" customWidth="1"/>
    <col min="3832" max="3832" width="6.26953125" customWidth="1"/>
    <col min="3833" max="3833" width="5.7265625" customWidth="1"/>
    <col min="3834" max="3834" width="6" customWidth="1"/>
    <col min="3835" max="3836" width="4.26953125" customWidth="1"/>
    <col min="3837" max="3837" width="4" customWidth="1"/>
    <col min="3838" max="3838" width="4.1796875" customWidth="1"/>
    <col min="3839" max="3839" width="4" customWidth="1"/>
    <col min="3840" max="3840" width="10.26953125" customWidth="1"/>
    <col min="3841" max="3841" width="16.7265625" customWidth="1"/>
    <col min="3842" max="3842" width="21" customWidth="1"/>
    <col min="4084" max="4084" width="5.7265625" customWidth="1"/>
    <col min="4087" max="4087" width="22.7265625" customWidth="1"/>
    <col min="4088" max="4088" width="6.26953125" customWidth="1"/>
    <col min="4089" max="4089" width="5.7265625" customWidth="1"/>
    <col min="4090" max="4090" width="6" customWidth="1"/>
    <col min="4091" max="4092" width="4.26953125" customWidth="1"/>
    <col min="4093" max="4093" width="4" customWidth="1"/>
    <col min="4094" max="4094" width="4.1796875" customWidth="1"/>
    <col min="4095" max="4095" width="4" customWidth="1"/>
    <col min="4096" max="4096" width="10.26953125" customWidth="1"/>
    <col min="4097" max="4097" width="16.7265625" customWidth="1"/>
    <col min="4098" max="4098" width="21" customWidth="1"/>
    <col min="4340" max="4340" width="5.7265625" customWidth="1"/>
    <col min="4343" max="4343" width="22.7265625" customWidth="1"/>
    <col min="4344" max="4344" width="6.26953125" customWidth="1"/>
    <col min="4345" max="4345" width="5.7265625" customWidth="1"/>
    <col min="4346" max="4346" width="6" customWidth="1"/>
    <col min="4347" max="4348" width="4.26953125" customWidth="1"/>
    <col min="4349" max="4349" width="4" customWidth="1"/>
    <col min="4350" max="4350" width="4.1796875" customWidth="1"/>
    <col min="4351" max="4351" width="4" customWidth="1"/>
    <col min="4352" max="4352" width="10.26953125" customWidth="1"/>
    <col min="4353" max="4353" width="16.7265625" customWidth="1"/>
    <col min="4354" max="4354" width="21" customWidth="1"/>
    <col min="4596" max="4596" width="5.7265625" customWidth="1"/>
    <col min="4599" max="4599" width="22.7265625" customWidth="1"/>
    <col min="4600" max="4600" width="6.26953125" customWidth="1"/>
    <col min="4601" max="4601" width="5.7265625" customWidth="1"/>
    <col min="4602" max="4602" width="6" customWidth="1"/>
    <col min="4603" max="4604" width="4.26953125" customWidth="1"/>
    <col min="4605" max="4605" width="4" customWidth="1"/>
    <col min="4606" max="4606" width="4.1796875" customWidth="1"/>
    <col min="4607" max="4607" width="4" customWidth="1"/>
    <col min="4608" max="4608" width="10.26953125" customWidth="1"/>
    <col min="4609" max="4609" width="16.7265625" customWidth="1"/>
    <col min="4610" max="4610" width="21" customWidth="1"/>
    <col min="4852" max="4852" width="5.7265625" customWidth="1"/>
    <col min="4855" max="4855" width="22.7265625" customWidth="1"/>
    <col min="4856" max="4856" width="6.26953125" customWidth="1"/>
    <col min="4857" max="4857" width="5.7265625" customWidth="1"/>
    <col min="4858" max="4858" width="6" customWidth="1"/>
    <col min="4859" max="4860" width="4.26953125" customWidth="1"/>
    <col min="4861" max="4861" width="4" customWidth="1"/>
    <col min="4862" max="4862" width="4.1796875" customWidth="1"/>
    <col min="4863" max="4863" width="4" customWidth="1"/>
    <col min="4864" max="4864" width="10.26953125" customWidth="1"/>
    <col min="4865" max="4865" width="16.7265625" customWidth="1"/>
    <col min="4866" max="4866" width="21" customWidth="1"/>
    <col min="5108" max="5108" width="5.7265625" customWidth="1"/>
    <col min="5111" max="5111" width="22.7265625" customWidth="1"/>
    <col min="5112" max="5112" width="6.26953125" customWidth="1"/>
    <col min="5113" max="5113" width="5.7265625" customWidth="1"/>
    <col min="5114" max="5114" width="6" customWidth="1"/>
    <col min="5115" max="5116" width="4.26953125" customWidth="1"/>
    <col min="5117" max="5117" width="4" customWidth="1"/>
    <col min="5118" max="5118" width="4.1796875" customWidth="1"/>
    <col min="5119" max="5119" width="4" customWidth="1"/>
    <col min="5120" max="5120" width="10.26953125" customWidth="1"/>
    <col min="5121" max="5121" width="16.7265625" customWidth="1"/>
    <col min="5122" max="5122" width="21" customWidth="1"/>
    <col min="5364" max="5364" width="5.7265625" customWidth="1"/>
    <col min="5367" max="5367" width="22.7265625" customWidth="1"/>
    <col min="5368" max="5368" width="6.26953125" customWidth="1"/>
    <col min="5369" max="5369" width="5.7265625" customWidth="1"/>
    <col min="5370" max="5370" width="6" customWidth="1"/>
    <col min="5371" max="5372" width="4.26953125" customWidth="1"/>
    <col min="5373" max="5373" width="4" customWidth="1"/>
    <col min="5374" max="5374" width="4.1796875" customWidth="1"/>
    <col min="5375" max="5375" width="4" customWidth="1"/>
    <col min="5376" max="5376" width="10.26953125" customWidth="1"/>
    <col min="5377" max="5377" width="16.7265625" customWidth="1"/>
    <col min="5378" max="5378" width="21" customWidth="1"/>
    <col min="5620" max="5620" width="5.7265625" customWidth="1"/>
    <col min="5623" max="5623" width="22.7265625" customWidth="1"/>
    <col min="5624" max="5624" width="6.26953125" customWidth="1"/>
    <col min="5625" max="5625" width="5.7265625" customWidth="1"/>
    <col min="5626" max="5626" width="6" customWidth="1"/>
    <col min="5627" max="5628" width="4.26953125" customWidth="1"/>
    <col min="5629" max="5629" width="4" customWidth="1"/>
    <col min="5630" max="5630" width="4.1796875" customWidth="1"/>
    <col min="5631" max="5631" width="4" customWidth="1"/>
    <col min="5632" max="5632" width="10.26953125" customWidth="1"/>
    <col min="5633" max="5633" width="16.7265625" customWidth="1"/>
    <col min="5634" max="5634" width="21" customWidth="1"/>
    <col min="5876" max="5876" width="5.7265625" customWidth="1"/>
    <col min="5879" max="5879" width="22.7265625" customWidth="1"/>
    <col min="5880" max="5880" width="6.26953125" customWidth="1"/>
    <col min="5881" max="5881" width="5.7265625" customWidth="1"/>
    <col min="5882" max="5882" width="6" customWidth="1"/>
    <col min="5883" max="5884" width="4.26953125" customWidth="1"/>
    <col min="5885" max="5885" width="4" customWidth="1"/>
    <col min="5886" max="5886" width="4.1796875" customWidth="1"/>
    <col min="5887" max="5887" width="4" customWidth="1"/>
    <col min="5888" max="5888" width="10.26953125" customWidth="1"/>
    <col min="5889" max="5889" width="16.7265625" customWidth="1"/>
    <col min="5890" max="5890" width="21" customWidth="1"/>
    <col min="6132" max="6132" width="5.7265625" customWidth="1"/>
    <col min="6135" max="6135" width="22.7265625" customWidth="1"/>
    <col min="6136" max="6136" width="6.26953125" customWidth="1"/>
    <col min="6137" max="6137" width="5.7265625" customWidth="1"/>
    <col min="6138" max="6138" width="6" customWidth="1"/>
    <col min="6139" max="6140" width="4.26953125" customWidth="1"/>
    <col min="6141" max="6141" width="4" customWidth="1"/>
    <col min="6142" max="6142" width="4.1796875" customWidth="1"/>
    <col min="6143" max="6143" width="4" customWidth="1"/>
    <col min="6144" max="6144" width="10.26953125" customWidth="1"/>
    <col min="6145" max="6145" width="16.7265625" customWidth="1"/>
    <col min="6146" max="6146" width="21" customWidth="1"/>
    <col min="6388" max="6388" width="5.7265625" customWidth="1"/>
    <col min="6391" max="6391" width="22.7265625" customWidth="1"/>
    <col min="6392" max="6392" width="6.26953125" customWidth="1"/>
    <col min="6393" max="6393" width="5.7265625" customWidth="1"/>
    <col min="6394" max="6394" width="6" customWidth="1"/>
    <col min="6395" max="6396" width="4.26953125" customWidth="1"/>
    <col min="6397" max="6397" width="4" customWidth="1"/>
    <col min="6398" max="6398" width="4.1796875" customWidth="1"/>
    <col min="6399" max="6399" width="4" customWidth="1"/>
    <col min="6400" max="6400" width="10.26953125" customWidth="1"/>
    <col min="6401" max="6401" width="16.7265625" customWidth="1"/>
    <col min="6402" max="6402" width="21" customWidth="1"/>
    <col min="6644" max="6644" width="5.7265625" customWidth="1"/>
    <col min="6647" max="6647" width="22.7265625" customWidth="1"/>
    <col min="6648" max="6648" width="6.26953125" customWidth="1"/>
    <col min="6649" max="6649" width="5.7265625" customWidth="1"/>
    <col min="6650" max="6650" width="6" customWidth="1"/>
    <col min="6651" max="6652" width="4.26953125" customWidth="1"/>
    <col min="6653" max="6653" width="4" customWidth="1"/>
    <col min="6654" max="6654" width="4.1796875" customWidth="1"/>
    <col min="6655" max="6655" width="4" customWidth="1"/>
    <col min="6656" max="6656" width="10.26953125" customWidth="1"/>
    <col min="6657" max="6657" width="16.7265625" customWidth="1"/>
    <col min="6658" max="6658" width="21" customWidth="1"/>
    <col min="6900" max="6900" width="5.7265625" customWidth="1"/>
    <col min="6903" max="6903" width="22.7265625" customWidth="1"/>
    <col min="6904" max="6904" width="6.26953125" customWidth="1"/>
    <col min="6905" max="6905" width="5.7265625" customWidth="1"/>
    <col min="6906" max="6906" width="6" customWidth="1"/>
    <col min="6907" max="6908" width="4.26953125" customWidth="1"/>
    <col min="6909" max="6909" width="4" customWidth="1"/>
    <col min="6910" max="6910" width="4.1796875" customWidth="1"/>
    <col min="6911" max="6911" width="4" customWidth="1"/>
    <col min="6912" max="6912" width="10.26953125" customWidth="1"/>
    <col min="6913" max="6913" width="16.7265625" customWidth="1"/>
    <col min="6914" max="6914" width="21" customWidth="1"/>
    <col min="7156" max="7156" width="5.7265625" customWidth="1"/>
    <col min="7159" max="7159" width="22.7265625" customWidth="1"/>
    <col min="7160" max="7160" width="6.26953125" customWidth="1"/>
    <col min="7161" max="7161" width="5.7265625" customWidth="1"/>
    <col min="7162" max="7162" width="6" customWidth="1"/>
    <col min="7163" max="7164" width="4.26953125" customWidth="1"/>
    <col min="7165" max="7165" width="4" customWidth="1"/>
    <col min="7166" max="7166" width="4.1796875" customWidth="1"/>
    <col min="7167" max="7167" width="4" customWidth="1"/>
    <col min="7168" max="7168" width="10.26953125" customWidth="1"/>
    <col min="7169" max="7169" width="16.7265625" customWidth="1"/>
    <col min="7170" max="7170" width="21" customWidth="1"/>
    <col min="7412" max="7412" width="5.7265625" customWidth="1"/>
    <col min="7415" max="7415" width="22.7265625" customWidth="1"/>
    <col min="7416" max="7416" width="6.26953125" customWidth="1"/>
    <col min="7417" max="7417" width="5.7265625" customWidth="1"/>
    <col min="7418" max="7418" width="6" customWidth="1"/>
    <col min="7419" max="7420" width="4.26953125" customWidth="1"/>
    <col min="7421" max="7421" width="4" customWidth="1"/>
    <col min="7422" max="7422" width="4.1796875" customWidth="1"/>
    <col min="7423" max="7423" width="4" customWidth="1"/>
    <col min="7424" max="7424" width="10.26953125" customWidth="1"/>
    <col min="7425" max="7425" width="16.7265625" customWidth="1"/>
    <col min="7426" max="7426" width="21" customWidth="1"/>
    <col min="7668" max="7668" width="5.7265625" customWidth="1"/>
    <col min="7671" max="7671" width="22.7265625" customWidth="1"/>
    <col min="7672" max="7672" width="6.26953125" customWidth="1"/>
    <col min="7673" max="7673" width="5.7265625" customWidth="1"/>
    <col min="7674" max="7674" width="6" customWidth="1"/>
    <col min="7675" max="7676" width="4.26953125" customWidth="1"/>
    <col min="7677" max="7677" width="4" customWidth="1"/>
    <col min="7678" max="7678" width="4.1796875" customWidth="1"/>
    <col min="7679" max="7679" width="4" customWidth="1"/>
    <col min="7680" max="7680" width="10.26953125" customWidth="1"/>
    <col min="7681" max="7681" width="16.7265625" customWidth="1"/>
    <col min="7682" max="7682" width="21" customWidth="1"/>
    <col min="7924" max="7924" width="5.7265625" customWidth="1"/>
    <col min="7927" max="7927" width="22.7265625" customWidth="1"/>
    <col min="7928" max="7928" width="6.26953125" customWidth="1"/>
    <col min="7929" max="7929" width="5.7265625" customWidth="1"/>
    <col min="7930" max="7930" width="6" customWidth="1"/>
    <col min="7931" max="7932" width="4.26953125" customWidth="1"/>
    <col min="7933" max="7933" width="4" customWidth="1"/>
    <col min="7934" max="7934" width="4.1796875" customWidth="1"/>
    <col min="7935" max="7935" width="4" customWidth="1"/>
    <col min="7936" max="7936" width="10.26953125" customWidth="1"/>
    <col min="7937" max="7937" width="16.7265625" customWidth="1"/>
    <col min="7938" max="7938" width="21" customWidth="1"/>
    <col min="8180" max="8180" width="5.7265625" customWidth="1"/>
    <col min="8183" max="8183" width="22.7265625" customWidth="1"/>
    <col min="8184" max="8184" width="6.26953125" customWidth="1"/>
    <col min="8185" max="8185" width="5.7265625" customWidth="1"/>
    <col min="8186" max="8186" width="6" customWidth="1"/>
    <col min="8187" max="8188" width="4.26953125" customWidth="1"/>
    <col min="8189" max="8189" width="4" customWidth="1"/>
    <col min="8190" max="8190" width="4.1796875" customWidth="1"/>
    <col min="8191" max="8191" width="4" customWidth="1"/>
    <col min="8192" max="8192" width="10.26953125" customWidth="1"/>
    <col min="8193" max="8193" width="16.7265625" customWidth="1"/>
    <col min="8194" max="8194" width="21" customWidth="1"/>
    <col min="8436" max="8436" width="5.7265625" customWidth="1"/>
    <col min="8439" max="8439" width="22.7265625" customWidth="1"/>
    <col min="8440" max="8440" width="6.26953125" customWidth="1"/>
    <col min="8441" max="8441" width="5.7265625" customWidth="1"/>
    <col min="8442" max="8442" width="6" customWidth="1"/>
    <col min="8443" max="8444" width="4.26953125" customWidth="1"/>
    <col min="8445" max="8445" width="4" customWidth="1"/>
    <col min="8446" max="8446" width="4.1796875" customWidth="1"/>
    <col min="8447" max="8447" width="4" customWidth="1"/>
    <col min="8448" max="8448" width="10.26953125" customWidth="1"/>
    <col min="8449" max="8449" width="16.7265625" customWidth="1"/>
    <col min="8450" max="8450" width="21" customWidth="1"/>
    <col min="8692" max="8692" width="5.7265625" customWidth="1"/>
    <col min="8695" max="8695" width="22.7265625" customWidth="1"/>
    <col min="8696" max="8696" width="6.26953125" customWidth="1"/>
    <col min="8697" max="8697" width="5.7265625" customWidth="1"/>
    <col min="8698" max="8698" width="6" customWidth="1"/>
    <col min="8699" max="8700" width="4.26953125" customWidth="1"/>
    <col min="8701" max="8701" width="4" customWidth="1"/>
    <col min="8702" max="8702" width="4.1796875" customWidth="1"/>
    <col min="8703" max="8703" width="4" customWidth="1"/>
    <col min="8704" max="8704" width="10.26953125" customWidth="1"/>
    <col min="8705" max="8705" width="16.7265625" customWidth="1"/>
    <col min="8706" max="8706" width="21" customWidth="1"/>
    <col min="8948" max="8948" width="5.7265625" customWidth="1"/>
    <col min="8951" max="8951" width="22.7265625" customWidth="1"/>
    <col min="8952" max="8952" width="6.26953125" customWidth="1"/>
    <col min="8953" max="8953" width="5.7265625" customWidth="1"/>
    <col min="8954" max="8954" width="6" customWidth="1"/>
    <col min="8955" max="8956" width="4.26953125" customWidth="1"/>
    <col min="8957" max="8957" width="4" customWidth="1"/>
    <col min="8958" max="8958" width="4.1796875" customWidth="1"/>
    <col min="8959" max="8959" width="4" customWidth="1"/>
    <col min="8960" max="8960" width="10.26953125" customWidth="1"/>
    <col min="8961" max="8961" width="16.7265625" customWidth="1"/>
    <col min="8962" max="8962" width="21" customWidth="1"/>
    <col min="9204" max="9204" width="5.7265625" customWidth="1"/>
    <col min="9207" max="9207" width="22.7265625" customWidth="1"/>
    <col min="9208" max="9208" width="6.26953125" customWidth="1"/>
    <col min="9209" max="9209" width="5.7265625" customWidth="1"/>
    <col min="9210" max="9210" width="6" customWidth="1"/>
    <col min="9211" max="9212" width="4.26953125" customWidth="1"/>
    <col min="9213" max="9213" width="4" customWidth="1"/>
    <col min="9214" max="9214" width="4.1796875" customWidth="1"/>
    <col min="9215" max="9215" width="4" customWidth="1"/>
    <col min="9216" max="9216" width="10.26953125" customWidth="1"/>
    <col min="9217" max="9217" width="16.7265625" customWidth="1"/>
    <col min="9218" max="9218" width="21" customWidth="1"/>
    <col min="9460" max="9460" width="5.7265625" customWidth="1"/>
    <col min="9463" max="9463" width="22.7265625" customWidth="1"/>
    <col min="9464" max="9464" width="6.26953125" customWidth="1"/>
    <col min="9465" max="9465" width="5.7265625" customWidth="1"/>
    <col min="9466" max="9466" width="6" customWidth="1"/>
    <col min="9467" max="9468" width="4.26953125" customWidth="1"/>
    <col min="9469" max="9469" width="4" customWidth="1"/>
    <col min="9470" max="9470" width="4.1796875" customWidth="1"/>
    <col min="9471" max="9471" width="4" customWidth="1"/>
    <col min="9472" max="9472" width="10.26953125" customWidth="1"/>
    <col min="9473" max="9473" width="16.7265625" customWidth="1"/>
    <col min="9474" max="9474" width="21" customWidth="1"/>
    <col min="9716" max="9716" width="5.7265625" customWidth="1"/>
    <col min="9719" max="9719" width="22.7265625" customWidth="1"/>
    <col min="9720" max="9720" width="6.26953125" customWidth="1"/>
    <col min="9721" max="9721" width="5.7265625" customWidth="1"/>
    <col min="9722" max="9722" width="6" customWidth="1"/>
    <col min="9723" max="9724" width="4.26953125" customWidth="1"/>
    <col min="9725" max="9725" width="4" customWidth="1"/>
    <col min="9726" max="9726" width="4.1796875" customWidth="1"/>
    <col min="9727" max="9727" width="4" customWidth="1"/>
    <col min="9728" max="9728" width="10.26953125" customWidth="1"/>
    <col min="9729" max="9729" width="16.7265625" customWidth="1"/>
    <col min="9730" max="9730" width="21" customWidth="1"/>
    <col min="9972" max="9972" width="5.7265625" customWidth="1"/>
    <col min="9975" max="9975" width="22.7265625" customWidth="1"/>
    <col min="9976" max="9976" width="6.26953125" customWidth="1"/>
    <col min="9977" max="9977" width="5.7265625" customWidth="1"/>
    <col min="9978" max="9978" width="6" customWidth="1"/>
    <col min="9979" max="9980" width="4.26953125" customWidth="1"/>
    <col min="9981" max="9981" width="4" customWidth="1"/>
    <col min="9982" max="9982" width="4.1796875" customWidth="1"/>
    <col min="9983" max="9983" width="4" customWidth="1"/>
    <col min="9984" max="9984" width="10.26953125" customWidth="1"/>
    <col min="9985" max="9985" width="16.7265625" customWidth="1"/>
    <col min="9986" max="9986" width="21" customWidth="1"/>
    <col min="10228" max="10228" width="5.7265625" customWidth="1"/>
    <col min="10231" max="10231" width="22.7265625" customWidth="1"/>
    <col min="10232" max="10232" width="6.26953125" customWidth="1"/>
    <col min="10233" max="10233" width="5.7265625" customWidth="1"/>
    <col min="10234" max="10234" width="6" customWidth="1"/>
    <col min="10235" max="10236" width="4.26953125" customWidth="1"/>
    <col min="10237" max="10237" width="4" customWidth="1"/>
    <col min="10238" max="10238" width="4.1796875" customWidth="1"/>
    <col min="10239" max="10239" width="4" customWidth="1"/>
    <col min="10240" max="10240" width="10.26953125" customWidth="1"/>
    <col min="10241" max="10241" width="16.7265625" customWidth="1"/>
    <col min="10242" max="10242" width="21" customWidth="1"/>
    <col min="10484" max="10484" width="5.7265625" customWidth="1"/>
    <col min="10487" max="10487" width="22.7265625" customWidth="1"/>
    <col min="10488" max="10488" width="6.26953125" customWidth="1"/>
    <col min="10489" max="10489" width="5.7265625" customWidth="1"/>
    <col min="10490" max="10490" width="6" customWidth="1"/>
    <col min="10491" max="10492" width="4.26953125" customWidth="1"/>
    <col min="10493" max="10493" width="4" customWidth="1"/>
    <col min="10494" max="10494" width="4.1796875" customWidth="1"/>
    <col min="10495" max="10495" width="4" customWidth="1"/>
    <col min="10496" max="10496" width="10.26953125" customWidth="1"/>
    <col min="10497" max="10497" width="16.7265625" customWidth="1"/>
    <col min="10498" max="10498" width="21" customWidth="1"/>
    <col min="10740" max="10740" width="5.7265625" customWidth="1"/>
    <col min="10743" max="10743" width="22.7265625" customWidth="1"/>
    <col min="10744" max="10744" width="6.26953125" customWidth="1"/>
    <col min="10745" max="10745" width="5.7265625" customWidth="1"/>
    <col min="10746" max="10746" width="6" customWidth="1"/>
    <col min="10747" max="10748" width="4.26953125" customWidth="1"/>
    <col min="10749" max="10749" width="4" customWidth="1"/>
    <col min="10750" max="10750" width="4.1796875" customWidth="1"/>
    <col min="10751" max="10751" width="4" customWidth="1"/>
    <col min="10752" max="10752" width="10.26953125" customWidth="1"/>
    <col min="10753" max="10753" width="16.7265625" customWidth="1"/>
    <col min="10754" max="10754" width="21" customWidth="1"/>
    <col min="10996" max="10996" width="5.7265625" customWidth="1"/>
    <col min="10999" max="10999" width="22.7265625" customWidth="1"/>
    <col min="11000" max="11000" width="6.26953125" customWidth="1"/>
    <col min="11001" max="11001" width="5.7265625" customWidth="1"/>
    <col min="11002" max="11002" width="6" customWidth="1"/>
    <col min="11003" max="11004" width="4.26953125" customWidth="1"/>
    <col min="11005" max="11005" width="4" customWidth="1"/>
    <col min="11006" max="11006" width="4.1796875" customWidth="1"/>
    <col min="11007" max="11007" width="4" customWidth="1"/>
    <col min="11008" max="11008" width="10.26953125" customWidth="1"/>
    <col min="11009" max="11009" width="16.7265625" customWidth="1"/>
    <col min="11010" max="11010" width="21" customWidth="1"/>
    <col min="11252" max="11252" width="5.7265625" customWidth="1"/>
    <col min="11255" max="11255" width="22.7265625" customWidth="1"/>
    <col min="11256" max="11256" width="6.26953125" customWidth="1"/>
    <col min="11257" max="11257" width="5.7265625" customWidth="1"/>
    <col min="11258" max="11258" width="6" customWidth="1"/>
    <col min="11259" max="11260" width="4.26953125" customWidth="1"/>
    <col min="11261" max="11261" width="4" customWidth="1"/>
    <col min="11262" max="11262" width="4.1796875" customWidth="1"/>
    <col min="11263" max="11263" width="4" customWidth="1"/>
    <col min="11264" max="11264" width="10.26953125" customWidth="1"/>
    <col min="11265" max="11265" width="16.7265625" customWidth="1"/>
    <col min="11266" max="11266" width="21" customWidth="1"/>
    <col min="11508" max="11508" width="5.7265625" customWidth="1"/>
    <col min="11511" max="11511" width="22.7265625" customWidth="1"/>
    <col min="11512" max="11512" width="6.26953125" customWidth="1"/>
    <col min="11513" max="11513" width="5.7265625" customWidth="1"/>
    <col min="11514" max="11514" width="6" customWidth="1"/>
    <col min="11515" max="11516" width="4.26953125" customWidth="1"/>
    <col min="11517" max="11517" width="4" customWidth="1"/>
    <col min="11518" max="11518" width="4.1796875" customWidth="1"/>
    <col min="11519" max="11519" width="4" customWidth="1"/>
    <col min="11520" max="11520" width="10.26953125" customWidth="1"/>
    <col min="11521" max="11521" width="16.7265625" customWidth="1"/>
    <col min="11522" max="11522" width="21" customWidth="1"/>
    <col min="11764" max="11764" width="5.7265625" customWidth="1"/>
    <col min="11767" max="11767" width="22.7265625" customWidth="1"/>
    <col min="11768" max="11768" width="6.26953125" customWidth="1"/>
    <col min="11769" max="11769" width="5.7265625" customWidth="1"/>
    <col min="11770" max="11770" width="6" customWidth="1"/>
    <col min="11771" max="11772" width="4.26953125" customWidth="1"/>
    <col min="11773" max="11773" width="4" customWidth="1"/>
    <col min="11774" max="11774" width="4.1796875" customWidth="1"/>
    <col min="11775" max="11775" width="4" customWidth="1"/>
    <col min="11776" max="11776" width="10.26953125" customWidth="1"/>
    <col min="11777" max="11777" width="16.7265625" customWidth="1"/>
    <col min="11778" max="11778" width="21" customWidth="1"/>
    <col min="12020" max="12020" width="5.7265625" customWidth="1"/>
    <col min="12023" max="12023" width="22.7265625" customWidth="1"/>
    <col min="12024" max="12024" width="6.26953125" customWidth="1"/>
    <col min="12025" max="12025" width="5.7265625" customWidth="1"/>
    <col min="12026" max="12026" width="6" customWidth="1"/>
    <col min="12027" max="12028" width="4.26953125" customWidth="1"/>
    <col min="12029" max="12029" width="4" customWidth="1"/>
    <col min="12030" max="12030" width="4.1796875" customWidth="1"/>
    <col min="12031" max="12031" width="4" customWidth="1"/>
    <col min="12032" max="12032" width="10.26953125" customWidth="1"/>
    <col min="12033" max="12033" width="16.7265625" customWidth="1"/>
    <col min="12034" max="12034" width="21" customWidth="1"/>
    <col min="12276" max="12276" width="5.7265625" customWidth="1"/>
    <col min="12279" max="12279" width="22.7265625" customWidth="1"/>
    <col min="12280" max="12280" width="6.26953125" customWidth="1"/>
    <col min="12281" max="12281" width="5.7265625" customWidth="1"/>
    <col min="12282" max="12282" width="6" customWidth="1"/>
    <col min="12283" max="12284" width="4.26953125" customWidth="1"/>
    <col min="12285" max="12285" width="4" customWidth="1"/>
    <col min="12286" max="12286" width="4.1796875" customWidth="1"/>
    <col min="12287" max="12287" width="4" customWidth="1"/>
    <col min="12288" max="12288" width="10.26953125" customWidth="1"/>
    <col min="12289" max="12289" width="16.7265625" customWidth="1"/>
    <col min="12290" max="12290" width="21" customWidth="1"/>
    <col min="12532" max="12532" width="5.7265625" customWidth="1"/>
    <col min="12535" max="12535" width="22.7265625" customWidth="1"/>
    <col min="12536" max="12536" width="6.26953125" customWidth="1"/>
    <col min="12537" max="12537" width="5.7265625" customWidth="1"/>
    <col min="12538" max="12538" width="6" customWidth="1"/>
    <col min="12539" max="12540" width="4.26953125" customWidth="1"/>
    <col min="12541" max="12541" width="4" customWidth="1"/>
    <col min="12542" max="12542" width="4.1796875" customWidth="1"/>
    <col min="12543" max="12543" width="4" customWidth="1"/>
    <col min="12544" max="12544" width="10.26953125" customWidth="1"/>
    <col min="12545" max="12545" width="16.7265625" customWidth="1"/>
    <col min="12546" max="12546" width="21" customWidth="1"/>
    <col min="12788" max="12788" width="5.7265625" customWidth="1"/>
    <col min="12791" max="12791" width="22.7265625" customWidth="1"/>
    <col min="12792" max="12792" width="6.26953125" customWidth="1"/>
    <col min="12793" max="12793" width="5.7265625" customWidth="1"/>
    <col min="12794" max="12794" width="6" customWidth="1"/>
    <col min="12795" max="12796" width="4.26953125" customWidth="1"/>
    <col min="12797" max="12797" width="4" customWidth="1"/>
    <col min="12798" max="12798" width="4.1796875" customWidth="1"/>
    <col min="12799" max="12799" width="4" customWidth="1"/>
    <col min="12800" max="12800" width="10.26953125" customWidth="1"/>
    <col min="12801" max="12801" width="16.7265625" customWidth="1"/>
    <col min="12802" max="12802" width="21" customWidth="1"/>
    <col min="13044" max="13044" width="5.7265625" customWidth="1"/>
    <col min="13047" max="13047" width="22.7265625" customWidth="1"/>
    <col min="13048" max="13048" width="6.26953125" customWidth="1"/>
    <col min="13049" max="13049" width="5.7265625" customWidth="1"/>
    <col min="13050" max="13050" width="6" customWidth="1"/>
    <col min="13051" max="13052" width="4.26953125" customWidth="1"/>
    <col min="13053" max="13053" width="4" customWidth="1"/>
    <col min="13054" max="13054" width="4.1796875" customWidth="1"/>
    <col min="13055" max="13055" width="4" customWidth="1"/>
    <col min="13056" max="13056" width="10.26953125" customWidth="1"/>
    <col min="13057" max="13057" width="16.7265625" customWidth="1"/>
    <col min="13058" max="13058" width="21" customWidth="1"/>
    <col min="13300" max="13300" width="5.7265625" customWidth="1"/>
    <col min="13303" max="13303" width="22.7265625" customWidth="1"/>
    <col min="13304" max="13304" width="6.26953125" customWidth="1"/>
    <col min="13305" max="13305" width="5.7265625" customWidth="1"/>
    <col min="13306" max="13306" width="6" customWidth="1"/>
    <col min="13307" max="13308" width="4.26953125" customWidth="1"/>
    <col min="13309" max="13309" width="4" customWidth="1"/>
    <col min="13310" max="13310" width="4.1796875" customWidth="1"/>
    <col min="13311" max="13311" width="4" customWidth="1"/>
    <col min="13312" max="13312" width="10.26953125" customWidth="1"/>
    <col min="13313" max="13313" width="16.7265625" customWidth="1"/>
    <col min="13314" max="13314" width="21" customWidth="1"/>
    <col min="13556" max="13556" width="5.7265625" customWidth="1"/>
    <col min="13559" max="13559" width="22.7265625" customWidth="1"/>
    <col min="13560" max="13560" width="6.26953125" customWidth="1"/>
    <col min="13561" max="13561" width="5.7265625" customWidth="1"/>
    <col min="13562" max="13562" width="6" customWidth="1"/>
    <col min="13563" max="13564" width="4.26953125" customWidth="1"/>
    <col min="13565" max="13565" width="4" customWidth="1"/>
    <col min="13566" max="13566" width="4.1796875" customWidth="1"/>
    <col min="13567" max="13567" width="4" customWidth="1"/>
    <col min="13568" max="13568" width="10.26953125" customWidth="1"/>
    <col min="13569" max="13569" width="16.7265625" customWidth="1"/>
    <col min="13570" max="13570" width="21" customWidth="1"/>
    <col min="13812" max="13812" width="5.7265625" customWidth="1"/>
    <col min="13815" max="13815" width="22.7265625" customWidth="1"/>
    <col min="13816" max="13816" width="6.26953125" customWidth="1"/>
    <col min="13817" max="13817" width="5.7265625" customWidth="1"/>
    <col min="13818" max="13818" width="6" customWidth="1"/>
    <col min="13819" max="13820" width="4.26953125" customWidth="1"/>
    <col min="13821" max="13821" width="4" customWidth="1"/>
    <col min="13822" max="13822" width="4.1796875" customWidth="1"/>
    <col min="13823" max="13823" width="4" customWidth="1"/>
    <col min="13824" max="13824" width="10.26953125" customWidth="1"/>
    <col min="13825" max="13825" width="16.7265625" customWidth="1"/>
    <col min="13826" max="13826" width="21" customWidth="1"/>
    <col min="14068" max="14068" width="5.7265625" customWidth="1"/>
    <col min="14071" max="14071" width="22.7265625" customWidth="1"/>
    <col min="14072" max="14072" width="6.26953125" customWidth="1"/>
    <col min="14073" max="14073" width="5.7265625" customWidth="1"/>
    <col min="14074" max="14074" width="6" customWidth="1"/>
    <col min="14075" max="14076" width="4.26953125" customWidth="1"/>
    <col min="14077" max="14077" width="4" customWidth="1"/>
    <col min="14078" max="14078" width="4.1796875" customWidth="1"/>
    <col min="14079" max="14079" width="4" customWidth="1"/>
    <col min="14080" max="14080" width="10.26953125" customWidth="1"/>
    <col min="14081" max="14081" width="16.7265625" customWidth="1"/>
    <col min="14082" max="14082" width="21" customWidth="1"/>
    <col min="14324" max="14324" width="5.7265625" customWidth="1"/>
    <col min="14327" max="14327" width="22.7265625" customWidth="1"/>
    <col min="14328" max="14328" width="6.26953125" customWidth="1"/>
    <col min="14329" max="14329" width="5.7265625" customWidth="1"/>
    <col min="14330" max="14330" width="6" customWidth="1"/>
    <col min="14331" max="14332" width="4.26953125" customWidth="1"/>
    <col min="14333" max="14333" width="4" customWidth="1"/>
    <col min="14334" max="14334" width="4.1796875" customWidth="1"/>
    <col min="14335" max="14335" width="4" customWidth="1"/>
    <col min="14336" max="14336" width="10.26953125" customWidth="1"/>
    <col min="14337" max="14337" width="16.7265625" customWidth="1"/>
    <col min="14338" max="14338" width="21" customWidth="1"/>
    <col min="14580" max="14580" width="5.7265625" customWidth="1"/>
    <col min="14583" max="14583" width="22.7265625" customWidth="1"/>
    <col min="14584" max="14584" width="6.26953125" customWidth="1"/>
    <col min="14585" max="14585" width="5.7265625" customWidth="1"/>
    <col min="14586" max="14586" width="6" customWidth="1"/>
    <col min="14587" max="14588" width="4.26953125" customWidth="1"/>
    <col min="14589" max="14589" width="4" customWidth="1"/>
    <col min="14590" max="14590" width="4.1796875" customWidth="1"/>
    <col min="14591" max="14591" width="4" customWidth="1"/>
    <col min="14592" max="14592" width="10.26953125" customWidth="1"/>
    <col min="14593" max="14593" width="16.7265625" customWidth="1"/>
    <col min="14594" max="14594" width="21" customWidth="1"/>
    <col min="14836" max="14836" width="5.7265625" customWidth="1"/>
    <col min="14839" max="14839" width="22.7265625" customWidth="1"/>
    <col min="14840" max="14840" width="6.26953125" customWidth="1"/>
    <col min="14841" max="14841" width="5.7265625" customWidth="1"/>
    <col min="14842" max="14842" width="6" customWidth="1"/>
    <col min="14843" max="14844" width="4.26953125" customWidth="1"/>
    <col min="14845" max="14845" width="4" customWidth="1"/>
    <col min="14846" max="14846" width="4.1796875" customWidth="1"/>
    <col min="14847" max="14847" width="4" customWidth="1"/>
    <col min="14848" max="14848" width="10.26953125" customWidth="1"/>
    <col min="14849" max="14849" width="16.7265625" customWidth="1"/>
    <col min="14850" max="14850" width="21" customWidth="1"/>
    <col min="15092" max="15092" width="5.7265625" customWidth="1"/>
    <col min="15095" max="15095" width="22.7265625" customWidth="1"/>
    <col min="15096" max="15096" width="6.26953125" customWidth="1"/>
    <col min="15097" max="15097" width="5.7265625" customWidth="1"/>
    <col min="15098" max="15098" width="6" customWidth="1"/>
    <col min="15099" max="15100" width="4.26953125" customWidth="1"/>
    <col min="15101" max="15101" width="4" customWidth="1"/>
    <col min="15102" max="15102" width="4.1796875" customWidth="1"/>
    <col min="15103" max="15103" width="4" customWidth="1"/>
    <col min="15104" max="15104" width="10.26953125" customWidth="1"/>
    <col min="15105" max="15105" width="16.7265625" customWidth="1"/>
    <col min="15106" max="15106" width="21" customWidth="1"/>
    <col min="15348" max="15348" width="5.7265625" customWidth="1"/>
    <col min="15351" max="15351" width="22.7265625" customWidth="1"/>
    <col min="15352" max="15352" width="6.26953125" customWidth="1"/>
    <col min="15353" max="15353" width="5.7265625" customWidth="1"/>
    <col min="15354" max="15354" width="6" customWidth="1"/>
    <col min="15355" max="15356" width="4.26953125" customWidth="1"/>
    <col min="15357" max="15357" width="4" customWidth="1"/>
    <col min="15358" max="15358" width="4.1796875" customWidth="1"/>
    <col min="15359" max="15359" width="4" customWidth="1"/>
    <col min="15360" max="15360" width="10.26953125" customWidth="1"/>
    <col min="15361" max="15361" width="16.7265625" customWidth="1"/>
    <col min="15362" max="15362" width="21" customWidth="1"/>
    <col min="15604" max="15604" width="5.7265625" customWidth="1"/>
    <col min="15607" max="15607" width="22.7265625" customWidth="1"/>
    <col min="15608" max="15608" width="6.26953125" customWidth="1"/>
    <col min="15609" max="15609" width="5.7265625" customWidth="1"/>
    <col min="15610" max="15610" width="6" customWidth="1"/>
    <col min="15611" max="15612" width="4.26953125" customWidth="1"/>
    <col min="15613" max="15613" width="4" customWidth="1"/>
    <col min="15614" max="15614" width="4.1796875" customWidth="1"/>
    <col min="15615" max="15615" width="4" customWidth="1"/>
    <col min="15616" max="15616" width="10.26953125" customWidth="1"/>
    <col min="15617" max="15617" width="16.7265625" customWidth="1"/>
    <col min="15618" max="15618" width="21" customWidth="1"/>
    <col min="15860" max="15860" width="5.7265625" customWidth="1"/>
    <col min="15863" max="15863" width="22.7265625" customWidth="1"/>
    <col min="15864" max="15864" width="6.26953125" customWidth="1"/>
    <col min="15865" max="15865" width="5.7265625" customWidth="1"/>
    <col min="15866" max="15866" width="6" customWidth="1"/>
    <col min="15867" max="15868" width="4.26953125" customWidth="1"/>
    <col min="15869" max="15869" width="4" customWidth="1"/>
    <col min="15870" max="15870" width="4.1796875" customWidth="1"/>
    <col min="15871" max="15871" width="4" customWidth="1"/>
    <col min="15872" max="15872" width="10.26953125" customWidth="1"/>
    <col min="15873" max="15873" width="16.7265625" customWidth="1"/>
    <col min="15874" max="15874" width="21" customWidth="1"/>
    <col min="16116" max="16116" width="5.7265625" customWidth="1"/>
    <col min="16119" max="16119" width="22.7265625" customWidth="1"/>
    <col min="16120" max="16120" width="6.26953125" customWidth="1"/>
    <col min="16121" max="16121" width="5.7265625" customWidth="1"/>
    <col min="16122" max="16122" width="6" customWidth="1"/>
    <col min="16123" max="16124" width="4.26953125" customWidth="1"/>
    <col min="16125" max="16125" width="4" customWidth="1"/>
    <col min="16126" max="16126" width="4.1796875" customWidth="1"/>
    <col min="16127" max="16127" width="4" customWidth="1"/>
    <col min="16128" max="16128" width="10.26953125" customWidth="1"/>
    <col min="16129" max="16129" width="16.7265625" customWidth="1"/>
    <col min="16130" max="16130" width="21" customWidth="1"/>
  </cols>
  <sheetData>
    <row r="1" spans="1:144" ht="14.5" customHeight="1" x14ac:dyDescent="0.35">
      <c r="A1" s="1151" t="s">
        <v>120</v>
      </c>
      <c r="B1" s="1152"/>
      <c r="C1" s="1152"/>
      <c r="D1" s="1152"/>
      <c r="E1" s="1152"/>
      <c r="F1" s="1152"/>
      <c r="G1" s="1152"/>
      <c r="H1" s="1152"/>
      <c r="I1" s="1152"/>
      <c r="J1" s="1152"/>
      <c r="K1" s="1152"/>
      <c r="L1" s="1152"/>
      <c r="M1" s="1152"/>
      <c r="N1" s="1152"/>
      <c r="O1" s="1152"/>
      <c r="P1" s="1167"/>
    </row>
    <row r="2" spans="1:144" ht="23.5" customHeight="1" x14ac:dyDescent="0.35">
      <c r="A2" s="1154"/>
      <c r="B2" s="1155"/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5"/>
      <c r="O2" s="1155"/>
      <c r="P2" s="1168"/>
    </row>
    <row r="3" spans="1:144" ht="14.5" customHeight="1" x14ac:dyDescent="0.35">
      <c r="A3" s="1162" t="s">
        <v>121</v>
      </c>
      <c r="B3" s="954" t="s">
        <v>122</v>
      </c>
      <c r="C3" s="954" t="s">
        <v>123</v>
      </c>
      <c r="D3" s="954" t="s">
        <v>105</v>
      </c>
      <c r="E3" s="954" t="s">
        <v>124</v>
      </c>
      <c r="F3" s="954"/>
      <c r="G3" s="954"/>
      <c r="H3" s="954"/>
      <c r="I3" s="954"/>
      <c r="J3" s="954"/>
      <c r="K3" s="954"/>
      <c r="L3" s="954"/>
      <c r="M3" s="954"/>
      <c r="N3" s="1161" t="s">
        <v>913</v>
      </c>
      <c r="O3" s="1170" t="s">
        <v>914</v>
      </c>
      <c r="P3" s="1370"/>
    </row>
    <row r="4" spans="1:144" ht="28.9" customHeight="1" x14ac:dyDescent="0.35">
      <c r="A4" s="1162"/>
      <c r="B4" s="954"/>
      <c r="C4" s="954"/>
      <c r="D4" s="954"/>
      <c r="E4" s="1161" t="s">
        <v>920</v>
      </c>
      <c r="F4" s="1161"/>
      <c r="G4" s="1161"/>
      <c r="H4" s="1161"/>
      <c r="I4" s="1161" t="s">
        <v>921</v>
      </c>
      <c r="J4" s="1161"/>
      <c r="K4" s="1161"/>
      <c r="L4" s="1161"/>
      <c r="M4" s="1161" t="s">
        <v>915</v>
      </c>
      <c r="N4" s="1161"/>
      <c r="O4" s="1371"/>
      <c r="P4" s="1372"/>
    </row>
    <row r="5" spans="1:144" x14ac:dyDescent="0.35">
      <c r="A5" s="1162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1161"/>
      <c r="N5" s="440"/>
      <c r="O5" s="1173"/>
      <c r="P5" s="1373"/>
    </row>
    <row r="6" spans="1:144" hidden="1" x14ac:dyDescent="0.35">
      <c r="A6" s="814">
        <v>1</v>
      </c>
      <c r="B6" s="532" t="s">
        <v>125</v>
      </c>
      <c r="C6" s="532" t="s">
        <v>126</v>
      </c>
      <c r="D6" s="532" t="s">
        <v>127</v>
      </c>
      <c r="E6" s="532">
        <v>1</v>
      </c>
      <c r="F6" s="532">
        <v>1</v>
      </c>
      <c r="G6" s="532" t="s">
        <v>916</v>
      </c>
      <c r="H6" s="533" t="s">
        <v>916</v>
      </c>
      <c r="I6" s="533" t="s">
        <v>916</v>
      </c>
      <c r="J6" s="533" t="s">
        <v>916</v>
      </c>
      <c r="K6" s="533" t="s">
        <v>916</v>
      </c>
      <c r="L6" s="533" t="s">
        <v>916</v>
      </c>
      <c r="M6" s="532">
        <v>28.315000000000001</v>
      </c>
      <c r="N6" s="532" t="s">
        <v>917</v>
      </c>
      <c r="O6" s="795" t="s">
        <v>945</v>
      </c>
      <c r="P6" s="822"/>
    </row>
    <row r="7" spans="1:144" hidden="1" x14ac:dyDescent="0.35">
      <c r="A7" s="38">
        <v>2</v>
      </c>
      <c r="B7" s="39" t="s">
        <v>128</v>
      </c>
      <c r="C7" s="39" t="s">
        <v>129</v>
      </c>
      <c r="D7" s="39" t="s">
        <v>130</v>
      </c>
      <c r="E7" s="39" t="s">
        <v>916</v>
      </c>
      <c r="F7" s="39" t="s">
        <v>916</v>
      </c>
      <c r="G7" s="39" t="s">
        <v>916</v>
      </c>
      <c r="H7" s="534" t="s">
        <v>916</v>
      </c>
      <c r="I7" s="461" t="s">
        <v>916</v>
      </c>
      <c r="J7" s="461" t="s">
        <v>916</v>
      </c>
      <c r="K7" s="461" t="s">
        <v>916</v>
      </c>
      <c r="L7" s="461" t="s">
        <v>916</v>
      </c>
      <c r="M7" s="39">
        <v>57.536999999999999</v>
      </c>
      <c r="N7" s="39" t="s">
        <v>917</v>
      </c>
      <c r="O7" s="591"/>
      <c r="P7" s="822"/>
    </row>
    <row r="8" spans="1:144" hidden="1" x14ac:dyDescent="0.35">
      <c r="A8" s="38">
        <v>3</v>
      </c>
      <c r="B8" s="39" t="s">
        <v>131</v>
      </c>
      <c r="C8" s="39" t="s">
        <v>132</v>
      </c>
      <c r="D8" s="39" t="s">
        <v>130</v>
      </c>
      <c r="E8" s="39" t="s">
        <v>916</v>
      </c>
      <c r="F8" s="39" t="s">
        <v>916</v>
      </c>
      <c r="G8" s="39" t="s">
        <v>916</v>
      </c>
      <c r="H8" s="534" t="s">
        <v>916</v>
      </c>
      <c r="I8" s="461" t="s">
        <v>916</v>
      </c>
      <c r="J8" s="461" t="s">
        <v>916</v>
      </c>
      <c r="K8" s="461" t="s">
        <v>916</v>
      </c>
      <c r="L8" s="461" t="s">
        <v>916</v>
      </c>
      <c r="M8" s="39">
        <v>67.992999999999995</v>
      </c>
      <c r="N8" s="39" t="s">
        <v>917</v>
      </c>
      <c r="O8" s="591"/>
      <c r="P8" s="822"/>
    </row>
    <row r="9" spans="1:144" s="445" customFormat="1" hidden="1" x14ac:dyDescent="0.35">
      <c r="A9" s="38">
        <v>4</v>
      </c>
      <c r="B9" s="39" t="s">
        <v>133</v>
      </c>
      <c r="C9" s="39" t="s">
        <v>134</v>
      </c>
      <c r="D9" s="39" t="s">
        <v>135</v>
      </c>
      <c r="E9" s="39">
        <v>3</v>
      </c>
      <c r="F9" s="39">
        <v>3</v>
      </c>
      <c r="G9" s="39">
        <v>3</v>
      </c>
      <c r="H9" s="39">
        <v>3</v>
      </c>
      <c r="I9" s="461" t="s">
        <v>916</v>
      </c>
      <c r="J9" s="461" t="s">
        <v>916</v>
      </c>
      <c r="K9" s="461" t="s">
        <v>916</v>
      </c>
      <c r="L9" s="461" t="s">
        <v>916</v>
      </c>
      <c r="M9" s="39"/>
      <c r="N9" s="39" t="s">
        <v>917</v>
      </c>
      <c r="O9" s="795" t="s">
        <v>945</v>
      </c>
      <c r="P9" s="822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  <c r="EN9" s="456"/>
    </row>
    <row r="10" spans="1:144" s="445" customFormat="1" hidden="1" x14ac:dyDescent="0.35">
      <c r="A10" s="38">
        <v>5</v>
      </c>
      <c r="B10" s="39" t="s">
        <v>136</v>
      </c>
      <c r="C10" s="39" t="s">
        <v>137</v>
      </c>
      <c r="D10" s="39" t="s">
        <v>130</v>
      </c>
      <c r="E10" s="39" t="s">
        <v>916</v>
      </c>
      <c r="F10" s="39" t="s">
        <v>916</v>
      </c>
      <c r="G10" s="39" t="s">
        <v>916</v>
      </c>
      <c r="H10" s="534" t="s">
        <v>916</v>
      </c>
      <c r="I10" s="461" t="s">
        <v>916</v>
      </c>
      <c r="J10" s="461" t="s">
        <v>916</v>
      </c>
      <c r="K10" s="461" t="s">
        <v>916</v>
      </c>
      <c r="L10" s="461" t="s">
        <v>916</v>
      </c>
      <c r="M10" s="39">
        <v>21.815999999999999</v>
      </c>
      <c r="N10" s="39" t="s">
        <v>917</v>
      </c>
      <c r="O10" s="461"/>
      <c r="P10" s="822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  <c r="EN10" s="456"/>
    </row>
    <row r="11" spans="1:144" hidden="1" x14ac:dyDescent="0.35">
      <c r="A11" s="38">
        <v>6</v>
      </c>
      <c r="B11" s="39" t="s">
        <v>138</v>
      </c>
      <c r="C11" s="39" t="s">
        <v>139</v>
      </c>
      <c r="D11" s="532" t="s">
        <v>127</v>
      </c>
      <c r="E11" s="39">
        <v>1</v>
      </c>
      <c r="F11" s="39">
        <v>1</v>
      </c>
      <c r="G11" s="39" t="s">
        <v>916</v>
      </c>
      <c r="H11" s="461" t="s">
        <v>916</v>
      </c>
      <c r="I11" s="461" t="s">
        <v>916</v>
      </c>
      <c r="J11" s="461" t="s">
        <v>916</v>
      </c>
      <c r="K11" s="461" t="s">
        <v>916</v>
      </c>
      <c r="L11" s="461" t="s">
        <v>916</v>
      </c>
      <c r="M11" s="39">
        <v>6.7489999999999997</v>
      </c>
      <c r="N11" s="39" t="s">
        <v>917</v>
      </c>
      <c r="O11" s="795" t="s">
        <v>945</v>
      </c>
      <c r="P11" s="822"/>
    </row>
    <row r="12" spans="1:144" hidden="1" x14ac:dyDescent="0.35">
      <c r="A12" s="38">
        <v>7</v>
      </c>
      <c r="B12" s="39" t="s">
        <v>141</v>
      </c>
      <c r="C12" s="39" t="s">
        <v>142</v>
      </c>
      <c r="D12" s="39" t="s">
        <v>130</v>
      </c>
      <c r="E12" s="39" t="s">
        <v>916</v>
      </c>
      <c r="F12" s="39" t="s">
        <v>916</v>
      </c>
      <c r="G12" s="39" t="s">
        <v>916</v>
      </c>
      <c r="H12" s="534" t="s">
        <v>916</v>
      </c>
      <c r="I12" s="461" t="s">
        <v>916</v>
      </c>
      <c r="J12" s="461" t="s">
        <v>916</v>
      </c>
      <c r="K12" s="461" t="s">
        <v>916</v>
      </c>
      <c r="L12" s="461" t="s">
        <v>916</v>
      </c>
      <c r="M12" s="39">
        <v>24.495999999999999</v>
      </c>
      <c r="N12" s="39" t="s">
        <v>917</v>
      </c>
      <c r="O12" s="591"/>
      <c r="P12" s="822"/>
    </row>
    <row r="13" spans="1:144" ht="29" x14ac:dyDescent="0.35">
      <c r="A13" s="38">
        <v>8</v>
      </c>
      <c r="B13" s="787" t="s">
        <v>143</v>
      </c>
      <c r="C13" s="787" t="s">
        <v>144</v>
      </c>
      <c r="D13" s="788" t="s">
        <v>1094</v>
      </c>
      <c r="E13" s="787"/>
      <c r="F13" s="787"/>
      <c r="G13" s="787"/>
      <c r="H13" s="787">
        <v>1</v>
      </c>
      <c r="I13" s="788" t="s">
        <v>916</v>
      </c>
      <c r="J13" s="788" t="s">
        <v>916</v>
      </c>
      <c r="K13" s="788" t="s">
        <v>916</v>
      </c>
      <c r="L13" s="788" t="s">
        <v>916</v>
      </c>
      <c r="M13" s="787">
        <v>29.094000000000001</v>
      </c>
      <c r="N13" s="787" t="s">
        <v>853</v>
      </c>
      <c r="O13" s="477" t="s">
        <v>945</v>
      </c>
      <c r="P13" s="899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</row>
    <row r="14" spans="1:144" ht="29" x14ac:dyDescent="0.35">
      <c r="A14" s="38">
        <v>9</v>
      </c>
      <c r="B14" s="39" t="s">
        <v>145</v>
      </c>
      <c r="C14" s="39" t="s">
        <v>146</v>
      </c>
      <c r="D14" s="461" t="s">
        <v>147</v>
      </c>
      <c r="E14" s="533">
        <v>0</v>
      </c>
      <c r="F14" s="533">
        <v>0</v>
      </c>
      <c r="G14" s="533">
        <v>3</v>
      </c>
      <c r="H14" s="533">
        <v>0</v>
      </c>
      <c r="I14" s="533">
        <v>6</v>
      </c>
      <c r="J14" s="533">
        <v>9</v>
      </c>
      <c r="K14" s="533">
        <v>9</v>
      </c>
      <c r="L14" s="533">
        <v>9</v>
      </c>
      <c r="M14" s="532">
        <v>29.029</v>
      </c>
      <c r="N14" s="532" t="s">
        <v>853</v>
      </c>
      <c r="O14" s="533" t="s">
        <v>1255</v>
      </c>
      <c r="P14" s="37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</row>
    <row r="15" spans="1:144" ht="29" x14ac:dyDescent="0.35">
      <c r="A15" s="38">
        <v>10</v>
      </c>
      <c r="B15" s="39" t="s">
        <v>148</v>
      </c>
      <c r="C15" s="39" t="s">
        <v>149</v>
      </c>
      <c r="D15" s="461" t="s">
        <v>147</v>
      </c>
      <c r="E15" s="532" t="s">
        <v>916</v>
      </c>
      <c r="F15" s="532" t="s">
        <v>916</v>
      </c>
      <c r="G15" s="532">
        <v>1.5</v>
      </c>
      <c r="H15" s="532"/>
      <c r="I15" s="532">
        <v>1.5</v>
      </c>
      <c r="J15" s="533">
        <v>3</v>
      </c>
      <c r="K15" s="533">
        <v>3</v>
      </c>
      <c r="L15" s="533">
        <v>3</v>
      </c>
      <c r="M15" s="532">
        <v>13.173999999999999</v>
      </c>
      <c r="N15" s="532" t="s">
        <v>853</v>
      </c>
      <c r="O15" s="532" t="s">
        <v>945</v>
      </c>
      <c r="P15" s="37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</row>
    <row r="16" spans="1:144" ht="29" x14ac:dyDescent="0.35">
      <c r="A16" s="38">
        <v>11</v>
      </c>
      <c r="B16" s="787" t="s">
        <v>150</v>
      </c>
      <c r="C16" s="787" t="s">
        <v>151</v>
      </c>
      <c r="D16" s="788" t="s">
        <v>1094</v>
      </c>
      <c r="E16" s="787">
        <v>1</v>
      </c>
      <c r="F16" s="787" t="s">
        <v>916</v>
      </c>
      <c r="G16" s="787" t="s">
        <v>916</v>
      </c>
      <c r="H16" s="787" t="s">
        <v>916</v>
      </c>
      <c r="I16" s="787" t="s">
        <v>916</v>
      </c>
      <c r="J16" s="788" t="s">
        <v>916</v>
      </c>
      <c r="K16" s="788" t="s">
        <v>916</v>
      </c>
      <c r="L16" s="788" t="s">
        <v>916</v>
      </c>
      <c r="M16" s="787">
        <v>14.43</v>
      </c>
      <c r="N16" s="787" t="s">
        <v>853</v>
      </c>
      <c r="O16" s="477" t="s">
        <v>945</v>
      </c>
      <c r="P16" s="823" t="s">
        <v>1250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</row>
    <row r="17" spans="1:144" hidden="1" x14ac:dyDescent="0.35">
      <c r="A17" s="38">
        <v>12</v>
      </c>
      <c r="B17" s="39" t="s">
        <v>153</v>
      </c>
      <c r="C17" s="39" t="s">
        <v>139</v>
      </c>
      <c r="D17" s="39" t="s">
        <v>130</v>
      </c>
      <c r="E17" s="532" t="s">
        <v>916</v>
      </c>
      <c r="F17" s="532" t="s">
        <v>916</v>
      </c>
      <c r="G17" s="532" t="s">
        <v>916</v>
      </c>
      <c r="H17" s="532" t="s">
        <v>916</v>
      </c>
      <c r="I17" s="532" t="s">
        <v>916</v>
      </c>
      <c r="J17" s="533" t="s">
        <v>916</v>
      </c>
      <c r="K17" s="533" t="s">
        <v>916</v>
      </c>
      <c r="L17" s="533" t="s">
        <v>916</v>
      </c>
      <c r="M17" s="532">
        <v>28.233000000000001</v>
      </c>
      <c r="N17" s="532" t="s">
        <v>917</v>
      </c>
      <c r="O17" s="532"/>
      <c r="P17" s="3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</row>
    <row r="18" spans="1:144" hidden="1" x14ac:dyDescent="0.35">
      <c r="A18" s="38">
        <v>13</v>
      </c>
      <c r="B18" s="39" t="s">
        <v>154</v>
      </c>
      <c r="C18" s="39" t="s">
        <v>134</v>
      </c>
      <c r="D18" s="39" t="s">
        <v>135</v>
      </c>
      <c r="E18" s="532">
        <v>4</v>
      </c>
      <c r="F18" s="532">
        <v>4</v>
      </c>
      <c r="G18" s="532">
        <v>4</v>
      </c>
      <c r="H18" s="532">
        <v>4</v>
      </c>
      <c r="I18" s="532" t="s">
        <v>916</v>
      </c>
      <c r="J18" s="533" t="s">
        <v>916</v>
      </c>
      <c r="K18" s="533" t="s">
        <v>916</v>
      </c>
      <c r="L18" s="533" t="s">
        <v>916</v>
      </c>
      <c r="M18" s="532"/>
      <c r="N18" s="532" t="s">
        <v>917</v>
      </c>
      <c r="O18" s="532" t="s">
        <v>945</v>
      </c>
      <c r="P18" s="37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</row>
    <row r="19" spans="1:144" ht="31" hidden="1" customHeight="1" x14ac:dyDescent="0.35">
      <c r="A19" s="38">
        <v>14</v>
      </c>
      <c r="B19" s="532" t="s">
        <v>155</v>
      </c>
      <c r="C19" s="532" t="s">
        <v>156</v>
      </c>
      <c r="D19" s="532" t="s">
        <v>127</v>
      </c>
      <c r="E19" s="532">
        <v>1.5</v>
      </c>
      <c r="F19" s="532" t="s">
        <v>916</v>
      </c>
      <c r="G19" s="532" t="s">
        <v>916</v>
      </c>
      <c r="H19" s="533">
        <v>1.5</v>
      </c>
      <c r="I19" s="532" t="s">
        <v>916</v>
      </c>
      <c r="J19" s="533" t="s">
        <v>916</v>
      </c>
      <c r="K19" s="533" t="s">
        <v>916</v>
      </c>
      <c r="L19" s="533" t="s">
        <v>916</v>
      </c>
      <c r="M19" s="532">
        <v>50.168999999999997</v>
      </c>
      <c r="N19" s="532" t="s">
        <v>917</v>
      </c>
      <c r="O19" s="533" t="s">
        <v>1256</v>
      </c>
      <c r="P19" s="37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</row>
    <row r="20" spans="1:144" ht="29" x14ac:dyDescent="0.35">
      <c r="A20" s="38">
        <v>15</v>
      </c>
      <c r="B20" s="478" t="s">
        <v>157</v>
      </c>
      <c r="C20" s="478" t="s">
        <v>144</v>
      </c>
      <c r="D20" s="478" t="s">
        <v>947</v>
      </c>
      <c r="E20" s="477">
        <v>2</v>
      </c>
      <c r="F20" s="477" t="s">
        <v>916</v>
      </c>
      <c r="G20" s="477" t="s">
        <v>916</v>
      </c>
      <c r="H20" s="477" t="s">
        <v>916</v>
      </c>
      <c r="I20" s="792">
        <v>3</v>
      </c>
      <c r="J20" s="793">
        <v>3</v>
      </c>
      <c r="K20" s="793">
        <v>1.5</v>
      </c>
      <c r="L20" s="793">
        <v>3</v>
      </c>
      <c r="M20" s="477">
        <v>19.466000000000001</v>
      </c>
      <c r="N20" s="477" t="s">
        <v>917</v>
      </c>
      <c r="O20" s="477" t="s">
        <v>945</v>
      </c>
      <c r="P20" s="823" t="s">
        <v>1250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</row>
    <row r="21" spans="1:144" ht="29" hidden="1" x14ac:dyDescent="0.35">
      <c r="A21" s="38">
        <v>16</v>
      </c>
      <c r="B21" s="39" t="s">
        <v>158</v>
      </c>
      <c r="C21" s="39" t="s">
        <v>146</v>
      </c>
      <c r="D21" s="39" t="s">
        <v>135</v>
      </c>
      <c r="E21" s="532">
        <v>2</v>
      </c>
      <c r="F21" s="532">
        <v>2</v>
      </c>
      <c r="G21" s="532">
        <v>2</v>
      </c>
      <c r="H21" s="532">
        <v>2</v>
      </c>
      <c r="I21" s="532" t="s">
        <v>916</v>
      </c>
      <c r="J21" s="533" t="s">
        <v>916</v>
      </c>
      <c r="K21" s="533" t="s">
        <v>916</v>
      </c>
      <c r="L21" s="533" t="s">
        <v>916</v>
      </c>
      <c r="M21" s="532"/>
      <c r="N21" s="532" t="s">
        <v>853</v>
      </c>
      <c r="O21" s="532" t="s">
        <v>945</v>
      </c>
      <c r="P21" s="823" t="s">
        <v>1250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</row>
    <row r="22" spans="1:144" ht="29" hidden="1" x14ac:dyDescent="0.35">
      <c r="A22" s="38">
        <v>17</v>
      </c>
      <c r="B22" s="39" t="s">
        <v>159</v>
      </c>
      <c r="C22" s="39" t="s">
        <v>126</v>
      </c>
      <c r="D22" s="39" t="s">
        <v>127</v>
      </c>
      <c r="E22" s="532">
        <v>2</v>
      </c>
      <c r="F22" s="532">
        <v>1</v>
      </c>
      <c r="G22" s="532" t="s">
        <v>916</v>
      </c>
      <c r="H22" s="533" t="s">
        <v>916</v>
      </c>
      <c r="I22" s="532" t="s">
        <v>916</v>
      </c>
      <c r="J22" s="533" t="s">
        <v>916</v>
      </c>
      <c r="K22" s="533" t="s">
        <v>916</v>
      </c>
      <c r="L22" s="533" t="s">
        <v>916</v>
      </c>
      <c r="M22" s="532">
        <v>18.893999999999998</v>
      </c>
      <c r="N22" s="532" t="s">
        <v>853</v>
      </c>
      <c r="O22" s="532" t="s">
        <v>945</v>
      </c>
      <c r="P22" s="823" t="s">
        <v>1250</v>
      </c>
    </row>
    <row r="23" spans="1:144" ht="29" hidden="1" x14ac:dyDescent="0.35">
      <c r="A23" s="38">
        <v>18</v>
      </c>
      <c r="B23" s="39" t="s">
        <v>160</v>
      </c>
      <c r="C23" s="39" t="s">
        <v>161</v>
      </c>
      <c r="D23" s="39" t="s">
        <v>127</v>
      </c>
      <c r="E23" s="532" t="s">
        <v>916</v>
      </c>
      <c r="F23" s="532" t="s">
        <v>916</v>
      </c>
      <c r="G23" s="532" t="s">
        <v>916</v>
      </c>
      <c r="H23" s="532">
        <v>1</v>
      </c>
      <c r="I23" s="532" t="s">
        <v>916</v>
      </c>
      <c r="J23" s="533" t="s">
        <v>916</v>
      </c>
      <c r="K23" s="533" t="s">
        <v>916</v>
      </c>
      <c r="L23" s="533" t="s">
        <v>916</v>
      </c>
      <c r="M23" s="532">
        <v>36.183999999999997</v>
      </c>
      <c r="N23" s="532" t="s">
        <v>853</v>
      </c>
      <c r="O23" s="532" t="s">
        <v>945</v>
      </c>
      <c r="P23" s="823" t="s">
        <v>1250</v>
      </c>
    </row>
    <row r="24" spans="1:144" ht="29" x14ac:dyDescent="0.35">
      <c r="A24" s="38">
        <v>19</v>
      </c>
      <c r="B24" s="478" t="s">
        <v>162</v>
      </c>
      <c r="C24" s="478" t="s">
        <v>129</v>
      </c>
      <c r="D24" s="478" t="s">
        <v>947</v>
      </c>
      <c r="E24" s="477" t="s">
        <v>916</v>
      </c>
      <c r="F24" s="477" t="s">
        <v>916</v>
      </c>
      <c r="G24" s="477">
        <v>2</v>
      </c>
      <c r="H24" s="794">
        <v>1</v>
      </c>
      <c r="I24" s="792">
        <v>-1.5</v>
      </c>
      <c r="J24" s="793">
        <v>0</v>
      </c>
      <c r="K24" s="793">
        <v>0</v>
      </c>
      <c r="L24" s="793">
        <v>0</v>
      </c>
      <c r="M24" s="477">
        <v>11.930999999999999</v>
      </c>
      <c r="N24" s="477" t="s">
        <v>853</v>
      </c>
      <c r="O24" s="477" t="s">
        <v>945</v>
      </c>
      <c r="P24" s="823" t="s">
        <v>1250</v>
      </c>
    </row>
    <row r="25" spans="1:144" ht="29" x14ac:dyDescent="0.35">
      <c r="A25" s="38">
        <v>20</v>
      </c>
      <c r="B25" s="478" t="s">
        <v>163</v>
      </c>
      <c r="C25" s="478" t="s">
        <v>151</v>
      </c>
      <c r="D25" s="478" t="s">
        <v>948</v>
      </c>
      <c r="E25" s="477" t="s">
        <v>916</v>
      </c>
      <c r="F25" s="477" t="s">
        <v>916</v>
      </c>
      <c r="G25" s="477" t="s">
        <v>916</v>
      </c>
      <c r="H25" s="794" t="s">
        <v>916</v>
      </c>
      <c r="I25" s="792" t="s">
        <v>916</v>
      </c>
      <c r="J25" s="793" t="s">
        <v>916</v>
      </c>
      <c r="K25" s="793">
        <v>3</v>
      </c>
      <c r="L25" s="793">
        <v>1.5</v>
      </c>
      <c r="M25" s="477">
        <v>5.4909999999999997</v>
      </c>
      <c r="N25" s="477" t="s">
        <v>853</v>
      </c>
      <c r="O25" s="477" t="s">
        <v>945</v>
      </c>
      <c r="P25" s="823" t="s">
        <v>1250</v>
      </c>
    </row>
    <row r="26" spans="1:144" hidden="1" x14ac:dyDescent="0.35">
      <c r="A26" s="38">
        <v>21</v>
      </c>
      <c r="B26" s="39" t="s">
        <v>164</v>
      </c>
      <c r="C26" s="39" t="s">
        <v>165</v>
      </c>
      <c r="D26" s="39" t="s">
        <v>127</v>
      </c>
      <c r="E26" s="532">
        <v>3</v>
      </c>
      <c r="F26" s="532" t="s">
        <v>916</v>
      </c>
      <c r="G26" s="532">
        <v>3</v>
      </c>
      <c r="H26" s="533">
        <v>3</v>
      </c>
      <c r="I26" s="532" t="s">
        <v>916</v>
      </c>
      <c r="J26" s="533" t="s">
        <v>916</v>
      </c>
      <c r="K26" s="533" t="s">
        <v>916</v>
      </c>
      <c r="L26" s="533" t="s">
        <v>916</v>
      </c>
      <c r="M26" s="532">
        <v>95.665000000000006</v>
      </c>
      <c r="N26" s="532" t="s">
        <v>853</v>
      </c>
      <c r="O26" s="532" t="s">
        <v>945</v>
      </c>
      <c r="P26" s="824"/>
    </row>
    <row r="27" spans="1:144" x14ac:dyDescent="0.35">
      <c r="A27" s="38">
        <v>22</v>
      </c>
      <c r="B27" s="39" t="s">
        <v>166</v>
      </c>
      <c r="C27" s="39" t="s">
        <v>167</v>
      </c>
      <c r="D27" s="39" t="s">
        <v>947</v>
      </c>
      <c r="E27" s="532">
        <v>1</v>
      </c>
      <c r="F27" s="532" t="s">
        <v>916</v>
      </c>
      <c r="G27" s="532" t="s">
        <v>916</v>
      </c>
      <c r="H27" s="533" t="s">
        <v>916</v>
      </c>
      <c r="I27" s="535">
        <v>1.5</v>
      </c>
      <c r="J27" s="536" t="s">
        <v>916</v>
      </c>
      <c r="K27" s="536" t="s">
        <v>916</v>
      </c>
      <c r="L27" s="536">
        <v>1.5</v>
      </c>
      <c r="M27" s="532">
        <v>16.606000000000002</v>
      </c>
      <c r="N27" s="532" t="s">
        <v>917</v>
      </c>
      <c r="O27" s="532" t="s">
        <v>945</v>
      </c>
      <c r="P27" s="697"/>
    </row>
    <row r="28" spans="1:144" hidden="1" x14ac:dyDescent="0.35">
      <c r="A28" s="38">
        <v>23</v>
      </c>
      <c r="B28" s="39" t="s">
        <v>168</v>
      </c>
      <c r="C28" s="39" t="s">
        <v>142</v>
      </c>
      <c r="D28" s="39" t="s">
        <v>127</v>
      </c>
      <c r="E28" s="532" t="s">
        <v>916</v>
      </c>
      <c r="F28" s="532" t="s">
        <v>916</v>
      </c>
      <c r="G28" s="532">
        <v>1</v>
      </c>
      <c r="H28" s="532" t="s">
        <v>916</v>
      </c>
      <c r="I28" s="532" t="s">
        <v>916</v>
      </c>
      <c r="J28" s="533" t="s">
        <v>916</v>
      </c>
      <c r="K28" s="533" t="s">
        <v>916</v>
      </c>
      <c r="L28" s="533" t="s">
        <v>916</v>
      </c>
      <c r="M28" s="532">
        <v>28.18</v>
      </c>
      <c r="N28" s="532" t="s">
        <v>853</v>
      </c>
      <c r="O28" s="532" t="s">
        <v>945</v>
      </c>
      <c r="P28" s="697"/>
    </row>
    <row r="29" spans="1:144" x14ac:dyDescent="0.35">
      <c r="A29" s="38">
        <v>24</v>
      </c>
      <c r="B29" s="39" t="s">
        <v>169</v>
      </c>
      <c r="C29" s="39" t="s">
        <v>146</v>
      </c>
      <c r="D29" s="39" t="s">
        <v>949</v>
      </c>
      <c r="E29" s="532" t="s">
        <v>916</v>
      </c>
      <c r="F29" s="532" t="s">
        <v>916</v>
      </c>
      <c r="G29" s="532">
        <v>2</v>
      </c>
      <c r="H29" s="532" t="s">
        <v>916</v>
      </c>
      <c r="I29" s="532">
        <v>7.5</v>
      </c>
      <c r="J29" s="533">
        <v>9</v>
      </c>
      <c r="K29" s="533">
        <v>9</v>
      </c>
      <c r="L29" s="533">
        <v>9</v>
      </c>
      <c r="M29" s="532">
        <v>4.6289999999999996</v>
      </c>
      <c r="N29" s="532" t="s">
        <v>853</v>
      </c>
      <c r="O29" s="532" t="s">
        <v>945</v>
      </c>
      <c r="P29" s="697"/>
    </row>
    <row r="30" spans="1:144" s="447" customFormat="1" hidden="1" x14ac:dyDescent="0.35">
      <c r="A30" s="38">
        <v>25</v>
      </c>
      <c r="B30" s="39" t="s">
        <v>170</v>
      </c>
      <c r="C30" s="39" t="s">
        <v>137</v>
      </c>
      <c r="D30" s="39" t="s">
        <v>127</v>
      </c>
      <c r="E30" s="532" t="s">
        <v>916</v>
      </c>
      <c r="F30" s="532" t="s">
        <v>916</v>
      </c>
      <c r="G30" s="532" t="s">
        <v>916</v>
      </c>
      <c r="H30" s="532">
        <v>1.5</v>
      </c>
      <c r="I30" s="532" t="s">
        <v>916</v>
      </c>
      <c r="J30" s="533" t="s">
        <v>916</v>
      </c>
      <c r="K30" s="533" t="s">
        <v>916</v>
      </c>
      <c r="L30" s="533" t="s">
        <v>916</v>
      </c>
      <c r="M30" s="532">
        <v>20.512</v>
      </c>
      <c r="N30" s="532" t="s">
        <v>917</v>
      </c>
      <c r="O30" s="532" t="s">
        <v>945</v>
      </c>
      <c r="P30" s="824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/>
      <c r="DO30" s="456"/>
      <c r="DP30" s="456"/>
      <c r="DQ30" s="456"/>
      <c r="DR30" s="456"/>
      <c r="DS30" s="456"/>
      <c r="DT30" s="456"/>
      <c r="DU30" s="456"/>
      <c r="DV30" s="456"/>
      <c r="DW30" s="456"/>
      <c r="DX30" s="456"/>
      <c r="DY30" s="456"/>
      <c r="DZ30" s="456"/>
      <c r="EA30" s="456"/>
      <c r="EB30" s="456"/>
      <c r="EC30" s="456"/>
      <c r="ED30" s="456"/>
      <c r="EE30" s="456"/>
      <c r="EF30" s="456"/>
      <c r="EG30" s="456"/>
      <c r="EH30" s="456"/>
      <c r="EI30" s="456"/>
      <c r="EJ30" s="456"/>
      <c r="EK30" s="456"/>
      <c r="EL30" s="456"/>
      <c r="EM30" s="456"/>
      <c r="EN30" s="456"/>
    </row>
    <row r="31" spans="1:144" s="447" customFormat="1" hidden="1" x14ac:dyDescent="0.35">
      <c r="A31" s="38">
        <v>26</v>
      </c>
      <c r="B31" s="39" t="s">
        <v>171</v>
      </c>
      <c r="C31" s="39" t="s">
        <v>126</v>
      </c>
      <c r="D31" s="39" t="s">
        <v>127</v>
      </c>
      <c r="E31" s="532" t="s">
        <v>916</v>
      </c>
      <c r="F31" s="532" t="s">
        <v>916</v>
      </c>
      <c r="G31" s="532">
        <v>1</v>
      </c>
      <c r="H31" s="533">
        <v>1.5</v>
      </c>
      <c r="I31" s="532" t="s">
        <v>916</v>
      </c>
      <c r="J31" s="533" t="s">
        <v>916</v>
      </c>
      <c r="K31" s="533" t="s">
        <v>916</v>
      </c>
      <c r="L31" s="533" t="s">
        <v>916</v>
      </c>
      <c r="M31" s="532">
        <v>20.960999999999999</v>
      </c>
      <c r="N31" s="532" t="s">
        <v>917</v>
      </c>
      <c r="O31" s="532" t="s">
        <v>945</v>
      </c>
      <c r="P31" s="824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6"/>
      <c r="DF31" s="456"/>
      <c r="DG31" s="456"/>
      <c r="DH31" s="456"/>
      <c r="DI31" s="456"/>
      <c r="DJ31" s="456"/>
      <c r="DK31" s="456"/>
      <c r="DL31" s="456"/>
      <c r="DM31" s="456"/>
      <c r="DN31" s="456"/>
      <c r="DO31" s="456"/>
      <c r="DP31" s="456"/>
      <c r="DQ31" s="456"/>
      <c r="DR31" s="456"/>
      <c r="DS31" s="456"/>
      <c r="DT31" s="456"/>
      <c r="DU31" s="456"/>
      <c r="DV31" s="456"/>
      <c r="DW31" s="456"/>
      <c r="DX31" s="456"/>
      <c r="DY31" s="456"/>
      <c r="DZ31" s="456"/>
      <c r="EA31" s="456"/>
      <c r="EB31" s="456"/>
      <c r="EC31" s="456"/>
      <c r="ED31" s="456"/>
      <c r="EE31" s="456"/>
      <c r="EF31" s="456"/>
      <c r="EG31" s="456"/>
      <c r="EH31" s="456"/>
      <c r="EI31" s="456"/>
      <c r="EJ31" s="456"/>
      <c r="EK31" s="456"/>
      <c r="EL31" s="456"/>
      <c r="EM31" s="456"/>
      <c r="EN31" s="456"/>
    </row>
    <row r="32" spans="1:144" s="447" customFormat="1" hidden="1" x14ac:dyDescent="0.35">
      <c r="A32" s="38">
        <v>27</v>
      </c>
      <c r="B32" s="39" t="s">
        <v>172</v>
      </c>
      <c r="C32" s="39" t="s">
        <v>142</v>
      </c>
      <c r="D32" s="39" t="s">
        <v>127</v>
      </c>
      <c r="E32" s="532" t="s">
        <v>916</v>
      </c>
      <c r="F32" s="532" t="s">
        <v>916</v>
      </c>
      <c r="G32" s="532">
        <v>2</v>
      </c>
      <c r="H32" s="533">
        <v>2.5</v>
      </c>
      <c r="I32" s="532" t="s">
        <v>916</v>
      </c>
      <c r="J32" s="533" t="s">
        <v>916</v>
      </c>
      <c r="K32" s="533" t="s">
        <v>916</v>
      </c>
      <c r="L32" s="533" t="s">
        <v>916</v>
      </c>
      <c r="M32" s="532">
        <v>7.2590000000000003</v>
      </c>
      <c r="N32" s="532" t="s">
        <v>917</v>
      </c>
      <c r="O32" s="532" t="s">
        <v>945</v>
      </c>
      <c r="P32" s="824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  <c r="EN32" s="456"/>
    </row>
    <row r="33" spans="1:144" s="447" customFormat="1" ht="29" x14ac:dyDescent="0.35">
      <c r="A33" s="38">
        <v>28</v>
      </c>
      <c r="B33" s="787" t="s">
        <v>173</v>
      </c>
      <c r="C33" s="787" t="s">
        <v>174</v>
      </c>
      <c r="D33" s="788" t="s">
        <v>1095</v>
      </c>
      <c r="E33" s="787">
        <v>3</v>
      </c>
      <c r="F33" s="787">
        <v>3</v>
      </c>
      <c r="G33" s="787">
        <v>3</v>
      </c>
      <c r="H33" s="787">
        <v>3</v>
      </c>
      <c r="I33" s="787" t="s">
        <v>916</v>
      </c>
      <c r="J33" s="788" t="s">
        <v>916</v>
      </c>
      <c r="K33" s="788" t="s">
        <v>916</v>
      </c>
      <c r="L33" s="788" t="s">
        <v>916</v>
      </c>
      <c r="M33" s="787" t="s">
        <v>916</v>
      </c>
      <c r="N33" s="787" t="s">
        <v>853</v>
      </c>
      <c r="O33" s="477" t="s">
        <v>945</v>
      </c>
      <c r="P33" s="823" t="s">
        <v>1250</v>
      </c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56"/>
      <c r="DZ33" s="456"/>
      <c r="EA33" s="456"/>
      <c r="EB33" s="456"/>
      <c r="EC33" s="456"/>
      <c r="ED33" s="456"/>
      <c r="EE33" s="456"/>
      <c r="EF33" s="456"/>
      <c r="EG33" s="456"/>
      <c r="EH33" s="456"/>
      <c r="EI33" s="456"/>
      <c r="EJ33" s="456"/>
      <c r="EK33" s="456"/>
      <c r="EL33" s="456"/>
      <c r="EM33" s="456"/>
      <c r="EN33" s="456"/>
    </row>
    <row r="34" spans="1:144" s="447" customFormat="1" ht="29" hidden="1" x14ac:dyDescent="0.35">
      <c r="A34" s="38">
        <v>29</v>
      </c>
      <c r="B34" s="39" t="s">
        <v>175</v>
      </c>
      <c r="C34" s="39" t="s">
        <v>349</v>
      </c>
      <c r="D34" s="39" t="s">
        <v>127</v>
      </c>
      <c r="E34" s="532" t="s">
        <v>916</v>
      </c>
      <c r="F34" s="532" t="s">
        <v>916</v>
      </c>
      <c r="G34" s="532">
        <v>1</v>
      </c>
      <c r="H34" s="533">
        <v>1</v>
      </c>
      <c r="I34" s="532" t="s">
        <v>916</v>
      </c>
      <c r="J34" s="533" t="s">
        <v>916</v>
      </c>
      <c r="K34" s="533" t="s">
        <v>916</v>
      </c>
      <c r="L34" s="533" t="s">
        <v>916</v>
      </c>
      <c r="M34" s="532">
        <v>6.1989999999999998</v>
      </c>
      <c r="N34" s="532" t="s">
        <v>917</v>
      </c>
      <c r="O34" s="798" t="s">
        <v>945</v>
      </c>
      <c r="P34" s="823" t="s">
        <v>1250</v>
      </c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</row>
    <row r="35" spans="1:144" s="447" customFormat="1" ht="29" hidden="1" x14ac:dyDescent="0.35">
      <c r="A35" s="38">
        <v>30</v>
      </c>
      <c r="B35" s="39" t="s">
        <v>762</v>
      </c>
      <c r="C35" s="39" t="s">
        <v>137</v>
      </c>
      <c r="D35" s="39" t="s">
        <v>127</v>
      </c>
      <c r="E35" s="532">
        <v>1</v>
      </c>
      <c r="F35" s="532">
        <v>1.5</v>
      </c>
      <c r="G35" s="532" t="s">
        <v>916</v>
      </c>
      <c r="H35" s="533" t="s">
        <v>916</v>
      </c>
      <c r="I35" s="532" t="s">
        <v>916</v>
      </c>
      <c r="J35" s="533" t="s">
        <v>916</v>
      </c>
      <c r="K35" s="533" t="s">
        <v>916</v>
      </c>
      <c r="L35" s="533" t="s">
        <v>916</v>
      </c>
      <c r="M35" s="532">
        <v>4.7789999999999999</v>
      </c>
      <c r="N35" s="532" t="s">
        <v>917</v>
      </c>
      <c r="O35" s="798" t="s">
        <v>945</v>
      </c>
      <c r="P35" s="823" t="s">
        <v>1250</v>
      </c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</row>
    <row r="36" spans="1:144" s="447" customFormat="1" ht="29" hidden="1" x14ac:dyDescent="0.35">
      <c r="A36" s="38">
        <v>31</v>
      </c>
      <c r="B36" s="39" t="s">
        <v>177</v>
      </c>
      <c r="C36" s="39" t="s">
        <v>178</v>
      </c>
      <c r="D36" s="39" t="s">
        <v>127</v>
      </c>
      <c r="E36" s="532" t="s">
        <v>916</v>
      </c>
      <c r="F36" s="532" t="s">
        <v>916</v>
      </c>
      <c r="G36" s="532">
        <v>1</v>
      </c>
      <c r="H36" s="533">
        <v>1</v>
      </c>
      <c r="I36" s="532" t="s">
        <v>916</v>
      </c>
      <c r="J36" s="533" t="s">
        <v>916</v>
      </c>
      <c r="K36" s="533" t="s">
        <v>916</v>
      </c>
      <c r="L36" s="533" t="s">
        <v>916</v>
      </c>
      <c r="M36" s="532">
        <v>19.489000000000001</v>
      </c>
      <c r="N36" s="532" t="s">
        <v>917</v>
      </c>
      <c r="O36" s="798" t="s">
        <v>945</v>
      </c>
      <c r="P36" s="823" t="s">
        <v>1250</v>
      </c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6"/>
      <c r="DF36" s="456"/>
      <c r="DG36" s="456"/>
      <c r="DH36" s="456"/>
      <c r="DI36" s="456"/>
      <c r="DJ36" s="456"/>
      <c r="DK36" s="456"/>
      <c r="DL36" s="456"/>
      <c r="DM36" s="456"/>
      <c r="DN36" s="456"/>
      <c r="DO36" s="456"/>
      <c r="DP36" s="456"/>
      <c r="DQ36" s="456"/>
      <c r="DR36" s="456"/>
      <c r="DS36" s="456"/>
      <c r="DT36" s="456"/>
      <c r="DU36" s="456"/>
      <c r="DV36" s="456"/>
      <c r="DW36" s="456"/>
      <c r="DX36" s="456"/>
      <c r="DY36" s="456"/>
      <c r="DZ36" s="456"/>
      <c r="EA36" s="456"/>
      <c r="EB36" s="456"/>
      <c r="EC36" s="456"/>
      <c r="ED36" s="456"/>
      <c r="EE36" s="456"/>
      <c r="EF36" s="456"/>
      <c r="EG36" s="456"/>
      <c r="EH36" s="456"/>
      <c r="EI36" s="456"/>
      <c r="EJ36" s="456"/>
      <c r="EK36" s="456"/>
      <c r="EL36" s="456"/>
      <c r="EM36" s="456"/>
      <c r="EN36" s="456"/>
    </row>
    <row r="37" spans="1:144" s="447" customFormat="1" ht="15" hidden="1" customHeight="1" thickBot="1" x14ac:dyDescent="0.35">
      <c r="A37" s="481">
        <v>32</v>
      </c>
      <c r="B37" s="39" t="s">
        <v>179</v>
      </c>
      <c r="C37" s="39" t="s">
        <v>142</v>
      </c>
      <c r="D37" s="39" t="s">
        <v>127</v>
      </c>
      <c r="E37" s="39" t="s">
        <v>916</v>
      </c>
      <c r="F37" s="39">
        <v>1</v>
      </c>
      <c r="G37" s="39">
        <v>1</v>
      </c>
      <c r="H37" s="461">
        <v>1</v>
      </c>
      <c r="I37" s="39" t="s">
        <v>916</v>
      </c>
      <c r="J37" s="461" t="s">
        <v>916</v>
      </c>
      <c r="K37" s="461" t="s">
        <v>916</v>
      </c>
      <c r="L37" s="461" t="s">
        <v>916</v>
      </c>
      <c r="M37" s="39">
        <v>6.4080000000000004</v>
      </c>
      <c r="N37" s="39" t="s">
        <v>917</v>
      </c>
      <c r="O37" s="798" t="s">
        <v>945</v>
      </c>
      <c r="P37" s="823" t="s">
        <v>1250</v>
      </c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6"/>
      <c r="DF37" s="456"/>
      <c r="DG37" s="456"/>
      <c r="DH37" s="456"/>
      <c r="DI37" s="456"/>
      <c r="DJ37" s="456"/>
      <c r="DK37" s="456"/>
      <c r="DL37" s="456"/>
      <c r="DM37" s="456"/>
      <c r="DN37" s="456"/>
      <c r="DO37" s="456"/>
      <c r="DP37" s="456"/>
      <c r="DQ37" s="456"/>
      <c r="DR37" s="456"/>
      <c r="DS37" s="456"/>
      <c r="DT37" s="456"/>
      <c r="DU37" s="456"/>
      <c r="DV37" s="456"/>
      <c r="DW37" s="456"/>
      <c r="DX37" s="456"/>
      <c r="DY37" s="456"/>
      <c r="DZ37" s="456"/>
      <c r="EA37" s="456"/>
      <c r="EB37" s="456"/>
      <c r="EC37" s="456"/>
      <c r="ED37" s="456"/>
      <c r="EE37" s="456"/>
      <c r="EF37" s="456"/>
      <c r="EG37" s="456"/>
      <c r="EH37" s="456"/>
      <c r="EI37" s="456"/>
      <c r="EJ37" s="456"/>
      <c r="EK37" s="456"/>
      <c r="EL37" s="456"/>
      <c r="EM37" s="456"/>
      <c r="EN37" s="456"/>
    </row>
    <row r="38" spans="1:144" ht="29" x14ac:dyDescent="0.35">
      <c r="A38" s="825"/>
      <c r="B38" s="796" t="s">
        <v>1093</v>
      </c>
      <c r="C38" s="796" t="s">
        <v>619</v>
      </c>
      <c r="D38" s="796" t="s">
        <v>1147</v>
      </c>
      <c r="E38" s="797"/>
      <c r="F38" s="797"/>
      <c r="G38" s="797"/>
      <c r="H38" s="797"/>
      <c r="I38" s="797"/>
      <c r="J38" s="797"/>
      <c r="K38" s="797"/>
      <c r="L38" s="797"/>
      <c r="M38" s="797"/>
      <c r="N38" s="797"/>
      <c r="O38" s="799" t="s">
        <v>1234</v>
      </c>
      <c r="P38" s="823" t="s">
        <v>1250</v>
      </c>
    </row>
    <row r="39" spans="1:144" ht="29" hidden="1" x14ac:dyDescent="0.35">
      <c r="A39" s="825"/>
      <c r="B39" s="39" t="s">
        <v>1101</v>
      </c>
      <c r="C39" s="39" t="s">
        <v>176</v>
      </c>
      <c r="D39" s="39" t="s">
        <v>1098</v>
      </c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800" t="s">
        <v>1234</v>
      </c>
      <c r="P39" s="823" t="s">
        <v>1250</v>
      </c>
    </row>
    <row r="40" spans="1:144" ht="29" hidden="1" x14ac:dyDescent="0.35">
      <c r="A40" s="825"/>
      <c r="B40" s="39" t="s">
        <v>644</v>
      </c>
      <c r="C40" s="39" t="s">
        <v>353</v>
      </c>
      <c r="D40" s="39" t="s">
        <v>1102</v>
      </c>
      <c r="E40" s="531"/>
      <c r="F40" s="531"/>
      <c r="G40" s="531"/>
      <c r="H40" s="531"/>
      <c r="I40" s="531"/>
      <c r="J40" s="531"/>
      <c r="K40" s="531"/>
      <c r="L40" s="531"/>
      <c r="M40" s="531"/>
      <c r="N40" s="531"/>
      <c r="O40" s="801" t="s">
        <v>1103</v>
      </c>
      <c r="P40" s="823" t="s">
        <v>1250</v>
      </c>
    </row>
    <row r="41" spans="1:144" ht="29" x14ac:dyDescent="0.35">
      <c r="A41" s="825"/>
      <c r="B41" s="478" t="s">
        <v>566</v>
      </c>
      <c r="C41" s="478" t="s">
        <v>575</v>
      </c>
      <c r="D41" s="478" t="s">
        <v>1102</v>
      </c>
      <c r="E41" s="503"/>
      <c r="F41" s="503"/>
      <c r="G41" s="503"/>
      <c r="H41" s="503"/>
      <c r="I41" s="503"/>
      <c r="J41" s="503"/>
      <c r="K41" s="503"/>
      <c r="L41" s="503"/>
      <c r="M41" s="503"/>
      <c r="N41" s="503"/>
      <c r="O41" s="802" t="s">
        <v>1103</v>
      </c>
      <c r="P41" s="823" t="s">
        <v>1250</v>
      </c>
    </row>
    <row r="42" spans="1:144" ht="29.5" hidden="1" thickBot="1" x14ac:dyDescent="0.4">
      <c r="A42" s="645"/>
      <c r="B42" s="789" t="s">
        <v>1100</v>
      </c>
      <c r="C42" s="789" t="s">
        <v>308</v>
      </c>
      <c r="D42" s="789" t="s">
        <v>1099</v>
      </c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4" t="s">
        <v>1104</v>
      </c>
      <c r="P42" s="823" t="s">
        <v>1250</v>
      </c>
    </row>
    <row r="43" spans="1:144" ht="29.5" thickBot="1" x14ac:dyDescent="0.4">
      <c r="A43" s="645"/>
      <c r="B43" s="480" t="s">
        <v>1100</v>
      </c>
      <c r="C43" s="480" t="s">
        <v>308</v>
      </c>
      <c r="D43" s="480" t="s">
        <v>1099</v>
      </c>
      <c r="E43" s="826"/>
      <c r="F43" s="826"/>
      <c r="G43" s="826"/>
      <c r="H43" s="826"/>
      <c r="I43" s="826"/>
      <c r="J43" s="826"/>
      <c r="K43" s="826"/>
      <c r="L43" s="826"/>
      <c r="M43" s="826"/>
      <c r="N43" s="826"/>
      <c r="O43" s="827" t="s">
        <v>1234</v>
      </c>
      <c r="P43" s="828" t="s">
        <v>1250</v>
      </c>
    </row>
  </sheetData>
  <mergeCells count="11">
    <mergeCell ref="A1:P2"/>
    <mergeCell ref="O3:P5"/>
    <mergeCell ref="I4:L4"/>
    <mergeCell ref="M4:M5"/>
    <mergeCell ref="A3:A5"/>
    <mergeCell ref="B3:B5"/>
    <mergeCell ref="C3:C5"/>
    <mergeCell ref="D3:D5"/>
    <mergeCell ref="E3:M3"/>
    <mergeCell ref="N3:N4"/>
    <mergeCell ref="E4:H4"/>
  </mergeCells>
  <conditionalFormatting sqref="B10">
    <cfRule type="duplicateValues" dxfId="29" priority="3"/>
    <cfRule type="duplicateValues" dxfId="28" priority="4"/>
  </conditionalFormatting>
  <conditionalFormatting sqref="B17 B12 B7:B8">
    <cfRule type="duplicateValues" dxfId="27" priority="14"/>
    <cfRule type="duplicateValues" dxfId="26" priority="15"/>
  </conditionalFormatting>
  <conditionalFormatting sqref="B25">
    <cfRule type="duplicateValues" dxfId="25" priority="7"/>
    <cfRule type="duplicateValues" dxfId="24" priority="8"/>
  </conditionalFormatting>
  <conditionalFormatting sqref="B27">
    <cfRule type="duplicateValues" dxfId="23" priority="5"/>
    <cfRule type="duplicateValues" dxfId="22" priority="6"/>
  </conditionalFormatting>
  <conditionalFormatting sqref="B28:B36 B26 B9 B13:B16 B18:B24 B11">
    <cfRule type="duplicateValues" dxfId="21" priority="12"/>
    <cfRule type="duplicateValues" dxfId="20" priority="13"/>
  </conditionalFormatting>
  <conditionalFormatting sqref="B36">
    <cfRule type="duplicateValues" dxfId="19" priority="9"/>
  </conditionalFormatting>
  <conditionalFormatting sqref="H7:H8 H12 H18 H21">
    <cfRule type="cellIs" dxfId="18" priority="10" operator="equal">
      <formula>"Approved"</formula>
    </cfRule>
    <cfRule type="cellIs" dxfId="17" priority="11" operator="equal">
      <formula>"Submitted"</formula>
    </cfRule>
  </conditionalFormatting>
  <conditionalFormatting sqref="H10">
    <cfRule type="cellIs" dxfId="16" priority="1" operator="equal">
      <formula>"Approved"</formula>
    </cfRule>
    <cfRule type="cellIs" dxfId="15" priority="2" operator="equal">
      <formula>"Submitted"</formula>
    </cfRule>
  </conditionalFormatting>
  <pageMargins left="0.70866141732283472" right="0.70866141732283472" top="0.74803149606299213" bottom="0.74803149606299213" header="0.31496062992125984" footer="0.31496062992125984"/>
  <pageSetup scale="90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DD3B-D17F-4C2C-A3DB-99B8EEBC320A}">
  <dimension ref="A1:D12"/>
  <sheetViews>
    <sheetView workbookViewId="0">
      <selection activeCell="I10" sqref="I10"/>
    </sheetView>
  </sheetViews>
  <sheetFormatPr defaultRowHeight="14.5" x14ac:dyDescent="0.35"/>
  <cols>
    <col min="2" max="2" width="11.26953125" customWidth="1"/>
  </cols>
  <sheetData>
    <row r="1" spans="1:4" ht="25" customHeight="1" x14ac:dyDescent="0.35">
      <c r="A1" s="1374" t="s">
        <v>1082</v>
      </c>
      <c r="B1" s="1375"/>
      <c r="C1" s="1375"/>
      <c r="D1" s="1376"/>
    </row>
    <row r="2" spans="1:4" ht="25" customHeight="1" x14ac:dyDescent="0.35">
      <c r="A2" s="620" t="s">
        <v>104</v>
      </c>
      <c r="B2" s="621" t="s">
        <v>1026</v>
      </c>
      <c r="C2" s="621" t="s">
        <v>123</v>
      </c>
      <c r="D2" s="622" t="s">
        <v>6</v>
      </c>
    </row>
    <row r="3" spans="1:4" ht="25" customHeight="1" x14ac:dyDescent="0.35">
      <c r="A3" s="619">
        <v>1</v>
      </c>
      <c r="B3" s="591" t="s">
        <v>428</v>
      </c>
      <c r="C3" s="591" t="s">
        <v>308</v>
      </c>
      <c r="D3" s="412"/>
    </row>
    <row r="4" spans="1:4" ht="25" customHeight="1" x14ac:dyDescent="0.35">
      <c r="A4" s="619">
        <f>A3+1</f>
        <v>2</v>
      </c>
      <c r="B4" s="591" t="s">
        <v>1081</v>
      </c>
      <c r="C4" s="591" t="s">
        <v>129</v>
      </c>
      <c r="D4" s="412"/>
    </row>
    <row r="5" spans="1:4" ht="25" customHeight="1" x14ac:dyDescent="0.35">
      <c r="A5" s="619">
        <f t="shared" ref="A5:A12" si="0">A4+1</f>
        <v>3</v>
      </c>
      <c r="B5" s="591" t="s">
        <v>434</v>
      </c>
      <c r="C5" s="591" t="s">
        <v>151</v>
      </c>
      <c r="D5" s="412"/>
    </row>
    <row r="6" spans="1:4" ht="25" customHeight="1" x14ac:dyDescent="0.35">
      <c r="A6" s="619">
        <f t="shared" si="0"/>
        <v>4</v>
      </c>
      <c r="B6" s="591" t="s">
        <v>439</v>
      </c>
      <c r="C6" s="591" t="s">
        <v>401</v>
      </c>
      <c r="D6" s="412"/>
    </row>
    <row r="7" spans="1:4" ht="25" customHeight="1" x14ac:dyDescent="0.35">
      <c r="A7" s="623">
        <f t="shared" si="0"/>
        <v>5</v>
      </c>
      <c r="B7" s="595" t="s">
        <v>412</v>
      </c>
      <c r="C7" s="595" t="s">
        <v>137</v>
      </c>
      <c r="D7" s="593" t="s">
        <v>418</v>
      </c>
    </row>
    <row r="8" spans="1:4" ht="25" customHeight="1" x14ac:dyDescent="0.35">
      <c r="A8" s="619">
        <f t="shared" si="0"/>
        <v>6</v>
      </c>
      <c r="B8" s="591" t="s">
        <v>413</v>
      </c>
      <c r="C8" s="591" t="s">
        <v>126</v>
      </c>
      <c r="D8" s="412"/>
    </row>
    <row r="9" spans="1:4" ht="25" customHeight="1" x14ac:dyDescent="0.35">
      <c r="A9" s="619">
        <f t="shared" si="0"/>
        <v>7</v>
      </c>
      <c r="B9" s="591" t="s">
        <v>411</v>
      </c>
      <c r="C9" s="591" t="s">
        <v>161</v>
      </c>
      <c r="D9" s="412"/>
    </row>
    <row r="10" spans="1:4" ht="25" customHeight="1" x14ac:dyDescent="0.35">
      <c r="A10" s="619">
        <f t="shared" si="0"/>
        <v>8</v>
      </c>
      <c r="B10" s="591" t="s">
        <v>443</v>
      </c>
      <c r="C10" s="591" t="s">
        <v>126</v>
      </c>
      <c r="D10" s="412"/>
    </row>
    <row r="11" spans="1:4" ht="25" customHeight="1" x14ac:dyDescent="0.35">
      <c r="A11" s="623">
        <f t="shared" si="0"/>
        <v>9</v>
      </c>
      <c r="B11" s="595" t="s">
        <v>569</v>
      </c>
      <c r="C11" s="595" t="s">
        <v>137</v>
      </c>
      <c r="D11" s="593" t="s">
        <v>418</v>
      </c>
    </row>
    <row r="12" spans="1:4" ht="25" customHeight="1" thickBot="1" x14ac:dyDescent="0.4">
      <c r="A12" s="624">
        <f t="shared" si="0"/>
        <v>10</v>
      </c>
      <c r="B12" s="625" t="s">
        <v>628</v>
      </c>
      <c r="C12" s="625" t="s">
        <v>142</v>
      </c>
      <c r="D12" s="626" t="s">
        <v>418</v>
      </c>
    </row>
  </sheetData>
  <mergeCells count="1"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8FB6-E138-4948-9819-1409935F5648}">
  <dimension ref="A1:Y12"/>
  <sheetViews>
    <sheetView topLeftCell="B2" zoomScale="80" zoomScaleNormal="80" workbookViewId="0">
      <selection activeCell="Y8" sqref="Y8"/>
    </sheetView>
  </sheetViews>
  <sheetFormatPr defaultColWidth="9.1796875" defaultRowHeight="14.5" x14ac:dyDescent="0.35"/>
  <cols>
    <col min="1" max="3" width="9.1796875" style="453"/>
    <col min="4" max="4" width="9.1796875" style="48"/>
    <col min="5" max="5" width="9.1796875" style="453"/>
    <col min="6" max="6" width="9.1796875" style="48"/>
    <col min="7" max="8" width="9.1796875" style="453"/>
    <col min="9" max="9" width="17.54296875" style="453" customWidth="1"/>
    <col min="10" max="10" width="9.1796875" style="453"/>
    <col min="11" max="11" width="18.08984375" style="453" customWidth="1"/>
    <col min="12" max="12" width="9.1796875" style="453"/>
    <col min="13" max="13" width="17.7265625" style="453" customWidth="1"/>
    <col min="14" max="14" width="9.1796875" style="453"/>
    <col min="15" max="15" width="17.453125" style="453" customWidth="1"/>
    <col min="16" max="16" width="9.1796875" style="48"/>
    <col min="17" max="18" width="9.1796875" style="453"/>
    <col min="19" max="19" width="16.08984375" style="453" bestFit="1" customWidth="1"/>
    <col min="20" max="20" width="9.1796875" style="453"/>
    <col min="21" max="21" width="16.08984375" style="453" bestFit="1" customWidth="1"/>
    <col min="22" max="22" width="9.1796875" style="453"/>
    <col min="23" max="23" width="17.36328125" style="453" customWidth="1"/>
    <col min="24" max="24" width="9.1796875" style="453"/>
    <col min="25" max="25" width="17.36328125" style="453" customWidth="1"/>
    <col min="26" max="16384" width="9.1796875" style="453"/>
  </cols>
  <sheetData>
    <row r="1" spans="1:25" ht="15" customHeight="1" x14ac:dyDescent="0.35">
      <c r="A1" s="1386" t="s">
        <v>820</v>
      </c>
      <c r="B1" s="1389" t="s">
        <v>0</v>
      </c>
      <c r="C1" s="1234" t="s">
        <v>1055</v>
      </c>
      <c r="D1" s="1218" t="s">
        <v>1130</v>
      </c>
      <c r="E1" s="1219"/>
      <c r="F1" s="1218" t="s">
        <v>1056</v>
      </c>
      <c r="G1" s="1219"/>
      <c r="H1" s="1219"/>
      <c r="I1" s="1219"/>
      <c r="J1" s="1219"/>
      <c r="K1" s="1219"/>
      <c r="L1" s="1219"/>
      <c r="M1" s="1219"/>
      <c r="N1" s="1219"/>
      <c r="O1" s="1392"/>
      <c r="P1" s="1221" t="s">
        <v>1057</v>
      </c>
      <c r="Q1" s="1221"/>
      <c r="R1" s="1221"/>
      <c r="S1" s="1221"/>
      <c r="T1" s="1221"/>
      <c r="U1" s="1221"/>
      <c r="V1" s="1221"/>
      <c r="W1" s="1221"/>
      <c r="X1" s="1221"/>
      <c r="Y1" s="1157"/>
    </row>
    <row r="2" spans="1:25" ht="30.75" customHeight="1" x14ac:dyDescent="0.35">
      <c r="A2" s="1387"/>
      <c r="B2" s="1390"/>
      <c r="C2" s="1163"/>
      <c r="D2" s="1377" t="s">
        <v>1058</v>
      </c>
      <c r="E2" s="1379" t="s">
        <v>1059</v>
      </c>
      <c r="F2" s="1377" t="s">
        <v>1058</v>
      </c>
      <c r="G2" s="1379" t="s">
        <v>1059</v>
      </c>
      <c r="H2" s="1384" t="s">
        <v>1060</v>
      </c>
      <c r="I2" s="1385"/>
      <c r="J2" s="1384" t="s">
        <v>1061</v>
      </c>
      <c r="K2" s="1385"/>
      <c r="L2" s="1384" t="s">
        <v>1062</v>
      </c>
      <c r="M2" s="1385"/>
      <c r="N2" s="1170" t="s">
        <v>1063</v>
      </c>
      <c r="O2" s="1172"/>
      <c r="P2" s="1383" t="s">
        <v>1058</v>
      </c>
      <c r="Q2" s="1381" t="s">
        <v>1059</v>
      </c>
      <c r="R2" s="1161" t="s">
        <v>1064</v>
      </c>
      <c r="S2" s="1161"/>
      <c r="T2" s="1161" t="s">
        <v>1065</v>
      </c>
      <c r="U2" s="1161"/>
      <c r="V2" s="1161" t="s">
        <v>1066</v>
      </c>
      <c r="W2" s="1161"/>
      <c r="X2" s="1161" t="s">
        <v>1067</v>
      </c>
      <c r="Y2" s="1232"/>
    </row>
    <row r="3" spans="1:25" ht="29" x14ac:dyDescent="0.35">
      <c r="A3" s="1388"/>
      <c r="B3" s="1391"/>
      <c r="C3" s="1160"/>
      <c r="D3" s="1378"/>
      <c r="E3" s="1380"/>
      <c r="F3" s="1378"/>
      <c r="G3" s="1380"/>
      <c r="H3" s="439" t="s">
        <v>1068</v>
      </c>
      <c r="I3" s="439" t="s">
        <v>1069</v>
      </c>
      <c r="J3" s="439" t="s">
        <v>1068</v>
      </c>
      <c r="K3" s="439" t="s">
        <v>1069</v>
      </c>
      <c r="L3" s="439" t="s">
        <v>1068</v>
      </c>
      <c r="M3" s="439" t="s">
        <v>1069</v>
      </c>
      <c r="N3" s="439" t="s">
        <v>1068</v>
      </c>
      <c r="O3" s="439" t="s">
        <v>1069</v>
      </c>
      <c r="P3" s="1383"/>
      <c r="Q3" s="1381"/>
      <c r="R3" s="439" t="s">
        <v>1068</v>
      </c>
      <c r="S3" s="439" t="s">
        <v>1069</v>
      </c>
      <c r="T3" s="439" t="s">
        <v>1068</v>
      </c>
      <c r="U3" s="439" t="s">
        <v>1069</v>
      </c>
      <c r="V3" s="439" t="s">
        <v>1068</v>
      </c>
      <c r="W3" s="439" t="s">
        <v>1069</v>
      </c>
      <c r="X3" s="439" t="s">
        <v>1068</v>
      </c>
      <c r="Y3" s="530" t="s">
        <v>1069</v>
      </c>
    </row>
    <row r="4" spans="1:25" hidden="1" x14ac:dyDescent="0.35">
      <c r="A4" s="1224" t="s">
        <v>1070</v>
      </c>
      <c r="B4" s="531" t="s">
        <v>1071</v>
      </c>
      <c r="C4" s="531">
        <v>4</v>
      </c>
      <c r="D4" s="604">
        <v>15</v>
      </c>
      <c r="E4" s="605"/>
      <c r="F4" s="604">
        <v>19</v>
      </c>
      <c r="G4" s="605"/>
      <c r="H4" s="531"/>
      <c r="I4" s="531"/>
      <c r="J4" s="531"/>
      <c r="K4" s="531"/>
      <c r="L4" s="531"/>
      <c r="M4" s="531"/>
      <c r="N4" s="531"/>
      <c r="O4" s="531"/>
      <c r="P4" s="604">
        <v>2</v>
      </c>
      <c r="Q4" s="605"/>
      <c r="R4" s="531"/>
      <c r="S4" s="531"/>
      <c r="T4" s="531"/>
      <c r="U4" s="531"/>
      <c r="V4" s="531"/>
      <c r="W4" s="531"/>
      <c r="X4" s="531"/>
      <c r="Y4" s="37"/>
    </row>
    <row r="5" spans="1:25" hidden="1" x14ac:dyDescent="0.35">
      <c r="A5" s="1224"/>
      <c r="B5" s="531" t="s">
        <v>1072</v>
      </c>
      <c r="C5" s="531">
        <v>2</v>
      </c>
      <c r="D5" s="604">
        <v>20</v>
      </c>
      <c r="E5" s="605"/>
      <c r="F5" s="604">
        <v>22</v>
      </c>
      <c r="G5" s="605"/>
      <c r="H5" s="531"/>
      <c r="I5" s="531"/>
      <c r="J5" s="531"/>
      <c r="K5" s="531"/>
      <c r="L5" s="531"/>
      <c r="M5" s="531"/>
      <c r="N5" s="531"/>
      <c r="O5" s="531"/>
      <c r="P5" s="604">
        <v>9</v>
      </c>
      <c r="Q5" s="605"/>
      <c r="R5" s="531"/>
      <c r="S5" s="531"/>
      <c r="T5" s="531"/>
      <c r="U5" s="531"/>
      <c r="V5" s="531"/>
      <c r="W5" s="531"/>
      <c r="X5" s="531"/>
      <c r="Y5" s="37"/>
    </row>
    <row r="6" spans="1:25" hidden="1" x14ac:dyDescent="0.35">
      <c r="A6" s="1224"/>
      <c r="B6" s="531" t="s">
        <v>1073</v>
      </c>
      <c r="C6" s="531">
        <v>1</v>
      </c>
      <c r="D6" s="604">
        <v>23</v>
      </c>
      <c r="E6" s="605"/>
      <c r="F6" s="604">
        <v>25</v>
      </c>
      <c r="G6" s="605"/>
      <c r="H6" s="531"/>
      <c r="I6" s="531"/>
      <c r="J6" s="531"/>
      <c r="K6" s="531"/>
      <c r="L6" s="531"/>
      <c r="M6" s="531"/>
      <c r="N6" s="531"/>
      <c r="O6" s="531"/>
      <c r="P6" s="604">
        <v>13</v>
      </c>
      <c r="Q6" s="605"/>
      <c r="R6" s="531"/>
      <c r="S6" s="531"/>
      <c r="T6" s="531"/>
      <c r="U6" s="531"/>
      <c r="V6" s="531"/>
      <c r="W6" s="531"/>
      <c r="X6" s="531"/>
      <c r="Y6" s="37"/>
    </row>
    <row r="7" spans="1:25" ht="116" x14ac:dyDescent="0.35">
      <c r="A7" s="1224" t="s">
        <v>380</v>
      </c>
      <c r="B7" s="39" t="s">
        <v>1071</v>
      </c>
      <c r="C7" s="39">
        <v>6</v>
      </c>
      <c r="D7" s="604">
        <v>15</v>
      </c>
      <c r="E7" s="606">
        <v>6</v>
      </c>
      <c r="F7" s="604">
        <v>15</v>
      </c>
      <c r="G7" s="606">
        <v>6</v>
      </c>
      <c r="H7" s="39">
        <v>6</v>
      </c>
      <c r="I7" s="461" t="s">
        <v>1074</v>
      </c>
      <c r="J7" s="39">
        <v>6</v>
      </c>
      <c r="K7" s="461" t="s">
        <v>1074</v>
      </c>
      <c r="L7" s="39">
        <v>6</v>
      </c>
      <c r="M7" s="461" t="s">
        <v>1075</v>
      </c>
      <c r="N7" s="39">
        <v>6</v>
      </c>
      <c r="O7" s="461" t="s">
        <v>1075</v>
      </c>
      <c r="P7" s="604">
        <v>27</v>
      </c>
      <c r="Q7" s="606">
        <v>8</v>
      </c>
      <c r="R7" s="39">
        <v>8</v>
      </c>
      <c r="S7" s="461" t="s">
        <v>1076</v>
      </c>
      <c r="T7" s="39">
        <v>8</v>
      </c>
      <c r="U7" s="461" t="s">
        <v>1076</v>
      </c>
      <c r="V7" s="39">
        <v>8</v>
      </c>
      <c r="W7" s="461" t="s">
        <v>1077</v>
      </c>
      <c r="X7" s="39">
        <v>8</v>
      </c>
      <c r="Y7" s="527" t="s">
        <v>1077</v>
      </c>
    </row>
    <row r="8" spans="1:25" ht="203" x14ac:dyDescent="0.35">
      <c r="A8" s="1224"/>
      <c r="B8" s="39" t="s">
        <v>1072</v>
      </c>
      <c r="C8" s="39">
        <v>4</v>
      </c>
      <c r="D8" s="604">
        <v>15</v>
      </c>
      <c r="E8" s="606">
        <v>6</v>
      </c>
      <c r="F8" s="604">
        <v>15</v>
      </c>
      <c r="G8" s="606">
        <v>6</v>
      </c>
      <c r="H8" s="39">
        <v>6</v>
      </c>
      <c r="I8" s="461" t="s">
        <v>1184</v>
      </c>
      <c r="J8" s="39">
        <v>8</v>
      </c>
      <c r="K8" s="461" t="s">
        <v>1214</v>
      </c>
      <c r="L8" s="39">
        <v>10</v>
      </c>
      <c r="M8" s="461" t="s">
        <v>1226</v>
      </c>
      <c r="N8" s="39">
        <v>10</v>
      </c>
      <c r="O8" s="461" t="s">
        <v>1226</v>
      </c>
      <c r="P8" s="604">
        <v>40</v>
      </c>
      <c r="Q8" s="606">
        <v>10</v>
      </c>
      <c r="R8" s="39">
        <v>10</v>
      </c>
      <c r="S8" s="461" t="s">
        <v>1226</v>
      </c>
      <c r="T8" s="39">
        <v>10</v>
      </c>
      <c r="U8" s="461" t="s">
        <v>1226</v>
      </c>
      <c r="V8" s="39">
        <v>10</v>
      </c>
      <c r="W8" s="461" t="s">
        <v>1226</v>
      </c>
      <c r="X8" s="39">
        <v>10</v>
      </c>
      <c r="Y8" s="461" t="s">
        <v>1226</v>
      </c>
    </row>
    <row r="9" spans="1:25" ht="44" thickBot="1" x14ac:dyDescent="0.4">
      <c r="A9" s="1382"/>
      <c r="B9" s="41" t="s">
        <v>1073</v>
      </c>
      <c r="C9" s="41"/>
      <c r="D9" s="611" t="s">
        <v>916</v>
      </c>
      <c r="E9" s="612"/>
      <c r="F9" s="611">
        <v>10</v>
      </c>
      <c r="G9" s="612">
        <v>1</v>
      </c>
      <c r="H9" s="41"/>
      <c r="I9" s="41"/>
      <c r="J9" s="41"/>
      <c r="K9" s="41"/>
      <c r="L9" s="41">
        <v>1</v>
      </c>
      <c r="M9" s="41" t="s">
        <v>1078</v>
      </c>
      <c r="N9" s="41">
        <v>1</v>
      </c>
      <c r="O9" s="41" t="s">
        <v>1078</v>
      </c>
      <c r="P9" s="611">
        <v>14</v>
      </c>
      <c r="Q9" s="612">
        <v>2</v>
      </c>
      <c r="R9" s="41">
        <v>1</v>
      </c>
      <c r="S9" s="41" t="s">
        <v>1078</v>
      </c>
      <c r="T9" s="41">
        <v>1</v>
      </c>
      <c r="U9" s="41" t="s">
        <v>1078</v>
      </c>
      <c r="V9" s="41">
        <v>2</v>
      </c>
      <c r="W9" s="613" t="s">
        <v>1079</v>
      </c>
      <c r="X9" s="41">
        <v>2</v>
      </c>
      <c r="Y9" s="614" t="s">
        <v>1079</v>
      </c>
    </row>
    <row r="10" spans="1:25" hidden="1" x14ac:dyDescent="0.35">
      <c r="A10" s="1315" t="s">
        <v>1080</v>
      </c>
      <c r="B10" s="608" t="s">
        <v>1071</v>
      </c>
      <c r="C10" s="608">
        <v>2</v>
      </c>
      <c r="D10" s="609">
        <v>12</v>
      </c>
      <c r="E10" s="610">
        <v>3</v>
      </c>
      <c r="F10" s="609">
        <v>11</v>
      </c>
      <c r="G10" s="610">
        <v>3</v>
      </c>
      <c r="H10" s="608"/>
      <c r="I10" s="608"/>
      <c r="J10" s="608"/>
      <c r="K10" s="608"/>
      <c r="L10" s="608"/>
      <c r="M10" s="608"/>
      <c r="N10" s="608"/>
      <c r="O10" s="608"/>
      <c r="P10" s="609">
        <v>18</v>
      </c>
      <c r="Q10" s="610">
        <v>4</v>
      </c>
      <c r="R10" s="608"/>
      <c r="S10" s="608"/>
      <c r="T10" s="608"/>
      <c r="U10" s="608"/>
      <c r="V10" s="608"/>
      <c r="W10" s="608"/>
      <c r="X10" s="608"/>
      <c r="Y10" s="608"/>
    </row>
    <row r="11" spans="1:25" hidden="1" x14ac:dyDescent="0.35">
      <c r="A11" s="1223"/>
      <c r="B11" s="531" t="s">
        <v>1072</v>
      </c>
      <c r="C11" s="531">
        <v>0</v>
      </c>
      <c r="D11" s="604">
        <v>5</v>
      </c>
      <c r="E11" s="605">
        <v>1</v>
      </c>
      <c r="F11" s="604">
        <v>5</v>
      </c>
      <c r="G11" s="605">
        <v>1</v>
      </c>
      <c r="H11" s="531"/>
      <c r="I11" s="531"/>
      <c r="J11" s="531"/>
      <c r="K11" s="531"/>
      <c r="L11" s="531"/>
      <c r="M11" s="531"/>
      <c r="N11" s="531"/>
      <c r="O11" s="531"/>
      <c r="P11" s="604">
        <v>8</v>
      </c>
      <c r="Q11" s="605">
        <v>2</v>
      </c>
      <c r="R11" s="531"/>
      <c r="S11" s="531"/>
      <c r="T11" s="531"/>
      <c r="U11" s="531"/>
      <c r="V11" s="531"/>
      <c r="W11" s="531"/>
      <c r="X11" s="531"/>
      <c r="Y11" s="531"/>
    </row>
    <row r="12" spans="1:25" hidden="1" x14ac:dyDescent="0.35">
      <c r="A12" s="1223"/>
      <c r="B12" s="531" t="s">
        <v>1073</v>
      </c>
      <c r="C12" s="531"/>
      <c r="D12" s="604" t="s">
        <v>916</v>
      </c>
      <c r="E12" s="605"/>
      <c r="F12" s="604" t="s">
        <v>916</v>
      </c>
      <c r="G12" s="605"/>
      <c r="H12" s="531"/>
      <c r="I12" s="531"/>
      <c r="J12" s="531"/>
      <c r="K12" s="531"/>
      <c r="L12" s="531"/>
      <c r="M12" s="531"/>
      <c r="N12" s="531"/>
      <c r="O12" s="531"/>
      <c r="P12" s="604" t="s">
        <v>916</v>
      </c>
      <c r="Q12" s="605"/>
      <c r="R12" s="531"/>
      <c r="S12" s="531"/>
      <c r="T12" s="531"/>
      <c r="U12" s="531"/>
      <c r="V12" s="531"/>
      <c r="W12" s="531"/>
      <c r="X12" s="531"/>
      <c r="Y12" s="531"/>
    </row>
  </sheetData>
  <mergeCells count="23">
    <mergeCell ref="A4:A6"/>
    <mergeCell ref="A7:A9"/>
    <mergeCell ref="A10:A12"/>
    <mergeCell ref="N2:O2"/>
    <mergeCell ref="P2:P3"/>
    <mergeCell ref="F2:F3"/>
    <mergeCell ref="G2:G3"/>
    <mergeCell ref="H2:I2"/>
    <mergeCell ref="J2:K2"/>
    <mergeCell ref="L2:M2"/>
    <mergeCell ref="A1:A3"/>
    <mergeCell ref="B1:B3"/>
    <mergeCell ref="C1:C3"/>
    <mergeCell ref="D1:E1"/>
    <mergeCell ref="F1:O1"/>
    <mergeCell ref="P1:Y1"/>
    <mergeCell ref="D2:D3"/>
    <mergeCell ref="E2:E3"/>
    <mergeCell ref="X2:Y2"/>
    <mergeCell ref="Q2:Q3"/>
    <mergeCell ref="R2:S2"/>
    <mergeCell ref="T2:U2"/>
    <mergeCell ref="V2:W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523AD-7842-47E9-BD51-69E4D45F3BDD}">
  <dimension ref="A1:E29"/>
  <sheetViews>
    <sheetView workbookViewId="0">
      <selection activeCell="C33" sqref="C33"/>
    </sheetView>
  </sheetViews>
  <sheetFormatPr defaultRowHeight="14.5" x14ac:dyDescent="0.35"/>
  <cols>
    <col min="2" max="2" width="34.54296875" customWidth="1"/>
    <col min="3" max="3" width="33.6328125" customWidth="1"/>
    <col min="4" max="4" width="10.08984375" bestFit="1" customWidth="1"/>
  </cols>
  <sheetData>
    <row r="1" spans="1:5" ht="21" x14ac:dyDescent="0.35">
      <c r="A1" s="1393" t="s">
        <v>1185</v>
      </c>
      <c r="B1" s="1394"/>
      <c r="C1" s="1395"/>
    </row>
    <row r="2" spans="1:5" ht="18.5" x14ac:dyDescent="0.35">
      <c r="A2" s="747" t="s">
        <v>104</v>
      </c>
      <c r="B2" s="2" t="s">
        <v>1186</v>
      </c>
      <c r="C2" s="748" t="s">
        <v>1187</v>
      </c>
    </row>
    <row r="3" spans="1:5" ht="15.5" x14ac:dyDescent="0.35">
      <c r="A3" s="454">
        <v>1</v>
      </c>
      <c r="B3" s="15" t="s">
        <v>1188</v>
      </c>
      <c r="C3" s="659">
        <v>7903986246</v>
      </c>
      <c r="D3" s="749"/>
      <c r="E3" s="453"/>
    </row>
    <row r="4" spans="1:5" ht="15.5" x14ac:dyDescent="0.35">
      <c r="A4" s="454">
        <v>2</v>
      </c>
      <c r="B4" s="15" t="s">
        <v>1189</v>
      </c>
      <c r="C4" s="659">
        <v>6267625341</v>
      </c>
    </row>
    <row r="5" spans="1:5" ht="15.5" x14ac:dyDescent="0.35">
      <c r="A5" s="454">
        <v>3</v>
      </c>
      <c r="B5" s="15" t="s">
        <v>1190</v>
      </c>
      <c r="C5" s="659">
        <v>8809719623</v>
      </c>
    </row>
    <row r="6" spans="1:5" ht="15.5" x14ac:dyDescent="0.35">
      <c r="A6" s="454">
        <v>4</v>
      </c>
      <c r="B6" s="15" t="s">
        <v>1191</v>
      </c>
      <c r="C6" s="659">
        <v>7909016958</v>
      </c>
    </row>
    <row r="7" spans="1:5" ht="15.5" x14ac:dyDescent="0.35">
      <c r="A7" s="454">
        <v>5</v>
      </c>
      <c r="B7" s="15" t="s">
        <v>1192</v>
      </c>
      <c r="C7" s="659">
        <v>8340522804</v>
      </c>
    </row>
    <row r="8" spans="1:5" ht="15.5" x14ac:dyDescent="0.35">
      <c r="A8" s="454">
        <v>6</v>
      </c>
      <c r="B8" s="15" t="s">
        <v>1193</v>
      </c>
      <c r="C8" s="659">
        <v>7742446771</v>
      </c>
    </row>
    <row r="9" spans="1:5" ht="15.5" x14ac:dyDescent="0.35">
      <c r="A9" s="454">
        <v>7</v>
      </c>
      <c r="B9" s="15" t="s">
        <v>1194</v>
      </c>
      <c r="C9" s="659">
        <v>9631668094</v>
      </c>
    </row>
    <row r="10" spans="1:5" ht="15.5" x14ac:dyDescent="0.35">
      <c r="A10" s="454">
        <v>8</v>
      </c>
      <c r="B10" s="15" t="s">
        <v>1195</v>
      </c>
      <c r="C10" s="659">
        <v>8329882493</v>
      </c>
      <c r="D10" s="749"/>
      <c r="E10" s="453"/>
    </row>
    <row r="11" spans="1:5" ht="15.5" x14ac:dyDescent="0.35">
      <c r="A11" s="454">
        <v>9</v>
      </c>
      <c r="B11" s="15" t="s">
        <v>1196</v>
      </c>
      <c r="C11" s="659">
        <v>8340522804</v>
      </c>
    </row>
    <row r="12" spans="1:5" ht="15.5" x14ac:dyDescent="0.35">
      <c r="A12" s="454">
        <v>10</v>
      </c>
      <c r="B12" s="15" t="s">
        <v>1197</v>
      </c>
      <c r="C12" s="659">
        <v>7979965855</v>
      </c>
    </row>
    <row r="13" spans="1:5" ht="15.5" x14ac:dyDescent="0.35">
      <c r="A13" s="454">
        <v>11</v>
      </c>
      <c r="B13" s="15" t="s">
        <v>1198</v>
      </c>
      <c r="C13" s="659">
        <v>9162449115</v>
      </c>
    </row>
    <row r="14" spans="1:5" ht="15.5" x14ac:dyDescent="0.35">
      <c r="A14" s="454">
        <v>12</v>
      </c>
      <c r="B14" s="15" t="s">
        <v>1199</v>
      </c>
      <c r="C14" s="659">
        <v>6268829066</v>
      </c>
    </row>
    <row r="15" spans="1:5" ht="15.5" x14ac:dyDescent="0.35">
      <c r="A15" s="454">
        <v>13</v>
      </c>
      <c r="B15" s="15" t="s">
        <v>453</v>
      </c>
      <c r="C15" s="659">
        <v>6202461569</v>
      </c>
    </row>
    <row r="16" spans="1:5" ht="15.5" x14ac:dyDescent="0.35">
      <c r="A16" s="454">
        <v>14</v>
      </c>
      <c r="B16" s="15" t="s">
        <v>1200</v>
      </c>
      <c r="C16" s="659">
        <v>9973422181</v>
      </c>
    </row>
    <row r="17" spans="1:3" ht="15.5" x14ac:dyDescent="0.35">
      <c r="A17" s="454">
        <v>15</v>
      </c>
      <c r="B17" s="15" t="s">
        <v>1201</v>
      </c>
      <c r="C17" s="659">
        <v>7001950006</v>
      </c>
    </row>
    <row r="18" spans="1:3" ht="15.5" x14ac:dyDescent="0.35">
      <c r="A18" s="454">
        <v>16</v>
      </c>
      <c r="B18" s="15" t="s">
        <v>1202</v>
      </c>
      <c r="C18" s="659">
        <v>7979869316</v>
      </c>
    </row>
    <row r="19" spans="1:3" ht="15.5" x14ac:dyDescent="0.35">
      <c r="A19" s="454">
        <v>17</v>
      </c>
      <c r="B19" s="15" t="s">
        <v>1203</v>
      </c>
      <c r="C19" s="659">
        <v>9801263101</v>
      </c>
    </row>
    <row r="20" spans="1:3" ht="15.5" x14ac:dyDescent="0.35">
      <c r="A20" s="454">
        <v>18</v>
      </c>
      <c r="B20" s="15" t="s">
        <v>1204</v>
      </c>
      <c r="C20" s="659">
        <v>6203097861</v>
      </c>
    </row>
    <row r="21" spans="1:3" ht="15.5" x14ac:dyDescent="0.35">
      <c r="A21" s="454">
        <v>19</v>
      </c>
      <c r="B21" s="15" t="s">
        <v>1205</v>
      </c>
      <c r="C21" s="659">
        <v>7484927816</v>
      </c>
    </row>
    <row r="22" spans="1:3" ht="15.5" x14ac:dyDescent="0.35">
      <c r="A22" s="454">
        <v>20</v>
      </c>
      <c r="B22" s="15" t="s">
        <v>1206</v>
      </c>
      <c r="C22" s="659">
        <v>7678524046</v>
      </c>
    </row>
    <row r="23" spans="1:3" ht="15.5" x14ac:dyDescent="0.35">
      <c r="A23" s="454">
        <v>21</v>
      </c>
      <c r="B23" s="15" t="s">
        <v>1207</v>
      </c>
      <c r="C23" s="659">
        <v>9827729090</v>
      </c>
    </row>
    <row r="24" spans="1:3" ht="15.5" x14ac:dyDescent="0.35">
      <c r="A24" s="454">
        <v>22</v>
      </c>
      <c r="B24" s="15" t="s">
        <v>1208</v>
      </c>
      <c r="C24" s="659">
        <v>9636170005</v>
      </c>
    </row>
    <row r="25" spans="1:3" ht="15.5" x14ac:dyDescent="0.35">
      <c r="A25" s="454">
        <v>23</v>
      </c>
      <c r="B25" s="15" t="s">
        <v>1209</v>
      </c>
      <c r="C25" s="659">
        <v>8969543979</v>
      </c>
    </row>
    <row r="26" spans="1:3" ht="15.5" x14ac:dyDescent="0.35">
      <c r="A26" s="454">
        <v>24</v>
      </c>
      <c r="B26" s="15" t="s">
        <v>1210</v>
      </c>
      <c r="C26" s="659">
        <v>9893941515</v>
      </c>
    </row>
    <row r="27" spans="1:3" ht="15.5" x14ac:dyDescent="0.35">
      <c r="A27" s="454">
        <v>25</v>
      </c>
      <c r="B27" s="15" t="s">
        <v>1211</v>
      </c>
      <c r="C27" s="659">
        <v>9113752993</v>
      </c>
    </row>
    <row r="28" spans="1:3" ht="15.5" x14ac:dyDescent="0.35">
      <c r="A28" s="454">
        <v>26</v>
      </c>
      <c r="B28" s="15" t="s">
        <v>1212</v>
      </c>
      <c r="C28" s="659">
        <v>7763816767</v>
      </c>
    </row>
    <row r="29" spans="1:3" ht="16" hidden="1" thickBot="1" x14ac:dyDescent="0.4">
      <c r="A29" s="501">
        <v>27</v>
      </c>
      <c r="B29" s="750" t="s">
        <v>1213</v>
      </c>
      <c r="C29" s="411"/>
    </row>
  </sheetData>
  <mergeCells count="1">
    <mergeCell ref="A1:C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7666-EE5D-4419-B92C-019F7A55A146}">
  <dimension ref="A1:J18"/>
  <sheetViews>
    <sheetView topLeftCell="A11" workbookViewId="0">
      <selection activeCell="J14" sqref="J14"/>
    </sheetView>
  </sheetViews>
  <sheetFormatPr defaultRowHeight="14.5" x14ac:dyDescent="0.35"/>
  <cols>
    <col min="10" max="10" width="23.90625" customWidth="1"/>
  </cols>
  <sheetData>
    <row r="1" spans="1:10" ht="15.5" x14ac:dyDescent="0.35">
      <c r="A1" s="1399" t="s">
        <v>1251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0" ht="28" customHeight="1" x14ac:dyDescent="0.35">
      <c r="A2" s="808" t="s">
        <v>181</v>
      </c>
      <c r="B2" s="805" t="s">
        <v>1252</v>
      </c>
      <c r="C2" s="805">
        <v>-3</v>
      </c>
      <c r="D2" s="805">
        <v>-1.5</v>
      </c>
      <c r="E2" s="805">
        <v>0</v>
      </c>
      <c r="F2" s="805">
        <v>3</v>
      </c>
      <c r="G2" s="805">
        <v>6</v>
      </c>
      <c r="H2" s="805">
        <v>9</v>
      </c>
      <c r="I2" s="805">
        <v>18</v>
      </c>
      <c r="J2" s="809" t="s">
        <v>6</v>
      </c>
    </row>
    <row r="3" spans="1:10" ht="49" customHeight="1" x14ac:dyDescent="0.35">
      <c r="A3" s="806" t="s">
        <v>1253</v>
      </c>
      <c r="B3" s="39">
        <v>30</v>
      </c>
      <c r="C3" s="39">
        <v>4</v>
      </c>
      <c r="D3" s="39">
        <v>2</v>
      </c>
      <c r="E3" s="39">
        <v>14</v>
      </c>
      <c r="F3" s="39">
        <v>5</v>
      </c>
      <c r="G3" s="39">
        <v>4</v>
      </c>
      <c r="H3" s="39">
        <v>3</v>
      </c>
      <c r="I3" s="39"/>
      <c r="J3" s="527" t="s">
        <v>1281</v>
      </c>
    </row>
    <row r="4" spans="1:10" ht="27" customHeight="1" x14ac:dyDescent="0.35">
      <c r="A4" s="806" t="s">
        <v>202</v>
      </c>
      <c r="B4" s="39">
        <v>7</v>
      </c>
      <c r="C4" s="39"/>
      <c r="D4" s="39"/>
      <c r="E4" s="39">
        <v>5</v>
      </c>
      <c r="F4" s="39">
        <v>2</v>
      </c>
      <c r="G4" s="39">
        <v>0</v>
      </c>
      <c r="H4" s="39">
        <v>3</v>
      </c>
      <c r="I4" s="39"/>
      <c r="J4" s="651"/>
    </row>
    <row r="5" spans="1:10" ht="27" customHeight="1" x14ac:dyDescent="0.35">
      <c r="A5" s="806" t="s">
        <v>211</v>
      </c>
      <c r="B5" s="39">
        <v>6</v>
      </c>
      <c r="C5" s="39"/>
      <c r="D5" s="39"/>
      <c r="E5" s="39">
        <v>6</v>
      </c>
      <c r="F5" s="39">
        <v>1</v>
      </c>
      <c r="G5" s="39">
        <v>2</v>
      </c>
      <c r="H5" s="39">
        <v>1</v>
      </c>
      <c r="I5" s="39"/>
      <c r="J5" s="37"/>
    </row>
    <row r="6" spans="1:10" ht="27" customHeight="1" x14ac:dyDescent="0.35">
      <c r="A6" s="806" t="s">
        <v>218</v>
      </c>
      <c r="B6" s="39">
        <v>2</v>
      </c>
      <c r="C6" s="39"/>
      <c r="D6" s="39"/>
      <c r="E6" s="39">
        <v>2</v>
      </c>
      <c r="F6" s="39"/>
      <c r="G6" s="39"/>
      <c r="H6" s="39">
        <v>1</v>
      </c>
      <c r="I6" s="39"/>
      <c r="J6" s="37"/>
    </row>
    <row r="7" spans="1:10" ht="27" customHeight="1" x14ac:dyDescent="0.35">
      <c r="A7" s="806" t="s">
        <v>225</v>
      </c>
      <c r="B7" s="39">
        <v>3</v>
      </c>
      <c r="C7" s="39"/>
      <c r="D7" s="39"/>
      <c r="E7" s="39">
        <v>2</v>
      </c>
      <c r="F7" s="39">
        <v>1</v>
      </c>
      <c r="G7" s="39"/>
      <c r="H7" s="39"/>
      <c r="I7" s="39"/>
      <c r="J7" s="37"/>
    </row>
    <row r="8" spans="1:10" ht="27" customHeight="1" x14ac:dyDescent="0.35">
      <c r="A8" s="806" t="s">
        <v>960</v>
      </c>
      <c r="B8" s="39">
        <v>4</v>
      </c>
      <c r="C8" s="39"/>
      <c r="D8" s="39"/>
      <c r="E8" s="39">
        <v>2</v>
      </c>
      <c r="F8" s="39">
        <v>2</v>
      </c>
      <c r="G8" s="39">
        <v>2</v>
      </c>
      <c r="H8" s="39"/>
      <c r="I8" s="39"/>
      <c r="J8" s="37"/>
    </row>
    <row r="9" spans="1:10" ht="27" customHeight="1" x14ac:dyDescent="0.35">
      <c r="A9" s="806" t="s">
        <v>961</v>
      </c>
      <c r="B9" s="39">
        <v>6</v>
      </c>
      <c r="C9" s="39"/>
      <c r="D9" s="39"/>
      <c r="E9" s="39">
        <v>6</v>
      </c>
      <c r="F9" s="39"/>
      <c r="G9" s="39">
        <v>1</v>
      </c>
      <c r="H9" s="39">
        <v>2</v>
      </c>
      <c r="I9" s="39">
        <v>2</v>
      </c>
      <c r="J9" s="37"/>
    </row>
    <row r="10" spans="1:10" ht="15.5" x14ac:dyDescent="0.35">
      <c r="A10" s="1396" t="s">
        <v>1254</v>
      </c>
      <c r="B10" s="1397"/>
      <c r="C10" s="1397"/>
      <c r="D10" s="1397"/>
      <c r="E10" s="1397"/>
      <c r="F10" s="1397"/>
      <c r="G10" s="1397"/>
      <c r="H10" s="1397"/>
      <c r="I10" s="1397"/>
      <c r="J10" s="1398"/>
    </row>
    <row r="11" spans="1:10" ht="29.5" customHeight="1" x14ac:dyDescent="0.35">
      <c r="A11" s="808" t="s">
        <v>181</v>
      </c>
      <c r="B11" s="805" t="s">
        <v>1252</v>
      </c>
      <c r="C11" s="805">
        <v>-3</v>
      </c>
      <c r="D11" s="805">
        <v>-1.5</v>
      </c>
      <c r="E11" s="805">
        <v>0</v>
      </c>
      <c r="F11" s="805">
        <v>3</v>
      </c>
      <c r="G11" s="805">
        <v>6</v>
      </c>
      <c r="H11" s="805">
        <v>9</v>
      </c>
      <c r="I11" s="805">
        <v>18</v>
      </c>
      <c r="J11" s="809" t="s">
        <v>6</v>
      </c>
    </row>
    <row r="12" spans="1:10" ht="30.5" customHeight="1" x14ac:dyDescent="0.35">
      <c r="A12" s="806" t="s">
        <v>1253</v>
      </c>
      <c r="B12" s="39">
        <v>101</v>
      </c>
      <c r="C12" s="39">
        <v>23</v>
      </c>
      <c r="D12" s="39">
        <v>1</v>
      </c>
      <c r="E12" s="39">
        <v>60</v>
      </c>
      <c r="F12" s="39">
        <v>19</v>
      </c>
      <c r="G12" s="39">
        <v>6</v>
      </c>
      <c r="H12" s="39">
        <v>2</v>
      </c>
      <c r="I12" s="39"/>
      <c r="J12" s="37" t="s">
        <v>1280</v>
      </c>
    </row>
    <row r="13" spans="1:10" ht="30.5" customHeight="1" x14ac:dyDescent="0.35">
      <c r="A13" s="806" t="s">
        <v>202</v>
      </c>
      <c r="B13" s="39">
        <v>3</v>
      </c>
      <c r="C13" s="39"/>
      <c r="D13" s="39"/>
      <c r="E13" s="39">
        <v>4</v>
      </c>
      <c r="F13" s="39"/>
      <c r="G13" s="39">
        <v>1</v>
      </c>
      <c r="H13" s="39"/>
      <c r="I13" s="39"/>
      <c r="J13" s="37"/>
    </row>
    <row r="14" spans="1:10" ht="41.5" customHeight="1" x14ac:dyDescent="0.35">
      <c r="A14" s="806" t="s">
        <v>211</v>
      </c>
      <c r="B14" s="39">
        <v>1</v>
      </c>
      <c r="C14" s="39"/>
      <c r="D14" s="39"/>
      <c r="E14" s="39"/>
      <c r="F14" s="39"/>
      <c r="G14" s="39"/>
      <c r="H14" s="39"/>
      <c r="I14" s="39"/>
      <c r="J14" s="873" t="s">
        <v>1279</v>
      </c>
    </row>
    <row r="15" spans="1:10" ht="30.5" customHeight="1" x14ac:dyDescent="0.35">
      <c r="A15" s="806" t="s">
        <v>218</v>
      </c>
      <c r="B15" s="39">
        <v>2</v>
      </c>
      <c r="C15" s="39"/>
      <c r="D15" s="39"/>
      <c r="E15" s="39"/>
      <c r="F15" s="39">
        <v>2</v>
      </c>
      <c r="G15" s="39"/>
      <c r="H15" s="39"/>
      <c r="I15" s="39"/>
      <c r="J15" s="37"/>
    </row>
    <row r="16" spans="1:10" ht="30.5" customHeight="1" x14ac:dyDescent="0.35">
      <c r="A16" s="806" t="s">
        <v>225</v>
      </c>
      <c r="B16" s="39">
        <v>1</v>
      </c>
      <c r="C16" s="39"/>
      <c r="D16" s="39"/>
      <c r="E16" s="39">
        <v>1</v>
      </c>
      <c r="F16" s="39"/>
      <c r="G16" s="39"/>
      <c r="H16" s="39"/>
      <c r="I16" s="39"/>
      <c r="J16" s="37"/>
    </row>
    <row r="17" spans="1:10" ht="30.5" customHeight="1" x14ac:dyDescent="0.35">
      <c r="A17" s="806" t="s">
        <v>960</v>
      </c>
      <c r="B17" s="39">
        <v>1</v>
      </c>
      <c r="C17" s="39"/>
      <c r="D17" s="39"/>
      <c r="E17" s="39">
        <v>1</v>
      </c>
      <c r="F17" s="39"/>
      <c r="G17" s="39"/>
      <c r="H17" s="39"/>
      <c r="I17" s="39"/>
      <c r="J17" s="651"/>
    </row>
    <row r="18" spans="1:10" ht="30.5" customHeight="1" thickBot="1" x14ac:dyDescent="0.4">
      <c r="A18" s="807" t="s">
        <v>961</v>
      </c>
      <c r="B18" s="41">
        <v>3</v>
      </c>
      <c r="C18" s="41"/>
      <c r="D18" s="41"/>
      <c r="E18" s="41">
        <v>2</v>
      </c>
      <c r="F18" s="41">
        <v>1</v>
      </c>
      <c r="G18" s="41"/>
      <c r="H18" s="41"/>
      <c r="I18" s="41"/>
      <c r="J18" s="43"/>
    </row>
  </sheetData>
  <mergeCells count="2">
    <mergeCell ref="A10:J10"/>
    <mergeCell ref="A1:J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9C0C-56B4-4583-8626-33D2A74AD33B}">
  <dimension ref="A1:Q4"/>
  <sheetViews>
    <sheetView workbookViewId="0">
      <selection activeCell="B5" sqref="B5"/>
    </sheetView>
  </sheetViews>
  <sheetFormatPr defaultRowHeight="14.5" x14ac:dyDescent="0.35"/>
  <cols>
    <col min="1" max="1" width="3.90625" customWidth="1"/>
  </cols>
  <sheetData>
    <row r="1" spans="1:17" s="453" customFormat="1" ht="25" customHeight="1" x14ac:dyDescent="0.35">
      <c r="A1" s="1402" t="s">
        <v>919</v>
      </c>
      <c r="B1" s="1403"/>
      <c r="C1" s="1403"/>
      <c r="D1" s="1403"/>
      <c r="E1" s="1403"/>
      <c r="F1" s="1403"/>
      <c r="G1" s="1403"/>
      <c r="H1" s="1403"/>
      <c r="I1" s="1403"/>
      <c r="J1" s="1403"/>
      <c r="K1" s="1403"/>
      <c r="L1" s="1403"/>
      <c r="M1" s="1403"/>
      <c r="N1" s="1404"/>
      <c r="O1" s="452"/>
      <c r="P1" s="452"/>
      <c r="Q1" s="452"/>
    </row>
    <row r="2" spans="1:17" s="453" customFormat="1" ht="25" customHeight="1" x14ac:dyDescent="0.35">
      <c r="A2" s="454">
        <v>1</v>
      </c>
      <c r="B2" s="1405" t="s">
        <v>1328</v>
      </c>
      <c r="C2" s="1405"/>
      <c r="D2" s="1405"/>
      <c r="E2" s="1405"/>
      <c r="F2" s="1405"/>
      <c r="G2" s="1405"/>
      <c r="H2" s="1405"/>
      <c r="I2" s="1405"/>
      <c r="J2" s="1405"/>
      <c r="K2" s="1405"/>
      <c r="L2" s="1405"/>
      <c r="M2" s="1405"/>
      <c r="N2" s="1406"/>
      <c r="O2" s="452"/>
      <c r="P2" s="452"/>
      <c r="Q2" s="452"/>
    </row>
    <row r="3" spans="1:17" s="453" customFormat="1" ht="25" customHeight="1" x14ac:dyDescent="0.35">
      <c r="A3" s="454">
        <v>2</v>
      </c>
      <c r="B3" s="1410" t="s">
        <v>1295</v>
      </c>
      <c r="C3" s="1411"/>
      <c r="D3" s="1411"/>
      <c r="E3" s="1411"/>
      <c r="F3" s="1411"/>
      <c r="G3" s="1411"/>
      <c r="H3" s="1411"/>
      <c r="I3" s="1411"/>
      <c r="J3" s="1411"/>
      <c r="K3" s="1411"/>
      <c r="L3" s="1411"/>
      <c r="M3" s="1411"/>
      <c r="N3" s="1412"/>
      <c r="O3" s="451"/>
      <c r="P3" s="451"/>
      <c r="Q3" s="451"/>
    </row>
    <row r="4" spans="1:17" s="453" customFormat="1" ht="25" customHeight="1" thickBot="1" x14ac:dyDescent="0.4">
      <c r="A4" s="455">
        <v>3</v>
      </c>
      <c r="B4" s="1407" t="s">
        <v>1332</v>
      </c>
      <c r="C4" s="1408"/>
      <c r="D4" s="1408"/>
      <c r="E4" s="1408"/>
      <c r="F4" s="1408"/>
      <c r="G4" s="1408"/>
      <c r="H4" s="1408"/>
      <c r="I4" s="1408"/>
      <c r="J4" s="1408"/>
      <c r="K4" s="1408"/>
      <c r="L4" s="1408"/>
      <c r="M4" s="1408"/>
      <c r="N4" s="1409"/>
      <c r="O4" s="451"/>
      <c r="P4" s="451"/>
      <c r="Q4" s="451"/>
    </row>
  </sheetData>
  <mergeCells count="4">
    <mergeCell ref="A1:N1"/>
    <mergeCell ref="B2:N2"/>
    <mergeCell ref="B4:N4"/>
    <mergeCell ref="B3:N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83A7-6391-4509-8962-F95320FE94EE}">
  <dimension ref="A1:EN43"/>
  <sheetViews>
    <sheetView topLeftCell="B15" workbookViewId="0">
      <selection activeCell="R25" sqref="R25"/>
    </sheetView>
  </sheetViews>
  <sheetFormatPr defaultRowHeight="14.5" x14ac:dyDescent="0.35"/>
  <cols>
    <col min="1" max="1" width="6.08984375" hidden="1" customWidth="1"/>
    <col min="4" max="4" width="25.1796875" customWidth="1"/>
    <col min="5" max="6" width="4.26953125" customWidth="1"/>
    <col min="7" max="7" width="4.453125" customWidth="1"/>
    <col min="8" max="9" width="4.26953125" customWidth="1"/>
    <col min="10" max="10" width="4" customWidth="1"/>
    <col min="11" max="11" width="4.1796875" customWidth="1"/>
    <col min="12" max="12" width="4" customWidth="1"/>
    <col min="13" max="13" width="10.26953125" customWidth="1"/>
    <col min="14" max="14" width="16.7265625" hidden="1" customWidth="1"/>
    <col min="15" max="15" width="38.54296875" bestFit="1" customWidth="1"/>
    <col min="16" max="144" width="8.7265625" style="456"/>
    <col min="244" max="244" width="5.7265625" customWidth="1"/>
    <col min="247" max="247" width="22.7265625" customWidth="1"/>
    <col min="248" max="248" width="6.26953125" customWidth="1"/>
    <col min="249" max="249" width="5.7265625" customWidth="1"/>
    <col min="250" max="250" width="6" customWidth="1"/>
    <col min="251" max="252" width="4.26953125" customWidth="1"/>
    <col min="253" max="253" width="4" customWidth="1"/>
    <col min="254" max="254" width="4.1796875" customWidth="1"/>
    <col min="255" max="255" width="4" customWidth="1"/>
    <col min="256" max="256" width="10.26953125" customWidth="1"/>
    <col min="257" max="257" width="16.7265625" customWidth="1"/>
    <col min="258" max="258" width="21" customWidth="1"/>
    <col min="500" max="500" width="5.7265625" customWidth="1"/>
    <col min="503" max="503" width="22.7265625" customWidth="1"/>
    <col min="504" max="504" width="6.26953125" customWidth="1"/>
    <col min="505" max="505" width="5.7265625" customWidth="1"/>
    <col min="506" max="506" width="6" customWidth="1"/>
    <col min="507" max="508" width="4.26953125" customWidth="1"/>
    <col min="509" max="509" width="4" customWidth="1"/>
    <col min="510" max="510" width="4.1796875" customWidth="1"/>
    <col min="511" max="511" width="4" customWidth="1"/>
    <col min="512" max="512" width="10.26953125" customWidth="1"/>
    <col min="513" max="513" width="16.7265625" customWidth="1"/>
    <col min="514" max="514" width="21" customWidth="1"/>
    <col min="756" max="756" width="5.7265625" customWidth="1"/>
    <col min="759" max="759" width="22.7265625" customWidth="1"/>
    <col min="760" max="760" width="6.26953125" customWidth="1"/>
    <col min="761" max="761" width="5.7265625" customWidth="1"/>
    <col min="762" max="762" width="6" customWidth="1"/>
    <col min="763" max="764" width="4.26953125" customWidth="1"/>
    <col min="765" max="765" width="4" customWidth="1"/>
    <col min="766" max="766" width="4.1796875" customWidth="1"/>
    <col min="767" max="767" width="4" customWidth="1"/>
    <col min="768" max="768" width="10.26953125" customWidth="1"/>
    <col min="769" max="769" width="16.7265625" customWidth="1"/>
    <col min="770" max="770" width="21" customWidth="1"/>
    <col min="1012" max="1012" width="5.7265625" customWidth="1"/>
    <col min="1015" max="1015" width="22.7265625" customWidth="1"/>
    <col min="1016" max="1016" width="6.26953125" customWidth="1"/>
    <col min="1017" max="1017" width="5.7265625" customWidth="1"/>
    <col min="1018" max="1018" width="6" customWidth="1"/>
    <col min="1019" max="1020" width="4.26953125" customWidth="1"/>
    <col min="1021" max="1021" width="4" customWidth="1"/>
    <col min="1022" max="1022" width="4.1796875" customWidth="1"/>
    <col min="1023" max="1023" width="4" customWidth="1"/>
    <col min="1024" max="1024" width="10.26953125" customWidth="1"/>
    <col min="1025" max="1025" width="16.7265625" customWidth="1"/>
    <col min="1026" max="1026" width="21" customWidth="1"/>
    <col min="1268" max="1268" width="5.7265625" customWidth="1"/>
    <col min="1271" max="1271" width="22.7265625" customWidth="1"/>
    <col min="1272" max="1272" width="6.26953125" customWidth="1"/>
    <col min="1273" max="1273" width="5.7265625" customWidth="1"/>
    <col min="1274" max="1274" width="6" customWidth="1"/>
    <col min="1275" max="1276" width="4.26953125" customWidth="1"/>
    <col min="1277" max="1277" width="4" customWidth="1"/>
    <col min="1278" max="1278" width="4.1796875" customWidth="1"/>
    <col min="1279" max="1279" width="4" customWidth="1"/>
    <col min="1280" max="1280" width="10.26953125" customWidth="1"/>
    <col min="1281" max="1281" width="16.7265625" customWidth="1"/>
    <col min="1282" max="1282" width="21" customWidth="1"/>
    <col min="1524" max="1524" width="5.7265625" customWidth="1"/>
    <col min="1527" max="1527" width="22.7265625" customWidth="1"/>
    <col min="1528" max="1528" width="6.26953125" customWidth="1"/>
    <col min="1529" max="1529" width="5.7265625" customWidth="1"/>
    <col min="1530" max="1530" width="6" customWidth="1"/>
    <col min="1531" max="1532" width="4.26953125" customWidth="1"/>
    <col min="1533" max="1533" width="4" customWidth="1"/>
    <col min="1534" max="1534" width="4.1796875" customWidth="1"/>
    <col min="1535" max="1535" width="4" customWidth="1"/>
    <col min="1536" max="1536" width="10.26953125" customWidth="1"/>
    <col min="1537" max="1537" width="16.7265625" customWidth="1"/>
    <col min="1538" max="1538" width="21" customWidth="1"/>
    <col min="1780" max="1780" width="5.7265625" customWidth="1"/>
    <col min="1783" max="1783" width="22.7265625" customWidth="1"/>
    <col min="1784" max="1784" width="6.26953125" customWidth="1"/>
    <col min="1785" max="1785" width="5.7265625" customWidth="1"/>
    <col min="1786" max="1786" width="6" customWidth="1"/>
    <col min="1787" max="1788" width="4.26953125" customWidth="1"/>
    <col min="1789" max="1789" width="4" customWidth="1"/>
    <col min="1790" max="1790" width="4.1796875" customWidth="1"/>
    <col min="1791" max="1791" width="4" customWidth="1"/>
    <col min="1792" max="1792" width="10.26953125" customWidth="1"/>
    <col min="1793" max="1793" width="16.7265625" customWidth="1"/>
    <col min="1794" max="1794" width="21" customWidth="1"/>
    <col min="2036" max="2036" width="5.7265625" customWidth="1"/>
    <col min="2039" max="2039" width="22.7265625" customWidth="1"/>
    <col min="2040" max="2040" width="6.26953125" customWidth="1"/>
    <col min="2041" max="2041" width="5.7265625" customWidth="1"/>
    <col min="2042" max="2042" width="6" customWidth="1"/>
    <col min="2043" max="2044" width="4.26953125" customWidth="1"/>
    <col min="2045" max="2045" width="4" customWidth="1"/>
    <col min="2046" max="2046" width="4.1796875" customWidth="1"/>
    <col min="2047" max="2047" width="4" customWidth="1"/>
    <col min="2048" max="2048" width="10.26953125" customWidth="1"/>
    <col min="2049" max="2049" width="16.7265625" customWidth="1"/>
    <col min="2050" max="2050" width="21" customWidth="1"/>
    <col min="2292" max="2292" width="5.7265625" customWidth="1"/>
    <col min="2295" max="2295" width="22.7265625" customWidth="1"/>
    <col min="2296" max="2296" width="6.26953125" customWidth="1"/>
    <col min="2297" max="2297" width="5.7265625" customWidth="1"/>
    <col min="2298" max="2298" width="6" customWidth="1"/>
    <col min="2299" max="2300" width="4.26953125" customWidth="1"/>
    <col min="2301" max="2301" width="4" customWidth="1"/>
    <col min="2302" max="2302" width="4.1796875" customWidth="1"/>
    <col min="2303" max="2303" width="4" customWidth="1"/>
    <col min="2304" max="2304" width="10.26953125" customWidth="1"/>
    <col min="2305" max="2305" width="16.7265625" customWidth="1"/>
    <col min="2306" max="2306" width="21" customWidth="1"/>
    <col min="2548" max="2548" width="5.7265625" customWidth="1"/>
    <col min="2551" max="2551" width="22.7265625" customWidth="1"/>
    <col min="2552" max="2552" width="6.26953125" customWidth="1"/>
    <col min="2553" max="2553" width="5.7265625" customWidth="1"/>
    <col min="2554" max="2554" width="6" customWidth="1"/>
    <col min="2555" max="2556" width="4.26953125" customWidth="1"/>
    <col min="2557" max="2557" width="4" customWidth="1"/>
    <col min="2558" max="2558" width="4.1796875" customWidth="1"/>
    <col min="2559" max="2559" width="4" customWidth="1"/>
    <col min="2560" max="2560" width="10.26953125" customWidth="1"/>
    <col min="2561" max="2561" width="16.7265625" customWidth="1"/>
    <col min="2562" max="2562" width="21" customWidth="1"/>
    <col min="2804" max="2804" width="5.7265625" customWidth="1"/>
    <col min="2807" max="2807" width="22.7265625" customWidth="1"/>
    <col min="2808" max="2808" width="6.26953125" customWidth="1"/>
    <col min="2809" max="2809" width="5.7265625" customWidth="1"/>
    <col min="2810" max="2810" width="6" customWidth="1"/>
    <col min="2811" max="2812" width="4.26953125" customWidth="1"/>
    <col min="2813" max="2813" width="4" customWidth="1"/>
    <col min="2814" max="2814" width="4.1796875" customWidth="1"/>
    <col min="2815" max="2815" width="4" customWidth="1"/>
    <col min="2816" max="2816" width="10.26953125" customWidth="1"/>
    <col min="2817" max="2817" width="16.7265625" customWidth="1"/>
    <col min="2818" max="2818" width="21" customWidth="1"/>
    <col min="3060" max="3060" width="5.7265625" customWidth="1"/>
    <col min="3063" max="3063" width="22.7265625" customWidth="1"/>
    <col min="3064" max="3064" width="6.26953125" customWidth="1"/>
    <col min="3065" max="3065" width="5.7265625" customWidth="1"/>
    <col min="3066" max="3066" width="6" customWidth="1"/>
    <col min="3067" max="3068" width="4.26953125" customWidth="1"/>
    <col min="3069" max="3069" width="4" customWidth="1"/>
    <col min="3070" max="3070" width="4.1796875" customWidth="1"/>
    <col min="3071" max="3071" width="4" customWidth="1"/>
    <col min="3072" max="3072" width="10.26953125" customWidth="1"/>
    <col min="3073" max="3073" width="16.7265625" customWidth="1"/>
    <col min="3074" max="3074" width="21" customWidth="1"/>
    <col min="3316" max="3316" width="5.7265625" customWidth="1"/>
    <col min="3319" max="3319" width="22.7265625" customWidth="1"/>
    <col min="3320" max="3320" width="6.26953125" customWidth="1"/>
    <col min="3321" max="3321" width="5.7265625" customWidth="1"/>
    <col min="3322" max="3322" width="6" customWidth="1"/>
    <col min="3323" max="3324" width="4.26953125" customWidth="1"/>
    <col min="3325" max="3325" width="4" customWidth="1"/>
    <col min="3326" max="3326" width="4.1796875" customWidth="1"/>
    <col min="3327" max="3327" width="4" customWidth="1"/>
    <col min="3328" max="3328" width="10.26953125" customWidth="1"/>
    <col min="3329" max="3329" width="16.7265625" customWidth="1"/>
    <col min="3330" max="3330" width="21" customWidth="1"/>
    <col min="3572" max="3572" width="5.7265625" customWidth="1"/>
    <col min="3575" max="3575" width="22.7265625" customWidth="1"/>
    <col min="3576" max="3576" width="6.26953125" customWidth="1"/>
    <col min="3577" max="3577" width="5.7265625" customWidth="1"/>
    <col min="3578" max="3578" width="6" customWidth="1"/>
    <col min="3579" max="3580" width="4.26953125" customWidth="1"/>
    <col min="3581" max="3581" width="4" customWidth="1"/>
    <col min="3582" max="3582" width="4.1796875" customWidth="1"/>
    <col min="3583" max="3583" width="4" customWidth="1"/>
    <col min="3584" max="3584" width="10.26953125" customWidth="1"/>
    <col min="3585" max="3585" width="16.7265625" customWidth="1"/>
    <col min="3586" max="3586" width="21" customWidth="1"/>
    <col min="3828" max="3828" width="5.7265625" customWidth="1"/>
    <col min="3831" max="3831" width="22.7265625" customWidth="1"/>
    <col min="3832" max="3832" width="6.26953125" customWidth="1"/>
    <col min="3833" max="3833" width="5.7265625" customWidth="1"/>
    <col min="3834" max="3834" width="6" customWidth="1"/>
    <col min="3835" max="3836" width="4.26953125" customWidth="1"/>
    <col min="3837" max="3837" width="4" customWidth="1"/>
    <col min="3838" max="3838" width="4.1796875" customWidth="1"/>
    <col min="3839" max="3839" width="4" customWidth="1"/>
    <col min="3840" max="3840" width="10.26953125" customWidth="1"/>
    <col min="3841" max="3841" width="16.7265625" customWidth="1"/>
    <col min="3842" max="3842" width="21" customWidth="1"/>
    <col min="4084" max="4084" width="5.7265625" customWidth="1"/>
    <col min="4087" max="4087" width="22.7265625" customWidth="1"/>
    <col min="4088" max="4088" width="6.26953125" customWidth="1"/>
    <col min="4089" max="4089" width="5.7265625" customWidth="1"/>
    <col min="4090" max="4090" width="6" customWidth="1"/>
    <col min="4091" max="4092" width="4.26953125" customWidth="1"/>
    <col min="4093" max="4093" width="4" customWidth="1"/>
    <col min="4094" max="4094" width="4.1796875" customWidth="1"/>
    <col min="4095" max="4095" width="4" customWidth="1"/>
    <col min="4096" max="4096" width="10.26953125" customWidth="1"/>
    <col min="4097" max="4097" width="16.7265625" customWidth="1"/>
    <col min="4098" max="4098" width="21" customWidth="1"/>
    <col min="4340" max="4340" width="5.7265625" customWidth="1"/>
    <col min="4343" max="4343" width="22.7265625" customWidth="1"/>
    <col min="4344" max="4344" width="6.26953125" customWidth="1"/>
    <col min="4345" max="4345" width="5.7265625" customWidth="1"/>
    <col min="4346" max="4346" width="6" customWidth="1"/>
    <col min="4347" max="4348" width="4.26953125" customWidth="1"/>
    <col min="4349" max="4349" width="4" customWidth="1"/>
    <col min="4350" max="4350" width="4.1796875" customWidth="1"/>
    <col min="4351" max="4351" width="4" customWidth="1"/>
    <col min="4352" max="4352" width="10.26953125" customWidth="1"/>
    <col min="4353" max="4353" width="16.7265625" customWidth="1"/>
    <col min="4354" max="4354" width="21" customWidth="1"/>
    <col min="4596" max="4596" width="5.7265625" customWidth="1"/>
    <col min="4599" max="4599" width="22.7265625" customWidth="1"/>
    <col min="4600" max="4600" width="6.26953125" customWidth="1"/>
    <col min="4601" max="4601" width="5.7265625" customWidth="1"/>
    <col min="4602" max="4602" width="6" customWidth="1"/>
    <col min="4603" max="4604" width="4.26953125" customWidth="1"/>
    <col min="4605" max="4605" width="4" customWidth="1"/>
    <col min="4606" max="4606" width="4.1796875" customWidth="1"/>
    <col min="4607" max="4607" width="4" customWidth="1"/>
    <col min="4608" max="4608" width="10.26953125" customWidth="1"/>
    <col min="4609" max="4609" width="16.7265625" customWidth="1"/>
    <col min="4610" max="4610" width="21" customWidth="1"/>
    <col min="4852" max="4852" width="5.7265625" customWidth="1"/>
    <col min="4855" max="4855" width="22.7265625" customWidth="1"/>
    <col min="4856" max="4856" width="6.26953125" customWidth="1"/>
    <col min="4857" max="4857" width="5.7265625" customWidth="1"/>
    <col min="4858" max="4858" width="6" customWidth="1"/>
    <col min="4859" max="4860" width="4.26953125" customWidth="1"/>
    <col min="4861" max="4861" width="4" customWidth="1"/>
    <col min="4862" max="4862" width="4.1796875" customWidth="1"/>
    <col min="4863" max="4863" width="4" customWidth="1"/>
    <col min="4864" max="4864" width="10.26953125" customWidth="1"/>
    <col min="4865" max="4865" width="16.7265625" customWidth="1"/>
    <col min="4866" max="4866" width="21" customWidth="1"/>
    <col min="5108" max="5108" width="5.7265625" customWidth="1"/>
    <col min="5111" max="5111" width="22.7265625" customWidth="1"/>
    <col min="5112" max="5112" width="6.26953125" customWidth="1"/>
    <col min="5113" max="5113" width="5.7265625" customWidth="1"/>
    <col min="5114" max="5114" width="6" customWidth="1"/>
    <col min="5115" max="5116" width="4.26953125" customWidth="1"/>
    <col min="5117" max="5117" width="4" customWidth="1"/>
    <col min="5118" max="5118" width="4.1796875" customWidth="1"/>
    <col min="5119" max="5119" width="4" customWidth="1"/>
    <col min="5120" max="5120" width="10.26953125" customWidth="1"/>
    <col min="5121" max="5121" width="16.7265625" customWidth="1"/>
    <col min="5122" max="5122" width="21" customWidth="1"/>
    <col min="5364" max="5364" width="5.7265625" customWidth="1"/>
    <col min="5367" max="5367" width="22.7265625" customWidth="1"/>
    <col min="5368" max="5368" width="6.26953125" customWidth="1"/>
    <col min="5369" max="5369" width="5.7265625" customWidth="1"/>
    <col min="5370" max="5370" width="6" customWidth="1"/>
    <col min="5371" max="5372" width="4.26953125" customWidth="1"/>
    <col min="5373" max="5373" width="4" customWidth="1"/>
    <col min="5374" max="5374" width="4.1796875" customWidth="1"/>
    <col min="5375" max="5375" width="4" customWidth="1"/>
    <col min="5376" max="5376" width="10.26953125" customWidth="1"/>
    <col min="5377" max="5377" width="16.7265625" customWidth="1"/>
    <col min="5378" max="5378" width="21" customWidth="1"/>
    <col min="5620" max="5620" width="5.7265625" customWidth="1"/>
    <col min="5623" max="5623" width="22.7265625" customWidth="1"/>
    <col min="5624" max="5624" width="6.26953125" customWidth="1"/>
    <col min="5625" max="5625" width="5.7265625" customWidth="1"/>
    <col min="5626" max="5626" width="6" customWidth="1"/>
    <col min="5627" max="5628" width="4.26953125" customWidth="1"/>
    <col min="5629" max="5629" width="4" customWidth="1"/>
    <col min="5630" max="5630" width="4.1796875" customWidth="1"/>
    <col min="5631" max="5631" width="4" customWidth="1"/>
    <col min="5632" max="5632" width="10.26953125" customWidth="1"/>
    <col min="5633" max="5633" width="16.7265625" customWidth="1"/>
    <col min="5634" max="5634" width="21" customWidth="1"/>
    <col min="5876" max="5876" width="5.7265625" customWidth="1"/>
    <col min="5879" max="5879" width="22.7265625" customWidth="1"/>
    <col min="5880" max="5880" width="6.26953125" customWidth="1"/>
    <col min="5881" max="5881" width="5.7265625" customWidth="1"/>
    <col min="5882" max="5882" width="6" customWidth="1"/>
    <col min="5883" max="5884" width="4.26953125" customWidth="1"/>
    <col min="5885" max="5885" width="4" customWidth="1"/>
    <col min="5886" max="5886" width="4.1796875" customWidth="1"/>
    <col min="5887" max="5887" width="4" customWidth="1"/>
    <col min="5888" max="5888" width="10.26953125" customWidth="1"/>
    <col min="5889" max="5889" width="16.7265625" customWidth="1"/>
    <col min="5890" max="5890" width="21" customWidth="1"/>
    <col min="6132" max="6132" width="5.7265625" customWidth="1"/>
    <col min="6135" max="6135" width="22.7265625" customWidth="1"/>
    <col min="6136" max="6136" width="6.26953125" customWidth="1"/>
    <col min="6137" max="6137" width="5.7265625" customWidth="1"/>
    <col min="6138" max="6138" width="6" customWidth="1"/>
    <col min="6139" max="6140" width="4.26953125" customWidth="1"/>
    <col min="6141" max="6141" width="4" customWidth="1"/>
    <col min="6142" max="6142" width="4.1796875" customWidth="1"/>
    <col min="6143" max="6143" width="4" customWidth="1"/>
    <col min="6144" max="6144" width="10.26953125" customWidth="1"/>
    <col min="6145" max="6145" width="16.7265625" customWidth="1"/>
    <col min="6146" max="6146" width="21" customWidth="1"/>
    <col min="6388" max="6388" width="5.7265625" customWidth="1"/>
    <col min="6391" max="6391" width="22.7265625" customWidth="1"/>
    <col min="6392" max="6392" width="6.26953125" customWidth="1"/>
    <col min="6393" max="6393" width="5.7265625" customWidth="1"/>
    <col min="6394" max="6394" width="6" customWidth="1"/>
    <col min="6395" max="6396" width="4.26953125" customWidth="1"/>
    <col min="6397" max="6397" width="4" customWidth="1"/>
    <col min="6398" max="6398" width="4.1796875" customWidth="1"/>
    <col min="6399" max="6399" width="4" customWidth="1"/>
    <col min="6400" max="6400" width="10.26953125" customWidth="1"/>
    <col min="6401" max="6401" width="16.7265625" customWidth="1"/>
    <col min="6402" max="6402" width="21" customWidth="1"/>
    <col min="6644" max="6644" width="5.7265625" customWidth="1"/>
    <col min="6647" max="6647" width="22.7265625" customWidth="1"/>
    <col min="6648" max="6648" width="6.26953125" customWidth="1"/>
    <col min="6649" max="6649" width="5.7265625" customWidth="1"/>
    <col min="6650" max="6650" width="6" customWidth="1"/>
    <col min="6651" max="6652" width="4.26953125" customWidth="1"/>
    <col min="6653" max="6653" width="4" customWidth="1"/>
    <col min="6654" max="6654" width="4.1796875" customWidth="1"/>
    <col min="6655" max="6655" width="4" customWidth="1"/>
    <col min="6656" max="6656" width="10.26953125" customWidth="1"/>
    <col min="6657" max="6657" width="16.7265625" customWidth="1"/>
    <col min="6658" max="6658" width="21" customWidth="1"/>
    <col min="6900" max="6900" width="5.7265625" customWidth="1"/>
    <col min="6903" max="6903" width="22.7265625" customWidth="1"/>
    <col min="6904" max="6904" width="6.26953125" customWidth="1"/>
    <col min="6905" max="6905" width="5.7265625" customWidth="1"/>
    <col min="6906" max="6906" width="6" customWidth="1"/>
    <col min="6907" max="6908" width="4.26953125" customWidth="1"/>
    <col min="6909" max="6909" width="4" customWidth="1"/>
    <col min="6910" max="6910" width="4.1796875" customWidth="1"/>
    <col min="6911" max="6911" width="4" customWidth="1"/>
    <col min="6912" max="6912" width="10.26953125" customWidth="1"/>
    <col min="6913" max="6913" width="16.7265625" customWidth="1"/>
    <col min="6914" max="6914" width="21" customWidth="1"/>
    <col min="7156" max="7156" width="5.7265625" customWidth="1"/>
    <col min="7159" max="7159" width="22.7265625" customWidth="1"/>
    <col min="7160" max="7160" width="6.26953125" customWidth="1"/>
    <col min="7161" max="7161" width="5.7265625" customWidth="1"/>
    <col min="7162" max="7162" width="6" customWidth="1"/>
    <col min="7163" max="7164" width="4.26953125" customWidth="1"/>
    <col min="7165" max="7165" width="4" customWidth="1"/>
    <col min="7166" max="7166" width="4.1796875" customWidth="1"/>
    <col min="7167" max="7167" width="4" customWidth="1"/>
    <col min="7168" max="7168" width="10.26953125" customWidth="1"/>
    <col min="7169" max="7169" width="16.7265625" customWidth="1"/>
    <col min="7170" max="7170" width="21" customWidth="1"/>
    <col min="7412" max="7412" width="5.7265625" customWidth="1"/>
    <col min="7415" max="7415" width="22.7265625" customWidth="1"/>
    <col min="7416" max="7416" width="6.26953125" customWidth="1"/>
    <col min="7417" max="7417" width="5.7265625" customWidth="1"/>
    <col min="7418" max="7418" width="6" customWidth="1"/>
    <col min="7419" max="7420" width="4.26953125" customWidth="1"/>
    <col min="7421" max="7421" width="4" customWidth="1"/>
    <col min="7422" max="7422" width="4.1796875" customWidth="1"/>
    <col min="7423" max="7423" width="4" customWidth="1"/>
    <col min="7424" max="7424" width="10.26953125" customWidth="1"/>
    <col min="7425" max="7425" width="16.7265625" customWidth="1"/>
    <col min="7426" max="7426" width="21" customWidth="1"/>
    <col min="7668" max="7668" width="5.7265625" customWidth="1"/>
    <col min="7671" max="7671" width="22.7265625" customWidth="1"/>
    <col min="7672" max="7672" width="6.26953125" customWidth="1"/>
    <col min="7673" max="7673" width="5.7265625" customWidth="1"/>
    <col min="7674" max="7674" width="6" customWidth="1"/>
    <col min="7675" max="7676" width="4.26953125" customWidth="1"/>
    <col min="7677" max="7677" width="4" customWidth="1"/>
    <col min="7678" max="7678" width="4.1796875" customWidth="1"/>
    <col min="7679" max="7679" width="4" customWidth="1"/>
    <col min="7680" max="7680" width="10.26953125" customWidth="1"/>
    <col min="7681" max="7681" width="16.7265625" customWidth="1"/>
    <col min="7682" max="7682" width="21" customWidth="1"/>
    <col min="7924" max="7924" width="5.7265625" customWidth="1"/>
    <col min="7927" max="7927" width="22.7265625" customWidth="1"/>
    <col min="7928" max="7928" width="6.26953125" customWidth="1"/>
    <col min="7929" max="7929" width="5.7265625" customWidth="1"/>
    <col min="7930" max="7930" width="6" customWidth="1"/>
    <col min="7931" max="7932" width="4.26953125" customWidth="1"/>
    <col min="7933" max="7933" width="4" customWidth="1"/>
    <col min="7934" max="7934" width="4.1796875" customWidth="1"/>
    <col min="7935" max="7935" width="4" customWidth="1"/>
    <col min="7936" max="7936" width="10.26953125" customWidth="1"/>
    <col min="7937" max="7937" width="16.7265625" customWidth="1"/>
    <col min="7938" max="7938" width="21" customWidth="1"/>
    <col min="8180" max="8180" width="5.7265625" customWidth="1"/>
    <col min="8183" max="8183" width="22.7265625" customWidth="1"/>
    <col min="8184" max="8184" width="6.26953125" customWidth="1"/>
    <col min="8185" max="8185" width="5.7265625" customWidth="1"/>
    <col min="8186" max="8186" width="6" customWidth="1"/>
    <col min="8187" max="8188" width="4.26953125" customWidth="1"/>
    <col min="8189" max="8189" width="4" customWidth="1"/>
    <col min="8190" max="8190" width="4.1796875" customWidth="1"/>
    <col min="8191" max="8191" width="4" customWidth="1"/>
    <col min="8192" max="8192" width="10.26953125" customWidth="1"/>
    <col min="8193" max="8193" width="16.7265625" customWidth="1"/>
    <col min="8194" max="8194" width="21" customWidth="1"/>
    <col min="8436" max="8436" width="5.7265625" customWidth="1"/>
    <col min="8439" max="8439" width="22.7265625" customWidth="1"/>
    <col min="8440" max="8440" width="6.26953125" customWidth="1"/>
    <col min="8441" max="8441" width="5.7265625" customWidth="1"/>
    <col min="8442" max="8442" width="6" customWidth="1"/>
    <col min="8443" max="8444" width="4.26953125" customWidth="1"/>
    <col min="8445" max="8445" width="4" customWidth="1"/>
    <col min="8446" max="8446" width="4.1796875" customWidth="1"/>
    <col min="8447" max="8447" width="4" customWidth="1"/>
    <col min="8448" max="8448" width="10.26953125" customWidth="1"/>
    <col min="8449" max="8449" width="16.7265625" customWidth="1"/>
    <col min="8450" max="8450" width="21" customWidth="1"/>
    <col min="8692" max="8692" width="5.7265625" customWidth="1"/>
    <col min="8695" max="8695" width="22.7265625" customWidth="1"/>
    <col min="8696" max="8696" width="6.26953125" customWidth="1"/>
    <col min="8697" max="8697" width="5.7265625" customWidth="1"/>
    <col min="8698" max="8698" width="6" customWidth="1"/>
    <col min="8699" max="8700" width="4.26953125" customWidth="1"/>
    <col min="8701" max="8701" width="4" customWidth="1"/>
    <col min="8702" max="8702" width="4.1796875" customWidth="1"/>
    <col min="8703" max="8703" width="4" customWidth="1"/>
    <col min="8704" max="8704" width="10.26953125" customWidth="1"/>
    <col min="8705" max="8705" width="16.7265625" customWidth="1"/>
    <col min="8706" max="8706" width="21" customWidth="1"/>
    <col min="8948" max="8948" width="5.7265625" customWidth="1"/>
    <col min="8951" max="8951" width="22.7265625" customWidth="1"/>
    <col min="8952" max="8952" width="6.26953125" customWidth="1"/>
    <col min="8953" max="8953" width="5.7265625" customWidth="1"/>
    <col min="8954" max="8954" width="6" customWidth="1"/>
    <col min="8955" max="8956" width="4.26953125" customWidth="1"/>
    <col min="8957" max="8957" width="4" customWidth="1"/>
    <col min="8958" max="8958" width="4.1796875" customWidth="1"/>
    <col min="8959" max="8959" width="4" customWidth="1"/>
    <col min="8960" max="8960" width="10.26953125" customWidth="1"/>
    <col min="8961" max="8961" width="16.7265625" customWidth="1"/>
    <col min="8962" max="8962" width="21" customWidth="1"/>
    <col min="9204" max="9204" width="5.7265625" customWidth="1"/>
    <col min="9207" max="9207" width="22.7265625" customWidth="1"/>
    <col min="9208" max="9208" width="6.26953125" customWidth="1"/>
    <col min="9209" max="9209" width="5.7265625" customWidth="1"/>
    <col min="9210" max="9210" width="6" customWidth="1"/>
    <col min="9211" max="9212" width="4.26953125" customWidth="1"/>
    <col min="9213" max="9213" width="4" customWidth="1"/>
    <col min="9214" max="9214" width="4.1796875" customWidth="1"/>
    <col min="9215" max="9215" width="4" customWidth="1"/>
    <col min="9216" max="9216" width="10.26953125" customWidth="1"/>
    <col min="9217" max="9217" width="16.7265625" customWidth="1"/>
    <col min="9218" max="9218" width="21" customWidth="1"/>
    <col min="9460" max="9460" width="5.7265625" customWidth="1"/>
    <col min="9463" max="9463" width="22.7265625" customWidth="1"/>
    <col min="9464" max="9464" width="6.26953125" customWidth="1"/>
    <col min="9465" max="9465" width="5.7265625" customWidth="1"/>
    <col min="9466" max="9466" width="6" customWidth="1"/>
    <col min="9467" max="9468" width="4.26953125" customWidth="1"/>
    <col min="9469" max="9469" width="4" customWidth="1"/>
    <col min="9470" max="9470" width="4.1796875" customWidth="1"/>
    <col min="9471" max="9471" width="4" customWidth="1"/>
    <col min="9472" max="9472" width="10.26953125" customWidth="1"/>
    <col min="9473" max="9473" width="16.7265625" customWidth="1"/>
    <col min="9474" max="9474" width="21" customWidth="1"/>
    <col min="9716" max="9716" width="5.7265625" customWidth="1"/>
    <col min="9719" max="9719" width="22.7265625" customWidth="1"/>
    <col min="9720" max="9720" width="6.26953125" customWidth="1"/>
    <col min="9721" max="9721" width="5.7265625" customWidth="1"/>
    <col min="9722" max="9722" width="6" customWidth="1"/>
    <col min="9723" max="9724" width="4.26953125" customWidth="1"/>
    <col min="9725" max="9725" width="4" customWidth="1"/>
    <col min="9726" max="9726" width="4.1796875" customWidth="1"/>
    <col min="9727" max="9727" width="4" customWidth="1"/>
    <col min="9728" max="9728" width="10.26953125" customWidth="1"/>
    <col min="9729" max="9729" width="16.7265625" customWidth="1"/>
    <col min="9730" max="9730" width="21" customWidth="1"/>
    <col min="9972" max="9972" width="5.7265625" customWidth="1"/>
    <col min="9975" max="9975" width="22.7265625" customWidth="1"/>
    <col min="9976" max="9976" width="6.26953125" customWidth="1"/>
    <col min="9977" max="9977" width="5.7265625" customWidth="1"/>
    <col min="9978" max="9978" width="6" customWidth="1"/>
    <col min="9979" max="9980" width="4.26953125" customWidth="1"/>
    <col min="9981" max="9981" width="4" customWidth="1"/>
    <col min="9982" max="9982" width="4.1796875" customWidth="1"/>
    <col min="9983" max="9983" width="4" customWidth="1"/>
    <col min="9984" max="9984" width="10.26953125" customWidth="1"/>
    <col min="9985" max="9985" width="16.7265625" customWidth="1"/>
    <col min="9986" max="9986" width="21" customWidth="1"/>
    <col min="10228" max="10228" width="5.7265625" customWidth="1"/>
    <col min="10231" max="10231" width="22.7265625" customWidth="1"/>
    <col min="10232" max="10232" width="6.26953125" customWidth="1"/>
    <col min="10233" max="10233" width="5.7265625" customWidth="1"/>
    <col min="10234" max="10234" width="6" customWidth="1"/>
    <col min="10235" max="10236" width="4.26953125" customWidth="1"/>
    <col min="10237" max="10237" width="4" customWidth="1"/>
    <col min="10238" max="10238" width="4.1796875" customWidth="1"/>
    <col min="10239" max="10239" width="4" customWidth="1"/>
    <col min="10240" max="10240" width="10.26953125" customWidth="1"/>
    <col min="10241" max="10241" width="16.7265625" customWidth="1"/>
    <col min="10242" max="10242" width="21" customWidth="1"/>
    <col min="10484" max="10484" width="5.7265625" customWidth="1"/>
    <col min="10487" max="10487" width="22.7265625" customWidth="1"/>
    <col min="10488" max="10488" width="6.26953125" customWidth="1"/>
    <col min="10489" max="10489" width="5.7265625" customWidth="1"/>
    <col min="10490" max="10490" width="6" customWidth="1"/>
    <col min="10491" max="10492" width="4.26953125" customWidth="1"/>
    <col min="10493" max="10493" width="4" customWidth="1"/>
    <col min="10494" max="10494" width="4.1796875" customWidth="1"/>
    <col min="10495" max="10495" width="4" customWidth="1"/>
    <col min="10496" max="10496" width="10.26953125" customWidth="1"/>
    <col min="10497" max="10497" width="16.7265625" customWidth="1"/>
    <col min="10498" max="10498" width="21" customWidth="1"/>
    <col min="10740" max="10740" width="5.7265625" customWidth="1"/>
    <col min="10743" max="10743" width="22.7265625" customWidth="1"/>
    <col min="10744" max="10744" width="6.26953125" customWidth="1"/>
    <col min="10745" max="10745" width="5.7265625" customWidth="1"/>
    <col min="10746" max="10746" width="6" customWidth="1"/>
    <col min="10747" max="10748" width="4.26953125" customWidth="1"/>
    <col min="10749" max="10749" width="4" customWidth="1"/>
    <col min="10750" max="10750" width="4.1796875" customWidth="1"/>
    <col min="10751" max="10751" width="4" customWidth="1"/>
    <col min="10752" max="10752" width="10.26953125" customWidth="1"/>
    <col min="10753" max="10753" width="16.7265625" customWidth="1"/>
    <col min="10754" max="10754" width="21" customWidth="1"/>
    <col min="10996" max="10996" width="5.7265625" customWidth="1"/>
    <col min="10999" max="10999" width="22.7265625" customWidth="1"/>
    <col min="11000" max="11000" width="6.26953125" customWidth="1"/>
    <col min="11001" max="11001" width="5.7265625" customWidth="1"/>
    <col min="11002" max="11002" width="6" customWidth="1"/>
    <col min="11003" max="11004" width="4.26953125" customWidth="1"/>
    <col min="11005" max="11005" width="4" customWidth="1"/>
    <col min="11006" max="11006" width="4.1796875" customWidth="1"/>
    <col min="11007" max="11007" width="4" customWidth="1"/>
    <col min="11008" max="11008" width="10.26953125" customWidth="1"/>
    <col min="11009" max="11009" width="16.7265625" customWidth="1"/>
    <col min="11010" max="11010" width="21" customWidth="1"/>
    <col min="11252" max="11252" width="5.7265625" customWidth="1"/>
    <col min="11255" max="11255" width="22.7265625" customWidth="1"/>
    <col min="11256" max="11256" width="6.26953125" customWidth="1"/>
    <col min="11257" max="11257" width="5.7265625" customWidth="1"/>
    <col min="11258" max="11258" width="6" customWidth="1"/>
    <col min="11259" max="11260" width="4.26953125" customWidth="1"/>
    <col min="11261" max="11261" width="4" customWidth="1"/>
    <col min="11262" max="11262" width="4.1796875" customWidth="1"/>
    <col min="11263" max="11263" width="4" customWidth="1"/>
    <col min="11264" max="11264" width="10.26953125" customWidth="1"/>
    <col min="11265" max="11265" width="16.7265625" customWidth="1"/>
    <col min="11266" max="11266" width="21" customWidth="1"/>
    <col min="11508" max="11508" width="5.7265625" customWidth="1"/>
    <col min="11511" max="11511" width="22.7265625" customWidth="1"/>
    <col min="11512" max="11512" width="6.26953125" customWidth="1"/>
    <col min="11513" max="11513" width="5.7265625" customWidth="1"/>
    <col min="11514" max="11514" width="6" customWidth="1"/>
    <col min="11515" max="11516" width="4.26953125" customWidth="1"/>
    <col min="11517" max="11517" width="4" customWidth="1"/>
    <col min="11518" max="11518" width="4.1796875" customWidth="1"/>
    <col min="11519" max="11519" width="4" customWidth="1"/>
    <col min="11520" max="11520" width="10.26953125" customWidth="1"/>
    <col min="11521" max="11521" width="16.7265625" customWidth="1"/>
    <col min="11522" max="11522" width="21" customWidth="1"/>
    <col min="11764" max="11764" width="5.7265625" customWidth="1"/>
    <col min="11767" max="11767" width="22.7265625" customWidth="1"/>
    <col min="11768" max="11768" width="6.26953125" customWidth="1"/>
    <col min="11769" max="11769" width="5.7265625" customWidth="1"/>
    <col min="11770" max="11770" width="6" customWidth="1"/>
    <col min="11771" max="11772" width="4.26953125" customWidth="1"/>
    <col min="11773" max="11773" width="4" customWidth="1"/>
    <col min="11774" max="11774" width="4.1796875" customWidth="1"/>
    <col min="11775" max="11775" width="4" customWidth="1"/>
    <col min="11776" max="11776" width="10.26953125" customWidth="1"/>
    <col min="11777" max="11777" width="16.7265625" customWidth="1"/>
    <col min="11778" max="11778" width="21" customWidth="1"/>
    <col min="12020" max="12020" width="5.7265625" customWidth="1"/>
    <col min="12023" max="12023" width="22.7265625" customWidth="1"/>
    <col min="12024" max="12024" width="6.26953125" customWidth="1"/>
    <col min="12025" max="12025" width="5.7265625" customWidth="1"/>
    <col min="12026" max="12026" width="6" customWidth="1"/>
    <col min="12027" max="12028" width="4.26953125" customWidth="1"/>
    <col min="12029" max="12029" width="4" customWidth="1"/>
    <col min="12030" max="12030" width="4.1796875" customWidth="1"/>
    <col min="12031" max="12031" width="4" customWidth="1"/>
    <col min="12032" max="12032" width="10.26953125" customWidth="1"/>
    <col min="12033" max="12033" width="16.7265625" customWidth="1"/>
    <col min="12034" max="12034" width="21" customWidth="1"/>
    <col min="12276" max="12276" width="5.7265625" customWidth="1"/>
    <col min="12279" max="12279" width="22.7265625" customWidth="1"/>
    <col min="12280" max="12280" width="6.26953125" customWidth="1"/>
    <col min="12281" max="12281" width="5.7265625" customWidth="1"/>
    <col min="12282" max="12282" width="6" customWidth="1"/>
    <col min="12283" max="12284" width="4.26953125" customWidth="1"/>
    <col min="12285" max="12285" width="4" customWidth="1"/>
    <col min="12286" max="12286" width="4.1796875" customWidth="1"/>
    <col min="12287" max="12287" width="4" customWidth="1"/>
    <col min="12288" max="12288" width="10.26953125" customWidth="1"/>
    <col min="12289" max="12289" width="16.7265625" customWidth="1"/>
    <col min="12290" max="12290" width="21" customWidth="1"/>
    <col min="12532" max="12532" width="5.7265625" customWidth="1"/>
    <col min="12535" max="12535" width="22.7265625" customWidth="1"/>
    <col min="12536" max="12536" width="6.26953125" customWidth="1"/>
    <col min="12537" max="12537" width="5.7265625" customWidth="1"/>
    <col min="12538" max="12538" width="6" customWidth="1"/>
    <col min="12539" max="12540" width="4.26953125" customWidth="1"/>
    <col min="12541" max="12541" width="4" customWidth="1"/>
    <col min="12542" max="12542" width="4.1796875" customWidth="1"/>
    <col min="12543" max="12543" width="4" customWidth="1"/>
    <col min="12544" max="12544" width="10.26953125" customWidth="1"/>
    <col min="12545" max="12545" width="16.7265625" customWidth="1"/>
    <col min="12546" max="12546" width="21" customWidth="1"/>
    <col min="12788" max="12788" width="5.7265625" customWidth="1"/>
    <col min="12791" max="12791" width="22.7265625" customWidth="1"/>
    <col min="12792" max="12792" width="6.26953125" customWidth="1"/>
    <col min="12793" max="12793" width="5.7265625" customWidth="1"/>
    <col min="12794" max="12794" width="6" customWidth="1"/>
    <col min="12795" max="12796" width="4.26953125" customWidth="1"/>
    <col min="12797" max="12797" width="4" customWidth="1"/>
    <col min="12798" max="12798" width="4.1796875" customWidth="1"/>
    <col min="12799" max="12799" width="4" customWidth="1"/>
    <col min="12800" max="12800" width="10.26953125" customWidth="1"/>
    <col min="12801" max="12801" width="16.7265625" customWidth="1"/>
    <col min="12802" max="12802" width="21" customWidth="1"/>
    <col min="13044" max="13044" width="5.7265625" customWidth="1"/>
    <col min="13047" max="13047" width="22.7265625" customWidth="1"/>
    <col min="13048" max="13048" width="6.26953125" customWidth="1"/>
    <col min="13049" max="13049" width="5.7265625" customWidth="1"/>
    <col min="13050" max="13050" width="6" customWidth="1"/>
    <col min="13051" max="13052" width="4.26953125" customWidth="1"/>
    <col min="13053" max="13053" width="4" customWidth="1"/>
    <col min="13054" max="13054" width="4.1796875" customWidth="1"/>
    <col min="13055" max="13055" width="4" customWidth="1"/>
    <col min="13056" max="13056" width="10.26953125" customWidth="1"/>
    <col min="13057" max="13057" width="16.7265625" customWidth="1"/>
    <col min="13058" max="13058" width="21" customWidth="1"/>
    <col min="13300" max="13300" width="5.7265625" customWidth="1"/>
    <col min="13303" max="13303" width="22.7265625" customWidth="1"/>
    <col min="13304" max="13304" width="6.26953125" customWidth="1"/>
    <col min="13305" max="13305" width="5.7265625" customWidth="1"/>
    <col min="13306" max="13306" width="6" customWidth="1"/>
    <col min="13307" max="13308" width="4.26953125" customWidth="1"/>
    <col min="13309" max="13309" width="4" customWidth="1"/>
    <col min="13310" max="13310" width="4.1796875" customWidth="1"/>
    <col min="13311" max="13311" width="4" customWidth="1"/>
    <col min="13312" max="13312" width="10.26953125" customWidth="1"/>
    <col min="13313" max="13313" width="16.7265625" customWidth="1"/>
    <col min="13314" max="13314" width="21" customWidth="1"/>
    <col min="13556" max="13556" width="5.7265625" customWidth="1"/>
    <col min="13559" max="13559" width="22.7265625" customWidth="1"/>
    <col min="13560" max="13560" width="6.26953125" customWidth="1"/>
    <col min="13561" max="13561" width="5.7265625" customWidth="1"/>
    <col min="13562" max="13562" width="6" customWidth="1"/>
    <col min="13563" max="13564" width="4.26953125" customWidth="1"/>
    <col min="13565" max="13565" width="4" customWidth="1"/>
    <col min="13566" max="13566" width="4.1796875" customWidth="1"/>
    <col min="13567" max="13567" width="4" customWidth="1"/>
    <col min="13568" max="13568" width="10.26953125" customWidth="1"/>
    <col min="13569" max="13569" width="16.7265625" customWidth="1"/>
    <col min="13570" max="13570" width="21" customWidth="1"/>
    <col min="13812" max="13812" width="5.7265625" customWidth="1"/>
    <col min="13815" max="13815" width="22.7265625" customWidth="1"/>
    <col min="13816" max="13816" width="6.26953125" customWidth="1"/>
    <col min="13817" max="13817" width="5.7265625" customWidth="1"/>
    <col min="13818" max="13818" width="6" customWidth="1"/>
    <col min="13819" max="13820" width="4.26953125" customWidth="1"/>
    <col min="13821" max="13821" width="4" customWidth="1"/>
    <col min="13822" max="13822" width="4.1796875" customWidth="1"/>
    <col min="13823" max="13823" width="4" customWidth="1"/>
    <col min="13824" max="13824" width="10.26953125" customWidth="1"/>
    <col min="13825" max="13825" width="16.7265625" customWidth="1"/>
    <col min="13826" max="13826" width="21" customWidth="1"/>
    <col min="14068" max="14068" width="5.7265625" customWidth="1"/>
    <col min="14071" max="14071" width="22.7265625" customWidth="1"/>
    <col min="14072" max="14072" width="6.26953125" customWidth="1"/>
    <col min="14073" max="14073" width="5.7265625" customWidth="1"/>
    <col min="14074" max="14074" width="6" customWidth="1"/>
    <col min="14075" max="14076" width="4.26953125" customWidth="1"/>
    <col min="14077" max="14077" width="4" customWidth="1"/>
    <col min="14078" max="14078" width="4.1796875" customWidth="1"/>
    <col min="14079" max="14079" width="4" customWidth="1"/>
    <col min="14080" max="14080" width="10.26953125" customWidth="1"/>
    <col min="14081" max="14081" width="16.7265625" customWidth="1"/>
    <col min="14082" max="14082" width="21" customWidth="1"/>
    <col min="14324" max="14324" width="5.7265625" customWidth="1"/>
    <col min="14327" max="14327" width="22.7265625" customWidth="1"/>
    <col min="14328" max="14328" width="6.26953125" customWidth="1"/>
    <col min="14329" max="14329" width="5.7265625" customWidth="1"/>
    <col min="14330" max="14330" width="6" customWidth="1"/>
    <col min="14331" max="14332" width="4.26953125" customWidth="1"/>
    <col min="14333" max="14333" width="4" customWidth="1"/>
    <col min="14334" max="14334" width="4.1796875" customWidth="1"/>
    <col min="14335" max="14335" width="4" customWidth="1"/>
    <col min="14336" max="14336" width="10.26953125" customWidth="1"/>
    <col min="14337" max="14337" width="16.7265625" customWidth="1"/>
    <col min="14338" max="14338" width="21" customWidth="1"/>
    <col min="14580" max="14580" width="5.7265625" customWidth="1"/>
    <col min="14583" max="14583" width="22.7265625" customWidth="1"/>
    <col min="14584" max="14584" width="6.26953125" customWidth="1"/>
    <col min="14585" max="14585" width="5.7265625" customWidth="1"/>
    <col min="14586" max="14586" width="6" customWidth="1"/>
    <col min="14587" max="14588" width="4.26953125" customWidth="1"/>
    <col min="14589" max="14589" width="4" customWidth="1"/>
    <col min="14590" max="14590" width="4.1796875" customWidth="1"/>
    <col min="14591" max="14591" width="4" customWidth="1"/>
    <col min="14592" max="14592" width="10.26953125" customWidth="1"/>
    <col min="14593" max="14593" width="16.7265625" customWidth="1"/>
    <col min="14594" max="14594" width="21" customWidth="1"/>
    <col min="14836" max="14836" width="5.7265625" customWidth="1"/>
    <col min="14839" max="14839" width="22.7265625" customWidth="1"/>
    <col min="14840" max="14840" width="6.26953125" customWidth="1"/>
    <col min="14841" max="14841" width="5.7265625" customWidth="1"/>
    <col min="14842" max="14842" width="6" customWidth="1"/>
    <col min="14843" max="14844" width="4.26953125" customWidth="1"/>
    <col min="14845" max="14845" width="4" customWidth="1"/>
    <col min="14846" max="14846" width="4.1796875" customWidth="1"/>
    <col min="14847" max="14847" width="4" customWidth="1"/>
    <col min="14848" max="14848" width="10.26953125" customWidth="1"/>
    <col min="14849" max="14849" width="16.7265625" customWidth="1"/>
    <col min="14850" max="14850" width="21" customWidth="1"/>
    <col min="15092" max="15092" width="5.7265625" customWidth="1"/>
    <col min="15095" max="15095" width="22.7265625" customWidth="1"/>
    <col min="15096" max="15096" width="6.26953125" customWidth="1"/>
    <col min="15097" max="15097" width="5.7265625" customWidth="1"/>
    <col min="15098" max="15098" width="6" customWidth="1"/>
    <col min="15099" max="15100" width="4.26953125" customWidth="1"/>
    <col min="15101" max="15101" width="4" customWidth="1"/>
    <col min="15102" max="15102" width="4.1796875" customWidth="1"/>
    <col min="15103" max="15103" width="4" customWidth="1"/>
    <col min="15104" max="15104" width="10.26953125" customWidth="1"/>
    <col min="15105" max="15105" width="16.7265625" customWidth="1"/>
    <col min="15106" max="15106" width="21" customWidth="1"/>
    <col min="15348" max="15348" width="5.7265625" customWidth="1"/>
    <col min="15351" max="15351" width="22.7265625" customWidth="1"/>
    <col min="15352" max="15352" width="6.26953125" customWidth="1"/>
    <col min="15353" max="15353" width="5.7265625" customWidth="1"/>
    <col min="15354" max="15354" width="6" customWidth="1"/>
    <col min="15355" max="15356" width="4.26953125" customWidth="1"/>
    <col min="15357" max="15357" width="4" customWidth="1"/>
    <col min="15358" max="15358" width="4.1796875" customWidth="1"/>
    <col min="15359" max="15359" width="4" customWidth="1"/>
    <col min="15360" max="15360" width="10.26953125" customWidth="1"/>
    <col min="15361" max="15361" width="16.7265625" customWidth="1"/>
    <col min="15362" max="15362" width="21" customWidth="1"/>
    <col min="15604" max="15604" width="5.7265625" customWidth="1"/>
    <col min="15607" max="15607" width="22.7265625" customWidth="1"/>
    <col min="15608" max="15608" width="6.26953125" customWidth="1"/>
    <col min="15609" max="15609" width="5.7265625" customWidth="1"/>
    <col min="15610" max="15610" width="6" customWidth="1"/>
    <col min="15611" max="15612" width="4.26953125" customWidth="1"/>
    <col min="15613" max="15613" width="4" customWidth="1"/>
    <col min="15614" max="15614" width="4.1796875" customWidth="1"/>
    <col min="15615" max="15615" width="4" customWidth="1"/>
    <col min="15616" max="15616" width="10.26953125" customWidth="1"/>
    <col min="15617" max="15617" width="16.7265625" customWidth="1"/>
    <col min="15618" max="15618" width="21" customWidth="1"/>
    <col min="15860" max="15860" width="5.7265625" customWidth="1"/>
    <col min="15863" max="15863" width="22.7265625" customWidth="1"/>
    <col min="15864" max="15864" width="6.26953125" customWidth="1"/>
    <col min="15865" max="15865" width="5.7265625" customWidth="1"/>
    <col min="15866" max="15866" width="6" customWidth="1"/>
    <col min="15867" max="15868" width="4.26953125" customWidth="1"/>
    <col min="15869" max="15869" width="4" customWidth="1"/>
    <col min="15870" max="15870" width="4.1796875" customWidth="1"/>
    <col min="15871" max="15871" width="4" customWidth="1"/>
    <col min="15872" max="15872" width="10.26953125" customWidth="1"/>
    <col min="15873" max="15873" width="16.7265625" customWidth="1"/>
    <col min="15874" max="15874" width="21" customWidth="1"/>
    <col min="16116" max="16116" width="5.7265625" customWidth="1"/>
    <col min="16119" max="16119" width="22.7265625" customWidth="1"/>
    <col min="16120" max="16120" width="6.26953125" customWidth="1"/>
    <col min="16121" max="16121" width="5.7265625" customWidth="1"/>
    <col min="16122" max="16122" width="6" customWidth="1"/>
    <col min="16123" max="16124" width="4.26953125" customWidth="1"/>
    <col min="16125" max="16125" width="4" customWidth="1"/>
    <col min="16126" max="16126" width="4.1796875" customWidth="1"/>
    <col min="16127" max="16127" width="4" customWidth="1"/>
    <col min="16128" max="16128" width="10.26953125" customWidth="1"/>
    <col min="16129" max="16129" width="16.7265625" customWidth="1"/>
    <col min="16130" max="16130" width="21" customWidth="1"/>
  </cols>
  <sheetData>
    <row r="1" spans="1:144" x14ac:dyDescent="0.35">
      <c r="A1" s="1230" t="s">
        <v>120</v>
      </c>
      <c r="B1" s="1230"/>
      <c r="C1" s="1230"/>
      <c r="D1" s="1230"/>
      <c r="E1" s="1230"/>
      <c r="F1" s="1230"/>
      <c r="G1" s="1230"/>
      <c r="H1" s="1230"/>
      <c r="I1" s="1230"/>
      <c r="J1" s="1230"/>
      <c r="K1" s="1230"/>
      <c r="L1" s="1230"/>
      <c r="M1" s="1230"/>
      <c r="N1" s="1230"/>
      <c r="O1" s="954"/>
      <c r="P1" s="1317"/>
    </row>
    <row r="2" spans="1:144" ht="23.5" customHeight="1" x14ac:dyDescent="0.35">
      <c r="A2" s="1230"/>
      <c r="B2" s="1230"/>
      <c r="C2" s="1230"/>
      <c r="D2" s="1230"/>
      <c r="E2" s="1230"/>
      <c r="F2" s="1230"/>
      <c r="G2" s="1230"/>
      <c r="H2" s="1230"/>
      <c r="I2" s="1230"/>
      <c r="J2" s="1230"/>
      <c r="K2" s="1230"/>
      <c r="L2" s="1230"/>
      <c r="M2" s="1230"/>
      <c r="N2" s="1230"/>
      <c r="O2" s="954"/>
      <c r="P2" s="1317"/>
    </row>
    <row r="3" spans="1:144" ht="14.5" customHeight="1" x14ac:dyDescent="0.35">
      <c r="A3" s="954" t="s">
        <v>121</v>
      </c>
      <c r="B3" s="954" t="s">
        <v>122</v>
      </c>
      <c r="C3" s="954" t="s">
        <v>123</v>
      </c>
      <c r="D3" s="954" t="s">
        <v>105</v>
      </c>
      <c r="E3" s="954" t="s">
        <v>124</v>
      </c>
      <c r="F3" s="954"/>
      <c r="G3" s="954"/>
      <c r="H3" s="954"/>
      <c r="I3" s="954"/>
      <c r="J3" s="954"/>
      <c r="K3" s="954"/>
      <c r="L3" s="954"/>
      <c r="M3" s="954"/>
      <c r="N3" s="1161" t="s">
        <v>913</v>
      </c>
      <c r="O3" s="1161" t="s">
        <v>914</v>
      </c>
      <c r="P3" s="1334"/>
    </row>
    <row r="4" spans="1:144" ht="28.9" customHeight="1" x14ac:dyDescent="0.35">
      <c r="A4" s="954"/>
      <c r="B4" s="954"/>
      <c r="C4" s="954"/>
      <c r="D4" s="954"/>
      <c r="E4" s="1161" t="s">
        <v>920</v>
      </c>
      <c r="F4" s="1161"/>
      <c r="G4" s="1161"/>
      <c r="H4" s="1161"/>
      <c r="I4" s="1161" t="s">
        <v>921</v>
      </c>
      <c r="J4" s="1161"/>
      <c r="K4" s="1161"/>
      <c r="L4" s="1161"/>
      <c r="M4" s="1161" t="s">
        <v>915</v>
      </c>
      <c r="N4" s="1161"/>
      <c r="O4" s="1161"/>
      <c r="P4" s="1335"/>
    </row>
    <row r="5" spans="1:144" x14ac:dyDescent="0.35">
      <c r="A5" s="954"/>
      <c r="B5" s="954"/>
      <c r="C5" s="954"/>
      <c r="D5" s="954"/>
      <c r="E5" s="439" t="s">
        <v>7</v>
      </c>
      <c r="F5" s="439" t="s">
        <v>8</v>
      </c>
      <c r="G5" s="439" t="s">
        <v>9</v>
      </c>
      <c r="H5" s="439" t="s">
        <v>10</v>
      </c>
      <c r="I5" s="439" t="s">
        <v>7</v>
      </c>
      <c r="J5" s="439" t="s">
        <v>8</v>
      </c>
      <c r="K5" s="439" t="s">
        <v>9</v>
      </c>
      <c r="L5" s="439" t="s">
        <v>10</v>
      </c>
      <c r="M5" s="1161"/>
      <c r="N5" s="440"/>
      <c r="O5" s="1161"/>
      <c r="P5" s="1336"/>
    </row>
    <row r="6" spans="1:144" hidden="1" x14ac:dyDescent="0.35">
      <c r="A6" s="532">
        <v>1</v>
      </c>
      <c r="B6" s="532" t="s">
        <v>125</v>
      </c>
      <c r="C6" s="532" t="s">
        <v>126</v>
      </c>
      <c r="D6" s="532" t="s">
        <v>127</v>
      </c>
      <c r="E6" s="532">
        <v>1</v>
      </c>
      <c r="F6" s="532">
        <v>1</v>
      </c>
      <c r="G6" s="532" t="s">
        <v>916</v>
      </c>
      <c r="H6" s="533" t="s">
        <v>916</v>
      </c>
      <c r="I6" s="533" t="s">
        <v>916</v>
      </c>
      <c r="J6" s="533" t="s">
        <v>916</v>
      </c>
      <c r="K6" s="533" t="s">
        <v>916</v>
      </c>
      <c r="L6" s="533" t="s">
        <v>916</v>
      </c>
      <c r="M6" s="532">
        <v>28.315000000000001</v>
      </c>
      <c r="N6" s="532" t="s">
        <v>917</v>
      </c>
      <c r="O6" s="795" t="s">
        <v>945</v>
      </c>
      <c r="P6" s="4"/>
    </row>
    <row r="7" spans="1:144" hidden="1" x14ac:dyDescent="0.35">
      <c r="A7" s="39">
        <v>2</v>
      </c>
      <c r="B7" s="39" t="s">
        <v>128</v>
      </c>
      <c r="C7" s="39" t="s">
        <v>129</v>
      </c>
      <c r="D7" s="39" t="s">
        <v>130</v>
      </c>
      <c r="E7" s="39" t="s">
        <v>916</v>
      </c>
      <c r="F7" s="39" t="s">
        <v>916</v>
      </c>
      <c r="G7" s="39" t="s">
        <v>916</v>
      </c>
      <c r="H7" s="534" t="s">
        <v>916</v>
      </c>
      <c r="I7" s="461" t="s">
        <v>916</v>
      </c>
      <c r="J7" s="461" t="s">
        <v>916</v>
      </c>
      <c r="K7" s="461" t="s">
        <v>916</v>
      </c>
      <c r="L7" s="461" t="s">
        <v>916</v>
      </c>
      <c r="M7" s="39">
        <v>57.536999999999999</v>
      </c>
      <c r="N7" s="39" t="s">
        <v>917</v>
      </c>
      <c r="O7" s="591"/>
      <c r="P7" s="4"/>
    </row>
    <row r="8" spans="1:144" hidden="1" x14ac:dyDescent="0.35">
      <c r="A8" s="39">
        <v>3</v>
      </c>
      <c r="B8" s="39" t="s">
        <v>131</v>
      </c>
      <c r="C8" s="39" t="s">
        <v>132</v>
      </c>
      <c r="D8" s="39" t="s">
        <v>130</v>
      </c>
      <c r="E8" s="39" t="s">
        <v>916</v>
      </c>
      <c r="F8" s="39" t="s">
        <v>916</v>
      </c>
      <c r="G8" s="39" t="s">
        <v>916</v>
      </c>
      <c r="H8" s="534" t="s">
        <v>916</v>
      </c>
      <c r="I8" s="461" t="s">
        <v>916</v>
      </c>
      <c r="J8" s="461" t="s">
        <v>916</v>
      </c>
      <c r="K8" s="461" t="s">
        <v>916</v>
      </c>
      <c r="L8" s="461" t="s">
        <v>916</v>
      </c>
      <c r="M8" s="39">
        <v>67.992999999999995</v>
      </c>
      <c r="N8" s="39" t="s">
        <v>917</v>
      </c>
      <c r="O8" s="591"/>
      <c r="P8" s="4"/>
    </row>
    <row r="9" spans="1:144" s="445" customFormat="1" hidden="1" x14ac:dyDescent="0.35">
      <c r="A9" s="39">
        <v>4</v>
      </c>
      <c r="B9" s="39" t="s">
        <v>133</v>
      </c>
      <c r="C9" s="39" t="s">
        <v>134</v>
      </c>
      <c r="D9" s="39" t="s">
        <v>135</v>
      </c>
      <c r="E9" s="39">
        <v>3</v>
      </c>
      <c r="F9" s="39">
        <v>3</v>
      </c>
      <c r="G9" s="39">
        <v>3</v>
      </c>
      <c r="H9" s="39">
        <v>3</v>
      </c>
      <c r="I9" s="461" t="s">
        <v>916</v>
      </c>
      <c r="J9" s="461" t="s">
        <v>916</v>
      </c>
      <c r="K9" s="461" t="s">
        <v>916</v>
      </c>
      <c r="L9" s="461" t="s">
        <v>916</v>
      </c>
      <c r="M9" s="39"/>
      <c r="N9" s="39" t="s">
        <v>917</v>
      </c>
      <c r="O9" s="795" t="s">
        <v>945</v>
      </c>
      <c r="P9" s="4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  <c r="AE9" s="456"/>
      <c r="AF9" s="456"/>
      <c r="AG9" s="456"/>
      <c r="AH9" s="456"/>
      <c r="AI9" s="456"/>
      <c r="AJ9" s="456"/>
      <c r="AK9" s="456"/>
      <c r="AL9" s="456"/>
      <c r="AM9" s="456"/>
      <c r="AN9" s="456"/>
      <c r="AO9" s="456"/>
      <c r="AP9" s="456"/>
      <c r="AQ9" s="456"/>
      <c r="AR9" s="456"/>
      <c r="AS9" s="456"/>
      <c r="AT9" s="456"/>
      <c r="AU9" s="456"/>
      <c r="AV9" s="456"/>
      <c r="AW9" s="456"/>
      <c r="AX9" s="456"/>
      <c r="AY9" s="456"/>
      <c r="AZ9" s="456"/>
      <c r="BA9" s="456"/>
      <c r="BB9" s="456"/>
      <c r="BC9" s="456"/>
      <c r="BD9" s="456"/>
      <c r="BE9" s="456"/>
      <c r="BF9" s="456"/>
      <c r="BG9" s="456"/>
      <c r="BH9" s="456"/>
      <c r="BI9" s="456"/>
      <c r="BJ9" s="456"/>
      <c r="BK9" s="456"/>
      <c r="BL9" s="456"/>
      <c r="BM9" s="456"/>
      <c r="BN9" s="456"/>
      <c r="BO9" s="456"/>
      <c r="BP9" s="456"/>
      <c r="BQ9" s="456"/>
      <c r="BR9" s="456"/>
      <c r="BS9" s="456"/>
      <c r="BT9" s="456"/>
      <c r="BU9" s="456"/>
      <c r="BV9" s="456"/>
      <c r="BW9" s="456"/>
      <c r="BX9" s="456"/>
      <c r="BY9" s="456"/>
      <c r="BZ9" s="456"/>
      <c r="CA9" s="456"/>
      <c r="CB9" s="456"/>
      <c r="CC9" s="456"/>
      <c r="CD9" s="456"/>
      <c r="CE9" s="456"/>
      <c r="CF9" s="456"/>
      <c r="CG9" s="456"/>
      <c r="CH9" s="456"/>
      <c r="CI9" s="456"/>
      <c r="CJ9" s="456"/>
      <c r="CK9" s="456"/>
      <c r="CL9" s="456"/>
      <c r="CM9" s="456"/>
      <c r="CN9" s="456"/>
      <c r="CO9" s="456"/>
      <c r="CP9" s="456"/>
      <c r="CQ9" s="456"/>
      <c r="CR9" s="456"/>
      <c r="CS9" s="456"/>
      <c r="CT9" s="456"/>
      <c r="CU9" s="456"/>
      <c r="CV9" s="456"/>
      <c r="CW9" s="456"/>
      <c r="CX9" s="456"/>
      <c r="CY9" s="456"/>
      <c r="CZ9" s="456"/>
      <c r="DA9" s="456"/>
      <c r="DB9" s="456"/>
      <c r="DC9" s="456"/>
      <c r="DD9" s="456"/>
      <c r="DE9" s="456"/>
      <c r="DF9" s="456"/>
      <c r="DG9" s="456"/>
      <c r="DH9" s="456"/>
      <c r="DI9" s="456"/>
      <c r="DJ9" s="456"/>
      <c r="DK9" s="456"/>
      <c r="DL9" s="456"/>
      <c r="DM9" s="456"/>
      <c r="DN9" s="456"/>
      <c r="DO9" s="456"/>
      <c r="DP9" s="456"/>
      <c r="DQ9" s="456"/>
      <c r="DR9" s="456"/>
      <c r="DS9" s="456"/>
      <c r="DT9" s="456"/>
      <c r="DU9" s="456"/>
      <c r="DV9" s="456"/>
      <c r="DW9" s="456"/>
      <c r="DX9" s="456"/>
      <c r="DY9" s="456"/>
      <c r="DZ9" s="456"/>
      <c r="EA9" s="456"/>
      <c r="EB9" s="456"/>
      <c r="EC9" s="456"/>
      <c r="ED9" s="456"/>
      <c r="EE9" s="456"/>
      <c r="EF9" s="456"/>
      <c r="EG9" s="456"/>
      <c r="EH9" s="456"/>
      <c r="EI9" s="456"/>
      <c r="EJ9" s="456"/>
      <c r="EK9" s="456"/>
      <c r="EL9" s="456"/>
      <c r="EM9" s="456"/>
      <c r="EN9" s="456"/>
    </row>
    <row r="10" spans="1:144" s="445" customFormat="1" hidden="1" x14ac:dyDescent="0.35">
      <c r="A10" s="39">
        <v>5</v>
      </c>
      <c r="B10" s="39" t="s">
        <v>136</v>
      </c>
      <c r="C10" s="39" t="s">
        <v>137</v>
      </c>
      <c r="D10" s="39" t="s">
        <v>130</v>
      </c>
      <c r="E10" s="39" t="s">
        <v>916</v>
      </c>
      <c r="F10" s="39" t="s">
        <v>916</v>
      </c>
      <c r="G10" s="39" t="s">
        <v>916</v>
      </c>
      <c r="H10" s="534" t="s">
        <v>916</v>
      </c>
      <c r="I10" s="461" t="s">
        <v>916</v>
      </c>
      <c r="J10" s="461" t="s">
        <v>916</v>
      </c>
      <c r="K10" s="461" t="s">
        <v>916</v>
      </c>
      <c r="L10" s="461" t="s">
        <v>916</v>
      </c>
      <c r="M10" s="39">
        <v>21.815999999999999</v>
      </c>
      <c r="N10" s="39" t="s">
        <v>917</v>
      </c>
      <c r="O10" s="461"/>
      <c r="P10" s="4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  <c r="AE10" s="456"/>
      <c r="AF10" s="456"/>
      <c r="AG10" s="456"/>
      <c r="AH10" s="456"/>
      <c r="AI10" s="456"/>
      <c r="AJ10" s="456"/>
      <c r="AK10" s="456"/>
      <c r="AL10" s="456"/>
      <c r="AM10" s="456"/>
      <c r="AN10" s="456"/>
      <c r="AO10" s="456"/>
      <c r="AP10" s="456"/>
      <c r="AQ10" s="456"/>
      <c r="AR10" s="456"/>
      <c r="AS10" s="456"/>
      <c r="AT10" s="456"/>
      <c r="AU10" s="456"/>
      <c r="AV10" s="456"/>
      <c r="AW10" s="456"/>
      <c r="AX10" s="456"/>
      <c r="AY10" s="456"/>
      <c r="AZ10" s="456"/>
      <c r="BA10" s="456"/>
      <c r="BB10" s="456"/>
      <c r="BC10" s="456"/>
      <c r="BD10" s="456"/>
      <c r="BE10" s="456"/>
      <c r="BF10" s="456"/>
      <c r="BG10" s="456"/>
      <c r="BH10" s="456"/>
      <c r="BI10" s="456"/>
      <c r="BJ10" s="456"/>
      <c r="BK10" s="456"/>
      <c r="BL10" s="456"/>
      <c r="BM10" s="456"/>
      <c r="BN10" s="456"/>
      <c r="BO10" s="456"/>
      <c r="BP10" s="456"/>
      <c r="BQ10" s="456"/>
      <c r="BR10" s="456"/>
      <c r="BS10" s="456"/>
      <c r="BT10" s="456"/>
      <c r="BU10" s="456"/>
      <c r="BV10" s="456"/>
      <c r="BW10" s="456"/>
      <c r="BX10" s="456"/>
      <c r="BY10" s="456"/>
      <c r="BZ10" s="456"/>
      <c r="CA10" s="456"/>
      <c r="CB10" s="456"/>
      <c r="CC10" s="456"/>
      <c r="CD10" s="456"/>
      <c r="CE10" s="456"/>
      <c r="CF10" s="456"/>
      <c r="CG10" s="456"/>
      <c r="CH10" s="456"/>
      <c r="CI10" s="456"/>
      <c r="CJ10" s="456"/>
      <c r="CK10" s="456"/>
      <c r="CL10" s="456"/>
      <c r="CM10" s="456"/>
      <c r="CN10" s="456"/>
      <c r="CO10" s="456"/>
      <c r="CP10" s="456"/>
      <c r="CQ10" s="456"/>
      <c r="CR10" s="456"/>
      <c r="CS10" s="456"/>
      <c r="CT10" s="456"/>
      <c r="CU10" s="456"/>
      <c r="CV10" s="456"/>
      <c r="CW10" s="456"/>
      <c r="CX10" s="456"/>
      <c r="CY10" s="456"/>
      <c r="CZ10" s="456"/>
      <c r="DA10" s="456"/>
      <c r="DB10" s="456"/>
      <c r="DC10" s="456"/>
      <c r="DD10" s="456"/>
      <c r="DE10" s="456"/>
      <c r="DF10" s="456"/>
      <c r="DG10" s="456"/>
      <c r="DH10" s="456"/>
      <c r="DI10" s="456"/>
      <c r="DJ10" s="456"/>
      <c r="DK10" s="456"/>
      <c r="DL10" s="456"/>
      <c r="DM10" s="456"/>
      <c r="DN10" s="456"/>
      <c r="DO10" s="456"/>
      <c r="DP10" s="456"/>
      <c r="DQ10" s="456"/>
      <c r="DR10" s="456"/>
      <c r="DS10" s="456"/>
      <c r="DT10" s="456"/>
      <c r="DU10" s="456"/>
      <c r="DV10" s="456"/>
      <c r="DW10" s="456"/>
      <c r="DX10" s="456"/>
      <c r="DY10" s="456"/>
      <c r="DZ10" s="456"/>
      <c r="EA10" s="456"/>
      <c r="EB10" s="456"/>
      <c r="EC10" s="456"/>
      <c r="ED10" s="456"/>
      <c r="EE10" s="456"/>
      <c r="EF10" s="456"/>
      <c r="EG10" s="456"/>
      <c r="EH10" s="456"/>
      <c r="EI10" s="456"/>
      <c r="EJ10" s="456"/>
      <c r="EK10" s="456"/>
      <c r="EL10" s="456"/>
      <c r="EM10" s="456"/>
      <c r="EN10" s="456"/>
    </row>
    <row r="11" spans="1:144" hidden="1" x14ac:dyDescent="0.35">
      <c r="A11" s="39">
        <v>6</v>
      </c>
      <c r="B11" s="39" t="s">
        <v>138</v>
      </c>
      <c r="C11" s="39" t="s">
        <v>139</v>
      </c>
      <c r="D11" s="532" t="s">
        <v>127</v>
      </c>
      <c r="E11" s="39">
        <v>1</v>
      </c>
      <c r="F11" s="39">
        <v>1</v>
      </c>
      <c r="G11" s="39" t="s">
        <v>916</v>
      </c>
      <c r="H11" s="461" t="s">
        <v>916</v>
      </c>
      <c r="I11" s="461" t="s">
        <v>916</v>
      </c>
      <c r="J11" s="461" t="s">
        <v>916</v>
      </c>
      <c r="K11" s="461" t="s">
        <v>916</v>
      </c>
      <c r="L11" s="461" t="s">
        <v>916</v>
      </c>
      <c r="M11" s="39">
        <v>6.7489999999999997</v>
      </c>
      <c r="N11" s="39" t="s">
        <v>917</v>
      </c>
      <c r="O11" s="795" t="s">
        <v>945</v>
      </c>
      <c r="P11" s="4"/>
    </row>
    <row r="12" spans="1:144" hidden="1" x14ac:dyDescent="0.35">
      <c r="A12" s="39">
        <v>7</v>
      </c>
      <c r="B12" s="39" t="s">
        <v>141</v>
      </c>
      <c r="C12" s="39" t="s">
        <v>142</v>
      </c>
      <c r="D12" s="39" t="s">
        <v>130</v>
      </c>
      <c r="E12" s="39" t="s">
        <v>916</v>
      </c>
      <c r="F12" s="39" t="s">
        <v>916</v>
      </c>
      <c r="G12" s="39" t="s">
        <v>916</v>
      </c>
      <c r="H12" s="534" t="s">
        <v>916</v>
      </c>
      <c r="I12" s="461" t="s">
        <v>916</v>
      </c>
      <c r="J12" s="461" t="s">
        <v>916</v>
      </c>
      <c r="K12" s="461" t="s">
        <v>916</v>
      </c>
      <c r="L12" s="461" t="s">
        <v>916</v>
      </c>
      <c r="M12" s="39">
        <v>24.495999999999999</v>
      </c>
      <c r="N12" s="39" t="s">
        <v>917</v>
      </c>
      <c r="O12" s="591"/>
      <c r="P12" s="4"/>
    </row>
    <row r="13" spans="1:144" ht="29" x14ac:dyDescent="0.35">
      <c r="A13" s="39">
        <v>8</v>
      </c>
      <c r="B13" s="790" t="s">
        <v>143</v>
      </c>
      <c r="C13" s="790" t="s">
        <v>144</v>
      </c>
      <c r="D13" s="791" t="s">
        <v>1094</v>
      </c>
      <c r="E13" s="790"/>
      <c r="F13" s="790"/>
      <c r="G13" s="790"/>
      <c r="H13" s="790">
        <v>1</v>
      </c>
      <c r="I13" s="791" t="s">
        <v>916</v>
      </c>
      <c r="J13" s="791" t="s">
        <v>916</v>
      </c>
      <c r="K13" s="791" t="s">
        <v>916</v>
      </c>
      <c r="L13" s="791" t="s">
        <v>916</v>
      </c>
      <c r="M13" s="790">
        <v>29.094000000000001</v>
      </c>
      <c r="N13" s="790" t="s">
        <v>853</v>
      </c>
      <c r="O13" s="532" t="s">
        <v>945</v>
      </c>
      <c r="P13" s="531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</row>
    <row r="14" spans="1:144" ht="29" x14ac:dyDescent="0.35">
      <c r="A14" s="39">
        <v>9</v>
      </c>
      <c r="B14" s="39" t="s">
        <v>145</v>
      </c>
      <c r="C14" s="39" t="s">
        <v>146</v>
      </c>
      <c r="D14" s="461" t="s">
        <v>147</v>
      </c>
      <c r="E14" s="533">
        <v>0</v>
      </c>
      <c r="F14" s="533">
        <v>0</v>
      </c>
      <c r="G14" s="533">
        <v>3</v>
      </c>
      <c r="H14" s="533">
        <v>0</v>
      </c>
      <c r="I14" s="533">
        <v>6</v>
      </c>
      <c r="J14" s="533">
        <v>9</v>
      </c>
      <c r="K14" s="533">
        <v>9</v>
      </c>
      <c r="L14" s="533">
        <v>9</v>
      </c>
      <c r="M14" s="532">
        <v>29.029</v>
      </c>
      <c r="N14" s="532" t="s">
        <v>853</v>
      </c>
      <c r="O14" s="533" t="s">
        <v>1255</v>
      </c>
      <c r="P14" s="531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</row>
    <row r="15" spans="1:144" ht="29" x14ac:dyDescent="0.35">
      <c r="A15" s="39">
        <v>10</v>
      </c>
      <c r="B15" s="39" t="s">
        <v>148</v>
      </c>
      <c r="C15" s="39" t="s">
        <v>149</v>
      </c>
      <c r="D15" s="461" t="s">
        <v>147</v>
      </c>
      <c r="E15" s="532" t="s">
        <v>916</v>
      </c>
      <c r="F15" s="532" t="s">
        <v>916</v>
      </c>
      <c r="G15" s="532">
        <v>1.5</v>
      </c>
      <c r="H15" s="532"/>
      <c r="I15" s="532">
        <v>1.5</v>
      </c>
      <c r="J15" s="533">
        <v>3</v>
      </c>
      <c r="K15" s="533">
        <v>3</v>
      </c>
      <c r="L15" s="533">
        <v>3</v>
      </c>
      <c r="M15" s="532">
        <v>13.173999999999999</v>
      </c>
      <c r="N15" s="532" t="s">
        <v>853</v>
      </c>
      <c r="O15" s="532" t="s">
        <v>945</v>
      </c>
      <c r="P15" s="531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</row>
    <row r="16" spans="1:144" ht="29" x14ac:dyDescent="0.35">
      <c r="A16" s="39">
        <v>11</v>
      </c>
      <c r="B16" s="790" t="s">
        <v>150</v>
      </c>
      <c r="C16" s="790" t="s">
        <v>151</v>
      </c>
      <c r="D16" s="791" t="s">
        <v>1094</v>
      </c>
      <c r="E16" s="790">
        <v>1</v>
      </c>
      <c r="F16" s="790" t="s">
        <v>916</v>
      </c>
      <c r="G16" s="790" t="s">
        <v>916</v>
      </c>
      <c r="H16" s="790" t="s">
        <v>916</v>
      </c>
      <c r="I16" s="790" t="s">
        <v>916</v>
      </c>
      <c r="J16" s="791" t="s">
        <v>916</v>
      </c>
      <c r="K16" s="791" t="s">
        <v>916</v>
      </c>
      <c r="L16" s="791" t="s">
        <v>916</v>
      </c>
      <c r="M16" s="790">
        <v>14.43</v>
      </c>
      <c r="N16" s="790" t="s">
        <v>853</v>
      </c>
      <c r="O16" s="532" t="s">
        <v>945</v>
      </c>
      <c r="P16" s="791" t="s">
        <v>1250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</row>
    <row r="17" spans="1:144" hidden="1" x14ac:dyDescent="0.35">
      <c r="A17" s="39">
        <v>12</v>
      </c>
      <c r="B17" s="39" t="s">
        <v>153</v>
      </c>
      <c r="C17" s="39" t="s">
        <v>139</v>
      </c>
      <c r="D17" s="39" t="s">
        <v>130</v>
      </c>
      <c r="E17" s="532" t="s">
        <v>916</v>
      </c>
      <c r="F17" s="532" t="s">
        <v>916</v>
      </c>
      <c r="G17" s="532" t="s">
        <v>916</v>
      </c>
      <c r="H17" s="532" t="s">
        <v>916</v>
      </c>
      <c r="I17" s="532" t="s">
        <v>916</v>
      </c>
      <c r="J17" s="533" t="s">
        <v>916</v>
      </c>
      <c r="K17" s="533" t="s">
        <v>916</v>
      </c>
      <c r="L17" s="533" t="s">
        <v>916</v>
      </c>
      <c r="M17" s="532">
        <v>28.233000000000001</v>
      </c>
      <c r="N17" s="532" t="s">
        <v>917</v>
      </c>
      <c r="O17" s="532"/>
      <c r="P17" s="531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</row>
    <row r="18" spans="1:144" hidden="1" x14ac:dyDescent="0.35">
      <c r="A18" s="39">
        <v>13</v>
      </c>
      <c r="B18" s="39" t="s">
        <v>154</v>
      </c>
      <c r="C18" s="39" t="s">
        <v>134</v>
      </c>
      <c r="D18" s="39" t="s">
        <v>135</v>
      </c>
      <c r="E18" s="532">
        <v>4</v>
      </c>
      <c r="F18" s="532">
        <v>4</v>
      </c>
      <c r="G18" s="532">
        <v>4</v>
      </c>
      <c r="H18" s="532">
        <v>4</v>
      </c>
      <c r="I18" s="532" t="s">
        <v>916</v>
      </c>
      <c r="J18" s="533" t="s">
        <v>916</v>
      </c>
      <c r="K18" s="533" t="s">
        <v>916</v>
      </c>
      <c r="L18" s="533" t="s">
        <v>916</v>
      </c>
      <c r="M18" s="532"/>
      <c r="N18" s="532" t="s">
        <v>917</v>
      </c>
      <c r="O18" s="532" t="s">
        <v>945</v>
      </c>
      <c r="P18" s="531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</row>
    <row r="19" spans="1:144" ht="31" hidden="1" customHeight="1" x14ac:dyDescent="0.35">
      <c r="A19" s="39">
        <v>14</v>
      </c>
      <c r="B19" s="532" t="s">
        <v>155</v>
      </c>
      <c r="C19" s="532" t="s">
        <v>156</v>
      </c>
      <c r="D19" s="532" t="s">
        <v>127</v>
      </c>
      <c r="E19" s="532">
        <v>1.5</v>
      </c>
      <c r="F19" s="532" t="s">
        <v>916</v>
      </c>
      <c r="G19" s="532" t="s">
        <v>916</v>
      </c>
      <c r="H19" s="533">
        <v>1.5</v>
      </c>
      <c r="I19" s="532" t="s">
        <v>916</v>
      </c>
      <c r="J19" s="533" t="s">
        <v>916</v>
      </c>
      <c r="K19" s="533" t="s">
        <v>916</v>
      </c>
      <c r="L19" s="533" t="s">
        <v>916</v>
      </c>
      <c r="M19" s="532">
        <v>50.168999999999997</v>
      </c>
      <c r="N19" s="532" t="s">
        <v>917</v>
      </c>
      <c r="O19" s="533" t="s">
        <v>1256</v>
      </c>
      <c r="P19" s="531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</row>
    <row r="20" spans="1:144" ht="29" x14ac:dyDescent="0.35">
      <c r="A20" s="39">
        <v>15</v>
      </c>
      <c r="B20" s="39" t="s">
        <v>157</v>
      </c>
      <c r="C20" s="39" t="s">
        <v>144</v>
      </c>
      <c r="D20" s="39" t="s">
        <v>947</v>
      </c>
      <c r="E20" s="532">
        <v>2</v>
      </c>
      <c r="F20" s="532" t="s">
        <v>916</v>
      </c>
      <c r="G20" s="532" t="s">
        <v>916</v>
      </c>
      <c r="H20" s="532" t="s">
        <v>916</v>
      </c>
      <c r="I20" s="535">
        <v>3</v>
      </c>
      <c r="J20" s="536">
        <v>3</v>
      </c>
      <c r="K20" s="536">
        <v>1.5</v>
      </c>
      <c r="L20" s="536">
        <v>3</v>
      </c>
      <c r="M20" s="532">
        <v>19.466000000000001</v>
      </c>
      <c r="N20" s="532" t="s">
        <v>917</v>
      </c>
      <c r="O20" s="532" t="s">
        <v>945</v>
      </c>
      <c r="P20" s="791" t="s">
        <v>1250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</row>
    <row r="21" spans="1:144" ht="29" hidden="1" x14ac:dyDescent="0.35">
      <c r="A21" s="39">
        <v>16</v>
      </c>
      <c r="B21" s="39" t="s">
        <v>158</v>
      </c>
      <c r="C21" s="39" t="s">
        <v>146</v>
      </c>
      <c r="D21" s="39" t="s">
        <v>135</v>
      </c>
      <c r="E21" s="532">
        <v>2</v>
      </c>
      <c r="F21" s="532">
        <v>2</v>
      </c>
      <c r="G21" s="532">
        <v>2</v>
      </c>
      <c r="H21" s="532">
        <v>2</v>
      </c>
      <c r="I21" s="532" t="s">
        <v>916</v>
      </c>
      <c r="J21" s="533" t="s">
        <v>916</v>
      </c>
      <c r="K21" s="533" t="s">
        <v>916</v>
      </c>
      <c r="L21" s="533" t="s">
        <v>916</v>
      </c>
      <c r="M21" s="532"/>
      <c r="N21" s="532" t="s">
        <v>853</v>
      </c>
      <c r="O21" s="532" t="s">
        <v>945</v>
      </c>
      <c r="P21" s="791" t="s">
        <v>1250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</row>
    <row r="22" spans="1:144" ht="29" hidden="1" x14ac:dyDescent="0.35">
      <c r="A22" s="39">
        <v>17</v>
      </c>
      <c r="B22" s="39" t="s">
        <v>159</v>
      </c>
      <c r="C22" s="39" t="s">
        <v>126</v>
      </c>
      <c r="D22" s="39" t="s">
        <v>127</v>
      </c>
      <c r="E22" s="532">
        <v>2</v>
      </c>
      <c r="F22" s="532">
        <v>1</v>
      </c>
      <c r="G22" s="532" t="s">
        <v>916</v>
      </c>
      <c r="H22" s="533" t="s">
        <v>916</v>
      </c>
      <c r="I22" s="532" t="s">
        <v>916</v>
      </c>
      <c r="J22" s="533" t="s">
        <v>916</v>
      </c>
      <c r="K22" s="533" t="s">
        <v>916</v>
      </c>
      <c r="L22" s="533" t="s">
        <v>916</v>
      </c>
      <c r="M22" s="532">
        <v>18.893999999999998</v>
      </c>
      <c r="N22" s="532" t="s">
        <v>853</v>
      </c>
      <c r="O22" s="532" t="s">
        <v>945</v>
      </c>
      <c r="P22" s="791" t="s">
        <v>1250</v>
      </c>
    </row>
    <row r="23" spans="1:144" ht="29" hidden="1" x14ac:dyDescent="0.35">
      <c r="A23" s="39">
        <v>18</v>
      </c>
      <c r="B23" s="39" t="s">
        <v>160</v>
      </c>
      <c r="C23" s="39" t="s">
        <v>161</v>
      </c>
      <c r="D23" s="39" t="s">
        <v>127</v>
      </c>
      <c r="E23" s="532" t="s">
        <v>916</v>
      </c>
      <c r="F23" s="532" t="s">
        <v>916</v>
      </c>
      <c r="G23" s="532" t="s">
        <v>916</v>
      </c>
      <c r="H23" s="532">
        <v>1</v>
      </c>
      <c r="I23" s="532" t="s">
        <v>916</v>
      </c>
      <c r="J23" s="533" t="s">
        <v>916</v>
      </c>
      <c r="K23" s="533" t="s">
        <v>916</v>
      </c>
      <c r="L23" s="533" t="s">
        <v>916</v>
      </c>
      <c r="M23" s="532">
        <v>36.183999999999997</v>
      </c>
      <c r="N23" s="532" t="s">
        <v>853</v>
      </c>
      <c r="O23" s="532" t="s">
        <v>945</v>
      </c>
      <c r="P23" s="791" t="s">
        <v>1250</v>
      </c>
    </row>
    <row r="24" spans="1:144" ht="29" x14ac:dyDescent="0.35">
      <c r="A24" s="39">
        <v>19</v>
      </c>
      <c r="B24" s="39" t="s">
        <v>162</v>
      </c>
      <c r="C24" s="39" t="s">
        <v>129</v>
      </c>
      <c r="D24" s="39" t="s">
        <v>947</v>
      </c>
      <c r="E24" s="532" t="s">
        <v>916</v>
      </c>
      <c r="F24" s="532" t="s">
        <v>916</v>
      </c>
      <c r="G24" s="532">
        <v>2</v>
      </c>
      <c r="H24" s="533">
        <v>1</v>
      </c>
      <c r="I24" s="535">
        <v>-1.5</v>
      </c>
      <c r="J24" s="536">
        <v>0</v>
      </c>
      <c r="K24" s="536">
        <v>0</v>
      </c>
      <c r="L24" s="536">
        <v>0</v>
      </c>
      <c r="M24" s="532">
        <v>11.930999999999999</v>
      </c>
      <c r="N24" s="532" t="s">
        <v>853</v>
      </c>
      <c r="O24" s="532" t="s">
        <v>945</v>
      </c>
      <c r="P24" s="791" t="s">
        <v>1250</v>
      </c>
    </row>
    <row r="25" spans="1:144" ht="29" x14ac:dyDescent="0.35">
      <c r="A25" s="39">
        <v>20</v>
      </c>
      <c r="B25" s="39" t="s">
        <v>163</v>
      </c>
      <c r="C25" s="39" t="s">
        <v>151</v>
      </c>
      <c r="D25" s="39" t="s">
        <v>948</v>
      </c>
      <c r="E25" s="532" t="s">
        <v>916</v>
      </c>
      <c r="F25" s="532" t="s">
        <v>916</v>
      </c>
      <c r="G25" s="532" t="s">
        <v>916</v>
      </c>
      <c r="H25" s="533" t="s">
        <v>916</v>
      </c>
      <c r="I25" s="535" t="s">
        <v>916</v>
      </c>
      <c r="J25" s="536" t="s">
        <v>916</v>
      </c>
      <c r="K25" s="536">
        <v>3</v>
      </c>
      <c r="L25" s="536">
        <v>1.5</v>
      </c>
      <c r="M25" s="532">
        <v>5.4909999999999997</v>
      </c>
      <c r="N25" s="532" t="s">
        <v>853</v>
      </c>
      <c r="O25" s="532" t="s">
        <v>945</v>
      </c>
      <c r="P25" s="791" t="s">
        <v>1250</v>
      </c>
    </row>
    <row r="26" spans="1:144" hidden="1" x14ac:dyDescent="0.35">
      <c r="A26" s="39">
        <v>21</v>
      </c>
      <c r="B26" s="39" t="s">
        <v>164</v>
      </c>
      <c r="C26" s="39" t="s">
        <v>165</v>
      </c>
      <c r="D26" s="39" t="s">
        <v>127</v>
      </c>
      <c r="E26" s="532">
        <v>3</v>
      </c>
      <c r="F26" s="532" t="s">
        <v>916</v>
      </c>
      <c r="G26" s="532">
        <v>3</v>
      </c>
      <c r="H26" s="533">
        <v>3</v>
      </c>
      <c r="I26" s="532" t="s">
        <v>916</v>
      </c>
      <c r="J26" s="533" t="s">
        <v>916</v>
      </c>
      <c r="K26" s="533" t="s">
        <v>916</v>
      </c>
      <c r="L26" s="533" t="s">
        <v>916</v>
      </c>
      <c r="M26" s="532">
        <v>95.665000000000006</v>
      </c>
      <c r="N26" s="532" t="s">
        <v>853</v>
      </c>
      <c r="O26" s="532" t="s">
        <v>945</v>
      </c>
      <c r="P26" s="453"/>
    </row>
    <row r="27" spans="1:144" x14ac:dyDescent="0.35">
      <c r="A27" s="39">
        <v>22</v>
      </c>
      <c r="B27" s="39" t="s">
        <v>166</v>
      </c>
      <c r="C27" s="39" t="s">
        <v>167</v>
      </c>
      <c r="D27" s="39" t="s">
        <v>947</v>
      </c>
      <c r="E27" s="532">
        <v>1</v>
      </c>
      <c r="F27" s="532" t="s">
        <v>916</v>
      </c>
      <c r="G27" s="532" t="s">
        <v>916</v>
      </c>
      <c r="H27" s="533" t="s">
        <v>916</v>
      </c>
      <c r="I27" s="535">
        <v>1.5</v>
      </c>
      <c r="J27" s="536" t="s">
        <v>916</v>
      </c>
      <c r="K27" s="536" t="s">
        <v>916</v>
      </c>
      <c r="L27" s="536">
        <v>1.5</v>
      </c>
      <c r="M27" s="532">
        <v>16.606000000000002</v>
      </c>
      <c r="N27" s="532" t="s">
        <v>917</v>
      </c>
      <c r="O27" s="532" t="s">
        <v>945</v>
      </c>
      <c r="P27" s="531"/>
    </row>
    <row r="28" spans="1:144" hidden="1" x14ac:dyDescent="0.35">
      <c r="A28" s="39">
        <v>23</v>
      </c>
      <c r="B28" s="39" t="s">
        <v>168</v>
      </c>
      <c r="C28" s="39" t="s">
        <v>142</v>
      </c>
      <c r="D28" s="39" t="s">
        <v>127</v>
      </c>
      <c r="E28" s="532" t="s">
        <v>916</v>
      </c>
      <c r="F28" s="532" t="s">
        <v>916</v>
      </c>
      <c r="G28" s="532">
        <v>1</v>
      </c>
      <c r="H28" s="532" t="s">
        <v>916</v>
      </c>
      <c r="I28" s="532" t="s">
        <v>916</v>
      </c>
      <c r="J28" s="533" t="s">
        <v>916</v>
      </c>
      <c r="K28" s="533" t="s">
        <v>916</v>
      </c>
      <c r="L28" s="533" t="s">
        <v>916</v>
      </c>
      <c r="M28" s="532">
        <v>28.18</v>
      </c>
      <c r="N28" s="532" t="s">
        <v>853</v>
      </c>
      <c r="O28" s="532" t="s">
        <v>945</v>
      </c>
      <c r="P28" s="531"/>
    </row>
    <row r="29" spans="1:144" x14ac:dyDescent="0.35">
      <c r="A29" s="39">
        <v>24</v>
      </c>
      <c r="B29" s="39" t="s">
        <v>169</v>
      </c>
      <c r="C29" s="39" t="s">
        <v>146</v>
      </c>
      <c r="D29" s="39" t="s">
        <v>949</v>
      </c>
      <c r="E29" s="532" t="s">
        <v>916</v>
      </c>
      <c r="F29" s="532" t="s">
        <v>916</v>
      </c>
      <c r="G29" s="532">
        <v>2</v>
      </c>
      <c r="H29" s="532" t="s">
        <v>916</v>
      </c>
      <c r="I29" s="532">
        <v>7.5</v>
      </c>
      <c r="J29" s="533">
        <v>9</v>
      </c>
      <c r="K29" s="533">
        <v>9</v>
      </c>
      <c r="L29" s="533">
        <v>9</v>
      </c>
      <c r="M29" s="532">
        <v>4.6289999999999996</v>
      </c>
      <c r="N29" s="532" t="s">
        <v>853</v>
      </c>
      <c r="O29" s="532" t="s">
        <v>945</v>
      </c>
      <c r="P29" s="531"/>
    </row>
    <row r="30" spans="1:144" s="447" customFormat="1" hidden="1" x14ac:dyDescent="0.35">
      <c r="A30" s="39">
        <v>25</v>
      </c>
      <c r="B30" s="39" t="s">
        <v>170</v>
      </c>
      <c r="C30" s="39" t="s">
        <v>137</v>
      </c>
      <c r="D30" s="39" t="s">
        <v>127</v>
      </c>
      <c r="E30" s="532" t="s">
        <v>916</v>
      </c>
      <c r="F30" s="532" t="s">
        <v>916</v>
      </c>
      <c r="G30" s="532" t="s">
        <v>916</v>
      </c>
      <c r="H30" s="532">
        <v>1.5</v>
      </c>
      <c r="I30" s="532" t="s">
        <v>916</v>
      </c>
      <c r="J30" s="533" t="s">
        <v>916</v>
      </c>
      <c r="K30" s="533" t="s">
        <v>916</v>
      </c>
      <c r="L30" s="533" t="s">
        <v>916</v>
      </c>
      <c r="M30" s="532">
        <v>20.512</v>
      </c>
      <c r="N30" s="532" t="s">
        <v>917</v>
      </c>
      <c r="O30" s="532" t="s">
        <v>945</v>
      </c>
      <c r="P30" s="453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  <c r="AM30" s="456"/>
      <c r="AN30" s="456"/>
      <c r="AO30" s="456"/>
      <c r="AP30" s="456"/>
      <c r="AQ30" s="456"/>
      <c r="AR30" s="456"/>
      <c r="AS30" s="456"/>
      <c r="AT30" s="456"/>
      <c r="AU30" s="456"/>
      <c r="AV30" s="456"/>
      <c r="AW30" s="456"/>
      <c r="AX30" s="456"/>
      <c r="AY30" s="456"/>
      <c r="AZ30" s="456"/>
      <c r="BA30" s="456"/>
      <c r="BB30" s="456"/>
      <c r="BC30" s="456"/>
      <c r="BD30" s="456"/>
      <c r="BE30" s="456"/>
      <c r="BF30" s="456"/>
      <c r="BG30" s="456"/>
      <c r="BH30" s="456"/>
      <c r="BI30" s="456"/>
      <c r="BJ30" s="456"/>
      <c r="BK30" s="456"/>
      <c r="BL30" s="456"/>
      <c r="BM30" s="456"/>
      <c r="BN30" s="456"/>
      <c r="BO30" s="456"/>
      <c r="BP30" s="456"/>
      <c r="BQ30" s="456"/>
      <c r="BR30" s="456"/>
      <c r="BS30" s="456"/>
      <c r="BT30" s="456"/>
      <c r="BU30" s="456"/>
      <c r="BV30" s="456"/>
      <c r="BW30" s="456"/>
      <c r="BX30" s="456"/>
      <c r="BY30" s="456"/>
      <c r="BZ30" s="456"/>
      <c r="CA30" s="456"/>
      <c r="CB30" s="456"/>
      <c r="CC30" s="456"/>
      <c r="CD30" s="456"/>
      <c r="CE30" s="456"/>
      <c r="CF30" s="456"/>
      <c r="CG30" s="456"/>
      <c r="CH30" s="456"/>
      <c r="CI30" s="456"/>
      <c r="CJ30" s="456"/>
      <c r="CK30" s="456"/>
      <c r="CL30" s="456"/>
      <c r="CM30" s="456"/>
      <c r="CN30" s="456"/>
      <c r="CO30" s="456"/>
      <c r="CP30" s="456"/>
      <c r="CQ30" s="456"/>
      <c r="CR30" s="456"/>
      <c r="CS30" s="456"/>
      <c r="CT30" s="456"/>
      <c r="CU30" s="456"/>
      <c r="CV30" s="456"/>
      <c r="CW30" s="456"/>
      <c r="CX30" s="456"/>
      <c r="CY30" s="456"/>
      <c r="CZ30" s="456"/>
      <c r="DA30" s="456"/>
      <c r="DB30" s="456"/>
      <c r="DC30" s="456"/>
      <c r="DD30" s="456"/>
      <c r="DE30" s="456"/>
      <c r="DF30" s="456"/>
      <c r="DG30" s="456"/>
      <c r="DH30" s="456"/>
      <c r="DI30" s="456"/>
      <c r="DJ30" s="456"/>
      <c r="DK30" s="456"/>
      <c r="DL30" s="456"/>
      <c r="DM30" s="456"/>
      <c r="DN30" s="456"/>
      <c r="DO30" s="456"/>
      <c r="DP30" s="456"/>
      <c r="DQ30" s="456"/>
      <c r="DR30" s="456"/>
      <c r="DS30" s="456"/>
      <c r="DT30" s="456"/>
      <c r="DU30" s="456"/>
      <c r="DV30" s="456"/>
      <c r="DW30" s="456"/>
      <c r="DX30" s="456"/>
      <c r="DY30" s="456"/>
      <c r="DZ30" s="456"/>
      <c r="EA30" s="456"/>
      <c r="EB30" s="456"/>
      <c r="EC30" s="456"/>
      <c r="ED30" s="456"/>
      <c r="EE30" s="456"/>
      <c r="EF30" s="456"/>
      <c r="EG30" s="456"/>
      <c r="EH30" s="456"/>
      <c r="EI30" s="456"/>
      <c r="EJ30" s="456"/>
      <c r="EK30" s="456"/>
      <c r="EL30" s="456"/>
      <c r="EM30" s="456"/>
      <c r="EN30" s="456"/>
    </row>
    <row r="31" spans="1:144" s="447" customFormat="1" hidden="1" x14ac:dyDescent="0.35">
      <c r="A31" s="39">
        <v>26</v>
      </c>
      <c r="B31" s="39" t="s">
        <v>171</v>
      </c>
      <c r="C31" s="39" t="s">
        <v>126</v>
      </c>
      <c r="D31" s="39" t="s">
        <v>127</v>
      </c>
      <c r="E31" s="532" t="s">
        <v>916</v>
      </c>
      <c r="F31" s="532" t="s">
        <v>916</v>
      </c>
      <c r="G31" s="532">
        <v>1</v>
      </c>
      <c r="H31" s="533">
        <v>1.5</v>
      </c>
      <c r="I31" s="532" t="s">
        <v>916</v>
      </c>
      <c r="J31" s="533" t="s">
        <v>916</v>
      </c>
      <c r="K31" s="533" t="s">
        <v>916</v>
      </c>
      <c r="L31" s="533" t="s">
        <v>916</v>
      </c>
      <c r="M31" s="532">
        <v>20.960999999999999</v>
      </c>
      <c r="N31" s="532" t="s">
        <v>917</v>
      </c>
      <c r="O31" s="532" t="s">
        <v>945</v>
      </c>
      <c r="P31" s="453"/>
      <c r="Q31" s="456"/>
      <c r="R31" s="456"/>
      <c r="S31" s="456"/>
      <c r="T31" s="456"/>
      <c r="U31" s="456"/>
      <c r="V31" s="456"/>
      <c r="W31" s="456"/>
      <c r="X31" s="456"/>
      <c r="Y31" s="456"/>
      <c r="Z31" s="456"/>
      <c r="AA31" s="456"/>
      <c r="AB31" s="456"/>
      <c r="AC31" s="456"/>
      <c r="AD31" s="456"/>
      <c r="AE31" s="456"/>
      <c r="AF31" s="456"/>
      <c r="AG31" s="456"/>
      <c r="AH31" s="456"/>
      <c r="AI31" s="456"/>
      <c r="AJ31" s="456"/>
      <c r="AK31" s="456"/>
      <c r="AL31" s="456"/>
      <c r="AM31" s="456"/>
      <c r="AN31" s="456"/>
      <c r="AO31" s="456"/>
      <c r="AP31" s="456"/>
      <c r="AQ31" s="456"/>
      <c r="AR31" s="456"/>
      <c r="AS31" s="456"/>
      <c r="AT31" s="456"/>
      <c r="AU31" s="456"/>
      <c r="AV31" s="456"/>
      <c r="AW31" s="456"/>
      <c r="AX31" s="456"/>
      <c r="AY31" s="456"/>
      <c r="AZ31" s="456"/>
      <c r="BA31" s="456"/>
      <c r="BB31" s="456"/>
      <c r="BC31" s="456"/>
      <c r="BD31" s="456"/>
      <c r="BE31" s="456"/>
      <c r="BF31" s="456"/>
      <c r="BG31" s="456"/>
      <c r="BH31" s="456"/>
      <c r="BI31" s="456"/>
      <c r="BJ31" s="456"/>
      <c r="BK31" s="456"/>
      <c r="BL31" s="456"/>
      <c r="BM31" s="456"/>
      <c r="BN31" s="456"/>
      <c r="BO31" s="456"/>
      <c r="BP31" s="456"/>
      <c r="BQ31" s="456"/>
      <c r="BR31" s="456"/>
      <c r="BS31" s="456"/>
      <c r="BT31" s="456"/>
      <c r="BU31" s="456"/>
      <c r="BV31" s="456"/>
      <c r="BW31" s="456"/>
      <c r="BX31" s="456"/>
      <c r="BY31" s="456"/>
      <c r="BZ31" s="456"/>
      <c r="CA31" s="456"/>
      <c r="CB31" s="456"/>
      <c r="CC31" s="456"/>
      <c r="CD31" s="456"/>
      <c r="CE31" s="456"/>
      <c r="CF31" s="456"/>
      <c r="CG31" s="456"/>
      <c r="CH31" s="456"/>
      <c r="CI31" s="456"/>
      <c r="CJ31" s="456"/>
      <c r="CK31" s="456"/>
      <c r="CL31" s="456"/>
      <c r="CM31" s="456"/>
      <c r="CN31" s="456"/>
      <c r="CO31" s="456"/>
      <c r="CP31" s="456"/>
      <c r="CQ31" s="456"/>
      <c r="CR31" s="456"/>
      <c r="CS31" s="456"/>
      <c r="CT31" s="456"/>
      <c r="CU31" s="456"/>
      <c r="CV31" s="456"/>
      <c r="CW31" s="456"/>
      <c r="CX31" s="456"/>
      <c r="CY31" s="456"/>
      <c r="CZ31" s="456"/>
      <c r="DA31" s="456"/>
      <c r="DB31" s="456"/>
      <c r="DC31" s="456"/>
      <c r="DD31" s="456"/>
      <c r="DE31" s="456"/>
      <c r="DF31" s="456"/>
      <c r="DG31" s="456"/>
      <c r="DH31" s="456"/>
      <c r="DI31" s="456"/>
      <c r="DJ31" s="456"/>
      <c r="DK31" s="456"/>
      <c r="DL31" s="456"/>
      <c r="DM31" s="456"/>
      <c r="DN31" s="456"/>
      <c r="DO31" s="456"/>
      <c r="DP31" s="456"/>
      <c r="DQ31" s="456"/>
      <c r="DR31" s="456"/>
      <c r="DS31" s="456"/>
      <c r="DT31" s="456"/>
      <c r="DU31" s="456"/>
      <c r="DV31" s="456"/>
      <c r="DW31" s="456"/>
      <c r="DX31" s="456"/>
      <c r="DY31" s="456"/>
      <c r="DZ31" s="456"/>
      <c r="EA31" s="456"/>
      <c r="EB31" s="456"/>
      <c r="EC31" s="456"/>
      <c r="ED31" s="456"/>
      <c r="EE31" s="456"/>
      <c r="EF31" s="456"/>
      <c r="EG31" s="456"/>
      <c r="EH31" s="456"/>
      <c r="EI31" s="456"/>
      <c r="EJ31" s="456"/>
      <c r="EK31" s="456"/>
      <c r="EL31" s="456"/>
      <c r="EM31" s="456"/>
      <c r="EN31" s="456"/>
    </row>
    <row r="32" spans="1:144" s="447" customFormat="1" hidden="1" x14ac:dyDescent="0.35">
      <c r="A32" s="39">
        <v>27</v>
      </c>
      <c r="B32" s="39" t="s">
        <v>172</v>
      </c>
      <c r="C32" s="39" t="s">
        <v>142</v>
      </c>
      <c r="D32" s="39" t="s">
        <v>127</v>
      </c>
      <c r="E32" s="532" t="s">
        <v>916</v>
      </c>
      <c r="F32" s="532" t="s">
        <v>916</v>
      </c>
      <c r="G32" s="532">
        <v>2</v>
      </c>
      <c r="H32" s="533">
        <v>2.5</v>
      </c>
      <c r="I32" s="532" t="s">
        <v>916</v>
      </c>
      <c r="J32" s="533" t="s">
        <v>916</v>
      </c>
      <c r="K32" s="533" t="s">
        <v>916</v>
      </c>
      <c r="L32" s="533" t="s">
        <v>916</v>
      </c>
      <c r="M32" s="532">
        <v>7.2590000000000003</v>
      </c>
      <c r="N32" s="532" t="s">
        <v>917</v>
      </c>
      <c r="O32" s="532" t="s">
        <v>945</v>
      </c>
      <c r="P32" s="453"/>
      <c r="Q32" s="456"/>
      <c r="R32" s="456"/>
      <c r="S32" s="456"/>
      <c r="T32" s="456"/>
      <c r="U32" s="456"/>
      <c r="V32" s="456"/>
      <c r="W32" s="456"/>
      <c r="X32" s="456"/>
      <c r="Y32" s="456"/>
      <c r="Z32" s="456"/>
      <c r="AA32" s="456"/>
      <c r="AB32" s="456"/>
      <c r="AC32" s="456"/>
      <c r="AD32" s="456"/>
      <c r="AE32" s="456"/>
      <c r="AF32" s="456"/>
      <c r="AG32" s="456"/>
      <c r="AH32" s="456"/>
      <c r="AI32" s="456"/>
      <c r="AJ32" s="456"/>
      <c r="AK32" s="456"/>
      <c r="AL32" s="456"/>
      <c r="AM32" s="456"/>
      <c r="AN32" s="456"/>
      <c r="AO32" s="456"/>
      <c r="AP32" s="456"/>
      <c r="AQ32" s="456"/>
      <c r="AR32" s="456"/>
      <c r="AS32" s="456"/>
      <c r="AT32" s="456"/>
      <c r="AU32" s="456"/>
      <c r="AV32" s="456"/>
      <c r="AW32" s="456"/>
      <c r="AX32" s="456"/>
      <c r="AY32" s="456"/>
      <c r="AZ32" s="456"/>
      <c r="BA32" s="456"/>
      <c r="BB32" s="456"/>
      <c r="BC32" s="456"/>
      <c r="BD32" s="456"/>
      <c r="BE32" s="456"/>
      <c r="BF32" s="456"/>
      <c r="BG32" s="456"/>
      <c r="BH32" s="456"/>
      <c r="BI32" s="456"/>
      <c r="BJ32" s="456"/>
      <c r="BK32" s="456"/>
      <c r="BL32" s="456"/>
      <c r="BM32" s="456"/>
      <c r="BN32" s="456"/>
      <c r="BO32" s="456"/>
      <c r="BP32" s="456"/>
      <c r="BQ32" s="456"/>
      <c r="BR32" s="456"/>
      <c r="BS32" s="456"/>
      <c r="BT32" s="456"/>
      <c r="BU32" s="456"/>
      <c r="BV32" s="456"/>
      <c r="BW32" s="456"/>
      <c r="BX32" s="456"/>
      <c r="BY32" s="456"/>
      <c r="BZ32" s="456"/>
      <c r="CA32" s="456"/>
      <c r="CB32" s="456"/>
      <c r="CC32" s="456"/>
      <c r="CD32" s="456"/>
      <c r="CE32" s="456"/>
      <c r="CF32" s="456"/>
      <c r="CG32" s="456"/>
      <c r="CH32" s="456"/>
      <c r="CI32" s="456"/>
      <c r="CJ32" s="456"/>
      <c r="CK32" s="456"/>
      <c r="CL32" s="456"/>
      <c r="CM32" s="456"/>
      <c r="CN32" s="456"/>
      <c r="CO32" s="456"/>
      <c r="CP32" s="456"/>
      <c r="CQ32" s="456"/>
      <c r="CR32" s="456"/>
      <c r="CS32" s="456"/>
      <c r="CT32" s="456"/>
      <c r="CU32" s="456"/>
      <c r="CV32" s="456"/>
      <c r="CW32" s="456"/>
      <c r="CX32" s="456"/>
      <c r="CY32" s="456"/>
      <c r="CZ32" s="456"/>
      <c r="DA32" s="456"/>
      <c r="DB32" s="456"/>
      <c r="DC32" s="456"/>
      <c r="DD32" s="456"/>
      <c r="DE32" s="456"/>
      <c r="DF32" s="456"/>
      <c r="DG32" s="456"/>
      <c r="DH32" s="456"/>
      <c r="DI32" s="456"/>
      <c r="DJ32" s="456"/>
      <c r="DK32" s="456"/>
      <c r="DL32" s="456"/>
      <c r="DM32" s="456"/>
      <c r="DN32" s="456"/>
      <c r="DO32" s="456"/>
      <c r="DP32" s="456"/>
      <c r="DQ32" s="456"/>
      <c r="DR32" s="456"/>
      <c r="DS32" s="456"/>
      <c r="DT32" s="456"/>
      <c r="DU32" s="456"/>
      <c r="DV32" s="456"/>
      <c r="DW32" s="456"/>
      <c r="DX32" s="456"/>
      <c r="DY32" s="456"/>
      <c r="DZ32" s="456"/>
      <c r="EA32" s="456"/>
      <c r="EB32" s="456"/>
      <c r="EC32" s="456"/>
      <c r="ED32" s="456"/>
      <c r="EE32" s="456"/>
      <c r="EF32" s="456"/>
      <c r="EG32" s="456"/>
      <c r="EH32" s="456"/>
      <c r="EI32" s="456"/>
      <c r="EJ32" s="456"/>
      <c r="EK32" s="456"/>
      <c r="EL32" s="456"/>
      <c r="EM32" s="456"/>
      <c r="EN32" s="456"/>
    </row>
    <row r="33" spans="1:144" s="447" customFormat="1" ht="29" x14ac:dyDescent="0.35">
      <c r="A33" s="39">
        <v>28</v>
      </c>
      <c r="B33" s="790" t="s">
        <v>173</v>
      </c>
      <c r="C33" s="790" t="s">
        <v>174</v>
      </c>
      <c r="D33" s="791" t="s">
        <v>1095</v>
      </c>
      <c r="E33" s="790">
        <v>3</v>
      </c>
      <c r="F33" s="790">
        <v>3</v>
      </c>
      <c r="G33" s="790">
        <v>3</v>
      </c>
      <c r="H33" s="790">
        <v>3</v>
      </c>
      <c r="I33" s="790" t="s">
        <v>916</v>
      </c>
      <c r="J33" s="791" t="s">
        <v>916</v>
      </c>
      <c r="K33" s="791" t="s">
        <v>916</v>
      </c>
      <c r="L33" s="791" t="s">
        <v>916</v>
      </c>
      <c r="M33" s="790" t="s">
        <v>916</v>
      </c>
      <c r="N33" s="790" t="s">
        <v>853</v>
      </c>
      <c r="O33" s="532" t="s">
        <v>945</v>
      </c>
      <c r="P33" s="791" t="s">
        <v>1250</v>
      </c>
      <c r="Q33" s="456"/>
      <c r="R33" s="456"/>
      <c r="S33" s="456"/>
      <c r="T33" s="456"/>
      <c r="U33" s="456"/>
      <c r="V33" s="456"/>
      <c r="W33" s="456"/>
      <c r="X33" s="456"/>
      <c r="Y33" s="456"/>
      <c r="Z33" s="456"/>
      <c r="AA33" s="456"/>
      <c r="AB33" s="456"/>
      <c r="AC33" s="456"/>
      <c r="AD33" s="456"/>
      <c r="AE33" s="456"/>
      <c r="AF33" s="456"/>
      <c r="AG33" s="456"/>
      <c r="AH33" s="456"/>
      <c r="AI33" s="456"/>
      <c r="AJ33" s="456"/>
      <c r="AK33" s="456"/>
      <c r="AL33" s="456"/>
      <c r="AM33" s="456"/>
      <c r="AN33" s="456"/>
      <c r="AO33" s="456"/>
      <c r="AP33" s="456"/>
      <c r="AQ33" s="456"/>
      <c r="AR33" s="456"/>
      <c r="AS33" s="456"/>
      <c r="AT33" s="456"/>
      <c r="AU33" s="456"/>
      <c r="AV33" s="456"/>
      <c r="AW33" s="456"/>
      <c r="AX33" s="456"/>
      <c r="AY33" s="456"/>
      <c r="AZ33" s="456"/>
      <c r="BA33" s="456"/>
      <c r="BB33" s="456"/>
      <c r="BC33" s="456"/>
      <c r="BD33" s="456"/>
      <c r="BE33" s="456"/>
      <c r="BF33" s="456"/>
      <c r="BG33" s="456"/>
      <c r="BH33" s="456"/>
      <c r="BI33" s="456"/>
      <c r="BJ33" s="456"/>
      <c r="BK33" s="456"/>
      <c r="BL33" s="456"/>
      <c r="BM33" s="456"/>
      <c r="BN33" s="456"/>
      <c r="BO33" s="456"/>
      <c r="BP33" s="456"/>
      <c r="BQ33" s="456"/>
      <c r="BR33" s="456"/>
      <c r="BS33" s="456"/>
      <c r="BT33" s="456"/>
      <c r="BU33" s="456"/>
      <c r="BV33" s="456"/>
      <c r="BW33" s="456"/>
      <c r="BX33" s="456"/>
      <c r="BY33" s="456"/>
      <c r="BZ33" s="456"/>
      <c r="CA33" s="456"/>
      <c r="CB33" s="456"/>
      <c r="CC33" s="456"/>
      <c r="CD33" s="456"/>
      <c r="CE33" s="456"/>
      <c r="CF33" s="456"/>
      <c r="CG33" s="456"/>
      <c r="CH33" s="456"/>
      <c r="CI33" s="456"/>
      <c r="CJ33" s="456"/>
      <c r="CK33" s="456"/>
      <c r="CL33" s="456"/>
      <c r="CM33" s="456"/>
      <c r="CN33" s="456"/>
      <c r="CO33" s="456"/>
      <c r="CP33" s="456"/>
      <c r="CQ33" s="456"/>
      <c r="CR33" s="456"/>
      <c r="CS33" s="456"/>
      <c r="CT33" s="456"/>
      <c r="CU33" s="456"/>
      <c r="CV33" s="456"/>
      <c r="CW33" s="456"/>
      <c r="CX33" s="456"/>
      <c r="CY33" s="456"/>
      <c r="CZ33" s="456"/>
      <c r="DA33" s="456"/>
      <c r="DB33" s="456"/>
      <c r="DC33" s="456"/>
      <c r="DD33" s="456"/>
      <c r="DE33" s="456"/>
      <c r="DF33" s="456"/>
      <c r="DG33" s="456"/>
      <c r="DH33" s="456"/>
      <c r="DI33" s="456"/>
      <c r="DJ33" s="456"/>
      <c r="DK33" s="456"/>
      <c r="DL33" s="456"/>
      <c r="DM33" s="456"/>
      <c r="DN33" s="456"/>
      <c r="DO33" s="456"/>
      <c r="DP33" s="456"/>
      <c r="DQ33" s="456"/>
      <c r="DR33" s="456"/>
      <c r="DS33" s="456"/>
      <c r="DT33" s="456"/>
      <c r="DU33" s="456"/>
      <c r="DV33" s="456"/>
      <c r="DW33" s="456"/>
      <c r="DX33" s="456"/>
      <c r="DY33" s="456"/>
      <c r="DZ33" s="456"/>
      <c r="EA33" s="456"/>
      <c r="EB33" s="456"/>
      <c r="EC33" s="456"/>
      <c r="ED33" s="456"/>
      <c r="EE33" s="456"/>
      <c r="EF33" s="456"/>
      <c r="EG33" s="456"/>
      <c r="EH33" s="456"/>
      <c r="EI33" s="456"/>
      <c r="EJ33" s="456"/>
      <c r="EK33" s="456"/>
      <c r="EL33" s="456"/>
      <c r="EM33" s="456"/>
      <c r="EN33" s="456"/>
    </row>
    <row r="34" spans="1:144" s="447" customFormat="1" ht="29" hidden="1" x14ac:dyDescent="0.35">
      <c r="A34" s="39">
        <v>29</v>
      </c>
      <c r="B34" s="39" t="s">
        <v>175</v>
      </c>
      <c r="C34" s="39" t="s">
        <v>349</v>
      </c>
      <c r="D34" s="39" t="s">
        <v>127</v>
      </c>
      <c r="E34" s="532" t="s">
        <v>916</v>
      </c>
      <c r="F34" s="532" t="s">
        <v>916</v>
      </c>
      <c r="G34" s="532">
        <v>1</v>
      </c>
      <c r="H34" s="533">
        <v>1</v>
      </c>
      <c r="I34" s="532" t="s">
        <v>916</v>
      </c>
      <c r="J34" s="533" t="s">
        <v>916</v>
      </c>
      <c r="K34" s="533" t="s">
        <v>916</v>
      </c>
      <c r="L34" s="533" t="s">
        <v>916</v>
      </c>
      <c r="M34" s="532">
        <v>6.1989999999999998</v>
      </c>
      <c r="N34" s="532" t="s">
        <v>917</v>
      </c>
      <c r="O34" s="798" t="s">
        <v>945</v>
      </c>
      <c r="P34" s="791" t="s">
        <v>1250</v>
      </c>
      <c r="Q34" s="456"/>
      <c r="R34" s="456"/>
      <c r="S34" s="456"/>
      <c r="T34" s="456"/>
      <c r="U34" s="456"/>
      <c r="V34" s="456"/>
      <c r="W34" s="456"/>
      <c r="X34" s="456"/>
      <c r="Y34" s="456"/>
      <c r="Z34" s="456"/>
      <c r="AA34" s="456"/>
      <c r="AB34" s="456"/>
      <c r="AC34" s="456"/>
      <c r="AD34" s="456"/>
      <c r="AE34" s="456"/>
      <c r="AF34" s="456"/>
      <c r="AG34" s="456"/>
      <c r="AH34" s="456"/>
      <c r="AI34" s="456"/>
      <c r="AJ34" s="456"/>
      <c r="AK34" s="456"/>
      <c r="AL34" s="456"/>
      <c r="AM34" s="456"/>
      <c r="AN34" s="456"/>
      <c r="AO34" s="456"/>
      <c r="AP34" s="456"/>
      <c r="AQ34" s="456"/>
      <c r="AR34" s="456"/>
      <c r="AS34" s="456"/>
      <c r="AT34" s="456"/>
      <c r="AU34" s="456"/>
      <c r="AV34" s="456"/>
      <c r="AW34" s="456"/>
      <c r="AX34" s="456"/>
      <c r="AY34" s="456"/>
      <c r="AZ34" s="456"/>
      <c r="BA34" s="456"/>
      <c r="BB34" s="456"/>
      <c r="BC34" s="456"/>
      <c r="BD34" s="456"/>
      <c r="BE34" s="456"/>
      <c r="BF34" s="456"/>
      <c r="BG34" s="456"/>
      <c r="BH34" s="456"/>
      <c r="BI34" s="456"/>
      <c r="BJ34" s="456"/>
      <c r="BK34" s="456"/>
      <c r="BL34" s="456"/>
      <c r="BM34" s="456"/>
      <c r="BN34" s="456"/>
      <c r="BO34" s="456"/>
      <c r="BP34" s="456"/>
      <c r="BQ34" s="456"/>
      <c r="BR34" s="456"/>
      <c r="BS34" s="456"/>
      <c r="BT34" s="456"/>
      <c r="BU34" s="456"/>
      <c r="BV34" s="456"/>
      <c r="BW34" s="456"/>
      <c r="BX34" s="456"/>
      <c r="BY34" s="456"/>
      <c r="BZ34" s="456"/>
      <c r="CA34" s="456"/>
      <c r="CB34" s="456"/>
      <c r="CC34" s="456"/>
      <c r="CD34" s="456"/>
      <c r="CE34" s="456"/>
      <c r="CF34" s="456"/>
      <c r="CG34" s="456"/>
      <c r="CH34" s="456"/>
      <c r="CI34" s="456"/>
      <c r="CJ34" s="456"/>
      <c r="CK34" s="456"/>
      <c r="CL34" s="456"/>
      <c r="CM34" s="456"/>
      <c r="CN34" s="456"/>
      <c r="CO34" s="456"/>
      <c r="CP34" s="456"/>
      <c r="CQ34" s="456"/>
      <c r="CR34" s="456"/>
      <c r="CS34" s="456"/>
      <c r="CT34" s="456"/>
      <c r="CU34" s="456"/>
      <c r="CV34" s="456"/>
      <c r="CW34" s="456"/>
      <c r="CX34" s="456"/>
      <c r="CY34" s="456"/>
      <c r="CZ34" s="456"/>
      <c r="DA34" s="456"/>
      <c r="DB34" s="456"/>
      <c r="DC34" s="456"/>
      <c r="DD34" s="456"/>
      <c r="DE34" s="456"/>
      <c r="DF34" s="456"/>
      <c r="DG34" s="456"/>
      <c r="DH34" s="456"/>
      <c r="DI34" s="456"/>
      <c r="DJ34" s="456"/>
      <c r="DK34" s="456"/>
      <c r="DL34" s="456"/>
      <c r="DM34" s="456"/>
      <c r="DN34" s="456"/>
      <c r="DO34" s="456"/>
      <c r="DP34" s="456"/>
      <c r="DQ34" s="456"/>
      <c r="DR34" s="456"/>
      <c r="DS34" s="456"/>
      <c r="DT34" s="456"/>
      <c r="DU34" s="456"/>
      <c r="DV34" s="456"/>
      <c r="DW34" s="456"/>
      <c r="DX34" s="456"/>
      <c r="DY34" s="456"/>
      <c r="DZ34" s="456"/>
      <c r="EA34" s="456"/>
      <c r="EB34" s="456"/>
      <c r="EC34" s="456"/>
      <c r="ED34" s="456"/>
      <c r="EE34" s="456"/>
      <c r="EF34" s="456"/>
      <c r="EG34" s="456"/>
      <c r="EH34" s="456"/>
      <c r="EI34" s="456"/>
      <c r="EJ34" s="456"/>
      <c r="EK34" s="456"/>
      <c r="EL34" s="456"/>
      <c r="EM34" s="456"/>
      <c r="EN34" s="456"/>
    </row>
    <row r="35" spans="1:144" s="447" customFormat="1" ht="29" hidden="1" x14ac:dyDescent="0.35">
      <c r="A35" s="39">
        <v>30</v>
      </c>
      <c r="B35" s="39" t="s">
        <v>762</v>
      </c>
      <c r="C35" s="39" t="s">
        <v>137</v>
      </c>
      <c r="D35" s="39" t="s">
        <v>127</v>
      </c>
      <c r="E35" s="532">
        <v>1</v>
      </c>
      <c r="F35" s="532">
        <v>1.5</v>
      </c>
      <c r="G35" s="532" t="s">
        <v>916</v>
      </c>
      <c r="H35" s="533" t="s">
        <v>916</v>
      </c>
      <c r="I35" s="532" t="s">
        <v>916</v>
      </c>
      <c r="J35" s="533" t="s">
        <v>916</v>
      </c>
      <c r="K35" s="533" t="s">
        <v>916</v>
      </c>
      <c r="L35" s="533" t="s">
        <v>916</v>
      </c>
      <c r="M35" s="532">
        <v>4.7789999999999999</v>
      </c>
      <c r="N35" s="532" t="s">
        <v>917</v>
      </c>
      <c r="O35" s="798" t="s">
        <v>945</v>
      </c>
      <c r="P35" s="791" t="s">
        <v>1250</v>
      </c>
      <c r="Q35" s="456"/>
      <c r="R35" s="456"/>
      <c r="S35" s="456"/>
      <c r="T35" s="456"/>
      <c r="U35" s="456"/>
      <c r="V35" s="456"/>
      <c r="W35" s="456"/>
      <c r="X35" s="456"/>
      <c r="Y35" s="456"/>
      <c r="Z35" s="456"/>
      <c r="AA35" s="456"/>
      <c r="AB35" s="456"/>
      <c r="AC35" s="456"/>
      <c r="AD35" s="456"/>
      <c r="AE35" s="456"/>
      <c r="AF35" s="456"/>
      <c r="AG35" s="456"/>
      <c r="AH35" s="456"/>
      <c r="AI35" s="456"/>
      <c r="AJ35" s="456"/>
      <c r="AK35" s="456"/>
      <c r="AL35" s="456"/>
      <c r="AM35" s="456"/>
      <c r="AN35" s="456"/>
      <c r="AO35" s="456"/>
      <c r="AP35" s="456"/>
      <c r="AQ35" s="456"/>
      <c r="AR35" s="456"/>
      <c r="AS35" s="456"/>
      <c r="AT35" s="456"/>
      <c r="AU35" s="456"/>
      <c r="AV35" s="456"/>
      <c r="AW35" s="456"/>
      <c r="AX35" s="456"/>
      <c r="AY35" s="456"/>
      <c r="AZ35" s="456"/>
      <c r="BA35" s="456"/>
      <c r="BB35" s="456"/>
      <c r="BC35" s="456"/>
      <c r="BD35" s="456"/>
      <c r="BE35" s="456"/>
      <c r="BF35" s="456"/>
      <c r="BG35" s="456"/>
      <c r="BH35" s="456"/>
      <c r="BI35" s="456"/>
      <c r="BJ35" s="456"/>
      <c r="BK35" s="456"/>
      <c r="BL35" s="456"/>
      <c r="BM35" s="456"/>
      <c r="BN35" s="456"/>
      <c r="BO35" s="456"/>
      <c r="BP35" s="456"/>
      <c r="BQ35" s="456"/>
      <c r="BR35" s="456"/>
      <c r="BS35" s="456"/>
      <c r="BT35" s="456"/>
      <c r="BU35" s="456"/>
      <c r="BV35" s="456"/>
      <c r="BW35" s="456"/>
      <c r="BX35" s="456"/>
      <c r="BY35" s="456"/>
      <c r="BZ35" s="456"/>
      <c r="CA35" s="456"/>
      <c r="CB35" s="456"/>
      <c r="CC35" s="456"/>
      <c r="CD35" s="456"/>
      <c r="CE35" s="456"/>
      <c r="CF35" s="456"/>
      <c r="CG35" s="456"/>
      <c r="CH35" s="456"/>
      <c r="CI35" s="456"/>
      <c r="CJ35" s="456"/>
      <c r="CK35" s="456"/>
      <c r="CL35" s="456"/>
      <c r="CM35" s="456"/>
      <c r="CN35" s="456"/>
      <c r="CO35" s="456"/>
      <c r="CP35" s="456"/>
      <c r="CQ35" s="456"/>
      <c r="CR35" s="456"/>
      <c r="CS35" s="456"/>
      <c r="CT35" s="456"/>
      <c r="CU35" s="456"/>
      <c r="CV35" s="456"/>
      <c r="CW35" s="456"/>
      <c r="CX35" s="456"/>
      <c r="CY35" s="456"/>
      <c r="CZ35" s="456"/>
      <c r="DA35" s="456"/>
      <c r="DB35" s="456"/>
      <c r="DC35" s="456"/>
      <c r="DD35" s="456"/>
      <c r="DE35" s="456"/>
      <c r="DF35" s="456"/>
      <c r="DG35" s="456"/>
      <c r="DH35" s="456"/>
      <c r="DI35" s="456"/>
      <c r="DJ35" s="456"/>
      <c r="DK35" s="456"/>
      <c r="DL35" s="456"/>
      <c r="DM35" s="456"/>
      <c r="DN35" s="456"/>
      <c r="DO35" s="456"/>
      <c r="DP35" s="456"/>
      <c r="DQ35" s="456"/>
      <c r="DR35" s="456"/>
      <c r="DS35" s="456"/>
      <c r="DT35" s="456"/>
      <c r="DU35" s="456"/>
      <c r="DV35" s="456"/>
      <c r="DW35" s="456"/>
      <c r="DX35" s="456"/>
      <c r="DY35" s="456"/>
      <c r="DZ35" s="456"/>
      <c r="EA35" s="456"/>
      <c r="EB35" s="456"/>
      <c r="EC35" s="456"/>
      <c r="ED35" s="456"/>
      <c r="EE35" s="456"/>
      <c r="EF35" s="456"/>
      <c r="EG35" s="456"/>
      <c r="EH35" s="456"/>
      <c r="EI35" s="456"/>
      <c r="EJ35" s="456"/>
      <c r="EK35" s="456"/>
      <c r="EL35" s="456"/>
      <c r="EM35" s="456"/>
      <c r="EN35" s="456"/>
    </row>
    <row r="36" spans="1:144" s="447" customFormat="1" ht="29" hidden="1" x14ac:dyDescent="0.35">
      <c r="A36" s="39">
        <v>31</v>
      </c>
      <c r="B36" s="39" t="s">
        <v>177</v>
      </c>
      <c r="C36" s="39" t="s">
        <v>178</v>
      </c>
      <c r="D36" s="39" t="s">
        <v>127</v>
      </c>
      <c r="E36" s="532" t="s">
        <v>916</v>
      </c>
      <c r="F36" s="532" t="s">
        <v>916</v>
      </c>
      <c r="G36" s="532">
        <v>1</v>
      </c>
      <c r="H36" s="533">
        <v>1</v>
      </c>
      <c r="I36" s="532" t="s">
        <v>916</v>
      </c>
      <c r="J36" s="533" t="s">
        <v>916</v>
      </c>
      <c r="K36" s="533" t="s">
        <v>916</v>
      </c>
      <c r="L36" s="533" t="s">
        <v>916</v>
      </c>
      <c r="M36" s="532">
        <v>19.489000000000001</v>
      </c>
      <c r="N36" s="532" t="s">
        <v>917</v>
      </c>
      <c r="O36" s="798" t="s">
        <v>945</v>
      </c>
      <c r="P36" s="791" t="s">
        <v>1250</v>
      </c>
      <c r="Q36" s="456"/>
      <c r="R36" s="456"/>
      <c r="S36" s="456"/>
      <c r="T36" s="456"/>
      <c r="U36" s="456"/>
      <c r="V36" s="456"/>
      <c r="W36" s="456"/>
      <c r="X36" s="456"/>
      <c r="Y36" s="456"/>
      <c r="Z36" s="456"/>
      <c r="AA36" s="456"/>
      <c r="AB36" s="456"/>
      <c r="AC36" s="456"/>
      <c r="AD36" s="456"/>
      <c r="AE36" s="456"/>
      <c r="AF36" s="456"/>
      <c r="AG36" s="456"/>
      <c r="AH36" s="456"/>
      <c r="AI36" s="456"/>
      <c r="AJ36" s="456"/>
      <c r="AK36" s="456"/>
      <c r="AL36" s="456"/>
      <c r="AM36" s="456"/>
      <c r="AN36" s="456"/>
      <c r="AO36" s="456"/>
      <c r="AP36" s="456"/>
      <c r="AQ36" s="456"/>
      <c r="AR36" s="456"/>
      <c r="AS36" s="456"/>
      <c r="AT36" s="456"/>
      <c r="AU36" s="456"/>
      <c r="AV36" s="456"/>
      <c r="AW36" s="456"/>
      <c r="AX36" s="456"/>
      <c r="AY36" s="456"/>
      <c r="AZ36" s="456"/>
      <c r="BA36" s="456"/>
      <c r="BB36" s="456"/>
      <c r="BC36" s="456"/>
      <c r="BD36" s="456"/>
      <c r="BE36" s="456"/>
      <c r="BF36" s="456"/>
      <c r="BG36" s="456"/>
      <c r="BH36" s="456"/>
      <c r="BI36" s="456"/>
      <c r="BJ36" s="456"/>
      <c r="BK36" s="456"/>
      <c r="BL36" s="456"/>
      <c r="BM36" s="456"/>
      <c r="BN36" s="456"/>
      <c r="BO36" s="456"/>
      <c r="BP36" s="456"/>
      <c r="BQ36" s="456"/>
      <c r="BR36" s="456"/>
      <c r="BS36" s="456"/>
      <c r="BT36" s="456"/>
      <c r="BU36" s="456"/>
      <c r="BV36" s="456"/>
      <c r="BW36" s="456"/>
      <c r="BX36" s="456"/>
      <c r="BY36" s="456"/>
      <c r="BZ36" s="456"/>
      <c r="CA36" s="456"/>
      <c r="CB36" s="456"/>
      <c r="CC36" s="456"/>
      <c r="CD36" s="456"/>
      <c r="CE36" s="456"/>
      <c r="CF36" s="456"/>
      <c r="CG36" s="456"/>
      <c r="CH36" s="456"/>
      <c r="CI36" s="456"/>
      <c r="CJ36" s="456"/>
      <c r="CK36" s="456"/>
      <c r="CL36" s="456"/>
      <c r="CM36" s="456"/>
      <c r="CN36" s="456"/>
      <c r="CO36" s="456"/>
      <c r="CP36" s="456"/>
      <c r="CQ36" s="456"/>
      <c r="CR36" s="456"/>
      <c r="CS36" s="456"/>
      <c r="CT36" s="456"/>
      <c r="CU36" s="456"/>
      <c r="CV36" s="456"/>
      <c r="CW36" s="456"/>
      <c r="CX36" s="456"/>
      <c r="CY36" s="456"/>
      <c r="CZ36" s="456"/>
      <c r="DA36" s="456"/>
      <c r="DB36" s="456"/>
      <c r="DC36" s="456"/>
      <c r="DD36" s="456"/>
      <c r="DE36" s="456"/>
      <c r="DF36" s="456"/>
      <c r="DG36" s="456"/>
      <c r="DH36" s="456"/>
      <c r="DI36" s="456"/>
      <c r="DJ36" s="456"/>
      <c r="DK36" s="456"/>
      <c r="DL36" s="456"/>
      <c r="DM36" s="456"/>
      <c r="DN36" s="456"/>
      <c r="DO36" s="456"/>
      <c r="DP36" s="456"/>
      <c r="DQ36" s="456"/>
      <c r="DR36" s="456"/>
      <c r="DS36" s="456"/>
      <c r="DT36" s="456"/>
      <c r="DU36" s="456"/>
      <c r="DV36" s="456"/>
      <c r="DW36" s="456"/>
      <c r="DX36" s="456"/>
      <c r="DY36" s="456"/>
      <c r="DZ36" s="456"/>
      <c r="EA36" s="456"/>
      <c r="EB36" s="456"/>
      <c r="EC36" s="456"/>
      <c r="ED36" s="456"/>
      <c r="EE36" s="456"/>
      <c r="EF36" s="456"/>
      <c r="EG36" s="456"/>
      <c r="EH36" s="456"/>
      <c r="EI36" s="456"/>
      <c r="EJ36" s="456"/>
      <c r="EK36" s="456"/>
      <c r="EL36" s="456"/>
      <c r="EM36" s="456"/>
      <c r="EN36" s="456"/>
    </row>
    <row r="37" spans="1:144" s="447" customFormat="1" ht="15" hidden="1" customHeight="1" x14ac:dyDescent="0.35">
      <c r="A37" s="39">
        <v>32</v>
      </c>
      <c r="B37" s="39" t="s">
        <v>179</v>
      </c>
      <c r="C37" s="39" t="s">
        <v>142</v>
      </c>
      <c r="D37" s="39" t="s">
        <v>127</v>
      </c>
      <c r="E37" s="39" t="s">
        <v>916</v>
      </c>
      <c r="F37" s="39">
        <v>1</v>
      </c>
      <c r="G37" s="39">
        <v>1</v>
      </c>
      <c r="H37" s="461">
        <v>1</v>
      </c>
      <c r="I37" s="39" t="s">
        <v>916</v>
      </c>
      <c r="J37" s="461" t="s">
        <v>916</v>
      </c>
      <c r="K37" s="461" t="s">
        <v>916</v>
      </c>
      <c r="L37" s="461" t="s">
        <v>916</v>
      </c>
      <c r="M37" s="39">
        <v>6.4080000000000004</v>
      </c>
      <c r="N37" s="39" t="s">
        <v>917</v>
      </c>
      <c r="O37" s="798" t="s">
        <v>945</v>
      </c>
      <c r="P37" s="791" t="s">
        <v>1250</v>
      </c>
      <c r="Q37" s="456"/>
      <c r="R37" s="456"/>
      <c r="S37" s="456"/>
      <c r="T37" s="456"/>
      <c r="U37" s="456"/>
      <c r="V37" s="456"/>
      <c r="W37" s="456"/>
      <c r="X37" s="456"/>
      <c r="Y37" s="456"/>
      <c r="Z37" s="456"/>
      <c r="AA37" s="456"/>
      <c r="AB37" s="456"/>
      <c r="AC37" s="456"/>
      <c r="AD37" s="456"/>
      <c r="AE37" s="456"/>
      <c r="AF37" s="456"/>
      <c r="AG37" s="456"/>
      <c r="AH37" s="456"/>
      <c r="AI37" s="456"/>
      <c r="AJ37" s="456"/>
      <c r="AK37" s="456"/>
      <c r="AL37" s="456"/>
      <c r="AM37" s="456"/>
      <c r="AN37" s="456"/>
      <c r="AO37" s="456"/>
      <c r="AP37" s="456"/>
      <c r="AQ37" s="456"/>
      <c r="AR37" s="456"/>
      <c r="AS37" s="456"/>
      <c r="AT37" s="456"/>
      <c r="AU37" s="456"/>
      <c r="AV37" s="456"/>
      <c r="AW37" s="456"/>
      <c r="AX37" s="456"/>
      <c r="AY37" s="456"/>
      <c r="AZ37" s="456"/>
      <c r="BA37" s="456"/>
      <c r="BB37" s="456"/>
      <c r="BC37" s="456"/>
      <c r="BD37" s="456"/>
      <c r="BE37" s="456"/>
      <c r="BF37" s="456"/>
      <c r="BG37" s="456"/>
      <c r="BH37" s="456"/>
      <c r="BI37" s="456"/>
      <c r="BJ37" s="456"/>
      <c r="BK37" s="456"/>
      <c r="BL37" s="456"/>
      <c r="BM37" s="456"/>
      <c r="BN37" s="456"/>
      <c r="BO37" s="456"/>
      <c r="BP37" s="456"/>
      <c r="BQ37" s="456"/>
      <c r="BR37" s="456"/>
      <c r="BS37" s="456"/>
      <c r="BT37" s="456"/>
      <c r="BU37" s="456"/>
      <c r="BV37" s="456"/>
      <c r="BW37" s="456"/>
      <c r="BX37" s="456"/>
      <c r="BY37" s="456"/>
      <c r="BZ37" s="456"/>
      <c r="CA37" s="456"/>
      <c r="CB37" s="456"/>
      <c r="CC37" s="456"/>
      <c r="CD37" s="456"/>
      <c r="CE37" s="456"/>
      <c r="CF37" s="456"/>
      <c r="CG37" s="456"/>
      <c r="CH37" s="456"/>
      <c r="CI37" s="456"/>
      <c r="CJ37" s="456"/>
      <c r="CK37" s="456"/>
      <c r="CL37" s="456"/>
      <c r="CM37" s="456"/>
      <c r="CN37" s="456"/>
      <c r="CO37" s="456"/>
      <c r="CP37" s="456"/>
      <c r="CQ37" s="456"/>
      <c r="CR37" s="456"/>
      <c r="CS37" s="456"/>
      <c r="CT37" s="456"/>
      <c r="CU37" s="456"/>
      <c r="CV37" s="456"/>
      <c r="CW37" s="456"/>
      <c r="CX37" s="456"/>
      <c r="CY37" s="456"/>
      <c r="CZ37" s="456"/>
      <c r="DA37" s="456"/>
      <c r="DB37" s="456"/>
      <c r="DC37" s="456"/>
      <c r="DD37" s="456"/>
      <c r="DE37" s="456"/>
      <c r="DF37" s="456"/>
      <c r="DG37" s="456"/>
      <c r="DH37" s="456"/>
      <c r="DI37" s="456"/>
      <c r="DJ37" s="456"/>
      <c r="DK37" s="456"/>
      <c r="DL37" s="456"/>
      <c r="DM37" s="456"/>
      <c r="DN37" s="456"/>
      <c r="DO37" s="456"/>
      <c r="DP37" s="456"/>
      <c r="DQ37" s="456"/>
      <c r="DR37" s="456"/>
      <c r="DS37" s="456"/>
      <c r="DT37" s="456"/>
      <c r="DU37" s="456"/>
      <c r="DV37" s="456"/>
      <c r="DW37" s="456"/>
      <c r="DX37" s="456"/>
      <c r="DY37" s="456"/>
      <c r="DZ37" s="456"/>
      <c r="EA37" s="456"/>
      <c r="EB37" s="456"/>
      <c r="EC37" s="456"/>
      <c r="ED37" s="456"/>
      <c r="EE37" s="456"/>
      <c r="EF37" s="456"/>
      <c r="EG37" s="456"/>
      <c r="EH37" s="456"/>
      <c r="EI37" s="456"/>
      <c r="EJ37" s="456"/>
      <c r="EK37" s="456"/>
      <c r="EL37" s="456"/>
      <c r="EM37" s="456"/>
      <c r="EN37" s="456"/>
    </row>
    <row r="38" spans="1:144" ht="29" x14ac:dyDescent="0.35">
      <c r="A38" s="4"/>
      <c r="B38" s="810" t="s">
        <v>1093</v>
      </c>
      <c r="C38" s="810" t="s">
        <v>619</v>
      </c>
      <c r="D38" s="810" t="s">
        <v>1147</v>
      </c>
      <c r="E38" s="811"/>
      <c r="F38" s="811"/>
      <c r="G38" s="811"/>
      <c r="H38" s="811"/>
      <c r="I38" s="811"/>
      <c r="J38" s="811"/>
      <c r="K38" s="811"/>
      <c r="L38" s="811"/>
      <c r="M38" s="811"/>
      <c r="N38" s="811"/>
      <c r="O38" s="812" t="s">
        <v>1234</v>
      </c>
      <c r="P38" s="791" t="s">
        <v>1250</v>
      </c>
    </row>
    <row r="39" spans="1:144" ht="29" hidden="1" x14ac:dyDescent="0.35">
      <c r="A39" s="4"/>
      <c r="B39" s="39" t="s">
        <v>1101</v>
      </c>
      <c r="C39" s="39" t="s">
        <v>176</v>
      </c>
      <c r="D39" s="39" t="s">
        <v>1098</v>
      </c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800" t="s">
        <v>1234</v>
      </c>
      <c r="P39" s="791" t="s">
        <v>1250</v>
      </c>
    </row>
    <row r="40" spans="1:144" ht="29" hidden="1" x14ac:dyDescent="0.35">
      <c r="A40" s="4"/>
      <c r="B40" s="39" t="s">
        <v>644</v>
      </c>
      <c r="C40" s="39" t="s">
        <v>353</v>
      </c>
      <c r="D40" s="39" t="s">
        <v>1102</v>
      </c>
      <c r="E40" s="531"/>
      <c r="F40" s="531"/>
      <c r="G40" s="531"/>
      <c r="H40" s="531"/>
      <c r="I40" s="531"/>
      <c r="J40" s="531"/>
      <c r="K40" s="531"/>
      <c r="L40" s="531"/>
      <c r="M40" s="531"/>
      <c r="N40" s="531"/>
      <c r="O40" s="801" t="s">
        <v>1103</v>
      </c>
      <c r="P40" s="791" t="s">
        <v>1250</v>
      </c>
    </row>
    <row r="41" spans="1:144" ht="29" x14ac:dyDescent="0.35">
      <c r="A41" s="4"/>
      <c r="B41" s="39" t="s">
        <v>566</v>
      </c>
      <c r="C41" s="39" t="s">
        <v>575</v>
      </c>
      <c r="D41" s="39" t="s">
        <v>1102</v>
      </c>
      <c r="E41" s="531"/>
      <c r="F41" s="531"/>
      <c r="G41" s="531"/>
      <c r="H41" s="531"/>
      <c r="I41" s="531"/>
      <c r="J41" s="531"/>
      <c r="K41" s="531"/>
      <c r="L41" s="531"/>
      <c r="M41" s="531"/>
      <c r="N41" s="531"/>
      <c r="O41" s="801" t="s">
        <v>1103</v>
      </c>
      <c r="P41" s="791" t="s">
        <v>1250</v>
      </c>
    </row>
    <row r="42" spans="1:144" ht="29.5" hidden="1" thickBot="1" x14ac:dyDescent="0.4">
      <c r="A42" s="645"/>
      <c r="B42" s="789" t="s">
        <v>1100</v>
      </c>
      <c r="C42" s="789" t="s">
        <v>308</v>
      </c>
      <c r="D42" s="789" t="s">
        <v>1099</v>
      </c>
      <c r="E42" s="803"/>
      <c r="F42" s="803"/>
      <c r="G42" s="803"/>
      <c r="H42" s="803"/>
      <c r="I42" s="803"/>
      <c r="J42" s="803"/>
      <c r="K42" s="803"/>
      <c r="L42" s="803"/>
      <c r="M42" s="803"/>
      <c r="N42" s="803"/>
      <c r="O42" s="804" t="s">
        <v>1104</v>
      </c>
      <c r="P42" s="791" t="s">
        <v>1250</v>
      </c>
    </row>
    <row r="43" spans="1:144" ht="29" x14ac:dyDescent="0.35">
      <c r="B43" s="39" t="s">
        <v>1100</v>
      </c>
      <c r="C43" s="39" t="s">
        <v>308</v>
      </c>
      <c r="D43" s="39" t="s">
        <v>1099</v>
      </c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800" t="s">
        <v>1234</v>
      </c>
      <c r="P43" s="791" t="s">
        <v>1250</v>
      </c>
    </row>
  </sheetData>
  <mergeCells count="14">
    <mergeCell ref="P3:P5"/>
    <mergeCell ref="E4:H4"/>
    <mergeCell ref="I4:L4"/>
    <mergeCell ref="M4:M5"/>
    <mergeCell ref="A1:N2"/>
    <mergeCell ref="O1:O2"/>
    <mergeCell ref="P1:P2"/>
    <mergeCell ref="A3:A5"/>
    <mergeCell ref="B3:B5"/>
    <mergeCell ref="C3:C5"/>
    <mergeCell ref="D3:D5"/>
    <mergeCell ref="E3:M3"/>
    <mergeCell ref="N3:N4"/>
    <mergeCell ref="O3:O5"/>
  </mergeCells>
  <conditionalFormatting sqref="B10">
    <cfRule type="duplicateValues" dxfId="14" priority="3"/>
    <cfRule type="duplicateValues" dxfId="13" priority="4"/>
  </conditionalFormatting>
  <conditionalFormatting sqref="B17 B12 B7:B8">
    <cfRule type="duplicateValues" dxfId="12" priority="14"/>
    <cfRule type="duplicateValues" dxfId="11" priority="15"/>
  </conditionalFormatting>
  <conditionalFormatting sqref="B25">
    <cfRule type="duplicateValues" dxfId="10" priority="7"/>
    <cfRule type="duplicateValues" dxfId="9" priority="8"/>
  </conditionalFormatting>
  <conditionalFormatting sqref="B27">
    <cfRule type="duplicateValues" dxfId="8" priority="5"/>
    <cfRule type="duplicateValues" dxfId="7" priority="6"/>
  </conditionalFormatting>
  <conditionalFormatting sqref="B28:B36 B26 B9 B13:B16 B18:B24 B11">
    <cfRule type="duplicateValues" dxfId="6" priority="12"/>
    <cfRule type="duplicateValues" dxfId="5" priority="13"/>
  </conditionalFormatting>
  <conditionalFormatting sqref="B36">
    <cfRule type="duplicateValues" dxfId="4" priority="9"/>
  </conditionalFormatting>
  <conditionalFormatting sqref="H7:H8 H12 H18 H21">
    <cfRule type="cellIs" dxfId="3" priority="10" operator="equal">
      <formula>"Approved"</formula>
    </cfRule>
    <cfRule type="cellIs" dxfId="2" priority="11" operator="equal">
      <formula>"Submitted"</formula>
    </cfRule>
  </conditionalFormatting>
  <conditionalFormatting sqref="H10">
    <cfRule type="cellIs" dxfId="1" priority="1" operator="equal">
      <formula>"Approved"</formula>
    </cfRule>
    <cfRule type="cellIs" dxfId="0" priority="2" operator="equal">
      <formula>"Submitted"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4</vt:i4>
      </vt:variant>
    </vt:vector>
  </HeadingPairs>
  <TitlesOfParts>
    <vt:vector size="35" baseType="lpstr">
      <vt:lpstr>Summary</vt:lpstr>
      <vt:lpstr>FDN-ERC Status</vt:lpstr>
      <vt:lpstr>Balance Fdn Plan</vt:lpstr>
      <vt:lpstr>Visual Chart</vt:lpstr>
      <vt:lpstr>Supply Status</vt:lpstr>
      <vt:lpstr>Survey Details</vt:lpstr>
      <vt:lpstr>Statutory Detail-TA 505</vt:lpstr>
      <vt:lpstr>X-ing Detail New</vt:lpstr>
      <vt:lpstr>RC-ULE &amp; Benching Status</vt:lpstr>
      <vt:lpstr>RC-ULE &amp; Benching status New</vt:lpstr>
      <vt:lpstr>FDN Drgs</vt:lpstr>
      <vt:lpstr>PRS-RC Stub</vt:lpstr>
      <vt:lpstr>PRS VS Supply</vt:lpstr>
      <vt:lpstr>QCS Status</vt:lpstr>
      <vt:lpstr>PRS &amp; Supply-Tower &amp; Stub</vt:lpstr>
      <vt:lpstr>PRS-RC STUBS</vt:lpstr>
      <vt:lpstr>DRGS Req REV</vt:lpstr>
      <vt:lpstr>RC-ULE_DRGS</vt:lpstr>
      <vt:lpstr>Revised Tower Qty</vt:lpstr>
      <vt:lpstr>Comp. Plan (Revised)</vt:lpstr>
      <vt:lpstr>Catch up Plan</vt:lpstr>
      <vt:lpstr>AOT Plan</vt:lpstr>
      <vt:lpstr>Project Stringing Plan</vt:lpstr>
      <vt:lpstr>Priority Stringing Stretches</vt:lpstr>
      <vt:lpstr>Drgs required</vt:lpstr>
      <vt:lpstr>ERC_Plan</vt:lpstr>
      <vt:lpstr>Gang deployment Plan</vt:lpstr>
      <vt:lpstr>Gang List</vt:lpstr>
      <vt:lpstr>Tower Availability at Store</vt:lpstr>
      <vt:lpstr>Issues &amp; Support reqn</vt:lpstr>
      <vt:lpstr>Sheet1</vt:lpstr>
      <vt:lpstr>'PRS &amp; Supply-Tower &amp; Stub'!Print_Area</vt:lpstr>
      <vt:lpstr>'RC-ULE &amp; Benching Status'!Print_Area</vt:lpstr>
      <vt:lpstr>'Statutory Detail-TA 505'!Print_Area</vt:lpstr>
      <vt:lpstr>'Survey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Pratim Pal</dc:creator>
  <cp:lastModifiedBy>Partha Pratim Pal</cp:lastModifiedBy>
  <cp:lastPrinted>2025-11-03T10:22:20Z</cp:lastPrinted>
  <dcterms:created xsi:type="dcterms:W3CDTF">2015-06-05T18:17:20Z</dcterms:created>
  <dcterms:modified xsi:type="dcterms:W3CDTF">2025-11-05T09:35:35Z</dcterms:modified>
</cp:coreProperties>
</file>