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45" documentId="13_ncr:1_{A721F8EF-5A03-4265-B477-587C32246C44}" xr6:coauthVersionLast="47" xr6:coauthVersionMax="47" xr10:uidLastSave="{9E6C9CF2-E5BE-467A-9EF0-A75471A71534}"/>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Compiled'!$A$4:$U$414</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4" hidden="1">Stringing!$A$5:$O$20</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Compiled'!$A$2:$I$607</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82" l="1"/>
  <c r="A409" i="63"/>
  <c r="E409" i="63"/>
  <c r="D409" i="63"/>
  <c r="J409" i="63" s="1"/>
  <c r="G20" i="48"/>
  <c r="K23" i="48"/>
  <c r="A408" i="63"/>
  <c r="A407" i="63"/>
  <c r="A406" i="63"/>
  <c r="A405" i="63"/>
  <c r="L23" i="48"/>
  <c r="H23" i="48"/>
  <c r="E408" i="63"/>
  <c r="E407" i="63"/>
  <c r="E406" i="63"/>
  <c r="E405" i="63"/>
  <c r="E404" i="63"/>
  <c r="A404" i="63"/>
  <c r="A403" i="63"/>
  <c r="A402" i="63"/>
  <c r="A401" i="63"/>
  <c r="E403" i="63"/>
  <c r="E402" i="63"/>
  <c r="A400" i="63" l="1"/>
  <c r="A399" i="63"/>
  <c r="E401" i="63"/>
  <c r="E400" i="63"/>
  <c r="G19" i="48"/>
  <c r="M423" i="63"/>
  <c r="E399" i="63"/>
  <c r="A398" i="63"/>
  <c r="E398" i="63"/>
  <c r="A397" i="63"/>
  <c r="E397" i="63"/>
  <c r="A396" i="63"/>
  <c r="E396" i="63"/>
  <c r="A395" i="63"/>
  <c r="E395" i="63"/>
  <c r="D488" i="61"/>
  <c r="A488" i="61"/>
  <c r="H353" i="74"/>
  <c r="E394" i="63"/>
  <c r="A394" i="63"/>
  <c r="E393" i="63"/>
  <c r="A393" i="63"/>
  <c r="A392" i="63"/>
  <c r="A391" i="63"/>
  <c r="E392" i="63"/>
  <c r="E391" i="63"/>
  <c r="D487" i="61"/>
  <c r="A487" i="61"/>
  <c r="E390" i="63"/>
  <c r="E389" i="63"/>
  <c r="A390" i="63"/>
  <c r="A389" i="63"/>
  <c r="E386" i="63"/>
  <c r="E387" i="63"/>
  <c r="A388" i="63"/>
  <c r="E388" i="63"/>
  <c r="A387" i="63"/>
  <c r="A386" i="63"/>
  <c r="A385" i="63"/>
  <c r="A384" i="63"/>
  <c r="A383" i="63"/>
  <c r="E385" i="63"/>
  <c r="E384" i="63"/>
  <c r="E383" i="63"/>
  <c r="G18" i="48"/>
  <c r="K18" i="48" s="1"/>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6"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08" i="63" s="1"/>
  <c r="J408" i="63" s="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D396" i="63" s="1"/>
  <c r="J396" i="63" s="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26" i="64" l="1"/>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D398" i="63" s="1"/>
  <c r="J398" i="63" s="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J399" i="63" s="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G17" i="48"/>
  <c r="K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A172" i="64"/>
  <c r="J279" i="63" l="1"/>
  <c r="E29" i="88" s="1"/>
  <c r="C221" i="64"/>
  <c r="A426" i="6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A414" i="61"/>
  <c r="D413" i="61"/>
  <c r="A413" i="61"/>
  <c r="D413" i="50" l="1"/>
  <c r="D395" i="63"/>
  <c r="J395" i="63" s="1"/>
  <c r="D412" i="50"/>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A408" i="61"/>
  <c r="J360" i="63" l="1"/>
  <c r="C216" i="64"/>
  <c r="D407" i="50"/>
  <c r="D109" i="88"/>
  <c r="A158" i="64"/>
  <c r="A157" i="64" l="1"/>
  <c r="A156" i="64"/>
  <c r="A227" i="63"/>
  <c r="A155" i="64"/>
  <c r="A154" i="64"/>
  <c r="H406" i="50"/>
  <c r="H405" i="50"/>
  <c r="D499" i="50" l="1"/>
  <c r="A153" i="64"/>
  <c r="D407" i="61"/>
  <c r="A407" i="61"/>
  <c r="A152" i="64"/>
  <c r="D406" i="50" l="1"/>
  <c r="D370" i="63"/>
  <c r="A226" i="63"/>
  <c r="D406" i="61"/>
  <c r="A406" i="61"/>
  <c r="D495" i="50"/>
  <c r="A149" i="64"/>
  <c r="H402" i="50"/>
  <c r="H403" i="50"/>
  <c r="H404" i="50"/>
  <c r="A405" i="61"/>
  <c r="J370" i="63" l="1"/>
  <c r="C215" i="64"/>
  <c r="D405" i="50"/>
  <c r="D381" i="63"/>
  <c r="J381" i="63" s="1"/>
  <c r="D405" i="61"/>
  <c r="D404" i="50" s="1"/>
  <c r="A404" i="61"/>
  <c r="D404" i="61"/>
  <c r="D403" i="50" l="1"/>
  <c r="D256" i="63"/>
  <c r="D403" i="61"/>
  <c r="A403" i="61"/>
  <c r="A151" i="64"/>
  <c r="J256" i="63" l="1"/>
  <c r="C228" i="64"/>
  <c r="D402" i="50"/>
  <c r="D404" i="63"/>
  <c r="J404" i="63" s="1"/>
  <c r="A402" i="6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J257" i="63" l="1"/>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94" i="63" s="1"/>
  <c r="J394" i="63" s="1"/>
  <c r="D383" i="61"/>
  <c r="D401" i="63" s="1"/>
  <c r="J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J388" i="63" s="1"/>
  <c r="D370" i="61"/>
  <c r="D406" i="63" s="1"/>
  <c r="J406" i="63" s="1"/>
  <c r="D369" i="61"/>
  <c r="D258" i="63" s="1"/>
  <c r="J258" i="63" s="1"/>
  <c r="D368" i="61"/>
  <c r="D362" i="63" s="1"/>
  <c r="J362" i="63" s="1"/>
  <c r="D367" i="61"/>
  <c r="D366" i="61"/>
  <c r="D393" i="63" s="1"/>
  <c r="J393" i="63" s="1"/>
  <c r="D365" i="61"/>
  <c r="D364" i="61"/>
  <c r="D400" i="63" s="1"/>
  <c r="J400" i="63" s="1"/>
  <c r="D363" i="61"/>
  <c r="D362" i="61"/>
  <c r="D386" i="63" s="1"/>
  <c r="J386" i="63" s="1"/>
  <c r="D361" i="61"/>
  <c r="D360" i="61"/>
  <c r="D359" i="61"/>
  <c r="D358" i="61"/>
  <c r="D230" i="63" s="1"/>
  <c r="D357" i="61"/>
  <c r="D356" i="61"/>
  <c r="D392" i="63" s="1"/>
  <c r="J392" i="63" s="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402" i="63" s="1"/>
  <c r="J402" i="63" s="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403" i="63" s="1"/>
  <c r="J403" i="63" s="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397" i="63" s="1"/>
  <c r="J397" i="63" s="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J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J264" i="63" l="1"/>
  <c r="E17" i="88" s="1"/>
  <c r="C220" i="64"/>
  <c r="J363" i="63"/>
  <c r="C219" i="64"/>
  <c r="J371" i="63"/>
  <c r="C218" i="64"/>
  <c r="D396" i="50"/>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D325" i="63"/>
  <c r="J325" i="63" s="1"/>
  <c r="E77" i="88" s="1"/>
  <c r="D77" i="88"/>
  <c r="D332" i="63"/>
  <c r="D326" i="63"/>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30" i="63" l="1"/>
  <c r="E82" i="88" s="1"/>
  <c r="C226" i="64"/>
  <c r="J294" i="63"/>
  <c r="E43" i="88" s="1"/>
  <c r="C225" i="64"/>
  <c r="J312" i="63"/>
  <c r="C223" i="64"/>
  <c r="J299" i="63"/>
  <c r="E53" i="88" s="1"/>
  <c r="C222" i="64"/>
  <c r="J326" i="63"/>
  <c r="E78" i="88" s="1"/>
  <c r="C224" i="64"/>
  <c r="J302" i="63"/>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K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G251" i="82" s="1"/>
  <c r="L253" i="77"/>
  <c r="G250" i="82" s="1"/>
  <c r="L252" i="77"/>
  <c r="G249" i="82" s="1"/>
  <c r="L251" i="77"/>
  <c r="G248" i="82" s="1"/>
  <c r="L250" i="77"/>
  <c r="G247" i="82" s="1"/>
  <c r="L249" i="77"/>
  <c r="L248" i="77"/>
  <c r="L247" i="77"/>
  <c r="L246" i="77"/>
  <c r="L245" i="77"/>
  <c r="L244" i="77"/>
  <c r="G241" i="82" s="1"/>
  <c r="L243" i="77"/>
  <c r="L242" i="77"/>
  <c r="L241" i="77"/>
  <c r="L240" i="77"/>
  <c r="L239" i="77"/>
  <c r="G236" i="82" s="1"/>
  <c r="L238" i="77"/>
  <c r="G235" i="82" s="1"/>
  <c r="L237" i="77"/>
  <c r="L236" i="77"/>
  <c r="L235" i="77"/>
  <c r="L234" i="77"/>
  <c r="L233" i="77"/>
  <c r="L232" i="77"/>
  <c r="L231" i="77"/>
  <c r="L230" i="77"/>
  <c r="L229" i="77"/>
  <c r="L228" i="77"/>
  <c r="L227" i="77"/>
  <c r="L226" i="77"/>
  <c r="L225" i="77"/>
  <c r="L224" i="77"/>
  <c r="L223" i="77"/>
  <c r="L222" i="77"/>
  <c r="L221" i="77"/>
  <c r="L220" i="77"/>
  <c r="G217" i="82" s="1"/>
  <c r="L219" i="77"/>
  <c r="L218" i="77"/>
  <c r="G215" i="82" s="1"/>
  <c r="L217" i="77"/>
  <c r="G214" i="82" s="1"/>
  <c r="L216" i="77"/>
  <c r="L215" i="77"/>
  <c r="G212" i="82" s="1"/>
  <c r="L214" i="77"/>
  <c r="G211" i="82" s="1"/>
  <c r="L213" i="77"/>
  <c r="G210" i="82" s="1"/>
  <c r="L212" i="77"/>
  <c r="G209" i="82" s="1"/>
  <c r="L211" i="77"/>
  <c r="G208" i="82" s="1"/>
  <c r="L210" i="77"/>
  <c r="L209" i="77"/>
  <c r="G206" i="82" s="1"/>
  <c r="L208" i="77"/>
  <c r="L207" i="77"/>
  <c r="L206" i="77"/>
  <c r="L205" i="77"/>
  <c r="L204" i="77"/>
  <c r="L203" i="77"/>
  <c r="L202" i="77"/>
  <c r="L201" i="77"/>
  <c r="L200" i="77"/>
  <c r="L199" i="77"/>
  <c r="G196" i="82" s="1"/>
  <c r="L198" i="77"/>
  <c r="L197" i="77"/>
  <c r="L196" i="77"/>
  <c r="G193" i="82" s="1"/>
  <c r="L195" i="77"/>
  <c r="L194" i="77"/>
  <c r="L193" i="77"/>
  <c r="L192" i="77"/>
  <c r="L191" i="77"/>
  <c r="L190" i="77"/>
  <c r="L189" i="77"/>
  <c r="L188" i="77"/>
  <c r="L187" i="77"/>
  <c r="L186" i="77"/>
  <c r="G183" i="82" s="1"/>
  <c r="L185" i="77"/>
  <c r="L184" i="77"/>
  <c r="L183" i="77"/>
  <c r="L182" i="77"/>
  <c r="L181" i="77"/>
  <c r="L180" i="77"/>
  <c r="G177" i="82" s="1"/>
  <c r="L179" i="77"/>
  <c r="L178" i="77"/>
  <c r="L177" i="77"/>
  <c r="L176" i="77"/>
  <c r="L175" i="77"/>
  <c r="L174" i="77"/>
  <c r="L173" i="77"/>
  <c r="L172" i="77"/>
  <c r="L171" i="77"/>
  <c r="L170" i="77"/>
  <c r="L169" i="77"/>
  <c r="L168" i="77"/>
  <c r="G165" i="82" s="1"/>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G38" i="82" s="1"/>
  <c r="L40" i="77"/>
  <c r="L39" i="77"/>
  <c r="L38" i="77"/>
  <c r="G35" i="82" s="1"/>
  <c r="L37" i="77"/>
  <c r="L36" i="77"/>
  <c r="L35" i="77"/>
  <c r="L34" i="77"/>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64"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K15" i="48" s="1"/>
  <c r="Y69" i="80" s="1"/>
  <c r="G14" i="48"/>
  <c r="K14" i="48" s="1"/>
  <c r="G13" i="48"/>
  <c r="K13" i="48" s="1"/>
  <c r="G12" i="48"/>
  <c r="K12" i="48" s="1"/>
  <c r="G11" i="48"/>
  <c r="K11" i="48" s="1"/>
  <c r="G10" i="48"/>
  <c r="K10" i="48" s="1"/>
  <c r="G9" i="48"/>
  <c r="K9" i="48" s="1"/>
  <c r="G8" i="48"/>
  <c r="K8" i="48" s="1"/>
  <c r="G7" i="48"/>
  <c r="K7" i="48" s="1"/>
  <c r="G6" i="48"/>
  <c r="K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22" i="76" l="1"/>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5" i="48"/>
  <c r="G25" i="48" l="1"/>
  <c r="K25" i="48"/>
  <c r="G28" i="48" l="1"/>
  <c r="I11" i="29" s="1"/>
  <c r="G2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<sst xmlns="http://schemas.openxmlformats.org/spreadsheetml/2006/main" count="11115" uniqueCount="1753">
  <si>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</si>
  <si>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</si>
  <si>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</si>
  <si>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</si>
  <si>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</si>
  <si>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</si>
  <si>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</si>
  <si>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</si>
  <si>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</si>
  <si>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</si>
  <si>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</si>
  <si>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</si>
  <si>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</si>
  <si>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</si>
  <si>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</si>
  <si>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</si>
  <si>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</si>
  <si>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</si>
  <si>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</si>
  <si>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</si>
  <si>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</si>
  <si>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</si>
  <si>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</si>
  <si>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</si>
  <si>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</si>
  <si>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</si>
  <si>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</si>
  <si>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</si>
  <si>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</si>
  <si>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</si>
  <si>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</si>
  <si>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</si>
  <si>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</si>
  <si>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</si>
  <si>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</si>
  <si>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</si>
  <si>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</si>
  <si>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</si>
  <si>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</si>
  <si>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</si>
  <si>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</si>
  <si>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</si>
  <si>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</si>
  <si>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</si>
  <si>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</si>
  <si>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</si>
  <si>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</si>
  <si>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</si>
  <si>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</si>
  <si>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</si>
  <si>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</si>
  <si>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</si>
  <si>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</si>
  <si>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</si>
  <si>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</si>
  <si>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</si>
  <si>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</si>
  <si>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</si>
  <si>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</si>
  <si>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</si>
  <si>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</si>
  <si>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</si>
  <si>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</si>
  <si>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</si>
  <si>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</si>
  <si>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</si>
  <si>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</si>
  <si>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</si>
  <si>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</si>
  <si>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</si>
  <si>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</si>
  <si>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</si>
  <si>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</si>
  <si>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</si>
  <si>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</si>
  <si>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</si>
  <si>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</si>
  <si>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</si>
  <si>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</si>
  <si>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</si>
  <si>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</si>
  <si>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</si>
  <si>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</si>
  <si>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</si>
  <si>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</si>
  <si>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</si>
  <si>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</si>
  <si>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</si>
  <si>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</si>
  <si>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</si>
  <si>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</si>
  <si>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</si>
  <si>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</si>
  <si>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</si>
  <si>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</si>
  <si>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</si>
  <si>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</si>
  <si>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</si>
  <si>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</si>
  <si>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</si>
  <si>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</si>
  <si>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</si>
  <si>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</si>
  <si>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</si>
  <si>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</si>
  <si>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</si>
  <si>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</si>
  <si>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</si>
  <si>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</si>
  <si>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</si>
  <si>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</si>
  <si>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</si>
  <si>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</si>
  <si>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</si>
  <si>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</si>
  <si>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</si>
  <si>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</si>
  <si>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</si>
  <si>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</si>
  <si>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</si>
  <si>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</si>
  <si>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</si>
  <si>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</si>
  <si>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</si>
  <si>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</si>
  <si>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</si>
  <si>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</si>
  <si>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</si>
  <si>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</si>
  <si>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</si>
  <si>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</si>
  <si>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</si>
  <si>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</si>
  <si>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</si>
  <si>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</si>
  <si>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</si>
  <si>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</si>
  <si>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</si>
  <si>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</si>
  <si>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</si>
  <si>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</si>
  <si>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</si>
  <si>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</si>
  <si>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</si>
  <si>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</si>
  <si>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</si>
  <si>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</si>
  <si>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</si>
  <si>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</si>
  <si>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</si>
  <si>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</si>
  <si>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</si>
  <si>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</si>
  <si>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</si>
  <si>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</si>
  <si>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</si>
  <si>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</si>
  <si>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</si>
  <si>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</si>
  <si>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</si>
  <si>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</si>
  <si>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</si>
  <si>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</si>
  <si>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</si>
  <si>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</si>
  <si>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</si>
  <si>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</si>
  <si>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</si>
  <si>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</si>
  <si>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</si>
  <si>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</si>
  <si>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</si>
  <si>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</si>
  <si>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</si>
  <si>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</si>
  <si>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</si>
  <si>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</si>
  <si>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</si>
  <si>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</si>
  <si>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</si>
  <si>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</si>
  <si>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</si>
  <si>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</si>
  <si>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</si>
  <si>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</si>
  <si>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</si>
  <si>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</si>
  <si>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</si>
  <si>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</si>
  <si>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</si>
  <si>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</si>
  <si>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</si>
  <si>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</si>
  <si>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</si>
  <si>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</si>
  <si>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</si>
  <si>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</si>
  <si>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</si>
  <si>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</si>
  <si>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</si>
  <si>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</si>
  <si>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</si>
  <si>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</si>
  <si>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</si>
  <si>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</si>
  <si>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</si>
  <si>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</si>
  <si>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</si>
  <si>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</si>
  <si>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</si>
  <si>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</si>
  <si>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</si>
  <si>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</si>
  <si>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</si>
  <si>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</si>
  <si>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</si>
  <si>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</si>
  <si>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</si>
  <si>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</si>
  <si>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</si>
  <si>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</si>
  <si>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</si>
  <si>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</si>
  <si>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</si>
  <si>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</si>
  <si>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</si>
  <si>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</si>
  <si>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</si>
  <si>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</si>
  <si>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</si>
  <si>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</si>
  <si>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</si>
  <si>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</si>
  <si>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</si>
  <si>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</si>
  <si>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</si>
  <si>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</si>
  <si>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</si>
  <si>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</si>
  <si>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</si>
  <si>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</si>
  <si>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</si>
  <si>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</si>
  <si>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</si>
  <si>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</si>
  <si>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</si>
  <si>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</si>
  <si>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</si>
  <si>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</si>
  <si>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</si>
  <si>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</si>
  <si>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</si>
  <si>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</si>
  <si>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</si>
  <si>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</si>
  <si>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</si>
  <si>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</si>
  <si>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</si>
  <si>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</si>
  <si>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</si>
  <si>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</si>
  <si>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</si>
  <si>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</si>
  <si>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</si>
  <si>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</si>
  <si>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</si>
  <si>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</si>
  <si>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</si>
  <si>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</si>
  <si>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</si>
  <si>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</si>
  <si>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</si>
  <si>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</si>
  <si>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</si>
  <si>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</si>
  <si>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</si>
  <si>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</si>
  <si>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</si>
  <si>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</si>
  <si>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</si>
  <si>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</si>
  <si>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</si>
  <si>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</si>
  <si>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</si>
  <si>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</si>
  <si>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</si>
  <si>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</si>
  <si>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</si>
  <si>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</si>
  <si>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</si>
  <si>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</si>
  <si>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</si>
  <si>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</si>
  <si>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</si>
  <si>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</si>
  <si>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</si>
  <si>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</si>
  <si>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</si>
  <si>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</si>
  <si>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</si>
  <si>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</si>
  <si>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</si>
  <si>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</si>
  <si>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</si>
  <si>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</si>
  <si>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</si>
  <si>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</si>
  <si>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</si>
  <si>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</si>
  <si>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</si>
  <si>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</si>
  <si>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</si>
  <si>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</si>
  <si>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</si>
  <si>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</si>
  <si>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</si>
  <si>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</si>
  <si>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</si>
  <si>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</si>
  <si>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</si>
  <si>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</si>
  <si>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</si>
  <si>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</si>
  <si>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</si>
  <si>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</si>
  <si>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</si>
  <si>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</si>
  <si>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</si>
  <si>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</si>
  <si>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</si>
  <si>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</si>
  <si>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</si>
  <si>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</si>
  <si>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</si>
  <si>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</si>
  <si>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</si>
  <si>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</si>
  <si>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</si>
  <si>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</si>
  <si>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</si>
  <si>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</si>
  <si>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</si>
  <si>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</si>
  <si>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</si>
  <si>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</si>
  <si>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</si>
  <si>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</si>
  <si>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</si>
  <si>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</si>
  <si>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</si>
  <si>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</si>
  <si>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</si>
  <si>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</si>
  <si>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</si>
  <si>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</si>
  <si>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</si>
  <si>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</si>
  <si>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</si>
  <si>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</si>
  <si>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</si>
  <si>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</si>
  <si>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</si>
  <si>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</si>
  <si>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</si>
  <si>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</si>
  <si>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</si>
  <si>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</si>
  <si>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</si>
  <si>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</si>
  <si>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</si>
  <si>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</si>
  <si>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</si>
  <si>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</si>
  <si>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</si>
  <si>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</si>
  <si>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</si>
  <si>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</si>
  <si>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</si>
  <si>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</si>
  <si>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</si>
  <si>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</si>
  <si>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</si>
  <si>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</si>
  <si>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</si>
  <si>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</si>
  <si>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</si>
  <si>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</si>
  <si>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</si>
  <si>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</si>
  <si>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</si>
  <si>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</si>
  <si>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</si>
  <si>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</si>
  <si>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</si>
  <si>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</si>
  <si>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</si>
  <si>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</si>
  <si>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</si>
  <si>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</si>
  <si>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</si>
  <si>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</si>
  <si>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</si>
  <si>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</si>
  <si>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</si>
  <si>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</si>
  <si>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</si>
  <si>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</si>
  <si>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</si>
  <si>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</si>
  <si>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</si>
  <si>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</si>
  <si>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</si>
  <si>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</si>
  <si>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</si>
  <si>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</si>
  <si>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</si>
  <si>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</si>
  <si>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</si>
  <si>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</si>
  <si>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</si>
  <si>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</si>
  <si>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</si>
  <si>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</si>
  <si>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</si>
  <si>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</si>
  <si>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</si>
  <si>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</si>
  <si>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</si>
  <si>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</si>
  <si>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</si>
  <si>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</si>
  <si>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</si>
  <si>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</si>
  <si>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</si>
  <si>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</si>
  <si>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</si>
  <si>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</si>
  <si>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</si>
  <si>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</si>
  <si>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</si>
  <si>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</si>
  <si>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</si>
  <si>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</si>
  <si>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</si>
  <si>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</si>
  <si>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</si>
  <si>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</si>
  <si>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</si>
  <si>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</si>
  <si>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</si>
  <si>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</si>
  <si>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</si>
  <si>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</si>
  <si>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</si>
  <si>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</si>
  <si>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</si>
  <si>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</si>
  <si>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</si>
  <si>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</si>
  <si>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</si>
  <si>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</si>
  <si>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</si>
  <si>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</si>
  <si>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</si>
  <si>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</si>
  <si>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</si>
  <si>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</si>
  <si>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</si>
  <si>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</si>
  <si>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</si>
  <si>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</si>
  <si>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</si>
  <si>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</si>
  <si>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</si>
  <si>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</si>
  <si>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</si>
  <si>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</si>
  <si>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</si>
  <si>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</si>
  <si>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</si>
  <si>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</si>
  <si>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</si>
  <si>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</si>
  <si>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</si>
  <si>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</si>
  <si>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</si>
  <si>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</si>
  <si>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</si>
  <si>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</si>
  <si>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</si>
  <si>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</si>
  <si>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</si>
  <si>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</si>
  <si>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</si>
  <si>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</si>
  <si>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</si>
  <si>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</si>
  <si>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</si>
  <si>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</si>
  <si>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</si>
  <si>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</si>
  <si>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</si>
  <si>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</si>
  <si>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</si>
  <si>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</si>
  <si>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</si>
  <si>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</si>
  <si>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</si>
  <si>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</si>
  <si>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</si>
  <si>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</si>
  <si>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</si>
  <si>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</si>
  <si>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</si>
  <si>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</si>
  <si>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</si>
  <si>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</si>
  <si>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</si>
  <si>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</si>
  <si>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</si>
  <si>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</si>
  <si>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</si>
  <si>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</si>
  <si>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</si>
  <si>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</si>
  <si>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</si>
  <si>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</si>
  <si>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</si>
  <si>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</si>
  <si>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</si>
  <si>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</si>
  <si>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</si>
  <si>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</si>
  <si>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</si>
  <si>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</si>
  <si>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</si>
  <si>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</si>
  <si>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</si>
  <si>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</si>
  <si>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</si>
  <si>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</si>
  <si>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</si>
  <si>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</si>
  <si>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</si>
  <si>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</si>
  <si>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</si>
  <si>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</si>
  <si>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</si>
  <si>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</si>
  <si>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</si>
  <si>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</si>
  <si>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</si>
  <si>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</si>
  <si>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</si>
  <si>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</si>
  <si>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</si>
  <si>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</si>
  <si>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</si>
  <si>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</si>
  <si>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</si>
  <si>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</si>
  <si>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</si>
  <si>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</si>
  <si>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</si>
  <si>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</si>
  <si>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</si>
  <si>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</si>
  <si>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</si>
  <si>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</si>
  <si>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</si>
  <si>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</si>
  <si>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</si>
  <si>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</si>
  <si>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</si>
  <si>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</si>
  <si>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</si>
  <si>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</si>
  <si>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</si>
  <si>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</si>
  <si>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</si>
  <si>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</si>
  <si>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</si>
  <si>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</si>
  <si>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</si>
  <si>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</si>
  <si>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</si>
  <si>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</si>
  <si>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</si>
  <si>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</si>
  <si>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</si>
  <si>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</si>
  <si>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</si>
  <si>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</si>
  <si>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</si>
  <si>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</si>
  <si>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</si>
  <si>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</si>
  <si>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</si>
  <si>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</si>
  <si>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</si>
  <si>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</si>
  <si>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</si>
  <si>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</si>
  <si>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</si>
  <si>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</si>
  <si>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</si>
  <si>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</si>
  <si>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</si>
  <si>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</si>
  <si>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</si>
  <si>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</si>
  <si>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</si>
  <si>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</si>
  <si>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</si>
  <si>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</si>
  <si>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</si>
  <si>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</si>
  <si>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</si>
  <si>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</si>
  <si>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</si>
  <si>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</si>
  <si>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</si>
  <si>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</si>
  <si>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</si>
  <si>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</si>
  <si>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</si>
  <si>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</si>
  <si>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</si>
  <si>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</si>
  <si>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</si>
  <si>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</si>
  <si>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</si>
  <si>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</si>
  <si>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</si>
  <si>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</si>
  <si>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</si>
  <si>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</si>
  <si>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</si>
  <si>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</si>
  <si>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</si>
  <si>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</si>
  <si>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</si>
  <si>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</si>
  <si>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</si>
  <si>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</si>
  <si>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</si>
  <si>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</si>
  <si>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</si>
  <si>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</si>
  <si>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</si>
  <si>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</si>
  <si>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</si>
  <si>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</si>
  <si>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</si>
  <si>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</si>
  <si>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</si>
  <si>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</si>
  <si>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</si>
  <si>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</si>
  <si>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</si>
  <si>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</si>
  <si>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</si>
  <si>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</si>
  <si>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</si>
  <si>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</si>
  <si>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</si>
  <si>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</si>
  <si>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</si>
  <si>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</si>
  <si>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</si>
  <si>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</si>
  <si>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</si>
  <si>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</si>
  <si>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</si>
  <si>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</si>
  <si>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</si>
  <si>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</si>
  <si>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</si>
  <si>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</si>
  <si>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</si>
  <si>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</si>
  <si>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</si>
  <si>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</si>
  <si>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</si>
  <si>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</si>
  <si>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</si>
  <si>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</si>
  <si>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</si>
  <si>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</si>
  <si>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</si>
  <si>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</si>
  <si>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</si>
  <si>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</si>
  <si>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</si>
  <si>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</si>
  <si>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</si>
  <si>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</si>
  <si>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</si>
  <si>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</si>
  <si>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</si>
  <si>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</si>
  <si>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</si>
  <si>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</si>
  <si>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</si>
  <si>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</si>
  <si>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</si>
  <si>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</si>
  <si>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</si>
  <si>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</si>
  <si>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</si>
  <si>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</si>
  <si>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</si>
  <si>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</si>
  <si>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</si>
  <si>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</si>
  <si>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</si>
  <si>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</si>
  <si>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</si>
  <si>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</si>
  <si>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</si>
  <si>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</si>
  <si>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</si>
  <si>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</si>
  <si>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</si>
  <si>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</si>
  <si>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</si>
  <si>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</si>
  <si>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</si>
  <si>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</si>
  <si>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</si>
  <si>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</si>
  <si>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</si>
  <si>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</si>
  <si>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</si>
  <si>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</si>
  <si>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</si>
  <si>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</si>
  <si>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</si>
  <si>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</si>
  <si>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</si>
  <si>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</si>
  <si>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</si>
  <si>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</si>
  <si>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</si>
  <si>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</si>
  <si>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</si>
  <si>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</si>
  <si>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</si>
  <si>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</si>
  <si>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</si>
  <si>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</si>
  <si>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</si>
  <si>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</si>
  <si>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</si>
  <si>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</si>
  <si>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</si>
  <si>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</si>
  <si>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</si>
  <si>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</si>
  <si>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</si>
  <si>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</si>
  <si>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</si>
  <si>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</si>
  <si>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</si>
  <si>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</si>
  <si>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</si>
  <si>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</si>
  <si>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</si>
  <si>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</si>
  <si>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</si>
  <si>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</si>
  <si>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</si>
  <si>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</si>
  <si>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</si>
  <si>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</si>
  <si>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</si>
  <si>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</si>
  <si>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</si>
  <si>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</si>
  <si>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</si>
  <si>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</si>
  <si>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</si>
  <si>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</si>
  <si>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</si>
  <si>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</si>
  <si>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</si>
  <si>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</si>
  <si>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</si>
  <si>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</si>
  <si>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</si>
  <si>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</si>
  <si>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</si>
  <si>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</si>
  <si>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</si>
  <si>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</si>
  <si>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</si>
  <si>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</si>
  <si>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</si>
  <si>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</si>
  <si>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</si>
  <si>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</si>
  <si>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</si>
  <si>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</si>
  <si>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</si>
  <si>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</si>
  <si>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</si>
  <si>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</si>
  <si>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</si>
  <si>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</si>
  <si>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</si>
  <si>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</si>
  <si>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</si>
  <si>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</si>
  <si>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</si>
  <si>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</si>
  <si>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</si>
  <si>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</si>
  <si>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</si>
  <si>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</si>
  <si>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</si>
  <si>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</si>
  <si>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</si>
  <si>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</si>
  <si>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</si>
  <si>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</si>
  <si>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</si>
  <si>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</si>
  <si>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</si>
  <si>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</si>
  <si>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</si>
  <si>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</si>
  <si>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</si>
  <si>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</si>
  <si>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</si>
  <si>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</si>
  <si>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</si>
  <si>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</si>
  <si>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</si>
  <si>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</si>
  <si>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</si>
  <si>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</si>
  <si>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</si>
  <si>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</si>
  <si>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</si>
  <si>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</si>
  <si>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</si>
  <si>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</si>
  <si>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</si>
  <si>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</si>
  <si>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</si>
  <si>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</si>
  <si>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</si>
  <si>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</si>
  <si>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</si>
  <si>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</si>
  <si>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</si>
  <si>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</si>
  <si>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</si>
  <si>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</si>
  <si>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</si>
  <si>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</si>
  <si>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</si>
  <si>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</si>
  <si>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</si>
  <si>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</si>
  <si>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</si>
  <si>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</si>
  <si>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</si>
  <si>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</si>
  <si>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</si>
  <si>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</si>
  <si>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</si>
  <si>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</si>
  <si>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</si>
  <si>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</si>
  <si>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</si>
  <si>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</si>
  <si>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</si>
  <si>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</si>
  <si>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</si>
  <si>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</si>
  <si>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</si>
  <si>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</si>
  <si>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</si>
  <si>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</si>
  <si>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</si>
  <si>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</si>
  <si>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</si>
  <si>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</si>
  <si>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</si>
  <si>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</si>
  <si>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</si>
  <si>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</si>
  <si>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</si>
  <si>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</si>
  <si>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</si>
  <si>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</si>
  <si>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</si>
  <si>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</si>
  <si>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</si>
  <si>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</si>
  <si>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</si>
  <si>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</si>
  <si>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</si>
  <si>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</si>
  <si>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</si>
  <si>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</si>
  <si>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</si>
  <si>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</si>
  <si>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</si>
  <si>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</si>
  <si>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</si>
  <si>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</si>
  <si>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</si>
  <si>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</si>
  <si>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</si>
  <si>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</si>
  <si>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</si>
  <si>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</si>
  <si>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</si>
  <si>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</si>
  <si>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</si>
  <si>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</si>
  <si>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</si>
  <si>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</si>
  <si>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</si>
  <si>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</si>
  <si>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</si>
  <si>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</si>
  <si>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</si>
  <si>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</si>
  <si>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</si>
  <si>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</si>
  <si>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</si>
  <si>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</si>
  <si>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</si>
  <si>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</si>
  <si>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</si>
  <si>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</si>
  <si>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</si>
  <si>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</si>
  <si>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</si>
  <si>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</si>
  <si>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</si>
  <si>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</si>
  <si>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</si>
  <si>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</si>
  <si>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</si>
  <si>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</si>
  <si>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</si>
  <si>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</si>
  <si>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</si>
  <si>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</si>
  <si>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</si>
  <si>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</si>
  <si>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</si>
  <si>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</si>
  <si>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</si>
  <si>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</si>
  <si>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</si>
  <si>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</si>
  <si>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</si>
  <si>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</si>
  <si>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</si>
  <si>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</si>
  <si>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</si>
  <si>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</si>
  <si>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</si>
  <si>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</si>
  <si>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</si>
  <si>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</si>
  <si>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</si>
  <si>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</si>
  <si>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</si>
  <si>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</si>
  <si>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</si>
  <si>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</si>
  <si>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</si>
  <si>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</si>
  <si>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</si>
  <si>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</si>
  <si>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</si>
  <si>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</si>
  <si>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</si>
  <si>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</si>
  <si>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</si>
  <si>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</si>
  <si>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</si>
  <si>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</si>
  <si>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</si>
  <si>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</si>
  <si>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</si>
  <si>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</si>
  <si>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</si>
  <si>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</si>
  <si>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</si>
  <si>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</si>
  <si>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</si>
  <si>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</si>
  <si>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</si>
  <si>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</si>
  <si>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</si>
  <si>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</si>
  <si>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</si>
  <si>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</si>
  <si>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</si>
  <si>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</si>
  <si>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</si>
  <si>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</si>
  <si>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</si>
  <si>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</si>
  <si>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</si>
  <si>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</si>
  <si>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</si>
  <si>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</si>
  <si>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</si>
  <si>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</si>
  <si>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</si>
  <si>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</si>
  <si>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</si>
  <si>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</si>
  <si>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</si>
  <si>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</si>
  <si>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</si>
  <si>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</si>
  <si>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</si>
  <si>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</si>
  <si>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</si>
  <si>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</si>
  <si>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</si>
  <si>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</si>
  <si>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</si>
  <si>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</si>
  <si>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</si>
  <si>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</si>
  <si>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</si>
  <si>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</si>
  <si>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</si>
  <si>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</si>
  <si>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</si>
  <si>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</si>
  <si>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</si>
  <si>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</si>
  <si>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</si>
  <si>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</si>
  <si>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</si>
  <si>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</si>
  <si>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</si>
  <si>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</si>
  <si>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</si>
  <si>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</si>
  <si>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</si>
  <si>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</si>
  <si>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</si>
  <si>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</si>
  <si>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</si>
  <si>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</si>
  <si>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</si>
  <si>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</si>
  <si>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</si>
  <si>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</si>
  <si>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</si>
  <si>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</si>
  <si>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</si>
  <si>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</si>
  <si>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</si>
  <si>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</si>
  <si>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</si>
  <si>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</si>
  <si>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</si>
  <si>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</si>
  <si>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</si>
  <si>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</si>
  <si>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</si>
  <si>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</si>
  <si>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</si>
  <si>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</si>
  <si>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</si>
  <si>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</si>
  <si>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</si>
  <si>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</si>
  <si>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</si>
  <si>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</si>
  <si>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</si>
  <si>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</si>
  <si>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</si>
  <si>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</si>
  <si>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</si>
  <si>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</si>
  <si>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</si>
  <si>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</si>
  <si>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</si>
  <si>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</si>
  <si>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</si>
  <si>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</si>
  <si>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</si>
  <si>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</si>
  <si>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</si>
  <si>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</si>
  <si>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</si>
  <si>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</si>
  <si>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</si>
  <si>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</si>
  <si>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</si>
  <si>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</si>
  <si>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</si>
  <si>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</si>
  <si>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</si>
  <si>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</si>
  <si>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</si>
  <si>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</si>
  <si>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</si>
  <si>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</si>
  <si>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</si>
  <si>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</si>
  <si>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</si>
  <si>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</si>
  <si>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</si>
  <si>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</si>
  <si>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</si>
  <si>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</si>
  <si>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</si>
  <si>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</si>
  <si>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</si>
  <si>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</si>
  <si>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</si>
  <si>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</si>
  <si>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</si>
  <si>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</si>
  <si>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</si>
  <si>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</si>
  <si>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</si>
  <si>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</si>
  <si>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</si>
  <si>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</si>
  <si>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</si>
  <si>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</si>
  <si>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</si>
  <si>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</si>
  <si>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</si>
  <si>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</si>
  <si>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</si>
  <si>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</si>
  <si>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</si>
  <si>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</si>
  <si>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</si>
  <si>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</si>
  <si>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</si>
  <si>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</si>
  <si>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</si>
  <si>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</si>
  <si>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</si>
  <si>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</si>
  <si>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</si>
  <si>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</si>
  <si>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</si>
  <si>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</si>
  <si>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</si>
  <si>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</si>
  <si>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</si>
  <si>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</si>
  <si>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</si>
  <si>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</si>
  <si>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</si>
  <si>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</si>
  <si>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</si>
  <si>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</si>
  <si>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</si>
  <si>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</si>
  <si>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</si>
  <si>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</si>
  <si>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</si>
  <si>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</si>
  <si>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</si>
  <si>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</si>
  <si>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</si>
  <si>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</si>
  <si>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</si>
  <si>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</si>
  <si>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</si>
  <si>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</si>
  <si>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</si>
  <si>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</si>
  <si>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</si>
  <si>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</si>
  <si>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</si>
  <si>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</si>
  <si>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</si>
  <si>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</si>
  <si>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</si>
  <si>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</si>
  <si>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</si>
  <si>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</si>
  <si>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</si>
  <si>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</si>
  <si>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</si>
  <si>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</si>
  <si>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</si>
  <si>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</si>
  <si>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</si>
  <si>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</si>
  <si>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</si>
  <si>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</si>
  <si>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</si>
  <si>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</si>
  <si>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</si>
  <si>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</si>
  <si>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</si>
  <si>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</si>
  <si>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</si>
  <si>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</si>
  <si>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</si>
  <si>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</si>
  <si>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</si>
  <si>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</si>
  <si>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</si>
  <si>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</si>
  <si>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</si>
  <si>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</si>
  <si>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</si>
  <si>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</si>
  <si>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</si>
  <si>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</si>
  <si>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</si>
  <si>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</si>
  <si>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</si>
  <si>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</si>
  <si>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</si>
  <si>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</si>
  <si>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</si>
  <si>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</si>
  <si>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</si>
  <si>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</si>
  <si>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</si>
  <si>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</si>
  <si>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</si>
  <si>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</si>
  <si>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</si>
  <si>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</si>
  <si>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</si>
  <si>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</si>
  <si>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</si>
  <si>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</si>
  <si>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</si>
  <si>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</si>
  <si>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</si>
  <si>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</si>
  <si>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</si>
  <si>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</si>
  <si>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</si>
  <si>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</si>
  <si>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</si>
  <si>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</si>
  <si>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</si>
  <si>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</si>
  <si>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</si>
  <si>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</si>
  <si>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</si>
  <si>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</si>
  <si>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</si>
  <si>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</si>
  <si>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</si>
  <si>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</si>
  <si>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</si>
  <si>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</si>
  <si>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</si>
  <si>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</si>
  <si>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</si>
  <si>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</si>
  <si>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</si>
  <si>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</si>
  <si>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</si>
  <si>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</si>
  <si>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</si>
  <si>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</si>
  <si>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</si>
  <si>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</si>
  <si>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</si>
  <si>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</si>
  <si>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</si>
  <si>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</si>
  <si>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</si>
  <si>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</si>
  <si>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</si>
  <si>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</si>
  <si>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</si>
  <si>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</si>
  <si>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</si>
  <si>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</si>
  <si>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</si>
  <si>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</si>
  <si>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</si>
  <si>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</si>
  <si>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</si>
  <si>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</si>
  <si>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</si>
  <si>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</si>
  <si>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</si>
  <si>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</si>
  <si>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</si>
  <si>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</si>
  <si>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</si>
  <si>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</si>
  <si>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</si>
  <si>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</si>
  <si>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</si>
  <si>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</si>
  <si>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</si>
  <si>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</si>
  <si>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</si>
  <si>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</si>
  <si>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</si>
  <si>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</si>
  <si>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</si>
  <si>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</si>
  <si>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</si>
  <si>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</si>
  <si>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</si>
  <si>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</si>
  <si>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</si>
  <si>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</si>
  <si>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</si>
  <si>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</si>
  <si>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</si>
  <si>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</si>
  <si>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</si>
  <si>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</si>
  <si>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</si>
  <si>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</si>
  <si>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</si>
  <si>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</si>
  <si>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</si>
  <si>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</si>
  <si>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</si>
  <si>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</si>
  <si>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</si>
  <si>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</si>
  <si>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</si>
  <si>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</si>
  <si>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</si>
  <si>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</si>
  <si>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</si>
  <si>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</si>
  <si>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</si>
  <si>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</si>
  <si>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</si>
  <si>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</si>
  <si>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</si>
  <si>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</si>
  <si>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</si>
  <si>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</si>
  <si>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</si>
  <si>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</si>
  <si>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</si>
  <si>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</si>
  <si>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</si>
  <si>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</si>
  <si>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</si>
  <si>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</si>
  <si>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</si>
  <si>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</si>
  <si>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</si>
  <si>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</si>
  <si>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</si>
  <si>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</si>
  <si>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</si>
  <si>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</si>
  <si>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</si>
  <si>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</si>
  <si>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</si>
  <si>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</si>
  <si>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</si>
  <si>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</si>
  <si>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</si>
  <si>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</si>
  <si>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</si>
  <si>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</si>
  <si>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</si>
  <si>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</si>
  <si>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</si>
  <si>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</si>
  <si>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</si>
  <si>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</si>
  <si>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</si>
  <si>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</si>
  <si>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</si>
  <si>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</si>
  <si>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</si>
  <si>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</si>
  <si>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</si>
  <si>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</si>
  <si>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</si>
  <si>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</si>
  <si>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</si>
  <si>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</si>
  <si>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</si>
  <si>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</si>
  <si>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</si>
  <si>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</si>
  <si>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</si>
  <si>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</si>
  <si>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</si>
  <si>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</si>
  <si>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</si>
  <si>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</si>
  <si>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</si>
  <si>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</si>
  <si>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</si>
  <si>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</si>
  <si>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</si>
  <si>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</si>
  <si>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</si>
  <si>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</si>
  <si>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</si>
  <si>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</si>
  <si>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</si>
  <si>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</si>
  <si>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</si>
  <si>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</si>
  <si>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</si>
  <si>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</si>
  <si>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</si>
  <si>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</si>
  <si>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</si>
  <si>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</si>
  <si>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</si>
  <si>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</si>
  <si>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</si>
  <si>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</si>
  <si>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</si>
  <si>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</si>
  <si>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</si>
  <si>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</si>
  <si>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</si>
  <si>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</si>
  <si>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</si>
  <si>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</si>
  <si>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</si>
  <si>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</si>
  <si>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</si>
  <si>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</si>
  <si>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</si>
  <si>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</si>
  <si>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</si>
  <si>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</si>
  <si>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</si>
  <si>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</si>
  <si>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</si>
  <si>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</si>
  <si>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</si>
  <si>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</si>
  <si>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</si>
  <si>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</si>
  <si>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</si>
  <si>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</si>
  <si>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</si>
  <si>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</si>
  <si>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</si>
  <si>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</si>
  <si>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</si>
  <si>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</si>
  <si>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</si>
  <si>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</si>
  <si>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</si>
  <si>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</si>
  <si>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</si>
  <si>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</si>
  <si>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</si>
  <si>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</si>
  <si>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</si>
  <si>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</si>
  <si>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</si>
  <si>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</si>
  <si>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</si>
  <si>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</si>
  <si>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</si>
  <si>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</si>
  <si>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</si>
  <si>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</si>
  <si>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</si>
  <si>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</si>
  <si>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</si>
  <si>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</si>
  <si>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</si>
  <si>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</si>
  <si>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</si>
  <si>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</si>
  <si>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</si>
  <si>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</si>
  <si>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</si>
  <si>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</si>
  <si>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</si>
  <si>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</si>
  <si>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</si>
  <si>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</si>
  <si>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</si>
  <si>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</si>
  <si>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</si>
  <si>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</si>
  <si>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</si>
  <si>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</si>
  <si>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</si>
  <si>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</si>
  <si>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</si>
  <si>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</si>
  <si>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</si>
  <si>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</si>
  <si>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</si>
  <si>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</si>
  <si>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</si>
  <si>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</si>
  <si>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</si>
  <si>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</si>
  <si>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</si>
  <si>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</si>
  <si>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</si>
  <si>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</si>
  <si>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</si>
  <si>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</si>
  <si>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</si>
  <si>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</si>
  <si>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</si>
  <si>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</si>
  <si>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</si>
  <si>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</si>
  <si>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</si>
  <si>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</si>
  <si>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</si>
  <si>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</si>
  <si>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</si>
  <si>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</si>
  <si>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</si>
  <si>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</si>
  <si>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</si>
  <si>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</si>
  <si>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</si>
  <si>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</si>
  <si>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</si>
  <si>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</si>
  <si>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</si>
  <si>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</si>
  <si>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</si>
  <si>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</si>
  <si>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</si>
  <si>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</si>
  <si>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</si>
  <si>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</si>
  <si>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</si>
  <si>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</si>
  <si>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</si>
  <si>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</si>
  <si>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</si>
  <si>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</si>
  <si>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</si>
  <si>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</si>
  <si>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</si>
  <si>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</si>
  <si>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</si>
  <si>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</si>
  <si>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</si>
  <si>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</si>
  <si>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</si>
  <si>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</si>
  <si>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</si>
  <si>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</si>
  <si>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</si>
  <si>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</si>
  <si>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</si>
  <si>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</si>
  <si>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</si>
  <si>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</si>
  <si>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</si>
  <si>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</si>
  <si>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</si>
  <si>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</si>
  <si>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</si>
  <si>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</si>
  <si>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</si>
  <si>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</si>
  <si>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</si>
  <si>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</si>
  <si>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</si>
  <si>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</si>
  <si>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</si>
  <si>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</si>
  <si>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</si>
  <si>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</si>
  <si>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</si>
  <si>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</si>
  <si>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</si>
  <si>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</si>
  <si>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</si>
  <si>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</si>
  <si>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</si>
  <si>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</si>
  <si>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</si>
  <si>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</si>
  <si>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</si>
  <si>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</si>
  <si>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</si>
  <si>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</si>
  <si>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</si>
  <si>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</si>
  <si>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</si>
  <si>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</si>
  <si>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</si>
  <si>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</si>
  <si>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</si>
  <si>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</si>
  <si>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</si>
  <si>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</si>
  <si>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</si>
  <si>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</si>
  <si>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</si>
  <si>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</si>
  <si>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</si>
  <si>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</si>
  <si>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</si>
  <si>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</si>
  <si>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</si>
  <si>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</si>
  <si>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</si>
  <si>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</si>
  <si>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</si>
  <si>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</si>
  <si>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</si>
  <si>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</si>
  <si>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</si>
  <si>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</si>
  <si>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</si>
  <si>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</si>
  <si>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</si>
  <si>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</si>
  <si>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</si>
  <si>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</si>
  <si>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</si>
  <si>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</si>
  <si>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</si>
  <si>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</si>
  <si>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</si>
  <si>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</si>
  <si>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</si>
  <si>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</si>
  <si>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</si>
  <si>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</si>
  <si>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</si>
  <si>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</si>
  <si>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</si>
  <si>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</si>
  <si>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</si>
  <si>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</si>
  <si>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</si>
  <si>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</si>
  <si>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</si>
  <si>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</si>
  <si>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</si>
  <si>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</si>
  <si>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</si>
  <si>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</si>
  <si>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</si>
  <si>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</si>
  <si>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</si>
  <si>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</si>
  <si>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</si>
  <si>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</si>
  <si>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</si>
  <si>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</si>
  <si>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</si>
  <si>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</si>
  <si>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</si>
  <si>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</si>
  <si>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</si>
  <si>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</si>
  <si>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</si>
  <si>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</si>
  <si>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</si>
  <si>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</si>
  <si>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</si>
  <si>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</si>
  <si>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</si>
  <si>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</si>
  <si>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</si>
  <si>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</si>
  <si>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</si>
  <si>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</si>
  <si>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</si>
  <si>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</si>
  <si>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</si>
  <si>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</si>
  <si>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</si>
  <si>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</si>
  <si>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</si>
  <si>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</si>
  <si>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</si>
  <si>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</si>
  <si>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</si>
  <si>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</si>
  <si>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</si>
  <si>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</si>
  <si>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</si>
  <si>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</si>
  <si>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</si>
  <si>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</si>
  <si>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</si>
  <si>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</si>
  <si>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</si>
  <si>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</si>
  <si>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</si>
  <si>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</si>
  <si>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</si>
  <si>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</si>
  <si>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</si>
  <si>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</si>
  <si>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</si>
  <si>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AP5:- WIP
AP6:- Balance</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</si>
  <si>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</si>
  <si>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</si>
  <si>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</si>
  <si>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</si>
  <si>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</si>
  <si>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</si>
  <si>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</si>
  <si>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</si>
  <si>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</si>
  <si>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</si>
  <si>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Please refer daily progress report. Police support taken on 14.11.25 but the locations remains on under hindrance.</t>
  </si>
  <si>
    <t>Erection Method</t>
  </si>
  <si>
    <t>3 leg Completed. 1 leg is in ROW. Gang idle.</t>
  </si>
  <si>
    <r>
      <rPr>
        <b/>
        <i/>
        <sz val="11"/>
        <rFont val="Calibri"/>
        <family val="2"/>
        <scheme val="minor"/>
      </rPr>
      <t xml:space="preserve">WIP- </t>
    </r>
    <r>
      <rPr>
        <i/>
        <sz val="11"/>
        <rFont val="Calibri"/>
        <family val="2"/>
        <scheme val="minor"/>
      </rPr>
      <t xml:space="preserve">
Completed:- </t>
    </r>
  </si>
  <si>
    <t>Jai Bagrangbali</t>
  </si>
  <si>
    <t>6th Phase paying out completed.</t>
  </si>
  <si>
    <t>S. Len-P.O</t>
  </si>
  <si>
    <t>P/O-F/S</t>
  </si>
  <si>
    <t>1st Section WIP</t>
  </si>
  <si>
    <t>AP5:- Completed
AP6:- WIP</t>
  </si>
  <si>
    <t>Dular Chand Patel</t>
  </si>
  <si>
    <t>M</t>
  </si>
  <si>
    <t>Bototm Section WIP</t>
  </si>
  <si>
    <t>6/0, 7/0, 10/7, 10/16, 26/8, 27/5, 27/12, 34/0, 41/0, 43/2</t>
  </si>
  <si>
    <t>1 Gang moved in PKG G.</t>
  </si>
  <si>
    <t>Prompt clearances required in below ROW locations 8/6, 8/8, 10/2, 21/1 (1 Pit Balance).
Note:- Idling :- Gang-1 JSR:- idle from 14.11.25 to till date.
Vishwakarma Const.:- Earlier gang worked in 19/12 G, from  22.11.25 to date gang is continiously idled with machinery.</t>
  </si>
  <si>
    <t>Cage 2 Completed.</t>
  </si>
  <si>
    <t>Cage 2 WIP.</t>
  </si>
  <si>
    <t>Cage WIP.</t>
  </si>
  <si>
    <t>2nd Section Completed.</t>
  </si>
  <si>
    <t>Ground Assembly WIP.</t>
  </si>
  <si>
    <t>2 phase Final Sag</t>
  </si>
  <si>
    <t>7 tower insulator hoisting done.</t>
  </si>
  <si>
    <t>Final sag completed.</t>
  </si>
  <si>
    <t>6th phase paying out WIP.</t>
  </si>
  <si>
    <t>Shifting at next locations in PKG G.</t>
  </si>
  <si>
    <t>AP7:- Completed
AP8:- Balance</t>
  </si>
  <si>
    <r>
      <rPr>
        <b/>
        <i/>
        <sz val="11"/>
        <rFont val="Calibri"/>
        <family val="2"/>
        <scheme val="minor"/>
      </rPr>
      <t xml:space="preserve">WIP- </t>
    </r>
    <r>
      <rPr>
        <i/>
        <sz val="11"/>
        <rFont val="Calibri"/>
        <family val="2"/>
        <scheme val="minor"/>
      </rPr>
      <t>6/0, 10/7, 10/16, 26/8, 27/5, 27/12, 34/0, 41/0, 43/2
Today Completed - 7/0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</si>
</sst>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88">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0" fontId="50" fillId="3" borderId="1" xfId="0" applyFont="1" applyFill="1" applyBorder="1" applyAlignment="1">
      <alignment horizontal="center" vertical="center"/>
    </xf>
    <xf numFmtId="0" fontId="50" fillId="3" borderId="1" xfId="0" quotePrefix="1" applyFont="1" applyFill="1" applyBorder="1" applyAlignment="1">
      <alignment horizontal="center" vertical="center"/>
    </xf>
    <xf numFmtId="0" fontId="50" fillId="3" borderId="1" xfId="0" applyFont="1" applyFill="1" applyBorder="1" applyAlignment="1">
      <alignment vertical="center" wrapText="1"/>
    </xf>
    <xf numFmtId="2" fontId="50" fillId="3" borderId="1" xfId="0" applyNumberFormat="1" applyFont="1" applyFill="1" applyBorder="1" applyAlignment="1">
      <alignment horizontal="center" vertical="center"/>
    </xf>
    <xf numFmtId="15" fontId="50" fillId="3" borderId="1" xfId="0" applyNumberFormat="1" applyFont="1" applyFill="1" applyBorder="1" applyAlignment="1">
      <alignment horizontal="center" vertical="center"/>
    </xf>
    <xf numFmtId="0" fontId="50" fillId="3" borderId="1" xfId="0" applyFont="1" applyFill="1" applyBorder="1">
      <alignment vertical="center"/>
    </xf>
    <xf numFmtId="0" fontId="50" fillId="3" borderId="0" xfId="0" applyFont="1" applyFill="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lignment vertical="center"/>
    </xf>
    <xf numFmtId="165" fontId="50" fillId="4" borderId="1" xfId="0" applyNumberFormat="1" applyFont="1" applyFill="1" applyBorder="1" applyAlignment="1">
      <alignment horizontal="center" vertical="center"/>
    </xf>
    <xf numFmtId="15" fontId="50" fillId="4" borderId="1" xfId="0" applyNumberFormat="1" applyFont="1" applyFill="1" applyBorder="1" applyAlignment="1">
      <alignment horizontal="center" vertical="center"/>
    </xf>
    <xf numFmtId="0" fontId="50" fillId="4" borderId="0" xfId="0" applyFont="1" applyFill="1">
      <alignment vertical="center"/>
    </xf>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0" fontId="90" fillId="4" borderId="17" xfId="0" quotePrefix="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xf numFmtId="0" fontId="92" fillId="4" borderId="0" xfId="0" applyFont="1" applyFill="1" applyAlignment="1">
      <alignment horizontal="center"/>
    </xf>
    <xf numFmtId="16" fontId="50" fillId="3" borderId="1" xfId="0" applyNumberFormat="1" applyFont="1" applyFill="1" applyBorder="1" applyAlignment="1">
      <alignment horizontal="center"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2" fillId="3" borderId="16" xfId="0" applyFont="1" applyFill="1" applyBorder="1" applyAlignment="1">
      <alignment horizontal="center" vertical="center"/>
    </xf>
    <xf numFmtId="0" fontId="92" fillId="3" borderId="17" xfId="0" applyFont="1" applyFill="1" applyBorder="1" applyAlignment="1">
      <alignment horizontal="center" vertical="center"/>
    </xf>
    <xf numFmtId="16" fontId="92" fillId="3" borderId="17" xfId="0" quotePrefix="1" applyNumberFormat="1" applyFont="1" applyFill="1" applyBorder="1" applyAlignment="1">
      <alignment horizontal="center" vertical="center"/>
    </xf>
    <xf numFmtId="0" fontId="90" fillId="3" borderId="17" xfId="0" quotePrefix="1" applyFont="1" applyFill="1" applyBorder="1" applyAlignment="1">
      <alignment horizontal="center" vertical="center"/>
    </xf>
    <xf numFmtId="169" fontId="90" fillId="3" borderId="13" xfId="0" applyNumberFormat="1" applyFont="1" applyFill="1" applyBorder="1" applyAlignment="1">
      <alignment horizontal="center" vertical="center"/>
    </xf>
    <xf numFmtId="166" fontId="92" fillId="3" borderId="17" xfId="0" applyNumberFormat="1" applyFont="1" applyFill="1" applyBorder="1" applyAlignment="1">
      <alignment horizontal="left" vertical="center"/>
    </xf>
    <xf numFmtId="166" fontId="92" fillId="3" borderId="17" xfId="0" applyNumberFormat="1" applyFont="1" applyFill="1" applyBorder="1" applyAlignment="1">
      <alignment horizontal="center" vertical="center"/>
    </xf>
    <xf numFmtId="0" fontId="92" fillId="3" borderId="0" xfId="0" applyFont="1" applyFill="1" applyAlignment="1"/>
    <xf numFmtId="0" fontId="92" fillId="3" borderId="0" xfId="0" applyFont="1" applyFill="1" applyAlignment="1">
      <alignment horizontal="center"/>
    </xf>
    <xf numFmtId="0" fontId="90" fillId="3" borderId="16" xfId="0" applyFont="1" applyFill="1" applyBorder="1" applyAlignment="1">
      <alignment horizontal="center" vertical="center"/>
    </xf>
    <xf numFmtId="0" fontId="90" fillId="3" borderId="17" xfId="0" applyFont="1" applyFill="1" applyBorder="1" applyAlignment="1">
      <alignment horizontal="center" vertical="center"/>
    </xf>
    <xf numFmtId="16" fontId="90" fillId="3" borderId="17" xfId="0" quotePrefix="1" applyNumberFormat="1" applyFont="1" applyFill="1" applyBorder="1" applyAlignment="1">
      <alignment horizontal="center" vertical="center"/>
    </xf>
    <xf numFmtId="166" fontId="90" fillId="3" borderId="17" xfId="0" applyNumberFormat="1" applyFont="1" applyFill="1" applyBorder="1" applyAlignment="1">
      <alignment horizontal="left" vertical="center"/>
    </xf>
    <xf numFmtId="166" fontId="90" fillId="3" borderId="17" xfId="0" applyNumberFormat="1" applyFont="1" applyFill="1" applyBorder="1" applyAlignment="1">
      <alignment horizontal="center" vertical="center"/>
    </xf>
    <xf numFmtId="0" fontId="90" fillId="3" borderId="0" xfId="0" applyFont="1" applyFill="1" applyAlignment="1">
      <alignment horizontal="center"/>
    </xf>
    <xf numFmtId="0" fontId="90" fillId="3" borderId="0" xfId="0" applyFont="1" applyFill="1" applyAlignment="1"/>
    <xf numFmtId="0" fontId="92" fillId="3" borderId="17" xfId="0" quotePrefix="1" applyFont="1" applyFill="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FF99FF"/>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H5" activePane="bottomRight" state="frozen"/>
      <selection pane="topRight" activeCell="G1" sqref="G1"/>
      <selection pane="bottomLeft" activeCell="A5" sqref="A5"/>
      <selection pane="bottomRight" activeCell="O4" sqref="O4"/>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30.2851562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93" t="e" vm="1">
        <v>#VALUE!</v>
      </c>
      <c r="B1" s="213" t="s">
        <v>147</v>
      </c>
      <c r="C1" s="212" t="s">
        <v>1238</v>
      </c>
      <c r="D1" s="98" t="s">
        <v>0</v>
      </c>
      <c r="E1" s="801">
        <f ca="1">+TODAY()</f>
        <v>45989</v>
      </c>
      <c r="F1" s="802"/>
      <c r="G1" s="99" t="s">
        <v>143</v>
      </c>
      <c r="H1" s="796" t="s">
        <v>353</v>
      </c>
      <c r="I1" s="796"/>
      <c r="J1" s="99" t="s">
        <v>1366</v>
      </c>
      <c r="K1" s="100" t="s">
        <v>1285</v>
      </c>
      <c r="L1" s="99" t="s">
        <v>21</v>
      </c>
      <c r="M1" s="790" t="s">
        <v>1203</v>
      </c>
      <c r="N1" s="792"/>
      <c r="Q1" s="466" t="s">
        <v>1254</v>
      </c>
    </row>
    <row r="2" spans="1:17" ht="30" customHeight="1" x14ac:dyDescent="0.25">
      <c r="A2" s="794"/>
      <c r="B2" s="97" t="s">
        <v>112</v>
      </c>
      <c r="C2" s="798" t="s">
        <v>1308</v>
      </c>
      <c r="D2" s="799"/>
      <c r="E2" s="799"/>
      <c r="F2" s="800"/>
      <c r="G2" s="99" t="s">
        <v>18</v>
      </c>
      <c r="H2" s="790" t="s">
        <v>1453</v>
      </c>
      <c r="I2" s="791"/>
      <c r="J2" s="791"/>
      <c r="K2" s="792"/>
      <c r="L2" s="99" t="s">
        <v>1</v>
      </c>
      <c r="M2" s="790" t="s">
        <v>148</v>
      </c>
      <c r="N2" s="792"/>
      <c r="Q2" s="467" t="s">
        <v>1240</v>
      </c>
    </row>
    <row r="3" spans="1:17" ht="30" x14ac:dyDescent="0.25">
      <c r="A3" s="795"/>
      <c r="B3" s="97" t="s">
        <v>1236</v>
      </c>
      <c r="C3" s="798" t="s">
        <v>1307</v>
      </c>
      <c r="D3" s="799"/>
      <c r="E3" s="799"/>
      <c r="F3" s="800"/>
      <c r="G3" s="99" t="s">
        <v>348</v>
      </c>
      <c r="H3" s="803">
        <v>45266</v>
      </c>
      <c r="I3" s="803"/>
      <c r="J3" s="99" t="s">
        <v>5</v>
      </c>
      <c r="K3" s="480">
        <v>45961</v>
      </c>
      <c r="L3" s="97" t="s">
        <v>17</v>
      </c>
      <c r="M3" s="804" t="s">
        <v>665</v>
      </c>
      <c r="N3" s="804"/>
      <c r="Q3" s="468" t="s">
        <v>1241</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1237</v>
      </c>
      <c r="O4" s="682" t="s">
        <v>1528</v>
      </c>
      <c r="Q4" s="468" t="s">
        <v>1242</v>
      </c>
    </row>
    <row r="5" spans="1:17" s="8" customFormat="1" ht="30" x14ac:dyDescent="0.25">
      <c r="A5" s="120">
        <v>1</v>
      </c>
      <c r="B5" s="646" t="s">
        <v>1635</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1243</v>
      </c>
    </row>
    <row r="6" spans="1:17" s="8" customFormat="1" ht="105" x14ac:dyDescent="0.25">
      <c r="A6" s="113">
        <v>2</v>
      </c>
      <c r="B6" s="492" t="s">
        <v>340</v>
      </c>
      <c r="C6" s="113">
        <v>485</v>
      </c>
      <c r="D6" s="113">
        <v>478</v>
      </c>
      <c r="E6" s="113">
        <f t="shared" si="0"/>
        <v>7</v>
      </c>
      <c r="F6" s="113">
        <v>7</v>
      </c>
      <c r="G6" s="113"/>
      <c r="H6" s="113">
        <v>3</v>
      </c>
      <c r="I6" s="113"/>
      <c r="J6" s="113">
        <f t="shared" si="1"/>
        <v>481</v>
      </c>
      <c r="K6" s="113">
        <f t="shared" si="2"/>
        <v>4</v>
      </c>
      <c r="L6" s="113">
        <v>2</v>
      </c>
      <c r="M6" s="756" t="s">
        <v>1728</v>
      </c>
      <c r="N6" s="585" t="s">
        <v>1740</v>
      </c>
      <c r="O6" s="681">
        <f t="shared" ref="O6:O12" si="3">(J6/C6)*100</f>
        <v>99.175257731958766</v>
      </c>
      <c r="P6" s="631"/>
      <c r="Q6" s="468" t="s">
        <v>1244</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2</v>
      </c>
      <c r="M7" s="102"/>
      <c r="N7" s="103"/>
      <c r="O7" s="681">
        <f t="shared" si="3"/>
        <v>98.55670103092784</v>
      </c>
      <c r="Q7" s="468" t="s">
        <v>1245</v>
      </c>
    </row>
    <row r="8" spans="1:17" s="8" customFormat="1" ht="45" x14ac:dyDescent="0.25">
      <c r="A8" s="113">
        <v>4</v>
      </c>
      <c r="B8" s="492" t="s">
        <v>111</v>
      </c>
      <c r="C8" s="113">
        <v>485</v>
      </c>
      <c r="D8" s="113">
        <v>375</v>
      </c>
      <c r="E8" s="113">
        <f t="shared" si="0"/>
        <v>110</v>
      </c>
      <c r="F8" s="113">
        <v>33</v>
      </c>
      <c r="G8" s="113">
        <v>1</v>
      </c>
      <c r="H8" s="113">
        <v>28</v>
      </c>
      <c r="I8" s="113">
        <v>9</v>
      </c>
      <c r="J8" s="113">
        <f t="shared" si="1"/>
        <v>403</v>
      </c>
      <c r="K8" s="113">
        <f t="shared" si="2"/>
        <v>82</v>
      </c>
      <c r="L8" s="113">
        <v>10</v>
      </c>
      <c r="M8" s="672" t="s">
        <v>1752</v>
      </c>
      <c r="N8" s="716" t="s">
        <v>1739</v>
      </c>
      <c r="O8" s="681">
        <f t="shared" si="3"/>
        <v>83.092783505154642</v>
      </c>
      <c r="Q8" s="468" t="s">
        <v>1246</v>
      </c>
    </row>
    <row r="9" spans="1:17" s="8" customFormat="1" ht="30" x14ac:dyDescent="0.25">
      <c r="A9" s="113">
        <v>5</v>
      </c>
      <c r="B9" s="492" t="s">
        <v>226</v>
      </c>
      <c r="C9" s="113">
        <v>485</v>
      </c>
      <c r="D9" s="113">
        <v>205</v>
      </c>
      <c r="E9" s="113">
        <f t="shared" si="0"/>
        <v>280</v>
      </c>
      <c r="F9" s="113">
        <f>F8</f>
        <v>33</v>
      </c>
      <c r="G9" s="113"/>
      <c r="H9" s="113">
        <v>18</v>
      </c>
      <c r="I9" s="113"/>
      <c r="J9" s="113">
        <f t="shared" si="1"/>
        <v>223</v>
      </c>
      <c r="K9" s="113">
        <f t="shared" si="2"/>
        <v>262</v>
      </c>
      <c r="L9" s="113">
        <v>1</v>
      </c>
      <c r="M9" s="105"/>
      <c r="N9" s="103"/>
      <c r="O9" s="681">
        <f t="shared" si="3"/>
        <v>45.979381443298969</v>
      </c>
      <c r="Q9" s="468" t="s">
        <v>1247</v>
      </c>
    </row>
    <row r="10" spans="1:17" s="8" customFormat="1" ht="30" x14ac:dyDescent="0.25">
      <c r="A10" s="113">
        <v>6</v>
      </c>
      <c r="B10" s="492" t="s">
        <v>342</v>
      </c>
      <c r="C10" s="113">
        <f>C5</f>
        <v>191.37299999999999</v>
      </c>
      <c r="D10" s="113">
        <v>47.295999999999999</v>
      </c>
      <c r="E10" s="113">
        <f t="shared" si="0"/>
        <v>144.077</v>
      </c>
      <c r="F10" s="114">
        <v>18</v>
      </c>
      <c r="G10" s="555"/>
      <c r="H10" s="191">
        <v>9.1259999999999994</v>
      </c>
      <c r="I10" s="192">
        <f>Stringing!G27</f>
        <v>3.4260000000000019</v>
      </c>
      <c r="J10" s="191">
        <f t="shared" si="1"/>
        <v>56.421999999999997</v>
      </c>
      <c r="K10" s="113">
        <f t="shared" si="2"/>
        <v>134.95099999999999</v>
      </c>
      <c r="L10" s="805">
        <v>2</v>
      </c>
      <c r="M10" s="492"/>
      <c r="N10" s="553"/>
      <c r="O10" s="681">
        <f t="shared" si="3"/>
        <v>29.482737899285688</v>
      </c>
      <c r="Q10" s="468" t="s">
        <v>1248</v>
      </c>
    </row>
    <row r="11" spans="1:17" s="8" customFormat="1" ht="30" x14ac:dyDescent="0.25">
      <c r="A11" s="113">
        <v>7</v>
      </c>
      <c r="B11" s="492" t="s">
        <v>343</v>
      </c>
      <c r="C11" s="555">
        <f>C10</f>
        <v>191.37299999999999</v>
      </c>
      <c r="D11" s="113">
        <v>47.297999999999995</v>
      </c>
      <c r="E11" s="555">
        <f t="shared" si="0"/>
        <v>144.07499999999999</v>
      </c>
      <c r="F11" s="113">
        <v>18</v>
      </c>
      <c r="G11" s="191"/>
      <c r="H11" s="191">
        <v>1.8480000000000001</v>
      </c>
      <c r="I11" s="191">
        <f>Stringing!G28</f>
        <v>7.4979999999999976</v>
      </c>
      <c r="J11" s="191">
        <f t="shared" si="1"/>
        <v>49.145999999999994</v>
      </c>
      <c r="K11" s="113">
        <f t="shared" si="2"/>
        <v>142.227</v>
      </c>
      <c r="L11" s="806"/>
      <c r="M11" s="492"/>
      <c r="N11" s="103"/>
      <c r="O11" s="681">
        <f t="shared" si="3"/>
        <v>25.680738662193725</v>
      </c>
      <c r="Q11" s="468" t="s">
        <v>1249</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1250</v>
      </c>
    </row>
    <row r="13" spans="1:17" x14ac:dyDescent="0.25">
      <c r="A13" s="797"/>
      <c r="B13" s="797"/>
      <c r="C13" s="797"/>
      <c r="D13" s="797"/>
      <c r="E13" s="797"/>
      <c r="F13" s="797"/>
      <c r="G13" s="797"/>
      <c r="H13" s="797"/>
      <c r="I13" s="797"/>
      <c r="J13" s="797"/>
      <c r="K13" s="797"/>
      <c r="L13" s="797"/>
      <c r="M13" s="797"/>
      <c r="N13" s="797"/>
      <c r="Q13" s="468" t="s">
        <v>1251</v>
      </c>
    </row>
    <row r="14" spans="1:17" x14ac:dyDescent="0.25">
      <c r="A14" s="786" t="s">
        <v>1231</v>
      </c>
      <c r="B14" s="786"/>
      <c r="C14" s="786"/>
      <c r="D14" s="786"/>
      <c r="E14" s="786"/>
      <c r="F14" s="786"/>
      <c r="G14" s="786"/>
      <c r="H14" s="6"/>
      <c r="I14" s="6"/>
      <c r="J14" s="6"/>
      <c r="K14" s="6"/>
      <c r="L14" s="6"/>
      <c r="M14" s="6"/>
      <c r="N14" s="6"/>
      <c r="Q14" s="468" t="s">
        <v>1252</v>
      </c>
    </row>
    <row r="15" spans="1:17" x14ac:dyDescent="0.25">
      <c r="A15" s="787"/>
      <c r="B15" s="788"/>
      <c r="C15" s="788"/>
      <c r="D15" s="788"/>
      <c r="E15" s="788"/>
      <c r="F15" s="788"/>
      <c r="G15" s="789"/>
      <c r="H15" s="6"/>
      <c r="I15" s="6"/>
      <c r="J15" s="6"/>
      <c r="K15" s="632"/>
      <c r="L15" s="6"/>
      <c r="M15" s="696"/>
      <c r="N15" s="6"/>
      <c r="Q15" s="468" t="s">
        <v>1253</v>
      </c>
    </row>
    <row r="16" spans="1:17" x14ac:dyDescent="0.25">
      <c r="A16" s="784" t="s">
        <v>1233</v>
      </c>
      <c r="B16" s="784"/>
      <c r="C16" s="784"/>
      <c r="D16" s="784"/>
      <c r="E16" s="784"/>
      <c r="F16" s="784"/>
      <c r="G16" s="784"/>
      <c r="H16" s="6"/>
      <c r="J16" s="6"/>
      <c r="K16" s="6"/>
      <c r="L16" s="6"/>
      <c r="M16" s="6"/>
      <c r="N16" s="6"/>
      <c r="Q16" s="473" t="s">
        <v>1297</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3</v>
      </c>
      <c r="C18" s="201">
        <f>I6</f>
        <v>0</v>
      </c>
      <c r="D18" s="201">
        <f>'Page Chart'!N4</f>
        <v>0</v>
      </c>
      <c r="E18" s="203">
        <f>A18-B18-C18-D18</f>
        <v>4</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84" t="s">
        <v>1234</v>
      </c>
      <c r="B20" s="784"/>
      <c r="C20" s="784"/>
      <c r="D20" s="784"/>
      <c r="E20" s="784"/>
      <c r="F20" s="784"/>
      <c r="G20" s="784"/>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28</v>
      </c>
      <c r="C22" s="203">
        <f>I8</f>
        <v>9</v>
      </c>
      <c r="D22" s="203">
        <f>'Page Chart'!S4+'Page Chart'!U4-F22</f>
        <v>17</v>
      </c>
      <c r="E22" s="203">
        <f>'Page Chart'!T4</f>
        <v>49</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85" t="s">
        <v>1235</v>
      </c>
      <c r="B24" s="785"/>
      <c r="C24" s="785"/>
      <c r="D24" s="785"/>
      <c r="E24" s="785"/>
      <c r="F24" s="785"/>
      <c r="G24" s="785"/>
      <c r="H24" s="6"/>
      <c r="I24" s="6"/>
      <c r="J24" s="6"/>
      <c r="K24" s="6"/>
      <c r="L24" s="6"/>
      <c r="M24" s="6"/>
      <c r="N24" s="6"/>
    </row>
    <row r="25" spans="1:17" ht="75" hidden="1" x14ac:dyDescent="0.25">
      <c r="A25" s="3" t="s">
        <v>228</v>
      </c>
      <c r="B25" s="3" t="s">
        <v>229</v>
      </c>
      <c r="C25" s="4" t="s">
        <v>124</v>
      </c>
      <c r="D25" s="110" t="s">
        <v>146</v>
      </c>
      <c r="E25" s="109" t="s">
        <v>129</v>
      </c>
      <c r="F25" s="200" t="s">
        <v>1232</v>
      </c>
      <c r="G25" s="111" t="s">
        <v>1637</v>
      </c>
      <c r="H25" s="6"/>
      <c r="I25" s="6"/>
      <c r="J25" s="6"/>
      <c r="K25" s="6"/>
      <c r="L25" s="6"/>
      <c r="M25" s="6"/>
      <c r="N25" s="6"/>
    </row>
    <row r="26" spans="1:17" hidden="1" x14ac:dyDescent="0.25">
      <c r="A26" s="5">
        <f>E10</f>
        <v>144.077</v>
      </c>
      <c r="B26" s="5">
        <f>H10</f>
        <v>9.1259999999999994</v>
      </c>
      <c r="C26" s="207">
        <f>I10</f>
        <v>3.4260000000000019</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1641</v>
      </c>
      <c r="B1" s="727" t="s">
        <v>1642</v>
      </c>
      <c r="C1" s="727" t="s">
        <v>1643</v>
      </c>
      <c r="D1" s="727" t="s">
        <v>1644</v>
      </c>
      <c r="E1" s="727" t="s">
        <v>1645</v>
      </c>
      <c r="F1" s="727" t="s">
        <v>1</v>
      </c>
      <c r="G1" s="727" t="s">
        <v>1646</v>
      </c>
      <c r="H1" s="727" t="s">
        <v>21</v>
      </c>
      <c r="I1" s="727" t="s">
        <v>1647</v>
      </c>
      <c r="J1" s="727" t="s">
        <v>1289</v>
      </c>
      <c r="K1" s="727" t="s">
        <v>1648</v>
      </c>
    </row>
    <row r="2" spans="1:11" x14ac:dyDescent="0.25">
      <c r="A2" s="728" t="s">
        <v>1649</v>
      </c>
      <c r="B2" s="728" t="s">
        <v>1650</v>
      </c>
      <c r="C2" s="728" t="s">
        <v>1651</v>
      </c>
      <c r="D2" s="729">
        <v>45266</v>
      </c>
      <c r="E2" s="729">
        <v>45960</v>
      </c>
      <c r="F2" s="728" t="s">
        <v>1652</v>
      </c>
      <c r="G2" s="728" t="s">
        <v>1653</v>
      </c>
      <c r="H2" s="728" t="s">
        <v>1654</v>
      </c>
      <c r="I2" s="728" t="s">
        <v>1655</v>
      </c>
      <c r="J2" s="728" t="s">
        <v>662</v>
      </c>
      <c r="K2" s="728" t="s">
        <v>1656</v>
      </c>
    </row>
    <row r="3" spans="1:11" x14ac:dyDescent="0.25">
      <c r="A3" s="728"/>
      <c r="B3" s="728"/>
      <c r="C3" s="728"/>
      <c r="D3" s="728"/>
      <c r="E3" s="728"/>
      <c r="F3" s="728"/>
      <c r="G3" s="728"/>
      <c r="H3" s="728"/>
      <c r="I3" s="728"/>
      <c r="J3" s="728" t="s">
        <v>1288</v>
      </c>
      <c r="K3" s="728" t="s">
        <v>1657</v>
      </c>
    </row>
    <row r="4" spans="1:11" x14ac:dyDescent="0.25">
      <c r="A4" s="728"/>
      <c r="B4" s="728"/>
      <c r="C4" s="728"/>
      <c r="D4" s="728"/>
      <c r="E4" s="729"/>
      <c r="F4" s="728"/>
      <c r="G4" s="728"/>
      <c r="H4" s="728"/>
      <c r="I4" s="728"/>
      <c r="J4" s="728" t="s">
        <v>1658</v>
      </c>
      <c r="K4" s="728" t="s">
        <v>1659</v>
      </c>
    </row>
    <row r="5" spans="1:11" x14ac:dyDescent="0.25">
      <c r="A5" s="728"/>
      <c r="B5" s="728"/>
      <c r="C5" s="728"/>
      <c r="D5" s="728"/>
      <c r="E5" s="728"/>
      <c r="F5" s="728"/>
      <c r="G5" s="728"/>
      <c r="H5" s="728"/>
      <c r="I5" s="728"/>
      <c r="J5" s="728" t="s">
        <v>1660</v>
      </c>
      <c r="K5" s="728" t="s">
        <v>1661</v>
      </c>
    </row>
    <row r="6" spans="1:11" x14ac:dyDescent="0.25">
      <c r="A6" s="728"/>
      <c r="B6" s="728"/>
      <c r="C6" s="728"/>
      <c r="D6" s="728"/>
      <c r="E6" s="728"/>
      <c r="F6" s="728"/>
      <c r="G6" s="728"/>
      <c r="H6" s="728"/>
      <c r="I6" s="728"/>
      <c r="J6" s="728" t="s">
        <v>1296</v>
      </c>
      <c r="K6" s="728" t="s">
        <v>1662</v>
      </c>
    </row>
    <row r="7" spans="1:11" x14ac:dyDescent="0.25">
      <c r="A7" s="728"/>
      <c r="B7" s="729"/>
      <c r="C7" s="728"/>
      <c r="D7" s="728"/>
      <c r="E7" s="728"/>
      <c r="F7" s="728"/>
      <c r="G7" s="728"/>
      <c r="H7" s="728"/>
      <c r="I7" s="728"/>
      <c r="J7" s="728"/>
      <c r="K7" s="728" t="s">
        <v>1663</v>
      </c>
    </row>
    <row r="8" spans="1:11" x14ac:dyDescent="0.25">
      <c r="A8" s="728"/>
      <c r="B8" s="728"/>
      <c r="C8" s="728"/>
      <c r="D8" s="728"/>
      <c r="E8" s="728"/>
      <c r="F8" s="728"/>
      <c r="G8" s="728"/>
      <c r="H8" s="728"/>
      <c r="I8" s="728"/>
      <c r="J8" s="728"/>
      <c r="K8" s="728" t="s">
        <v>1664</v>
      </c>
    </row>
    <row r="9" spans="1:11" x14ac:dyDescent="0.25">
      <c r="A9" s="728"/>
      <c r="B9" s="728"/>
      <c r="C9" s="728"/>
      <c r="D9" s="728"/>
      <c r="E9" s="728"/>
      <c r="F9" s="728"/>
      <c r="G9" s="728"/>
      <c r="H9" s="728"/>
      <c r="I9" s="728"/>
      <c r="J9" s="728"/>
      <c r="K9" s="728" t="s">
        <v>1665</v>
      </c>
    </row>
    <row r="10" spans="1:11" x14ac:dyDescent="0.25">
      <c r="A10" s="728"/>
      <c r="B10" s="728"/>
      <c r="C10" s="728"/>
      <c r="D10" s="728"/>
      <c r="E10" s="728"/>
      <c r="F10" s="728"/>
      <c r="G10" s="728"/>
      <c r="H10" s="728"/>
      <c r="I10" s="728"/>
      <c r="J10" s="728"/>
      <c r="K10" s="728" t="s">
        <v>1666</v>
      </c>
    </row>
    <row r="11" spans="1:11" x14ac:dyDescent="0.25">
      <c r="A11" s="728"/>
      <c r="B11" s="728"/>
      <c r="C11" s="728"/>
      <c r="D11" s="728"/>
      <c r="E11" s="728"/>
      <c r="F11" s="728"/>
      <c r="G11" s="728"/>
      <c r="H11" s="728"/>
      <c r="I11" s="728"/>
      <c r="J11" s="728"/>
      <c r="K11" s="728" t="s">
        <v>1667</v>
      </c>
    </row>
    <row r="12" spans="1:11" x14ac:dyDescent="0.25">
      <c r="A12" s="728"/>
      <c r="B12" s="728"/>
      <c r="C12" s="728"/>
      <c r="D12" s="728"/>
      <c r="E12" s="728"/>
      <c r="F12" s="728"/>
      <c r="G12" s="728"/>
      <c r="H12" s="728"/>
      <c r="I12" s="728"/>
      <c r="J12" s="728"/>
      <c r="K12" s="728" t="s">
        <v>1538</v>
      </c>
    </row>
    <row r="13" spans="1:11" x14ac:dyDescent="0.25">
      <c r="A13" s="635"/>
      <c r="B13" s="635"/>
      <c r="C13" s="635"/>
      <c r="D13" s="635"/>
      <c r="E13" s="635"/>
      <c r="F13" s="635"/>
      <c r="G13" s="635"/>
      <c r="H13" s="635"/>
      <c r="I13" s="635"/>
      <c r="J13" s="635"/>
      <c r="K13" s="635" t="s">
        <v>1668</v>
      </c>
    </row>
    <row r="14" spans="1:11" x14ac:dyDescent="0.25">
      <c r="A14" s="635"/>
      <c r="B14" s="635"/>
      <c r="C14" s="635"/>
      <c r="D14" s="635"/>
      <c r="E14" s="635"/>
      <c r="F14" s="635"/>
      <c r="G14" s="635"/>
      <c r="H14" s="635"/>
      <c r="I14" s="635"/>
      <c r="J14" s="635"/>
      <c r="K14" s="635" t="s">
        <v>1669</v>
      </c>
    </row>
    <row r="15" spans="1:11" x14ac:dyDescent="0.25">
      <c r="A15" s="635"/>
      <c r="B15" s="635"/>
      <c r="C15" s="635"/>
      <c r="D15" s="635"/>
      <c r="E15" s="635"/>
      <c r="F15" s="635"/>
      <c r="G15" s="635"/>
      <c r="H15" s="635"/>
      <c r="I15" s="635"/>
      <c r="J15" s="635"/>
      <c r="K15" s="635" t="s">
        <v>1670</v>
      </c>
    </row>
    <row r="16" spans="1:11" x14ac:dyDescent="0.25">
      <c r="A16" s="635"/>
      <c r="B16" s="635"/>
      <c r="C16" s="635"/>
      <c r="D16" s="635"/>
      <c r="E16" s="635"/>
      <c r="F16" s="635"/>
      <c r="G16" s="635"/>
      <c r="H16" s="635"/>
      <c r="I16" s="635"/>
      <c r="J16" s="635"/>
      <c r="K16" s="635" t="s">
        <v>1671</v>
      </c>
    </row>
    <row r="17" spans="1:11" x14ac:dyDescent="0.25">
      <c r="A17" s="635"/>
      <c r="B17" s="635"/>
      <c r="C17" s="635"/>
      <c r="D17" s="635"/>
      <c r="E17" s="635"/>
      <c r="F17" s="635"/>
      <c r="G17" s="635"/>
      <c r="H17" s="635"/>
      <c r="I17" s="635"/>
      <c r="J17" s="635"/>
      <c r="K17" s="635" t="s">
        <v>1672</v>
      </c>
    </row>
    <row r="18" spans="1:11" x14ac:dyDescent="0.25">
      <c r="A18" s="635"/>
      <c r="B18" s="635"/>
      <c r="C18" s="635"/>
      <c r="D18" s="635"/>
      <c r="E18" s="635"/>
      <c r="F18" s="635"/>
      <c r="G18" s="635"/>
      <c r="H18" s="635"/>
      <c r="I18" s="635"/>
      <c r="J18" s="635"/>
      <c r="K18" s="635" t="s">
        <v>1673</v>
      </c>
    </row>
    <row r="19" spans="1:11" x14ac:dyDescent="0.25">
      <c r="A19" s="635"/>
      <c r="B19" s="635"/>
      <c r="C19" s="635"/>
      <c r="D19" s="635"/>
      <c r="E19" s="635"/>
      <c r="F19" s="635"/>
      <c r="G19" s="635"/>
      <c r="H19" s="635"/>
      <c r="I19" s="635"/>
      <c r="J19" s="635"/>
      <c r="K19" s="635" t="s">
        <v>1674</v>
      </c>
    </row>
    <row r="20" spans="1:11" x14ac:dyDescent="0.25">
      <c r="A20" s="635"/>
      <c r="B20" s="635"/>
      <c r="C20" s="635"/>
      <c r="D20" s="635"/>
      <c r="E20" s="635"/>
      <c r="F20" s="635"/>
      <c r="G20" s="635"/>
      <c r="H20" s="635"/>
      <c r="I20" s="635"/>
      <c r="J20" s="635"/>
      <c r="K20" s="635" t="s">
        <v>1675</v>
      </c>
    </row>
    <row r="21" spans="1:11" x14ac:dyDescent="0.25">
      <c r="A21" s="635"/>
      <c r="B21" s="635"/>
      <c r="C21" s="635"/>
      <c r="D21" s="635"/>
      <c r="E21" s="635"/>
      <c r="F21" s="635"/>
      <c r="G21" s="635"/>
      <c r="H21" s="635"/>
      <c r="I21" s="635"/>
      <c r="J21" s="635"/>
      <c r="K21" s="635" t="s">
        <v>1676</v>
      </c>
    </row>
    <row r="22" spans="1:11" x14ac:dyDescent="0.25">
      <c r="A22" s="635"/>
      <c r="B22" s="635"/>
      <c r="C22" s="635"/>
      <c r="D22" s="635"/>
      <c r="E22" s="635"/>
      <c r="F22" s="635"/>
      <c r="G22" s="635"/>
      <c r="H22" s="635"/>
      <c r="I22" s="635"/>
      <c r="J22" s="635"/>
      <c r="K22" s="635" t="s">
        <v>1677</v>
      </c>
    </row>
    <row r="23" spans="1:11" x14ac:dyDescent="0.25">
      <c r="A23" s="635"/>
      <c r="B23" s="635"/>
      <c r="C23" s="635"/>
      <c r="D23" s="635"/>
      <c r="E23" s="635"/>
      <c r="F23" s="635"/>
      <c r="G23" s="635"/>
      <c r="H23" s="635"/>
      <c r="I23" s="635"/>
      <c r="J23" s="635"/>
      <c r="K23" s="635" t="s">
        <v>1678</v>
      </c>
    </row>
    <row r="24" spans="1:11" x14ac:dyDescent="0.25">
      <c r="A24" s="635"/>
      <c r="B24" s="635"/>
      <c r="C24" s="635"/>
      <c r="D24" s="635"/>
      <c r="E24" s="635"/>
      <c r="F24" s="635"/>
      <c r="G24" s="635"/>
      <c r="H24" s="635"/>
      <c r="I24" s="635"/>
      <c r="J24" s="635"/>
      <c r="K24" s="635" t="s">
        <v>1679</v>
      </c>
    </row>
    <row r="25" spans="1:11" x14ac:dyDescent="0.25">
      <c r="A25" s="635"/>
      <c r="B25" s="635"/>
      <c r="C25" s="635"/>
      <c r="D25" s="635"/>
      <c r="E25" s="635"/>
      <c r="F25" s="635"/>
      <c r="G25" s="635"/>
      <c r="H25" s="635"/>
      <c r="I25" s="635"/>
      <c r="J25" s="635"/>
      <c r="K25" s="635" t="s">
        <v>1680</v>
      </c>
    </row>
    <row r="26" spans="1:11" x14ac:dyDescent="0.25">
      <c r="A26" s="635"/>
      <c r="B26" s="635"/>
      <c r="C26" s="635"/>
      <c r="D26" s="635"/>
      <c r="E26" s="635"/>
      <c r="F26" s="635"/>
      <c r="G26" s="635"/>
      <c r="H26" s="635"/>
      <c r="I26" s="635"/>
      <c r="J26" s="635"/>
      <c r="K26" s="635" t="s">
        <v>1681</v>
      </c>
    </row>
    <row r="27" spans="1:11" x14ac:dyDescent="0.25">
      <c r="A27" s="635"/>
      <c r="B27" s="635"/>
      <c r="C27" s="635"/>
      <c r="D27" s="635"/>
      <c r="E27" s="635"/>
      <c r="F27" s="635"/>
      <c r="G27" s="635"/>
      <c r="H27" s="635"/>
      <c r="I27" s="635"/>
      <c r="J27" s="635"/>
      <c r="K27" s="635" t="s">
        <v>1682</v>
      </c>
    </row>
    <row r="28" spans="1:11" x14ac:dyDescent="0.25">
      <c r="A28" s="635"/>
      <c r="B28" s="635"/>
      <c r="C28" s="635"/>
      <c r="D28" s="635"/>
      <c r="E28" s="635"/>
      <c r="F28" s="635"/>
      <c r="G28" s="635"/>
      <c r="H28" s="635"/>
      <c r="I28" s="635"/>
      <c r="J28" s="635"/>
      <c r="K28" s="635" t="s">
        <v>1683</v>
      </c>
    </row>
    <row r="29" spans="1:11" x14ac:dyDescent="0.25">
      <c r="A29" s="635"/>
      <c r="B29" s="635"/>
      <c r="C29" s="635"/>
      <c r="D29" s="635"/>
      <c r="E29" s="635"/>
      <c r="F29" s="635"/>
      <c r="G29" s="635"/>
      <c r="H29" s="635"/>
      <c r="I29" s="635"/>
      <c r="J29" s="635"/>
      <c r="K29" s="635" t="s">
        <v>1684</v>
      </c>
    </row>
    <row r="30" spans="1:11" x14ac:dyDescent="0.25">
      <c r="A30" s="635"/>
      <c r="B30" s="635"/>
      <c r="C30" s="635"/>
      <c r="D30" s="635"/>
      <c r="E30" s="635"/>
      <c r="F30" s="635"/>
      <c r="G30" s="635"/>
      <c r="H30" s="635"/>
      <c r="I30" s="635"/>
      <c r="J30" s="635"/>
      <c r="K30" s="635" t="s">
        <v>1685</v>
      </c>
    </row>
    <row r="31" spans="1:11" x14ac:dyDescent="0.25">
      <c r="A31" s="635"/>
      <c r="B31" s="635"/>
      <c r="C31" s="635"/>
      <c r="D31" s="635"/>
      <c r="E31" s="635"/>
      <c r="F31" s="635"/>
      <c r="G31" s="635"/>
      <c r="H31" s="635"/>
      <c r="I31" s="635"/>
      <c r="J31" s="635"/>
      <c r="K31" s="635" t="s">
        <v>1686</v>
      </c>
    </row>
    <row r="32" spans="1:11" x14ac:dyDescent="0.25">
      <c r="A32" s="635"/>
      <c r="B32" s="635"/>
      <c r="C32" s="635"/>
      <c r="D32" s="635"/>
      <c r="E32" s="635"/>
      <c r="F32" s="635"/>
      <c r="G32" s="635"/>
      <c r="H32" s="635"/>
      <c r="I32" s="635"/>
      <c r="J32" s="635"/>
      <c r="K32" s="635" t="s">
        <v>1687</v>
      </c>
    </row>
    <row r="33" spans="1:11" x14ac:dyDescent="0.25">
      <c r="A33" s="635"/>
      <c r="B33" s="635"/>
      <c r="C33" s="635"/>
      <c r="D33" s="635"/>
      <c r="E33" s="635"/>
      <c r="F33" s="635"/>
      <c r="G33" s="635"/>
      <c r="H33" s="635"/>
      <c r="I33" s="635"/>
      <c r="J33" s="635"/>
      <c r="K33" s="635" t="s">
        <v>1688</v>
      </c>
    </row>
    <row r="34" spans="1:11" x14ac:dyDescent="0.25">
      <c r="A34" s="635"/>
      <c r="B34" s="635"/>
      <c r="C34" s="635"/>
      <c r="D34" s="635"/>
      <c r="E34" s="635"/>
      <c r="F34" s="635"/>
      <c r="G34" s="635"/>
      <c r="H34" s="635"/>
      <c r="I34" s="635"/>
      <c r="J34" s="635"/>
      <c r="K34" s="635" t="s">
        <v>1689</v>
      </c>
    </row>
    <row r="35" spans="1:11" x14ac:dyDescent="0.25">
      <c r="A35" s="635"/>
      <c r="B35" s="635"/>
      <c r="C35" s="635"/>
      <c r="D35" s="635"/>
      <c r="E35" s="635"/>
      <c r="F35" s="635"/>
      <c r="G35" s="635"/>
      <c r="H35" s="635"/>
      <c r="I35" s="635"/>
      <c r="J35" s="635"/>
      <c r="K35" s="635" t="s">
        <v>1690</v>
      </c>
    </row>
    <row r="36" spans="1:11" x14ac:dyDescent="0.25">
      <c r="A36" s="635"/>
      <c r="B36" s="635"/>
      <c r="C36" s="635"/>
      <c r="D36" s="635"/>
      <c r="E36" s="635"/>
      <c r="F36" s="635"/>
      <c r="G36" s="635"/>
      <c r="H36" s="635"/>
      <c r="I36" s="635"/>
      <c r="J36" s="635"/>
      <c r="K36" s="635" t="s">
        <v>1691</v>
      </c>
    </row>
    <row r="37" spans="1:11" x14ac:dyDescent="0.25">
      <c r="A37" s="635"/>
      <c r="B37" s="635"/>
      <c r="C37" s="635"/>
      <c r="D37" s="635"/>
      <c r="E37" s="635"/>
      <c r="F37" s="635"/>
      <c r="G37" s="635"/>
      <c r="H37" s="635"/>
      <c r="I37" s="635"/>
      <c r="J37" s="635"/>
      <c r="K37" s="635" t="s">
        <v>1692</v>
      </c>
    </row>
    <row r="38" spans="1:11" x14ac:dyDescent="0.25">
      <c r="A38" s="635"/>
      <c r="B38" s="635"/>
      <c r="C38" s="635"/>
      <c r="D38" s="635"/>
      <c r="E38" s="635"/>
      <c r="F38" s="635"/>
      <c r="G38" s="635"/>
      <c r="H38" s="635"/>
      <c r="I38" s="635"/>
      <c r="J38" s="635"/>
      <c r="K38" s="635" t="s">
        <v>1693</v>
      </c>
    </row>
    <row r="39" spans="1:11" x14ac:dyDescent="0.25">
      <c r="A39" s="635"/>
      <c r="B39" s="635"/>
      <c r="C39" s="635"/>
      <c r="D39" s="635"/>
      <c r="E39" s="635"/>
      <c r="F39" s="635"/>
      <c r="G39" s="635"/>
      <c r="H39" s="635"/>
      <c r="I39" s="635"/>
      <c r="J39" s="635"/>
      <c r="K39" s="635" t="s">
        <v>1694</v>
      </c>
    </row>
    <row r="40" spans="1:11" x14ac:dyDescent="0.25">
      <c r="A40" s="635"/>
      <c r="B40" s="635"/>
      <c r="C40" s="635"/>
      <c r="D40" s="635"/>
      <c r="E40" s="635"/>
      <c r="F40" s="635"/>
      <c r="G40" s="635"/>
      <c r="H40" s="635"/>
      <c r="I40" s="635"/>
      <c r="J40" s="635"/>
      <c r="K40" s="635" t="s">
        <v>1695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J7" sqref="J7"/>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1278</v>
      </c>
      <c r="B1" s="1"/>
      <c r="C1" s="747"/>
      <c r="D1" s="747"/>
      <c r="E1" s="747"/>
      <c r="F1" s="1"/>
      <c r="G1" s="747"/>
      <c r="H1" s="747"/>
      <c r="I1" s="747"/>
      <c r="J1" s="747"/>
    </row>
    <row r="2" spans="1:11" x14ac:dyDescent="0.25">
      <c r="A2" s="807" t="s">
        <v>350</v>
      </c>
      <c r="B2" s="807"/>
      <c r="C2" s="807"/>
      <c r="D2" s="807"/>
      <c r="E2" s="807"/>
      <c r="F2" s="807"/>
      <c r="G2" s="807"/>
      <c r="H2" s="807"/>
      <c r="I2" s="807"/>
      <c r="J2" s="807"/>
      <c r="K2" s="807"/>
    </row>
    <row r="3" spans="1:11" s="635" customFormat="1" ht="38.25" x14ac:dyDescent="0.25">
      <c r="A3" s="193" t="s">
        <v>304</v>
      </c>
      <c r="B3" s="199" t="s">
        <v>128</v>
      </c>
      <c r="C3" s="199" t="s">
        <v>118</v>
      </c>
      <c r="D3" s="199" t="s">
        <v>119</v>
      </c>
      <c r="E3" s="199" t="s">
        <v>1220</v>
      </c>
      <c r="F3" s="199" t="s">
        <v>294</v>
      </c>
      <c r="G3" s="199" t="s">
        <v>295</v>
      </c>
      <c r="H3" s="199" t="s">
        <v>1221</v>
      </c>
      <c r="I3" s="199" t="s">
        <v>1222</v>
      </c>
      <c r="J3" s="199" t="s">
        <v>1223</v>
      </c>
      <c r="K3" s="199" t="s">
        <v>1449</v>
      </c>
    </row>
    <row r="4" spans="1:11" ht="15" customHeight="1" x14ac:dyDescent="0.25">
      <c r="A4" s="808" t="s">
        <v>1224</v>
      </c>
      <c r="B4" s="808"/>
      <c r="C4" s="808"/>
      <c r="D4" s="808"/>
      <c r="E4" s="808"/>
      <c r="F4" s="808"/>
      <c r="G4" s="808"/>
      <c r="H4" s="808"/>
      <c r="I4" s="808"/>
      <c r="J4" s="808"/>
      <c r="K4" s="808"/>
    </row>
    <row r="5" spans="1:11" s="635" customFormat="1" ht="25.5" x14ac:dyDescent="0.25">
      <c r="A5" s="197">
        <v>1</v>
      </c>
      <c r="B5" s="195" t="s">
        <v>301</v>
      </c>
      <c r="C5" s="194" t="s">
        <v>38</v>
      </c>
      <c r="D5" s="194" t="s">
        <v>39</v>
      </c>
      <c r="E5" s="194">
        <v>226.52</v>
      </c>
      <c r="F5" s="196">
        <v>45337</v>
      </c>
      <c r="G5" s="196"/>
      <c r="H5" s="195" t="s">
        <v>1441</v>
      </c>
      <c r="I5" s="195" t="s">
        <v>1441</v>
      </c>
      <c r="J5" s="198" t="s">
        <v>16</v>
      </c>
      <c r="K5" s="644"/>
    </row>
    <row r="6" spans="1:11" s="635" customFormat="1" ht="25.5" x14ac:dyDescent="0.25">
      <c r="A6" s="197">
        <v>2</v>
      </c>
      <c r="B6" s="195" t="s">
        <v>302</v>
      </c>
      <c r="C6" s="194" t="s">
        <v>40</v>
      </c>
      <c r="D6" s="194" t="s">
        <v>41</v>
      </c>
      <c r="E6" s="194">
        <v>246.01900000000001</v>
      </c>
      <c r="F6" s="196">
        <v>45337</v>
      </c>
      <c r="G6" s="196"/>
      <c r="H6" s="195" t="s">
        <v>1607</v>
      </c>
      <c r="I6" s="198" t="s">
        <v>1734</v>
      </c>
      <c r="J6" s="198" t="s">
        <v>16</v>
      </c>
      <c r="K6" s="644"/>
    </row>
    <row r="7" spans="1:11" s="635" customFormat="1" ht="25.5" x14ac:dyDescent="0.25">
      <c r="A7" s="197">
        <v>3</v>
      </c>
      <c r="B7" s="195" t="s">
        <v>303</v>
      </c>
      <c r="C7" s="194" t="s">
        <v>43</v>
      </c>
      <c r="D7" s="194" t="s">
        <v>44</v>
      </c>
      <c r="E7" s="194">
        <v>210.755</v>
      </c>
      <c r="F7" s="196">
        <v>45337</v>
      </c>
      <c r="G7" s="196"/>
      <c r="H7" s="195" t="s">
        <v>1626</v>
      </c>
      <c r="I7" s="198" t="s">
        <v>1751</v>
      </c>
      <c r="J7" s="198" t="s">
        <v>16</v>
      </c>
      <c r="K7" s="194"/>
    </row>
    <row r="8" spans="1:11" s="635" customFormat="1" ht="25.5" x14ac:dyDescent="0.25">
      <c r="A8" s="197">
        <v>4</v>
      </c>
      <c r="B8" s="195" t="s">
        <v>298</v>
      </c>
      <c r="C8" s="194" t="s">
        <v>45</v>
      </c>
      <c r="D8" s="194" t="s">
        <v>46</v>
      </c>
      <c r="E8" s="194">
        <v>233.07599999999999</v>
      </c>
      <c r="F8" s="196">
        <v>45337</v>
      </c>
      <c r="G8" s="196"/>
      <c r="H8" s="195" t="s">
        <v>1457</v>
      </c>
      <c r="I8" s="198" t="s">
        <v>1458</v>
      </c>
      <c r="J8" s="198" t="s">
        <v>16</v>
      </c>
      <c r="K8" s="194"/>
    </row>
    <row r="9" spans="1:11" s="635" customFormat="1" ht="25.5" x14ac:dyDescent="0.25">
      <c r="A9" s="197">
        <v>5</v>
      </c>
      <c r="B9" s="195" t="s">
        <v>299</v>
      </c>
      <c r="C9" s="194" t="s">
        <v>47</v>
      </c>
      <c r="D9" s="194" t="s">
        <v>48</v>
      </c>
      <c r="E9" s="194">
        <v>211.91399999999999</v>
      </c>
      <c r="F9" s="196">
        <v>45337</v>
      </c>
      <c r="G9" s="196"/>
      <c r="H9" s="195" t="s">
        <v>1226</v>
      </c>
      <c r="I9" s="198" t="s">
        <v>1532</v>
      </c>
      <c r="J9" s="198" t="s">
        <v>16</v>
      </c>
      <c r="K9" s="194"/>
    </row>
    <row r="10" spans="1:11" s="635" customFormat="1" ht="25.5" x14ac:dyDescent="0.25">
      <c r="A10" s="197">
        <v>6</v>
      </c>
      <c r="B10" s="195" t="s">
        <v>300</v>
      </c>
      <c r="C10" s="194" t="s">
        <v>57</v>
      </c>
      <c r="D10" s="194" t="s">
        <v>33</v>
      </c>
      <c r="E10" s="194">
        <v>222.155</v>
      </c>
      <c r="F10" s="196">
        <v>45307</v>
      </c>
      <c r="G10" s="196">
        <v>45470</v>
      </c>
      <c r="H10" s="195" t="s">
        <v>1508</v>
      </c>
      <c r="I10" s="198" t="s">
        <v>1594</v>
      </c>
      <c r="J10" s="198" t="s">
        <v>16</v>
      </c>
      <c r="K10" s="194"/>
    </row>
    <row r="11" spans="1:11" s="635" customFormat="1" ht="25.5" x14ac:dyDescent="0.25">
      <c r="A11" s="197">
        <v>7</v>
      </c>
      <c r="B11" s="195" t="s">
        <v>289</v>
      </c>
      <c r="C11" s="194" t="s">
        <v>89</v>
      </c>
      <c r="D11" s="194" t="s">
        <v>90</v>
      </c>
      <c r="E11" s="194">
        <v>197.7</v>
      </c>
      <c r="F11" s="196"/>
      <c r="G11" s="196"/>
      <c r="H11" s="195" t="s">
        <v>1306</v>
      </c>
      <c r="I11" s="195" t="s">
        <v>1306</v>
      </c>
      <c r="J11" s="198" t="s">
        <v>16</v>
      </c>
      <c r="K11" s="194"/>
    </row>
    <row r="12" spans="1:11" s="635" customFormat="1" ht="25.5" x14ac:dyDescent="0.25">
      <c r="A12" s="197">
        <v>8</v>
      </c>
      <c r="B12" s="195" t="s">
        <v>290</v>
      </c>
      <c r="C12" s="194" t="s">
        <v>93</v>
      </c>
      <c r="D12" s="194" t="s">
        <v>94</v>
      </c>
      <c r="E12" s="194">
        <v>179.9</v>
      </c>
      <c r="F12" s="196"/>
      <c r="G12" s="196"/>
      <c r="H12" s="195" t="s">
        <v>1298</v>
      </c>
      <c r="I12" s="195" t="s">
        <v>1625</v>
      </c>
      <c r="J12" s="194" t="s">
        <v>405</v>
      </c>
      <c r="K12" s="194"/>
    </row>
    <row r="13" spans="1:11" s="635" customFormat="1" ht="25.5" x14ac:dyDescent="0.25">
      <c r="A13" s="197">
        <v>9</v>
      </c>
      <c r="B13" s="195" t="s">
        <v>297</v>
      </c>
      <c r="C13" s="194" t="s">
        <v>101</v>
      </c>
      <c r="D13" s="194" t="s">
        <v>102</v>
      </c>
      <c r="E13" s="194">
        <v>207.8</v>
      </c>
      <c r="F13" s="196">
        <v>45359</v>
      </c>
      <c r="G13" s="196">
        <v>45491</v>
      </c>
      <c r="H13" s="195" t="s">
        <v>1227</v>
      </c>
      <c r="I13" s="195" t="s">
        <v>1227</v>
      </c>
      <c r="J13" s="198" t="s">
        <v>16</v>
      </c>
      <c r="K13" s="194"/>
    </row>
    <row r="14" spans="1:11" ht="15" customHeight="1" x14ac:dyDescent="0.25">
      <c r="A14" s="809" t="s">
        <v>1299</v>
      </c>
      <c r="B14" s="809" t="s">
        <v>1225</v>
      </c>
      <c r="C14" s="809"/>
      <c r="D14" s="809"/>
      <c r="E14" s="809"/>
      <c r="F14" s="809"/>
      <c r="G14" s="809"/>
      <c r="H14" s="809"/>
      <c r="I14" s="809"/>
      <c r="J14" s="809"/>
      <c r="K14" s="809"/>
    </row>
    <row r="15" spans="1:11" s="635" customFormat="1" ht="25.5" x14ac:dyDescent="0.25">
      <c r="A15" s="197">
        <v>1</v>
      </c>
      <c r="B15" s="195" t="s">
        <v>230</v>
      </c>
      <c r="C15" s="194" t="s">
        <v>40</v>
      </c>
      <c r="D15" s="194" t="s">
        <v>41</v>
      </c>
      <c r="E15" s="194">
        <v>246.01900000000001</v>
      </c>
      <c r="F15" s="196">
        <v>45337</v>
      </c>
      <c r="G15" s="196"/>
      <c r="H15" s="195" t="s">
        <v>1607</v>
      </c>
      <c r="I15" s="198" t="s">
        <v>1714</v>
      </c>
      <c r="J15" s="198"/>
      <c r="K15" s="644"/>
    </row>
    <row r="16" spans="1:11" s="635" customFormat="1" ht="25.5" x14ac:dyDescent="0.25">
      <c r="A16" s="197">
        <v>2</v>
      </c>
      <c r="B16" s="195" t="s">
        <v>349</v>
      </c>
      <c r="C16" s="194" t="s">
        <v>95</v>
      </c>
      <c r="D16" s="194" t="s">
        <v>35</v>
      </c>
      <c r="E16" s="194">
        <v>238.9</v>
      </c>
      <c r="F16" s="196">
        <v>45359</v>
      </c>
      <c r="G16" s="196">
        <v>45444</v>
      </c>
      <c r="H16" s="195" t="s">
        <v>1228</v>
      </c>
      <c r="I16" s="195" t="s">
        <v>1228</v>
      </c>
      <c r="J16" s="198" t="s">
        <v>16</v>
      </c>
      <c r="K16" s="194"/>
    </row>
    <row r="17" spans="1:11" s="635" customFormat="1" ht="25.5" x14ac:dyDescent="0.25">
      <c r="A17" s="197">
        <v>3</v>
      </c>
      <c r="B17" s="195" t="s">
        <v>291</v>
      </c>
      <c r="C17" s="194" t="s">
        <v>103</v>
      </c>
      <c r="D17" s="194" t="s">
        <v>104</v>
      </c>
      <c r="E17" s="194">
        <v>200.9</v>
      </c>
      <c r="F17" s="196">
        <v>45359</v>
      </c>
      <c r="G17" s="196">
        <v>45469</v>
      </c>
      <c r="H17" s="195" t="s">
        <v>1229</v>
      </c>
      <c r="I17" s="195" t="s">
        <v>1229</v>
      </c>
      <c r="J17" s="198" t="s">
        <v>16</v>
      </c>
      <c r="K17" s="194"/>
    </row>
    <row r="18" spans="1:11" x14ac:dyDescent="0.25">
      <c r="A18" s="809" t="s">
        <v>1300</v>
      </c>
      <c r="B18" s="809" t="s">
        <v>1225</v>
      </c>
      <c r="C18" s="809"/>
      <c r="D18" s="809"/>
      <c r="E18" s="809"/>
      <c r="F18" s="809"/>
      <c r="G18" s="809"/>
      <c r="H18" s="809"/>
      <c r="I18" s="809"/>
      <c r="J18" s="809"/>
      <c r="K18" s="809"/>
    </row>
    <row r="19" spans="1:11" s="635" customFormat="1" ht="25.5" x14ac:dyDescent="0.25">
      <c r="A19" s="197">
        <v>1</v>
      </c>
      <c r="B19" s="195" t="s">
        <v>292</v>
      </c>
      <c r="C19" s="194" t="s">
        <v>220</v>
      </c>
      <c r="D19" s="194" t="s">
        <v>221</v>
      </c>
      <c r="E19" s="194">
        <v>394.3</v>
      </c>
      <c r="F19" s="194"/>
      <c r="G19" s="194"/>
      <c r="H19" s="195" t="s">
        <v>1230</v>
      </c>
      <c r="I19" s="195" t="s">
        <v>1230</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1278</v>
      </c>
      <c r="B1" s="819" t="s">
        <v>930</v>
      </c>
      <c r="C1" s="819"/>
      <c r="D1" s="819"/>
      <c r="E1" s="819"/>
      <c r="F1" s="819"/>
      <c r="G1" s="819"/>
      <c r="H1" s="819"/>
      <c r="I1" s="819"/>
      <c r="J1" s="819"/>
      <c r="K1" s="819"/>
      <c r="L1" s="819"/>
      <c r="M1" s="819"/>
      <c r="N1" s="819"/>
      <c r="O1" s="819"/>
      <c r="P1" s="819"/>
      <c r="Q1" s="819"/>
      <c r="R1" s="819"/>
      <c r="S1" s="819"/>
      <c r="T1" s="819"/>
      <c r="U1" s="819"/>
      <c r="V1" s="819"/>
      <c r="W1" s="819"/>
      <c r="X1" s="819"/>
      <c r="Y1" s="819"/>
      <c r="Z1" s="819"/>
      <c r="AA1" s="819"/>
      <c r="AB1" s="819"/>
      <c r="AC1" s="819"/>
      <c r="AD1" s="819"/>
      <c r="AE1" s="819"/>
    </row>
    <row r="2" spans="1:31" x14ac:dyDescent="0.25">
      <c r="B2" s="218"/>
      <c r="C2" s="219"/>
      <c r="F2" s="219"/>
      <c r="G2" s="219"/>
    </row>
    <row r="3" spans="1:31" x14ac:dyDescent="0.25">
      <c r="B3" s="220" t="s">
        <v>1402</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1168</v>
      </c>
      <c r="C6" s="219"/>
      <c r="F6" s="219"/>
      <c r="G6" s="219"/>
      <c r="U6" s="219"/>
      <c r="V6" s="219"/>
      <c r="W6" s="219"/>
      <c r="X6" s="219"/>
      <c r="Y6" s="219"/>
      <c r="Z6" s="219"/>
      <c r="AA6" s="219"/>
      <c r="AB6" s="219"/>
      <c r="AC6" s="219"/>
      <c r="AD6" s="219"/>
    </row>
    <row r="7" spans="1:31" ht="25.5" x14ac:dyDescent="0.25">
      <c r="B7" s="811" t="s">
        <v>1171</v>
      </c>
      <c r="C7" s="811"/>
      <c r="D7" s="811"/>
      <c r="E7" s="811"/>
      <c r="F7" s="811"/>
      <c r="G7" s="475" t="s">
        <v>1304</v>
      </c>
      <c r="H7" s="811" t="s">
        <v>1439</v>
      </c>
      <c r="I7" s="811"/>
      <c r="J7" s="811"/>
      <c r="K7" s="811"/>
      <c r="L7" s="811"/>
      <c r="M7" s="811"/>
      <c r="N7" s="811"/>
      <c r="O7" s="811"/>
      <c r="P7" s="811"/>
      <c r="Q7" s="811"/>
      <c r="R7" s="811"/>
      <c r="S7" s="811"/>
      <c r="T7" s="811"/>
      <c r="U7" s="811"/>
      <c r="V7" s="811"/>
      <c r="W7" s="811"/>
      <c r="X7" s="817" t="s">
        <v>1438</v>
      </c>
      <c r="Y7" s="818"/>
      <c r="Z7" s="818"/>
      <c r="AA7" s="818"/>
      <c r="AB7" s="818"/>
      <c r="AC7" s="818"/>
      <c r="AD7" s="818"/>
      <c r="AE7" s="811" t="s">
        <v>9</v>
      </c>
    </row>
    <row r="8" spans="1:31" s="221" customFormat="1" ht="42" customHeight="1" x14ac:dyDescent="0.25">
      <c r="B8" s="812" t="s">
        <v>304</v>
      </c>
      <c r="C8" s="812" t="s">
        <v>37</v>
      </c>
      <c r="D8" s="815" t="s">
        <v>933</v>
      </c>
      <c r="E8" s="812" t="s">
        <v>403</v>
      </c>
      <c r="F8" s="815"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11"/>
    </row>
    <row r="9" spans="1:31" x14ac:dyDescent="0.25">
      <c r="B9" s="813"/>
      <c r="C9" s="814"/>
      <c r="D9" s="814"/>
      <c r="E9" s="814"/>
      <c r="F9" s="816"/>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11"/>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21"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22"/>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22"/>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23"/>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21"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22"/>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22"/>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23"/>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26"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27"/>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26"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28"/>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27"/>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24"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25"/>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26"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27"/>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26"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28"/>
      <c r="C57" s="529" t="s">
        <v>952</v>
      </c>
      <c r="D57" s="530"/>
      <c r="E57" s="530"/>
      <c r="F57" s="531"/>
      <c r="G57" s="532">
        <f>+COUNTIF(Foundation!$B$8:$B$531,'L2 Schedule'!G8)</f>
        <v>1</v>
      </c>
      <c r="H57" s="532">
        <f>+COUNTIF(Foundation!$B$8:$B$531,'L2 Schedule'!H8)</f>
        <v>22</v>
      </c>
      <c r="I57" s="532">
        <f>+COUNTIF(Foundation!$B$8:$B$531,'L2 Schedule'!I8)</f>
        <v>46</v>
      </c>
      <c r="J57" s="532">
        <f>+COUNTIF(Foundation!$B$8:$B$531,'L2 Schedule'!J8)</f>
        <v>36</v>
      </c>
      <c r="K57" s="532">
        <f>+COUNTIF(Foundation!$B$8:$B$531,'L2 Schedule'!K8)</f>
        <v>16</v>
      </c>
      <c r="L57" s="532">
        <f>+COUNTIF(Foundation!$B$8:$B$531,'L2 Schedule'!L8)</f>
        <v>7</v>
      </c>
      <c r="M57" s="532">
        <f>+COUNTIF(Foundation!$B$8:$B$531,'L2 Schedule'!M8)</f>
        <v>15</v>
      </c>
      <c r="N57" s="532">
        <f>+COUNTIF(Foundation!$B$8:$B$531,'L2 Schedule'!N8)</f>
        <v>9</v>
      </c>
      <c r="O57" s="532">
        <f>+COUNTIF(Foundation!$B$8:$B$531,'L2 Schedule'!O8)</f>
        <v>14</v>
      </c>
      <c r="P57" s="532">
        <f>+COUNTIF(Foundation!$B$8:$B$531,'L2 Schedule'!P8)</f>
        <v>26</v>
      </c>
      <c r="Q57" s="532">
        <f>+COUNTIF(Foundation!$B$8:$B$531,'L2 Schedule'!Q8)</f>
        <v>38</v>
      </c>
      <c r="R57" s="532">
        <f>+COUNTIF(Foundation!$B$8:$B$531,'L2 Schedule'!R8)</f>
        <v>26</v>
      </c>
      <c r="S57" s="532">
        <f>+COUNTIF(Foundation!$B$8:$B$531,'L2 Schedule'!S8)</f>
        <v>9</v>
      </c>
      <c r="T57" s="532">
        <f>+COUNTIF(Foundation!$B$8:$B$531,'L2 Schedule'!T8)</f>
        <v>31</v>
      </c>
      <c r="U57" s="532">
        <f>+COUNTIF(Foundation!$B$8:$B$531,'L2 Schedule'!U8)</f>
        <v>47</v>
      </c>
      <c r="V57" s="532">
        <f>+COUNTIF(Foundation!$B$8:$B$531,'L2 Schedule'!V8)</f>
        <v>27</v>
      </c>
      <c r="W57" s="532">
        <f>+COUNTIF(Foundation!$B$8:$B$531,'L2 Schedule'!W8)</f>
        <v>17</v>
      </c>
      <c r="X57" s="532">
        <f>+COUNTIF(Foundation!$B$8:$B$531,'L2 Schedule'!X8)</f>
        <v>13</v>
      </c>
      <c r="Y57" s="532">
        <f>+COUNTIF(Foundation!$B$8:$B$531,'L2 Schedule'!Y8)</f>
        <v>13</v>
      </c>
      <c r="Z57" s="532">
        <f>+COUNTIF(Foundation!$B$8:$B$531,'L2 Schedule'!Z8)</f>
        <v>19</v>
      </c>
      <c r="AA57" s="532">
        <f>+COUNTIF(Foundation!$B$8:$B$531,'L2 Schedule'!AA8)</f>
        <v>22</v>
      </c>
      <c r="AB57" s="532">
        <f>+COUNTIF(Foundation!$B$8:$B$531,'L2 Schedule'!AB8)</f>
        <v>8</v>
      </c>
      <c r="AC57" s="532">
        <f>+COUNTIF(Foundation!$B$8:$B$531,'L2 Schedule'!AC8)</f>
        <v>9</v>
      </c>
      <c r="AD57" s="532">
        <f>+COUNTIF(Foundation!$B$8:$B$531,'L2 Schedule'!AD8)</f>
        <v>7</v>
      </c>
      <c r="AE57" s="535"/>
      <c r="AF57" s="536">
        <f t="shared" si="6"/>
        <v>478</v>
      </c>
    </row>
    <row r="58" spans="1:33" s="536" customFormat="1" x14ac:dyDescent="0.25">
      <c r="A58" s="254"/>
      <c r="B58" s="827"/>
      <c r="C58" s="529" t="s">
        <v>1169</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826" t="s">
        <v>1283</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27"/>
      <c r="C60" s="529" t="s">
        <v>1169</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24"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29"/>
      <c r="C63" s="529" t="s">
        <v>952</v>
      </c>
      <c r="D63" s="530"/>
      <c r="E63" s="530"/>
      <c r="F63" s="531"/>
      <c r="G63" s="531"/>
      <c r="H63" s="532"/>
      <c r="I63" s="531"/>
      <c r="J63" s="532">
        <f>+COUNTIF('Erection Compiled'!$B$7:$B$620,'L2 Schedule'!J8)</f>
        <v>22</v>
      </c>
      <c r="K63" s="532">
        <f>+COUNTIF('Erection Compiled'!$B$7:$B$620,'L2 Schedule'!K8)</f>
        <v>20</v>
      </c>
      <c r="L63" s="532">
        <f>+COUNTIF('Erection Compiled'!$B$7:$B$620,'L2 Schedule'!L8)</f>
        <v>19</v>
      </c>
      <c r="M63" s="532">
        <f>+COUNTIF('Erection Compiled'!$B$7:$B$620,'L2 Schedule'!M8)</f>
        <v>14</v>
      </c>
      <c r="N63" s="532">
        <f>+COUNTIF('Erection Compiled'!$B$7:$B$620,'L2 Schedule'!N8)</f>
        <v>3</v>
      </c>
      <c r="O63" s="532">
        <f>+COUNTIF('Erection Compiled'!$B$7:$B$620,'L2 Schedule'!O8)</f>
        <v>2</v>
      </c>
      <c r="P63" s="532">
        <f>+COUNTIF('Erection Compiled'!$B$7:$B$620,'L2 Schedule'!P8)</f>
        <v>3</v>
      </c>
      <c r="Q63" s="532">
        <f>+COUNTIF('Erection Compiled'!$B$7:$B$620,'L2 Schedule'!Q8)</f>
        <v>16</v>
      </c>
      <c r="R63" s="532">
        <f>+COUNTIF('Erection Compiled'!$B$7:$B$620,'L2 Schedule'!R8)</f>
        <v>30</v>
      </c>
      <c r="S63" s="532">
        <f>+COUNTIF('Erection Compiled'!$B$7:$B$620,'L2 Schedule'!S8)</f>
        <v>30</v>
      </c>
      <c r="T63" s="532">
        <f>+COUNTIF('Erection Compiled'!$B$7:$B$620,'L2 Schedule'!T8)</f>
        <v>11</v>
      </c>
      <c r="U63" s="532">
        <f>+COUNTIF('Erection Compiled'!$B$7:$B$620,'L2 Schedule'!U8)</f>
        <v>16</v>
      </c>
      <c r="V63" s="532">
        <f>+COUNTIF('Erection Compiled'!$B$7:$B$620,'L2 Schedule'!V8)</f>
        <v>14</v>
      </c>
      <c r="W63" s="532">
        <f>+COUNTIF('Erection Compiled'!$B$7:$B$620,'L2 Schedule'!W8)</f>
        <v>13</v>
      </c>
      <c r="X63" s="532">
        <f>+COUNTIF('Erection Compiled'!$B$7:$B$620,'L2 Schedule'!X8)</f>
        <v>7</v>
      </c>
      <c r="Y63" s="532">
        <f>+COUNTIF('Erection Compiled'!$B$7:$B$620,'L2 Schedule'!Y8)</f>
        <v>2</v>
      </c>
      <c r="Z63" s="532">
        <f>+COUNTIF('Erection Compiled'!$B$7:$B$620,'L2 Schedule'!Z8)</f>
        <v>6</v>
      </c>
      <c r="AA63" s="532">
        <f>+COUNTIF('Erection Compiled'!$B$7:$B$620,'L2 Schedule'!AA8)</f>
        <v>23</v>
      </c>
      <c r="AB63" s="532">
        <f>+COUNTIF('Erection Compiled'!$B$7:$B$620,'L2 Schedule'!AB8)</f>
        <v>52</v>
      </c>
      <c r="AC63" s="532">
        <f>+COUNTIF('Erection Compiled'!$B$7:$B$620,'L2 Schedule'!AC8)</f>
        <v>47</v>
      </c>
      <c r="AD63" s="532">
        <f>+COUNTIF('Erection Compiled'!$B$7:$B$620,'L2 Schedule'!AD8)</f>
        <v>25</v>
      </c>
      <c r="AE63" s="535">
        <f t="shared" ref="AE63:AE65" si="9">+SUM(G63:AD63)</f>
        <v>375</v>
      </c>
      <c r="AF63" s="536">
        <f t="shared" si="6"/>
        <v>375</v>
      </c>
    </row>
    <row r="64" spans="1:33" s="536" customFormat="1" x14ac:dyDescent="0.25">
      <c r="A64" s="254"/>
      <c r="B64" s="829"/>
      <c r="C64" s="529" t="s">
        <v>1630</v>
      </c>
      <c r="D64" s="530" t="s">
        <v>1631</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29"/>
      <c r="C65" s="529" t="s">
        <v>1632</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25"/>
      <c r="C66" s="529" t="s">
        <v>1169</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26" t="s">
        <v>1207</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28"/>
      <c r="C69" s="529" t="s">
        <v>952</v>
      </c>
      <c r="D69" s="530"/>
      <c r="E69" s="530"/>
      <c r="F69" s="531"/>
      <c r="G69" s="531"/>
      <c r="H69" s="532"/>
      <c r="I69" s="532"/>
      <c r="J69" s="532"/>
      <c r="K69" s="533"/>
      <c r="L69" s="533">
        <f>+SUMIF(Stringing!$O$6:$O$97,'L2 Schedule'!L8,Stringing!$K$6:$K$97)</f>
        <v>0</v>
      </c>
      <c r="M69" s="533">
        <f>+SUMIF(Stringing!$O$6:$O$97,'L2 Schedule'!M8,Stringing!$K$6:$K$97)</f>
        <v>0</v>
      </c>
      <c r="N69" s="533">
        <f>+SUMIF(Stringing!$O$6:$O$97,'L2 Schedule'!N8,Stringing!$K$6:$K$97)</f>
        <v>0</v>
      </c>
      <c r="O69" s="533">
        <f>+SUMIF(Stringing!$O$6:$O$97,'L2 Schedule'!O8,Stringing!$K$6:$K$97)</f>
        <v>0</v>
      </c>
      <c r="P69" s="533">
        <f>+SUMIF(Stringing!$O$6:$O$97,'L2 Schedule'!P8,Stringing!$K$6:$K$97)</f>
        <v>0</v>
      </c>
      <c r="Q69" s="533">
        <f>+SUMIF(Stringing!$O$6:$O$97,'L2 Schedule'!Q8,Stringing!$K$6:$K$97)</f>
        <v>4.8769999999999998</v>
      </c>
      <c r="R69" s="533">
        <f>+SUMIF(Stringing!$O$6:$O$97,'L2 Schedule'!R8,Stringing!$K$6:$K$97)</f>
        <v>9.4310000000000009</v>
      </c>
      <c r="S69" s="533">
        <f>+SUMIF(Stringing!$O$6:$O$97,'L2 Schedule'!S8,Stringing!$K$6:$K$97)</f>
        <v>8.6289999999999996</v>
      </c>
      <c r="T69" s="533">
        <f>+SUMIF(Stringing!$O$6:$O$97,'L2 Schedule'!T8,Stringing!$K$6:$K$97)</f>
        <v>0</v>
      </c>
      <c r="U69" s="533">
        <f>+SUMIF(Stringing!$O$6:$O$97,'L2 Schedule'!U8,Stringing!$K$6:$K$97)</f>
        <v>7.1150000000000002</v>
      </c>
      <c r="V69" s="533">
        <f>+SUMIF(Stringing!$O$6:$O$97,'L2 Schedule'!V8,Stringing!$K$6:$K$97)</f>
        <v>0</v>
      </c>
      <c r="W69" s="533">
        <f>+SUMIF(Stringing!$O$6:$O$97,'L2 Schedule'!W8,Stringing!$K$6:$K$97)</f>
        <v>9.18</v>
      </c>
      <c r="X69" s="533">
        <f>+SUMIF(Stringing!$O$6:$O$97,'L2 Schedule'!X8,Stringing!$K$6:$K$97)</f>
        <v>1.0489999999999999</v>
      </c>
      <c r="Y69" s="533">
        <f>+SUMIF(Stringing!$O$6:$O$97,'L2 Schedule'!Y8,Stringing!$K$6:$K$97)</f>
        <v>3.2269999999999999</v>
      </c>
      <c r="Z69" s="533">
        <f>+SUMIF(Stringing!$O$6:$O$97,'L2 Schedule'!Z8,Stringing!$K$6:$K$97)</f>
        <v>0</v>
      </c>
      <c r="AA69" s="533">
        <f>+SUMIF(Stringing!$O$6:$O$97,'L2 Schedule'!AA8,Stringing!$K$6:$K$97)</f>
        <v>0</v>
      </c>
      <c r="AB69" s="533">
        <f>+SUMIF(Stringing!$O$6:$O$97,'L2 Schedule'!AB8,Stringing!$K$6:$K$97)</f>
        <v>0</v>
      </c>
      <c r="AC69" s="533">
        <f>+SUMIF(Stringing!$O$6:$O$97,'L2 Schedule'!AC8,Stringing!$K$6:$K$97)</f>
        <v>4.008</v>
      </c>
      <c r="AD69" s="533">
        <f>+SUMIF(Stringing!$O$6:$O$97,'L2 Schedule'!AD8,Stringing!$K$6:$K$97)</f>
        <v>0</v>
      </c>
      <c r="AE69" s="535"/>
      <c r="AF69" s="536">
        <f t="shared" si="6"/>
        <v>47.515999999999998</v>
      </c>
    </row>
    <row r="70" spans="1:33" s="536" customFormat="1" x14ac:dyDescent="0.25">
      <c r="A70" s="254"/>
      <c r="B70" s="827"/>
      <c r="C70" s="529" t="s">
        <v>1169</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47.515999999999998</v>
      </c>
      <c r="AD70" s="533">
        <f t="shared" si="13"/>
        <v>47.515999999999998</v>
      </c>
      <c r="AE70" s="535"/>
    </row>
    <row r="71" spans="1:33" s="536" customFormat="1" x14ac:dyDescent="0.25">
      <c r="A71" s="254"/>
      <c r="B71" s="826"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28"/>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27"/>
      <c r="C73" s="529" t="s">
        <v>1169</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1403</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20"/>
      <c r="C79" s="820"/>
      <c r="D79" s="820"/>
      <c r="E79" s="820"/>
      <c r="F79" s="820"/>
      <c r="G79" s="820"/>
      <c r="H79" s="820"/>
      <c r="I79" s="820"/>
      <c r="J79" s="820"/>
      <c r="K79" s="820"/>
      <c r="L79" s="820"/>
      <c r="M79" s="820"/>
      <c r="N79" s="820"/>
      <c r="O79" s="820"/>
      <c r="P79" s="820"/>
      <c r="Q79" s="820"/>
      <c r="R79" s="820"/>
      <c r="S79" s="820"/>
      <c r="T79" s="820"/>
    </row>
    <row r="80" spans="1:33" ht="12.75" customHeight="1" x14ac:dyDescent="0.25">
      <c r="A80" s="219">
        <v>1</v>
      </c>
      <c r="B80" s="810" t="s">
        <v>1006</v>
      </c>
      <c r="C80" s="810"/>
      <c r="D80" s="810"/>
      <c r="E80" s="810"/>
      <c r="F80" s="810"/>
      <c r="G80" s="810"/>
      <c r="H80" s="810"/>
      <c r="I80" s="810"/>
      <c r="J80" s="810"/>
      <c r="K80" s="810"/>
      <c r="L80" s="810"/>
      <c r="M80" s="810"/>
      <c r="N80" s="810"/>
      <c r="O80" s="810"/>
      <c r="P80" s="810"/>
      <c r="Q80" s="810"/>
      <c r="R80" s="810"/>
      <c r="S80" s="810"/>
      <c r="T80" s="810"/>
      <c r="U80" s="810"/>
      <c r="V80" s="810"/>
      <c r="W80" s="810"/>
      <c r="X80" s="810"/>
      <c r="Y80" s="810"/>
      <c r="Z80" s="810"/>
      <c r="AA80" s="810"/>
      <c r="AB80" s="810"/>
      <c r="AC80" s="810"/>
      <c r="AD80" s="810"/>
      <c r="AE80" s="810"/>
    </row>
  </sheetData>
  <mergeCells count="23">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 ref="B80:AE80"/>
    <mergeCell ref="AE7:AE9"/>
    <mergeCell ref="B8:B9"/>
    <mergeCell ref="C8:C9"/>
    <mergeCell ref="D8:D9"/>
    <mergeCell ref="E8:E9"/>
    <mergeCell ref="F8:F9"/>
    <mergeCell ref="X7:AD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3"/>
  <sheetViews>
    <sheetView zoomScale="98" workbookViewId="0">
      <pane ySplit="12" topLeftCell="A297" activePane="bottomLeft" state="frozen"/>
      <selection activeCell="G248" sqref="G248"/>
      <selection pane="bottomLeft" activeCell="G301" sqref="G301"/>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1278</v>
      </c>
    </row>
    <row r="2" spans="1:9" ht="29.25" customHeight="1" x14ac:dyDescent="0.25">
      <c r="A2" s="832" t="s">
        <v>1704</v>
      </c>
      <c r="B2" s="832"/>
      <c r="C2" s="832"/>
      <c r="D2" s="832"/>
      <c r="E2" s="832"/>
      <c r="F2" s="832"/>
      <c r="G2" s="832"/>
      <c r="H2" s="832"/>
      <c r="I2" s="832"/>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1278</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4</v>
      </c>
      <c r="E8" s="288">
        <f t="shared" ref="E8:E11" si="0">C8-D8</f>
        <v>206</v>
      </c>
    </row>
    <row r="9" spans="1:9" x14ac:dyDescent="0.25">
      <c r="A9" s="286">
        <v>3</v>
      </c>
      <c r="B9" s="287" t="s">
        <v>126</v>
      </c>
      <c r="C9" s="288">
        <f>+COUNTIF($D$16:$D$994,B9)</f>
        <v>81</v>
      </c>
      <c r="D9" s="286">
        <f>+COUNTIFS($D$16:$D$995,B9,$H$16:$H$995,"AWAITED")</f>
        <v>49</v>
      </c>
      <c r="E9" s="288">
        <f t="shared" si="0"/>
        <v>32</v>
      </c>
    </row>
    <row r="10" spans="1:9" x14ac:dyDescent="0.25">
      <c r="A10" s="286">
        <v>4</v>
      </c>
      <c r="B10" s="287" t="s">
        <v>345</v>
      </c>
      <c r="C10" s="288">
        <f>+COUNTIF($D$16:$D$994,B10)</f>
        <v>4</v>
      </c>
      <c r="D10" s="286">
        <f>+COUNTIFS($D$16:$D$995,B10,$H$16:$H$995,"AWAITED")</f>
        <v>0</v>
      </c>
      <c r="E10" s="288">
        <f t="shared" si="0"/>
        <v>4</v>
      </c>
    </row>
    <row r="11" spans="1:9" x14ac:dyDescent="0.25">
      <c r="A11" s="286">
        <v>5</v>
      </c>
      <c r="B11" s="287" t="s">
        <v>267</v>
      </c>
      <c r="C11" s="288">
        <f>+COUNTIF($D$16:$D$994,B11)</f>
        <v>3</v>
      </c>
      <c r="D11" s="286">
        <f>+COUNTIFS($D$16:$D$995,B11,$H$16:$H$995,"AWAITED")</f>
        <v>0</v>
      </c>
      <c r="E11" s="288">
        <f t="shared" si="0"/>
        <v>3</v>
      </c>
    </row>
    <row r="12" spans="1:9" x14ac:dyDescent="0.25">
      <c r="A12" s="831" t="s">
        <v>19</v>
      </c>
      <c r="B12" s="831"/>
      <c r="C12" s="290">
        <f>SUM(C7:C11)</f>
        <v>318</v>
      </c>
      <c r="D12" s="289">
        <f>+SUM(D7:D11)</f>
        <v>53</v>
      </c>
      <c r="E12" s="290">
        <f>+SUM(E7:E11)</f>
        <v>265</v>
      </c>
    </row>
    <row r="15" spans="1:9" x14ac:dyDescent="0.2">
      <c r="A15" s="833" t="s">
        <v>985</v>
      </c>
      <c r="B15" s="833"/>
      <c r="C15" s="833"/>
      <c r="D15" s="833"/>
      <c r="E15" s="833"/>
      <c r="F15" s="833"/>
      <c r="G15" s="833"/>
      <c r="H15" s="833"/>
      <c r="I15" s="833"/>
    </row>
    <row r="16" spans="1:9" ht="38.25" x14ac:dyDescent="0.25">
      <c r="A16" s="291" t="s">
        <v>125</v>
      </c>
      <c r="B16" s="292" t="s">
        <v>258</v>
      </c>
      <c r="C16" s="291" t="s">
        <v>283</v>
      </c>
      <c r="D16" s="292" t="s">
        <v>259</v>
      </c>
      <c r="E16" s="292" t="s">
        <v>260</v>
      </c>
      <c r="F16" s="292" t="s">
        <v>1392</v>
      </c>
      <c r="G16" s="292" t="s">
        <v>1393</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1208</v>
      </c>
      <c r="C24" s="294" t="s">
        <v>1209</v>
      </c>
      <c r="D24" s="288" t="s">
        <v>113</v>
      </c>
      <c r="E24" s="288"/>
      <c r="F24" s="295">
        <v>45272</v>
      </c>
      <c r="G24" s="295">
        <v>45274</v>
      </c>
      <c r="H24" s="296">
        <f t="shared" si="1"/>
        <v>3</v>
      </c>
      <c r="I24" s="297"/>
    </row>
    <row r="25" spans="1:9" x14ac:dyDescent="0.25">
      <c r="A25" s="286">
        <v>9</v>
      </c>
      <c r="B25" s="293" t="s">
        <v>1208</v>
      </c>
      <c r="C25" s="294" t="s">
        <v>1210</v>
      </c>
      <c r="D25" s="288" t="s">
        <v>113</v>
      </c>
      <c r="E25" s="288"/>
      <c r="F25" s="295">
        <v>45275</v>
      </c>
      <c r="G25" s="295">
        <v>45636</v>
      </c>
      <c r="H25" s="296">
        <f t="shared" si="1"/>
        <v>362</v>
      </c>
      <c r="I25" s="297"/>
    </row>
    <row r="26" spans="1:9" x14ac:dyDescent="0.25">
      <c r="A26" s="286">
        <v>10</v>
      </c>
      <c r="B26" s="293" t="s">
        <v>1208</v>
      </c>
      <c r="C26" s="294" t="s">
        <v>1211</v>
      </c>
      <c r="D26" s="288" t="s">
        <v>113</v>
      </c>
      <c r="E26" s="288"/>
      <c r="F26" s="295">
        <v>45275</v>
      </c>
      <c r="G26" s="295">
        <v>45331</v>
      </c>
      <c r="H26" s="296">
        <f t="shared" si="1"/>
        <v>57</v>
      </c>
      <c r="I26" s="297"/>
    </row>
    <row r="27" spans="1:9" x14ac:dyDescent="0.25">
      <c r="A27" s="286">
        <v>11</v>
      </c>
      <c r="B27" s="293" t="s">
        <v>1208</v>
      </c>
      <c r="C27" s="294" t="s">
        <v>1212</v>
      </c>
      <c r="D27" s="288" t="s">
        <v>113</v>
      </c>
      <c r="E27" s="288"/>
      <c r="F27" s="295">
        <v>45275</v>
      </c>
      <c r="G27" s="295">
        <v>45331</v>
      </c>
      <c r="H27" s="296">
        <f t="shared" si="1"/>
        <v>57</v>
      </c>
      <c r="I27" s="297"/>
    </row>
    <row r="28" spans="1:9" x14ac:dyDescent="0.25">
      <c r="A28" s="286">
        <v>12</v>
      </c>
      <c r="B28" s="293" t="s">
        <v>1208</v>
      </c>
      <c r="C28" s="294" t="s">
        <v>1213</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1208</v>
      </c>
      <c r="C34" s="294" t="s">
        <v>1214</v>
      </c>
      <c r="D34" s="288" t="s">
        <v>113</v>
      </c>
      <c r="E34" s="288"/>
      <c r="F34" s="295">
        <v>45318</v>
      </c>
      <c r="G34" s="295">
        <v>45390</v>
      </c>
      <c r="H34" s="296">
        <f t="shared" si="1"/>
        <v>73</v>
      </c>
      <c r="I34" s="297"/>
    </row>
    <row r="35" spans="1:9" x14ac:dyDescent="0.25">
      <c r="A35" s="286">
        <v>19</v>
      </c>
      <c r="B35" s="293" t="s">
        <v>1208</v>
      </c>
      <c r="C35" s="294" t="s">
        <v>1215</v>
      </c>
      <c r="D35" s="288" t="s">
        <v>113</v>
      </c>
      <c r="E35" s="288"/>
      <c r="F35" s="295">
        <v>45318</v>
      </c>
      <c r="G35" s="295">
        <v>45390</v>
      </c>
      <c r="H35" s="296">
        <f t="shared" si="1"/>
        <v>73</v>
      </c>
      <c r="I35" s="297"/>
    </row>
    <row r="36" spans="1:9" x14ac:dyDescent="0.25">
      <c r="A36" s="286">
        <v>20</v>
      </c>
      <c r="B36" s="293" t="s">
        <v>1208</v>
      </c>
      <c r="C36" s="294" t="s">
        <v>1216</v>
      </c>
      <c r="D36" s="288" t="s">
        <v>113</v>
      </c>
      <c r="E36" s="288"/>
      <c r="F36" s="295">
        <v>45318</v>
      </c>
      <c r="G36" s="295">
        <v>45390</v>
      </c>
      <c r="H36" s="296">
        <f t="shared" si="1"/>
        <v>73</v>
      </c>
      <c r="I36" s="297"/>
    </row>
    <row r="39" spans="1:9" x14ac:dyDescent="0.25">
      <c r="A39" s="830" t="s">
        <v>10</v>
      </c>
      <c r="B39" s="830"/>
      <c r="C39" s="830"/>
      <c r="D39" s="830"/>
      <c r="E39" s="830"/>
      <c r="F39" s="830"/>
      <c r="G39" s="830"/>
      <c r="H39" s="830"/>
      <c r="I39" s="830"/>
    </row>
    <row r="40" spans="1:9" ht="38.25" x14ac:dyDescent="0.25">
      <c r="A40" s="291" t="s">
        <v>125</v>
      </c>
      <c r="B40" s="292" t="s">
        <v>258</v>
      </c>
      <c r="C40" s="291" t="s">
        <v>283</v>
      </c>
      <c r="D40" s="292" t="s">
        <v>259</v>
      </c>
      <c r="E40" s="292" t="s">
        <v>260</v>
      </c>
      <c r="F40" s="292" t="s">
        <v>261</v>
      </c>
      <c r="G40" s="292" t="s">
        <v>262</v>
      </c>
      <c r="H40" s="292" t="s">
        <v>263</v>
      </c>
      <c r="I40" s="292" t="s">
        <v>9</v>
      </c>
    </row>
    <row r="41" spans="1:9" ht="38.25" x14ac:dyDescent="0.25">
      <c r="A41" s="286">
        <v>1</v>
      </c>
      <c r="B41" s="293" t="s">
        <v>268</v>
      </c>
      <c r="C41" s="294" t="s">
        <v>217</v>
      </c>
      <c r="D41" s="286" t="s">
        <v>10</v>
      </c>
      <c r="E41" s="288" t="s">
        <v>271</v>
      </c>
      <c r="F41" s="295">
        <v>45266</v>
      </c>
      <c r="G41" s="295">
        <v>45267</v>
      </c>
      <c r="H41" s="299">
        <f>+IF(G41="","Awaited",_xlfn.DAYS(G41,F41)+1)</f>
        <v>2</v>
      </c>
      <c r="I41" s="297"/>
    </row>
    <row r="42" spans="1:9" x14ac:dyDescent="0.25">
      <c r="A42" s="286">
        <v>2</v>
      </c>
      <c r="B42" s="293" t="s">
        <v>1217</v>
      </c>
      <c r="C42" s="294" t="s">
        <v>796</v>
      </c>
      <c r="D42" s="286" t="s">
        <v>10</v>
      </c>
      <c r="E42" s="288"/>
      <c r="F42" s="295">
        <v>45274</v>
      </c>
      <c r="G42" s="295">
        <v>45275</v>
      </c>
      <c r="H42" s="299">
        <f t="shared" ref="H42:H105" si="2">+IF(G42="","Awaited",_xlfn.DAYS(G42,F42)+1)</f>
        <v>2</v>
      </c>
      <c r="I42" s="297"/>
    </row>
    <row r="43" spans="1:9" ht="38.25" x14ac:dyDescent="0.25">
      <c r="A43" s="286">
        <v>3</v>
      </c>
      <c r="B43" s="293" t="s">
        <v>282</v>
      </c>
      <c r="C43" s="294" t="s">
        <v>59</v>
      </c>
      <c r="D43" s="286" t="s">
        <v>10</v>
      </c>
      <c r="E43" s="288" t="s">
        <v>254</v>
      </c>
      <c r="F43" s="295">
        <v>45276</v>
      </c>
      <c r="G43" s="295">
        <v>45277</v>
      </c>
      <c r="H43" s="299">
        <f t="shared" si="2"/>
        <v>2</v>
      </c>
      <c r="I43" s="297" t="s">
        <v>280</v>
      </c>
    </row>
    <row r="44" spans="1:9" ht="38.25" x14ac:dyDescent="0.25">
      <c r="A44" s="286">
        <v>4</v>
      </c>
      <c r="B44" s="293" t="s">
        <v>281</v>
      </c>
      <c r="C44" s="294" t="s">
        <v>59</v>
      </c>
      <c r="D44" s="286" t="s">
        <v>10</v>
      </c>
      <c r="E44" s="288" t="s">
        <v>254</v>
      </c>
      <c r="F44" s="295">
        <v>45276</v>
      </c>
      <c r="G44" s="295">
        <v>45277</v>
      </c>
      <c r="H44" s="299">
        <f t="shared" si="2"/>
        <v>2</v>
      </c>
      <c r="I44" s="297" t="s">
        <v>279</v>
      </c>
    </row>
    <row r="45" spans="1:9" ht="25.5" x14ac:dyDescent="0.25">
      <c r="A45" s="286">
        <v>5</v>
      </c>
      <c r="B45" s="293" t="s">
        <v>288</v>
      </c>
      <c r="C45" s="294" t="s">
        <v>191</v>
      </c>
      <c r="D45" s="286" t="s">
        <v>10</v>
      </c>
      <c r="E45" s="288" t="s">
        <v>271</v>
      </c>
      <c r="F45" s="295">
        <v>45266</v>
      </c>
      <c r="G45" s="295">
        <v>45334</v>
      </c>
      <c r="H45" s="299">
        <f t="shared" si="2"/>
        <v>69</v>
      </c>
      <c r="I45" s="297" t="s">
        <v>374</v>
      </c>
    </row>
    <row r="46" spans="1:9" ht="25.5" x14ac:dyDescent="0.25">
      <c r="A46" s="286">
        <v>6</v>
      </c>
      <c r="B46" s="293" t="s">
        <v>276</v>
      </c>
      <c r="C46" s="294" t="s">
        <v>71</v>
      </c>
      <c r="D46" s="286" t="s">
        <v>10</v>
      </c>
      <c r="E46" s="288" t="s">
        <v>252</v>
      </c>
      <c r="F46" s="295">
        <v>45286</v>
      </c>
      <c r="G46" s="295">
        <v>45819</v>
      </c>
      <c r="H46" s="299">
        <f t="shared" si="2"/>
        <v>534</v>
      </c>
      <c r="I46" s="297" t="s">
        <v>264</v>
      </c>
    </row>
    <row r="47" spans="1:9" ht="51" x14ac:dyDescent="0.25">
      <c r="A47" s="286">
        <v>7</v>
      </c>
      <c r="B47" s="293" t="s">
        <v>278</v>
      </c>
      <c r="C47" s="286"/>
      <c r="D47" s="286" t="s">
        <v>10</v>
      </c>
      <c r="E47" s="288" t="s">
        <v>252</v>
      </c>
      <c r="F47" s="295">
        <v>45286</v>
      </c>
      <c r="G47" s="295">
        <v>45289</v>
      </c>
      <c r="H47" s="299">
        <f t="shared" si="2"/>
        <v>4</v>
      </c>
      <c r="I47" s="297" t="s">
        <v>339</v>
      </c>
    </row>
    <row r="48" spans="1:9" ht="25.5" x14ac:dyDescent="0.25">
      <c r="A48" s="286">
        <v>8</v>
      </c>
      <c r="B48" s="293" t="s">
        <v>305</v>
      </c>
      <c r="C48" s="286" t="s">
        <v>72</v>
      </c>
      <c r="D48" s="286" t="s">
        <v>10</v>
      </c>
      <c r="E48" s="288"/>
      <c r="F48" s="295">
        <v>45286</v>
      </c>
      <c r="G48" s="295">
        <v>45318</v>
      </c>
      <c r="H48" s="299">
        <f t="shared" si="2"/>
        <v>33</v>
      </c>
      <c r="I48" s="297" t="s">
        <v>355</v>
      </c>
    </row>
    <row r="49" spans="1:9" ht="25.5" x14ac:dyDescent="0.25">
      <c r="A49" s="286">
        <v>9</v>
      </c>
      <c r="B49" s="293" t="s">
        <v>306</v>
      </c>
      <c r="C49" s="286" t="s">
        <v>73</v>
      </c>
      <c r="D49" s="286" t="s">
        <v>10</v>
      </c>
      <c r="E49" s="288"/>
      <c r="F49" s="295">
        <v>45286</v>
      </c>
      <c r="G49" s="295">
        <v>45691</v>
      </c>
      <c r="H49" s="299">
        <f t="shared" si="2"/>
        <v>406</v>
      </c>
      <c r="I49" s="297" t="s">
        <v>355</v>
      </c>
    </row>
    <row r="50" spans="1:9" ht="25.5" x14ac:dyDescent="0.25">
      <c r="A50" s="286">
        <v>10</v>
      </c>
      <c r="B50" s="293" t="s">
        <v>307</v>
      </c>
      <c r="C50" s="286" t="s">
        <v>74</v>
      </c>
      <c r="D50" s="286" t="s">
        <v>10</v>
      </c>
      <c r="E50" s="288"/>
      <c r="F50" s="295">
        <v>45286</v>
      </c>
      <c r="G50" s="295">
        <v>45691</v>
      </c>
      <c r="H50" s="299">
        <f t="shared" si="2"/>
        <v>406</v>
      </c>
      <c r="I50" s="297" t="s">
        <v>355</v>
      </c>
    </row>
    <row r="51" spans="1:9" ht="25.5" x14ac:dyDescent="0.25">
      <c r="A51" s="286">
        <v>11</v>
      </c>
      <c r="B51" s="293" t="s">
        <v>308</v>
      </c>
      <c r="C51" s="286" t="s">
        <v>75</v>
      </c>
      <c r="D51" s="286" t="s">
        <v>10</v>
      </c>
      <c r="E51" s="288"/>
      <c r="F51" s="295">
        <v>45286</v>
      </c>
      <c r="G51" s="295">
        <v>45679</v>
      </c>
      <c r="H51" s="299">
        <f t="shared" si="2"/>
        <v>394</v>
      </c>
      <c r="I51" s="297" t="s">
        <v>355</v>
      </c>
    </row>
    <row r="52" spans="1:9" ht="25.5" x14ac:dyDescent="0.25">
      <c r="A52" s="286">
        <v>12</v>
      </c>
      <c r="B52" s="293" t="s">
        <v>309</v>
      </c>
      <c r="C52" s="286" t="s">
        <v>193</v>
      </c>
      <c r="D52" s="286" t="s">
        <v>10</v>
      </c>
      <c r="E52" s="288"/>
      <c r="F52" s="295">
        <v>45286</v>
      </c>
      <c r="G52" s="295">
        <v>45307</v>
      </c>
      <c r="H52" s="299">
        <f t="shared" si="2"/>
        <v>22</v>
      </c>
      <c r="I52" s="297" t="s">
        <v>355</v>
      </c>
    </row>
    <row r="53" spans="1:9" ht="25.5" x14ac:dyDescent="0.25">
      <c r="A53" s="286">
        <v>13</v>
      </c>
      <c r="B53" s="293" t="s">
        <v>310</v>
      </c>
      <c r="C53" s="286" t="s">
        <v>194</v>
      </c>
      <c r="D53" s="286" t="s">
        <v>10</v>
      </c>
      <c r="E53" s="288"/>
      <c r="F53" s="295">
        <v>45286</v>
      </c>
      <c r="G53" s="295">
        <v>45687</v>
      </c>
      <c r="H53" s="299">
        <f t="shared" si="2"/>
        <v>402</v>
      </c>
      <c r="I53" s="297" t="s">
        <v>355</v>
      </c>
    </row>
    <row r="54" spans="1:9" ht="25.5" x14ac:dyDescent="0.25">
      <c r="A54" s="286">
        <v>14</v>
      </c>
      <c r="B54" s="293" t="s">
        <v>311</v>
      </c>
      <c r="C54" s="286" t="s">
        <v>195</v>
      </c>
      <c r="D54" s="286" t="s">
        <v>10</v>
      </c>
      <c r="E54" s="288"/>
      <c r="F54" s="295">
        <v>45286</v>
      </c>
      <c r="G54" s="295">
        <v>45682</v>
      </c>
      <c r="H54" s="299">
        <f t="shared" si="2"/>
        <v>397</v>
      </c>
      <c r="I54" s="297" t="s">
        <v>355</v>
      </c>
    </row>
    <row r="55" spans="1:9" ht="25.5" x14ac:dyDescent="0.25">
      <c r="A55" s="286">
        <v>15</v>
      </c>
      <c r="B55" s="293" t="s">
        <v>312</v>
      </c>
      <c r="C55" s="286" t="s">
        <v>76</v>
      </c>
      <c r="D55" s="286" t="s">
        <v>10</v>
      </c>
      <c r="E55" s="288"/>
      <c r="F55" s="295">
        <v>45286</v>
      </c>
      <c r="G55" s="295">
        <v>45668</v>
      </c>
      <c r="H55" s="299">
        <f t="shared" si="2"/>
        <v>383</v>
      </c>
      <c r="I55" s="297" t="s">
        <v>355</v>
      </c>
    </row>
    <row r="56" spans="1:9" ht="25.5" x14ac:dyDescent="0.25">
      <c r="A56" s="286">
        <v>16</v>
      </c>
      <c r="B56" s="293" t="s">
        <v>313</v>
      </c>
      <c r="C56" s="286" t="s">
        <v>196</v>
      </c>
      <c r="D56" s="286" t="s">
        <v>10</v>
      </c>
      <c r="E56" s="288"/>
      <c r="F56" s="295">
        <v>45286</v>
      </c>
      <c r="G56" s="295">
        <v>45710</v>
      </c>
      <c r="H56" s="299">
        <f t="shared" si="2"/>
        <v>425</v>
      </c>
      <c r="I56" s="297" t="s">
        <v>355</v>
      </c>
    </row>
    <row r="57" spans="1:9" ht="25.5" x14ac:dyDescent="0.25">
      <c r="A57" s="286">
        <v>17</v>
      </c>
      <c r="B57" s="293" t="s">
        <v>314</v>
      </c>
      <c r="C57" s="286" t="s">
        <v>197</v>
      </c>
      <c r="D57" s="286" t="s">
        <v>10</v>
      </c>
      <c r="E57" s="288"/>
      <c r="F57" s="295">
        <v>45286</v>
      </c>
      <c r="G57" s="295">
        <v>45717</v>
      </c>
      <c r="H57" s="299">
        <f t="shared" si="2"/>
        <v>432</v>
      </c>
      <c r="I57" s="297" t="s">
        <v>355</v>
      </c>
    </row>
    <row r="58" spans="1:9" ht="25.5" x14ac:dyDescent="0.25">
      <c r="A58" s="286">
        <v>18</v>
      </c>
      <c r="B58" s="293" t="s">
        <v>315</v>
      </c>
      <c r="C58" s="286" t="s">
        <v>198</v>
      </c>
      <c r="D58" s="286" t="s">
        <v>10</v>
      </c>
      <c r="E58" s="288"/>
      <c r="F58" s="295">
        <v>45286</v>
      </c>
      <c r="G58" s="295">
        <v>45718</v>
      </c>
      <c r="H58" s="299">
        <f t="shared" si="2"/>
        <v>433</v>
      </c>
      <c r="I58" s="297" t="s">
        <v>355</v>
      </c>
    </row>
    <row r="59" spans="1:9" ht="25.5" x14ac:dyDescent="0.25">
      <c r="A59" s="286">
        <v>19</v>
      </c>
      <c r="B59" s="293" t="s">
        <v>316</v>
      </c>
      <c r="C59" s="286" t="s">
        <v>199</v>
      </c>
      <c r="D59" s="286" t="s">
        <v>10</v>
      </c>
      <c r="E59" s="288"/>
      <c r="F59" s="295">
        <v>45286</v>
      </c>
      <c r="G59" s="295">
        <v>45708</v>
      </c>
      <c r="H59" s="299">
        <f t="shared" si="2"/>
        <v>423</v>
      </c>
      <c r="I59" s="297" t="s">
        <v>355</v>
      </c>
    </row>
    <row r="60" spans="1:9" ht="25.5" x14ac:dyDescent="0.25">
      <c r="A60" s="286">
        <v>20</v>
      </c>
      <c r="B60" s="293" t="s">
        <v>317</v>
      </c>
      <c r="C60" s="286" t="s">
        <v>26</v>
      </c>
      <c r="D60" s="286" t="s">
        <v>10</v>
      </c>
      <c r="E60" s="288"/>
      <c r="F60" s="295">
        <v>45286</v>
      </c>
      <c r="G60" s="295">
        <v>45701</v>
      </c>
      <c r="H60" s="299">
        <f t="shared" si="2"/>
        <v>416</v>
      </c>
      <c r="I60" s="297" t="s">
        <v>355</v>
      </c>
    </row>
    <row r="61" spans="1:9" ht="25.5" x14ac:dyDescent="0.25">
      <c r="A61" s="286">
        <v>21</v>
      </c>
      <c r="B61" s="293" t="s">
        <v>318</v>
      </c>
      <c r="C61" s="286" t="s">
        <v>77</v>
      </c>
      <c r="D61" s="286" t="s">
        <v>10</v>
      </c>
      <c r="E61" s="288"/>
      <c r="F61" s="295">
        <v>45286</v>
      </c>
      <c r="G61" s="295">
        <v>45703</v>
      </c>
      <c r="H61" s="299">
        <f t="shared" si="2"/>
        <v>418</v>
      </c>
      <c r="I61" s="297" t="s">
        <v>355</v>
      </c>
    </row>
    <row r="62" spans="1:9" ht="25.5" x14ac:dyDescent="0.25">
      <c r="A62" s="286">
        <v>22</v>
      </c>
      <c r="B62" s="293" t="s">
        <v>319</v>
      </c>
      <c r="C62" s="286" t="s">
        <v>200</v>
      </c>
      <c r="D62" s="286" t="s">
        <v>10</v>
      </c>
      <c r="E62" s="288"/>
      <c r="F62" s="295">
        <v>45286</v>
      </c>
      <c r="G62" s="295">
        <v>45716</v>
      </c>
      <c r="H62" s="299">
        <f t="shared" si="2"/>
        <v>431</v>
      </c>
      <c r="I62" s="297" t="s">
        <v>355</v>
      </c>
    </row>
    <row r="63" spans="1:9" ht="25.5" x14ac:dyDescent="0.25">
      <c r="A63" s="286">
        <v>23</v>
      </c>
      <c r="B63" s="293" t="s">
        <v>320</v>
      </c>
      <c r="C63" s="286" t="s">
        <v>201</v>
      </c>
      <c r="D63" s="286" t="s">
        <v>10</v>
      </c>
      <c r="E63" s="288"/>
      <c r="F63" s="295">
        <v>45286</v>
      </c>
      <c r="G63" s="295">
        <v>45713</v>
      </c>
      <c r="H63" s="299">
        <f t="shared" si="2"/>
        <v>428</v>
      </c>
      <c r="I63" s="297" t="s">
        <v>355</v>
      </c>
    </row>
    <row r="64" spans="1:9" ht="25.5" x14ac:dyDescent="0.25">
      <c r="A64" s="286">
        <v>24</v>
      </c>
      <c r="B64" s="293" t="s">
        <v>321</v>
      </c>
      <c r="C64" s="286" t="s">
        <v>202</v>
      </c>
      <c r="D64" s="286" t="s">
        <v>10</v>
      </c>
      <c r="E64" s="288"/>
      <c r="F64" s="295">
        <v>45286</v>
      </c>
      <c r="G64" s="295">
        <v>45798</v>
      </c>
      <c r="H64" s="299">
        <f t="shared" si="2"/>
        <v>513</v>
      </c>
      <c r="I64" s="297" t="s">
        <v>355</v>
      </c>
    </row>
    <row r="65" spans="1:9" ht="25.5" x14ac:dyDescent="0.25">
      <c r="A65" s="286">
        <v>25</v>
      </c>
      <c r="B65" s="293" t="s">
        <v>322</v>
      </c>
      <c r="C65" s="286" t="s">
        <v>203</v>
      </c>
      <c r="D65" s="286" t="s">
        <v>10</v>
      </c>
      <c r="E65" s="288"/>
      <c r="F65" s="295">
        <v>45286</v>
      </c>
      <c r="G65" s="295">
        <v>45807</v>
      </c>
      <c r="H65" s="299">
        <f t="shared" si="2"/>
        <v>522</v>
      </c>
      <c r="I65" s="297" t="s">
        <v>355</v>
      </c>
    </row>
    <row r="66" spans="1:9" ht="25.5" x14ac:dyDescent="0.25">
      <c r="A66" s="286">
        <v>26</v>
      </c>
      <c r="B66" s="293" t="s">
        <v>323</v>
      </c>
      <c r="C66" s="286" t="s">
        <v>204</v>
      </c>
      <c r="D66" s="286" t="s">
        <v>10</v>
      </c>
      <c r="E66" s="288"/>
      <c r="F66" s="295">
        <v>45286</v>
      </c>
      <c r="G66" s="295">
        <v>45818</v>
      </c>
      <c r="H66" s="299">
        <f t="shared" si="2"/>
        <v>533</v>
      </c>
      <c r="I66" s="297" t="s">
        <v>355</v>
      </c>
    </row>
    <row r="67" spans="1:9" ht="25.5" x14ac:dyDescent="0.25">
      <c r="A67" s="286">
        <v>27</v>
      </c>
      <c r="B67" s="293" t="s">
        <v>324</v>
      </c>
      <c r="C67" s="286" t="s">
        <v>78</v>
      </c>
      <c r="D67" s="286" t="s">
        <v>10</v>
      </c>
      <c r="E67" s="288"/>
      <c r="F67" s="295">
        <v>45286</v>
      </c>
      <c r="G67" s="295">
        <v>45831</v>
      </c>
      <c r="H67" s="299">
        <f t="shared" si="2"/>
        <v>546</v>
      </c>
      <c r="I67" s="297" t="s">
        <v>355</v>
      </c>
    </row>
    <row r="68" spans="1:9" ht="25.5" x14ac:dyDescent="0.25">
      <c r="A68" s="286">
        <v>28</v>
      </c>
      <c r="B68" s="293" t="s">
        <v>325</v>
      </c>
      <c r="C68" s="286" t="s">
        <v>27</v>
      </c>
      <c r="D68" s="286" t="s">
        <v>10</v>
      </c>
      <c r="E68" s="288"/>
      <c r="F68" s="295">
        <v>45286</v>
      </c>
      <c r="G68" s="295">
        <v>45721</v>
      </c>
      <c r="H68" s="299">
        <f t="shared" si="2"/>
        <v>436</v>
      </c>
      <c r="I68" s="297" t="s">
        <v>355</v>
      </c>
    </row>
    <row r="69" spans="1:9" ht="25.5" x14ac:dyDescent="0.25">
      <c r="A69" s="286">
        <v>29</v>
      </c>
      <c r="B69" s="293" t="s">
        <v>326</v>
      </c>
      <c r="C69" s="286" t="s">
        <v>79</v>
      </c>
      <c r="D69" s="286" t="s">
        <v>10</v>
      </c>
      <c r="E69" s="288"/>
      <c r="F69" s="295">
        <v>45286</v>
      </c>
      <c r="G69" s="295">
        <v>45718</v>
      </c>
      <c r="H69" s="299">
        <f t="shared" si="2"/>
        <v>433</v>
      </c>
      <c r="I69" s="297" t="s">
        <v>355</v>
      </c>
    </row>
    <row r="70" spans="1:9" ht="25.5" x14ac:dyDescent="0.25">
      <c r="A70" s="286">
        <v>30</v>
      </c>
      <c r="B70" s="293" t="s">
        <v>327</v>
      </c>
      <c r="C70" s="286" t="s">
        <v>80</v>
      </c>
      <c r="D70" s="286" t="s">
        <v>10</v>
      </c>
      <c r="E70" s="288"/>
      <c r="F70" s="295">
        <v>45286</v>
      </c>
      <c r="G70" s="295">
        <v>45714</v>
      </c>
      <c r="H70" s="299">
        <f t="shared" si="2"/>
        <v>429</v>
      </c>
      <c r="I70" s="297" t="s">
        <v>355</v>
      </c>
    </row>
    <row r="71" spans="1:9" x14ac:dyDescent="0.25">
      <c r="A71" s="286">
        <v>31</v>
      </c>
      <c r="B71" s="293" t="s">
        <v>1218</v>
      </c>
      <c r="C71" s="286" t="s">
        <v>768</v>
      </c>
      <c r="D71" s="286" t="s">
        <v>10</v>
      </c>
      <c r="E71" s="288"/>
      <c r="F71" s="295">
        <v>45302</v>
      </c>
      <c r="G71" s="295">
        <v>45306</v>
      </c>
      <c r="H71" s="299">
        <f t="shared" si="2"/>
        <v>5</v>
      </c>
      <c r="I71" s="297"/>
    </row>
    <row r="72" spans="1:9" x14ac:dyDescent="0.25">
      <c r="A72" s="286">
        <v>32</v>
      </c>
      <c r="B72" s="293" t="s">
        <v>1218</v>
      </c>
      <c r="C72" s="286" t="s">
        <v>769</v>
      </c>
      <c r="D72" s="286" t="s">
        <v>10</v>
      </c>
      <c r="E72" s="288"/>
      <c r="F72" s="295">
        <v>45302</v>
      </c>
      <c r="G72" s="295">
        <v>45306</v>
      </c>
      <c r="H72" s="299">
        <f t="shared" si="2"/>
        <v>5</v>
      </c>
      <c r="I72" s="297"/>
    </row>
    <row r="73" spans="1:9" x14ac:dyDescent="0.25">
      <c r="A73" s="286">
        <v>33</v>
      </c>
      <c r="B73" s="293" t="s">
        <v>1218</v>
      </c>
      <c r="C73" s="286" t="s">
        <v>772</v>
      </c>
      <c r="D73" s="286" t="s">
        <v>10</v>
      </c>
      <c r="E73" s="288"/>
      <c r="F73" s="295">
        <v>45302</v>
      </c>
      <c r="G73" s="295">
        <v>45304</v>
      </c>
      <c r="H73" s="299">
        <f t="shared" si="2"/>
        <v>3</v>
      </c>
      <c r="I73" s="297"/>
    </row>
    <row r="74" spans="1:9" x14ac:dyDescent="0.25">
      <c r="A74" s="286">
        <v>34</v>
      </c>
      <c r="B74" s="293" t="s">
        <v>1218</v>
      </c>
      <c r="C74" s="286" t="s">
        <v>773</v>
      </c>
      <c r="D74" s="286" t="s">
        <v>10</v>
      </c>
      <c r="E74" s="288"/>
      <c r="F74" s="295">
        <v>45302</v>
      </c>
      <c r="G74" s="295">
        <v>45304</v>
      </c>
      <c r="H74" s="299">
        <f t="shared" si="2"/>
        <v>3</v>
      </c>
      <c r="I74" s="297"/>
    </row>
    <row r="75" spans="1:9" x14ac:dyDescent="0.25">
      <c r="A75" s="286">
        <v>35</v>
      </c>
      <c r="B75" s="293" t="s">
        <v>1218</v>
      </c>
      <c r="C75" s="286" t="s">
        <v>780</v>
      </c>
      <c r="D75" s="286" t="s">
        <v>10</v>
      </c>
      <c r="E75" s="288"/>
      <c r="F75" s="295">
        <v>45304</v>
      </c>
      <c r="G75" s="295">
        <v>45310</v>
      </c>
      <c r="H75" s="299">
        <f t="shared" si="2"/>
        <v>7</v>
      </c>
      <c r="I75" s="297"/>
    </row>
    <row r="76" spans="1:9" ht="25.5" x14ac:dyDescent="0.25">
      <c r="A76" s="286">
        <v>36</v>
      </c>
      <c r="B76" s="293" t="s">
        <v>354</v>
      </c>
      <c r="C76" s="294" t="s">
        <v>61</v>
      </c>
      <c r="D76" s="286" t="s">
        <v>10</v>
      </c>
      <c r="E76" s="288"/>
      <c r="F76" s="295">
        <v>45311</v>
      </c>
      <c r="G76" s="295">
        <v>45314</v>
      </c>
      <c r="H76" s="299">
        <f t="shared" si="2"/>
        <v>4</v>
      </c>
      <c r="I76" s="297" t="s">
        <v>357</v>
      </c>
    </row>
    <row r="77" spans="1:9" ht="38.25" x14ac:dyDescent="0.25">
      <c r="A77" s="286">
        <v>37</v>
      </c>
      <c r="B77" s="293" t="s">
        <v>359</v>
      </c>
      <c r="C77" s="294" t="s">
        <v>72</v>
      </c>
      <c r="D77" s="286" t="s">
        <v>10</v>
      </c>
      <c r="E77" s="288" t="s">
        <v>254</v>
      </c>
      <c r="F77" s="295">
        <v>45319</v>
      </c>
      <c r="G77" s="295">
        <v>45334</v>
      </c>
      <c r="H77" s="299">
        <f t="shared" si="2"/>
        <v>16</v>
      </c>
      <c r="I77" s="297" t="s">
        <v>373</v>
      </c>
    </row>
    <row r="78" spans="1:9" x14ac:dyDescent="0.25">
      <c r="A78" s="286">
        <v>38</v>
      </c>
      <c r="B78" s="293" t="s">
        <v>1219</v>
      </c>
      <c r="C78" s="294" t="s">
        <v>820</v>
      </c>
      <c r="D78" s="286" t="s">
        <v>10</v>
      </c>
      <c r="E78" s="288"/>
      <c r="F78" s="295">
        <v>45323</v>
      </c>
      <c r="G78" s="295">
        <v>45329</v>
      </c>
      <c r="H78" s="299">
        <f t="shared" si="2"/>
        <v>7</v>
      </c>
      <c r="I78" s="297"/>
    </row>
    <row r="79" spans="1:9" ht="38.25" x14ac:dyDescent="0.25">
      <c r="A79" s="286">
        <v>39</v>
      </c>
      <c r="B79" s="293" t="s">
        <v>364</v>
      </c>
      <c r="C79" s="294" t="s">
        <v>68</v>
      </c>
      <c r="D79" s="286" t="s">
        <v>10</v>
      </c>
      <c r="E79" s="288" t="s">
        <v>361</v>
      </c>
      <c r="F79" s="295">
        <v>45324</v>
      </c>
      <c r="G79" s="295">
        <v>45356</v>
      </c>
      <c r="H79" s="299">
        <f t="shared" si="2"/>
        <v>33</v>
      </c>
      <c r="I79" s="297" t="s">
        <v>382</v>
      </c>
    </row>
    <row r="80" spans="1:9" ht="38.25" x14ac:dyDescent="0.25">
      <c r="A80" s="286">
        <v>40</v>
      </c>
      <c r="B80" s="293" t="s">
        <v>367</v>
      </c>
      <c r="C80" s="294" t="s">
        <v>69</v>
      </c>
      <c r="D80" s="286" t="s">
        <v>10</v>
      </c>
      <c r="E80" s="288" t="s">
        <v>361</v>
      </c>
      <c r="F80" s="295">
        <v>45330</v>
      </c>
      <c r="G80" s="295">
        <v>45419</v>
      </c>
      <c r="H80" s="299">
        <f t="shared" si="2"/>
        <v>90</v>
      </c>
      <c r="I80" s="297"/>
    </row>
    <row r="81" spans="1:9" ht="38.25" x14ac:dyDescent="0.25">
      <c r="A81" s="286">
        <v>41</v>
      </c>
      <c r="B81" s="293" t="s">
        <v>368</v>
      </c>
      <c r="C81" s="294" t="s">
        <v>187</v>
      </c>
      <c r="D81" s="286" t="s">
        <v>10</v>
      </c>
      <c r="E81" s="288" t="s">
        <v>361</v>
      </c>
      <c r="F81" s="295">
        <v>45330</v>
      </c>
      <c r="G81" s="295">
        <v>45795</v>
      </c>
      <c r="H81" s="299">
        <f t="shared" si="2"/>
        <v>466</v>
      </c>
      <c r="I81" s="297"/>
    </row>
    <row r="82" spans="1:9" x14ac:dyDescent="0.25">
      <c r="A82" s="286">
        <v>42</v>
      </c>
      <c r="B82" s="293" t="s">
        <v>369</v>
      </c>
      <c r="C82" s="294" t="s">
        <v>81</v>
      </c>
      <c r="D82" s="286" t="s">
        <v>10</v>
      </c>
      <c r="E82" s="288"/>
      <c r="F82" s="295">
        <v>45330</v>
      </c>
      <c r="G82" s="295">
        <v>45716</v>
      </c>
      <c r="H82" s="299">
        <f t="shared" si="2"/>
        <v>387</v>
      </c>
      <c r="I82" s="297"/>
    </row>
    <row r="83" spans="1:9" ht="25.5" x14ac:dyDescent="0.25">
      <c r="A83" s="286">
        <v>43</v>
      </c>
      <c r="B83" s="293" t="s">
        <v>366</v>
      </c>
      <c r="C83" s="286" t="s">
        <v>82</v>
      </c>
      <c r="D83" s="286" t="s">
        <v>10</v>
      </c>
      <c r="E83" s="288"/>
      <c r="F83" s="295">
        <v>45330</v>
      </c>
      <c r="G83" s="295">
        <v>45695</v>
      </c>
      <c r="H83" s="299">
        <f t="shared" si="2"/>
        <v>366</v>
      </c>
      <c r="I83" s="297"/>
    </row>
    <row r="84" spans="1:9" ht="25.5" x14ac:dyDescent="0.25">
      <c r="A84" s="286">
        <v>44</v>
      </c>
      <c r="B84" s="293" t="s">
        <v>366</v>
      </c>
      <c r="C84" s="286" t="s">
        <v>205</v>
      </c>
      <c r="D84" s="286" t="s">
        <v>10</v>
      </c>
      <c r="E84" s="288"/>
      <c r="F84" s="295">
        <v>45330</v>
      </c>
      <c r="G84" s="295">
        <v>45691</v>
      </c>
      <c r="H84" s="299">
        <f t="shared" si="2"/>
        <v>362</v>
      </c>
      <c r="I84" s="297"/>
    </row>
    <row r="85" spans="1:9" ht="25.5" x14ac:dyDescent="0.25">
      <c r="A85" s="286">
        <v>45</v>
      </c>
      <c r="B85" s="293" t="s">
        <v>366</v>
      </c>
      <c r="C85" s="286" t="s">
        <v>206</v>
      </c>
      <c r="D85" s="286" t="s">
        <v>10</v>
      </c>
      <c r="E85" s="288"/>
      <c r="F85" s="295">
        <v>45330</v>
      </c>
      <c r="G85" s="295">
        <v>45691</v>
      </c>
      <c r="H85" s="299">
        <f t="shared" si="2"/>
        <v>362</v>
      </c>
      <c r="I85" s="297"/>
    </row>
    <row r="86" spans="1:9" ht="25.5" x14ac:dyDescent="0.25">
      <c r="A86" s="286">
        <v>46</v>
      </c>
      <c r="B86" s="293" t="s">
        <v>366</v>
      </c>
      <c r="C86" s="286" t="s">
        <v>83</v>
      </c>
      <c r="D86" s="286" t="s">
        <v>10</v>
      </c>
      <c r="E86" s="288"/>
      <c r="F86" s="295">
        <v>45330</v>
      </c>
      <c r="G86" s="295">
        <v>45700</v>
      </c>
      <c r="H86" s="299">
        <f t="shared" si="2"/>
        <v>371</v>
      </c>
      <c r="I86" s="297"/>
    </row>
    <row r="87" spans="1:9" ht="25.5" x14ac:dyDescent="0.25">
      <c r="A87" s="286">
        <v>47</v>
      </c>
      <c r="B87" s="293" t="s">
        <v>366</v>
      </c>
      <c r="C87" s="286" t="s">
        <v>231</v>
      </c>
      <c r="D87" s="286" t="s">
        <v>10</v>
      </c>
      <c r="E87" s="288"/>
      <c r="F87" s="295">
        <v>45330</v>
      </c>
      <c r="G87" s="295">
        <v>45688</v>
      </c>
      <c r="H87" s="299">
        <f t="shared" si="2"/>
        <v>359</v>
      </c>
      <c r="I87" s="297"/>
    </row>
    <row r="88" spans="1:9" ht="25.5" x14ac:dyDescent="0.25">
      <c r="A88" s="286">
        <v>48</v>
      </c>
      <c r="B88" s="293" t="s">
        <v>366</v>
      </c>
      <c r="C88" s="286" t="s">
        <v>84</v>
      </c>
      <c r="D88" s="286" t="s">
        <v>10</v>
      </c>
      <c r="E88" s="288"/>
      <c r="F88" s="295">
        <v>45330</v>
      </c>
      <c r="G88" s="295">
        <v>45684</v>
      </c>
      <c r="H88" s="299">
        <f t="shared" si="2"/>
        <v>355</v>
      </c>
      <c r="I88" s="297"/>
    </row>
    <row r="89" spans="1:9" ht="25.5" x14ac:dyDescent="0.25">
      <c r="A89" s="286">
        <v>49</v>
      </c>
      <c r="B89" s="293" t="s">
        <v>366</v>
      </c>
      <c r="C89" s="286" t="s">
        <v>207</v>
      </c>
      <c r="D89" s="286" t="s">
        <v>10</v>
      </c>
      <c r="E89" s="288"/>
      <c r="F89" s="295">
        <v>45330</v>
      </c>
      <c r="G89" s="295">
        <v>45662</v>
      </c>
      <c r="H89" s="299">
        <f t="shared" si="2"/>
        <v>333</v>
      </c>
      <c r="I89" s="297"/>
    </row>
    <row r="90" spans="1:9" ht="25.5" x14ac:dyDescent="0.25">
      <c r="A90" s="286">
        <v>50</v>
      </c>
      <c r="B90" s="293" t="s">
        <v>366</v>
      </c>
      <c r="C90" s="286" t="s">
        <v>208</v>
      </c>
      <c r="D90" s="286" t="s">
        <v>10</v>
      </c>
      <c r="E90" s="288"/>
      <c r="F90" s="295">
        <v>45330</v>
      </c>
      <c r="G90" s="295">
        <v>45673</v>
      </c>
      <c r="H90" s="299">
        <f t="shared" si="2"/>
        <v>344</v>
      </c>
      <c r="I90" s="297"/>
    </row>
    <row r="91" spans="1:9" ht="25.5" x14ac:dyDescent="0.25">
      <c r="A91" s="286">
        <v>51</v>
      </c>
      <c r="B91" s="293" t="s">
        <v>366</v>
      </c>
      <c r="C91" s="286" t="s">
        <v>209</v>
      </c>
      <c r="D91" s="286" t="s">
        <v>10</v>
      </c>
      <c r="E91" s="288"/>
      <c r="F91" s="295">
        <v>45330</v>
      </c>
      <c r="G91" s="295">
        <v>45336</v>
      </c>
      <c r="H91" s="299">
        <f t="shared" si="2"/>
        <v>7</v>
      </c>
      <c r="I91" s="297" t="s">
        <v>377</v>
      </c>
    </row>
    <row r="92" spans="1:9" ht="25.5" x14ac:dyDescent="0.25">
      <c r="A92" s="286">
        <v>52</v>
      </c>
      <c r="B92" s="293" t="s">
        <v>366</v>
      </c>
      <c r="C92" s="286" t="s">
        <v>210</v>
      </c>
      <c r="D92" s="286" t="s">
        <v>10</v>
      </c>
      <c r="E92" s="288"/>
      <c r="F92" s="295">
        <v>45330</v>
      </c>
      <c r="G92" s="295">
        <v>45703</v>
      </c>
      <c r="H92" s="299">
        <f t="shared" si="2"/>
        <v>374</v>
      </c>
      <c r="I92" s="297"/>
    </row>
    <row r="93" spans="1:9" ht="25.5" x14ac:dyDescent="0.25">
      <c r="A93" s="286">
        <v>53</v>
      </c>
      <c r="B93" s="293" t="s">
        <v>366</v>
      </c>
      <c r="C93" s="286" t="s">
        <v>29</v>
      </c>
      <c r="D93" s="286" t="s">
        <v>10</v>
      </c>
      <c r="E93" s="288"/>
      <c r="F93" s="295">
        <v>45330</v>
      </c>
      <c r="G93" s="295">
        <v>45659</v>
      </c>
      <c r="H93" s="299">
        <f t="shared" si="2"/>
        <v>330</v>
      </c>
      <c r="I93" s="297"/>
    </row>
    <row r="94" spans="1:9" ht="25.5" x14ac:dyDescent="0.25">
      <c r="A94" s="286">
        <v>54</v>
      </c>
      <c r="B94" s="293" t="s">
        <v>366</v>
      </c>
      <c r="C94" s="286" t="s">
        <v>211</v>
      </c>
      <c r="D94" s="286" t="s">
        <v>10</v>
      </c>
      <c r="E94" s="288"/>
      <c r="F94" s="295">
        <v>45330</v>
      </c>
      <c r="G94" s="295">
        <v>45736</v>
      </c>
      <c r="H94" s="299">
        <f t="shared" si="2"/>
        <v>407</v>
      </c>
      <c r="I94" s="297"/>
    </row>
    <row r="95" spans="1:9" ht="25.5" x14ac:dyDescent="0.25">
      <c r="A95" s="286">
        <v>55</v>
      </c>
      <c r="B95" s="293" t="s">
        <v>366</v>
      </c>
      <c r="C95" s="286" t="s">
        <v>212</v>
      </c>
      <c r="D95" s="286" t="s">
        <v>10</v>
      </c>
      <c r="E95" s="288"/>
      <c r="F95" s="295">
        <v>45330</v>
      </c>
      <c r="G95" s="295">
        <v>45660</v>
      </c>
      <c r="H95" s="299">
        <f t="shared" si="2"/>
        <v>331</v>
      </c>
      <c r="I95" s="297"/>
    </row>
    <row r="96" spans="1:9" ht="38.25" x14ac:dyDescent="0.25">
      <c r="A96" s="286">
        <v>56</v>
      </c>
      <c r="B96" s="293" t="s">
        <v>366</v>
      </c>
      <c r="C96" s="286" t="s">
        <v>213</v>
      </c>
      <c r="D96" s="286" t="s">
        <v>10</v>
      </c>
      <c r="E96" s="288"/>
      <c r="F96" s="295">
        <v>45330</v>
      </c>
      <c r="G96" s="295">
        <v>45687</v>
      </c>
      <c r="H96" s="299">
        <f t="shared" si="2"/>
        <v>358</v>
      </c>
      <c r="I96" s="297" t="s">
        <v>664</v>
      </c>
    </row>
    <row r="97" spans="1:9" ht="25.5" x14ac:dyDescent="0.25">
      <c r="A97" s="286">
        <v>57</v>
      </c>
      <c r="B97" s="293" t="s">
        <v>366</v>
      </c>
      <c r="C97" s="286" t="s">
        <v>214</v>
      </c>
      <c r="D97" s="286" t="s">
        <v>10</v>
      </c>
      <c r="E97" s="288"/>
      <c r="F97" s="295">
        <v>45330</v>
      </c>
      <c r="G97" s="295">
        <v>45334</v>
      </c>
      <c r="H97" s="299">
        <f t="shared" si="2"/>
        <v>5</v>
      </c>
      <c r="I97" s="297" t="s">
        <v>372</v>
      </c>
    </row>
    <row r="98" spans="1:9" ht="25.5" x14ac:dyDescent="0.25">
      <c r="A98" s="286">
        <v>58</v>
      </c>
      <c r="B98" s="293" t="s">
        <v>366</v>
      </c>
      <c r="C98" s="286" t="s">
        <v>215</v>
      </c>
      <c r="D98" s="286" t="s">
        <v>10</v>
      </c>
      <c r="E98" s="288"/>
      <c r="F98" s="295">
        <v>45330</v>
      </c>
      <c r="G98" s="295">
        <v>45684</v>
      </c>
      <c r="H98" s="299">
        <f t="shared" si="2"/>
        <v>355</v>
      </c>
      <c r="I98" s="297"/>
    </row>
    <row r="99" spans="1:9" ht="25.5" x14ac:dyDescent="0.25">
      <c r="A99" s="286">
        <v>59</v>
      </c>
      <c r="B99" s="293" t="s">
        <v>366</v>
      </c>
      <c r="C99" s="286" t="s">
        <v>30</v>
      </c>
      <c r="D99" s="286" t="s">
        <v>10</v>
      </c>
      <c r="E99" s="288"/>
      <c r="F99" s="295">
        <v>45330</v>
      </c>
      <c r="G99" s="295">
        <v>45334</v>
      </c>
      <c r="H99" s="299">
        <f t="shared" si="2"/>
        <v>5</v>
      </c>
      <c r="I99" s="297" t="s">
        <v>372</v>
      </c>
    </row>
    <row r="100" spans="1:9" ht="25.5" x14ac:dyDescent="0.25">
      <c r="A100" s="286">
        <v>60</v>
      </c>
      <c r="B100" s="293" t="s">
        <v>366</v>
      </c>
      <c r="C100" s="286" t="s">
        <v>86</v>
      </c>
      <c r="D100" s="286" t="s">
        <v>10</v>
      </c>
      <c r="E100" s="288"/>
      <c r="F100" s="295">
        <v>45330</v>
      </c>
      <c r="G100" s="295">
        <v>45808</v>
      </c>
      <c r="H100" s="299">
        <f t="shared" si="2"/>
        <v>479</v>
      </c>
      <c r="I100" s="297"/>
    </row>
    <row r="101" spans="1:9" ht="25.5" x14ac:dyDescent="0.25">
      <c r="A101" s="286">
        <v>61</v>
      </c>
      <c r="B101" s="293" t="s">
        <v>366</v>
      </c>
      <c r="C101" s="286" t="s">
        <v>87</v>
      </c>
      <c r="D101" s="286" t="s">
        <v>10</v>
      </c>
      <c r="E101" s="288"/>
      <c r="F101" s="295">
        <v>45330</v>
      </c>
      <c r="G101" s="295">
        <v>45808</v>
      </c>
      <c r="H101" s="299">
        <f t="shared" si="2"/>
        <v>479</v>
      </c>
      <c r="I101" s="297"/>
    </row>
    <row r="102" spans="1:9" ht="25.5" x14ac:dyDescent="0.25">
      <c r="A102" s="286">
        <v>62</v>
      </c>
      <c r="B102" s="293" t="s">
        <v>366</v>
      </c>
      <c r="C102" s="286" t="s">
        <v>216</v>
      </c>
      <c r="D102" s="286" t="s">
        <v>10</v>
      </c>
      <c r="E102" s="288"/>
      <c r="F102" s="295">
        <v>45330</v>
      </c>
      <c r="G102" s="295">
        <v>45808</v>
      </c>
      <c r="H102" s="299">
        <f t="shared" si="2"/>
        <v>479</v>
      </c>
      <c r="I102" s="297"/>
    </row>
    <row r="103" spans="1:9" ht="38.25" x14ac:dyDescent="0.25">
      <c r="A103" s="286">
        <v>63</v>
      </c>
      <c r="B103" s="293" t="s">
        <v>379</v>
      </c>
      <c r="C103" s="286" t="s">
        <v>185</v>
      </c>
      <c r="D103" s="286" t="s">
        <v>10</v>
      </c>
      <c r="E103" s="288" t="s">
        <v>251</v>
      </c>
      <c r="F103" s="295">
        <v>45341</v>
      </c>
      <c r="G103" s="295">
        <v>45656</v>
      </c>
      <c r="H103" s="299">
        <f t="shared" si="2"/>
        <v>316</v>
      </c>
      <c r="I103" s="297" t="s">
        <v>381</v>
      </c>
    </row>
    <row r="104" spans="1:9" ht="38.25" x14ac:dyDescent="0.25">
      <c r="A104" s="286">
        <v>64</v>
      </c>
      <c r="B104" s="293" t="s">
        <v>375</v>
      </c>
      <c r="C104" s="286" t="s">
        <v>186</v>
      </c>
      <c r="D104" s="286" t="s">
        <v>10</v>
      </c>
      <c r="E104" s="288" t="s">
        <v>251</v>
      </c>
      <c r="F104" s="295">
        <v>45341</v>
      </c>
      <c r="G104" s="295">
        <v>45958</v>
      </c>
      <c r="H104" s="299">
        <f t="shared" si="2"/>
        <v>618</v>
      </c>
      <c r="I104" s="297" t="s">
        <v>1706</v>
      </c>
    </row>
    <row r="105" spans="1:9" ht="153" x14ac:dyDescent="0.25">
      <c r="A105" s="286">
        <v>65</v>
      </c>
      <c r="B105" s="293" t="s">
        <v>387</v>
      </c>
      <c r="C105" s="286" t="s">
        <v>50</v>
      </c>
      <c r="D105" s="286" t="s">
        <v>10</v>
      </c>
      <c r="E105" s="288"/>
      <c r="F105" s="295">
        <v>45340</v>
      </c>
      <c r="G105" s="295">
        <v>45968</v>
      </c>
      <c r="H105" s="299">
        <f t="shared" si="2"/>
        <v>629</v>
      </c>
      <c r="I105" s="297" t="s">
        <v>1716</v>
      </c>
    </row>
    <row r="106" spans="1:9" x14ac:dyDescent="0.25">
      <c r="A106" s="286">
        <v>66</v>
      </c>
      <c r="B106" s="293" t="s">
        <v>1219</v>
      </c>
      <c r="C106" s="286" t="s">
        <v>790</v>
      </c>
      <c r="D106" s="286" t="s">
        <v>10</v>
      </c>
      <c r="E106" s="288"/>
      <c r="F106" s="295">
        <v>45341</v>
      </c>
      <c r="G106" s="295">
        <v>45351</v>
      </c>
      <c r="H106" s="299">
        <f t="shared" ref="H106:H169" si="3">+IF(G106="","Awaited",_xlfn.DAYS(G106,F106)+1)</f>
        <v>11</v>
      </c>
      <c r="I106" s="297"/>
    </row>
    <row r="107" spans="1:9" x14ac:dyDescent="0.25">
      <c r="A107" s="286">
        <v>67</v>
      </c>
      <c r="B107" s="293" t="s">
        <v>1219</v>
      </c>
      <c r="C107" s="286" t="s">
        <v>784</v>
      </c>
      <c r="D107" s="286" t="s">
        <v>10</v>
      </c>
      <c r="E107" s="288"/>
      <c r="F107" s="295">
        <v>45341</v>
      </c>
      <c r="G107" s="295">
        <v>45351</v>
      </c>
      <c r="H107" s="299">
        <f t="shared" si="3"/>
        <v>11</v>
      </c>
      <c r="I107" s="297"/>
    </row>
    <row r="108" spans="1:9" x14ac:dyDescent="0.25">
      <c r="A108" s="286">
        <v>68</v>
      </c>
      <c r="B108" s="293" t="s">
        <v>1218</v>
      </c>
      <c r="C108" s="286" t="s">
        <v>99</v>
      </c>
      <c r="D108" s="286" t="s">
        <v>10</v>
      </c>
      <c r="E108" s="288"/>
      <c r="F108" s="295">
        <v>45341</v>
      </c>
      <c r="G108" s="295">
        <v>45351</v>
      </c>
      <c r="H108" s="299">
        <f t="shared" si="3"/>
        <v>11</v>
      </c>
      <c r="I108" s="297"/>
    </row>
    <row r="109" spans="1:9" ht="25.5" x14ac:dyDescent="0.25">
      <c r="A109" s="286">
        <v>69</v>
      </c>
      <c r="B109" s="293" t="s">
        <v>383</v>
      </c>
      <c r="C109" s="286" t="s">
        <v>177</v>
      </c>
      <c r="D109" s="286" t="s">
        <v>10</v>
      </c>
      <c r="E109" s="288"/>
      <c r="F109" s="295">
        <v>45344</v>
      </c>
      <c r="G109" s="295">
        <v>45790</v>
      </c>
      <c r="H109" s="299">
        <f t="shared" si="3"/>
        <v>447</v>
      </c>
      <c r="I109" s="297" t="s">
        <v>384</v>
      </c>
    </row>
    <row r="110" spans="1:9" ht="76.5" x14ac:dyDescent="0.25">
      <c r="A110" s="286">
        <v>70</v>
      </c>
      <c r="B110" s="293" t="s">
        <v>388</v>
      </c>
      <c r="C110" s="286"/>
      <c r="D110" s="286" t="s">
        <v>10</v>
      </c>
      <c r="E110" s="288" t="s">
        <v>254</v>
      </c>
      <c r="F110" s="295">
        <v>45347</v>
      </c>
      <c r="G110" s="295">
        <v>45348</v>
      </c>
      <c r="H110" s="299">
        <f t="shared" si="3"/>
        <v>2</v>
      </c>
      <c r="I110" s="297" t="s">
        <v>385</v>
      </c>
    </row>
    <row r="111" spans="1:9" ht="51" x14ac:dyDescent="0.25">
      <c r="A111" s="286">
        <v>71</v>
      </c>
      <c r="B111" s="293" t="s">
        <v>386</v>
      </c>
      <c r="C111" s="286" t="s">
        <v>184</v>
      </c>
      <c r="D111" s="286" t="s">
        <v>10</v>
      </c>
      <c r="E111" s="288" t="s">
        <v>380</v>
      </c>
      <c r="F111" s="295">
        <v>45347</v>
      </c>
      <c r="G111" s="295">
        <v>45348</v>
      </c>
      <c r="H111" s="299">
        <f t="shared" si="3"/>
        <v>2</v>
      </c>
      <c r="I111" s="297" t="s">
        <v>385</v>
      </c>
    </row>
    <row r="112" spans="1:9" ht="38.25" x14ac:dyDescent="0.25">
      <c r="A112" s="286">
        <v>72</v>
      </c>
      <c r="B112" s="293" t="s">
        <v>390</v>
      </c>
      <c r="C112" s="286" t="s">
        <v>184</v>
      </c>
      <c r="D112" s="286" t="s">
        <v>10</v>
      </c>
      <c r="E112" s="288" t="s">
        <v>251</v>
      </c>
      <c r="F112" s="295">
        <v>45352</v>
      </c>
      <c r="G112" s="295">
        <v>45355</v>
      </c>
      <c r="H112" s="299">
        <f t="shared" si="3"/>
        <v>4</v>
      </c>
      <c r="I112" s="297" t="s">
        <v>391</v>
      </c>
    </row>
    <row r="113" spans="1:9" ht="38.25" x14ac:dyDescent="0.25">
      <c r="A113" s="286">
        <v>73</v>
      </c>
      <c r="B113" s="293" t="s">
        <v>392</v>
      </c>
      <c r="C113" s="286" t="s">
        <v>51</v>
      </c>
      <c r="D113" s="286" t="s">
        <v>10</v>
      </c>
      <c r="E113" s="288" t="s">
        <v>378</v>
      </c>
      <c r="F113" s="295">
        <v>45353</v>
      </c>
      <c r="G113" s="295">
        <v>45354</v>
      </c>
      <c r="H113" s="299">
        <f t="shared" si="3"/>
        <v>2</v>
      </c>
      <c r="I113" s="297" t="s">
        <v>391</v>
      </c>
    </row>
    <row r="114" spans="1:9" x14ac:dyDescent="0.25">
      <c r="A114" s="286">
        <v>74</v>
      </c>
      <c r="B114" s="293" t="s">
        <v>1218</v>
      </c>
      <c r="C114" s="286" t="s">
        <v>731</v>
      </c>
      <c r="D114" s="286" t="s">
        <v>10</v>
      </c>
      <c r="E114" s="288"/>
      <c r="F114" s="295">
        <v>45357</v>
      </c>
      <c r="G114" s="295">
        <v>45436</v>
      </c>
      <c r="H114" s="299">
        <f t="shared" si="3"/>
        <v>80</v>
      </c>
      <c r="I114" s="297"/>
    </row>
    <row r="115" spans="1:9" x14ac:dyDescent="0.25">
      <c r="A115" s="286">
        <v>75</v>
      </c>
      <c r="B115" s="293" t="s">
        <v>1218</v>
      </c>
      <c r="C115" s="286" t="s">
        <v>732</v>
      </c>
      <c r="D115" s="286" t="s">
        <v>10</v>
      </c>
      <c r="E115" s="288"/>
      <c r="F115" s="295">
        <v>45357</v>
      </c>
      <c r="G115" s="295">
        <v>45386</v>
      </c>
      <c r="H115" s="299">
        <f t="shared" si="3"/>
        <v>30</v>
      </c>
      <c r="I115" s="297"/>
    </row>
    <row r="116" spans="1:9" x14ac:dyDescent="0.25">
      <c r="A116" s="286">
        <v>76</v>
      </c>
      <c r="B116" s="293" t="s">
        <v>1218</v>
      </c>
      <c r="C116" s="286" t="s">
        <v>733</v>
      </c>
      <c r="D116" s="286" t="s">
        <v>10</v>
      </c>
      <c r="E116" s="288"/>
      <c r="F116" s="295">
        <v>45357</v>
      </c>
      <c r="G116" s="295">
        <v>45386</v>
      </c>
      <c r="H116" s="299">
        <f t="shared" si="3"/>
        <v>30</v>
      </c>
      <c r="I116" s="297"/>
    </row>
    <row r="117" spans="1:9" x14ac:dyDescent="0.25">
      <c r="A117" s="286">
        <v>77</v>
      </c>
      <c r="B117" s="293" t="s">
        <v>1218</v>
      </c>
      <c r="C117" s="286" t="s">
        <v>734</v>
      </c>
      <c r="D117" s="286" t="s">
        <v>10</v>
      </c>
      <c r="E117" s="288"/>
      <c r="F117" s="295">
        <v>45357</v>
      </c>
      <c r="G117" s="295">
        <v>45436</v>
      </c>
      <c r="H117" s="299">
        <f t="shared" si="3"/>
        <v>80</v>
      </c>
      <c r="I117" s="297"/>
    </row>
    <row r="118" spans="1:9" x14ac:dyDescent="0.25">
      <c r="A118" s="286">
        <v>78</v>
      </c>
      <c r="B118" s="293" t="s">
        <v>1218</v>
      </c>
      <c r="C118" s="286" t="s">
        <v>735</v>
      </c>
      <c r="D118" s="286" t="s">
        <v>10</v>
      </c>
      <c r="E118" s="288"/>
      <c r="F118" s="295">
        <v>45357</v>
      </c>
      <c r="G118" s="295">
        <v>45436</v>
      </c>
      <c r="H118" s="299">
        <f t="shared" si="3"/>
        <v>80</v>
      </c>
      <c r="I118" s="297"/>
    </row>
    <row r="119" spans="1:9" x14ac:dyDescent="0.25">
      <c r="A119" s="286">
        <v>79</v>
      </c>
      <c r="B119" s="293" t="s">
        <v>1218</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x14ac:dyDescent="0.25">
      <c r="A121" s="286">
        <v>81</v>
      </c>
      <c r="B121" s="293" t="s">
        <v>398</v>
      </c>
      <c r="C121" s="294" t="s">
        <v>166</v>
      </c>
      <c r="D121" s="286" t="s">
        <v>10</v>
      </c>
      <c r="E121" s="288" t="s">
        <v>393</v>
      </c>
      <c r="F121" s="295">
        <v>45416</v>
      </c>
      <c r="G121" s="295">
        <v>45416</v>
      </c>
      <c r="H121" s="299">
        <f t="shared" si="3"/>
        <v>1</v>
      </c>
      <c r="I121" s="297"/>
    </row>
    <row r="122" spans="1:9" ht="51" x14ac:dyDescent="0.25">
      <c r="A122" s="286">
        <v>82</v>
      </c>
      <c r="B122" s="293" t="s">
        <v>399</v>
      </c>
      <c r="C122" s="286" t="s">
        <v>165</v>
      </c>
      <c r="D122" s="286" t="s">
        <v>10</v>
      </c>
      <c r="E122" s="288" t="s">
        <v>393</v>
      </c>
      <c r="F122" s="295">
        <v>45426</v>
      </c>
      <c r="G122" s="295">
        <v>45459</v>
      </c>
      <c r="H122" s="299">
        <f t="shared" si="3"/>
        <v>34</v>
      </c>
      <c r="I122" s="297" t="s">
        <v>400</v>
      </c>
    </row>
    <row r="123" spans="1:9" ht="25.5" x14ac:dyDescent="0.25">
      <c r="A123" s="286">
        <v>83</v>
      </c>
      <c r="B123" s="293" t="s">
        <v>552</v>
      </c>
      <c r="C123" s="286" t="s">
        <v>162</v>
      </c>
      <c r="D123" s="286" t="s">
        <v>10</v>
      </c>
      <c r="E123" s="288" t="s">
        <v>550</v>
      </c>
      <c r="F123" s="295">
        <v>45477</v>
      </c>
      <c r="G123" s="295">
        <v>45511</v>
      </c>
      <c r="H123" s="299">
        <f t="shared" si="3"/>
        <v>35</v>
      </c>
      <c r="I123" s="297"/>
    </row>
    <row r="124" spans="1:9" ht="25.5" x14ac:dyDescent="0.25">
      <c r="A124" s="286">
        <v>84</v>
      </c>
      <c r="B124" s="293" t="s">
        <v>552</v>
      </c>
      <c r="C124" s="286" t="s">
        <v>163</v>
      </c>
      <c r="D124" s="286" t="s">
        <v>10</v>
      </c>
      <c r="E124" s="288" t="s">
        <v>550</v>
      </c>
      <c r="F124" s="295">
        <v>45477</v>
      </c>
      <c r="G124" s="295">
        <v>45932</v>
      </c>
      <c r="H124" s="299">
        <f t="shared" si="3"/>
        <v>456</v>
      </c>
      <c r="I124" s="297"/>
    </row>
    <row r="125" spans="1:9" ht="25.5" x14ac:dyDescent="0.25">
      <c r="A125" s="286">
        <v>85</v>
      </c>
      <c r="B125" s="293" t="s">
        <v>552</v>
      </c>
      <c r="C125" s="286" t="s">
        <v>474</v>
      </c>
      <c r="D125" s="286" t="s">
        <v>10</v>
      </c>
      <c r="E125" s="288" t="s">
        <v>550</v>
      </c>
      <c r="F125" s="295">
        <v>45477</v>
      </c>
      <c r="G125" s="295">
        <v>45480</v>
      </c>
      <c r="H125" s="299">
        <f t="shared" si="3"/>
        <v>4</v>
      </c>
      <c r="I125" s="297"/>
    </row>
    <row r="126" spans="1:9" ht="38.25" x14ac:dyDescent="0.25">
      <c r="A126" s="286">
        <v>86</v>
      </c>
      <c r="B126" s="293" t="s">
        <v>552</v>
      </c>
      <c r="C126" s="286" t="s">
        <v>497</v>
      </c>
      <c r="D126" s="286" t="s">
        <v>10</v>
      </c>
      <c r="E126" s="288" t="s">
        <v>361</v>
      </c>
      <c r="F126" s="295">
        <v>45477</v>
      </c>
      <c r="G126" s="295">
        <v>45542</v>
      </c>
      <c r="H126" s="299">
        <f t="shared" si="3"/>
        <v>66</v>
      </c>
      <c r="I126" s="297"/>
    </row>
    <row r="127" spans="1:9" ht="38.25" x14ac:dyDescent="0.25">
      <c r="A127" s="286">
        <v>87</v>
      </c>
      <c r="B127" s="293" t="s">
        <v>552</v>
      </c>
      <c r="C127" s="286" t="s">
        <v>498</v>
      </c>
      <c r="D127" s="286" t="s">
        <v>10</v>
      </c>
      <c r="E127" s="288" t="s">
        <v>361</v>
      </c>
      <c r="F127" s="295">
        <v>45477</v>
      </c>
      <c r="G127" s="295">
        <v>45480</v>
      </c>
      <c r="H127" s="299">
        <f t="shared" si="3"/>
        <v>4</v>
      </c>
      <c r="I127" s="297"/>
    </row>
    <row r="128" spans="1:9" ht="25.5" x14ac:dyDescent="0.25">
      <c r="A128" s="286">
        <v>88</v>
      </c>
      <c r="B128" s="293" t="s">
        <v>588</v>
      </c>
      <c r="C128" s="286" t="s">
        <v>157</v>
      </c>
      <c r="D128" s="286" t="s">
        <v>10</v>
      </c>
      <c r="E128" s="288" t="s">
        <v>550</v>
      </c>
      <c r="F128" s="295">
        <v>45508</v>
      </c>
      <c r="G128" s="295">
        <v>45510</v>
      </c>
      <c r="H128" s="299">
        <f t="shared" si="3"/>
        <v>3</v>
      </c>
      <c r="I128" s="300" t="s">
        <v>551</v>
      </c>
    </row>
    <row r="129" spans="1:9" ht="25.5" x14ac:dyDescent="0.25">
      <c r="A129" s="286">
        <v>89</v>
      </c>
      <c r="B129" s="293" t="s">
        <v>588</v>
      </c>
      <c r="C129" s="286" t="s">
        <v>470</v>
      </c>
      <c r="D129" s="286" t="s">
        <v>10</v>
      </c>
      <c r="E129" s="288" t="s">
        <v>550</v>
      </c>
      <c r="F129" s="295">
        <v>45508</v>
      </c>
      <c r="G129" s="295">
        <v>45510</v>
      </c>
      <c r="H129" s="299">
        <f t="shared" si="3"/>
        <v>3</v>
      </c>
      <c r="I129" s="300" t="s">
        <v>551</v>
      </c>
    </row>
    <row r="130" spans="1:9" ht="38.25" x14ac:dyDescent="0.25">
      <c r="A130" s="286">
        <v>90</v>
      </c>
      <c r="B130" s="293" t="s">
        <v>588</v>
      </c>
      <c r="C130" s="286" t="s">
        <v>488</v>
      </c>
      <c r="D130" s="286" t="s">
        <v>10</v>
      </c>
      <c r="E130" s="288" t="s">
        <v>549</v>
      </c>
      <c r="F130" s="295">
        <v>45508</v>
      </c>
      <c r="G130" s="295">
        <v>45510</v>
      </c>
      <c r="H130" s="299">
        <f t="shared" si="3"/>
        <v>3</v>
      </c>
      <c r="I130" s="300" t="s">
        <v>551</v>
      </c>
    </row>
    <row r="131" spans="1:9" ht="38.25" x14ac:dyDescent="0.25">
      <c r="A131" s="286">
        <v>91</v>
      </c>
      <c r="B131" s="293" t="s">
        <v>588</v>
      </c>
      <c r="C131" s="286" t="s">
        <v>174</v>
      </c>
      <c r="D131" s="286" t="s">
        <v>10</v>
      </c>
      <c r="E131" s="288" t="s">
        <v>361</v>
      </c>
      <c r="F131" s="295">
        <v>45508</v>
      </c>
      <c r="G131" s="295">
        <v>45510</v>
      </c>
      <c r="H131" s="299">
        <f t="shared" si="3"/>
        <v>3</v>
      </c>
      <c r="I131" s="300" t="s">
        <v>551</v>
      </c>
    </row>
    <row r="132" spans="1:9" x14ac:dyDescent="0.25">
      <c r="A132" s="286">
        <v>92</v>
      </c>
      <c r="B132" s="293" t="s">
        <v>588</v>
      </c>
      <c r="C132" s="286" t="s">
        <v>512</v>
      </c>
      <c r="D132" s="286" t="s">
        <v>10</v>
      </c>
      <c r="E132" s="288" t="s">
        <v>589</v>
      </c>
      <c r="F132" s="295">
        <v>45508</v>
      </c>
      <c r="G132" s="295">
        <v>45510</v>
      </c>
      <c r="H132" s="299">
        <f t="shared" si="3"/>
        <v>3</v>
      </c>
      <c r="I132" s="300" t="s">
        <v>551</v>
      </c>
    </row>
    <row r="133" spans="1:9" x14ac:dyDescent="0.25">
      <c r="A133" s="286">
        <v>93</v>
      </c>
      <c r="B133" s="293" t="s">
        <v>588</v>
      </c>
      <c r="C133" s="286" t="s">
        <v>507</v>
      </c>
      <c r="D133" s="286" t="s">
        <v>10</v>
      </c>
      <c r="E133" s="288" t="s">
        <v>583</v>
      </c>
      <c r="F133" s="295">
        <v>45508</v>
      </c>
      <c r="G133" s="295">
        <v>45510</v>
      </c>
      <c r="H133" s="299">
        <f t="shared" si="3"/>
        <v>3</v>
      </c>
      <c r="I133" s="300" t="s">
        <v>551</v>
      </c>
    </row>
    <row r="134" spans="1:9" ht="25.5" x14ac:dyDescent="0.25">
      <c r="A134" s="286">
        <v>94</v>
      </c>
      <c r="B134" s="293" t="s">
        <v>588</v>
      </c>
      <c r="C134" s="286" t="s">
        <v>574</v>
      </c>
      <c r="D134" s="286" t="s">
        <v>10</v>
      </c>
      <c r="E134" s="288" t="s">
        <v>252</v>
      </c>
      <c r="F134" s="295">
        <v>45508</v>
      </c>
      <c r="G134" s="295">
        <v>45510</v>
      </c>
      <c r="H134" s="299">
        <f t="shared" si="3"/>
        <v>3</v>
      </c>
      <c r="I134" s="300" t="s">
        <v>551</v>
      </c>
    </row>
    <row r="135" spans="1:9" ht="25.5" x14ac:dyDescent="0.25">
      <c r="A135" s="286">
        <v>95</v>
      </c>
      <c r="B135" s="293" t="s">
        <v>591</v>
      </c>
      <c r="C135" s="286" t="s">
        <v>501</v>
      </c>
      <c r="D135" s="286" t="s">
        <v>10</v>
      </c>
      <c r="E135" s="288" t="s">
        <v>592</v>
      </c>
      <c r="F135" s="295">
        <v>45528</v>
      </c>
      <c r="G135" s="295">
        <v>45529</v>
      </c>
      <c r="H135" s="299">
        <f t="shared" si="3"/>
        <v>2</v>
      </c>
      <c r="I135" s="300" t="s">
        <v>551</v>
      </c>
    </row>
    <row r="136" spans="1:9" ht="25.5" x14ac:dyDescent="0.25">
      <c r="A136" s="286">
        <v>96</v>
      </c>
      <c r="B136" s="293" t="s">
        <v>593</v>
      </c>
      <c r="C136" s="286" t="s">
        <v>572</v>
      </c>
      <c r="D136" s="286" t="s">
        <v>10</v>
      </c>
      <c r="E136" s="288" t="s">
        <v>252</v>
      </c>
      <c r="F136" s="295">
        <v>45531</v>
      </c>
      <c r="G136" s="295">
        <v>45534</v>
      </c>
      <c r="H136" s="299">
        <f t="shared" si="3"/>
        <v>4</v>
      </c>
      <c r="I136" s="300" t="s">
        <v>551</v>
      </c>
    </row>
    <row r="137" spans="1:9" ht="38.25" x14ac:dyDescent="0.25">
      <c r="A137" s="286">
        <v>97</v>
      </c>
      <c r="B137" s="293" t="s">
        <v>607</v>
      </c>
      <c r="C137" s="286" t="s">
        <v>518</v>
      </c>
      <c r="D137" s="286" t="s">
        <v>10</v>
      </c>
      <c r="E137" s="288" t="s">
        <v>589</v>
      </c>
      <c r="F137" s="295">
        <v>45563</v>
      </c>
      <c r="G137" s="295">
        <v>45564</v>
      </c>
      <c r="H137" s="299">
        <f t="shared" si="3"/>
        <v>2</v>
      </c>
      <c r="I137" s="300" t="s">
        <v>551</v>
      </c>
    </row>
    <row r="138" spans="1:9" x14ac:dyDescent="0.25">
      <c r="A138" s="286">
        <v>98</v>
      </c>
      <c r="B138" s="293" t="s">
        <v>1218</v>
      </c>
      <c r="C138" s="286" t="s">
        <v>220</v>
      </c>
      <c r="D138" s="286" t="s">
        <v>10</v>
      </c>
      <c r="E138" s="288"/>
      <c r="F138" s="295">
        <v>45575</v>
      </c>
      <c r="G138" s="295">
        <v>45607</v>
      </c>
      <c r="H138" s="299">
        <f t="shared" si="3"/>
        <v>33</v>
      </c>
      <c r="I138" s="300"/>
    </row>
    <row r="139" spans="1:9" x14ac:dyDescent="0.25">
      <c r="A139" s="286">
        <v>99</v>
      </c>
      <c r="B139" s="293" t="s">
        <v>1218</v>
      </c>
      <c r="C139" s="286" t="s">
        <v>221</v>
      </c>
      <c r="D139" s="286" t="s">
        <v>10</v>
      </c>
      <c r="E139" s="288"/>
      <c r="F139" s="295">
        <v>45575</v>
      </c>
      <c r="G139" s="295">
        <v>45607</v>
      </c>
      <c r="H139" s="299">
        <f t="shared" si="3"/>
        <v>33</v>
      </c>
      <c r="I139" s="300"/>
    </row>
    <row r="140" spans="1:9" x14ac:dyDescent="0.25">
      <c r="A140" s="286">
        <v>100</v>
      </c>
      <c r="B140" s="293" t="s">
        <v>1218</v>
      </c>
      <c r="C140" s="286" t="s">
        <v>830</v>
      </c>
      <c r="D140" s="286" t="s">
        <v>10</v>
      </c>
      <c r="E140" s="288"/>
      <c r="F140" s="295">
        <v>45575</v>
      </c>
      <c r="G140" s="295">
        <v>45679</v>
      </c>
      <c r="H140" s="299">
        <f t="shared" si="3"/>
        <v>105</v>
      </c>
      <c r="I140" s="300"/>
    </row>
    <row r="141" spans="1:9" x14ac:dyDescent="0.25">
      <c r="A141" s="286">
        <v>101</v>
      </c>
      <c r="B141" s="293" t="s">
        <v>1218</v>
      </c>
      <c r="C141" s="286" t="s">
        <v>103</v>
      </c>
      <c r="D141" s="286" t="s">
        <v>10</v>
      </c>
      <c r="E141" s="288"/>
      <c r="F141" s="295">
        <v>45575</v>
      </c>
      <c r="G141" s="295">
        <v>45670</v>
      </c>
      <c r="H141" s="299">
        <f t="shared" si="3"/>
        <v>96</v>
      </c>
      <c r="I141" s="300"/>
    </row>
    <row r="142" spans="1:9" x14ac:dyDescent="0.25">
      <c r="A142" s="286">
        <v>102</v>
      </c>
      <c r="B142" s="293" t="s">
        <v>1218</v>
      </c>
      <c r="C142" s="286" t="s">
        <v>740</v>
      </c>
      <c r="D142" s="286" t="s">
        <v>10</v>
      </c>
      <c r="E142" s="288"/>
      <c r="F142" s="295">
        <v>45575</v>
      </c>
      <c r="G142" s="295">
        <v>45670</v>
      </c>
      <c r="H142" s="299">
        <f t="shared" si="3"/>
        <v>96</v>
      </c>
      <c r="I142" s="300"/>
    </row>
    <row r="143" spans="1:9" x14ac:dyDescent="0.25">
      <c r="A143" s="286">
        <v>103</v>
      </c>
      <c r="B143" s="293" t="s">
        <v>1218</v>
      </c>
      <c r="C143" s="286" t="s">
        <v>741</v>
      </c>
      <c r="D143" s="286" t="s">
        <v>10</v>
      </c>
      <c r="E143" s="288"/>
      <c r="F143" s="295">
        <v>45575</v>
      </c>
      <c r="G143" s="295">
        <v>45670</v>
      </c>
      <c r="H143" s="299">
        <f t="shared" si="3"/>
        <v>96</v>
      </c>
      <c r="I143" s="300"/>
    </row>
    <row r="144" spans="1:9" x14ac:dyDescent="0.25">
      <c r="A144" s="286">
        <v>104</v>
      </c>
      <c r="B144" s="293" t="s">
        <v>1218</v>
      </c>
      <c r="C144" s="286" t="s">
        <v>742</v>
      </c>
      <c r="D144" s="286" t="s">
        <v>10</v>
      </c>
      <c r="E144" s="288"/>
      <c r="F144" s="295">
        <v>45575</v>
      </c>
      <c r="G144" s="295">
        <v>45670</v>
      </c>
      <c r="H144" s="299">
        <f t="shared" si="3"/>
        <v>96</v>
      </c>
      <c r="I144" s="300"/>
    </row>
    <row r="145" spans="1:9" x14ac:dyDescent="0.25">
      <c r="A145" s="286">
        <v>105</v>
      </c>
      <c r="B145" s="293" t="s">
        <v>1218</v>
      </c>
      <c r="C145" s="286" t="s">
        <v>846</v>
      </c>
      <c r="D145" s="286" t="s">
        <v>10</v>
      </c>
      <c r="E145" s="288"/>
      <c r="F145" s="295">
        <v>45575</v>
      </c>
      <c r="G145" s="295">
        <v>45641</v>
      </c>
      <c r="H145" s="299">
        <f t="shared" si="3"/>
        <v>67</v>
      </c>
      <c r="I145" s="300"/>
    </row>
    <row r="146" spans="1:9" x14ac:dyDescent="0.25">
      <c r="A146" s="286">
        <v>106</v>
      </c>
      <c r="B146" s="293" t="s">
        <v>1218</v>
      </c>
      <c r="C146" s="286" t="s">
        <v>847</v>
      </c>
      <c r="D146" s="286" t="s">
        <v>10</v>
      </c>
      <c r="E146" s="288"/>
      <c r="F146" s="295">
        <v>45575</v>
      </c>
      <c r="G146" s="295">
        <v>45641</v>
      </c>
      <c r="H146" s="299">
        <f t="shared" si="3"/>
        <v>67</v>
      </c>
      <c r="I146" s="300"/>
    </row>
    <row r="147" spans="1:9" x14ac:dyDescent="0.25">
      <c r="A147" s="286">
        <v>107</v>
      </c>
      <c r="B147" s="293" t="s">
        <v>1218</v>
      </c>
      <c r="C147" s="286" t="s">
        <v>848</v>
      </c>
      <c r="D147" s="286" t="s">
        <v>10</v>
      </c>
      <c r="E147" s="288"/>
      <c r="F147" s="295">
        <v>45575</v>
      </c>
      <c r="G147" s="295">
        <v>45641</v>
      </c>
      <c r="H147" s="299">
        <f t="shared" si="3"/>
        <v>67</v>
      </c>
      <c r="I147" s="300"/>
    </row>
    <row r="148" spans="1:9" x14ac:dyDescent="0.25">
      <c r="A148" s="286">
        <v>108</v>
      </c>
      <c r="B148" s="293" t="s">
        <v>1218</v>
      </c>
      <c r="C148" s="286" t="s">
        <v>849</v>
      </c>
      <c r="D148" s="286" t="s">
        <v>10</v>
      </c>
      <c r="E148" s="288"/>
      <c r="F148" s="295">
        <v>45575</v>
      </c>
      <c r="G148" s="295">
        <v>45641</v>
      </c>
      <c r="H148" s="299">
        <f t="shared" si="3"/>
        <v>67</v>
      </c>
      <c r="I148" s="300"/>
    </row>
    <row r="149" spans="1:9" x14ac:dyDescent="0.25">
      <c r="A149" s="286">
        <v>109</v>
      </c>
      <c r="B149" s="293" t="s">
        <v>1218</v>
      </c>
      <c r="C149" s="286" t="s">
        <v>850</v>
      </c>
      <c r="D149" s="286" t="s">
        <v>10</v>
      </c>
      <c r="E149" s="288"/>
      <c r="F149" s="295">
        <v>45575</v>
      </c>
      <c r="G149" s="295">
        <v>45641</v>
      </c>
      <c r="H149" s="299">
        <f t="shared" si="3"/>
        <v>67</v>
      </c>
      <c r="I149" s="300"/>
    </row>
    <row r="150" spans="1:9" x14ac:dyDescent="0.25">
      <c r="A150" s="286">
        <v>110</v>
      </c>
      <c r="B150" s="293" t="s">
        <v>1218</v>
      </c>
      <c r="C150" s="286" t="s">
        <v>853</v>
      </c>
      <c r="D150" s="286" t="s">
        <v>10</v>
      </c>
      <c r="E150" s="288"/>
      <c r="F150" s="295">
        <v>45575</v>
      </c>
      <c r="G150" s="295">
        <v>45641</v>
      </c>
      <c r="H150" s="299">
        <f t="shared" si="3"/>
        <v>67</v>
      </c>
      <c r="I150" s="300"/>
    </row>
    <row r="151" spans="1:9" x14ac:dyDescent="0.25">
      <c r="A151" s="286">
        <v>111</v>
      </c>
      <c r="B151" s="293" t="s">
        <v>1218</v>
      </c>
      <c r="C151" s="286" t="s">
        <v>854</v>
      </c>
      <c r="D151" s="286" t="s">
        <v>10</v>
      </c>
      <c r="E151" s="288"/>
      <c r="F151" s="295">
        <v>45575</v>
      </c>
      <c r="G151" s="295">
        <v>45641</v>
      </c>
      <c r="H151" s="299">
        <f t="shared" si="3"/>
        <v>67</v>
      </c>
      <c r="I151" s="300"/>
    </row>
    <row r="152" spans="1:9" x14ac:dyDescent="0.25">
      <c r="A152" s="286">
        <v>112</v>
      </c>
      <c r="B152" s="293" t="s">
        <v>1218</v>
      </c>
      <c r="C152" s="286" t="s">
        <v>855</v>
      </c>
      <c r="D152" s="286" t="s">
        <v>10</v>
      </c>
      <c r="E152" s="288"/>
      <c r="F152" s="295">
        <v>45575</v>
      </c>
      <c r="G152" s="295">
        <v>45641</v>
      </c>
      <c r="H152" s="299">
        <f t="shared" si="3"/>
        <v>67</v>
      </c>
      <c r="I152" s="300"/>
    </row>
    <row r="153" spans="1:9" ht="38.25" x14ac:dyDescent="0.25">
      <c r="A153" s="286">
        <v>113</v>
      </c>
      <c r="B153" s="293" t="s">
        <v>609</v>
      </c>
      <c r="C153" s="294" t="s">
        <v>533</v>
      </c>
      <c r="D153" s="286" t="s">
        <v>10</v>
      </c>
      <c r="E153" s="288" t="s">
        <v>586</v>
      </c>
      <c r="F153" s="295">
        <v>45579</v>
      </c>
      <c r="G153" s="295">
        <v>45580</v>
      </c>
      <c r="H153" s="299">
        <f t="shared" si="3"/>
        <v>2</v>
      </c>
      <c r="I153" s="300" t="s">
        <v>551</v>
      </c>
    </row>
    <row r="154" spans="1:9" ht="38.25" x14ac:dyDescent="0.25">
      <c r="A154" s="286">
        <v>114</v>
      </c>
      <c r="B154" s="293" t="s">
        <v>611</v>
      </c>
      <c r="C154" s="286" t="s">
        <v>646</v>
      </c>
      <c r="D154" s="286" t="s">
        <v>10</v>
      </c>
      <c r="E154" s="288" t="s">
        <v>549</v>
      </c>
      <c r="F154" s="295">
        <v>45589</v>
      </c>
      <c r="G154" s="295">
        <v>45590</v>
      </c>
      <c r="H154" s="299">
        <f t="shared" si="3"/>
        <v>2</v>
      </c>
      <c r="I154" s="300" t="s">
        <v>551</v>
      </c>
    </row>
    <row r="155" spans="1:9" ht="102" x14ac:dyDescent="0.25">
      <c r="A155" s="286">
        <v>115</v>
      </c>
      <c r="B155" s="293" t="s">
        <v>619</v>
      </c>
      <c r="C155" s="286" t="s">
        <v>173</v>
      </c>
      <c r="D155" s="286" t="s">
        <v>10</v>
      </c>
      <c r="E155" s="288"/>
      <c r="F155" s="295">
        <v>45597</v>
      </c>
      <c r="G155" s="295">
        <v>45972</v>
      </c>
      <c r="H155" s="299">
        <f t="shared" si="3"/>
        <v>376</v>
      </c>
      <c r="I155" s="300" t="s">
        <v>1720</v>
      </c>
    </row>
    <row r="156" spans="1:9" x14ac:dyDescent="0.25">
      <c r="A156" s="286">
        <v>116</v>
      </c>
      <c r="B156" s="293" t="s">
        <v>619</v>
      </c>
      <c r="C156" s="286" t="s">
        <v>495</v>
      </c>
      <c r="D156" s="286" t="s">
        <v>10</v>
      </c>
      <c r="E156" s="288"/>
      <c r="F156" s="295">
        <v>45597</v>
      </c>
      <c r="G156" s="295">
        <v>45823</v>
      </c>
      <c r="H156" s="299">
        <f t="shared" si="3"/>
        <v>227</v>
      </c>
      <c r="I156" s="300" t="s">
        <v>551</v>
      </c>
    </row>
    <row r="157" spans="1:9" x14ac:dyDescent="0.25">
      <c r="A157" s="286">
        <v>117</v>
      </c>
      <c r="B157" s="293" t="s">
        <v>624</v>
      </c>
      <c r="C157" s="286" t="s">
        <v>179</v>
      </c>
      <c r="D157" s="286" t="s">
        <v>10</v>
      </c>
      <c r="E157" s="288"/>
      <c r="F157" s="295">
        <v>45613</v>
      </c>
      <c r="G157" s="295">
        <v>45627</v>
      </c>
      <c r="H157" s="299">
        <f t="shared" si="3"/>
        <v>15</v>
      </c>
      <c r="I157" s="300" t="s">
        <v>551</v>
      </c>
    </row>
    <row r="158" spans="1:9" ht="25.5" x14ac:dyDescent="0.25">
      <c r="A158" s="286">
        <v>118</v>
      </c>
      <c r="B158" s="293" t="s">
        <v>626</v>
      </c>
      <c r="C158" s="286" t="s">
        <v>53</v>
      </c>
      <c r="D158" s="286" t="s">
        <v>10</v>
      </c>
      <c r="E158" s="288" t="s">
        <v>583</v>
      </c>
      <c r="F158" s="295">
        <v>45614</v>
      </c>
      <c r="G158" s="295">
        <v>45616</v>
      </c>
      <c r="H158" s="299">
        <f t="shared" si="3"/>
        <v>3</v>
      </c>
      <c r="I158" s="300" t="s">
        <v>551</v>
      </c>
    </row>
    <row r="159" spans="1:9" ht="38.25" x14ac:dyDescent="0.25">
      <c r="A159" s="286">
        <v>119</v>
      </c>
      <c r="B159" s="293" t="s">
        <v>624</v>
      </c>
      <c r="C159" s="286" t="s">
        <v>637</v>
      </c>
      <c r="D159" s="286" t="s">
        <v>10</v>
      </c>
      <c r="E159" s="288" t="s">
        <v>638</v>
      </c>
      <c r="F159" s="295">
        <v>45614</v>
      </c>
      <c r="G159" s="295">
        <v>45616</v>
      </c>
      <c r="H159" s="299">
        <f t="shared" si="3"/>
        <v>3</v>
      </c>
      <c r="I159" s="300" t="s">
        <v>551</v>
      </c>
    </row>
    <row r="160" spans="1:9" ht="51" x14ac:dyDescent="0.25">
      <c r="A160" s="286">
        <v>120</v>
      </c>
      <c r="B160" s="293" t="s">
        <v>645</v>
      </c>
      <c r="C160" s="286" t="s">
        <v>531</v>
      </c>
      <c r="D160" s="286" t="s">
        <v>10</v>
      </c>
      <c r="E160" s="288" t="s">
        <v>586</v>
      </c>
      <c r="F160" s="295">
        <v>45635</v>
      </c>
      <c r="G160" s="295">
        <v>45910</v>
      </c>
      <c r="H160" s="299">
        <f t="shared" si="3"/>
        <v>276</v>
      </c>
      <c r="I160" s="300" t="s">
        <v>1598</v>
      </c>
    </row>
    <row r="161" spans="1:9" ht="38.25" x14ac:dyDescent="0.25">
      <c r="A161" s="286">
        <v>121</v>
      </c>
      <c r="B161" s="293" t="s">
        <v>650</v>
      </c>
      <c r="C161" s="286" t="s">
        <v>42</v>
      </c>
      <c r="D161" s="286" t="s">
        <v>10</v>
      </c>
      <c r="E161" s="288" t="s">
        <v>642</v>
      </c>
      <c r="F161" s="295">
        <v>45637</v>
      </c>
      <c r="G161" s="295">
        <v>45645</v>
      </c>
      <c r="H161" s="299">
        <f t="shared" si="3"/>
        <v>9</v>
      </c>
      <c r="I161" s="300" t="s">
        <v>551</v>
      </c>
    </row>
    <row r="162" spans="1:9" ht="25.5" x14ac:dyDescent="0.25">
      <c r="A162" s="286">
        <v>122</v>
      </c>
      <c r="B162" s="293" t="s">
        <v>645</v>
      </c>
      <c r="C162" s="294" t="s">
        <v>214</v>
      </c>
      <c r="D162" s="286" t="s">
        <v>10</v>
      </c>
      <c r="E162" s="288" t="s">
        <v>625</v>
      </c>
      <c r="F162" s="295">
        <v>45656</v>
      </c>
      <c r="G162" s="295">
        <v>45656</v>
      </c>
      <c r="H162" s="299">
        <f t="shared" si="3"/>
        <v>1</v>
      </c>
      <c r="I162" s="300" t="s">
        <v>551</v>
      </c>
    </row>
    <row r="163" spans="1:9" x14ac:dyDescent="0.25">
      <c r="A163" s="286">
        <v>123</v>
      </c>
      <c r="B163" s="293" t="s">
        <v>658</v>
      </c>
      <c r="C163" s="294" t="s">
        <v>446</v>
      </c>
      <c r="D163" s="286" t="s">
        <v>10</v>
      </c>
      <c r="E163" s="288"/>
      <c r="F163" s="295">
        <v>45628</v>
      </c>
      <c r="G163" s="295">
        <v>45711</v>
      </c>
      <c r="H163" s="299">
        <f t="shared" si="3"/>
        <v>84</v>
      </c>
      <c r="I163" s="300" t="s">
        <v>659</v>
      </c>
    </row>
    <row r="164" spans="1:9" x14ac:dyDescent="0.25">
      <c r="A164" s="286">
        <v>124</v>
      </c>
      <c r="B164" s="293" t="s">
        <v>658</v>
      </c>
      <c r="C164" s="294" t="s">
        <v>628</v>
      </c>
      <c r="D164" s="286" t="s">
        <v>10</v>
      </c>
      <c r="E164" s="288"/>
      <c r="F164" s="295">
        <v>45628</v>
      </c>
      <c r="G164" s="295">
        <v>45669</v>
      </c>
      <c r="H164" s="299">
        <f t="shared" si="3"/>
        <v>42</v>
      </c>
      <c r="I164" s="300" t="s">
        <v>659</v>
      </c>
    </row>
    <row r="165" spans="1:9" x14ac:dyDescent="0.25">
      <c r="A165" s="286">
        <v>125</v>
      </c>
      <c r="B165" s="293" t="s">
        <v>658</v>
      </c>
      <c r="C165" s="294" t="s">
        <v>629</v>
      </c>
      <c r="D165" s="286" t="s">
        <v>10</v>
      </c>
      <c r="E165" s="288"/>
      <c r="F165" s="295">
        <v>45628</v>
      </c>
      <c r="G165" s="295">
        <v>45670</v>
      </c>
      <c r="H165" s="299">
        <f t="shared" si="3"/>
        <v>43</v>
      </c>
      <c r="I165" s="300" t="s">
        <v>659</v>
      </c>
    </row>
    <row r="166" spans="1:9" x14ac:dyDescent="0.25">
      <c r="A166" s="286">
        <v>126</v>
      </c>
      <c r="B166" s="293" t="s">
        <v>658</v>
      </c>
      <c r="C166" s="294" t="s">
        <v>630</v>
      </c>
      <c r="D166" s="286" t="s">
        <v>10</v>
      </c>
      <c r="E166" s="288"/>
      <c r="F166" s="295">
        <v>45628</v>
      </c>
      <c r="G166" s="295">
        <v>45678</v>
      </c>
      <c r="H166" s="299">
        <f t="shared" si="3"/>
        <v>51</v>
      </c>
      <c r="I166" s="300" t="s">
        <v>659</v>
      </c>
    </row>
    <row r="167" spans="1:9" x14ac:dyDescent="0.25">
      <c r="A167" s="286">
        <v>127</v>
      </c>
      <c r="B167" s="293" t="s">
        <v>658</v>
      </c>
      <c r="C167" s="294" t="s">
        <v>631</v>
      </c>
      <c r="D167" s="286" t="s">
        <v>10</v>
      </c>
      <c r="E167" s="288"/>
      <c r="F167" s="295">
        <v>45628</v>
      </c>
      <c r="G167" s="295">
        <v>45673</v>
      </c>
      <c r="H167" s="299">
        <f t="shared" si="3"/>
        <v>46</v>
      </c>
      <c r="I167" s="300" t="s">
        <v>659</v>
      </c>
    </row>
    <row r="168" spans="1:9" ht="25.5" x14ac:dyDescent="0.25">
      <c r="A168" s="286">
        <v>128</v>
      </c>
      <c r="B168" s="293" t="s">
        <v>658</v>
      </c>
      <c r="C168" s="294" t="s">
        <v>632</v>
      </c>
      <c r="D168" s="286" t="s">
        <v>10</v>
      </c>
      <c r="E168" s="288"/>
      <c r="F168" s="295">
        <v>45628</v>
      </c>
      <c r="G168" s="295">
        <v>45672</v>
      </c>
      <c r="H168" s="299">
        <f t="shared" si="3"/>
        <v>45</v>
      </c>
      <c r="I168" s="300" t="s">
        <v>663</v>
      </c>
    </row>
    <row r="169" spans="1:9" x14ac:dyDescent="0.25">
      <c r="A169" s="286">
        <v>129</v>
      </c>
      <c r="B169" s="293" t="s">
        <v>658</v>
      </c>
      <c r="C169" s="294" t="s">
        <v>633</v>
      </c>
      <c r="D169" s="286" t="s">
        <v>10</v>
      </c>
      <c r="E169" s="288"/>
      <c r="F169" s="295">
        <v>45628</v>
      </c>
      <c r="G169" s="295">
        <v>45679</v>
      </c>
      <c r="H169" s="299">
        <f t="shared" si="3"/>
        <v>52</v>
      </c>
      <c r="I169" s="300" t="s">
        <v>659</v>
      </c>
    </row>
    <row r="170" spans="1:9"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x14ac:dyDescent="0.25">
      <c r="A171" s="286">
        <v>131</v>
      </c>
      <c r="B171" s="293" t="s">
        <v>658</v>
      </c>
      <c r="C171" s="294" t="s">
        <v>635</v>
      </c>
      <c r="D171" s="286" t="s">
        <v>10</v>
      </c>
      <c r="E171" s="288"/>
      <c r="F171" s="295">
        <v>45628</v>
      </c>
      <c r="G171" s="295">
        <v>45714</v>
      </c>
      <c r="H171" s="299">
        <f t="shared" si="4"/>
        <v>87</v>
      </c>
      <c r="I171" s="300" t="s">
        <v>659</v>
      </c>
    </row>
    <row r="172" spans="1:9" x14ac:dyDescent="0.25">
      <c r="A172" s="286">
        <v>132</v>
      </c>
      <c r="B172" s="293" t="s">
        <v>658</v>
      </c>
      <c r="C172" s="294" t="s">
        <v>636</v>
      </c>
      <c r="D172" s="286" t="s">
        <v>10</v>
      </c>
      <c r="E172" s="288"/>
      <c r="F172" s="295">
        <v>45628</v>
      </c>
      <c r="G172" s="295">
        <v>45779</v>
      </c>
      <c r="H172" s="299">
        <f t="shared" si="4"/>
        <v>152</v>
      </c>
      <c r="I172" s="300" t="s">
        <v>659</v>
      </c>
    </row>
    <row r="173" spans="1:9" x14ac:dyDescent="0.25">
      <c r="A173" s="286">
        <v>133</v>
      </c>
      <c r="B173" s="293" t="s">
        <v>658</v>
      </c>
      <c r="C173" s="294" t="s">
        <v>447</v>
      </c>
      <c r="D173" s="286" t="s">
        <v>10</v>
      </c>
      <c r="E173" s="288"/>
      <c r="F173" s="295">
        <v>45628</v>
      </c>
      <c r="G173" s="295">
        <v>45671</v>
      </c>
      <c r="H173" s="299">
        <f t="shared" si="4"/>
        <v>44</v>
      </c>
      <c r="I173" s="300" t="s">
        <v>659</v>
      </c>
    </row>
    <row r="174" spans="1:9" x14ac:dyDescent="0.25">
      <c r="A174" s="286">
        <v>134</v>
      </c>
      <c r="B174" s="293" t="s">
        <v>658</v>
      </c>
      <c r="C174" s="294" t="s">
        <v>448</v>
      </c>
      <c r="D174" s="286" t="s">
        <v>10</v>
      </c>
      <c r="E174" s="288"/>
      <c r="F174" s="295">
        <v>45629</v>
      </c>
      <c r="G174" s="295">
        <v>45728</v>
      </c>
      <c r="H174" s="299">
        <f t="shared" si="4"/>
        <v>100</v>
      </c>
      <c r="I174" s="300" t="s">
        <v>659</v>
      </c>
    </row>
    <row r="175" spans="1:9" ht="38.25" x14ac:dyDescent="0.25">
      <c r="A175" s="286">
        <v>135</v>
      </c>
      <c r="B175" s="293" t="s">
        <v>658</v>
      </c>
      <c r="C175" s="294" t="s">
        <v>454</v>
      </c>
      <c r="D175" s="286" t="s">
        <v>10</v>
      </c>
      <c r="E175" s="288"/>
      <c r="F175" s="295">
        <v>45629</v>
      </c>
      <c r="G175" s="295">
        <v>45813</v>
      </c>
      <c r="H175" s="299">
        <f t="shared" si="4"/>
        <v>185</v>
      </c>
      <c r="I175" s="300" t="s">
        <v>1407</v>
      </c>
    </row>
    <row r="176" spans="1:9" x14ac:dyDescent="0.25">
      <c r="A176" s="286">
        <v>136</v>
      </c>
      <c r="B176" s="293" t="s">
        <v>658</v>
      </c>
      <c r="C176" s="294" t="s">
        <v>455</v>
      </c>
      <c r="D176" s="286" t="s">
        <v>10</v>
      </c>
      <c r="E176" s="288"/>
      <c r="F176" s="295">
        <v>45629</v>
      </c>
      <c r="G176" s="295">
        <v>45692</v>
      </c>
      <c r="H176" s="299">
        <f t="shared" si="4"/>
        <v>64</v>
      </c>
      <c r="I176" s="300" t="s">
        <v>659</v>
      </c>
    </row>
    <row r="177" spans="1:9" ht="25.5" x14ac:dyDescent="0.25">
      <c r="A177" s="286">
        <v>137</v>
      </c>
      <c r="B177" s="293" t="s">
        <v>658</v>
      </c>
      <c r="C177" s="294" t="s">
        <v>456</v>
      </c>
      <c r="D177" s="286" t="s">
        <v>10</v>
      </c>
      <c r="E177" s="288"/>
      <c r="F177" s="295">
        <v>45629</v>
      </c>
      <c r="G177" s="295">
        <v>45811</v>
      </c>
      <c r="H177" s="299">
        <f t="shared" si="4"/>
        <v>183</v>
      </c>
      <c r="I177" s="300" t="s">
        <v>1411</v>
      </c>
    </row>
    <row r="178" spans="1:9" x14ac:dyDescent="0.25">
      <c r="A178" s="286">
        <v>138</v>
      </c>
      <c r="B178" s="293" t="s">
        <v>658</v>
      </c>
      <c r="C178" s="294" t="s">
        <v>38</v>
      </c>
      <c r="D178" s="286" t="s">
        <v>10</v>
      </c>
      <c r="E178" s="288"/>
      <c r="F178" s="295">
        <v>45629</v>
      </c>
      <c r="G178" s="295">
        <v>45759</v>
      </c>
      <c r="H178" s="299">
        <f t="shared" si="4"/>
        <v>131</v>
      </c>
      <c r="I178" s="300" t="s">
        <v>659</v>
      </c>
    </row>
    <row r="179" spans="1:9" x14ac:dyDescent="0.25">
      <c r="A179" s="286">
        <v>139</v>
      </c>
      <c r="B179" s="293" t="s">
        <v>658</v>
      </c>
      <c r="C179" s="294" t="s">
        <v>39</v>
      </c>
      <c r="D179" s="286" t="s">
        <v>10</v>
      </c>
      <c r="E179" s="288"/>
      <c r="F179" s="295">
        <v>45644</v>
      </c>
      <c r="G179" s="295">
        <v>45706</v>
      </c>
      <c r="H179" s="299">
        <f t="shared" si="4"/>
        <v>63</v>
      </c>
      <c r="I179" s="300" t="s">
        <v>659</v>
      </c>
    </row>
    <row r="180" spans="1:9" x14ac:dyDescent="0.25">
      <c r="A180" s="286">
        <v>140</v>
      </c>
      <c r="B180" s="293" t="s">
        <v>658</v>
      </c>
      <c r="C180" s="294" t="s">
        <v>457</v>
      </c>
      <c r="D180" s="286" t="s">
        <v>10</v>
      </c>
      <c r="E180" s="288"/>
      <c r="F180" s="295">
        <v>45644</v>
      </c>
      <c r="G180" s="295">
        <v>45775</v>
      </c>
      <c r="H180" s="299">
        <f t="shared" si="4"/>
        <v>132</v>
      </c>
      <c r="I180" s="300" t="s">
        <v>659</v>
      </c>
    </row>
    <row r="181" spans="1:9" x14ac:dyDescent="0.25">
      <c r="A181" s="286">
        <v>141</v>
      </c>
      <c r="B181" s="293" t="s">
        <v>658</v>
      </c>
      <c r="C181" s="294" t="s">
        <v>458</v>
      </c>
      <c r="D181" s="286" t="s">
        <v>10</v>
      </c>
      <c r="E181" s="288"/>
      <c r="F181" s="295">
        <v>45644</v>
      </c>
      <c r="G181" s="295">
        <v>45831</v>
      </c>
      <c r="H181" s="299">
        <f t="shared" si="4"/>
        <v>188</v>
      </c>
      <c r="I181" s="300" t="s">
        <v>659</v>
      </c>
    </row>
    <row r="182" spans="1:9" x14ac:dyDescent="0.25">
      <c r="A182" s="286">
        <v>142</v>
      </c>
      <c r="B182" s="293" t="s">
        <v>658</v>
      </c>
      <c r="C182" s="294" t="s">
        <v>459</v>
      </c>
      <c r="D182" s="286" t="s">
        <v>10</v>
      </c>
      <c r="E182" s="288"/>
      <c r="F182" s="295">
        <v>45644</v>
      </c>
      <c r="G182" s="295">
        <v>45790</v>
      </c>
      <c r="H182" s="299">
        <f t="shared" si="4"/>
        <v>147</v>
      </c>
      <c r="I182" s="300" t="s">
        <v>659</v>
      </c>
    </row>
    <row r="183" spans="1:9" x14ac:dyDescent="0.25">
      <c r="A183" s="286">
        <v>143</v>
      </c>
      <c r="B183" s="293" t="s">
        <v>658</v>
      </c>
      <c r="C183" s="294" t="s">
        <v>460</v>
      </c>
      <c r="D183" s="286" t="s">
        <v>10</v>
      </c>
      <c r="E183" s="288"/>
      <c r="F183" s="295">
        <v>45644</v>
      </c>
      <c r="G183" s="295">
        <v>45833</v>
      </c>
      <c r="H183" s="299">
        <f t="shared" si="4"/>
        <v>190</v>
      </c>
      <c r="I183" s="300" t="s">
        <v>659</v>
      </c>
    </row>
    <row r="184" spans="1:9" x14ac:dyDescent="0.25">
      <c r="A184" s="286">
        <v>144</v>
      </c>
      <c r="B184" s="293" t="s">
        <v>658</v>
      </c>
      <c r="C184" s="294" t="s">
        <v>40</v>
      </c>
      <c r="D184" s="286" t="s">
        <v>10</v>
      </c>
      <c r="E184" s="288"/>
      <c r="F184" s="295">
        <v>45644</v>
      </c>
      <c r="G184" s="295">
        <v>45886</v>
      </c>
      <c r="H184" s="299">
        <f t="shared" si="4"/>
        <v>243</v>
      </c>
      <c r="I184" s="300" t="s">
        <v>659</v>
      </c>
    </row>
    <row r="185" spans="1:9" x14ac:dyDescent="0.25">
      <c r="A185" s="286">
        <v>145</v>
      </c>
      <c r="B185" s="293" t="s">
        <v>658</v>
      </c>
      <c r="C185" s="294" t="s">
        <v>41</v>
      </c>
      <c r="D185" s="286" t="s">
        <v>10</v>
      </c>
      <c r="E185" s="288"/>
      <c r="F185" s="295">
        <v>45644</v>
      </c>
      <c r="G185" s="295">
        <v>45864</v>
      </c>
      <c r="H185" s="299">
        <f t="shared" si="4"/>
        <v>221</v>
      </c>
      <c r="I185" s="300" t="s">
        <v>659</v>
      </c>
    </row>
    <row r="186" spans="1:9" x14ac:dyDescent="0.25">
      <c r="A186" s="286">
        <v>146</v>
      </c>
      <c r="B186" s="293" t="s">
        <v>658</v>
      </c>
      <c r="C186" s="294" t="s">
        <v>43</v>
      </c>
      <c r="D186" s="286" t="s">
        <v>10</v>
      </c>
      <c r="E186" s="288"/>
      <c r="F186" s="295">
        <v>45644</v>
      </c>
      <c r="G186" s="295">
        <v>45912</v>
      </c>
      <c r="H186" s="299">
        <f t="shared" si="4"/>
        <v>269</v>
      </c>
      <c r="I186" s="300" t="s">
        <v>659</v>
      </c>
    </row>
    <row r="187" spans="1:9" x14ac:dyDescent="0.25">
      <c r="A187" s="286">
        <v>147</v>
      </c>
      <c r="B187" s="293" t="s">
        <v>658</v>
      </c>
      <c r="C187" s="294" t="s">
        <v>44</v>
      </c>
      <c r="D187" s="286" t="s">
        <v>10</v>
      </c>
      <c r="E187" s="288"/>
      <c r="F187" s="295">
        <v>45633</v>
      </c>
      <c r="G187" s="295">
        <v>45847</v>
      </c>
      <c r="H187" s="299">
        <f t="shared" si="4"/>
        <v>215</v>
      </c>
      <c r="I187" s="300" t="s">
        <v>659</v>
      </c>
    </row>
    <row r="188" spans="1:9" x14ac:dyDescent="0.25">
      <c r="A188" s="286">
        <v>148</v>
      </c>
      <c r="B188" s="293" t="s">
        <v>658</v>
      </c>
      <c r="C188" s="294" t="s">
        <v>151</v>
      </c>
      <c r="D188" s="286" t="s">
        <v>10</v>
      </c>
      <c r="E188" s="288"/>
      <c r="F188" s="295">
        <v>45633</v>
      </c>
      <c r="G188" s="295">
        <v>45844</v>
      </c>
      <c r="H188" s="299">
        <f t="shared" si="4"/>
        <v>212</v>
      </c>
      <c r="I188" s="300" t="s">
        <v>659</v>
      </c>
    </row>
    <row r="189" spans="1:9" ht="25.5" x14ac:dyDescent="0.25">
      <c r="A189" s="286">
        <v>149</v>
      </c>
      <c r="B189" s="293" t="s">
        <v>658</v>
      </c>
      <c r="C189" s="294" t="s">
        <v>462</v>
      </c>
      <c r="D189" s="286" t="s">
        <v>10</v>
      </c>
      <c r="E189" s="288"/>
      <c r="F189" s="295">
        <v>45633</v>
      </c>
      <c r="G189" s="295">
        <v>45823</v>
      </c>
      <c r="H189" s="299">
        <f t="shared" si="4"/>
        <v>191</v>
      </c>
      <c r="I189" s="300" t="s">
        <v>1398</v>
      </c>
    </row>
    <row r="190" spans="1:9" ht="25.5" x14ac:dyDescent="0.25">
      <c r="A190" s="286">
        <v>150</v>
      </c>
      <c r="B190" s="293" t="s">
        <v>658</v>
      </c>
      <c r="C190" s="294" t="s">
        <v>463</v>
      </c>
      <c r="D190" s="286" t="s">
        <v>10</v>
      </c>
      <c r="E190" s="288"/>
      <c r="F190" s="295">
        <v>45633</v>
      </c>
      <c r="G190" s="295">
        <v>45939</v>
      </c>
      <c r="H190" s="299">
        <f t="shared" si="4"/>
        <v>307</v>
      </c>
      <c r="I190" s="300" t="s">
        <v>1398</v>
      </c>
    </row>
    <row r="191" spans="1:9" ht="25.5" x14ac:dyDescent="0.25">
      <c r="A191" s="286">
        <v>151</v>
      </c>
      <c r="B191" s="293" t="s">
        <v>658</v>
      </c>
      <c r="C191" s="294" t="s">
        <v>464</v>
      </c>
      <c r="D191" s="286" t="s">
        <v>10</v>
      </c>
      <c r="E191" s="288"/>
      <c r="F191" s="295">
        <v>45633</v>
      </c>
      <c r="G191" s="295">
        <v>45860</v>
      </c>
      <c r="H191" s="299">
        <f t="shared" si="4"/>
        <v>228</v>
      </c>
      <c r="I191" s="300" t="s">
        <v>1398</v>
      </c>
    </row>
    <row r="192" spans="1:9" ht="25.5" x14ac:dyDescent="0.25">
      <c r="A192" s="286">
        <v>152</v>
      </c>
      <c r="B192" s="293" t="s">
        <v>658</v>
      </c>
      <c r="C192" s="294" t="s">
        <v>465</v>
      </c>
      <c r="D192" s="286" t="s">
        <v>10</v>
      </c>
      <c r="E192" s="288"/>
      <c r="F192" s="295">
        <v>45633</v>
      </c>
      <c r="G192" s="295">
        <v>45827</v>
      </c>
      <c r="H192" s="299">
        <f t="shared" si="4"/>
        <v>195</v>
      </c>
      <c r="I192" s="300" t="s">
        <v>1398</v>
      </c>
    </row>
    <row r="193" spans="1:9" ht="25.5" x14ac:dyDescent="0.25">
      <c r="A193" s="286">
        <v>153</v>
      </c>
      <c r="B193" s="293" t="s">
        <v>658</v>
      </c>
      <c r="C193" s="294" t="s">
        <v>152</v>
      </c>
      <c r="D193" s="286" t="s">
        <v>10</v>
      </c>
      <c r="E193" s="288"/>
      <c r="F193" s="295">
        <v>45633</v>
      </c>
      <c r="G193" s="295"/>
      <c r="H193" s="299" t="str">
        <f t="shared" si="4"/>
        <v>Awaited</v>
      </c>
      <c r="I193" s="300" t="s">
        <v>1398</v>
      </c>
    </row>
    <row r="194" spans="1:9" x14ac:dyDescent="0.25">
      <c r="A194" s="286">
        <v>154</v>
      </c>
      <c r="B194" s="293" t="s">
        <v>658</v>
      </c>
      <c r="C194" s="294" t="s">
        <v>156</v>
      </c>
      <c r="D194" s="286" t="s">
        <v>10</v>
      </c>
      <c r="E194" s="288"/>
      <c r="F194" s="295">
        <v>45633</v>
      </c>
      <c r="G194" s="295">
        <v>45789</v>
      </c>
      <c r="H194" s="299">
        <f t="shared" si="4"/>
        <v>157</v>
      </c>
      <c r="I194" s="300" t="s">
        <v>659</v>
      </c>
    </row>
    <row r="195" spans="1:9" x14ac:dyDescent="0.25">
      <c r="A195" s="286">
        <v>155</v>
      </c>
      <c r="B195" s="293" t="s">
        <v>658</v>
      </c>
      <c r="C195" s="294" t="s">
        <v>467</v>
      </c>
      <c r="D195" s="286" t="s">
        <v>10</v>
      </c>
      <c r="E195" s="288"/>
      <c r="F195" s="295">
        <v>45633</v>
      </c>
      <c r="G195" s="295">
        <v>45789</v>
      </c>
      <c r="H195" s="299">
        <f t="shared" si="4"/>
        <v>157</v>
      </c>
      <c r="I195" s="300" t="s">
        <v>659</v>
      </c>
    </row>
    <row r="196" spans="1:9" x14ac:dyDescent="0.25">
      <c r="A196" s="286">
        <v>156</v>
      </c>
      <c r="B196" s="293" t="s">
        <v>658</v>
      </c>
      <c r="C196" s="294" t="s">
        <v>45</v>
      </c>
      <c r="D196" s="286" t="s">
        <v>10</v>
      </c>
      <c r="E196" s="288"/>
      <c r="F196" s="295">
        <v>45633</v>
      </c>
      <c r="G196" s="295">
        <v>45844</v>
      </c>
      <c r="H196" s="299">
        <f t="shared" si="4"/>
        <v>212</v>
      </c>
      <c r="I196" s="300" t="s">
        <v>659</v>
      </c>
    </row>
    <row r="197" spans="1:9" x14ac:dyDescent="0.25">
      <c r="A197" s="286">
        <v>157</v>
      </c>
      <c r="B197" s="293" t="s">
        <v>658</v>
      </c>
      <c r="C197" s="294" t="s">
        <v>46</v>
      </c>
      <c r="D197" s="286" t="s">
        <v>10</v>
      </c>
      <c r="E197" s="288"/>
      <c r="F197" s="295">
        <v>45633</v>
      </c>
      <c r="G197" s="295">
        <v>45791</v>
      </c>
      <c r="H197" s="299">
        <f t="shared" si="4"/>
        <v>159</v>
      </c>
      <c r="I197" s="300" t="s">
        <v>659</v>
      </c>
    </row>
    <row r="198" spans="1:9"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1709</v>
      </c>
    </row>
    <row r="200" spans="1:9" ht="25.5" x14ac:dyDescent="0.25">
      <c r="A200" s="286">
        <v>160</v>
      </c>
      <c r="B200" s="293" t="s">
        <v>658</v>
      </c>
      <c r="C200" s="294" t="s">
        <v>160</v>
      </c>
      <c r="D200" s="286" t="s">
        <v>10</v>
      </c>
      <c r="E200" s="288"/>
      <c r="F200" s="295">
        <v>45633</v>
      </c>
      <c r="G200" s="295">
        <v>45851</v>
      </c>
      <c r="H200" s="299">
        <f t="shared" si="4"/>
        <v>219</v>
      </c>
      <c r="I200" s="300" t="s">
        <v>1464</v>
      </c>
    </row>
    <row r="201" spans="1:9" x14ac:dyDescent="0.25">
      <c r="A201" s="286">
        <v>161</v>
      </c>
      <c r="B201" s="293" t="s">
        <v>658</v>
      </c>
      <c r="C201" s="294" t="s">
        <v>471</v>
      </c>
      <c r="D201" s="286" t="s">
        <v>10</v>
      </c>
      <c r="E201" s="288"/>
      <c r="F201" s="295">
        <v>45633</v>
      </c>
      <c r="G201" s="295">
        <v>45914</v>
      </c>
      <c r="H201" s="299">
        <f t="shared" si="4"/>
        <v>282</v>
      </c>
      <c r="I201" s="300" t="s">
        <v>659</v>
      </c>
    </row>
    <row r="202" spans="1:9" x14ac:dyDescent="0.25">
      <c r="A202" s="286">
        <v>162</v>
      </c>
      <c r="B202" s="293" t="s">
        <v>658</v>
      </c>
      <c r="C202" s="294" t="s">
        <v>472</v>
      </c>
      <c r="D202" s="286" t="s">
        <v>10</v>
      </c>
      <c r="E202" s="288"/>
      <c r="F202" s="295">
        <v>45633</v>
      </c>
      <c r="G202" s="295">
        <v>45906</v>
      </c>
      <c r="H202" s="299">
        <f t="shared" si="4"/>
        <v>274</v>
      </c>
      <c r="I202" s="300" t="s">
        <v>659</v>
      </c>
    </row>
    <row r="203" spans="1:9" x14ac:dyDescent="0.25">
      <c r="A203" s="286">
        <v>163</v>
      </c>
      <c r="B203" s="293" t="s">
        <v>658</v>
      </c>
      <c r="C203" s="294" t="s">
        <v>475</v>
      </c>
      <c r="D203" s="286" t="s">
        <v>10</v>
      </c>
      <c r="E203" s="288"/>
      <c r="F203" s="295">
        <v>45633</v>
      </c>
      <c r="G203" s="295">
        <v>45936</v>
      </c>
      <c r="H203" s="299">
        <f t="shared" si="4"/>
        <v>304</v>
      </c>
      <c r="I203" s="300" t="s">
        <v>659</v>
      </c>
    </row>
    <row r="204" spans="1:9" x14ac:dyDescent="0.25">
      <c r="A204" s="286">
        <v>164</v>
      </c>
      <c r="B204" s="293" t="s">
        <v>658</v>
      </c>
      <c r="C204" s="294" t="s">
        <v>476</v>
      </c>
      <c r="D204" s="286" t="s">
        <v>10</v>
      </c>
      <c r="E204" s="288"/>
      <c r="F204" s="295">
        <v>45633</v>
      </c>
      <c r="G204" s="295">
        <v>45929</v>
      </c>
      <c r="H204" s="299">
        <f t="shared" si="4"/>
        <v>297</v>
      </c>
      <c r="I204" s="300" t="s">
        <v>659</v>
      </c>
    </row>
    <row r="205" spans="1:9" x14ac:dyDescent="0.25">
      <c r="A205" s="286">
        <v>165</v>
      </c>
      <c r="B205" s="293" t="s">
        <v>658</v>
      </c>
      <c r="C205" s="294" t="s">
        <v>477</v>
      </c>
      <c r="D205" s="286" t="s">
        <v>10</v>
      </c>
      <c r="E205" s="288"/>
      <c r="F205" s="295">
        <v>45633</v>
      </c>
      <c r="G205" s="295">
        <v>45906</v>
      </c>
      <c r="H205" s="299">
        <f t="shared" si="4"/>
        <v>274</v>
      </c>
      <c r="I205" s="300" t="s">
        <v>659</v>
      </c>
    </row>
    <row r="206" spans="1:9" x14ac:dyDescent="0.25">
      <c r="A206" s="286">
        <v>166</v>
      </c>
      <c r="B206" s="293" t="s">
        <v>658</v>
      </c>
      <c r="C206" s="294" t="s">
        <v>478</v>
      </c>
      <c r="D206" s="286" t="s">
        <v>10</v>
      </c>
      <c r="E206" s="288"/>
      <c r="F206" s="295">
        <v>45633</v>
      </c>
      <c r="G206" s="295">
        <v>45871</v>
      </c>
      <c r="H206" s="299">
        <f t="shared" si="4"/>
        <v>239</v>
      </c>
      <c r="I206" s="300" t="s">
        <v>659</v>
      </c>
    </row>
    <row r="207" spans="1:9" x14ac:dyDescent="0.25">
      <c r="A207" s="286">
        <v>167</v>
      </c>
      <c r="B207" s="293" t="s">
        <v>658</v>
      </c>
      <c r="C207" s="294" t="s">
        <v>479</v>
      </c>
      <c r="D207" s="286" t="s">
        <v>10</v>
      </c>
      <c r="E207" s="288"/>
      <c r="F207" s="295">
        <v>45633</v>
      </c>
      <c r="G207" s="295">
        <v>45885</v>
      </c>
      <c r="H207" s="299">
        <f t="shared" si="4"/>
        <v>253</v>
      </c>
      <c r="I207" s="300" t="s">
        <v>659</v>
      </c>
    </row>
    <row r="208" spans="1:9" x14ac:dyDescent="0.25">
      <c r="A208" s="286">
        <v>168</v>
      </c>
      <c r="B208" s="293" t="s">
        <v>658</v>
      </c>
      <c r="C208" s="294" t="s">
        <v>480</v>
      </c>
      <c r="D208" s="286" t="s">
        <v>10</v>
      </c>
      <c r="E208" s="288"/>
      <c r="F208" s="295">
        <v>45633</v>
      </c>
      <c r="G208" s="295">
        <v>45915</v>
      </c>
      <c r="H208" s="299">
        <f t="shared" si="4"/>
        <v>283</v>
      </c>
      <c r="I208" s="300" t="s">
        <v>659</v>
      </c>
    </row>
    <row r="209" spans="1:9" x14ac:dyDescent="0.25">
      <c r="A209" s="286">
        <v>169</v>
      </c>
      <c r="B209" s="293" t="s">
        <v>658</v>
      </c>
      <c r="C209" s="294" t="s">
        <v>481</v>
      </c>
      <c r="D209" s="286" t="s">
        <v>10</v>
      </c>
      <c r="E209" s="288"/>
      <c r="F209" s="295">
        <v>45633</v>
      </c>
      <c r="G209" s="295">
        <v>45814</v>
      </c>
      <c r="H209" s="299">
        <f t="shared" si="4"/>
        <v>182</v>
      </c>
      <c r="I209" s="300" t="s">
        <v>659</v>
      </c>
    </row>
    <row r="210" spans="1:9" ht="25.5" x14ac:dyDescent="0.25">
      <c r="A210" s="286">
        <v>170</v>
      </c>
      <c r="B210" s="293" t="s">
        <v>658</v>
      </c>
      <c r="C210" s="294" t="s">
        <v>519</v>
      </c>
      <c r="D210" s="286" t="s">
        <v>10</v>
      </c>
      <c r="E210" s="288"/>
      <c r="F210" s="295">
        <v>45633</v>
      </c>
      <c r="G210" s="295">
        <v>45934</v>
      </c>
      <c r="H210" s="299">
        <f t="shared" si="4"/>
        <v>302</v>
      </c>
      <c r="I210" s="300" t="s">
        <v>1634</v>
      </c>
    </row>
    <row r="211" spans="1:9" x14ac:dyDescent="0.25">
      <c r="A211" s="286">
        <v>171</v>
      </c>
      <c r="B211" s="293" t="s">
        <v>658</v>
      </c>
      <c r="C211" s="294" t="s">
        <v>520</v>
      </c>
      <c r="D211" s="286" t="s">
        <v>10</v>
      </c>
      <c r="E211" s="288"/>
      <c r="F211" s="295">
        <v>45633</v>
      </c>
      <c r="G211" s="295">
        <v>45809</v>
      </c>
      <c r="H211" s="299">
        <f t="shared" si="4"/>
        <v>177</v>
      </c>
      <c r="I211" s="300" t="s">
        <v>659</v>
      </c>
    </row>
    <row r="212" spans="1:9" x14ac:dyDescent="0.25">
      <c r="A212" s="286">
        <v>172</v>
      </c>
      <c r="B212" s="293" t="s">
        <v>658</v>
      </c>
      <c r="C212" s="294" t="s">
        <v>31</v>
      </c>
      <c r="D212" s="286" t="s">
        <v>10</v>
      </c>
      <c r="E212" s="288"/>
      <c r="F212" s="295">
        <v>45643</v>
      </c>
      <c r="G212" s="295">
        <v>45842</v>
      </c>
      <c r="H212" s="299">
        <f t="shared" si="4"/>
        <v>200</v>
      </c>
      <c r="I212" s="300" t="s">
        <v>659</v>
      </c>
    </row>
    <row r="213" spans="1:9" ht="51" x14ac:dyDescent="0.25">
      <c r="A213" s="286">
        <v>173</v>
      </c>
      <c r="B213" s="293" t="s">
        <v>658</v>
      </c>
      <c r="C213" s="294" t="s">
        <v>521</v>
      </c>
      <c r="D213" s="286" t="s">
        <v>10</v>
      </c>
      <c r="E213" s="288"/>
      <c r="F213" s="295">
        <v>45643</v>
      </c>
      <c r="G213" s="295">
        <v>45904</v>
      </c>
      <c r="H213" s="299">
        <f t="shared" si="4"/>
        <v>262</v>
      </c>
      <c r="I213" s="300" t="s">
        <v>1559</v>
      </c>
    </row>
    <row r="214" spans="1:9" x14ac:dyDescent="0.25">
      <c r="A214" s="286">
        <v>174</v>
      </c>
      <c r="B214" s="293" t="s">
        <v>658</v>
      </c>
      <c r="C214" s="294" t="s">
        <v>522</v>
      </c>
      <c r="D214" s="286" t="s">
        <v>10</v>
      </c>
      <c r="E214" s="288"/>
      <c r="F214" s="295">
        <v>45643</v>
      </c>
      <c r="G214" s="295">
        <v>45858</v>
      </c>
      <c r="H214" s="299">
        <f t="shared" si="4"/>
        <v>216</v>
      </c>
      <c r="I214" s="300" t="s">
        <v>659</v>
      </c>
    </row>
    <row r="215" spans="1:9" x14ac:dyDescent="0.25">
      <c r="A215" s="286">
        <v>175</v>
      </c>
      <c r="B215" s="293" t="s">
        <v>658</v>
      </c>
      <c r="C215" s="294" t="s">
        <v>523</v>
      </c>
      <c r="D215" s="286" t="s">
        <v>10</v>
      </c>
      <c r="E215" s="288"/>
      <c r="F215" s="295">
        <v>45643</v>
      </c>
      <c r="G215" s="295">
        <v>45861</v>
      </c>
      <c r="H215" s="299">
        <f t="shared" si="4"/>
        <v>219</v>
      </c>
      <c r="I215" s="300" t="s">
        <v>659</v>
      </c>
    </row>
    <row r="216" spans="1:9"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1717</v>
      </c>
    </row>
    <row r="218" spans="1:9" ht="38.25" x14ac:dyDescent="0.25">
      <c r="A218" s="286">
        <v>178</v>
      </c>
      <c r="B218" s="293" t="s">
        <v>658</v>
      </c>
      <c r="C218" s="294" t="s">
        <v>525</v>
      </c>
      <c r="D218" s="286" t="s">
        <v>10</v>
      </c>
      <c r="E218" s="288"/>
      <c r="F218" s="295">
        <v>45643</v>
      </c>
      <c r="G218" s="295">
        <v>45863</v>
      </c>
      <c r="H218" s="299">
        <f t="shared" si="4"/>
        <v>221</v>
      </c>
      <c r="I218" s="300" t="s">
        <v>1467</v>
      </c>
    </row>
    <row r="219" spans="1:9" ht="25.5" x14ac:dyDescent="0.25">
      <c r="A219" s="286">
        <v>179</v>
      </c>
      <c r="B219" s="293" t="s">
        <v>658</v>
      </c>
      <c r="C219" s="294" t="s">
        <v>526</v>
      </c>
      <c r="D219" s="286" t="s">
        <v>10</v>
      </c>
      <c r="E219" s="288"/>
      <c r="F219" s="295">
        <v>45643</v>
      </c>
      <c r="G219" s="295">
        <v>45829</v>
      </c>
      <c r="H219" s="299">
        <f t="shared" si="4"/>
        <v>187</v>
      </c>
      <c r="I219" s="300" t="s">
        <v>1401</v>
      </c>
    </row>
    <row r="220" spans="1:9" x14ac:dyDescent="0.25">
      <c r="A220" s="286">
        <v>180</v>
      </c>
      <c r="B220" s="293" t="s">
        <v>658</v>
      </c>
      <c r="C220" s="294" t="s">
        <v>527</v>
      </c>
      <c r="D220" s="286" t="s">
        <v>10</v>
      </c>
      <c r="E220" s="288"/>
      <c r="F220" s="295">
        <v>45643</v>
      </c>
      <c r="G220" s="295">
        <v>45818</v>
      </c>
      <c r="H220" s="299">
        <f t="shared" si="4"/>
        <v>176</v>
      </c>
      <c r="I220" s="300" t="s">
        <v>659</v>
      </c>
    </row>
    <row r="221" spans="1:9" ht="25.5" x14ac:dyDescent="0.25">
      <c r="A221" s="286">
        <v>181</v>
      </c>
      <c r="B221" s="293" t="s">
        <v>658</v>
      </c>
      <c r="C221" s="294" t="s">
        <v>528</v>
      </c>
      <c r="D221" s="286" t="s">
        <v>10</v>
      </c>
      <c r="E221" s="288"/>
      <c r="F221" s="295">
        <v>45643</v>
      </c>
      <c r="G221" s="295">
        <v>45806</v>
      </c>
      <c r="H221" s="299">
        <f t="shared" si="4"/>
        <v>164</v>
      </c>
      <c r="I221" s="300" t="s">
        <v>1368</v>
      </c>
    </row>
    <row r="222" spans="1:9" ht="63.75" x14ac:dyDescent="0.25">
      <c r="A222" s="286">
        <v>182</v>
      </c>
      <c r="B222" s="293" t="s">
        <v>658</v>
      </c>
      <c r="C222" s="294" t="s">
        <v>529</v>
      </c>
      <c r="D222" s="286" t="s">
        <v>10</v>
      </c>
      <c r="E222" s="288"/>
      <c r="F222" s="295">
        <v>45643</v>
      </c>
      <c r="G222" s="295">
        <v>45956</v>
      </c>
      <c r="H222" s="299">
        <f t="shared" si="4"/>
        <v>314</v>
      </c>
      <c r="I222" s="300" t="s">
        <v>1705</v>
      </c>
    </row>
    <row r="223" spans="1:9" x14ac:dyDescent="0.25">
      <c r="A223" s="286">
        <v>183</v>
      </c>
      <c r="B223" s="293" t="s">
        <v>658</v>
      </c>
      <c r="C223" s="294" t="s">
        <v>530</v>
      </c>
      <c r="D223" s="286" t="s">
        <v>10</v>
      </c>
      <c r="E223" s="288"/>
      <c r="F223" s="295">
        <v>45643</v>
      </c>
      <c r="G223" s="295">
        <v>45784</v>
      </c>
      <c r="H223" s="299">
        <f t="shared" si="4"/>
        <v>142</v>
      </c>
      <c r="I223" s="300" t="s">
        <v>659</v>
      </c>
    </row>
    <row r="224" spans="1:9" ht="63.75" x14ac:dyDescent="0.25">
      <c r="A224" s="286">
        <v>184</v>
      </c>
      <c r="B224" s="293" t="s">
        <v>658</v>
      </c>
      <c r="C224" s="294" t="s">
        <v>176</v>
      </c>
      <c r="D224" s="286" t="s">
        <v>10</v>
      </c>
      <c r="E224" s="288"/>
      <c r="F224" s="295">
        <v>45643</v>
      </c>
      <c r="G224" s="295">
        <v>45933</v>
      </c>
      <c r="H224" s="299">
        <f t="shared" si="4"/>
        <v>291</v>
      </c>
      <c r="I224" s="300" t="s">
        <v>1633</v>
      </c>
    </row>
    <row r="225" spans="1:9" x14ac:dyDescent="0.25">
      <c r="A225" s="286">
        <v>185</v>
      </c>
      <c r="B225" s="293" t="s">
        <v>658</v>
      </c>
      <c r="C225" s="294" t="s">
        <v>57</v>
      </c>
      <c r="D225" s="286" t="s">
        <v>10</v>
      </c>
      <c r="E225" s="288"/>
      <c r="F225" s="295">
        <v>45643</v>
      </c>
      <c r="G225" s="295">
        <v>45868</v>
      </c>
      <c r="H225" s="299">
        <f t="shared" si="4"/>
        <v>226</v>
      </c>
      <c r="I225" s="300" t="s">
        <v>659</v>
      </c>
    </row>
    <row r="226" spans="1:9" x14ac:dyDescent="0.25">
      <c r="A226" s="286">
        <v>186</v>
      </c>
      <c r="B226" s="293" t="s">
        <v>658</v>
      </c>
      <c r="C226" s="294" t="s">
        <v>33</v>
      </c>
      <c r="D226" s="286" t="s">
        <v>10</v>
      </c>
      <c r="E226" s="288"/>
      <c r="F226" s="295">
        <v>45639</v>
      </c>
      <c r="G226" s="295">
        <v>45858</v>
      </c>
      <c r="H226" s="299">
        <f t="shared" si="4"/>
        <v>220</v>
      </c>
      <c r="I226" s="300" t="s">
        <v>659</v>
      </c>
    </row>
    <row r="227" spans="1:9" x14ac:dyDescent="0.25">
      <c r="A227" s="286">
        <v>187</v>
      </c>
      <c r="B227" s="293" t="s">
        <v>658</v>
      </c>
      <c r="C227" s="294" t="s">
        <v>36</v>
      </c>
      <c r="D227" s="286" t="s">
        <v>10</v>
      </c>
      <c r="E227" s="288"/>
      <c r="F227" s="295">
        <v>45639</v>
      </c>
      <c r="G227" s="295">
        <v>45849</v>
      </c>
      <c r="H227" s="299">
        <f t="shared" si="4"/>
        <v>211</v>
      </c>
      <c r="I227" s="300" t="s">
        <v>659</v>
      </c>
    </row>
    <row r="228" spans="1:9" x14ac:dyDescent="0.25">
      <c r="A228" s="286">
        <v>188</v>
      </c>
      <c r="B228" s="293" t="s">
        <v>658</v>
      </c>
      <c r="C228" s="294" t="s">
        <v>58</v>
      </c>
      <c r="D228" s="286" t="s">
        <v>10</v>
      </c>
      <c r="E228" s="288"/>
      <c r="F228" s="295">
        <v>45639</v>
      </c>
      <c r="G228" s="295">
        <v>45870</v>
      </c>
      <c r="H228" s="299">
        <f t="shared" si="4"/>
        <v>232</v>
      </c>
      <c r="I228" s="300" t="s">
        <v>659</v>
      </c>
    </row>
    <row r="229" spans="1:9" x14ac:dyDescent="0.25">
      <c r="A229" s="286">
        <v>189</v>
      </c>
      <c r="B229" s="293" t="s">
        <v>658</v>
      </c>
      <c r="C229" s="294" t="s">
        <v>63</v>
      </c>
      <c r="D229" s="286" t="s">
        <v>10</v>
      </c>
      <c r="E229" s="288"/>
      <c r="F229" s="295">
        <v>45639</v>
      </c>
      <c r="G229" s="295">
        <v>45783</v>
      </c>
      <c r="H229" s="299">
        <f t="shared" si="4"/>
        <v>145</v>
      </c>
      <c r="I229" s="300" t="s">
        <v>659</v>
      </c>
    </row>
    <row r="230" spans="1:9" x14ac:dyDescent="0.25">
      <c r="A230" s="286">
        <v>190</v>
      </c>
      <c r="B230" s="293" t="s">
        <v>658</v>
      </c>
      <c r="C230" s="294" t="s">
        <v>64</v>
      </c>
      <c r="D230" s="286" t="s">
        <v>10</v>
      </c>
      <c r="E230" s="288"/>
      <c r="F230" s="295">
        <v>45639</v>
      </c>
      <c r="G230" s="295">
        <v>45779</v>
      </c>
      <c r="H230" s="299">
        <f t="shared" si="4"/>
        <v>141</v>
      </c>
      <c r="I230" s="300" t="s">
        <v>659</v>
      </c>
    </row>
    <row r="231" spans="1:9" x14ac:dyDescent="0.25">
      <c r="A231" s="286">
        <v>191</v>
      </c>
      <c r="B231" s="293" t="s">
        <v>658</v>
      </c>
      <c r="C231" s="294" t="s">
        <v>65</v>
      </c>
      <c r="D231" s="286" t="s">
        <v>10</v>
      </c>
      <c r="E231" s="288"/>
      <c r="F231" s="295">
        <v>45639</v>
      </c>
      <c r="G231" s="295">
        <v>45763</v>
      </c>
      <c r="H231" s="299">
        <f t="shared" si="4"/>
        <v>125</v>
      </c>
      <c r="I231" s="300" t="s">
        <v>659</v>
      </c>
    </row>
    <row r="232" spans="1:9" x14ac:dyDescent="0.25">
      <c r="A232" s="286">
        <v>192</v>
      </c>
      <c r="B232" s="293" t="s">
        <v>658</v>
      </c>
      <c r="C232" s="294" t="s">
        <v>66</v>
      </c>
      <c r="D232" s="286" t="s">
        <v>10</v>
      </c>
      <c r="E232" s="288"/>
      <c r="F232" s="295">
        <v>45639</v>
      </c>
      <c r="G232" s="295">
        <v>45758</v>
      </c>
      <c r="H232" s="299">
        <f t="shared" si="4"/>
        <v>120</v>
      </c>
      <c r="I232" s="300" t="s">
        <v>659</v>
      </c>
    </row>
    <row r="233" spans="1:9" x14ac:dyDescent="0.25">
      <c r="A233" s="286">
        <v>193</v>
      </c>
      <c r="B233" s="293" t="s">
        <v>658</v>
      </c>
      <c r="C233" s="294" t="s">
        <v>67</v>
      </c>
      <c r="D233" s="286" t="s">
        <v>10</v>
      </c>
      <c r="E233" s="288"/>
      <c r="F233" s="295">
        <v>45639</v>
      </c>
      <c r="G233" s="295">
        <v>45789</v>
      </c>
      <c r="H233" s="299">
        <f t="shared" si="4"/>
        <v>151</v>
      </c>
      <c r="I233" s="300" t="s">
        <v>659</v>
      </c>
    </row>
    <row r="234" spans="1:9"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x14ac:dyDescent="0.25">
      <c r="A235" s="286">
        <v>195</v>
      </c>
      <c r="B235" s="293" t="s">
        <v>658</v>
      </c>
      <c r="C235" s="294" t="s">
        <v>535</v>
      </c>
      <c r="D235" s="286" t="s">
        <v>10</v>
      </c>
      <c r="E235" s="288"/>
      <c r="F235" s="295">
        <v>45639</v>
      </c>
      <c r="G235" s="295">
        <v>45836</v>
      </c>
      <c r="H235" s="299">
        <f t="shared" si="5"/>
        <v>198</v>
      </c>
      <c r="I235" s="300" t="s">
        <v>659</v>
      </c>
    </row>
    <row r="236" spans="1:9" x14ac:dyDescent="0.25">
      <c r="A236" s="286">
        <v>196</v>
      </c>
      <c r="B236" s="293" t="s">
        <v>658</v>
      </c>
      <c r="C236" s="294" t="s">
        <v>652</v>
      </c>
      <c r="D236" s="286" t="s">
        <v>10</v>
      </c>
      <c r="E236" s="288"/>
      <c r="F236" s="295">
        <v>45639</v>
      </c>
      <c r="G236" s="295">
        <v>45765</v>
      </c>
      <c r="H236" s="299">
        <f t="shared" si="5"/>
        <v>127</v>
      </c>
      <c r="I236" s="300" t="s">
        <v>659</v>
      </c>
    </row>
    <row r="237" spans="1:9" x14ac:dyDescent="0.25">
      <c r="A237" s="286">
        <v>197</v>
      </c>
      <c r="B237" s="293" t="s">
        <v>658</v>
      </c>
      <c r="C237" s="294" t="s">
        <v>536</v>
      </c>
      <c r="D237" s="286" t="s">
        <v>10</v>
      </c>
      <c r="E237" s="288"/>
      <c r="F237" s="295">
        <v>45639</v>
      </c>
      <c r="G237" s="295">
        <v>45762</v>
      </c>
      <c r="H237" s="299">
        <f t="shared" si="5"/>
        <v>124</v>
      </c>
      <c r="I237" s="300" t="s">
        <v>659</v>
      </c>
    </row>
    <row r="238" spans="1:9" x14ac:dyDescent="0.25">
      <c r="A238" s="286">
        <v>198</v>
      </c>
      <c r="B238" s="293" t="s">
        <v>658</v>
      </c>
      <c r="C238" s="294" t="s">
        <v>537</v>
      </c>
      <c r="D238" s="286" t="s">
        <v>10</v>
      </c>
      <c r="E238" s="288"/>
      <c r="F238" s="295">
        <v>45639</v>
      </c>
      <c r="G238" s="295">
        <v>45768</v>
      </c>
      <c r="H238" s="299">
        <f t="shared" si="5"/>
        <v>130</v>
      </c>
      <c r="I238" s="300" t="s">
        <v>659</v>
      </c>
    </row>
    <row r="239" spans="1:9" x14ac:dyDescent="0.25">
      <c r="A239" s="286">
        <v>199</v>
      </c>
      <c r="B239" s="293" t="s">
        <v>658</v>
      </c>
      <c r="C239" s="294" t="s">
        <v>538</v>
      </c>
      <c r="D239" s="286" t="s">
        <v>10</v>
      </c>
      <c r="E239" s="288"/>
      <c r="F239" s="295">
        <v>45641</v>
      </c>
      <c r="G239" s="295">
        <v>45763</v>
      </c>
      <c r="H239" s="299">
        <f t="shared" si="5"/>
        <v>123</v>
      </c>
      <c r="I239" s="300" t="s">
        <v>659</v>
      </c>
    </row>
    <row r="240" spans="1:9" x14ac:dyDescent="0.25">
      <c r="A240" s="286">
        <v>200</v>
      </c>
      <c r="B240" s="293" t="s">
        <v>658</v>
      </c>
      <c r="C240" s="294" t="s">
        <v>539</v>
      </c>
      <c r="D240" s="286" t="s">
        <v>10</v>
      </c>
      <c r="E240" s="288"/>
      <c r="F240" s="295">
        <v>45641</v>
      </c>
      <c r="G240" s="295">
        <v>45789</v>
      </c>
      <c r="H240" s="299">
        <f t="shared" si="5"/>
        <v>149</v>
      </c>
      <c r="I240" s="300" t="s">
        <v>659</v>
      </c>
    </row>
    <row r="241" spans="1:9" x14ac:dyDescent="0.25">
      <c r="A241" s="286">
        <v>201</v>
      </c>
      <c r="B241" s="293" t="s">
        <v>658</v>
      </c>
      <c r="C241" s="294" t="s">
        <v>540</v>
      </c>
      <c r="D241" s="286" t="s">
        <v>10</v>
      </c>
      <c r="E241" s="288"/>
      <c r="F241" s="295">
        <v>45641</v>
      </c>
      <c r="G241" s="295">
        <v>45752</v>
      </c>
      <c r="H241" s="299">
        <f t="shared" si="5"/>
        <v>112</v>
      </c>
      <c r="I241" s="300" t="s">
        <v>659</v>
      </c>
    </row>
    <row r="242" spans="1:9" x14ac:dyDescent="0.25">
      <c r="A242" s="286">
        <v>202</v>
      </c>
      <c r="B242" s="293" t="s">
        <v>658</v>
      </c>
      <c r="C242" s="294" t="s">
        <v>541</v>
      </c>
      <c r="D242" s="286" t="s">
        <v>10</v>
      </c>
      <c r="E242" s="288"/>
      <c r="F242" s="295">
        <v>45641</v>
      </c>
      <c r="G242" s="295">
        <v>45758</v>
      </c>
      <c r="H242" s="299">
        <f t="shared" si="5"/>
        <v>118</v>
      </c>
      <c r="I242" s="300" t="s">
        <v>659</v>
      </c>
    </row>
    <row r="243" spans="1:9" x14ac:dyDescent="0.25">
      <c r="A243" s="286">
        <v>203</v>
      </c>
      <c r="B243" s="293" t="s">
        <v>658</v>
      </c>
      <c r="C243" s="294" t="s">
        <v>542</v>
      </c>
      <c r="D243" s="286" t="s">
        <v>10</v>
      </c>
      <c r="E243" s="288"/>
      <c r="F243" s="295">
        <v>45641</v>
      </c>
      <c r="G243" s="295">
        <v>45775</v>
      </c>
      <c r="H243" s="299">
        <f t="shared" si="5"/>
        <v>135</v>
      </c>
      <c r="I243" s="300" t="s">
        <v>1313</v>
      </c>
    </row>
    <row r="244" spans="1:9" ht="25.5" x14ac:dyDescent="0.25">
      <c r="A244" s="286">
        <v>204</v>
      </c>
      <c r="B244" s="293" t="s">
        <v>658</v>
      </c>
      <c r="C244" s="294" t="s">
        <v>543</v>
      </c>
      <c r="D244" s="286" t="s">
        <v>10</v>
      </c>
      <c r="E244" s="288"/>
      <c r="F244" s="295">
        <v>45641</v>
      </c>
      <c r="G244" s="295">
        <v>45775</v>
      </c>
      <c r="H244" s="299">
        <f t="shared" si="5"/>
        <v>135</v>
      </c>
      <c r="I244" s="300" t="s">
        <v>1312</v>
      </c>
    </row>
    <row r="245" spans="1:9" x14ac:dyDescent="0.25">
      <c r="A245" s="286">
        <v>205</v>
      </c>
      <c r="B245" s="293" t="s">
        <v>658</v>
      </c>
      <c r="C245" s="294" t="s">
        <v>553</v>
      </c>
      <c r="D245" s="286" t="s">
        <v>10</v>
      </c>
      <c r="E245" s="288"/>
      <c r="F245" s="295">
        <v>45641</v>
      </c>
      <c r="G245" s="295">
        <v>45779</v>
      </c>
      <c r="H245" s="299">
        <f t="shared" si="5"/>
        <v>139</v>
      </c>
      <c r="I245" s="300" t="s">
        <v>659</v>
      </c>
    </row>
    <row r="246" spans="1:9" x14ac:dyDescent="0.25">
      <c r="A246" s="286">
        <v>206</v>
      </c>
      <c r="B246" s="293" t="s">
        <v>658</v>
      </c>
      <c r="C246" s="294" t="s">
        <v>555</v>
      </c>
      <c r="D246" s="286" t="s">
        <v>10</v>
      </c>
      <c r="E246" s="288"/>
      <c r="F246" s="295">
        <v>45641</v>
      </c>
      <c r="G246" s="295">
        <v>45795</v>
      </c>
      <c r="H246" s="299">
        <f t="shared" si="5"/>
        <v>155</v>
      </c>
      <c r="I246" s="300" t="s">
        <v>659</v>
      </c>
    </row>
    <row r="247" spans="1:9" x14ac:dyDescent="0.25">
      <c r="A247" s="286">
        <v>207</v>
      </c>
      <c r="B247" s="293" t="s">
        <v>658</v>
      </c>
      <c r="C247" s="294" t="s">
        <v>556</v>
      </c>
      <c r="D247" s="286" t="s">
        <v>10</v>
      </c>
      <c r="E247" s="288"/>
      <c r="F247" s="295">
        <v>45641</v>
      </c>
      <c r="G247" s="295">
        <v>45767</v>
      </c>
      <c r="H247" s="299">
        <f t="shared" si="5"/>
        <v>127</v>
      </c>
      <c r="I247" s="300" t="s">
        <v>659</v>
      </c>
    </row>
    <row r="248" spans="1:9" x14ac:dyDescent="0.25">
      <c r="A248" s="286">
        <v>208</v>
      </c>
      <c r="B248" s="293" t="s">
        <v>658</v>
      </c>
      <c r="C248" s="294" t="s">
        <v>557</v>
      </c>
      <c r="D248" s="286" t="s">
        <v>10</v>
      </c>
      <c r="E248" s="288"/>
      <c r="F248" s="295">
        <v>45641</v>
      </c>
      <c r="G248" s="295">
        <v>45798</v>
      </c>
      <c r="H248" s="299">
        <f t="shared" si="5"/>
        <v>158</v>
      </c>
      <c r="I248" s="300" t="s">
        <v>659</v>
      </c>
    </row>
    <row r="249" spans="1:9" x14ac:dyDescent="0.25">
      <c r="A249" s="286">
        <v>209</v>
      </c>
      <c r="B249" s="293" t="s">
        <v>658</v>
      </c>
      <c r="C249" s="294" t="s">
        <v>563</v>
      </c>
      <c r="D249" s="286" t="s">
        <v>10</v>
      </c>
      <c r="E249" s="288"/>
      <c r="F249" s="295">
        <v>45641</v>
      </c>
      <c r="G249" s="295">
        <v>45793</v>
      </c>
      <c r="H249" s="299">
        <f t="shared" si="5"/>
        <v>153</v>
      </c>
      <c r="I249" s="300" t="s">
        <v>659</v>
      </c>
    </row>
    <row r="250" spans="1:9" x14ac:dyDescent="0.25">
      <c r="A250" s="286">
        <v>210</v>
      </c>
      <c r="B250" s="293" t="s">
        <v>658</v>
      </c>
      <c r="C250" s="294" t="s">
        <v>575</v>
      </c>
      <c r="D250" s="286" t="s">
        <v>10</v>
      </c>
      <c r="E250" s="288"/>
      <c r="F250" s="295">
        <v>45641</v>
      </c>
      <c r="G250" s="295">
        <v>45704</v>
      </c>
      <c r="H250" s="299">
        <f t="shared" si="5"/>
        <v>64</v>
      </c>
      <c r="I250" s="300" t="s">
        <v>659</v>
      </c>
    </row>
    <row r="255" spans="1:9" x14ac:dyDescent="0.25">
      <c r="A255" s="830" t="s">
        <v>126</v>
      </c>
      <c r="B255" s="830"/>
      <c r="C255" s="830"/>
      <c r="D255" s="830"/>
      <c r="E255" s="830"/>
      <c r="F255" s="830"/>
      <c r="G255" s="830"/>
      <c r="H255" s="830"/>
      <c r="I255" s="830"/>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1431</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1469</v>
      </c>
      <c r="F278" s="295">
        <v>45862</v>
      </c>
      <c r="G278" s="295">
        <v>45863</v>
      </c>
      <c r="H278" s="296">
        <f>+IF(G278="","Awaited",_xlfn.DAYS(G278,F278)+1)</f>
        <v>2</v>
      </c>
      <c r="I278" s="302" t="s">
        <v>1468</v>
      </c>
    </row>
    <row r="279" spans="1:9" ht="25.5" x14ac:dyDescent="0.25">
      <c r="A279" s="286">
        <v>23</v>
      </c>
      <c r="B279" s="301" t="s">
        <v>658</v>
      </c>
      <c r="C279" s="294" t="s">
        <v>481</v>
      </c>
      <c r="D279" s="286" t="s">
        <v>126</v>
      </c>
      <c r="E279" s="288" t="s">
        <v>1466</v>
      </c>
      <c r="F279" s="295">
        <v>45863</v>
      </c>
      <c r="G279" s="295">
        <v>45950</v>
      </c>
      <c r="H279" s="296">
        <f>+IF(G279="","Awaited",_xlfn.DAYS(G279,F279)+1)</f>
        <v>88</v>
      </c>
      <c r="I279" s="302" t="s">
        <v>1470</v>
      </c>
    </row>
    <row r="280" spans="1:9" ht="25.5" x14ac:dyDescent="0.25">
      <c r="A280" s="286">
        <v>24</v>
      </c>
      <c r="B280" s="301" t="s">
        <v>658</v>
      </c>
      <c r="C280" s="294" t="s">
        <v>69</v>
      </c>
      <c r="D280" s="286" t="s">
        <v>126</v>
      </c>
      <c r="E280" s="288" t="s">
        <v>1507</v>
      </c>
      <c r="F280" s="295">
        <v>45875</v>
      </c>
      <c r="G280" s="295"/>
      <c r="H280" s="296" t="str">
        <f>+IF(G280="","Awaited",_xlfn.DAYS(G280,F280)+1)</f>
        <v>Awaited</v>
      </c>
      <c r="I280" s="300" t="s">
        <v>1520</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1552</v>
      </c>
    </row>
    <row r="282" spans="1:9" x14ac:dyDescent="0.25">
      <c r="A282" s="286">
        <v>26</v>
      </c>
      <c r="B282" s="301" t="s">
        <v>658</v>
      </c>
      <c r="C282" s="294" t="s">
        <v>156</v>
      </c>
      <c r="D282" s="286" t="s">
        <v>126</v>
      </c>
      <c r="E282" s="288"/>
      <c r="F282" s="295">
        <v>45881</v>
      </c>
      <c r="G282" s="295"/>
      <c r="H282" s="296" t="str">
        <f t="shared" si="7"/>
        <v>Awaited</v>
      </c>
      <c r="I282" s="300" t="s">
        <v>1552</v>
      </c>
    </row>
    <row r="283" spans="1:9" ht="38.25" x14ac:dyDescent="0.25">
      <c r="A283" s="286">
        <v>27</v>
      </c>
      <c r="B283" s="301" t="s">
        <v>658</v>
      </c>
      <c r="C283" s="294" t="s">
        <v>190</v>
      </c>
      <c r="D283" s="286" t="s">
        <v>126</v>
      </c>
      <c r="E283" s="288" t="s">
        <v>1551</v>
      </c>
      <c r="F283" s="295">
        <v>45898</v>
      </c>
      <c r="G283" s="295"/>
      <c r="H283" s="296" t="str">
        <f t="shared" si="7"/>
        <v>Awaited</v>
      </c>
      <c r="I283" s="300" t="s">
        <v>1552</v>
      </c>
    </row>
    <row r="284" spans="1:9" ht="25.5" x14ac:dyDescent="0.25">
      <c r="A284" s="286">
        <v>28</v>
      </c>
      <c r="B284" s="293" t="s">
        <v>1554</v>
      </c>
      <c r="C284" s="294" t="s">
        <v>532</v>
      </c>
      <c r="D284" s="286" t="s">
        <v>126</v>
      </c>
      <c r="E284" s="288"/>
      <c r="F284" s="295">
        <v>45899</v>
      </c>
      <c r="G284" s="295"/>
      <c r="H284" s="296" t="str">
        <f t="shared" si="7"/>
        <v>Awaited</v>
      </c>
      <c r="I284" s="300" t="s">
        <v>1552</v>
      </c>
    </row>
    <row r="285" spans="1:9" ht="25.5" x14ac:dyDescent="0.25">
      <c r="A285" s="286">
        <v>29</v>
      </c>
      <c r="B285" s="293" t="s">
        <v>1554</v>
      </c>
      <c r="C285" s="294" t="s">
        <v>533</v>
      </c>
      <c r="D285" s="286" t="s">
        <v>126</v>
      </c>
      <c r="E285" s="288"/>
      <c r="F285" s="295">
        <v>45899</v>
      </c>
      <c r="G285" s="295"/>
      <c r="H285" s="296" t="str">
        <f t="shared" si="7"/>
        <v>Awaited</v>
      </c>
      <c r="I285" s="300" t="s">
        <v>1552</v>
      </c>
    </row>
    <row r="286" spans="1:9" ht="25.5" x14ac:dyDescent="0.25">
      <c r="A286" s="286">
        <v>30</v>
      </c>
      <c r="B286" s="293" t="s">
        <v>1554</v>
      </c>
      <c r="C286" s="294" t="s">
        <v>534</v>
      </c>
      <c r="D286" s="286" t="s">
        <v>126</v>
      </c>
      <c r="E286" s="288"/>
      <c r="F286" s="295">
        <v>45899</v>
      </c>
      <c r="G286" s="295"/>
      <c r="H286" s="296" t="str">
        <f t="shared" si="7"/>
        <v>Awaited</v>
      </c>
      <c r="I286" s="300" t="s">
        <v>1552</v>
      </c>
    </row>
    <row r="287" spans="1:9" ht="25.5" x14ac:dyDescent="0.25">
      <c r="A287" s="286">
        <v>31</v>
      </c>
      <c r="B287" s="293" t="s">
        <v>1554</v>
      </c>
      <c r="C287" s="294" t="s">
        <v>57</v>
      </c>
      <c r="D287" s="286" t="s">
        <v>126</v>
      </c>
      <c r="E287" s="288"/>
      <c r="F287" s="295">
        <v>45899</v>
      </c>
      <c r="G287" s="295"/>
      <c r="H287" s="296" t="str">
        <f t="shared" si="7"/>
        <v>Awaited</v>
      </c>
      <c r="I287" s="300" t="s">
        <v>1552</v>
      </c>
    </row>
    <row r="288" spans="1:9" ht="25.5" x14ac:dyDescent="0.25">
      <c r="A288" s="286">
        <v>32</v>
      </c>
      <c r="B288" s="293" t="s">
        <v>1554</v>
      </c>
      <c r="C288" s="294" t="s">
        <v>34</v>
      </c>
      <c r="D288" s="286" t="s">
        <v>126</v>
      </c>
      <c r="E288" s="288"/>
      <c r="F288" s="295">
        <v>45899</v>
      </c>
      <c r="G288" s="295"/>
      <c r="H288" s="296" t="str">
        <f t="shared" si="7"/>
        <v>Awaited</v>
      </c>
      <c r="I288" s="300" t="s">
        <v>1552</v>
      </c>
    </row>
    <row r="289" spans="1:9" ht="25.5" x14ac:dyDescent="0.25">
      <c r="A289" s="286">
        <v>33</v>
      </c>
      <c r="B289" s="293" t="s">
        <v>1554</v>
      </c>
      <c r="C289" s="294" t="s">
        <v>180</v>
      </c>
      <c r="D289" s="286" t="s">
        <v>126</v>
      </c>
      <c r="E289" s="288"/>
      <c r="F289" s="295">
        <v>45899</v>
      </c>
      <c r="G289" s="295"/>
      <c r="H289" s="296" t="str">
        <f t="shared" si="7"/>
        <v>Awaited</v>
      </c>
      <c r="I289" s="300" t="s">
        <v>1552</v>
      </c>
    </row>
    <row r="290" spans="1:9" ht="25.5" x14ac:dyDescent="0.25">
      <c r="A290" s="286">
        <v>34</v>
      </c>
      <c r="B290" s="293" t="s">
        <v>1554</v>
      </c>
      <c r="C290" s="294" t="s">
        <v>181</v>
      </c>
      <c r="D290" s="286" t="s">
        <v>126</v>
      </c>
      <c r="E290" s="288"/>
      <c r="F290" s="295">
        <v>45899</v>
      </c>
      <c r="G290" s="295"/>
      <c r="H290" s="296" t="str">
        <f t="shared" si="7"/>
        <v>Awaited</v>
      </c>
      <c r="I290" s="300" t="s">
        <v>1552</v>
      </c>
    </row>
    <row r="291" spans="1:9" ht="25.5" x14ac:dyDescent="0.25">
      <c r="A291" s="286">
        <v>35</v>
      </c>
      <c r="B291" s="293" t="s">
        <v>1554</v>
      </c>
      <c r="C291" s="294" t="s">
        <v>58</v>
      </c>
      <c r="D291" s="286" t="s">
        <v>126</v>
      </c>
      <c r="E291" s="288"/>
      <c r="F291" s="295">
        <v>45899</v>
      </c>
      <c r="G291" s="295">
        <v>45906</v>
      </c>
      <c r="H291" s="296">
        <f t="shared" si="7"/>
        <v>8</v>
      </c>
      <c r="I291" s="300" t="s">
        <v>1552</v>
      </c>
    </row>
    <row r="292" spans="1:9" ht="25.5" x14ac:dyDescent="0.25">
      <c r="A292" s="286">
        <v>36</v>
      </c>
      <c r="B292" s="293" t="s">
        <v>1554</v>
      </c>
      <c r="C292" s="294" t="s">
        <v>61</v>
      </c>
      <c r="D292" s="286" t="s">
        <v>126</v>
      </c>
      <c r="E292" s="288"/>
      <c r="F292" s="295">
        <v>45899</v>
      </c>
      <c r="G292" s="295"/>
      <c r="H292" s="296" t="str">
        <f t="shared" si="7"/>
        <v>Awaited</v>
      </c>
      <c r="I292" s="300" t="s">
        <v>1552</v>
      </c>
    </row>
    <row r="293" spans="1:9" ht="25.5" x14ac:dyDescent="0.25">
      <c r="A293" s="286">
        <v>37</v>
      </c>
      <c r="B293" s="293" t="s">
        <v>1554</v>
      </c>
      <c r="C293" s="294" t="s">
        <v>62</v>
      </c>
      <c r="D293" s="286" t="s">
        <v>126</v>
      </c>
      <c r="E293" s="288"/>
      <c r="F293" s="295">
        <v>45899</v>
      </c>
      <c r="G293" s="295">
        <v>45981</v>
      </c>
      <c r="H293" s="296">
        <f t="shared" si="7"/>
        <v>83</v>
      </c>
      <c r="I293" s="300" t="s">
        <v>1552</v>
      </c>
    </row>
    <row r="294" spans="1:9" ht="25.5" x14ac:dyDescent="0.25">
      <c r="A294" s="286">
        <v>38</v>
      </c>
      <c r="B294" s="293" t="s">
        <v>1554</v>
      </c>
      <c r="C294" s="294" t="s">
        <v>184</v>
      </c>
      <c r="D294" s="286" t="s">
        <v>126</v>
      </c>
      <c r="E294" s="288"/>
      <c r="F294" s="295">
        <v>45899</v>
      </c>
      <c r="G294" s="295"/>
      <c r="H294" s="296" t="str">
        <f t="shared" si="7"/>
        <v>Awaited</v>
      </c>
      <c r="I294" s="300" t="s">
        <v>1725</v>
      </c>
    </row>
    <row r="295" spans="1:9" ht="25.5" x14ac:dyDescent="0.25">
      <c r="A295" s="286">
        <v>39</v>
      </c>
      <c r="B295" s="293" t="s">
        <v>1554</v>
      </c>
      <c r="C295" s="294" t="s">
        <v>185</v>
      </c>
      <c r="D295" s="286" t="s">
        <v>126</v>
      </c>
      <c r="E295" s="288"/>
      <c r="F295" s="295">
        <v>45899</v>
      </c>
      <c r="G295" s="295"/>
      <c r="H295" s="296" t="str">
        <f t="shared" si="7"/>
        <v>Awaited</v>
      </c>
      <c r="I295" s="300" t="s">
        <v>1552</v>
      </c>
    </row>
    <row r="296" spans="1:9" ht="25.5" x14ac:dyDescent="0.25">
      <c r="A296" s="286">
        <v>40</v>
      </c>
      <c r="B296" s="293" t="s">
        <v>1554</v>
      </c>
      <c r="C296" s="294" t="s">
        <v>68</v>
      </c>
      <c r="D296" s="286" t="s">
        <v>126</v>
      </c>
      <c r="E296" s="288"/>
      <c r="F296" s="295">
        <v>45899</v>
      </c>
      <c r="G296" s="295">
        <v>45967</v>
      </c>
      <c r="H296" s="296">
        <f t="shared" si="7"/>
        <v>69</v>
      </c>
      <c r="I296" s="300" t="s">
        <v>1552</v>
      </c>
    </row>
    <row r="297" spans="1:9" ht="25.5" x14ac:dyDescent="0.25">
      <c r="A297" s="286">
        <v>41</v>
      </c>
      <c r="B297" s="293" t="s">
        <v>1554</v>
      </c>
      <c r="C297" s="294" t="s">
        <v>187</v>
      </c>
      <c r="D297" s="286" t="s">
        <v>126</v>
      </c>
      <c r="E297" s="288"/>
      <c r="F297" s="295">
        <v>45899</v>
      </c>
      <c r="G297" s="295"/>
      <c r="H297" s="296" t="str">
        <f t="shared" si="7"/>
        <v>Awaited</v>
      </c>
      <c r="I297" s="300" t="s">
        <v>1552</v>
      </c>
    </row>
    <row r="298" spans="1:9" ht="25.5" x14ac:dyDescent="0.25">
      <c r="A298" s="286">
        <v>42</v>
      </c>
      <c r="B298" s="293" t="s">
        <v>1554</v>
      </c>
      <c r="C298" s="294" t="s">
        <v>188</v>
      </c>
      <c r="D298" s="286" t="s">
        <v>126</v>
      </c>
      <c r="E298" s="288"/>
      <c r="F298" s="295">
        <v>45899</v>
      </c>
      <c r="G298" s="295">
        <v>45979</v>
      </c>
      <c r="H298" s="296">
        <f t="shared" si="7"/>
        <v>81</v>
      </c>
      <c r="I298" s="300" t="s">
        <v>1552</v>
      </c>
    </row>
    <row r="299" spans="1:9" ht="25.5" x14ac:dyDescent="0.25">
      <c r="A299" s="286">
        <v>43</v>
      </c>
      <c r="B299" s="293" t="s">
        <v>1554</v>
      </c>
      <c r="C299" s="294" t="s">
        <v>189</v>
      </c>
      <c r="D299" s="286" t="s">
        <v>126</v>
      </c>
      <c r="E299" s="288"/>
      <c r="F299" s="295">
        <v>45899</v>
      </c>
      <c r="G299" s="295"/>
      <c r="H299" s="296" t="str">
        <f t="shared" si="7"/>
        <v>Awaited</v>
      </c>
      <c r="I299" s="300" t="s">
        <v>1552</v>
      </c>
    </row>
    <row r="300" spans="1:9" ht="25.5" x14ac:dyDescent="0.25">
      <c r="A300" s="286">
        <v>44</v>
      </c>
      <c r="B300" s="293" t="s">
        <v>1554</v>
      </c>
      <c r="C300" s="294" t="s">
        <v>192</v>
      </c>
      <c r="D300" s="286" t="s">
        <v>126</v>
      </c>
      <c r="E300" s="288"/>
      <c r="F300" s="295">
        <v>45899</v>
      </c>
      <c r="G300" s="295">
        <v>45987</v>
      </c>
      <c r="H300" s="296">
        <f t="shared" si="7"/>
        <v>89</v>
      </c>
      <c r="I300" s="300" t="s">
        <v>1552</v>
      </c>
    </row>
    <row r="301" spans="1:9" ht="25.5" x14ac:dyDescent="0.25">
      <c r="A301" s="286">
        <v>45</v>
      </c>
      <c r="B301" s="293" t="s">
        <v>1554</v>
      </c>
      <c r="C301" s="294" t="s">
        <v>71</v>
      </c>
      <c r="D301" s="286" t="s">
        <v>126</v>
      </c>
      <c r="E301" s="288"/>
      <c r="F301" s="295">
        <v>45899</v>
      </c>
      <c r="G301" s="295">
        <v>45971</v>
      </c>
      <c r="H301" s="296">
        <f t="shared" si="7"/>
        <v>73</v>
      </c>
      <c r="I301" s="300" t="s">
        <v>1721</v>
      </c>
    </row>
    <row r="302" spans="1:9" ht="25.5" x14ac:dyDescent="0.25">
      <c r="A302" s="286">
        <v>46</v>
      </c>
      <c r="B302" s="293" t="s">
        <v>1554</v>
      </c>
      <c r="C302" s="294" t="s">
        <v>73</v>
      </c>
      <c r="D302" s="286" t="s">
        <v>126</v>
      </c>
      <c r="E302" s="288"/>
      <c r="F302" s="295">
        <v>45899</v>
      </c>
      <c r="G302" s="295"/>
      <c r="H302" s="296" t="str">
        <f t="shared" si="7"/>
        <v>Awaited</v>
      </c>
      <c r="I302" s="300" t="s">
        <v>1552</v>
      </c>
    </row>
    <row r="303" spans="1:9" ht="25.5" x14ac:dyDescent="0.25">
      <c r="A303" s="286">
        <v>47</v>
      </c>
      <c r="B303" s="293" t="s">
        <v>1554</v>
      </c>
      <c r="C303" s="294" t="s">
        <v>74</v>
      </c>
      <c r="D303" s="286" t="s">
        <v>126</v>
      </c>
      <c r="E303" s="288"/>
      <c r="F303" s="295">
        <v>45899</v>
      </c>
      <c r="G303" s="295"/>
      <c r="H303" s="296" t="str">
        <f t="shared" si="7"/>
        <v>Awaited</v>
      </c>
      <c r="I303" s="300" t="s">
        <v>1552</v>
      </c>
    </row>
    <row r="304" spans="1:9" ht="25.5" x14ac:dyDescent="0.25">
      <c r="A304" s="286">
        <v>48</v>
      </c>
      <c r="B304" s="293" t="s">
        <v>1554</v>
      </c>
      <c r="C304" s="294" t="s">
        <v>193</v>
      </c>
      <c r="D304" s="286" t="s">
        <v>126</v>
      </c>
      <c r="E304" s="288"/>
      <c r="F304" s="295">
        <v>45899</v>
      </c>
      <c r="G304" s="295">
        <v>45912</v>
      </c>
      <c r="H304" s="296">
        <f t="shared" si="7"/>
        <v>14</v>
      </c>
      <c r="I304" s="300" t="s">
        <v>1605</v>
      </c>
    </row>
    <row r="305" spans="1:9" ht="25.5" x14ac:dyDescent="0.25">
      <c r="A305" s="286">
        <v>49</v>
      </c>
      <c r="B305" s="293" t="s">
        <v>1554</v>
      </c>
      <c r="C305" s="294" t="s">
        <v>194</v>
      </c>
      <c r="D305" s="286" t="s">
        <v>126</v>
      </c>
      <c r="E305" s="288"/>
      <c r="F305" s="295">
        <v>45899</v>
      </c>
      <c r="G305" s="295"/>
      <c r="H305" s="296" t="str">
        <f t="shared" si="7"/>
        <v>Awaited</v>
      </c>
      <c r="I305" s="300" t="s">
        <v>1552</v>
      </c>
    </row>
    <row r="306" spans="1:9" ht="25.5" x14ac:dyDescent="0.25">
      <c r="A306" s="286">
        <v>50</v>
      </c>
      <c r="B306" s="293" t="s">
        <v>1554</v>
      </c>
      <c r="C306" s="294" t="s">
        <v>195</v>
      </c>
      <c r="D306" s="286" t="s">
        <v>126</v>
      </c>
      <c r="E306" s="288"/>
      <c r="F306" s="295">
        <v>45899</v>
      </c>
      <c r="G306" s="295"/>
      <c r="H306" s="296" t="str">
        <f t="shared" si="7"/>
        <v>Awaited</v>
      </c>
      <c r="I306" s="300" t="s">
        <v>1552</v>
      </c>
    </row>
    <row r="307" spans="1:9" ht="25.5" x14ac:dyDescent="0.25">
      <c r="A307" s="286">
        <v>51</v>
      </c>
      <c r="B307" s="293" t="s">
        <v>1554</v>
      </c>
      <c r="C307" s="294" t="s">
        <v>197</v>
      </c>
      <c r="D307" s="286" t="s">
        <v>126</v>
      </c>
      <c r="E307" s="288"/>
      <c r="F307" s="295">
        <v>45899</v>
      </c>
      <c r="G307" s="295">
        <v>45970</v>
      </c>
      <c r="H307" s="296">
        <f t="shared" si="7"/>
        <v>72</v>
      </c>
      <c r="I307" s="300" t="s">
        <v>1719</v>
      </c>
    </row>
    <row r="308" spans="1:9" ht="25.5" x14ac:dyDescent="0.25">
      <c r="A308" s="286">
        <v>52</v>
      </c>
      <c r="B308" s="293" t="s">
        <v>1554</v>
      </c>
      <c r="C308" s="294" t="s">
        <v>198</v>
      </c>
      <c r="D308" s="286" t="s">
        <v>126</v>
      </c>
      <c r="E308" s="288"/>
      <c r="F308" s="295">
        <v>45899</v>
      </c>
      <c r="G308" s="295">
        <v>45915</v>
      </c>
      <c r="H308" s="296">
        <f t="shared" si="7"/>
        <v>17</v>
      </c>
      <c r="I308" s="300" t="s">
        <v>1552</v>
      </c>
    </row>
    <row r="309" spans="1:9" ht="25.5" x14ac:dyDescent="0.25">
      <c r="A309" s="286">
        <v>53</v>
      </c>
      <c r="B309" s="293" t="s">
        <v>1554</v>
      </c>
      <c r="C309" s="294" t="s">
        <v>199</v>
      </c>
      <c r="D309" s="286" t="s">
        <v>126</v>
      </c>
      <c r="E309" s="288"/>
      <c r="F309" s="295">
        <v>45899</v>
      </c>
      <c r="G309" s="295">
        <v>45942</v>
      </c>
      <c r="H309" s="296">
        <f t="shared" si="7"/>
        <v>44</v>
      </c>
      <c r="I309" s="300" t="s">
        <v>1552</v>
      </c>
    </row>
    <row r="310" spans="1:9" ht="25.5" x14ac:dyDescent="0.25">
      <c r="A310" s="286">
        <v>54</v>
      </c>
      <c r="B310" s="293" t="s">
        <v>1554</v>
      </c>
      <c r="C310" s="294" t="s">
        <v>26</v>
      </c>
      <c r="D310" s="286" t="s">
        <v>126</v>
      </c>
      <c r="E310" s="288"/>
      <c r="F310" s="295">
        <v>45899</v>
      </c>
      <c r="G310" s="295">
        <v>45974</v>
      </c>
      <c r="H310" s="296">
        <f t="shared" si="7"/>
        <v>76</v>
      </c>
      <c r="I310" s="300" t="s">
        <v>1552</v>
      </c>
    </row>
    <row r="311" spans="1:9" ht="25.5" x14ac:dyDescent="0.25">
      <c r="A311" s="286">
        <v>55</v>
      </c>
      <c r="B311" s="293" t="s">
        <v>1554</v>
      </c>
      <c r="C311" s="294" t="s">
        <v>200</v>
      </c>
      <c r="D311" s="286" t="s">
        <v>126</v>
      </c>
      <c r="E311" s="288"/>
      <c r="F311" s="295">
        <v>45899</v>
      </c>
      <c r="G311" s="295">
        <v>45930</v>
      </c>
      <c r="H311" s="296">
        <f t="shared" si="7"/>
        <v>32</v>
      </c>
      <c r="I311" s="300" t="s">
        <v>1552</v>
      </c>
    </row>
    <row r="312" spans="1:9" ht="25.5" x14ac:dyDescent="0.25">
      <c r="A312" s="286">
        <v>56</v>
      </c>
      <c r="B312" s="293" t="s">
        <v>1554</v>
      </c>
      <c r="C312" s="294" t="s">
        <v>202</v>
      </c>
      <c r="D312" s="286" t="s">
        <v>126</v>
      </c>
      <c r="E312" s="288"/>
      <c r="F312" s="295">
        <v>45899</v>
      </c>
      <c r="G312" s="295"/>
      <c r="H312" s="296" t="str">
        <f t="shared" si="7"/>
        <v>Awaited</v>
      </c>
      <c r="I312" s="300" t="s">
        <v>1552</v>
      </c>
    </row>
    <row r="313" spans="1:9" ht="25.5" x14ac:dyDescent="0.25">
      <c r="A313" s="286">
        <v>57</v>
      </c>
      <c r="B313" s="293" t="s">
        <v>1554</v>
      </c>
      <c r="C313" s="294" t="s">
        <v>78</v>
      </c>
      <c r="D313" s="286" t="s">
        <v>126</v>
      </c>
      <c r="E313" s="288"/>
      <c r="F313" s="295">
        <v>45899</v>
      </c>
      <c r="G313" s="295"/>
      <c r="H313" s="296" t="str">
        <f t="shared" si="7"/>
        <v>Awaited</v>
      </c>
      <c r="I313" s="300" t="s">
        <v>1552</v>
      </c>
    </row>
    <row r="314" spans="1:9" ht="25.5" x14ac:dyDescent="0.25">
      <c r="A314" s="286">
        <v>58</v>
      </c>
      <c r="B314" s="293" t="s">
        <v>1554</v>
      </c>
      <c r="C314" s="294" t="s">
        <v>80</v>
      </c>
      <c r="D314" s="286" t="s">
        <v>126</v>
      </c>
      <c r="E314" s="288"/>
      <c r="F314" s="295">
        <v>45899</v>
      </c>
      <c r="G314" s="295">
        <v>45967</v>
      </c>
      <c r="H314" s="296">
        <f t="shared" si="7"/>
        <v>69</v>
      </c>
      <c r="I314" s="300" t="s">
        <v>1552</v>
      </c>
    </row>
    <row r="315" spans="1:9" ht="25.5" x14ac:dyDescent="0.25">
      <c r="A315" s="286">
        <v>59</v>
      </c>
      <c r="B315" s="293" t="s">
        <v>1554</v>
      </c>
      <c r="C315" s="294" t="s">
        <v>82</v>
      </c>
      <c r="D315" s="286" t="s">
        <v>126</v>
      </c>
      <c r="E315" s="288"/>
      <c r="F315" s="295">
        <v>45899</v>
      </c>
      <c r="G315" s="295">
        <v>45967</v>
      </c>
      <c r="H315" s="296">
        <f t="shared" si="7"/>
        <v>69</v>
      </c>
      <c r="I315" s="300" t="s">
        <v>1552</v>
      </c>
    </row>
    <row r="316" spans="1:9" ht="25.5" x14ac:dyDescent="0.25">
      <c r="A316" s="286">
        <v>60</v>
      </c>
      <c r="B316" s="293" t="s">
        <v>1554</v>
      </c>
      <c r="C316" s="294" t="s">
        <v>205</v>
      </c>
      <c r="D316" s="286" t="s">
        <v>126</v>
      </c>
      <c r="E316" s="288"/>
      <c r="F316" s="295">
        <v>45899</v>
      </c>
      <c r="G316" s="295"/>
      <c r="H316" s="296" t="str">
        <f t="shared" si="7"/>
        <v>Awaited</v>
      </c>
      <c r="I316" s="300" t="s">
        <v>1552</v>
      </c>
    </row>
    <row r="317" spans="1:9" ht="25.5" x14ac:dyDescent="0.25">
      <c r="A317" s="286">
        <v>61</v>
      </c>
      <c r="B317" s="293" t="s">
        <v>1554</v>
      </c>
      <c r="C317" s="294" t="s">
        <v>206</v>
      </c>
      <c r="D317" s="286" t="s">
        <v>126</v>
      </c>
      <c r="E317" s="288"/>
      <c r="F317" s="295">
        <v>45899</v>
      </c>
      <c r="G317" s="295">
        <v>45602</v>
      </c>
      <c r="H317" s="296">
        <f t="shared" si="7"/>
        <v>-296</v>
      </c>
      <c r="I317" s="300" t="s">
        <v>1552</v>
      </c>
    </row>
    <row r="318" spans="1:9" ht="25.5" x14ac:dyDescent="0.25">
      <c r="A318" s="286">
        <v>62</v>
      </c>
      <c r="B318" s="293" t="s">
        <v>1554</v>
      </c>
      <c r="C318" s="294" t="s">
        <v>83</v>
      </c>
      <c r="D318" s="286" t="s">
        <v>126</v>
      </c>
      <c r="E318" s="288"/>
      <c r="F318" s="295">
        <v>45899</v>
      </c>
      <c r="G318" s="295">
        <v>45952</v>
      </c>
      <c r="H318" s="296">
        <f t="shared" si="7"/>
        <v>54</v>
      </c>
      <c r="I318" s="300" t="s">
        <v>1552</v>
      </c>
    </row>
    <row r="319" spans="1:9" ht="25.5" x14ac:dyDescent="0.25">
      <c r="A319" s="286">
        <v>63</v>
      </c>
      <c r="B319" s="293" t="s">
        <v>1554</v>
      </c>
      <c r="C319" s="294" t="s">
        <v>45</v>
      </c>
      <c r="D319" s="286" t="s">
        <v>126</v>
      </c>
      <c r="E319" s="288"/>
      <c r="F319" s="295">
        <v>45899</v>
      </c>
      <c r="G319" s="295"/>
      <c r="H319" s="296" t="str">
        <f t="shared" si="7"/>
        <v>Awaited</v>
      </c>
      <c r="I319" s="300" t="s">
        <v>1552</v>
      </c>
    </row>
    <row r="320" spans="1:9" ht="25.5" x14ac:dyDescent="0.25">
      <c r="A320" s="286">
        <v>64</v>
      </c>
      <c r="B320" s="293" t="s">
        <v>1554</v>
      </c>
      <c r="C320" s="294" t="s">
        <v>46</v>
      </c>
      <c r="D320" s="286" t="s">
        <v>126</v>
      </c>
      <c r="E320" s="288"/>
      <c r="F320" s="295">
        <v>45899</v>
      </c>
      <c r="G320" s="295"/>
      <c r="H320" s="296" t="str">
        <f t="shared" si="7"/>
        <v>Awaited</v>
      </c>
      <c r="I320" s="300" t="s">
        <v>1552</v>
      </c>
    </row>
    <row r="321" spans="1:9" ht="25.5" x14ac:dyDescent="0.25">
      <c r="A321" s="286">
        <v>65</v>
      </c>
      <c r="B321" s="293" t="s">
        <v>1554</v>
      </c>
      <c r="C321" s="294" t="s">
        <v>31</v>
      </c>
      <c r="D321" s="286" t="s">
        <v>126</v>
      </c>
      <c r="E321" s="288"/>
      <c r="F321" s="295">
        <v>45899</v>
      </c>
      <c r="G321" s="295">
        <v>45919</v>
      </c>
      <c r="H321" s="296">
        <f t="shared" si="7"/>
        <v>21</v>
      </c>
      <c r="I321" s="300" t="s">
        <v>1552</v>
      </c>
    </row>
    <row r="322" spans="1:9" ht="25.5" x14ac:dyDescent="0.25">
      <c r="A322" s="286">
        <v>66</v>
      </c>
      <c r="B322" s="293" t="s">
        <v>1554</v>
      </c>
      <c r="C322" s="294" t="s">
        <v>521</v>
      </c>
      <c r="D322" s="286" t="s">
        <v>126</v>
      </c>
      <c r="E322" s="288"/>
      <c r="F322" s="295">
        <v>45913</v>
      </c>
      <c r="G322" s="295"/>
      <c r="H322" s="296" t="str">
        <f t="shared" si="7"/>
        <v>Awaited</v>
      </c>
      <c r="I322" s="300" t="s">
        <v>1552</v>
      </c>
    </row>
    <row r="323" spans="1:9" ht="25.5" x14ac:dyDescent="0.25">
      <c r="A323" s="286">
        <v>67</v>
      </c>
      <c r="B323" s="293" t="s">
        <v>1554</v>
      </c>
      <c r="C323" s="294" t="s">
        <v>525</v>
      </c>
      <c r="D323" s="286" t="s">
        <v>126</v>
      </c>
      <c r="E323" s="288"/>
      <c r="F323" s="295">
        <v>45913</v>
      </c>
      <c r="G323" s="295"/>
      <c r="H323" s="296" t="str">
        <f t="shared" si="7"/>
        <v>Awaited</v>
      </c>
      <c r="I323" s="300" t="s">
        <v>1552</v>
      </c>
    </row>
    <row r="324" spans="1:9" ht="25.5" x14ac:dyDescent="0.25">
      <c r="A324" s="286">
        <v>68</v>
      </c>
      <c r="B324" s="293" t="s">
        <v>1554</v>
      </c>
      <c r="C324" s="294" t="s">
        <v>528</v>
      </c>
      <c r="D324" s="286" t="s">
        <v>126</v>
      </c>
      <c r="E324" s="288"/>
      <c r="F324" s="295">
        <v>45913</v>
      </c>
      <c r="G324" s="295">
        <v>45919</v>
      </c>
      <c r="H324" s="296">
        <f t="shared" si="7"/>
        <v>7</v>
      </c>
      <c r="I324" s="300" t="s">
        <v>1552</v>
      </c>
    </row>
    <row r="325" spans="1:9" ht="25.5" x14ac:dyDescent="0.25">
      <c r="A325" s="286">
        <v>69</v>
      </c>
      <c r="B325" s="293" t="s">
        <v>1554</v>
      </c>
      <c r="C325" s="294" t="s">
        <v>530</v>
      </c>
      <c r="D325" s="286" t="s">
        <v>126</v>
      </c>
      <c r="E325" s="288"/>
      <c r="F325" s="295">
        <v>45913</v>
      </c>
      <c r="G325" s="295"/>
      <c r="H325" s="296" t="str">
        <f t="shared" si="7"/>
        <v>Awaited</v>
      </c>
      <c r="I325" s="300" t="s">
        <v>1552</v>
      </c>
    </row>
    <row r="326" spans="1:9" ht="25.5" x14ac:dyDescent="0.25">
      <c r="A326" s="286">
        <v>70</v>
      </c>
      <c r="B326" s="293" t="s">
        <v>1554</v>
      </c>
      <c r="C326" s="294" t="s">
        <v>177</v>
      </c>
      <c r="D326" s="286" t="s">
        <v>126</v>
      </c>
      <c r="E326" s="288"/>
      <c r="F326" s="295">
        <v>45913</v>
      </c>
      <c r="G326" s="295"/>
      <c r="H326" s="296" t="str">
        <f t="shared" si="7"/>
        <v>Awaited</v>
      </c>
      <c r="I326" s="300" t="s">
        <v>1552</v>
      </c>
    </row>
    <row r="327" spans="1:9" ht="25.5" x14ac:dyDescent="0.25">
      <c r="A327" s="286">
        <v>71</v>
      </c>
      <c r="B327" s="293" t="s">
        <v>1554</v>
      </c>
      <c r="C327" s="294" t="s">
        <v>178</v>
      </c>
      <c r="D327" s="286" t="s">
        <v>126</v>
      </c>
      <c r="E327" s="288"/>
      <c r="F327" s="295">
        <v>45913</v>
      </c>
      <c r="G327" s="295"/>
      <c r="H327" s="296" t="str">
        <f t="shared" si="7"/>
        <v>Awaited</v>
      </c>
      <c r="I327" s="300" t="s">
        <v>1628</v>
      </c>
    </row>
    <row r="328" spans="1:9" ht="25.5" x14ac:dyDescent="0.25">
      <c r="A328" s="286">
        <v>72</v>
      </c>
      <c r="B328" s="293" t="s">
        <v>1554</v>
      </c>
      <c r="C328" s="294" t="s">
        <v>51</v>
      </c>
      <c r="D328" s="286" t="s">
        <v>126</v>
      </c>
      <c r="E328" s="288"/>
      <c r="F328" s="295">
        <v>45913</v>
      </c>
      <c r="G328" s="295"/>
      <c r="H328" s="296" t="str">
        <f t="shared" si="7"/>
        <v>Awaited</v>
      </c>
      <c r="I328" s="300" t="s">
        <v>1552</v>
      </c>
    </row>
    <row r="329" spans="1:9" ht="25.5" x14ac:dyDescent="0.25">
      <c r="A329" s="286">
        <v>73</v>
      </c>
      <c r="B329" s="293" t="s">
        <v>1554</v>
      </c>
      <c r="C329" s="294" t="s">
        <v>28</v>
      </c>
      <c r="D329" s="286" t="s">
        <v>126</v>
      </c>
      <c r="E329" s="288"/>
      <c r="F329" s="295">
        <v>45913</v>
      </c>
      <c r="G329" s="295"/>
      <c r="H329" s="296" t="str">
        <f t="shared" si="7"/>
        <v>Awaited</v>
      </c>
      <c r="I329" s="300" t="s">
        <v>1552</v>
      </c>
    </row>
    <row r="330" spans="1:9" ht="25.5" x14ac:dyDescent="0.25">
      <c r="A330" s="286">
        <v>74</v>
      </c>
      <c r="B330" s="293" t="s">
        <v>1554</v>
      </c>
      <c r="C330" s="294" t="s">
        <v>52</v>
      </c>
      <c r="D330" s="286" t="s">
        <v>126</v>
      </c>
      <c r="E330" s="288"/>
      <c r="F330" s="295">
        <v>45913</v>
      </c>
      <c r="G330" s="295"/>
      <c r="H330" s="296" t="str">
        <f t="shared" si="7"/>
        <v>Awaited</v>
      </c>
      <c r="I330" s="300" t="s">
        <v>1552</v>
      </c>
    </row>
    <row r="331" spans="1:9" ht="25.5" x14ac:dyDescent="0.25">
      <c r="A331" s="286">
        <v>75</v>
      </c>
      <c r="B331" s="293" t="s">
        <v>1554</v>
      </c>
      <c r="C331" s="294" t="s">
        <v>53</v>
      </c>
      <c r="D331" s="286" t="s">
        <v>126</v>
      </c>
      <c r="E331" s="288"/>
      <c r="F331" s="295">
        <v>45913</v>
      </c>
      <c r="G331" s="295"/>
      <c r="H331" s="296" t="str">
        <f t="shared" si="7"/>
        <v>Awaited</v>
      </c>
      <c r="I331" s="300" t="s">
        <v>1552</v>
      </c>
    </row>
    <row r="332" spans="1:9" ht="25.5" x14ac:dyDescent="0.25">
      <c r="A332" s="286">
        <v>76</v>
      </c>
      <c r="B332" s="293" t="s">
        <v>1554</v>
      </c>
      <c r="C332" s="294" t="s">
        <v>54</v>
      </c>
      <c r="D332" s="286" t="s">
        <v>126</v>
      </c>
      <c r="E332" s="288"/>
      <c r="F332" s="295">
        <v>45913</v>
      </c>
      <c r="G332" s="295"/>
      <c r="H332" s="296" t="str">
        <f t="shared" si="7"/>
        <v>Awaited</v>
      </c>
      <c r="I332" s="300" t="s">
        <v>1552</v>
      </c>
    </row>
    <row r="333" spans="1:9" ht="25.5" x14ac:dyDescent="0.25">
      <c r="A333" s="286">
        <v>77</v>
      </c>
      <c r="B333" s="293" t="s">
        <v>1554</v>
      </c>
      <c r="C333" s="294" t="s">
        <v>25</v>
      </c>
      <c r="D333" s="286" t="s">
        <v>126</v>
      </c>
      <c r="E333" s="288"/>
      <c r="F333" s="295">
        <v>45913</v>
      </c>
      <c r="G333" s="295"/>
      <c r="H333" s="296" t="str">
        <f t="shared" si="7"/>
        <v>Awaited</v>
      </c>
      <c r="I333" s="300" t="s">
        <v>1552</v>
      </c>
    </row>
    <row r="334" spans="1:9" ht="25.5" x14ac:dyDescent="0.25">
      <c r="A334" s="286">
        <v>78</v>
      </c>
      <c r="B334" s="293" t="s">
        <v>1554</v>
      </c>
      <c r="C334" s="294" t="s">
        <v>55</v>
      </c>
      <c r="D334" s="286" t="s">
        <v>126</v>
      </c>
      <c r="E334" s="288"/>
      <c r="F334" s="295">
        <v>45913</v>
      </c>
      <c r="G334" s="295"/>
      <c r="H334" s="296" t="str">
        <f t="shared" si="7"/>
        <v>Awaited</v>
      </c>
      <c r="I334" s="300" t="s">
        <v>1552</v>
      </c>
    </row>
    <row r="335" spans="1:9" ht="25.5" x14ac:dyDescent="0.25">
      <c r="A335" s="286">
        <v>79</v>
      </c>
      <c r="B335" s="293" t="s">
        <v>1554</v>
      </c>
      <c r="C335" s="294" t="s">
        <v>56</v>
      </c>
      <c r="D335" s="286" t="s">
        <v>126</v>
      </c>
      <c r="E335" s="288"/>
      <c r="F335" s="295">
        <v>45913</v>
      </c>
      <c r="G335" s="295"/>
      <c r="H335" s="296" t="str">
        <f t="shared" si="7"/>
        <v>Awaited</v>
      </c>
      <c r="I335" s="300" t="s">
        <v>1552</v>
      </c>
    </row>
    <row r="336" spans="1:9" ht="25.5" x14ac:dyDescent="0.25">
      <c r="A336" s="286">
        <v>80</v>
      </c>
      <c r="B336" s="293" t="s">
        <v>1554</v>
      </c>
      <c r="C336" s="294" t="s">
        <v>179</v>
      </c>
      <c r="D336" s="286" t="s">
        <v>126</v>
      </c>
      <c r="E336" s="288"/>
      <c r="F336" s="295">
        <v>45913</v>
      </c>
      <c r="G336" s="295"/>
      <c r="H336" s="296" t="str">
        <f t="shared" si="7"/>
        <v>Awaited</v>
      </c>
      <c r="I336" s="300" t="s">
        <v>1552</v>
      </c>
    </row>
    <row r="337" spans="1:9" ht="25.5" x14ac:dyDescent="0.25">
      <c r="A337" s="286">
        <v>81</v>
      </c>
      <c r="B337" s="293" t="s">
        <v>1554</v>
      </c>
      <c r="C337" s="294" t="s">
        <v>539</v>
      </c>
      <c r="D337" s="286" t="s">
        <v>126</v>
      </c>
      <c r="E337" s="288" t="s">
        <v>1414</v>
      </c>
      <c r="F337" s="295">
        <v>45943</v>
      </c>
      <c r="G337" s="295">
        <v>45967</v>
      </c>
      <c r="H337" s="296">
        <f t="shared" si="7"/>
        <v>25</v>
      </c>
      <c r="I337" s="745" t="s">
        <v>1701</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30" t="s">
        <v>267</v>
      </c>
      <c r="B342" s="830"/>
      <c r="C342" s="830"/>
      <c r="D342" s="830"/>
      <c r="E342" s="830"/>
      <c r="F342" s="830"/>
      <c r="G342" s="830"/>
      <c r="H342" s="830"/>
      <c r="I342" s="830"/>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30" t="s">
        <v>345</v>
      </c>
      <c r="B348" s="830"/>
      <c r="C348" s="830"/>
      <c r="D348" s="830"/>
      <c r="E348" s="830"/>
      <c r="F348" s="830"/>
      <c r="G348" s="830"/>
      <c r="H348" s="830"/>
      <c r="I348" s="830"/>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1404</v>
      </c>
      <c r="C350" s="294" t="s">
        <v>855</v>
      </c>
      <c r="D350" s="288" t="s">
        <v>345</v>
      </c>
      <c r="E350" s="288" t="s">
        <v>1447</v>
      </c>
      <c r="F350" s="308">
        <v>45801</v>
      </c>
      <c r="G350" s="308">
        <v>45803</v>
      </c>
      <c r="H350" s="299">
        <f>+IF(G350="","Awaited",_xlfn.DAYS(G350,F350)+1)</f>
        <v>3</v>
      </c>
      <c r="I350" s="309"/>
    </row>
    <row r="351" spans="1:9" ht="51" x14ac:dyDescent="0.25">
      <c r="A351" s="286">
        <v>2</v>
      </c>
      <c r="B351" s="293" t="s">
        <v>1445</v>
      </c>
      <c r="C351" s="286" t="s">
        <v>1446</v>
      </c>
      <c r="D351" s="288" t="s">
        <v>345</v>
      </c>
      <c r="E351" s="288" t="s">
        <v>1447</v>
      </c>
      <c r="F351" s="308">
        <v>45804</v>
      </c>
      <c r="G351" s="308">
        <v>45825</v>
      </c>
      <c r="H351" s="299">
        <f>+IF(G351="","Awaited",_xlfn.DAYS(G351,F351)+1)</f>
        <v>22</v>
      </c>
      <c r="I351" s="309" t="s">
        <v>1448</v>
      </c>
    </row>
    <row r="352" spans="1:9" ht="63.75" x14ac:dyDescent="0.25">
      <c r="A352" s="286">
        <v>3</v>
      </c>
      <c r="B352" s="293" t="s">
        <v>1710</v>
      </c>
      <c r="C352" s="286" t="s">
        <v>1711</v>
      </c>
      <c r="D352" s="288" t="s">
        <v>345</v>
      </c>
      <c r="E352" s="288" t="s">
        <v>1713</v>
      </c>
      <c r="F352" s="308">
        <v>45955</v>
      </c>
      <c r="G352" s="308">
        <v>45961</v>
      </c>
      <c r="H352" s="299">
        <f>+IF(G352="","Awaited",_xlfn.DAYS(G352,F352)+1)</f>
        <v>7</v>
      </c>
      <c r="I352" s="297" t="s">
        <v>1712</v>
      </c>
    </row>
    <row r="353" spans="1:9" ht="38.25" x14ac:dyDescent="0.25">
      <c r="A353" s="286">
        <v>4</v>
      </c>
      <c r="B353" s="293" t="s">
        <v>1722</v>
      </c>
      <c r="C353" s="286" t="s">
        <v>1723</v>
      </c>
      <c r="D353" s="288" t="s">
        <v>345</v>
      </c>
      <c r="E353" s="288" t="s">
        <v>1713</v>
      </c>
      <c r="F353" s="308">
        <v>45973</v>
      </c>
      <c r="G353" s="308">
        <v>45974</v>
      </c>
      <c r="H353" s="299">
        <f>+IF(G353="","Awaited",_xlfn.DAYS(G353,F353)+1)</f>
        <v>2</v>
      </c>
      <c r="I353" s="297" t="s">
        <v>1724</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4:C1048576">
    <cfRule type="duplicateValues" dxfId="195" priority="10771"/>
  </conditionalFormatting>
  <conditionalFormatting sqref="C347 C37:C38 C2:C5 C251:C254 C13:C14 C354:C1048576">
    <cfRule type="duplicateValues" dxfId="194" priority="10768"/>
  </conditionalFormatting>
  <conditionalFormatting sqref="C349:C350">
    <cfRule type="duplicateValues" dxfId="193" priority="5"/>
    <cfRule type="duplicateValues" dxfId="192" priority="6"/>
  </conditionalFormatting>
  <conditionalFormatting sqref="C351:C353">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3">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2"/>
  <sheetViews>
    <sheetView zoomScale="73" zoomScaleNormal="115" workbookViewId="0">
      <pane ySplit="4" topLeftCell="A30" activePane="bottomLeft" state="frozen"/>
      <selection activeCell="G248" sqref="G248"/>
      <selection pane="bottomLeft" activeCell="G34" sqref="G34"/>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1278</v>
      </c>
      <c r="J1" s="839" t="s">
        <v>1396</v>
      </c>
      <c r="K1" s="839"/>
      <c r="L1" s="839"/>
      <c r="M1" s="839"/>
      <c r="N1" s="839"/>
      <c r="O1" s="839"/>
      <c r="P1" s="839"/>
      <c r="Q1" s="839"/>
      <c r="R1" s="839"/>
      <c r="S1" s="839"/>
      <c r="T1" s="839"/>
      <c r="U1" s="839"/>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37" t="s">
        <v>1206</v>
      </c>
      <c r="B2" s="837"/>
      <c r="C2" s="837"/>
      <c r="D2" s="837"/>
      <c r="E2" s="837"/>
      <c r="F2" s="837"/>
      <c r="G2" s="837"/>
      <c r="H2" s="837"/>
      <c r="I2" s="697"/>
      <c r="J2" s="838" t="s">
        <v>10</v>
      </c>
      <c r="K2" s="838"/>
      <c r="L2" s="838"/>
      <c r="M2" s="838"/>
      <c r="N2" s="838"/>
      <c r="O2" s="838"/>
      <c r="P2" s="834" t="s">
        <v>126</v>
      </c>
      <c r="Q2" s="835"/>
      <c r="R2" s="835"/>
      <c r="S2" s="835"/>
      <c r="T2" s="835"/>
      <c r="U2" s="836"/>
    </row>
    <row r="3" spans="1:72" ht="26.25" customHeight="1" x14ac:dyDescent="0.25">
      <c r="A3" s="713" t="s">
        <v>304</v>
      </c>
      <c r="B3" s="713" t="s">
        <v>1204</v>
      </c>
      <c r="C3" s="442" t="s">
        <v>139</v>
      </c>
      <c r="D3" s="442" t="s">
        <v>1314</v>
      </c>
      <c r="E3" s="442" t="s">
        <v>1302</v>
      </c>
      <c r="F3" s="442" t="s">
        <v>438</v>
      </c>
      <c r="G3" s="442" t="s">
        <v>436</v>
      </c>
      <c r="H3" s="442" t="s">
        <v>1205</v>
      </c>
      <c r="I3" s="697" t="s">
        <v>1603</v>
      </c>
      <c r="J3" s="432" t="s">
        <v>1365</v>
      </c>
      <c r="K3" s="432" t="s">
        <v>19</v>
      </c>
      <c r="L3" s="432" t="s">
        <v>578</v>
      </c>
      <c r="M3" s="432" t="s">
        <v>124</v>
      </c>
      <c r="N3" s="432" t="s">
        <v>1301</v>
      </c>
      <c r="O3" s="514" t="s">
        <v>129</v>
      </c>
      <c r="P3" s="432" t="s">
        <v>19</v>
      </c>
      <c r="Q3" s="432" t="s">
        <v>578</v>
      </c>
      <c r="R3" s="432" t="s">
        <v>124</v>
      </c>
      <c r="S3" s="432" t="s">
        <v>1301</v>
      </c>
      <c r="T3" s="514" t="s">
        <v>129</v>
      </c>
      <c r="U3" s="520" t="s">
        <v>1395</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2">
        <f>+SUBTOTAL(3,$B$4:B4)</f>
        <v>1</v>
      </c>
      <c r="B4" s="422" t="str">
        <f>'Visual chart Edit'!B7</f>
        <v>1/0</v>
      </c>
      <c r="C4" s="422" t="str">
        <f>'Visual chart Edit'!C7</f>
        <v>DD60+0</v>
      </c>
      <c r="D4" s="422" t="s">
        <v>1315</v>
      </c>
      <c r="E4" s="474">
        <f>'Visual chart Edit'!I7</f>
        <v>122</v>
      </c>
      <c r="F4" s="422" t="str">
        <f>'Visual chart Edit'!K7</f>
        <v>DRY</v>
      </c>
      <c r="G4" s="422" t="str">
        <f>'Visual chart Edit'!L7</f>
        <v>E</v>
      </c>
      <c r="H4" s="422"/>
      <c r="J4" s="519" t="s">
        <v>1364</v>
      </c>
      <c r="K4" s="520">
        <f t="shared" ref="K4:U4" si="0">+SUM(K5:K53)</f>
        <v>485</v>
      </c>
      <c r="L4" s="520">
        <f t="shared" si="0"/>
        <v>481</v>
      </c>
      <c r="M4" s="520">
        <f t="shared" si="0"/>
        <v>0</v>
      </c>
      <c r="N4" s="520">
        <f t="shared" si="0"/>
        <v>0</v>
      </c>
      <c r="O4" s="520">
        <f t="shared" si="0"/>
        <v>4</v>
      </c>
      <c r="P4" s="520">
        <f t="shared" si="0"/>
        <v>485</v>
      </c>
      <c r="Q4" s="520">
        <f t="shared" si="0"/>
        <v>403</v>
      </c>
      <c r="R4" s="520">
        <f t="shared" si="0"/>
        <v>9</v>
      </c>
      <c r="S4" s="520">
        <f t="shared" si="0"/>
        <v>7</v>
      </c>
      <c r="T4" s="520">
        <f t="shared" si="0"/>
        <v>49</v>
      </c>
      <c r="U4" s="520">
        <f t="shared" si="0"/>
        <v>17</v>
      </c>
      <c r="V4" s="274">
        <f>P4-Q4</f>
        <v>82</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2">
        <f>+SUBTOTAL(3,$B$4:B5)</f>
        <v>2</v>
      </c>
      <c r="B5" s="422" t="str">
        <f>'Visual chart Edit'!B8</f>
        <v>1A/0</v>
      </c>
      <c r="C5" s="422" t="str">
        <f>'Visual chart Edit'!C8</f>
        <v>DD60+0</v>
      </c>
      <c r="D5" s="422" t="s">
        <v>1315</v>
      </c>
      <c r="E5" s="474">
        <f>'Visual chart Edit'!I8</f>
        <v>90</v>
      </c>
      <c r="F5" s="422" t="str">
        <f>'Visual chart Edit'!K8</f>
        <v>DRY</v>
      </c>
      <c r="G5" s="422" t="str">
        <f>'Visual chart Edit'!L8</f>
        <v>E</v>
      </c>
      <c r="H5" s="422"/>
      <c r="J5" s="516" t="s">
        <v>1315</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x14ac:dyDescent="0.25">
      <c r="A6" s="422">
        <f>+SUBTOTAL(3,$B$4:B6)</f>
        <v>3</v>
      </c>
      <c r="B6" s="422" t="str">
        <f>'Visual chart Edit'!B9</f>
        <v>1A/1</v>
      </c>
      <c r="C6" s="422" t="str">
        <f>'Visual chart Edit'!C9</f>
        <v>DA+6</v>
      </c>
      <c r="D6" s="422" t="s">
        <v>1315</v>
      </c>
      <c r="E6" s="474">
        <f>'Visual chart Edit'!I9</f>
        <v>277.7</v>
      </c>
      <c r="F6" s="422" t="str">
        <f>'Visual chart Edit'!K9</f>
        <v>DFR</v>
      </c>
      <c r="G6" s="422" t="str">
        <f>'Visual chart Edit'!L9</f>
        <v>E</v>
      </c>
      <c r="H6" s="422"/>
      <c r="J6" s="516" t="s">
        <v>1316</v>
      </c>
      <c r="K6" s="517">
        <f t="shared" si="1"/>
        <v>22</v>
      </c>
      <c r="L6" s="517">
        <f t="shared" si="2"/>
        <v>21</v>
      </c>
      <c r="M6" s="517">
        <f t="shared" si="3"/>
        <v>0</v>
      </c>
      <c r="N6" s="517">
        <f t="shared" si="4"/>
        <v>0</v>
      </c>
      <c r="O6" s="517">
        <f t="shared" si="5"/>
        <v>1</v>
      </c>
      <c r="P6" s="518">
        <f t="shared" ref="P6:P53" si="12">+SUM(Q6:U6)</f>
        <v>22</v>
      </c>
      <c r="Q6" s="517">
        <f t="shared" si="6"/>
        <v>20</v>
      </c>
      <c r="R6" s="517">
        <f t="shared" si="7"/>
        <v>1</v>
      </c>
      <c r="S6" s="517">
        <f t="shared" si="8"/>
        <v>0</v>
      </c>
      <c r="T6" s="517">
        <f t="shared" si="9"/>
        <v>0</v>
      </c>
      <c r="U6" s="517">
        <f t="shared" si="10"/>
        <v>1</v>
      </c>
      <c r="V6" s="274">
        <f t="shared" si="11"/>
        <v>2</v>
      </c>
      <c r="AA6"/>
      <c r="AB6"/>
      <c r="AC6"/>
      <c r="AD6"/>
      <c r="AE6"/>
    </row>
    <row r="7" spans="1:72" ht="15" x14ac:dyDescent="0.25">
      <c r="A7" s="422">
        <f>+SUBTOTAL(3,$B$4:B7)</f>
        <v>4</v>
      </c>
      <c r="B7" s="422" t="str">
        <f>'Visual chart Edit'!B10</f>
        <v>1A/2</v>
      </c>
      <c r="C7" s="422" t="str">
        <f>'Visual chart Edit'!C10</f>
        <v>DA+0</v>
      </c>
      <c r="D7" s="422" t="s">
        <v>1315</v>
      </c>
      <c r="E7" s="474">
        <f>'Visual chart Edit'!I10</f>
        <v>386</v>
      </c>
      <c r="F7" s="422" t="str">
        <f>'Visual chart Edit'!K10</f>
        <v>DRY</v>
      </c>
      <c r="G7" s="422" t="str">
        <f>'Visual chart Edit'!L10</f>
        <v>E</v>
      </c>
      <c r="H7" s="422"/>
      <c r="J7" s="516" t="s">
        <v>1317</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x14ac:dyDescent="0.25">
      <c r="A8" s="422">
        <f>+SUBTOTAL(3,$B$4:B8)</f>
        <v>5</v>
      </c>
      <c r="B8" s="422" t="str">
        <f>'Visual chart Edit'!B11</f>
        <v>1A/3</v>
      </c>
      <c r="C8" s="422" t="str">
        <f>'Visual chart Edit'!C11</f>
        <v>DA+0</v>
      </c>
      <c r="D8" s="422" t="s">
        <v>1315</v>
      </c>
      <c r="E8" s="474">
        <f>'Visual chart Edit'!I11</f>
        <v>443.6</v>
      </c>
      <c r="F8" s="422" t="str">
        <f>'Visual chart Edit'!K11</f>
        <v>DRY</v>
      </c>
      <c r="G8" s="422" t="str">
        <f>'Visual chart Edit'!L11</f>
        <v>E</v>
      </c>
      <c r="H8" s="422"/>
      <c r="J8" s="516" t="s">
        <v>1318</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x14ac:dyDescent="0.25">
      <c r="A9" s="422">
        <f>+SUBTOTAL(3,$B$4:B9)</f>
        <v>6</v>
      </c>
      <c r="B9" s="422" t="str">
        <f>'Visual chart Edit'!B12</f>
        <v>1A/4</v>
      </c>
      <c r="C9" s="422" t="str">
        <f>'Visual chart Edit'!C12</f>
        <v>DA+3</v>
      </c>
      <c r="D9" s="422" t="s">
        <v>1315</v>
      </c>
      <c r="E9" s="474">
        <f>'Visual chart Edit'!I12</f>
        <v>333.4</v>
      </c>
      <c r="F9" s="422" t="str">
        <f>'Visual chart Edit'!K12</f>
        <v>DFR</v>
      </c>
      <c r="G9" s="422" t="str">
        <f>'Visual chart Edit'!L12</f>
        <v>E</v>
      </c>
      <c r="H9" s="422"/>
      <c r="J9" s="516" t="s">
        <v>1319</v>
      </c>
      <c r="K9" s="517">
        <f t="shared" si="1"/>
        <v>14</v>
      </c>
      <c r="L9" s="517">
        <f t="shared" si="2"/>
        <v>14</v>
      </c>
      <c r="M9" s="517">
        <f t="shared" si="3"/>
        <v>0</v>
      </c>
      <c r="N9" s="517">
        <f t="shared" si="4"/>
        <v>0</v>
      </c>
      <c r="O9" s="517">
        <f t="shared" si="5"/>
        <v>0</v>
      </c>
      <c r="P9" s="518">
        <f t="shared" si="12"/>
        <v>14</v>
      </c>
      <c r="Q9" s="517">
        <f t="shared" si="6"/>
        <v>9</v>
      </c>
      <c r="R9" s="517">
        <f t="shared" si="7"/>
        <v>2</v>
      </c>
      <c r="S9" s="517">
        <f t="shared" si="8"/>
        <v>0</v>
      </c>
      <c r="T9" s="517">
        <f t="shared" si="9"/>
        <v>0</v>
      </c>
      <c r="U9" s="517">
        <f t="shared" si="10"/>
        <v>3</v>
      </c>
      <c r="V9" s="274">
        <f t="shared" si="11"/>
        <v>5</v>
      </c>
      <c r="AA9"/>
      <c r="AB9"/>
      <c r="AC9"/>
      <c r="AD9"/>
      <c r="AE9"/>
    </row>
    <row r="10" spans="1:72" ht="15" x14ac:dyDescent="0.25">
      <c r="A10" s="422">
        <f>+SUBTOTAL(3,$B$4:B10)</f>
        <v>7</v>
      </c>
      <c r="B10" s="422" t="str">
        <f>'Visual chart Edit'!B13</f>
        <v>1A/5</v>
      </c>
      <c r="C10" s="422" t="str">
        <f>'Visual chart Edit'!C13</f>
        <v>DA+0</v>
      </c>
      <c r="D10" s="422" t="s">
        <v>1315</v>
      </c>
      <c r="E10" s="474">
        <f>'Visual chart Edit'!I13</f>
        <v>431.9</v>
      </c>
      <c r="F10" s="422" t="str">
        <f>'Visual chart Edit'!K13</f>
        <v>DRY</v>
      </c>
      <c r="G10" s="422" t="str">
        <f>'Visual chart Edit'!L13</f>
        <v>E</v>
      </c>
      <c r="H10" s="422"/>
      <c r="J10" s="516" t="s">
        <v>1320</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x14ac:dyDescent="0.25">
      <c r="A11" s="422">
        <f>+SUBTOTAL(3,$B$4:B11)</f>
        <v>8</v>
      </c>
      <c r="B11" s="422" t="str">
        <f>'Visual chart Edit'!B14</f>
        <v>1A/6</v>
      </c>
      <c r="C11" s="422" t="str">
        <f>'Visual chart Edit'!C14</f>
        <v>DA+0</v>
      </c>
      <c r="D11" s="422" t="s">
        <v>1315</v>
      </c>
      <c r="E11" s="474">
        <f>'Visual chart Edit'!I14</f>
        <v>348.7</v>
      </c>
      <c r="F11" s="422" t="str">
        <f>'Visual chart Edit'!K14</f>
        <v>Sandy</v>
      </c>
      <c r="G11" s="422" t="str">
        <f>'Visual chart Edit'!L14</f>
        <v>E</v>
      </c>
      <c r="H11" s="422"/>
      <c r="J11" s="516" t="s">
        <v>1321</v>
      </c>
      <c r="K11" s="517">
        <f t="shared" si="1"/>
        <v>38</v>
      </c>
      <c r="L11" s="517">
        <f t="shared" si="2"/>
        <v>38</v>
      </c>
      <c r="M11" s="517">
        <f t="shared" si="3"/>
        <v>0</v>
      </c>
      <c r="N11" s="517">
        <f t="shared" si="4"/>
        <v>0</v>
      </c>
      <c r="O11" s="517">
        <f t="shared" si="5"/>
        <v>0</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x14ac:dyDescent="0.25">
      <c r="A12" s="422">
        <f>+SUBTOTAL(3,$B$4:B12)</f>
        <v>9</v>
      </c>
      <c r="B12" s="422" t="str">
        <f>'Visual chart Edit'!B15</f>
        <v>1A/7</v>
      </c>
      <c r="C12" s="422" t="str">
        <f>'Visual chart Edit'!C15</f>
        <v>DA+3</v>
      </c>
      <c r="D12" s="422" t="s">
        <v>1315</v>
      </c>
      <c r="E12" s="474">
        <f>'Visual chart Edit'!I15</f>
        <v>395.7</v>
      </c>
      <c r="F12" s="422" t="str">
        <f>'Visual chart Edit'!K15</f>
        <v>Sandy</v>
      </c>
      <c r="G12" s="422" t="str">
        <f>'Visual chart Edit'!L15</f>
        <v>E</v>
      </c>
      <c r="H12" s="422"/>
      <c r="J12" s="516" t="s">
        <v>1322</v>
      </c>
      <c r="K12" s="517">
        <f t="shared" si="1"/>
        <v>29</v>
      </c>
      <c r="L12" s="517">
        <f t="shared" si="2"/>
        <v>28</v>
      </c>
      <c r="M12" s="517">
        <f t="shared" si="3"/>
        <v>0</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x14ac:dyDescent="0.25">
      <c r="A13" s="422">
        <f>+SUBTOTAL(3,$B$4:B13)</f>
        <v>10</v>
      </c>
      <c r="B13" s="422" t="str">
        <f>'Visual chart Edit'!B16</f>
        <v>1A/8</v>
      </c>
      <c r="C13" s="422" t="str">
        <f>'Visual chart Edit'!C16</f>
        <v>DA+0</v>
      </c>
      <c r="D13" s="422" t="s">
        <v>1315</v>
      </c>
      <c r="E13" s="474">
        <f>'Visual chart Edit'!I16</f>
        <v>415</v>
      </c>
      <c r="F13" s="422" t="str">
        <f>'Visual chart Edit'!K16</f>
        <v>Sandy</v>
      </c>
      <c r="G13" s="422" t="str">
        <f>'Visual chart Edit'!L16</f>
        <v>E</v>
      </c>
      <c r="H13" s="422"/>
      <c r="J13" s="516" t="s">
        <v>1323</v>
      </c>
      <c r="K13" s="517">
        <f t="shared" si="1"/>
        <v>35</v>
      </c>
      <c r="L13" s="517">
        <f t="shared" si="2"/>
        <v>35</v>
      </c>
      <c r="M13" s="517">
        <f t="shared" si="3"/>
        <v>0</v>
      </c>
      <c r="N13" s="517">
        <f t="shared" si="4"/>
        <v>0</v>
      </c>
      <c r="O13" s="517">
        <f t="shared" si="5"/>
        <v>0</v>
      </c>
      <c r="P13" s="518">
        <f t="shared" si="12"/>
        <v>35</v>
      </c>
      <c r="Q13" s="517">
        <f t="shared" si="6"/>
        <v>17</v>
      </c>
      <c r="R13" s="517">
        <f t="shared" si="7"/>
        <v>3</v>
      </c>
      <c r="S13" s="517">
        <f t="shared" si="8"/>
        <v>0</v>
      </c>
      <c r="T13" s="517">
        <f t="shared" si="9"/>
        <v>14</v>
      </c>
      <c r="U13" s="517">
        <f t="shared" si="10"/>
        <v>1</v>
      </c>
      <c r="V13" s="274">
        <f t="shared" si="11"/>
        <v>18</v>
      </c>
      <c r="AA13"/>
      <c r="AB13"/>
      <c r="AC13"/>
      <c r="AD13"/>
      <c r="AE13"/>
    </row>
    <row r="14" spans="1:72" ht="15" x14ac:dyDescent="0.25">
      <c r="A14" s="422">
        <f>+SUBTOTAL(3,$B$4:B14)</f>
        <v>11</v>
      </c>
      <c r="B14" s="422" t="str">
        <f>'Visual chart Edit'!B17</f>
        <v>2/0</v>
      </c>
      <c r="C14" s="422" t="str">
        <f>'Visual chart Edit'!C17</f>
        <v>DC1+0</v>
      </c>
      <c r="D14" s="422" t="s">
        <v>1315</v>
      </c>
      <c r="E14" s="474">
        <f>'Visual chart Edit'!I17</f>
        <v>394.3</v>
      </c>
      <c r="F14" s="422" t="str">
        <f>'Visual chart Edit'!K17</f>
        <v>DRY</v>
      </c>
      <c r="G14" s="422" t="str">
        <f>'Visual chart Edit'!L17</f>
        <v>E</v>
      </c>
      <c r="H14" s="422"/>
      <c r="J14" s="516" t="s">
        <v>1324</v>
      </c>
      <c r="K14" s="517">
        <f t="shared" si="1"/>
        <v>23</v>
      </c>
      <c r="L14" s="517">
        <f t="shared" si="2"/>
        <v>23</v>
      </c>
      <c r="M14" s="517">
        <f t="shared" si="3"/>
        <v>0</v>
      </c>
      <c r="N14" s="517">
        <f t="shared" si="4"/>
        <v>0</v>
      </c>
      <c r="O14" s="517">
        <f t="shared" si="5"/>
        <v>0</v>
      </c>
      <c r="P14" s="518">
        <f t="shared" si="12"/>
        <v>23</v>
      </c>
      <c r="Q14" s="517">
        <f t="shared" si="6"/>
        <v>16</v>
      </c>
      <c r="R14" s="517">
        <f t="shared" si="7"/>
        <v>0</v>
      </c>
      <c r="S14" s="517">
        <f t="shared" si="8"/>
        <v>0</v>
      </c>
      <c r="T14" s="517">
        <f t="shared" si="9"/>
        <v>7</v>
      </c>
      <c r="U14" s="517">
        <f t="shared" si="10"/>
        <v>0</v>
      </c>
      <c r="V14" s="274">
        <f t="shared" si="11"/>
        <v>7</v>
      </c>
      <c r="AA14"/>
      <c r="AB14"/>
      <c r="AC14"/>
      <c r="AD14"/>
      <c r="AE14"/>
    </row>
    <row r="15" spans="1:72" ht="15" x14ac:dyDescent="0.25">
      <c r="A15" s="422">
        <f>+SUBTOTAL(3,$B$4:B15)</f>
        <v>12</v>
      </c>
      <c r="B15" s="422" t="str">
        <f>'Visual chart Edit'!B18</f>
        <v>2/1</v>
      </c>
      <c r="C15" s="422" t="str">
        <f>'Visual chart Edit'!C18</f>
        <v>DA+3</v>
      </c>
      <c r="D15" s="422" t="s">
        <v>1315</v>
      </c>
      <c r="E15" s="474">
        <f>'Visual chart Edit'!I18</f>
        <v>405.3</v>
      </c>
      <c r="F15" s="422" t="str">
        <f>'Visual chart Edit'!K18</f>
        <v>Sandy</v>
      </c>
      <c r="G15" s="422" t="str">
        <f>'Visual chart Edit'!L18</f>
        <v>E</v>
      </c>
      <c r="H15" s="422"/>
      <c r="J15" s="516" t="s">
        <v>1325</v>
      </c>
      <c r="K15" s="517">
        <f t="shared" si="1"/>
        <v>23</v>
      </c>
      <c r="L15" s="517">
        <f t="shared" si="2"/>
        <v>23</v>
      </c>
      <c r="M15" s="517">
        <f t="shared" si="3"/>
        <v>0</v>
      </c>
      <c r="N15" s="517">
        <f t="shared" si="4"/>
        <v>0</v>
      </c>
      <c r="O15" s="517">
        <f t="shared" si="5"/>
        <v>0</v>
      </c>
      <c r="P15" s="518">
        <f t="shared" si="12"/>
        <v>23</v>
      </c>
      <c r="Q15" s="517">
        <f t="shared" si="6"/>
        <v>21</v>
      </c>
      <c r="R15" s="517">
        <f t="shared" si="7"/>
        <v>1</v>
      </c>
      <c r="S15" s="517">
        <f t="shared" si="8"/>
        <v>0</v>
      </c>
      <c r="T15" s="517">
        <f t="shared" si="9"/>
        <v>0</v>
      </c>
      <c r="U15" s="517">
        <f t="shared" si="10"/>
        <v>1</v>
      </c>
      <c r="V15" s="274">
        <f t="shared" si="11"/>
        <v>2</v>
      </c>
      <c r="AA15"/>
      <c r="AB15"/>
      <c r="AC15"/>
      <c r="AD15"/>
      <c r="AE15"/>
    </row>
    <row r="16" spans="1:72" ht="15" x14ac:dyDescent="0.25">
      <c r="A16" s="422">
        <f>+SUBTOTAL(3,$B$4:B16)</f>
        <v>13</v>
      </c>
      <c r="B16" s="422" t="str">
        <f>'Visual chart Edit'!B19</f>
        <v>2/2</v>
      </c>
      <c r="C16" s="422" t="str">
        <f>'Visual chart Edit'!C19</f>
        <v>DA+3</v>
      </c>
      <c r="D16" s="422" t="s">
        <v>1315</v>
      </c>
      <c r="E16" s="474">
        <f>'Visual chart Edit'!I19</f>
        <v>338.5</v>
      </c>
      <c r="F16" s="422" t="str">
        <f>'Visual chart Edit'!K19</f>
        <v>Sandy</v>
      </c>
      <c r="G16" s="422" t="str">
        <f>'Visual chart Edit'!L19</f>
        <v>E</v>
      </c>
      <c r="H16" s="422"/>
      <c r="I16" s="491" t="s">
        <v>1601</v>
      </c>
      <c r="J16" s="516" t="s">
        <v>1326</v>
      </c>
      <c r="K16" s="517">
        <f t="shared" si="1"/>
        <v>13</v>
      </c>
      <c r="L16" s="517">
        <f t="shared" si="2"/>
        <v>13</v>
      </c>
      <c r="M16" s="517">
        <f t="shared" si="3"/>
        <v>0</v>
      </c>
      <c r="N16" s="517">
        <f t="shared" si="4"/>
        <v>0</v>
      </c>
      <c r="O16" s="517">
        <f t="shared" si="5"/>
        <v>0</v>
      </c>
      <c r="P16" s="518">
        <f t="shared" si="12"/>
        <v>13</v>
      </c>
      <c r="Q16" s="517">
        <f t="shared" si="6"/>
        <v>12</v>
      </c>
      <c r="R16" s="517">
        <f t="shared" si="7"/>
        <v>0</v>
      </c>
      <c r="S16" s="517">
        <f t="shared" si="8"/>
        <v>0</v>
      </c>
      <c r="T16" s="517">
        <f t="shared" si="9"/>
        <v>0</v>
      </c>
      <c r="U16" s="517">
        <f t="shared" si="10"/>
        <v>1</v>
      </c>
      <c r="V16" s="274">
        <f t="shared" si="11"/>
        <v>1</v>
      </c>
      <c r="AA16"/>
      <c r="AB16"/>
      <c r="AC16"/>
      <c r="AD16"/>
      <c r="AE16"/>
    </row>
    <row r="17" spans="1:31" ht="15" x14ac:dyDescent="0.25">
      <c r="A17" s="422">
        <f>+SUBTOTAL(3,$B$4:B17)</f>
        <v>14</v>
      </c>
      <c r="B17" s="422" t="str">
        <f>'Visual chart Edit'!B20</f>
        <v>2/3</v>
      </c>
      <c r="C17" s="422" t="str">
        <f>'Visual chart Edit'!C20</f>
        <v>DA+3</v>
      </c>
      <c r="D17" s="422" t="s">
        <v>1315</v>
      </c>
      <c r="E17" s="474">
        <f>'Visual chart Edit'!I20</f>
        <v>406</v>
      </c>
      <c r="F17" s="422" t="str">
        <f>'Visual chart Edit'!K20</f>
        <v>Sandy</v>
      </c>
      <c r="G17" s="422" t="str">
        <f>'Visual chart Edit'!L20</f>
        <v>E</v>
      </c>
      <c r="H17" s="422"/>
      <c r="J17" s="516" t="s">
        <v>1327</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x14ac:dyDescent="0.25">
      <c r="A18" s="422">
        <f>+SUBTOTAL(3,$B$4:B18)</f>
        <v>15</v>
      </c>
      <c r="B18" s="422" t="str">
        <f>'Visual chart Edit'!B21</f>
        <v>2/4</v>
      </c>
      <c r="C18" s="422" t="str">
        <f>'Visual chart Edit'!C21</f>
        <v>DA+3</v>
      </c>
      <c r="D18" s="422" t="s">
        <v>1315</v>
      </c>
      <c r="E18" s="474">
        <f>'Visual chart Edit'!I21</f>
        <v>429</v>
      </c>
      <c r="F18" s="422" t="str">
        <f>'Visual chart Edit'!K21</f>
        <v>Sandy</v>
      </c>
      <c r="G18" s="422" t="str">
        <f>'Visual chart Edit'!L21</f>
        <v>E</v>
      </c>
      <c r="H18" s="422"/>
      <c r="J18" s="516" t="s">
        <v>1328</v>
      </c>
      <c r="K18" s="517">
        <f t="shared" si="1"/>
        <v>2</v>
      </c>
      <c r="L18" s="517">
        <f t="shared" si="2"/>
        <v>2</v>
      </c>
      <c r="M18" s="517">
        <f t="shared" si="3"/>
        <v>0</v>
      </c>
      <c r="N18" s="517">
        <f t="shared" si="4"/>
        <v>0</v>
      </c>
      <c r="O18" s="517">
        <f t="shared" si="5"/>
        <v>0</v>
      </c>
      <c r="P18" s="518">
        <f t="shared" si="12"/>
        <v>2</v>
      </c>
      <c r="Q18" s="517">
        <f t="shared" si="6"/>
        <v>1</v>
      </c>
      <c r="R18" s="517">
        <f t="shared" si="7"/>
        <v>1</v>
      </c>
      <c r="S18" s="517">
        <f t="shared" si="8"/>
        <v>0</v>
      </c>
      <c r="T18" s="517">
        <f t="shared" si="9"/>
        <v>0</v>
      </c>
      <c r="U18" s="517">
        <f t="shared" si="10"/>
        <v>0</v>
      </c>
      <c r="V18" s="274">
        <f t="shared" si="11"/>
        <v>1</v>
      </c>
      <c r="AA18"/>
      <c r="AB18"/>
      <c r="AC18"/>
      <c r="AD18"/>
      <c r="AE18"/>
    </row>
    <row r="19" spans="1:31" ht="15" x14ac:dyDescent="0.25">
      <c r="A19" s="422">
        <f>+SUBTOTAL(3,$B$4:B19)</f>
        <v>16</v>
      </c>
      <c r="B19" s="422" t="str">
        <f>'Visual chart Edit'!B22</f>
        <v>2/5</v>
      </c>
      <c r="C19" s="422" t="str">
        <f>'Visual chart Edit'!C22</f>
        <v>DA+3</v>
      </c>
      <c r="D19" s="422" t="s">
        <v>1315</v>
      </c>
      <c r="E19" s="474">
        <f>'Visual chart Edit'!I22</f>
        <v>411.6</v>
      </c>
      <c r="F19" s="422" t="str">
        <f>'Visual chart Edit'!K22</f>
        <v>Sandy</v>
      </c>
      <c r="G19" s="422" t="str">
        <f>'Visual chart Edit'!L22</f>
        <v>E</v>
      </c>
      <c r="H19" s="422"/>
      <c r="J19" s="516" t="s">
        <v>1329</v>
      </c>
      <c r="K19" s="517">
        <f t="shared" si="1"/>
        <v>9</v>
      </c>
      <c r="L19" s="517">
        <f t="shared" si="2"/>
        <v>9</v>
      </c>
      <c r="M19" s="517">
        <f t="shared" si="3"/>
        <v>0</v>
      </c>
      <c r="N19" s="517">
        <f t="shared" si="4"/>
        <v>0</v>
      </c>
      <c r="O19" s="517">
        <f t="shared" si="5"/>
        <v>0</v>
      </c>
      <c r="P19" s="518">
        <f t="shared" si="12"/>
        <v>9</v>
      </c>
      <c r="Q19" s="517">
        <f t="shared" si="6"/>
        <v>8</v>
      </c>
      <c r="R19" s="517">
        <f t="shared" si="7"/>
        <v>0</v>
      </c>
      <c r="S19" s="517">
        <f t="shared" si="8"/>
        <v>0</v>
      </c>
      <c r="T19" s="517">
        <f t="shared" si="9"/>
        <v>0</v>
      </c>
      <c r="U19" s="517">
        <f t="shared" si="10"/>
        <v>1</v>
      </c>
      <c r="V19" s="274">
        <f t="shared" si="11"/>
        <v>1</v>
      </c>
      <c r="AA19"/>
      <c r="AB19"/>
      <c r="AC19"/>
      <c r="AD19"/>
      <c r="AE19"/>
    </row>
    <row r="20" spans="1:31" ht="15" x14ac:dyDescent="0.25">
      <c r="A20" s="422">
        <f>+SUBTOTAL(3,$B$4:B20)</f>
        <v>17</v>
      </c>
      <c r="B20" s="422" t="str">
        <f>'Visual chart Edit'!B23</f>
        <v>2/6</v>
      </c>
      <c r="C20" s="422" t="str">
        <f>'Visual chart Edit'!C23</f>
        <v>DA+3</v>
      </c>
      <c r="D20" s="422" t="s">
        <v>1316</v>
      </c>
      <c r="E20" s="474">
        <f>'Visual chart Edit'!I23</f>
        <v>425.7</v>
      </c>
      <c r="F20" s="422" t="str">
        <f>'Visual chart Edit'!K23</f>
        <v>Sandy</v>
      </c>
      <c r="G20" s="422" t="str">
        <f>'Visual chart Edit'!L23</f>
        <v>E</v>
      </c>
      <c r="H20" s="422"/>
      <c r="J20" s="516" t="s">
        <v>1330</v>
      </c>
      <c r="K20" s="517">
        <f t="shared" si="1"/>
        <v>6</v>
      </c>
      <c r="L20" s="517">
        <f t="shared" si="2"/>
        <v>6</v>
      </c>
      <c r="M20" s="517">
        <f t="shared" si="3"/>
        <v>0</v>
      </c>
      <c r="N20" s="517">
        <f t="shared" si="4"/>
        <v>0</v>
      </c>
      <c r="O20" s="517">
        <f t="shared" si="5"/>
        <v>0</v>
      </c>
      <c r="P20" s="518">
        <f t="shared" si="12"/>
        <v>6</v>
      </c>
      <c r="Q20" s="517">
        <f t="shared" si="6"/>
        <v>4</v>
      </c>
      <c r="R20" s="517">
        <f t="shared" si="7"/>
        <v>1</v>
      </c>
      <c r="S20" s="517">
        <f t="shared" si="8"/>
        <v>0</v>
      </c>
      <c r="T20" s="517">
        <f t="shared" si="9"/>
        <v>0</v>
      </c>
      <c r="U20" s="517">
        <f t="shared" si="10"/>
        <v>1</v>
      </c>
      <c r="V20" s="274">
        <f t="shared" si="11"/>
        <v>2</v>
      </c>
      <c r="AA20"/>
      <c r="AB20"/>
      <c r="AC20"/>
      <c r="AD20"/>
      <c r="AE20"/>
    </row>
    <row r="21" spans="1:31" ht="15" x14ac:dyDescent="0.25">
      <c r="A21" s="422">
        <f>+SUBTOTAL(3,$B$4:B21)</f>
        <v>18</v>
      </c>
      <c r="B21" s="422" t="str">
        <f>'Visual chart Edit'!B24</f>
        <v>2/7</v>
      </c>
      <c r="C21" s="422" t="str">
        <f>'Visual chart Edit'!C24</f>
        <v>DA+3</v>
      </c>
      <c r="D21" s="422" t="s">
        <v>1316</v>
      </c>
      <c r="E21" s="474">
        <f>'Visual chart Edit'!I24</f>
        <v>408.2</v>
      </c>
      <c r="F21" s="422" t="str">
        <f>'Visual chart Edit'!K24</f>
        <v>Sandy</v>
      </c>
      <c r="G21" s="422" t="str">
        <f>'Visual chart Edit'!L24</f>
        <v>E</v>
      </c>
      <c r="H21" s="422"/>
      <c r="J21" s="516" t="s">
        <v>1331</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x14ac:dyDescent="0.25">
      <c r="A22" s="422">
        <f>+SUBTOTAL(3,$B$4:B22)</f>
        <v>19</v>
      </c>
      <c r="B22" s="422" t="str">
        <f>'Visual chart Edit'!B25</f>
        <v>2/8</v>
      </c>
      <c r="C22" s="422" t="str">
        <f>'Visual chart Edit'!C25</f>
        <v>DA+0</v>
      </c>
      <c r="D22" s="422" t="s">
        <v>1316</v>
      </c>
      <c r="E22" s="474">
        <f>'Visual chart Edit'!I25</f>
        <v>354.6</v>
      </c>
      <c r="F22" s="422" t="str">
        <f>'Visual chart Edit'!K25</f>
        <v>Sandy</v>
      </c>
      <c r="G22" s="422" t="str">
        <f>'Visual chart Edit'!L25</f>
        <v>E</v>
      </c>
      <c r="H22" s="422"/>
      <c r="J22" s="516" t="s">
        <v>1332</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x14ac:dyDescent="0.25">
      <c r="A23" s="422">
        <f>+SUBTOTAL(3,$B$4:B23)</f>
        <v>20</v>
      </c>
      <c r="B23" s="422" t="str">
        <f>'Visual chart Edit'!B26</f>
        <v>2/9</v>
      </c>
      <c r="C23" s="422" t="str">
        <f>'Visual chart Edit'!C26</f>
        <v>DA+0</v>
      </c>
      <c r="D23" s="422" t="s">
        <v>1316</v>
      </c>
      <c r="E23" s="474">
        <f>'Visual chart Edit'!I26</f>
        <v>308.7</v>
      </c>
      <c r="F23" s="422" t="str">
        <f>'Visual chart Edit'!K26</f>
        <v>DRY</v>
      </c>
      <c r="G23" s="422" t="str">
        <f>'Visual chart Edit'!L26</f>
        <v>E</v>
      </c>
      <c r="H23" s="422"/>
      <c r="J23" s="516" t="s">
        <v>1333</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21</v>
      </c>
      <c r="B24" s="422" t="str">
        <f>'Visual chart Edit'!B27</f>
        <v>3/0</v>
      </c>
      <c r="C24" s="422" t="str">
        <f>'Visual chart Edit'!C27</f>
        <v>DD60+6</v>
      </c>
      <c r="D24" s="422" t="s">
        <v>1316</v>
      </c>
      <c r="E24" s="474">
        <f>'Visual chart Edit'!I27</f>
        <v>336</v>
      </c>
      <c r="F24" s="422" t="str">
        <f>'Visual chart Edit'!K27</f>
        <v>DRY</v>
      </c>
      <c r="G24" s="422" t="str">
        <f>'Visual chart Edit'!L27</f>
        <v>E</v>
      </c>
      <c r="H24" s="422"/>
      <c r="J24" s="516" t="s">
        <v>1334</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22</v>
      </c>
      <c r="B25" s="422" t="str">
        <f>'Visual chart Edit'!B28</f>
        <v>4/0</v>
      </c>
      <c r="C25" s="422" t="str">
        <f>'Visual chart Edit'!C28</f>
        <v>DD60+6</v>
      </c>
      <c r="D25" s="422" t="s">
        <v>1316</v>
      </c>
      <c r="E25" s="474">
        <f>'Visual chart Edit'!I28</f>
        <v>226.5</v>
      </c>
      <c r="F25" s="422" t="str">
        <f>'Visual chart Edit'!K28</f>
        <v>DRY</v>
      </c>
      <c r="G25" s="422" t="str">
        <f>'Visual chart Edit'!L28</f>
        <v>E</v>
      </c>
      <c r="H25" s="422"/>
      <c r="J25" s="516" t="s">
        <v>1335</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x14ac:dyDescent="0.25">
      <c r="A26" s="422">
        <f>+SUBTOTAL(3,$B$4:B26)</f>
        <v>23</v>
      </c>
      <c r="B26" s="422" t="str">
        <f>'Visual chart Edit'!B29</f>
        <v>4/1</v>
      </c>
      <c r="C26" s="422" t="str">
        <f>'Visual chart Edit'!C29</f>
        <v>DA+0</v>
      </c>
      <c r="D26" s="422" t="s">
        <v>1316</v>
      </c>
      <c r="E26" s="474">
        <f>'Visual chart Edit'!I29</f>
        <v>343</v>
      </c>
      <c r="F26" s="422" t="str">
        <f>'Visual chart Edit'!K29</f>
        <v>DRY</v>
      </c>
      <c r="G26" s="422" t="str">
        <f>'Visual chart Edit'!L29</f>
        <v>E</v>
      </c>
      <c r="H26" s="422"/>
      <c r="J26" s="516" t="s">
        <v>1336</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x14ac:dyDescent="0.25">
      <c r="A27" s="422">
        <f>+SUBTOTAL(3,$B$4:B27)</f>
        <v>24</v>
      </c>
      <c r="B27" s="422" t="str">
        <f>'Visual chart Edit'!B30</f>
        <v>4/2</v>
      </c>
      <c r="C27" s="422" t="str">
        <f>'Visual chart Edit'!C30</f>
        <v>DA+0</v>
      </c>
      <c r="D27" s="422" t="s">
        <v>1316</v>
      </c>
      <c r="E27" s="474">
        <f>'Visual chart Edit'!I30</f>
        <v>358.4</v>
      </c>
      <c r="F27" s="422" t="str">
        <f>'Visual chart Edit'!K30</f>
        <v>DRY</v>
      </c>
      <c r="G27" s="422" t="str">
        <f>'Visual chart Edit'!L30</f>
        <v>E</v>
      </c>
      <c r="H27" s="422"/>
      <c r="J27" s="516" t="s">
        <v>1337</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x14ac:dyDescent="0.25">
      <c r="A28" s="422">
        <f>+SUBTOTAL(3,$B$4:B28)</f>
        <v>25</v>
      </c>
      <c r="B28" s="422" t="str">
        <f>'Visual chart Edit'!B31</f>
        <v>4/3</v>
      </c>
      <c r="C28" s="422" t="str">
        <f>'Visual chart Edit'!C31</f>
        <v>DA+0</v>
      </c>
      <c r="D28" s="422" t="s">
        <v>1316</v>
      </c>
      <c r="E28" s="474">
        <f>'Visual chart Edit'!I31</f>
        <v>381</v>
      </c>
      <c r="F28" s="422" t="str">
        <f>'Visual chart Edit'!K31</f>
        <v>DRY</v>
      </c>
      <c r="G28" s="422" t="str">
        <f>'Visual chart Edit'!L31</f>
        <v>E</v>
      </c>
      <c r="H28" s="422"/>
      <c r="J28" s="516" t="s">
        <v>1338</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x14ac:dyDescent="0.25">
      <c r="A29" s="422">
        <f>+SUBTOTAL(3,$B$4:B29)</f>
        <v>26</v>
      </c>
      <c r="B29" s="422" t="str">
        <f>'Visual chart Edit'!B32</f>
        <v>4/4</v>
      </c>
      <c r="C29" s="422" t="str">
        <f>'Visual chart Edit'!C32</f>
        <v>DA+0</v>
      </c>
      <c r="D29" s="422" t="s">
        <v>1316</v>
      </c>
      <c r="E29" s="474">
        <f>'Visual chart Edit'!I32</f>
        <v>367.6</v>
      </c>
      <c r="F29" s="422" t="str">
        <f>'Visual chart Edit'!K32</f>
        <v>DRY</v>
      </c>
      <c r="G29" s="422" t="str">
        <f>'Visual chart Edit'!L32</f>
        <v>E</v>
      </c>
      <c r="H29" s="422"/>
      <c r="J29" s="516" t="s">
        <v>1339</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27</v>
      </c>
      <c r="B30" s="422" t="str">
        <f>'Visual chart Edit'!B33</f>
        <v>5/0</v>
      </c>
      <c r="C30" s="422" t="str">
        <f>'Visual chart Edit'!C33</f>
        <v>DB1+9</v>
      </c>
      <c r="D30" s="422" t="s">
        <v>1316</v>
      </c>
      <c r="E30" s="474">
        <f>'Visual chart Edit'!I33</f>
        <v>423.1</v>
      </c>
      <c r="F30" s="422" t="str">
        <f>'Visual chart Edit'!K33</f>
        <v>DRY</v>
      </c>
      <c r="G30" s="422" t="str">
        <f>'Visual chart Edit'!L33</f>
        <v>E</v>
      </c>
      <c r="H30" s="422"/>
      <c r="J30" s="516" t="s">
        <v>1340</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x14ac:dyDescent="0.25">
      <c r="A31" s="422">
        <f>+SUBTOTAL(3,$B$4:B31)</f>
        <v>28</v>
      </c>
      <c r="B31" s="422" t="str">
        <f>'Visual chart Edit'!B34</f>
        <v>6/0</v>
      </c>
      <c r="C31" s="422" t="str">
        <f>'Visual chart Edit'!C34</f>
        <v>DB2+9</v>
      </c>
      <c r="D31" s="422" t="s">
        <v>1316</v>
      </c>
      <c r="E31" s="474">
        <f>'Visual chart Edit'!I34</f>
        <v>246</v>
      </c>
      <c r="F31" s="422" t="str">
        <f>'Visual chart Edit'!K34</f>
        <v>DRY</v>
      </c>
      <c r="G31" s="422" t="s">
        <v>124</v>
      </c>
      <c r="H31" s="422"/>
      <c r="I31" s="491" t="s">
        <v>1450</v>
      </c>
      <c r="J31" s="516" t="s">
        <v>1341</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x14ac:dyDescent="0.25">
      <c r="A32" s="422">
        <f>+SUBTOTAL(3,$B$4:B32)</f>
        <v>29</v>
      </c>
      <c r="B32" s="422" t="str">
        <f>'Visual chart Edit'!B35</f>
        <v>6/1</v>
      </c>
      <c r="C32" s="422" t="str">
        <f>'Visual chart Edit'!C35</f>
        <v>DA+0</v>
      </c>
      <c r="D32" s="422" t="s">
        <v>1316</v>
      </c>
      <c r="E32" s="474">
        <f>'Visual chart Edit'!I35</f>
        <v>429.9</v>
      </c>
      <c r="F32" s="422" t="str">
        <f>'Visual chart Edit'!K35</f>
        <v>DFR</v>
      </c>
      <c r="G32" s="422" t="str">
        <f>'Visual chart Edit'!L35</f>
        <v>E</v>
      </c>
      <c r="H32" s="422"/>
      <c r="J32" s="516" t="s">
        <v>1342</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x14ac:dyDescent="0.25">
      <c r="A33" s="422">
        <f>+SUBTOTAL(3,$B$4:B33)</f>
        <v>30</v>
      </c>
      <c r="B33" s="422" t="str">
        <f>'Visual chart Edit'!B36</f>
        <v>6/2</v>
      </c>
      <c r="C33" s="422" t="str">
        <f>'Visual chart Edit'!C36</f>
        <v>DA+0</v>
      </c>
      <c r="D33" s="422" t="s">
        <v>1316</v>
      </c>
      <c r="E33" s="474">
        <f>'Visual chart Edit'!I36</f>
        <v>362.4</v>
      </c>
      <c r="F33" s="422" t="str">
        <f>'Visual chart Edit'!K36</f>
        <v>DFR</v>
      </c>
      <c r="G33" s="422" t="str">
        <f>'Visual chart Edit'!L36</f>
        <v>E</v>
      </c>
      <c r="H33" s="422"/>
      <c r="J33" s="516" t="s">
        <v>1343</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x14ac:dyDescent="0.25">
      <c r="A34" s="422">
        <f>+SUBTOTAL(3,$B$4:B34)</f>
        <v>31</v>
      </c>
      <c r="B34" s="422" t="str">
        <f>'Visual chart Edit'!B37</f>
        <v>7/0</v>
      </c>
      <c r="C34" s="422" t="str">
        <f>'Visual chart Edit'!C37</f>
        <v>DB1+0</v>
      </c>
      <c r="D34" s="422" t="s">
        <v>1316</v>
      </c>
      <c r="E34" s="474">
        <f>'Visual chart Edit'!I37</f>
        <v>347.9</v>
      </c>
      <c r="F34" s="422" t="str">
        <f>'Visual chart Edit'!K37</f>
        <v>DRY</v>
      </c>
      <c r="G34" s="422" t="str">
        <f>'Visual chart Edit'!L37</f>
        <v>E</v>
      </c>
      <c r="H34" s="422"/>
      <c r="J34" s="516" t="s">
        <v>1344</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32</v>
      </c>
      <c r="B35" s="422" t="str">
        <f>'Visual chart Edit'!B38</f>
        <v>8/0</v>
      </c>
      <c r="C35" s="422" t="str">
        <f>'Visual chart Edit'!C38</f>
        <v>DB1+0</v>
      </c>
      <c r="D35" s="422" t="s">
        <v>1316</v>
      </c>
      <c r="E35" s="474">
        <f>'Visual chart Edit'!I38</f>
        <v>210.8</v>
      </c>
      <c r="F35" s="422" t="str">
        <f>'Visual chart Edit'!K38</f>
        <v>DRY</v>
      </c>
      <c r="G35" s="422" t="str">
        <f>'Visual chart Edit'!L38</f>
        <v>E</v>
      </c>
      <c r="H35" s="422"/>
      <c r="J35" s="516" t="s">
        <v>1345</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x14ac:dyDescent="0.25">
      <c r="A36" s="422">
        <f>+SUBTOTAL(3,$B$4:B36)</f>
        <v>33</v>
      </c>
      <c r="B36" s="422" t="str">
        <f>'Visual chart Edit'!B39</f>
        <v>8/1</v>
      </c>
      <c r="C36" s="422" t="str">
        <f>'Visual chart Edit'!C39</f>
        <v>DA+3</v>
      </c>
      <c r="D36" s="422" t="s">
        <v>1316</v>
      </c>
      <c r="E36" s="474">
        <f>'Visual chart Edit'!I39</f>
        <v>409.2</v>
      </c>
      <c r="F36" s="422" t="str">
        <f>'Visual chart Edit'!K39</f>
        <v>DRY</v>
      </c>
      <c r="G36" s="422" t="str">
        <f>'Visual chart Edit'!L39</f>
        <v>E</v>
      </c>
      <c r="H36" s="422"/>
      <c r="J36" s="516" t="s">
        <v>1346</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x14ac:dyDescent="0.25">
      <c r="A37" s="422">
        <f>+SUBTOTAL(3,$B$4:B37)</f>
        <v>34</v>
      </c>
      <c r="B37" s="422" t="str">
        <f>'Visual chart Edit'!B40</f>
        <v>8/2</v>
      </c>
      <c r="C37" s="422" t="str">
        <f>'Visual chart Edit'!C40</f>
        <v>DA+3</v>
      </c>
      <c r="D37" s="422" t="s">
        <v>1316</v>
      </c>
      <c r="E37" s="474">
        <f>'Visual chart Edit'!I40</f>
        <v>413.6</v>
      </c>
      <c r="F37" s="422" t="str">
        <f>'Visual chart Edit'!K40</f>
        <v>DRY</v>
      </c>
      <c r="G37" s="422" t="str">
        <f>'Visual chart Edit'!L40</f>
        <v>E</v>
      </c>
      <c r="H37" s="422"/>
      <c r="J37" s="516" t="s">
        <v>1347</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35</v>
      </c>
      <c r="B38" s="422" t="str">
        <f>'Visual chart Edit'!B41</f>
        <v>8/3</v>
      </c>
      <c r="C38" s="422" t="str">
        <f>'Visual chart Edit'!C41</f>
        <v>DA+0</v>
      </c>
      <c r="D38" s="422" t="s">
        <v>1316</v>
      </c>
      <c r="E38" s="474">
        <f>'Visual chart Edit'!I41</f>
        <v>393.2</v>
      </c>
      <c r="F38" s="422" t="str">
        <f>'Visual chart Edit'!K41</f>
        <v>DRY</v>
      </c>
      <c r="G38" s="422" t="str">
        <f>'Visual chart Edit'!L41</f>
        <v>E</v>
      </c>
      <c r="H38" s="422"/>
      <c r="J38" s="516" t="s">
        <v>1348</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x14ac:dyDescent="0.25">
      <c r="A39" s="422">
        <f>+SUBTOTAL(3,$B$4:B39)</f>
        <v>36</v>
      </c>
      <c r="B39" s="422" t="str">
        <f>'Visual chart Edit'!B42</f>
        <v>8/4</v>
      </c>
      <c r="C39" s="422" t="str">
        <f>'Visual chart Edit'!C42</f>
        <v>DA+3</v>
      </c>
      <c r="D39" s="422" t="s">
        <v>1316</v>
      </c>
      <c r="E39" s="474">
        <f>'Visual chart Edit'!I42</f>
        <v>416.5</v>
      </c>
      <c r="F39" s="422" t="str">
        <f>'Visual chart Edit'!K42</f>
        <v>DRY</v>
      </c>
      <c r="G39" s="422" t="str">
        <f>'Visual chart Edit'!L42</f>
        <v>E</v>
      </c>
      <c r="H39" s="422"/>
      <c r="J39" s="516" t="s">
        <v>1349</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x14ac:dyDescent="0.25">
      <c r="A40" s="422">
        <f>+SUBTOTAL(3,$B$4:B40)</f>
        <v>37</v>
      </c>
      <c r="B40" s="422" t="str">
        <f>'Visual chart Edit'!B43</f>
        <v>8/5</v>
      </c>
      <c r="C40" s="422" t="str">
        <f>'Visual chart Edit'!C43</f>
        <v>DA+3</v>
      </c>
      <c r="D40" s="422" t="s">
        <v>1316</v>
      </c>
      <c r="E40" s="474">
        <f>'Visual chart Edit'!I43</f>
        <v>394.6</v>
      </c>
      <c r="F40" s="422" t="str">
        <f>'Visual chart Edit'!K43</f>
        <v>DRY</v>
      </c>
      <c r="G40" s="422" t="str">
        <f>'Visual chart Edit'!L43</f>
        <v>E</v>
      </c>
      <c r="H40" s="422"/>
      <c r="J40" s="516" t="s">
        <v>1350</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x14ac:dyDescent="0.25">
      <c r="A41" s="422">
        <f>+SUBTOTAL(3,$B$4:B41)</f>
        <v>38</v>
      </c>
      <c r="B41" s="422" t="str">
        <f>'Visual chart Edit'!B44</f>
        <v>8/6</v>
      </c>
      <c r="C41" s="422" t="str">
        <f>'Visual chart Edit'!C44</f>
        <v>DA+3</v>
      </c>
      <c r="D41" s="422" t="s">
        <v>1316</v>
      </c>
      <c r="E41" s="474">
        <f>'Visual chart Edit'!I44</f>
        <v>393.2</v>
      </c>
      <c r="F41" s="422" t="s">
        <v>129</v>
      </c>
      <c r="G41" s="422" t="str">
        <f>'Visual chart Edit'!L44</f>
        <v/>
      </c>
      <c r="H41" s="422"/>
      <c r="J41" s="516" t="s">
        <v>1351</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x14ac:dyDescent="0.25">
      <c r="A42" s="422">
        <f>+SUBTOTAL(3,$B$4:B42)</f>
        <v>39</v>
      </c>
      <c r="B42" s="422" t="str">
        <f>'Visual chart Edit'!B45</f>
        <v>8/7</v>
      </c>
      <c r="C42" s="422" t="str">
        <f>'Visual chart Edit'!C45</f>
        <v>DB1+0</v>
      </c>
      <c r="D42" s="422" t="s">
        <v>1317</v>
      </c>
      <c r="E42" s="474">
        <f>'Visual chart Edit'!I45</f>
        <v>441.1</v>
      </c>
      <c r="F42" s="422" t="str">
        <f>'Visual chart Edit'!K45</f>
        <v>DRY</v>
      </c>
      <c r="G42" s="422" t="s">
        <v>129</v>
      </c>
      <c r="H42" s="422"/>
      <c r="J42" s="516" t="s">
        <v>1352</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x14ac:dyDescent="0.25">
      <c r="A43" s="422">
        <f>+SUBTOTAL(3,$B$4:B43)</f>
        <v>40</v>
      </c>
      <c r="B43" s="422" t="str">
        <f>'Visual chart Edit'!B46</f>
        <v>8/8</v>
      </c>
      <c r="C43" s="422" t="str">
        <f>'Visual chart Edit'!C46</f>
        <v>DA+6</v>
      </c>
      <c r="D43" s="422" t="s">
        <v>1317</v>
      </c>
      <c r="E43" s="474">
        <f>'Visual chart Edit'!I46</f>
        <v>414.4</v>
      </c>
      <c r="F43" s="422" t="s">
        <v>129</v>
      </c>
      <c r="G43" s="422" t="str">
        <f>'Visual chart Edit'!L46</f>
        <v/>
      </c>
      <c r="H43" s="422"/>
      <c r="J43" s="516" t="s">
        <v>1353</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x14ac:dyDescent="0.25">
      <c r="A44" s="422">
        <f>+SUBTOTAL(3,$B$4:B44)</f>
        <v>41</v>
      </c>
      <c r="B44" s="422" t="str">
        <f>'Visual chart Edit'!B47</f>
        <v>8/9</v>
      </c>
      <c r="C44" s="422" t="str">
        <f>'Visual chart Edit'!C47</f>
        <v>DA+3</v>
      </c>
      <c r="D44" s="422" t="s">
        <v>1317</v>
      </c>
      <c r="E44" s="474">
        <f>'Visual chart Edit'!I47</f>
        <v>395.863</v>
      </c>
      <c r="F44" s="422" t="str">
        <f>'Visual chart Edit'!K47</f>
        <v>DFR</v>
      </c>
      <c r="G44" s="422" t="str">
        <f>'Visual chart Edit'!L47</f>
        <v>E</v>
      </c>
      <c r="H44" s="422"/>
      <c r="J44" s="516" t="s">
        <v>1354</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x14ac:dyDescent="0.25">
      <c r="A45" s="422">
        <f>+SUBTOTAL(3,$B$4:B45)</f>
        <v>42</v>
      </c>
      <c r="B45" s="422" t="str">
        <f>'Visual chart Edit'!B48</f>
        <v>8/10</v>
      </c>
      <c r="C45" s="422" t="str">
        <f>'Visual chart Edit'!C48</f>
        <v>DA+3</v>
      </c>
      <c r="D45" s="422" t="s">
        <v>1317</v>
      </c>
      <c r="E45" s="474">
        <f>'Visual chart Edit'!I48</f>
        <v>413.404</v>
      </c>
      <c r="F45" s="422" t="str">
        <f>'Visual chart Edit'!K48</f>
        <v>DFR</v>
      </c>
      <c r="G45" s="422" t="str">
        <f>'Visual chart Edit'!L48</f>
        <v>E</v>
      </c>
      <c r="H45" s="422"/>
      <c r="J45" s="516" t="s">
        <v>1355</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x14ac:dyDescent="0.25">
      <c r="A46" s="422">
        <f>+SUBTOTAL(3,$B$4:B46)</f>
        <v>43</v>
      </c>
      <c r="B46" s="422" t="str">
        <f>'Visual chart Edit'!B49</f>
        <v>8/11</v>
      </c>
      <c r="C46" s="422" t="str">
        <f>'Visual chart Edit'!C49</f>
        <v>DA+0</v>
      </c>
      <c r="D46" s="422" t="s">
        <v>1317</v>
      </c>
      <c r="E46" s="474">
        <f>'Visual chart Edit'!I49</f>
        <v>402.6</v>
      </c>
      <c r="F46" s="422" t="str">
        <f>'Visual chart Edit'!K49</f>
        <v>DRY</v>
      </c>
      <c r="G46" s="422" t="s">
        <v>129</v>
      </c>
      <c r="H46" s="422"/>
      <c r="J46" s="516" t="s">
        <v>1356</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x14ac:dyDescent="0.25">
      <c r="A47" s="422">
        <f>+SUBTOTAL(3,$B$4:B47)</f>
        <v>44</v>
      </c>
      <c r="B47" s="422" t="str">
        <f>'Visual chart Edit'!B50</f>
        <v>8/12</v>
      </c>
      <c r="C47" s="422" t="str">
        <f>'Visual chart Edit'!C50</f>
        <v>DA+0</v>
      </c>
      <c r="D47" s="422" t="s">
        <v>1317</v>
      </c>
      <c r="E47" s="474">
        <f>'Visual chart Edit'!I50</f>
        <v>372.1</v>
      </c>
      <c r="F47" s="422" t="str">
        <f>'Visual chart Edit'!K50</f>
        <v>DRY</v>
      </c>
      <c r="G47" s="422" t="str">
        <f>'Visual chart Edit'!L50</f>
        <v>E</v>
      </c>
      <c r="H47" s="422"/>
      <c r="J47" s="516" t="s">
        <v>1357</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x14ac:dyDescent="0.25">
      <c r="A48" s="422">
        <f>+SUBTOTAL(3,$B$4:B48)</f>
        <v>45</v>
      </c>
      <c r="B48" s="422" t="str">
        <f>'Visual chart Edit'!B51</f>
        <v>9/0</v>
      </c>
      <c r="C48" s="422" t="str">
        <f>'Visual chart Edit'!C51</f>
        <v>DD60+18</v>
      </c>
      <c r="D48" s="422" t="s">
        <v>1317</v>
      </c>
      <c r="E48" s="474">
        <f>'Visual chart Edit'!I51</f>
        <v>457.7</v>
      </c>
      <c r="F48" s="422" t="str">
        <f>'Visual chart Edit'!K51</f>
        <v>DRY</v>
      </c>
      <c r="G48" s="422" t="s">
        <v>1301</v>
      </c>
      <c r="H48" s="422"/>
      <c r="J48" s="516" t="s">
        <v>1358</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x14ac:dyDescent="0.25">
      <c r="A49" s="422">
        <f>+SUBTOTAL(3,$B$4:B49)</f>
        <v>46</v>
      </c>
      <c r="B49" s="422" t="str">
        <f>'Visual chart Edit'!B52</f>
        <v>10/0</v>
      </c>
      <c r="C49" s="422" t="str">
        <f>'Visual chart Edit'!C52</f>
        <v>DD60+25</v>
      </c>
      <c r="D49" s="422" t="s">
        <v>1317</v>
      </c>
      <c r="E49" s="474">
        <f>'Visual chart Edit'!I52</f>
        <v>233.1</v>
      </c>
      <c r="F49" s="422" t="str">
        <f>'Visual chart Edit'!K52</f>
        <v>DFR</v>
      </c>
      <c r="G49" s="422" t="s">
        <v>129</v>
      </c>
      <c r="H49" s="422"/>
      <c r="J49" s="516" t="s">
        <v>1359</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x14ac:dyDescent="0.25">
      <c r="A50" s="422">
        <f>+SUBTOTAL(3,$B$4:B50)</f>
        <v>47</v>
      </c>
      <c r="B50" s="422" t="str">
        <f>'Visual chart Edit'!B53</f>
        <v>10/1</v>
      </c>
      <c r="C50" s="422" t="str">
        <f>'Visual chart Edit'!C53</f>
        <v>DA+0</v>
      </c>
      <c r="D50" s="422" t="s">
        <v>1318</v>
      </c>
      <c r="E50" s="474">
        <f>'Visual chart Edit'!I53</f>
        <v>443.7</v>
      </c>
      <c r="F50" s="422" t="str">
        <f>'Visual chart Edit'!K53</f>
        <v>DRY</v>
      </c>
      <c r="G50" s="422" t="str">
        <f>'Visual chart Edit'!L53</f>
        <v>E</v>
      </c>
      <c r="H50" s="422"/>
      <c r="J50" s="516" t="s">
        <v>1360</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x14ac:dyDescent="0.25">
      <c r="A51" s="422">
        <f>+SUBTOTAL(3,$B$4:B51)</f>
        <v>48</v>
      </c>
      <c r="B51" s="422" t="str">
        <f>'Visual chart Edit'!B54</f>
        <v>10/2</v>
      </c>
      <c r="C51" s="422" t="str">
        <f>'Visual chart Edit'!C54</f>
        <v>DA+0</v>
      </c>
      <c r="D51" s="422" t="s">
        <v>1318</v>
      </c>
      <c r="E51" s="474">
        <f>'Visual chart Edit'!I54</f>
        <v>383.2</v>
      </c>
      <c r="F51" s="422" t="s">
        <v>129</v>
      </c>
      <c r="G51" s="422" t="str">
        <f>'Visual chart Edit'!L54</f>
        <v/>
      </c>
      <c r="H51" s="422"/>
      <c r="J51" s="516" t="s">
        <v>1361</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x14ac:dyDescent="0.25">
      <c r="A52" s="422">
        <f>+SUBTOTAL(3,$B$4:B52)</f>
        <v>49</v>
      </c>
      <c r="B52" s="422" t="str">
        <f>'Visual chart Edit'!B55</f>
        <v>10/3</v>
      </c>
      <c r="C52" s="422" t="str">
        <f>'Visual chart Edit'!C55</f>
        <v>DA+0</v>
      </c>
      <c r="D52" s="422" t="s">
        <v>1318</v>
      </c>
      <c r="E52" s="474">
        <f>'Visual chart Edit'!I55</f>
        <v>398.6</v>
      </c>
      <c r="F52" s="422" t="str">
        <f>'Visual chart Edit'!K55</f>
        <v>DFR</v>
      </c>
      <c r="G52" s="422" t="str">
        <f>'Visual chart Edit'!L55</f>
        <v>E</v>
      </c>
      <c r="H52" s="422"/>
      <c r="J52" s="516" t="s">
        <v>1362</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x14ac:dyDescent="0.25">
      <c r="A53" s="422">
        <f>+SUBTOTAL(3,$B$4:B53)</f>
        <v>50</v>
      </c>
      <c r="B53" s="422" t="str">
        <f>'Visual chart Edit'!B56</f>
        <v>10/4</v>
      </c>
      <c r="C53" s="422" t="str">
        <f>'Visual chart Edit'!C56</f>
        <v>DA+3</v>
      </c>
      <c r="D53" s="422" t="s">
        <v>1318</v>
      </c>
      <c r="E53" s="474">
        <f>'Visual chart Edit'!I56</f>
        <v>410.7</v>
      </c>
      <c r="F53" s="422" t="str">
        <f>'Visual chart Edit'!K56</f>
        <v>DFR</v>
      </c>
      <c r="G53" s="422" t="str">
        <f>'Visual chart Edit'!L56</f>
        <v>E</v>
      </c>
      <c r="H53" s="422"/>
      <c r="J53" s="516" t="s">
        <v>1363</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x14ac:dyDescent="0.25">
      <c r="A54" s="422">
        <f>+SUBTOTAL(3,$B$4:B54)</f>
        <v>51</v>
      </c>
      <c r="B54" s="422" t="str">
        <f>'Visual chart Edit'!B57</f>
        <v>10/5</v>
      </c>
      <c r="C54" s="422" t="str">
        <f>'Visual chart Edit'!C57</f>
        <v>DA+3</v>
      </c>
      <c r="D54" s="422" t="s">
        <v>1318</v>
      </c>
      <c r="E54" s="474">
        <f>'Visual chart Edit'!I57</f>
        <v>416.2</v>
      </c>
      <c r="F54" s="422" t="str">
        <f>'Visual chart Edit'!K57</f>
        <v>DRY</v>
      </c>
      <c r="G54" s="422" t="s">
        <v>129</v>
      </c>
      <c r="H54" s="422"/>
      <c r="AA54"/>
      <c r="AB54"/>
      <c r="AC54"/>
      <c r="AD54"/>
      <c r="AE54"/>
    </row>
    <row r="55" spans="1:31" x14ac:dyDescent="0.25">
      <c r="A55" s="422">
        <f>+SUBTOTAL(3,$B$4:B55)</f>
        <v>52</v>
      </c>
      <c r="B55" s="422" t="str">
        <f>'Visual chart Edit'!B58</f>
        <v>10/6</v>
      </c>
      <c r="C55" s="422" t="str">
        <f>'Visual chart Edit'!C58</f>
        <v>DA+0</v>
      </c>
      <c r="D55" s="422" t="s">
        <v>1319</v>
      </c>
      <c r="E55" s="474">
        <f>'Visual chart Edit'!I58</f>
        <v>403.4</v>
      </c>
      <c r="F55" s="422" t="str">
        <f>'Visual chart Edit'!K58</f>
        <v>DFR</v>
      </c>
      <c r="G55" s="422" t="str">
        <f>'Visual chart Edit'!L58</f>
        <v>E</v>
      </c>
      <c r="H55" s="422"/>
    </row>
    <row r="56" spans="1:31" x14ac:dyDescent="0.25">
      <c r="A56" s="422">
        <f>+SUBTOTAL(3,$B$4:B56)</f>
        <v>53</v>
      </c>
      <c r="B56" s="422" t="str">
        <f>'Visual chart Edit'!B59</f>
        <v>10/7</v>
      </c>
      <c r="C56" s="422" t="str">
        <f>'Visual chart Edit'!C59</f>
        <v>DA+3</v>
      </c>
      <c r="D56" s="422" t="s">
        <v>1319</v>
      </c>
      <c r="E56" s="474">
        <f>'Visual chart Edit'!I59</f>
        <v>373.84500000000003</v>
      </c>
      <c r="F56" s="422" t="str">
        <f>'Visual chart Edit'!K59</f>
        <v>DRY</v>
      </c>
      <c r="G56" s="422" t="s">
        <v>124</v>
      </c>
      <c r="H56" s="422"/>
    </row>
    <row r="57" spans="1:31" x14ac:dyDescent="0.25">
      <c r="A57" s="422">
        <f>+SUBTOTAL(3,$B$4:B57)</f>
        <v>54</v>
      </c>
      <c r="B57" s="422" t="str">
        <f>'Visual chart Edit'!B60</f>
        <v>10/8</v>
      </c>
      <c r="C57" s="422" t="str">
        <f>'Visual chart Edit'!C60</f>
        <v>DA+3</v>
      </c>
      <c r="D57" s="422" t="s">
        <v>1319</v>
      </c>
      <c r="E57" s="474">
        <f>'Visual chart Edit'!I60</f>
        <v>411.82299999999998</v>
      </c>
      <c r="F57" s="422" t="str">
        <f>'Visual chart Edit'!K60</f>
        <v>DFR</v>
      </c>
      <c r="G57" s="422" t="str">
        <f>'Visual chart Edit'!L60</f>
        <v>E</v>
      </c>
      <c r="H57" s="422"/>
    </row>
    <row r="58" spans="1:31" x14ac:dyDescent="0.25">
      <c r="A58" s="422">
        <f>+SUBTOTAL(3,$B$4:B58)</f>
        <v>55</v>
      </c>
      <c r="B58" s="422" t="str">
        <f>'Visual chart Edit'!B61</f>
        <v>10/9</v>
      </c>
      <c r="C58" s="422" t="str">
        <f>'Visual chart Edit'!C61</f>
        <v>DA+0</v>
      </c>
      <c r="D58" s="422" t="s">
        <v>1319</v>
      </c>
      <c r="E58" s="474">
        <f>'Visual chart Edit'!I61</f>
        <v>414.2</v>
      </c>
      <c r="F58" s="422" t="str">
        <f>'Visual chart Edit'!K61</f>
        <v>DRY</v>
      </c>
      <c r="G58" s="422" t="str">
        <f>'Visual chart Edit'!L61</f>
        <v>E</v>
      </c>
      <c r="H58" s="422"/>
    </row>
    <row r="59" spans="1:31" x14ac:dyDescent="0.25">
      <c r="A59" s="422">
        <f>+SUBTOTAL(3,$B$4:B59)</f>
        <v>56</v>
      </c>
      <c r="B59" s="422" t="str">
        <f>'Visual chart Edit'!B62</f>
        <v>10/10</v>
      </c>
      <c r="C59" s="422" t="str">
        <f>'Visual chart Edit'!C62</f>
        <v>DA+3</v>
      </c>
      <c r="D59" s="422" t="s">
        <v>1319</v>
      </c>
      <c r="E59" s="474">
        <f>'Visual chart Edit'!I62</f>
        <v>402.3</v>
      </c>
      <c r="F59" s="422" t="str">
        <f>'Visual chart Edit'!K62</f>
        <v>Sandy</v>
      </c>
      <c r="G59" s="422" t="str">
        <f>'Visual chart Edit'!L62</f>
        <v/>
      </c>
      <c r="H59" s="422"/>
    </row>
    <row r="60" spans="1:31" x14ac:dyDescent="0.25">
      <c r="A60" s="422">
        <f>+SUBTOTAL(3,$B$4:B60)</f>
        <v>57</v>
      </c>
      <c r="B60" s="422" t="str">
        <f>'Visual chart Edit'!B63</f>
        <v>10/11</v>
      </c>
      <c r="C60" s="422" t="str">
        <f>'Visual chart Edit'!C63</f>
        <v>DA+3</v>
      </c>
      <c r="D60" s="422" t="s">
        <v>1319</v>
      </c>
      <c r="E60" s="474">
        <f>'Visual chart Edit'!I63</f>
        <v>430.3</v>
      </c>
      <c r="F60" s="422" t="str">
        <f>'Visual chart Edit'!K63</f>
        <v>DRY</v>
      </c>
      <c r="G60" s="422" t="str">
        <f>'Visual chart Edit'!L63</f>
        <v>E</v>
      </c>
      <c r="H60" s="422"/>
    </row>
    <row r="61" spans="1:31" x14ac:dyDescent="0.25">
      <c r="A61" s="422">
        <f>+SUBTOTAL(3,$B$4:B61)</f>
        <v>58</v>
      </c>
      <c r="B61" s="422" t="str">
        <f>'Visual chart Edit'!B64</f>
        <v>10/12</v>
      </c>
      <c r="C61" s="422" t="str">
        <f>'Visual chart Edit'!C64</f>
        <v>DB1+0</v>
      </c>
      <c r="D61" s="422" t="s">
        <v>1319</v>
      </c>
      <c r="E61" s="474">
        <f>'Visual chart Edit'!I64</f>
        <v>406.2</v>
      </c>
      <c r="F61" s="422" t="str">
        <f>'Visual chart Edit'!K64</f>
        <v>DRY</v>
      </c>
      <c r="G61" s="422" t="str">
        <f>'Visual chart Edit'!L64</f>
        <v>E</v>
      </c>
      <c r="H61" s="422"/>
    </row>
    <row r="62" spans="1:31" x14ac:dyDescent="0.25">
      <c r="A62" s="422">
        <f>+SUBTOTAL(3,$B$4:B62)</f>
        <v>59</v>
      </c>
      <c r="B62" s="422" t="str">
        <f>'Visual chart Edit'!B65</f>
        <v>10/13</v>
      </c>
      <c r="C62" s="422" t="str">
        <f>'Visual chart Edit'!C65</f>
        <v>DA+3</v>
      </c>
      <c r="D62" s="422" t="s">
        <v>1319</v>
      </c>
      <c r="E62" s="474">
        <f>'Visual chart Edit'!I65</f>
        <v>405.3</v>
      </c>
      <c r="F62" s="422" t="str">
        <f>'Visual chart Edit'!K65</f>
        <v>DRY</v>
      </c>
      <c r="G62" s="422" t="str">
        <f>'Visual chart Edit'!L65</f>
        <v/>
      </c>
      <c r="H62" s="422"/>
    </row>
    <row r="63" spans="1:31" x14ac:dyDescent="0.25">
      <c r="A63" s="422">
        <f>+SUBTOTAL(3,$B$4:B63)</f>
        <v>60</v>
      </c>
      <c r="B63" s="422" t="str">
        <f>'Visual chart Edit'!B66</f>
        <v>10/14</v>
      </c>
      <c r="C63" s="422" t="str">
        <f>'Visual chart Edit'!C66</f>
        <v>DA+3</v>
      </c>
      <c r="D63" s="422" t="s">
        <v>1319</v>
      </c>
      <c r="E63" s="474">
        <f>'Visual chart Edit'!I66</f>
        <v>427.1</v>
      </c>
      <c r="F63" s="422" t="str">
        <f>'Visual chart Edit'!K66</f>
        <v>DRY</v>
      </c>
      <c r="G63" s="422" t="str">
        <f>'Visual chart Edit'!L66</f>
        <v>E</v>
      </c>
      <c r="H63" s="422"/>
    </row>
    <row r="64" spans="1:31" x14ac:dyDescent="0.25">
      <c r="A64" s="422">
        <f>+SUBTOTAL(3,$B$4:B64)</f>
        <v>61</v>
      </c>
      <c r="B64" s="422" t="str">
        <f>'Visual chart Edit'!B67</f>
        <v>10/15</v>
      </c>
      <c r="C64" s="422" t="str">
        <f>'Visual chart Edit'!C67</f>
        <v>DA+3</v>
      </c>
      <c r="D64" s="422" t="s">
        <v>1319</v>
      </c>
      <c r="E64" s="474">
        <f>'Visual chart Edit'!I67</f>
        <v>400</v>
      </c>
      <c r="F64" s="422" t="str">
        <f>'Visual chart Edit'!K67</f>
        <v>DRY</v>
      </c>
      <c r="G64" s="422" t="str">
        <f>'Visual chart Edit'!L67</f>
        <v/>
      </c>
      <c r="H64" s="422"/>
    </row>
    <row r="65" spans="1:8" x14ac:dyDescent="0.25">
      <c r="A65" s="422">
        <f>+SUBTOTAL(3,$B$4:B65)</f>
        <v>62</v>
      </c>
      <c r="B65" s="422" t="str">
        <f>'Visual chart Edit'!B68</f>
        <v>10/16</v>
      </c>
      <c r="C65" s="422" t="str">
        <f>'Visual chart Edit'!C68</f>
        <v>DA+3</v>
      </c>
      <c r="D65" s="422" t="s">
        <v>1319</v>
      </c>
      <c r="E65" s="474">
        <f>'Visual chart Edit'!I68</f>
        <v>412.8</v>
      </c>
      <c r="F65" s="422" t="str">
        <f>'Visual chart Edit'!K68</f>
        <v>DRY</v>
      </c>
      <c r="G65" s="422" t="s">
        <v>124</v>
      </c>
      <c r="H65" s="422"/>
    </row>
    <row r="66" spans="1:8" x14ac:dyDescent="0.25">
      <c r="A66" s="422">
        <f>+SUBTOTAL(3,$B$4:B66)</f>
        <v>63</v>
      </c>
      <c r="B66" s="422" t="str">
        <f>'Visual chart Edit'!B69</f>
        <v>10/17</v>
      </c>
      <c r="C66" s="422" t="str">
        <f>'Visual chart Edit'!C69</f>
        <v>DA+3</v>
      </c>
      <c r="D66" s="422" t="s">
        <v>1319</v>
      </c>
      <c r="E66" s="474">
        <f>'Visual chart Edit'!I69</f>
        <v>387.8</v>
      </c>
      <c r="F66" s="422" t="str">
        <f>'Visual chart Edit'!K69</f>
        <v>DFR</v>
      </c>
      <c r="G66" s="422" t="str">
        <f>'Visual chart Edit'!L69</f>
        <v>E</v>
      </c>
      <c r="H66" s="422"/>
    </row>
    <row r="67" spans="1:8" x14ac:dyDescent="0.25">
      <c r="A67" s="422">
        <f>+SUBTOTAL(3,$B$4:B67)</f>
        <v>64</v>
      </c>
      <c r="B67" s="422" t="str">
        <f>'Visual chart Edit'!B70</f>
        <v>10/18</v>
      </c>
      <c r="C67" s="422" t="str">
        <f>'Visual chart Edit'!C70</f>
        <v>DA+3</v>
      </c>
      <c r="D67" s="422" t="s">
        <v>1319</v>
      </c>
      <c r="E67" s="474">
        <f>'Visual chart Edit'!I70</f>
        <v>436.7</v>
      </c>
      <c r="F67" s="422" t="str">
        <f>'Visual chart Edit'!K70</f>
        <v>DFR</v>
      </c>
      <c r="G67" s="422" t="str">
        <f>'Visual chart Edit'!L70</f>
        <v>E</v>
      </c>
      <c r="H67" s="422"/>
    </row>
    <row r="68" spans="1:8" x14ac:dyDescent="0.25">
      <c r="A68" s="422">
        <f>+SUBTOTAL(3,$B$4:B68)</f>
        <v>65</v>
      </c>
      <c r="B68" s="422" t="str">
        <f>'Visual chart Edit'!B71</f>
        <v>10/19</v>
      </c>
      <c r="C68" s="422" t="str">
        <f>'Visual chart Edit'!C71</f>
        <v>DA+0</v>
      </c>
      <c r="D68" s="422" t="s">
        <v>1319</v>
      </c>
      <c r="E68" s="474">
        <f>'Visual chart Edit'!I71</f>
        <v>403.7</v>
      </c>
      <c r="F68" s="422" t="str">
        <f>'Visual chart Edit'!K71</f>
        <v>DRY</v>
      </c>
      <c r="G68" s="422" t="str">
        <f>'Visual chart Edit'!L71</f>
        <v>E</v>
      </c>
      <c r="H68" s="422"/>
    </row>
    <row r="69" spans="1:8" x14ac:dyDescent="0.25">
      <c r="A69" s="422">
        <f>+SUBTOTAL(3,$B$4:B69)</f>
        <v>66</v>
      </c>
      <c r="B69" s="422" t="str">
        <f>'Visual chart Edit'!B72</f>
        <v>10/20</v>
      </c>
      <c r="C69" s="422" t="str">
        <f>'Visual chart Edit'!C72</f>
        <v>DA+3</v>
      </c>
      <c r="D69" s="422" t="s">
        <v>1320</v>
      </c>
      <c r="E69" s="474">
        <f>'Visual chart Edit'!I72</f>
        <v>409.5</v>
      </c>
      <c r="F69" s="422" t="str">
        <f>'Visual chart Edit'!K72</f>
        <v>DFR</v>
      </c>
      <c r="G69" s="422" t="str">
        <f>'Visual chart Edit'!L72</f>
        <v>E</v>
      </c>
      <c r="H69" s="422"/>
    </row>
    <row r="70" spans="1:8" x14ac:dyDescent="0.25">
      <c r="A70" s="422">
        <f>+SUBTOTAL(3,$B$4:B70)</f>
        <v>67</v>
      </c>
      <c r="B70" s="422" t="str">
        <f>'Visual chart Edit'!B73</f>
        <v>10/21</v>
      </c>
      <c r="C70" s="422" t="str">
        <f>'Visual chart Edit'!C73</f>
        <v>DA+3</v>
      </c>
      <c r="D70" s="422" t="s">
        <v>1320</v>
      </c>
      <c r="E70" s="474">
        <f>'Visual chart Edit'!I73</f>
        <v>418.6</v>
      </c>
      <c r="F70" s="422" t="str">
        <f>'Visual chart Edit'!K73</f>
        <v>DFR</v>
      </c>
      <c r="G70" s="422" t="str">
        <f>'Visual chart Edit'!L73</f>
        <v>E</v>
      </c>
      <c r="H70" s="422"/>
    </row>
    <row r="71" spans="1:8" x14ac:dyDescent="0.25">
      <c r="A71" s="422">
        <f>+SUBTOTAL(3,$B$4:B71)</f>
        <v>68</v>
      </c>
      <c r="B71" s="422" t="str">
        <f>'Visual chart Edit'!B74</f>
        <v>10/22</v>
      </c>
      <c r="C71" s="422" t="str">
        <f>'Visual chart Edit'!C74</f>
        <v>DA+0</v>
      </c>
      <c r="D71" s="422" t="s">
        <v>1320</v>
      </c>
      <c r="E71" s="474">
        <f>'Visual chart Edit'!I74</f>
        <v>410.3</v>
      </c>
      <c r="F71" s="422" t="str">
        <f>'Visual chart Edit'!K74</f>
        <v>Sandy</v>
      </c>
      <c r="G71" s="422" t="s">
        <v>1301</v>
      </c>
      <c r="H71" s="422"/>
    </row>
    <row r="72" spans="1:8" x14ac:dyDescent="0.25">
      <c r="A72" s="422">
        <f>+SUBTOTAL(3,$B$4:B72)</f>
        <v>69</v>
      </c>
      <c r="B72" s="422" t="str">
        <f>'Visual chart Edit'!B75</f>
        <v>10/23</v>
      </c>
      <c r="C72" s="422" t="str">
        <f>'Visual chart Edit'!C75</f>
        <v>DA+0</v>
      </c>
      <c r="D72" s="422" t="s">
        <v>1320</v>
      </c>
      <c r="E72" s="474">
        <f>'Visual chart Edit'!I75</f>
        <v>384</v>
      </c>
      <c r="F72" s="422" t="str">
        <f>'Visual chart Edit'!K75</f>
        <v>Sandy</v>
      </c>
      <c r="G72" s="422" t="s">
        <v>1301</v>
      </c>
      <c r="H72" s="422"/>
    </row>
    <row r="73" spans="1:8" x14ac:dyDescent="0.25">
      <c r="A73" s="422">
        <f>+SUBTOTAL(3,$B$4:B73)</f>
        <v>70</v>
      </c>
      <c r="B73" s="422" t="str">
        <f>'Visual chart Edit'!B76</f>
        <v>11/0</v>
      </c>
      <c r="C73" s="422" t="str">
        <f>'Visual chart Edit'!C76</f>
        <v>DB1+0</v>
      </c>
      <c r="D73" s="422" t="s">
        <v>1320</v>
      </c>
      <c r="E73" s="474">
        <f>'Visual chart Edit'!I76</f>
        <v>450.8</v>
      </c>
      <c r="F73" s="422" t="str">
        <f>'Visual chart Edit'!K76</f>
        <v>Sandy</v>
      </c>
      <c r="G73" s="422" t="s">
        <v>1301</v>
      </c>
      <c r="H73" s="422"/>
    </row>
    <row r="74" spans="1:8" x14ac:dyDescent="0.25">
      <c r="A74" s="422">
        <f>+SUBTOTAL(3,$B$4:B74)</f>
        <v>71</v>
      </c>
      <c r="B74" s="422" t="str">
        <f>'Visual chart Edit'!B77</f>
        <v>11/1</v>
      </c>
      <c r="C74" s="422" t="str">
        <f>'Visual chart Edit'!C77</f>
        <v>DA+0</v>
      </c>
      <c r="D74" s="422" t="s">
        <v>1320</v>
      </c>
      <c r="E74" s="474">
        <f>'Visual chart Edit'!I77</f>
        <v>384.2</v>
      </c>
      <c r="F74" s="422" t="str">
        <f>'Visual chart Edit'!K77</f>
        <v>Sandy</v>
      </c>
      <c r="G74" s="422" t="s">
        <v>1301</v>
      </c>
      <c r="H74" s="422"/>
    </row>
    <row r="75" spans="1:8" x14ac:dyDescent="0.25">
      <c r="A75" s="422">
        <f>+SUBTOTAL(3,$B$4:B75)</f>
        <v>72</v>
      </c>
      <c r="B75" s="422" t="str">
        <f>'Visual chart Edit'!B78</f>
        <v>11/2</v>
      </c>
      <c r="C75" s="422" t="str">
        <f>'Visual chart Edit'!C78</f>
        <v>DA+0</v>
      </c>
      <c r="D75" s="422" t="s">
        <v>1320</v>
      </c>
      <c r="E75" s="474">
        <f>'Visual chart Edit'!I78</f>
        <v>338.6</v>
      </c>
      <c r="F75" s="422" t="str">
        <f>'Visual chart Edit'!K78</f>
        <v>Sandy</v>
      </c>
      <c r="G75" s="422" t="s">
        <v>1301</v>
      </c>
      <c r="H75" s="422"/>
    </row>
    <row r="76" spans="1:8" x14ac:dyDescent="0.25">
      <c r="A76" s="422">
        <f>+SUBTOTAL(3,$B$4:B76)</f>
        <v>73</v>
      </c>
      <c r="B76" s="422" t="str">
        <f>'Visual chart Edit'!B79</f>
        <v>11/3</v>
      </c>
      <c r="C76" s="422" t="str">
        <f>'Visual chart Edit'!C79</f>
        <v>DA+0</v>
      </c>
      <c r="D76" s="422" t="s">
        <v>1320</v>
      </c>
      <c r="E76" s="474">
        <f>'Visual chart Edit'!I79</f>
        <v>370.7</v>
      </c>
      <c r="F76" s="422" t="str">
        <f>'Visual chart Edit'!K79</f>
        <v>Sandy</v>
      </c>
      <c r="G76" s="422" t="s">
        <v>1301</v>
      </c>
      <c r="H76" s="422"/>
    </row>
    <row r="77" spans="1:8" x14ac:dyDescent="0.25">
      <c r="A77" s="422">
        <f>+SUBTOTAL(3,$B$4:B77)</f>
        <v>74</v>
      </c>
      <c r="B77" s="422" t="str">
        <f>'Visual chart Edit'!B80</f>
        <v>11/4</v>
      </c>
      <c r="C77" s="422" t="str">
        <f>'Visual chart Edit'!C80</f>
        <v>DA+0</v>
      </c>
      <c r="D77" s="422" t="s">
        <v>1320</v>
      </c>
      <c r="E77" s="474">
        <f>'Visual chart Edit'!I80</f>
        <v>434.1</v>
      </c>
      <c r="F77" s="422" t="str">
        <f>'Visual chart Edit'!K80</f>
        <v>Sandy</v>
      </c>
      <c r="G77" s="422" t="str">
        <f>'Visual chart Edit'!L80</f>
        <v>E</v>
      </c>
      <c r="H77" s="422"/>
    </row>
    <row r="78" spans="1:8" x14ac:dyDescent="0.25">
      <c r="A78" s="422">
        <f>+SUBTOTAL(3,$B$4:B78)</f>
        <v>75</v>
      </c>
      <c r="B78" s="422" t="str">
        <f>'Visual chart Edit'!B81</f>
        <v>11/5</v>
      </c>
      <c r="C78" s="422" t="str">
        <f>'Visual chart Edit'!C81</f>
        <v>DA+0</v>
      </c>
      <c r="D78" s="422" t="s">
        <v>1320</v>
      </c>
      <c r="E78" s="474">
        <f>'Visual chart Edit'!I81</f>
        <v>368.1</v>
      </c>
      <c r="F78" s="422" t="str">
        <f>'Visual chart Edit'!K81</f>
        <v>DFR</v>
      </c>
      <c r="G78" s="422" t="str">
        <f>'Visual chart Edit'!L81</f>
        <v>E</v>
      </c>
      <c r="H78" s="422"/>
    </row>
    <row r="79" spans="1:8" x14ac:dyDescent="0.25">
      <c r="A79" s="422">
        <f>+SUBTOTAL(3,$B$4:B79)</f>
        <v>76</v>
      </c>
      <c r="B79" s="422" t="str">
        <f>'Visual chart Edit'!B82</f>
        <v>11A/0</v>
      </c>
      <c r="C79" s="422" t="str">
        <f>'Visual chart Edit'!C82</f>
        <v>DB1+0</v>
      </c>
      <c r="D79" s="422" t="s">
        <v>1320</v>
      </c>
      <c r="E79" s="474">
        <f>'Visual chart Edit'!I82</f>
        <v>342.3</v>
      </c>
      <c r="F79" s="422" t="str">
        <f>'Visual chart Edit'!K82</f>
        <v>DRY</v>
      </c>
      <c r="G79" s="422" t="str">
        <f>'Visual chart Edit'!L82</f>
        <v>E</v>
      </c>
      <c r="H79" s="422"/>
    </row>
    <row r="80" spans="1:8" x14ac:dyDescent="0.25">
      <c r="A80" s="422">
        <f>+SUBTOTAL(3,$B$4:B80)</f>
        <v>77</v>
      </c>
      <c r="B80" s="422" t="str">
        <f>'Visual chart Edit'!B83</f>
        <v>11A/1</v>
      </c>
      <c r="C80" s="422" t="str">
        <f>'Visual chart Edit'!C83</f>
        <v>DA+3</v>
      </c>
      <c r="D80" s="422" t="s">
        <v>1320</v>
      </c>
      <c r="E80" s="474">
        <f>'Visual chart Edit'!I83</f>
        <v>405.1</v>
      </c>
      <c r="F80" s="422" t="str">
        <f>'Visual chart Edit'!K83</f>
        <v>DRY</v>
      </c>
      <c r="G80" s="422" t="str">
        <f>'Visual chart Edit'!L83</f>
        <v>E</v>
      </c>
      <c r="H80" s="422"/>
    </row>
    <row r="81" spans="1:8" x14ac:dyDescent="0.25">
      <c r="A81" s="422">
        <f>+SUBTOTAL(3,$B$4:B81)</f>
        <v>78</v>
      </c>
      <c r="B81" s="422" t="str">
        <f>'Visual chart Edit'!B84</f>
        <v>11A/2</v>
      </c>
      <c r="C81" s="422" t="str">
        <f>'Visual chart Edit'!C84</f>
        <v>DA+0</v>
      </c>
      <c r="D81" s="422" t="s">
        <v>1320</v>
      </c>
      <c r="E81" s="474">
        <f>'Visual chart Edit'!I84</f>
        <v>412.2</v>
      </c>
      <c r="F81" s="422" t="str">
        <f>'Visual chart Edit'!K84</f>
        <v>DRY</v>
      </c>
      <c r="G81" s="422" t="str">
        <f>'Visual chart Edit'!L84</f>
        <v>E</v>
      </c>
      <c r="H81" s="422"/>
    </row>
    <row r="82" spans="1:8" x14ac:dyDescent="0.25">
      <c r="A82" s="422">
        <f>+SUBTOTAL(3,$B$4:B82)</f>
        <v>79</v>
      </c>
      <c r="B82" s="422" t="str">
        <f>'Visual chart Edit'!B85</f>
        <v>11A/3</v>
      </c>
      <c r="C82" s="422" t="str">
        <f>'Visual chart Edit'!C85</f>
        <v>DA+3</v>
      </c>
      <c r="D82" s="422" t="s">
        <v>1321</v>
      </c>
      <c r="E82" s="474">
        <f>'Visual chart Edit'!I85</f>
        <v>412.2</v>
      </c>
      <c r="F82" s="422" t="str">
        <f>'Visual chart Edit'!K85</f>
        <v>DRY</v>
      </c>
      <c r="G82" s="422" t="str">
        <f>'Visual chart Edit'!L85</f>
        <v>E</v>
      </c>
      <c r="H82" s="422"/>
    </row>
    <row r="83" spans="1:8" x14ac:dyDescent="0.25">
      <c r="A83" s="422">
        <f>+SUBTOTAL(3,$B$4:B83)</f>
        <v>80</v>
      </c>
      <c r="B83" s="422" t="str">
        <f>'Visual chart Edit'!B86</f>
        <v>11A/4</v>
      </c>
      <c r="C83" s="422" t="str">
        <f>'Visual chart Edit'!C86</f>
        <v>DA+3</v>
      </c>
      <c r="D83" s="422" t="s">
        <v>1321</v>
      </c>
      <c r="E83" s="474">
        <f>'Visual chart Edit'!I86</f>
        <v>422.1</v>
      </c>
      <c r="F83" s="422" t="str">
        <f>'Visual chart Edit'!K86</f>
        <v>DRY</v>
      </c>
      <c r="G83" s="422" t="s">
        <v>129</v>
      </c>
      <c r="H83" s="422"/>
    </row>
    <row r="84" spans="1:8" x14ac:dyDescent="0.25">
      <c r="A84" s="422">
        <f>+SUBTOTAL(3,$B$4:B84)</f>
        <v>81</v>
      </c>
      <c r="B84" s="422" t="str">
        <f>'Visual chart Edit'!B87</f>
        <v>11A/5</v>
      </c>
      <c r="C84" s="422" t="str">
        <f>'Visual chart Edit'!C87</f>
        <v>DA+3</v>
      </c>
      <c r="D84" s="422" t="s">
        <v>1321</v>
      </c>
      <c r="E84" s="474">
        <f>'Visual chart Edit'!I87</f>
        <v>418.3</v>
      </c>
      <c r="F84" s="422" t="str">
        <f>'Visual chart Edit'!K87</f>
        <v>DRY</v>
      </c>
      <c r="G84" s="422" t="str">
        <f>'Visual chart Edit'!L87</f>
        <v>E</v>
      </c>
      <c r="H84" s="422"/>
    </row>
    <row r="85" spans="1:8" x14ac:dyDescent="0.25">
      <c r="A85" s="422">
        <f>+SUBTOTAL(3,$B$4:B85)</f>
        <v>82</v>
      </c>
      <c r="B85" s="422" t="str">
        <f>'Visual chart Edit'!B88</f>
        <v>11A/6</v>
      </c>
      <c r="C85" s="422" t="str">
        <f>'Visual chart Edit'!C88</f>
        <v>DA+6</v>
      </c>
      <c r="D85" s="422" t="s">
        <v>1321</v>
      </c>
      <c r="E85" s="474">
        <f>'Visual chart Edit'!I88</f>
        <v>384.3</v>
      </c>
      <c r="F85" s="422" t="str">
        <f>'Visual chart Edit'!K88</f>
        <v>DRY</v>
      </c>
      <c r="G85" s="422" t="str">
        <f>'Visual chart Edit'!L88</f>
        <v>E</v>
      </c>
      <c r="H85" s="422"/>
    </row>
    <row r="86" spans="1:8" x14ac:dyDescent="0.25">
      <c r="A86" s="422">
        <f>+SUBTOTAL(3,$B$4:B86)</f>
        <v>83</v>
      </c>
      <c r="B86" s="422" t="str">
        <f>'Visual chart Edit'!B89</f>
        <v>11A/7</v>
      </c>
      <c r="C86" s="422" t="str">
        <f>'Visual chart Edit'!C89</f>
        <v>DA+9</v>
      </c>
      <c r="D86" s="422" t="s">
        <v>1321</v>
      </c>
      <c r="E86" s="474">
        <f>'Visual chart Edit'!I89</f>
        <v>434.2</v>
      </c>
      <c r="F86" s="422" t="str">
        <f>'Visual chart Edit'!K89</f>
        <v>Sandy</v>
      </c>
      <c r="G86" s="422" t="str">
        <f>'Visual chart Edit'!L89</f>
        <v>E</v>
      </c>
      <c r="H86" s="422"/>
    </row>
    <row r="87" spans="1:8" x14ac:dyDescent="0.25">
      <c r="A87" s="422">
        <f>+SUBTOTAL(3,$B$4:B87)</f>
        <v>84</v>
      </c>
      <c r="B87" s="422" t="str">
        <f>'Visual chart Edit'!B90</f>
        <v>11A/8</v>
      </c>
      <c r="C87" s="422" t="str">
        <f>'Visual chart Edit'!C90</f>
        <v>DA+6</v>
      </c>
      <c r="D87" s="422" t="s">
        <v>1321</v>
      </c>
      <c r="E87" s="474">
        <f>'Visual chart Edit'!I90</f>
        <v>390.1</v>
      </c>
      <c r="F87" s="422" t="str">
        <f>'Visual chart Edit'!K90</f>
        <v>Sandy</v>
      </c>
      <c r="G87" s="422" t="s">
        <v>129</v>
      </c>
      <c r="H87" s="422"/>
    </row>
    <row r="88" spans="1:8" x14ac:dyDescent="0.25">
      <c r="A88" s="422">
        <f>+SUBTOTAL(3,$B$4:B88)</f>
        <v>85</v>
      </c>
      <c r="B88" s="422" t="str">
        <f>'Visual chart Edit'!B91</f>
        <v>11A/9</v>
      </c>
      <c r="C88" s="422" t="str">
        <f>'Visual chart Edit'!C91</f>
        <v>DA+3</v>
      </c>
      <c r="D88" s="422" t="s">
        <v>1321</v>
      </c>
      <c r="E88" s="474">
        <f>'Visual chart Edit'!I91</f>
        <v>426.3</v>
      </c>
      <c r="F88" s="422" t="str">
        <f>'Visual chart Edit'!K91</f>
        <v>DRY</v>
      </c>
      <c r="G88" s="422" t="str">
        <f>'Visual chart Edit'!L91</f>
        <v>E</v>
      </c>
      <c r="H88" s="422"/>
    </row>
    <row r="89" spans="1:8" x14ac:dyDescent="0.25">
      <c r="A89" s="422">
        <f>+SUBTOTAL(3,$B$4:B89)</f>
        <v>86</v>
      </c>
      <c r="B89" s="422" t="str">
        <f>'Visual chart Edit'!B92</f>
        <v>12/0</v>
      </c>
      <c r="C89" s="422" t="str">
        <f>'Visual chart Edit'!C92</f>
        <v>DD60+0</v>
      </c>
      <c r="D89" s="422" t="s">
        <v>1321</v>
      </c>
      <c r="E89" s="474">
        <f>'Visual chart Edit'!I92</f>
        <v>405.9</v>
      </c>
      <c r="F89" s="422" t="str">
        <f>'Visual chart Edit'!K92</f>
        <v>DRY</v>
      </c>
      <c r="G89" s="422" t="str">
        <f>'Visual chart Edit'!L92</f>
        <v>E</v>
      </c>
      <c r="H89" s="422"/>
    </row>
    <row r="90" spans="1:8" x14ac:dyDescent="0.25">
      <c r="A90" s="422">
        <f>+SUBTOTAL(3,$B$4:B90)</f>
        <v>87</v>
      </c>
      <c r="B90" s="422" t="str">
        <f>'Visual chart Edit'!B93</f>
        <v>13/0</v>
      </c>
      <c r="C90" s="422" t="str">
        <f>'Visual chart Edit'!C93</f>
        <v>DD60+3</v>
      </c>
      <c r="D90" s="422" t="s">
        <v>1321</v>
      </c>
      <c r="E90" s="474">
        <f>'Visual chart Edit'!I93</f>
        <v>211.9</v>
      </c>
      <c r="F90" s="422" t="str">
        <f>'Visual chart Edit'!K93</f>
        <v>DRY</v>
      </c>
      <c r="G90" s="422" t="s">
        <v>129</v>
      </c>
      <c r="H90" s="422"/>
    </row>
    <row r="91" spans="1:8" x14ac:dyDescent="0.25">
      <c r="A91" s="422">
        <f>+SUBTOTAL(3,$B$4:B91)</f>
        <v>88</v>
      </c>
      <c r="B91" s="422" t="str">
        <f>'Visual chart Edit'!B94</f>
        <v>13/1</v>
      </c>
      <c r="C91" s="422" t="str">
        <f>'Visual chart Edit'!C94</f>
        <v>DA+9</v>
      </c>
      <c r="D91" s="422" t="s">
        <v>1321</v>
      </c>
      <c r="E91" s="474">
        <f>'Visual chart Edit'!I94</f>
        <v>464.3</v>
      </c>
      <c r="F91" s="422" t="str">
        <f>'Visual chart Edit'!K94</f>
        <v>DRY</v>
      </c>
      <c r="G91" s="422" t="s">
        <v>129</v>
      </c>
      <c r="H91" s="422"/>
    </row>
    <row r="92" spans="1:8" x14ac:dyDescent="0.25">
      <c r="A92" s="422">
        <f>+SUBTOTAL(3,$B$4:B92)</f>
        <v>89</v>
      </c>
      <c r="B92" s="422" t="str">
        <f>'Visual chart Edit'!B95</f>
        <v>13/2</v>
      </c>
      <c r="C92" s="422" t="str">
        <f>'Visual chart Edit'!C95</f>
        <v>DA+3</v>
      </c>
      <c r="D92" s="422" t="s">
        <v>1321</v>
      </c>
      <c r="E92" s="474">
        <f>'Visual chart Edit'!I95</f>
        <v>373.7</v>
      </c>
      <c r="F92" s="422" t="str">
        <f>'Visual chart Edit'!K95</f>
        <v>DRY</v>
      </c>
      <c r="G92" s="422" t="str">
        <f>'Visual chart Edit'!L95</f>
        <v>E</v>
      </c>
      <c r="H92" s="422"/>
    </row>
    <row r="93" spans="1:8" x14ac:dyDescent="0.25">
      <c r="A93" s="422">
        <f>+SUBTOTAL(3,$B$4:B93)</f>
        <v>90</v>
      </c>
      <c r="B93" s="422" t="str">
        <f>'Visual chart Edit'!B96</f>
        <v>13/3</v>
      </c>
      <c r="C93" s="422" t="str">
        <f>'Visual chart Edit'!C96</f>
        <v>DA+3</v>
      </c>
      <c r="D93" s="422" t="s">
        <v>1321</v>
      </c>
      <c r="E93" s="474">
        <f>'Visual chart Edit'!I96</f>
        <v>419.7</v>
      </c>
      <c r="F93" s="422" t="str">
        <f>'Visual chart Edit'!K96</f>
        <v>Sandy</v>
      </c>
      <c r="G93" s="422" t="s">
        <v>129</v>
      </c>
      <c r="H93" s="422"/>
    </row>
    <row r="94" spans="1:8" x14ac:dyDescent="0.25">
      <c r="A94" s="422">
        <f>+SUBTOTAL(3,$B$4:B94)</f>
        <v>91</v>
      </c>
      <c r="B94" s="422" t="str">
        <f>'Visual chart Edit'!B97</f>
        <v>13/4</v>
      </c>
      <c r="C94" s="422" t="str">
        <f>'Visual chart Edit'!C97</f>
        <v>DA+3</v>
      </c>
      <c r="D94" s="422" t="s">
        <v>1321</v>
      </c>
      <c r="E94" s="474">
        <f>'Visual chart Edit'!I97</f>
        <v>420.3</v>
      </c>
      <c r="F94" s="422" t="str">
        <f>'Visual chart Edit'!K97</f>
        <v>DRY</v>
      </c>
      <c r="G94" s="422"/>
      <c r="H94" s="422"/>
    </row>
    <row r="95" spans="1:8" x14ac:dyDescent="0.25">
      <c r="A95" s="422">
        <f>+SUBTOTAL(3,$B$4:B95)</f>
        <v>92</v>
      </c>
      <c r="B95" s="422" t="str">
        <f>'Visual chart Edit'!B98</f>
        <v>14/0</v>
      </c>
      <c r="C95" s="422" t="str">
        <f>'Visual chart Edit'!C98</f>
        <v>DC2+0</v>
      </c>
      <c r="D95" s="422" t="s">
        <v>1321</v>
      </c>
      <c r="E95" s="474">
        <f>'Visual chart Edit'!I98</f>
        <v>400</v>
      </c>
      <c r="F95" s="422" t="str">
        <f>'Visual chart Edit'!K98</f>
        <v>Sandy</v>
      </c>
      <c r="G95" s="422" t="s">
        <v>129</v>
      </c>
      <c r="H95" s="422"/>
    </row>
    <row r="96" spans="1:8" x14ac:dyDescent="0.25">
      <c r="A96" s="422">
        <f>+SUBTOTAL(3,$B$4:B96)</f>
        <v>93</v>
      </c>
      <c r="B96" s="422" t="str">
        <f>'Visual chart Edit'!B99</f>
        <v>14A/0</v>
      </c>
      <c r="C96" s="422" t="str">
        <f>'Visual chart Edit'!C99</f>
        <v>DC1+0</v>
      </c>
      <c r="D96" s="422" t="s">
        <v>1321</v>
      </c>
      <c r="E96" s="474">
        <f>'Visual chart Edit'!I99</f>
        <v>381.4</v>
      </c>
      <c r="F96" s="422" t="str">
        <f>'Visual chart Edit'!K99</f>
        <v>DRY</v>
      </c>
      <c r="G96" s="422" t="str">
        <f>'Visual chart Edit'!L99</f>
        <v>E</v>
      </c>
      <c r="H96" s="422"/>
    </row>
    <row r="97" spans="1:8" x14ac:dyDescent="0.25">
      <c r="A97" s="422">
        <f>+SUBTOTAL(3,$B$4:B97)</f>
        <v>94</v>
      </c>
      <c r="B97" s="422" t="str">
        <f>'Visual chart Edit'!B100</f>
        <v>14A/1</v>
      </c>
      <c r="C97" s="422" t="str">
        <f>'Visual chart Edit'!C100</f>
        <v>DA+3</v>
      </c>
      <c r="D97" s="422" t="s">
        <v>1321</v>
      </c>
      <c r="E97" s="474">
        <f>'Visual chart Edit'!I100</f>
        <v>412.76499999999999</v>
      </c>
      <c r="F97" s="422" t="str">
        <f>'Visual chart Edit'!K100</f>
        <v>DRY</v>
      </c>
      <c r="G97" s="422" t="str">
        <f>'Visual chart Edit'!L100</f>
        <v>E</v>
      </c>
      <c r="H97" s="422"/>
    </row>
    <row r="98" spans="1:8" x14ac:dyDescent="0.25">
      <c r="A98" s="422">
        <f>+SUBTOTAL(3,$B$4:B98)</f>
        <v>95</v>
      </c>
      <c r="B98" s="422" t="str">
        <f>'Visual chart Edit'!B101</f>
        <v>14A/2</v>
      </c>
      <c r="C98" s="422" t="str">
        <f>'Visual chart Edit'!C101</f>
        <v>DA+0</v>
      </c>
      <c r="D98" s="422" t="s">
        <v>1321</v>
      </c>
      <c r="E98" s="474">
        <f>'Visual chart Edit'!I101</f>
        <v>396.029</v>
      </c>
      <c r="F98" s="422" t="str">
        <f>'Visual chart Edit'!K101</f>
        <v>DRY</v>
      </c>
      <c r="G98" s="422" t="s">
        <v>129</v>
      </c>
      <c r="H98" s="422"/>
    </row>
    <row r="99" spans="1:8" x14ac:dyDescent="0.25">
      <c r="A99" s="422">
        <f>+SUBTOTAL(3,$B$4:B99)</f>
        <v>96</v>
      </c>
      <c r="B99" s="422" t="str">
        <f>'Visual chart Edit'!B102</f>
        <v>15/0</v>
      </c>
      <c r="C99" s="422" t="str">
        <f>'Visual chart Edit'!C102</f>
        <v>DC1+0</v>
      </c>
      <c r="D99" s="422" t="s">
        <v>1321</v>
      </c>
      <c r="E99" s="474">
        <f>'Visual chart Edit'!I102</f>
        <v>383.3</v>
      </c>
      <c r="F99" s="422" t="str">
        <f>'Visual chart Edit'!K102</f>
        <v>DRY</v>
      </c>
      <c r="G99" s="422" t="s">
        <v>129</v>
      </c>
      <c r="H99" s="422"/>
    </row>
    <row r="100" spans="1:8" x14ac:dyDescent="0.25">
      <c r="A100" s="422">
        <f>+SUBTOTAL(3,$B$4:B100)</f>
        <v>97</v>
      </c>
      <c r="B100" s="422" t="str">
        <f>'Visual chart Edit'!B103</f>
        <v>15/1</v>
      </c>
      <c r="C100" s="422" t="str">
        <f>'Visual chart Edit'!C103</f>
        <v>DA+3</v>
      </c>
      <c r="D100" s="422" t="s">
        <v>1321</v>
      </c>
      <c r="E100" s="474">
        <f>'Visual chart Edit'!I103</f>
        <v>404.6</v>
      </c>
      <c r="F100" s="422" t="str">
        <f>'Visual chart Edit'!K103</f>
        <v>DRY</v>
      </c>
      <c r="G100" s="422" t="str">
        <f>'Visual chart Edit'!L103</f>
        <v>E</v>
      </c>
      <c r="H100" s="422"/>
    </row>
    <row r="101" spans="1:8" x14ac:dyDescent="0.25">
      <c r="A101" s="422">
        <f>+SUBTOTAL(3,$B$4:B101)</f>
        <v>98</v>
      </c>
      <c r="B101" s="422" t="str">
        <f>'Visual chart Edit'!B104</f>
        <v>16/0</v>
      </c>
      <c r="C101" s="422" t="str">
        <f>'Visual chart Edit'!C104</f>
        <v>DC1+0</v>
      </c>
      <c r="D101" s="422" t="s">
        <v>1321</v>
      </c>
      <c r="E101" s="474">
        <f>'Visual chart Edit'!I104</f>
        <v>413.3</v>
      </c>
      <c r="F101" s="422" t="str">
        <f>'Visual chart Edit'!K104</f>
        <v>DRY</v>
      </c>
      <c r="G101" s="422" t="str">
        <f>'Visual chart Edit'!L104</f>
        <v>E</v>
      </c>
      <c r="H101" s="422"/>
    </row>
    <row r="102" spans="1:8" x14ac:dyDescent="0.25">
      <c r="A102" s="422">
        <f>+SUBTOTAL(3,$B$4:B102)</f>
        <v>99</v>
      </c>
      <c r="B102" s="422" t="str">
        <f>'Visual chart Edit'!B105</f>
        <v>16/1</v>
      </c>
      <c r="C102" s="422" t="str">
        <f>'Visual chart Edit'!C105</f>
        <v>DA+0</v>
      </c>
      <c r="D102" s="422" t="s">
        <v>1321</v>
      </c>
      <c r="E102" s="474">
        <f>'Visual chart Edit'!I105</f>
        <v>354.28300000000002</v>
      </c>
      <c r="F102" s="422" t="str">
        <f>'Visual chart Edit'!K105</f>
        <v>DRY</v>
      </c>
      <c r="G102" s="422" t="str">
        <f>'Visual chart Edit'!L105</f>
        <v>E</v>
      </c>
      <c r="H102" s="422"/>
    </row>
    <row r="103" spans="1:8" x14ac:dyDescent="0.25">
      <c r="A103" s="422">
        <f>+SUBTOTAL(3,$B$4:B103)</f>
        <v>100</v>
      </c>
      <c r="B103" s="422" t="str">
        <f>'Visual chart Edit'!B106</f>
        <v>16/2</v>
      </c>
      <c r="C103" s="422" t="str">
        <f>'Visual chart Edit'!C106</f>
        <v>DA+0</v>
      </c>
      <c r="D103" s="422" t="s">
        <v>1321</v>
      </c>
      <c r="E103" s="474">
        <f>'Visual chart Edit'!I106</f>
        <v>424.28</v>
      </c>
      <c r="F103" s="422" t="str">
        <f>'Visual chart Edit'!K106</f>
        <v>DRY</v>
      </c>
      <c r="G103" s="422" t="str">
        <f>'Visual chart Edit'!L106</f>
        <v>E</v>
      </c>
      <c r="H103" s="422"/>
    </row>
    <row r="104" spans="1:8" x14ac:dyDescent="0.25">
      <c r="A104" s="422">
        <f>+SUBTOTAL(3,$B$4:B104)</f>
        <v>101</v>
      </c>
      <c r="B104" s="422" t="str">
        <f>'Visual chart Edit'!B107</f>
        <v>16/3</v>
      </c>
      <c r="C104" s="422" t="str">
        <f>'Visual chart Edit'!C107</f>
        <v>DA+3</v>
      </c>
      <c r="D104" s="422" t="s">
        <v>1321</v>
      </c>
      <c r="E104" s="474">
        <f>'Visual chart Edit'!I107</f>
        <v>340.3</v>
      </c>
      <c r="F104" s="422" t="str">
        <f>'Visual chart Edit'!K107</f>
        <v>DRY</v>
      </c>
      <c r="G104" s="422" t="str">
        <f>'Visual chart Edit'!L107</f>
        <v>E</v>
      </c>
      <c r="H104" s="422"/>
    </row>
    <row r="105" spans="1:8" x14ac:dyDescent="0.25">
      <c r="A105" s="422">
        <f>+SUBTOTAL(3,$B$4:B105)</f>
        <v>102</v>
      </c>
      <c r="B105" s="422" t="str">
        <f>'Visual chart Edit'!B108</f>
        <v>16/4</v>
      </c>
      <c r="C105" s="422" t="str">
        <f>'Visual chart Edit'!C108</f>
        <v>DA+0</v>
      </c>
      <c r="D105" s="422" t="s">
        <v>1321</v>
      </c>
      <c r="E105" s="474">
        <f>'Visual chart Edit'!I108</f>
        <v>394.7</v>
      </c>
      <c r="F105" s="422" t="str">
        <f>'Visual chart Edit'!K108</f>
        <v>DRY</v>
      </c>
      <c r="G105" s="422" t="str">
        <f>'Visual chart Edit'!L108</f>
        <v>E</v>
      </c>
      <c r="H105" s="422"/>
    </row>
    <row r="106" spans="1:8" x14ac:dyDescent="0.25">
      <c r="A106" s="422">
        <f>+SUBTOTAL(3,$B$4:B106)</f>
        <v>103</v>
      </c>
      <c r="B106" s="422" t="str">
        <f>'Visual chart Edit'!B109</f>
        <v>16/5</v>
      </c>
      <c r="C106" s="422" t="str">
        <f>'Visual chart Edit'!C109</f>
        <v>DA+3</v>
      </c>
      <c r="D106" s="422" t="s">
        <v>1321</v>
      </c>
      <c r="E106" s="474">
        <f>'Visual chart Edit'!I109</f>
        <v>435.863</v>
      </c>
      <c r="F106" s="422" t="str">
        <f>'Visual chart Edit'!K109</f>
        <v>DRY</v>
      </c>
      <c r="G106" s="422" t="str">
        <f>'Visual chart Edit'!L109</f>
        <v>E</v>
      </c>
      <c r="H106" s="422"/>
    </row>
    <row r="107" spans="1:8" x14ac:dyDescent="0.25">
      <c r="A107" s="422">
        <f>+SUBTOTAL(3,$B$4:B107)</f>
        <v>104</v>
      </c>
      <c r="B107" s="422" t="str">
        <f>'Visual chart Edit'!B110</f>
        <v>17/0</v>
      </c>
      <c r="C107" s="422" t="str">
        <f>'Visual chart Edit'!C110</f>
        <v>DB2+3</v>
      </c>
      <c r="D107" s="422" t="s">
        <v>1321</v>
      </c>
      <c r="E107" s="474">
        <f>'Visual chart Edit'!I110</f>
        <v>386.8</v>
      </c>
      <c r="F107" s="422" t="str">
        <f>'Visual chart Edit'!K110</f>
        <v>DRY</v>
      </c>
      <c r="G107" s="422" t="str">
        <f>'Visual chart Edit'!L110</f>
        <v>E</v>
      </c>
      <c r="H107" s="422"/>
    </row>
    <row r="108" spans="1:8" x14ac:dyDescent="0.25">
      <c r="A108" s="422">
        <f>+SUBTOTAL(3,$B$4:B108)</f>
        <v>105</v>
      </c>
      <c r="B108" s="422" t="str">
        <f>'Visual chart Edit'!B111</f>
        <v>17/1</v>
      </c>
      <c r="C108" s="422" t="str">
        <f>'Visual chart Edit'!C111</f>
        <v>DA+3</v>
      </c>
      <c r="D108" s="422" t="s">
        <v>1321</v>
      </c>
      <c r="E108" s="474">
        <f>'Visual chart Edit'!I111</f>
        <v>393.7</v>
      </c>
      <c r="F108" s="422" t="str">
        <f>'Visual chart Edit'!K111</f>
        <v>DRY</v>
      </c>
      <c r="G108" s="422" t="str">
        <f>'Visual chart Edit'!L111</f>
        <v>E</v>
      </c>
      <c r="H108" s="422"/>
    </row>
    <row r="109" spans="1:8" x14ac:dyDescent="0.25">
      <c r="A109" s="422">
        <f>+SUBTOTAL(3,$B$4:B109)</f>
        <v>106</v>
      </c>
      <c r="B109" s="422" t="str">
        <f>'Visual chart Edit'!B112</f>
        <v>17/2</v>
      </c>
      <c r="C109" s="422" t="str">
        <f>'Visual chart Edit'!C112</f>
        <v>DA+6</v>
      </c>
      <c r="D109" s="422" t="s">
        <v>1321</v>
      </c>
      <c r="E109" s="474">
        <f>'Visual chart Edit'!I112</f>
        <v>415.9</v>
      </c>
      <c r="F109" s="422" t="str">
        <f>'Visual chart Edit'!K112</f>
        <v>DRY</v>
      </c>
      <c r="G109" s="422" t="str">
        <f>'Visual chart Edit'!L112</f>
        <v>E</v>
      </c>
      <c r="H109" s="422"/>
    </row>
    <row r="110" spans="1:8" x14ac:dyDescent="0.25">
      <c r="A110" s="422">
        <f>+SUBTOTAL(3,$B$4:B110)</f>
        <v>107</v>
      </c>
      <c r="B110" s="422" t="str">
        <f>'Visual chart Edit'!B113</f>
        <v>17/3</v>
      </c>
      <c r="C110" s="422" t="str">
        <f>'Visual chart Edit'!C113</f>
        <v>DA+0</v>
      </c>
      <c r="D110" s="422" t="s">
        <v>1321</v>
      </c>
      <c r="E110" s="474">
        <f>'Visual chart Edit'!I113</f>
        <v>422.8</v>
      </c>
      <c r="F110" s="422" t="str">
        <f>'Visual chart Edit'!K113</f>
        <v>DRY</v>
      </c>
      <c r="G110" s="422" t="str">
        <f>'Visual chart Edit'!L113</f>
        <v>E</v>
      </c>
      <c r="H110" s="422"/>
    </row>
    <row r="111" spans="1:8" x14ac:dyDescent="0.25">
      <c r="A111" s="422">
        <f>+SUBTOTAL(3,$B$4:B111)</f>
        <v>108</v>
      </c>
      <c r="B111" s="422" t="str">
        <f>'Visual chart Edit'!B114</f>
        <v>17/4</v>
      </c>
      <c r="C111" s="422" t="str">
        <f>'Visual chart Edit'!C114</f>
        <v>DA+3</v>
      </c>
      <c r="D111" s="422" t="s">
        <v>1321</v>
      </c>
      <c r="E111" s="474">
        <f>'Visual chart Edit'!I114</f>
        <v>409.9</v>
      </c>
      <c r="F111" s="422" t="str">
        <f>'Visual chart Edit'!K114</f>
        <v>DRY</v>
      </c>
      <c r="G111" s="422" t="str">
        <f>'Visual chart Edit'!L114</f>
        <v>E</v>
      </c>
      <c r="H111" s="422"/>
    </row>
    <row r="112" spans="1:8" x14ac:dyDescent="0.25">
      <c r="A112" s="422">
        <f>+SUBTOTAL(3,$B$4:B112)</f>
        <v>109</v>
      </c>
      <c r="B112" s="422" t="str">
        <f>'Visual chart Edit'!B115</f>
        <v>17/5</v>
      </c>
      <c r="C112" s="422" t="str">
        <f>'Visual chart Edit'!C115</f>
        <v>DA+3</v>
      </c>
      <c r="D112" s="422" t="s">
        <v>1321</v>
      </c>
      <c r="E112" s="474">
        <f>'Visual chart Edit'!I115</f>
        <v>425.3</v>
      </c>
      <c r="F112" s="422" t="str">
        <f>'Visual chart Edit'!K115</f>
        <v>DRY</v>
      </c>
      <c r="G112" s="422" t="str">
        <f>'Visual chart Edit'!L115</f>
        <v>E</v>
      </c>
      <c r="H112" s="422"/>
    </row>
    <row r="113" spans="1:8" x14ac:dyDescent="0.25">
      <c r="A113" s="422">
        <f>+SUBTOTAL(3,$B$4:B113)</f>
        <v>110</v>
      </c>
      <c r="B113" s="422" t="str">
        <f>'Visual chart Edit'!B116</f>
        <v>18/0</v>
      </c>
      <c r="C113" s="422" t="str">
        <f>'Visual chart Edit'!C116</f>
        <v>DC2+0</v>
      </c>
      <c r="D113" s="422" t="s">
        <v>1321</v>
      </c>
      <c r="E113" s="474">
        <f>'Visual chart Edit'!I116</f>
        <v>383.4</v>
      </c>
      <c r="F113" s="422" t="str">
        <f>'Visual chart Edit'!K116</f>
        <v>DRY</v>
      </c>
      <c r="G113" s="422" t="str">
        <f>'Visual chart Edit'!L116</f>
        <v>E</v>
      </c>
      <c r="H113" s="422"/>
    </row>
    <row r="114" spans="1:8" x14ac:dyDescent="0.25">
      <c r="A114" s="422">
        <f>+SUBTOTAL(3,$B$4:B114)</f>
        <v>111</v>
      </c>
      <c r="B114" s="422" t="str">
        <f>'Visual chart Edit'!B117</f>
        <v>18/1</v>
      </c>
      <c r="C114" s="422" t="str">
        <f>'Visual chart Edit'!C117</f>
        <v>DA+0</v>
      </c>
      <c r="D114" s="422" t="s">
        <v>1321</v>
      </c>
      <c r="E114" s="474">
        <f>'Visual chart Edit'!I117</f>
        <v>372.8</v>
      </c>
      <c r="F114" s="422" t="str">
        <f>'Visual chart Edit'!K117</f>
        <v>DRY</v>
      </c>
      <c r="G114" s="422" t="str">
        <f>'Visual chart Edit'!L117</f>
        <v>E</v>
      </c>
      <c r="H114" s="422"/>
    </row>
    <row r="115" spans="1:8" x14ac:dyDescent="0.25">
      <c r="A115" s="422">
        <f>+SUBTOTAL(3,$B$4:B115)</f>
        <v>112</v>
      </c>
      <c r="B115" s="422" t="str">
        <f>'Visual chart Edit'!B118</f>
        <v>18/2</v>
      </c>
      <c r="C115" s="422" t="str">
        <f>'Visual chart Edit'!C118</f>
        <v>DA+0</v>
      </c>
      <c r="D115" s="422" t="s">
        <v>1321</v>
      </c>
      <c r="E115" s="474">
        <f>'Visual chart Edit'!I118</f>
        <v>379.8</v>
      </c>
      <c r="F115" s="422" t="str">
        <f>'Visual chart Edit'!K118</f>
        <v>DRY</v>
      </c>
      <c r="G115" s="422" t="str">
        <f>'Visual chart Edit'!L118</f>
        <v>E</v>
      </c>
      <c r="H115" s="422"/>
    </row>
    <row r="116" spans="1:8" x14ac:dyDescent="0.25">
      <c r="A116" s="422">
        <f>+SUBTOTAL(3,$B$4:B116)</f>
        <v>113</v>
      </c>
      <c r="B116" s="422" t="str">
        <f>'Visual chart Edit'!B119</f>
        <v>18/3</v>
      </c>
      <c r="C116" s="422" t="str">
        <f>'Visual chart Edit'!C119</f>
        <v>DA+0</v>
      </c>
      <c r="D116" s="422" t="s">
        <v>1321</v>
      </c>
      <c r="E116" s="474">
        <f>'Visual chart Edit'!I119</f>
        <v>371</v>
      </c>
      <c r="F116" s="422" t="str">
        <f>'Visual chart Edit'!K119</f>
        <v>DRY</v>
      </c>
      <c r="G116" s="422" t="str">
        <f>'Visual chart Edit'!L119</f>
        <v>E</v>
      </c>
      <c r="H116" s="422"/>
    </row>
    <row r="117" spans="1:8" x14ac:dyDescent="0.25">
      <c r="A117" s="422">
        <f>+SUBTOTAL(3,$B$4:B117)</f>
        <v>114</v>
      </c>
      <c r="B117" s="422" t="str">
        <f>'Visual chart Edit'!B120</f>
        <v>18/4</v>
      </c>
      <c r="C117" s="422" t="str">
        <f>'Visual chart Edit'!C120</f>
        <v>DA+0</v>
      </c>
      <c r="D117" s="422" t="s">
        <v>1321</v>
      </c>
      <c r="E117" s="474">
        <f>'Visual chart Edit'!I120</f>
        <v>398.7</v>
      </c>
      <c r="F117" s="422" t="str">
        <f>'Visual chart Edit'!K120</f>
        <v>DRY</v>
      </c>
      <c r="G117" s="422" t="str">
        <f>'Visual chart Edit'!L120</f>
        <v>E</v>
      </c>
      <c r="H117" s="422"/>
    </row>
    <row r="118" spans="1:8" x14ac:dyDescent="0.25">
      <c r="A118" s="422">
        <f>+SUBTOTAL(3,$B$4:B118)</f>
        <v>115</v>
      </c>
      <c r="B118" s="422" t="str">
        <f>'Visual chart Edit'!B121</f>
        <v>19/0</v>
      </c>
      <c r="C118" s="422" t="str">
        <f>'Visual chart Edit'!C121</f>
        <v>DC2+0</v>
      </c>
      <c r="D118" s="422" t="s">
        <v>1321</v>
      </c>
      <c r="E118" s="474">
        <f>'Visual chart Edit'!I121</f>
        <v>380.8</v>
      </c>
      <c r="F118" s="422" t="str">
        <f>'Visual chart Edit'!K121</f>
        <v>DRY</v>
      </c>
      <c r="G118" s="422" t="str">
        <f>'Visual chart Edit'!L121</f>
        <v>E</v>
      </c>
      <c r="H118" s="422"/>
    </row>
    <row r="119" spans="1:8" x14ac:dyDescent="0.25">
      <c r="A119" s="422">
        <f>+SUBTOTAL(3,$B$4:B119)</f>
        <v>116</v>
      </c>
      <c r="B119" s="422" t="str">
        <f>'Visual chart Edit'!B122</f>
        <v>19/1</v>
      </c>
      <c r="C119" s="422" t="str">
        <f>'Visual chart Edit'!C122</f>
        <v>DA+0</v>
      </c>
      <c r="D119" s="422" t="s">
        <v>1321</v>
      </c>
      <c r="E119" s="474">
        <f>'Visual chart Edit'!I122</f>
        <v>366.9</v>
      </c>
      <c r="F119" s="422" t="str">
        <f>'Visual chart Edit'!K122</f>
        <v>DRY</v>
      </c>
      <c r="G119" s="422" t="s">
        <v>129</v>
      </c>
      <c r="H119" s="422"/>
    </row>
    <row r="120" spans="1:8" x14ac:dyDescent="0.25">
      <c r="A120" s="422">
        <f>+SUBTOTAL(3,$B$4:B120)</f>
        <v>117</v>
      </c>
      <c r="B120" s="422" t="str">
        <f>'Visual chart Edit'!B123</f>
        <v>19/2</v>
      </c>
      <c r="C120" s="422" t="str">
        <f>'Visual chart Edit'!C123</f>
        <v>DA+0</v>
      </c>
      <c r="D120" s="422" t="s">
        <v>1322</v>
      </c>
      <c r="E120" s="474">
        <f>'Visual chart Edit'!I123</f>
        <v>372.5</v>
      </c>
      <c r="F120" s="422" t="str">
        <f>'Visual chart Edit'!K123</f>
        <v>DRY</v>
      </c>
      <c r="G120" s="422" t="str">
        <f>'Visual chart Edit'!L123</f>
        <v>E</v>
      </c>
      <c r="H120" s="422"/>
    </row>
    <row r="121" spans="1:8" x14ac:dyDescent="0.25">
      <c r="A121" s="422">
        <f>+SUBTOTAL(3,$B$4:B121)</f>
        <v>118</v>
      </c>
      <c r="B121" s="422" t="str">
        <f>'Visual chart Edit'!B124</f>
        <v>19/3</v>
      </c>
      <c r="C121" s="422" t="str">
        <f>'Visual chart Edit'!C124</f>
        <v>DA+0</v>
      </c>
      <c r="D121" s="422" t="s">
        <v>1322</v>
      </c>
      <c r="E121" s="474">
        <f>'Visual chart Edit'!I124</f>
        <v>376.5</v>
      </c>
      <c r="F121" s="422" t="str">
        <f>'Visual chart Edit'!K124</f>
        <v>DRY</v>
      </c>
      <c r="G121" s="422" t="s">
        <v>129</v>
      </c>
      <c r="H121" s="422"/>
    </row>
    <row r="122" spans="1:8" x14ac:dyDescent="0.25">
      <c r="A122" s="422">
        <f>+SUBTOTAL(3,$B$4:B122)</f>
        <v>119</v>
      </c>
      <c r="B122" s="422" t="str">
        <f>'Visual chart Edit'!B125</f>
        <v>19/4</v>
      </c>
      <c r="C122" s="422" t="str">
        <f>'Visual chart Edit'!C125</f>
        <v>DA+0</v>
      </c>
      <c r="D122" s="422" t="s">
        <v>1322</v>
      </c>
      <c r="E122" s="474">
        <f>'Visual chart Edit'!I125</f>
        <v>384.3</v>
      </c>
      <c r="F122" s="422" t="str">
        <f>'Visual chart Edit'!K125</f>
        <v>DRY</v>
      </c>
      <c r="G122" s="422"/>
      <c r="H122" s="422"/>
    </row>
    <row r="123" spans="1:8" x14ac:dyDescent="0.25">
      <c r="A123" s="422">
        <f>+SUBTOTAL(3,$B$4:B123)</f>
        <v>120</v>
      </c>
      <c r="B123" s="422" t="str">
        <f>'Visual chart Edit'!B126</f>
        <v>19/5</v>
      </c>
      <c r="C123" s="422" t="str">
        <f>'Visual chart Edit'!C126</f>
        <v>DA+0</v>
      </c>
      <c r="D123" s="422" t="s">
        <v>1322</v>
      </c>
      <c r="E123" s="474">
        <f>'Visual chart Edit'!I126</f>
        <v>375.4</v>
      </c>
      <c r="F123" s="422" t="str">
        <f>'Visual chart Edit'!K126</f>
        <v>DRY</v>
      </c>
      <c r="G123" s="422" t="str">
        <f>'Visual chart Edit'!L126</f>
        <v>E</v>
      </c>
      <c r="H123" s="422"/>
    </row>
    <row r="124" spans="1:8" x14ac:dyDescent="0.25">
      <c r="A124" s="422">
        <f>+SUBTOTAL(3,$B$4:B124)</f>
        <v>121</v>
      </c>
      <c r="B124" s="422" t="str">
        <f>'Visual chart Edit'!B127</f>
        <v>20/0</v>
      </c>
      <c r="C124" s="422" t="str">
        <f>'Visual chart Edit'!C127</f>
        <v>DB2+0</v>
      </c>
      <c r="D124" s="422" t="s">
        <v>1322</v>
      </c>
      <c r="E124" s="474">
        <f>'Visual chart Edit'!I127</f>
        <v>381.2</v>
      </c>
      <c r="F124" s="422" t="str">
        <f>'Visual chart Edit'!K127</f>
        <v>Sandy</v>
      </c>
      <c r="G124" s="422" t="str">
        <f>'Visual chart Edit'!L127</f>
        <v>E</v>
      </c>
      <c r="H124" s="422"/>
    </row>
    <row r="125" spans="1:8" x14ac:dyDescent="0.25">
      <c r="A125" s="422">
        <f>+SUBTOTAL(3,$B$4:B125)</f>
        <v>122</v>
      </c>
      <c r="B125" s="422" t="str">
        <f>'Visual chart Edit'!B128</f>
        <v>20/1</v>
      </c>
      <c r="C125" s="422" t="str">
        <f>'Visual chart Edit'!C128</f>
        <v>DA+0</v>
      </c>
      <c r="D125" s="422" t="s">
        <v>1322</v>
      </c>
      <c r="E125" s="474">
        <f>'Visual chart Edit'!I128</f>
        <v>386.8</v>
      </c>
      <c r="F125" s="422" t="str">
        <f>'Visual chart Edit'!K128</f>
        <v>Sandy</v>
      </c>
      <c r="G125" s="422" t="s">
        <v>129</v>
      </c>
      <c r="H125" s="422"/>
    </row>
    <row r="126" spans="1:8" x14ac:dyDescent="0.25">
      <c r="A126" s="422">
        <f>+SUBTOTAL(3,$B$4:B126)</f>
        <v>123</v>
      </c>
      <c r="B126" s="422" t="str">
        <f>'Visual chart Edit'!B129</f>
        <v>20/2</v>
      </c>
      <c r="C126" s="422" t="str">
        <f>'Visual chart Edit'!C129</f>
        <v>DA+0</v>
      </c>
      <c r="D126" s="422" t="s">
        <v>1322</v>
      </c>
      <c r="E126" s="474">
        <f>'Visual chart Edit'!I129</f>
        <v>387</v>
      </c>
      <c r="F126" s="422" t="str">
        <f>'Visual chart Edit'!K129</f>
        <v>DRY</v>
      </c>
      <c r="G126" s="422" t="str">
        <f>'Visual chart Edit'!L129</f>
        <v>E</v>
      </c>
      <c r="H126" s="422"/>
    </row>
    <row r="127" spans="1:8" x14ac:dyDescent="0.25">
      <c r="A127" s="422">
        <f>+SUBTOTAL(3,$B$4:B127)</f>
        <v>124</v>
      </c>
      <c r="B127" s="422" t="str">
        <f>'Visual chart Edit'!B130</f>
        <v>20/3</v>
      </c>
      <c r="C127" s="422" t="str">
        <f>'Visual chart Edit'!C130</f>
        <v>DA+0</v>
      </c>
      <c r="D127" s="422" t="s">
        <v>1322</v>
      </c>
      <c r="E127" s="474">
        <f>'Visual chart Edit'!I130</f>
        <v>348.5</v>
      </c>
      <c r="F127" s="422" t="str">
        <f>'Visual chart Edit'!K130</f>
        <v>DRY</v>
      </c>
      <c r="G127" s="422" t="str">
        <f>'Visual chart Edit'!L130</f>
        <v>E</v>
      </c>
      <c r="H127" s="422"/>
    </row>
    <row r="128" spans="1:8" x14ac:dyDescent="0.25">
      <c r="A128" s="422">
        <f>+SUBTOTAL(3,$B$4:B128)</f>
        <v>125</v>
      </c>
      <c r="B128" s="422" t="str">
        <f>'Visual chart Edit'!B131</f>
        <v>21/0</v>
      </c>
      <c r="C128" s="422" t="str">
        <f>'Visual chart Edit'!C131</f>
        <v>DB2+0</v>
      </c>
      <c r="D128" s="422" t="s">
        <v>1322</v>
      </c>
      <c r="E128" s="474">
        <f>'Visual chart Edit'!I131</f>
        <v>355</v>
      </c>
      <c r="F128" s="422" t="str">
        <f>'Visual chart Edit'!K131</f>
        <v>DRY</v>
      </c>
      <c r="G128" s="422" t="str">
        <f>'Visual chart Edit'!L131</f>
        <v>E</v>
      </c>
      <c r="H128" s="422"/>
    </row>
    <row r="129" spans="1:9" x14ac:dyDescent="0.25">
      <c r="A129" s="422">
        <f>+SUBTOTAL(3,$B$4:B129)</f>
        <v>126</v>
      </c>
      <c r="B129" s="422" t="str">
        <f>'Visual chart Edit'!B132</f>
        <v>21/1</v>
      </c>
      <c r="C129" s="422" t="str">
        <f>'Visual chart Edit'!C132</f>
        <v>DA+6</v>
      </c>
      <c r="D129" s="422" t="s">
        <v>1322</v>
      </c>
      <c r="E129" s="474">
        <f>'Visual chart Edit'!I132</f>
        <v>414.9</v>
      </c>
      <c r="F129" s="422" t="s">
        <v>129</v>
      </c>
      <c r="G129" s="422"/>
      <c r="H129" s="422"/>
    </row>
    <row r="130" spans="1:9" x14ac:dyDescent="0.25">
      <c r="A130" s="422">
        <f>+SUBTOTAL(3,$B$4:B130)</f>
        <v>127</v>
      </c>
      <c r="B130" s="422" t="str">
        <f>'Visual chart Edit'!B133</f>
        <v>21/2</v>
      </c>
      <c r="C130" s="422" t="str">
        <f>'Visual chart Edit'!C133</f>
        <v>DA+0</v>
      </c>
      <c r="D130" s="422" t="s">
        <v>1322</v>
      </c>
      <c r="E130" s="474">
        <f>'Visual chart Edit'!I133</f>
        <v>407.2</v>
      </c>
      <c r="F130" s="422" t="str">
        <f>'Visual chart Edit'!K133</f>
        <v>Sandy</v>
      </c>
      <c r="G130" s="422" t="s">
        <v>129</v>
      </c>
      <c r="H130" s="422"/>
    </row>
    <row r="131" spans="1:9" x14ac:dyDescent="0.25">
      <c r="A131" s="422">
        <f>+SUBTOTAL(3,$B$4:B131)</f>
        <v>128</v>
      </c>
      <c r="B131" s="422" t="str">
        <f>'Visual chart Edit'!B134</f>
        <v>21/3</v>
      </c>
      <c r="C131" s="422" t="str">
        <f>'Visual chart Edit'!C134</f>
        <v>DA+6</v>
      </c>
      <c r="D131" s="422" t="s">
        <v>1322</v>
      </c>
      <c r="E131" s="474">
        <f>'Visual chart Edit'!I134</f>
        <v>432.2</v>
      </c>
      <c r="F131" s="422" t="str">
        <f>'Visual chart Edit'!K134</f>
        <v>Sandy</v>
      </c>
      <c r="G131" s="422" t="str">
        <f>'Visual chart Edit'!L134</f>
        <v>E</v>
      </c>
      <c r="H131" s="422"/>
    </row>
    <row r="132" spans="1:9" x14ac:dyDescent="0.25">
      <c r="A132" s="422">
        <f>+SUBTOTAL(3,$B$4:B132)</f>
        <v>129</v>
      </c>
      <c r="B132" s="422" t="str">
        <f>'Visual chart Edit'!B135</f>
        <v>21/4</v>
      </c>
      <c r="C132" s="422" t="str">
        <f>'Visual chart Edit'!C135</f>
        <v>DA+3</v>
      </c>
      <c r="D132" s="422" t="s">
        <v>1322</v>
      </c>
      <c r="E132" s="474">
        <f>'Visual chart Edit'!I135</f>
        <v>401.9</v>
      </c>
      <c r="F132" s="422" t="str">
        <f>'Visual chart Edit'!K135</f>
        <v>Sandy</v>
      </c>
      <c r="G132" s="422" t="str">
        <f>'Visual chart Edit'!L135</f>
        <v>E</v>
      </c>
      <c r="H132" s="422"/>
    </row>
    <row r="133" spans="1:9" x14ac:dyDescent="0.25">
      <c r="A133" s="422">
        <f>+SUBTOTAL(3,$B$4:B133)</f>
        <v>130</v>
      </c>
      <c r="B133" s="422" t="str">
        <f>'Visual chart Edit'!B136</f>
        <v>21/5</v>
      </c>
      <c r="C133" s="422" t="str">
        <f>'Visual chart Edit'!C136</f>
        <v>DA+6</v>
      </c>
      <c r="D133" s="422" t="s">
        <v>1322</v>
      </c>
      <c r="E133" s="474">
        <f>'Visual chart Edit'!I136</f>
        <v>434.2</v>
      </c>
      <c r="F133" s="422" t="str">
        <f>'Visual chart Edit'!K136</f>
        <v>DFR</v>
      </c>
      <c r="G133" s="422" t="str">
        <f>'Visual chart Edit'!L136</f>
        <v>E</v>
      </c>
      <c r="H133" s="422"/>
    </row>
    <row r="134" spans="1:9" x14ac:dyDescent="0.25">
      <c r="A134" s="422">
        <f>+SUBTOTAL(3,$B$4:B134)</f>
        <v>131</v>
      </c>
      <c r="B134" s="422" t="str">
        <f>'Visual chart Edit'!B137</f>
        <v>21/6</v>
      </c>
      <c r="C134" s="422" t="str">
        <f>'Visual chart Edit'!C137</f>
        <v>DA+3</v>
      </c>
      <c r="D134" s="422" t="s">
        <v>1322</v>
      </c>
      <c r="E134" s="474">
        <f>'Visual chart Edit'!I137</f>
        <v>405.5</v>
      </c>
      <c r="F134" s="422" t="str">
        <f>'Visual chart Edit'!K137</f>
        <v>DRY</v>
      </c>
      <c r="G134" s="422"/>
      <c r="H134" s="422"/>
    </row>
    <row r="135" spans="1:9" x14ac:dyDescent="0.25">
      <c r="A135" s="422">
        <f>+SUBTOTAL(3,$B$4:B135)</f>
        <v>132</v>
      </c>
      <c r="B135" s="422" t="str">
        <f>'Visual chart Edit'!B138</f>
        <v>21/7</v>
      </c>
      <c r="C135" s="422" t="str">
        <f>'Visual chart Edit'!C138</f>
        <v>DA+3</v>
      </c>
      <c r="D135" s="422" t="s">
        <v>1322</v>
      </c>
      <c r="E135" s="474">
        <f>'Visual chart Edit'!I138</f>
        <v>426</v>
      </c>
      <c r="F135" s="422" t="str">
        <f>'Visual chart Edit'!K138</f>
        <v>DFR</v>
      </c>
      <c r="G135" s="422" t="s">
        <v>129</v>
      </c>
      <c r="H135" s="422"/>
    </row>
    <row r="136" spans="1:9" x14ac:dyDescent="0.25">
      <c r="A136" s="422">
        <f>+SUBTOTAL(3,$B$4:B136)</f>
        <v>133</v>
      </c>
      <c r="B136" s="422" t="str">
        <f>'Visual chart Edit'!B139</f>
        <v>21/8</v>
      </c>
      <c r="C136" s="422" t="str">
        <f>'Visual chart Edit'!C139</f>
        <v>DA+6</v>
      </c>
      <c r="D136" s="422" t="s">
        <v>1322</v>
      </c>
      <c r="E136" s="474">
        <f>'Visual chart Edit'!I139</f>
        <v>406.9</v>
      </c>
      <c r="F136" s="422" t="str">
        <f>'Visual chart Edit'!K139</f>
        <v>DRY</v>
      </c>
      <c r="G136" s="422"/>
      <c r="H136" s="422"/>
    </row>
    <row r="137" spans="1:9" x14ac:dyDescent="0.25">
      <c r="A137" s="422">
        <f>+SUBTOTAL(3,$B$4:B137)</f>
        <v>134</v>
      </c>
      <c r="B137" s="422" t="str">
        <f>'Visual chart Edit'!B140</f>
        <v>21/9</v>
      </c>
      <c r="C137" s="422" t="str">
        <f>'Visual chart Edit'!C140</f>
        <v>DA+3</v>
      </c>
      <c r="D137" s="422" t="s">
        <v>1322</v>
      </c>
      <c r="E137" s="474">
        <f>'Visual chart Edit'!I140</f>
        <v>433.3</v>
      </c>
      <c r="F137" s="422" t="str">
        <f>'Visual chart Edit'!K140</f>
        <v>DFR</v>
      </c>
      <c r="G137" s="422" t="s">
        <v>129</v>
      </c>
      <c r="H137" s="422"/>
    </row>
    <row r="138" spans="1:9" x14ac:dyDescent="0.25">
      <c r="A138" s="422">
        <f>+SUBTOTAL(3,$B$4:B138)</f>
        <v>135</v>
      </c>
      <c r="B138" s="422" t="str">
        <f>'Visual chart Edit'!B141</f>
        <v>21/10</v>
      </c>
      <c r="C138" s="422" t="str">
        <f>'Visual chart Edit'!C141</f>
        <v>DA+6</v>
      </c>
      <c r="D138" s="422" t="s">
        <v>1322</v>
      </c>
      <c r="E138" s="474">
        <f>'Visual chart Edit'!I141</f>
        <v>372.9</v>
      </c>
      <c r="F138" s="422" t="str">
        <f>'Visual chart Edit'!K141</f>
        <v>DRY</v>
      </c>
      <c r="G138" s="422" t="s">
        <v>129</v>
      </c>
      <c r="H138" s="422"/>
      <c r="I138" s="491" t="s">
        <v>1629</v>
      </c>
    </row>
    <row r="139" spans="1:9" x14ac:dyDescent="0.25">
      <c r="A139" s="422">
        <f>+SUBTOTAL(3,$B$4:B139)</f>
        <v>136</v>
      </c>
      <c r="B139" s="422" t="str">
        <f>'Visual chart Edit'!B142</f>
        <v>22/0</v>
      </c>
      <c r="C139" s="422" t="str">
        <f>'Visual chart Edit'!C142</f>
        <v>DB2+3</v>
      </c>
      <c r="D139" s="422" t="s">
        <v>1322</v>
      </c>
      <c r="E139" s="474">
        <f>'Visual chart Edit'!I142</f>
        <v>443.5</v>
      </c>
      <c r="F139" s="422" t="str">
        <f>'Visual chart Edit'!K142</f>
        <v>DRY</v>
      </c>
      <c r="G139" s="422"/>
      <c r="H139" s="422"/>
    </row>
    <row r="140" spans="1:9" x14ac:dyDescent="0.25">
      <c r="A140" s="422">
        <f>+SUBTOTAL(3,$B$4:B140)</f>
        <v>137</v>
      </c>
      <c r="B140" s="422" t="str">
        <f>'Visual chart Edit'!B143</f>
        <v>22/1</v>
      </c>
      <c r="C140" s="422" t="str">
        <f>'Visual chart Edit'!C143</f>
        <v>DA+9</v>
      </c>
      <c r="D140" s="422" t="s">
        <v>1322</v>
      </c>
      <c r="E140" s="474">
        <f>'Visual chart Edit'!I143</f>
        <v>456.3</v>
      </c>
      <c r="F140" s="422" t="str">
        <f>'Visual chart Edit'!K143</f>
        <v>Sandy</v>
      </c>
      <c r="G140" s="422" t="s">
        <v>129</v>
      </c>
      <c r="H140" s="422"/>
    </row>
    <row r="141" spans="1:9" x14ac:dyDescent="0.25">
      <c r="A141" s="422">
        <f>+SUBTOTAL(3,$B$4:B141)</f>
        <v>138</v>
      </c>
      <c r="B141" s="422" t="str">
        <f>'Visual chart Edit'!B144</f>
        <v>22/2</v>
      </c>
      <c r="C141" s="422" t="str">
        <f>'Visual chart Edit'!C144</f>
        <v>DA+6</v>
      </c>
      <c r="D141" s="422" t="s">
        <v>1322</v>
      </c>
      <c r="E141" s="474">
        <f>'Visual chart Edit'!I144</f>
        <v>379.2</v>
      </c>
      <c r="F141" s="422" t="str">
        <f>'Visual chart Edit'!K144</f>
        <v>Sandy</v>
      </c>
      <c r="G141" s="422" t="s">
        <v>129</v>
      </c>
      <c r="H141" s="422"/>
    </row>
    <row r="142" spans="1:9" x14ac:dyDescent="0.25">
      <c r="A142" s="422">
        <f>+SUBTOTAL(3,$B$4:B142)</f>
        <v>139</v>
      </c>
      <c r="B142" s="422" t="str">
        <f>'Visual chart Edit'!B145</f>
        <v>22/3</v>
      </c>
      <c r="C142" s="422" t="str">
        <f>'Visual chart Edit'!C145</f>
        <v>DA+9</v>
      </c>
      <c r="D142" s="422" t="s">
        <v>1322</v>
      </c>
      <c r="E142" s="474">
        <f>'Visual chart Edit'!I145</f>
        <v>382.6</v>
      </c>
      <c r="F142" s="422" t="str">
        <f>'Visual chart Edit'!K145</f>
        <v>Sandy</v>
      </c>
      <c r="G142" s="422" t="s">
        <v>129</v>
      </c>
      <c r="H142" s="422"/>
    </row>
    <row r="143" spans="1:9" x14ac:dyDescent="0.25">
      <c r="A143" s="422">
        <f>+SUBTOTAL(3,$B$4:B143)</f>
        <v>140</v>
      </c>
      <c r="B143" s="422" t="str">
        <f>'Visual chart Edit'!B146</f>
        <v>22/4</v>
      </c>
      <c r="C143" s="422" t="str">
        <f>'Visual chart Edit'!C146</f>
        <v>DA+9</v>
      </c>
      <c r="D143" s="422" t="s">
        <v>1322</v>
      </c>
      <c r="E143" s="474">
        <f>'Visual chart Edit'!I146</f>
        <v>435.6</v>
      </c>
      <c r="F143" s="422" t="str">
        <f>'Visual chart Edit'!K146</f>
        <v>Sandy</v>
      </c>
      <c r="G143" s="422" t="s">
        <v>129</v>
      </c>
      <c r="H143" s="422"/>
    </row>
    <row r="144" spans="1:9" x14ac:dyDescent="0.25">
      <c r="A144" s="422">
        <f>+SUBTOTAL(3,$B$4:B144)</f>
        <v>141</v>
      </c>
      <c r="B144" s="422" t="str">
        <f>'Visual chart Edit'!B147</f>
        <v>22/5</v>
      </c>
      <c r="C144" s="422" t="str">
        <f>'Visual chart Edit'!C147</f>
        <v>DA+9</v>
      </c>
      <c r="D144" s="422" t="s">
        <v>1322</v>
      </c>
      <c r="E144" s="474">
        <f>'Visual chart Edit'!I147</f>
        <v>402.1</v>
      </c>
      <c r="F144" s="422" t="str">
        <f>'Visual chart Edit'!K147</f>
        <v>DRY</v>
      </c>
      <c r="G144" s="422" t="s">
        <v>129</v>
      </c>
      <c r="H144" s="422"/>
    </row>
    <row r="145" spans="1:9" x14ac:dyDescent="0.25">
      <c r="A145" s="422">
        <f>+SUBTOTAL(3,$B$4:B145)</f>
        <v>142</v>
      </c>
      <c r="B145" s="422" t="str">
        <f>'Visual chart Edit'!B148</f>
        <v>22/6</v>
      </c>
      <c r="C145" s="422" t="str">
        <f>'Visual chart Edit'!C148</f>
        <v>DA+0</v>
      </c>
      <c r="D145" s="422" t="s">
        <v>1322</v>
      </c>
      <c r="E145" s="474">
        <f>'Visual chart Edit'!I148</f>
        <v>417.3</v>
      </c>
      <c r="F145" s="422" t="str">
        <f>'Visual chart Edit'!K148</f>
        <v>Sandy</v>
      </c>
      <c r="G145" s="422" t="s">
        <v>129</v>
      </c>
      <c r="H145" s="422"/>
    </row>
    <row r="146" spans="1:9" x14ac:dyDescent="0.25">
      <c r="A146" s="422">
        <f>+SUBTOTAL(3,$B$4:B146)</f>
        <v>143</v>
      </c>
      <c r="B146" s="422" t="str">
        <f>'Visual chart Edit'!B149</f>
        <v>22/7</v>
      </c>
      <c r="C146" s="422" t="str">
        <f>'Visual chart Edit'!C149</f>
        <v>DA+0</v>
      </c>
      <c r="D146" s="422" t="s">
        <v>1322</v>
      </c>
      <c r="E146" s="474">
        <f>'Visual chart Edit'!I149</f>
        <v>347.7</v>
      </c>
      <c r="F146" s="422" t="str">
        <f>'Visual chart Edit'!K149</f>
        <v>Sandy</v>
      </c>
      <c r="G146" s="422" t="s">
        <v>129</v>
      </c>
      <c r="H146" s="422"/>
    </row>
    <row r="147" spans="1:9" x14ac:dyDescent="0.25">
      <c r="A147" s="422">
        <f>+SUBTOTAL(3,$B$4:B147)</f>
        <v>144</v>
      </c>
      <c r="B147" s="422" t="str">
        <f>'Visual chart Edit'!B150</f>
        <v>22/8</v>
      </c>
      <c r="C147" s="422" t="str">
        <f>'Visual chart Edit'!C150</f>
        <v>DB1+0</v>
      </c>
      <c r="D147" s="422" t="s">
        <v>1322</v>
      </c>
      <c r="E147" s="474">
        <f>'Visual chart Edit'!I150</f>
        <v>356.3</v>
      </c>
      <c r="F147" s="422" t="str">
        <f>'Visual chart Edit'!K150</f>
        <v>Sandy</v>
      </c>
      <c r="G147" s="422" t="s">
        <v>129</v>
      </c>
      <c r="H147" s="422"/>
    </row>
    <row r="148" spans="1:9" x14ac:dyDescent="0.25">
      <c r="A148" s="422">
        <f>+SUBTOTAL(3,$B$4:B148)</f>
        <v>145</v>
      </c>
      <c r="B148" s="422" t="str">
        <f>'Visual chart Edit'!B151</f>
        <v>22/9</v>
      </c>
      <c r="C148" s="422" t="str">
        <f>'Visual chart Edit'!C151</f>
        <v>DA+6</v>
      </c>
      <c r="D148" s="422" t="s">
        <v>1322</v>
      </c>
      <c r="E148" s="474">
        <f>'Visual chart Edit'!I151</f>
        <v>389.2</v>
      </c>
      <c r="F148" s="422" t="str">
        <f>'Visual chart Edit'!K151</f>
        <v>Sandy</v>
      </c>
      <c r="G148" s="422" t="s">
        <v>129</v>
      </c>
      <c r="H148" s="422"/>
    </row>
    <row r="149" spans="1:9" x14ac:dyDescent="0.25">
      <c r="A149" s="422">
        <f>+SUBTOTAL(3,$B$4:B149)</f>
        <v>146</v>
      </c>
      <c r="B149" s="422" t="str">
        <f>'Visual chart Edit'!B152</f>
        <v>22/10</v>
      </c>
      <c r="C149" s="422" t="str">
        <f>'Visual chart Edit'!C152</f>
        <v>DA+6</v>
      </c>
      <c r="D149" s="422" t="s">
        <v>1323</v>
      </c>
      <c r="E149" s="474">
        <f>'Visual chart Edit'!I152</f>
        <v>343.8</v>
      </c>
      <c r="F149" s="422" t="str">
        <f>'Visual chart Edit'!K152</f>
        <v>Sandy</v>
      </c>
      <c r="G149" s="422"/>
      <c r="H149" s="422"/>
    </row>
    <row r="150" spans="1:9" x14ac:dyDescent="0.25">
      <c r="A150" s="422">
        <f>+SUBTOTAL(3,$B$4:B150)</f>
        <v>147</v>
      </c>
      <c r="B150" s="422" t="str">
        <f>'Visual chart Edit'!B153</f>
        <v>22/11</v>
      </c>
      <c r="C150" s="422" t="str">
        <f>'Visual chart Edit'!C153</f>
        <v>DA+6</v>
      </c>
      <c r="D150" s="422" t="s">
        <v>1323</v>
      </c>
      <c r="E150" s="474">
        <f>'Visual chart Edit'!I153</f>
        <v>395.5</v>
      </c>
      <c r="F150" s="422" t="str">
        <f>'Visual chart Edit'!K153</f>
        <v>Sandy</v>
      </c>
      <c r="G150" s="422" t="s">
        <v>129</v>
      </c>
      <c r="H150" s="422"/>
    </row>
    <row r="151" spans="1:9" x14ac:dyDescent="0.25">
      <c r="A151" s="422">
        <f>+SUBTOTAL(3,$B$4:B151)</f>
        <v>148</v>
      </c>
      <c r="B151" s="422" t="str">
        <f>'Visual chart Edit'!B154</f>
        <v>22/12</v>
      </c>
      <c r="C151" s="422" t="str">
        <f>'Visual chart Edit'!C154</f>
        <v>DA+3</v>
      </c>
      <c r="D151" s="422" t="s">
        <v>1323</v>
      </c>
      <c r="E151" s="474">
        <f>'Visual chart Edit'!I154</f>
        <v>408</v>
      </c>
      <c r="F151" s="422" t="str">
        <f>'Visual chart Edit'!K154</f>
        <v>Sandy</v>
      </c>
      <c r="G151" s="422" t="s">
        <v>129</v>
      </c>
      <c r="H151" s="422"/>
    </row>
    <row r="152" spans="1:9" x14ac:dyDescent="0.25">
      <c r="A152" s="422">
        <f>+SUBTOTAL(3,$B$4:B152)</f>
        <v>149</v>
      </c>
      <c r="B152" s="422" t="str">
        <f>'Visual chart Edit'!B155</f>
        <v>22/13</v>
      </c>
      <c r="C152" s="422" t="str">
        <f>'Visual chart Edit'!C155</f>
        <v>DA+6</v>
      </c>
      <c r="D152" s="422" t="s">
        <v>1323</v>
      </c>
      <c r="E152" s="474">
        <f>'Visual chart Edit'!I155</f>
        <v>318</v>
      </c>
      <c r="F152" s="422" t="str">
        <f>'Visual chart Edit'!K155</f>
        <v>Sandy</v>
      </c>
      <c r="G152" s="422" t="s">
        <v>129</v>
      </c>
      <c r="H152" s="422"/>
    </row>
    <row r="153" spans="1:9" x14ac:dyDescent="0.25">
      <c r="A153" s="422">
        <f>+SUBTOTAL(3,$B$4:B153)</f>
        <v>150</v>
      </c>
      <c r="B153" s="422" t="str">
        <f>'Visual chart Edit'!B156</f>
        <v>23/0</v>
      </c>
      <c r="C153" s="422" t="str">
        <f>'Visual chart Edit'!C156</f>
        <v>DD45+3</v>
      </c>
      <c r="D153" s="422" t="s">
        <v>1323</v>
      </c>
      <c r="E153" s="474">
        <f>'Visual chart Edit'!I156</f>
        <v>447.3</v>
      </c>
      <c r="F153" s="422" t="str">
        <f>'Visual chart Edit'!K156</f>
        <v>DRY</v>
      </c>
      <c r="G153" s="422" t="s">
        <v>129</v>
      </c>
      <c r="H153" s="422"/>
    </row>
    <row r="154" spans="1:9" x14ac:dyDescent="0.25">
      <c r="A154" s="422">
        <f>+SUBTOTAL(3,$B$4:B154)</f>
        <v>151</v>
      </c>
      <c r="B154" s="422" t="str">
        <f>'Visual chart Edit'!B157</f>
        <v>24/0</v>
      </c>
      <c r="C154" s="422" t="str">
        <f>'Visual chart Edit'!C157</f>
        <v>DD45+3</v>
      </c>
      <c r="D154" s="422" t="s">
        <v>1323</v>
      </c>
      <c r="E154" s="474">
        <f>'Visual chart Edit'!I157</f>
        <v>222.2</v>
      </c>
      <c r="F154" s="422" t="str">
        <f>'Visual chart Edit'!K157</f>
        <v>DRY</v>
      </c>
      <c r="G154" s="422" t="str">
        <f>'Visual chart Edit'!L157</f>
        <v>E</v>
      </c>
      <c r="H154" s="422"/>
    </row>
    <row r="155" spans="1:9" x14ac:dyDescent="0.25">
      <c r="A155" s="422">
        <f>+SUBTOTAL(3,$B$4:B155)</f>
        <v>152</v>
      </c>
      <c r="B155" s="422" t="str">
        <f>'Visual chart Edit'!B158</f>
        <v>25/0</v>
      </c>
      <c r="C155" s="422" t="str">
        <f>'Visual chart Edit'!C158</f>
        <v>DC1+6</v>
      </c>
      <c r="D155" s="422" t="s">
        <v>1323</v>
      </c>
      <c r="E155" s="474">
        <f>'Visual chart Edit'!I158</f>
        <v>433.9</v>
      </c>
      <c r="F155" s="422" t="str">
        <f>'Visual chart Edit'!K158</f>
        <v>DRY</v>
      </c>
      <c r="G155" s="422" t="s">
        <v>129</v>
      </c>
      <c r="H155" s="422"/>
      <c r="I155" s="491" t="s">
        <v>1599</v>
      </c>
    </row>
    <row r="156" spans="1:9" x14ac:dyDescent="0.25">
      <c r="A156" s="422">
        <f>+SUBTOTAL(3,$B$4:B156)</f>
        <v>153</v>
      </c>
      <c r="B156" s="422" t="str">
        <f>'Visual chart Edit'!B159</f>
        <v>25/1</v>
      </c>
      <c r="C156" s="422" t="str">
        <f>'Visual chart Edit'!C159</f>
        <v>DA+3</v>
      </c>
      <c r="D156" s="422" t="s">
        <v>1323</v>
      </c>
      <c r="E156" s="474">
        <f>'Visual chart Edit'!I159</f>
        <v>422.3</v>
      </c>
      <c r="F156" s="422" t="str">
        <f>'Visual chart Edit'!K159</f>
        <v>DRY</v>
      </c>
      <c r="G156" s="422" t="s">
        <v>129</v>
      </c>
      <c r="H156" s="422"/>
    </row>
    <row r="157" spans="1:9" x14ac:dyDescent="0.25">
      <c r="A157" s="422">
        <f>+SUBTOTAL(3,$B$4:B157)</f>
        <v>154</v>
      </c>
      <c r="B157" s="422" t="str">
        <f>'Visual chart Edit'!B160</f>
        <v>25/2</v>
      </c>
      <c r="C157" s="422" t="str">
        <f>'Visual chart Edit'!C160</f>
        <v>DA+0</v>
      </c>
      <c r="D157" s="422" t="s">
        <v>1323</v>
      </c>
      <c r="E157" s="474">
        <f>'Visual chart Edit'!I160</f>
        <v>370.7</v>
      </c>
      <c r="F157" s="422" t="str">
        <f>'Visual chart Edit'!K160</f>
        <v>DRY</v>
      </c>
      <c r="G157" s="422" t="s">
        <v>129</v>
      </c>
      <c r="H157" s="422"/>
    </row>
    <row r="158" spans="1:9" x14ac:dyDescent="0.25">
      <c r="A158" s="422">
        <f>+SUBTOTAL(3,$B$4:B158)</f>
        <v>155</v>
      </c>
      <c r="B158" s="422" t="str">
        <f>'Visual chart Edit'!B161</f>
        <v>25/3</v>
      </c>
      <c r="C158" s="422" t="str">
        <f>'Visual chart Edit'!C161</f>
        <v>DA+0</v>
      </c>
      <c r="D158" s="422" t="s">
        <v>1323</v>
      </c>
      <c r="E158" s="474">
        <f>'Visual chart Edit'!I161</f>
        <v>345.7</v>
      </c>
      <c r="F158" s="422" t="str">
        <f>'Visual chart Edit'!K161</f>
        <v>Sandy</v>
      </c>
      <c r="G158" s="422" t="str">
        <f>'Visual chart Edit'!L161</f>
        <v>E</v>
      </c>
      <c r="H158" s="422"/>
    </row>
    <row r="159" spans="1:9" x14ac:dyDescent="0.25">
      <c r="A159" s="422">
        <f>+SUBTOTAL(3,$B$4:B159)</f>
        <v>156</v>
      </c>
      <c r="B159" s="422" t="str">
        <f>'Visual chart Edit'!B162</f>
        <v>25/4</v>
      </c>
      <c r="C159" s="422" t="str">
        <f>'Visual chart Edit'!C162</f>
        <v>DA+0</v>
      </c>
      <c r="D159" s="422" t="s">
        <v>1323</v>
      </c>
      <c r="E159" s="474">
        <f>'Visual chart Edit'!I162</f>
        <v>391.1</v>
      </c>
      <c r="F159" s="422" t="str">
        <f>'Visual chart Edit'!K162</f>
        <v>Sandy</v>
      </c>
      <c r="G159" s="422" t="str">
        <f>'Visual chart Edit'!L162</f>
        <v>E</v>
      </c>
      <c r="H159" s="422"/>
    </row>
    <row r="160" spans="1:9" x14ac:dyDescent="0.25">
      <c r="A160" s="422">
        <f>+SUBTOTAL(3,$B$4:B160)</f>
        <v>157</v>
      </c>
      <c r="B160" s="422" t="str">
        <f>'Visual chart Edit'!B163</f>
        <v>26/0</v>
      </c>
      <c r="C160" s="422" t="str">
        <f>'Visual chart Edit'!C163</f>
        <v>DB1+0</v>
      </c>
      <c r="D160" s="422" t="s">
        <v>1323</v>
      </c>
      <c r="E160" s="474">
        <f>'Visual chart Edit'!I163</f>
        <v>440.4</v>
      </c>
      <c r="F160" s="422" t="str">
        <f>'Visual chart Edit'!K163</f>
        <v>DFR</v>
      </c>
      <c r="G160" s="422" t="str">
        <f>'Visual chart Edit'!L163</f>
        <v>E</v>
      </c>
      <c r="H160" s="422"/>
    </row>
    <row r="161" spans="1:9" x14ac:dyDescent="0.25">
      <c r="A161" s="422">
        <f>+SUBTOTAL(3,$B$4:B161)</f>
        <v>158</v>
      </c>
      <c r="B161" s="422" t="str">
        <f>'Visual chart Edit'!B164</f>
        <v>26/1</v>
      </c>
      <c r="C161" s="422" t="str">
        <f>'Visual chart Edit'!C164</f>
        <v>DA+0</v>
      </c>
      <c r="D161" s="422" t="s">
        <v>1323</v>
      </c>
      <c r="E161" s="474">
        <f>'Visual chart Edit'!I164</f>
        <v>391.4</v>
      </c>
      <c r="F161" s="422" t="str">
        <f>'Visual chart Edit'!K164</f>
        <v>DRY</v>
      </c>
      <c r="G161" s="422" t="str">
        <f>'Visual chart Edit'!L164</f>
        <v>E</v>
      </c>
      <c r="H161" s="422"/>
    </row>
    <row r="162" spans="1:9" x14ac:dyDescent="0.25">
      <c r="A162" s="422">
        <f>+SUBTOTAL(3,$B$4:B162)</f>
        <v>159</v>
      </c>
      <c r="B162" s="422" t="str">
        <f>'Visual chart Edit'!B165</f>
        <v>26/2</v>
      </c>
      <c r="C162" s="422" t="str">
        <f>'Visual chart Edit'!C165</f>
        <v>DA+3</v>
      </c>
      <c r="D162" s="422" t="s">
        <v>1323</v>
      </c>
      <c r="E162" s="474">
        <f>'Visual chart Edit'!I165</f>
        <v>406.5</v>
      </c>
      <c r="F162" s="422" t="str">
        <f>'Visual chart Edit'!K165</f>
        <v>DFR</v>
      </c>
      <c r="G162" s="422" t="str">
        <f>'Visual chart Edit'!L165</f>
        <v>E</v>
      </c>
      <c r="H162" s="422"/>
    </row>
    <row r="163" spans="1:9" x14ac:dyDescent="0.25">
      <c r="A163" s="422">
        <f>+SUBTOTAL(3,$B$4:B163)</f>
        <v>160</v>
      </c>
      <c r="B163" s="422" t="str">
        <f>'Visual chart Edit'!B166</f>
        <v>26/3</v>
      </c>
      <c r="C163" s="422" t="str">
        <f>'Visual chart Edit'!C166</f>
        <v>DA+0</v>
      </c>
      <c r="D163" s="422" t="s">
        <v>1323</v>
      </c>
      <c r="E163" s="474">
        <f>'Visual chart Edit'!I166</f>
        <v>418</v>
      </c>
      <c r="F163" s="422" t="str">
        <f>'Visual chart Edit'!K166</f>
        <v>DRY</v>
      </c>
      <c r="G163" s="422" t="str">
        <f>'Visual chart Edit'!L166</f>
        <v>E</v>
      </c>
      <c r="H163" s="422"/>
    </row>
    <row r="164" spans="1:9" x14ac:dyDescent="0.25">
      <c r="A164" s="422">
        <f>+SUBTOTAL(3,$B$4:B164)</f>
        <v>161</v>
      </c>
      <c r="B164" s="422" t="str">
        <f>'Visual chart Edit'!B167</f>
        <v>26/4</v>
      </c>
      <c r="C164" s="422" t="str">
        <f>'Visual chart Edit'!C167</f>
        <v>DA+6</v>
      </c>
      <c r="D164" s="422" t="s">
        <v>1323</v>
      </c>
      <c r="E164" s="474">
        <f>'Visual chart Edit'!I167</f>
        <v>422.6</v>
      </c>
      <c r="F164" s="422" t="str">
        <f>'Visual chart Edit'!K167</f>
        <v>Sandy</v>
      </c>
      <c r="G164" s="422" t="s">
        <v>129</v>
      </c>
      <c r="H164" s="422"/>
      <c r="I164" s="491" t="s">
        <v>1599</v>
      </c>
    </row>
    <row r="165" spans="1:9" x14ac:dyDescent="0.25">
      <c r="A165" s="422">
        <f>+SUBTOTAL(3,$B$4:B165)</f>
        <v>162</v>
      </c>
      <c r="B165" s="422" t="str">
        <f>'Visual chart Edit'!B168</f>
        <v>26/5</v>
      </c>
      <c r="C165" s="422" t="str">
        <f>'Visual chart Edit'!C168</f>
        <v>DA+6</v>
      </c>
      <c r="D165" s="422" t="s">
        <v>1323</v>
      </c>
      <c r="E165" s="474">
        <f>'Visual chart Edit'!I168</f>
        <v>410</v>
      </c>
      <c r="F165" s="422" t="str">
        <f>'Visual chart Edit'!K168</f>
        <v>Sandy</v>
      </c>
      <c r="G165" s="422" t="str">
        <f>'Visual chart Edit'!L168</f>
        <v>E</v>
      </c>
      <c r="H165" s="422"/>
    </row>
    <row r="166" spans="1:9" x14ac:dyDescent="0.25">
      <c r="A166" s="422">
        <f>+SUBTOTAL(3,$B$4:B166)</f>
        <v>163</v>
      </c>
      <c r="B166" s="422" t="str">
        <f>'Visual chart Edit'!B169</f>
        <v>26/6</v>
      </c>
      <c r="C166" s="422" t="str">
        <f>'Visual chart Edit'!C169</f>
        <v>DA+6</v>
      </c>
      <c r="D166" s="422" t="s">
        <v>1323</v>
      </c>
      <c r="E166" s="474">
        <f>'Visual chart Edit'!I169</f>
        <v>363.4</v>
      </c>
      <c r="F166" s="422" t="str">
        <f>'Visual chart Edit'!K169</f>
        <v>Sandy</v>
      </c>
      <c r="G166" s="422" t="s">
        <v>129</v>
      </c>
      <c r="H166" s="422"/>
    </row>
    <row r="167" spans="1:9" x14ac:dyDescent="0.25">
      <c r="A167" s="422">
        <f>+SUBTOTAL(3,$B$4:B167)</f>
        <v>164</v>
      </c>
      <c r="B167" s="422" t="str">
        <f>'Visual chart Edit'!B170</f>
        <v>26/7</v>
      </c>
      <c r="C167" s="422" t="str">
        <f>'Visual chart Edit'!C170</f>
        <v>DA+0</v>
      </c>
      <c r="D167" s="422" t="s">
        <v>1323</v>
      </c>
      <c r="E167" s="474">
        <f>'Visual chart Edit'!I170</f>
        <v>421.9</v>
      </c>
      <c r="F167" s="422" t="str">
        <f>'Visual chart Edit'!K170</f>
        <v>DFR</v>
      </c>
      <c r="G167" s="422" t="s">
        <v>129</v>
      </c>
      <c r="H167" s="422"/>
    </row>
    <row r="168" spans="1:9" x14ac:dyDescent="0.25">
      <c r="A168" s="422">
        <f>+SUBTOTAL(3,$B$4:B168)</f>
        <v>165</v>
      </c>
      <c r="B168" s="422" t="str">
        <f>'Visual chart Edit'!B171</f>
        <v>26/8</v>
      </c>
      <c r="C168" s="422" t="str">
        <f>'Visual chart Edit'!C171</f>
        <v>DA+6</v>
      </c>
      <c r="D168" s="422" t="s">
        <v>1323</v>
      </c>
      <c r="E168" s="474">
        <f>'Visual chart Edit'!I171</f>
        <v>416.7</v>
      </c>
      <c r="F168" s="422" t="str">
        <f>'Visual chart Edit'!K171</f>
        <v>DFR</v>
      </c>
      <c r="G168" s="422" t="s">
        <v>124</v>
      </c>
      <c r="H168" s="422"/>
    </row>
    <row r="169" spans="1:9" x14ac:dyDescent="0.25">
      <c r="A169" s="422">
        <f>+SUBTOTAL(3,$B$4:B169)</f>
        <v>166</v>
      </c>
      <c r="B169" s="422" t="str">
        <f>'Visual chart Edit'!B172</f>
        <v>27/0</v>
      </c>
      <c r="C169" s="422" t="str">
        <f>'Visual chart Edit'!C172</f>
        <v>DC1+0</v>
      </c>
      <c r="D169" s="422" t="s">
        <v>1323</v>
      </c>
      <c r="E169" s="474">
        <f>'Visual chart Edit'!I172</f>
        <v>413.8</v>
      </c>
      <c r="F169" s="422" t="str">
        <f>'Visual chart Edit'!K172</f>
        <v>DFR</v>
      </c>
      <c r="G169" s="422" t="str">
        <f>'Visual chart Edit'!L172</f>
        <v>E</v>
      </c>
      <c r="H169" s="422"/>
    </row>
    <row r="170" spans="1:9" x14ac:dyDescent="0.25">
      <c r="A170" s="422">
        <f>+SUBTOTAL(3,$B$4:B170)</f>
        <v>167</v>
      </c>
      <c r="B170" s="422" t="str">
        <f>'Visual chart Edit'!B173</f>
        <v>27/1</v>
      </c>
      <c r="C170" s="422" t="str">
        <f>'Visual chart Edit'!C173</f>
        <v>DA+3</v>
      </c>
      <c r="D170" s="422" t="s">
        <v>1323</v>
      </c>
      <c r="E170" s="474">
        <f>'Visual chart Edit'!I173</f>
        <v>399.8</v>
      </c>
      <c r="F170" s="422" t="str">
        <f>'Visual chart Edit'!K173</f>
        <v>DFR</v>
      </c>
      <c r="G170" s="422" t="str">
        <f>'Visual chart Edit'!L173</f>
        <v>E</v>
      </c>
      <c r="H170" s="422"/>
    </row>
    <row r="171" spans="1:9" x14ac:dyDescent="0.25">
      <c r="A171" s="422">
        <f>+SUBTOTAL(3,$B$4:B171)</f>
        <v>168</v>
      </c>
      <c r="B171" s="422" t="str">
        <f>'Visual chart Edit'!B174</f>
        <v>27/2</v>
      </c>
      <c r="C171" s="422" t="str">
        <f>'Visual chart Edit'!C174</f>
        <v>DA+3</v>
      </c>
      <c r="D171" s="422" t="s">
        <v>1323</v>
      </c>
      <c r="E171" s="474">
        <f>'Visual chart Edit'!I174</f>
        <v>425.2</v>
      </c>
      <c r="F171" s="422" t="str">
        <f>'Visual chart Edit'!K174</f>
        <v>DFR</v>
      </c>
      <c r="G171" s="422" t="str">
        <f>'Visual chart Edit'!L174</f>
        <v>E</v>
      </c>
      <c r="H171" s="422"/>
    </row>
    <row r="172" spans="1:9" x14ac:dyDescent="0.25">
      <c r="A172" s="422">
        <f>+SUBTOTAL(3,$B$4:B172)</f>
        <v>169</v>
      </c>
      <c r="B172" s="422" t="str">
        <f>'Visual chart Edit'!B175</f>
        <v>27/3</v>
      </c>
      <c r="C172" s="422" t="str">
        <f>'Visual chart Edit'!C175</f>
        <v>DA+3</v>
      </c>
      <c r="D172" s="422" t="s">
        <v>1323</v>
      </c>
      <c r="E172" s="474">
        <f>'Visual chart Edit'!I175</f>
        <v>398.6</v>
      </c>
      <c r="F172" s="422" t="str">
        <f>'Visual chart Edit'!K175</f>
        <v>DFR</v>
      </c>
      <c r="G172" s="422" t="str">
        <f>'Visual chart Edit'!L175</f>
        <v>E</v>
      </c>
      <c r="H172" s="422"/>
    </row>
    <row r="173" spans="1:9" x14ac:dyDescent="0.25">
      <c r="A173" s="422">
        <f>+SUBTOTAL(3,$B$4:B173)</f>
        <v>170</v>
      </c>
      <c r="B173" s="422" t="str">
        <f>'Visual chart Edit'!B176</f>
        <v>27/4</v>
      </c>
      <c r="C173" s="422" t="str">
        <f>'Visual chart Edit'!C176</f>
        <v>DA+3</v>
      </c>
      <c r="D173" s="422" t="s">
        <v>1323</v>
      </c>
      <c r="E173" s="474">
        <f>'Visual chart Edit'!I176</f>
        <v>430.7</v>
      </c>
      <c r="F173" s="422" t="str">
        <f>'Visual chart Edit'!K176</f>
        <v>DFR</v>
      </c>
      <c r="G173" s="422" t="str">
        <f>'Visual chart Edit'!L176</f>
        <v>E</v>
      </c>
      <c r="H173" s="422"/>
    </row>
    <row r="174" spans="1:9" x14ac:dyDescent="0.25">
      <c r="A174" s="422">
        <f>+SUBTOTAL(3,$B$4:B174)</f>
        <v>171</v>
      </c>
      <c r="B174" s="422" t="str">
        <f>'Visual chart Edit'!B177</f>
        <v>27/5</v>
      </c>
      <c r="C174" s="422" t="str">
        <f>'Visual chart Edit'!C177</f>
        <v>DA+0</v>
      </c>
      <c r="D174" s="422" t="s">
        <v>1323</v>
      </c>
      <c r="E174" s="474">
        <f>'Visual chart Edit'!I177</f>
        <v>410</v>
      </c>
      <c r="F174" s="422" t="str">
        <f>'Visual chart Edit'!K177</f>
        <v>DRY</v>
      </c>
      <c r="G174" s="422" t="s">
        <v>124</v>
      </c>
      <c r="H174" s="422"/>
    </row>
    <row r="175" spans="1:9" x14ac:dyDescent="0.25">
      <c r="A175" s="422">
        <f>+SUBTOTAL(3,$B$4:B175)</f>
        <v>172</v>
      </c>
      <c r="B175" s="422" t="str">
        <f>'Visual chart Edit'!B178</f>
        <v>27/6</v>
      </c>
      <c r="C175" s="422" t="str">
        <f>'Visual chart Edit'!C178</f>
        <v>DA+0</v>
      </c>
      <c r="D175" s="422" t="s">
        <v>1323</v>
      </c>
      <c r="E175" s="474">
        <f>'Visual chart Edit'!I178</f>
        <v>402.6</v>
      </c>
      <c r="F175" s="422" t="str">
        <f>'Visual chart Edit'!K178</f>
        <v>Sandy</v>
      </c>
      <c r="G175" s="422" t="s">
        <v>129</v>
      </c>
      <c r="H175" s="422"/>
    </row>
    <row r="176" spans="1:9" x14ac:dyDescent="0.25">
      <c r="A176" s="422">
        <f>+SUBTOTAL(3,$B$4:B176)</f>
        <v>173</v>
      </c>
      <c r="B176" s="422" t="str">
        <f>'Visual chart Edit'!B179</f>
        <v>27/7</v>
      </c>
      <c r="C176" s="422" t="str">
        <f>'Visual chart Edit'!C179</f>
        <v>DB1+0</v>
      </c>
      <c r="D176" s="422" t="s">
        <v>1323</v>
      </c>
      <c r="E176" s="474">
        <f>'Visual chart Edit'!I179</f>
        <v>343.5</v>
      </c>
      <c r="F176" s="422" t="str">
        <f>'Visual chart Edit'!K179</f>
        <v>DFR</v>
      </c>
      <c r="G176" s="422" t="s">
        <v>129</v>
      </c>
      <c r="H176" s="422"/>
      <c r="I176" s="491" t="s">
        <v>1600</v>
      </c>
    </row>
    <row r="177" spans="1:10" x14ac:dyDescent="0.25">
      <c r="A177" s="422">
        <f>+SUBTOTAL(3,$B$4:B177)</f>
        <v>174</v>
      </c>
      <c r="B177" s="422" t="str">
        <f>'Visual chart Edit'!B180</f>
        <v>27/8</v>
      </c>
      <c r="C177" s="422" t="str">
        <f>'Visual chart Edit'!C180</f>
        <v>DA+0</v>
      </c>
      <c r="D177" s="422" t="s">
        <v>1323</v>
      </c>
      <c r="E177" s="474">
        <f>'Visual chart Edit'!I180</f>
        <v>392</v>
      </c>
      <c r="F177" s="422" t="str">
        <f>'Visual chart Edit'!K180</f>
        <v>DFR</v>
      </c>
      <c r="G177" s="422" t="str">
        <f>'Visual chart Edit'!L180</f>
        <v>E</v>
      </c>
      <c r="H177" s="422"/>
    </row>
    <row r="178" spans="1:10" x14ac:dyDescent="0.25">
      <c r="A178" s="422">
        <f>+SUBTOTAL(3,$B$4:B178)</f>
        <v>175</v>
      </c>
      <c r="B178" s="422" t="str">
        <f>'Visual chart Edit'!B181</f>
        <v>27/9</v>
      </c>
      <c r="C178" s="422" t="str">
        <f>'Visual chart Edit'!C181</f>
        <v>DA+0</v>
      </c>
      <c r="D178" s="422" t="s">
        <v>1323</v>
      </c>
      <c r="E178" s="474">
        <f>'Visual chart Edit'!I181</f>
        <v>381.1</v>
      </c>
      <c r="F178" s="422" t="str">
        <f>'Visual chart Edit'!K181</f>
        <v>DFR</v>
      </c>
      <c r="G178" s="422" t="s">
        <v>129</v>
      </c>
      <c r="H178" s="422"/>
    </row>
    <row r="179" spans="1:10" x14ac:dyDescent="0.25">
      <c r="A179" s="422">
        <f>+SUBTOTAL(3,$B$4:B179)</f>
        <v>176</v>
      </c>
      <c r="B179" s="422" t="str">
        <f>'Visual chart Edit'!B182</f>
        <v>27/10</v>
      </c>
      <c r="C179" s="422" t="str">
        <f>'Visual chart Edit'!C182</f>
        <v>DA+3</v>
      </c>
      <c r="D179" s="422" t="s">
        <v>1323</v>
      </c>
      <c r="E179" s="474">
        <f>'Visual chart Edit'!I182</f>
        <v>366.3</v>
      </c>
      <c r="F179" s="422" t="str">
        <f>'Visual chart Edit'!K182</f>
        <v>DFR</v>
      </c>
      <c r="G179" s="422" t="s">
        <v>129</v>
      </c>
      <c r="H179" s="422"/>
    </row>
    <row r="180" spans="1:10" x14ac:dyDescent="0.25">
      <c r="A180" s="422">
        <f>+SUBTOTAL(3,$B$4:B180)</f>
        <v>177</v>
      </c>
      <c r="B180" s="422" t="str">
        <f>'Visual chart Edit'!B183</f>
        <v>27/11</v>
      </c>
      <c r="C180" s="422" t="str">
        <f>'Visual chart Edit'!C183</f>
        <v>DA+3</v>
      </c>
      <c r="D180" s="422" t="s">
        <v>1323</v>
      </c>
      <c r="E180" s="474">
        <f>'Visual chart Edit'!I183</f>
        <v>420.1</v>
      </c>
      <c r="F180" s="422" t="str">
        <f>'Visual chart Edit'!K183</f>
        <v>DRY</v>
      </c>
      <c r="G180" s="422" t="str">
        <f>'Visual chart Edit'!L183</f>
        <v>E</v>
      </c>
      <c r="H180" s="422"/>
    </row>
    <row r="181" spans="1:10" x14ac:dyDescent="0.25">
      <c r="A181" s="422">
        <f>+SUBTOTAL(3,$B$4:B181)</f>
        <v>178</v>
      </c>
      <c r="B181" s="422" t="str">
        <f>'Visual chart Edit'!B184</f>
        <v>27/12</v>
      </c>
      <c r="C181" s="422" t="str">
        <f>'Visual chart Edit'!C184</f>
        <v>DA+3</v>
      </c>
      <c r="D181" s="422" t="s">
        <v>1323</v>
      </c>
      <c r="E181" s="474">
        <f>'Visual chart Edit'!I184</f>
        <v>420.8</v>
      </c>
      <c r="F181" s="422" t="str">
        <f>'Visual chart Edit'!K184</f>
        <v>Sandy</v>
      </c>
      <c r="G181" s="422" t="s">
        <v>124</v>
      </c>
      <c r="H181" s="422"/>
    </row>
    <row r="182" spans="1:10" x14ac:dyDescent="0.25">
      <c r="A182" s="422">
        <f>+SUBTOTAL(3,$B$4:B182)</f>
        <v>179</v>
      </c>
      <c r="B182" s="422" t="str">
        <f>'Visual chart Edit'!B185</f>
        <v>28/0</v>
      </c>
      <c r="C182" s="422" t="str">
        <f>'Visual chart Edit'!C185</f>
        <v>DB2+0</v>
      </c>
      <c r="D182" s="422" t="s">
        <v>1323</v>
      </c>
      <c r="E182" s="474">
        <f>'Visual chart Edit'!I185</f>
        <v>406.6</v>
      </c>
      <c r="F182" s="422" t="str">
        <f>'Visual chart Edit'!K185</f>
        <v>DFR</v>
      </c>
      <c r="G182" s="422" t="str">
        <f>'Visual chart Edit'!L185</f>
        <v>E</v>
      </c>
      <c r="H182" s="422"/>
    </row>
    <row r="183" spans="1:10" x14ac:dyDescent="0.25">
      <c r="A183" s="422">
        <f>+SUBTOTAL(3,$B$4:B183)</f>
        <v>180</v>
      </c>
      <c r="B183" s="422" t="str">
        <f>'Visual chart Edit'!B186</f>
        <v>28/1</v>
      </c>
      <c r="C183" s="422" t="str">
        <f>'Visual chart Edit'!C186</f>
        <v>DA+0</v>
      </c>
      <c r="D183" s="422" t="s">
        <v>1323</v>
      </c>
      <c r="E183" s="474">
        <f>'Visual chart Edit'!I186</f>
        <v>379.6</v>
      </c>
      <c r="F183" s="422" t="str">
        <f>'Visual chart Edit'!K186</f>
        <v>DRY</v>
      </c>
      <c r="G183" s="422" t="str">
        <f>'Visual chart Edit'!L186</f>
        <v>E</v>
      </c>
      <c r="H183" s="422"/>
    </row>
    <row r="184" spans="1:10" x14ac:dyDescent="0.25">
      <c r="A184" s="422">
        <f>+SUBTOTAL(3,$B$4:B184)</f>
        <v>181</v>
      </c>
      <c r="B184" s="422" t="str">
        <f>'Visual chart Edit'!B187</f>
        <v>28/2</v>
      </c>
      <c r="C184" s="422" t="str">
        <f>'Visual chart Edit'!C187</f>
        <v>DA+0</v>
      </c>
      <c r="D184" s="422" t="s">
        <v>1324</v>
      </c>
      <c r="E184" s="474">
        <f>'Visual chart Edit'!I187</f>
        <v>385</v>
      </c>
      <c r="F184" s="422" t="str">
        <f>'Visual chart Edit'!K187</f>
        <v>DFR</v>
      </c>
      <c r="G184" s="422" t="str">
        <f>'Visual chart Edit'!L187</f>
        <v>E</v>
      </c>
      <c r="H184" s="422"/>
    </row>
    <row r="185" spans="1:10" x14ac:dyDescent="0.25">
      <c r="A185" s="422">
        <f>+SUBTOTAL(3,$B$4:B185)</f>
        <v>182</v>
      </c>
      <c r="B185" s="422" t="str">
        <f>'Visual chart Edit'!B188</f>
        <v>28/3</v>
      </c>
      <c r="C185" s="422" t="str">
        <f>'Visual chart Edit'!C188</f>
        <v>DA+0</v>
      </c>
      <c r="D185" s="422" t="s">
        <v>1324</v>
      </c>
      <c r="E185" s="474">
        <f>'Visual chart Edit'!I188</f>
        <v>369</v>
      </c>
      <c r="F185" s="422" t="str">
        <f>'Visual chart Edit'!K188</f>
        <v>DFR</v>
      </c>
      <c r="G185" s="422" t="s">
        <v>129</v>
      </c>
      <c r="H185" s="422"/>
    </row>
    <row r="186" spans="1:10" x14ac:dyDescent="0.25">
      <c r="A186" s="422">
        <f>+SUBTOTAL(3,$B$4:B186)</f>
        <v>183</v>
      </c>
      <c r="B186" s="422" t="str">
        <f>'Visual chart Edit'!B189</f>
        <v>28/4</v>
      </c>
      <c r="C186" s="422" t="str">
        <f>'Visual chart Edit'!C189</f>
        <v>DA+0</v>
      </c>
      <c r="D186" s="422" t="s">
        <v>1324</v>
      </c>
      <c r="E186" s="474">
        <f>'Visual chart Edit'!I189</f>
        <v>409</v>
      </c>
      <c r="F186" s="422" t="str">
        <f>'Visual chart Edit'!K189</f>
        <v>Sandy</v>
      </c>
      <c r="G186" s="422" t="s">
        <v>129</v>
      </c>
      <c r="H186" s="422"/>
      <c r="I186" s="491" t="s">
        <v>1602</v>
      </c>
      <c r="J186" s="491"/>
    </row>
    <row r="187" spans="1:10" x14ac:dyDescent="0.25">
      <c r="A187" s="422">
        <f>+SUBTOTAL(3,$B$4:B187)</f>
        <v>184</v>
      </c>
      <c r="B187" s="422" t="str">
        <f>'Visual chart Edit'!B190</f>
        <v>28/5</v>
      </c>
      <c r="C187" s="422" t="str">
        <f>'Visual chart Edit'!C190</f>
        <v>DA+9</v>
      </c>
      <c r="D187" s="422" t="s">
        <v>1324</v>
      </c>
      <c r="E187" s="474">
        <f>'Visual chart Edit'!I190</f>
        <v>422</v>
      </c>
      <c r="F187" s="422" t="str">
        <f>'Visual chart Edit'!K190</f>
        <v>Sandy</v>
      </c>
      <c r="G187" s="422" t="str">
        <f>'Visual chart Edit'!L190</f>
        <v>E</v>
      </c>
      <c r="H187" s="422"/>
    </row>
    <row r="188" spans="1:10" x14ac:dyDescent="0.25">
      <c r="A188" s="422">
        <f>+SUBTOTAL(3,$B$4:B188)</f>
        <v>185</v>
      </c>
      <c r="B188" s="422" t="str">
        <f>'Visual chart Edit'!B191</f>
        <v>28/6</v>
      </c>
      <c r="C188" s="422" t="str">
        <f>'Visual chart Edit'!C191</f>
        <v>DA+6</v>
      </c>
      <c r="D188" s="422" t="s">
        <v>1324</v>
      </c>
      <c r="E188" s="474">
        <f>'Visual chart Edit'!I191</f>
        <v>370</v>
      </c>
      <c r="F188" s="422" t="str">
        <f>'Visual chart Edit'!K191</f>
        <v>Sandy</v>
      </c>
      <c r="G188" s="422" t="s">
        <v>129</v>
      </c>
      <c r="H188" s="422"/>
    </row>
    <row r="189" spans="1:10" x14ac:dyDescent="0.25">
      <c r="A189" s="422">
        <f>+SUBTOTAL(3,$B$4:B189)</f>
        <v>186</v>
      </c>
      <c r="B189" s="422" t="str">
        <f>'Visual chart Edit'!B192</f>
        <v>28/7</v>
      </c>
      <c r="C189" s="422" t="str">
        <f>'Visual chart Edit'!C192</f>
        <v>DA+3</v>
      </c>
      <c r="D189" s="422" t="s">
        <v>1324</v>
      </c>
      <c r="E189" s="474">
        <f>'Visual chart Edit'!I192</f>
        <v>464</v>
      </c>
      <c r="F189" s="422" t="str">
        <f>'Visual chart Edit'!K192</f>
        <v>Sandy</v>
      </c>
      <c r="G189" s="422" t="s">
        <v>129</v>
      </c>
      <c r="H189" s="422"/>
    </row>
    <row r="190" spans="1:10" x14ac:dyDescent="0.25">
      <c r="A190" s="422">
        <f>+SUBTOTAL(3,$B$4:B190)</f>
        <v>187</v>
      </c>
      <c r="B190" s="422" t="str">
        <f>'Visual chart Edit'!B193</f>
        <v>28/8</v>
      </c>
      <c r="C190" s="422" t="str">
        <f>'Visual chart Edit'!C193</f>
        <v>DA+3</v>
      </c>
      <c r="D190" s="422" t="s">
        <v>1324</v>
      </c>
      <c r="E190" s="474">
        <f>'Visual chart Edit'!I193</f>
        <v>375</v>
      </c>
      <c r="F190" s="422" t="str">
        <f>'Visual chart Edit'!K193</f>
        <v>Sandy</v>
      </c>
      <c r="G190" s="422" t="s">
        <v>129</v>
      </c>
      <c r="H190" s="422"/>
    </row>
    <row r="191" spans="1:10" x14ac:dyDescent="0.25">
      <c r="A191" s="422">
        <f>+SUBTOTAL(3,$B$4:B191)</f>
        <v>188</v>
      </c>
      <c r="B191" s="422" t="str">
        <f>'Visual chart Edit'!B194</f>
        <v>29/0</v>
      </c>
      <c r="C191" s="422" t="str">
        <f>'Visual chart Edit'!C194</f>
        <v>DB1+0</v>
      </c>
      <c r="D191" s="422" t="s">
        <v>1324</v>
      </c>
      <c r="E191" s="474">
        <f>'Visual chart Edit'!I194</f>
        <v>465.5</v>
      </c>
      <c r="F191" s="422" t="str">
        <f>'Visual chart Edit'!K194</f>
        <v>DRY</v>
      </c>
      <c r="G191" s="422" t="str">
        <f>'Visual chart Edit'!L194</f>
        <v>E</v>
      </c>
      <c r="H191" s="422"/>
    </row>
    <row r="192" spans="1:10" x14ac:dyDescent="0.25">
      <c r="A192" s="422">
        <f>+SUBTOTAL(3,$B$4:B192)</f>
        <v>189</v>
      </c>
      <c r="B192" s="422" t="str">
        <f>'Visual chart Edit'!B195</f>
        <v>29/1</v>
      </c>
      <c r="C192" s="422" t="str">
        <f>'Visual chart Edit'!C195</f>
        <v>DA+3</v>
      </c>
      <c r="D192" s="422" t="s">
        <v>1324</v>
      </c>
      <c r="E192" s="474">
        <f>'Visual chart Edit'!I195</f>
        <v>365.6</v>
      </c>
      <c r="F192" s="422" t="str">
        <f>'Visual chart Edit'!K195</f>
        <v>DRY</v>
      </c>
      <c r="G192" s="422" t="str">
        <f>'Visual chart Edit'!L195</f>
        <v>E</v>
      </c>
      <c r="H192" s="422"/>
    </row>
    <row r="193" spans="1:8" x14ac:dyDescent="0.25">
      <c r="A193" s="422">
        <f>+SUBTOTAL(3,$B$4:B193)</f>
        <v>190</v>
      </c>
      <c r="B193" s="422" t="str">
        <f>'Visual chart Edit'!B196</f>
        <v>29/2</v>
      </c>
      <c r="C193" s="422" t="str">
        <f>'Visual chart Edit'!C196</f>
        <v>DA+3</v>
      </c>
      <c r="D193" s="422" t="s">
        <v>1324</v>
      </c>
      <c r="E193" s="474">
        <f>'Visual chart Edit'!I196</f>
        <v>424</v>
      </c>
      <c r="F193" s="422" t="str">
        <f>'Visual chart Edit'!K196</f>
        <v>DRY</v>
      </c>
      <c r="G193" s="422" t="str">
        <f>'Visual chart Edit'!L196</f>
        <v>E</v>
      </c>
      <c r="H193" s="422"/>
    </row>
    <row r="194" spans="1:8" x14ac:dyDescent="0.25">
      <c r="A194" s="422">
        <f>+SUBTOTAL(3,$B$4:B194)</f>
        <v>191</v>
      </c>
      <c r="B194" s="422" t="str">
        <f>'Visual chart Edit'!B197</f>
        <v>29/3</v>
      </c>
      <c r="C194" s="422" t="str">
        <f>'Visual chart Edit'!C197</f>
        <v>DA+0</v>
      </c>
      <c r="D194" s="422" t="s">
        <v>1324</v>
      </c>
      <c r="E194" s="474">
        <f>'Visual chart Edit'!I197</f>
        <v>399</v>
      </c>
      <c r="F194" s="422" t="str">
        <f>'Visual chart Edit'!K197</f>
        <v>Sandy</v>
      </c>
      <c r="G194" s="422" t="str">
        <f>'Visual chart Edit'!L197</f>
        <v>E</v>
      </c>
      <c r="H194" s="422"/>
    </row>
    <row r="195" spans="1:8" x14ac:dyDescent="0.25">
      <c r="A195" s="422">
        <f>+SUBTOTAL(3,$B$4:B195)</f>
        <v>192</v>
      </c>
      <c r="B195" s="422" t="str">
        <f>'Visual chart Edit'!B198</f>
        <v>29/4</v>
      </c>
      <c r="C195" s="422" t="str">
        <f>'Visual chart Edit'!C198</f>
        <v>DA+6</v>
      </c>
      <c r="D195" s="422" t="s">
        <v>1324</v>
      </c>
      <c r="E195" s="474">
        <f>'Visual chart Edit'!I198</f>
        <v>440</v>
      </c>
      <c r="F195" s="422" t="str">
        <f>'Visual chart Edit'!K198</f>
        <v>DRY</v>
      </c>
      <c r="G195" s="422" t="str">
        <f>'Visual chart Edit'!L198</f>
        <v>E</v>
      </c>
      <c r="H195" s="422"/>
    </row>
    <row r="196" spans="1:8" x14ac:dyDescent="0.25">
      <c r="A196" s="422">
        <f>+SUBTOTAL(3,$B$4:B196)</f>
        <v>193</v>
      </c>
      <c r="B196" s="422" t="str">
        <f>'Visual chart Edit'!B199</f>
        <v>30/0</v>
      </c>
      <c r="C196" s="422" t="str">
        <f>'Visual chart Edit'!C199</f>
        <v>DC1+0</v>
      </c>
      <c r="D196" s="422" t="s">
        <v>1324</v>
      </c>
      <c r="E196" s="474">
        <f>'Visual chart Edit'!I199</f>
        <v>382.1</v>
      </c>
      <c r="F196" s="422" t="str">
        <f>'Visual chart Edit'!K199</f>
        <v>DRY</v>
      </c>
      <c r="G196" s="422" t="str">
        <f>'Visual chart Edit'!L199</f>
        <v>E</v>
      </c>
      <c r="H196" s="422"/>
    </row>
    <row r="197" spans="1:8" x14ac:dyDescent="0.25">
      <c r="A197" s="422">
        <f>+SUBTOTAL(3,$B$4:B197)</f>
        <v>194</v>
      </c>
      <c r="B197" s="422" t="str">
        <f>'Visual chart Edit'!B200</f>
        <v>30/1</v>
      </c>
      <c r="C197" s="422" t="str">
        <f>'Visual chart Edit'!C200</f>
        <v>DA+0</v>
      </c>
      <c r="D197" s="422" t="s">
        <v>1324</v>
      </c>
      <c r="E197" s="474">
        <f>'Visual chart Edit'!I200</f>
        <v>388.9</v>
      </c>
      <c r="F197" s="422" t="str">
        <f>'Visual chart Edit'!K200</f>
        <v>Sandy</v>
      </c>
      <c r="G197" s="422" t="str">
        <f>'Visual chart Edit'!L200</f>
        <v>E</v>
      </c>
      <c r="H197" s="422"/>
    </row>
    <row r="198" spans="1:8" x14ac:dyDescent="0.25">
      <c r="A198" s="422">
        <f>+SUBTOTAL(3,$B$4:B198)</f>
        <v>195</v>
      </c>
      <c r="B198" s="422" t="str">
        <f>'Visual chart Edit'!B201</f>
        <v>30/2</v>
      </c>
      <c r="C198" s="422" t="str">
        <f>'Visual chart Edit'!C201</f>
        <v>DA+0</v>
      </c>
      <c r="D198" s="422" t="s">
        <v>1324</v>
      </c>
      <c r="E198" s="474">
        <f>'Visual chart Edit'!I201</f>
        <v>445</v>
      </c>
      <c r="F198" s="422" t="str">
        <f>'Visual chart Edit'!K201</f>
        <v>Sandy</v>
      </c>
      <c r="G198" s="422" t="str">
        <f>'Visual chart Edit'!L201</f>
        <v>E</v>
      </c>
      <c r="H198" s="422"/>
    </row>
    <row r="199" spans="1:8" x14ac:dyDescent="0.25">
      <c r="A199" s="422">
        <f>+SUBTOTAL(3,$B$4:B199)</f>
        <v>196</v>
      </c>
      <c r="B199" s="422" t="str">
        <f>'Visual chart Edit'!B202</f>
        <v>30/3</v>
      </c>
      <c r="C199" s="422" t="str">
        <f>'Visual chart Edit'!C202</f>
        <v>DA+3</v>
      </c>
      <c r="D199" s="422" t="s">
        <v>1324</v>
      </c>
      <c r="E199" s="474">
        <f>'Visual chart Edit'!I202</f>
        <v>395</v>
      </c>
      <c r="F199" s="422" t="str">
        <f>'Visual chart Edit'!K202</f>
        <v>Sandy</v>
      </c>
      <c r="G199" s="422" t="str">
        <f>'Visual chart Edit'!L202</f>
        <v>E</v>
      </c>
      <c r="H199" s="422"/>
    </row>
    <row r="200" spans="1:8" x14ac:dyDescent="0.25">
      <c r="A200" s="422">
        <f>+SUBTOTAL(3,$B$4:B200)</f>
        <v>197</v>
      </c>
      <c r="B200" s="422" t="str">
        <f>'Visual chart Edit'!B203</f>
        <v>30/4</v>
      </c>
      <c r="C200" s="422" t="str">
        <f>'Visual chart Edit'!C203</f>
        <v>DA+3</v>
      </c>
      <c r="D200" s="422" t="s">
        <v>1324</v>
      </c>
      <c r="E200" s="474">
        <f>'Visual chart Edit'!I203</f>
        <v>387</v>
      </c>
      <c r="F200" s="422" t="str">
        <f>'Visual chart Edit'!K203</f>
        <v>DRY</v>
      </c>
      <c r="G200" s="422" t="s">
        <v>129</v>
      </c>
      <c r="H200" s="422"/>
    </row>
    <row r="201" spans="1:8" x14ac:dyDescent="0.25">
      <c r="A201" s="422">
        <f>+SUBTOTAL(3,$B$4:B201)</f>
        <v>198</v>
      </c>
      <c r="B201" s="422" t="str">
        <f>'Visual chart Edit'!B204</f>
        <v>30/5</v>
      </c>
      <c r="C201" s="422" t="str">
        <f>'Visual chart Edit'!C204</f>
        <v>DA+3</v>
      </c>
      <c r="D201" s="422" t="s">
        <v>1324</v>
      </c>
      <c r="E201" s="474">
        <f>'Visual chart Edit'!I204</f>
        <v>442</v>
      </c>
      <c r="F201" s="422" t="str">
        <f>'Visual chart Edit'!K204</f>
        <v>DRY</v>
      </c>
      <c r="G201" s="422" t="str">
        <f>'Visual chart Edit'!L204</f>
        <v>E</v>
      </c>
      <c r="H201" s="422"/>
    </row>
    <row r="202" spans="1:8" x14ac:dyDescent="0.25">
      <c r="A202" s="422">
        <f>+SUBTOTAL(3,$B$4:B202)</f>
        <v>199</v>
      </c>
      <c r="B202" s="422" t="str">
        <f>'Visual chart Edit'!B205</f>
        <v>30/6</v>
      </c>
      <c r="C202" s="422" t="str">
        <f>'Visual chart Edit'!C205</f>
        <v>DA+0</v>
      </c>
      <c r="D202" s="422" t="s">
        <v>1324</v>
      </c>
      <c r="E202" s="474">
        <f>'Visual chart Edit'!I205</f>
        <v>314</v>
      </c>
      <c r="F202" s="422" t="str">
        <f>'Visual chart Edit'!K205</f>
        <v>DRY</v>
      </c>
      <c r="G202" s="422" t="str">
        <f>'Visual chart Edit'!L205</f>
        <v>E</v>
      </c>
      <c r="H202" s="422"/>
    </row>
    <row r="203" spans="1:8" x14ac:dyDescent="0.25">
      <c r="A203" s="422">
        <f>+SUBTOTAL(3,$B$4:B203)</f>
        <v>200</v>
      </c>
      <c r="B203" s="422" t="str">
        <f>'Visual chart Edit'!B206</f>
        <v>31/0</v>
      </c>
      <c r="C203" s="422" t="str">
        <f>'Visual chart Edit'!C206</f>
        <v>DB2+0</v>
      </c>
      <c r="D203" s="422" t="s">
        <v>1324</v>
      </c>
      <c r="E203" s="474">
        <f>'Visual chart Edit'!I206</f>
        <v>347.4</v>
      </c>
      <c r="F203" s="422" t="str">
        <f>'Visual chart Edit'!K206</f>
        <v>Sandy</v>
      </c>
      <c r="G203" s="422" t="s">
        <v>129</v>
      </c>
      <c r="H203" s="422"/>
    </row>
    <row r="204" spans="1:8" x14ac:dyDescent="0.25">
      <c r="A204" s="422">
        <f>+SUBTOTAL(3,$B$4:B204)</f>
        <v>201</v>
      </c>
      <c r="B204" s="422" t="str">
        <f>'Visual chart Edit'!B207</f>
        <v>31/1</v>
      </c>
      <c r="C204" s="422" t="str">
        <f>'Visual chart Edit'!C207</f>
        <v>DA+0</v>
      </c>
      <c r="D204" s="422" t="s">
        <v>1324</v>
      </c>
      <c r="E204" s="474">
        <f>'Visual chart Edit'!I207</f>
        <v>383.6</v>
      </c>
      <c r="F204" s="422" t="str">
        <f>'Visual chart Edit'!K207</f>
        <v>DRY</v>
      </c>
      <c r="G204" s="422" t="str">
        <f>'Visual chart Edit'!L207</f>
        <v>E</v>
      </c>
      <c r="H204" s="422"/>
    </row>
    <row r="205" spans="1:8" x14ac:dyDescent="0.25">
      <c r="A205" s="422">
        <f>+SUBTOTAL(3,$B$4:B205)</f>
        <v>202</v>
      </c>
      <c r="B205" s="422" t="str">
        <f>'Visual chart Edit'!B208</f>
        <v>31/2</v>
      </c>
      <c r="C205" s="422" t="str">
        <f>'Visual chart Edit'!C208</f>
        <v>DA+0</v>
      </c>
      <c r="D205" s="422" t="s">
        <v>1324</v>
      </c>
      <c r="E205" s="474">
        <f>'Visual chart Edit'!I208</f>
        <v>366</v>
      </c>
      <c r="F205" s="422" t="str">
        <f>'Visual chart Edit'!K208</f>
        <v>DRY</v>
      </c>
      <c r="G205" s="422" t="str">
        <f>'Visual chart Edit'!L208</f>
        <v>E</v>
      </c>
      <c r="H205" s="422"/>
    </row>
    <row r="206" spans="1:8" x14ac:dyDescent="0.25">
      <c r="A206" s="422">
        <f>+SUBTOTAL(3,$B$4:B206)</f>
        <v>203</v>
      </c>
      <c r="B206" s="422" t="str">
        <f>'Visual chart Edit'!B209</f>
        <v>32/0</v>
      </c>
      <c r="C206" s="422" t="str">
        <f>'Visual chart Edit'!C209</f>
        <v>DC1+0</v>
      </c>
      <c r="D206" s="422" t="s">
        <v>1324</v>
      </c>
      <c r="E206" s="474">
        <f>'Visual chart Edit'!I209</f>
        <v>332.9</v>
      </c>
      <c r="F206" s="422" t="str">
        <f>'Visual chart Edit'!K209</f>
        <v>DRY</v>
      </c>
      <c r="G206" s="422" t="str">
        <f>'Visual chart Edit'!L209</f>
        <v>E</v>
      </c>
      <c r="H206" s="422"/>
    </row>
    <row r="207" spans="1:8" x14ac:dyDescent="0.25">
      <c r="A207" s="422">
        <f>+SUBTOTAL(3,$B$4:B207)</f>
        <v>204</v>
      </c>
      <c r="B207" s="422" t="str">
        <f>'Visual chart Edit'!B210</f>
        <v>32/1</v>
      </c>
      <c r="C207" s="422" t="str">
        <f>'Visual chart Edit'!C210</f>
        <v>DA+3</v>
      </c>
      <c r="D207" s="422" t="s">
        <v>1325</v>
      </c>
      <c r="E207" s="474">
        <f>'Visual chart Edit'!I210</f>
        <v>402.7</v>
      </c>
      <c r="F207" s="422" t="str">
        <f>'Visual chart Edit'!K210</f>
        <v>Sandy</v>
      </c>
      <c r="G207" s="422" t="str">
        <f>'Visual chart Edit'!L210</f>
        <v>E</v>
      </c>
      <c r="H207" s="422"/>
    </row>
    <row r="208" spans="1:8" x14ac:dyDescent="0.25">
      <c r="A208" s="422">
        <f>+SUBTOTAL(3,$B$4:B208)</f>
        <v>205</v>
      </c>
      <c r="B208" s="422" t="str">
        <f>'Visual chart Edit'!B211</f>
        <v>32/2</v>
      </c>
      <c r="C208" s="422" t="str">
        <f>'Visual chart Edit'!C211</f>
        <v>DA+3</v>
      </c>
      <c r="D208" s="422" t="s">
        <v>1325</v>
      </c>
      <c r="E208" s="474">
        <f>'Visual chart Edit'!I211</f>
        <v>428.8</v>
      </c>
      <c r="F208" s="422" t="str">
        <f>'Visual chart Edit'!K211</f>
        <v>DRY</v>
      </c>
      <c r="G208" s="422" t="str">
        <f>'Visual chart Edit'!L211</f>
        <v>E</v>
      </c>
      <c r="H208" s="422"/>
    </row>
    <row r="209" spans="1:8" x14ac:dyDescent="0.25">
      <c r="A209" s="422">
        <f>+SUBTOTAL(3,$B$4:B209)</f>
        <v>206</v>
      </c>
      <c r="B209" s="422" t="str">
        <f>'Visual chart Edit'!B212</f>
        <v>32/3</v>
      </c>
      <c r="C209" s="422" t="str">
        <f>'Visual chart Edit'!C212</f>
        <v>DA+0</v>
      </c>
      <c r="D209" s="422" t="s">
        <v>1325</v>
      </c>
      <c r="E209" s="474">
        <f>'Visual chart Edit'!I212</f>
        <v>410.9</v>
      </c>
      <c r="F209" s="422" t="str">
        <f>'Visual chart Edit'!K212</f>
        <v>Sandy</v>
      </c>
      <c r="G209" s="422" t="str">
        <f>'Visual chart Edit'!L212</f>
        <v>E</v>
      </c>
      <c r="H209" s="422"/>
    </row>
    <row r="210" spans="1:8" x14ac:dyDescent="0.25">
      <c r="A210" s="422">
        <f>+SUBTOTAL(3,$B$4:B210)</f>
        <v>207</v>
      </c>
      <c r="B210" s="422" t="str">
        <f>'Visual chart Edit'!B213</f>
        <v>32/4</v>
      </c>
      <c r="C210" s="422" t="str">
        <f>'Visual chart Edit'!C213</f>
        <v>DA+0</v>
      </c>
      <c r="D210" s="422" t="s">
        <v>1325</v>
      </c>
      <c r="E210" s="474">
        <f>'Visual chart Edit'!I213</f>
        <v>381.1</v>
      </c>
      <c r="F210" s="422" t="str">
        <f>'Visual chart Edit'!K213</f>
        <v>Sandy</v>
      </c>
      <c r="G210" s="422" t="str">
        <f>'Visual chart Edit'!L213</f>
        <v>E</v>
      </c>
      <c r="H210" s="422"/>
    </row>
    <row r="211" spans="1:8" x14ac:dyDescent="0.25">
      <c r="A211" s="422">
        <f>+SUBTOTAL(3,$B$4:B211)</f>
        <v>208</v>
      </c>
      <c r="B211" s="422" t="str">
        <f>'Visual chart Edit'!B214</f>
        <v>33/0</v>
      </c>
      <c r="C211" s="422" t="str">
        <f>'Visual chart Edit'!C214</f>
        <v>DC1+0</v>
      </c>
      <c r="D211" s="422" t="s">
        <v>1325</v>
      </c>
      <c r="E211" s="474">
        <f>'Visual chart Edit'!I214</f>
        <v>451.5</v>
      </c>
      <c r="F211" s="422" t="str">
        <f>'Visual chart Edit'!K214</f>
        <v>DRY</v>
      </c>
      <c r="G211" s="422" t="str">
        <f>'Visual chart Edit'!L214</f>
        <v>E</v>
      </c>
      <c r="H211" s="422"/>
    </row>
    <row r="212" spans="1:8" x14ac:dyDescent="0.25">
      <c r="A212" s="422">
        <f>+SUBTOTAL(3,$B$4:B212)</f>
        <v>209</v>
      </c>
      <c r="B212" s="422" t="str">
        <f>'Visual chart Edit'!B215</f>
        <v>33/1</v>
      </c>
      <c r="C212" s="422" t="str">
        <f>'Visual chart Edit'!C215</f>
        <v>DA+0</v>
      </c>
      <c r="D212" s="422" t="s">
        <v>1325</v>
      </c>
      <c r="E212" s="474">
        <f>'Visual chart Edit'!I215</f>
        <v>379.6</v>
      </c>
      <c r="F212" s="422" t="str">
        <f>'Visual chart Edit'!K215</f>
        <v>DRY</v>
      </c>
      <c r="G212" s="422" t="str">
        <f>'Visual chart Edit'!L215</f>
        <v>E</v>
      </c>
      <c r="H212" s="422"/>
    </row>
    <row r="213" spans="1:8" x14ac:dyDescent="0.25">
      <c r="A213" s="422">
        <f>+SUBTOTAL(3,$B$4:B213)</f>
        <v>210</v>
      </c>
      <c r="B213" s="422" t="str">
        <f>'Visual chart Edit'!B216</f>
        <v>34/0</v>
      </c>
      <c r="C213" s="422" t="str">
        <f>'Visual chart Edit'!C216</f>
        <v>DB2+0</v>
      </c>
      <c r="D213" s="422" t="s">
        <v>1325</v>
      </c>
      <c r="E213" s="474">
        <f>'Visual chart Edit'!I216</f>
        <v>292.5</v>
      </c>
      <c r="F213" s="422" t="str">
        <f>'Visual chart Edit'!K216</f>
        <v>DRY</v>
      </c>
      <c r="G213" s="422" t="s">
        <v>124</v>
      </c>
      <c r="H213" s="422"/>
    </row>
    <row r="214" spans="1:8" x14ac:dyDescent="0.25">
      <c r="A214" s="422">
        <f>+SUBTOTAL(3,$B$4:B214)</f>
        <v>211</v>
      </c>
      <c r="B214" s="422" t="str">
        <f>'Visual chart Edit'!B217</f>
        <v>34/1</v>
      </c>
      <c r="C214" s="422" t="str">
        <f>'Visual chart Edit'!C217</f>
        <v>DA+9</v>
      </c>
      <c r="D214" s="422" t="s">
        <v>1325</v>
      </c>
      <c r="E214" s="474">
        <f>'Visual chart Edit'!I217</f>
        <v>432.6</v>
      </c>
      <c r="F214" s="422" t="str">
        <f>'Visual chart Edit'!K217</f>
        <v>Sandy</v>
      </c>
      <c r="G214" s="422" t="str">
        <f>'Visual chart Edit'!L217</f>
        <v>E</v>
      </c>
      <c r="H214" s="422"/>
    </row>
    <row r="215" spans="1:8" x14ac:dyDescent="0.25">
      <c r="A215" s="422">
        <f>+SUBTOTAL(3,$B$4:B215)</f>
        <v>212</v>
      </c>
      <c r="B215" s="422" t="str">
        <f>'Visual chart Edit'!B218</f>
        <v>34/2</v>
      </c>
      <c r="C215" s="422" t="str">
        <f>'Visual chart Edit'!C218</f>
        <v>DA+6</v>
      </c>
      <c r="D215" s="422" t="s">
        <v>1325</v>
      </c>
      <c r="E215" s="474">
        <f>'Visual chart Edit'!I218</f>
        <v>407.5</v>
      </c>
      <c r="F215" s="422" t="str">
        <f>'Visual chart Edit'!K218</f>
        <v>Sandy</v>
      </c>
      <c r="G215" s="422" t="str">
        <f>'Visual chart Edit'!L218</f>
        <v>E</v>
      </c>
      <c r="H215" s="422"/>
    </row>
    <row r="216" spans="1:8" x14ac:dyDescent="0.25">
      <c r="A216" s="422">
        <f>+SUBTOTAL(3,$B$4:B216)</f>
        <v>213</v>
      </c>
      <c r="B216" s="422" t="str">
        <f>'Visual chart Edit'!B219</f>
        <v>34/3</v>
      </c>
      <c r="C216" s="422" t="str">
        <f>'Visual chart Edit'!C219</f>
        <v>DA+0</v>
      </c>
      <c r="D216" s="422" t="s">
        <v>1325</v>
      </c>
      <c r="E216" s="474">
        <f>'Visual chart Edit'!I219</f>
        <v>377</v>
      </c>
      <c r="F216" s="422" t="str">
        <f>'Visual chart Edit'!K219</f>
        <v>Sandy</v>
      </c>
      <c r="G216" s="422" t="str">
        <f>'Visual chart Edit'!L219</f>
        <v>E</v>
      </c>
      <c r="H216" s="422"/>
    </row>
    <row r="217" spans="1:8" x14ac:dyDescent="0.25">
      <c r="A217" s="422">
        <f>+SUBTOTAL(3,$B$4:B217)</f>
        <v>214</v>
      </c>
      <c r="B217" s="422" t="str">
        <f>'Visual chart Edit'!B220</f>
        <v>34/4</v>
      </c>
      <c r="C217" s="422" t="str">
        <f>'Visual chart Edit'!C220</f>
        <v>DA+0</v>
      </c>
      <c r="D217" s="422" t="s">
        <v>1325</v>
      </c>
      <c r="E217" s="474">
        <f>'Visual chart Edit'!I220</f>
        <v>451.6</v>
      </c>
      <c r="F217" s="422" t="str">
        <f>'Visual chart Edit'!K220</f>
        <v>Sandy</v>
      </c>
      <c r="G217" s="422" t="str">
        <f>'Visual chart Edit'!L220</f>
        <v>E</v>
      </c>
      <c r="H217" s="422"/>
    </row>
    <row r="218" spans="1:8" x14ac:dyDescent="0.25">
      <c r="A218" s="422">
        <f>+SUBTOTAL(3,$B$4:B218)</f>
        <v>215</v>
      </c>
      <c r="B218" s="422" t="str">
        <f>'Visual chart Edit'!B221</f>
        <v>35/0</v>
      </c>
      <c r="C218" s="422" t="str">
        <f>'Visual chart Edit'!C221</f>
        <v>DB2+6</v>
      </c>
      <c r="D218" s="422" t="s">
        <v>1325</v>
      </c>
      <c r="E218" s="474">
        <f>'Visual chart Edit'!I221</f>
        <v>379.3</v>
      </c>
      <c r="F218" s="422" t="str">
        <f>'Visual chart Edit'!K221</f>
        <v>Sandy</v>
      </c>
      <c r="G218" s="422" t="str">
        <f>'Visual chart Edit'!L221</f>
        <v>E</v>
      </c>
      <c r="H218" s="422"/>
    </row>
    <row r="219" spans="1:8" x14ac:dyDescent="0.25">
      <c r="A219" s="422">
        <f>+SUBTOTAL(3,$B$4:B219)</f>
        <v>216</v>
      </c>
      <c r="B219" s="422" t="str">
        <f>'Visual chart Edit'!B222</f>
        <v>35/1</v>
      </c>
      <c r="C219" s="422" t="str">
        <f>'Visual chart Edit'!C222</f>
        <v>DA+9</v>
      </c>
      <c r="D219" s="422" t="s">
        <v>1325</v>
      </c>
      <c r="E219" s="474">
        <f>'Visual chart Edit'!I222</f>
        <v>265.60000000000002</v>
      </c>
      <c r="F219" s="422" t="str">
        <f>'Visual chart Edit'!K222</f>
        <v>Sandy</v>
      </c>
      <c r="G219" s="422" t="str">
        <f>'Visual chart Edit'!L222</f>
        <v>E</v>
      </c>
      <c r="H219" s="422"/>
    </row>
    <row r="220" spans="1:8" x14ac:dyDescent="0.25">
      <c r="A220" s="422">
        <f>+SUBTOTAL(3,$B$4:B220)</f>
        <v>217</v>
      </c>
      <c r="B220" s="422" t="str">
        <f>'Visual chart Edit'!B223</f>
        <v>35/2</v>
      </c>
      <c r="C220" s="422" t="str">
        <f>'Visual chart Edit'!C223</f>
        <v>DB1+0</v>
      </c>
      <c r="D220" s="422" t="s">
        <v>1325</v>
      </c>
      <c r="E220" s="474">
        <f>'Visual chart Edit'!I223</f>
        <v>492.4</v>
      </c>
      <c r="F220" s="422" t="str">
        <f>'Visual chart Edit'!K223</f>
        <v>Sandy</v>
      </c>
      <c r="G220" s="422" t="str">
        <f>'Visual chart Edit'!L223</f>
        <v>E</v>
      </c>
      <c r="H220" s="422"/>
    </row>
    <row r="221" spans="1:8" x14ac:dyDescent="0.25">
      <c r="A221" s="422">
        <f>+SUBTOTAL(3,$B$4:B221)</f>
        <v>218</v>
      </c>
      <c r="B221" s="422" t="str">
        <f>'Visual chart Edit'!B224</f>
        <v>35/3</v>
      </c>
      <c r="C221" s="422" t="str">
        <f>'Visual chart Edit'!C224</f>
        <v>DB1+6</v>
      </c>
      <c r="D221" s="422" t="s">
        <v>1325</v>
      </c>
      <c r="E221" s="474">
        <f>'Visual chart Edit'!I224</f>
        <v>522.20000000000005</v>
      </c>
      <c r="F221" s="422" t="str">
        <f>'Visual chart Edit'!K224</f>
        <v>Sandy</v>
      </c>
      <c r="G221" s="422" t="str">
        <f>'Visual chart Edit'!L224</f>
        <v/>
      </c>
      <c r="H221" s="422"/>
    </row>
    <row r="222" spans="1:8" x14ac:dyDescent="0.25">
      <c r="A222" s="422">
        <f>+SUBTOTAL(3,$B$4:B222)</f>
        <v>219</v>
      </c>
      <c r="B222" s="422" t="str">
        <f>'Visual chart Edit'!B225</f>
        <v>35/4</v>
      </c>
      <c r="C222" s="422" t="str">
        <f>'Visual chart Edit'!C225</f>
        <v>DA+0</v>
      </c>
      <c r="D222" s="422" t="s">
        <v>1325</v>
      </c>
      <c r="E222" s="474">
        <f>'Visual chart Edit'!I225</f>
        <v>418.9</v>
      </c>
      <c r="F222" s="422" t="str">
        <f>'Visual chart Edit'!K225</f>
        <v>DRY</v>
      </c>
      <c r="G222" s="422" t="str">
        <f>'Visual chart Edit'!L225</f>
        <v>E</v>
      </c>
      <c r="H222" s="422"/>
    </row>
    <row r="223" spans="1:8" x14ac:dyDescent="0.25">
      <c r="A223" s="422">
        <f>+SUBTOTAL(3,$B$4:B223)</f>
        <v>220</v>
      </c>
      <c r="B223" s="422" t="str">
        <f>'Visual chart Edit'!B226</f>
        <v>35/5</v>
      </c>
      <c r="C223" s="422" t="str">
        <f>'Visual chart Edit'!C226</f>
        <v>DA+0</v>
      </c>
      <c r="D223" s="422" t="s">
        <v>1325</v>
      </c>
      <c r="E223" s="474">
        <f>'Visual chart Edit'!I226</f>
        <v>421.7</v>
      </c>
      <c r="F223" s="422" t="str">
        <f>'Visual chart Edit'!K226</f>
        <v>Sandy</v>
      </c>
      <c r="G223" s="422" t="str">
        <f>'Visual chart Edit'!L226</f>
        <v>E</v>
      </c>
      <c r="H223" s="422"/>
    </row>
    <row r="224" spans="1:8" x14ac:dyDescent="0.25">
      <c r="A224" s="422">
        <f>+SUBTOTAL(3,$B$4:B224)</f>
        <v>221</v>
      </c>
      <c r="B224" s="422" t="str">
        <f>'Visual chart Edit'!B227</f>
        <v>36/0</v>
      </c>
      <c r="C224" s="422" t="str">
        <f>'Visual chart Edit'!C227</f>
        <v>DB2+0</v>
      </c>
      <c r="D224" s="422" t="s">
        <v>1325</v>
      </c>
      <c r="E224" s="474">
        <f>'Visual chart Edit'!I227</f>
        <v>342.7</v>
      </c>
      <c r="F224" s="422" t="str">
        <f>'Visual chart Edit'!K227</f>
        <v>Sandy</v>
      </c>
      <c r="G224" s="422" t="str">
        <f>'Visual chart Edit'!L227</f>
        <v>E</v>
      </c>
      <c r="H224" s="422"/>
    </row>
    <row r="225" spans="1:9" x14ac:dyDescent="0.25">
      <c r="A225" s="422">
        <f>+SUBTOTAL(3,$B$4:B225)</f>
        <v>222</v>
      </c>
      <c r="B225" s="422" t="str">
        <f>'Visual chart Edit'!B228</f>
        <v>36/1</v>
      </c>
      <c r="C225" s="422" t="str">
        <f>'Visual chart Edit'!C228</f>
        <v>DA+3</v>
      </c>
      <c r="D225" s="422" t="s">
        <v>1325</v>
      </c>
      <c r="E225" s="474">
        <f>'Visual chart Edit'!I228</f>
        <v>386.4</v>
      </c>
      <c r="F225" s="422" t="str">
        <f>'Visual chart Edit'!K228</f>
        <v>Sandy</v>
      </c>
      <c r="G225" s="422" t="str">
        <f>'Visual chart Edit'!L228</f>
        <v>E</v>
      </c>
      <c r="H225" s="422"/>
    </row>
    <row r="226" spans="1:9" x14ac:dyDescent="0.25">
      <c r="A226" s="422">
        <f>+SUBTOTAL(3,$B$4:B226)</f>
        <v>223</v>
      </c>
      <c r="B226" s="422" t="str">
        <f>'Visual chart Edit'!B229</f>
        <v>36/2</v>
      </c>
      <c r="C226" s="422" t="str">
        <f>'Visual chart Edit'!C229</f>
        <v>DA+0</v>
      </c>
      <c r="D226" s="422" t="s">
        <v>1325</v>
      </c>
      <c r="E226" s="474">
        <f>'Visual chart Edit'!I229</f>
        <v>309.39999999999998</v>
      </c>
      <c r="F226" s="422" t="str">
        <f>'Visual chart Edit'!K229</f>
        <v>Sandy</v>
      </c>
      <c r="G226" s="422" t="str">
        <f>'Visual chart Edit'!L229</f>
        <v>E</v>
      </c>
      <c r="H226" s="422"/>
    </row>
    <row r="227" spans="1:9" x14ac:dyDescent="0.25">
      <c r="A227" s="422">
        <f>+SUBTOTAL(3,$B$4:B227)</f>
        <v>224</v>
      </c>
      <c r="B227" s="422" t="str">
        <f>'Visual chart Edit'!B230</f>
        <v>36/3</v>
      </c>
      <c r="C227" s="422" t="str">
        <f>'Visual chart Edit'!C230</f>
        <v>DA+0</v>
      </c>
      <c r="D227" s="422" t="s">
        <v>1325</v>
      </c>
      <c r="E227" s="474">
        <f>'Visual chart Edit'!I230</f>
        <v>357.8</v>
      </c>
      <c r="F227" s="422" t="str">
        <f>'Visual chart Edit'!K230</f>
        <v>Sandy</v>
      </c>
      <c r="G227" s="422" t="str">
        <f>'Visual chart Edit'!L230</f>
        <v>E</v>
      </c>
      <c r="H227" s="422"/>
    </row>
    <row r="228" spans="1:9" x14ac:dyDescent="0.25">
      <c r="A228" s="422">
        <f>+SUBTOTAL(3,$B$4:B228)</f>
        <v>225</v>
      </c>
      <c r="B228" s="422" t="str">
        <f>'Visual chart Edit'!B231</f>
        <v>36/4</v>
      </c>
      <c r="C228" s="422" t="str">
        <f>'Visual chart Edit'!C231</f>
        <v>DA+6</v>
      </c>
      <c r="D228" s="422" t="s">
        <v>1325</v>
      </c>
      <c r="E228" s="474">
        <f>'Visual chart Edit'!I231</f>
        <v>480.4</v>
      </c>
      <c r="F228" s="422" t="str">
        <f>'Visual chart Edit'!K231</f>
        <v>Sandy</v>
      </c>
      <c r="G228" s="422" t="str">
        <f>'Visual chart Edit'!L231</f>
        <v>E</v>
      </c>
      <c r="H228" s="422"/>
    </row>
    <row r="229" spans="1:9" x14ac:dyDescent="0.25">
      <c r="A229" s="422">
        <f>+SUBTOTAL(3,$B$4:B229)</f>
        <v>226</v>
      </c>
      <c r="B229" s="422" t="str">
        <f>'Visual chart Edit'!B232</f>
        <v>37/0</v>
      </c>
      <c r="C229" s="422" t="str">
        <f>'Visual chart Edit'!C232</f>
        <v>DB2+0</v>
      </c>
      <c r="D229" s="422" t="s">
        <v>1325</v>
      </c>
      <c r="E229" s="474">
        <f>'Visual chart Edit'!I232</f>
        <v>350.5</v>
      </c>
      <c r="F229" s="422" t="str">
        <f>'Visual chart Edit'!K232</f>
        <v>Sandy</v>
      </c>
      <c r="G229" s="422" t="str">
        <f>'Visual chart Edit'!L232</f>
        <v>E</v>
      </c>
      <c r="H229" s="422"/>
    </row>
    <row r="230" spans="1:9" x14ac:dyDescent="0.25">
      <c r="A230" s="422">
        <f>+SUBTOTAL(3,$B$4:B230)</f>
        <v>227</v>
      </c>
      <c r="B230" s="422" t="str">
        <f>'Visual chart Edit'!B233</f>
        <v>37/1</v>
      </c>
      <c r="C230" s="422" t="str">
        <f>'Visual chart Edit'!C233</f>
        <v>DA+9</v>
      </c>
      <c r="D230" s="422" t="s">
        <v>1326</v>
      </c>
      <c r="E230" s="474">
        <f>'Visual chart Edit'!I233</f>
        <v>443.3</v>
      </c>
      <c r="F230" s="422" t="str">
        <f>'Visual chart Edit'!K233</f>
        <v>Sandy</v>
      </c>
      <c r="G230" s="422" t="str">
        <f>'Visual chart Edit'!L233</f>
        <v>E</v>
      </c>
      <c r="H230" s="422"/>
    </row>
    <row r="231" spans="1:9" x14ac:dyDescent="0.25">
      <c r="A231" s="422">
        <f>+SUBTOTAL(3,$B$4:B231)</f>
        <v>228</v>
      </c>
      <c r="B231" s="422" t="str">
        <f>'Visual chart Edit'!B234</f>
        <v>37/2</v>
      </c>
      <c r="C231" s="422" t="str">
        <f>'Visual chart Edit'!C234</f>
        <v>DA+3</v>
      </c>
      <c r="D231" s="422" t="s">
        <v>1326</v>
      </c>
      <c r="E231" s="474">
        <f>'Visual chart Edit'!I234</f>
        <v>356.7</v>
      </c>
      <c r="F231" s="422" t="str">
        <f>'Visual chart Edit'!K234</f>
        <v>Sandy</v>
      </c>
      <c r="G231" s="422" t="str">
        <f>'Visual chart Edit'!L234</f>
        <v>E</v>
      </c>
      <c r="H231" s="422"/>
    </row>
    <row r="232" spans="1:9" x14ac:dyDescent="0.25">
      <c r="A232" s="422">
        <f>+SUBTOTAL(3,$B$4:B232)</f>
        <v>229</v>
      </c>
      <c r="B232" s="422" t="str">
        <f>'Visual chart Edit'!B235</f>
        <v>37/3</v>
      </c>
      <c r="C232" s="422" t="str">
        <f>'Visual chart Edit'!C235</f>
        <v>DA+0</v>
      </c>
      <c r="D232" s="422" t="s">
        <v>1326</v>
      </c>
      <c r="E232" s="474">
        <f>'Visual chart Edit'!I235</f>
        <v>339.9</v>
      </c>
      <c r="F232" s="422" t="str">
        <f>'Visual chart Edit'!K235</f>
        <v>Sandy</v>
      </c>
      <c r="G232" s="422" t="str">
        <f>'Visual chart Edit'!L235</f>
        <v>E</v>
      </c>
      <c r="H232" s="422"/>
    </row>
    <row r="233" spans="1:9" x14ac:dyDescent="0.25">
      <c r="A233" s="422">
        <f>+SUBTOTAL(3,$B$4:B233)</f>
        <v>230</v>
      </c>
      <c r="B233" s="422" t="str">
        <f>'Visual chart Edit'!B236</f>
        <v>38/0</v>
      </c>
      <c r="C233" s="422" t="str">
        <f>'Visual chart Edit'!C236</f>
        <v>DB2+6</v>
      </c>
      <c r="D233" s="422" t="s">
        <v>1326</v>
      </c>
      <c r="E233" s="474">
        <f>'Visual chart Edit'!I236</f>
        <v>500.3</v>
      </c>
      <c r="F233" s="422" t="str">
        <f>'Visual chart Edit'!K236</f>
        <v>Sandy</v>
      </c>
      <c r="G233" s="422" t="str">
        <f>'Visual chart Edit'!L236</f>
        <v>E</v>
      </c>
      <c r="H233" s="422"/>
    </row>
    <row r="234" spans="1:9" x14ac:dyDescent="0.25">
      <c r="A234" s="422">
        <f>+SUBTOTAL(3,$B$4:B234)</f>
        <v>231</v>
      </c>
      <c r="B234" s="422" t="str">
        <f>'Visual chart Edit'!B237</f>
        <v>38/1</v>
      </c>
      <c r="C234" s="422" t="str">
        <f>'Visual chart Edit'!C237</f>
        <v>DA+0</v>
      </c>
      <c r="D234" s="422" t="s">
        <v>1326</v>
      </c>
      <c r="E234" s="474">
        <f>'Visual chart Edit'!I237</f>
        <v>421.4</v>
      </c>
      <c r="F234" s="422" t="str">
        <f>'Visual chart Edit'!K237</f>
        <v>Sandy</v>
      </c>
      <c r="G234" s="422" t="str">
        <f>'Visual chart Edit'!L237</f>
        <v/>
      </c>
      <c r="H234" s="422"/>
    </row>
    <row r="235" spans="1:9" x14ac:dyDescent="0.25">
      <c r="A235" s="422">
        <f>+SUBTOTAL(3,$B$4:B235)</f>
        <v>232</v>
      </c>
      <c r="B235" s="422" t="str">
        <f>'Visual chart Edit'!B238</f>
        <v>38/2</v>
      </c>
      <c r="C235" s="422" t="str">
        <f>'Visual chart Edit'!C238</f>
        <v>DA+6</v>
      </c>
      <c r="D235" s="422" t="s">
        <v>1326</v>
      </c>
      <c r="E235" s="474">
        <f>'Visual chart Edit'!I238</f>
        <v>419</v>
      </c>
      <c r="F235" s="422" t="str">
        <f>'Visual chart Edit'!K238</f>
        <v>Sandy</v>
      </c>
      <c r="G235" s="422" t="str">
        <f>'Visual chart Edit'!L238</f>
        <v>E</v>
      </c>
      <c r="H235" s="422"/>
    </row>
    <row r="236" spans="1:9" x14ac:dyDescent="0.25">
      <c r="A236" s="422">
        <f>+SUBTOTAL(3,$B$4:B236)</f>
        <v>233</v>
      </c>
      <c r="B236" s="422" t="str">
        <f>'Visual chart Edit'!B239</f>
        <v>38/3</v>
      </c>
      <c r="C236" s="422" t="str">
        <f>'Visual chart Edit'!C239</f>
        <v>DA+9</v>
      </c>
      <c r="D236" s="422" t="s">
        <v>1326</v>
      </c>
      <c r="E236" s="474">
        <f>'Visual chart Edit'!I239</f>
        <v>420.3</v>
      </c>
      <c r="F236" s="422" t="str">
        <f>'Visual chart Edit'!K239</f>
        <v>Sandy</v>
      </c>
      <c r="G236" s="422" t="str">
        <f>'Visual chart Edit'!L239</f>
        <v>E</v>
      </c>
      <c r="H236" s="422"/>
      <c r="I236" s="491" t="s">
        <v>1700</v>
      </c>
    </row>
    <row r="237" spans="1:9" x14ac:dyDescent="0.25">
      <c r="A237" s="422">
        <f>+SUBTOTAL(3,$B$4:B237)</f>
        <v>234</v>
      </c>
      <c r="B237" s="422" t="str">
        <f>'Visual chart Edit'!B240</f>
        <v>38/4</v>
      </c>
      <c r="C237" s="422" t="str">
        <f>'Visual chart Edit'!C240</f>
        <v>DA+9</v>
      </c>
      <c r="D237" s="422" t="s">
        <v>1326</v>
      </c>
      <c r="E237" s="474">
        <f>'Visual chart Edit'!I240</f>
        <v>414.9</v>
      </c>
      <c r="F237" s="422" t="str">
        <f>'Visual chart Edit'!K240</f>
        <v>Sandy</v>
      </c>
      <c r="G237" s="422" t="str">
        <f>'Visual chart Edit'!L240</f>
        <v>E</v>
      </c>
      <c r="H237" s="422"/>
    </row>
    <row r="238" spans="1:9" x14ac:dyDescent="0.25">
      <c r="A238" s="422">
        <f>+SUBTOTAL(3,$B$4:B238)</f>
        <v>235</v>
      </c>
      <c r="B238" s="422" t="str">
        <f>'Visual chart Edit'!B241</f>
        <v>39/0</v>
      </c>
      <c r="C238" s="422" t="str">
        <f>'Visual chart Edit'!C241</f>
        <v>DB2+6</v>
      </c>
      <c r="D238" s="422" t="s">
        <v>1326</v>
      </c>
      <c r="E238" s="474">
        <f>'Visual chart Edit'!I241</f>
        <v>425.5</v>
      </c>
      <c r="F238" s="422" t="str">
        <f>'Visual chart Edit'!K241</f>
        <v>Sandy</v>
      </c>
      <c r="G238" s="422" t="str">
        <f>'Visual chart Edit'!L241</f>
        <v>E</v>
      </c>
      <c r="H238" s="422"/>
    </row>
    <row r="239" spans="1:9" x14ac:dyDescent="0.25">
      <c r="A239" s="422">
        <f>+SUBTOTAL(3,$B$4:B239)</f>
        <v>236</v>
      </c>
      <c r="B239" s="422" t="str">
        <f>'Visual chart Edit'!B242</f>
        <v>39/1</v>
      </c>
      <c r="C239" s="422" t="str">
        <f>'Visual chart Edit'!C242</f>
        <v>DA+0</v>
      </c>
      <c r="D239" s="422" t="s">
        <v>1326</v>
      </c>
      <c r="E239" s="474">
        <f>'Visual chart Edit'!I242</f>
        <v>412.63799999999998</v>
      </c>
      <c r="F239" s="422" t="str">
        <f>'Visual chart Edit'!K242</f>
        <v>Sandy</v>
      </c>
      <c r="G239" s="422" t="str">
        <f>'Visual chart Edit'!L242</f>
        <v>E</v>
      </c>
      <c r="H239" s="422"/>
    </row>
    <row r="240" spans="1:9" x14ac:dyDescent="0.25">
      <c r="A240" s="422">
        <f>+SUBTOTAL(3,$B$4:B240)</f>
        <v>237</v>
      </c>
      <c r="B240" s="422" t="str">
        <f>'Visual chart Edit'!B243</f>
        <v>40/0</v>
      </c>
      <c r="C240" s="422" t="str">
        <f>'Visual chart Edit'!C243</f>
        <v>DC2+0</v>
      </c>
      <c r="D240" s="422" t="s">
        <v>1326</v>
      </c>
      <c r="E240" s="474">
        <f>'Visual chart Edit'!I243</f>
        <v>322.61</v>
      </c>
      <c r="F240" s="422" t="str">
        <f>'Visual chart Edit'!K243</f>
        <v>Sandy</v>
      </c>
      <c r="G240" s="422" t="str">
        <f>'Visual chart Edit'!L243</f>
        <v>E</v>
      </c>
      <c r="H240" s="422"/>
    </row>
    <row r="241" spans="1:8" x14ac:dyDescent="0.25">
      <c r="A241" s="422">
        <f>+SUBTOTAL(3,$B$4:B241)</f>
        <v>238</v>
      </c>
      <c r="B241" s="422" t="str">
        <f>'Visual chart Edit'!B244</f>
        <v>40/1</v>
      </c>
      <c r="C241" s="422" t="str">
        <f>'Visual chart Edit'!C244</f>
        <v>DA+6</v>
      </c>
      <c r="D241" s="422" t="s">
        <v>1326</v>
      </c>
      <c r="E241" s="474">
        <f>'Visual chart Edit'!I244</f>
        <v>396.2</v>
      </c>
      <c r="F241" s="422" t="str">
        <f>'Visual chart Edit'!K244</f>
        <v>Sandy</v>
      </c>
      <c r="G241" s="422" t="str">
        <f>'Visual chart Edit'!L244</f>
        <v>E</v>
      </c>
      <c r="H241" s="422"/>
    </row>
    <row r="242" spans="1:8" x14ac:dyDescent="0.25">
      <c r="A242" s="422">
        <f>+SUBTOTAL(3,$B$4:B242)</f>
        <v>239</v>
      </c>
      <c r="B242" s="422" t="str">
        <f>'Visual chart Edit'!B245</f>
        <v>40/2</v>
      </c>
      <c r="C242" s="422" t="str">
        <f>'Visual chart Edit'!C245</f>
        <v>DA+3</v>
      </c>
      <c r="D242" s="422" t="s">
        <v>1326</v>
      </c>
      <c r="E242" s="474">
        <f>'Visual chart Edit'!I245</f>
        <v>425.8</v>
      </c>
      <c r="F242" s="422" t="str">
        <f>'Visual chart Edit'!K245</f>
        <v>Sandy</v>
      </c>
      <c r="G242" s="422" t="str">
        <f>'Visual chart Edit'!L245</f>
        <v>E</v>
      </c>
      <c r="H242" s="422"/>
    </row>
    <row r="243" spans="1:8" x14ac:dyDescent="0.25">
      <c r="A243" s="422">
        <f>+SUBTOTAL(3,$B$4:B243)</f>
        <v>240</v>
      </c>
      <c r="B243" s="422" t="str">
        <f>'Visual chart Edit'!B246</f>
        <v>40/3</v>
      </c>
      <c r="C243" s="422" t="str">
        <f>'Visual chart Edit'!C246</f>
        <v>DA+3</v>
      </c>
      <c r="D243" s="422" t="s">
        <v>1327</v>
      </c>
      <c r="E243" s="474">
        <f>'Visual chart Edit'!I246</f>
        <v>401.7</v>
      </c>
      <c r="F243" s="422" t="str">
        <f>'Visual chart Edit'!K246</f>
        <v>Sandy</v>
      </c>
      <c r="G243" s="422" t="str">
        <f>'Visual chart Edit'!L246</f>
        <v>E</v>
      </c>
      <c r="H243" s="422"/>
    </row>
    <row r="244" spans="1:8" x14ac:dyDescent="0.25">
      <c r="A244" s="422">
        <f>+SUBTOTAL(3,$B$4:B244)</f>
        <v>241</v>
      </c>
      <c r="B244" s="422" t="str">
        <f>'Visual chart Edit'!B247</f>
        <v>41/0</v>
      </c>
      <c r="C244" s="422" t="str">
        <f>'Visual chart Edit'!C247</f>
        <v>DC1+6</v>
      </c>
      <c r="D244" s="422" t="s">
        <v>1328</v>
      </c>
      <c r="E244" s="474">
        <f>'Visual chart Edit'!I247</f>
        <v>436.3</v>
      </c>
      <c r="F244" s="422" t="str">
        <f>'Visual chart Edit'!K247</f>
        <v>Sandy</v>
      </c>
      <c r="G244" s="422" t="s">
        <v>124</v>
      </c>
      <c r="H244" s="422"/>
    </row>
    <row r="245" spans="1:8" x14ac:dyDescent="0.25">
      <c r="A245" s="422">
        <f>+SUBTOTAL(3,$B$4:B245)</f>
        <v>242</v>
      </c>
      <c r="B245" s="422" t="str">
        <f>'Visual chart Edit'!B248</f>
        <v>41/1</v>
      </c>
      <c r="C245" s="422" t="str">
        <f>'Visual chart Edit'!C248</f>
        <v>DB1+9</v>
      </c>
      <c r="D245" s="422" t="s">
        <v>1328</v>
      </c>
      <c r="E245" s="474">
        <f>'Visual chart Edit'!I248</f>
        <v>340.8</v>
      </c>
      <c r="F245" s="422" t="str">
        <f>'Visual chart Edit'!K248</f>
        <v>Sandy</v>
      </c>
      <c r="G245" s="422" t="str">
        <f>'Visual chart Edit'!L248</f>
        <v>E</v>
      </c>
      <c r="H245" s="422"/>
    </row>
    <row r="246" spans="1:8" x14ac:dyDescent="0.25">
      <c r="A246" s="422">
        <f>+SUBTOTAL(3,$B$4:B246)</f>
        <v>243</v>
      </c>
      <c r="B246" s="422" t="str">
        <f>'Visual chart Edit'!B249</f>
        <v>41/2</v>
      </c>
      <c r="C246" s="422" t="str">
        <f>'Visual chart Edit'!C249</f>
        <v>DA+0</v>
      </c>
      <c r="D246" s="422" t="s">
        <v>1329</v>
      </c>
      <c r="E246" s="474">
        <f>'Visual chart Edit'!I249</f>
        <v>447.8</v>
      </c>
      <c r="F246" s="422" t="str">
        <f>'Visual chart Edit'!K249</f>
        <v>Sandy</v>
      </c>
      <c r="G246" s="422" t="str">
        <f>'Visual chart Edit'!L249</f>
        <v>E</v>
      </c>
      <c r="H246" s="422"/>
    </row>
    <row r="247" spans="1:8" x14ac:dyDescent="0.25">
      <c r="A247" s="422">
        <f>+SUBTOTAL(3,$B$4:B247)</f>
        <v>244</v>
      </c>
      <c r="B247" s="422" t="str">
        <f>'Visual chart Edit'!B250</f>
        <v>42/0</v>
      </c>
      <c r="C247" s="422" t="str">
        <f>'Visual chart Edit'!C250</f>
        <v>DC1+0</v>
      </c>
      <c r="D247" s="422" t="s">
        <v>1329</v>
      </c>
      <c r="E247" s="474">
        <f>'Visual chart Edit'!I250</f>
        <v>382.3</v>
      </c>
      <c r="F247" s="422" t="str">
        <f>'Visual chart Edit'!K250</f>
        <v>Sandy</v>
      </c>
      <c r="G247" s="422" t="str">
        <f>'Visual chart Edit'!L250</f>
        <v>E</v>
      </c>
      <c r="H247" s="422"/>
    </row>
    <row r="248" spans="1:8" x14ac:dyDescent="0.25">
      <c r="A248" s="422">
        <f>+SUBTOTAL(3,$B$4:B248)</f>
        <v>245</v>
      </c>
      <c r="B248" s="422" t="str">
        <f>'Visual chart Edit'!B251</f>
        <v>42/1</v>
      </c>
      <c r="C248" s="422" t="str">
        <f>'Visual chart Edit'!C251</f>
        <v>DA+6</v>
      </c>
      <c r="D248" s="422" t="s">
        <v>1329</v>
      </c>
      <c r="E248" s="474">
        <f>'Visual chart Edit'!I251</f>
        <v>384.7</v>
      </c>
      <c r="F248" s="422" t="str">
        <f>'Visual chart Edit'!K251</f>
        <v>Sandy</v>
      </c>
      <c r="G248" s="422" t="str">
        <f>'Visual chart Edit'!L251</f>
        <v>E</v>
      </c>
      <c r="H248" s="422"/>
    </row>
    <row r="249" spans="1:8" x14ac:dyDescent="0.25">
      <c r="A249" s="422">
        <f>+SUBTOTAL(3,$B$4:B249)</f>
        <v>246</v>
      </c>
      <c r="B249" s="422" t="str">
        <f>'Visual chart Edit'!B252</f>
        <v>42/2</v>
      </c>
      <c r="C249" s="422" t="str">
        <f>'Visual chart Edit'!C252</f>
        <v>DA+6</v>
      </c>
      <c r="D249" s="422" t="s">
        <v>1329</v>
      </c>
      <c r="E249" s="474">
        <f>'Visual chart Edit'!I252</f>
        <v>407.4</v>
      </c>
      <c r="F249" s="422" t="str">
        <f>'Visual chart Edit'!K252</f>
        <v>Sandy</v>
      </c>
      <c r="G249" s="422" t="str">
        <f>'Visual chart Edit'!L252</f>
        <v>E</v>
      </c>
      <c r="H249" s="422"/>
    </row>
    <row r="250" spans="1:8" x14ac:dyDescent="0.25">
      <c r="A250" s="422">
        <f>+SUBTOTAL(3,$B$4:B250)</f>
        <v>247</v>
      </c>
      <c r="B250" s="422" t="str">
        <f>'Visual chart Edit'!B253</f>
        <v>42/3</v>
      </c>
      <c r="C250" s="422" t="str">
        <f>'Visual chart Edit'!C253</f>
        <v>DA+0</v>
      </c>
      <c r="D250" s="422" t="s">
        <v>1329</v>
      </c>
      <c r="E250" s="474">
        <f>'Visual chart Edit'!I253</f>
        <v>414.2</v>
      </c>
      <c r="F250" s="422" t="str">
        <f>'Visual chart Edit'!K253</f>
        <v>Sandy</v>
      </c>
      <c r="G250" s="422" t="str">
        <f>'Visual chart Edit'!L253</f>
        <v>E</v>
      </c>
      <c r="H250" s="422"/>
    </row>
    <row r="251" spans="1:8" x14ac:dyDescent="0.25">
      <c r="A251" s="422">
        <f>+SUBTOTAL(3,$B$4:B251)</f>
        <v>248</v>
      </c>
      <c r="B251" s="422" t="str">
        <f>'Visual chart Edit'!B254</f>
        <v>42/4</v>
      </c>
      <c r="C251" s="422" t="str">
        <f>'Visual chart Edit'!C254</f>
        <v>DA+0</v>
      </c>
      <c r="D251" s="422" t="s">
        <v>1329</v>
      </c>
      <c r="E251" s="474">
        <f>'Visual chart Edit'!I254</f>
        <v>256.39999999999998</v>
      </c>
      <c r="F251" s="422" t="str">
        <f>'Visual chart Edit'!K254</f>
        <v>Sandy</v>
      </c>
      <c r="G251" s="422" t="str">
        <f>'Visual chart Edit'!L254</f>
        <v>E</v>
      </c>
      <c r="H251" s="422"/>
    </row>
    <row r="252" spans="1:8" x14ac:dyDescent="0.25">
      <c r="A252" s="422">
        <f>+SUBTOTAL(3,$B$4:B252)</f>
        <v>249</v>
      </c>
      <c r="B252" s="422" t="str">
        <f>'Visual chart Edit'!B255</f>
        <v>42/5</v>
      </c>
      <c r="C252" s="422" t="str">
        <f>'Visual chart Edit'!C255</f>
        <v>DA+9</v>
      </c>
      <c r="D252" s="422" t="s">
        <v>1329</v>
      </c>
      <c r="E252" s="474">
        <f>'Visual chart Edit'!I255</f>
        <v>403.8</v>
      </c>
      <c r="F252" s="422" t="str">
        <f>'Visual chart Edit'!K255</f>
        <v>Sandy</v>
      </c>
      <c r="G252" s="422" t="str">
        <f>'Visual chart Edit'!L255</f>
        <v/>
      </c>
      <c r="H252" s="422"/>
    </row>
    <row r="253" spans="1:8" x14ac:dyDescent="0.25">
      <c r="A253" s="422">
        <f>+SUBTOTAL(3,$B$4:B253)</f>
        <v>250</v>
      </c>
      <c r="B253" s="422" t="str">
        <f>'Visual chart Edit'!B256</f>
        <v>42/6</v>
      </c>
      <c r="C253" s="422" t="str">
        <f>'Visual chart Edit'!C256</f>
        <v>DA+0</v>
      </c>
      <c r="D253" s="422" t="s">
        <v>1329</v>
      </c>
      <c r="E253" s="474">
        <f>'Visual chart Edit'!I256</f>
        <v>396.7</v>
      </c>
      <c r="F253" s="422" t="str">
        <f>'Visual chart Edit'!K256</f>
        <v>Sandy</v>
      </c>
      <c r="G253" s="422" t="str">
        <f>'Visual chart Edit'!L256</f>
        <v>E</v>
      </c>
      <c r="H253" s="422"/>
    </row>
    <row r="254" spans="1:8" x14ac:dyDescent="0.25">
      <c r="A254" s="422">
        <f>+SUBTOTAL(3,$B$4:B254)</f>
        <v>251</v>
      </c>
      <c r="B254" s="422" t="str">
        <f>'Visual chart Edit'!B257</f>
        <v>43/0</v>
      </c>
      <c r="C254" s="422" t="str">
        <f>'Visual chart Edit'!C257</f>
        <v>DB1+0</v>
      </c>
      <c r="D254" s="422" t="s">
        <v>1329</v>
      </c>
      <c r="E254" s="474">
        <f>'Visual chart Edit'!I257</f>
        <v>403.9</v>
      </c>
      <c r="F254" s="422" t="str">
        <f>'Visual chart Edit'!K257</f>
        <v>Sandy</v>
      </c>
      <c r="G254" s="422" t="str">
        <f>'Visual chart Edit'!L257</f>
        <v>E</v>
      </c>
      <c r="H254" s="422"/>
    </row>
    <row r="255" spans="1:8" x14ac:dyDescent="0.25">
      <c r="A255" s="422">
        <f>+SUBTOTAL(3,$B$4:B255)</f>
        <v>252</v>
      </c>
      <c r="B255" s="422" t="str">
        <f>'Visual chart Edit'!B258</f>
        <v>43/1</v>
      </c>
      <c r="C255" s="422" t="str">
        <f>'Visual chart Edit'!C258</f>
        <v>DA+3</v>
      </c>
      <c r="D255" s="422" t="s">
        <v>1330</v>
      </c>
      <c r="E255" s="474">
        <f>'Visual chart Edit'!I258</f>
        <v>346</v>
      </c>
      <c r="F255" s="422" t="str">
        <f>'Visual chart Edit'!K258</f>
        <v>Sandy</v>
      </c>
      <c r="G255" s="422" t="str">
        <f>'Visual chart Edit'!L258</f>
        <v>E</v>
      </c>
      <c r="H255" s="422"/>
    </row>
    <row r="256" spans="1:8" x14ac:dyDescent="0.25">
      <c r="A256" s="422">
        <f>+SUBTOTAL(3,$B$4:B256)</f>
        <v>253</v>
      </c>
      <c r="B256" s="422" t="str">
        <f>'Visual chart Edit'!B259</f>
        <v>43/2</v>
      </c>
      <c r="C256" s="422" t="str">
        <f>'Visual chart Edit'!C259</f>
        <v>DA+0</v>
      </c>
      <c r="D256" s="422" t="s">
        <v>1330</v>
      </c>
      <c r="E256" s="474">
        <f>'Visual chart Edit'!I259</f>
        <v>475.8</v>
      </c>
      <c r="F256" s="422" t="str">
        <f>'Visual chart Edit'!K259</f>
        <v>Sandy</v>
      </c>
      <c r="G256" s="422" t="s">
        <v>124</v>
      </c>
      <c r="H256" s="422"/>
    </row>
    <row r="257" spans="1:8" x14ac:dyDescent="0.25">
      <c r="A257" s="422">
        <f>+SUBTOTAL(3,$B$4:B257)</f>
        <v>254</v>
      </c>
      <c r="B257" s="422" t="str">
        <f>'Visual chart Edit'!B260</f>
        <v>43/3</v>
      </c>
      <c r="C257" s="422" t="str">
        <f>'Visual chart Edit'!C260</f>
        <v>DA+0</v>
      </c>
      <c r="D257" s="422" t="s">
        <v>1330</v>
      </c>
      <c r="E257" s="474">
        <f>'Visual chart Edit'!I260</f>
        <v>363.7</v>
      </c>
      <c r="F257" s="422" t="str">
        <f>'Visual chart Edit'!K260</f>
        <v>DRY</v>
      </c>
      <c r="G257" s="422" t="str">
        <f>'Visual chart Edit'!L260</f>
        <v>E</v>
      </c>
      <c r="H257" s="422"/>
    </row>
    <row r="258" spans="1:8" x14ac:dyDescent="0.25">
      <c r="A258" s="422">
        <f>+SUBTOTAL(3,$B$4:B258)</f>
        <v>255</v>
      </c>
      <c r="B258" s="422" t="str">
        <f>'Visual chart Edit'!B261</f>
        <v>43/4</v>
      </c>
      <c r="C258" s="422" t="str">
        <f>'Visual chart Edit'!C261</f>
        <v>DA+3</v>
      </c>
      <c r="D258" s="422" t="s">
        <v>1330</v>
      </c>
      <c r="E258" s="474">
        <f>'Visual chart Edit'!I261</f>
        <v>431.8</v>
      </c>
      <c r="F258" s="422" t="str">
        <f>'Visual chart Edit'!K261</f>
        <v>Sandy</v>
      </c>
      <c r="G258" s="422" t="str">
        <f>'Visual chart Edit'!L261</f>
        <v/>
      </c>
      <c r="H258" s="422"/>
    </row>
    <row r="259" spans="1:8" x14ac:dyDescent="0.25">
      <c r="A259" s="422">
        <f>+SUBTOTAL(3,$B$4:B259)</f>
        <v>256</v>
      </c>
      <c r="B259" s="422" t="str">
        <f>'Visual chart Edit'!B262</f>
        <v>43/5</v>
      </c>
      <c r="C259" s="422" t="str">
        <f>'Visual chart Edit'!C262</f>
        <v>DA+3</v>
      </c>
      <c r="D259" s="422" t="s">
        <v>1330</v>
      </c>
      <c r="E259" s="474">
        <f>'Visual chart Edit'!I262</f>
        <v>405.3</v>
      </c>
      <c r="F259" s="422" t="str">
        <f>'Visual chart Edit'!K262</f>
        <v>DRY</v>
      </c>
      <c r="G259" s="422" t="str">
        <f>'Visual chart Edit'!L262</f>
        <v>E</v>
      </c>
      <c r="H259" s="422"/>
    </row>
    <row r="260" spans="1:8" x14ac:dyDescent="0.25">
      <c r="A260" s="422">
        <f>+SUBTOTAL(3,$B$4:B260)</f>
        <v>257</v>
      </c>
      <c r="B260" s="422" t="str">
        <f>'Visual chart Edit'!B263</f>
        <v>43/6</v>
      </c>
      <c r="C260" s="422" t="str">
        <f>'Visual chart Edit'!C263</f>
        <v>DA+3</v>
      </c>
      <c r="D260" s="422" t="s">
        <v>1330</v>
      </c>
      <c r="E260" s="474">
        <f>'Visual chart Edit'!I263</f>
        <v>427.8</v>
      </c>
      <c r="F260" s="422" t="str">
        <f>'Visual chart Edit'!K263</f>
        <v>Sandy</v>
      </c>
      <c r="G260" s="422" t="str">
        <f>'Visual chart Edit'!L263</f>
        <v>E</v>
      </c>
      <c r="H260" s="422"/>
    </row>
    <row r="261" spans="1:8" x14ac:dyDescent="0.25">
      <c r="A261" s="422">
        <f>+SUBTOTAL(3,$B$4:B261)</f>
        <v>258</v>
      </c>
      <c r="B261" s="422" t="str">
        <f>'Visual chart Edit'!B264</f>
        <v>43/7</v>
      </c>
      <c r="C261" s="422" t="str">
        <f>'Visual chart Edit'!C264</f>
        <v>DA+3</v>
      </c>
      <c r="D261" s="422" t="s">
        <v>1331</v>
      </c>
      <c r="E261" s="474">
        <f>'Visual chart Edit'!I264</f>
        <v>389.8</v>
      </c>
      <c r="F261" s="422" t="str">
        <f>'Visual chart Edit'!K264</f>
        <v>Sandy</v>
      </c>
      <c r="G261" s="422" t="str">
        <f>'Visual chart Edit'!L264</f>
        <v>E</v>
      </c>
      <c r="H261" s="422"/>
    </row>
    <row r="262" spans="1:8" x14ac:dyDescent="0.25">
      <c r="A262" s="422">
        <f>+SUBTOTAL(3,$B$4:B262)</f>
        <v>259</v>
      </c>
      <c r="B262" s="422" t="str">
        <f>'Visual chart Edit'!B265</f>
        <v>43/8</v>
      </c>
      <c r="C262" s="422" t="str">
        <f>'Visual chart Edit'!C265</f>
        <v>DA+9</v>
      </c>
      <c r="D262" s="422" t="s">
        <v>1331</v>
      </c>
      <c r="E262" s="474">
        <f>'Visual chart Edit'!I265</f>
        <v>449.5</v>
      </c>
      <c r="F262" s="422" t="str">
        <f>'Visual chart Edit'!K265</f>
        <v>Sandy</v>
      </c>
      <c r="G262" s="422" t="str">
        <f>'Visual chart Edit'!L265</f>
        <v>E</v>
      </c>
      <c r="H262" s="422"/>
    </row>
    <row r="263" spans="1:8" x14ac:dyDescent="0.25">
      <c r="A263" s="422">
        <f>+SUBTOTAL(3,$B$4:B263)</f>
        <v>260</v>
      </c>
      <c r="B263" s="422" t="str">
        <f>'Visual chart Edit'!B266</f>
        <v>43/9</v>
      </c>
      <c r="C263" s="422" t="str">
        <f>'Visual chart Edit'!C266</f>
        <v>DA+9</v>
      </c>
      <c r="D263" s="422" t="s">
        <v>1331</v>
      </c>
      <c r="E263" s="474">
        <f>'Visual chart Edit'!I266</f>
        <v>388</v>
      </c>
      <c r="F263" s="422" t="str">
        <f>'Visual chart Edit'!K266</f>
        <v>Sandy</v>
      </c>
      <c r="G263" s="422" t="str">
        <f>'Visual chart Edit'!L266</f>
        <v>E</v>
      </c>
      <c r="H263" s="422"/>
    </row>
    <row r="264" spans="1:8" x14ac:dyDescent="0.25">
      <c r="A264" s="422">
        <f>+SUBTOTAL(3,$B$4:B264)</f>
        <v>261</v>
      </c>
      <c r="B264" s="422" t="str">
        <f>'Visual chart Edit'!B267</f>
        <v>43/10</v>
      </c>
      <c r="C264" s="422" t="str">
        <f>'Visual chart Edit'!C267</f>
        <v>DA+3</v>
      </c>
      <c r="D264" s="422" t="s">
        <v>1331</v>
      </c>
      <c r="E264" s="474">
        <f>'Visual chart Edit'!I267</f>
        <v>346.3</v>
      </c>
      <c r="F264" s="422" t="str">
        <f>'Visual chart Edit'!K267</f>
        <v>Sandy</v>
      </c>
      <c r="G264" s="422" t="str">
        <f>'Visual chart Edit'!L267</f>
        <v>E</v>
      </c>
      <c r="H264" s="422"/>
    </row>
    <row r="265" spans="1:8" x14ac:dyDescent="0.25">
      <c r="A265" s="422">
        <f>+SUBTOTAL(3,$B$4:B265)</f>
        <v>262</v>
      </c>
      <c r="B265" s="422" t="str">
        <f>'Visual chart Edit'!B268</f>
        <v>43/11</v>
      </c>
      <c r="C265" s="422" t="str">
        <f>'Visual chart Edit'!C268</f>
        <v>DA+3</v>
      </c>
      <c r="D265" s="422" t="s">
        <v>1332</v>
      </c>
      <c r="E265" s="474">
        <f>'Visual chart Edit'!I268</f>
        <v>444.8</v>
      </c>
      <c r="F265" s="422" t="str">
        <f>'Visual chart Edit'!K268</f>
        <v>Sandy</v>
      </c>
      <c r="G265" s="422" t="str">
        <f>'Visual chart Edit'!L268</f>
        <v>E</v>
      </c>
      <c r="H265" s="422"/>
    </row>
    <row r="266" spans="1:8" x14ac:dyDescent="0.25">
      <c r="A266" s="422">
        <f>+SUBTOTAL(3,$B$4:B266)</f>
        <v>263</v>
      </c>
      <c r="B266" s="422" t="str">
        <f>'Visual chart Edit'!B269</f>
        <v>44/0</v>
      </c>
      <c r="C266" s="422" t="str">
        <f>'Visual chart Edit'!C269</f>
        <v>DB1+3</v>
      </c>
      <c r="D266" s="422" t="s">
        <v>1332</v>
      </c>
      <c r="E266" s="474">
        <f>'Visual chart Edit'!I269</f>
        <v>383.9</v>
      </c>
      <c r="F266" s="422" t="str">
        <f>'Visual chart Edit'!K269</f>
        <v>Sandy</v>
      </c>
      <c r="G266" s="422" t="str">
        <f>'Visual chart Edit'!L269</f>
        <v>E</v>
      </c>
      <c r="H266" s="422"/>
    </row>
    <row r="267" spans="1:8" x14ac:dyDescent="0.25">
      <c r="A267" s="422">
        <f>+SUBTOTAL(3,$B$4:B267)</f>
        <v>264</v>
      </c>
      <c r="B267" s="422" t="str">
        <f>'Visual chart Edit'!B270</f>
        <v>44/1</v>
      </c>
      <c r="C267" s="422" t="str">
        <f>'Visual chart Edit'!C270</f>
        <v>DA+0</v>
      </c>
      <c r="D267" s="422" t="s">
        <v>1332</v>
      </c>
      <c r="E267" s="474">
        <f>'Visual chart Edit'!I270</f>
        <v>384.3</v>
      </c>
      <c r="F267" s="422" t="str">
        <f>'Visual chart Edit'!K270</f>
        <v>Sandy</v>
      </c>
      <c r="G267" s="422" t="str">
        <f>'Visual chart Edit'!L270</f>
        <v>E</v>
      </c>
      <c r="H267" s="422"/>
    </row>
    <row r="268" spans="1:8" x14ac:dyDescent="0.25">
      <c r="A268" s="422">
        <f>+SUBTOTAL(3,$B$4:B268)</f>
        <v>265</v>
      </c>
      <c r="B268" s="422" t="str">
        <f>'Visual chart Edit'!B271</f>
        <v>44/2</v>
      </c>
      <c r="C268" s="422" t="str">
        <f>'Visual chart Edit'!C271</f>
        <v>DA+0</v>
      </c>
      <c r="D268" s="422" t="s">
        <v>1332</v>
      </c>
      <c r="E268" s="474">
        <f>'Visual chart Edit'!I271</f>
        <v>359</v>
      </c>
      <c r="F268" s="422" t="str">
        <f>'Visual chart Edit'!K271</f>
        <v>Sandy</v>
      </c>
      <c r="G268" s="422" t="str">
        <f>'Visual chart Edit'!L271</f>
        <v>E</v>
      </c>
      <c r="H268" s="422"/>
    </row>
    <row r="269" spans="1:8" x14ac:dyDescent="0.25">
      <c r="A269" s="422">
        <f>+SUBTOTAL(3,$B$4:B269)</f>
        <v>266</v>
      </c>
      <c r="B269" s="422" t="str">
        <f>'Visual chart Edit'!B272</f>
        <v>44/3</v>
      </c>
      <c r="C269" s="422" t="str">
        <f>'Visual chart Edit'!C272</f>
        <v>DA+0</v>
      </c>
      <c r="D269" s="422" t="s">
        <v>1332</v>
      </c>
      <c r="E269" s="474">
        <f>'Visual chart Edit'!I272</f>
        <v>334</v>
      </c>
      <c r="F269" s="422" t="str">
        <f>'Visual chart Edit'!K272</f>
        <v>Sandy</v>
      </c>
      <c r="G269" s="422" t="str">
        <f>'Visual chart Edit'!L272</f>
        <v>E</v>
      </c>
      <c r="H269" s="422"/>
    </row>
    <row r="270" spans="1:8" x14ac:dyDescent="0.25">
      <c r="A270" s="422">
        <f>+SUBTOTAL(3,$B$4:B270)</f>
        <v>267</v>
      </c>
      <c r="B270" s="422" t="str">
        <f>'Visual chart Edit'!B273</f>
        <v>44/4</v>
      </c>
      <c r="C270" s="422" t="str">
        <f>'Visual chart Edit'!C273</f>
        <v>DA+9</v>
      </c>
      <c r="D270" s="422" t="s">
        <v>1332</v>
      </c>
      <c r="E270" s="474">
        <f>'Visual chart Edit'!I273</f>
        <v>395</v>
      </c>
      <c r="F270" s="422" t="str">
        <f>'Visual chart Edit'!K273</f>
        <v>Sandy</v>
      </c>
      <c r="G270" s="422" t="str">
        <f>'Visual chart Edit'!L273</f>
        <v>E</v>
      </c>
      <c r="H270" s="422"/>
    </row>
    <row r="271" spans="1:8" x14ac:dyDescent="0.25">
      <c r="A271" s="422">
        <f>+SUBTOTAL(3,$B$4:B271)</f>
        <v>268</v>
      </c>
      <c r="B271" s="422" t="str">
        <f>'Visual chart Edit'!B274</f>
        <v>44/5</v>
      </c>
      <c r="C271" s="422" t="str">
        <f>'Visual chart Edit'!C274</f>
        <v>DA+9</v>
      </c>
      <c r="D271" s="422" t="s">
        <v>1332</v>
      </c>
      <c r="E271" s="474">
        <f>'Visual chart Edit'!I274</f>
        <v>355</v>
      </c>
      <c r="F271" s="422" t="str">
        <f>'Visual chart Edit'!K274</f>
        <v>Sandy</v>
      </c>
      <c r="G271" s="422" t="str">
        <f>'Visual chart Edit'!L274</f>
        <v>E</v>
      </c>
      <c r="H271" s="422"/>
    </row>
    <row r="272" spans="1:8" x14ac:dyDescent="0.25">
      <c r="A272" s="422">
        <f>+SUBTOTAL(3,$B$4:B272)</f>
        <v>269</v>
      </c>
      <c r="B272" s="422" t="str">
        <f>'Visual chart Edit'!B275</f>
        <v>44/6</v>
      </c>
      <c r="C272" s="422" t="str">
        <f>'Visual chart Edit'!C275</f>
        <v>DB1+3</v>
      </c>
      <c r="D272" s="422" t="s">
        <v>1333</v>
      </c>
      <c r="E272" s="474">
        <f>'Visual chart Edit'!I275</f>
        <v>485</v>
      </c>
      <c r="F272" s="422" t="str">
        <f>'Visual chart Edit'!K275</f>
        <v>Sandy</v>
      </c>
      <c r="G272" s="422" t="str">
        <f>'Visual chart Edit'!L275</f>
        <v>E</v>
      </c>
      <c r="H272" s="422"/>
    </row>
    <row r="273" spans="1:8" x14ac:dyDescent="0.25">
      <c r="A273" s="422">
        <f>+SUBTOTAL(3,$B$4:B273)</f>
        <v>270</v>
      </c>
      <c r="B273" s="422" t="str">
        <f>'Visual chart Edit'!B276</f>
        <v>44/7</v>
      </c>
      <c r="C273" s="422" t="str">
        <f>'Visual chart Edit'!C276</f>
        <v>DA+9</v>
      </c>
      <c r="D273" s="422" t="s">
        <v>1333</v>
      </c>
      <c r="E273" s="474">
        <f>'Visual chart Edit'!I276</f>
        <v>473</v>
      </c>
      <c r="F273" s="422" t="str">
        <f>'Visual chart Edit'!K276</f>
        <v>Sandy</v>
      </c>
      <c r="G273" s="422" t="str">
        <f>'Visual chart Edit'!L276</f>
        <v>E</v>
      </c>
      <c r="H273" s="422"/>
    </row>
    <row r="274" spans="1:8" x14ac:dyDescent="0.25">
      <c r="A274" s="422">
        <f>+SUBTOTAL(3,$B$4:B274)</f>
        <v>271</v>
      </c>
      <c r="B274" s="422" t="str">
        <f>'Visual chart Edit'!B277</f>
        <v>44/8</v>
      </c>
      <c r="C274" s="422" t="str">
        <f>'Visual chart Edit'!C277</f>
        <v>DCT+0</v>
      </c>
      <c r="D274" s="422" t="s">
        <v>1333</v>
      </c>
      <c r="E274" s="474">
        <f>'Visual chart Edit'!I277</f>
        <v>367</v>
      </c>
      <c r="F274" s="422" t="str">
        <f>'Visual chart Edit'!K277</f>
        <v>Sandy</v>
      </c>
      <c r="G274" s="422" t="str">
        <f>'Visual chart Edit'!L277</f>
        <v>E</v>
      </c>
      <c r="H274" s="422"/>
    </row>
    <row r="275" spans="1:8" x14ac:dyDescent="0.25">
      <c r="A275" s="422">
        <f>+SUBTOTAL(3,$B$4:B275)</f>
        <v>272</v>
      </c>
      <c r="B275" s="422" t="str">
        <f>'Visual chart Edit'!B278</f>
        <v>44/9</v>
      </c>
      <c r="C275" s="422" t="str">
        <f>'Visual chart Edit'!C278</f>
        <v>DA+9</v>
      </c>
      <c r="D275" s="422" t="s">
        <v>1333</v>
      </c>
      <c r="E275" s="474">
        <f>'Visual chart Edit'!I278</f>
        <v>430</v>
      </c>
      <c r="F275" s="422" t="str">
        <f>'Visual chart Edit'!K278</f>
        <v>Sandy</v>
      </c>
      <c r="G275" s="422" t="str">
        <f>'Visual chart Edit'!L278</f>
        <v>E</v>
      </c>
      <c r="H275" s="422"/>
    </row>
    <row r="276" spans="1:8" x14ac:dyDescent="0.25">
      <c r="A276" s="422">
        <f>+SUBTOTAL(3,$B$4:B276)</f>
        <v>273</v>
      </c>
      <c r="B276" s="422" t="str">
        <f>'Visual chart Edit'!B279</f>
        <v>44/10</v>
      </c>
      <c r="C276" s="422" t="str">
        <f>'Visual chart Edit'!C279</f>
        <v>DB1+9</v>
      </c>
      <c r="D276" s="422" t="s">
        <v>1333</v>
      </c>
      <c r="E276" s="474">
        <f>'Visual chart Edit'!I279</f>
        <v>365</v>
      </c>
      <c r="F276" s="422" t="str">
        <f>'Visual chart Edit'!K279</f>
        <v>Sandy</v>
      </c>
      <c r="G276" s="422" t="str">
        <f>'Visual chart Edit'!L279</f>
        <v>E</v>
      </c>
      <c r="H276" s="422"/>
    </row>
    <row r="277" spans="1:8" x14ac:dyDescent="0.25">
      <c r="A277" s="422">
        <f>+SUBTOTAL(3,$B$4:B277)</f>
        <v>274</v>
      </c>
      <c r="B277" s="422" t="str">
        <f>'Visual chart Edit'!B280</f>
        <v>44/11</v>
      </c>
      <c r="C277" s="422" t="str">
        <f>'Visual chart Edit'!C280</f>
        <v>DA+0</v>
      </c>
      <c r="D277" s="422" t="s">
        <v>1333</v>
      </c>
      <c r="E277" s="474">
        <f>'Visual chart Edit'!I280</f>
        <v>428</v>
      </c>
      <c r="F277" s="422" t="str">
        <f>'Visual chart Edit'!K280</f>
        <v>Sandy</v>
      </c>
      <c r="G277" s="422" t="str">
        <f>'Visual chart Edit'!L280</f>
        <v>E</v>
      </c>
      <c r="H277" s="422"/>
    </row>
    <row r="278" spans="1:8" x14ac:dyDescent="0.25">
      <c r="A278" s="422">
        <f>+SUBTOTAL(3,$B$4:B278)</f>
        <v>275</v>
      </c>
      <c r="B278" s="422" t="str">
        <f>'Visual chart Edit'!B281</f>
        <v>45/0</v>
      </c>
      <c r="C278" s="422" t="str">
        <f>'Visual chart Edit'!C281</f>
        <v>DC2+0</v>
      </c>
      <c r="D278" s="422" t="s">
        <v>1333</v>
      </c>
      <c r="E278" s="474">
        <f>'Visual chart Edit'!I281</f>
        <v>327.2</v>
      </c>
      <c r="F278" s="422" t="str">
        <f>'Visual chart Edit'!K281</f>
        <v>Sandy</v>
      </c>
      <c r="G278" s="422" t="str">
        <f>'Visual chart Edit'!L281</f>
        <v>E</v>
      </c>
      <c r="H278" s="422"/>
    </row>
    <row r="279" spans="1:8" x14ac:dyDescent="0.25">
      <c r="A279" s="422">
        <f>+SUBTOTAL(3,$B$4:B279)</f>
        <v>276</v>
      </c>
      <c r="B279" s="422" t="str">
        <f>'Visual chart Edit'!B282</f>
        <v>45/1</v>
      </c>
      <c r="C279" s="422" t="str">
        <f>'Visual chart Edit'!C282</f>
        <v>DA+9</v>
      </c>
      <c r="D279" s="422" t="s">
        <v>1333</v>
      </c>
      <c r="E279" s="474">
        <f>'Visual chart Edit'!I282</f>
        <v>294.92</v>
      </c>
      <c r="F279" s="422" t="str">
        <f>'Visual chart Edit'!K282</f>
        <v>Sandy</v>
      </c>
      <c r="G279" s="422" t="str">
        <f>'Visual chart Edit'!L282</f>
        <v>E</v>
      </c>
      <c r="H279" s="422"/>
    </row>
    <row r="280" spans="1:8" x14ac:dyDescent="0.25">
      <c r="A280" s="422">
        <f>+SUBTOTAL(3,$B$4:B280)</f>
        <v>277</v>
      </c>
      <c r="B280" s="422" t="str">
        <f>'Visual chart Edit'!B283</f>
        <v>46/0</v>
      </c>
      <c r="C280" s="422" t="str">
        <f>'Visual chart Edit'!C283</f>
        <v>DD60+25</v>
      </c>
      <c r="D280" s="422" t="s">
        <v>1334</v>
      </c>
      <c r="E280" s="474">
        <f>'Visual chart Edit'!I283</f>
        <v>406.54</v>
      </c>
      <c r="F280" s="422" t="str">
        <f>'Visual chart Edit'!K283</f>
        <v>Sandy</v>
      </c>
      <c r="G280" s="422" t="str">
        <f>'Visual chart Edit'!L283</f>
        <v>E</v>
      </c>
      <c r="H280" s="422"/>
    </row>
    <row r="281" spans="1:8" x14ac:dyDescent="0.25">
      <c r="A281" s="422">
        <f>+SUBTOTAL(3,$B$4:B281)</f>
        <v>278</v>
      </c>
      <c r="B281" s="422" t="str">
        <f>'Visual chart Edit'!B284</f>
        <v>47/0</v>
      </c>
      <c r="C281" s="422" t="str">
        <f>'Visual chart Edit'!C284</f>
        <v>DD60+25</v>
      </c>
      <c r="D281" s="422" t="s">
        <v>1334</v>
      </c>
      <c r="E281" s="474">
        <f>'Visual chart Edit'!I284</f>
        <v>199.08</v>
      </c>
      <c r="F281" s="422" t="str">
        <f>'Visual chart Edit'!K284</f>
        <v>Sandy</v>
      </c>
      <c r="G281" s="422" t="str">
        <f>'Visual chart Edit'!L284</f>
        <v>E</v>
      </c>
      <c r="H281" s="422"/>
    </row>
    <row r="282" spans="1:8" x14ac:dyDescent="0.25">
      <c r="A282" s="422">
        <f>+SUBTOTAL(3,$B$4:B282)</f>
        <v>279</v>
      </c>
      <c r="B282" s="422" t="str">
        <f>'Visual chart Edit'!B285</f>
        <v>47/1</v>
      </c>
      <c r="C282" s="422" t="str">
        <f>'Visual chart Edit'!C285</f>
        <v>DA+3</v>
      </c>
      <c r="D282" s="422" t="s">
        <v>1334</v>
      </c>
      <c r="E282" s="474">
        <f>'Visual chart Edit'!I285</f>
        <v>441.2</v>
      </c>
      <c r="F282" s="422" t="str">
        <f>'Visual chart Edit'!K285</f>
        <v>Sandy</v>
      </c>
      <c r="G282" s="422" t="str">
        <f>'Visual chart Edit'!L285</f>
        <v>E</v>
      </c>
      <c r="H282" s="422"/>
    </row>
    <row r="283" spans="1:8" x14ac:dyDescent="0.25">
      <c r="A283" s="422">
        <f>+SUBTOTAL(3,$B$4:B283)</f>
        <v>280</v>
      </c>
      <c r="B283" s="422" t="str">
        <f>'Visual chart Edit'!B286</f>
        <v>47/2</v>
      </c>
      <c r="C283" s="422" t="str">
        <f>'Visual chart Edit'!C286</f>
        <v>DA+9</v>
      </c>
      <c r="D283" s="422" t="s">
        <v>1334</v>
      </c>
      <c r="E283" s="474">
        <f>'Visual chart Edit'!I286</f>
        <v>365.93</v>
      </c>
      <c r="F283" s="422" t="str">
        <f>'Visual chart Edit'!K286</f>
        <v>Sandy</v>
      </c>
      <c r="G283" s="422" t="str">
        <f>'Visual chart Edit'!L286</f>
        <v>E</v>
      </c>
      <c r="H283" s="422"/>
    </row>
    <row r="284" spans="1:8" x14ac:dyDescent="0.25">
      <c r="A284" s="422">
        <f>+SUBTOTAL(3,$B$4:B284)</f>
        <v>281</v>
      </c>
      <c r="B284" s="422" t="str">
        <f>'Visual chart Edit'!B287</f>
        <v>47/3</v>
      </c>
      <c r="C284" s="422" t="str">
        <f>'Visual chart Edit'!C287</f>
        <v>DA+9</v>
      </c>
      <c r="D284" s="422" t="s">
        <v>1334</v>
      </c>
      <c r="E284" s="474">
        <f>'Visual chart Edit'!I287</f>
        <v>417.4</v>
      </c>
      <c r="F284" s="422" t="str">
        <f>'Visual chart Edit'!K287</f>
        <v>Sandy</v>
      </c>
      <c r="G284" s="422" t="str">
        <f>'Visual chart Edit'!L287</f>
        <v>E</v>
      </c>
      <c r="H284" s="422"/>
    </row>
    <row r="285" spans="1:8" x14ac:dyDescent="0.25">
      <c r="A285" s="422">
        <f>+SUBTOTAL(3,$B$4:B285)</f>
        <v>282</v>
      </c>
      <c r="B285" s="422" t="str">
        <f>'Visual chart Edit'!B288</f>
        <v>47/4</v>
      </c>
      <c r="C285" s="422" t="str">
        <f>'Visual chart Edit'!C288</f>
        <v>DA+3</v>
      </c>
      <c r="D285" s="422" t="s">
        <v>1334</v>
      </c>
      <c r="E285" s="474">
        <f>'Visual chart Edit'!I288</f>
        <v>358.4</v>
      </c>
      <c r="F285" s="422" t="str">
        <f>'Visual chart Edit'!K288</f>
        <v>Sandy</v>
      </c>
      <c r="G285" s="422" t="str">
        <f>'Visual chart Edit'!L288</f>
        <v>E</v>
      </c>
      <c r="H285" s="422"/>
    </row>
    <row r="286" spans="1:8" x14ac:dyDescent="0.25">
      <c r="A286" s="422">
        <f>+SUBTOTAL(3,$B$4:B286)</f>
        <v>283</v>
      </c>
      <c r="B286" s="422" t="str">
        <f>'Visual chart Edit'!B289</f>
        <v>47/5</v>
      </c>
      <c r="C286" s="422" t="str">
        <f>'Visual chart Edit'!C289</f>
        <v>DA+0</v>
      </c>
      <c r="D286" s="422" t="s">
        <v>1334</v>
      </c>
      <c r="E286" s="474">
        <f>'Visual chart Edit'!I289</f>
        <v>461.2</v>
      </c>
      <c r="F286" s="422" t="str">
        <f>'Visual chart Edit'!K289</f>
        <v>Sandy</v>
      </c>
      <c r="G286" s="422" t="str">
        <f>'Visual chart Edit'!L289</f>
        <v>E</v>
      </c>
      <c r="H286" s="422"/>
    </row>
    <row r="287" spans="1:8" x14ac:dyDescent="0.25">
      <c r="A287" s="422">
        <f>+SUBTOTAL(3,$B$4:B287)</f>
        <v>284</v>
      </c>
      <c r="B287" s="422" t="str">
        <f>'Visual chart Edit'!B290</f>
        <v>47/6</v>
      </c>
      <c r="C287" s="422" t="str">
        <f>'Visual chart Edit'!C290</f>
        <v>DA+3</v>
      </c>
      <c r="D287" s="422" t="s">
        <v>1334</v>
      </c>
      <c r="E287" s="474">
        <f>'Visual chart Edit'!I290</f>
        <v>377.3</v>
      </c>
      <c r="F287" s="422" t="str">
        <f>'Visual chart Edit'!K290</f>
        <v>Sandy</v>
      </c>
      <c r="G287" s="422" t="str">
        <f>'Visual chart Edit'!L290</f>
        <v>E</v>
      </c>
      <c r="H287" s="422"/>
    </row>
    <row r="288" spans="1:8" x14ac:dyDescent="0.25">
      <c r="A288" s="422">
        <f>+SUBTOTAL(3,$B$4:B288)</f>
        <v>285</v>
      </c>
      <c r="B288" s="422" t="str">
        <f>'Visual chart Edit'!B291</f>
        <v>47/7</v>
      </c>
      <c r="C288" s="422" t="str">
        <f>'Visual chart Edit'!C291</f>
        <v>DA+3</v>
      </c>
      <c r="D288" s="422" t="s">
        <v>1334</v>
      </c>
      <c r="E288" s="474">
        <f>'Visual chart Edit'!I291</f>
        <v>431.5</v>
      </c>
      <c r="F288" s="422" t="str">
        <f>'Visual chart Edit'!K291</f>
        <v>Sandy</v>
      </c>
      <c r="G288" s="422" t="str">
        <f>'Visual chart Edit'!L291</f>
        <v>E</v>
      </c>
      <c r="H288" s="422"/>
    </row>
    <row r="289" spans="1:8" x14ac:dyDescent="0.25">
      <c r="A289" s="422">
        <f>+SUBTOTAL(3,$B$4:B289)</f>
        <v>286</v>
      </c>
      <c r="B289" s="422" t="str">
        <f>'Visual chart Edit'!B292</f>
        <v>47/8</v>
      </c>
      <c r="C289" s="422" t="str">
        <f>'Visual chart Edit'!C292</f>
        <v>DA+0</v>
      </c>
      <c r="D289" s="422" t="s">
        <v>1335</v>
      </c>
      <c r="E289" s="474">
        <f>'Visual chart Edit'!I292</f>
        <v>398.8</v>
      </c>
      <c r="F289" s="422" t="str">
        <f>'Visual chart Edit'!K292</f>
        <v>Sandy</v>
      </c>
      <c r="G289" s="422" t="str">
        <f>'Visual chart Edit'!L292</f>
        <v>E</v>
      </c>
      <c r="H289" s="422"/>
    </row>
    <row r="290" spans="1:8" x14ac:dyDescent="0.25">
      <c r="A290" s="422">
        <f>+SUBTOTAL(3,$B$4:B290)</f>
        <v>287</v>
      </c>
      <c r="B290" s="422" t="str">
        <f>'Visual chart Edit'!B293</f>
        <v>47/9</v>
      </c>
      <c r="C290" s="422" t="str">
        <f>'Visual chart Edit'!C293</f>
        <v>DA+3</v>
      </c>
      <c r="D290" s="422" t="s">
        <v>1335</v>
      </c>
      <c r="E290" s="474">
        <f>'Visual chart Edit'!I293</f>
        <v>405.9</v>
      </c>
      <c r="F290" s="422" t="str">
        <f>'Visual chart Edit'!K293</f>
        <v>Sandy</v>
      </c>
      <c r="G290" s="422" t="str">
        <f>'Visual chart Edit'!L293</f>
        <v>E</v>
      </c>
      <c r="H290" s="422"/>
    </row>
    <row r="291" spans="1:8" x14ac:dyDescent="0.25">
      <c r="A291" s="422">
        <f>+SUBTOTAL(3,$B$4:B291)</f>
        <v>288</v>
      </c>
      <c r="B291" s="422" t="str">
        <f>'Visual chart Edit'!B294</f>
        <v>47/10</v>
      </c>
      <c r="C291" s="422" t="str">
        <f>'Visual chart Edit'!C294</f>
        <v>DA+6</v>
      </c>
      <c r="D291" s="422" t="s">
        <v>1335</v>
      </c>
      <c r="E291" s="474">
        <f>'Visual chart Edit'!I294</f>
        <v>433.7</v>
      </c>
      <c r="F291" s="422" t="str">
        <f>'Visual chart Edit'!K294</f>
        <v>Sandy</v>
      </c>
      <c r="G291" s="422" t="str">
        <f>'Visual chart Edit'!L294</f>
        <v>E</v>
      </c>
      <c r="H291" s="422"/>
    </row>
    <row r="292" spans="1:8" x14ac:dyDescent="0.25">
      <c r="A292" s="422">
        <f>+SUBTOTAL(3,$B$4:B292)</f>
        <v>289</v>
      </c>
      <c r="B292" s="422" t="str">
        <f>'Visual chart Edit'!B295</f>
        <v>48/0</v>
      </c>
      <c r="C292" s="422" t="str">
        <f>'Visual chart Edit'!C295</f>
        <v>DC2+0</v>
      </c>
      <c r="D292" s="422" t="s">
        <v>1335</v>
      </c>
      <c r="E292" s="474">
        <f>'Visual chart Edit'!I295</f>
        <v>386.2</v>
      </c>
      <c r="F292" s="422" t="str">
        <f>'Visual chart Edit'!K295</f>
        <v>Sandy</v>
      </c>
      <c r="G292" s="422" t="str">
        <f>'Visual chart Edit'!L295</f>
        <v>E</v>
      </c>
      <c r="H292" s="422"/>
    </row>
    <row r="293" spans="1:8" x14ac:dyDescent="0.25">
      <c r="A293" s="422">
        <f>+SUBTOTAL(3,$B$4:B293)</f>
        <v>290</v>
      </c>
      <c r="B293" s="422" t="str">
        <f>'Visual chart Edit'!B296</f>
        <v>48/1</v>
      </c>
      <c r="C293" s="422" t="str">
        <f>'Visual chart Edit'!C296</f>
        <v>DA+9</v>
      </c>
      <c r="D293" s="422" t="s">
        <v>1336</v>
      </c>
      <c r="E293" s="474">
        <f>'Visual chart Edit'!I296</f>
        <v>428.9</v>
      </c>
      <c r="F293" s="422" t="str">
        <f>'Visual chart Edit'!K296</f>
        <v>Sandy</v>
      </c>
      <c r="G293" s="422" t="str">
        <f>'Visual chart Edit'!L296</f>
        <v>E</v>
      </c>
      <c r="H293" s="422"/>
    </row>
    <row r="294" spans="1:8" x14ac:dyDescent="0.25">
      <c r="A294" s="422">
        <f>+SUBTOTAL(3,$B$4:B294)</f>
        <v>291</v>
      </c>
      <c r="B294" s="422" t="str">
        <f>'Visual chart Edit'!B297</f>
        <v>49/0</v>
      </c>
      <c r="C294" s="422" t="str">
        <f>'Visual chart Edit'!C297</f>
        <v>DD45+0</v>
      </c>
      <c r="D294" s="422" t="s">
        <v>1336</v>
      </c>
      <c r="E294" s="474">
        <f>'Visual chart Edit'!I297</f>
        <v>402.9</v>
      </c>
      <c r="F294" s="422" t="str">
        <f>'Visual chart Edit'!K297</f>
        <v>Sandy</v>
      </c>
      <c r="G294" s="422" t="str">
        <f>'Visual chart Edit'!L297</f>
        <v>E</v>
      </c>
      <c r="H294" s="422"/>
    </row>
    <row r="295" spans="1:8" x14ac:dyDescent="0.25">
      <c r="A295" s="422">
        <f>+SUBTOTAL(3,$B$4:B295)</f>
        <v>292</v>
      </c>
      <c r="B295" s="422" t="str">
        <f>'Visual chart Edit'!B298</f>
        <v>49/1</v>
      </c>
      <c r="C295" s="422" t="str">
        <f>'Visual chart Edit'!C298</f>
        <v>DA+0</v>
      </c>
      <c r="D295" s="422" t="s">
        <v>1336</v>
      </c>
      <c r="E295" s="474">
        <f>'Visual chart Edit'!I298</f>
        <v>379.1</v>
      </c>
      <c r="F295" s="422" t="str">
        <f>'Visual chart Edit'!K298</f>
        <v>Sandy</v>
      </c>
      <c r="G295" s="422" t="str">
        <f>'Visual chart Edit'!L298</f>
        <v>E</v>
      </c>
      <c r="H295" s="422"/>
    </row>
    <row r="296" spans="1:8" x14ac:dyDescent="0.25">
      <c r="A296" s="422">
        <f>+SUBTOTAL(3,$B$4:B296)</f>
        <v>293</v>
      </c>
      <c r="B296" s="422" t="str">
        <f>'Visual chart Edit'!B299</f>
        <v>49/2</v>
      </c>
      <c r="C296" s="422" t="str">
        <f>'Visual chart Edit'!C299</f>
        <v>DA+3</v>
      </c>
      <c r="D296" s="422" t="s">
        <v>1336</v>
      </c>
      <c r="E296" s="474">
        <f>'Visual chart Edit'!I299</f>
        <v>386.6</v>
      </c>
      <c r="F296" s="422" t="str">
        <f>'Visual chart Edit'!K299</f>
        <v>Sandy</v>
      </c>
      <c r="G296" s="422" t="str">
        <f>'Visual chart Edit'!L299</f>
        <v>E</v>
      </c>
      <c r="H296" s="422"/>
    </row>
    <row r="297" spans="1:8" x14ac:dyDescent="0.25">
      <c r="A297" s="422">
        <f>+SUBTOTAL(3,$B$4:B297)</f>
        <v>294</v>
      </c>
      <c r="B297" s="422" t="str">
        <f>'Visual chart Edit'!B300</f>
        <v>49/3</v>
      </c>
      <c r="C297" s="422" t="str">
        <f>'Visual chart Edit'!C300</f>
        <v>DA+3</v>
      </c>
      <c r="D297" s="422" t="s">
        <v>1336</v>
      </c>
      <c r="E297" s="474">
        <f>'Visual chart Edit'!I300</f>
        <v>390</v>
      </c>
      <c r="F297" s="422" t="str">
        <f>'Visual chart Edit'!K300</f>
        <v>Sandy</v>
      </c>
      <c r="G297" s="422" t="str">
        <f>'Visual chart Edit'!L300</f>
        <v>E</v>
      </c>
      <c r="H297" s="422"/>
    </row>
    <row r="298" spans="1:8" x14ac:dyDescent="0.25">
      <c r="A298" s="422">
        <f>+SUBTOTAL(3,$B$4:B298)</f>
        <v>295</v>
      </c>
      <c r="B298" s="422" t="str">
        <f>'Visual chart Edit'!B301</f>
        <v>49/4</v>
      </c>
      <c r="C298" s="422" t="str">
        <f>'Visual chart Edit'!C301</f>
        <v>DA+3</v>
      </c>
      <c r="D298" s="422" t="s">
        <v>1336</v>
      </c>
      <c r="E298" s="474">
        <f>'Visual chart Edit'!I301</f>
        <v>421.7</v>
      </c>
      <c r="F298" s="422" t="str">
        <f>'Visual chart Edit'!K301</f>
        <v>Sandy</v>
      </c>
      <c r="G298" s="422" t="str">
        <f>'Visual chart Edit'!L301</f>
        <v>E</v>
      </c>
      <c r="H298" s="422"/>
    </row>
    <row r="299" spans="1:8" x14ac:dyDescent="0.25">
      <c r="A299" s="422">
        <f>+SUBTOTAL(3,$B$4:B299)</f>
        <v>296</v>
      </c>
      <c r="B299" s="422" t="str">
        <f>'Visual chart Edit'!B302</f>
        <v>49/5</v>
      </c>
      <c r="C299" s="422" t="str">
        <f>'Visual chart Edit'!C302</f>
        <v>DA+3</v>
      </c>
      <c r="D299" s="422" t="s">
        <v>1337</v>
      </c>
      <c r="E299" s="474">
        <f>'Visual chart Edit'!I302</f>
        <v>396.6</v>
      </c>
      <c r="F299" s="422" t="str">
        <f>'Visual chart Edit'!K302</f>
        <v>Sandy</v>
      </c>
      <c r="G299" s="422" t="str">
        <f>'Visual chart Edit'!L302</f>
        <v>E</v>
      </c>
      <c r="H299" s="422"/>
    </row>
    <row r="300" spans="1:8" x14ac:dyDescent="0.25">
      <c r="A300" s="422">
        <f>+SUBTOTAL(3,$B$4:B300)</f>
        <v>297</v>
      </c>
      <c r="B300" s="422" t="str">
        <f>'Visual chart Edit'!B303</f>
        <v>49/6</v>
      </c>
      <c r="C300" s="422" t="str">
        <f>'Visual chart Edit'!C303</f>
        <v>DA+0</v>
      </c>
      <c r="D300" s="422" t="s">
        <v>1337</v>
      </c>
      <c r="E300" s="474">
        <f>'Visual chart Edit'!I303</f>
        <v>412.8</v>
      </c>
      <c r="F300" s="422" t="str">
        <f>'Visual chart Edit'!K303</f>
        <v>Sandy</v>
      </c>
      <c r="G300" s="422" t="str">
        <f>'Visual chart Edit'!L303</f>
        <v>E</v>
      </c>
      <c r="H300" s="422"/>
    </row>
    <row r="301" spans="1:8" x14ac:dyDescent="0.25">
      <c r="A301" s="422">
        <f>+SUBTOTAL(3,$B$4:B301)</f>
        <v>298</v>
      </c>
      <c r="B301" s="422" t="str">
        <f>'Visual chart Edit'!B304</f>
        <v>49/7</v>
      </c>
      <c r="C301" s="422" t="str">
        <f>'Visual chart Edit'!C304</f>
        <v>DA+0</v>
      </c>
      <c r="D301" s="422" t="s">
        <v>1337</v>
      </c>
      <c r="E301" s="474">
        <f>'Visual chart Edit'!I304</f>
        <v>340.2</v>
      </c>
      <c r="F301" s="422" t="str">
        <f>'Visual chart Edit'!K304</f>
        <v>Sandy</v>
      </c>
      <c r="G301" s="422" t="str">
        <f>'Visual chart Edit'!L304</f>
        <v>E</v>
      </c>
      <c r="H301" s="422"/>
    </row>
    <row r="302" spans="1:8" x14ac:dyDescent="0.25">
      <c r="A302" s="422">
        <f>+SUBTOTAL(3,$B$4:B302)</f>
        <v>299</v>
      </c>
      <c r="B302" s="422" t="str">
        <f>'Visual chart Edit'!B305</f>
        <v>50/0</v>
      </c>
      <c r="C302" s="422" t="str">
        <f>'Visual chart Edit'!C305</f>
        <v>DB2+0</v>
      </c>
      <c r="D302" s="422" t="s">
        <v>1337</v>
      </c>
      <c r="E302" s="474">
        <f>'Visual chart Edit'!I305</f>
        <v>500.2</v>
      </c>
      <c r="F302" s="422" t="str">
        <f>'Visual chart Edit'!K305</f>
        <v>Sandy</v>
      </c>
      <c r="G302" s="422" t="str">
        <f>'Visual chart Edit'!L305</f>
        <v>E</v>
      </c>
      <c r="H302" s="422" t="s">
        <v>420</v>
      </c>
    </row>
    <row r="303" spans="1:8" x14ac:dyDescent="0.25">
      <c r="A303" s="422">
        <f>+SUBTOTAL(3,$B$4:B303)</f>
        <v>300</v>
      </c>
      <c r="B303" s="422" t="str">
        <f>'Visual chart Edit'!B306</f>
        <v>50/1</v>
      </c>
      <c r="C303" s="422" t="str">
        <f>'Visual chart Edit'!C306</f>
        <v>DA+6</v>
      </c>
      <c r="D303" s="422" t="s">
        <v>1337</v>
      </c>
      <c r="E303" s="474">
        <f>'Visual chart Edit'!I306</f>
        <v>469.1</v>
      </c>
      <c r="F303" s="422" t="str">
        <f>'Visual chart Edit'!K306</f>
        <v>Sandy</v>
      </c>
      <c r="G303" s="422" t="str">
        <f>'Visual chart Edit'!L306</f>
        <v>E</v>
      </c>
      <c r="H303" s="422" t="s">
        <v>420</v>
      </c>
    </row>
    <row r="304" spans="1:8" x14ac:dyDescent="0.25">
      <c r="A304" s="422">
        <f>+SUBTOTAL(3,$B$4:B304)</f>
        <v>301</v>
      </c>
      <c r="B304" s="422" t="str">
        <f>'Visual chart Edit'!B307</f>
        <v>50/2</v>
      </c>
      <c r="C304" s="422" t="str">
        <f>'Visual chart Edit'!C307</f>
        <v>DA+9</v>
      </c>
      <c r="D304" s="422" t="s">
        <v>1337</v>
      </c>
      <c r="E304" s="474">
        <f>'Visual chart Edit'!I307</f>
        <v>367.1</v>
      </c>
      <c r="F304" s="422" t="str">
        <f>'Visual chart Edit'!K307</f>
        <v>Sandy</v>
      </c>
      <c r="G304" s="422" t="str">
        <f>'Visual chart Edit'!L307</f>
        <v>E</v>
      </c>
      <c r="H304" s="422" t="s">
        <v>420</v>
      </c>
    </row>
    <row r="305" spans="1:8" x14ac:dyDescent="0.25">
      <c r="A305" s="422">
        <f>+SUBTOTAL(3,$B$4:B305)</f>
        <v>302</v>
      </c>
      <c r="B305" s="422" t="str">
        <f>'Visual chart Edit'!B308</f>
        <v>50/3</v>
      </c>
      <c r="C305" s="422" t="str">
        <f>'Visual chart Edit'!C308</f>
        <v>DA+6</v>
      </c>
      <c r="D305" s="422" t="s">
        <v>1337</v>
      </c>
      <c r="E305" s="474">
        <f>'Visual chart Edit'!I308</f>
        <v>470.4</v>
      </c>
      <c r="F305" s="422" t="str">
        <f>'Visual chart Edit'!K308</f>
        <v>Sandy</v>
      </c>
      <c r="G305" s="422" t="str">
        <f>'Visual chart Edit'!L308</f>
        <v>E</v>
      </c>
      <c r="H305" s="422" t="s">
        <v>420</v>
      </c>
    </row>
    <row r="306" spans="1:8" x14ac:dyDescent="0.25">
      <c r="A306" s="422">
        <f>+SUBTOTAL(3,$B$4:B306)</f>
        <v>303</v>
      </c>
      <c r="B306" s="422" t="str">
        <f>'Visual chart Edit'!B309</f>
        <v>50/4</v>
      </c>
      <c r="C306" s="422" t="str">
        <f>'Visual chart Edit'!C309</f>
        <v>DA+9</v>
      </c>
      <c r="D306" s="422" t="s">
        <v>1338</v>
      </c>
      <c r="E306" s="474">
        <f>'Visual chart Edit'!I309</f>
        <v>354.8</v>
      </c>
      <c r="F306" s="422" t="str">
        <f>'Visual chart Edit'!K309</f>
        <v>Sandy</v>
      </c>
      <c r="G306" s="422" t="str">
        <f>'Visual chart Edit'!L309</f>
        <v>E</v>
      </c>
      <c r="H306" s="422" t="s">
        <v>420</v>
      </c>
    </row>
    <row r="307" spans="1:8" x14ac:dyDescent="0.25">
      <c r="A307" s="422">
        <f>+SUBTOTAL(3,$B$4:B307)</f>
        <v>304</v>
      </c>
      <c r="B307" s="422" t="str">
        <f>'Visual chart Edit'!B310</f>
        <v>50/5</v>
      </c>
      <c r="C307" s="422" t="str">
        <f>'Visual chart Edit'!C310</f>
        <v>DA+9</v>
      </c>
      <c r="D307" s="422" t="s">
        <v>1338</v>
      </c>
      <c r="E307" s="474">
        <f>'Visual chart Edit'!I310</f>
        <v>442.1</v>
      </c>
      <c r="F307" s="422" t="str">
        <f>'Visual chart Edit'!K310</f>
        <v>Sandy</v>
      </c>
      <c r="G307" s="422" t="str">
        <f>'Visual chart Edit'!L310</f>
        <v>E</v>
      </c>
      <c r="H307" s="422" t="s">
        <v>420</v>
      </c>
    </row>
    <row r="308" spans="1:8" x14ac:dyDescent="0.25">
      <c r="A308" s="422">
        <f>+SUBTOTAL(3,$B$4:B308)</f>
        <v>305</v>
      </c>
      <c r="B308" s="422" t="str">
        <f>'Visual chart Edit'!B311</f>
        <v>50/6</v>
      </c>
      <c r="C308" s="422" t="str">
        <f>'Visual chart Edit'!C311</f>
        <v>DA+9</v>
      </c>
      <c r="D308" s="422" t="s">
        <v>1338</v>
      </c>
      <c r="E308" s="474">
        <f>'Visual chart Edit'!I311</f>
        <v>364.4</v>
      </c>
      <c r="F308" s="422" t="str">
        <f>'Visual chart Edit'!K311</f>
        <v>Sandy</v>
      </c>
      <c r="G308" s="422" t="str">
        <f>'Visual chart Edit'!L311</f>
        <v>E</v>
      </c>
      <c r="H308" s="422" t="s">
        <v>420</v>
      </c>
    </row>
    <row r="309" spans="1:8" x14ac:dyDescent="0.25">
      <c r="A309" s="422">
        <f>+SUBTOTAL(3,$B$4:B309)</f>
        <v>306</v>
      </c>
      <c r="B309" s="422" t="str">
        <f>'Visual chart Edit'!B312</f>
        <v>50/7</v>
      </c>
      <c r="C309" s="422" t="str">
        <f>'Visual chart Edit'!C312</f>
        <v>DA+0</v>
      </c>
      <c r="D309" s="422" t="s">
        <v>1338</v>
      </c>
      <c r="E309" s="474">
        <f>'Visual chart Edit'!I312</f>
        <v>470.8</v>
      </c>
      <c r="F309" s="422" t="str">
        <f>'Visual chart Edit'!K312</f>
        <v>Sandy</v>
      </c>
      <c r="G309" s="422" t="str">
        <f>'Visual chart Edit'!L312</f>
        <v>E</v>
      </c>
      <c r="H309" s="422" t="s">
        <v>420</v>
      </c>
    </row>
    <row r="310" spans="1:8" x14ac:dyDescent="0.25">
      <c r="A310" s="422">
        <f>+SUBTOTAL(3,$B$4:B310)</f>
        <v>307</v>
      </c>
      <c r="B310" s="422" t="str">
        <f>'Visual chart Edit'!B313</f>
        <v>50/8</v>
      </c>
      <c r="C310" s="422" t="str">
        <f>'Visual chart Edit'!C313</f>
        <v>DA+9</v>
      </c>
      <c r="D310" s="422" t="s">
        <v>1339</v>
      </c>
      <c r="E310" s="474">
        <f>'Visual chart Edit'!I313</f>
        <v>345</v>
      </c>
      <c r="F310" s="422" t="str">
        <f>'Visual chart Edit'!K313</f>
        <v>Sandy</v>
      </c>
      <c r="G310" s="422" t="str">
        <f>'Visual chart Edit'!L313</f>
        <v>E</v>
      </c>
      <c r="H310" s="422" t="s">
        <v>420</v>
      </c>
    </row>
    <row r="311" spans="1:8" x14ac:dyDescent="0.25">
      <c r="A311" s="422">
        <f>+SUBTOTAL(3,$B$4:B311)</f>
        <v>308</v>
      </c>
      <c r="B311" s="422" t="str">
        <f>'Visual chart Edit'!B314</f>
        <v>50/9</v>
      </c>
      <c r="C311" s="422" t="str">
        <f>'Visual chart Edit'!C314</f>
        <v>DA+0</v>
      </c>
      <c r="D311" s="422" t="s">
        <v>1339</v>
      </c>
      <c r="E311" s="474">
        <f>'Visual chart Edit'!I314</f>
        <v>364.4</v>
      </c>
      <c r="F311" s="422" t="str">
        <f>'Visual chart Edit'!K314</f>
        <v>Sandy</v>
      </c>
      <c r="G311" s="422" t="str">
        <f>'Visual chart Edit'!L314</f>
        <v>E</v>
      </c>
      <c r="H311" s="422" t="s">
        <v>420</v>
      </c>
    </row>
    <row r="312" spans="1:8" x14ac:dyDescent="0.25">
      <c r="A312" s="422">
        <f>+SUBTOTAL(3,$B$4:B312)</f>
        <v>309</v>
      </c>
      <c r="B312" s="422" t="str">
        <f>'Visual chart Edit'!B315</f>
        <v>50/10</v>
      </c>
      <c r="C312" s="422" t="str">
        <f>'Visual chart Edit'!C315</f>
        <v>DA+0</v>
      </c>
      <c r="D312" s="422" t="s">
        <v>1339</v>
      </c>
      <c r="E312" s="474">
        <f>'Visual chart Edit'!I315</f>
        <v>394.6</v>
      </c>
      <c r="F312" s="422" t="str">
        <f>'Visual chart Edit'!K315</f>
        <v>Sandy</v>
      </c>
      <c r="G312" s="422" t="str">
        <f>'Visual chart Edit'!L315</f>
        <v>E</v>
      </c>
      <c r="H312" s="422" t="s">
        <v>420</v>
      </c>
    </row>
    <row r="313" spans="1:8" x14ac:dyDescent="0.25">
      <c r="A313" s="422">
        <f>+SUBTOTAL(3,$B$4:B313)</f>
        <v>310</v>
      </c>
      <c r="B313" s="422" t="str">
        <f>'Visual chart Edit'!B316</f>
        <v>51/0</v>
      </c>
      <c r="C313" s="422" t="str">
        <f>'Visual chart Edit'!C316</f>
        <v>DC2+0</v>
      </c>
      <c r="D313" s="422" t="s">
        <v>1339</v>
      </c>
      <c r="E313" s="474">
        <f>'Visual chart Edit'!I316</f>
        <v>401.4</v>
      </c>
      <c r="F313" s="422" t="str">
        <f>'Visual chart Edit'!K316</f>
        <v>Sandy</v>
      </c>
      <c r="G313" s="422" t="str">
        <f>'Visual chart Edit'!L316</f>
        <v>E</v>
      </c>
      <c r="H313" s="422" t="s">
        <v>420</v>
      </c>
    </row>
    <row r="314" spans="1:8" x14ac:dyDescent="0.25">
      <c r="A314" s="422">
        <f>+SUBTOTAL(3,$B$4:B314)</f>
        <v>311</v>
      </c>
      <c r="B314" s="422" t="str">
        <f>'Visual chart Edit'!B317</f>
        <v>51/1</v>
      </c>
      <c r="C314" s="422" t="str">
        <f>'Visual chart Edit'!C317</f>
        <v>DA+0</v>
      </c>
      <c r="D314" s="422" t="s">
        <v>1339</v>
      </c>
      <c r="E314" s="474">
        <f>'Visual chart Edit'!I317</f>
        <v>356.6</v>
      </c>
      <c r="F314" s="422" t="str">
        <f>'Visual chart Edit'!K317</f>
        <v>Sandy</v>
      </c>
      <c r="G314" s="422" t="str">
        <f>'Visual chart Edit'!L317</f>
        <v>E</v>
      </c>
      <c r="H314" s="422" t="s">
        <v>420</v>
      </c>
    </row>
    <row r="315" spans="1:8" x14ac:dyDescent="0.25">
      <c r="A315" s="422">
        <f>+SUBTOTAL(3,$B$4:B315)</f>
        <v>312</v>
      </c>
      <c r="B315" s="422" t="str">
        <f>'Visual chart Edit'!B318</f>
        <v>51/2</v>
      </c>
      <c r="C315" s="422" t="str">
        <f>'Visual chart Edit'!C318</f>
        <v>DA+0</v>
      </c>
      <c r="D315" s="422" t="s">
        <v>1339</v>
      </c>
      <c r="E315" s="474">
        <f>'Visual chart Edit'!I318</f>
        <v>307.10000000000002</v>
      </c>
      <c r="F315" s="422" t="str">
        <f>'Visual chart Edit'!K318</f>
        <v>Sandy</v>
      </c>
      <c r="G315" s="422" t="str">
        <f>'Visual chart Edit'!L318</f>
        <v>E</v>
      </c>
      <c r="H315" s="422" t="s">
        <v>420</v>
      </c>
    </row>
    <row r="316" spans="1:8" x14ac:dyDescent="0.25">
      <c r="A316" s="422">
        <f>+SUBTOTAL(3,$B$4:B316)</f>
        <v>313</v>
      </c>
      <c r="B316" s="422" t="str">
        <f>'Visual chart Edit'!B319</f>
        <v>52/0</v>
      </c>
      <c r="C316" s="422" t="str">
        <f>'Visual chart Edit'!C319</f>
        <v>DC2+0</v>
      </c>
      <c r="D316" s="422" t="s">
        <v>1339</v>
      </c>
      <c r="E316" s="474">
        <f>'Visual chart Edit'!I319</f>
        <v>385</v>
      </c>
      <c r="F316" s="422" t="str">
        <f>'Visual chart Edit'!K319</f>
        <v>Sandy</v>
      </c>
      <c r="G316" s="422" t="str">
        <f>'Visual chart Edit'!L319</f>
        <v>E</v>
      </c>
      <c r="H316" s="422" t="s">
        <v>420</v>
      </c>
    </row>
    <row r="317" spans="1:8" x14ac:dyDescent="0.25">
      <c r="A317" s="422">
        <f>+SUBTOTAL(3,$B$4:B317)</f>
        <v>314</v>
      </c>
      <c r="B317" s="422" t="str">
        <f>'Visual chart Edit'!B320</f>
        <v>52/1</v>
      </c>
      <c r="C317" s="422" t="str">
        <f>'Visual chart Edit'!C320</f>
        <v>DA+6</v>
      </c>
      <c r="D317" s="422" t="s">
        <v>1340</v>
      </c>
      <c r="E317" s="474">
        <f>'Visual chart Edit'!I320</f>
        <v>402</v>
      </c>
      <c r="F317" s="422" t="str">
        <f>'Visual chart Edit'!K320</f>
        <v>Sandy</v>
      </c>
      <c r="G317" s="422" t="str">
        <f>'Visual chart Edit'!L320</f>
        <v>E</v>
      </c>
      <c r="H317" s="422"/>
    </row>
    <row r="318" spans="1:8" x14ac:dyDescent="0.25">
      <c r="A318" s="422">
        <f>+SUBTOTAL(3,$B$4:B318)</f>
        <v>315</v>
      </c>
      <c r="B318" s="422" t="str">
        <f>'Visual chart Edit'!B321</f>
        <v>52/2</v>
      </c>
      <c r="C318" s="422" t="str">
        <f>'Visual chart Edit'!C321</f>
        <v>DA+6</v>
      </c>
      <c r="D318" s="422" t="s">
        <v>1340</v>
      </c>
      <c r="E318" s="474">
        <f>'Visual chart Edit'!I321</f>
        <v>402.6</v>
      </c>
      <c r="F318" s="422" t="str">
        <f>'Visual chart Edit'!K321</f>
        <v>Sandy</v>
      </c>
      <c r="G318" s="422" t="str">
        <f>'Visual chart Edit'!L321</f>
        <v>E</v>
      </c>
      <c r="H318" s="422"/>
    </row>
    <row r="319" spans="1:8" x14ac:dyDescent="0.25">
      <c r="A319" s="422">
        <f>+SUBTOTAL(3,$B$4:B319)</f>
        <v>316</v>
      </c>
      <c r="B319" s="422" t="str">
        <f>'Visual chart Edit'!B322</f>
        <v>52/3</v>
      </c>
      <c r="C319" s="422" t="str">
        <f>'Visual chart Edit'!C322</f>
        <v>DA+9</v>
      </c>
      <c r="D319" s="422" t="s">
        <v>1340</v>
      </c>
      <c r="E319" s="474">
        <f>'Visual chart Edit'!I322</f>
        <v>437</v>
      </c>
      <c r="F319" s="422" t="str">
        <f>'Visual chart Edit'!K322</f>
        <v>Sandy</v>
      </c>
      <c r="G319" s="422" t="str">
        <f>'Visual chart Edit'!L322</f>
        <v>E</v>
      </c>
      <c r="H319" s="422"/>
    </row>
    <row r="320" spans="1:8" x14ac:dyDescent="0.25">
      <c r="A320" s="422">
        <f>+SUBTOTAL(3,$B$4:B320)</f>
        <v>317</v>
      </c>
      <c r="B320" s="422" t="str">
        <f>'Visual chart Edit'!B323</f>
        <v>52/4</v>
      </c>
      <c r="C320" s="422" t="str">
        <f>'Visual chart Edit'!C323</f>
        <v>DA+9</v>
      </c>
      <c r="D320" s="422" t="s">
        <v>1340</v>
      </c>
      <c r="E320" s="474">
        <f>'Visual chart Edit'!I323</f>
        <v>393.8</v>
      </c>
      <c r="F320" s="422" t="str">
        <f>'Visual chart Edit'!K323</f>
        <v>Sandy</v>
      </c>
      <c r="G320" s="422" t="str">
        <f>'Visual chart Edit'!L323</f>
        <v>E</v>
      </c>
      <c r="H320" s="422"/>
    </row>
    <row r="321" spans="1:8" x14ac:dyDescent="0.25">
      <c r="A321" s="422">
        <f>+SUBTOTAL(3,$B$4:B321)</f>
        <v>318</v>
      </c>
      <c r="B321" s="422" t="str">
        <f>'Visual chart Edit'!B324</f>
        <v>52/5</v>
      </c>
      <c r="C321" s="422" t="str">
        <f>'Visual chart Edit'!C324</f>
        <v>DA+9</v>
      </c>
      <c r="D321" s="422" t="s">
        <v>1340</v>
      </c>
      <c r="E321" s="474">
        <f>'Visual chart Edit'!I324</f>
        <v>447</v>
      </c>
      <c r="F321" s="422" t="str">
        <f>'Visual chart Edit'!K324</f>
        <v>Sandy</v>
      </c>
      <c r="G321" s="422" t="str">
        <f>'Visual chart Edit'!L324</f>
        <v>E</v>
      </c>
      <c r="H321" s="422"/>
    </row>
    <row r="322" spans="1:8" x14ac:dyDescent="0.25">
      <c r="A322" s="422">
        <f>+SUBTOTAL(3,$B$4:B322)</f>
        <v>319</v>
      </c>
      <c r="B322" s="422" t="str">
        <f>'Visual chart Edit'!B325</f>
        <v>52/6</v>
      </c>
      <c r="C322" s="422" t="str">
        <f>'Visual chart Edit'!C325</f>
        <v>DA+6</v>
      </c>
      <c r="D322" s="422" t="s">
        <v>1340</v>
      </c>
      <c r="E322" s="474">
        <f>'Visual chart Edit'!I325</f>
        <v>373</v>
      </c>
      <c r="F322" s="422" t="str">
        <f>'Visual chart Edit'!K325</f>
        <v>Sandy</v>
      </c>
      <c r="G322" s="422" t="str">
        <f>'Visual chart Edit'!L325</f>
        <v>E</v>
      </c>
      <c r="H322" s="422"/>
    </row>
    <row r="323" spans="1:8" x14ac:dyDescent="0.25">
      <c r="A323" s="422">
        <f>+SUBTOTAL(3,$B$4:B323)</f>
        <v>320</v>
      </c>
      <c r="B323" s="422" t="str">
        <f>'Visual chart Edit'!B326</f>
        <v>52/7</v>
      </c>
      <c r="C323" s="422" t="str">
        <f>'Visual chart Edit'!C326</f>
        <v>DA+3</v>
      </c>
      <c r="D323" s="422" t="s">
        <v>1340</v>
      </c>
      <c r="E323" s="474">
        <f>'Visual chart Edit'!I326</f>
        <v>406.8</v>
      </c>
      <c r="F323" s="422" t="str">
        <f>'Visual chart Edit'!K326</f>
        <v>Sandy</v>
      </c>
      <c r="G323" s="422" t="str">
        <f>'Visual chart Edit'!L326</f>
        <v>E</v>
      </c>
      <c r="H323" s="422"/>
    </row>
    <row r="324" spans="1:8" x14ac:dyDescent="0.25">
      <c r="A324" s="422">
        <f>+SUBTOTAL(3,$B$4:B324)</f>
        <v>321</v>
      </c>
      <c r="B324" s="422" t="str">
        <f>'Visual chart Edit'!B327</f>
        <v>52/8</v>
      </c>
      <c r="C324" s="422" t="str">
        <f>'Visual chart Edit'!C327</f>
        <v>DA+6</v>
      </c>
      <c r="D324" s="422" t="s">
        <v>1340</v>
      </c>
      <c r="E324" s="474">
        <f>'Visual chart Edit'!I327</f>
        <v>433</v>
      </c>
      <c r="F324" s="422" t="str">
        <f>'Visual chart Edit'!K327</f>
        <v>Sandy</v>
      </c>
      <c r="G324" s="422" t="str">
        <f>'Visual chart Edit'!L327</f>
        <v>E</v>
      </c>
      <c r="H324" s="422"/>
    </row>
    <row r="325" spans="1:8" x14ac:dyDescent="0.25">
      <c r="A325" s="422">
        <f>+SUBTOTAL(3,$B$4:B325)</f>
        <v>322</v>
      </c>
      <c r="B325" s="422" t="str">
        <f>'Visual chart Edit'!B328</f>
        <v>52/9</v>
      </c>
      <c r="C325" s="422" t="str">
        <f>'Visual chart Edit'!C328</f>
        <v>DA+3</v>
      </c>
      <c r="D325" s="422" t="s">
        <v>1340</v>
      </c>
      <c r="E325" s="474">
        <f>'Visual chart Edit'!I328</f>
        <v>399.7</v>
      </c>
      <c r="F325" s="422" t="str">
        <f>'Visual chart Edit'!K328</f>
        <v>Sandy</v>
      </c>
      <c r="G325" s="422" t="str">
        <f>'Visual chart Edit'!L328</f>
        <v>E</v>
      </c>
      <c r="H325" s="422"/>
    </row>
    <row r="326" spans="1:8" x14ac:dyDescent="0.25">
      <c r="A326" s="422">
        <f>+SUBTOTAL(3,$B$4:B326)</f>
        <v>323</v>
      </c>
      <c r="B326" s="422" t="str">
        <f>'Visual chart Edit'!B329</f>
        <v>52/10</v>
      </c>
      <c r="C326" s="422" t="str">
        <f>'Visual chart Edit'!C329</f>
        <v>DA+9</v>
      </c>
      <c r="D326" s="422" t="s">
        <v>1340</v>
      </c>
      <c r="E326" s="474">
        <f>'Visual chart Edit'!I329</f>
        <v>384.1</v>
      </c>
      <c r="F326" s="422" t="str">
        <f>'Visual chart Edit'!K329</f>
        <v>Sandy</v>
      </c>
      <c r="G326" s="422" t="str">
        <f>'Visual chart Edit'!L329</f>
        <v>E</v>
      </c>
      <c r="H326" s="422"/>
    </row>
    <row r="327" spans="1:8" x14ac:dyDescent="0.25">
      <c r="A327" s="422">
        <f>+SUBTOTAL(3,$B$4:B327)</f>
        <v>324</v>
      </c>
      <c r="B327" s="422" t="str">
        <f>'Visual chart Edit'!B330</f>
        <v>53/0</v>
      </c>
      <c r="C327" s="422" t="str">
        <f>'Visual chart Edit'!C330</f>
        <v>DB2+9</v>
      </c>
      <c r="D327" s="422" t="s">
        <v>1340</v>
      </c>
      <c r="E327" s="474">
        <f>'Visual chart Edit'!I330</f>
        <v>455.9</v>
      </c>
      <c r="F327" s="422" t="str">
        <f>'Visual chart Edit'!K330</f>
        <v>Sandy</v>
      </c>
      <c r="G327" s="422" t="str">
        <f>'Visual chart Edit'!L330</f>
        <v>E</v>
      </c>
      <c r="H327" s="422"/>
    </row>
    <row r="328" spans="1:8" x14ac:dyDescent="0.25">
      <c r="A328" s="422">
        <f>+SUBTOTAL(3,$B$4:B328)</f>
        <v>325</v>
      </c>
      <c r="B328" s="422" t="str">
        <f>'Visual chart Edit'!B331</f>
        <v>53/1</v>
      </c>
      <c r="C328" s="422" t="str">
        <f>'Visual chart Edit'!C331</f>
        <v>DA+9</v>
      </c>
      <c r="D328" s="422" t="s">
        <v>1340</v>
      </c>
      <c r="E328" s="474">
        <f>'Visual chart Edit'!I331</f>
        <v>433.2</v>
      </c>
      <c r="F328" s="422" t="str">
        <f>'Visual chart Edit'!K331</f>
        <v>Sandy</v>
      </c>
      <c r="G328" s="422" t="str">
        <f>'Visual chart Edit'!L331</f>
        <v>E</v>
      </c>
      <c r="H328" s="422"/>
    </row>
    <row r="329" spans="1:8" x14ac:dyDescent="0.25">
      <c r="A329" s="422">
        <f>+SUBTOTAL(3,$B$4:B329)</f>
        <v>326</v>
      </c>
      <c r="B329" s="422" t="str">
        <f>'Visual chart Edit'!B332</f>
        <v>53/2</v>
      </c>
      <c r="C329" s="422" t="str">
        <f>'Visual chart Edit'!C332</f>
        <v>DA+0</v>
      </c>
      <c r="D329" s="422" t="s">
        <v>1340</v>
      </c>
      <c r="E329" s="474">
        <f>'Visual chart Edit'!I332</f>
        <v>407.4</v>
      </c>
      <c r="F329" s="422" t="str">
        <f>'Visual chart Edit'!K332</f>
        <v>Sandy</v>
      </c>
      <c r="G329" s="422" t="str">
        <f>'Visual chart Edit'!L332</f>
        <v>E</v>
      </c>
      <c r="H329" s="422"/>
    </row>
    <row r="330" spans="1:8" x14ac:dyDescent="0.25">
      <c r="A330" s="422">
        <f>+SUBTOTAL(3,$B$4:B330)</f>
        <v>327</v>
      </c>
      <c r="B330" s="422" t="str">
        <f>'Visual chart Edit'!B333</f>
        <v>53/3</v>
      </c>
      <c r="C330" s="422" t="str">
        <f>'Visual chart Edit'!C333</f>
        <v>DA+6</v>
      </c>
      <c r="D330" s="422" t="s">
        <v>1341</v>
      </c>
      <c r="E330" s="474">
        <f>'Visual chart Edit'!I333</f>
        <v>394.5</v>
      </c>
      <c r="F330" s="422" t="str">
        <f>'Visual chart Edit'!K333</f>
        <v>Sandy</v>
      </c>
      <c r="G330" s="422" t="str">
        <f>'Visual chart Edit'!L333</f>
        <v>E</v>
      </c>
      <c r="H330" s="422"/>
    </row>
    <row r="331" spans="1:8" x14ac:dyDescent="0.25">
      <c r="A331" s="422">
        <f>+SUBTOTAL(3,$B$4:B331)</f>
        <v>328</v>
      </c>
      <c r="B331" s="422" t="str">
        <f>'Visual chart Edit'!B334</f>
        <v>53/4</v>
      </c>
      <c r="C331" s="422" t="str">
        <f>'Visual chart Edit'!C334</f>
        <v>DA+0</v>
      </c>
      <c r="D331" s="422" t="s">
        <v>1341</v>
      </c>
      <c r="E331" s="474">
        <f>'Visual chart Edit'!I334</f>
        <v>410.1</v>
      </c>
      <c r="F331" s="422" t="str">
        <f>'Visual chart Edit'!K334</f>
        <v>Sandy</v>
      </c>
      <c r="G331" s="422" t="str">
        <f>'Visual chart Edit'!L334</f>
        <v>E</v>
      </c>
      <c r="H331" s="422"/>
    </row>
    <row r="332" spans="1:8" x14ac:dyDescent="0.25">
      <c r="A332" s="422">
        <f>+SUBTOTAL(3,$B$4:B332)</f>
        <v>329</v>
      </c>
      <c r="B332" s="422" t="str">
        <f>'Visual chart Edit'!B335</f>
        <v>53/5</v>
      </c>
      <c r="C332" s="422" t="str">
        <f>'Visual chart Edit'!C335</f>
        <v>DA+3</v>
      </c>
      <c r="D332" s="422" t="s">
        <v>1341</v>
      </c>
      <c r="E332" s="474">
        <f>'Visual chart Edit'!I335</f>
        <v>428.1</v>
      </c>
      <c r="F332" s="422" t="str">
        <f>'Visual chart Edit'!K335</f>
        <v>Sandy</v>
      </c>
      <c r="G332" s="422" t="str">
        <f>'Visual chart Edit'!L335</f>
        <v>E</v>
      </c>
      <c r="H332" s="422"/>
    </row>
    <row r="333" spans="1:8" x14ac:dyDescent="0.25">
      <c r="A333" s="422">
        <f>+SUBTOTAL(3,$B$4:B333)</f>
        <v>330</v>
      </c>
      <c r="B333" s="422" t="str">
        <f>'Visual chart Edit'!B336</f>
        <v>53/6</v>
      </c>
      <c r="C333" s="422" t="str">
        <f>'Visual chart Edit'!C336</f>
        <v>DA+6</v>
      </c>
      <c r="D333" s="422" t="s">
        <v>1342</v>
      </c>
      <c r="E333" s="474">
        <f>'Visual chart Edit'!I336</f>
        <v>406.6</v>
      </c>
      <c r="F333" s="422" t="str">
        <f>'Visual chart Edit'!K336</f>
        <v>Sandy</v>
      </c>
      <c r="G333" s="422" t="str">
        <f>'Visual chart Edit'!L336</f>
        <v>E</v>
      </c>
      <c r="H333" s="422"/>
    </row>
    <row r="334" spans="1:8" x14ac:dyDescent="0.25">
      <c r="A334" s="422">
        <f>+SUBTOTAL(3,$B$4:B334)</f>
        <v>331</v>
      </c>
      <c r="B334" s="422" t="str">
        <f>'Visual chart Edit'!B337</f>
        <v>53/7</v>
      </c>
      <c r="C334" s="422" t="str">
        <f>'Visual chart Edit'!C337</f>
        <v>DA+3</v>
      </c>
      <c r="D334" s="422" t="s">
        <v>1342</v>
      </c>
      <c r="E334" s="474">
        <f>'Visual chart Edit'!I337</f>
        <v>411.3</v>
      </c>
      <c r="F334" s="422" t="str">
        <f>'Visual chart Edit'!K337</f>
        <v>Sandy</v>
      </c>
      <c r="G334" s="422" t="str">
        <f>'Visual chart Edit'!L337</f>
        <v>E</v>
      </c>
      <c r="H334" s="422"/>
    </row>
    <row r="335" spans="1:8" x14ac:dyDescent="0.25">
      <c r="A335" s="422">
        <f>+SUBTOTAL(3,$B$4:B335)</f>
        <v>332</v>
      </c>
      <c r="B335" s="422" t="str">
        <f>'Visual chart Edit'!B338</f>
        <v>53/8</v>
      </c>
      <c r="C335" s="422" t="str">
        <f>'Visual chart Edit'!C338</f>
        <v>DA+3</v>
      </c>
      <c r="D335" s="422" t="s">
        <v>1342</v>
      </c>
      <c r="E335" s="474">
        <f>'Visual chart Edit'!I338</f>
        <v>427.8</v>
      </c>
      <c r="F335" s="422" t="str">
        <f>'Visual chart Edit'!K338</f>
        <v>Sandy</v>
      </c>
      <c r="G335" s="422" t="str">
        <f>'Visual chart Edit'!L338</f>
        <v>E</v>
      </c>
      <c r="H335" s="422"/>
    </row>
    <row r="336" spans="1:8" x14ac:dyDescent="0.25">
      <c r="A336" s="422">
        <f>+SUBTOTAL(3,$B$4:B336)</f>
        <v>333</v>
      </c>
      <c r="B336" s="422" t="str">
        <f>'Visual chart Edit'!B339</f>
        <v>54/0</v>
      </c>
      <c r="C336" s="422" t="str">
        <f>'Visual chart Edit'!C339</f>
        <v>DB1+6</v>
      </c>
      <c r="D336" s="422" t="s">
        <v>1342</v>
      </c>
      <c r="E336" s="474">
        <f>'Visual chart Edit'!I339</f>
        <v>371.3</v>
      </c>
      <c r="F336" s="422" t="str">
        <f>'Visual chart Edit'!K339</f>
        <v>Sandy</v>
      </c>
      <c r="G336" s="422" t="str">
        <f>'Visual chart Edit'!L339</f>
        <v>E</v>
      </c>
      <c r="H336" s="422"/>
    </row>
    <row r="337" spans="1:8" x14ac:dyDescent="0.25">
      <c r="A337" s="422">
        <f>+SUBTOTAL(3,$B$4:B337)</f>
        <v>334</v>
      </c>
      <c r="B337" s="422" t="str">
        <f>'Visual chart Edit'!B340</f>
        <v>54/1</v>
      </c>
      <c r="C337" s="422" t="str">
        <f>'Visual chart Edit'!C340</f>
        <v>DA+3</v>
      </c>
      <c r="D337" s="422" t="s">
        <v>1342</v>
      </c>
      <c r="E337" s="474">
        <f>'Visual chart Edit'!I340</f>
        <v>365.1</v>
      </c>
      <c r="F337" s="422" t="str">
        <f>'Visual chart Edit'!K340</f>
        <v>Sandy</v>
      </c>
      <c r="G337" s="422" t="str">
        <f>'Visual chart Edit'!L340</f>
        <v>E</v>
      </c>
      <c r="H337" s="422"/>
    </row>
    <row r="338" spans="1:8" x14ac:dyDescent="0.25">
      <c r="A338" s="422">
        <f>+SUBTOTAL(3,$B$4:B338)</f>
        <v>335</v>
      </c>
      <c r="B338" s="422" t="str">
        <f>'Visual chart Edit'!B341</f>
        <v>54/2</v>
      </c>
      <c r="C338" s="422" t="str">
        <f>'Visual chart Edit'!C341</f>
        <v>DA+3</v>
      </c>
      <c r="D338" s="422" t="s">
        <v>1342</v>
      </c>
      <c r="E338" s="474">
        <f>'Visual chart Edit'!I341</f>
        <v>381</v>
      </c>
      <c r="F338" s="422" t="str">
        <f>'Visual chart Edit'!K341</f>
        <v>Sandy</v>
      </c>
      <c r="G338" s="422" t="str">
        <f>'Visual chart Edit'!L341</f>
        <v>E</v>
      </c>
      <c r="H338" s="422"/>
    </row>
    <row r="339" spans="1:8" x14ac:dyDescent="0.25">
      <c r="A339" s="422">
        <f>+SUBTOTAL(3,$B$4:B339)</f>
        <v>336</v>
      </c>
      <c r="B339" s="422" t="str">
        <f>'Visual chart Edit'!B342</f>
        <v>54/3</v>
      </c>
      <c r="C339" s="422" t="str">
        <f>'Visual chart Edit'!C342</f>
        <v>DA+6</v>
      </c>
      <c r="D339" s="422" t="s">
        <v>1342</v>
      </c>
      <c r="E339" s="474">
        <f>'Visual chart Edit'!I342</f>
        <v>417</v>
      </c>
      <c r="F339" s="422" t="str">
        <f>'Visual chart Edit'!K342</f>
        <v>Sandy</v>
      </c>
      <c r="G339" s="422" t="str">
        <f>'Visual chart Edit'!L342</f>
        <v>E</v>
      </c>
      <c r="H339" s="422"/>
    </row>
    <row r="340" spans="1:8" x14ac:dyDescent="0.25">
      <c r="A340" s="422">
        <f>+SUBTOTAL(3,$B$4:B340)</f>
        <v>337</v>
      </c>
      <c r="B340" s="422" t="str">
        <f>'Visual chart Edit'!B343</f>
        <v>54/4</v>
      </c>
      <c r="C340" s="422" t="str">
        <f>'Visual chart Edit'!C343</f>
        <v>DA+9</v>
      </c>
      <c r="D340" s="422" t="s">
        <v>1342</v>
      </c>
      <c r="E340" s="474">
        <f>'Visual chart Edit'!I343</f>
        <v>423.3</v>
      </c>
      <c r="F340" s="422" t="str">
        <f>'Visual chart Edit'!K343</f>
        <v>Sandy</v>
      </c>
      <c r="G340" s="422" t="str">
        <f>'Visual chart Edit'!L343</f>
        <v>E</v>
      </c>
      <c r="H340" s="422"/>
    </row>
    <row r="341" spans="1:8" x14ac:dyDescent="0.25">
      <c r="A341" s="422">
        <f>+SUBTOTAL(3,$B$4:B341)</f>
        <v>338</v>
      </c>
      <c r="B341" s="422" t="str">
        <f>'Visual chart Edit'!B344</f>
        <v>54/5</v>
      </c>
      <c r="C341" s="422" t="str">
        <f>'Visual chart Edit'!C344</f>
        <v>DA+9</v>
      </c>
      <c r="D341" s="422" t="s">
        <v>1343</v>
      </c>
      <c r="E341" s="474">
        <f>'Visual chart Edit'!I344</f>
        <v>401</v>
      </c>
      <c r="F341" s="422" t="str">
        <f>'Visual chart Edit'!K344</f>
        <v>Sandy</v>
      </c>
      <c r="G341" s="422" t="str">
        <f>'Visual chart Edit'!L344</f>
        <v>E</v>
      </c>
      <c r="H341" s="422"/>
    </row>
    <row r="342" spans="1:8" x14ac:dyDescent="0.25">
      <c r="A342" s="422">
        <f>+SUBTOTAL(3,$B$4:B342)</f>
        <v>339</v>
      </c>
      <c r="B342" s="422" t="str">
        <f>'Visual chart Edit'!B345</f>
        <v>55/0</v>
      </c>
      <c r="C342" s="422" t="str">
        <f>'Visual chart Edit'!C345</f>
        <v>DB1+6</v>
      </c>
      <c r="D342" s="422" t="s">
        <v>1343</v>
      </c>
      <c r="E342" s="474">
        <f>'Visual chart Edit'!I345</f>
        <v>424</v>
      </c>
      <c r="F342" s="422" t="str">
        <f>'Visual chart Edit'!K345</f>
        <v>Sandy</v>
      </c>
      <c r="G342" s="422" t="str">
        <f>'Visual chart Edit'!L345</f>
        <v>E</v>
      </c>
      <c r="H342" s="422"/>
    </row>
    <row r="343" spans="1:8" x14ac:dyDescent="0.25">
      <c r="A343" s="422">
        <f>+SUBTOTAL(3,$B$4:B343)</f>
        <v>340</v>
      </c>
      <c r="B343" s="422" t="str">
        <f>'Visual chart Edit'!B346</f>
        <v>55/1</v>
      </c>
      <c r="C343" s="422" t="str">
        <f>'Visual chart Edit'!C346</f>
        <v>DA+0</v>
      </c>
      <c r="D343" s="422" t="s">
        <v>1343</v>
      </c>
      <c r="E343" s="474">
        <f>'Visual chart Edit'!I346</f>
        <v>404.9</v>
      </c>
      <c r="F343" s="422" t="str">
        <f>'Visual chart Edit'!K346</f>
        <v>WFR</v>
      </c>
      <c r="G343" s="422" t="str">
        <f>'Visual chart Edit'!L346</f>
        <v>E</v>
      </c>
      <c r="H343" s="422"/>
    </row>
    <row r="344" spans="1:8" x14ac:dyDescent="0.25">
      <c r="A344" s="422">
        <f>+SUBTOTAL(3,$B$4:B344)</f>
        <v>341</v>
      </c>
      <c r="B344" s="422" t="str">
        <f>'Visual chart Edit'!B347</f>
        <v>55/2</v>
      </c>
      <c r="C344" s="422" t="str">
        <f>'Visual chart Edit'!C347</f>
        <v>DA+0</v>
      </c>
      <c r="D344" s="422" t="s">
        <v>1344</v>
      </c>
      <c r="E344" s="474">
        <f>'Visual chart Edit'!I347</f>
        <v>343.1</v>
      </c>
      <c r="F344" s="422" t="str">
        <f>'Visual chart Edit'!K347</f>
        <v>WFR</v>
      </c>
      <c r="G344" s="422" t="str">
        <f>'Visual chart Edit'!L347</f>
        <v>E</v>
      </c>
      <c r="H344" s="422"/>
    </row>
    <row r="345" spans="1:8" x14ac:dyDescent="0.25">
      <c r="A345" s="422">
        <f>+SUBTOTAL(3,$B$4:B345)</f>
        <v>342</v>
      </c>
      <c r="B345" s="422" t="str">
        <f>'Visual chart Edit'!B348</f>
        <v>55/3</v>
      </c>
      <c r="C345" s="422" t="str">
        <f>'Visual chart Edit'!C348</f>
        <v>DA+0</v>
      </c>
      <c r="D345" s="422" t="s">
        <v>1344</v>
      </c>
      <c r="E345" s="474">
        <f>'Visual chart Edit'!I348</f>
        <v>357.7</v>
      </c>
      <c r="F345" s="422" t="str">
        <f>'Visual chart Edit'!K348</f>
        <v>Sandy</v>
      </c>
      <c r="G345" s="422" t="str">
        <f>'Visual chart Edit'!L348</f>
        <v>E</v>
      </c>
      <c r="H345" s="422"/>
    </row>
    <row r="346" spans="1:8" x14ac:dyDescent="0.25">
      <c r="A346" s="422">
        <f>+SUBTOTAL(3,$B$4:B346)</f>
        <v>343</v>
      </c>
      <c r="B346" s="422" t="str">
        <f>'Visual chart Edit'!B349</f>
        <v>55/4</v>
      </c>
      <c r="C346" s="422" t="str">
        <f>'Visual chart Edit'!C349</f>
        <v>DA+0</v>
      </c>
      <c r="D346" s="422" t="s">
        <v>1344</v>
      </c>
      <c r="E346" s="474">
        <f>'Visual chart Edit'!I349</f>
        <v>365.2</v>
      </c>
      <c r="F346" s="422" t="str">
        <f>'Visual chart Edit'!K349</f>
        <v>Sandy</v>
      </c>
      <c r="G346" s="422" t="str">
        <f>'Visual chart Edit'!L349</f>
        <v>E</v>
      </c>
      <c r="H346" s="422"/>
    </row>
    <row r="347" spans="1:8" x14ac:dyDescent="0.25">
      <c r="A347" s="422">
        <f>+SUBTOTAL(3,$B$4:B347)</f>
        <v>344</v>
      </c>
      <c r="B347" s="422" t="str">
        <f>'Visual chart Edit'!B350</f>
        <v>55/5</v>
      </c>
      <c r="C347" s="422" t="str">
        <f>'Visual chart Edit'!C350</f>
        <v>DA+0</v>
      </c>
      <c r="D347" s="422" t="s">
        <v>1344</v>
      </c>
      <c r="E347" s="474">
        <f>'Visual chart Edit'!I350</f>
        <v>350.1</v>
      </c>
      <c r="F347" s="422" t="str">
        <f>'Visual chart Edit'!K350</f>
        <v>Sandy</v>
      </c>
      <c r="G347" s="422" t="str">
        <f>'Visual chart Edit'!L350</f>
        <v>E</v>
      </c>
      <c r="H347" s="422"/>
    </row>
    <row r="348" spans="1:8" x14ac:dyDescent="0.25">
      <c r="A348" s="422">
        <f>+SUBTOTAL(3,$B$4:B348)</f>
        <v>345</v>
      </c>
      <c r="B348" s="422" t="str">
        <f>'Visual chart Edit'!B351</f>
        <v>55/6</v>
      </c>
      <c r="C348" s="422" t="str">
        <f>'Visual chart Edit'!C351</f>
        <v>DA+0</v>
      </c>
      <c r="D348" s="422" t="s">
        <v>1344</v>
      </c>
      <c r="E348" s="474">
        <f>'Visual chart Edit'!I351</f>
        <v>357.7</v>
      </c>
      <c r="F348" s="422" t="str">
        <f>'Visual chart Edit'!K351</f>
        <v>Sandy</v>
      </c>
      <c r="G348" s="422" t="str">
        <f>'Visual chart Edit'!L351</f>
        <v>E</v>
      </c>
      <c r="H348" s="422"/>
    </row>
    <row r="349" spans="1:8" x14ac:dyDescent="0.25">
      <c r="A349" s="422">
        <f>+SUBTOTAL(3,$B$4:B349)</f>
        <v>346</v>
      </c>
      <c r="B349" s="422" t="str">
        <f>'Visual chart Edit'!B352</f>
        <v>55/7</v>
      </c>
      <c r="C349" s="422" t="str">
        <f>'Visual chart Edit'!C352</f>
        <v>DA+0</v>
      </c>
      <c r="D349" s="422" t="s">
        <v>1344</v>
      </c>
      <c r="E349" s="474">
        <f>'Visual chart Edit'!I352</f>
        <v>337.8</v>
      </c>
      <c r="F349" s="422" t="str">
        <f>'Visual chart Edit'!K352</f>
        <v>Sandy</v>
      </c>
      <c r="G349" s="422" t="str">
        <f>'Visual chart Edit'!L352</f>
        <v>E</v>
      </c>
      <c r="H349" s="422"/>
    </row>
    <row r="350" spans="1:8" x14ac:dyDescent="0.25">
      <c r="A350" s="422">
        <f>+SUBTOTAL(3,$B$4:B350)</f>
        <v>347</v>
      </c>
      <c r="B350" s="422" t="str">
        <f>'Visual chart Edit'!B353</f>
        <v>55/8</v>
      </c>
      <c r="C350" s="422" t="str">
        <f>'Visual chart Edit'!C353</f>
        <v>DA+6</v>
      </c>
      <c r="D350" s="422" t="s">
        <v>1344</v>
      </c>
      <c r="E350" s="474">
        <f>'Visual chart Edit'!I353</f>
        <v>341.22</v>
      </c>
      <c r="F350" s="422" t="str">
        <f>'Visual chart Edit'!K353</f>
        <v>Sandy</v>
      </c>
      <c r="G350" s="422" t="str">
        <f>'Visual chart Edit'!L353</f>
        <v>E</v>
      </c>
      <c r="H350" s="422"/>
    </row>
    <row r="351" spans="1:8" x14ac:dyDescent="0.25">
      <c r="A351" s="422">
        <f>+SUBTOTAL(3,$B$4:B351)</f>
        <v>348</v>
      </c>
      <c r="B351" s="422" t="s">
        <v>93</v>
      </c>
      <c r="C351" s="422" t="str">
        <f>'Visual chart Edit'!C354</f>
        <v>DD60+25</v>
      </c>
      <c r="D351" s="422" t="s">
        <v>1344</v>
      </c>
      <c r="E351" s="474">
        <f>'Visual chart Edit'!I354</f>
        <v>460.49</v>
      </c>
      <c r="F351" s="422" t="str">
        <f>'Visual chart Edit'!K354</f>
        <v>Sandy</v>
      </c>
      <c r="G351" s="422" t="str">
        <f>'Visual chart Edit'!L354</f>
        <v>E</v>
      </c>
      <c r="H351" s="422"/>
    </row>
    <row r="352" spans="1:8" x14ac:dyDescent="0.25">
      <c r="A352" s="422">
        <f>+SUBTOTAL(3,$B$4:B352)</f>
        <v>349</v>
      </c>
      <c r="B352" s="422" t="str">
        <f>'Visual chart Edit'!B355</f>
        <v>57/0</v>
      </c>
      <c r="C352" s="422" t="str">
        <f>'Visual chart Edit'!C355</f>
        <v>DD60+25</v>
      </c>
      <c r="D352" s="422" t="s">
        <v>1344</v>
      </c>
      <c r="E352" s="474">
        <f>'Visual chart Edit'!I355</f>
        <v>219.76</v>
      </c>
      <c r="F352" s="422" t="str">
        <f>'Visual chart Edit'!K355</f>
        <v>Sandy</v>
      </c>
      <c r="G352" s="422" t="str">
        <f>'Visual chart Edit'!L355</f>
        <v>E</v>
      </c>
      <c r="H352" s="422"/>
    </row>
    <row r="353" spans="1:8" x14ac:dyDescent="0.25">
      <c r="A353" s="422">
        <f>+SUBTOTAL(3,$B$4:B353)</f>
        <v>350</v>
      </c>
      <c r="B353" s="422" t="str">
        <f>'Visual chart Edit'!B356</f>
        <v>57/1</v>
      </c>
      <c r="C353" s="422" t="str">
        <f>'Visual chart Edit'!C356</f>
        <v>DA+0</v>
      </c>
      <c r="D353" s="422" t="s">
        <v>1344</v>
      </c>
      <c r="E353" s="474">
        <f>'Visual chart Edit'!I356</f>
        <v>461.1</v>
      </c>
      <c r="F353" s="422" t="str">
        <f>'Visual chart Edit'!K356</f>
        <v>Sandy</v>
      </c>
      <c r="G353" s="422" t="str">
        <f>'Visual chart Edit'!L356</f>
        <v>E</v>
      </c>
      <c r="H353" s="422"/>
    </row>
    <row r="354" spans="1:8" x14ac:dyDescent="0.25">
      <c r="A354" s="422">
        <f>+SUBTOTAL(3,$B$4:B354)</f>
        <v>351</v>
      </c>
      <c r="B354" s="422" t="str">
        <f>'Visual chart Edit'!B357</f>
        <v>57/2</v>
      </c>
      <c r="C354" s="422" t="str">
        <f>'Visual chart Edit'!C357</f>
        <v>DA+3</v>
      </c>
      <c r="D354" s="422" t="s">
        <v>1345</v>
      </c>
      <c r="E354" s="474">
        <f>'Visual chart Edit'!I357</f>
        <v>355.5</v>
      </c>
      <c r="F354" s="422" t="str">
        <f>'Visual chart Edit'!K357</f>
        <v>DRY</v>
      </c>
      <c r="G354" s="422" t="str">
        <f>'Visual chart Edit'!L357</f>
        <v>E</v>
      </c>
      <c r="H354" s="422"/>
    </row>
    <row r="355" spans="1:8" x14ac:dyDescent="0.25">
      <c r="A355" s="422">
        <f>+SUBTOTAL(3,$B$4:B355)</f>
        <v>352</v>
      </c>
      <c r="B355" s="422" t="str">
        <f>'Visual chart Edit'!B358</f>
        <v>57/3</v>
      </c>
      <c r="C355" s="422" t="str">
        <f>'Visual chart Edit'!C358</f>
        <v>DA+0</v>
      </c>
      <c r="D355" s="422" t="s">
        <v>1345</v>
      </c>
      <c r="E355" s="474">
        <f>'Visual chart Edit'!I358</f>
        <v>405.4</v>
      </c>
      <c r="F355" s="422" t="str">
        <f>'Visual chart Edit'!K358</f>
        <v>DRY</v>
      </c>
      <c r="G355" s="422" t="str">
        <f>'Visual chart Edit'!L358</f>
        <v>E</v>
      </c>
      <c r="H355" s="422"/>
    </row>
    <row r="356" spans="1:8" x14ac:dyDescent="0.25">
      <c r="A356" s="422">
        <f>+SUBTOTAL(3,$B$4:B356)</f>
        <v>353</v>
      </c>
      <c r="B356" s="422" t="str">
        <f>'Visual chart Edit'!B359</f>
        <v>57/4</v>
      </c>
      <c r="C356" s="422" t="str">
        <f>'Visual chart Edit'!C359</f>
        <v>DA+0</v>
      </c>
      <c r="D356" s="422" t="s">
        <v>1345</v>
      </c>
      <c r="E356" s="474">
        <f>'Visual chart Edit'!I359</f>
        <v>418.2</v>
      </c>
      <c r="F356" s="422" t="str">
        <f>'Visual chart Edit'!K359</f>
        <v>Sandy</v>
      </c>
      <c r="G356" s="422" t="str">
        <f>'Visual chart Edit'!L359</f>
        <v>E</v>
      </c>
      <c r="H356" s="422"/>
    </row>
    <row r="357" spans="1:8" x14ac:dyDescent="0.25">
      <c r="A357" s="422">
        <f>+SUBTOTAL(3,$B$4:B357)</f>
        <v>354</v>
      </c>
      <c r="B357" s="422" t="str">
        <f>'Visual chart Edit'!B360</f>
        <v>57/5</v>
      </c>
      <c r="C357" s="422" t="str">
        <f>'Visual chart Edit'!C360</f>
        <v>DA+3</v>
      </c>
      <c r="D357" s="422" t="s">
        <v>1344</v>
      </c>
      <c r="E357" s="474">
        <f>'Visual chart Edit'!I360</f>
        <v>416.8</v>
      </c>
      <c r="F357" s="422" t="str">
        <f>'Visual chart Edit'!K360</f>
        <v>Sandy</v>
      </c>
      <c r="G357" s="422" t="str">
        <f>'Visual chart Edit'!L360</f>
        <v>E</v>
      </c>
      <c r="H357" s="422"/>
    </row>
    <row r="358" spans="1:8" x14ac:dyDescent="0.25">
      <c r="A358" s="422">
        <f>+SUBTOTAL(3,$B$4:B358)</f>
        <v>355</v>
      </c>
      <c r="B358" s="422" t="str">
        <f>'Visual chart Edit'!B361</f>
        <v>57/6</v>
      </c>
      <c r="C358" s="422" t="str">
        <f>'Visual chart Edit'!C361</f>
        <v>DA+3</v>
      </c>
      <c r="D358" s="422" t="s">
        <v>1345</v>
      </c>
      <c r="E358" s="474">
        <f>'Visual chart Edit'!I361</f>
        <v>395</v>
      </c>
      <c r="F358" s="422" t="str">
        <f>'Visual chart Edit'!K361</f>
        <v>Sandy</v>
      </c>
      <c r="G358" s="422" t="str">
        <f>'Visual chart Edit'!L361</f>
        <v>E</v>
      </c>
      <c r="H358" s="422"/>
    </row>
    <row r="359" spans="1:8" x14ac:dyDescent="0.25">
      <c r="A359" s="422">
        <f>+SUBTOTAL(3,$B$4:B359)</f>
        <v>356</v>
      </c>
      <c r="B359" s="422" t="str">
        <f>'Visual chart Edit'!B362</f>
        <v>57/7</v>
      </c>
      <c r="C359" s="422" t="str">
        <f>'Visual chart Edit'!C362</f>
        <v>DA+3</v>
      </c>
      <c r="D359" s="422" t="s">
        <v>1346</v>
      </c>
      <c r="E359" s="474">
        <f>'Visual chart Edit'!I362</f>
        <v>401.8</v>
      </c>
      <c r="F359" s="422" t="str">
        <f>'Visual chart Edit'!K362</f>
        <v>DFR</v>
      </c>
      <c r="G359" s="422" t="str">
        <f>'Visual chart Edit'!L362</f>
        <v>E</v>
      </c>
      <c r="H359" s="422"/>
    </row>
    <row r="360" spans="1:8" x14ac:dyDescent="0.25">
      <c r="A360" s="422">
        <f>+SUBTOTAL(3,$B$4:B360)</f>
        <v>357</v>
      </c>
      <c r="B360" s="422" t="str">
        <f>'Visual chart Edit'!B363</f>
        <v>58/0</v>
      </c>
      <c r="C360" s="422" t="str">
        <f>'Visual chart Edit'!C363</f>
        <v>DC1+3</v>
      </c>
      <c r="D360" s="422" t="s">
        <v>1346</v>
      </c>
      <c r="E360" s="474">
        <f>'Visual chart Edit'!I363</f>
        <v>433.9</v>
      </c>
      <c r="F360" s="422" t="str">
        <f>'Visual chart Edit'!K363</f>
        <v>DFR</v>
      </c>
      <c r="G360" s="422" t="str">
        <f>'Visual chart Edit'!L363</f>
        <v>E</v>
      </c>
      <c r="H360" s="422" t="s">
        <v>420</v>
      </c>
    </row>
    <row r="361" spans="1:8" x14ac:dyDescent="0.25">
      <c r="A361" s="422">
        <f>+SUBTOTAL(3,$B$4:B361)</f>
        <v>358</v>
      </c>
      <c r="B361" s="422" t="str">
        <f>'Visual chart Edit'!B364</f>
        <v>59/0</v>
      </c>
      <c r="C361" s="422" t="str">
        <f>'Visual chart Edit'!C364</f>
        <v>DC2+0</v>
      </c>
      <c r="D361" s="422" t="s">
        <v>1346</v>
      </c>
      <c r="E361" s="474">
        <f>'Visual chart Edit'!I364</f>
        <v>238.9</v>
      </c>
      <c r="F361" s="422" t="str">
        <f>'Visual chart Edit'!K364</f>
        <v>DRY</v>
      </c>
      <c r="G361" s="422" t="str">
        <f>'Visual chart Edit'!L364</f>
        <v>E</v>
      </c>
      <c r="H361" s="422" t="s">
        <v>420</v>
      </c>
    </row>
    <row r="362" spans="1:8" x14ac:dyDescent="0.25">
      <c r="A362" s="422">
        <f>+SUBTOTAL(3,$B$4:B362)</f>
        <v>359</v>
      </c>
      <c r="B362" s="422" t="str">
        <f>'Visual chart Edit'!B365</f>
        <v>59/1</v>
      </c>
      <c r="C362" s="422" t="str">
        <f>'Visual chart Edit'!C365</f>
        <v>DA+3</v>
      </c>
      <c r="D362" s="422" t="s">
        <v>1346</v>
      </c>
      <c r="E362" s="474">
        <f>'Visual chart Edit'!I365</f>
        <v>411.3</v>
      </c>
      <c r="F362" s="422" t="str">
        <f>'Visual chart Edit'!K365</f>
        <v>DRY</v>
      </c>
      <c r="G362" s="422" t="str">
        <f>'Visual chart Edit'!L365</f>
        <v>E</v>
      </c>
      <c r="H362" s="422" t="s">
        <v>420</v>
      </c>
    </row>
    <row r="363" spans="1:8" x14ac:dyDescent="0.25">
      <c r="A363" s="422">
        <f>+SUBTOTAL(3,$B$4:B363)</f>
        <v>360</v>
      </c>
      <c r="B363" s="422" t="str">
        <f>'Visual chart Edit'!B366</f>
        <v>59/2</v>
      </c>
      <c r="C363" s="422" t="str">
        <f>'Visual chart Edit'!C366</f>
        <v>DA+3</v>
      </c>
      <c r="D363" s="422" t="s">
        <v>1346</v>
      </c>
      <c r="E363" s="474">
        <f>'Visual chart Edit'!I366</f>
        <v>418.2</v>
      </c>
      <c r="F363" s="422" t="str">
        <f>'Visual chart Edit'!K366</f>
        <v>DFR</v>
      </c>
      <c r="G363" s="422" t="str">
        <f>'Visual chart Edit'!L366</f>
        <v>E</v>
      </c>
      <c r="H363" s="422" t="s">
        <v>420</v>
      </c>
    </row>
    <row r="364" spans="1:8" x14ac:dyDescent="0.25">
      <c r="A364" s="422">
        <f>+SUBTOTAL(3,$B$4:B364)</f>
        <v>361</v>
      </c>
      <c r="B364" s="422" t="str">
        <f>'Visual chart Edit'!B367</f>
        <v>59/3</v>
      </c>
      <c r="C364" s="422" t="str">
        <f>'Visual chart Edit'!C367</f>
        <v>DA+3</v>
      </c>
      <c r="D364" s="422" t="s">
        <v>1345</v>
      </c>
      <c r="E364" s="474">
        <f>'Visual chart Edit'!I367</f>
        <v>412.3</v>
      </c>
      <c r="F364" s="422" t="str">
        <f>'Visual chart Edit'!K367</f>
        <v>DFR</v>
      </c>
      <c r="G364" s="422" t="str">
        <f>'Visual chart Edit'!L367</f>
        <v>E</v>
      </c>
      <c r="H364" s="422" t="s">
        <v>420</v>
      </c>
    </row>
    <row r="365" spans="1:8" x14ac:dyDescent="0.25">
      <c r="A365" s="422">
        <f>+SUBTOTAL(3,$B$4:B365)</f>
        <v>362</v>
      </c>
      <c r="B365" s="422" t="str">
        <f>'Visual chart Edit'!B368</f>
        <v>59/4</v>
      </c>
      <c r="C365" s="422" t="str">
        <f>'Visual chart Edit'!C368</f>
        <v>DA+3</v>
      </c>
      <c r="D365" s="422" t="s">
        <v>1345</v>
      </c>
      <c r="E365" s="474">
        <f>'Visual chart Edit'!I368</f>
        <v>421</v>
      </c>
      <c r="F365" s="422" t="str">
        <f>'Visual chart Edit'!K368</f>
        <v>DFR</v>
      </c>
      <c r="G365" s="422" t="str">
        <f>'Visual chart Edit'!L368</f>
        <v>E</v>
      </c>
      <c r="H365" s="422" t="s">
        <v>420</v>
      </c>
    </row>
    <row r="366" spans="1:8" x14ac:dyDescent="0.25">
      <c r="A366" s="422">
        <f>+SUBTOTAL(3,$B$4:B366)</f>
        <v>363</v>
      </c>
      <c r="B366" s="422" t="str">
        <f>'Visual chart Edit'!B369</f>
        <v>59/5</v>
      </c>
      <c r="C366" s="422" t="str">
        <f>'Visual chart Edit'!C369</f>
        <v>DA+3</v>
      </c>
      <c r="D366" s="422" t="s">
        <v>1347</v>
      </c>
      <c r="E366" s="474">
        <f>'Visual chart Edit'!I369</f>
        <v>419.7</v>
      </c>
      <c r="F366" s="422" t="str">
        <f>'Visual chart Edit'!K369</f>
        <v>DFR</v>
      </c>
      <c r="G366" s="422" t="str">
        <f>'Visual chart Edit'!L369</f>
        <v>E</v>
      </c>
      <c r="H366" s="422" t="s">
        <v>420</v>
      </c>
    </row>
    <row r="367" spans="1:8" x14ac:dyDescent="0.25">
      <c r="A367" s="422">
        <f>+SUBTOTAL(3,$B$4:B367)</f>
        <v>364</v>
      </c>
      <c r="B367" s="422" t="str">
        <f>'Visual chart Edit'!B370</f>
        <v>59/6</v>
      </c>
      <c r="C367" s="422" t="str">
        <f>'Visual chart Edit'!C370</f>
        <v>DA+3</v>
      </c>
      <c r="D367" s="422" t="s">
        <v>1347</v>
      </c>
      <c r="E367" s="474">
        <f>'Visual chart Edit'!I370</f>
        <v>419.1</v>
      </c>
      <c r="F367" s="422" t="str">
        <f>'Visual chart Edit'!K370</f>
        <v>DFR</v>
      </c>
      <c r="G367" s="422" t="str">
        <f>'Visual chart Edit'!L370</f>
        <v>E</v>
      </c>
      <c r="H367" s="422" t="s">
        <v>420</v>
      </c>
    </row>
    <row r="368" spans="1:8" x14ac:dyDescent="0.25">
      <c r="A368" s="422">
        <f>+SUBTOTAL(3,$B$4:B368)</f>
        <v>365</v>
      </c>
      <c r="B368" s="422" t="str">
        <f>'Visual chart Edit'!B371</f>
        <v>59/7</v>
      </c>
      <c r="C368" s="422" t="str">
        <f>'Visual chart Edit'!C371</f>
        <v>DA+3</v>
      </c>
      <c r="D368" s="422" t="s">
        <v>1347</v>
      </c>
      <c r="E368" s="474">
        <f>'Visual chart Edit'!I371</f>
        <v>408.8</v>
      </c>
      <c r="F368" s="422" t="str">
        <f>'Visual chart Edit'!K371</f>
        <v>DRY</v>
      </c>
      <c r="G368" s="422" t="str">
        <f>'Visual chart Edit'!L371</f>
        <v>E</v>
      </c>
      <c r="H368" s="422" t="s">
        <v>420</v>
      </c>
    </row>
    <row r="369" spans="1:8" x14ac:dyDescent="0.25">
      <c r="A369" s="422">
        <f>+SUBTOTAL(3,$B$4:B369)</f>
        <v>366</v>
      </c>
      <c r="B369" s="422" t="str">
        <f>'Visual chart Edit'!B372</f>
        <v>59/8</v>
      </c>
      <c r="C369" s="422" t="str">
        <f>'Visual chart Edit'!C372</f>
        <v>DB1+3</v>
      </c>
      <c r="D369" s="422" t="s">
        <v>1347</v>
      </c>
      <c r="E369" s="474">
        <f>'Visual chart Edit'!I372</f>
        <v>426.9</v>
      </c>
      <c r="F369" s="422" t="str">
        <f>'Visual chart Edit'!K372</f>
        <v>DRY</v>
      </c>
      <c r="G369" s="422" t="str">
        <f>'Visual chart Edit'!L372</f>
        <v>E</v>
      </c>
      <c r="H369" s="422" t="s">
        <v>420</v>
      </c>
    </row>
    <row r="370" spans="1:8" x14ac:dyDescent="0.25">
      <c r="A370" s="422">
        <f>+SUBTOTAL(3,$B$4:B370)</f>
        <v>367</v>
      </c>
      <c r="B370" s="422" t="str">
        <f>'Visual chart Edit'!B373</f>
        <v>59/9</v>
      </c>
      <c r="C370" s="422" t="str">
        <f>'Visual chart Edit'!C373</f>
        <v>DA+3</v>
      </c>
      <c r="D370" s="422" t="s">
        <v>1347</v>
      </c>
      <c r="E370" s="474">
        <f>'Visual chart Edit'!I373</f>
        <v>434.7</v>
      </c>
      <c r="F370" s="422" t="str">
        <f>'Visual chart Edit'!K373</f>
        <v>DRY</v>
      </c>
      <c r="G370" s="422" t="str">
        <f>'Visual chart Edit'!L373</f>
        <v>E</v>
      </c>
      <c r="H370" s="422" t="s">
        <v>420</v>
      </c>
    </row>
    <row r="371" spans="1:8" x14ac:dyDescent="0.25">
      <c r="A371" s="422">
        <f>+SUBTOTAL(3,$B$4:B371)</f>
        <v>368</v>
      </c>
      <c r="B371" s="422" t="str">
        <f>'Visual chart Edit'!B374</f>
        <v>59/10</v>
      </c>
      <c r="C371" s="422" t="str">
        <f>'Visual chart Edit'!C374</f>
        <v>DA+0</v>
      </c>
      <c r="D371" s="422" t="s">
        <v>1347</v>
      </c>
      <c r="E371" s="474">
        <f>'Visual chart Edit'!I374</f>
        <v>400.8</v>
      </c>
      <c r="F371" s="422" t="str">
        <f>'Visual chart Edit'!K374</f>
        <v>DRY</v>
      </c>
      <c r="G371" s="422" t="str">
        <f>'Visual chart Edit'!L374</f>
        <v>E</v>
      </c>
      <c r="H371" s="422" t="s">
        <v>420</v>
      </c>
    </row>
    <row r="372" spans="1:8" x14ac:dyDescent="0.25">
      <c r="A372" s="422">
        <f>+SUBTOTAL(3,$B$4:B372)</f>
        <v>369</v>
      </c>
      <c r="B372" s="422" t="str">
        <f>'Visual chart Edit'!B375</f>
        <v>59/11</v>
      </c>
      <c r="C372" s="422" t="str">
        <f>'Visual chart Edit'!C375</f>
        <v>DA+6</v>
      </c>
      <c r="D372" s="422" t="s">
        <v>1347</v>
      </c>
      <c r="E372" s="474">
        <f>'Visual chart Edit'!I375</f>
        <v>436.3</v>
      </c>
      <c r="F372" s="422" t="str">
        <f>'Visual chart Edit'!K375</f>
        <v>DFR</v>
      </c>
      <c r="G372" s="422" t="str">
        <f>'Visual chart Edit'!L375</f>
        <v>E</v>
      </c>
      <c r="H372" s="422" t="s">
        <v>420</v>
      </c>
    </row>
    <row r="373" spans="1:8" x14ac:dyDescent="0.25">
      <c r="A373" s="422">
        <f>+SUBTOTAL(3,$B$4:B373)</f>
        <v>370</v>
      </c>
      <c r="B373" s="422" t="str">
        <f>'Visual chart Edit'!B376</f>
        <v>59/12</v>
      </c>
      <c r="C373" s="422" t="str">
        <f>'Visual chart Edit'!C376</f>
        <v>DA+6</v>
      </c>
      <c r="D373" s="422" t="s">
        <v>1347</v>
      </c>
      <c r="E373" s="474">
        <f>'Visual chart Edit'!I376</f>
        <v>393.1</v>
      </c>
      <c r="F373" s="422" t="str">
        <f>'Visual chart Edit'!K376</f>
        <v>DFR</v>
      </c>
      <c r="G373" s="422" t="str">
        <f>'Visual chart Edit'!L376</f>
        <v>E</v>
      </c>
      <c r="H373" s="422" t="s">
        <v>420</v>
      </c>
    </row>
    <row r="374" spans="1:8" x14ac:dyDescent="0.25">
      <c r="A374" s="422">
        <f>+SUBTOTAL(3,$B$4:B374)</f>
        <v>371</v>
      </c>
      <c r="B374" s="422" t="str">
        <f>'Visual chart Edit'!B377</f>
        <v>59/13</v>
      </c>
      <c r="C374" s="422" t="str">
        <f>'Visual chart Edit'!C377</f>
        <v>DA+3</v>
      </c>
      <c r="D374" s="422" t="s">
        <v>1347</v>
      </c>
      <c r="E374" s="474">
        <f>'Visual chart Edit'!I377</f>
        <v>447.4</v>
      </c>
      <c r="F374" s="422" t="str">
        <f>'Visual chart Edit'!K377</f>
        <v>DRY</v>
      </c>
      <c r="G374" s="422" t="str">
        <f>'Visual chart Edit'!L377</f>
        <v>E</v>
      </c>
      <c r="H374" s="422" t="s">
        <v>420</v>
      </c>
    </row>
    <row r="375" spans="1:8" x14ac:dyDescent="0.25">
      <c r="A375" s="422">
        <f>+SUBTOTAL(3,$B$4:B375)</f>
        <v>372</v>
      </c>
      <c r="B375" s="422" t="str">
        <f>'Visual chart Edit'!B378</f>
        <v>59/14</v>
      </c>
      <c r="C375" s="422" t="str">
        <f>'Visual chart Edit'!C378</f>
        <v>DA+6</v>
      </c>
      <c r="D375" s="422" t="s">
        <v>1347</v>
      </c>
      <c r="E375" s="474">
        <f>'Visual chart Edit'!I378</f>
        <v>391.1</v>
      </c>
      <c r="F375" s="422" t="str">
        <f>'Visual chart Edit'!K378</f>
        <v>DRY</v>
      </c>
      <c r="G375" s="422" t="str">
        <f>'Visual chart Edit'!L378</f>
        <v>E</v>
      </c>
      <c r="H375" s="422" t="s">
        <v>420</v>
      </c>
    </row>
    <row r="376" spans="1:8" x14ac:dyDescent="0.25">
      <c r="A376" s="422">
        <f>+SUBTOTAL(3,$B$4:B376)</f>
        <v>373</v>
      </c>
      <c r="B376" s="422" t="str">
        <f>'Visual chart Edit'!B379</f>
        <v>59/15</v>
      </c>
      <c r="C376" s="422" t="str">
        <f>'Visual chart Edit'!C379</f>
        <v>DA+6</v>
      </c>
      <c r="D376" s="422" t="s">
        <v>1348</v>
      </c>
      <c r="E376" s="474">
        <f>'Visual chart Edit'!I379</f>
        <v>448.6</v>
      </c>
      <c r="F376" s="422" t="str">
        <f>'Visual chart Edit'!K379</f>
        <v>DRY</v>
      </c>
      <c r="G376" s="422" t="str">
        <f>'Visual chart Edit'!L379</f>
        <v>E</v>
      </c>
      <c r="H376" s="422" t="s">
        <v>420</v>
      </c>
    </row>
    <row r="377" spans="1:8" x14ac:dyDescent="0.25">
      <c r="A377" s="422">
        <f>+SUBTOTAL(3,$B$4:B377)</f>
        <v>374</v>
      </c>
      <c r="B377" s="422" t="str">
        <f>'Visual chart Edit'!B380</f>
        <v>59/16</v>
      </c>
      <c r="C377" s="422" t="str">
        <f>'Visual chart Edit'!C380</f>
        <v>DA+9</v>
      </c>
      <c r="D377" s="422" t="s">
        <v>1348</v>
      </c>
      <c r="E377" s="474">
        <f>'Visual chart Edit'!I380</f>
        <v>388</v>
      </c>
      <c r="F377" s="422" t="str">
        <f>'Visual chart Edit'!K380</f>
        <v>Dry</v>
      </c>
      <c r="G377" s="422" t="str">
        <f>'Visual chart Edit'!L380</f>
        <v>E</v>
      </c>
      <c r="H377" s="422" t="s">
        <v>420</v>
      </c>
    </row>
    <row r="378" spans="1:8" x14ac:dyDescent="0.25">
      <c r="A378" s="422">
        <f>+SUBTOTAL(3,$B$4:B378)</f>
        <v>375</v>
      </c>
      <c r="B378" s="422" t="str">
        <f>'Visual chart Edit'!B381</f>
        <v>60/0</v>
      </c>
      <c r="C378" s="422" t="str">
        <f>'Visual chart Edit'!C381</f>
        <v>DC1+0</v>
      </c>
      <c r="D378" s="422" t="s">
        <v>1348</v>
      </c>
      <c r="E378" s="474">
        <f>'Visual chart Edit'!I381</f>
        <v>438</v>
      </c>
      <c r="F378" s="422" t="str">
        <f>'Visual chart Edit'!K381</f>
        <v>DRY</v>
      </c>
      <c r="G378" s="422" t="str">
        <f>'Visual chart Edit'!L381</f>
        <v>E</v>
      </c>
      <c r="H378" s="422" t="s">
        <v>420</v>
      </c>
    </row>
    <row r="379" spans="1:8" x14ac:dyDescent="0.25">
      <c r="A379" s="422">
        <f>+SUBTOTAL(3,$B$4:B379)</f>
        <v>376</v>
      </c>
      <c r="B379" s="422" t="str">
        <f>'Visual chart Edit'!B382</f>
        <v>60/1</v>
      </c>
      <c r="C379" s="422" t="str">
        <f>'Visual chart Edit'!C382</f>
        <v>DA+6</v>
      </c>
      <c r="D379" s="422" t="s">
        <v>1348</v>
      </c>
      <c r="E379" s="474">
        <f>'Visual chart Edit'!I382</f>
        <v>413.8</v>
      </c>
      <c r="F379" s="422" t="str">
        <f>'Visual chart Edit'!K382</f>
        <v>DRY</v>
      </c>
      <c r="G379" s="422" t="str">
        <f>'Visual chart Edit'!L382</f>
        <v>E</v>
      </c>
      <c r="H379" s="422" t="s">
        <v>420</v>
      </c>
    </row>
    <row r="380" spans="1:8" x14ac:dyDescent="0.25">
      <c r="A380" s="422">
        <f>+SUBTOTAL(3,$B$4:B380)</f>
        <v>377</v>
      </c>
      <c r="B380" s="422" t="str">
        <f>'Visual chart Edit'!B383</f>
        <v>60/2</v>
      </c>
      <c r="C380" s="422" t="str">
        <f>'Visual chart Edit'!C383</f>
        <v>DA+3</v>
      </c>
      <c r="D380" s="422" t="s">
        <v>1348</v>
      </c>
      <c r="E380" s="474">
        <f>'Visual chart Edit'!I383</f>
        <v>424.2</v>
      </c>
      <c r="F380" s="422" t="str">
        <f>'Visual chart Edit'!K383</f>
        <v>DFR</v>
      </c>
      <c r="G380" s="422" t="str">
        <f>'Visual chart Edit'!L383</f>
        <v>E</v>
      </c>
      <c r="H380" s="422" t="s">
        <v>420</v>
      </c>
    </row>
    <row r="381" spans="1:8" x14ac:dyDescent="0.25">
      <c r="A381" s="422">
        <f>+SUBTOTAL(3,$B$4:B381)</f>
        <v>378</v>
      </c>
      <c r="B381" s="422" t="str">
        <f>'Visual chart Edit'!B384</f>
        <v>60/3</v>
      </c>
      <c r="C381" s="422" t="str">
        <f>'Visual chart Edit'!C384</f>
        <v>DA+3</v>
      </c>
      <c r="D381" s="422" t="s">
        <v>1348</v>
      </c>
      <c r="E381" s="474">
        <f>'Visual chart Edit'!I384</f>
        <v>414.5</v>
      </c>
      <c r="F381" s="422" t="str">
        <f>'Visual chart Edit'!K384</f>
        <v>DFR</v>
      </c>
      <c r="G381" s="422" t="str">
        <f>'Visual chart Edit'!L384</f>
        <v>E</v>
      </c>
      <c r="H381" s="422" t="s">
        <v>420</v>
      </c>
    </row>
    <row r="382" spans="1:8" x14ac:dyDescent="0.25">
      <c r="A382" s="422">
        <f>+SUBTOTAL(3,$B$4:B382)</f>
        <v>379</v>
      </c>
      <c r="B382" s="422" t="str">
        <f>'Visual chart Edit'!B385</f>
        <v>60/4</v>
      </c>
      <c r="C382" s="422" t="str">
        <f>'Visual chart Edit'!C385</f>
        <v>DA+3</v>
      </c>
      <c r="D382" s="422" t="s">
        <v>1349</v>
      </c>
      <c r="E382" s="474">
        <f>'Visual chart Edit'!I385</f>
        <v>425.6</v>
      </c>
      <c r="F382" s="422" t="str">
        <f>'Visual chart Edit'!K385</f>
        <v>DFR</v>
      </c>
      <c r="G382" s="422" t="str">
        <f>'Visual chart Edit'!L385</f>
        <v>E</v>
      </c>
      <c r="H382" s="422" t="s">
        <v>420</v>
      </c>
    </row>
    <row r="383" spans="1:8" x14ac:dyDescent="0.25">
      <c r="A383" s="422">
        <f>+SUBTOTAL(3,$B$4:B383)</f>
        <v>380</v>
      </c>
      <c r="B383" s="422" t="str">
        <f>'Visual chart Edit'!B386</f>
        <v>60/5</v>
      </c>
      <c r="C383" s="422" t="str">
        <f>'Visual chart Edit'!C386</f>
        <v>DA+3</v>
      </c>
      <c r="D383" s="422" t="s">
        <v>1349</v>
      </c>
      <c r="E383" s="474">
        <f>'Visual chart Edit'!I386</f>
        <v>412.3</v>
      </c>
      <c r="F383" s="422" t="str">
        <f>'Visual chart Edit'!K386</f>
        <v>DRY</v>
      </c>
      <c r="G383" s="422" t="str">
        <f>'Visual chart Edit'!L386</f>
        <v>E</v>
      </c>
      <c r="H383" s="422" t="s">
        <v>420</v>
      </c>
    </row>
    <row r="384" spans="1:8" x14ac:dyDescent="0.25">
      <c r="A384" s="422">
        <f>+SUBTOTAL(3,$B$4:B384)</f>
        <v>381</v>
      </c>
      <c r="B384" s="422" t="str">
        <f>'Visual chart Edit'!B387</f>
        <v>60/6</v>
      </c>
      <c r="C384" s="422" t="str">
        <f>'Visual chart Edit'!C387</f>
        <v>DA+0</v>
      </c>
      <c r="D384" s="422" t="s">
        <v>1349</v>
      </c>
      <c r="E384" s="474">
        <f>'Visual chart Edit'!I387</f>
        <v>374.1</v>
      </c>
      <c r="F384" s="422" t="str">
        <f>'Visual chart Edit'!K387</f>
        <v>DRY</v>
      </c>
      <c r="G384" s="422" t="str">
        <f>'Visual chart Edit'!L387</f>
        <v>E</v>
      </c>
      <c r="H384" s="422" t="s">
        <v>420</v>
      </c>
    </row>
    <row r="385" spans="1:8" x14ac:dyDescent="0.25">
      <c r="A385" s="422">
        <f>+SUBTOTAL(3,$B$4:B385)</f>
        <v>382</v>
      </c>
      <c r="B385" s="422" t="str">
        <f>'Visual chart Edit'!B388</f>
        <v>60/7</v>
      </c>
      <c r="C385" s="422" t="str">
        <f>'Visual chart Edit'!C388</f>
        <v>DA+3</v>
      </c>
      <c r="D385" s="422" t="s">
        <v>1349</v>
      </c>
      <c r="E385" s="474">
        <f>'Visual chart Edit'!I388</f>
        <v>410.1</v>
      </c>
      <c r="F385" s="422" t="str">
        <f>'Visual chart Edit'!K388</f>
        <v>DRY</v>
      </c>
      <c r="G385" s="422" t="str">
        <f>'Visual chart Edit'!L388</f>
        <v>E</v>
      </c>
      <c r="H385" s="422" t="s">
        <v>420</v>
      </c>
    </row>
    <row r="386" spans="1:8" x14ac:dyDescent="0.25">
      <c r="A386" s="422">
        <f>+SUBTOTAL(3,$B$4:B386)</f>
        <v>383</v>
      </c>
      <c r="B386" s="422" t="str">
        <f>'Visual chart Edit'!B389</f>
        <v>60/8</v>
      </c>
      <c r="C386" s="422" t="str">
        <f>'Visual chart Edit'!C389</f>
        <v>DA+0</v>
      </c>
      <c r="D386" s="422" t="s">
        <v>1349</v>
      </c>
      <c r="E386" s="474">
        <f>'Visual chart Edit'!I389</f>
        <v>400.4</v>
      </c>
      <c r="F386" s="422" t="str">
        <f>'Visual chart Edit'!K389</f>
        <v>DRY</v>
      </c>
      <c r="G386" s="422" t="str">
        <f>'Visual chart Edit'!L389</f>
        <v>E</v>
      </c>
      <c r="H386" s="422" t="s">
        <v>420</v>
      </c>
    </row>
    <row r="387" spans="1:8" x14ac:dyDescent="0.25">
      <c r="A387" s="422">
        <f>+SUBTOTAL(3,$B$4:B387)</f>
        <v>384</v>
      </c>
      <c r="B387" s="422" t="str">
        <f>'Visual chart Edit'!B390</f>
        <v>60/9</v>
      </c>
      <c r="C387" s="422" t="str">
        <f>'Visual chart Edit'!C390</f>
        <v>DA+3</v>
      </c>
      <c r="D387" s="422" t="s">
        <v>1349</v>
      </c>
      <c r="E387" s="474">
        <f>'Visual chart Edit'!I390</f>
        <v>409.2</v>
      </c>
      <c r="F387" s="422" t="str">
        <f>'Visual chart Edit'!K390</f>
        <v>DRY</v>
      </c>
      <c r="G387" s="422" t="str">
        <f>'Visual chart Edit'!L390</f>
        <v>E</v>
      </c>
      <c r="H387" s="422" t="s">
        <v>420</v>
      </c>
    </row>
    <row r="388" spans="1:8" x14ac:dyDescent="0.25">
      <c r="A388" s="422">
        <f>+SUBTOTAL(3,$B$4:B388)</f>
        <v>385</v>
      </c>
      <c r="B388" s="422" t="str">
        <f>'Visual chart Edit'!B391</f>
        <v>60/10</v>
      </c>
      <c r="C388" s="422" t="str">
        <f>'Visual chart Edit'!C391</f>
        <v>DA+0</v>
      </c>
      <c r="D388" s="422" t="s">
        <v>1349</v>
      </c>
      <c r="E388" s="474">
        <f>'Visual chart Edit'!I391</f>
        <v>401</v>
      </c>
      <c r="F388" s="422" t="str">
        <f>'Visual chart Edit'!K391</f>
        <v>DFR</v>
      </c>
      <c r="G388" s="422" t="str">
        <f>'Visual chart Edit'!L391</f>
        <v>E</v>
      </c>
      <c r="H388" s="422" t="s">
        <v>420</v>
      </c>
    </row>
    <row r="389" spans="1:8" x14ac:dyDescent="0.25">
      <c r="A389" s="422">
        <f>+SUBTOTAL(3,$B$4:B389)</f>
        <v>386</v>
      </c>
      <c r="B389" s="422" t="str">
        <f>'Visual chart Edit'!B392</f>
        <v>60/11</v>
      </c>
      <c r="C389" s="422" t="str">
        <f>'Visual chart Edit'!C392</f>
        <v>DA+3</v>
      </c>
      <c r="D389" s="422" t="s">
        <v>1349</v>
      </c>
      <c r="E389" s="474">
        <f>'Visual chart Edit'!I392</f>
        <v>394.5</v>
      </c>
      <c r="F389" s="422" t="str">
        <f>'Visual chart Edit'!K392</f>
        <v>DRY</v>
      </c>
      <c r="G389" s="422" t="str">
        <f>'Visual chart Edit'!L392</f>
        <v>E</v>
      </c>
      <c r="H389" s="422" t="s">
        <v>420</v>
      </c>
    </row>
    <row r="390" spans="1:8" x14ac:dyDescent="0.25">
      <c r="A390" s="422">
        <f>+SUBTOTAL(3,$B$4:B390)</f>
        <v>387</v>
      </c>
      <c r="B390" s="422" t="str">
        <f>'Visual chart Edit'!B393</f>
        <v>61/0</v>
      </c>
      <c r="C390" s="422" t="str">
        <f>'Visual chart Edit'!C393</f>
        <v>DB2+0</v>
      </c>
      <c r="D390" s="422" t="s">
        <v>1349</v>
      </c>
      <c r="E390" s="474">
        <f>'Visual chart Edit'!I393</f>
        <v>397.9</v>
      </c>
      <c r="F390" s="422" t="str">
        <f>'Visual chart Edit'!K393</f>
        <v>DRY</v>
      </c>
      <c r="G390" s="422" t="str">
        <f>'Visual chart Edit'!L393</f>
        <v>E</v>
      </c>
      <c r="H390" s="422" t="s">
        <v>420</v>
      </c>
    </row>
    <row r="391" spans="1:8" x14ac:dyDescent="0.25">
      <c r="A391" s="422">
        <f>+SUBTOTAL(3,$B$4:B391)</f>
        <v>388</v>
      </c>
      <c r="B391" s="422" t="str">
        <f>'Visual chart Edit'!B394</f>
        <v>61/1</v>
      </c>
      <c r="C391" s="422" t="str">
        <f>'Visual chart Edit'!C394</f>
        <v>DA+6</v>
      </c>
      <c r="D391" s="422" t="s">
        <v>1350</v>
      </c>
      <c r="E391" s="474">
        <f>'Visual chart Edit'!I394</f>
        <v>405.7</v>
      </c>
      <c r="F391" s="422" t="str">
        <f>'Visual chart Edit'!K394</f>
        <v>DFR</v>
      </c>
      <c r="G391" s="422" t="str">
        <f>'Visual chart Edit'!L394</f>
        <v>E</v>
      </c>
      <c r="H391" s="422" t="s">
        <v>420</v>
      </c>
    </row>
    <row r="392" spans="1:8" x14ac:dyDescent="0.25">
      <c r="A392" s="422">
        <f>+SUBTOTAL(3,$B$4:B392)</f>
        <v>389</v>
      </c>
      <c r="B392" s="422" t="str">
        <f>'Visual chart Edit'!B395</f>
        <v>61/2</v>
      </c>
      <c r="C392" s="422" t="str">
        <f>'Visual chart Edit'!C395</f>
        <v>DA+6</v>
      </c>
      <c r="D392" s="422" t="s">
        <v>1350</v>
      </c>
      <c r="E392" s="474">
        <f>'Visual chart Edit'!I395</f>
        <v>433.2</v>
      </c>
      <c r="F392" s="422" t="str">
        <f>'Visual chart Edit'!K395</f>
        <v>DFR</v>
      </c>
      <c r="G392" s="422" t="str">
        <f>'Visual chart Edit'!L395</f>
        <v>E</v>
      </c>
      <c r="H392" s="422" t="s">
        <v>420</v>
      </c>
    </row>
    <row r="393" spans="1:8" x14ac:dyDescent="0.25">
      <c r="A393" s="422">
        <f>+SUBTOTAL(3,$B$4:B393)</f>
        <v>390</v>
      </c>
      <c r="B393" s="422" t="str">
        <f>'Visual chart Edit'!B396</f>
        <v>61/3</v>
      </c>
      <c r="C393" s="422" t="str">
        <f>'Visual chart Edit'!C396</f>
        <v>DA+6</v>
      </c>
      <c r="D393" s="422" t="s">
        <v>1350</v>
      </c>
      <c r="E393" s="474">
        <f>'Visual chart Edit'!I396</f>
        <v>400.9</v>
      </c>
      <c r="F393" s="422" t="str">
        <f>'Visual chart Edit'!K396</f>
        <v>DRY</v>
      </c>
      <c r="G393" s="422" t="str">
        <f>'Visual chart Edit'!L396</f>
        <v>E</v>
      </c>
      <c r="H393" s="422" t="s">
        <v>420</v>
      </c>
    </row>
    <row r="394" spans="1:8" x14ac:dyDescent="0.25">
      <c r="A394" s="422">
        <f>+SUBTOTAL(3,$B$4:B394)</f>
        <v>391</v>
      </c>
      <c r="B394" s="422" t="str">
        <f>'Visual chart Edit'!B397</f>
        <v>61/4</v>
      </c>
      <c r="C394" s="422" t="str">
        <f>'Visual chart Edit'!C397</f>
        <v>DA+3</v>
      </c>
      <c r="D394" s="422" t="s">
        <v>1350</v>
      </c>
      <c r="E394" s="474">
        <f>'Visual chart Edit'!I397</f>
        <v>427</v>
      </c>
      <c r="F394" s="422" t="str">
        <f>'Visual chart Edit'!K397</f>
        <v>DRY</v>
      </c>
      <c r="G394" s="422" t="str">
        <f>'Visual chart Edit'!L397</f>
        <v>E</v>
      </c>
      <c r="H394" s="422" t="s">
        <v>420</v>
      </c>
    </row>
    <row r="395" spans="1:8" x14ac:dyDescent="0.25">
      <c r="A395" s="422">
        <f>+SUBTOTAL(3,$B$4:B395)</f>
        <v>392</v>
      </c>
      <c r="B395" s="422" t="str">
        <f>'Visual chart Edit'!B398</f>
        <v>61/5</v>
      </c>
      <c r="C395" s="422" t="str">
        <f>'Visual chart Edit'!C398</f>
        <v>DA+3</v>
      </c>
      <c r="D395" s="422" t="s">
        <v>1350</v>
      </c>
      <c r="E395" s="474">
        <f>'Visual chart Edit'!I398</f>
        <v>413.9</v>
      </c>
      <c r="F395" s="422" t="str">
        <f>'Visual chart Edit'!K398</f>
        <v>DRY</v>
      </c>
      <c r="G395" s="422" t="str">
        <f>'Visual chart Edit'!L398</f>
        <v>E</v>
      </c>
      <c r="H395" s="422" t="s">
        <v>420</v>
      </c>
    </row>
    <row r="396" spans="1:8" x14ac:dyDescent="0.25">
      <c r="A396" s="422">
        <f>+SUBTOTAL(3,$B$4:B396)</f>
        <v>393</v>
      </c>
      <c r="B396" s="422" t="str">
        <f>'Visual chart Edit'!B399</f>
        <v>61/6</v>
      </c>
      <c r="C396" s="422" t="str">
        <f>'Visual chart Edit'!C399</f>
        <v>DA+3</v>
      </c>
      <c r="D396" s="422" t="s">
        <v>1350</v>
      </c>
      <c r="E396" s="474">
        <f>'Visual chart Edit'!I399</f>
        <v>426.4</v>
      </c>
      <c r="F396" s="422" t="str">
        <f>'Visual chart Edit'!K399</f>
        <v>DRY</v>
      </c>
      <c r="G396" s="422" t="str">
        <f>'Visual chart Edit'!L399</f>
        <v>E</v>
      </c>
      <c r="H396" s="422" t="s">
        <v>420</v>
      </c>
    </row>
    <row r="397" spans="1:8" x14ac:dyDescent="0.25">
      <c r="A397" s="422">
        <f>+SUBTOTAL(3,$B$4:B397)</f>
        <v>394</v>
      </c>
      <c r="B397" s="422" t="str">
        <f>'Visual chart Edit'!B400</f>
        <v>61/7</v>
      </c>
      <c r="C397" s="422" t="str">
        <f>'Visual chart Edit'!C400</f>
        <v>DA+9</v>
      </c>
      <c r="D397" s="422" t="s">
        <v>1350</v>
      </c>
      <c r="E397" s="474">
        <f>'Visual chart Edit'!I400</f>
        <v>411.5</v>
      </c>
      <c r="F397" s="422" t="str">
        <f>'Visual chart Edit'!K400</f>
        <v>Dry</v>
      </c>
      <c r="G397" s="422" t="str">
        <f>'Visual chart Edit'!L400</f>
        <v>E</v>
      </c>
      <c r="H397" s="422" t="s">
        <v>420</v>
      </c>
    </row>
    <row r="398" spans="1:8" x14ac:dyDescent="0.25">
      <c r="A398" s="422">
        <f>+SUBTOTAL(3,$B$4:B398)</f>
        <v>395</v>
      </c>
      <c r="B398" s="422" t="str">
        <f>'Visual chart Edit'!B401</f>
        <v>61/8</v>
      </c>
      <c r="C398" s="422" t="str">
        <f>'Visual chart Edit'!C401</f>
        <v>DA+6</v>
      </c>
      <c r="D398" s="422" t="s">
        <v>1350</v>
      </c>
      <c r="E398" s="474">
        <f>'Visual chart Edit'!I401</f>
        <v>376.3</v>
      </c>
      <c r="F398" s="422" t="str">
        <f>'Visual chart Edit'!K401</f>
        <v>DRY</v>
      </c>
      <c r="G398" s="422" t="str">
        <f>'Visual chart Edit'!L401</f>
        <v>E</v>
      </c>
      <c r="H398" s="422" t="s">
        <v>420</v>
      </c>
    </row>
    <row r="399" spans="1:8" x14ac:dyDescent="0.25">
      <c r="A399" s="422">
        <f>+SUBTOTAL(3,$B$4:B399)</f>
        <v>396</v>
      </c>
      <c r="B399" s="422" t="str">
        <f>'Visual chart Edit'!B402</f>
        <v>61/9</v>
      </c>
      <c r="C399" s="422" t="str">
        <f>'Visual chart Edit'!C402</f>
        <v>DA+0</v>
      </c>
      <c r="D399" s="422" t="s">
        <v>1350</v>
      </c>
      <c r="E399" s="474">
        <f>'Visual chart Edit'!I402</f>
        <v>433.4</v>
      </c>
      <c r="F399" s="422" t="str">
        <f>'Visual chart Edit'!K402</f>
        <v>Dry</v>
      </c>
      <c r="G399" s="422" t="str">
        <f>'Visual chart Edit'!L402</f>
        <v>E</v>
      </c>
      <c r="H399" s="422" t="s">
        <v>420</v>
      </c>
    </row>
    <row r="400" spans="1:8" x14ac:dyDescent="0.25">
      <c r="A400" s="422">
        <f>+SUBTOTAL(3,$B$4:B400)</f>
        <v>397</v>
      </c>
      <c r="B400" s="422" t="str">
        <f>'Visual chart Edit'!B403</f>
        <v>61/10</v>
      </c>
      <c r="C400" s="422" t="str">
        <f>'Visual chart Edit'!C403</f>
        <v>DA+9</v>
      </c>
      <c r="D400" s="422" t="s">
        <v>1351</v>
      </c>
      <c r="E400" s="474">
        <f>'Visual chart Edit'!I403</f>
        <v>405.6</v>
      </c>
      <c r="F400" s="422" t="str">
        <f>'Visual chart Edit'!K403</f>
        <v>DRY</v>
      </c>
      <c r="G400" s="422" t="str">
        <f>'Visual chart Edit'!L403</f>
        <v>E</v>
      </c>
      <c r="H400" s="422" t="s">
        <v>420</v>
      </c>
    </row>
    <row r="401" spans="1:8" x14ac:dyDescent="0.25">
      <c r="A401" s="422">
        <f>+SUBTOTAL(3,$B$4:B401)</f>
        <v>398</v>
      </c>
      <c r="B401" s="422" t="str">
        <f>'Visual chart Edit'!B404</f>
        <v>62/0</v>
      </c>
      <c r="C401" s="422" t="str">
        <f>'Visual chart Edit'!C404</f>
        <v>DB2+0</v>
      </c>
      <c r="D401" s="422" t="s">
        <v>1351</v>
      </c>
      <c r="E401" s="474">
        <f>'Visual chart Edit'!I404</f>
        <v>434.3</v>
      </c>
      <c r="F401" s="422" t="str">
        <f>'Visual chart Edit'!K404</f>
        <v>DRY</v>
      </c>
      <c r="G401" s="422" t="str">
        <f>'Visual chart Edit'!L404</f>
        <v>E</v>
      </c>
      <c r="H401" s="422" t="s">
        <v>420</v>
      </c>
    </row>
    <row r="402" spans="1:8" x14ac:dyDescent="0.25">
      <c r="A402" s="422">
        <f>+SUBTOTAL(3,$B$4:B402)</f>
        <v>399</v>
      </c>
      <c r="B402" s="422" t="str">
        <f>'Visual chart Edit'!B405</f>
        <v>62/1</v>
      </c>
      <c r="C402" s="422" t="str">
        <f>'Visual chart Edit'!C405</f>
        <v>DA+3</v>
      </c>
      <c r="D402" s="422" t="s">
        <v>1351</v>
      </c>
      <c r="E402" s="474">
        <f>'Visual chart Edit'!I405</f>
        <v>418</v>
      </c>
      <c r="F402" s="422" t="str">
        <f>'Visual chart Edit'!K405</f>
        <v>Sandy</v>
      </c>
      <c r="G402" s="422" t="str">
        <f>'Visual chart Edit'!L405</f>
        <v>E</v>
      </c>
      <c r="H402" s="422" t="s">
        <v>420</v>
      </c>
    </row>
    <row r="403" spans="1:8" x14ac:dyDescent="0.25">
      <c r="A403" s="422">
        <f>+SUBTOTAL(3,$B$4:B403)</f>
        <v>400</v>
      </c>
      <c r="B403" s="422" t="str">
        <f>'Visual chart Edit'!B406</f>
        <v>62/2</v>
      </c>
      <c r="C403" s="422" t="str">
        <f>'Visual chart Edit'!C406</f>
        <v>DA+3</v>
      </c>
      <c r="D403" s="422" t="s">
        <v>1351</v>
      </c>
      <c r="E403" s="474">
        <f>'Visual chart Edit'!I406</f>
        <v>386</v>
      </c>
      <c r="F403" s="422" t="str">
        <f>'Visual chart Edit'!K406</f>
        <v>DRY</v>
      </c>
      <c r="G403" s="422" t="str">
        <f>'Visual chart Edit'!L406</f>
        <v>E</v>
      </c>
      <c r="H403" s="422" t="s">
        <v>420</v>
      </c>
    </row>
    <row r="404" spans="1:8" x14ac:dyDescent="0.25">
      <c r="A404" s="422">
        <f>+SUBTOTAL(3,$B$4:B404)</f>
        <v>401</v>
      </c>
      <c r="B404" s="422" t="str">
        <f>'Visual chart Edit'!B407</f>
        <v>62/3</v>
      </c>
      <c r="C404" s="422" t="str">
        <f>'Visual chart Edit'!C407</f>
        <v>DA+0</v>
      </c>
      <c r="D404" s="422" t="s">
        <v>1351</v>
      </c>
      <c r="E404" s="474">
        <f>'Visual chart Edit'!I407</f>
        <v>400</v>
      </c>
      <c r="F404" s="422" t="str">
        <f>'Visual chart Edit'!K407</f>
        <v>DRY</v>
      </c>
      <c r="G404" s="422" t="str">
        <f>'Visual chart Edit'!L407</f>
        <v>E</v>
      </c>
      <c r="H404" s="422" t="s">
        <v>420</v>
      </c>
    </row>
    <row r="405" spans="1:8" x14ac:dyDescent="0.25">
      <c r="A405" s="422">
        <f>+SUBTOTAL(3,$B$4:B405)</f>
        <v>402</v>
      </c>
      <c r="B405" s="422" t="str">
        <f>'Visual chart Edit'!B408</f>
        <v>62/4</v>
      </c>
      <c r="C405" s="422" t="str">
        <f>'Visual chart Edit'!C408</f>
        <v>DA+3</v>
      </c>
      <c r="D405" s="422" t="s">
        <v>1351</v>
      </c>
      <c r="E405" s="474">
        <f>'Visual chart Edit'!I408</f>
        <v>401</v>
      </c>
      <c r="F405" s="422" t="str">
        <f>'Visual chart Edit'!K408</f>
        <v>DRY</v>
      </c>
      <c r="G405" s="422" t="str">
        <f>'Visual chart Edit'!L408</f>
        <v>E</v>
      </c>
      <c r="H405" s="422" t="s">
        <v>420</v>
      </c>
    </row>
    <row r="406" spans="1:8" x14ac:dyDescent="0.25">
      <c r="A406" s="422">
        <f>+SUBTOTAL(3,$B$4:B406)</f>
        <v>403</v>
      </c>
      <c r="B406" s="422" t="str">
        <f>'Visual chart Edit'!B409</f>
        <v>62/5</v>
      </c>
      <c r="C406" s="422" t="str">
        <f>'Visual chart Edit'!C409</f>
        <v>DA+0</v>
      </c>
      <c r="D406" s="422" t="s">
        <v>1351</v>
      </c>
      <c r="E406" s="474">
        <f>'Visual chart Edit'!I409</f>
        <v>403</v>
      </c>
      <c r="F406" s="422" t="str">
        <f>'Visual chart Edit'!K409</f>
        <v>DRY</v>
      </c>
      <c r="G406" s="422" t="str">
        <f>'Visual chart Edit'!L409</f>
        <v>E</v>
      </c>
      <c r="H406" s="422" t="s">
        <v>420</v>
      </c>
    </row>
    <row r="407" spans="1:8" x14ac:dyDescent="0.25">
      <c r="A407" s="422">
        <f>+SUBTOTAL(3,$B$4:B407)</f>
        <v>404</v>
      </c>
      <c r="B407" s="422" t="str">
        <f>'Visual chart Edit'!B410</f>
        <v>62/6</v>
      </c>
      <c r="C407" s="422" t="str">
        <f>'Visual chart Edit'!C410</f>
        <v>DA+3</v>
      </c>
      <c r="D407" s="422" t="s">
        <v>1351</v>
      </c>
      <c r="E407" s="474">
        <f>'Visual chart Edit'!I410</f>
        <v>404</v>
      </c>
      <c r="F407" s="422" t="str">
        <f>'Visual chart Edit'!K410</f>
        <v>DRY</v>
      </c>
      <c r="G407" s="422" t="str">
        <f>'Visual chart Edit'!L410</f>
        <v>E</v>
      </c>
      <c r="H407" s="422" t="s">
        <v>420</v>
      </c>
    </row>
    <row r="408" spans="1:8" x14ac:dyDescent="0.25">
      <c r="A408" s="422">
        <f>+SUBTOTAL(3,$B$4:B408)</f>
        <v>405</v>
      </c>
      <c r="B408" s="422" t="str">
        <f>'Visual chart Edit'!B411</f>
        <v>62/7</v>
      </c>
      <c r="C408" s="422" t="str">
        <f>'Visual chart Edit'!C411</f>
        <v>DA+3</v>
      </c>
      <c r="D408" s="422" t="s">
        <v>1351</v>
      </c>
      <c r="E408" s="474">
        <f>'Visual chart Edit'!I411</f>
        <v>423</v>
      </c>
      <c r="F408" s="422" t="str">
        <f>'Visual chart Edit'!K411</f>
        <v>DRY</v>
      </c>
      <c r="G408" s="422" t="str">
        <f>'Visual chart Edit'!L411</f>
        <v>E</v>
      </c>
      <c r="H408" s="422" t="s">
        <v>420</v>
      </c>
    </row>
    <row r="409" spans="1:8" x14ac:dyDescent="0.25">
      <c r="A409" s="422">
        <f>+SUBTOTAL(3,$B$4:B409)</f>
        <v>406</v>
      </c>
      <c r="B409" s="422" t="str">
        <f>'Visual chart Edit'!B412</f>
        <v>62/8</v>
      </c>
      <c r="C409" s="422" t="str">
        <f>'Visual chart Edit'!C412</f>
        <v>DA+0</v>
      </c>
      <c r="D409" s="422" t="s">
        <v>1352</v>
      </c>
      <c r="E409" s="474">
        <f>'Visual chart Edit'!I412</f>
        <v>409</v>
      </c>
      <c r="F409" s="422" t="str">
        <f>'Visual chart Edit'!K412</f>
        <v>DFR</v>
      </c>
      <c r="G409" s="422" t="str">
        <f>'Visual chart Edit'!L412</f>
        <v>E</v>
      </c>
      <c r="H409" s="422" t="s">
        <v>420</v>
      </c>
    </row>
    <row r="410" spans="1:8" x14ac:dyDescent="0.25">
      <c r="A410" s="422">
        <f>+SUBTOTAL(3,$B$4:B410)</f>
        <v>407</v>
      </c>
      <c r="B410" s="422" t="str">
        <f>'Visual chart Edit'!B413</f>
        <v>62/9</v>
      </c>
      <c r="C410" s="422" t="str">
        <f>'Visual chart Edit'!C413</f>
        <v>DA+3</v>
      </c>
      <c r="D410" s="422" t="s">
        <v>1352</v>
      </c>
      <c r="E410" s="474">
        <f>'Visual chart Edit'!I413</f>
        <v>409</v>
      </c>
      <c r="F410" s="422" t="str">
        <f>'Visual chart Edit'!K413</f>
        <v>DFR</v>
      </c>
      <c r="G410" s="422" t="str">
        <f>'Visual chart Edit'!L413</f>
        <v>E</v>
      </c>
      <c r="H410" s="422" t="s">
        <v>420</v>
      </c>
    </row>
    <row r="411" spans="1:8" x14ac:dyDescent="0.25">
      <c r="A411" s="422">
        <f>+SUBTOTAL(3,$B$4:B411)</f>
        <v>408</v>
      </c>
      <c r="B411" s="422" t="str">
        <f>'Visual chart Edit'!B414</f>
        <v>62/10</v>
      </c>
      <c r="C411" s="422" t="str">
        <f>'Visual chart Edit'!C414</f>
        <v>DA+0</v>
      </c>
      <c r="D411" s="422" t="s">
        <v>1352</v>
      </c>
      <c r="E411" s="474">
        <f>'Visual chart Edit'!I414</f>
        <v>411</v>
      </c>
      <c r="F411" s="422" t="str">
        <f>'Visual chart Edit'!K414</f>
        <v>DFR</v>
      </c>
      <c r="G411" s="422" t="str">
        <f>'Visual chart Edit'!L414</f>
        <v>E</v>
      </c>
      <c r="H411" s="422" t="s">
        <v>420</v>
      </c>
    </row>
    <row r="412" spans="1:8" x14ac:dyDescent="0.25">
      <c r="A412" s="422">
        <f>+SUBTOTAL(3,$B$4:B412)</f>
        <v>409</v>
      </c>
      <c r="B412" s="422" t="str">
        <f>'Visual chart Edit'!B415</f>
        <v>62/11</v>
      </c>
      <c r="C412" s="422" t="str">
        <f>'Visual chart Edit'!C415</f>
        <v>DA+3</v>
      </c>
      <c r="D412" s="422" t="s">
        <v>1352</v>
      </c>
      <c r="E412" s="474">
        <f>'Visual chart Edit'!I415</f>
        <v>413</v>
      </c>
      <c r="F412" s="422" t="str">
        <f>'Visual chart Edit'!K415</f>
        <v>DRY</v>
      </c>
      <c r="G412" s="422" t="str">
        <f>'Visual chart Edit'!L415</f>
        <v>E</v>
      </c>
      <c r="H412" s="422" t="s">
        <v>420</v>
      </c>
    </row>
    <row r="413" spans="1:8" x14ac:dyDescent="0.25">
      <c r="A413" s="422">
        <f>+SUBTOTAL(3,$B$4:B413)</f>
        <v>410</v>
      </c>
      <c r="B413" s="422" t="str">
        <f>'Visual chart Edit'!B416</f>
        <v>63/0</v>
      </c>
      <c r="C413" s="422" t="str">
        <f>'Visual chart Edit'!C416</f>
        <v>DC1+0</v>
      </c>
      <c r="D413" s="422" t="s">
        <v>1353</v>
      </c>
      <c r="E413" s="474">
        <f>'Visual chart Edit'!I416</f>
        <v>386.1</v>
      </c>
      <c r="F413" s="422" t="str">
        <f>'Visual chart Edit'!K416</f>
        <v>DFR</v>
      </c>
      <c r="G413" s="422" t="str">
        <f>'Visual chart Edit'!L416</f>
        <v>E</v>
      </c>
      <c r="H413" s="422" t="s">
        <v>420</v>
      </c>
    </row>
    <row r="414" spans="1:8" x14ac:dyDescent="0.25">
      <c r="A414" s="422">
        <f>+SUBTOTAL(3,$B$4:B414)</f>
        <v>411</v>
      </c>
      <c r="B414" s="422" t="str">
        <f>'Visual chart Edit'!B417</f>
        <v>63/1</v>
      </c>
      <c r="C414" s="422" t="str">
        <f>'Visual chart Edit'!C417</f>
        <v>DA+3</v>
      </c>
      <c r="D414" s="422" t="s">
        <v>1352</v>
      </c>
      <c r="E414" s="474">
        <f>'Visual chart Edit'!I417</f>
        <v>400</v>
      </c>
      <c r="F414" s="422" t="str">
        <f>'Visual chart Edit'!K417</f>
        <v>DFR</v>
      </c>
      <c r="G414" s="422" t="str">
        <f>'Visual chart Edit'!L417</f>
        <v>E</v>
      </c>
      <c r="H414" s="422" t="s">
        <v>420</v>
      </c>
    </row>
    <row r="415" spans="1:8" x14ac:dyDescent="0.25">
      <c r="A415" s="422">
        <f>+SUBTOTAL(3,$B$4:B415)</f>
        <v>412</v>
      </c>
      <c r="B415" s="422" t="str">
        <f>'Visual chart Edit'!B418</f>
        <v>63/2</v>
      </c>
      <c r="C415" s="422" t="str">
        <f>'Visual chart Edit'!C418</f>
        <v>DA+0</v>
      </c>
      <c r="D415" s="422" t="s">
        <v>1352</v>
      </c>
      <c r="E415" s="474">
        <f>'Visual chart Edit'!I418</f>
        <v>416</v>
      </c>
      <c r="F415" s="422" t="str">
        <f>'Visual chart Edit'!K418</f>
        <v>DFR</v>
      </c>
      <c r="G415" s="422" t="str">
        <f>'Visual chart Edit'!L418</f>
        <v>E</v>
      </c>
      <c r="H415" s="422" t="s">
        <v>420</v>
      </c>
    </row>
    <row r="416" spans="1:8" x14ac:dyDescent="0.25">
      <c r="A416" s="422">
        <f>+SUBTOTAL(3,$B$4:B416)</f>
        <v>413</v>
      </c>
      <c r="B416" s="422" t="str">
        <f>'Visual chart Edit'!B419</f>
        <v>63/3</v>
      </c>
      <c r="C416" s="422" t="str">
        <f>'Visual chart Edit'!C419</f>
        <v>DA+3</v>
      </c>
      <c r="D416" s="422" t="s">
        <v>1352</v>
      </c>
      <c r="E416" s="474">
        <f>'Visual chart Edit'!I419</f>
        <v>411</v>
      </c>
      <c r="F416" s="422" t="str">
        <f>'Visual chart Edit'!K419</f>
        <v>DFR</v>
      </c>
      <c r="G416" s="422" t="str">
        <f>'Visual chart Edit'!L419</f>
        <v>E</v>
      </c>
      <c r="H416" s="422" t="s">
        <v>420</v>
      </c>
    </row>
    <row r="417" spans="1:8" x14ac:dyDescent="0.25">
      <c r="A417" s="422">
        <f>+SUBTOTAL(3,$B$4:B417)</f>
        <v>414</v>
      </c>
      <c r="B417" s="422" t="str">
        <f>'Visual chart Edit'!B420</f>
        <v>63/4</v>
      </c>
      <c r="C417" s="422" t="str">
        <f>'Visual chart Edit'!C420</f>
        <v>DA+0</v>
      </c>
      <c r="D417" s="422" t="s">
        <v>1352</v>
      </c>
      <c r="E417" s="474">
        <f>'Visual chart Edit'!I420</f>
        <v>399</v>
      </c>
      <c r="F417" s="422" t="str">
        <f>'Visual chart Edit'!K420</f>
        <v>DRY</v>
      </c>
      <c r="G417" s="422" t="str">
        <f>'Visual chart Edit'!L420</f>
        <v>E</v>
      </c>
      <c r="H417" s="422" t="s">
        <v>420</v>
      </c>
    </row>
    <row r="418" spans="1:8" x14ac:dyDescent="0.25">
      <c r="A418" s="422">
        <f>+SUBTOTAL(3,$B$4:B418)</f>
        <v>415</v>
      </c>
      <c r="B418" s="422" t="str">
        <f>'Visual chart Edit'!B421</f>
        <v>63/5</v>
      </c>
      <c r="C418" s="422" t="str">
        <f>'Visual chart Edit'!C421</f>
        <v>DA+3</v>
      </c>
      <c r="D418" s="422" t="s">
        <v>1352</v>
      </c>
      <c r="E418" s="474">
        <f>'Visual chart Edit'!I421</f>
        <v>413</v>
      </c>
      <c r="F418" s="422" t="str">
        <f>'Visual chart Edit'!K421</f>
        <v>DFR</v>
      </c>
      <c r="G418" s="422" t="str">
        <f>'Visual chart Edit'!L421</f>
        <v>E</v>
      </c>
      <c r="H418" s="422" t="s">
        <v>420</v>
      </c>
    </row>
    <row r="419" spans="1:8" x14ac:dyDescent="0.25">
      <c r="A419" s="422">
        <f>+SUBTOTAL(3,$B$4:B419)</f>
        <v>416</v>
      </c>
      <c r="B419" s="422" t="str">
        <f>'Visual chart Edit'!B422</f>
        <v>63/6</v>
      </c>
      <c r="C419" s="422" t="str">
        <f>'Visual chart Edit'!C422</f>
        <v>DA+3</v>
      </c>
      <c r="D419" s="422" t="s">
        <v>1354</v>
      </c>
      <c r="E419" s="474">
        <f>'Visual chart Edit'!I422</f>
        <v>426</v>
      </c>
      <c r="F419" s="422" t="str">
        <f>'Visual chart Edit'!K422</f>
        <v>DRY</v>
      </c>
      <c r="G419" s="422" t="str">
        <f>'Visual chart Edit'!L422</f>
        <v>E</v>
      </c>
      <c r="H419" s="422" t="s">
        <v>420</v>
      </c>
    </row>
    <row r="420" spans="1:8" x14ac:dyDescent="0.25">
      <c r="A420" s="422">
        <f>+SUBTOTAL(3,$B$4:B420)</f>
        <v>417</v>
      </c>
      <c r="B420" s="422" t="str">
        <f>'Visual chart Edit'!B423</f>
        <v>63/7</v>
      </c>
      <c r="C420" s="422" t="str">
        <f>'Visual chart Edit'!C423</f>
        <v>DA+3</v>
      </c>
      <c r="D420" s="422" t="s">
        <v>1354</v>
      </c>
      <c r="E420" s="474">
        <f>'Visual chart Edit'!I423</f>
        <v>413</v>
      </c>
      <c r="F420" s="422" t="str">
        <f>'Visual chart Edit'!K423</f>
        <v>DRY</v>
      </c>
      <c r="G420" s="422" t="str">
        <f>'Visual chart Edit'!L423</f>
        <v>E</v>
      </c>
      <c r="H420" s="422" t="s">
        <v>420</v>
      </c>
    </row>
    <row r="421" spans="1:8" x14ac:dyDescent="0.25">
      <c r="A421" s="422">
        <f>+SUBTOTAL(3,$B$4:B421)</f>
        <v>418</v>
      </c>
      <c r="B421" s="422" t="str">
        <f>'Visual chart Edit'!B424</f>
        <v>63/8</v>
      </c>
      <c r="C421" s="422" t="str">
        <f>'Visual chart Edit'!C424</f>
        <v>DA+3</v>
      </c>
      <c r="D421" s="422" t="s">
        <v>1354</v>
      </c>
      <c r="E421" s="474">
        <f>'Visual chart Edit'!I424</f>
        <v>425</v>
      </c>
      <c r="F421" s="422" t="str">
        <f>'Visual chart Edit'!K424</f>
        <v>DRY</v>
      </c>
      <c r="G421" s="422" t="str">
        <f>'Visual chart Edit'!L424</f>
        <v>E</v>
      </c>
      <c r="H421" s="422" t="s">
        <v>420</v>
      </c>
    </row>
    <row r="422" spans="1:8" x14ac:dyDescent="0.25">
      <c r="A422" s="422">
        <f>+SUBTOTAL(3,$B$4:B422)</f>
        <v>419</v>
      </c>
      <c r="B422" s="422" t="str">
        <f>'Visual chart Edit'!B425</f>
        <v>64/0</v>
      </c>
      <c r="C422" s="422" t="str">
        <f>'Visual chart Edit'!C425</f>
        <v>DB2+0</v>
      </c>
      <c r="D422" s="422" t="s">
        <v>1354</v>
      </c>
      <c r="E422" s="474">
        <f>'Visual chart Edit'!I425</f>
        <v>408.3</v>
      </c>
      <c r="F422" s="422" t="str">
        <f>'Visual chart Edit'!K425</f>
        <v>DRY</v>
      </c>
      <c r="G422" s="422" t="str">
        <f>'Visual chart Edit'!L425</f>
        <v>E</v>
      </c>
      <c r="H422" s="422" t="s">
        <v>420</v>
      </c>
    </row>
    <row r="423" spans="1:8" x14ac:dyDescent="0.25">
      <c r="A423" s="422">
        <f>+SUBTOTAL(3,$B$4:B423)</f>
        <v>420</v>
      </c>
      <c r="B423" s="422" t="str">
        <f>'Visual chart Edit'!B426</f>
        <v>64/1</v>
      </c>
      <c r="C423" s="422" t="str">
        <f>'Visual chart Edit'!C426</f>
        <v>DA+0</v>
      </c>
      <c r="D423" s="422" t="s">
        <v>1354</v>
      </c>
      <c r="E423" s="474">
        <f>'Visual chart Edit'!I426</f>
        <v>375.1</v>
      </c>
      <c r="F423" s="422" t="str">
        <f>'Visual chart Edit'!K426</f>
        <v>DRY</v>
      </c>
      <c r="G423" s="422" t="str">
        <f>'Visual chart Edit'!L426</f>
        <v>E</v>
      </c>
      <c r="H423" s="422" t="s">
        <v>420</v>
      </c>
    </row>
    <row r="424" spans="1:8" x14ac:dyDescent="0.25">
      <c r="A424" s="422">
        <f>+SUBTOTAL(3,$B$4:B424)</f>
        <v>421</v>
      </c>
      <c r="B424" s="422" t="str">
        <f>'Visual chart Edit'!B427</f>
        <v>64/2</v>
      </c>
      <c r="C424" s="422" t="str">
        <f>'Visual chart Edit'!C427</f>
        <v>DA+3</v>
      </c>
      <c r="D424" s="422" t="s">
        <v>1355</v>
      </c>
      <c r="E424" s="474">
        <f>'Visual chart Edit'!I427</f>
        <v>408.7</v>
      </c>
      <c r="F424" s="422" t="str">
        <f>'Visual chart Edit'!K427</f>
        <v>DRY</v>
      </c>
      <c r="G424" s="422" t="str">
        <f>'Visual chart Edit'!L427</f>
        <v>E</v>
      </c>
      <c r="H424" s="422" t="s">
        <v>420</v>
      </c>
    </row>
    <row r="425" spans="1:8" x14ac:dyDescent="0.25">
      <c r="A425" s="422">
        <f>+SUBTOTAL(3,$B$4:B425)</f>
        <v>422</v>
      </c>
      <c r="B425" s="422" t="str">
        <f>'Visual chart Edit'!B428</f>
        <v>64/3</v>
      </c>
      <c r="C425" s="422" t="str">
        <f>'Visual chart Edit'!C428</f>
        <v>DA+0</v>
      </c>
      <c r="D425" s="422" t="s">
        <v>1355</v>
      </c>
      <c r="E425" s="474">
        <f>'Visual chart Edit'!I428</f>
        <v>410.7</v>
      </c>
      <c r="F425" s="422" t="str">
        <f>'Visual chart Edit'!K428</f>
        <v>DRY</v>
      </c>
      <c r="G425" s="422" t="str">
        <f>'Visual chart Edit'!L428</f>
        <v>E</v>
      </c>
      <c r="H425" s="422" t="s">
        <v>420</v>
      </c>
    </row>
    <row r="426" spans="1:8" x14ac:dyDescent="0.25">
      <c r="A426" s="422">
        <f>+SUBTOTAL(3,$B$4:B426)</f>
        <v>423</v>
      </c>
      <c r="B426" s="422" t="str">
        <f>'Visual chart Edit'!B429</f>
        <v>64/4</v>
      </c>
      <c r="C426" s="422" t="str">
        <f>'Visual chart Edit'!C429</f>
        <v>DA+3</v>
      </c>
      <c r="D426" s="422" t="s">
        <v>1355</v>
      </c>
      <c r="E426" s="474">
        <f>'Visual chart Edit'!I429</f>
        <v>408.2</v>
      </c>
      <c r="F426" s="422" t="str">
        <f>'Visual chart Edit'!K429</f>
        <v>DRY</v>
      </c>
      <c r="G426" s="422" t="str">
        <f>'Visual chart Edit'!L429</f>
        <v>E</v>
      </c>
      <c r="H426" s="422" t="s">
        <v>420</v>
      </c>
    </row>
    <row r="427" spans="1:8" x14ac:dyDescent="0.25">
      <c r="A427" s="422">
        <f>+SUBTOTAL(3,$B$4:B427)</f>
        <v>424</v>
      </c>
      <c r="B427" s="422" t="str">
        <f>'Visual chart Edit'!B430</f>
        <v>64/5</v>
      </c>
      <c r="C427" s="422" t="str">
        <f>'Visual chart Edit'!C430</f>
        <v>DA+3</v>
      </c>
      <c r="D427" s="422" t="s">
        <v>1356</v>
      </c>
      <c r="E427" s="474">
        <f>'Visual chart Edit'!I430</f>
        <v>426.2</v>
      </c>
      <c r="F427" s="422" t="str">
        <f>'Visual chart Edit'!K430</f>
        <v>DRY</v>
      </c>
      <c r="G427" s="422" t="str">
        <f>'Visual chart Edit'!L430</f>
        <v>E</v>
      </c>
      <c r="H427" s="422" t="s">
        <v>420</v>
      </c>
    </row>
    <row r="428" spans="1:8" x14ac:dyDescent="0.25">
      <c r="A428" s="422">
        <f>+SUBTOTAL(3,$B$4:B428)</f>
        <v>425</v>
      </c>
      <c r="B428" s="422" t="str">
        <f>'Visual chart Edit'!B431</f>
        <v>64/6</v>
      </c>
      <c r="C428" s="422" t="str">
        <f>'Visual chart Edit'!C431</f>
        <v>DA+0</v>
      </c>
      <c r="D428" s="422" t="s">
        <v>1356</v>
      </c>
      <c r="E428" s="474">
        <f>'Visual chart Edit'!I431</f>
        <v>407.7</v>
      </c>
      <c r="F428" s="422" t="str">
        <f>'Visual chart Edit'!K431</f>
        <v>DRY</v>
      </c>
      <c r="G428" s="422" t="str">
        <f>'Visual chart Edit'!L431</f>
        <v>E</v>
      </c>
      <c r="H428" s="422" t="s">
        <v>420</v>
      </c>
    </row>
    <row r="429" spans="1:8" x14ac:dyDescent="0.25">
      <c r="A429" s="422">
        <f>+SUBTOTAL(3,$B$4:B429)</f>
        <v>426</v>
      </c>
      <c r="B429" s="422" t="str">
        <f>'Visual chart Edit'!B432</f>
        <v>64/7</v>
      </c>
      <c r="C429" s="422" t="str">
        <f>'Visual chart Edit'!C432</f>
        <v>DA+3</v>
      </c>
      <c r="D429" s="422" t="s">
        <v>1356</v>
      </c>
      <c r="E429" s="474">
        <f>'Visual chart Edit'!I432</f>
        <v>401.6</v>
      </c>
      <c r="F429" s="422" t="str">
        <f>'Visual chart Edit'!K432</f>
        <v>DRY</v>
      </c>
      <c r="G429" s="422" t="str">
        <f>'Visual chart Edit'!L432</f>
        <v>E</v>
      </c>
      <c r="H429" s="422" t="s">
        <v>420</v>
      </c>
    </row>
    <row r="430" spans="1:8" x14ac:dyDescent="0.25">
      <c r="A430" s="422">
        <f>+SUBTOTAL(3,$B$4:B430)</f>
        <v>427</v>
      </c>
      <c r="B430" s="422" t="str">
        <f>'Visual chart Edit'!B433</f>
        <v>64/8</v>
      </c>
      <c r="C430" s="422" t="str">
        <f>'Visual chart Edit'!C433</f>
        <v>DA+3</v>
      </c>
      <c r="D430" s="422" t="s">
        <v>1356</v>
      </c>
      <c r="E430" s="474">
        <f>'Visual chart Edit'!I433</f>
        <v>425.5</v>
      </c>
      <c r="F430" s="422" t="str">
        <f>'Visual chart Edit'!K433</f>
        <v>DRY</v>
      </c>
      <c r="G430" s="422" t="str">
        <f>'Visual chart Edit'!L433</f>
        <v>E</v>
      </c>
      <c r="H430" s="422" t="s">
        <v>420</v>
      </c>
    </row>
    <row r="431" spans="1:8" x14ac:dyDescent="0.25">
      <c r="A431" s="422">
        <f>+SUBTOTAL(3,$B$4:B431)</f>
        <v>428</v>
      </c>
      <c r="B431" s="422" t="str">
        <f>'Visual chart Edit'!B434</f>
        <v>64/9</v>
      </c>
      <c r="C431" s="422" t="str">
        <f>'Visual chart Edit'!C434</f>
        <v>DA+3</v>
      </c>
      <c r="D431" s="422" t="s">
        <v>1356</v>
      </c>
      <c r="E431" s="474">
        <f>'Visual chart Edit'!I434</f>
        <v>414.4</v>
      </c>
      <c r="F431" s="422" t="str">
        <f>'Visual chart Edit'!K434</f>
        <v>DRY</v>
      </c>
      <c r="G431" s="422" t="str">
        <f>'Visual chart Edit'!L434</f>
        <v>E</v>
      </c>
      <c r="H431" s="422" t="s">
        <v>420</v>
      </c>
    </row>
    <row r="432" spans="1:8" x14ac:dyDescent="0.25">
      <c r="A432" s="422">
        <f>+SUBTOTAL(3,$B$4:B432)</f>
        <v>429</v>
      </c>
      <c r="B432" s="422" t="str">
        <f>'Visual chart Edit'!B435</f>
        <v>64/10</v>
      </c>
      <c r="C432" s="422" t="str">
        <f>'Visual chart Edit'!C435</f>
        <v>DA+3</v>
      </c>
      <c r="D432" s="422" t="s">
        <v>1356</v>
      </c>
      <c r="E432" s="474">
        <f>'Visual chart Edit'!I435</f>
        <v>410.6</v>
      </c>
      <c r="F432" s="422" t="str">
        <f>'Visual chart Edit'!K435</f>
        <v>DRY</v>
      </c>
      <c r="G432" s="422" t="str">
        <f>'Visual chart Edit'!L435</f>
        <v>E</v>
      </c>
      <c r="H432" s="422" t="s">
        <v>420</v>
      </c>
    </row>
    <row r="433" spans="1:8" x14ac:dyDescent="0.25">
      <c r="A433" s="422">
        <f>+SUBTOTAL(3,$B$4:B433)</f>
        <v>430</v>
      </c>
      <c r="B433" s="422" t="str">
        <f>'Visual chart Edit'!B436</f>
        <v>64/11</v>
      </c>
      <c r="C433" s="422" t="str">
        <f>'Visual chart Edit'!C436</f>
        <v>DA+3</v>
      </c>
      <c r="D433" s="422" t="s">
        <v>1356</v>
      </c>
      <c r="E433" s="474">
        <f>'Visual chart Edit'!I436</f>
        <v>428.4</v>
      </c>
      <c r="F433" s="422" t="str">
        <f>'Visual chart Edit'!K436</f>
        <v>DRY</v>
      </c>
      <c r="G433" s="422" t="str">
        <f>'Visual chart Edit'!L436</f>
        <v>E</v>
      </c>
      <c r="H433" s="422" t="s">
        <v>420</v>
      </c>
    </row>
    <row r="434" spans="1:8" x14ac:dyDescent="0.25">
      <c r="A434" s="422">
        <f>+SUBTOTAL(3,$B$4:B434)</f>
        <v>431</v>
      </c>
      <c r="B434" s="422" t="str">
        <f>'Visual chart Edit'!B437</f>
        <v>65/0</v>
      </c>
      <c r="C434" s="422" t="str">
        <f>'Visual chart Edit'!C437</f>
        <v>DB1+0</v>
      </c>
      <c r="D434" s="422" t="s">
        <v>1356</v>
      </c>
      <c r="E434" s="474">
        <f>'Visual chart Edit'!I437</f>
        <v>400.6</v>
      </c>
      <c r="F434" s="422" t="str">
        <f>'Visual chart Edit'!K437</f>
        <v>DRY</v>
      </c>
      <c r="G434" s="422" t="str">
        <f>'Visual chart Edit'!L437</f>
        <v>E</v>
      </c>
      <c r="H434" s="422" t="s">
        <v>420</v>
      </c>
    </row>
    <row r="435" spans="1:8" x14ac:dyDescent="0.25">
      <c r="A435" s="422">
        <f>+SUBTOTAL(3,$B$4:B435)</f>
        <v>432</v>
      </c>
      <c r="B435" s="422" t="str">
        <f>'Visual chart Edit'!B438</f>
        <v>65/1</v>
      </c>
      <c r="C435" s="422" t="str">
        <f>'Visual chart Edit'!C438</f>
        <v>DA+0</v>
      </c>
      <c r="D435" s="422" t="s">
        <v>1356</v>
      </c>
      <c r="E435" s="474">
        <f>'Visual chart Edit'!I438</f>
        <v>395.4</v>
      </c>
      <c r="F435" s="422" t="str">
        <f>'Visual chart Edit'!K438</f>
        <v>DRY</v>
      </c>
      <c r="G435" s="422" t="str">
        <f>'Visual chart Edit'!L438</f>
        <v>E</v>
      </c>
      <c r="H435" s="422" t="s">
        <v>420</v>
      </c>
    </row>
    <row r="436" spans="1:8" x14ac:dyDescent="0.25">
      <c r="A436" s="422">
        <f>+SUBTOTAL(3,$B$4:B436)</f>
        <v>433</v>
      </c>
      <c r="B436" s="422" t="str">
        <f>'Visual chart Edit'!B439</f>
        <v>65/2</v>
      </c>
      <c r="C436" s="422" t="str">
        <f>'Visual chart Edit'!C439</f>
        <v>DA+0</v>
      </c>
      <c r="D436" s="422" t="s">
        <v>1356</v>
      </c>
      <c r="E436" s="474">
        <f>'Visual chart Edit'!I439</f>
        <v>393.7</v>
      </c>
      <c r="F436" s="422" t="str">
        <f>'Visual chart Edit'!K439</f>
        <v>DRY</v>
      </c>
      <c r="G436" s="422" t="str">
        <f>'Visual chart Edit'!L439</f>
        <v>E</v>
      </c>
      <c r="H436" s="422" t="s">
        <v>420</v>
      </c>
    </row>
    <row r="437" spans="1:8" x14ac:dyDescent="0.25">
      <c r="A437" s="422">
        <f>+SUBTOTAL(3,$B$4:B437)</f>
        <v>434</v>
      </c>
      <c r="B437" s="422" t="str">
        <f>'Visual chart Edit'!B440</f>
        <v>65/3</v>
      </c>
      <c r="C437" s="422" t="str">
        <f>'Visual chart Edit'!C440</f>
        <v>DA+3</v>
      </c>
      <c r="D437" s="422" t="s">
        <v>1356</v>
      </c>
      <c r="E437" s="474">
        <f>'Visual chart Edit'!I440</f>
        <v>403.7</v>
      </c>
      <c r="F437" s="422" t="str">
        <f>'Visual chart Edit'!K440</f>
        <v>DRY</v>
      </c>
      <c r="G437" s="422" t="str">
        <f>'Visual chart Edit'!L440</f>
        <v>E</v>
      </c>
      <c r="H437" s="422" t="s">
        <v>420</v>
      </c>
    </row>
    <row r="438" spans="1:8" x14ac:dyDescent="0.25">
      <c r="A438" s="422">
        <f>+SUBTOTAL(3,$B$4:B438)</f>
        <v>435</v>
      </c>
      <c r="B438" s="422" t="str">
        <f>'Visual chart Edit'!B441</f>
        <v>65/4</v>
      </c>
      <c r="C438" s="422" t="str">
        <f>'Visual chart Edit'!C441</f>
        <v>DA+0</v>
      </c>
      <c r="D438" s="422" t="s">
        <v>1357</v>
      </c>
      <c r="E438" s="474">
        <f>'Visual chart Edit'!I441</f>
        <v>402.9</v>
      </c>
      <c r="F438" s="422" t="str">
        <f>'Visual chart Edit'!K441</f>
        <v>DRY</v>
      </c>
      <c r="G438" s="422" t="str">
        <f>'Visual chart Edit'!L441</f>
        <v>E</v>
      </c>
      <c r="H438" s="422" t="s">
        <v>420</v>
      </c>
    </row>
    <row r="439" spans="1:8" x14ac:dyDescent="0.25">
      <c r="A439" s="422">
        <f>+SUBTOTAL(3,$B$4:B439)</f>
        <v>436</v>
      </c>
      <c r="B439" s="422" t="str">
        <f>'Visual chart Edit'!B442</f>
        <v>65/5</v>
      </c>
      <c r="C439" s="422" t="str">
        <f>'Visual chart Edit'!C442</f>
        <v>DA+0</v>
      </c>
      <c r="D439" s="422" t="s">
        <v>1357</v>
      </c>
      <c r="E439" s="474">
        <f>'Visual chart Edit'!I442</f>
        <v>376.4</v>
      </c>
      <c r="F439" s="422" t="str">
        <f>'Visual chart Edit'!K442</f>
        <v>DRY</v>
      </c>
      <c r="G439" s="422" t="str">
        <f>'Visual chart Edit'!L442</f>
        <v>E</v>
      </c>
      <c r="H439" s="422" t="s">
        <v>420</v>
      </c>
    </row>
    <row r="440" spans="1:8" x14ac:dyDescent="0.25">
      <c r="A440" s="422">
        <f>+SUBTOTAL(3,$B$4:B440)</f>
        <v>437</v>
      </c>
      <c r="B440" s="422" t="str">
        <f>'Visual chart Edit'!B443</f>
        <v>65/6</v>
      </c>
      <c r="C440" s="422" t="str">
        <f>'Visual chart Edit'!C443</f>
        <v>DA+0</v>
      </c>
      <c r="D440" s="422" t="s">
        <v>1357</v>
      </c>
      <c r="E440" s="474">
        <f>'Visual chart Edit'!I443</f>
        <v>389.2</v>
      </c>
      <c r="F440" s="422" t="str">
        <f>'Visual chart Edit'!K443</f>
        <v>DRY</v>
      </c>
      <c r="G440" s="422" t="str">
        <f>'Visual chart Edit'!L443</f>
        <v>E</v>
      </c>
      <c r="H440" s="422" t="s">
        <v>420</v>
      </c>
    </row>
    <row r="441" spans="1:8" x14ac:dyDescent="0.25">
      <c r="A441" s="422">
        <f>+SUBTOTAL(3,$B$4:B441)</f>
        <v>438</v>
      </c>
      <c r="B441" s="422" t="str">
        <f>'Visual chart Edit'!B444</f>
        <v>65/7</v>
      </c>
      <c r="C441" s="422" t="str">
        <f>'Visual chart Edit'!C444</f>
        <v>DA+0</v>
      </c>
      <c r="D441" s="422" t="s">
        <v>1357</v>
      </c>
      <c r="E441" s="474">
        <f>'Visual chart Edit'!I444</f>
        <v>397.6</v>
      </c>
      <c r="F441" s="422" t="str">
        <f>'Visual chart Edit'!K444</f>
        <v>DRY</v>
      </c>
      <c r="G441" s="422" t="str">
        <f>'Visual chart Edit'!L444</f>
        <v>E</v>
      </c>
      <c r="H441" s="422" t="s">
        <v>420</v>
      </c>
    </row>
    <row r="442" spans="1:8" x14ac:dyDescent="0.25">
      <c r="A442" s="422">
        <f>+SUBTOTAL(3,$B$4:B442)</f>
        <v>439</v>
      </c>
      <c r="B442" s="422" t="str">
        <f>'Visual chart Edit'!B445</f>
        <v>65/8</v>
      </c>
      <c r="C442" s="422" t="str">
        <f>'Visual chart Edit'!C445</f>
        <v>DA+0</v>
      </c>
      <c r="D442" s="422" t="s">
        <v>1358</v>
      </c>
      <c r="E442" s="474">
        <f>'Visual chart Edit'!I445</f>
        <v>394.3</v>
      </c>
      <c r="F442" s="422" t="str">
        <f>'Visual chart Edit'!K445</f>
        <v>DRY</v>
      </c>
      <c r="G442" s="422" t="str">
        <f>'Visual chart Edit'!L445</f>
        <v>E</v>
      </c>
      <c r="H442" s="422" t="s">
        <v>420</v>
      </c>
    </row>
    <row r="443" spans="1:8" x14ac:dyDescent="0.25">
      <c r="A443" s="422">
        <f>+SUBTOTAL(3,$B$4:B443)</f>
        <v>440</v>
      </c>
      <c r="B443" s="422" t="str">
        <f>'Visual chart Edit'!B446</f>
        <v>65/9</v>
      </c>
      <c r="C443" s="422" t="str">
        <f>'Visual chart Edit'!C446</f>
        <v>DA+0</v>
      </c>
      <c r="D443" s="422" t="s">
        <v>1358</v>
      </c>
      <c r="E443" s="474">
        <f>'Visual chart Edit'!I446</f>
        <v>389</v>
      </c>
      <c r="F443" s="422" t="str">
        <f>'Visual chart Edit'!K446</f>
        <v>DRY</v>
      </c>
      <c r="G443" s="422" t="str">
        <f>'Visual chart Edit'!L446</f>
        <v>E</v>
      </c>
      <c r="H443" s="422" t="s">
        <v>420</v>
      </c>
    </row>
    <row r="444" spans="1:8" x14ac:dyDescent="0.25">
      <c r="A444" s="422">
        <f>+SUBTOTAL(3,$B$4:B444)</f>
        <v>441</v>
      </c>
      <c r="B444" s="422" t="str">
        <f>'Visual chart Edit'!B447</f>
        <v>65/10</v>
      </c>
      <c r="C444" s="422" t="str">
        <f>'Visual chart Edit'!C447</f>
        <v>DA+0</v>
      </c>
      <c r="D444" s="422" t="s">
        <v>1358</v>
      </c>
      <c r="E444" s="474">
        <f>'Visual chart Edit'!I447</f>
        <v>379.1</v>
      </c>
      <c r="F444" s="422" t="str">
        <f>'Visual chart Edit'!K447</f>
        <v>DRY</v>
      </c>
      <c r="G444" s="422" t="str">
        <f>'Visual chart Edit'!L447</f>
        <v>E</v>
      </c>
      <c r="H444" s="422" t="s">
        <v>420</v>
      </c>
    </row>
    <row r="445" spans="1:8" x14ac:dyDescent="0.25">
      <c r="A445" s="422">
        <f>+SUBTOTAL(3,$B$4:B445)</f>
        <v>442</v>
      </c>
      <c r="B445" s="422" t="str">
        <f>'Visual chart Edit'!B448</f>
        <v>65/11</v>
      </c>
      <c r="C445" s="422" t="str">
        <f>'Visual chart Edit'!C448</f>
        <v>DA+0</v>
      </c>
      <c r="D445" s="422" t="s">
        <v>1358</v>
      </c>
      <c r="E445" s="474">
        <f>'Visual chart Edit'!I448</f>
        <v>387.6</v>
      </c>
      <c r="F445" s="422" t="str">
        <f>'Visual chart Edit'!K448</f>
        <v>DRY</v>
      </c>
      <c r="G445" s="422" t="str">
        <f>'Visual chart Edit'!L448</f>
        <v>E</v>
      </c>
      <c r="H445" s="422" t="s">
        <v>420</v>
      </c>
    </row>
    <row r="446" spans="1:8" x14ac:dyDescent="0.25">
      <c r="A446" s="422">
        <f>+SUBTOTAL(3,$B$4:B446)</f>
        <v>443</v>
      </c>
      <c r="B446" s="422" t="str">
        <f>'Visual chart Edit'!B449</f>
        <v>66/0</v>
      </c>
      <c r="C446" s="422" t="str">
        <f>'Visual chart Edit'!C449</f>
        <v>DC2+6</v>
      </c>
      <c r="D446" s="422" t="s">
        <v>1358</v>
      </c>
      <c r="E446" s="474">
        <f>'Visual chart Edit'!I449</f>
        <v>426.9</v>
      </c>
      <c r="F446" s="422" t="str">
        <f>'Visual chart Edit'!K449</f>
        <v>DRY</v>
      </c>
      <c r="G446" s="422" t="str">
        <f>'Visual chart Edit'!L449</f>
        <v>E</v>
      </c>
      <c r="H446" s="422" t="s">
        <v>420</v>
      </c>
    </row>
    <row r="447" spans="1:8" x14ac:dyDescent="0.25">
      <c r="A447" s="422">
        <f>+SUBTOTAL(3,$B$4:B447)</f>
        <v>444</v>
      </c>
      <c r="B447" s="422" t="str">
        <f>'Visual chart Edit'!B450</f>
        <v>67/0</v>
      </c>
      <c r="C447" s="422" t="str">
        <f>'Visual chart Edit'!C450</f>
        <v>DC1+9</v>
      </c>
      <c r="D447" s="422" t="s">
        <v>1358</v>
      </c>
      <c r="E447" s="474">
        <f>'Visual chart Edit'!I450</f>
        <v>207.8</v>
      </c>
      <c r="F447" s="422" t="str">
        <f>'Visual chart Edit'!K450</f>
        <v>DRY</v>
      </c>
      <c r="G447" s="422" t="str">
        <f>'Visual chart Edit'!L450</f>
        <v>E</v>
      </c>
      <c r="H447" s="422"/>
    </row>
    <row r="448" spans="1:8" x14ac:dyDescent="0.25">
      <c r="A448" s="422">
        <f>+SUBTOTAL(3,$B$4:B448)</f>
        <v>445</v>
      </c>
      <c r="B448" s="422" t="str">
        <f>'Visual chart Edit'!B451</f>
        <v>67/1</v>
      </c>
      <c r="C448" s="422" t="str">
        <f>'Visual chart Edit'!C451</f>
        <v>DA+0</v>
      </c>
      <c r="D448" s="422" t="s">
        <v>1358</v>
      </c>
      <c r="E448" s="474">
        <f>'Visual chart Edit'!I451</f>
        <v>347.1</v>
      </c>
      <c r="F448" s="422" t="str">
        <f>'Visual chart Edit'!K451</f>
        <v>DRY</v>
      </c>
      <c r="G448" s="422" t="str">
        <f>'Visual chart Edit'!L451</f>
        <v>E</v>
      </c>
      <c r="H448" s="422"/>
    </row>
    <row r="449" spans="1:8" x14ac:dyDescent="0.25">
      <c r="A449" s="422">
        <f>+SUBTOTAL(3,$B$4:B449)</f>
        <v>446</v>
      </c>
      <c r="B449" s="422" t="str">
        <f>'Visual chart Edit'!B452</f>
        <v>67/2</v>
      </c>
      <c r="C449" s="422" t="str">
        <f>'Visual chart Edit'!C452</f>
        <v>DA+0</v>
      </c>
      <c r="D449" s="422" t="s">
        <v>1358</v>
      </c>
      <c r="E449" s="474">
        <f>'Visual chart Edit'!I452</f>
        <v>344.9</v>
      </c>
      <c r="F449" s="422" t="str">
        <f>'Visual chart Edit'!K452</f>
        <v>DRY</v>
      </c>
      <c r="G449" s="422" t="str">
        <f>'Visual chart Edit'!L452</f>
        <v>E</v>
      </c>
      <c r="H449" s="422"/>
    </row>
    <row r="450" spans="1:8" x14ac:dyDescent="0.25">
      <c r="A450" s="422">
        <f>+SUBTOTAL(3,$B$4:B450)</f>
        <v>447</v>
      </c>
      <c r="B450" s="422" t="str">
        <f>'Visual chart Edit'!B453</f>
        <v>68/0</v>
      </c>
      <c r="C450" s="422" t="str">
        <f>'Visual chart Edit'!C453</f>
        <v>DD45+0</v>
      </c>
      <c r="D450" s="422" t="s">
        <v>1358</v>
      </c>
      <c r="E450" s="474">
        <f>'Visual chart Edit'!I453</f>
        <v>369.2</v>
      </c>
      <c r="F450" s="422" t="str">
        <f>'Visual chart Edit'!K453</f>
        <v>DRY</v>
      </c>
      <c r="G450" s="422" t="str">
        <f>'Visual chart Edit'!L453</f>
        <v>E</v>
      </c>
      <c r="H450" s="422"/>
    </row>
    <row r="451" spans="1:8" x14ac:dyDescent="0.25">
      <c r="A451" s="422">
        <f>+SUBTOTAL(3,$B$4:B451)</f>
        <v>448</v>
      </c>
      <c r="B451" s="422" t="str">
        <f>'Visual chart Edit'!B454</f>
        <v>69/0</v>
      </c>
      <c r="C451" s="422" t="str">
        <f>'Visual chart Edit'!C454</f>
        <v>DB2+0</v>
      </c>
      <c r="D451" s="422" t="s">
        <v>1358</v>
      </c>
      <c r="E451" s="474">
        <f>'Visual chart Edit'!I454</f>
        <v>200.9</v>
      </c>
      <c r="F451" s="422" t="str">
        <f>'Visual chart Edit'!K454</f>
        <v>DFR</v>
      </c>
      <c r="G451" s="422" t="str">
        <f>'Visual chart Edit'!L454</f>
        <v>E</v>
      </c>
      <c r="H451" s="422"/>
    </row>
    <row r="452" spans="1:8" x14ac:dyDescent="0.25">
      <c r="A452" s="422">
        <f>+SUBTOTAL(3,$B$4:B452)</f>
        <v>449</v>
      </c>
      <c r="B452" s="422" t="str">
        <f>'Visual chart Edit'!B455</f>
        <v>69/1</v>
      </c>
      <c r="C452" s="422" t="str">
        <f>'Visual chart Edit'!C455</f>
        <v>DA+3</v>
      </c>
      <c r="D452" s="422" t="s">
        <v>1359</v>
      </c>
      <c r="E452" s="474">
        <f>'Visual chart Edit'!I455</f>
        <v>374.1</v>
      </c>
      <c r="F452" s="422" t="str">
        <f>'Visual chart Edit'!K455</f>
        <v>DRY</v>
      </c>
      <c r="G452" s="422" t="str">
        <f>'Visual chart Edit'!L455</f>
        <v>E</v>
      </c>
      <c r="H452" s="422"/>
    </row>
    <row r="453" spans="1:8" x14ac:dyDescent="0.25">
      <c r="A453" s="422">
        <f>+SUBTOTAL(3,$B$4:B453)</f>
        <v>450</v>
      </c>
      <c r="B453" s="422" t="str">
        <f>'Visual chart Edit'!B456</f>
        <v>70/0</v>
      </c>
      <c r="C453" s="422" t="str">
        <f>'Visual chart Edit'!C456</f>
        <v>DC1+0</v>
      </c>
      <c r="D453" s="422" t="s">
        <v>1359</v>
      </c>
      <c r="E453" s="474">
        <f>'Visual chart Edit'!I456</f>
        <v>394.9</v>
      </c>
      <c r="F453" s="422" t="str">
        <f>'Visual chart Edit'!K456</f>
        <v>DRY</v>
      </c>
      <c r="G453" s="422" t="str">
        <f>'Visual chart Edit'!L456</f>
        <v>E</v>
      </c>
      <c r="H453" s="422"/>
    </row>
    <row r="454" spans="1:8" x14ac:dyDescent="0.25">
      <c r="A454" s="422">
        <f>+SUBTOTAL(3,$B$4:B454)</f>
        <v>451</v>
      </c>
      <c r="B454" s="422" t="str">
        <f>'Visual chart Edit'!B457</f>
        <v>70/1</v>
      </c>
      <c r="C454" s="422" t="str">
        <f>'Visual chart Edit'!C457</f>
        <v>DA+3</v>
      </c>
      <c r="D454" s="422" t="s">
        <v>1358</v>
      </c>
      <c r="E454" s="474">
        <f>'Visual chart Edit'!I457</f>
        <v>388.4</v>
      </c>
      <c r="F454" s="422" t="str">
        <f>'Visual chart Edit'!K457</f>
        <v>DRY</v>
      </c>
      <c r="G454" s="422" t="str">
        <f>'Visual chart Edit'!L457</f>
        <v>E</v>
      </c>
      <c r="H454" s="422"/>
    </row>
    <row r="455" spans="1:8" x14ac:dyDescent="0.25">
      <c r="A455" s="422">
        <f>+SUBTOTAL(3,$B$4:B455)</f>
        <v>452</v>
      </c>
      <c r="B455" s="422" t="str">
        <f>'Visual chart Edit'!B458</f>
        <v>70/2</v>
      </c>
      <c r="C455" s="422" t="str">
        <f>'Visual chart Edit'!C458</f>
        <v>DA+3</v>
      </c>
      <c r="D455" s="422" t="s">
        <v>1358</v>
      </c>
      <c r="E455" s="474">
        <f>'Visual chart Edit'!I458</f>
        <v>418.9</v>
      </c>
      <c r="F455" s="422" t="str">
        <f>'Visual chart Edit'!K458</f>
        <v>DRY</v>
      </c>
      <c r="G455" s="422" t="str">
        <f>'Visual chart Edit'!L458</f>
        <v>E</v>
      </c>
      <c r="H455" s="422"/>
    </row>
    <row r="456" spans="1:8" x14ac:dyDescent="0.25">
      <c r="A456" s="422">
        <f>+SUBTOTAL(3,$B$4:B456)</f>
        <v>453</v>
      </c>
      <c r="B456" s="422" t="str">
        <f>'Visual chart Edit'!B459</f>
        <v>70/3</v>
      </c>
      <c r="C456" s="422" t="str">
        <f>'Visual chart Edit'!C459</f>
        <v>DA+3</v>
      </c>
      <c r="D456" s="422" t="s">
        <v>1360</v>
      </c>
      <c r="E456" s="474">
        <f>'Visual chart Edit'!I459</f>
        <v>418.6</v>
      </c>
      <c r="F456" s="422" t="str">
        <f>'Visual chart Edit'!K459</f>
        <v>DRY</v>
      </c>
      <c r="G456" s="422" t="str">
        <f>'Visual chart Edit'!L459</f>
        <v>E</v>
      </c>
      <c r="H456" s="422"/>
    </row>
    <row r="457" spans="1:8" x14ac:dyDescent="0.25">
      <c r="A457" s="422">
        <f>+SUBTOTAL(3,$B$4:B457)</f>
        <v>454</v>
      </c>
      <c r="B457" s="422" t="str">
        <f>'Visual chart Edit'!B460</f>
        <v>70/4</v>
      </c>
      <c r="C457" s="422" t="str">
        <f>'Visual chart Edit'!C460</f>
        <v>DA+3</v>
      </c>
      <c r="D457" s="422" t="s">
        <v>1360</v>
      </c>
      <c r="E457" s="474">
        <f>'Visual chart Edit'!I460</f>
        <v>414</v>
      </c>
      <c r="F457" s="422" t="str">
        <f>'Visual chart Edit'!K460</f>
        <v>DRY</v>
      </c>
      <c r="G457" s="422" t="str">
        <f>'Visual chart Edit'!L460</f>
        <v>E</v>
      </c>
      <c r="H457" s="422"/>
    </row>
    <row r="458" spans="1:8" x14ac:dyDescent="0.25">
      <c r="A458" s="422">
        <f>+SUBTOTAL(3,$B$4:B458)</f>
        <v>455</v>
      </c>
      <c r="B458" s="422" t="str">
        <f>'Visual chart Edit'!B461</f>
        <v>70/5</v>
      </c>
      <c r="C458" s="422" t="str">
        <f>'Visual chart Edit'!C461</f>
        <v>DA+3</v>
      </c>
      <c r="D458" s="422" t="s">
        <v>1360</v>
      </c>
      <c r="E458" s="474">
        <f>'Visual chart Edit'!I461</f>
        <v>419.6</v>
      </c>
      <c r="F458" s="422" t="str">
        <f>'Visual chart Edit'!K461</f>
        <v>DRY</v>
      </c>
      <c r="G458" s="422" t="str">
        <f>'Visual chart Edit'!L461</f>
        <v>E</v>
      </c>
      <c r="H458" s="422"/>
    </row>
    <row r="459" spans="1:8" x14ac:dyDescent="0.25">
      <c r="A459" s="422">
        <f>+SUBTOTAL(3,$B$4:B459)</f>
        <v>456</v>
      </c>
      <c r="B459" s="422" t="str">
        <f>'Visual chart Edit'!B462</f>
        <v>70/6</v>
      </c>
      <c r="C459" s="422" t="str">
        <f>'Visual chart Edit'!C462</f>
        <v>DA+3</v>
      </c>
      <c r="D459" s="422" t="s">
        <v>1360</v>
      </c>
      <c r="E459" s="474">
        <f>'Visual chart Edit'!I462</f>
        <v>420.3</v>
      </c>
      <c r="F459" s="422" t="str">
        <f>'Visual chart Edit'!K462</f>
        <v>DRY</v>
      </c>
      <c r="G459" s="422" t="str">
        <f>'Visual chart Edit'!L462</f>
        <v>E</v>
      </c>
      <c r="H459" s="422"/>
    </row>
    <row r="460" spans="1:8" x14ac:dyDescent="0.25">
      <c r="A460" s="422">
        <f>+SUBTOTAL(3,$B$4:B460)</f>
        <v>457</v>
      </c>
      <c r="B460" s="422" t="str">
        <f>'Visual chart Edit'!B463</f>
        <v>70/7</v>
      </c>
      <c r="C460" s="422" t="str">
        <f>'Visual chart Edit'!C463</f>
        <v>DA+3</v>
      </c>
      <c r="D460" s="422" t="s">
        <v>1360</v>
      </c>
      <c r="E460" s="474">
        <f>'Visual chart Edit'!I463</f>
        <v>419.6</v>
      </c>
      <c r="F460" s="422" t="str">
        <f>'Visual chart Edit'!K463</f>
        <v>DRY</v>
      </c>
      <c r="G460" s="422" t="str">
        <f>'Visual chart Edit'!L463</f>
        <v>E</v>
      </c>
      <c r="H460" s="422"/>
    </row>
    <row r="461" spans="1:8" x14ac:dyDescent="0.25">
      <c r="A461" s="422">
        <f>+SUBTOTAL(3,$B$4:B461)</f>
        <v>458</v>
      </c>
      <c r="B461" s="422" t="str">
        <f>'Visual chart Edit'!B464</f>
        <v>70/8</v>
      </c>
      <c r="C461" s="422" t="str">
        <f>'Visual chart Edit'!C464</f>
        <v>DA+3</v>
      </c>
      <c r="D461" s="422" t="s">
        <v>1360</v>
      </c>
      <c r="E461" s="474">
        <f>'Visual chart Edit'!I464</f>
        <v>418.2</v>
      </c>
      <c r="F461" s="422" t="str">
        <f>'Visual chart Edit'!K464</f>
        <v>DRY</v>
      </c>
      <c r="G461" s="422" t="str">
        <f>'Visual chart Edit'!L464</f>
        <v>E</v>
      </c>
      <c r="H461" s="422"/>
    </row>
    <row r="462" spans="1:8" x14ac:dyDescent="0.25">
      <c r="A462" s="422">
        <f>+SUBTOTAL(3,$B$4:B462)</f>
        <v>459</v>
      </c>
      <c r="B462" s="422" t="str">
        <f>'Visual chart Edit'!B465</f>
        <v>70/9</v>
      </c>
      <c r="C462" s="422" t="str">
        <f>'Visual chart Edit'!C465</f>
        <v>DA+3</v>
      </c>
      <c r="D462" s="422" t="s">
        <v>1361</v>
      </c>
      <c r="E462" s="474">
        <f>'Visual chart Edit'!I465</f>
        <v>414.1</v>
      </c>
      <c r="F462" s="422" t="str">
        <f>'Visual chart Edit'!K465</f>
        <v>DRY</v>
      </c>
      <c r="G462" s="422" t="str">
        <f>'Visual chart Edit'!L465</f>
        <v>E</v>
      </c>
      <c r="H462" s="422"/>
    </row>
    <row r="463" spans="1:8" x14ac:dyDescent="0.25">
      <c r="A463" s="422">
        <f>+SUBTOTAL(3,$B$4:B463)</f>
        <v>460</v>
      </c>
      <c r="B463" s="422" t="str">
        <f>'Visual chart Edit'!B466</f>
        <v>70/10</v>
      </c>
      <c r="C463" s="422" t="str">
        <f>'Visual chart Edit'!C466</f>
        <v>DA+3</v>
      </c>
      <c r="D463" s="422" t="s">
        <v>1361</v>
      </c>
      <c r="E463" s="474">
        <f>'Visual chart Edit'!I466</f>
        <v>406.1</v>
      </c>
      <c r="F463" s="422" t="str">
        <f>'Visual chart Edit'!K466</f>
        <v>DRY</v>
      </c>
      <c r="G463" s="422" t="str">
        <f>'Visual chart Edit'!L466</f>
        <v>E</v>
      </c>
      <c r="H463" s="422"/>
    </row>
    <row r="464" spans="1:8" x14ac:dyDescent="0.25">
      <c r="A464" s="422">
        <f>+SUBTOTAL(3,$B$4:B464)</f>
        <v>461</v>
      </c>
      <c r="B464" s="422" t="str">
        <f>'Visual chart Edit'!B467</f>
        <v>70/11</v>
      </c>
      <c r="C464" s="422" t="str">
        <f>'Visual chart Edit'!C467</f>
        <v>DA+3</v>
      </c>
      <c r="D464" s="422" t="s">
        <v>1360</v>
      </c>
      <c r="E464" s="474">
        <f>'Visual chart Edit'!I467</f>
        <v>408.6</v>
      </c>
      <c r="F464" s="422" t="str">
        <f>'Visual chart Edit'!K467</f>
        <v>DRY</v>
      </c>
      <c r="G464" s="422" t="str">
        <f>'Visual chart Edit'!L467</f>
        <v>E</v>
      </c>
      <c r="H464" s="422"/>
    </row>
    <row r="465" spans="1:8" x14ac:dyDescent="0.25">
      <c r="A465" s="422">
        <f>+SUBTOTAL(3,$B$4:B465)</f>
        <v>462</v>
      </c>
      <c r="B465" s="422" t="str">
        <f>'Visual chart Edit'!B468</f>
        <v>71/0</v>
      </c>
      <c r="C465" s="422" t="str">
        <f>'Visual chart Edit'!C468</f>
        <v>DB2+3</v>
      </c>
      <c r="D465" s="422" t="s">
        <v>1360</v>
      </c>
      <c r="E465" s="474">
        <f>'Visual chart Edit'!I468</f>
        <v>420.4</v>
      </c>
      <c r="F465" s="422" t="str">
        <f>'Visual chart Edit'!K468</f>
        <v>DRY</v>
      </c>
      <c r="G465" s="422" t="str">
        <f>'Visual chart Edit'!L468</f>
        <v>E</v>
      </c>
      <c r="H465" s="422"/>
    </row>
    <row r="466" spans="1:8" x14ac:dyDescent="0.25">
      <c r="A466" s="422">
        <f>+SUBTOTAL(3,$B$4:B466)</f>
        <v>463</v>
      </c>
      <c r="B466" s="422" t="str">
        <f>'Visual chart Edit'!B469</f>
        <v>71/1</v>
      </c>
      <c r="C466" s="422" t="str">
        <f>'Visual chart Edit'!C469</f>
        <v>DA+3</v>
      </c>
      <c r="D466" s="422" t="s">
        <v>1360</v>
      </c>
      <c r="E466" s="474">
        <f>'Visual chart Edit'!I469</f>
        <v>398.6</v>
      </c>
      <c r="F466" s="422" t="str">
        <f>'Visual chart Edit'!K469</f>
        <v>DRY</v>
      </c>
      <c r="G466" s="422" t="str">
        <f>'Visual chart Edit'!L469</f>
        <v>E</v>
      </c>
      <c r="H466" s="422"/>
    </row>
    <row r="467" spans="1:8" x14ac:dyDescent="0.25">
      <c r="A467" s="422">
        <f>+SUBTOTAL(3,$B$4:B467)</f>
        <v>464</v>
      </c>
      <c r="B467" s="422" t="str">
        <f>'Visual chart Edit'!B470</f>
        <v>71/2</v>
      </c>
      <c r="C467" s="422" t="str">
        <f>'Visual chart Edit'!C470</f>
        <v>DA+3</v>
      </c>
      <c r="D467" s="422" t="s">
        <v>1360</v>
      </c>
      <c r="E467" s="474">
        <f>'Visual chart Edit'!I470</f>
        <v>414.3</v>
      </c>
      <c r="F467" s="422" t="str">
        <f>'Visual chart Edit'!K470</f>
        <v>DRY</v>
      </c>
      <c r="G467" s="422" t="str">
        <f>'Visual chart Edit'!L470</f>
        <v>E</v>
      </c>
      <c r="H467" s="422"/>
    </row>
    <row r="468" spans="1:8" x14ac:dyDescent="0.25">
      <c r="A468" s="422">
        <f>+SUBTOTAL(3,$B$4:B468)</f>
        <v>465</v>
      </c>
      <c r="B468" s="422" t="str">
        <f>'Visual chart Edit'!B471</f>
        <v>71/3</v>
      </c>
      <c r="C468" s="422" t="str">
        <f>'Visual chart Edit'!C471</f>
        <v>DA+6</v>
      </c>
      <c r="D468" s="422" t="s">
        <v>1360</v>
      </c>
      <c r="E468" s="474">
        <f>'Visual chart Edit'!I471</f>
        <v>413</v>
      </c>
      <c r="F468" s="422" t="str">
        <f>'Visual chart Edit'!K471</f>
        <v>DRY</v>
      </c>
      <c r="G468" s="422" t="str">
        <f>'Visual chart Edit'!L471</f>
        <v>E</v>
      </c>
      <c r="H468" s="422"/>
    </row>
    <row r="469" spans="1:8" x14ac:dyDescent="0.25">
      <c r="A469" s="422">
        <f>+SUBTOTAL(3,$B$4:B469)</f>
        <v>466</v>
      </c>
      <c r="B469" s="422" t="str">
        <f>'Visual chart Edit'!B472</f>
        <v>71/4</v>
      </c>
      <c r="C469" s="422" t="str">
        <f>'Visual chart Edit'!C472</f>
        <v>DA+3</v>
      </c>
      <c r="D469" s="422" t="s">
        <v>1360</v>
      </c>
      <c r="E469" s="474">
        <f>'Visual chart Edit'!I472</f>
        <v>367.7</v>
      </c>
      <c r="F469" s="422" t="str">
        <f>'Visual chart Edit'!K472</f>
        <v>DRY</v>
      </c>
      <c r="G469" s="422" t="str">
        <f>'Visual chart Edit'!L472</f>
        <v>E</v>
      </c>
      <c r="H469" s="422"/>
    </row>
    <row r="470" spans="1:8" x14ac:dyDescent="0.25">
      <c r="A470" s="422">
        <f>+SUBTOTAL(3,$B$4:B470)</f>
        <v>467</v>
      </c>
      <c r="B470" s="422" t="str">
        <f>'Visual chart Edit'!B473</f>
        <v>71/5</v>
      </c>
      <c r="C470" s="422" t="str">
        <f>'Visual chart Edit'!C473</f>
        <v>DA+3</v>
      </c>
      <c r="D470" s="422" t="s">
        <v>1362</v>
      </c>
      <c r="E470" s="474">
        <f>'Visual chart Edit'!I473</f>
        <v>429.4</v>
      </c>
      <c r="F470" s="422" t="str">
        <f>'Visual chart Edit'!K473</f>
        <v>DRY</v>
      </c>
      <c r="G470" s="422" t="str">
        <f>'Visual chart Edit'!L473</f>
        <v>E</v>
      </c>
      <c r="H470" s="422"/>
    </row>
    <row r="471" spans="1:8" x14ac:dyDescent="0.25">
      <c r="A471" s="422">
        <f>+SUBTOTAL(3,$B$4:B471)</f>
        <v>468</v>
      </c>
      <c r="B471" s="422" t="str">
        <f>'Visual chart Edit'!B474</f>
        <v>71/6</v>
      </c>
      <c r="C471" s="422" t="str">
        <f>'Visual chart Edit'!C474</f>
        <v>DA+0</v>
      </c>
      <c r="D471" s="422" t="s">
        <v>1362</v>
      </c>
      <c r="E471" s="474">
        <f>'Visual chart Edit'!I474</f>
        <v>408</v>
      </c>
      <c r="F471" s="422" t="str">
        <f>'Visual chart Edit'!K474</f>
        <v>DRY</v>
      </c>
      <c r="G471" s="422" t="str">
        <f>'Visual chart Edit'!L474</f>
        <v>E</v>
      </c>
      <c r="H471" s="422"/>
    </row>
    <row r="472" spans="1:8" x14ac:dyDescent="0.25">
      <c r="A472" s="422">
        <f>+SUBTOTAL(3,$B$4:B472)</f>
        <v>469</v>
      </c>
      <c r="B472" s="422" t="str">
        <f>'Visual chart Edit'!B475</f>
        <v>71/7</v>
      </c>
      <c r="C472" s="422" t="str">
        <f>'Visual chart Edit'!C475</f>
        <v>DA+3</v>
      </c>
      <c r="D472" s="422" t="s">
        <v>1362</v>
      </c>
      <c r="E472" s="474">
        <f>'Visual chart Edit'!I475</f>
        <v>404.9</v>
      </c>
      <c r="F472" s="422" t="str">
        <f>'Visual chart Edit'!K475</f>
        <v>DRY</v>
      </c>
      <c r="G472" s="422" t="str">
        <f>'Visual chart Edit'!L475</f>
        <v>E</v>
      </c>
      <c r="H472" s="422"/>
    </row>
    <row r="473" spans="1:8" x14ac:dyDescent="0.25">
      <c r="A473" s="422">
        <f>+SUBTOTAL(3,$B$4:B473)</f>
        <v>470</v>
      </c>
      <c r="B473" s="422" t="str">
        <f>'Visual chart Edit'!B476</f>
        <v>71/8</v>
      </c>
      <c r="C473" s="422" t="str">
        <f>'Visual chart Edit'!C476</f>
        <v>DA+3</v>
      </c>
      <c r="D473" s="422" t="s">
        <v>1362</v>
      </c>
      <c r="E473" s="474">
        <f>'Visual chart Edit'!I476</f>
        <v>431.6</v>
      </c>
      <c r="F473" s="422" t="str">
        <f>'Visual chart Edit'!K476</f>
        <v>DRY</v>
      </c>
      <c r="G473" s="422" t="str">
        <f>'Visual chart Edit'!L476</f>
        <v>E</v>
      </c>
      <c r="H473" s="422"/>
    </row>
    <row r="474" spans="1:8" x14ac:dyDescent="0.25">
      <c r="A474" s="422">
        <f>+SUBTOTAL(3,$B$4:B474)</f>
        <v>471</v>
      </c>
      <c r="B474" s="422" t="str">
        <f>'Visual chart Edit'!B477</f>
        <v>72/0</v>
      </c>
      <c r="C474" s="422" t="str">
        <f>'Visual chart Edit'!C477</f>
        <v>DB2+3</v>
      </c>
      <c r="D474" s="422" t="s">
        <v>1362</v>
      </c>
      <c r="E474" s="474">
        <f>'Visual chart Edit'!I477</f>
        <v>408.4</v>
      </c>
      <c r="F474" s="422" t="str">
        <f>'Visual chart Edit'!K477</f>
        <v>DRY</v>
      </c>
      <c r="G474" s="422" t="str">
        <f>'Visual chart Edit'!L477</f>
        <v>E</v>
      </c>
      <c r="H474" s="422"/>
    </row>
    <row r="475" spans="1:8" x14ac:dyDescent="0.25">
      <c r="A475" s="422">
        <f>+SUBTOTAL(3,$B$4:B475)</f>
        <v>472</v>
      </c>
      <c r="B475" s="422" t="str">
        <f>'Visual chart Edit'!B478</f>
        <v>72/1</v>
      </c>
      <c r="C475" s="422" t="str">
        <f>'Visual chart Edit'!C478</f>
        <v>DA+3</v>
      </c>
      <c r="D475" s="422" t="s">
        <v>1362</v>
      </c>
      <c r="E475" s="474">
        <f>'Visual chart Edit'!I478</f>
        <v>435.3</v>
      </c>
      <c r="F475" s="422" t="str">
        <f>'Visual chart Edit'!K478</f>
        <v>DRY</v>
      </c>
      <c r="G475" s="422" t="str">
        <f>'Visual chart Edit'!L478</f>
        <v>E</v>
      </c>
      <c r="H475" s="422" t="s">
        <v>129</v>
      </c>
    </row>
    <row r="476" spans="1:8" x14ac:dyDescent="0.25">
      <c r="A476" s="422">
        <f>+SUBTOTAL(3,$B$4:B476)</f>
        <v>473</v>
      </c>
      <c r="B476" s="422" t="str">
        <f>'Visual chart Edit'!B479</f>
        <v>72/2</v>
      </c>
      <c r="C476" s="422" t="str">
        <f>'Visual chart Edit'!C479</f>
        <v>DA+0</v>
      </c>
      <c r="D476" s="422" t="s">
        <v>1362</v>
      </c>
      <c r="E476" s="474">
        <f>'Visual chart Edit'!I479</f>
        <v>403.9</v>
      </c>
      <c r="F476" s="422" t="str">
        <f>'Visual chart Edit'!K479</f>
        <v>DRY</v>
      </c>
      <c r="G476" s="422" t="str">
        <f>'Visual chart Edit'!L479</f>
        <v>E</v>
      </c>
      <c r="H476" s="422"/>
    </row>
    <row r="477" spans="1:8" x14ac:dyDescent="0.25">
      <c r="A477" s="422">
        <f>+SUBTOTAL(3,$B$4:B477)</f>
        <v>474</v>
      </c>
      <c r="B477" s="422" t="str">
        <f>'Visual chart Edit'!B480</f>
        <v>72/3</v>
      </c>
      <c r="C477" s="422" t="str">
        <f>'Visual chart Edit'!C480</f>
        <v>DA+3</v>
      </c>
      <c r="D477" s="422" t="s">
        <v>1362</v>
      </c>
      <c r="E477" s="474">
        <f>'Visual chart Edit'!I480</f>
        <v>389.2</v>
      </c>
      <c r="F477" s="422" t="str">
        <f>'Visual chart Edit'!K480</f>
        <v>DRY</v>
      </c>
      <c r="G477" s="422" t="str">
        <f>'Visual chart Edit'!L480</f>
        <v>E</v>
      </c>
      <c r="H477" s="422"/>
    </row>
    <row r="478" spans="1:8" x14ac:dyDescent="0.25">
      <c r="A478" s="422">
        <f>+SUBTOTAL(3,$B$4:B478)</f>
        <v>475</v>
      </c>
      <c r="B478" s="422" t="str">
        <f>'Visual chart Edit'!B481</f>
        <v>73/0</v>
      </c>
      <c r="C478" s="422" t="str">
        <f>'Visual chart Edit'!C481</f>
        <v>DB2+0</v>
      </c>
      <c r="D478" s="422" t="s">
        <v>1362</v>
      </c>
      <c r="E478" s="474">
        <f>'Visual chart Edit'!I481</f>
        <v>400.1</v>
      </c>
      <c r="F478" s="422" t="str">
        <f>'Visual chart Edit'!K481</f>
        <v>DRY</v>
      </c>
      <c r="G478" s="422" t="str">
        <f>'Visual chart Edit'!L481</f>
        <v>E</v>
      </c>
      <c r="H478" s="422"/>
    </row>
    <row r="479" spans="1:8" x14ac:dyDescent="0.25">
      <c r="A479" s="422">
        <f>+SUBTOTAL(3,$B$4:B479)</f>
        <v>476</v>
      </c>
      <c r="B479" s="422" t="str">
        <f>'Visual chart Edit'!B482</f>
        <v>73/1</v>
      </c>
      <c r="C479" s="422" t="str">
        <f>'Visual chart Edit'!C482</f>
        <v>DA+0</v>
      </c>
      <c r="D479" s="422" t="s">
        <v>1363</v>
      </c>
      <c r="E479" s="474">
        <f>'Visual chart Edit'!I482</f>
        <v>383.3</v>
      </c>
      <c r="F479" s="422" t="str">
        <f>'Visual chart Edit'!K482</f>
        <v>DRY</v>
      </c>
      <c r="G479" s="422" t="str">
        <f>'Visual chart Edit'!L482</f>
        <v>E</v>
      </c>
      <c r="H479" s="422" t="s">
        <v>420</v>
      </c>
    </row>
    <row r="480" spans="1:8" x14ac:dyDescent="0.25">
      <c r="A480" s="422">
        <f>+SUBTOTAL(3,$B$4:B480)</f>
        <v>477</v>
      </c>
      <c r="B480" s="422" t="str">
        <f>'Visual chart Edit'!B483</f>
        <v>73/2</v>
      </c>
      <c r="C480" s="422" t="str">
        <f>'Visual chart Edit'!C483</f>
        <v>DA+0</v>
      </c>
      <c r="D480" s="422" t="s">
        <v>1363</v>
      </c>
      <c r="E480" s="474">
        <f>'Visual chart Edit'!I483</f>
        <v>379</v>
      </c>
      <c r="F480" s="422" t="str">
        <f>'Visual chart Edit'!K483</f>
        <v>DRY</v>
      </c>
      <c r="G480" s="422" t="str">
        <f>'Visual chart Edit'!L483</f>
        <v>E</v>
      </c>
      <c r="H480" s="422" t="s">
        <v>420</v>
      </c>
    </row>
    <row r="481" spans="1:8" x14ac:dyDescent="0.25">
      <c r="A481" s="422">
        <f>+SUBTOTAL(3,$B$4:B481)</f>
        <v>478</v>
      </c>
      <c r="B481" s="422" t="str">
        <f>'Visual chart Edit'!B484</f>
        <v>73/3</v>
      </c>
      <c r="C481" s="422" t="str">
        <f>'Visual chart Edit'!C484</f>
        <v>DA+0</v>
      </c>
      <c r="D481" s="422" t="s">
        <v>1363</v>
      </c>
      <c r="E481" s="474">
        <f>'Visual chart Edit'!I484</f>
        <v>381.2</v>
      </c>
      <c r="F481" s="422" t="str">
        <f>'Visual chart Edit'!K484</f>
        <v>DRY</v>
      </c>
      <c r="G481" s="422" t="str">
        <f>'Visual chart Edit'!L484</f>
        <v>E</v>
      </c>
      <c r="H481" s="422" t="s">
        <v>420</v>
      </c>
    </row>
    <row r="482" spans="1:8" x14ac:dyDescent="0.25">
      <c r="A482" s="422">
        <f>+SUBTOTAL(3,$B$4:B482)</f>
        <v>479</v>
      </c>
      <c r="B482" s="422" t="str">
        <f>'Visual chart Edit'!B485</f>
        <v>73/4</v>
      </c>
      <c r="C482" s="422" t="str">
        <f>'Visual chart Edit'!C485</f>
        <v>DA+0</v>
      </c>
      <c r="D482" s="422" t="s">
        <v>1363</v>
      </c>
      <c r="E482" s="474">
        <f>'Visual chart Edit'!I485</f>
        <v>384.7</v>
      </c>
      <c r="F482" s="422" t="str">
        <f>'Visual chart Edit'!K485</f>
        <v>DRY</v>
      </c>
      <c r="G482" s="422" t="str">
        <f>'Visual chart Edit'!L485</f>
        <v>E</v>
      </c>
      <c r="H482" s="422" t="s">
        <v>420</v>
      </c>
    </row>
    <row r="483" spans="1:8" x14ac:dyDescent="0.25">
      <c r="A483" s="422">
        <f>+SUBTOTAL(3,$B$4:B483)</f>
        <v>480</v>
      </c>
      <c r="B483" s="422" t="str">
        <f>'Visual chart Edit'!B486</f>
        <v>73/5</v>
      </c>
      <c r="C483" s="422" t="str">
        <f>'Visual chart Edit'!C486</f>
        <v>DA+0</v>
      </c>
      <c r="D483" s="422" t="s">
        <v>1363</v>
      </c>
      <c r="E483" s="474">
        <f>'Visual chart Edit'!I486</f>
        <v>368.8</v>
      </c>
      <c r="F483" s="422" t="str">
        <f>'Visual chart Edit'!K486</f>
        <v>DRY</v>
      </c>
      <c r="G483" s="422" t="str">
        <f>'Visual chart Edit'!L486</f>
        <v>E</v>
      </c>
      <c r="H483" s="422" t="s">
        <v>420</v>
      </c>
    </row>
    <row r="484" spans="1:8" x14ac:dyDescent="0.25">
      <c r="A484" s="422">
        <f>+SUBTOTAL(3,$B$4:B484)</f>
        <v>481</v>
      </c>
      <c r="B484" s="422" t="str">
        <f>'Visual chart Edit'!B487</f>
        <v>73/6</v>
      </c>
      <c r="C484" s="422" t="str">
        <f>'Visual chart Edit'!C487</f>
        <v>DA+0</v>
      </c>
      <c r="D484" s="422" t="s">
        <v>1363</v>
      </c>
      <c r="E484" s="474">
        <f>'Visual chart Edit'!I487</f>
        <v>365.5</v>
      </c>
      <c r="F484" s="422" t="str">
        <f>'Visual chart Edit'!K487</f>
        <v>DRY</v>
      </c>
      <c r="G484" s="422" t="str">
        <f>'Visual chart Edit'!L487</f>
        <v>E</v>
      </c>
      <c r="H484" s="422" t="s">
        <v>420</v>
      </c>
    </row>
    <row r="485" spans="1:8" x14ac:dyDescent="0.25">
      <c r="A485" s="422">
        <f>+SUBTOTAL(3,$B$4:B485)</f>
        <v>482</v>
      </c>
      <c r="B485" s="422" t="str">
        <f>'Visual chart Edit'!B488</f>
        <v>73/7</v>
      </c>
      <c r="C485" s="422" t="str">
        <f>'Visual chart Edit'!C488</f>
        <v>DA+0</v>
      </c>
      <c r="D485" s="422" t="s">
        <v>1363</v>
      </c>
      <c r="E485" s="474">
        <f>'Visual chart Edit'!I488</f>
        <v>392.4</v>
      </c>
      <c r="F485" s="422" t="str">
        <f>'Visual chart Edit'!K488</f>
        <v>DRY</v>
      </c>
      <c r="G485" s="422" t="str">
        <f>'Visual chart Edit'!L488</f>
        <v>E</v>
      </c>
      <c r="H485" s="422" t="s">
        <v>420</v>
      </c>
    </row>
    <row r="486" spans="1:8" x14ac:dyDescent="0.25">
      <c r="A486" s="422">
        <f>+SUBTOTAL(3,$B$4:B486)</f>
        <v>483</v>
      </c>
      <c r="B486" s="422" t="str">
        <f>'Visual chart Edit'!B489</f>
        <v>73/8</v>
      </c>
      <c r="C486" s="422" t="str">
        <f>'Visual chart Edit'!C489</f>
        <v>DA+3</v>
      </c>
      <c r="D486" s="422" t="s">
        <v>1363</v>
      </c>
      <c r="E486" s="474">
        <f>'Visual chart Edit'!I489</f>
        <v>374.9</v>
      </c>
      <c r="F486" s="422" t="str">
        <f>'Visual chart Edit'!K489</f>
        <v>DRY</v>
      </c>
      <c r="G486" s="422" t="str">
        <f>'Visual chart Edit'!L489</f>
        <v>E</v>
      </c>
      <c r="H486" s="422" t="s">
        <v>420</v>
      </c>
    </row>
    <row r="487" spans="1:8" x14ac:dyDescent="0.25">
      <c r="A487" s="422">
        <f>+SUBTOTAL(3,$B$4:B487)</f>
        <v>484</v>
      </c>
      <c r="B487" s="422" t="str">
        <f>'Visual chart Edit'!B490</f>
        <v>73/9</v>
      </c>
      <c r="C487" s="422" t="str">
        <f>'Visual chart Edit'!C490</f>
        <v>DA+0</v>
      </c>
      <c r="D487" s="422" t="s">
        <v>1363</v>
      </c>
      <c r="E487" s="474">
        <f>'Visual chart Edit'!I490</f>
        <v>379.5</v>
      </c>
      <c r="F487" s="422" t="str">
        <f>'Visual chart Edit'!K490</f>
        <v>DRY</v>
      </c>
      <c r="G487" s="422" t="str">
        <f>'Visual chart Edit'!L490</f>
        <v>E</v>
      </c>
      <c r="H487" s="422" t="s">
        <v>420</v>
      </c>
    </row>
    <row r="488" spans="1:8" x14ac:dyDescent="0.25">
      <c r="A488" s="422">
        <f>+SUBTOTAL(3,$B$4:B488)</f>
        <v>485</v>
      </c>
      <c r="B488" s="422" t="str">
        <f>'Visual chart Edit'!B491</f>
        <v>74/0</v>
      </c>
      <c r="C488" s="422" t="str">
        <f>'Visual chart Edit'!C491</f>
        <v>DB2+0</v>
      </c>
      <c r="D488" s="422" t="s">
        <v>1363</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1738</v>
      </c>
    </row>
    <row r="496" spans="1:8" x14ac:dyDescent="0.25">
      <c r="B496" s="683"/>
    </row>
    <row r="502" spans="2:2" x14ac:dyDescent="0.25">
      <c r="B502" s="683"/>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J54:N118 K119:N119 J120:N1048576 F2:I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36" activePane="bottomRight" state="frozen"/>
      <selection activeCell="A10" sqref="A10:XFD10"/>
      <selection pane="topRight" activeCell="A10" sqref="A10:XFD10"/>
      <selection pane="bottomLeft" activeCell="A10" sqref="A10:XFD10"/>
      <selection pane="bottomRight" activeCell="K36" sqref="K36"/>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1278</v>
      </c>
      <c r="B1" s="310" t="s">
        <v>1172</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1173</v>
      </c>
      <c r="C3" s="315"/>
      <c r="D3" s="315"/>
      <c r="E3" s="315"/>
      <c r="F3" s="315"/>
      <c r="G3" s="316"/>
      <c r="H3" s="316"/>
      <c r="I3" s="315"/>
      <c r="J3" s="315"/>
      <c r="K3" s="315"/>
      <c r="L3" s="315"/>
      <c r="M3" s="317"/>
    </row>
    <row r="4" spans="1:15" ht="15" customHeight="1" x14ac:dyDescent="0.25">
      <c r="A4" s="840" t="s">
        <v>13</v>
      </c>
      <c r="B4" s="846" t="s">
        <v>1174</v>
      </c>
      <c r="C4" s="848" t="s">
        <v>13</v>
      </c>
      <c r="D4" s="848"/>
      <c r="E4" s="849" t="s">
        <v>1175</v>
      </c>
      <c r="F4" s="849" t="s">
        <v>1176</v>
      </c>
      <c r="G4" s="851" t="s">
        <v>985</v>
      </c>
      <c r="H4" s="852"/>
      <c r="I4" s="852"/>
      <c r="J4" s="852"/>
      <c r="K4" s="852"/>
      <c r="L4" s="853"/>
      <c r="M4" s="841" t="s">
        <v>19</v>
      </c>
      <c r="N4" s="843" t="s">
        <v>1177</v>
      </c>
      <c r="O4" s="843" t="s">
        <v>1178</v>
      </c>
    </row>
    <row r="5" spans="1:15" ht="38.25" x14ac:dyDescent="0.25">
      <c r="A5" s="840"/>
      <c r="B5" s="847"/>
      <c r="C5" s="737" t="s">
        <v>1179</v>
      </c>
      <c r="D5" s="737" t="s">
        <v>119</v>
      </c>
      <c r="E5" s="850"/>
      <c r="F5" s="850"/>
      <c r="G5" s="738" t="s">
        <v>1180</v>
      </c>
      <c r="H5" s="738" t="s">
        <v>1181</v>
      </c>
      <c r="I5" s="738" t="s">
        <v>1182</v>
      </c>
      <c r="J5" s="738" t="s">
        <v>1183</v>
      </c>
      <c r="K5" s="738" t="s">
        <v>9</v>
      </c>
      <c r="L5" s="738" t="s">
        <v>9</v>
      </c>
      <c r="M5" s="842"/>
      <c r="N5" s="844"/>
      <c r="O5" s="844"/>
    </row>
    <row r="6" spans="1:15" x14ac:dyDescent="0.25">
      <c r="A6" s="313">
        <v>1</v>
      </c>
      <c r="B6" s="318">
        <f>+SUBTOTAL(3,($C$6:$C6))</f>
        <v>1</v>
      </c>
      <c r="C6" s="318" t="s">
        <v>656</v>
      </c>
      <c r="D6" s="318" t="s">
        <v>446</v>
      </c>
      <c r="E6" s="319">
        <v>122</v>
      </c>
      <c r="F6" s="320">
        <v>45213</v>
      </c>
      <c r="G6" s="321" t="s">
        <v>587</v>
      </c>
      <c r="H6" s="322">
        <v>45555</v>
      </c>
      <c r="I6" s="323"/>
      <c r="J6" s="322">
        <v>45604</v>
      </c>
      <c r="K6" s="324" t="s">
        <v>1184</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1184</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1184</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1185</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1185</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1185</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1185</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1185</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1185</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1185</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1185</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1185</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1185</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1186</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1187</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1185</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1185</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1185</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1188</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1188</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1188</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1188</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1188</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1188</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1188</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1430</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1188</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1188</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1188</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1188</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1188</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1189</v>
      </c>
      <c r="L41" s="324" t="s">
        <v>1190</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1189</v>
      </c>
      <c r="L42" s="324" t="s">
        <v>1190</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1189</v>
      </c>
      <c r="L43" s="324" t="s">
        <v>1190</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1191</v>
      </c>
      <c r="L44" s="324" t="s">
        <v>1190</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1192</v>
      </c>
      <c r="K45" s="328" t="s">
        <v>1191</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1192</v>
      </c>
      <c r="K46" s="328" t="s">
        <v>1191</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1192</v>
      </c>
      <c r="K47" s="328" t="s">
        <v>1193</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1192</v>
      </c>
      <c r="K48" s="328" t="s">
        <v>1193</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1192</v>
      </c>
      <c r="K49" s="328" t="s">
        <v>1193</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1192</v>
      </c>
      <c r="K50" s="328" t="s">
        <v>1193</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1192</v>
      </c>
      <c r="K51" s="328" t="s">
        <v>1193</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1305</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1305</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1194</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1194</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1195</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1195</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1195</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1195</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1195</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1196</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1197</v>
      </c>
      <c r="L94" s="325"/>
      <c r="M94" s="326">
        <f t="shared" si="1"/>
        <v>10</v>
      </c>
      <c r="N94" s="318">
        <v>9</v>
      </c>
      <c r="O94" s="318">
        <v>1</v>
      </c>
    </row>
    <row r="95" spans="1:15" x14ac:dyDescent="0.25">
      <c r="B95" s="845" t="s">
        <v>1198</v>
      </c>
      <c r="C95" s="845"/>
      <c r="D95" s="845"/>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78" activePane="bottomLeft" state="frozen"/>
      <selection activeCell="D479" sqref="D479"/>
      <selection pane="bottomLeft" activeCell="G492" sqref="G492"/>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2.42578125" style="349" customWidth="1"/>
    <col min="9" max="9" width="14.28515625" style="349" customWidth="1"/>
    <col min="10" max="10" width="44.85546875" style="349"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1278</v>
      </c>
    </row>
    <row r="2" spans="1:103" x14ac:dyDescent="0.2">
      <c r="A2" s="350" t="s">
        <v>1239</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62" t="s">
        <v>304</v>
      </c>
      <c r="B5" s="864" t="s">
        <v>1010</v>
      </c>
      <c r="C5" s="862" t="s">
        <v>115</v>
      </c>
      <c r="D5" s="862" t="s">
        <v>4</v>
      </c>
      <c r="E5" s="862" t="s">
        <v>136</v>
      </c>
      <c r="F5" s="858" t="s">
        <v>1413</v>
      </c>
      <c r="G5" s="860" t="s">
        <v>116</v>
      </c>
      <c r="H5" s="856" t="s">
        <v>138</v>
      </c>
      <c r="I5" s="854"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63"/>
      <c r="B6" s="865"/>
      <c r="C6" s="863"/>
      <c r="D6" s="863"/>
      <c r="E6" s="863"/>
      <c r="F6" s="859"/>
      <c r="G6" s="861"/>
      <c r="H6" s="857"/>
      <c r="I6" s="855"/>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1027</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1027</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1027</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1027</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1027</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1027</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1027</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1027</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1027</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1027</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1027</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1027</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1027</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1027</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1027</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1027</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1027</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1027</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1027</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1027</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1027</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1027</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1027</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1027</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1027</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1027</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1027</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1027</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1027</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1027</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1027</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1027</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1027</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1027</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1027</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1027</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1027</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1027</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1027</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1027</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1027</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1027</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1027</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1027</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1027</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1027</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1027</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1027</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1027</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1027</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1027</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1027</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1027</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1027</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1027</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1027</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1023</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1023</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1027</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1027</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1027</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1023</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1027</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1027</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1027</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1027</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1027</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1027</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1027</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1027</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1027</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1027</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1027</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1027</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1027</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1027</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1027</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1027</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1027</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1027</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1027</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1027</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1027</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1027</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1027</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1027</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1027</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1023</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1023</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1023</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1027</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1024</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1024</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1024</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1023</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1023</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1027</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1023</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1024</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1027</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1023</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1023</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1027</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1023</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1024</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1024</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1024</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1024</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1024</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1027</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1024</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1027</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1027</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1024</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1024</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1024</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1024</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1024</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1024</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1023</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1024</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1024</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1024</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1024</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1027</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1023</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1024</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1024</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1027</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1024</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1027</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1024</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1024</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1024</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1027</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1027</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1027</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1027</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1024</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1027</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1027</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1027</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1027</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1027</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1027</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1024</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1024</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1027</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1023</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1027</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1027</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1027</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1027</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1024</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1024</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1027</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1027</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1027</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1027</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1023</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1027</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1024</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1027</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1027</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1027</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1027</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1027</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1027</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1027</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1027</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1027</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1027</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1027</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1020</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1020</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1020</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1020</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1027</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1027</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1027</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1279</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1027</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1020</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1279</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1279</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1020</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1279</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1367</v>
      </c>
      <c r="I416" s="572" t="s">
        <v>1288</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1279</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1405</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1020</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1388</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1400</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1367</v>
      </c>
      <c r="I423" s="572" t="s">
        <v>1288</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1406</v>
      </c>
      <c r="I424" s="572" t="s">
        <v>1288</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1279</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1400</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1020</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1408</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1388</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1020</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1367</v>
      </c>
      <c r="I434" s="572" t="s">
        <v>1288</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1279</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1020</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1367</v>
      </c>
      <c r="I439" s="572" t="s">
        <v>1288</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1279</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1436</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1020</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1440</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1367</v>
      </c>
      <c r="I444" s="572" t="s">
        <v>1288</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1020</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1443</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1443</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1288</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1279</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1288</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1020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1460</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1288</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1288</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1279</v>
      </c>
      <c r="I456" s="572" t="s">
        <v>1452</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1288</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1288</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1443</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1020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1279</v>
      </c>
      <c r="I461" s="572" t="s">
        <v>1452</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1408</v>
      </c>
      <c r="I462" s="572" t="s">
        <v>1288</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1279</v>
      </c>
      <c r="I463" s="572" t="s">
        <v>1452</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1020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1523</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1279</v>
      </c>
      <c r="I466" s="572" t="s">
        <v>1452</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1523</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1279</v>
      </c>
      <c r="I468" s="572" t="s">
        <v>1452</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1020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1288</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1443</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1443</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1020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1523</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1288</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1020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1523</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1443</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1020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1523</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1288</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1523</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1020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1288</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1288</v>
      </c>
    </row>
    <row r="486" spans="1:11" outlineLevel="1" x14ac:dyDescent="0.2">
      <c r="A486" s="352">
        <f>+SUBTOTAL(3,$E$8:$E486)</f>
        <v>479</v>
      </c>
      <c r="B486" s="582">
        <v>45962</v>
      </c>
      <c r="C486" s="354" t="s">
        <v>186</v>
      </c>
      <c r="D486" s="352" t="str">
        <f>+VLOOKUP(C486,'Visual chart Edit'!$B$7:$C$491,2,FALSE)</f>
        <v>DA+6</v>
      </c>
      <c r="E486" s="581" t="s">
        <v>32</v>
      </c>
      <c r="F486" s="570">
        <v>45958</v>
      </c>
      <c r="G486" s="570">
        <v>45965</v>
      </c>
      <c r="H486" s="579" t="s">
        <v>649</v>
      </c>
      <c r="I486" s="572" t="s">
        <v>1288</v>
      </c>
    </row>
    <row r="487" spans="1:11" outlineLevel="1" x14ac:dyDescent="0.2">
      <c r="A487" s="352">
        <f>+SUBTOTAL(3,$E$8:$E487)</f>
        <v>480</v>
      </c>
      <c r="B487" s="582">
        <v>45962</v>
      </c>
      <c r="C487" s="354" t="s">
        <v>50</v>
      </c>
      <c r="D487" s="352" t="str">
        <f>+VLOOKUP(C487,'Visual chart Edit'!$B$7:$C$491,2,FALSE)</f>
        <v>DB2+3</v>
      </c>
      <c r="E487" s="581" t="s">
        <v>277</v>
      </c>
      <c r="F487" s="570">
        <v>45940</v>
      </c>
      <c r="G487" s="570">
        <v>45970</v>
      </c>
      <c r="H487" s="579" t="s">
        <v>649</v>
      </c>
      <c r="I487" s="572" t="s">
        <v>1288</v>
      </c>
    </row>
    <row r="488" spans="1:11" outlineLevel="1" x14ac:dyDescent="0.2">
      <c r="A488" s="352">
        <f>+SUBTOTAL(3,$E$8:$E488)</f>
        <v>481</v>
      </c>
      <c r="B488" s="582">
        <v>45962</v>
      </c>
      <c r="C488" s="354" t="s">
        <v>173</v>
      </c>
      <c r="D488" s="352" t="str">
        <f>+VLOOKUP(C488,'Visual chart Edit'!$B$7:$C$491,2,FALSE)</f>
        <v>DA+3</v>
      </c>
      <c r="E488" s="581" t="s">
        <v>277</v>
      </c>
      <c r="F488" s="570">
        <v>45819</v>
      </c>
      <c r="G488" s="570">
        <v>45610</v>
      </c>
      <c r="H488" s="579" t="s">
        <v>649</v>
      </c>
      <c r="I488" s="572" t="s">
        <v>1288</v>
      </c>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1389</v>
      </c>
      <c r="D494" s="613" t="s">
        <v>139</v>
      </c>
      <c r="E494" s="613" t="s">
        <v>1390</v>
      </c>
      <c r="F494" s="614" t="s">
        <v>122</v>
      </c>
      <c r="G494" s="614" t="s">
        <v>6</v>
      </c>
      <c r="H494" s="613" t="s">
        <v>7</v>
      </c>
      <c r="I494" s="615" t="s">
        <v>1289</v>
      </c>
      <c r="J494" s="616" t="s">
        <v>1221</v>
      </c>
      <c r="K494" s="636" t="s">
        <v>1435</v>
      </c>
    </row>
    <row r="495" spans="1:11" s="556" customFormat="1" x14ac:dyDescent="0.25">
      <c r="A495" s="742"/>
      <c r="B495" s="758"/>
      <c r="C495" s="741"/>
      <c r="D495" s="742"/>
      <c r="E495" s="742"/>
      <c r="F495" s="742"/>
      <c r="G495" s="759"/>
      <c r="H495" s="742"/>
      <c r="I495" s="742"/>
      <c r="J495" s="760"/>
      <c r="K495" s="742"/>
    </row>
    <row r="496" spans="1:11" x14ac:dyDescent="0.2">
      <c r="A496" s="743"/>
      <c r="B496" s="743"/>
      <c r="C496" s="741" t="s">
        <v>524</v>
      </c>
      <c r="D496" s="742" t="str">
        <f>+VLOOKUP(C496,'Visual chart Edit'!$B$7:$C$491,2,FALSE)</f>
        <v>DA+6</v>
      </c>
      <c r="E496" s="740" t="s">
        <v>129</v>
      </c>
      <c r="F496" s="743"/>
      <c r="G496" s="744">
        <v>45961</v>
      </c>
      <c r="H496" s="740" t="s">
        <v>1527</v>
      </c>
      <c r="I496" s="740" t="s">
        <v>1288</v>
      </c>
      <c r="J496" s="743" t="s">
        <v>1727</v>
      </c>
      <c r="K496" s="743"/>
    </row>
    <row r="497" spans="1:11" x14ac:dyDescent="0.2">
      <c r="A497" s="743"/>
      <c r="B497" s="743"/>
      <c r="C497" s="741"/>
      <c r="D497" s="742"/>
      <c r="E497" s="740"/>
      <c r="F497" s="743"/>
      <c r="G497" s="744"/>
      <c r="H497" s="740"/>
      <c r="I497" s="740"/>
      <c r="J497" s="743"/>
      <c r="K497" s="743"/>
    </row>
    <row r="498" spans="1:11" x14ac:dyDescent="0.2">
      <c r="A498" s="743"/>
      <c r="B498" s="743"/>
      <c r="C498" s="741"/>
      <c r="D498" s="742"/>
      <c r="E498" s="740"/>
      <c r="F498" s="743"/>
      <c r="G498" s="744"/>
      <c r="H498" s="740"/>
      <c r="I498" s="740"/>
      <c r="J498" s="743"/>
      <c r="K498" s="743"/>
    </row>
    <row r="499" spans="1:11" x14ac:dyDescent="0.2">
      <c r="A499" s="743"/>
      <c r="B499" s="743"/>
      <c r="C499" s="741"/>
      <c r="D499" s="742"/>
      <c r="E499" s="740"/>
      <c r="F499" s="743"/>
      <c r="G499" s="744"/>
      <c r="H499" s="740"/>
      <c r="I499" s="740"/>
      <c r="J499" s="743"/>
      <c r="K499" s="743"/>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1278</v>
      </c>
    </row>
    <row r="2" spans="1:39" x14ac:dyDescent="0.25">
      <c r="A2" s="350" t="s">
        <v>1239</v>
      </c>
    </row>
    <row r="3" spans="1:39" x14ac:dyDescent="0.25">
      <c r="A3" s="350" t="s">
        <v>150</v>
      </c>
    </row>
    <row r="4" spans="1:39" ht="6.75" customHeight="1" x14ac:dyDescent="0.25"/>
    <row r="5" spans="1:39" ht="15" customHeight="1" x14ac:dyDescent="0.25">
      <c r="A5" s="866" t="s">
        <v>121</v>
      </c>
      <c r="B5" s="866"/>
      <c r="C5" s="866"/>
      <c r="D5" s="866"/>
      <c r="E5" s="866"/>
      <c r="F5" s="866"/>
      <c r="G5" s="866"/>
      <c r="H5" s="866"/>
      <c r="I5" s="866"/>
    </row>
    <row r="6" spans="1:39" ht="15" customHeight="1" x14ac:dyDescent="0.2">
      <c r="A6" s="360" t="s">
        <v>2</v>
      </c>
      <c r="B6" s="360" t="s">
        <v>1025</v>
      </c>
      <c r="C6" s="361" t="s">
        <v>3</v>
      </c>
      <c r="D6" s="360" t="s">
        <v>4</v>
      </c>
      <c r="E6" s="362" t="s">
        <v>122</v>
      </c>
      <c r="F6" s="360" t="s">
        <v>123</v>
      </c>
      <c r="G6" s="360" t="s">
        <v>5</v>
      </c>
      <c r="H6" s="360" t="s">
        <v>7</v>
      </c>
      <c r="I6" s="360" t="s">
        <v>1284</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1442</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1444</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1026</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 Infrastructure</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 Infrastructure</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 Infrastructure</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 Infrastructure</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 Infrastructure</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 Infrastructure</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 Infrastructure</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 Infrastructure</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 Infrastructure</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 Infrastructure</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 Infrastructure</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 Infrastructure</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 Infrastructure</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 Infrastructure</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 Infrastructure</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 Infrastructure</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 Infrastructure</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 Infrastructure</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 Infrastructure</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 Infrastructure</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45962</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45962</v>
      </c>
      <c r="C486" s="363" t="str">
        <f>Foundation!C487</f>
        <v>22/0</v>
      </c>
      <c r="D486" s="363" t="str">
        <f>Foundation!D487</f>
        <v>DB2+3</v>
      </c>
      <c r="E486" s="363" t="str">
        <f>Foundation!E487</f>
        <v>DRY</v>
      </c>
      <c r="F486" s="363" t="str">
        <f t="shared" si="8"/>
        <v>Pipe</v>
      </c>
      <c r="G486" s="364"/>
      <c r="H486" s="365" t="str">
        <f>Foundation!H487</f>
        <v>Vishwakarma Construction</v>
      </c>
      <c r="I486" s="363"/>
    </row>
    <row r="487" spans="1:9" s="274" customFormat="1" x14ac:dyDescent="0.25">
      <c r="A487" s="352">
        <f>+SUBTOTAL(3,$G$7:$G487)</f>
        <v>451</v>
      </c>
      <c r="B487" s="353">
        <f>Foundation!B488</f>
        <v>45962</v>
      </c>
      <c r="C487" s="363" t="str">
        <f>Foundation!C488</f>
        <v>13/4</v>
      </c>
      <c r="D487" s="363" t="str">
        <f>Foundation!D488</f>
        <v>DA+3</v>
      </c>
      <c r="E487" s="363" t="str">
        <f>Foundation!E488</f>
        <v>DRY</v>
      </c>
      <c r="F487" s="363" t="str">
        <f t="shared" si="8"/>
        <v>Pipe</v>
      </c>
      <c r="G487" s="364"/>
      <c r="H487" s="365" t="str">
        <f>Foundation!H488</f>
        <v>Vishwakarma Construction</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t="e">
        <f>Foundation!#REF!</f>
        <v>#REF!</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t="e">
        <f>Foundation!#REF!</f>
        <v>#REF!</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Foundation!B496</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Foundation!B497</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t="e">
        <f>Foundation!#REF!</f>
        <v>#REF!</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Foundation!B498</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Foundation!B499</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Foundation!B500</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Foundation!B501</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Foundation!B502</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Foundation!B503</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Foundation!B504</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Foundation!B505</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Foundation!B506</f>
        <v>0</v>
      </c>
      <c r="C512" s="363">
        <f>Foundation!C495</f>
        <v>0</v>
      </c>
      <c r="D512" s="363">
        <f>Foundation!D495</f>
        <v>0</v>
      </c>
      <c r="E512" s="363">
        <f>Foundation!E495</f>
        <v>0</v>
      </c>
      <c r="F512" s="363" t="str">
        <f t="shared" si="8"/>
        <v/>
      </c>
      <c r="G512" s="364"/>
      <c r="H512" s="365" t="e">
        <f>Foundation!#REF!</f>
        <v>#REF!</v>
      </c>
    </row>
    <row r="513" spans="1:8" x14ac:dyDescent="0.25">
      <c r="A513" s="352">
        <f>+SUBTOTAL(3,$G$7:$G513)</f>
        <v>451</v>
      </c>
      <c r="B513" s="353">
        <f>Foundation!B507</f>
        <v>0</v>
      </c>
      <c r="C513" s="363" t="e">
        <f>Foundation!#REF!</f>
        <v>#REF!</v>
      </c>
      <c r="D513" s="363" t="e">
        <f>Foundation!#REF!</f>
        <v>#REF!</v>
      </c>
      <c r="E513" s="363" t="e">
        <f>Foundation!#REF!</f>
        <v>#REF!</v>
      </c>
      <c r="F513" s="363" t="e">
        <f t="shared" si="8"/>
        <v>#REF!</v>
      </c>
      <c r="G513" s="364"/>
      <c r="H513" s="365">
        <f>Foundation!H495</f>
        <v>0</v>
      </c>
    </row>
    <row r="514" spans="1:8" x14ac:dyDescent="0.25">
      <c r="A514" s="352">
        <f>+SUBTOTAL(3,$G$7:$G514)</f>
        <v>451</v>
      </c>
      <c r="B514" s="353">
        <f>Foundation!B508</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Foundation!B509</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Foundation!B510</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Foundation!B511</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Foundation!B512</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Foundation!B513</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Foundation!B514</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Foundation!B515</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Foundation!B516</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Foundation!B517</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Foundation!B518</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Foundation!B519</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Foundation!B520</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Foundation!B521</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Foundation!B522</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Foundation!B523</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Foundation!B524</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Foundation!B525</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Foundation!B526</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Foundation!B527</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Foundation!B528</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Foundation!B529</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Foundation!B530</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Foundation!B531</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Foundation!B532</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Foundation!B533</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Foundation!B534</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Foundation!B535</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Foundation!B536</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Foundation!B537</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Foundation!B538</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Foundation!B539</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Foundation!B540</f>
        <v>0</v>
      </c>
      <c r="C546" s="363" t="e">
        <f>Foundation!#REF!</f>
        <v>#REF!</v>
      </c>
      <c r="D546" s="363" t="e">
        <f>Foundation!#REF!</f>
        <v>#REF!</v>
      </c>
      <c r="E546" s="363" t="e">
        <f>Foundation!#REF!</f>
        <v>#REF!</v>
      </c>
      <c r="F546" s="363" t="e">
        <f t="shared" si="9"/>
        <v>#REF!</v>
      </c>
      <c r="G546" s="364"/>
      <c r="H546" s="365" t="e">
        <f>Foundation!#REF!</f>
        <v>#REF!</v>
      </c>
    </row>
    <row r="547" spans="1:8" x14ac:dyDescent="0.25">
      <c r="A547" s="352">
        <f>+SUBTOTAL(3,$G$7:$G547)</f>
        <v>451</v>
      </c>
      <c r="B547" s="353">
        <f>Foundation!B541</f>
        <v>0</v>
      </c>
      <c r="C547" s="363" t="e">
        <f>Foundation!#REF!</f>
        <v>#REF!</v>
      </c>
      <c r="D547" s="363" t="e">
        <f>Foundation!#REF!</f>
        <v>#REF!</v>
      </c>
      <c r="E547" s="363" t="e">
        <f>Foundation!#REF!</f>
        <v>#REF!</v>
      </c>
      <c r="F547" s="363" t="e">
        <f t="shared" si="9"/>
        <v>#REF!</v>
      </c>
      <c r="G547" s="364"/>
      <c r="H547" s="365" t="e">
        <f>Foundation!#REF!</f>
        <v>#REF!</v>
      </c>
    </row>
    <row r="548" spans="1:8" x14ac:dyDescent="0.25">
      <c r="A548" s="352">
        <f>+SUBTOTAL(3,$G$7:$G548)</f>
        <v>451</v>
      </c>
      <c r="B548" s="353">
        <f>Foundation!B542</f>
        <v>0</v>
      </c>
      <c r="C548" s="363" t="e">
        <f>Foundation!#REF!</f>
        <v>#REF!</v>
      </c>
      <c r="D548" s="363" t="e">
        <f>Foundation!#REF!</f>
        <v>#REF!</v>
      </c>
      <c r="E548" s="363" t="e">
        <f>Foundation!#REF!</f>
        <v>#REF!</v>
      </c>
      <c r="F548" s="363" t="e">
        <f t="shared" si="9"/>
        <v>#REF!</v>
      </c>
      <c r="G548" s="364"/>
      <c r="H548" s="365" t="e">
        <f>Foundation!#REF!</f>
        <v>#REF!</v>
      </c>
    </row>
    <row r="549" spans="1:8" x14ac:dyDescent="0.25">
      <c r="A549" s="352">
        <f>+SUBTOTAL(3,$G$7:$G549)</f>
        <v>451</v>
      </c>
      <c r="B549" s="353">
        <f>Foundation!B543</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Foundation!B544</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Foundation!B545</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Foundation!B546</f>
        <v>0</v>
      </c>
      <c r="C552" s="363" t="str">
        <f>Foundation!C496</f>
        <v>21/1</v>
      </c>
      <c r="D552" s="363" t="str">
        <f>Foundation!D496</f>
        <v>DA+6</v>
      </c>
      <c r="E552" s="363" t="str">
        <f>Foundation!E496</f>
        <v>ROW</v>
      </c>
      <c r="F552" s="363" t="str">
        <f t="shared" si="9"/>
        <v>Pipe</v>
      </c>
      <c r="G552" s="364"/>
      <c r="H552" s="365" t="e">
        <f>Foundation!#REF!</f>
        <v>#REF!</v>
      </c>
    </row>
    <row r="553" spans="1:8" x14ac:dyDescent="0.25">
      <c r="A553" s="352">
        <f>+SUBTOTAL(3,$G$7:$G553)</f>
        <v>451</v>
      </c>
      <c r="B553" s="353">
        <f>Foundation!B547</f>
        <v>0</v>
      </c>
      <c r="C553" s="363">
        <f>Foundation!C497</f>
        <v>0</v>
      </c>
      <c r="D553" s="363">
        <f>Foundation!D497</f>
        <v>0</v>
      </c>
      <c r="E553" s="363">
        <f>Foundation!E497</f>
        <v>0</v>
      </c>
      <c r="F553" s="363" t="str">
        <f t="shared" si="9"/>
        <v/>
      </c>
      <c r="G553" s="364"/>
      <c r="H553" s="365" t="str">
        <f>Foundation!H496</f>
        <v>Vishwakarma Const.</v>
      </c>
    </row>
    <row r="554" spans="1:8" x14ac:dyDescent="0.25">
      <c r="A554" s="352">
        <f>+SUBTOTAL(3,$G$7:$G554)</f>
        <v>451</v>
      </c>
      <c r="B554" s="353">
        <f>Foundation!B548</f>
        <v>0</v>
      </c>
      <c r="C554" s="363" t="e">
        <f>Foundation!#REF!</f>
        <v>#REF!</v>
      </c>
      <c r="D554" s="363" t="e">
        <f>Foundation!#REF!</f>
        <v>#REF!</v>
      </c>
      <c r="E554" s="363" t="e">
        <f>Foundation!#REF!</f>
        <v>#REF!</v>
      </c>
      <c r="F554" s="363" t="e">
        <f t="shared" si="9"/>
        <v>#REF!</v>
      </c>
      <c r="G554" s="364"/>
      <c r="H554" s="365">
        <f>Foundation!H497</f>
        <v>0</v>
      </c>
    </row>
    <row r="555" spans="1:8" x14ac:dyDescent="0.25">
      <c r="A555" s="352">
        <f>+SUBTOTAL(3,$G$7:$G555)</f>
        <v>451</v>
      </c>
      <c r="B555" s="353">
        <f>Foundation!B549</f>
        <v>0</v>
      </c>
      <c r="C555" s="363">
        <f>Foundation!C498</f>
        <v>0</v>
      </c>
      <c r="D555" s="363">
        <f>Foundation!D498</f>
        <v>0</v>
      </c>
      <c r="E555" s="363">
        <f>Foundation!E498</f>
        <v>0</v>
      </c>
      <c r="F555" s="363" t="str">
        <f t="shared" si="9"/>
        <v/>
      </c>
      <c r="G555" s="364"/>
      <c r="H555" s="365" t="e">
        <f>Foundation!#REF!</f>
        <v>#REF!</v>
      </c>
    </row>
    <row r="556" spans="1:8" x14ac:dyDescent="0.25">
      <c r="A556" s="352">
        <f>+SUBTOTAL(3,$G$7:$G556)</f>
        <v>451</v>
      </c>
      <c r="B556" s="353">
        <f>Foundation!B550</f>
        <v>0</v>
      </c>
      <c r="C556" s="363">
        <f>Foundation!C499</f>
        <v>0</v>
      </c>
      <c r="D556" s="363">
        <f>Foundation!D499</f>
        <v>0</v>
      </c>
      <c r="E556" s="363">
        <f>Foundation!E499</f>
        <v>0</v>
      </c>
      <c r="F556" s="363" t="str">
        <f t="shared" si="9"/>
        <v/>
      </c>
      <c r="G556" s="364"/>
      <c r="H556" s="365">
        <f>Foundation!H498</f>
        <v>0</v>
      </c>
    </row>
    <row r="557" spans="1:8" x14ac:dyDescent="0.25">
      <c r="A557" s="352">
        <f>+SUBTOTAL(3,$G$7:$G557)</f>
        <v>451</v>
      </c>
      <c r="B557" s="353">
        <f>Foundation!B551</f>
        <v>0</v>
      </c>
      <c r="C557" s="363">
        <f>Foundation!C500</f>
        <v>0</v>
      </c>
      <c r="D557" s="363">
        <f>Foundation!D500</f>
        <v>0</v>
      </c>
      <c r="E557" s="363">
        <f>Foundation!E500</f>
        <v>0</v>
      </c>
      <c r="F557" s="363" t="str">
        <f t="shared" si="9"/>
        <v/>
      </c>
      <c r="G557" s="364"/>
      <c r="H557" s="365">
        <f>Foundation!H499</f>
        <v>0</v>
      </c>
    </row>
    <row r="558" spans="1:8" x14ac:dyDescent="0.25">
      <c r="A558" s="352">
        <f>+SUBTOTAL(3,$G$7:$G558)</f>
        <v>451</v>
      </c>
      <c r="B558" s="353">
        <f>Foundation!B552</f>
        <v>0</v>
      </c>
      <c r="C558" s="363">
        <f>Foundation!C501</f>
        <v>0</v>
      </c>
      <c r="D558" s="363">
        <f>Foundation!D501</f>
        <v>0</v>
      </c>
      <c r="E558" s="363">
        <f>Foundation!E501</f>
        <v>0</v>
      </c>
      <c r="F558" s="363" t="str">
        <f t="shared" si="9"/>
        <v/>
      </c>
      <c r="G558" s="364"/>
      <c r="H558" s="365">
        <f>Foundation!H500</f>
        <v>0</v>
      </c>
    </row>
    <row r="559" spans="1:8" x14ac:dyDescent="0.25">
      <c r="A559" s="352">
        <f>+SUBTOTAL(3,$G$7:$G559)</f>
        <v>451</v>
      </c>
      <c r="B559" s="353">
        <f>Foundation!B553</f>
        <v>0</v>
      </c>
      <c r="C559" s="363">
        <f>Foundation!C502</f>
        <v>0</v>
      </c>
      <c r="D559" s="363">
        <f>Foundation!D502</f>
        <v>0</v>
      </c>
      <c r="E559" s="363">
        <f>Foundation!E502</f>
        <v>0</v>
      </c>
      <c r="F559" s="363" t="str">
        <f t="shared" si="9"/>
        <v/>
      </c>
      <c r="G559" s="364"/>
      <c r="H559" s="365">
        <f>Foundation!H501</f>
        <v>0</v>
      </c>
    </row>
    <row r="560" spans="1:8" x14ac:dyDescent="0.25">
      <c r="A560" s="352">
        <f>+SUBTOTAL(3,$G$7:$G560)</f>
        <v>451</v>
      </c>
      <c r="B560" s="353">
        <f>Foundation!B554</f>
        <v>0</v>
      </c>
      <c r="C560" s="363">
        <f>Foundation!C503</f>
        <v>0</v>
      </c>
      <c r="D560" s="363">
        <f>Foundation!D503</f>
        <v>0</v>
      </c>
      <c r="E560" s="363">
        <f>Foundation!E503</f>
        <v>0</v>
      </c>
      <c r="F560" s="363" t="str">
        <f t="shared" si="9"/>
        <v/>
      </c>
      <c r="G560" s="364"/>
      <c r="H560" s="365">
        <f>Foundation!H502</f>
        <v>0</v>
      </c>
    </row>
    <row r="561" spans="1:8" x14ac:dyDescent="0.25">
      <c r="A561" s="352">
        <f>+SUBTOTAL(3,$G$7:$G561)</f>
        <v>451</v>
      </c>
      <c r="B561" s="353">
        <f>Foundation!B555</f>
        <v>0</v>
      </c>
      <c r="C561" s="363">
        <f>Foundation!C504</f>
        <v>0</v>
      </c>
      <c r="D561" s="363">
        <f>Foundation!D504</f>
        <v>0</v>
      </c>
      <c r="E561" s="363">
        <f>Foundation!E504</f>
        <v>0</v>
      </c>
      <c r="F561" s="363" t="str">
        <f t="shared" si="9"/>
        <v/>
      </c>
      <c r="G561" s="364"/>
      <c r="H561" s="365">
        <f>Foundation!H503</f>
        <v>0</v>
      </c>
    </row>
    <row r="562" spans="1:8" x14ac:dyDescent="0.25">
      <c r="A562" s="352">
        <f>+SUBTOTAL(3,$G$7:$G562)</f>
        <v>451</v>
      </c>
      <c r="B562" s="353">
        <f>Foundation!B556</f>
        <v>0</v>
      </c>
      <c r="C562" s="363">
        <f>Foundation!C505</f>
        <v>0</v>
      </c>
      <c r="D562" s="363">
        <f>Foundation!D505</f>
        <v>0</v>
      </c>
      <c r="E562" s="363">
        <f>Foundation!E505</f>
        <v>0</v>
      </c>
      <c r="F562" s="363" t="str">
        <f t="shared" si="9"/>
        <v/>
      </c>
      <c r="G562" s="364"/>
      <c r="H562" s="365">
        <f>Foundation!H504</f>
        <v>0</v>
      </c>
    </row>
    <row r="563" spans="1:8" x14ac:dyDescent="0.25">
      <c r="A563" s="352">
        <f>+SUBTOTAL(3,$G$7:$G563)</f>
        <v>451</v>
      </c>
      <c r="B563" s="353">
        <f>Foundation!B557</f>
        <v>0</v>
      </c>
      <c r="C563" s="363">
        <f>Foundation!C506</f>
        <v>0</v>
      </c>
      <c r="D563" s="363">
        <f>Foundation!D506</f>
        <v>0</v>
      </c>
      <c r="E563" s="363">
        <f>Foundation!E506</f>
        <v>0</v>
      </c>
      <c r="F563" s="363" t="str">
        <f t="shared" si="9"/>
        <v/>
      </c>
      <c r="G563" s="364"/>
      <c r="H563" s="365">
        <f>Foundation!H505</f>
        <v>0</v>
      </c>
    </row>
    <row r="564" spans="1:8" x14ac:dyDescent="0.25">
      <c r="A564" s="352">
        <f>+SUBTOTAL(3,$G$7:$G564)</f>
        <v>451</v>
      </c>
      <c r="B564" s="353">
        <f>Foundation!B558</f>
        <v>0</v>
      </c>
      <c r="C564" s="363">
        <f>Foundation!C507</f>
        <v>0</v>
      </c>
      <c r="D564" s="363">
        <f>Foundation!D507</f>
        <v>0</v>
      </c>
      <c r="E564" s="363">
        <f>Foundation!E507</f>
        <v>0</v>
      </c>
      <c r="F564" s="363" t="str">
        <f t="shared" si="9"/>
        <v/>
      </c>
      <c r="G564" s="364"/>
      <c r="H564" s="365">
        <f>Foundation!H506</f>
        <v>0</v>
      </c>
    </row>
    <row r="565" spans="1:8" x14ac:dyDescent="0.25">
      <c r="A565" s="352">
        <f>+SUBTOTAL(3,$G$7:$G565)</f>
        <v>451</v>
      </c>
      <c r="B565" s="353">
        <f>Foundation!B559</f>
        <v>0</v>
      </c>
      <c r="C565" s="363">
        <f>Foundation!C508</f>
        <v>0</v>
      </c>
      <c r="D565" s="363">
        <f>Foundation!D508</f>
        <v>0</v>
      </c>
      <c r="E565" s="363">
        <f>Foundation!E508</f>
        <v>0</v>
      </c>
      <c r="F565" s="363" t="str">
        <f t="shared" si="9"/>
        <v/>
      </c>
      <c r="G565" s="364"/>
      <c r="H565" s="365">
        <f>Foundation!H507</f>
        <v>0</v>
      </c>
    </row>
    <row r="566" spans="1:8" x14ac:dyDescent="0.25">
      <c r="A566" s="352">
        <f>+SUBTOTAL(3,$G$7:$G566)</f>
        <v>451</v>
      </c>
      <c r="B566" s="353">
        <f>Foundation!B560</f>
        <v>0</v>
      </c>
      <c r="C566" s="363">
        <f>Foundation!C509</f>
        <v>0</v>
      </c>
      <c r="D566" s="363">
        <f>Foundation!D509</f>
        <v>0</v>
      </c>
      <c r="E566" s="363">
        <f>Foundation!E509</f>
        <v>0</v>
      </c>
      <c r="F566" s="363" t="str">
        <f t="shared" si="9"/>
        <v/>
      </c>
      <c r="G566" s="364"/>
      <c r="H566" s="365">
        <f>Foundation!H508</f>
        <v>0</v>
      </c>
    </row>
    <row r="567" spans="1:8" x14ac:dyDescent="0.25">
      <c r="A567" s="352">
        <f>+SUBTOTAL(3,$G$7:$G567)</f>
        <v>451</v>
      </c>
      <c r="B567" s="353">
        <f>Foundation!B561</f>
        <v>0</v>
      </c>
      <c r="C567" s="363">
        <f>Foundation!C510</f>
        <v>0</v>
      </c>
      <c r="D567" s="363">
        <f>Foundation!D510</f>
        <v>0</v>
      </c>
      <c r="E567" s="363">
        <f>Foundation!E510</f>
        <v>0</v>
      </c>
      <c r="F567" s="363" t="str">
        <f t="shared" si="9"/>
        <v/>
      </c>
      <c r="G567" s="364"/>
      <c r="H567" s="365">
        <f>Foundation!H509</f>
        <v>0</v>
      </c>
    </row>
    <row r="568" spans="1:8" x14ac:dyDescent="0.25">
      <c r="A568" s="352">
        <f>+SUBTOTAL(3,$G$7:$G568)</f>
        <v>451</v>
      </c>
      <c r="B568" s="353">
        <f>Foundation!B562</f>
        <v>0</v>
      </c>
      <c r="C568" s="363">
        <f>Foundation!C511</f>
        <v>0</v>
      </c>
      <c r="D568" s="363">
        <f>Foundation!D511</f>
        <v>0</v>
      </c>
      <c r="E568" s="363">
        <f>Foundation!E511</f>
        <v>0</v>
      </c>
      <c r="F568" s="363" t="str">
        <f t="shared" si="9"/>
        <v/>
      </c>
      <c r="G568" s="364"/>
      <c r="H568" s="365">
        <f>Foundation!H510</f>
        <v>0</v>
      </c>
    </row>
    <row r="569" spans="1:8" x14ac:dyDescent="0.25">
      <c r="A569" s="352">
        <f>+SUBTOTAL(3,$G$7:$G569)</f>
        <v>451</v>
      </c>
      <c r="B569" s="353">
        <f>Foundation!B563</f>
        <v>0</v>
      </c>
      <c r="C569" s="363">
        <f>Foundation!C512</f>
        <v>0</v>
      </c>
      <c r="D569" s="363">
        <f>Foundation!D512</f>
        <v>0</v>
      </c>
      <c r="E569" s="363">
        <f>Foundation!E512</f>
        <v>0</v>
      </c>
      <c r="F569" s="363" t="str">
        <f t="shared" si="9"/>
        <v/>
      </c>
      <c r="G569" s="364"/>
      <c r="H569" s="365">
        <f>Foundation!H511</f>
        <v>0</v>
      </c>
    </row>
    <row r="570" spans="1:8" x14ac:dyDescent="0.25">
      <c r="A570" s="352">
        <f>+SUBTOTAL(3,$G$7:$G570)</f>
        <v>451</v>
      </c>
      <c r="B570" s="353">
        <f>Foundation!B564</f>
        <v>0</v>
      </c>
      <c r="C570" s="363">
        <f>Foundation!C513</f>
        <v>0</v>
      </c>
      <c r="D570" s="363">
        <f>Foundation!D513</f>
        <v>0</v>
      </c>
      <c r="E570" s="363">
        <f>Foundation!E513</f>
        <v>0</v>
      </c>
      <c r="F570" s="363" t="str">
        <f t="shared" si="9"/>
        <v/>
      </c>
      <c r="G570" s="364"/>
      <c r="H570" s="365">
        <f>Foundation!H512</f>
        <v>0</v>
      </c>
    </row>
    <row r="571" spans="1:8" x14ac:dyDescent="0.25">
      <c r="A571" s="352">
        <f>+SUBTOTAL(3,$G$7:$G571)</f>
        <v>451</v>
      </c>
      <c r="B571" s="353">
        <f>Foundation!B565</f>
        <v>0</v>
      </c>
      <c r="C571" s="363">
        <f>Foundation!C514</f>
        <v>0</v>
      </c>
      <c r="D571" s="363">
        <f>Foundation!D514</f>
        <v>0</v>
      </c>
      <c r="E571" s="363">
        <f>Foundation!E514</f>
        <v>0</v>
      </c>
      <c r="F571" s="363" t="str">
        <f t="shared" si="9"/>
        <v/>
      </c>
      <c r="G571" s="364"/>
      <c r="H571" s="365">
        <f>Foundation!H513</f>
        <v>0</v>
      </c>
    </row>
    <row r="572" spans="1:8" x14ac:dyDescent="0.25">
      <c r="A572" s="352">
        <f>+SUBTOTAL(3,$G$7:$G572)</f>
        <v>451</v>
      </c>
      <c r="B572" s="353">
        <f>Foundation!B566</f>
        <v>0</v>
      </c>
      <c r="C572" s="363">
        <f>Foundation!C515</f>
        <v>0</v>
      </c>
      <c r="D572" s="363">
        <f>Foundation!D515</f>
        <v>0</v>
      </c>
      <c r="E572" s="363">
        <f>Foundation!E515</f>
        <v>0</v>
      </c>
      <c r="F572" s="363" t="str">
        <f t="shared" si="9"/>
        <v/>
      </c>
      <c r="G572" s="364"/>
      <c r="H572" s="365">
        <f>Foundation!H514</f>
        <v>0</v>
      </c>
    </row>
    <row r="573" spans="1:8" x14ac:dyDescent="0.25">
      <c r="A573" s="352">
        <f>+SUBTOTAL(3,$G$7:$G573)</f>
        <v>451</v>
      </c>
      <c r="B573" s="353">
        <f>Foundation!B567</f>
        <v>0</v>
      </c>
      <c r="C573" s="363">
        <f>Foundation!C516</f>
        <v>0</v>
      </c>
      <c r="D573" s="363">
        <f>Foundation!D516</f>
        <v>0</v>
      </c>
      <c r="E573" s="363">
        <f>Foundation!E516</f>
        <v>0</v>
      </c>
      <c r="F573" s="363" t="str">
        <f t="shared" si="9"/>
        <v/>
      </c>
      <c r="G573" s="364"/>
      <c r="H573" s="365">
        <f>Foundation!H515</f>
        <v>0</v>
      </c>
    </row>
    <row r="574" spans="1:8" x14ac:dyDescent="0.25">
      <c r="A574" s="352">
        <f>+SUBTOTAL(3,$G$7:$G574)</f>
        <v>451</v>
      </c>
      <c r="B574" s="353">
        <f>Foundation!B568</f>
        <v>0</v>
      </c>
      <c r="C574" s="363">
        <f>Foundation!C517</f>
        <v>0</v>
      </c>
      <c r="D574" s="363">
        <f>Foundation!D517</f>
        <v>0</v>
      </c>
      <c r="E574" s="363">
        <f>Foundation!E517</f>
        <v>0</v>
      </c>
      <c r="F574" s="363" t="str">
        <f t="shared" si="9"/>
        <v/>
      </c>
      <c r="G574" s="364"/>
      <c r="H574" s="365">
        <f>Foundation!H516</f>
        <v>0</v>
      </c>
    </row>
    <row r="575" spans="1:8" x14ac:dyDescent="0.25">
      <c r="A575" s="352">
        <f>+SUBTOTAL(3,$G$7:$G575)</f>
        <v>451</v>
      </c>
      <c r="B575" s="353">
        <f>Foundation!B569</f>
        <v>0</v>
      </c>
      <c r="C575" s="363">
        <f>Foundation!C518</f>
        <v>0</v>
      </c>
      <c r="D575" s="363">
        <f>Foundation!D518</f>
        <v>0</v>
      </c>
      <c r="E575" s="363">
        <f>Foundation!E518</f>
        <v>0</v>
      </c>
      <c r="F575" s="363" t="str">
        <f t="shared" si="9"/>
        <v/>
      </c>
      <c r="G575" s="364"/>
      <c r="H575" s="365">
        <f>Foundation!H517</f>
        <v>0</v>
      </c>
    </row>
    <row r="576" spans="1:8" x14ac:dyDescent="0.25">
      <c r="A576" s="352">
        <f>+SUBTOTAL(3,$G$7:$G576)</f>
        <v>451</v>
      </c>
      <c r="B576" s="353">
        <f>Foundation!B570</f>
        <v>0</v>
      </c>
      <c r="C576" s="363">
        <f>Foundation!C519</f>
        <v>0</v>
      </c>
      <c r="D576" s="363">
        <f>Foundation!D519</f>
        <v>0</v>
      </c>
      <c r="E576" s="363">
        <f>Foundation!E519</f>
        <v>0</v>
      </c>
      <c r="F576" s="363" t="str">
        <f t="shared" si="9"/>
        <v/>
      </c>
      <c r="G576" s="364"/>
      <c r="H576" s="365">
        <f>Foundation!H518</f>
        <v>0</v>
      </c>
    </row>
    <row r="577" spans="1:8" x14ac:dyDescent="0.25">
      <c r="A577" s="352">
        <f>+SUBTOTAL(3,$G$7:$G577)</f>
        <v>451</v>
      </c>
      <c r="B577" s="353">
        <f>Foundation!B571</f>
        <v>0</v>
      </c>
      <c r="C577" s="363">
        <f>Foundation!C520</f>
        <v>0</v>
      </c>
      <c r="D577" s="363">
        <f>Foundation!D520</f>
        <v>0</v>
      </c>
      <c r="E577" s="363">
        <f>Foundation!E520</f>
        <v>0</v>
      </c>
      <c r="F577" s="363" t="str">
        <f t="shared" si="9"/>
        <v/>
      </c>
      <c r="G577" s="364"/>
      <c r="H577" s="365">
        <f>Foundation!H519</f>
        <v>0</v>
      </c>
    </row>
    <row r="578" spans="1:8" x14ac:dyDescent="0.25">
      <c r="A578" s="352">
        <f>+SUBTOTAL(3,$G$7:$G578)</f>
        <v>451</v>
      </c>
      <c r="B578" s="353">
        <f>Foundation!B572</f>
        <v>0</v>
      </c>
      <c r="C578" s="363">
        <f>Foundation!C521</f>
        <v>0</v>
      </c>
      <c r="D578" s="363">
        <f>Foundation!D521</f>
        <v>0</v>
      </c>
      <c r="E578" s="363">
        <f>Foundation!E521</f>
        <v>0</v>
      </c>
      <c r="F578" s="363" t="str">
        <f t="shared" si="9"/>
        <v/>
      </c>
      <c r="G578" s="364"/>
      <c r="H578" s="365">
        <f>Foundation!H520</f>
        <v>0</v>
      </c>
    </row>
    <row r="579" spans="1:8" x14ac:dyDescent="0.25">
      <c r="A579" s="352">
        <f>+SUBTOTAL(3,$G$7:$G579)</f>
        <v>451</v>
      </c>
      <c r="B579" s="353">
        <f>Foundation!B573</f>
        <v>0</v>
      </c>
      <c r="C579" s="363">
        <f>Foundation!C522</f>
        <v>0</v>
      </c>
      <c r="D579" s="363">
        <f>Foundation!D522</f>
        <v>0</v>
      </c>
      <c r="E579" s="363">
        <f>Foundation!E522</f>
        <v>0</v>
      </c>
      <c r="F579" s="363" t="str">
        <f t="shared" si="9"/>
        <v/>
      </c>
      <c r="G579" s="364"/>
      <c r="H579" s="365">
        <f>Foundation!H521</f>
        <v>0</v>
      </c>
    </row>
    <row r="580" spans="1:8" x14ac:dyDescent="0.25">
      <c r="A580" s="352">
        <f>+SUBTOTAL(3,$G$7:$G580)</f>
        <v>451</v>
      </c>
      <c r="B580" s="353">
        <f>Foundation!B574</f>
        <v>0</v>
      </c>
      <c r="C580" s="363">
        <f>Foundation!C523</f>
        <v>0</v>
      </c>
      <c r="D580" s="363">
        <f>Foundation!D523</f>
        <v>0</v>
      </c>
      <c r="E580" s="363">
        <f>Foundation!E523</f>
        <v>0</v>
      </c>
      <c r="F580" s="363" t="str">
        <f t="shared" si="9"/>
        <v/>
      </c>
      <c r="G580" s="364"/>
      <c r="H580" s="365">
        <f>Foundation!H522</f>
        <v>0</v>
      </c>
    </row>
    <row r="581" spans="1:8" x14ac:dyDescent="0.25">
      <c r="A581" s="352">
        <f>+SUBTOTAL(3,$G$7:$G581)</f>
        <v>451</v>
      </c>
      <c r="B581" s="353">
        <f>Foundation!B575</f>
        <v>0</v>
      </c>
      <c r="C581" s="363">
        <f>Foundation!C524</f>
        <v>0</v>
      </c>
      <c r="D581" s="363">
        <f>Foundation!D524</f>
        <v>0</v>
      </c>
      <c r="E581" s="363">
        <f>Foundation!E524</f>
        <v>0</v>
      </c>
      <c r="F581" s="363" t="str">
        <f t="shared" si="9"/>
        <v/>
      </c>
      <c r="G581" s="364"/>
      <c r="H581" s="365">
        <f>Foundation!H523</f>
        <v>0</v>
      </c>
    </row>
    <row r="582" spans="1:8" x14ac:dyDescent="0.25">
      <c r="A582" s="352">
        <f>+SUBTOTAL(3,$G$7:$G582)</f>
        <v>451</v>
      </c>
      <c r="B582" s="353">
        <f>Foundation!B576</f>
        <v>0</v>
      </c>
      <c r="C582" s="363">
        <f>Foundation!C525</f>
        <v>0</v>
      </c>
      <c r="D582" s="363">
        <f>Foundation!D525</f>
        <v>0</v>
      </c>
      <c r="E582" s="363">
        <f>Foundation!E525</f>
        <v>0</v>
      </c>
      <c r="F582" s="363" t="str">
        <f t="shared" si="9"/>
        <v/>
      </c>
      <c r="G582" s="364"/>
      <c r="H582" s="365">
        <f>Foundation!H524</f>
        <v>0</v>
      </c>
    </row>
    <row r="583" spans="1:8" x14ac:dyDescent="0.25">
      <c r="A583" s="352">
        <f>+SUBTOTAL(3,$G$7:$G583)</f>
        <v>451</v>
      </c>
      <c r="B583" s="353">
        <f>Foundation!B577</f>
        <v>0</v>
      </c>
      <c r="C583" s="363">
        <f>Foundation!C526</f>
        <v>0</v>
      </c>
      <c r="D583" s="363">
        <f>Foundation!D526</f>
        <v>0</v>
      </c>
      <c r="E583" s="363">
        <f>Foundation!E526</f>
        <v>0</v>
      </c>
      <c r="F583" s="363" t="str">
        <f t="shared" si="9"/>
        <v/>
      </c>
      <c r="G583" s="364"/>
      <c r="H583" s="365">
        <f>Foundation!H525</f>
        <v>0</v>
      </c>
    </row>
    <row r="584" spans="1:8" x14ac:dyDescent="0.25">
      <c r="A584" s="352">
        <f>+SUBTOTAL(3,$G$7:$G584)</f>
        <v>451</v>
      </c>
      <c r="B584" s="353">
        <f>Foundation!B578</f>
        <v>0</v>
      </c>
      <c r="C584" s="363">
        <f>Foundation!C527</f>
        <v>0</v>
      </c>
      <c r="D584" s="363">
        <f>Foundation!D527</f>
        <v>0</v>
      </c>
      <c r="E584" s="363">
        <f>Foundation!E527</f>
        <v>0</v>
      </c>
      <c r="F584" s="363" t="str">
        <f t="shared" si="9"/>
        <v/>
      </c>
      <c r="G584" s="364"/>
      <c r="H584" s="365">
        <f>Foundation!H526</f>
        <v>0</v>
      </c>
    </row>
    <row r="585" spans="1:8" x14ac:dyDescent="0.25">
      <c r="A585" s="352">
        <f>+SUBTOTAL(3,$G$7:$G585)</f>
        <v>451</v>
      </c>
      <c r="B585" s="353">
        <f>Foundation!B579</f>
        <v>0</v>
      </c>
      <c r="C585" s="363">
        <f>Foundation!C528</f>
        <v>0</v>
      </c>
      <c r="D585" s="363">
        <f>Foundation!D528</f>
        <v>0</v>
      </c>
      <c r="E585" s="363">
        <f>Foundation!E528</f>
        <v>0</v>
      </c>
      <c r="F585" s="363" t="str">
        <f t="shared" si="9"/>
        <v/>
      </c>
      <c r="G585" s="364"/>
      <c r="H585" s="365">
        <f>Foundation!H527</f>
        <v>0</v>
      </c>
    </row>
    <row r="586" spans="1:8" x14ac:dyDescent="0.25">
      <c r="A586" s="352">
        <f>+SUBTOTAL(3,$G$7:$G586)</f>
        <v>451</v>
      </c>
      <c r="B586" s="353">
        <f>Foundation!B580</f>
        <v>0</v>
      </c>
      <c r="C586" s="363">
        <f>Foundation!C528</f>
        <v>0</v>
      </c>
      <c r="D586" s="363">
        <f>Foundation!D528</f>
        <v>0</v>
      </c>
      <c r="E586" s="363">
        <f>Foundation!E528</f>
        <v>0</v>
      </c>
      <c r="F586" s="363" t="str">
        <f t="shared" ref="F586:F603" si="10">+IF(E586=0,"",IF(E586="DFR","CP","Pipe"))</f>
        <v/>
      </c>
      <c r="G586" s="364"/>
      <c r="H586" s="365">
        <f>Foundation!H528</f>
        <v>0</v>
      </c>
    </row>
    <row r="587" spans="1:8" x14ac:dyDescent="0.25">
      <c r="A587" s="352">
        <f>+SUBTOTAL(3,$G$7:$G587)</f>
        <v>451</v>
      </c>
      <c r="B587" s="353">
        <f>Foundation!B581</f>
        <v>0</v>
      </c>
      <c r="C587" s="363">
        <f>Foundation!C529</f>
        <v>0</v>
      </c>
      <c r="D587" s="363">
        <f>Foundation!D529</f>
        <v>0</v>
      </c>
      <c r="E587" s="363">
        <f>Foundation!E529</f>
        <v>0</v>
      </c>
      <c r="F587" s="363" t="str">
        <f t="shared" si="10"/>
        <v/>
      </c>
      <c r="G587" s="364"/>
      <c r="H587" s="365">
        <f>Foundation!H529</f>
        <v>0</v>
      </c>
    </row>
    <row r="588" spans="1:8" x14ac:dyDescent="0.25">
      <c r="A588" s="352">
        <f>+SUBTOTAL(3,$G$7:$G588)</f>
        <v>451</v>
      </c>
      <c r="B588" s="353">
        <f>Foundation!B582</f>
        <v>0</v>
      </c>
      <c r="C588" s="363">
        <f>Foundation!C530</f>
        <v>0</v>
      </c>
      <c r="D588" s="363">
        <f>Foundation!D530</f>
        <v>0</v>
      </c>
      <c r="E588" s="363">
        <f>Foundation!E530</f>
        <v>0</v>
      </c>
      <c r="F588" s="363" t="str">
        <f t="shared" si="10"/>
        <v/>
      </c>
      <c r="G588" s="364"/>
      <c r="H588" s="365">
        <f>Foundation!H530</f>
        <v>0</v>
      </c>
    </row>
    <row r="589" spans="1:8" x14ac:dyDescent="0.25">
      <c r="A589" s="352">
        <f>+SUBTOTAL(3,$G$7:$G589)</f>
        <v>451</v>
      </c>
      <c r="B589" s="353">
        <f>Foundation!B583</f>
        <v>0</v>
      </c>
      <c r="C589" s="363">
        <f>Foundation!C531</f>
        <v>0</v>
      </c>
      <c r="D589" s="363">
        <f>Foundation!D531</f>
        <v>0</v>
      </c>
      <c r="E589" s="363">
        <f>Foundation!E531</f>
        <v>0</v>
      </c>
      <c r="F589" s="363" t="str">
        <f t="shared" si="10"/>
        <v/>
      </c>
      <c r="G589" s="364"/>
      <c r="H589" s="365">
        <f>Foundation!H531</f>
        <v>0</v>
      </c>
    </row>
    <row r="590" spans="1:8" x14ac:dyDescent="0.25">
      <c r="A590" s="352">
        <f>+SUBTOTAL(3,$G$7:$G590)</f>
        <v>451</v>
      </c>
      <c r="B590" s="353">
        <f>Foundation!B584</f>
        <v>0</v>
      </c>
      <c r="C590" s="363">
        <f>Foundation!C532</f>
        <v>0</v>
      </c>
      <c r="D590" s="363">
        <f>Foundation!D532</f>
        <v>0</v>
      </c>
      <c r="E590" s="363">
        <f>Foundation!E532</f>
        <v>0</v>
      </c>
      <c r="F590" s="363" t="str">
        <f t="shared" si="10"/>
        <v/>
      </c>
      <c r="G590" s="364"/>
      <c r="H590" s="365">
        <f>Foundation!H532</f>
        <v>0</v>
      </c>
    </row>
    <row r="591" spans="1:8" x14ac:dyDescent="0.25">
      <c r="A591" s="352">
        <f>+SUBTOTAL(3,$G$7:$G591)</f>
        <v>451</v>
      </c>
      <c r="B591" s="353">
        <f>Foundation!B585</f>
        <v>0</v>
      </c>
      <c r="C591" s="363">
        <f>Foundation!C533</f>
        <v>0</v>
      </c>
      <c r="D591" s="363">
        <f>Foundation!D533</f>
        <v>0</v>
      </c>
      <c r="E591" s="363">
        <f>Foundation!E533</f>
        <v>0</v>
      </c>
      <c r="F591" s="363" t="str">
        <f t="shared" si="10"/>
        <v/>
      </c>
      <c r="G591" s="364"/>
      <c r="H591" s="365">
        <f>Foundation!H533</f>
        <v>0</v>
      </c>
    </row>
    <row r="592" spans="1:8" x14ac:dyDescent="0.25">
      <c r="A592" s="352">
        <f>+SUBTOTAL(3,$G$7:$G592)</f>
        <v>451</v>
      </c>
      <c r="B592" s="353">
        <f>Foundation!B586</f>
        <v>0</v>
      </c>
      <c r="C592" s="363">
        <f>Foundation!C534</f>
        <v>0</v>
      </c>
      <c r="D592" s="363">
        <f>Foundation!D534</f>
        <v>0</v>
      </c>
      <c r="E592" s="363">
        <f>Foundation!E534</f>
        <v>0</v>
      </c>
      <c r="F592" s="363" t="str">
        <f t="shared" si="10"/>
        <v/>
      </c>
      <c r="G592" s="364"/>
      <c r="H592" s="365">
        <f>Foundation!H534</f>
        <v>0</v>
      </c>
    </row>
    <row r="593" spans="1:8" x14ac:dyDescent="0.25">
      <c r="A593" s="352">
        <f>+SUBTOTAL(3,$G$7:$G593)</f>
        <v>451</v>
      </c>
      <c r="B593" s="353">
        <f>Foundation!B587</f>
        <v>0</v>
      </c>
      <c r="C593" s="363">
        <f>Foundation!C535</f>
        <v>0</v>
      </c>
      <c r="D593" s="363">
        <f>Foundation!D535</f>
        <v>0</v>
      </c>
      <c r="E593" s="363">
        <f>Foundation!E535</f>
        <v>0</v>
      </c>
      <c r="F593" s="363" t="str">
        <f t="shared" si="10"/>
        <v/>
      </c>
      <c r="G593" s="364"/>
      <c r="H593" s="365">
        <f>Foundation!H535</f>
        <v>0</v>
      </c>
    </row>
    <row r="594" spans="1:8" x14ac:dyDescent="0.25">
      <c r="A594" s="352">
        <f>+SUBTOTAL(3,$G$7:$G594)</f>
        <v>451</v>
      </c>
      <c r="B594" s="353">
        <f>Foundation!B588</f>
        <v>0</v>
      </c>
      <c r="C594" s="363">
        <f>Foundation!C536</f>
        <v>0</v>
      </c>
      <c r="D594" s="363">
        <f>Foundation!D536</f>
        <v>0</v>
      </c>
      <c r="E594" s="363">
        <f>Foundation!E536</f>
        <v>0</v>
      </c>
      <c r="F594" s="363" t="str">
        <f t="shared" si="10"/>
        <v/>
      </c>
      <c r="G594" s="364"/>
      <c r="H594" s="365">
        <f>Foundation!H536</f>
        <v>0</v>
      </c>
    </row>
    <row r="595" spans="1:8" x14ac:dyDescent="0.25">
      <c r="A595" s="352">
        <f>+SUBTOTAL(3,$G$7:$G595)</f>
        <v>451</v>
      </c>
      <c r="B595" s="353">
        <f>Foundation!B589</f>
        <v>0</v>
      </c>
      <c r="C595" s="363">
        <f>Foundation!C537</f>
        <v>0</v>
      </c>
      <c r="D595" s="363">
        <f>Foundation!D537</f>
        <v>0</v>
      </c>
      <c r="E595" s="363">
        <f>Foundation!E537</f>
        <v>0</v>
      </c>
      <c r="F595" s="363" t="str">
        <f t="shared" si="10"/>
        <v/>
      </c>
      <c r="G595" s="364"/>
      <c r="H595" s="365">
        <f>Foundation!H537</f>
        <v>0</v>
      </c>
    </row>
    <row r="596" spans="1:8" x14ac:dyDescent="0.25">
      <c r="A596" s="352">
        <f>+SUBTOTAL(3,$G$7:$G596)</f>
        <v>451</v>
      </c>
      <c r="B596" s="353">
        <f>Foundation!B590</f>
        <v>0</v>
      </c>
      <c r="C596" s="363">
        <f>Foundation!C538</f>
        <v>0</v>
      </c>
      <c r="D596" s="363">
        <f>Foundation!D538</f>
        <v>0</v>
      </c>
      <c r="E596" s="363">
        <f>Foundation!E538</f>
        <v>0</v>
      </c>
      <c r="F596" s="363" t="str">
        <f t="shared" si="10"/>
        <v/>
      </c>
      <c r="G596" s="364"/>
      <c r="H596" s="365">
        <f>Foundation!H538</f>
        <v>0</v>
      </c>
    </row>
    <row r="597" spans="1:8" x14ac:dyDescent="0.25">
      <c r="A597" s="352">
        <f>+SUBTOTAL(3,$G$7:$G597)</f>
        <v>451</v>
      </c>
      <c r="B597" s="353">
        <f>Foundation!B591</f>
        <v>0</v>
      </c>
      <c r="C597" s="363">
        <f>Foundation!C539</f>
        <v>0</v>
      </c>
      <c r="D597" s="363">
        <f>Foundation!D539</f>
        <v>0</v>
      </c>
      <c r="E597" s="363">
        <f>Foundation!E539</f>
        <v>0</v>
      </c>
      <c r="F597" s="363" t="str">
        <f t="shared" si="10"/>
        <v/>
      </c>
      <c r="G597" s="364"/>
      <c r="H597" s="365">
        <f>Foundation!H539</f>
        <v>0</v>
      </c>
    </row>
    <row r="598" spans="1:8" x14ac:dyDescent="0.25">
      <c r="A598" s="352">
        <f>+SUBTOTAL(3,$G$7:$G598)</f>
        <v>451</v>
      </c>
      <c r="B598" s="353">
        <f>Foundation!B592</f>
        <v>0</v>
      </c>
      <c r="C598" s="363">
        <f>Foundation!C540</f>
        <v>0</v>
      </c>
      <c r="D598" s="363">
        <f>Foundation!D540</f>
        <v>0</v>
      </c>
      <c r="E598" s="363">
        <f>Foundation!E540</f>
        <v>0</v>
      </c>
      <c r="F598" s="363" t="str">
        <f t="shared" si="10"/>
        <v/>
      </c>
      <c r="G598" s="364"/>
      <c r="H598" s="365">
        <f>Foundation!H540</f>
        <v>0</v>
      </c>
    </row>
    <row r="599" spans="1:8" x14ac:dyDescent="0.25">
      <c r="A599" s="352">
        <f>+SUBTOTAL(3,$G$7:$G599)</f>
        <v>451</v>
      </c>
      <c r="B599" s="353">
        <f>Foundation!B593</f>
        <v>0</v>
      </c>
      <c r="C599" s="363">
        <f>Foundation!C541</f>
        <v>0</v>
      </c>
      <c r="D599" s="363">
        <f>Foundation!D541</f>
        <v>0</v>
      </c>
      <c r="E599" s="363">
        <f>Foundation!E541</f>
        <v>0</v>
      </c>
      <c r="F599" s="363" t="str">
        <f t="shared" si="10"/>
        <v/>
      </c>
      <c r="G599" s="364"/>
      <c r="H599" s="365">
        <f>Foundation!H541</f>
        <v>0</v>
      </c>
    </row>
    <row r="600" spans="1:8" x14ac:dyDescent="0.25">
      <c r="A600" s="352">
        <f>+SUBTOTAL(3,$G$7:$G600)</f>
        <v>451</v>
      </c>
      <c r="B600" s="353">
        <f>Foundation!B594</f>
        <v>0</v>
      </c>
      <c r="C600" s="363">
        <f>Foundation!C542</f>
        <v>0</v>
      </c>
      <c r="D600" s="363">
        <f>Foundation!D542</f>
        <v>0</v>
      </c>
      <c r="E600" s="363">
        <f>Foundation!E542</f>
        <v>0</v>
      </c>
      <c r="F600" s="363" t="str">
        <f t="shared" si="10"/>
        <v/>
      </c>
      <c r="G600" s="364"/>
      <c r="H600" s="365">
        <f>Foundation!H542</f>
        <v>0</v>
      </c>
    </row>
    <row r="601" spans="1:8" x14ac:dyDescent="0.25">
      <c r="A601" s="352">
        <f>+SUBTOTAL(3,$G$7:$G601)</f>
        <v>451</v>
      </c>
      <c r="B601" s="353">
        <f>Foundation!B595</f>
        <v>0</v>
      </c>
      <c r="C601" s="363">
        <f>Foundation!C543</f>
        <v>0</v>
      </c>
      <c r="D601" s="363">
        <f>Foundation!D543</f>
        <v>0</v>
      </c>
      <c r="E601" s="363">
        <f>Foundation!E543</f>
        <v>0</v>
      </c>
      <c r="F601" s="363" t="str">
        <f t="shared" si="10"/>
        <v/>
      </c>
      <c r="G601" s="364"/>
      <c r="H601" s="365">
        <f>Foundation!H543</f>
        <v>0</v>
      </c>
    </row>
    <row r="602" spans="1:8" x14ac:dyDescent="0.25">
      <c r="A602" s="352">
        <f>+SUBTOTAL(3,$G$7:$G602)</f>
        <v>451</v>
      </c>
      <c r="B602" s="353">
        <f>Foundation!B596</f>
        <v>0</v>
      </c>
      <c r="C602" s="363">
        <f>Foundation!C544</f>
        <v>0</v>
      </c>
      <c r="D602" s="363">
        <f>Foundation!D544</f>
        <v>0</v>
      </c>
      <c r="E602" s="363">
        <f>Foundation!E544</f>
        <v>0</v>
      </c>
      <c r="F602" s="363" t="str">
        <f t="shared" si="10"/>
        <v/>
      </c>
      <c r="G602" s="364"/>
      <c r="H602" s="365">
        <f>Foundation!H544</f>
        <v>0</v>
      </c>
    </row>
    <row r="603" spans="1:8" x14ac:dyDescent="0.25">
      <c r="A603" s="352">
        <f>+SUBTOTAL(3,$G$7:$G603)</f>
        <v>451</v>
      </c>
      <c r="B603" s="353">
        <f>Foundation!B597</f>
        <v>0</v>
      </c>
      <c r="C603" s="363">
        <f>Foundation!C545</f>
        <v>0</v>
      </c>
      <c r="D603" s="363">
        <f>Foundation!D545</f>
        <v>0</v>
      </c>
      <c r="E603" s="363">
        <f>Foundation!E545</f>
        <v>0</v>
      </c>
      <c r="F603" s="363" t="str">
        <f t="shared" si="10"/>
        <v/>
      </c>
      <c r="G603" s="364"/>
      <c r="H603" s="365">
        <f>Foundation!H545</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R105" activePane="bottomRight" state="frozen"/>
      <selection activeCell="D479" sqref="D479"/>
      <selection pane="topRight" activeCell="D479" sqref="D479"/>
      <selection pane="bottomLeft" activeCell="D479" sqref="D479"/>
      <selection pane="bottomRight" activeCell="BU114" sqref="BU114"/>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71" t="s">
        <v>1369</v>
      </c>
      <c r="B1" s="871" t="s">
        <v>1370</v>
      </c>
      <c r="C1" s="871" t="s">
        <v>1371</v>
      </c>
      <c r="D1" s="554" t="s">
        <v>1372</v>
      </c>
      <c r="E1" s="554" t="s">
        <v>1373</v>
      </c>
      <c r="F1" s="554" t="s">
        <v>1374</v>
      </c>
      <c r="G1" s="873" t="s">
        <v>1476</v>
      </c>
      <c r="H1" s="873"/>
      <c r="I1" s="873"/>
      <c r="J1" s="871" t="s">
        <v>1375</v>
      </c>
      <c r="BS1" s="493"/>
    </row>
    <row r="2" spans="1:71" x14ac:dyDescent="0.25">
      <c r="A2" s="872"/>
      <c r="B2" s="872"/>
      <c r="C2" s="872"/>
      <c r="D2" s="554" t="s">
        <v>1376</v>
      </c>
      <c r="E2" s="554" t="s">
        <v>1593</v>
      </c>
      <c r="F2" s="554" t="s">
        <v>1475</v>
      </c>
      <c r="G2" s="554" t="s">
        <v>1377</v>
      </c>
      <c r="H2" s="554" t="s">
        <v>124</v>
      </c>
      <c r="I2" s="554" t="s">
        <v>952</v>
      </c>
      <c r="J2" s="872"/>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69" t="s">
        <v>1561</v>
      </c>
      <c r="B7" s="870"/>
      <c r="C7" s="870"/>
      <c r="D7" s="870"/>
      <c r="E7" s="870"/>
      <c r="F7" s="870"/>
      <c r="G7" s="870"/>
      <c r="H7" s="870"/>
      <c r="I7" s="870"/>
      <c r="J7" s="870"/>
      <c r="K7" s="870"/>
      <c r="L7" s="870"/>
      <c r="M7" s="870"/>
      <c r="N7" s="870"/>
      <c r="O7" s="870"/>
      <c r="P7" s="870"/>
      <c r="Q7" s="870"/>
      <c r="R7" s="870"/>
      <c r="S7" s="870"/>
      <c r="T7" s="870"/>
      <c r="U7" s="870"/>
      <c r="V7" s="870"/>
      <c r="W7" s="870"/>
      <c r="X7" s="870"/>
      <c r="Y7" s="870"/>
      <c r="Z7" s="870"/>
      <c r="AA7" s="870"/>
      <c r="AB7" s="870"/>
      <c r="AC7" s="870"/>
      <c r="AD7" s="870"/>
      <c r="AE7" s="870"/>
      <c r="AF7" s="870"/>
      <c r="AG7" s="870"/>
      <c r="AH7" s="870"/>
      <c r="AI7" s="870"/>
      <c r="AJ7" s="870"/>
      <c r="AK7" s="870"/>
      <c r="AL7" s="870"/>
      <c r="AM7" s="870"/>
      <c r="AN7" s="870"/>
      <c r="AO7" s="870"/>
      <c r="AP7" s="870"/>
      <c r="AQ7" s="870"/>
      <c r="AR7" s="870"/>
      <c r="AS7" s="870"/>
      <c r="AT7" s="870"/>
      <c r="AU7" s="870"/>
      <c r="AV7" s="870"/>
      <c r="AW7" s="870"/>
      <c r="AX7" s="870"/>
      <c r="AY7" s="870"/>
      <c r="AZ7" s="870"/>
      <c r="BA7" s="870"/>
      <c r="BB7" s="870"/>
      <c r="BC7" s="870"/>
      <c r="BD7" s="870"/>
      <c r="BE7" s="870"/>
      <c r="BF7" s="870"/>
      <c r="BG7" s="870"/>
      <c r="BH7" s="870"/>
      <c r="BI7" s="870"/>
      <c r="BJ7" s="870"/>
      <c r="BK7" s="870"/>
      <c r="BL7" s="870"/>
      <c r="BM7" s="870"/>
      <c r="BN7" s="870"/>
      <c r="BO7" s="870"/>
      <c r="BP7" s="870"/>
      <c r="BQ7" s="870"/>
      <c r="BR7" s="870"/>
      <c r="BS7" s="870"/>
    </row>
    <row r="8" spans="1:71" ht="30.75" customHeight="1" x14ac:dyDescent="0.25">
      <c r="A8" s="867" t="s">
        <v>304</v>
      </c>
      <c r="B8" s="867" t="s">
        <v>1378</v>
      </c>
      <c r="C8" s="875" t="s">
        <v>124</v>
      </c>
      <c r="D8" s="876"/>
      <c r="E8" s="877"/>
      <c r="F8" s="878" t="s">
        <v>6</v>
      </c>
      <c r="G8" s="878" t="s">
        <v>1379</v>
      </c>
      <c r="H8" s="867" t="s">
        <v>1477</v>
      </c>
      <c r="I8" s="867" t="s">
        <v>1478</v>
      </c>
      <c r="J8" s="867" t="s">
        <v>1479</v>
      </c>
      <c r="K8" s="867" t="s">
        <v>1480</v>
      </c>
      <c r="L8" s="867" t="s">
        <v>1481</v>
      </c>
      <c r="M8" s="867" t="s">
        <v>1516</v>
      </c>
      <c r="N8" s="867" t="s">
        <v>1517</v>
      </c>
      <c r="O8" s="867" t="s">
        <v>1482</v>
      </c>
      <c r="P8" s="867" t="s">
        <v>1483</v>
      </c>
      <c r="Q8" s="867" t="s">
        <v>1484</v>
      </c>
      <c r="R8" s="867" t="s">
        <v>1485</v>
      </c>
      <c r="S8" s="867" t="s">
        <v>1486</v>
      </c>
      <c r="T8" s="867" t="s">
        <v>1487</v>
      </c>
      <c r="U8" s="867" t="s">
        <v>1488</v>
      </c>
      <c r="V8" s="867" t="s">
        <v>1489</v>
      </c>
      <c r="W8" s="867" t="s">
        <v>1490</v>
      </c>
      <c r="X8" s="867" t="s">
        <v>1491</v>
      </c>
      <c r="Y8" s="867" t="s">
        <v>1492</v>
      </c>
      <c r="Z8" s="867" t="s">
        <v>1493</v>
      </c>
      <c r="AA8" s="867" t="s">
        <v>1494</v>
      </c>
      <c r="AB8" s="867" t="s">
        <v>1495</v>
      </c>
      <c r="AC8" s="867" t="s">
        <v>1496</v>
      </c>
      <c r="AD8" s="867" t="s">
        <v>1497</v>
      </c>
      <c r="AE8" s="867" t="s">
        <v>1498</v>
      </c>
      <c r="AF8" s="867" t="s">
        <v>1499</v>
      </c>
      <c r="AG8" s="867" t="s">
        <v>1500</v>
      </c>
      <c r="AH8" s="867" t="s">
        <v>1501</v>
      </c>
      <c r="AI8" s="867" t="s">
        <v>1502</v>
      </c>
      <c r="AJ8" s="867" t="s">
        <v>1503</v>
      </c>
      <c r="AK8" s="867" t="s">
        <v>1504</v>
      </c>
      <c r="AL8" s="867" t="s">
        <v>1553</v>
      </c>
      <c r="AM8" s="867" t="s">
        <v>1562</v>
      </c>
      <c r="AN8" s="867" t="s">
        <v>1563</v>
      </c>
      <c r="AO8" s="867" t="s">
        <v>1564</v>
      </c>
      <c r="AP8" s="867" t="s">
        <v>1565</v>
      </c>
      <c r="AQ8" s="867" t="s">
        <v>1566</v>
      </c>
      <c r="AR8" s="867" t="s">
        <v>1567</v>
      </c>
      <c r="AS8" s="867" t="s">
        <v>1568</v>
      </c>
      <c r="AT8" s="867" t="s">
        <v>1592</v>
      </c>
      <c r="AU8" s="867" t="s">
        <v>1569</v>
      </c>
      <c r="AV8" s="867" t="s">
        <v>1570</v>
      </c>
      <c r="AW8" s="867" t="s">
        <v>1571</v>
      </c>
      <c r="AX8" s="867" t="s">
        <v>1572</v>
      </c>
      <c r="AY8" s="867" t="s">
        <v>1573</v>
      </c>
      <c r="AZ8" s="867" t="s">
        <v>1574</v>
      </c>
      <c r="BA8" s="867" t="s">
        <v>1575</v>
      </c>
      <c r="BB8" s="867" t="s">
        <v>1576</v>
      </c>
      <c r="BC8" s="867" t="s">
        <v>1577</v>
      </c>
      <c r="BD8" s="867" t="s">
        <v>1578</v>
      </c>
      <c r="BE8" s="867" t="s">
        <v>1579</v>
      </c>
      <c r="BF8" s="867" t="s">
        <v>1580</v>
      </c>
      <c r="BG8" s="867" t="s">
        <v>1581</v>
      </c>
      <c r="BH8" s="867" t="s">
        <v>1582</v>
      </c>
      <c r="BI8" s="867" t="s">
        <v>1583</v>
      </c>
      <c r="BJ8" s="867" t="s">
        <v>1584</v>
      </c>
      <c r="BK8" s="867" t="s">
        <v>1585</v>
      </c>
      <c r="BL8" s="867" t="s">
        <v>1586</v>
      </c>
      <c r="BM8" s="867" t="s">
        <v>1587</v>
      </c>
      <c r="BN8" s="867" t="s">
        <v>1588</v>
      </c>
      <c r="BO8" s="867" t="s">
        <v>1589</v>
      </c>
      <c r="BP8" s="867" t="s">
        <v>1590</v>
      </c>
      <c r="BQ8" s="867" t="s">
        <v>1591</v>
      </c>
      <c r="BR8" s="867" t="s">
        <v>1380</v>
      </c>
      <c r="BS8" s="867" t="s">
        <v>1180</v>
      </c>
    </row>
    <row r="9" spans="1:71" ht="25.5" x14ac:dyDescent="0.25">
      <c r="A9" s="868"/>
      <c r="B9" s="868"/>
      <c r="C9" s="496" t="s">
        <v>115</v>
      </c>
      <c r="D9" s="496" t="s">
        <v>135</v>
      </c>
      <c r="E9" s="496" t="s">
        <v>1381</v>
      </c>
      <c r="F9" s="879"/>
      <c r="G9" s="879"/>
      <c r="H9" s="868"/>
      <c r="I9" s="868"/>
      <c r="J9" s="868"/>
      <c r="K9" s="868"/>
      <c r="L9" s="868"/>
      <c r="M9" s="868"/>
      <c r="N9" s="868"/>
      <c r="O9" s="868"/>
      <c r="P9" s="868"/>
      <c r="Q9" s="868"/>
      <c r="R9" s="868"/>
      <c r="S9" s="868"/>
      <c r="T9" s="868"/>
      <c r="U9" s="868"/>
      <c r="V9" s="868"/>
      <c r="W9" s="868"/>
      <c r="X9" s="868"/>
      <c r="Y9" s="868"/>
      <c r="Z9" s="868"/>
      <c r="AA9" s="868"/>
      <c r="AB9" s="868"/>
      <c r="AC9" s="868"/>
      <c r="AD9" s="868"/>
      <c r="AE9" s="868"/>
      <c r="AF9" s="868"/>
      <c r="AG9" s="868"/>
      <c r="AH9" s="868"/>
      <c r="AI9" s="868"/>
      <c r="AJ9" s="868"/>
      <c r="AK9" s="868"/>
      <c r="AL9" s="868"/>
      <c r="AM9" s="868"/>
      <c r="AN9" s="868"/>
      <c r="AO9" s="868"/>
      <c r="AP9" s="868"/>
      <c r="AQ9" s="868"/>
      <c r="AR9" s="868"/>
      <c r="AS9" s="868"/>
      <c r="AT9" s="868"/>
      <c r="AU9" s="868"/>
      <c r="AV9" s="868"/>
      <c r="AW9" s="868"/>
      <c r="AX9" s="868"/>
      <c r="AY9" s="868"/>
      <c r="AZ9" s="868"/>
      <c r="BA9" s="868"/>
      <c r="BB9" s="868"/>
      <c r="BC9" s="868"/>
      <c r="BD9" s="868"/>
      <c r="BE9" s="868"/>
      <c r="BF9" s="868"/>
      <c r="BG9" s="868"/>
      <c r="BH9" s="868"/>
      <c r="BI9" s="868"/>
      <c r="BJ9" s="868"/>
      <c r="BK9" s="868"/>
      <c r="BL9" s="868"/>
      <c r="BM9" s="868"/>
      <c r="BN9" s="868"/>
      <c r="BO9" s="868"/>
      <c r="BP9" s="868"/>
      <c r="BQ9" s="868"/>
      <c r="BR9" s="868"/>
      <c r="BS9" s="868"/>
    </row>
    <row r="10" spans="1:71" x14ac:dyDescent="0.25">
      <c r="A10" s="497">
        <v>1</v>
      </c>
      <c r="B10" s="650" t="s">
        <v>1451</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1465</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1459</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1414</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1465</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1474</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1471</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1473</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1391</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1472</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1462</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1414</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1414</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1474</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1509</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1465</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1510</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1505</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1471</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1473</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1515</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1518</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1521</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1524</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1506</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1414</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1391</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1519</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1391</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1465</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1510</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1473</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1414</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1511</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1518</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1522</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1525</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1399</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1526</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1509</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1608</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1595</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1555</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1606</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74" t="s">
        <v>19</v>
      </c>
      <c r="B119" s="874"/>
      <c r="C119" s="874"/>
      <c r="D119" s="874"/>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84" t="s">
        <v>1418</v>
      </c>
      <c r="B4" s="884" t="s">
        <v>1419</v>
      </c>
      <c r="C4" s="884" t="s">
        <v>139</v>
      </c>
      <c r="D4" s="884" t="s">
        <v>1420</v>
      </c>
      <c r="E4" s="884"/>
      <c r="F4" s="884"/>
      <c r="G4" s="884"/>
      <c r="H4" s="884"/>
      <c r="I4" s="884"/>
      <c r="J4" s="881" t="s">
        <v>1421</v>
      </c>
      <c r="K4" s="882"/>
      <c r="L4" s="882"/>
      <c r="M4" s="882"/>
      <c r="N4" s="882"/>
      <c r="O4" s="883"/>
    </row>
    <row r="5" spans="1:16" s="669" customFormat="1" ht="31.5" x14ac:dyDescent="0.25">
      <c r="A5" s="884"/>
      <c r="B5" s="884"/>
      <c r="C5" s="884"/>
      <c r="D5" s="671" t="s">
        <v>6</v>
      </c>
      <c r="E5" s="671" t="s">
        <v>1423</v>
      </c>
      <c r="F5" s="671" t="s">
        <v>1424</v>
      </c>
      <c r="G5" s="671" t="s">
        <v>1309</v>
      </c>
      <c r="H5" s="671" t="s">
        <v>1425</v>
      </c>
      <c r="I5" s="671" t="s">
        <v>1426</v>
      </c>
      <c r="J5" s="671" t="s">
        <v>6</v>
      </c>
      <c r="K5" s="671" t="s">
        <v>1423</v>
      </c>
      <c r="L5" s="671" t="s">
        <v>1424</v>
      </c>
      <c r="M5" s="671" t="s">
        <v>1309</v>
      </c>
      <c r="N5" s="671" t="s">
        <v>1426</v>
      </c>
      <c r="O5" s="671" t="s">
        <v>1422</v>
      </c>
    </row>
    <row r="6" spans="1:16" x14ac:dyDescent="0.25">
      <c r="A6" s="472">
        <v>1</v>
      </c>
      <c r="B6" s="472" t="s">
        <v>632</v>
      </c>
      <c r="C6" s="472" t="s">
        <v>20</v>
      </c>
      <c r="D6" s="624">
        <v>45787</v>
      </c>
      <c r="E6" s="624">
        <v>45791</v>
      </c>
      <c r="F6" s="472">
        <f>+_xlfn.DAYS(E6,D6)+1</f>
        <v>5</v>
      </c>
      <c r="G6" s="627">
        <v>14.78</v>
      </c>
      <c r="H6" s="471" t="s">
        <v>1429</v>
      </c>
      <c r="I6" s="472">
        <v>42</v>
      </c>
      <c r="J6" s="622">
        <v>45812</v>
      </c>
      <c r="K6" s="622">
        <v>45819</v>
      </c>
      <c r="L6" s="472">
        <f t="shared" ref="L6:L13" si="0">(K6-J6)+1</f>
        <v>8</v>
      </c>
      <c r="M6" s="627">
        <f>P6-G6</f>
        <v>24.067605999999991</v>
      </c>
      <c r="N6" s="472">
        <v>30</v>
      </c>
      <c r="O6" s="471" t="s">
        <v>1429</v>
      </c>
      <c r="P6" s="623">
        <v>38.847605999999992</v>
      </c>
    </row>
    <row r="7" spans="1:16" x14ac:dyDescent="0.25">
      <c r="A7" s="472">
        <v>2</v>
      </c>
      <c r="B7" s="472" t="s">
        <v>634</v>
      </c>
      <c r="C7" s="472" t="s">
        <v>232</v>
      </c>
      <c r="D7" s="624">
        <v>45805</v>
      </c>
      <c r="E7" s="624">
        <v>45808</v>
      </c>
      <c r="F7" s="472">
        <f t="shared" ref="F7:F13" si="1">+_xlfn.DAYS(E7,D7)+1</f>
        <v>4</v>
      </c>
      <c r="G7" s="627">
        <v>14.875</v>
      </c>
      <c r="H7" s="471" t="s">
        <v>1429</v>
      </c>
      <c r="I7" s="472">
        <v>42</v>
      </c>
      <c r="J7" s="622">
        <v>45820</v>
      </c>
      <c r="K7" s="622">
        <v>45828</v>
      </c>
      <c r="L7" s="472">
        <f t="shared" si="0"/>
        <v>9</v>
      </c>
      <c r="M7" s="627">
        <f t="shared" ref="M7:M13" si="2">P7-G7</f>
        <v>22.629372000000004</v>
      </c>
      <c r="N7" s="472">
        <v>30</v>
      </c>
      <c r="O7" s="471" t="s">
        <v>1429</v>
      </c>
      <c r="P7" s="623">
        <v>37.504372000000004</v>
      </c>
    </row>
    <row r="8" spans="1:16" x14ac:dyDescent="0.25">
      <c r="A8" s="472">
        <v>3</v>
      </c>
      <c r="B8" s="472" t="s">
        <v>635</v>
      </c>
      <c r="C8" s="472" t="s">
        <v>20</v>
      </c>
      <c r="D8" s="624">
        <v>45813</v>
      </c>
      <c r="E8" s="624">
        <v>45816</v>
      </c>
      <c r="F8" s="472">
        <f t="shared" si="1"/>
        <v>4</v>
      </c>
      <c r="G8" s="627">
        <v>14.78</v>
      </c>
      <c r="H8" s="471" t="s">
        <v>1410</v>
      </c>
      <c r="I8" s="472">
        <v>42</v>
      </c>
      <c r="J8" s="622">
        <v>45831</v>
      </c>
      <c r="K8" s="622">
        <v>45838</v>
      </c>
      <c r="L8" s="472">
        <f t="shared" si="0"/>
        <v>8</v>
      </c>
      <c r="M8" s="627">
        <f t="shared" si="2"/>
        <v>24.067999999999998</v>
      </c>
      <c r="N8" s="472">
        <v>25</v>
      </c>
      <c r="O8" s="471" t="s">
        <v>1433</v>
      </c>
      <c r="P8" s="623">
        <v>38.847999999999999</v>
      </c>
    </row>
    <row r="9" spans="1:16" x14ac:dyDescent="0.25">
      <c r="A9" s="472">
        <v>4</v>
      </c>
      <c r="B9" s="472" t="s">
        <v>636</v>
      </c>
      <c r="C9" s="472" t="s">
        <v>232</v>
      </c>
      <c r="D9" s="624">
        <v>45820</v>
      </c>
      <c r="E9" s="624">
        <v>45824</v>
      </c>
      <c r="F9" s="472">
        <f t="shared" si="1"/>
        <v>5</v>
      </c>
      <c r="G9" s="627">
        <v>14.875</v>
      </c>
      <c r="H9" s="471" t="s">
        <v>1410</v>
      </c>
      <c r="I9" s="472">
        <v>42</v>
      </c>
      <c r="J9" s="622">
        <v>45847</v>
      </c>
      <c r="K9" s="622">
        <v>45853</v>
      </c>
      <c r="L9" s="472">
        <f t="shared" si="0"/>
        <v>7</v>
      </c>
      <c r="M9" s="627">
        <f t="shared" si="2"/>
        <v>22.625</v>
      </c>
      <c r="N9" s="472">
        <v>20</v>
      </c>
      <c r="O9" s="471" t="s">
        <v>1433</v>
      </c>
      <c r="P9" s="623">
        <v>37.5</v>
      </c>
    </row>
    <row r="10" spans="1:16" x14ac:dyDescent="0.25">
      <c r="A10" s="472">
        <v>5</v>
      </c>
      <c r="B10" s="471" t="s">
        <v>628</v>
      </c>
      <c r="C10" s="471" t="s">
        <v>239</v>
      </c>
      <c r="D10" s="624">
        <v>45839</v>
      </c>
      <c r="E10" s="624">
        <v>45845</v>
      </c>
      <c r="F10" s="472">
        <f t="shared" si="1"/>
        <v>7</v>
      </c>
      <c r="G10" s="627">
        <v>41.773000000000003</v>
      </c>
      <c r="H10" s="471" t="s">
        <v>1429</v>
      </c>
      <c r="I10" s="472"/>
      <c r="J10" s="622">
        <v>45861</v>
      </c>
      <c r="K10" s="622">
        <v>45867</v>
      </c>
      <c r="L10" s="472">
        <f t="shared" si="0"/>
        <v>7</v>
      </c>
      <c r="M10" s="627">
        <f t="shared" si="2"/>
        <v>44.356278999999994</v>
      </c>
      <c r="N10" s="472">
        <v>28</v>
      </c>
      <c r="O10" s="471" t="s">
        <v>1514</v>
      </c>
      <c r="P10" s="625">
        <v>86.129278999999997</v>
      </c>
    </row>
    <row r="11" spans="1:16" x14ac:dyDescent="0.25">
      <c r="A11" s="472">
        <v>6</v>
      </c>
      <c r="B11" s="471" t="s">
        <v>446</v>
      </c>
      <c r="C11" s="471" t="s">
        <v>239</v>
      </c>
      <c r="D11" s="622">
        <v>45845</v>
      </c>
      <c r="E11" s="624">
        <v>45849</v>
      </c>
      <c r="F11" s="472">
        <f t="shared" si="1"/>
        <v>5</v>
      </c>
      <c r="G11" s="627">
        <v>41.773000000000003</v>
      </c>
      <c r="H11" s="471" t="s">
        <v>1429</v>
      </c>
      <c r="I11" s="472"/>
      <c r="J11" s="622">
        <v>45871</v>
      </c>
      <c r="K11" s="622">
        <v>45889</v>
      </c>
      <c r="L11" s="472">
        <f t="shared" si="0"/>
        <v>19</v>
      </c>
      <c r="M11" s="627">
        <f t="shared" si="2"/>
        <v>44.356278999999994</v>
      </c>
      <c r="N11" s="472">
        <v>28</v>
      </c>
      <c r="O11" s="471" t="s">
        <v>1433</v>
      </c>
      <c r="P11" s="625">
        <v>86.129278999999997</v>
      </c>
    </row>
    <row r="12" spans="1:16" x14ac:dyDescent="0.25">
      <c r="A12" s="472">
        <v>7</v>
      </c>
      <c r="B12" s="648" t="s">
        <v>633</v>
      </c>
      <c r="C12" s="472" t="s">
        <v>232</v>
      </c>
      <c r="D12" s="622">
        <v>45848</v>
      </c>
      <c r="E12" s="470"/>
      <c r="F12" s="470"/>
      <c r="G12" s="627">
        <v>14.875</v>
      </c>
      <c r="H12" s="471" t="s">
        <v>1429</v>
      </c>
      <c r="I12" s="472">
        <v>38</v>
      </c>
      <c r="J12" s="622">
        <v>45854</v>
      </c>
      <c r="K12" s="622">
        <v>45864</v>
      </c>
      <c r="L12" s="472">
        <f t="shared" si="0"/>
        <v>11</v>
      </c>
      <c r="M12" s="627">
        <f t="shared" si="2"/>
        <v>22.625</v>
      </c>
      <c r="N12" s="472">
        <v>20</v>
      </c>
      <c r="O12" s="471" t="s">
        <v>1433</v>
      </c>
      <c r="P12" s="623">
        <v>37.5</v>
      </c>
    </row>
    <row r="13" spans="1:16" x14ac:dyDescent="0.25">
      <c r="A13" s="472">
        <v>8</v>
      </c>
      <c r="B13" s="648" t="s">
        <v>457</v>
      </c>
      <c r="C13" s="472" t="s">
        <v>232</v>
      </c>
      <c r="D13" s="622">
        <v>45863</v>
      </c>
      <c r="E13" s="622">
        <v>45867</v>
      </c>
      <c r="F13" s="472">
        <f t="shared" si="1"/>
        <v>5</v>
      </c>
      <c r="G13" s="627">
        <v>14.875</v>
      </c>
      <c r="H13" s="471" t="s">
        <v>1429</v>
      </c>
      <c r="I13" s="472"/>
      <c r="J13" s="622">
        <v>45875</v>
      </c>
      <c r="K13" s="622">
        <v>45878</v>
      </c>
      <c r="L13" s="472">
        <f t="shared" si="0"/>
        <v>4</v>
      </c>
      <c r="M13" s="627">
        <f t="shared" si="2"/>
        <v>22.625</v>
      </c>
      <c r="N13" s="472">
        <v>30</v>
      </c>
      <c r="O13" s="471" t="s">
        <v>1429</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80" t="s">
        <v>1427</v>
      </c>
      <c r="B16" s="880"/>
      <c r="C16" s="880"/>
      <c r="D16" s="880"/>
      <c r="E16" s="880"/>
      <c r="F16" s="617">
        <f>SUM(F6:F15)</f>
        <v>35</v>
      </c>
      <c r="G16" s="618">
        <f>SUM(G6:G15)</f>
        <v>172.60599999999999</v>
      </c>
      <c r="H16" s="618"/>
      <c r="I16" s="618"/>
      <c r="J16" s="617"/>
      <c r="K16" s="617"/>
      <c r="L16" s="617">
        <f>SUM(L6:L15)</f>
        <v>73</v>
      </c>
      <c r="M16" s="618">
        <f>SUM(M6:M15)</f>
        <v>227.35253599999999</v>
      </c>
      <c r="N16" s="618"/>
      <c r="O16" s="470"/>
    </row>
    <row r="17" spans="1:15" ht="15.75" x14ac:dyDescent="0.25">
      <c r="A17" s="880" t="s">
        <v>1428</v>
      </c>
      <c r="B17" s="880"/>
      <c r="C17" s="880"/>
      <c r="D17" s="880"/>
      <c r="E17" s="880"/>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08"/>
  <sheetViews>
    <sheetView workbookViewId="0">
      <pane ySplit="4" topLeftCell="A408" activePane="bottomLeft" state="frozen"/>
      <selection activeCell="G248" sqref="G248"/>
      <selection pane="bottomLeft" activeCell="D415" sqref="D415:D424"/>
    </sheetView>
  </sheetViews>
  <sheetFormatPr defaultRowHeight="12.75" x14ac:dyDescent="0.2"/>
  <cols>
    <col min="1" max="1" width="6.140625" style="366" customWidth="1"/>
    <col min="2" max="2" width="8.42578125" style="366" customWidth="1"/>
    <col min="3" max="3" width="12" style="366" customWidth="1"/>
    <col min="4" max="4" width="8.28515625" style="366" customWidth="1"/>
    <col min="5" max="5" width="14.28515625" style="366" bestFit="1" customWidth="1"/>
    <col min="6" max="7" width="16.5703125" style="366" bestFit="1" customWidth="1"/>
    <col min="8" max="8" width="31.5703125" style="367" bestFit="1" customWidth="1"/>
    <col min="9" max="10" width="12" style="368" customWidth="1"/>
    <col min="11" max="11" width="22.5703125" style="366" customWidth="1"/>
    <col min="12" max="12" width="18.7109375" style="366" bestFit="1" customWidth="1"/>
    <col min="13" max="13" width="9.140625" style="677"/>
    <col min="14" max="16384" width="9.140625" style="366"/>
  </cols>
  <sheetData>
    <row r="1" spans="1:40" x14ac:dyDescent="0.2">
      <c r="A1" s="400" t="s">
        <v>1278</v>
      </c>
      <c r="I1" s="483" t="s">
        <v>1310</v>
      </c>
      <c r="J1" s="368">
        <v>22400.73</v>
      </c>
    </row>
    <row r="2" spans="1:40" ht="25.5" x14ac:dyDescent="0.2">
      <c r="A2" s="350" t="s">
        <v>1239</v>
      </c>
      <c r="B2" s="351"/>
      <c r="C2" s="351"/>
      <c r="D2" s="351"/>
      <c r="E2" s="351"/>
      <c r="F2" s="351"/>
      <c r="G2" s="351"/>
      <c r="H2" s="371"/>
      <c r="I2" s="372" t="s">
        <v>1311</v>
      </c>
      <c r="J2" s="484">
        <f>+SUM(J7:J1048576)</f>
        <v>18291.671480999939</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4109.0585190000602</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1696</v>
      </c>
      <c r="G4" s="722" t="s">
        <v>141</v>
      </c>
      <c r="H4" s="723" t="s">
        <v>7</v>
      </c>
      <c r="I4" s="721" t="s">
        <v>1697</v>
      </c>
      <c r="J4" s="721" t="s">
        <v>1381</v>
      </c>
      <c r="K4" s="723" t="s">
        <v>1180</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+VLOOKUP(C7,Foundation!$C$8:$D$531,2,FALSE)</f>
        <v>DA+3</v>
      </c>
      <c r="E7" s="376" t="str">
        <f>+VLOOKUP(C7,Foundation!$C$8:$E$495,3,FALSE)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+VLOOKUP(C8,Foundation!$C$8:$D$531,2,FALSE)</f>
        <v>DA+3</v>
      </c>
      <c r="E8" s="376" t="str">
        <f>+VLOOKUP(C8,Foundation!$C$8:$E$495,3,FALSE)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+VLOOKUP(C9,Foundation!$C$8:$D$531,2,FALSE)</f>
        <v>DA+3</v>
      </c>
      <c r="E9" s="376" t="str">
        <f>+VLOOKUP(C9,Foundation!$C$8:$E$495,3,FALSE)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+VLOOKUP(C10,Foundation!$C$8:$D$531,2,FALSE)</f>
        <v>DA+3</v>
      </c>
      <c r="E10" s="376" t="str">
        <f>+VLOOKUP(C10,Foundation!$C$8:$E$495,3,FALSE)</f>
        <v>DFR</v>
      </c>
      <c r="F10" s="358">
        <v>45327</v>
      </c>
      <c r="G10" s="358">
        <v>45333</v>
      </c>
      <c r="H10" s="378" t="s">
        <v>900</v>
      </c>
      <c r="I10" s="381"/>
      <c r="J10" s="739">
        <f t="shared" si="0"/>
        <v>38.847605999999992</v>
      </c>
      <c r="K10" s="378"/>
      <c r="AB10" s="366" t="s">
        <v>234</v>
      </c>
      <c r="AC10" s="482">
        <v>47.184350000000002</v>
      </c>
      <c r="AN10" s="366" t="s">
        <v>1442</v>
      </c>
    </row>
    <row r="11" spans="1:40" x14ac:dyDescent="0.2">
      <c r="A11" s="380">
        <f>+SUBTOTAL(3,$G$7:$G11)</f>
        <v>5</v>
      </c>
      <c r="B11" s="374">
        <v>45323</v>
      </c>
      <c r="C11" s="356" t="s">
        <v>767</v>
      </c>
      <c r="D11" s="376" t="str">
        <f>+VLOOKUP(C11,Foundation!$C$8:$D$531,2,FALSE)</f>
        <v>DA+6</v>
      </c>
      <c r="E11" s="376" t="str">
        <f>+VLOOKUP(C11,Foundation!$C$8:$E$495,3,FALSE)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+VLOOKUP(C12,Foundation!$C$8:$D$531,2,FALSE)</f>
        <v>DA+0</v>
      </c>
      <c r="E12" s="376" t="str">
        <f>+VLOOKUP(C12,Foundation!$C$8:$E$495,3,FALSE)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+VLOOKUP(C13,Foundation!$C$8:$D$531,2,FALSE)</f>
        <v>DA+3</v>
      </c>
      <c r="E13" s="376" t="str">
        <f>+VLOOKUP(C13,Foundation!$C$8:$E$495,3,FALSE)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+VLOOKUP(C14,Foundation!$C$8:$D$531,2,FALSE)</f>
        <v>DA+3</v>
      </c>
      <c r="E14" s="376" t="str">
        <f>+VLOOKUP(C14,Foundation!$C$8:$E$495,3,FALSE)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+VLOOKUP(C15,Foundation!$C$8:$D$531,2,FALSE)</f>
        <v>DA+6</v>
      </c>
      <c r="E15" s="376" t="str">
        <f>+VLOOKUP(C15,Foundation!$C$8:$E$495,3,FALSE)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+VLOOKUP(C16,Foundation!$C$8:$D$531,2,FALSE)</f>
        <v>DA+3</v>
      </c>
      <c r="E16" s="376" t="str">
        <f>+VLOOKUP(C16,Foundation!$C$8:$E$495,3,FALSE)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+VLOOKUP(C17,Foundation!$C$8:$D$531,2,FALSE)</f>
        <v>DA+0</v>
      </c>
      <c r="E17" s="376" t="str">
        <f>+VLOOKUP(C17,Foundation!$C$8:$E$495,3,FALSE)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+VLOOKUP(C18,Foundation!$C$8:$D$531,2,FALSE)</f>
        <v>DA+0</v>
      </c>
      <c r="E18" s="376" t="str">
        <f>+VLOOKUP(C18,Foundation!$C$8:$E$495,3,FALSE)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+VLOOKUP(C19,Foundation!$C$8:$D$531,2,FALSE)</f>
        <v>DA+3</v>
      </c>
      <c r="E19" s="376" t="str">
        <f>+VLOOKUP(C19,Foundation!$C$8:$E$495,3,FALSE)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+VLOOKUP(C20,Foundation!$C$8:$D$531,2,FALSE)</f>
        <v>DA+0</v>
      </c>
      <c r="E20" s="376" t="str">
        <f>+VLOOKUP(C20,Foundation!$C$8:$E$495,3,FALSE)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+VLOOKUP(C21,Foundation!$C$8:$D$531,2,FALSE)</f>
        <v>DA+0</v>
      </c>
      <c r="E21" s="376" t="str">
        <f>+VLOOKUP(C21,Foundation!$C$8:$E$495,3,FALSE)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+VLOOKUP(C22,Foundation!$C$8:$D$531,2,FALSE)</f>
        <v>DA+3</v>
      </c>
      <c r="E22" s="376" t="str">
        <f>+VLOOKUP(C22,Foundation!$C$8:$E$495,3,FALSE)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+VLOOKUP(C23,Foundation!$C$8:$D$531,2,FALSE)</f>
        <v>DA+3</v>
      </c>
      <c r="E23" s="376" t="str">
        <f>+VLOOKUP(C23,Foundation!$C$8:$E$495,3,FALSE)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+VLOOKUP(C24,Foundation!$C$8:$D$531,2,FALSE)</f>
        <v>DA+3</v>
      </c>
      <c r="E24" s="376" t="str">
        <f>+VLOOKUP(C24,Foundation!$C$8:$E$495,3,FALSE)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+VLOOKUP(C25,Foundation!$C$8:$D$531,2,FALSE)</f>
        <v>DA+0</v>
      </c>
      <c r="E25" s="376" t="str">
        <f>+VLOOKUP(C25,Foundation!$C$8:$E$495,3,FALSE)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+VLOOKUP(C26,Foundation!$C$8:$D$531,2,FALSE)</f>
        <v>DB1+3</v>
      </c>
      <c r="E26" s="376" t="str">
        <f>+VLOOKUP(C26,Foundation!$C$8:$E$495,3,FALSE)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+VLOOKUP(C27,Foundation!$C$8:$D$531,2,FALSE)</f>
        <v>DA+3</v>
      </c>
      <c r="E27" s="376" t="str">
        <f>+VLOOKUP(C27,Foundation!$C$8:$E$495,3,FALSE)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+VLOOKUP(C28,Foundation!$C$8:$D$531,2,FALSE)</f>
        <v>DA+0</v>
      </c>
      <c r="E28" s="376" t="str">
        <f>+VLOOKUP(C28,Foundation!$C$8:$E$495,3,FALSE)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+VLOOKUP(C29,Foundation!$C$8:$D$531,2,FALSE)</f>
        <v>DA+3</v>
      </c>
      <c r="E29" s="376" t="str">
        <f>+VLOOKUP(C29,Foundation!$C$8:$E$495,3,FALSE)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+VLOOKUP(C30,Foundation!$C$8:$D$531,2,FALSE)</f>
        <v>DA+3</v>
      </c>
      <c r="E30" s="376" t="str">
        <f>+VLOOKUP(C30,Foundation!$C$8:$E$495,3,FALSE)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+VLOOKUP(C31,Foundation!$C$8:$D$531,2,FALSE)</f>
        <v>DA+0</v>
      </c>
      <c r="E31" s="376" t="str">
        <f>+VLOOKUP(C31,Foundation!$C$8:$E$495,3,FALSE)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+VLOOKUP(C32,Foundation!$C$8:$D$531,2,FALSE)</f>
        <v>DA+3</v>
      </c>
      <c r="E32" s="376" t="str">
        <f>+VLOOKUP(C32,Foundation!$C$8:$E$495,3,FALSE)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+VLOOKUP(C33,Foundation!$C$8:$D$531,2,FALSE)</f>
        <v>DA+9</v>
      </c>
      <c r="E33" s="376" t="str">
        <f>+VLOOKUP(C33,Foundation!$C$8:$E$495,3,FALSE)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+VLOOKUP(C34,Foundation!$C$8:$D$531,2,FALSE)</f>
        <v>DA+0</v>
      </c>
      <c r="E34" s="376" t="str">
        <f>+VLOOKUP(C34,Foundation!$C$8:$E$495,3,FALSE)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+VLOOKUP(C35,Foundation!$C$8:$D$531,2,FALSE)</f>
        <v>DA+0</v>
      </c>
      <c r="E35" s="376" t="str">
        <f>+VLOOKUP(C35,Foundation!$C$8:$E$495,3,FALSE)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+VLOOKUP(C36,Foundation!$C$8:$D$531,2,FALSE)</f>
        <v>DA+3</v>
      </c>
      <c r="E36" s="376" t="str">
        <f>+VLOOKUP(C36,Foundation!$C$8:$E$495,3,FALSE)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+VLOOKUP(C37,Foundation!$C$8:$D$531,2,FALSE)</f>
        <v>DA+3</v>
      </c>
      <c r="E37" s="376" t="str">
        <f>+VLOOKUP(C37,Foundation!$C$8:$E$495,3,FALSE)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+VLOOKUP(C38,Foundation!$C$8:$D$531,2,FALSE)</f>
        <v>DA+3</v>
      </c>
      <c r="E38" s="376" t="str">
        <f>+VLOOKUP(C38,Foundation!$C$8:$E$495,3,FALSE)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+VLOOKUP(C39,Foundation!$C$8:$D$531,2,FALSE)</f>
        <v>DA+0</v>
      </c>
      <c r="E39" s="376" t="str">
        <f>+VLOOKUP(C39,Foundation!$C$8:$E$495,3,FALSE)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+VLOOKUP(C40,Foundation!$C$8:$D$531,2,FALSE)</f>
        <v>DA+0</v>
      </c>
      <c r="E40" s="376" t="str">
        <f>+VLOOKUP(C40,Foundation!$C$8:$E$495,3,FALSE)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+VLOOKUP(C41,Foundation!$C$8:$D$531,2,FALSE)</f>
        <v>DA+3</v>
      </c>
      <c r="E41" s="376" t="str">
        <f>+VLOOKUP(C41,Foundation!$C$8:$E$495,3,FALSE)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+VLOOKUP(C42,Foundation!$C$8:$D$531,2,FALSE)</f>
        <v>DA+3</v>
      </c>
      <c r="E42" s="376" t="str">
        <f>+VLOOKUP(C42,Foundation!$C$8:$E$495,3,FALSE)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+VLOOKUP(C43,Foundation!$C$8:$D$531,2,FALSE)</f>
        <v>DA+0</v>
      </c>
      <c r="E43" s="376" t="str">
        <f>+VLOOKUP(C43,Foundation!$C$8:$E$495,3,FALSE)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+VLOOKUP(C44,Foundation!$C$8:$D$531,2,FALSE)</f>
        <v>DA+0</v>
      </c>
      <c r="E44" s="376" t="str">
        <f>+VLOOKUP(C44,Foundation!$C$8:$E$495,3,FALSE)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+VLOOKUP(C45,Foundation!$C$8:$D$531,2,FALSE)</f>
        <v>DA+9</v>
      </c>
      <c r="E45" s="376" t="str">
        <f>+VLOOKUP(C45,Foundation!$C$8:$E$495,3,FALSE)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+VLOOKUP(C46,Foundation!$C$8:$D$531,2,FALSE)</f>
        <v>DA+3</v>
      </c>
      <c r="E46" s="376" t="str">
        <f>+VLOOKUP(C46,Foundation!$C$8:$E$495,3,FALSE)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+VLOOKUP(C47,Foundation!$C$8:$D$531,2,FALSE)</f>
        <v>DA+3</v>
      </c>
      <c r="E47" s="376" t="str">
        <f>+VLOOKUP(C47,Foundation!$C$8:$E$495,3,FALSE)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+VLOOKUP(C48,Foundation!$C$8:$D$531,2,FALSE)</f>
        <v>DA+0</v>
      </c>
      <c r="E48" s="376" t="str">
        <f>+VLOOKUP(C48,Foundation!$C$8:$E$495,3,FALSE)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+VLOOKUP(C49,Foundation!$C$8:$D$531,2,FALSE)</f>
        <v>DA+3</v>
      </c>
      <c r="E49" s="376" t="str">
        <f>+VLOOKUP(C49,Foundation!$C$8:$E$495,3,FALSE)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+VLOOKUP(C50,Foundation!$C$8:$D$531,2,FALSE)</f>
        <v>DA+0</v>
      </c>
      <c r="E50" s="376" t="str">
        <f>+VLOOKUP(C50,Foundation!$C$8:$E$495,3,FALSE)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+VLOOKUP(C51,Foundation!$C$8:$D$531,2,FALSE)</f>
        <v>DA+3</v>
      </c>
      <c r="E51" s="376" t="str">
        <f>+VLOOKUP(C51,Foundation!$C$8:$E$495,3,FALSE)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+VLOOKUP(C52,Foundation!$C$8:$D$531,2,FALSE)</f>
        <v>DA+3</v>
      </c>
      <c r="E52" s="376" t="str">
        <f>+VLOOKUP(C52,Foundation!$C$8:$E$495,3,FALSE)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+VLOOKUP(C53,Foundation!$C$8:$D$531,2,FALSE)</f>
        <v>DA+3</v>
      </c>
      <c r="E53" s="376" t="str">
        <f>+VLOOKUP(C53,Foundation!$C$8:$E$495,3,FALSE)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+VLOOKUP(C54,Foundation!$C$8:$D$531,2,FALSE)</f>
        <v>DA+0</v>
      </c>
      <c r="E54" s="376" t="str">
        <f>+VLOOKUP(C54,Foundation!$C$8:$E$495,3,FALSE)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+VLOOKUP(C55,Foundation!$C$8:$D$531,2,FALSE)</f>
        <v>DB2+0</v>
      </c>
      <c r="E55" s="376" t="str">
        <f>+VLOOKUP(C55,Foundation!$C$8:$E$495,3,FALSE)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+VLOOKUP(C56,Foundation!$C$8:$D$531,2,FALSE)</f>
        <v>DA+0</v>
      </c>
      <c r="E56" s="376" t="str">
        <f>+VLOOKUP(C56,Foundation!$C$8:$E$495,3,FALSE)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+VLOOKUP(C57,Foundation!$C$8:$D$531,2,FALSE)</f>
        <v>DA+0</v>
      </c>
      <c r="E57" s="376" t="str">
        <f>+VLOOKUP(C57,Foundation!$C$8:$E$495,3,FALSE)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+VLOOKUP(C58,Foundation!$C$8:$D$531,2,FALSE)</f>
        <v>DA+3</v>
      </c>
      <c r="E58" s="376" t="str">
        <f>+VLOOKUP(C58,Foundation!$C$8:$E$495,3,FALSE)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+VLOOKUP(C59,Foundation!$C$8:$D$531,2,FALSE)</f>
        <v>DA+3</v>
      </c>
      <c r="E59" s="376" t="str">
        <f>+VLOOKUP(C59,Foundation!$C$8:$E$495,3,FALSE)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+VLOOKUP(C60,Foundation!$C$8:$D$531,2,FALSE)</f>
        <v>DA+3</v>
      </c>
      <c r="E60" s="376" t="str">
        <f>+VLOOKUP(C60,Foundation!$C$8:$E$495,3,FALSE)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+VLOOKUP(C61,Foundation!$C$8:$D$531,2,FALSE)</f>
        <v>DA+6</v>
      </c>
      <c r="E61" s="376" t="str">
        <f>+VLOOKUP(C61,Foundation!$C$8:$E$495,3,FALSE)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+VLOOKUP(C62,Foundation!$C$8:$D$531,2,FALSE)</f>
        <v>DA+0</v>
      </c>
      <c r="E62" s="376" t="str">
        <f>+VLOOKUP(C62,Foundation!$C$8:$E$495,3,FALSE)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+VLOOKUP(C63,Foundation!$C$8:$D$531,2,FALSE)</f>
        <v>DA+6</v>
      </c>
      <c r="E63" s="376" t="str">
        <f>+VLOOKUP(C63,Foundation!$C$8:$E$495,3,FALSE)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+VLOOKUP(C64,Foundation!$C$8:$D$531,2,FALSE)</f>
        <v>DA+0</v>
      </c>
      <c r="E64" s="376" t="str">
        <f>+VLOOKUP(C64,Foundation!$C$8:$E$495,3,FALSE)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+VLOOKUP(C65,Foundation!$C$8:$D$531,2,FALSE)</f>
        <v>DB1+0</v>
      </c>
      <c r="E65" s="376" t="str">
        <f>+VLOOKUP(C65,Foundation!$C$8:$E$495,3,FALSE)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+VLOOKUP(C66,Foundation!$C$8:$D$531,2,FALSE)</f>
        <v>DA+3</v>
      </c>
      <c r="E66" s="376" t="str">
        <f>+VLOOKUP(C66,Foundation!$C$8:$E$495,3,FALSE)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+VLOOKUP(C67,Foundation!$C$8:$D$531,2,FALSE)</f>
        <v>DA+6</v>
      </c>
      <c r="E67" s="376" t="str">
        <f>+VLOOKUP(C67,Foundation!$C$8:$E$495,3,FALSE)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+VLOOKUP(C68,Foundation!$C$8:$D$531,2,FALSE)</f>
        <v>DA+0</v>
      </c>
      <c r="E68" s="376" t="str">
        <f>+VLOOKUP(C68,Foundation!$C$8:$E$495,3,FALSE)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+VLOOKUP(C69,Foundation!$C$8:$D$531,2,FALSE)</f>
        <v>DA+3</v>
      </c>
      <c r="E69" s="376" t="str">
        <f>+VLOOKUP(C69,Foundation!$C$8:$E$495,3,FALSE)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+VLOOKUP(C70,Foundation!$C$8:$D$531,2,FALSE)</f>
        <v>DB2+0</v>
      </c>
      <c r="E70" s="376" t="str">
        <f>+VLOOKUP(C70,Foundation!$C$8:$E$495,3,FALSE)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+VLOOKUP(C71,Foundation!$C$8:$D$531,2,FALSE)</f>
        <v>DA+3</v>
      </c>
      <c r="E71" s="376" t="str">
        <f>+VLOOKUP(C71,Foundation!$C$8:$E$495,3,FALSE)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+VLOOKUP(C72,Foundation!$C$8:$D$531,2,FALSE)</f>
        <v>DA+6</v>
      </c>
      <c r="E72" s="376" t="str">
        <f>+VLOOKUP(C72,Foundation!$C$8:$E$495,3,FALSE)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+VLOOKUP(C73,Foundation!$C$8:$D$531,2,FALSE)</f>
        <v>DC1+0</v>
      </c>
      <c r="E73" s="376" t="str">
        <f>+VLOOKUP(C73,Foundation!$C$8:$E$495,3,FALSE)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+VLOOKUP(C74,Foundation!$C$8:$D$531,2,FALSE)</f>
        <v>DA+3</v>
      </c>
      <c r="E74" s="376" t="str">
        <f>+VLOOKUP(C74,Foundation!$C$8:$E$495,3,FALSE)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+VLOOKUP(C75,Foundation!$C$8:$D$531,2,FALSE)</f>
        <v>DC1+0</v>
      </c>
      <c r="E75" s="376" t="str">
        <f>+VLOOKUP(C75,Foundation!$C$8:$E$495,3,FALSE)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+VLOOKUP(C76,Foundation!$C$8:$D$531,2,FALSE)</f>
        <v>DA+9</v>
      </c>
      <c r="E76" s="376" t="str">
        <f>+VLOOKUP(C76,Foundation!$C$8:$E$495,3,FALSE)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+VLOOKUP(C77,Foundation!$C$8:$D$531,2,FALSE)</f>
        <v>DA+3</v>
      </c>
      <c r="E77" s="376" t="str">
        <f>+VLOOKUP(C77,Foundation!$C$8:$E$495,3,FALSE)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+VLOOKUP(C78,Foundation!$C$8:$D$531,2,FALSE)</f>
        <v>DA+0</v>
      </c>
      <c r="E78" s="376" t="str">
        <f>+VLOOKUP(C78,Foundation!$C$8:$E$495,3,FALSE)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+VLOOKUP(C79,Foundation!$C$8:$D$531,2,FALSE)</f>
        <v>DA+6</v>
      </c>
      <c r="E79" s="376" t="str">
        <f>+VLOOKUP(C79,Foundation!$C$8:$E$495,3,FALSE)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+VLOOKUP(C80,Foundation!$C$8:$D$531,2,FALSE)</f>
        <v>DA+6</v>
      </c>
      <c r="E80" s="376" t="str">
        <f>+VLOOKUP(C80,Foundation!$C$8:$E$495,3,FALSE)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+VLOOKUP(C81,Foundation!$C$8:$D$531,2,FALSE)</f>
        <v>DA+0</v>
      </c>
      <c r="E81" s="376" t="str">
        <f>+VLOOKUP(C81,Foundation!$C$8:$E$495,3,FALSE)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+VLOOKUP(C82,Foundation!$C$8:$D$531,2,FALSE)</f>
        <v>DA+0</v>
      </c>
      <c r="E82" s="376" t="str">
        <f>+VLOOKUP(C82,Foundation!$C$8:$E$495,3,FALSE)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+VLOOKUP(C83,Foundation!$C$8:$D$531,2,FALSE)</f>
        <v>DA+0</v>
      </c>
      <c r="E83" s="376" t="str">
        <f>+VLOOKUP(C83,Foundation!$C$8:$E$495,3,FALSE)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+VLOOKUP(C84,Foundation!$C$8:$D$531,2,FALSE)</f>
        <v>DA+0</v>
      </c>
      <c r="E84" s="376" t="str">
        <f>+VLOOKUP(C84,Foundation!$C$8:$E$495,3,FALSE)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+VLOOKUP(C85,Foundation!$C$8:$D$531,2,FALSE)</f>
        <v>DA+3</v>
      </c>
      <c r="E85" s="376" t="str">
        <f>+VLOOKUP(C85,Foundation!$C$8:$E$495,3,FALSE)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+VLOOKUP(C86,Foundation!$C$8:$D$531,2,FALSE)</f>
        <v>DA+3</v>
      </c>
      <c r="E86" s="376" t="str">
        <f>+VLOOKUP(C86,Foundation!$C$8:$E$495,3,FALSE)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+VLOOKUP(C87,Foundation!$C$8:$D$531,2,FALSE)</f>
        <v>DA+3</v>
      </c>
      <c r="E87" s="376" t="str">
        <f>+VLOOKUP(C87,Foundation!$C$8:$E$495,3,FALSE)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+VLOOKUP(C88,Foundation!$C$8:$D$531,2,FALSE)</f>
        <v>DA+3</v>
      </c>
      <c r="E88" s="376" t="str">
        <f>+VLOOKUP(C88,Foundation!$C$8:$E$495,3,FALSE)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+VLOOKUP(C89,Foundation!$C$8:$D$531,2,FALSE)</f>
        <v>DA+3</v>
      </c>
      <c r="E89" s="376" t="str">
        <f>+VLOOKUP(C89,Foundation!$C$8:$E$495,3,FALSE)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+VLOOKUP(C90,Foundation!$C$8:$D$531,2,FALSE)</f>
        <v>DA+0</v>
      </c>
      <c r="E90" s="376" t="str">
        <f>+VLOOKUP(C90,Foundation!$C$8:$E$495,3,FALSE)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+VLOOKUP(C91,Foundation!$C$8:$D$531,2,FALSE)</f>
        <v>DA+3</v>
      </c>
      <c r="E91" s="376" t="str">
        <f>+VLOOKUP(C91,Foundation!$C$8:$E$495,3,FALSE)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+VLOOKUP(C92,Foundation!$C$8:$D$531,2,FALSE)</f>
        <v>DB2+0</v>
      </c>
      <c r="E92" s="376" t="str">
        <f>+VLOOKUP(C92,Foundation!$C$8:$E$495,3,FALSE)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+VLOOKUP(C93,Foundation!$C$8:$D$531,2,FALSE)</f>
        <v>DA+0</v>
      </c>
      <c r="E93" s="376" t="str">
        <f>+VLOOKUP(C93,Foundation!$C$8:$E$495,3,FALSE)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+VLOOKUP(C94,Foundation!$C$8:$D$531,2,FALSE)</f>
        <v>DA+3</v>
      </c>
      <c r="E94" s="376" t="str">
        <f>+VLOOKUP(C94,Foundation!$C$8:$E$495,3,FALSE)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+VLOOKUP(C95,Foundation!$C$8:$D$531,2,FALSE)</f>
        <v>DA+0</v>
      </c>
      <c r="E95" s="376" t="str">
        <f>+VLOOKUP(C95,Foundation!$C$8:$E$495,3,FALSE)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+VLOOKUP(C96,Foundation!$C$8:$D$531,2,FALSE)</f>
        <v>DA+9</v>
      </c>
      <c r="E96" s="376" t="str">
        <f>+VLOOKUP(C96,Foundation!$C$8:$E$495,3,FALSE)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+VLOOKUP(C97,Foundation!$C$8:$D$531,2,FALSE)</f>
        <v>DA+0</v>
      </c>
      <c r="E97" s="376" t="str">
        <f>+VLOOKUP(C97,Foundation!$C$8:$E$495,3,FALSE)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+VLOOKUP(C98,Foundation!$C$8:$D$531,2,FALSE)</f>
        <v>DA+0</v>
      </c>
      <c r="E98" s="376" t="str">
        <f>+VLOOKUP(C98,Foundation!$C$8:$E$495,3,FALSE)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+VLOOKUP(C99,Foundation!$C$8:$D$531,2,FALSE)</f>
        <v>DA+3</v>
      </c>
      <c r="E99" s="376" t="str">
        <f>+VLOOKUP(C99,Foundation!$C$8:$E$495,3,FALSE)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+VLOOKUP(C100,Foundation!$C$8:$D$531,2,FALSE)</f>
        <v>DA+9</v>
      </c>
      <c r="E100" s="376" t="str">
        <f>+VLOOKUP(C100,Foundation!$C$8:$E$495,3,FALSE)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+VLOOKUP(C101,Foundation!$C$8:$D$531,2,FALSE)</f>
        <v>DA+3</v>
      </c>
      <c r="E101" s="376" t="str">
        <f>+VLOOKUP(C101,Foundation!$C$8:$E$495,3,FALSE)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+VLOOKUP(C102,Foundation!$C$8:$D$531,2,FALSE)</f>
        <v>DA+0</v>
      </c>
      <c r="E102" s="376" t="str">
        <f>+VLOOKUP(C102,Foundation!$C$8:$E$495,3,FALSE)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+VLOOKUP(C103,Foundation!$C$8:$D$531,2,FALSE)</f>
        <v>DA+0</v>
      </c>
      <c r="E103" s="376" t="str">
        <f>+VLOOKUP(C103,Foundation!$C$8:$E$495,3,FALSE)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+VLOOKUP(C104,Foundation!$C$8:$D$531,2,FALSE)</f>
        <v>DA+0</v>
      </c>
      <c r="E104" s="376" t="str">
        <f>+VLOOKUP(C104,Foundation!$C$8:$E$495,3,FALSE)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+VLOOKUP(C105,Foundation!$C$8:$D$531,2,FALSE)</f>
        <v>DA+6</v>
      </c>
      <c r="E105" s="376" t="str">
        <f>+VLOOKUP(C105,Foundation!$C$8:$E$495,3,FALSE)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+VLOOKUP(C106,Foundation!$C$8:$D$531,2,FALSE)</f>
        <v>DA+3</v>
      </c>
      <c r="E106" s="376" t="str">
        <f>+VLOOKUP(C106,Foundation!$C$8:$E$495,3,FALSE)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+VLOOKUP(C107,Foundation!$C$8:$D$531,2,FALSE)</f>
        <v>DA+0</v>
      </c>
      <c r="E107" s="376" t="str">
        <f>+VLOOKUP(C107,Foundation!$C$8:$E$495,3,FALSE)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+VLOOKUP(C108,Foundation!$C$8:$D$531,2,FALSE)</f>
        <v>DA+3</v>
      </c>
      <c r="E108" s="376" t="str">
        <f>+VLOOKUP(C108,Foundation!$C$8:$E$495,3,FALSE)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+VLOOKUP(C109,Foundation!$C$8:$D$531,2,FALSE)</f>
        <v>DA+0</v>
      </c>
      <c r="E109" s="376" t="str">
        <f>+VLOOKUP(C109,Foundation!$C$8:$E$495,3,FALSE)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+VLOOKUP(C110,Foundation!$C$8:$D$531,2,FALSE)</f>
        <v>DA+3</v>
      </c>
      <c r="E110" s="376" t="str">
        <f>+VLOOKUP(C110,Foundation!$C$8:$E$495,3,FALSE)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+VLOOKUP(C111,Foundation!$C$8:$D$531,2,FALSE)</f>
        <v>DA+0</v>
      </c>
      <c r="E111" s="376" t="str">
        <f>+VLOOKUP(C111,Foundation!$C$8:$E$495,3,FALSE)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+VLOOKUP(C112,Foundation!$C$8:$D$531,2,FALSE)</f>
        <v>DB2+0</v>
      </c>
      <c r="E112" s="376" t="str">
        <f>+VLOOKUP(C112,Foundation!$C$8:$E$495,3,FALSE)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+VLOOKUP(C113,Foundation!$C$8:$D$531,2,FALSE)</f>
        <v>DA+3</v>
      </c>
      <c r="E113" s="376" t="str">
        <f>+VLOOKUP(C113,Foundation!$C$8:$E$495,3,FALSE)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+VLOOKUP(C114,Foundation!$C$8:$D$531,2,FALSE)</f>
        <v>DA+0</v>
      </c>
      <c r="E114" s="376" t="str">
        <f>+VLOOKUP(C114,Foundation!$C$8:$E$495,3,FALSE)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+VLOOKUP(C115,Foundation!$C$8:$D$531,2,FALSE)</f>
        <v>DA+0</v>
      </c>
      <c r="E115" s="376" t="str">
        <f>+VLOOKUP(C115,Foundation!$C$8:$E$495,3,FALSE)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+VLOOKUP(C116,Foundation!$C$8:$D$531,2,FALSE)</f>
        <v>DA+3</v>
      </c>
      <c r="E116" s="376" t="str">
        <f>+VLOOKUP(C116,Foundation!$C$8:$E$495,3,FALSE)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+VLOOKUP(C117,Foundation!$C$8:$D$531,2,FALSE)</f>
        <v>DA+3</v>
      </c>
      <c r="E117" s="376" t="str">
        <f>+VLOOKUP(C117,Foundation!$C$8:$E$495,3,FALSE)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+VLOOKUP(C118,Foundation!$C$8:$D$531,2,FALSE)</f>
        <v>DA+6</v>
      </c>
      <c r="E118" s="376" t="str">
        <f>+VLOOKUP(C118,Foundation!$C$8:$E$495,3,FALSE)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+VLOOKUP(C119,Foundation!$C$8:$D$531,2,FALSE)</f>
        <v>DA+9</v>
      </c>
      <c r="E119" s="376" t="str">
        <f>+VLOOKUP(C119,Foundation!$C$8:$E$495,3,FALSE)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+VLOOKUP(C120,Foundation!$C$8:$D$531,2,FALSE)</f>
        <v>DA+3</v>
      </c>
      <c r="E120" s="376" t="str">
        <f>+VLOOKUP(C120,Foundation!$C$8:$E$495,3,FALSE)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+VLOOKUP(C121,Foundation!$C$8:$D$531,2,FALSE)</f>
        <v>DA+6</v>
      </c>
      <c r="E121" s="376" t="str">
        <f>+VLOOKUP(C121,Foundation!$C$8:$E$495,3,FALSE)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+VLOOKUP(C122,Foundation!$C$8:$D$531,2,FALSE)</f>
        <v>DA+6</v>
      </c>
      <c r="E122" s="376" t="str">
        <f>+VLOOKUP(C122,Foundation!$C$8:$E$495,3,FALSE)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+VLOOKUP(C123,Foundation!$C$8:$D$531,2,FALSE)</f>
        <v>DC2+0</v>
      </c>
      <c r="E123" s="376" t="str">
        <f>+VLOOKUP(C123,Foundation!$C$8:$E$495,3,FALSE)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+VLOOKUP(C124,Foundation!$C$8:$D$531,2,FALSE)</f>
        <v>DA+6</v>
      </c>
      <c r="E124" s="376" t="str">
        <f>+VLOOKUP(C124,Foundation!$C$8:$E$495,3,FALSE)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+VLOOKUP(C125,Foundation!$C$8:$D$531,2,FALSE)</f>
        <v>DA+0</v>
      </c>
      <c r="E125" s="376" t="str">
        <f>+VLOOKUP(C125,Foundation!$C$8:$E$495,3,FALSE)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+VLOOKUP(C126,Foundation!$C$8:$D$531,2,FALSE)</f>
        <v>DA+3</v>
      </c>
      <c r="E126" s="376" t="str">
        <f>+VLOOKUP(C126,Foundation!$C$8:$E$495,3,FALSE)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+VLOOKUP(C127,Foundation!$C$8:$D$531,2,FALSE)</f>
        <v>DA+9</v>
      </c>
      <c r="E127" s="376" t="str">
        <f>+VLOOKUP(C127,Foundation!$C$8:$E$495,3,FALSE)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+VLOOKUP(C128,Foundation!$C$8:$D$531,2,FALSE)</f>
        <v>DA+3</v>
      </c>
      <c r="E128" s="376" t="str">
        <f>+VLOOKUP(C128,Foundation!$C$8:$E$495,3,FALSE)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+VLOOKUP(C129,Foundation!$C$8:$D$531,2,FALSE)</f>
        <v>DA+0</v>
      </c>
      <c r="E129" s="376" t="str">
        <f>+VLOOKUP(C129,Foundation!$C$8:$E$495,3,FALSE)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+VLOOKUP(C130,Foundation!$C$8:$D$531,2,FALSE)</f>
        <v>DC2+0</v>
      </c>
      <c r="E130" s="376" t="str">
        <f>+VLOOKUP(C130,Foundation!$C$8:$E$495,3,FALSE)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+VLOOKUP(C131,Foundation!$C$8:$D$531,2,FALSE)</f>
        <v>DA+6</v>
      </c>
      <c r="E131" s="376" t="str">
        <f>+VLOOKUP(C131,Foundation!$C$8:$E$495,3,FALSE)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+VLOOKUP(C132,Foundation!$C$8:$D$531,2,FALSE)</f>
        <v>DC1+0</v>
      </c>
      <c r="E132" s="376" t="str">
        <f>+VLOOKUP(C132,Foundation!$C$8:$E$495,3,FALSE)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+VLOOKUP(C133,Foundation!$C$8:$D$531,2,FALSE)</f>
        <v>DA+0</v>
      </c>
      <c r="E133" s="376" t="str">
        <f>+VLOOKUP(C133,Foundation!$C$8:$E$495,3,FALSE)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+VLOOKUP(C134,Foundation!$C$8:$D$531,2,FALSE)</f>
        <v>DA+0</v>
      </c>
      <c r="E134" s="376" t="str">
        <f>+VLOOKUP(C134,Foundation!$C$8:$E$495,3,FALSE)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+VLOOKUP(C135,Foundation!$C$8:$D$531,2,FALSE)</f>
        <v>DA+9</v>
      </c>
      <c r="E135" s="376" t="str">
        <f>+VLOOKUP(C135,Foundation!$C$8:$E$495,3,FALSE)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+VLOOKUP(C136,Foundation!$C$8:$D$531,2,FALSE)</f>
        <v>DA+0</v>
      </c>
      <c r="E136" s="376" t="str">
        <f>+VLOOKUP(C136,Foundation!$C$8:$E$495,3,FALSE)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+VLOOKUP(C137,Foundation!$C$8:$D$531,2,FALSE)</f>
        <v>DB1+0</v>
      </c>
      <c r="E137" s="376" t="str">
        <f>+VLOOKUP(C137,Foundation!$C$8:$E$495,3,FALSE)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+VLOOKUP(C138,Foundation!$C$8:$D$531,2,FALSE)</f>
        <v>DA+3</v>
      </c>
      <c r="E138" s="376" t="str">
        <f>+VLOOKUP(C138,Foundation!$C$8:$E$495,3,FALSE)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+VLOOKUP(C139,Foundation!$C$8:$D$531,2,FALSE)</f>
        <v>DA+0</v>
      </c>
      <c r="E139" s="376" t="str">
        <f>+VLOOKUP(C139,Foundation!$C$8:$E$495,3,FALSE)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+VLOOKUP(C140,Foundation!$C$8:$D$531,2,FALSE)</f>
        <v>DA+3</v>
      </c>
      <c r="E140" s="376" t="str">
        <f>+VLOOKUP(C140,Foundation!$C$8:$E$495,3,FALSE)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+VLOOKUP(C141,Foundation!$C$8:$D$531,2,FALSE)</f>
        <v>DA+3</v>
      </c>
      <c r="E141" s="376" t="str">
        <f>+VLOOKUP(C141,Foundation!$C$8:$E$495,3,FALSE)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+VLOOKUP(C142,Foundation!$C$8:$D$531,2,FALSE)</f>
        <v>DA+3</v>
      </c>
      <c r="E142" s="376" t="str">
        <f>+VLOOKUP(C142,Foundation!$C$8:$E$495,3,FALSE)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+VLOOKUP(C143,Foundation!$C$8:$D$531,2,FALSE)</f>
        <v>DA+0</v>
      </c>
      <c r="E143" s="376" t="str">
        <f>+VLOOKUP(C143,Foundation!$C$8:$E$495,3,FALSE)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+VLOOKUP(C144,Foundation!$C$8:$D$531,2,FALSE)</f>
        <v>DA+3</v>
      </c>
      <c r="E144" s="376" t="str">
        <f>+VLOOKUP(C144,Foundation!$C$8:$E$495,3,FALSE)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+VLOOKUP(C145,Foundation!$C$8:$D$531,2,FALSE)</f>
        <v>DA+9</v>
      </c>
      <c r="E145" s="376" t="str">
        <f>+VLOOKUP(C145,Foundation!$C$8:$E$495,3,FALSE)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+VLOOKUP(C146,Foundation!$C$8:$D$531,2,FALSE)</f>
        <v>DA+0</v>
      </c>
      <c r="E146" s="376" t="str">
        <f>+VLOOKUP(C146,Foundation!$C$8:$E$495,3,FALSE)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+VLOOKUP(C147,Foundation!$C$8:$D$531,2,FALSE)</f>
        <v>DA+0</v>
      </c>
      <c r="E147" s="376" t="str">
        <f>+VLOOKUP(C147,Foundation!$C$8:$E$495,3,FALSE)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+VLOOKUP(C148,Foundation!$C$8:$D$531,2,FALSE)</f>
        <v>DB2+3</v>
      </c>
      <c r="E148" s="376" t="str">
        <f>+VLOOKUP(C148,Foundation!$C$8:$E$495,3,FALSE)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+VLOOKUP(C149,Foundation!$C$8:$D$531,2,FALSE)</f>
        <v>DA+0</v>
      </c>
      <c r="E149" s="376" t="str">
        <f>+VLOOKUP(C149,Foundation!$C$8:$E$495,3,FALSE)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+VLOOKUP(C150,Foundation!$C$8:$D$531,2,FALSE)</f>
        <v>DA+3</v>
      </c>
      <c r="E150" s="376" t="str">
        <f>+VLOOKUP(C150,Foundation!$C$8:$E$495,3,FALSE)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+VLOOKUP(C151,Foundation!$C$8:$D$531,2,FALSE)</f>
        <v>DA+0</v>
      </c>
      <c r="E151" s="376" t="str">
        <f>+VLOOKUP(C151,Foundation!$C$8:$E$495,3,FALSE)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+VLOOKUP(C152,Foundation!$C$8:$D$531,2,FALSE)</f>
        <v>DA+3</v>
      </c>
      <c r="E152" s="376" t="str">
        <f>+VLOOKUP(C152,Foundation!$C$8:$E$495,3,FALSE)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+VLOOKUP(C153,Foundation!$C$8:$D$531,2,FALSE)</f>
        <v>DA+9</v>
      </c>
      <c r="E153" s="376" t="str">
        <f>+VLOOKUP(C153,Foundation!$C$8:$E$495,3,FALSE)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+VLOOKUP(C154,Foundation!$C$8:$D$531,2,FALSE)</f>
        <v>DA+0</v>
      </c>
      <c r="E154" s="376" t="str">
        <f>+VLOOKUP(C154,Foundation!$C$8:$E$495,3,FALSE)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+VLOOKUP(C155,Foundation!$C$8:$D$531,2,FALSE)</f>
        <v>DA+0</v>
      </c>
      <c r="E155" s="376" t="str">
        <f>+VLOOKUP(C155,Foundation!$C$8:$E$495,3,FALSE)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+VLOOKUP(C156,Foundation!$C$8:$D$531,2,FALSE)</f>
        <v>DA+6</v>
      </c>
      <c r="E156" s="376" t="str">
        <f>+VLOOKUP(C156,Foundation!$C$8:$E$495,3,FALSE)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+VLOOKUP(C157,Foundation!$C$8:$D$531,2,FALSE)</f>
        <v>DA+3</v>
      </c>
      <c r="E157" s="376" t="str">
        <f>+VLOOKUP(C157,Foundation!$C$8:$E$495,3,FALSE)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+VLOOKUP(C158,Foundation!$C$8:$D$531,2,FALSE)</f>
        <v>DA+3</v>
      </c>
      <c r="E158" s="376" t="str">
        <f>+VLOOKUP(C158,Foundation!$C$8:$E$495,3,FALSE)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+VLOOKUP(C159,Foundation!$C$8:$D$531,2,FALSE)</f>
        <v>DA+9</v>
      </c>
      <c r="E159" s="376" t="str">
        <f>+VLOOKUP(C159,Foundation!$C$8:$E$495,3,FALSE)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+VLOOKUP(C160,Foundation!$C$8:$D$531,2,FALSE)</f>
        <v>DA+9</v>
      </c>
      <c r="E160" s="376" t="str">
        <f>+VLOOKUP(C160,Foundation!$C$8:$E$495,3,FALSE)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+VLOOKUP(C161,Foundation!$C$8:$D$531,2,FALSE)</f>
        <v>DA+3</v>
      </c>
      <c r="E161" s="376" t="str">
        <f>+VLOOKUP(C161,Foundation!$C$8:$E$495,3,FALSE)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+VLOOKUP(C162,Foundation!$C$8:$D$531,2,FALSE)</f>
        <v>DA+3</v>
      </c>
      <c r="E162" s="376" t="str">
        <f>+VLOOKUP(C162,Foundation!$C$8:$E$495,3,FALSE)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+VLOOKUP(C163,Foundation!$C$8:$D$531,2,FALSE)</f>
        <v>DA+3</v>
      </c>
      <c r="E163" s="376" t="str">
        <f>+VLOOKUP(C163,Foundation!$C$8:$E$495,3,FALSE)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+VLOOKUP(C164,Foundation!$C$8:$D$531,2,FALSE)</f>
        <v>DA+3</v>
      </c>
      <c r="E164" s="376" t="str">
        <f>+VLOOKUP(C164,Foundation!$C$8:$E$495,3,FALSE)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+VLOOKUP(C165,Foundation!$C$8:$D$531,2,FALSE)</f>
        <v>DA+3</v>
      </c>
      <c r="E165" s="376" t="str">
        <f>+VLOOKUP(C165,Foundation!$C$8:$E$495,3,FALSE)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+VLOOKUP(C166,Foundation!$C$8:$D$531,2,FALSE)</f>
        <v>DA+3</v>
      </c>
      <c r="E166" s="376" t="str">
        <f>+VLOOKUP(C166,Foundation!$C$8:$E$495,3,FALSE)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+VLOOKUP(C167,Foundation!$C$8:$D$531,2,FALSE)</f>
        <v>DA+3</v>
      </c>
      <c r="E167" s="376" t="str">
        <f>+VLOOKUP(C167,Foundation!$C$8:$E$495,3,FALSE)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+VLOOKUP(C168,Foundation!$C$8:$D$531,2,FALSE)</f>
        <v>DA+3</v>
      </c>
      <c r="E168" s="376" t="str">
        <f>+VLOOKUP(C168,Foundation!$C$8:$E$495,3,FALSE)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+VLOOKUP(C169,Foundation!$C$8:$D$531,2,FALSE)</f>
        <v>DA+9</v>
      </c>
      <c r="E169" s="376" t="str">
        <f>+VLOOKUP(C169,Foundation!$C$8:$E$495,3,FALSE)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+VLOOKUP(C170,Foundation!$C$8:$D$531,2,FALSE)</f>
        <v>DA+3</v>
      </c>
      <c r="E170" s="376" t="str">
        <f>+VLOOKUP(C170,Foundation!$C$8:$E$495,3,FALSE)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+VLOOKUP(C171,Foundation!$C$8:$D$531,2,FALSE)</f>
        <v>DA+0</v>
      </c>
      <c r="E171" s="376" t="str">
        <f>+VLOOKUP(C171,Foundation!$C$8:$E$495,3,FALSE)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+VLOOKUP(C172,Foundation!$C$8:$D$531,2,FALSE)</f>
        <v>DB1+0</v>
      </c>
      <c r="E172" s="376" t="str">
        <f>+VLOOKUP(C172,Foundation!$C$8:$E$495,3,FALSE)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+VLOOKUP(C173,Foundation!$C$8:$D$531,2,FALSE)</f>
        <v>DA+0</v>
      </c>
      <c r="E173" s="376" t="str">
        <f>+VLOOKUP(C173,Foundation!$C$8:$E$495,3,FALSE)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+VLOOKUP(C174,Foundation!$C$8:$D$531,2,FALSE)</f>
        <v>DA+6</v>
      </c>
      <c r="E174" s="376" t="str">
        <f>+VLOOKUP(C174,Foundation!$C$8:$E$495,3,FALSE)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+VLOOKUP(C175,Foundation!$C$8:$D$531,2,FALSE)</f>
        <v>DC2+0</v>
      </c>
      <c r="E175" s="376" t="str">
        <f>+VLOOKUP(C175,Foundation!$C$8:$E$495,3,FALSE)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+VLOOKUP(C176,Foundation!$C$8:$D$531,2,FALSE)</f>
        <v>DA+0</v>
      </c>
      <c r="E176" s="376" t="str">
        <f>+VLOOKUP(C176,Foundation!$C$8:$E$495,3,FALSE)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+VLOOKUP(C177,Foundation!$C$8:$D$531,2,FALSE)</f>
        <v>DA+3</v>
      </c>
      <c r="E177" s="376" t="str">
        <f>+VLOOKUP(C177,Foundation!$C$8:$E$495,3,FALSE)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+VLOOKUP(C178,Foundation!$C$8:$D$531,2,FALSE)</f>
        <v>DA+0</v>
      </c>
      <c r="E178" s="376" t="str">
        <f>+VLOOKUP(C178,Foundation!$C$8:$E$495,3,FALSE)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+VLOOKUP(C179,Foundation!$C$8:$D$531,2,FALSE)</f>
        <v>DB1+0</v>
      </c>
      <c r="E179" s="376" t="str">
        <f>+VLOOKUP(C179,Foundation!$C$8:$E$495,3,FALSE)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+VLOOKUP(C180,Foundation!$C$8:$D$531,2,FALSE)</f>
        <v>DB2+0</v>
      </c>
      <c r="E180" s="376" t="str">
        <f>+VLOOKUP(C180,Foundation!$C$8:$E$495,3,FALSE)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+VLOOKUP(C181,Foundation!$C$8:$D$531,2,FALSE)</f>
        <v>DA+3</v>
      </c>
      <c r="E181" s="376" t="str">
        <f>+VLOOKUP(C181,Foundation!$C$8:$E$495,3,FALSE)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+VLOOKUP(C182,Foundation!$C$8:$D$531,2,FALSE)</f>
        <v>DB2+0</v>
      </c>
      <c r="E182" s="376" t="str">
        <f>+VLOOKUP(C182,Foundation!$C$8:$E$495,3,FALSE)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+VLOOKUP(C183,Foundation!$C$8:$D$531,2,FALSE)</f>
        <v>DA+0</v>
      </c>
      <c r="E183" s="376" t="str">
        <f>+VLOOKUP(C183,Foundation!$C$8:$E$495,3,FALSE)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+VLOOKUP(C184,Foundation!$C$8:$D$531,2,FALSE)</f>
        <v>DA+3</v>
      </c>
      <c r="E184" s="376" t="str">
        <f>+VLOOKUP(C184,Foundation!$C$8:$E$495,3,FALSE)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+VLOOKUP(C185,Foundation!$C$8:$D$531,2,FALSE)</f>
        <v>DA+3</v>
      </c>
      <c r="E185" s="376" t="str">
        <f>+VLOOKUP(C185,Foundation!$C$8:$E$495,3,FALSE)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+VLOOKUP(C186,Foundation!$C$8:$D$531,2,FALSE)</f>
        <v>DA+3</v>
      </c>
      <c r="E186" s="376" t="str">
        <f>+VLOOKUP(C186,Foundation!$C$8:$E$495,3,FALSE)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+VLOOKUP(C187,Foundation!$C$8:$D$531,2,FALSE)</f>
        <v>DA+0</v>
      </c>
      <c r="E187" s="376" t="str">
        <f>+VLOOKUP(C187,Foundation!$C$8:$E$495,3,FALSE)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+VLOOKUP(C188,Foundation!$C$8:$D$531,2,FALSE)</f>
        <v>DA+0</v>
      </c>
      <c r="E188" s="376" t="str">
        <f>+VLOOKUP(C188,Foundation!$C$8:$E$495,3,FALSE)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+VLOOKUP(C189,Foundation!$C$8:$D$531,2,FALSE)</f>
        <v>DB2+3</v>
      </c>
      <c r="E189" s="376" t="str">
        <f>+VLOOKUP(C189,Foundation!$C$8:$E$495,3,FALSE)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+VLOOKUP(C190,Foundation!$C$8:$D$531,2,FALSE)</f>
        <v>DA+3</v>
      </c>
      <c r="E190" s="376" t="str">
        <f>+VLOOKUP(C190,Foundation!$C$8:$E$495,3,FALSE)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+VLOOKUP(C191,Foundation!$C$8:$D$531,2,FALSE)</f>
        <v>DC2+6</v>
      </c>
      <c r="E191" s="376" t="str">
        <f>+VLOOKUP(C191,Foundation!$C$8:$E$495,3,FALSE)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+VLOOKUP(C192,Foundation!$C$8:$D$531,2,FALSE)</f>
        <v>DA+6</v>
      </c>
      <c r="E192" s="376" t="str">
        <f>+VLOOKUP(C192,Foundation!$C$8:$E$495,3,FALSE)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+VLOOKUP(C193,Foundation!$C$8:$D$531,2,FALSE)</f>
        <v>DA+3</v>
      </c>
      <c r="E193" s="376" t="str">
        <f>+VLOOKUP(C193,Foundation!$C$8:$E$495,3,FALSE)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+VLOOKUP(C194,Foundation!$C$8:$D$531,2,FALSE)</f>
        <v>DA+0</v>
      </c>
      <c r="E194" s="376" t="str">
        <f>+VLOOKUP(C194,Foundation!$C$8:$E$495,3,FALSE)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+VLOOKUP(C195,Foundation!$C$8:$D$531,2,FALSE)</f>
        <v>DA+0</v>
      </c>
      <c r="E195" s="376" t="str">
        <f>+VLOOKUP(C195,Foundation!$C$8:$E$495,3,FALSE)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+VLOOKUP(C196,Foundation!$C$8:$D$531,2,FALSE)</f>
        <v>DC2+0</v>
      </c>
      <c r="E196" s="376" t="str">
        <f>+VLOOKUP(C196,Foundation!$C$8:$E$495,3,FALSE)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+VLOOKUP(C197,Foundation!$C$8:$D$531,2,FALSE)</f>
        <v>DA+6</v>
      </c>
      <c r="E197" s="376" t="str">
        <f>+VLOOKUP(C197,Foundation!$C$8:$E$495,3,FALSE)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+VLOOKUP(C198,Foundation!$C$8:$D$531,2,FALSE)</f>
        <v>DA+3</v>
      </c>
      <c r="E198" s="376" t="str">
        <f>+VLOOKUP(C198,Foundation!$C$8:$E$495,3,FALSE)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+VLOOKUP(C199,Foundation!$C$8:$D$531,2,FALSE)</f>
        <v>DC2+0</v>
      </c>
      <c r="E199" s="376" t="str">
        <f>+VLOOKUP(C199,Foundation!$C$8:$E$495,3,FALSE)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+VLOOKUP(C200,Foundation!$C$8:$D$531,2,FALSE)</f>
        <v>DD45+0</v>
      </c>
      <c r="E200" s="376" t="str">
        <f>+VLOOKUP(C200,Foundation!$C$8:$E$495,3,FALSE)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+VLOOKUP(C201,Foundation!$C$8:$D$531,2,FALSE)</f>
        <v>DA+3</v>
      </c>
      <c r="E201" s="376" t="str">
        <f>+VLOOKUP(C201,Foundation!$C$8:$E$495,3,FALSE)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+VLOOKUP(C202,Foundation!$C$8:$D$531,2,FALSE)</f>
        <v>DA+0</v>
      </c>
      <c r="E202" s="376" t="str">
        <f>+VLOOKUP(C202,Foundation!$C$8:$E$495,3,FALSE)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+VLOOKUP(C203,Foundation!$C$8:$D$531,2,FALSE)</f>
        <v>DA+0</v>
      </c>
      <c r="E203" s="376" t="str">
        <f>+VLOOKUP(C203,Foundation!$C$8:$E$495,3,FALSE)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+VLOOKUP(C204,Foundation!$C$8:$D$531,2,FALSE)</f>
        <v>DA+9</v>
      </c>
      <c r="E204" s="376" t="str">
        <f>+VLOOKUP(C204,Foundation!$C$8:$E$495,3,FALSE)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+VLOOKUP(C205,Foundation!$C$8:$D$531,2,FALSE)</f>
        <v>DA+3</v>
      </c>
      <c r="E205" s="376" t="str">
        <f>+VLOOKUP(C205,Foundation!$C$8:$E$495,3,FALSE)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+VLOOKUP(C206,Foundation!$C$8:$D$531,2,FALSE)</f>
        <v>DA+0</v>
      </c>
      <c r="E206" s="376" t="str">
        <f>+VLOOKUP(C206,Foundation!$C$8:$E$495,3,FALSE)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+VLOOKUP(C207,Foundation!$C$8:$D$531,2,FALSE)</f>
        <v>DA+3</v>
      </c>
      <c r="E207" s="376" t="str">
        <f>+VLOOKUP(C207,Foundation!$C$8:$E$495,3,FALSE)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+VLOOKUP(C208,Foundation!$C$8:$D$531,2,FALSE)</f>
        <v>DA+3</v>
      </c>
      <c r="E208" s="376" t="str">
        <f>+VLOOKUP(C208,Foundation!$C$8:$E$495,3,FALSE)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+VLOOKUP(C209,Foundation!$C$8:$D$531,2,FALSE)</f>
        <v>DA+6</v>
      </c>
      <c r="E209" s="376" t="str">
        <f>+VLOOKUP(C209,Foundation!$C$8:$E$495,3,FALSE)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+VLOOKUP(C210,Foundation!$C$8:$D$531,2,FALSE)</f>
        <v>DC1+3</v>
      </c>
      <c r="E210" s="376" t="str">
        <f>+VLOOKUP(C210,Foundation!$C$8:$E$495,3,FALSE)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+VLOOKUP(C211,Foundation!$C$8:$D$531,2,FALSE)</f>
        <v>DA+3</v>
      </c>
      <c r="E211" s="376" t="str">
        <f>+VLOOKUP(C211,Foundation!$C$8:$E$495,3,FALSE)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+VLOOKUP(C212,Foundation!$C$8:$D$531,2,FALSE)</f>
        <v>DA+3</v>
      </c>
      <c r="E212" s="376" t="str">
        <f>+VLOOKUP(C212,Foundation!$C$8:$E$495,3,FALSE)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+VLOOKUP(C213,Foundation!$C$8:$D$531,2,FALSE)</f>
        <v>DA+0</v>
      </c>
      <c r="E213" s="376" t="str">
        <f>+VLOOKUP(C213,Foundation!$C$8:$E$495,3,FALSE)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+VLOOKUP(C214,Foundation!$C$8:$D$531,2,FALSE)</f>
        <v>DA+3</v>
      </c>
      <c r="E214" s="376" t="str">
        <f>+VLOOKUP(C214,Foundation!$C$8:$E$495,3,FALSE)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+VLOOKUP(C215,Foundation!$C$8:$D$531,2,FALSE)</f>
        <v>DA+6</v>
      </c>
      <c r="E215" s="376" t="str">
        <f>+VLOOKUP(C215,Foundation!$C$8:$E$495,3,FALSE)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+VLOOKUP(C216,Foundation!$C$8:$D$531,2,FALSE)</f>
        <v>DB2+3</v>
      </c>
      <c r="E216" s="376" t="str">
        <f>+VLOOKUP(C216,Foundation!$C$8:$E$495,3,FALSE)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+VLOOKUP(C217,Foundation!$C$8:$D$531,2,FALSE)</f>
        <v>DA+3</v>
      </c>
      <c r="E217" s="376" t="str">
        <f>+VLOOKUP(C217,Foundation!$C$8:$E$495,3,FALSE)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+VLOOKUP(C218,Foundation!$C$8:$D$531,2,FALSE)</f>
        <v>DA+0</v>
      </c>
      <c r="E218" s="376" t="str">
        <f>+VLOOKUP(C218,Foundation!$C$8:$E$495,3,FALSE)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+VLOOKUP(C219,Foundation!$C$8:$D$531,2,FALSE)</f>
        <v>DA+3</v>
      </c>
      <c r="E219" s="376" t="str">
        <f>+VLOOKUP(C219,Foundation!$C$8:$E$495,3,FALSE)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+VLOOKUP(C220,Foundation!$C$8:$D$531,2,FALSE)</f>
        <v>DA+3</v>
      </c>
      <c r="E220" s="376" t="str">
        <f>+VLOOKUP(C220,Foundation!$C$8:$E$495,3,FALSE)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+VLOOKUP(C221,Foundation!$C$8:$D$531,2,FALSE)</f>
        <v>DA+3</v>
      </c>
      <c r="E221" s="376" t="str">
        <f>+VLOOKUP(C221,Foundation!$C$8:$E$495,3,FALSE)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+VLOOKUP(C222,Foundation!$C$8:$D$531,2,FALSE)</f>
        <v>DA+0</v>
      </c>
      <c r="E222" s="376" t="str">
        <f>+VLOOKUP(C222,Foundation!$C$8:$E$495,3,FALSE)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+VLOOKUP(C223,Foundation!$C$8:$D$531,2,FALSE)</f>
        <v>DA+3</v>
      </c>
      <c r="E223" s="376" t="str">
        <f>+VLOOKUP(C223,Foundation!$C$8:$E$495,3,FALSE)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+VLOOKUP(C224,Foundation!$C$8:$D$531,2,FALSE)</f>
        <v>DA+9</v>
      </c>
      <c r="E224" s="376" t="str">
        <f>+VLOOKUP(C224,Foundation!$C$8:$E$495,3,FALSE)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+VLOOKUP(C225,Foundation!$C$8:$D$531,2,FALSE)</f>
        <v>DD45+0</v>
      </c>
      <c r="E225" s="376" t="str">
        <f>+VLOOKUP(C225,Foundation!$C$8:$E$495,3,FALSE)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+VLOOKUP(C226,Foundation!$C$8:$D$531,2,FALSE)</f>
        <v>DB2+9</v>
      </c>
      <c r="E226" s="376" t="str">
        <f>+VLOOKUP(C226,Foundation!$C$8:$E$495,3,FALSE)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+VLOOKUP(C227,Foundation!$C$8:$D$531,2,FALSE)</f>
        <v>DA+3</v>
      </c>
      <c r="E227" s="376" t="str">
        <f>+VLOOKUP(C227,Foundation!$C$8:$E$495,3,FALSE)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+VLOOKUP(C228,Foundation!$C$8:$D$531,2,FALSE)</f>
        <v>DC1+9</v>
      </c>
      <c r="E228" s="376" t="str">
        <f>+VLOOKUP(C228,Foundation!$C$8:$E$495,3,FALSE)</f>
        <v>DRY</v>
      </c>
      <c r="F228" s="358">
        <v>45797</v>
      </c>
      <c r="G228" s="358">
        <v>45806</v>
      </c>
      <c r="H228" s="381" t="s">
        <v>1399</v>
      </c>
      <c r="I228" s="389"/>
      <c r="J228" s="739">
        <f t="shared" si="3"/>
        <v>81.494626999999994</v>
      </c>
      <c r="K228" s="381"/>
    </row>
    <row r="229" spans="1:11" x14ac:dyDescent="0.2">
      <c r="A229" s="380">
        <f>+SUBTOTAL(3,$G$7:$G229)</f>
        <v>223</v>
      </c>
      <c r="B229" s="374">
        <v>45809</v>
      </c>
      <c r="C229" s="375" t="s">
        <v>632</v>
      </c>
      <c r="D229" s="376" t="str">
        <f>+VLOOKUP(C229,Foundation!$C$8:$D$531,2,FALSE)</f>
        <v>DA+3</v>
      </c>
      <c r="E229" s="376" t="str">
        <f>+VLOOKUP(C229,Foundation!$C$8:$E$495,3,FALSE)</f>
        <v>DFR</v>
      </c>
      <c r="F229" s="358">
        <v>45787</v>
      </c>
      <c r="G229" s="358">
        <v>45819</v>
      </c>
      <c r="H229" s="381" t="s">
        <v>1391</v>
      </c>
      <c r="I229" s="389"/>
      <c r="J229" s="739">
        <f t="shared" si="3"/>
        <v>38.847605999999992</v>
      </c>
      <c r="K229" s="381" t="s">
        <v>1409</v>
      </c>
    </row>
    <row r="230" spans="1:11" x14ac:dyDescent="0.2">
      <c r="A230" s="380">
        <f>+SUBTOTAL(3,$G$7:$G230)</f>
        <v>224</v>
      </c>
      <c r="B230" s="374">
        <v>45809</v>
      </c>
      <c r="C230" s="356" t="s">
        <v>634</v>
      </c>
      <c r="D230" s="376" t="str">
        <f>+VLOOKUP(C230,Foundation!$C$8:$D$531,2,FALSE)</f>
        <v>DA+0</v>
      </c>
      <c r="E230" s="376" t="str">
        <f>+VLOOKUP(C230,Foundation!$C$8:$E$495,3,FALSE)</f>
        <v>Sandy</v>
      </c>
      <c r="F230" s="358">
        <v>45819</v>
      </c>
      <c r="G230" s="358">
        <v>45828</v>
      </c>
      <c r="H230" s="381" t="s">
        <v>1391</v>
      </c>
      <c r="I230" s="389"/>
      <c r="J230" s="739">
        <f t="shared" si="3"/>
        <v>37.504372000000004</v>
      </c>
      <c r="K230" s="381" t="s">
        <v>1409</v>
      </c>
    </row>
    <row r="231" spans="1:11" x14ac:dyDescent="0.2">
      <c r="A231" s="380">
        <f>+SUBTOTAL(3,$G$7:$G231)</f>
        <v>225</v>
      </c>
      <c r="B231" s="374">
        <v>45809</v>
      </c>
      <c r="C231" s="356" t="s">
        <v>841</v>
      </c>
      <c r="D231" s="376" t="str">
        <f>+VLOOKUP(C231,Foundation!$C$8:$D$531,2,FALSE)</f>
        <v>DA+3</v>
      </c>
      <c r="E231" s="376" t="str">
        <f>+VLOOKUP(C231,Foundation!$C$8:$E$495,3,FALSE)</f>
        <v>DRY</v>
      </c>
      <c r="F231" s="358">
        <v>45825</v>
      </c>
      <c r="G231" s="358">
        <v>45830</v>
      </c>
      <c r="H231" s="381" t="s">
        <v>1414</v>
      </c>
      <c r="I231" s="389"/>
      <c r="J231" s="739">
        <f t="shared" si="3"/>
        <v>38.847605999999992</v>
      </c>
      <c r="K231" s="381" t="s">
        <v>1415</v>
      </c>
    </row>
    <row r="232" spans="1:11" x14ac:dyDescent="0.2">
      <c r="A232" s="380">
        <f>+SUBTOTAL(3,$G$7:$G232)</f>
        <v>226</v>
      </c>
      <c r="B232" s="374">
        <v>45809</v>
      </c>
      <c r="C232" s="375" t="s">
        <v>840</v>
      </c>
      <c r="D232" s="376" t="str">
        <f>+VLOOKUP(C232,Foundation!$C$8:$D$531,2,FALSE)</f>
        <v>DA+3</v>
      </c>
      <c r="E232" s="376" t="str">
        <f>+VLOOKUP(C232,Foundation!$C$8:$E$495,3,FALSE)</f>
        <v>DRY</v>
      </c>
      <c r="F232" s="358">
        <v>45796</v>
      </c>
      <c r="G232" s="358">
        <v>45836</v>
      </c>
      <c r="H232" s="381" t="s">
        <v>1416</v>
      </c>
      <c r="I232" s="389"/>
      <c r="J232" s="739">
        <f t="shared" si="3"/>
        <v>38.847605999999992</v>
      </c>
      <c r="K232" s="381" t="s">
        <v>1415</v>
      </c>
    </row>
    <row r="233" spans="1:11" x14ac:dyDescent="0.2">
      <c r="A233" s="380">
        <f>+SUBTOTAL(3,$G$7:$G233)</f>
        <v>227</v>
      </c>
      <c r="B233" s="374">
        <v>45809</v>
      </c>
      <c r="C233" s="375" t="s">
        <v>635</v>
      </c>
      <c r="D233" s="376" t="str">
        <f>+VLOOKUP(C233,Foundation!$C$8:$D$531,2,FALSE)</f>
        <v>DA+3</v>
      </c>
      <c r="E233" s="376" t="str">
        <f>+VLOOKUP(C233,Foundation!$C$8:$E$495,3,FALSE)</f>
        <v>Sandy</v>
      </c>
      <c r="F233" s="358">
        <v>45812</v>
      </c>
      <c r="G233" s="358">
        <v>45838</v>
      </c>
      <c r="H233" s="381" t="s">
        <v>1434</v>
      </c>
      <c r="I233" s="389"/>
      <c r="J233" s="739">
        <f t="shared" si="3"/>
        <v>38.847605999999992</v>
      </c>
      <c r="K233" s="381" t="s">
        <v>1409</v>
      </c>
    </row>
    <row r="234" spans="1:11" x14ac:dyDescent="0.2">
      <c r="A234" s="380">
        <f>+SUBTOTAL(3,$G$7:$G234)</f>
        <v>228</v>
      </c>
      <c r="B234" s="374">
        <v>45809</v>
      </c>
      <c r="C234" s="375" t="s">
        <v>836</v>
      </c>
      <c r="D234" s="376" t="str">
        <f>+VLOOKUP(C234,Foundation!$C$8:$D$531,2,FALSE)</f>
        <v>DA+3</v>
      </c>
      <c r="E234" s="376" t="str">
        <f>+VLOOKUP(C234,Foundation!$C$8:$E$495,3,FALSE)</f>
        <v>DRY</v>
      </c>
      <c r="F234" s="358">
        <v>45830</v>
      </c>
      <c r="G234" s="358">
        <v>45838</v>
      </c>
      <c r="H234" s="381" t="s">
        <v>1432</v>
      </c>
      <c r="I234" s="389"/>
      <c r="J234" s="739">
        <f t="shared" si="3"/>
        <v>38.847605999999992</v>
      </c>
      <c r="K234" s="381" t="s">
        <v>1415</v>
      </c>
    </row>
    <row r="235" spans="1:11" x14ac:dyDescent="0.2">
      <c r="A235" s="380">
        <f>+SUBTOTAL(3,$G$7:$G235)</f>
        <v>229</v>
      </c>
      <c r="B235" s="374">
        <v>45839</v>
      </c>
      <c r="C235" s="375" t="s">
        <v>466</v>
      </c>
      <c r="D235" s="376" t="str">
        <f>+VLOOKUP(C235,Foundation!$C$8:$D$531,2,FALSE)</f>
        <v>DA+3</v>
      </c>
      <c r="E235" s="376" t="str">
        <f>+VLOOKUP(C235,Foundation!$C$8:$E$495,3,FALSE)</f>
        <v>DFR</v>
      </c>
      <c r="F235" s="358">
        <v>45835</v>
      </c>
      <c r="G235" s="358">
        <v>45839</v>
      </c>
      <c r="H235" s="381" t="s">
        <v>1414</v>
      </c>
      <c r="I235" s="389"/>
      <c r="J235" s="739">
        <f t="shared" ref="J235" si="4">+VLOOKUP(D235,$AB$7:$AC$35,2,FALSE)</f>
        <v>38.847605999999992</v>
      </c>
      <c r="K235" s="381" t="s">
        <v>1415</v>
      </c>
    </row>
    <row r="236" spans="1:11" x14ac:dyDescent="0.2">
      <c r="A236" s="380">
        <f>+SUBTOTAL(3,$G$7:$G236)</f>
        <v>230</v>
      </c>
      <c r="B236" s="374">
        <v>45839</v>
      </c>
      <c r="C236" s="375" t="s">
        <v>834</v>
      </c>
      <c r="D236" s="376" t="str">
        <f>+VLOOKUP(C236,Foundation!$C$8:$D$531,2,FALSE)</f>
        <v>DA+3</v>
      </c>
      <c r="E236" s="376" t="str">
        <f>+VLOOKUP(C236,Foundation!$C$8:$E$495,3,FALSE)</f>
        <v>DRY</v>
      </c>
      <c r="F236" s="358">
        <v>45836</v>
      </c>
      <c r="G236" s="358">
        <v>45841</v>
      </c>
      <c r="H236" s="381" t="s">
        <v>1437</v>
      </c>
      <c r="I236" s="389"/>
      <c r="J236" s="739">
        <f t="shared" ref="J236:J246" si="5">+VLOOKUP(D236,$AB$7:$AC$35,2,FALSE)</f>
        <v>38.847605999999992</v>
      </c>
      <c r="K236" s="381" t="s">
        <v>1415</v>
      </c>
    </row>
    <row r="237" spans="1:11" x14ac:dyDescent="0.2">
      <c r="A237" s="380">
        <f>+SUBTOTAL(3,$G$7:$G237)</f>
        <v>231</v>
      </c>
      <c r="B237" s="374">
        <v>45839</v>
      </c>
      <c r="C237" s="375" t="s">
        <v>835</v>
      </c>
      <c r="D237" s="376" t="str">
        <f>+VLOOKUP(C237,Foundation!$C$8:$D$531,2,FALSE)</f>
        <v>DA+3</v>
      </c>
      <c r="E237" s="376" t="str">
        <f>+VLOOKUP(C237,Foundation!$C$8:$E$495,3,FALSE)</f>
        <v>DRY</v>
      </c>
      <c r="F237" s="358">
        <v>45839</v>
      </c>
      <c r="G237" s="358">
        <v>45846</v>
      </c>
      <c r="H237" s="381" t="s">
        <v>1432</v>
      </c>
      <c r="I237" s="389"/>
      <c r="J237" s="739">
        <f t="shared" ref="J237" si="6">+VLOOKUP(D237,$AB$7:$AC$35,2,FALSE)</f>
        <v>38.847605999999992</v>
      </c>
      <c r="K237" s="381" t="s">
        <v>1415</v>
      </c>
    </row>
    <row r="238" spans="1:11" x14ac:dyDescent="0.2">
      <c r="A238" s="380">
        <f>+SUBTOTAL(3,$G$7:$G238)</f>
        <v>232</v>
      </c>
      <c r="B238" s="374">
        <v>45839</v>
      </c>
      <c r="C238" s="375" t="s">
        <v>155</v>
      </c>
      <c r="D238" s="376" t="str">
        <f>+VLOOKUP(C238,Foundation!$C$8:$D$531,2,FALSE)</f>
        <v>DA+3</v>
      </c>
      <c r="E238" s="376" t="str">
        <f>+VLOOKUP(C238,Foundation!$C$8:$E$495,3,FALSE)</f>
        <v>DFR</v>
      </c>
      <c r="F238" s="358">
        <v>45845</v>
      </c>
      <c r="G238" s="358">
        <v>45857</v>
      </c>
      <c r="H238" s="381" t="s">
        <v>1414</v>
      </c>
      <c r="I238" s="389"/>
      <c r="J238" s="739">
        <f t="shared" ref="J238:J242" si="7">+VLOOKUP(D238,$AB$7:$AC$35,2,FALSE)</f>
        <v>38.847605999999992</v>
      </c>
      <c r="K238" s="381" t="s">
        <v>1415</v>
      </c>
    </row>
    <row r="239" spans="1:11" x14ac:dyDescent="0.2">
      <c r="A239" s="380">
        <f>+SUBTOTAL(3,$G$7:$G239)</f>
        <v>233</v>
      </c>
      <c r="B239" s="374">
        <v>45839</v>
      </c>
      <c r="C239" s="375" t="s">
        <v>105</v>
      </c>
      <c r="D239" s="376" t="str">
        <f>+VLOOKUP(C239,Foundation!$C$8:$D$531,2,FALSE)</f>
        <v>DC1+0</v>
      </c>
      <c r="E239" s="376" t="str">
        <f>+VLOOKUP(C239,Foundation!$C$8:$E$495,3,FALSE)</f>
        <v>DRY</v>
      </c>
      <c r="F239" s="358">
        <v>45841</v>
      </c>
      <c r="G239" s="358">
        <v>45852</v>
      </c>
      <c r="H239" s="381" t="s">
        <v>1437</v>
      </c>
      <c r="I239" s="389"/>
      <c r="J239" s="739">
        <f t="shared" si="7"/>
        <v>66.381106999999986</v>
      </c>
      <c r="K239" s="381" t="s">
        <v>1415</v>
      </c>
    </row>
    <row r="240" spans="1:11" x14ac:dyDescent="0.2">
      <c r="A240" s="380">
        <f>+SUBTOTAL(3,$G$7:$G240)</f>
        <v>234</v>
      </c>
      <c r="B240" s="374">
        <v>45839</v>
      </c>
      <c r="C240" s="375" t="s">
        <v>842</v>
      </c>
      <c r="D240" s="376" t="str">
        <f>+VLOOKUP(C240,Foundation!$C$8:$D$531,2,FALSE)</f>
        <v>DA+3</v>
      </c>
      <c r="E240" s="376" t="str">
        <f>+VLOOKUP(C240,Foundation!$C$8:$E$495,3,FALSE)</f>
        <v>DRY</v>
      </c>
      <c r="F240" s="358">
        <v>45846</v>
      </c>
      <c r="G240" s="358">
        <v>45852</v>
      </c>
      <c r="H240" s="381" t="s">
        <v>1432</v>
      </c>
      <c r="I240" s="389"/>
      <c r="J240" s="739">
        <f t="shared" si="7"/>
        <v>38.847605999999992</v>
      </c>
      <c r="K240" s="381" t="s">
        <v>1415</v>
      </c>
    </row>
    <row r="241" spans="1:11" x14ac:dyDescent="0.2">
      <c r="A241" s="380">
        <f>+SUBTOTAL(3,$G$7:$G241)</f>
        <v>235</v>
      </c>
      <c r="B241" s="374">
        <v>45839</v>
      </c>
      <c r="C241" s="375" t="s">
        <v>636</v>
      </c>
      <c r="D241" s="376" t="str">
        <f>+VLOOKUP(C241,Foundation!$C$8:$D$531,2,FALSE)</f>
        <v>DA+0</v>
      </c>
      <c r="E241" s="376" t="str">
        <f>+VLOOKUP(C241,Foundation!$C$8:$E$495,3,FALSE)</f>
        <v>Sandy</v>
      </c>
      <c r="F241" s="358">
        <v>45819</v>
      </c>
      <c r="G241" s="358">
        <v>45853</v>
      </c>
      <c r="H241" s="381" t="s">
        <v>1434</v>
      </c>
      <c r="I241" s="389"/>
      <c r="J241" s="739">
        <f t="shared" si="7"/>
        <v>37.504372000000004</v>
      </c>
      <c r="K241" s="381" t="s">
        <v>1409</v>
      </c>
    </row>
    <row r="242" spans="1:11" x14ac:dyDescent="0.2">
      <c r="A242" s="380">
        <f>+SUBTOTAL(3,$G$7:$G242)</f>
        <v>236</v>
      </c>
      <c r="B242" s="374">
        <v>45839</v>
      </c>
      <c r="C242" s="375" t="s">
        <v>455</v>
      </c>
      <c r="D242" s="376" t="str">
        <f>+VLOOKUP(C242,Foundation!$C$8:$D$531,2,FALSE)</f>
        <v>DA+0</v>
      </c>
      <c r="E242" s="376" t="str">
        <f>+VLOOKUP(C242,Foundation!$C$8:$E$495,3,FALSE)</f>
        <v>Sandy</v>
      </c>
      <c r="F242" s="358">
        <v>45849</v>
      </c>
      <c r="G242" s="358">
        <v>45854</v>
      </c>
      <c r="H242" s="381" t="s">
        <v>1451</v>
      </c>
      <c r="I242" s="389"/>
      <c r="J242" s="739">
        <f t="shared" si="7"/>
        <v>37.504372000000004</v>
      </c>
      <c r="K242" s="381" t="s">
        <v>1415</v>
      </c>
    </row>
    <row r="243" spans="1:11" x14ac:dyDescent="0.2">
      <c r="A243" s="380">
        <f>+SUBTOTAL(3,$G$7:$G243)</f>
        <v>237</v>
      </c>
      <c r="B243" s="374">
        <v>45839</v>
      </c>
      <c r="C243" s="375" t="s">
        <v>104</v>
      </c>
      <c r="D243" s="376" t="str">
        <f>+VLOOKUP(C243,Foundation!$C$8:$D$531,2,FALSE)</f>
        <v>DB2+0</v>
      </c>
      <c r="E243" s="376" t="str">
        <f>+VLOOKUP(C243,Foundation!$C$8:$E$495,3,FALSE)</f>
        <v>DFR</v>
      </c>
      <c r="F243" s="628">
        <v>45852</v>
      </c>
      <c r="G243" s="628">
        <v>45859</v>
      </c>
      <c r="H243" s="381" t="s">
        <v>1437</v>
      </c>
      <c r="I243" s="629"/>
      <c r="J243" s="739">
        <f t="shared" si="5"/>
        <v>57.597240999999997</v>
      </c>
      <c r="K243" s="381" t="s">
        <v>1415</v>
      </c>
    </row>
    <row r="244" spans="1:11" x14ac:dyDescent="0.2">
      <c r="A244" s="380">
        <f>+SUBTOTAL(3,$G$7:$G244)</f>
        <v>238</v>
      </c>
      <c r="B244" s="374">
        <v>45839</v>
      </c>
      <c r="C244" s="375" t="s">
        <v>671</v>
      </c>
      <c r="D244" s="376" t="str">
        <f>+VLOOKUP(C244,Foundation!$C$8:$D$531,2,FALSE)</f>
        <v>DA+0</v>
      </c>
      <c r="E244" s="376" t="str">
        <f>+VLOOKUP(C244,Foundation!$C$8:$E$495,3,FALSE)</f>
        <v>Sandy</v>
      </c>
      <c r="F244" s="628">
        <v>45857</v>
      </c>
      <c r="G244" s="628">
        <v>45860</v>
      </c>
      <c r="H244" s="381" t="s">
        <v>1510</v>
      </c>
      <c r="I244" s="629"/>
      <c r="J244" s="739">
        <f t="shared" si="5"/>
        <v>37.504372000000004</v>
      </c>
      <c r="K244" s="381" t="s">
        <v>1415</v>
      </c>
    </row>
    <row r="245" spans="1:11" x14ac:dyDescent="0.2">
      <c r="A245" s="380">
        <f>+SUBTOTAL(3,$G$7:$G245)</f>
        <v>239</v>
      </c>
      <c r="B245" s="374">
        <v>45839</v>
      </c>
      <c r="C245" s="375" t="s">
        <v>456</v>
      </c>
      <c r="D245" s="376" t="str">
        <f>+VLOOKUP(C245,Foundation!$C$8:$D$531,2,FALSE)</f>
        <v>DA+0</v>
      </c>
      <c r="E245" s="376" t="str">
        <f>+VLOOKUP(C245,Foundation!$C$8:$E$495,3,FALSE)</f>
        <v>DRY</v>
      </c>
      <c r="F245" s="358">
        <v>45854</v>
      </c>
      <c r="G245" s="358">
        <v>45861</v>
      </c>
      <c r="H245" s="381" t="s">
        <v>1451</v>
      </c>
      <c r="I245" s="389"/>
      <c r="J245" s="739">
        <f t="shared" si="5"/>
        <v>37.504372000000004</v>
      </c>
      <c r="K245" s="381" t="s">
        <v>1415</v>
      </c>
    </row>
    <row r="246" spans="1:11" x14ac:dyDescent="0.2">
      <c r="A246" s="380">
        <f>+SUBTOTAL(3,$G$7:$G246)</f>
        <v>240</v>
      </c>
      <c r="B246" s="374">
        <v>45839</v>
      </c>
      <c r="C246" s="375" t="s">
        <v>513</v>
      </c>
      <c r="D246" s="376" t="str">
        <f>+VLOOKUP(C246,Foundation!$C$8:$D$531,2,FALSE)</f>
        <v>DA+0</v>
      </c>
      <c r="E246" s="376" t="str">
        <f>+VLOOKUP(C246,Foundation!$C$8:$E$495,3,FALSE)</f>
        <v>DRY</v>
      </c>
      <c r="F246" s="358">
        <v>45852</v>
      </c>
      <c r="G246" s="358">
        <v>45861</v>
      </c>
      <c r="H246" s="381" t="s">
        <v>1454</v>
      </c>
      <c r="I246" s="389"/>
      <c r="J246" s="739">
        <f t="shared" si="5"/>
        <v>37.504372000000004</v>
      </c>
      <c r="K246" s="381" t="s">
        <v>1415</v>
      </c>
    </row>
    <row r="247" spans="1:11" x14ac:dyDescent="0.2">
      <c r="A247" s="380">
        <f>+SUBTOTAL(3,$G$7:$G247)</f>
        <v>241</v>
      </c>
      <c r="B247" s="374">
        <v>45839</v>
      </c>
      <c r="C247" s="375" t="s">
        <v>59</v>
      </c>
      <c r="D247" s="376" t="str">
        <f>+VLOOKUP(C247,Foundation!$C$8:$D$531,2,FALSE)</f>
        <v>DA+3</v>
      </c>
      <c r="E247" s="376" t="str">
        <f>+VLOOKUP(C247,Foundation!$C$8:$E$495,3,FALSE)</f>
        <v>DFR</v>
      </c>
      <c r="F247" s="358">
        <v>45859</v>
      </c>
      <c r="G247" s="358">
        <v>45862</v>
      </c>
      <c r="H247" s="381" t="s">
        <v>1461</v>
      </c>
      <c r="I247" s="389"/>
      <c r="J247" s="739">
        <f t="shared" ref="J247" si="8">+VLOOKUP(D247,$AB$7:$AC$35,2,FALSE)</f>
        <v>38.847605999999992</v>
      </c>
      <c r="K247" s="381" t="s">
        <v>1415</v>
      </c>
    </row>
    <row r="248" spans="1:11" x14ac:dyDescent="0.2">
      <c r="A248" s="380">
        <f>+SUBTOTAL(3,$G$7:$G248)</f>
        <v>242</v>
      </c>
      <c r="B248" s="374">
        <v>45839</v>
      </c>
      <c r="C248" s="375" t="s">
        <v>633</v>
      </c>
      <c r="D248" s="376" t="str">
        <f>+VLOOKUP(C248,Foundation!$C$8:$D$531,2,FALSE)</f>
        <v>DA+0</v>
      </c>
      <c r="E248" s="376" t="str">
        <f>+VLOOKUP(C248,Foundation!$C$8:$E$495,3,FALSE)</f>
        <v>DRY</v>
      </c>
      <c r="F248" s="628">
        <v>45848</v>
      </c>
      <c r="G248" s="358">
        <v>45864</v>
      </c>
      <c r="H248" s="665" t="s">
        <v>1456</v>
      </c>
      <c r="I248" s="389"/>
      <c r="J248" s="739">
        <f t="shared" ref="J248" si="9">+VLOOKUP(D248,$AB$7:$AC$35,2,FALSE)</f>
        <v>37.504372000000004</v>
      </c>
      <c r="K248" s="665" t="s">
        <v>1415</v>
      </c>
    </row>
    <row r="249" spans="1:11" x14ac:dyDescent="0.2">
      <c r="A249" s="380">
        <f>+SUBTOTAL(3,$G$7:$G249)</f>
        <v>243</v>
      </c>
      <c r="B249" s="374">
        <v>45839</v>
      </c>
      <c r="C249" s="375" t="s">
        <v>670</v>
      </c>
      <c r="D249" s="376" t="str">
        <f>+VLOOKUP(C249,Foundation!$C$8:$D$531,2,FALSE)</f>
        <v>DA+0</v>
      </c>
      <c r="E249" s="376" t="str">
        <f>+VLOOKUP(C249,Foundation!$C$8:$E$495,3,FALSE)</f>
        <v>Sandy</v>
      </c>
      <c r="F249" s="358">
        <v>45861</v>
      </c>
      <c r="G249" s="358">
        <v>45864</v>
      </c>
      <c r="H249" s="381" t="s">
        <v>1510</v>
      </c>
      <c r="I249" s="389"/>
      <c r="J249" s="739">
        <f t="shared" ref="J249:J250" si="10">+VLOOKUP(D249,$AB$7:$AC$35,2,FALSE)</f>
        <v>37.504372000000004</v>
      </c>
      <c r="K249" s="381" t="s">
        <v>1415</v>
      </c>
    </row>
    <row r="250" spans="1:11" x14ac:dyDescent="0.2">
      <c r="A250" s="380">
        <f>+SUBTOTAL(3,$G$7:$G250)</f>
        <v>244</v>
      </c>
      <c r="B250" s="374">
        <v>45839</v>
      </c>
      <c r="C250" s="375" t="s">
        <v>60</v>
      </c>
      <c r="D250" s="376" t="str">
        <f>+VLOOKUP(C250,Foundation!$C$8:$D$531,2,FALSE)</f>
        <v>DA+0</v>
      </c>
      <c r="E250" s="376" t="str">
        <f>+VLOOKUP(C250,Foundation!$C$8:$E$495,3,FALSE)</f>
        <v>DRY</v>
      </c>
      <c r="F250" s="628">
        <v>45863</v>
      </c>
      <c r="G250" s="358">
        <v>45866</v>
      </c>
      <c r="H250" s="665" t="s">
        <v>1461</v>
      </c>
      <c r="I250" s="389"/>
      <c r="J250" s="739">
        <f t="shared" si="10"/>
        <v>37.504372000000004</v>
      </c>
      <c r="K250" s="665" t="s">
        <v>1415</v>
      </c>
    </row>
    <row r="251" spans="1:11" x14ac:dyDescent="0.2">
      <c r="A251" s="380">
        <f>+SUBTOTAL(3,$G$7:$G251)</f>
        <v>245</v>
      </c>
      <c r="B251" s="374">
        <v>45839</v>
      </c>
      <c r="C251" s="375" t="s">
        <v>672</v>
      </c>
      <c r="D251" s="376" t="str">
        <f>+VLOOKUP(C251,Foundation!$C$8:$D$531,2,FALSE)</f>
        <v>DA+9</v>
      </c>
      <c r="E251" s="376" t="str">
        <f>+VLOOKUP(C251,Foundation!$C$8:$E$495,3,FALSE)</f>
        <v>Sandy</v>
      </c>
      <c r="F251" s="358">
        <v>45861</v>
      </c>
      <c r="G251" s="358">
        <v>45866</v>
      </c>
      <c r="H251" s="381" t="s">
        <v>1510</v>
      </c>
      <c r="I251" s="389"/>
      <c r="J251" s="739">
        <f t="shared" ref="J251:J252" si="11">+VLOOKUP(D251,$AB$7:$AC$35,2,FALSE)</f>
        <v>47.184350000000002</v>
      </c>
      <c r="K251" s="381" t="s">
        <v>1415</v>
      </c>
    </row>
    <row r="252" spans="1:11" x14ac:dyDescent="0.2">
      <c r="A252" s="380">
        <f>+SUBTOTAL(3,$G$7:$G252)</f>
        <v>246</v>
      </c>
      <c r="B252" s="374">
        <v>45839</v>
      </c>
      <c r="C252" s="375" t="s">
        <v>669</v>
      </c>
      <c r="D252" s="376" t="str">
        <f>+VLOOKUP(C252,Foundation!$C$8:$D$531,2,FALSE)</f>
        <v>DA+0</v>
      </c>
      <c r="E252" s="376" t="str">
        <f>+VLOOKUP(C252,Foundation!$C$8:$E$495,3,FALSE)</f>
        <v>Sandy</v>
      </c>
      <c r="F252" s="358">
        <v>45864</v>
      </c>
      <c r="G252" s="358">
        <v>45867</v>
      </c>
      <c r="H252" s="381" t="s">
        <v>1510</v>
      </c>
      <c r="I252" s="389"/>
      <c r="J252" s="739">
        <f t="shared" si="11"/>
        <v>37.504372000000004</v>
      </c>
      <c r="K252" s="381" t="s">
        <v>1415</v>
      </c>
    </row>
    <row r="253" spans="1:11" x14ac:dyDescent="0.2">
      <c r="A253" s="380">
        <f>+SUBTOTAL(3,$G$7:$G253)</f>
        <v>247</v>
      </c>
      <c r="B253" s="374">
        <v>45839</v>
      </c>
      <c r="C253" s="375" t="s">
        <v>628</v>
      </c>
      <c r="D253" s="376" t="str">
        <f>+VLOOKUP(C253,Foundation!$C$8:$D$531,2,FALSE)</f>
        <v>DD60+0</v>
      </c>
      <c r="E253" s="376" t="str">
        <f>+VLOOKUP(C253,Foundation!$C$8:$E$495,3,FALSE)</f>
        <v>DRY</v>
      </c>
      <c r="F253" s="358">
        <v>45839</v>
      </c>
      <c r="G253" s="358">
        <v>45867</v>
      </c>
      <c r="H253" s="381" t="s">
        <v>1513</v>
      </c>
      <c r="I253" s="389"/>
      <c r="J253" s="739">
        <f t="shared" ref="J253:J254" si="12">+VLOOKUP(D253,$AB$7:$AC$35,2,FALSE)</f>
        <v>86.129278999999997</v>
      </c>
      <c r="K253" s="381" t="s">
        <v>1455</v>
      </c>
    </row>
    <row r="254" spans="1:11" x14ac:dyDescent="0.2">
      <c r="A254" s="380">
        <f>+SUBTOTAL(3,$G$7:$G254)</f>
        <v>248</v>
      </c>
      <c r="B254" s="374">
        <v>45839</v>
      </c>
      <c r="C254" s="375" t="s">
        <v>454</v>
      </c>
      <c r="D254" s="376" t="str">
        <f>+VLOOKUP(C254,Foundation!$C$8:$D$531,2,FALSE)</f>
        <v>DA+3</v>
      </c>
      <c r="E254" s="376" t="str">
        <f>+VLOOKUP(C254,Foundation!$C$8:$E$495,3,FALSE)</f>
        <v>Sandy</v>
      </c>
      <c r="F254" s="628">
        <v>45861</v>
      </c>
      <c r="G254" s="358">
        <v>45868</v>
      </c>
      <c r="H254" s="665" t="s">
        <v>1451</v>
      </c>
      <c r="I254" s="389"/>
      <c r="J254" s="739">
        <f t="shared" si="12"/>
        <v>38.847605999999992</v>
      </c>
      <c r="K254" s="665" t="s">
        <v>1415</v>
      </c>
    </row>
    <row r="255" spans="1:11" x14ac:dyDescent="0.2">
      <c r="A255" s="380">
        <f>+SUBTOTAL(3,$G$7:$G255)</f>
        <v>249</v>
      </c>
      <c r="B255" s="374">
        <v>45839</v>
      </c>
      <c r="C255" s="375" t="s">
        <v>183</v>
      </c>
      <c r="D255" s="376" t="str">
        <f>+VLOOKUP(C255,Foundation!$C$8:$D$531,2,FALSE)</f>
        <v>DA+0</v>
      </c>
      <c r="E255" s="376" t="str">
        <f>+VLOOKUP(C255,Foundation!$C$8:$E$495,3,FALSE)</f>
        <v>Sandy</v>
      </c>
      <c r="F255" s="628">
        <v>45865</v>
      </c>
      <c r="G255" s="358">
        <v>45869</v>
      </c>
      <c r="H255" s="665" t="s">
        <v>1472</v>
      </c>
      <c r="I255" s="389"/>
      <c r="J255" s="739">
        <f t="shared" ref="J255" si="13">+VLOOKUP(D255,$AB$7:$AC$35,2,FALSE)</f>
        <v>37.504372000000004</v>
      </c>
      <c r="K255" s="665" t="s">
        <v>1415</v>
      </c>
    </row>
    <row r="256" spans="1:11" x14ac:dyDescent="0.2">
      <c r="A256" s="380">
        <f>+SUBTOTAL(3,$G$7:$G256)</f>
        <v>250</v>
      </c>
      <c r="B256" s="374">
        <v>45839</v>
      </c>
      <c r="C256" s="375" t="s">
        <v>65</v>
      </c>
      <c r="D256" s="376" t="str">
        <f>+VLOOKUP(C256,Foundation!$C$8:$D$531,2,FALSE)</f>
        <v>DA+3</v>
      </c>
      <c r="E256" s="376" t="str">
        <f>+VLOOKUP(C256,Foundation!$C$8:$E$495,3,FALSE)</f>
        <v>DFR</v>
      </c>
      <c r="F256" s="628">
        <v>45859</v>
      </c>
      <c r="G256" s="358">
        <v>45869</v>
      </c>
      <c r="H256" s="665" t="s">
        <v>1512</v>
      </c>
      <c r="I256" s="389"/>
      <c r="J256" s="739">
        <f t="shared" ref="J256" si="14">+VLOOKUP(D256,$AB$7:$AC$35,2,FALSE)</f>
        <v>38.847605999999992</v>
      </c>
      <c r="K256" s="665" t="s">
        <v>1415</v>
      </c>
    </row>
    <row r="257" spans="1:11" x14ac:dyDescent="0.2">
      <c r="A257" s="380">
        <f>+SUBTOTAL(3,$G$7:$G257)</f>
        <v>251</v>
      </c>
      <c r="B257" s="374">
        <v>45839</v>
      </c>
      <c r="C257" s="375" t="s">
        <v>66</v>
      </c>
      <c r="D257" s="376" t="str">
        <f>+VLOOKUP(C257,Foundation!$C$8:$D$531,2,FALSE)</f>
        <v>DA+3</v>
      </c>
      <c r="E257" s="376" t="str">
        <f>+VLOOKUP(C257,Foundation!$C$8:$E$495,3,FALSE)</f>
        <v>DFR</v>
      </c>
      <c r="F257" s="628">
        <v>45865</v>
      </c>
      <c r="G257" s="358">
        <v>45869</v>
      </c>
      <c r="H257" s="665" t="s">
        <v>1473</v>
      </c>
      <c r="I257" s="389"/>
      <c r="J257" s="739">
        <f t="shared" ref="J257" si="15">+VLOOKUP(D257,$AB$7:$AC$35,2,FALSE)</f>
        <v>38.847605999999992</v>
      </c>
      <c r="K257" s="665" t="s">
        <v>1415</v>
      </c>
    </row>
    <row r="258" spans="1:11" x14ac:dyDescent="0.2">
      <c r="A258" s="380">
        <f>+SUBTOTAL(3,$G$7:$G258)</f>
        <v>252</v>
      </c>
      <c r="B258" s="374">
        <v>45870</v>
      </c>
      <c r="C258" s="375" t="s">
        <v>668</v>
      </c>
      <c r="D258" s="376" t="str">
        <f>+VLOOKUP(C258,Foundation!$C$8:$D$531,2,FALSE)</f>
        <v>DB1+3</v>
      </c>
      <c r="E258" s="376" t="str">
        <f>+VLOOKUP(C258,Foundation!$C$8:$E$495,3,FALSE)</f>
        <v>Sandy</v>
      </c>
      <c r="F258" s="358">
        <v>45867</v>
      </c>
      <c r="G258" s="358">
        <v>45872</v>
      </c>
      <c r="H258" s="381" t="s">
        <v>1510</v>
      </c>
      <c r="I258" s="389"/>
      <c r="J258" s="739">
        <f t="shared" ref="J258" si="16">+VLOOKUP(D258,$AB$7:$AC$35,2,FALSE)</f>
        <v>60.096777000000003</v>
      </c>
      <c r="K258" s="381" t="s">
        <v>1415</v>
      </c>
    </row>
    <row r="259" spans="1:11" x14ac:dyDescent="0.2">
      <c r="A259" s="380">
        <f>+SUBTOTAL(3,$G$7:$G259)</f>
        <v>253</v>
      </c>
      <c r="B259" s="374">
        <v>45870</v>
      </c>
      <c r="C259" s="375" t="s">
        <v>47</v>
      </c>
      <c r="D259" s="376" t="str">
        <f>+VLOOKUP(C259,Foundation!$C$8:$D$531,2,FALSE)</f>
        <v>DD60+0</v>
      </c>
      <c r="E259" s="376" t="str">
        <f>+VLOOKUP(C259,Foundation!$C$8:$E$495,3,FALSE)</f>
        <v>DRY</v>
      </c>
      <c r="F259" s="358">
        <v>45863</v>
      </c>
      <c r="G259" s="358">
        <v>45871</v>
      </c>
      <c r="H259" s="381" t="s">
        <v>1463</v>
      </c>
      <c r="I259" s="389"/>
      <c r="J259" s="739">
        <f t="shared" ref="J259:J260" si="17">+VLOOKUP(D259,$AB$7:$AC$35,2,FALSE)</f>
        <v>86.129278999999997</v>
      </c>
      <c r="K259" s="381" t="s">
        <v>1415</v>
      </c>
    </row>
    <row r="260" spans="1:11" x14ac:dyDescent="0.2">
      <c r="A260" s="380">
        <f>+SUBTOTAL(3,$G$7:$G260)</f>
        <v>254</v>
      </c>
      <c r="B260" s="374">
        <v>45870</v>
      </c>
      <c r="C260" s="375" t="s">
        <v>196</v>
      </c>
      <c r="D260" s="376" t="str">
        <f>+VLOOKUP(C260,Foundation!$C$8:$D$531,2,FALSE)</f>
        <v>DA+3</v>
      </c>
      <c r="E260" s="376" t="str">
        <f>+VLOOKUP(C260,Foundation!$C$8:$E$495,3,FALSE)</f>
        <v>DRY</v>
      </c>
      <c r="F260" s="358">
        <v>45868</v>
      </c>
      <c r="G260" s="358">
        <v>45873</v>
      </c>
      <c r="H260" s="381" t="s">
        <v>1414</v>
      </c>
      <c r="I260" s="389"/>
      <c r="J260" s="739">
        <f t="shared" si="17"/>
        <v>38.847605999999992</v>
      </c>
      <c r="K260" s="381" t="s">
        <v>1415</v>
      </c>
    </row>
    <row r="261" spans="1:11" x14ac:dyDescent="0.2">
      <c r="A261" s="380">
        <f>+SUBTOTAL(3,$G$7:$G261)</f>
        <v>255</v>
      </c>
      <c r="B261" s="374">
        <v>45870</v>
      </c>
      <c r="C261" s="375" t="s">
        <v>675</v>
      </c>
      <c r="D261" s="376" t="str">
        <f>+VLOOKUP(C261,Foundation!$C$8:$D$531,2,FALSE)</f>
        <v>DA+9</v>
      </c>
      <c r="E261" s="376" t="str">
        <f>+VLOOKUP(C261,Foundation!$C$8:$E$495,3,FALSE)</f>
        <v>Sandy</v>
      </c>
      <c r="F261" s="358">
        <v>45866</v>
      </c>
      <c r="G261" s="358">
        <v>45872</v>
      </c>
      <c r="H261" s="381" t="s">
        <v>1510</v>
      </c>
      <c r="I261" s="389"/>
      <c r="J261" s="739">
        <f t="shared" ref="J261" si="18">+VLOOKUP(D261,$AB$7:$AC$35,2,FALSE)</f>
        <v>47.184350000000002</v>
      </c>
      <c r="K261" s="381" t="s">
        <v>1415</v>
      </c>
    </row>
    <row r="262" spans="1:11" x14ac:dyDescent="0.2">
      <c r="A262" s="380">
        <f>+SUBTOTAL(3,$G$7:$G262)</f>
        <v>256</v>
      </c>
      <c r="B262" s="374">
        <v>45870</v>
      </c>
      <c r="C262" s="375" t="s">
        <v>688</v>
      </c>
      <c r="D262" s="376" t="str">
        <f>+VLOOKUP(C262,Foundation!$C$8:$D$531,2,FALSE)</f>
        <v>DA+3</v>
      </c>
      <c r="E262" s="376" t="str">
        <f>+VLOOKUP(C262,Foundation!$C$8:$E$495,3,FALSE)</f>
        <v>Sandy</v>
      </c>
      <c r="F262" s="358">
        <v>45864</v>
      </c>
      <c r="G262" s="358">
        <v>45874</v>
      </c>
      <c r="H262" s="381" t="s">
        <v>1511</v>
      </c>
      <c r="I262" s="389"/>
      <c r="J262" s="739">
        <f t="shared" ref="J262" si="19">+VLOOKUP(D262,$AB$7:$AC$35,2,FALSE)</f>
        <v>38.847605999999992</v>
      </c>
      <c r="K262" s="381" t="s">
        <v>1415</v>
      </c>
    </row>
    <row r="263" spans="1:11" x14ac:dyDescent="0.2">
      <c r="A263" s="380">
        <f>+SUBTOTAL(3,$G$7:$G263)</f>
        <v>257</v>
      </c>
      <c r="B263" s="374">
        <v>45870</v>
      </c>
      <c r="C263" s="375" t="s">
        <v>520</v>
      </c>
      <c r="D263" s="376" t="str">
        <f>+VLOOKUP(C263,Foundation!$C$8:$D$531,2,FALSE)</f>
        <v>DA+0</v>
      </c>
      <c r="E263" s="376" t="str">
        <f>+VLOOKUP(C263,Foundation!$C$8:$E$495,3,FALSE)</f>
        <v>DRY</v>
      </c>
      <c r="F263" s="628">
        <v>45870</v>
      </c>
      <c r="G263" s="358">
        <v>45874</v>
      </c>
      <c r="H263" s="665" t="s">
        <v>1474</v>
      </c>
      <c r="I263" s="389"/>
      <c r="J263" s="739">
        <f t="shared" ref="J263" si="20">+VLOOKUP(D263,$AB$7:$AC$35,2,FALSE)</f>
        <v>37.504372000000004</v>
      </c>
      <c r="K263" s="665" t="s">
        <v>1415</v>
      </c>
    </row>
    <row r="264" spans="1:11" x14ac:dyDescent="0.2">
      <c r="A264" s="380">
        <f>+SUBTOTAL(3,$G$7:$G264)</f>
        <v>258</v>
      </c>
      <c r="B264" s="374">
        <v>45870</v>
      </c>
      <c r="C264" s="375" t="s">
        <v>201</v>
      </c>
      <c r="D264" s="376" t="str">
        <f>+VLOOKUP(C264,Foundation!$C$8:$D$531,2,FALSE)</f>
        <v>DA+3</v>
      </c>
      <c r="E264" s="376" t="str">
        <f>+VLOOKUP(C264,Foundation!$C$8:$E$495,3,FALSE)</f>
        <v>Sandy</v>
      </c>
      <c r="F264" s="358">
        <v>45870</v>
      </c>
      <c r="G264" s="358">
        <v>45875</v>
      </c>
      <c r="H264" s="381" t="s">
        <v>1473</v>
      </c>
      <c r="I264" s="389"/>
      <c r="J264" s="739">
        <f t="shared" ref="J264:J265" si="21">+VLOOKUP(D264,$AB$7:$AC$35,2,FALSE)</f>
        <v>38.847605999999992</v>
      </c>
      <c r="K264" s="381" t="s">
        <v>1415</v>
      </c>
    </row>
    <row r="265" spans="1:11" x14ac:dyDescent="0.2">
      <c r="A265" s="380">
        <f>+SUBTOTAL(3,$G$7:$G265)</f>
        <v>259</v>
      </c>
      <c r="B265" s="374">
        <v>45870</v>
      </c>
      <c r="C265" s="375" t="s">
        <v>678</v>
      </c>
      <c r="D265" s="376" t="str">
        <f>+VLOOKUP(C265,Foundation!$C$8:$D$531,2,FALSE)</f>
        <v>DB1+9</v>
      </c>
      <c r="E265" s="376" t="str">
        <f>+VLOOKUP(C265,Foundation!$C$8:$E$495,3,FALSE)</f>
        <v>Sandy</v>
      </c>
      <c r="F265" s="358">
        <v>45866</v>
      </c>
      <c r="G265" s="358">
        <v>45875</v>
      </c>
      <c r="H265" s="381" t="s">
        <v>1510</v>
      </c>
      <c r="I265" s="389"/>
      <c r="J265" s="739">
        <f t="shared" si="21"/>
        <v>70.701702999999995</v>
      </c>
      <c r="K265" s="381" t="s">
        <v>1415</v>
      </c>
    </row>
    <row r="266" spans="1:11" x14ac:dyDescent="0.2">
      <c r="A266" s="380">
        <f>+SUBTOTAL(3,$G$7:$G266)</f>
        <v>260</v>
      </c>
      <c r="B266" s="374">
        <v>45870</v>
      </c>
      <c r="C266" s="375" t="s">
        <v>182</v>
      </c>
      <c r="D266" s="376" t="str">
        <f>+VLOOKUP(C266,Foundation!$C$8:$D$531,2,FALSE)</f>
        <v>DA+0</v>
      </c>
      <c r="E266" s="376" t="str">
        <f>+VLOOKUP(C266,Foundation!$C$8:$E$495,3,FALSE)</f>
        <v>Sandy</v>
      </c>
      <c r="F266" s="358">
        <v>45869</v>
      </c>
      <c r="G266" s="358">
        <v>45878</v>
      </c>
      <c r="H266" s="381" t="s">
        <v>1472</v>
      </c>
      <c r="I266" s="389"/>
      <c r="J266" s="739">
        <f t="shared" ref="J266:J267" si="22">+VLOOKUP(D266,$AB$7:$AC$35,2,FALSE)</f>
        <v>37.504372000000004</v>
      </c>
      <c r="K266" s="381" t="s">
        <v>1415</v>
      </c>
    </row>
    <row r="267" spans="1:11" x14ac:dyDescent="0.2">
      <c r="A267" s="380">
        <f>+SUBTOTAL(3,$G$7:$G267)</f>
        <v>261</v>
      </c>
      <c r="B267" s="374">
        <v>45870</v>
      </c>
      <c r="C267" s="375" t="s">
        <v>673</v>
      </c>
      <c r="D267" s="376" t="str">
        <f>+VLOOKUP(C267,Foundation!$C$8:$D$531,2,FALSE)</f>
        <v>DA+9</v>
      </c>
      <c r="E267" s="376" t="str">
        <f>+VLOOKUP(C267,Foundation!$C$8:$E$495,3,FALSE)</f>
        <v>Sandy</v>
      </c>
      <c r="F267" s="358">
        <v>45873</v>
      </c>
      <c r="G267" s="358">
        <v>45878</v>
      </c>
      <c r="H267" s="381" t="s">
        <v>1510</v>
      </c>
      <c r="I267" s="389"/>
      <c r="J267" s="739">
        <f t="shared" si="22"/>
        <v>47.184350000000002</v>
      </c>
      <c r="K267" s="381" t="s">
        <v>1415</v>
      </c>
    </row>
    <row r="268" spans="1:11" x14ac:dyDescent="0.2">
      <c r="A268" s="380">
        <f>+SUBTOTAL(3,$G$7:$G268)</f>
        <v>262</v>
      </c>
      <c r="B268" s="374">
        <v>45870</v>
      </c>
      <c r="C268" s="375" t="s">
        <v>457</v>
      </c>
      <c r="D268" s="376" t="str">
        <f>+VLOOKUP(C268,Foundation!$C$8:$D$531,2,FALSE)</f>
        <v>DA+0</v>
      </c>
      <c r="E268" s="376" t="str">
        <f>+VLOOKUP(C268,Foundation!$C$8:$E$495,3,FALSE)</f>
        <v>DRY</v>
      </c>
      <c r="F268" s="358">
        <v>45863</v>
      </c>
      <c r="G268" s="358">
        <v>45878</v>
      </c>
      <c r="H268" s="381" t="s">
        <v>1391</v>
      </c>
      <c r="I268" s="389"/>
      <c r="J268" s="739">
        <f t="shared" ref="J268:J269" si="23">+VLOOKUP(D268,$AB$7:$AC$35,2,FALSE)</f>
        <v>37.504372000000004</v>
      </c>
      <c r="K268" s="381" t="s">
        <v>1415</v>
      </c>
    </row>
    <row r="269" spans="1:11" x14ac:dyDescent="0.2">
      <c r="A269" s="380">
        <f>+SUBTOTAL(3,$G$7:$G269)</f>
        <v>263</v>
      </c>
      <c r="B269" s="374">
        <v>45870</v>
      </c>
      <c r="C269" s="375" t="s">
        <v>467</v>
      </c>
      <c r="D269" s="376" t="str">
        <f>+VLOOKUP(C269,Foundation!$C$8:$D$531,2,FALSE)</f>
        <v>DA+0</v>
      </c>
      <c r="E269" s="376" t="str">
        <f>+VLOOKUP(C269,Foundation!$C$8:$E$495,3,FALSE)</f>
        <v>DRY</v>
      </c>
      <c r="F269" s="358">
        <v>45873</v>
      </c>
      <c r="G269" s="358">
        <v>45878</v>
      </c>
      <c r="H269" s="381" t="s">
        <v>1414</v>
      </c>
      <c r="I269" s="389"/>
      <c r="J269" s="739">
        <f t="shared" si="23"/>
        <v>37.504372000000004</v>
      </c>
      <c r="K269" s="381" t="s">
        <v>1415</v>
      </c>
    </row>
    <row r="270" spans="1:11" x14ac:dyDescent="0.2">
      <c r="A270" s="380">
        <f>+SUBTOTAL(3,$G$7:$G270)</f>
        <v>264</v>
      </c>
      <c r="B270" s="374">
        <v>45870</v>
      </c>
      <c r="C270" s="375" t="s">
        <v>76</v>
      </c>
      <c r="D270" s="376" t="str">
        <f>+VLOOKUP(C270,Foundation!$C$8:$D$531,2,FALSE)</f>
        <v>DB1+0</v>
      </c>
      <c r="E270" s="376" t="str">
        <f>+VLOOKUP(C270,Foundation!$C$8:$E$495,3,FALSE)</f>
        <v>DRY</v>
      </c>
      <c r="F270" s="358">
        <v>45868</v>
      </c>
      <c r="G270" s="358">
        <v>45881</v>
      </c>
      <c r="H270" s="381" t="s">
        <v>1414</v>
      </c>
      <c r="I270" s="389"/>
      <c r="J270" s="739">
        <f t="shared" ref="J270" si="24">+VLOOKUP(D270,$AB$7:$AC$35,2,FALSE)</f>
        <v>57.597240999999997</v>
      </c>
      <c r="K270" s="381" t="s">
        <v>1415</v>
      </c>
    </row>
    <row r="271" spans="1:11" x14ac:dyDescent="0.2">
      <c r="A271" s="380">
        <f>+SUBTOTAL(3,$G$7:$G271)</f>
        <v>265</v>
      </c>
      <c r="B271" s="374">
        <v>45870</v>
      </c>
      <c r="C271" s="375" t="s">
        <v>748</v>
      </c>
      <c r="D271" s="376" t="str">
        <f>+VLOOKUP(C271,Foundation!$C$8:$D$531,2,FALSE)</f>
        <v>DA+6</v>
      </c>
      <c r="E271" s="376" t="str">
        <f>+VLOOKUP(C271,Foundation!$C$8:$E$495,3,FALSE)</f>
        <v>Sandy</v>
      </c>
      <c r="F271" s="358">
        <v>45876</v>
      </c>
      <c r="G271" s="358">
        <v>45882</v>
      </c>
      <c r="H271" s="390" t="s">
        <v>1509</v>
      </c>
      <c r="I271" s="389"/>
      <c r="J271" s="739">
        <f t="shared" ref="J271" si="25">+VLOOKUP(D271,$AB$7:$AC$35,2,FALSE)</f>
        <v>45.413028000000004</v>
      </c>
      <c r="K271" s="390" t="s">
        <v>1415</v>
      </c>
    </row>
    <row r="272" spans="1:11" x14ac:dyDescent="0.2">
      <c r="A272" s="380">
        <f>+SUBTOTAL(3,$G$7:$G272)</f>
        <v>266</v>
      </c>
      <c r="B272" s="374">
        <v>45870</v>
      </c>
      <c r="C272" s="375" t="s">
        <v>447</v>
      </c>
      <c r="D272" s="376" t="str">
        <f>+VLOOKUP(C272,Foundation!$C$8:$D$531,2,FALSE)</f>
        <v>DC1+0</v>
      </c>
      <c r="E272" s="376" t="str">
        <f>+VLOOKUP(C272,Foundation!$C$8:$E$495,3,FALSE)</f>
        <v>DRY</v>
      </c>
      <c r="F272" s="358">
        <v>45867</v>
      </c>
      <c r="G272" s="358">
        <v>45882</v>
      </c>
      <c r="H272" s="390" t="s">
        <v>1514</v>
      </c>
      <c r="I272" s="389"/>
      <c r="J272" s="739">
        <f t="shared" ref="J272" si="26">+VLOOKUP(D272,$AB$7:$AC$35,2,FALSE)</f>
        <v>66.381106999999986</v>
      </c>
      <c r="K272" s="390" t="s">
        <v>1415</v>
      </c>
    </row>
    <row r="273" spans="1:11" x14ac:dyDescent="0.2">
      <c r="A273" s="380">
        <f>+SUBTOTAL(3,$G$7:$G273)</f>
        <v>267</v>
      </c>
      <c r="B273" s="374">
        <v>45870</v>
      </c>
      <c r="C273" s="375" t="s">
        <v>674</v>
      </c>
      <c r="D273" s="376" t="str">
        <f>+VLOOKUP(C273,Foundation!$C$8:$D$531,2,FALSE)</f>
        <v>DB1+3</v>
      </c>
      <c r="E273" s="376" t="str">
        <f>+VLOOKUP(C273,Foundation!$C$8:$E$495,3,FALSE)</f>
        <v>Sandy</v>
      </c>
      <c r="F273" s="358">
        <v>45878</v>
      </c>
      <c r="G273" s="358">
        <v>45885</v>
      </c>
      <c r="H273" s="390" t="s">
        <v>1510</v>
      </c>
      <c r="I273" s="389"/>
      <c r="J273" s="739">
        <f t="shared" ref="J273:J277" si="27">+VLOOKUP(D273,$AB$7:$AC$35,2,FALSE)</f>
        <v>60.096777000000003</v>
      </c>
      <c r="K273" s="390" t="s">
        <v>1415</v>
      </c>
    </row>
    <row r="274" spans="1:11" x14ac:dyDescent="0.2">
      <c r="A274" s="380">
        <f>+SUBTOTAL(3,$G$7:$G274)</f>
        <v>268</v>
      </c>
      <c r="B274" s="374">
        <v>45870</v>
      </c>
      <c r="C274" s="375" t="s">
        <v>683</v>
      </c>
      <c r="D274" s="376" t="str">
        <f>+VLOOKUP(C274,Foundation!$C$8:$D$531,2,FALSE)</f>
        <v>DA+9</v>
      </c>
      <c r="E274" s="376" t="str">
        <f>+VLOOKUP(C274,Foundation!$C$8:$E$495,3,FALSE)</f>
        <v>Sandy</v>
      </c>
      <c r="F274" s="358">
        <v>45873</v>
      </c>
      <c r="G274" s="358">
        <v>45885</v>
      </c>
      <c r="H274" s="390" t="s">
        <v>1511</v>
      </c>
      <c r="I274" s="389"/>
      <c r="J274" s="739">
        <f t="shared" si="27"/>
        <v>47.184350000000002</v>
      </c>
      <c r="K274" s="390" t="s">
        <v>1415</v>
      </c>
    </row>
    <row r="275" spans="1:11" x14ac:dyDescent="0.2">
      <c r="A275" s="380">
        <f>+SUBTOTAL(3,$G$7:$G275)</f>
        <v>269</v>
      </c>
      <c r="B275" s="374">
        <v>45870</v>
      </c>
      <c r="C275" s="375" t="s">
        <v>555</v>
      </c>
      <c r="D275" s="376" t="str">
        <f>+VLOOKUP(C275,Foundation!$C$8:$D$531,2,FALSE)</f>
        <v>DA+3</v>
      </c>
      <c r="E275" s="376" t="str">
        <f>+VLOOKUP(C275,Foundation!$C$8:$E$495,3,FALSE)</f>
        <v>Sandy</v>
      </c>
      <c r="F275" s="358">
        <v>45879</v>
      </c>
      <c r="G275" s="358">
        <v>45886</v>
      </c>
      <c r="H275" s="390" t="s">
        <v>1518</v>
      </c>
      <c r="I275" s="389"/>
      <c r="J275" s="739">
        <f t="shared" si="27"/>
        <v>38.847605999999992</v>
      </c>
      <c r="K275" s="390" t="s">
        <v>1415</v>
      </c>
    </row>
    <row r="276" spans="1:11" x14ac:dyDescent="0.2">
      <c r="A276" s="380">
        <f>+SUBTOTAL(3,$G$7:$G276)</f>
        <v>270</v>
      </c>
      <c r="B276" s="374">
        <v>45870</v>
      </c>
      <c r="C276" s="375" t="s">
        <v>680</v>
      </c>
      <c r="D276" s="376" t="str">
        <f>+VLOOKUP(C276,Foundation!$C$8:$D$531,2,FALSE)</f>
        <v>DC2+0</v>
      </c>
      <c r="E276" s="376" t="str">
        <f>+VLOOKUP(C276,Foundation!$C$8:$E$495,3,FALSE)</f>
        <v>Sandy</v>
      </c>
      <c r="F276" s="358">
        <v>45875</v>
      </c>
      <c r="G276" s="358">
        <v>45886</v>
      </c>
      <c r="H276" s="390" t="s">
        <v>1471</v>
      </c>
      <c r="I276" s="389"/>
      <c r="J276" s="739">
        <f t="shared" si="27"/>
        <v>66.381106999999986</v>
      </c>
      <c r="K276" s="390" t="s">
        <v>1415</v>
      </c>
    </row>
    <row r="277" spans="1:11" x14ac:dyDescent="0.2">
      <c r="A277" s="380">
        <f>+SUBTOTAL(3,$G$7:$G277)</f>
        <v>271</v>
      </c>
      <c r="B277" s="374">
        <v>45870</v>
      </c>
      <c r="C277" s="375" t="s">
        <v>747</v>
      </c>
      <c r="D277" s="376" t="str">
        <f>+VLOOKUP(C277,Foundation!$C$8:$D$531,2,FALSE)</f>
        <v>DA+0</v>
      </c>
      <c r="E277" s="376" t="str">
        <f>+VLOOKUP(C277,Foundation!$C$8:$E$495,3,FALSE)</f>
        <v>Sandy</v>
      </c>
      <c r="F277" s="358">
        <v>45882</v>
      </c>
      <c r="G277" s="358">
        <v>45886</v>
      </c>
      <c r="H277" s="390" t="s">
        <v>1509</v>
      </c>
      <c r="I277" s="389"/>
      <c r="J277" s="739">
        <f t="shared" si="27"/>
        <v>37.504372000000004</v>
      </c>
      <c r="K277" s="390" t="s">
        <v>1415</v>
      </c>
    </row>
    <row r="278" spans="1:11" x14ac:dyDescent="0.2">
      <c r="A278" s="380">
        <f>+SUBTOTAL(3,$G$7:$G278)</f>
        <v>272</v>
      </c>
      <c r="B278" s="374">
        <v>45870</v>
      </c>
      <c r="C278" s="375" t="s">
        <v>450</v>
      </c>
      <c r="D278" s="376" t="str">
        <f>+VLOOKUP(C278,Foundation!$C$8:$D$531,2,FALSE)</f>
        <v>DA+3</v>
      </c>
      <c r="E278" s="376" t="str">
        <f>+VLOOKUP(C278,Foundation!$C$8:$E$495,3,FALSE)</f>
        <v>Sandy</v>
      </c>
      <c r="F278" s="358">
        <v>45873</v>
      </c>
      <c r="G278" s="358">
        <v>45886</v>
      </c>
      <c r="H278" s="390" t="s">
        <v>1505</v>
      </c>
      <c r="I278" s="389"/>
      <c r="J278" s="739">
        <f t="shared" ref="J278" si="28">+VLOOKUP(D278,$AB$7:$AC$35,2,FALSE)</f>
        <v>38.847605999999992</v>
      </c>
      <c r="K278" s="390" t="s">
        <v>1415</v>
      </c>
    </row>
    <row r="279" spans="1:11" x14ac:dyDescent="0.2">
      <c r="A279" s="380">
        <f>+SUBTOTAL(3,$G$7:$G279)</f>
        <v>273</v>
      </c>
      <c r="B279" s="374">
        <v>45870</v>
      </c>
      <c r="C279" s="375" t="s">
        <v>203</v>
      </c>
      <c r="D279" s="376" t="str">
        <f>+VLOOKUP(C279,Foundation!$C$8:$D$531,2,FALSE)</f>
        <v>DA+3</v>
      </c>
      <c r="E279" s="376" t="str">
        <f>+VLOOKUP(C279,Foundation!$C$8:$E$495,3,FALSE)</f>
        <v>DRY</v>
      </c>
      <c r="F279" s="358">
        <v>45875</v>
      </c>
      <c r="G279" s="358">
        <v>45886</v>
      </c>
      <c r="H279" s="390" t="s">
        <v>1473</v>
      </c>
      <c r="I279" s="389"/>
      <c r="J279" s="739">
        <f t="shared" ref="J279" si="29">+VLOOKUP(D279,$AB$7:$AC$35,2,FALSE)</f>
        <v>38.847605999999992</v>
      </c>
      <c r="K279" s="390" t="s">
        <v>1415</v>
      </c>
    </row>
    <row r="280" spans="1:11" x14ac:dyDescent="0.2">
      <c r="A280" s="380">
        <f>+SUBTOTAL(3,$G$7:$G280)</f>
        <v>274</v>
      </c>
      <c r="B280" s="374">
        <v>45870</v>
      </c>
      <c r="C280" s="375" t="s">
        <v>67</v>
      </c>
      <c r="D280" s="376" t="str">
        <f>+VLOOKUP(C280,Foundation!$C$8:$D$531,2,FALSE)</f>
        <v>DA+3</v>
      </c>
      <c r="E280" s="376" t="str">
        <f>+VLOOKUP(C280,Foundation!$C$8:$E$495,3,FALSE)</f>
        <v>DFR</v>
      </c>
      <c r="F280" s="358">
        <v>45878</v>
      </c>
      <c r="G280" s="358">
        <v>45886</v>
      </c>
      <c r="H280" s="390" t="s">
        <v>1515</v>
      </c>
      <c r="I280" s="389"/>
      <c r="J280" s="739">
        <f t="shared" ref="J280" si="30">+VLOOKUP(D280,$AB$7:$AC$35,2,FALSE)</f>
        <v>38.847605999999992</v>
      </c>
      <c r="K280" s="390" t="s">
        <v>1415</v>
      </c>
    </row>
    <row r="281" spans="1:11" x14ac:dyDescent="0.2">
      <c r="A281" s="380">
        <f>+SUBTOTAL(3,$G$7:$G281)</f>
        <v>275</v>
      </c>
      <c r="B281" s="374">
        <v>45870</v>
      </c>
      <c r="C281" s="375" t="s">
        <v>576</v>
      </c>
      <c r="D281" s="376" t="str">
        <f>+VLOOKUP(C281,Foundation!$C$8:$D$531,2,FALSE)</f>
        <v>DA+3</v>
      </c>
      <c r="E281" s="376" t="str">
        <f>+VLOOKUP(C281,Foundation!$C$8:$E$495,3,FALSE)</f>
        <v>Sandy</v>
      </c>
      <c r="F281" s="358">
        <v>45881</v>
      </c>
      <c r="G281" s="358">
        <v>45887</v>
      </c>
      <c r="H281" s="390" t="s">
        <v>1521</v>
      </c>
      <c r="I281" s="389"/>
      <c r="J281" s="739">
        <f t="shared" ref="J281:J282" si="31">+VLOOKUP(D281,$AB$7:$AC$35,2,FALSE)</f>
        <v>38.847605999999992</v>
      </c>
      <c r="K281" s="390" t="s">
        <v>1415</v>
      </c>
    </row>
    <row r="282" spans="1:11" x14ac:dyDescent="0.2">
      <c r="A282" s="380">
        <f>+SUBTOTAL(3,$G$7:$G282)</f>
        <v>276</v>
      </c>
      <c r="B282" s="374">
        <v>45870</v>
      </c>
      <c r="C282" s="375" t="s">
        <v>508</v>
      </c>
      <c r="D282" s="376" t="str">
        <f>+VLOOKUP(C282,Foundation!$C$8:$D$531,2,FALSE)</f>
        <v>DA+3</v>
      </c>
      <c r="E282" s="376" t="str">
        <f>+VLOOKUP(C282,Foundation!$C$8:$E$495,3,FALSE)</f>
        <v>DRY</v>
      </c>
      <c r="F282" s="358">
        <v>45882</v>
      </c>
      <c r="G282" s="358">
        <v>45887</v>
      </c>
      <c r="H282" s="390" t="s">
        <v>1524</v>
      </c>
      <c r="I282" s="389"/>
      <c r="J282" s="739">
        <f t="shared" si="31"/>
        <v>38.847605999999992</v>
      </c>
      <c r="K282" s="390" t="s">
        <v>1415</v>
      </c>
    </row>
    <row r="283" spans="1:11" x14ac:dyDescent="0.2">
      <c r="A283" s="380">
        <f>+SUBTOTAL(3,$G$7:$G283)</f>
        <v>277</v>
      </c>
      <c r="B283" s="374">
        <v>45870</v>
      </c>
      <c r="C283" s="375" t="s">
        <v>75</v>
      </c>
      <c r="D283" s="376" t="str">
        <f>+VLOOKUP(C283,Foundation!$C$8:$D$531,2,FALSE)</f>
        <v>DA+9</v>
      </c>
      <c r="E283" s="376" t="str">
        <f>+VLOOKUP(C283,Foundation!$C$8:$E$495,3,FALSE)</f>
        <v>Sandy</v>
      </c>
      <c r="F283" s="358">
        <v>45881</v>
      </c>
      <c r="G283" s="358">
        <v>45888</v>
      </c>
      <c r="H283" s="390" t="s">
        <v>1414</v>
      </c>
      <c r="I283" s="389"/>
      <c r="J283" s="739">
        <f t="shared" ref="J283" si="32">+VLOOKUP(D283,$AB$7:$AC$35,2,FALSE)</f>
        <v>47.184350000000002</v>
      </c>
      <c r="K283" s="390" t="s">
        <v>1415</v>
      </c>
    </row>
    <row r="284" spans="1:11" x14ac:dyDescent="0.2">
      <c r="A284" s="380">
        <f>+SUBTOTAL(3,$G$7:$G284)</f>
        <v>278</v>
      </c>
      <c r="B284" s="374">
        <v>45870</v>
      </c>
      <c r="C284" s="375" t="s">
        <v>452</v>
      </c>
      <c r="D284" s="376" t="str">
        <f>+VLOOKUP(C284,Foundation!$C$8:$D$531,2,FALSE)</f>
        <v>DA+3</v>
      </c>
      <c r="E284" s="376" t="str">
        <f>+VLOOKUP(C284,Foundation!$C$8:$E$495,3,FALSE)</f>
        <v>Sandy</v>
      </c>
      <c r="F284" s="358">
        <v>45873</v>
      </c>
      <c r="G284" s="358">
        <v>45888</v>
      </c>
      <c r="H284" s="390" t="s">
        <v>1506</v>
      </c>
      <c r="I284" s="389"/>
      <c r="J284" s="739">
        <f t="shared" ref="J284" si="33">+VLOOKUP(D284,$AB$7:$AC$35,2,FALSE)</f>
        <v>38.847605999999992</v>
      </c>
      <c r="K284" s="390" t="s">
        <v>1415</v>
      </c>
    </row>
    <row r="285" spans="1:11" x14ac:dyDescent="0.2">
      <c r="A285" s="380">
        <f>+SUBTOTAL(3,$G$7:$G285)</f>
        <v>279</v>
      </c>
      <c r="B285" s="374">
        <v>45870</v>
      </c>
      <c r="C285" s="375" t="s">
        <v>446</v>
      </c>
      <c r="D285" s="376" t="str">
        <f>+VLOOKUP(C285,Foundation!$C$8:$D$531,2,FALSE)</f>
        <v>DD60+0</v>
      </c>
      <c r="E285" s="376" t="str">
        <f>+VLOOKUP(C285,Foundation!$C$8:$E$495,3,FALSE)</f>
        <v>DRY</v>
      </c>
      <c r="F285" s="358">
        <v>45845</v>
      </c>
      <c r="G285" s="358">
        <v>45889</v>
      </c>
      <c r="H285" s="390" t="s">
        <v>1456</v>
      </c>
      <c r="I285" s="389"/>
      <c r="J285" s="739">
        <f t="shared" ref="J285" si="34">+VLOOKUP(D285,$AB$7:$AC$35,2,FALSE)</f>
        <v>86.129278999999997</v>
      </c>
      <c r="K285" s="390" t="s">
        <v>1415</v>
      </c>
    </row>
    <row r="286" spans="1:11" x14ac:dyDescent="0.2">
      <c r="A286" s="380">
        <f>+SUBTOTAL(3,$G$7:$G286)</f>
        <v>280</v>
      </c>
      <c r="B286" s="374">
        <v>45870</v>
      </c>
      <c r="C286" s="375" t="s">
        <v>557</v>
      </c>
      <c r="D286" s="376" t="str">
        <f>+VLOOKUP(C286,Foundation!$C$8:$D$531,2,FALSE)</f>
        <v>DB1+9</v>
      </c>
      <c r="E286" s="376" t="str">
        <f>+VLOOKUP(C286,Foundation!$C$8:$E$495,3,FALSE)</f>
        <v>Sandy</v>
      </c>
      <c r="F286" s="358">
        <v>45879</v>
      </c>
      <c r="G286" s="358">
        <v>45890</v>
      </c>
      <c r="H286" s="390" t="s">
        <v>1519</v>
      </c>
      <c r="I286" s="389"/>
      <c r="J286" s="739">
        <f t="shared" ref="J286" si="35">+VLOOKUP(D286,$AB$7:$AC$35,2,FALSE)</f>
        <v>70.701702999999995</v>
      </c>
      <c r="K286" s="390" t="s">
        <v>1415</v>
      </c>
    </row>
    <row r="287" spans="1:11" x14ac:dyDescent="0.2">
      <c r="A287" s="380">
        <f>+SUBTOTAL(3,$G$7:$G287)</f>
        <v>281</v>
      </c>
      <c r="B287" s="374">
        <v>45870</v>
      </c>
      <c r="C287" s="375" t="s">
        <v>204</v>
      </c>
      <c r="D287" s="376" t="str">
        <f>+VLOOKUP(C287,Foundation!$C$8:$D$531,2,FALSE)</f>
        <v>DA+0</v>
      </c>
      <c r="E287" s="376" t="str">
        <f>+VLOOKUP(C287,Foundation!$C$8:$E$495,3,FALSE)</f>
        <v>DRY</v>
      </c>
      <c r="F287" s="358">
        <v>45886</v>
      </c>
      <c r="G287" s="358">
        <v>45890</v>
      </c>
      <c r="H287" s="390" t="s">
        <v>1473</v>
      </c>
      <c r="I287" s="389"/>
      <c r="J287" s="739">
        <f t="shared" ref="J287" si="36">+VLOOKUP(D287,$AB$7:$AC$35,2,FALSE)</f>
        <v>37.504372000000004</v>
      </c>
      <c r="K287" s="390" t="s">
        <v>1415</v>
      </c>
    </row>
    <row r="288" spans="1:11" x14ac:dyDescent="0.2">
      <c r="A288" s="380">
        <f>+SUBTOTAL(3,$G$7:$G288)</f>
        <v>282</v>
      </c>
      <c r="B288" s="374">
        <v>45870</v>
      </c>
      <c r="C288" s="375" t="s">
        <v>458</v>
      </c>
      <c r="D288" s="376" t="str">
        <f>+VLOOKUP(C288,Foundation!$C$8:$D$531,2,FALSE)</f>
        <v>DA+0</v>
      </c>
      <c r="E288" s="376" t="str">
        <f>+VLOOKUP(C288,Foundation!$C$8:$E$495,3,FALSE)</f>
        <v>DRY</v>
      </c>
      <c r="F288" s="358">
        <v>45868</v>
      </c>
      <c r="G288" s="358">
        <v>45891</v>
      </c>
      <c r="H288" s="390" t="s">
        <v>1391</v>
      </c>
      <c r="I288" s="389"/>
      <c r="J288" s="739">
        <f t="shared" ref="J288" si="37">+VLOOKUP(D288,$AB$7:$AC$35,2,FALSE)</f>
        <v>37.504372000000004</v>
      </c>
      <c r="K288" s="390" t="s">
        <v>1415</v>
      </c>
    </row>
    <row r="289" spans="1:11" x14ac:dyDescent="0.2">
      <c r="A289" s="380">
        <f>+SUBTOTAL(3,$G$7:$G289)</f>
        <v>283</v>
      </c>
      <c r="B289" s="374">
        <v>45870</v>
      </c>
      <c r="C289" s="375" t="s">
        <v>685</v>
      </c>
      <c r="D289" s="376" t="str">
        <f>+VLOOKUP(C289,Foundation!$C$8:$D$531,2,FALSE)</f>
        <v>DA+3</v>
      </c>
      <c r="E289" s="376" t="str">
        <f>+VLOOKUP(C289,Foundation!$C$8:$E$495,3,FALSE)</f>
        <v>Sandy</v>
      </c>
      <c r="F289" s="358">
        <v>45875</v>
      </c>
      <c r="G289" s="358">
        <v>45891</v>
      </c>
      <c r="H289" s="390" t="s">
        <v>1511</v>
      </c>
      <c r="I289" s="389"/>
      <c r="J289" s="739">
        <f t="shared" ref="J289" si="38">+VLOOKUP(D289,$AB$7:$AC$35,2,FALSE)</f>
        <v>38.847605999999992</v>
      </c>
      <c r="K289" s="390" t="s">
        <v>1415</v>
      </c>
    </row>
    <row r="290" spans="1:11" x14ac:dyDescent="0.2">
      <c r="A290" s="380">
        <f>+SUBTOTAL(3,$G$7:$G290)</f>
        <v>284</v>
      </c>
      <c r="B290" s="374">
        <v>45870</v>
      </c>
      <c r="C290" s="375" t="s">
        <v>64</v>
      </c>
      <c r="D290" s="376" t="str">
        <f>+VLOOKUP(C290,Foundation!$C$8:$D$531,2,FALSE)</f>
        <v>DA+3</v>
      </c>
      <c r="E290" s="376" t="str">
        <f>+VLOOKUP(C290,Foundation!$C$8:$E$495,3,FALSE)</f>
        <v>DFR</v>
      </c>
      <c r="F290" s="358">
        <v>45885</v>
      </c>
      <c r="G290" s="358">
        <v>45892</v>
      </c>
      <c r="H290" s="390" t="s">
        <v>1525</v>
      </c>
      <c r="I290" s="389"/>
      <c r="J290" s="739">
        <f t="shared" ref="J290" si="39">+VLOOKUP(D290,$AB$7:$AC$35,2,FALSE)</f>
        <v>38.847605999999992</v>
      </c>
      <c r="K290" s="390" t="s">
        <v>1415</v>
      </c>
    </row>
    <row r="291" spans="1:11" x14ac:dyDescent="0.2">
      <c r="A291" s="380">
        <f>+SUBTOTAL(3,$G$7:$G291)</f>
        <v>285</v>
      </c>
      <c r="B291" s="374">
        <v>45870</v>
      </c>
      <c r="C291" s="375" t="s">
        <v>677</v>
      </c>
      <c r="D291" s="376" t="str">
        <f>+VLOOKUP(C291,Foundation!$C$8:$D$531,2,FALSE)</f>
        <v>DA+9</v>
      </c>
      <c r="E291" s="376" t="str">
        <f>+VLOOKUP(C291,Foundation!$C$8:$E$495,3,FALSE)</f>
        <v>Sandy</v>
      </c>
      <c r="F291" s="358">
        <v>45886</v>
      </c>
      <c r="G291" s="358">
        <v>45893</v>
      </c>
      <c r="H291" s="390" t="s">
        <v>1510</v>
      </c>
      <c r="I291" s="389"/>
      <c r="J291" s="739">
        <f t="shared" ref="J291:J293" si="40">+VLOOKUP(D291,$AB$7:$AC$35,2,FALSE)</f>
        <v>47.184350000000002</v>
      </c>
      <c r="K291" s="390" t="s">
        <v>1415</v>
      </c>
    </row>
    <row r="292" spans="1:11" x14ac:dyDescent="0.2">
      <c r="A292" s="380">
        <f>+SUBTOTAL(3,$G$7:$G292)</f>
        <v>286</v>
      </c>
      <c r="B292" s="374">
        <v>45870</v>
      </c>
      <c r="C292" s="375" t="s">
        <v>741</v>
      </c>
      <c r="D292" s="376" t="str">
        <f>+VLOOKUP(C292,Foundation!$C$8:$D$531,2,FALSE)</f>
        <v>DA+0</v>
      </c>
      <c r="E292" s="376" t="str">
        <f>+VLOOKUP(C292,Foundation!$C$8:$E$495,3,FALSE)</f>
        <v>WFR</v>
      </c>
      <c r="F292" s="358">
        <v>45886</v>
      </c>
      <c r="G292" s="358">
        <v>45893</v>
      </c>
      <c r="H292" s="390" t="s">
        <v>1399</v>
      </c>
      <c r="I292" s="389"/>
      <c r="J292" s="739">
        <f t="shared" si="40"/>
        <v>37.504372000000004</v>
      </c>
      <c r="K292" s="390" t="s">
        <v>1415</v>
      </c>
    </row>
    <row r="293" spans="1:11" x14ac:dyDescent="0.2">
      <c r="A293" s="380">
        <f>+SUBTOTAL(3,$G$7:$G293)</f>
        <v>287</v>
      </c>
      <c r="B293" s="374">
        <v>45870</v>
      </c>
      <c r="C293" s="375" t="s">
        <v>554</v>
      </c>
      <c r="D293" s="376" t="str">
        <f>+VLOOKUP(C293,Foundation!$C$8:$D$531,2,FALSE)</f>
        <v>DA+3</v>
      </c>
      <c r="E293" s="376" t="str">
        <f>+VLOOKUP(C293,Foundation!$C$8:$E$495,3,FALSE)</f>
        <v>Sandy</v>
      </c>
      <c r="F293" s="358">
        <v>45887</v>
      </c>
      <c r="G293" s="358">
        <v>45893</v>
      </c>
      <c r="H293" s="381" t="s">
        <v>1518</v>
      </c>
      <c r="I293" s="389"/>
      <c r="J293" s="739">
        <f t="shared" si="40"/>
        <v>38.847605999999992</v>
      </c>
      <c r="K293" s="381" t="s">
        <v>1415</v>
      </c>
    </row>
    <row r="294" spans="1:11" x14ac:dyDescent="0.2">
      <c r="A294" s="380">
        <f>+SUBTOTAL(3,$G$7:$G294)</f>
        <v>288</v>
      </c>
      <c r="B294" s="374">
        <v>45870</v>
      </c>
      <c r="C294" s="375" t="s">
        <v>72</v>
      </c>
      <c r="D294" s="376" t="str">
        <f>+VLOOKUP(C294,Foundation!$C$8:$D$531,2,FALSE)</f>
        <v>DA+0</v>
      </c>
      <c r="E294" s="376" t="str">
        <f>+VLOOKUP(C294,Foundation!$C$8:$E$495,3,FALSE)</f>
        <v>DFR</v>
      </c>
      <c r="F294" s="358">
        <v>45888</v>
      </c>
      <c r="G294" s="358">
        <v>45894</v>
      </c>
      <c r="H294" s="381" t="s">
        <v>1414</v>
      </c>
      <c r="I294" s="389"/>
      <c r="J294" s="739">
        <f t="shared" ref="J294" si="41">+VLOOKUP(D294,$AB$7:$AC$35,2,FALSE)</f>
        <v>37.504372000000004</v>
      </c>
      <c r="K294" s="381" t="s">
        <v>1415</v>
      </c>
    </row>
    <row r="295" spans="1:11" x14ac:dyDescent="0.2">
      <c r="A295" s="380">
        <f>+SUBTOTAL(3,$G$7:$G295)</f>
        <v>289</v>
      </c>
      <c r="B295" s="374">
        <v>45870</v>
      </c>
      <c r="C295" s="375" t="s">
        <v>510</v>
      </c>
      <c r="D295" s="376" t="str">
        <f>+VLOOKUP(C295,Foundation!$C$8:$D$531,2,FALSE)</f>
        <v>DC2+0</v>
      </c>
      <c r="E295" s="376" t="str">
        <f>+VLOOKUP(C295,Foundation!$C$8:$E$495,3,FALSE)</f>
        <v>DRY</v>
      </c>
      <c r="F295" s="358">
        <v>45887</v>
      </c>
      <c r="G295" s="358">
        <v>45894</v>
      </c>
      <c r="H295" s="381" t="s">
        <v>1522</v>
      </c>
      <c r="I295" s="389"/>
      <c r="J295" s="739">
        <f t="shared" ref="J295" si="42">+VLOOKUP(D295,$AB$7:$AC$35,2,FALSE)</f>
        <v>66.381106999999986</v>
      </c>
      <c r="K295" s="381" t="s">
        <v>1415</v>
      </c>
    </row>
    <row r="296" spans="1:11" x14ac:dyDescent="0.2">
      <c r="A296" s="380">
        <f>+SUBTOTAL(3,$G$7:$G296)</f>
        <v>290</v>
      </c>
      <c r="B296" s="374">
        <v>45870</v>
      </c>
      <c r="C296" s="375" t="s">
        <v>460</v>
      </c>
      <c r="D296" s="376" t="str">
        <f>+VLOOKUP(C296,Foundation!$C$8:$D$531,2,FALSE)</f>
        <v>DA+0</v>
      </c>
      <c r="E296" s="376" t="str">
        <f>+VLOOKUP(C296,Foundation!$C$8:$E$495,3,FALSE)</f>
        <v>DRY</v>
      </c>
      <c r="F296" s="358">
        <v>45889</v>
      </c>
      <c r="G296" s="358">
        <v>45894</v>
      </c>
      <c r="H296" s="381" t="s">
        <v>1526</v>
      </c>
      <c r="I296" s="389"/>
      <c r="J296" s="739">
        <f t="shared" ref="J296" si="43">+VLOOKUP(D296,$AB$7:$AC$35,2,FALSE)</f>
        <v>37.504372000000004</v>
      </c>
      <c r="K296" s="381" t="s">
        <v>1415</v>
      </c>
    </row>
    <row r="297" spans="1:11" x14ac:dyDescent="0.2">
      <c r="A297" s="380">
        <f>+SUBTOTAL(3,$G$7:$G297)</f>
        <v>291</v>
      </c>
      <c r="B297" s="374">
        <v>45870</v>
      </c>
      <c r="C297" s="375" t="s">
        <v>750</v>
      </c>
      <c r="D297" s="376" t="str">
        <f>+VLOOKUP(C297,Foundation!$C$8:$D$531,2,FALSE)</f>
        <v>DA+3</v>
      </c>
      <c r="E297" s="376" t="str">
        <f>+VLOOKUP(C297,Foundation!$C$8:$E$495,3,FALSE)</f>
        <v>DRY</v>
      </c>
      <c r="F297" s="358">
        <v>45890</v>
      </c>
      <c r="G297" s="358">
        <v>45894</v>
      </c>
      <c r="H297" s="381" t="s">
        <v>888</v>
      </c>
      <c r="I297" s="389"/>
      <c r="J297" s="739">
        <f t="shared" ref="J297" si="44">+VLOOKUP(D297,$AB$7:$AC$35,2,FALSE)</f>
        <v>38.847605999999992</v>
      </c>
      <c r="K297" s="381" t="s">
        <v>1415</v>
      </c>
    </row>
    <row r="298" spans="1:11" x14ac:dyDescent="0.2">
      <c r="A298" s="380">
        <f>+SUBTOTAL(3,$G$7:$G298)</f>
        <v>292</v>
      </c>
      <c r="B298" s="374">
        <v>45870</v>
      </c>
      <c r="C298" s="375" t="s">
        <v>679</v>
      </c>
      <c r="D298" s="376" t="str">
        <f>+VLOOKUP(C298,Foundation!$C$8:$D$531,2,FALSE)</f>
        <v>DA+0</v>
      </c>
      <c r="E298" s="376" t="str">
        <f>+VLOOKUP(C298,Foundation!$C$8:$E$495,3,FALSE)</f>
        <v>Sandy</v>
      </c>
      <c r="F298" s="358">
        <v>45888</v>
      </c>
      <c r="G298" s="358">
        <v>45894</v>
      </c>
      <c r="H298" s="381" t="s">
        <v>894</v>
      </c>
      <c r="I298" s="389"/>
      <c r="J298" s="739">
        <f t="shared" ref="J298" si="45">+VLOOKUP(D298,$AB$7:$AC$35,2,FALSE)</f>
        <v>37.504372000000004</v>
      </c>
      <c r="K298" s="381" t="s">
        <v>1415</v>
      </c>
    </row>
    <row r="299" spans="1:11" x14ac:dyDescent="0.2">
      <c r="A299" s="380">
        <f>+SUBTOTAL(3,$G$7:$G299)</f>
        <v>293</v>
      </c>
      <c r="B299" s="374">
        <v>45870</v>
      </c>
      <c r="C299" s="375" t="s">
        <v>27</v>
      </c>
      <c r="D299" s="376" t="str">
        <f>+VLOOKUP(C299,Foundation!$C$8:$D$531,2,FALSE)</f>
        <v>DA+0</v>
      </c>
      <c r="E299" s="376" t="str">
        <f>+VLOOKUP(C299,Foundation!$C$8:$E$495,3,FALSE)</f>
        <v>DRY</v>
      </c>
      <c r="F299" s="358">
        <v>45891</v>
      </c>
      <c r="G299" s="358">
        <v>45895</v>
      </c>
      <c r="H299" s="381" t="s">
        <v>1473</v>
      </c>
      <c r="I299" s="389"/>
      <c r="J299" s="739">
        <f t="shared" ref="J299" si="46">+VLOOKUP(D299,$AB$7:$AC$35,2,FALSE)</f>
        <v>37.504372000000004</v>
      </c>
      <c r="K299" s="381" t="s">
        <v>1415</v>
      </c>
    </row>
    <row r="300" spans="1:11" x14ac:dyDescent="0.2">
      <c r="A300" s="380">
        <f>+SUBTOTAL(3,$G$7:$G300)</f>
        <v>294</v>
      </c>
      <c r="B300" s="374">
        <v>45870</v>
      </c>
      <c r="C300" s="375" t="s">
        <v>684</v>
      </c>
      <c r="D300" s="376" t="str">
        <f>+VLOOKUP(C300,Foundation!$C$8:$D$531,2,FALSE)</f>
        <v>DA+9</v>
      </c>
      <c r="E300" s="376" t="str">
        <f>+VLOOKUP(C300,Foundation!$C$8:$E$495,3,FALSE)</f>
        <v>Sandy</v>
      </c>
      <c r="F300" s="358">
        <v>45886</v>
      </c>
      <c r="G300" s="358">
        <v>45898</v>
      </c>
      <c r="H300" s="381" t="s">
        <v>1511</v>
      </c>
      <c r="I300" s="389"/>
      <c r="J300" s="739">
        <f t="shared" ref="J300:J301" si="47">+VLOOKUP(D300,$AB$7:$AC$35,2,FALSE)</f>
        <v>47.184350000000002</v>
      </c>
      <c r="K300" s="381" t="s">
        <v>1415</v>
      </c>
    </row>
    <row r="301" spans="1:11" x14ac:dyDescent="0.2">
      <c r="A301" s="380">
        <f>+SUBTOTAL(3,$G$7:$G301)</f>
        <v>295</v>
      </c>
      <c r="B301" s="374">
        <v>45870</v>
      </c>
      <c r="C301" s="375" t="s">
        <v>749</v>
      </c>
      <c r="D301" s="376" t="str">
        <f>+VLOOKUP(C301,Foundation!$C$8:$D$531,2,FALSE)</f>
        <v>DA+0</v>
      </c>
      <c r="E301" s="376" t="str">
        <f>+VLOOKUP(C301,Foundation!$C$8:$E$495,3,FALSE)</f>
        <v>Sandy</v>
      </c>
      <c r="F301" s="358">
        <v>45890</v>
      </c>
      <c r="G301" s="358">
        <v>45898</v>
      </c>
      <c r="H301" s="381" t="s">
        <v>888</v>
      </c>
      <c r="I301" s="389"/>
      <c r="J301" s="739">
        <f t="shared" si="47"/>
        <v>37.504372000000004</v>
      </c>
      <c r="K301" s="381" t="s">
        <v>1415</v>
      </c>
    </row>
    <row r="302" spans="1:11" x14ac:dyDescent="0.2">
      <c r="A302" s="380">
        <f>+SUBTOTAL(3,$G$7:$G302)</f>
        <v>296</v>
      </c>
      <c r="B302" s="374">
        <v>45870</v>
      </c>
      <c r="C302" s="375" t="s">
        <v>77</v>
      </c>
      <c r="D302" s="376" t="str">
        <f>+VLOOKUP(C302,Foundation!$C$8:$D$531,2,FALSE)</f>
        <v>DA+0</v>
      </c>
      <c r="E302" s="376" t="str">
        <f>+VLOOKUP(C302,Foundation!$C$8:$E$495,3,FALSE)</f>
        <v>Sandy</v>
      </c>
      <c r="F302" s="358">
        <v>45894</v>
      </c>
      <c r="G302" s="358">
        <v>45899</v>
      </c>
      <c r="H302" s="381" t="s">
        <v>1529</v>
      </c>
      <c r="I302" s="389"/>
      <c r="J302" s="739">
        <f t="shared" ref="J302" si="48">+VLOOKUP(D302,$AB$7:$AC$35,2,FALSE)</f>
        <v>37.504372000000004</v>
      </c>
      <c r="K302" s="381" t="s">
        <v>1415</v>
      </c>
    </row>
    <row r="303" spans="1:11" x14ac:dyDescent="0.2">
      <c r="A303" s="380">
        <f>+SUBTOTAL(3,$G$7:$G303)</f>
        <v>297</v>
      </c>
      <c r="B303" s="374">
        <v>45870</v>
      </c>
      <c r="C303" s="375" t="s">
        <v>575</v>
      </c>
      <c r="D303" s="376" t="str">
        <f>+VLOOKUP(C303,Foundation!$C$8:$D$531,2,FALSE)</f>
        <v>DA+3</v>
      </c>
      <c r="E303" s="376" t="str">
        <f>+VLOOKUP(C303,Foundation!$C$8:$E$495,3,FALSE)</f>
        <v>Sandy</v>
      </c>
      <c r="F303" s="358">
        <v>45894</v>
      </c>
      <c r="G303" s="358">
        <v>45899</v>
      </c>
      <c r="H303" s="381" t="s">
        <v>1531</v>
      </c>
      <c r="I303" s="389"/>
      <c r="J303" s="739">
        <f t="shared" ref="J303" si="49">+VLOOKUP(D303,$AB$7:$AC$35,2,FALSE)</f>
        <v>38.847605999999992</v>
      </c>
      <c r="K303" s="381" t="s">
        <v>1415</v>
      </c>
    </row>
    <row r="304" spans="1:11" x14ac:dyDescent="0.2">
      <c r="A304" s="380">
        <f>+SUBTOTAL(3,$G$7:$G304)</f>
        <v>298</v>
      </c>
      <c r="B304" s="374">
        <v>45870</v>
      </c>
      <c r="C304" s="375" t="s">
        <v>86</v>
      </c>
      <c r="D304" s="376" t="str">
        <f>+VLOOKUP(C304,Foundation!$C$8:$D$531,2,FALSE)</f>
        <v>DA+0</v>
      </c>
      <c r="E304" s="376" t="str">
        <f>+VLOOKUP(C304,Foundation!$C$8:$E$495,3,FALSE)</f>
        <v>Sandy</v>
      </c>
      <c r="F304" s="358">
        <v>45891</v>
      </c>
      <c r="G304" s="358">
        <v>45899</v>
      </c>
      <c r="H304" s="381" t="s">
        <v>897</v>
      </c>
      <c r="I304" s="389"/>
      <c r="J304" s="739">
        <f t="shared" ref="J304" si="50">+VLOOKUP(D304,$AB$7:$AC$35,2,FALSE)</f>
        <v>37.504372000000004</v>
      </c>
      <c r="K304" s="381" t="s">
        <v>1415</v>
      </c>
    </row>
    <row r="305" spans="1:11" x14ac:dyDescent="0.2">
      <c r="A305" s="380">
        <f>+SUBTOTAL(3,$G$7:$G305)</f>
        <v>299</v>
      </c>
      <c r="B305" s="374">
        <v>45870</v>
      </c>
      <c r="C305" s="375" t="s">
        <v>717</v>
      </c>
      <c r="D305" s="376" t="str">
        <f>+VLOOKUP(C305,Foundation!$C$8:$D$531,2,FALSE)</f>
        <v>DA+9</v>
      </c>
      <c r="E305" s="376" t="str">
        <f>+VLOOKUP(C305,Foundation!$C$8:$E$495,3,FALSE)</f>
        <v>Sandy</v>
      </c>
      <c r="F305" s="358">
        <v>45886</v>
      </c>
      <c r="G305" s="358">
        <v>45899</v>
      </c>
      <c r="H305" s="381" t="s">
        <v>895</v>
      </c>
      <c r="I305" s="389"/>
      <c r="J305" s="739">
        <f t="shared" ref="J305" si="51">+VLOOKUP(D305,$AB$7:$AC$35,2,FALSE)</f>
        <v>47.184350000000002</v>
      </c>
      <c r="K305" s="381" t="s">
        <v>1415</v>
      </c>
    </row>
    <row r="306" spans="1:11" x14ac:dyDescent="0.2">
      <c r="A306" s="380">
        <f>+SUBTOTAL(3,$G$7:$G306)</f>
        <v>300</v>
      </c>
      <c r="B306" s="374">
        <v>45870</v>
      </c>
      <c r="C306" s="375" t="s">
        <v>151</v>
      </c>
      <c r="D306" s="376" t="str">
        <f>+VLOOKUP(C306,Foundation!$C$8:$D$531,2,FALSE)</f>
        <v>DA+3</v>
      </c>
      <c r="E306" s="376" t="str">
        <f>+VLOOKUP(C306,Foundation!$C$8:$E$495,3,FALSE)</f>
        <v>DRY</v>
      </c>
      <c r="F306" s="358">
        <v>45892</v>
      </c>
      <c r="G306" s="358">
        <v>45900</v>
      </c>
      <c r="H306" s="381" t="s">
        <v>1391</v>
      </c>
      <c r="I306" s="389"/>
      <c r="J306" s="739">
        <f t="shared" ref="J306" si="52">+VLOOKUP(D306,$AB$7:$AC$35,2,FALSE)</f>
        <v>38.847605999999992</v>
      </c>
      <c r="K306" s="381" t="s">
        <v>1415</v>
      </c>
    </row>
    <row r="307" spans="1:11" x14ac:dyDescent="0.2">
      <c r="A307" s="380">
        <f>+SUBTOTAL(3,$G$7:$G307)</f>
        <v>301</v>
      </c>
      <c r="B307" s="374">
        <v>45870</v>
      </c>
      <c r="C307" s="375" t="s">
        <v>739</v>
      </c>
      <c r="D307" s="376" t="str">
        <f>+VLOOKUP(C307,Foundation!$C$8:$D$531,2,FALSE)</f>
        <v>DA+9</v>
      </c>
      <c r="E307" s="376" t="str">
        <f>+VLOOKUP(C307,Foundation!$C$8:$E$495,3,FALSE)</f>
        <v>Sandy</v>
      </c>
      <c r="F307" s="358">
        <v>45886</v>
      </c>
      <c r="G307" s="358">
        <v>45900</v>
      </c>
      <c r="H307" s="381" t="s">
        <v>1399</v>
      </c>
      <c r="I307" s="389"/>
      <c r="J307" s="739">
        <f t="shared" ref="J307:J309" si="53">+VLOOKUP(D307,$AB$7:$AC$35,2,FALSE)</f>
        <v>47.184350000000002</v>
      </c>
      <c r="K307" s="381" t="s">
        <v>1415</v>
      </c>
    </row>
    <row r="308" spans="1:11" x14ac:dyDescent="0.2">
      <c r="A308" s="380">
        <f>+SUBTOTAL(3,$G$7:$G308)</f>
        <v>302</v>
      </c>
      <c r="B308" s="374">
        <v>45870</v>
      </c>
      <c r="C308" s="375" t="s">
        <v>459</v>
      </c>
      <c r="D308" s="376" t="str">
        <f>+VLOOKUP(C308,Foundation!$C$8:$D$531,2,FALSE)</f>
        <v>DA+0</v>
      </c>
      <c r="E308" s="376" t="str">
        <f>+VLOOKUP(C308,Foundation!$C$8:$E$495,3,FALSE)</f>
        <v>DRY</v>
      </c>
      <c r="F308" s="358">
        <v>45898</v>
      </c>
      <c r="G308" s="358">
        <v>45900</v>
      </c>
      <c r="H308" s="381" t="s">
        <v>1526</v>
      </c>
      <c r="I308" s="389"/>
      <c r="J308" s="739">
        <f t="shared" si="53"/>
        <v>37.504372000000004</v>
      </c>
      <c r="K308" s="381" t="s">
        <v>1415</v>
      </c>
    </row>
    <row r="309" spans="1:11" x14ac:dyDescent="0.2">
      <c r="A309" s="380">
        <f>+SUBTOTAL(3,$G$7:$G309)</f>
        <v>303</v>
      </c>
      <c r="B309" s="374">
        <v>45870</v>
      </c>
      <c r="C309" s="375" t="s">
        <v>681</v>
      </c>
      <c r="D309" s="376" t="str">
        <f>+VLOOKUP(C309,Foundation!$C$8:$D$531,2,FALSE)</f>
        <v>DA+9</v>
      </c>
      <c r="E309" s="376" t="str">
        <f>+VLOOKUP(C309,Foundation!$C$8:$E$495,3,FALSE)</f>
        <v>Sandy</v>
      </c>
      <c r="F309" s="358">
        <v>45894</v>
      </c>
      <c r="G309" s="358">
        <v>45900</v>
      </c>
      <c r="H309" s="381" t="s">
        <v>894</v>
      </c>
      <c r="I309" s="389"/>
      <c r="J309" s="739">
        <f t="shared" si="53"/>
        <v>47.184350000000002</v>
      </c>
      <c r="K309" s="381" t="s">
        <v>1415</v>
      </c>
    </row>
    <row r="310" spans="1:11" x14ac:dyDescent="0.2">
      <c r="A310" s="380">
        <f>+SUBTOTAL(3,$G$7:$G310)</f>
        <v>304</v>
      </c>
      <c r="B310" s="374">
        <v>45901</v>
      </c>
      <c r="C310" s="375" t="s">
        <v>495</v>
      </c>
      <c r="D310" s="376" t="str">
        <f>+VLOOKUP(C310,Foundation!$C$8:$D$531,2,FALSE)</f>
        <v>DC1+0</v>
      </c>
      <c r="E310" s="376" t="str">
        <f>+VLOOKUP(C310,Foundation!$C$8:$E$495,3,FALSE)</f>
        <v>DRY</v>
      </c>
      <c r="F310" s="358">
        <v>45895</v>
      </c>
      <c r="G310" s="358">
        <v>45903</v>
      </c>
      <c r="H310" s="381" t="s">
        <v>1550</v>
      </c>
      <c r="I310" s="389"/>
      <c r="J310" s="739">
        <f t="shared" ref="J310:J314" si="54">+VLOOKUP(D310,$AB$7:$AC$35,2,FALSE)</f>
        <v>66.381106999999986</v>
      </c>
      <c r="K310" s="381" t="s">
        <v>1415</v>
      </c>
    </row>
    <row r="311" spans="1:11" x14ac:dyDescent="0.2">
      <c r="A311" s="380">
        <f>+SUBTOTAL(3,$G$7:$G311)</f>
        <v>305</v>
      </c>
      <c r="B311" s="374">
        <v>45901</v>
      </c>
      <c r="C311" s="375" t="s">
        <v>523</v>
      </c>
      <c r="D311" s="376" t="str">
        <f>+VLOOKUP(C311,Foundation!$C$8:$D$531,2,FALSE)</f>
        <v>DA+0</v>
      </c>
      <c r="E311" s="376" t="str">
        <f>+VLOOKUP(C311,Foundation!$C$8:$E$495,3,FALSE)</f>
        <v>DRY</v>
      </c>
      <c r="F311" s="358">
        <v>45895</v>
      </c>
      <c r="G311" s="358">
        <v>45903</v>
      </c>
      <c r="H311" s="381" t="s">
        <v>1533</v>
      </c>
      <c r="I311" s="389"/>
      <c r="J311" s="739">
        <f t="shared" si="54"/>
        <v>37.504372000000004</v>
      </c>
      <c r="K311" s="381" t="s">
        <v>1415</v>
      </c>
    </row>
    <row r="312" spans="1:11" x14ac:dyDescent="0.2">
      <c r="A312" s="380">
        <f>+SUBTOTAL(3,$G$7:$G312)</f>
        <v>306</v>
      </c>
      <c r="B312" s="374">
        <v>45901</v>
      </c>
      <c r="C312" s="375" t="s">
        <v>79</v>
      </c>
      <c r="D312" s="376" t="str">
        <f>+VLOOKUP(C312,Foundation!$C$8:$D$531,2,FALSE)</f>
        <v>DA+0</v>
      </c>
      <c r="E312" s="376" t="str">
        <f>+VLOOKUP(C312,Foundation!$C$8:$E$495,3,FALSE)</f>
        <v>DRY</v>
      </c>
      <c r="F312" s="358">
        <v>45895</v>
      </c>
      <c r="G312" s="358">
        <v>45902</v>
      </c>
      <c r="H312" s="381" t="s">
        <v>1473</v>
      </c>
      <c r="I312" s="389"/>
      <c r="J312" s="739">
        <f t="shared" si="54"/>
        <v>37.504372000000004</v>
      </c>
      <c r="K312" s="381" t="s">
        <v>1415</v>
      </c>
    </row>
    <row r="313" spans="1:11" x14ac:dyDescent="0.2">
      <c r="A313" s="380">
        <f>+SUBTOTAL(3,$G$7:$G313)</f>
        <v>307</v>
      </c>
      <c r="B313" s="374">
        <v>45901</v>
      </c>
      <c r="C313" s="375" t="s">
        <v>63</v>
      </c>
      <c r="D313" s="376" t="str">
        <f>+VLOOKUP(C313,Foundation!$C$8:$D$531,2,FALSE)</f>
        <v>DC1+0</v>
      </c>
      <c r="E313" s="376" t="str">
        <f>+VLOOKUP(C313,Foundation!$C$8:$E$495,3,FALSE)</f>
        <v>DFR</v>
      </c>
      <c r="F313" s="358">
        <v>45892</v>
      </c>
      <c r="G313" s="358">
        <v>45903</v>
      </c>
      <c r="H313" s="381" t="s">
        <v>1525</v>
      </c>
      <c r="I313" s="389"/>
      <c r="J313" s="739">
        <f t="shared" si="54"/>
        <v>66.381106999999986</v>
      </c>
      <c r="K313" s="381" t="s">
        <v>1415</v>
      </c>
    </row>
    <row r="314" spans="1:11" x14ac:dyDescent="0.2">
      <c r="A314" s="380">
        <f>+SUBTOTAL(3,$G$7:$G314)</f>
        <v>308</v>
      </c>
      <c r="B314" s="374">
        <v>45901</v>
      </c>
      <c r="C314" s="375" t="s">
        <v>571</v>
      </c>
      <c r="D314" s="376" t="str">
        <f>+VLOOKUP(C314,Foundation!$C$8:$D$531,2,FALSE)</f>
        <v>DA+3</v>
      </c>
      <c r="E314" s="376" t="str">
        <f>+VLOOKUP(C314,Foundation!$C$8:$E$495,3,FALSE)</f>
        <v>DRY</v>
      </c>
      <c r="F314" s="358">
        <v>45898</v>
      </c>
      <c r="G314" s="358">
        <v>45903</v>
      </c>
      <c r="H314" s="381" t="s">
        <v>1549</v>
      </c>
      <c r="I314" s="389"/>
      <c r="J314" s="739">
        <f t="shared" si="54"/>
        <v>38.847605999999992</v>
      </c>
      <c r="K314" s="381" t="s">
        <v>1415</v>
      </c>
    </row>
    <row r="315" spans="1:11" x14ac:dyDescent="0.2">
      <c r="A315" s="380">
        <f>+SUBTOTAL(3,$G$7:$G315)</f>
        <v>309</v>
      </c>
      <c r="B315" s="374">
        <v>45901</v>
      </c>
      <c r="C315" s="375" t="s">
        <v>464</v>
      </c>
      <c r="D315" s="376" t="str">
        <f>+VLOOKUP(C315,Foundation!$C$8:$D$531,2,FALSE)</f>
        <v>DA+3</v>
      </c>
      <c r="E315" s="376" t="str">
        <f>+VLOOKUP(C315,Foundation!$C$8:$E$495,3,FALSE)</f>
        <v>DRY</v>
      </c>
      <c r="F315" s="358">
        <v>45898</v>
      </c>
      <c r="G315" s="358">
        <v>45904</v>
      </c>
      <c r="H315" s="381" t="s">
        <v>1414</v>
      </c>
      <c r="I315" s="389"/>
      <c r="J315" s="739">
        <f t="shared" ref="J315" si="55">+VLOOKUP(D315,$AB$7:$AC$35,2,FALSE)</f>
        <v>38.847605999999992</v>
      </c>
      <c r="K315" s="381" t="s">
        <v>1415</v>
      </c>
    </row>
    <row r="316" spans="1:11" x14ac:dyDescent="0.2">
      <c r="A316" s="380">
        <f>+SUBTOTAL(3,$G$7:$G316)</f>
        <v>310</v>
      </c>
      <c r="B316" s="374">
        <v>45901</v>
      </c>
      <c r="C316" s="375" t="s">
        <v>49</v>
      </c>
      <c r="D316" s="376" t="str">
        <f>+VLOOKUP(C316,Foundation!$C$8:$D$531,2,FALSE)</f>
        <v>DB2+0</v>
      </c>
      <c r="E316" s="376" t="str">
        <f>+VLOOKUP(C316,Foundation!$C$8:$E$495,3,FALSE)</f>
        <v>DRY</v>
      </c>
      <c r="F316" s="358">
        <v>45902</v>
      </c>
      <c r="G316" s="358">
        <v>45905</v>
      </c>
      <c r="H316" s="381" t="s">
        <v>1557</v>
      </c>
      <c r="I316" s="389"/>
      <c r="J316" s="739">
        <f t="shared" ref="J316" si="56">+VLOOKUP(D316,$AB$7:$AC$35,2,FALSE)</f>
        <v>57.597240999999997</v>
      </c>
      <c r="K316" s="381" t="s">
        <v>1415</v>
      </c>
    </row>
    <row r="317" spans="1:11" x14ac:dyDescent="0.2">
      <c r="A317" s="380">
        <f>+SUBTOTAL(3,$G$7:$G317)</f>
        <v>311</v>
      </c>
      <c r="B317" s="374">
        <v>45901</v>
      </c>
      <c r="C317" s="375" t="s">
        <v>87</v>
      </c>
      <c r="D317" s="376" t="str">
        <f>+VLOOKUP(C317,Foundation!$C$8:$D$531,2,FALSE)</f>
        <v>DA+0</v>
      </c>
      <c r="E317" s="376" t="str">
        <f>+VLOOKUP(C317,Foundation!$C$8:$E$495,3,FALSE)</f>
        <v>Sandy</v>
      </c>
      <c r="F317" s="358">
        <v>45899</v>
      </c>
      <c r="G317" s="358">
        <v>45906</v>
      </c>
      <c r="H317" s="381" t="s">
        <v>897</v>
      </c>
      <c r="I317" s="389"/>
      <c r="J317" s="739">
        <f t="shared" ref="J317:J319" si="57">+VLOOKUP(D317,$AB$7:$AC$35,2,FALSE)</f>
        <v>37.504372000000004</v>
      </c>
      <c r="K317" s="381" t="s">
        <v>1415</v>
      </c>
    </row>
    <row r="318" spans="1:11" x14ac:dyDescent="0.2">
      <c r="A318" s="380">
        <f>+SUBTOTAL(3,$G$7:$G318)</f>
        <v>312</v>
      </c>
      <c r="B318" s="374">
        <v>45901</v>
      </c>
      <c r="C318" s="375" t="s">
        <v>687</v>
      </c>
      <c r="D318" s="376" t="str">
        <f>+VLOOKUP(C318,Foundation!$C$8:$D$531,2,FALSE)</f>
        <v>DA+3</v>
      </c>
      <c r="E318" s="376" t="str">
        <f>+VLOOKUP(C318,Foundation!$C$8:$E$495,3,FALSE)</f>
        <v>Sandy</v>
      </c>
      <c r="F318" s="358">
        <v>45891</v>
      </c>
      <c r="G318" s="358">
        <v>45906</v>
      </c>
      <c r="H318" s="381" t="s">
        <v>1511</v>
      </c>
      <c r="I318" s="389"/>
      <c r="J318" s="739">
        <f t="shared" si="57"/>
        <v>38.847605999999992</v>
      </c>
      <c r="K318" s="381" t="s">
        <v>1415</v>
      </c>
    </row>
    <row r="319" spans="1:11" x14ac:dyDescent="0.2">
      <c r="A319" s="380">
        <f>+SUBTOTAL(3,$G$7:$G319)</f>
        <v>313</v>
      </c>
      <c r="B319" s="374">
        <v>45901</v>
      </c>
      <c r="C319" s="375" t="s">
        <v>738</v>
      </c>
      <c r="D319" s="376" t="str">
        <f>+VLOOKUP(C319,Foundation!$C$8:$D$531,2,FALSE)</f>
        <v>DA+9</v>
      </c>
      <c r="E319" s="376" t="str">
        <f>+VLOOKUP(C319,Foundation!$C$8:$E$495,3,FALSE)</f>
        <v>Sandy</v>
      </c>
      <c r="F319" s="358">
        <v>45901</v>
      </c>
      <c r="G319" s="358">
        <v>45906</v>
      </c>
      <c r="H319" s="381" t="s">
        <v>1399</v>
      </c>
      <c r="I319" s="389"/>
      <c r="J319" s="739">
        <f t="shared" si="57"/>
        <v>47.184350000000002</v>
      </c>
      <c r="K319" s="381" t="s">
        <v>1415</v>
      </c>
    </row>
    <row r="320" spans="1:11" x14ac:dyDescent="0.2">
      <c r="A320" s="380">
        <f>+SUBTOTAL(3,$G$7:$G320)</f>
        <v>314</v>
      </c>
      <c r="B320" s="374">
        <v>45901</v>
      </c>
      <c r="C320" s="375" t="s">
        <v>36</v>
      </c>
      <c r="D320" s="376" t="str">
        <f>+VLOOKUP(C320,Foundation!$C$8:$D$531,2,FALSE)</f>
        <v>DB1+0</v>
      </c>
      <c r="E320" s="376" t="str">
        <f>+VLOOKUP(C320,Foundation!$C$8:$E$495,3,FALSE)</f>
        <v>DFR</v>
      </c>
      <c r="F320" s="358">
        <v>45895</v>
      </c>
      <c r="G320" s="358">
        <v>45906</v>
      </c>
      <c r="H320" s="381" t="s">
        <v>1535</v>
      </c>
      <c r="I320" s="389"/>
      <c r="J320" s="739">
        <f t="shared" ref="J320:J321" si="58">+VLOOKUP(D320,$AB$7:$AC$35,2,FALSE)</f>
        <v>57.597240999999997</v>
      </c>
      <c r="K320" s="381" t="s">
        <v>1415</v>
      </c>
    </row>
    <row r="321" spans="1:11" x14ac:dyDescent="0.2">
      <c r="A321" s="380">
        <f>+SUBTOTAL(3,$G$7:$G321)</f>
        <v>315</v>
      </c>
      <c r="B321" s="374">
        <v>45901</v>
      </c>
      <c r="C321" s="375" t="s">
        <v>682</v>
      </c>
      <c r="D321" s="376" t="str">
        <f>+VLOOKUP(C321,Foundation!$C$8:$D$531,2,FALSE)</f>
        <v>DA+3</v>
      </c>
      <c r="E321" s="376" t="str">
        <f>+VLOOKUP(C321,Foundation!$C$8:$E$495,3,FALSE)</f>
        <v>Sandy</v>
      </c>
      <c r="F321" s="358">
        <v>45901</v>
      </c>
      <c r="G321" s="358">
        <v>45907</v>
      </c>
      <c r="H321" s="381" t="s">
        <v>894</v>
      </c>
      <c r="I321" s="389"/>
      <c r="J321" s="739">
        <f t="shared" si="58"/>
        <v>38.847605999999992</v>
      </c>
      <c r="K321" s="381" t="s">
        <v>1415</v>
      </c>
    </row>
    <row r="322" spans="1:11" x14ac:dyDescent="0.2">
      <c r="A322" s="380">
        <f>+SUBTOTAL(3,$G$7:$G322)</f>
        <v>316</v>
      </c>
      <c r="B322" s="374">
        <v>45901</v>
      </c>
      <c r="C322" s="375" t="s">
        <v>522</v>
      </c>
      <c r="D322" s="376" t="str">
        <f>+VLOOKUP(C322,Foundation!$C$8:$D$531,2,FALSE)</f>
        <v>DA+0</v>
      </c>
      <c r="E322" s="376" t="str">
        <f>+VLOOKUP(C322,Foundation!$C$8:$E$495,3,FALSE)</f>
        <v>DRY</v>
      </c>
      <c r="F322" s="358">
        <v>45902</v>
      </c>
      <c r="G322" s="358">
        <v>45907</v>
      </c>
      <c r="H322" s="381" t="s">
        <v>1560</v>
      </c>
      <c r="I322" s="389"/>
      <c r="J322" s="739">
        <f t="shared" ref="J322" si="59">+VLOOKUP(D322,$AB$7:$AC$35,2,FALSE)</f>
        <v>37.504372000000004</v>
      </c>
      <c r="K322" s="381" t="s">
        <v>1415</v>
      </c>
    </row>
    <row r="323" spans="1:11" x14ac:dyDescent="0.2">
      <c r="A323" s="380">
        <f>+SUBTOTAL(3,$G$7:$G323)</f>
        <v>317</v>
      </c>
      <c r="B323" s="374">
        <v>45901</v>
      </c>
      <c r="C323" s="375" t="s">
        <v>33</v>
      </c>
      <c r="D323" s="376" t="str">
        <f>+VLOOKUP(C323,Foundation!$C$8:$D$531,2,FALSE)</f>
        <v>DD45+3</v>
      </c>
      <c r="E323" s="376" t="str">
        <f>+VLOOKUP(C323,Foundation!$C$8:$E$495,3,FALSE)</f>
        <v>DRY</v>
      </c>
      <c r="F323" s="358">
        <v>45895</v>
      </c>
      <c r="G323" s="358">
        <v>45907</v>
      </c>
      <c r="H323" s="381" t="s">
        <v>1534</v>
      </c>
      <c r="I323" s="389"/>
      <c r="J323" s="739">
        <f t="shared" ref="J323" si="60">+VLOOKUP(D323,$AB$7:$AC$35,2,FALSE)</f>
        <v>89.909625000000005</v>
      </c>
      <c r="K323" s="381" t="s">
        <v>1415</v>
      </c>
    </row>
    <row r="324" spans="1:11" x14ac:dyDescent="0.2">
      <c r="A324" s="380">
        <f>+SUBTOTAL(3,$G$7:$G324)</f>
        <v>318</v>
      </c>
      <c r="B324" s="374">
        <v>45901</v>
      </c>
      <c r="C324" s="375" t="s">
        <v>451</v>
      </c>
      <c r="D324" s="376" t="str">
        <f>+VLOOKUP(C324,Foundation!$C$8:$D$531,2,FALSE)</f>
        <v>DA+3</v>
      </c>
      <c r="E324" s="376" t="str">
        <f>+VLOOKUP(C324,Foundation!$C$8:$E$495,3,FALSE)</f>
        <v>Sandy</v>
      </c>
      <c r="F324" s="358">
        <v>45893</v>
      </c>
      <c r="G324" s="358">
        <v>45909</v>
      </c>
      <c r="H324" s="381" t="s">
        <v>1556</v>
      </c>
      <c r="I324" s="389"/>
      <c r="J324" s="739">
        <f t="shared" ref="J324" si="61">+VLOOKUP(D324,$AB$7:$AC$35,2,FALSE)</f>
        <v>38.847605999999992</v>
      </c>
      <c r="K324" s="381" t="s">
        <v>1415</v>
      </c>
    </row>
    <row r="325" spans="1:11" x14ac:dyDescent="0.2">
      <c r="A325" s="380">
        <f>+SUBTOTAL(3,$G$7:$G325)</f>
        <v>319</v>
      </c>
      <c r="B325" s="374">
        <v>45901</v>
      </c>
      <c r="C325" s="375" t="s">
        <v>453</v>
      </c>
      <c r="D325" s="376" t="str">
        <f>+VLOOKUP(C325,Foundation!$C$8:$D$531,2,FALSE)</f>
        <v>DA+3</v>
      </c>
      <c r="E325" s="376" t="str">
        <f>+VLOOKUP(C325,Foundation!$C$8:$E$495,3,FALSE)</f>
        <v>Sandy</v>
      </c>
      <c r="F325" s="358">
        <v>45893</v>
      </c>
      <c r="G325" s="358">
        <v>45909</v>
      </c>
      <c r="H325" s="381" t="s">
        <v>1530</v>
      </c>
      <c r="I325" s="389"/>
      <c r="J325" s="739">
        <f t="shared" ref="J325" si="62">+VLOOKUP(D325,$AB$7:$AC$35,2,FALSE)</f>
        <v>38.847605999999992</v>
      </c>
      <c r="K325" s="381" t="s">
        <v>1415</v>
      </c>
    </row>
    <row r="326" spans="1:11" x14ac:dyDescent="0.2">
      <c r="A326" s="380">
        <f>+SUBTOTAL(3,$G$7:$G326)</f>
        <v>320</v>
      </c>
      <c r="B326" s="374">
        <v>45901</v>
      </c>
      <c r="C326" s="375" t="s">
        <v>81</v>
      </c>
      <c r="D326" s="376" t="str">
        <f>+VLOOKUP(C326,Foundation!$C$8:$D$531,2,FALSE)</f>
        <v>DA+3</v>
      </c>
      <c r="E326" s="376" t="str">
        <f>+VLOOKUP(C326,Foundation!$C$8:$E$495,3,FALSE)</f>
        <v>Sandy</v>
      </c>
      <c r="F326" s="358">
        <v>45903</v>
      </c>
      <c r="G326" s="358">
        <v>45910</v>
      </c>
      <c r="H326" s="381" t="s">
        <v>1473</v>
      </c>
      <c r="I326" s="389"/>
      <c r="J326" s="739">
        <f t="shared" ref="J326" si="63">+VLOOKUP(D326,$AB$7:$AC$35,2,FALSE)</f>
        <v>38.847605999999992</v>
      </c>
      <c r="K326" s="381" t="s">
        <v>1415</v>
      </c>
    </row>
    <row r="327" spans="1:11" x14ac:dyDescent="0.2">
      <c r="A327" s="380">
        <f>+SUBTOTAL(3,$G$7:$G327)</f>
        <v>321</v>
      </c>
      <c r="B327" s="374">
        <v>45901</v>
      </c>
      <c r="C327" s="375" t="s">
        <v>718</v>
      </c>
      <c r="D327" s="376" t="str">
        <f>+VLOOKUP(C327,Foundation!$C$8:$D$531,2,FALSE)</f>
        <v>DA+9</v>
      </c>
      <c r="E327" s="376" t="str">
        <f>+VLOOKUP(C327,Foundation!$C$8:$E$495,3,FALSE)</f>
        <v>Sandy</v>
      </c>
      <c r="F327" s="358">
        <v>45901</v>
      </c>
      <c r="G327" s="358">
        <v>45910</v>
      </c>
      <c r="H327" s="381" t="s">
        <v>895</v>
      </c>
      <c r="I327" s="389"/>
      <c r="J327" s="739">
        <f t="shared" ref="J327" si="64">+VLOOKUP(D327,$AB$7:$AC$35,2,FALSE)</f>
        <v>47.184350000000002</v>
      </c>
      <c r="K327" s="381" t="s">
        <v>1415</v>
      </c>
    </row>
    <row r="328" spans="1:11" x14ac:dyDescent="0.2">
      <c r="A328" s="380">
        <f>+SUBTOTAL(3,$G$7:$G328)</f>
        <v>322</v>
      </c>
      <c r="B328" s="374">
        <v>45901</v>
      </c>
      <c r="C328" s="375" t="s">
        <v>209</v>
      </c>
      <c r="D328" s="376" t="str">
        <f>+VLOOKUP(C328,Foundation!$C$8:$D$531,2,FALSE)</f>
        <v>DA+0</v>
      </c>
      <c r="E328" s="376" t="str">
        <f>+VLOOKUP(C328,Foundation!$C$8:$E$495,3,FALSE)</f>
        <v>Sandy</v>
      </c>
      <c r="F328" s="358">
        <v>45903</v>
      </c>
      <c r="G328" s="358">
        <v>45911</v>
      </c>
      <c r="H328" s="381" t="s">
        <v>1432</v>
      </c>
      <c r="I328" s="389"/>
      <c r="J328" s="739">
        <f t="shared" ref="J328:J330" si="65">+VLOOKUP(D328,$AB$7:$AC$35,2,FALSE)</f>
        <v>37.504372000000004</v>
      </c>
      <c r="K328" s="381" t="s">
        <v>1415</v>
      </c>
    </row>
    <row r="329" spans="1:11" x14ac:dyDescent="0.2">
      <c r="A329" s="380">
        <f>+SUBTOTAL(3,$G$7:$G329)</f>
        <v>323</v>
      </c>
      <c r="B329" s="374">
        <v>45901</v>
      </c>
      <c r="C329" s="375" t="s">
        <v>527</v>
      </c>
      <c r="D329" s="376" t="str">
        <f>+VLOOKUP(C329,Foundation!$C$8:$D$531,2,FALSE)</f>
        <v>DA+3</v>
      </c>
      <c r="E329" s="376" t="str">
        <f>+VLOOKUP(C329,Foundation!$C$8:$E$495,3,FALSE)</f>
        <v>Sandy</v>
      </c>
      <c r="F329" s="358">
        <v>45909</v>
      </c>
      <c r="G329" s="358">
        <v>45912</v>
      </c>
      <c r="H329" s="381" t="s">
        <v>1560</v>
      </c>
      <c r="I329" s="389"/>
      <c r="J329" s="739">
        <f t="shared" si="65"/>
        <v>38.847605999999992</v>
      </c>
      <c r="K329" s="381" t="s">
        <v>1415</v>
      </c>
    </row>
    <row r="330" spans="1:11" x14ac:dyDescent="0.2">
      <c r="A330" s="380">
        <f>+SUBTOTAL(3,$G$7:$G330)</f>
        <v>324</v>
      </c>
      <c r="B330" s="374">
        <v>45901</v>
      </c>
      <c r="C330" s="375" t="s">
        <v>70</v>
      </c>
      <c r="D330" s="376" t="str">
        <f>+VLOOKUP(C330,Foundation!$C$8:$D$531,2,FALSE)</f>
        <v>DB2+0</v>
      </c>
      <c r="E330" s="376" t="str">
        <f>+VLOOKUP(C330,Foundation!$C$8:$E$495,3,FALSE)</f>
        <v>DFR</v>
      </c>
      <c r="F330" s="358">
        <v>45903</v>
      </c>
      <c r="G330" s="358">
        <v>45912</v>
      </c>
      <c r="H330" s="381" t="s">
        <v>1558</v>
      </c>
      <c r="I330" s="389"/>
      <c r="J330" s="739">
        <f t="shared" si="65"/>
        <v>57.597240999999997</v>
      </c>
      <c r="K330" s="381" t="s">
        <v>1415</v>
      </c>
    </row>
    <row r="331" spans="1:11" x14ac:dyDescent="0.2">
      <c r="A331" s="380">
        <f>+SUBTOTAL(3,$G$7:$G331)</f>
        <v>325</v>
      </c>
      <c r="B331" s="374">
        <v>45901</v>
      </c>
      <c r="C331" s="375" t="s">
        <v>42</v>
      </c>
      <c r="D331" s="376" t="str">
        <f>+VLOOKUP(C331,Foundation!$C$8:$D$531,2,FALSE)</f>
        <v>DA+0</v>
      </c>
      <c r="E331" s="376" t="str">
        <f>+VLOOKUP(C331,Foundation!$C$8:$E$495,3,FALSE)</f>
        <v>DFR</v>
      </c>
      <c r="F331" s="358">
        <v>45905</v>
      </c>
      <c r="G331" s="358">
        <v>45912</v>
      </c>
      <c r="H331" s="381" t="s">
        <v>1506</v>
      </c>
      <c r="I331" s="389"/>
      <c r="J331" s="739">
        <f t="shared" ref="J331" si="66">+VLOOKUP(D331,$AB$7:$AC$35,2,FALSE)</f>
        <v>37.504372000000004</v>
      </c>
      <c r="K331" s="381" t="s">
        <v>1415</v>
      </c>
    </row>
    <row r="332" spans="1:11" x14ac:dyDescent="0.2">
      <c r="A332" s="380">
        <f>+SUBTOTAL(3,$G$7:$G332)</f>
        <v>326</v>
      </c>
      <c r="B332" s="374">
        <v>45901</v>
      </c>
      <c r="C332" s="375" t="s">
        <v>737</v>
      </c>
      <c r="D332" s="376" t="str">
        <f>+VLOOKUP(C332,Foundation!$C$8:$D$531,2,FALSE)</f>
        <v>DA+6</v>
      </c>
      <c r="E332" s="376" t="str">
        <f>+VLOOKUP(C332,Foundation!$C$8:$E$495,3,FALSE)</f>
        <v>Sandy</v>
      </c>
      <c r="F332" s="358">
        <v>45907</v>
      </c>
      <c r="G332" s="358">
        <v>45912</v>
      </c>
      <c r="H332" s="381" t="s">
        <v>1399</v>
      </c>
      <c r="I332" s="389"/>
      <c r="J332" s="739">
        <f t="shared" ref="J332" si="67">+VLOOKUP(D332,$AB$7:$AC$35,2,FALSE)</f>
        <v>45.413028000000004</v>
      </c>
      <c r="K332" s="381" t="s">
        <v>1415</v>
      </c>
    </row>
    <row r="333" spans="1:11" x14ac:dyDescent="0.2">
      <c r="A333" s="380">
        <f>+SUBTOTAL(3,$G$7:$G333)</f>
        <v>327</v>
      </c>
      <c r="B333" s="374">
        <v>45901</v>
      </c>
      <c r="C333" s="375" t="s">
        <v>448</v>
      </c>
      <c r="D333" s="376" t="str">
        <f>+VLOOKUP(C333,Foundation!$C$8:$D$531,2,FALSE)</f>
        <v>DA+3</v>
      </c>
      <c r="E333" s="376" t="str">
        <f>+VLOOKUP(C333,Foundation!$C$8:$E$495,3,FALSE)</f>
        <v>Sandy</v>
      </c>
      <c r="F333" s="358">
        <v>45903</v>
      </c>
      <c r="G333" s="358">
        <v>45913</v>
      </c>
      <c r="H333" s="381" t="s">
        <v>1555</v>
      </c>
      <c r="I333" s="389"/>
      <c r="J333" s="739">
        <f t="shared" ref="J333" si="68">+VLOOKUP(D333,$AB$7:$AC$35,2,FALSE)</f>
        <v>38.847605999999992</v>
      </c>
      <c r="K333" s="381" t="s">
        <v>1415</v>
      </c>
    </row>
    <row r="334" spans="1:11" x14ac:dyDescent="0.2">
      <c r="A334" s="380">
        <f>+SUBTOTAL(3,$G$7:$G334)</f>
        <v>328</v>
      </c>
      <c r="B334" s="374">
        <v>45901</v>
      </c>
      <c r="C334" s="375" t="s">
        <v>93</v>
      </c>
      <c r="D334" s="376" t="str">
        <f>+VLOOKUP(C334,Foundation!$C$8:$D$531,2,FALSE)</f>
        <v>DD60+25</v>
      </c>
      <c r="E334" s="376" t="str">
        <f>+VLOOKUP(C334,Foundation!$C$8:$E$495,3,FALSE)</f>
        <v>Sandy</v>
      </c>
      <c r="F334" s="358">
        <v>45899</v>
      </c>
      <c r="G334" s="358">
        <v>45914</v>
      </c>
      <c r="H334" s="381" t="s">
        <v>1509</v>
      </c>
      <c r="I334" s="389"/>
      <c r="J334" s="739">
        <f t="shared" ref="J334" si="69">+VLOOKUP(D334,$AB$7:$AC$35,2,FALSE)</f>
        <v>143.60187300000001</v>
      </c>
      <c r="K334" s="381" t="s">
        <v>1627</v>
      </c>
    </row>
    <row r="335" spans="1:11" x14ac:dyDescent="0.2">
      <c r="A335" s="380">
        <f>+SUBTOTAL(3,$G$7:$G335)</f>
        <v>329</v>
      </c>
      <c r="B335" s="374">
        <v>45901</v>
      </c>
      <c r="C335" s="375" t="s">
        <v>58</v>
      </c>
      <c r="D335" s="376" t="str">
        <f>+VLOOKUP(C335,Foundation!$C$8:$D$531,2,FALSE)</f>
        <v>DA+0</v>
      </c>
      <c r="E335" s="376" t="str">
        <f>+VLOOKUP(C335,Foundation!$C$8:$E$495,3,FALSE)</f>
        <v>DRY</v>
      </c>
      <c r="F335" s="358">
        <v>45907</v>
      </c>
      <c r="G335" s="358">
        <v>45916</v>
      </c>
      <c r="H335" s="381" t="s">
        <v>1535</v>
      </c>
      <c r="I335" s="389"/>
      <c r="J335" s="739">
        <f t="shared" ref="J335:J337" si="70">+VLOOKUP(D335,$AB$7:$AC$35,2,FALSE)</f>
        <v>37.504372000000004</v>
      </c>
      <c r="K335" s="381" t="s">
        <v>1415</v>
      </c>
    </row>
    <row r="336" spans="1:11" x14ac:dyDescent="0.2">
      <c r="A336" s="380">
        <f>+SUBTOTAL(3,$G$7:$G336)</f>
        <v>330</v>
      </c>
      <c r="B336" s="374">
        <v>45901</v>
      </c>
      <c r="C336" s="375" t="s">
        <v>85</v>
      </c>
      <c r="D336" s="376" t="str">
        <f>+VLOOKUP(C336,Foundation!$C$8:$D$531,2,FALSE)</f>
        <v>DA+3</v>
      </c>
      <c r="E336" s="376" t="str">
        <f>+VLOOKUP(C336,Foundation!$C$8:$E$495,3,FALSE)</f>
        <v>Sandy</v>
      </c>
      <c r="F336" s="358">
        <v>45898</v>
      </c>
      <c r="G336" s="358">
        <v>45916</v>
      </c>
      <c r="H336" s="381" t="s">
        <v>594</v>
      </c>
      <c r="I336" s="389"/>
      <c r="J336" s="739">
        <f t="shared" si="70"/>
        <v>38.847605999999992</v>
      </c>
      <c r="K336" s="381" t="s">
        <v>1415</v>
      </c>
    </row>
    <row r="337" spans="1:11" x14ac:dyDescent="0.2">
      <c r="A337" s="380">
        <f>+SUBTOTAL(3,$G$7:$G337)</f>
        <v>331</v>
      </c>
      <c r="B337" s="374">
        <v>45901</v>
      </c>
      <c r="C337" s="375" t="s">
        <v>216</v>
      </c>
      <c r="D337" s="376" t="str">
        <f>+VLOOKUP(C337,Foundation!$C$8:$D$531,2,FALSE)</f>
        <v>DA+6</v>
      </c>
      <c r="E337" s="376" t="str">
        <f>+VLOOKUP(C337,Foundation!$C$8:$E$495,3,FALSE)</f>
        <v>Sandy</v>
      </c>
      <c r="F337" s="358">
        <v>45907</v>
      </c>
      <c r="G337" s="358">
        <v>45916</v>
      </c>
      <c r="H337" s="381" t="s">
        <v>897</v>
      </c>
      <c r="I337" s="389"/>
      <c r="J337" s="739">
        <f t="shared" si="70"/>
        <v>45.413028000000004</v>
      </c>
      <c r="K337" s="381" t="s">
        <v>1415</v>
      </c>
    </row>
    <row r="338" spans="1:11" x14ac:dyDescent="0.2">
      <c r="A338" s="380">
        <f>+SUBTOTAL(3,$G$7:$G338)</f>
        <v>332</v>
      </c>
      <c r="B338" s="374">
        <v>45901</v>
      </c>
      <c r="C338" s="375" t="s">
        <v>735</v>
      </c>
      <c r="D338" s="376" t="str">
        <f>+VLOOKUP(C338,Foundation!$C$8:$D$531,2,FALSE)</f>
        <v>DA+3</v>
      </c>
      <c r="E338" s="376" t="str">
        <f>+VLOOKUP(C338,Foundation!$C$8:$E$495,3,FALSE)</f>
        <v>Sandy</v>
      </c>
      <c r="F338" s="358">
        <v>45913</v>
      </c>
      <c r="G338" s="358">
        <v>45918</v>
      </c>
      <c r="H338" s="381" t="s">
        <v>1399</v>
      </c>
      <c r="I338" s="389"/>
      <c r="J338" s="739">
        <f t="shared" ref="J338" si="71">+VLOOKUP(D338,$AB$7:$AC$35,2,FALSE)</f>
        <v>38.847605999999992</v>
      </c>
      <c r="K338" s="381" t="s">
        <v>1415</v>
      </c>
    </row>
    <row r="339" spans="1:11" x14ac:dyDescent="0.2">
      <c r="A339" s="380">
        <f>+SUBTOTAL(3,$G$7:$G339)</f>
        <v>333</v>
      </c>
      <c r="B339" s="374">
        <v>45901</v>
      </c>
      <c r="C339" s="375" t="s">
        <v>465</v>
      </c>
      <c r="D339" s="376" t="str">
        <f>+VLOOKUP(C339,Foundation!$C$8:$D$531,2,FALSE)</f>
        <v>DA+3</v>
      </c>
      <c r="E339" s="376" t="str">
        <f>+VLOOKUP(C339,Foundation!$C$8:$E$495,3,FALSE)</f>
        <v>DRY</v>
      </c>
      <c r="F339" s="358">
        <v>45912</v>
      </c>
      <c r="G339" s="358">
        <v>45918</v>
      </c>
      <c r="H339" s="381" t="s">
        <v>1604</v>
      </c>
      <c r="I339" s="389"/>
      <c r="J339" s="739">
        <f t="shared" ref="J339" si="72">+VLOOKUP(D339,$AB$7:$AC$35,2,FALSE)</f>
        <v>38.847605999999992</v>
      </c>
      <c r="K339" s="381" t="s">
        <v>1415</v>
      </c>
    </row>
    <row r="340" spans="1:11" x14ac:dyDescent="0.2">
      <c r="A340" s="380">
        <f>+SUBTOTAL(3,$G$7:$G340)</f>
        <v>334</v>
      </c>
      <c r="B340" s="374">
        <v>45901</v>
      </c>
      <c r="C340" s="375" t="s">
        <v>716</v>
      </c>
      <c r="D340" s="376" t="str">
        <f>+VLOOKUP(C340,Foundation!$C$8:$D$531,2,FALSE)</f>
        <v>DA+6</v>
      </c>
      <c r="E340" s="376" t="str">
        <f>+VLOOKUP(C340,Foundation!$C$8:$E$495,3,FALSE)</f>
        <v>Sandy</v>
      </c>
      <c r="F340" s="358">
        <v>45910</v>
      </c>
      <c r="G340" s="358">
        <v>45920</v>
      </c>
      <c r="H340" s="381" t="s">
        <v>895</v>
      </c>
      <c r="I340" s="389"/>
      <c r="J340" s="739">
        <f t="shared" ref="J340:J343" si="73">+VLOOKUP(D340,$AB$7:$AC$35,2,FALSE)</f>
        <v>45.413028000000004</v>
      </c>
      <c r="K340" s="381" t="s">
        <v>1415</v>
      </c>
    </row>
    <row r="341" spans="1:11" x14ac:dyDescent="0.2">
      <c r="A341" s="380">
        <f>+SUBTOTAL(3,$G$7:$G341)</f>
        <v>335</v>
      </c>
      <c r="B341" s="374">
        <v>45901</v>
      </c>
      <c r="C341" s="375" t="s">
        <v>449</v>
      </c>
      <c r="D341" s="376" t="str">
        <f>+VLOOKUP(C341,Foundation!$C$8:$D$531,2,FALSE)</f>
        <v>DA+3</v>
      </c>
      <c r="E341" s="376" t="str">
        <f>+VLOOKUP(C341,Foundation!$C$8:$E$495,3,FALSE)</f>
        <v>Sandy</v>
      </c>
      <c r="F341" s="358">
        <v>45909</v>
      </c>
      <c r="G341" s="358">
        <v>45922</v>
      </c>
      <c r="H341" s="381" t="s">
        <v>1514</v>
      </c>
      <c r="I341" s="389"/>
      <c r="J341" s="739">
        <f t="shared" si="73"/>
        <v>38.847605999999992</v>
      </c>
      <c r="K341" s="381" t="s">
        <v>1415</v>
      </c>
    </row>
    <row r="342" spans="1:11" x14ac:dyDescent="0.2">
      <c r="A342" s="380">
        <f>+SUBTOTAL(3,$G$7:$G342)</f>
        <v>336</v>
      </c>
      <c r="B342" s="374">
        <v>45901</v>
      </c>
      <c r="C342" s="375" t="s">
        <v>528</v>
      </c>
      <c r="D342" s="376" t="str">
        <f>+VLOOKUP(C342,Foundation!$C$8:$D$531,2,FALSE)</f>
        <v>DA+6</v>
      </c>
      <c r="E342" s="376" t="str">
        <f>+VLOOKUP(C342,Foundation!$C$8:$E$495,3,FALSE)</f>
        <v>DFR</v>
      </c>
      <c r="F342" s="358">
        <v>45919</v>
      </c>
      <c r="G342" s="358">
        <v>45922</v>
      </c>
      <c r="H342" s="381" t="s">
        <v>1560</v>
      </c>
      <c r="I342" s="389"/>
      <c r="J342" s="739">
        <f t="shared" si="73"/>
        <v>45.413028000000004</v>
      </c>
      <c r="K342" s="381" t="s">
        <v>1415</v>
      </c>
    </row>
    <row r="343" spans="1:11" x14ac:dyDescent="0.2">
      <c r="A343" s="380">
        <f>+SUBTOTAL(3,$G$7:$G343)</f>
        <v>337</v>
      </c>
      <c r="B343" s="374">
        <v>45901</v>
      </c>
      <c r="C343" s="375" t="s">
        <v>736</v>
      </c>
      <c r="D343" s="376" t="str">
        <f>+VLOOKUP(C343,Foundation!$C$8:$D$531,2,FALSE)</f>
        <v>DA+3</v>
      </c>
      <c r="E343" s="376" t="str">
        <f>+VLOOKUP(C343,Foundation!$C$8:$E$495,3,FALSE)</f>
        <v>Sandy</v>
      </c>
      <c r="F343" s="358">
        <v>45919</v>
      </c>
      <c r="G343" s="358">
        <v>45922</v>
      </c>
      <c r="H343" s="381" t="s">
        <v>1399</v>
      </c>
      <c r="I343" s="389"/>
      <c r="J343" s="739">
        <f t="shared" si="73"/>
        <v>38.847605999999992</v>
      </c>
      <c r="K343" s="381" t="s">
        <v>1415</v>
      </c>
    </row>
    <row r="344" spans="1:11" x14ac:dyDescent="0.2">
      <c r="A344" s="380">
        <f>+SUBTOTAL(3,$G$7:$G344)</f>
        <v>338</v>
      </c>
      <c r="B344" s="374">
        <v>45901</v>
      </c>
      <c r="C344" s="375" t="s">
        <v>569</v>
      </c>
      <c r="D344" s="376" t="str">
        <f>+VLOOKUP(C344,Foundation!$C$8:$D$531,2,FALSE)</f>
        <v>DA+0</v>
      </c>
      <c r="E344" s="376" t="str">
        <f>+VLOOKUP(C344,Foundation!$C$8:$E$495,3,FALSE)</f>
        <v>DRY</v>
      </c>
      <c r="F344" s="358">
        <v>45909</v>
      </c>
      <c r="G344" s="358">
        <v>45922</v>
      </c>
      <c r="H344" s="381" t="s">
        <v>1595</v>
      </c>
      <c r="I344" s="389"/>
      <c r="J344" s="739">
        <f t="shared" ref="J344" si="74">+VLOOKUP(D344,$AB$7:$AC$35,2,FALSE)</f>
        <v>37.504372000000004</v>
      </c>
      <c r="K344" s="381" t="s">
        <v>1415</v>
      </c>
    </row>
    <row r="345" spans="1:11" x14ac:dyDescent="0.2">
      <c r="A345" s="380">
        <f>+SUBTOTAL(3,$G$7:$G345)</f>
        <v>339</v>
      </c>
      <c r="B345" s="374">
        <v>45901</v>
      </c>
      <c r="C345" s="375" t="s">
        <v>198</v>
      </c>
      <c r="D345" s="376" t="str">
        <f>+VLOOKUP(C345,Foundation!$C$8:$D$531,2,FALSE)</f>
        <v>DA+0</v>
      </c>
      <c r="E345" s="376" t="str">
        <f>+VLOOKUP(C345,Foundation!$C$8:$E$495,3,FALSE)</f>
        <v>Sandy</v>
      </c>
      <c r="F345" s="358">
        <v>45910</v>
      </c>
      <c r="G345" s="358">
        <v>45923</v>
      </c>
      <c r="H345" s="381" t="s">
        <v>1558</v>
      </c>
      <c r="I345" s="389"/>
      <c r="J345" s="739">
        <f t="shared" ref="J345" si="75">+VLOOKUP(D345,$AB$7:$AC$35,2,FALSE)</f>
        <v>37.504372000000004</v>
      </c>
      <c r="K345" s="381" t="s">
        <v>1415</v>
      </c>
    </row>
    <row r="346" spans="1:11" x14ac:dyDescent="0.2">
      <c r="A346" s="380">
        <f>+SUBTOTAL(3,$G$7:$G346)</f>
        <v>340</v>
      </c>
      <c r="B346" s="374">
        <v>45901</v>
      </c>
      <c r="C346" s="375" t="s">
        <v>462</v>
      </c>
      <c r="D346" s="376" t="str">
        <f>+VLOOKUP(C346,Foundation!$C$8:$D$531,2,FALSE)</f>
        <v>DA+3</v>
      </c>
      <c r="E346" s="376" t="str">
        <f>+VLOOKUP(C346,Foundation!$C$8:$E$495,3,FALSE)</f>
        <v>DRY</v>
      </c>
      <c r="F346" s="358">
        <v>45912</v>
      </c>
      <c r="G346" s="358">
        <v>45923</v>
      </c>
      <c r="H346" s="381" t="s">
        <v>1391</v>
      </c>
      <c r="I346" s="389"/>
      <c r="J346" s="739">
        <f t="shared" ref="J346" si="76">+VLOOKUP(D346,$AB$7:$AC$35,2,FALSE)</f>
        <v>38.847605999999992</v>
      </c>
      <c r="K346" s="381" t="s">
        <v>1415</v>
      </c>
    </row>
    <row r="347" spans="1:11" x14ac:dyDescent="0.2">
      <c r="A347" s="380">
        <f>+SUBTOTAL(3,$G$7:$G347)</f>
        <v>341</v>
      </c>
      <c r="B347" s="374">
        <v>45901</v>
      </c>
      <c r="C347" s="375" t="s">
        <v>90</v>
      </c>
      <c r="D347" s="376" t="str">
        <f>+VLOOKUP(C347,Foundation!$C$8:$D$531,2,FALSE)</f>
        <v>DD60+25</v>
      </c>
      <c r="E347" s="376" t="str">
        <f>+VLOOKUP(C347,Foundation!$C$8:$E$495,3,FALSE)</f>
        <v>Sandy</v>
      </c>
      <c r="F347" s="358">
        <v>45909</v>
      </c>
      <c r="G347" s="358">
        <v>45925</v>
      </c>
      <c r="H347" s="381" t="s">
        <v>894</v>
      </c>
      <c r="I347" s="389"/>
      <c r="J347" s="739">
        <f t="shared" ref="J347" si="77">+VLOOKUP(D347,$AB$7:$AC$35,2,FALSE)</f>
        <v>143.60187300000001</v>
      </c>
      <c r="K347" s="381" t="s">
        <v>1627</v>
      </c>
    </row>
    <row r="348" spans="1:11" x14ac:dyDescent="0.2">
      <c r="A348" s="380">
        <f>+SUBTOTAL(3,$G$7:$G348)</f>
        <v>342</v>
      </c>
      <c r="B348" s="374">
        <v>45901</v>
      </c>
      <c r="C348" s="375" t="s">
        <v>191</v>
      </c>
      <c r="D348" s="376" t="str">
        <f>+VLOOKUP(C348,Foundation!$C$8:$D$531,2,FALSE)</f>
        <v>DA+3</v>
      </c>
      <c r="E348" s="376" t="str">
        <f>+VLOOKUP(C348,Foundation!$C$8:$E$495,3,FALSE)</f>
        <v>DRY</v>
      </c>
      <c r="F348" s="358">
        <v>45898</v>
      </c>
      <c r="G348" s="358">
        <v>45926</v>
      </c>
      <c r="H348" s="381" t="s">
        <v>1515</v>
      </c>
      <c r="I348" s="389"/>
      <c r="J348" s="739">
        <f t="shared" ref="J348" si="78">+VLOOKUP(D348,$AB$7:$AC$35,2,FALSE)</f>
        <v>38.847605999999992</v>
      </c>
      <c r="K348" s="381" t="s">
        <v>1415</v>
      </c>
    </row>
    <row r="349" spans="1:11" x14ac:dyDescent="0.2">
      <c r="A349" s="380">
        <f>+SUBTOTAL(3,$G$7:$G349)</f>
        <v>343</v>
      </c>
      <c r="B349" s="374">
        <v>45901</v>
      </c>
      <c r="C349" s="375" t="s">
        <v>30</v>
      </c>
      <c r="D349" s="376" t="str">
        <f>+VLOOKUP(C349,Foundation!$C$8:$D$531,2,FALSE)</f>
        <v>DB2+0</v>
      </c>
      <c r="E349" s="376" t="str">
        <f>+VLOOKUP(C349,Foundation!$C$8:$E$495,3,FALSE)</f>
        <v>Sandy</v>
      </c>
      <c r="F349" s="358">
        <v>45916</v>
      </c>
      <c r="G349" s="358">
        <v>45927</v>
      </c>
      <c r="H349" s="381" t="s">
        <v>594</v>
      </c>
      <c r="I349" s="389"/>
      <c r="J349" s="739">
        <f t="shared" ref="J349:J350" si="79">+VLOOKUP(D349,$AB$7:$AC$35,2,FALSE)</f>
        <v>57.597240999999997</v>
      </c>
      <c r="K349" s="381" t="s">
        <v>1415</v>
      </c>
    </row>
    <row r="350" spans="1:11" x14ac:dyDescent="0.2">
      <c r="A350" s="380">
        <f>+SUBTOTAL(3,$G$7:$G350)</f>
        <v>344</v>
      </c>
      <c r="B350" s="374">
        <v>45901</v>
      </c>
      <c r="C350" s="375" t="s">
        <v>88</v>
      </c>
      <c r="D350" s="376" t="str">
        <f>+VLOOKUP(C350,Foundation!$C$8:$D$531,2,FALSE)</f>
        <v>DB2+0</v>
      </c>
      <c r="E350" s="376" t="str">
        <f>+VLOOKUP(C350,Foundation!$C$8:$E$495,3,FALSE)</f>
        <v>Sandy</v>
      </c>
      <c r="F350" s="358">
        <v>45916</v>
      </c>
      <c r="G350" s="358">
        <v>45927</v>
      </c>
      <c r="H350" s="381" t="s">
        <v>897</v>
      </c>
      <c r="I350" s="389"/>
      <c r="J350" s="739">
        <f t="shared" si="79"/>
        <v>57.597240999999997</v>
      </c>
      <c r="K350" s="381" t="s">
        <v>1415</v>
      </c>
    </row>
    <row r="351" spans="1:11" x14ac:dyDescent="0.2">
      <c r="A351" s="380">
        <f>+SUBTOTAL(3,$G$7:$G351)</f>
        <v>345</v>
      </c>
      <c r="B351" s="374">
        <v>45901</v>
      </c>
      <c r="C351" s="375" t="s">
        <v>31</v>
      </c>
      <c r="D351" s="376" t="str">
        <f>+VLOOKUP(C351,Foundation!$C$8:$D$531,2,FALSE)</f>
        <v>DB2+0</v>
      </c>
      <c r="E351" s="376" t="str">
        <f>+VLOOKUP(C351,Foundation!$C$8:$E$495,3,FALSE)</f>
        <v>Sandy</v>
      </c>
      <c r="F351" s="358">
        <v>45920</v>
      </c>
      <c r="G351" s="358">
        <v>45929</v>
      </c>
      <c r="H351" s="381" t="s">
        <v>1606</v>
      </c>
      <c r="I351" s="389"/>
      <c r="J351" s="739">
        <f t="shared" ref="J351" si="80">+VLOOKUP(D351,$AB$7:$AC$35,2,FALSE)</f>
        <v>57.597240999999997</v>
      </c>
      <c r="K351" s="381" t="s">
        <v>1415</v>
      </c>
    </row>
    <row r="352" spans="1:11" x14ac:dyDescent="0.2">
      <c r="A352" s="380">
        <f>+SUBTOTAL(3,$G$7:$G352)</f>
        <v>346</v>
      </c>
      <c r="B352" s="374">
        <v>45901</v>
      </c>
      <c r="C352" s="375" t="s">
        <v>686</v>
      </c>
      <c r="D352" s="376" t="str">
        <f>+VLOOKUP(C352,Foundation!$C$8:$D$531,2,FALSE)</f>
        <v>DA+0</v>
      </c>
      <c r="E352" s="376" t="str">
        <f>+VLOOKUP(C352,Foundation!$C$8:$E$495,3,FALSE)</f>
        <v>Sandy</v>
      </c>
      <c r="F352" s="358">
        <v>45907</v>
      </c>
      <c r="G352" s="358">
        <v>45929</v>
      </c>
      <c r="H352" s="381" t="s">
        <v>1608</v>
      </c>
      <c r="I352" s="389"/>
      <c r="J352" s="739">
        <f t="shared" ref="J352:J353" si="81">+VLOOKUP(D352,$AB$7:$AC$35,2,FALSE)</f>
        <v>37.504372000000004</v>
      </c>
      <c r="K352" s="381" t="s">
        <v>1415</v>
      </c>
    </row>
    <row r="353" spans="1:13" x14ac:dyDescent="0.2">
      <c r="A353" s="380">
        <f>+SUBTOTAL(3,$G$7:$G353)</f>
        <v>347</v>
      </c>
      <c r="B353" s="374">
        <v>45901</v>
      </c>
      <c r="C353" s="375" t="s">
        <v>94</v>
      </c>
      <c r="D353" s="376" t="str">
        <f>+VLOOKUP(C353,Foundation!$C$8:$D$531,2,FALSE)</f>
        <v>DD60+25</v>
      </c>
      <c r="E353" s="376" t="str">
        <f>+VLOOKUP(C353,Foundation!$C$8:$E$495,3,FALSE)</f>
        <v>Sandy</v>
      </c>
      <c r="F353" s="358">
        <v>45915</v>
      </c>
      <c r="G353" s="358">
        <v>45929</v>
      </c>
      <c r="H353" s="381" t="s">
        <v>1509</v>
      </c>
      <c r="I353" s="389"/>
      <c r="J353" s="739">
        <f t="shared" si="81"/>
        <v>143.60187300000001</v>
      </c>
      <c r="K353" s="381" t="s">
        <v>1627</v>
      </c>
    </row>
    <row r="354" spans="1:13" x14ac:dyDescent="0.2">
      <c r="A354" s="380">
        <f>+SUBTOTAL(3,$G$7:$G354)</f>
        <v>348</v>
      </c>
      <c r="B354" s="374">
        <v>45901</v>
      </c>
      <c r="C354" s="375" t="s">
        <v>715</v>
      </c>
      <c r="D354" s="376" t="str">
        <f>+VLOOKUP(C354,Foundation!$C$8:$D$531,2,FALSE)</f>
        <v>DA+6</v>
      </c>
      <c r="E354" s="376" t="str">
        <f>+VLOOKUP(C354,Foundation!$C$8:$E$495,3,FALSE)</f>
        <v>Sandy</v>
      </c>
      <c r="F354" s="358">
        <v>45920</v>
      </c>
      <c r="G354" s="358">
        <v>45930</v>
      </c>
      <c r="H354" s="381" t="s">
        <v>895</v>
      </c>
      <c r="I354" s="389"/>
      <c r="J354" s="739">
        <f t="shared" ref="J354:J356" si="82">+VLOOKUP(D354,$AB$7:$AC$35,2,FALSE)</f>
        <v>45.413028000000004</v>
      </c>
      <c r="K354" s="381" t="s">
        <v>1415</v>
      </c>
    </row>
    <row r="355" spans="1:13" x14ac:dyDescent="0.2">
      <c r="A355" s="380">
        <f>+SUBTOTAL(3,$G$7:$G355)</f>
        <v>349</v>
      </c>
      <c r="B355" s="374">
        <v>45901</v>
      </c>
      <c r="C355" s="375" t="s">
        <v>734</v>
      </c>
      <c r="D355" s="376" t="str">
        <f>+VLOOKUP(C355,Foundation!$C$8:$D$531,2,FALSE)</f>
        <v>DB1+6</v>
      </c>
      <c r="E355" s="376" t="str">
        <f>+VLOOKUP(C355,Foundation!$C$8:$E$495,3,FALSE)</f>
        <v>Sandy</v>
      </c>
      <c r="F355" s="358">
        <v>45922</v>
      </c>
      <c r="G355" s="358">
        <v>45930</v>
      </c>
      <c r="H355" s="381" t="s">
        <v>1399</v>
      </c>
      <c r="I355" s="389"/>
      <c r="J355" s="739">
        <f t="shared" si="82"/>
        <v>67.873650999999995</v>
      </c>
      <c r="K355" s="381" t="s">
        <v>1415</v>
      </c>
    </row>
    <row r="356" spans="1:13" x14ac:dyDescent="0.2">
      <c r="A356" s="380">
        <f>+SUBTOTAL(3,$G$7:$G356)</f>
        <v>350</v>
      </c>
      <c r="B356" s="374">
        <v>45901</v>
      </c>
      <c r="C356" s="375" t="s">
        <v>526</v>
      </c>
      <c r="D356" s="376" t="str">
        <f>+VLOOKUP(C356,Foundation!$C$8:$D$531,2,FALSE)</f>
        <v>DA+6</v>
      </c>
      <c r="E356" s="376" t="str">
        <f>+VLOOKUP(C356,Foundation!$C$8:$E$495,3,FALSE)</f>
        <v>Sandy</v>
      </c>
      <c r="F356" s="358">
        <v>45910</v>
      </c>
      <c r="G356" s="358">
        <v>45930</v>
      </c>
      <c r="H356" s="381" t="s">
        <v>1597</v>
      </c>
      <c r="I356" s="389"/>
      <c r="J356" s="739">
        <f t="shared" si="82"/>
        <v>45.413028000000004</v>
      </c>
      <c r="K356" s="381" t="s">
        <v>1415</v>
      </c>
    </row>
    <row r="357" spans="1:13" x14ac:dyDescent="0.2">
      <c r="A357" s="380">
        <f>+SUBTOTAL(3,$G$7:$G357)</f>
        <v>351</v>
      </c>
      <c r="B357" s="374">
        <v>45931</v>
      </c>
      <c r="C357" s="375" t="s">
        <v>461</v>
      </c>
      <c r="D357" s="376" t="str">
        <f>+VLOOKUP(C357,Foundation!$C$8:$D$531,2,FALSE)</f>
        <v>DA+0</v>
      </c>
      <c r="E357" s="376" t="str">
        <f>+VLOOKUP(C357,Foundation!$C$8:$E$495,3,FALSE)</f>
        <v>DFR</v>
      </c>
      <c r="F357" s="358">
        <v>45925</v>
      </c>
      <c r="G357" s="358">
        <v>45933</v>
      </c>
      <c r="H357" s="381" t="s">
        <v>1555</v>
      </c>
      <c r="I357" s="389"/>
      <c r="J357" s="739">
        <f t="shared" ref="J357" si="83">+VLOOKUP(D357,$AB$7:$AC$35,2,FALSE)</f>
        <v>37.504372000000004</v>
      </c>
      <c r="K357" s="381" t="s">
        <v>1415</v>
      </c>
    </row>
    <row r="358" spans="1:13" x14ac:dyDescent="0.2">
      <c r="A358" s="380">
        <f>+SUBTOTAL(3,$G$7:$G358)</f>
        <v>352</v>
      </c>
      <c r="B358" s="374">
        <v>45931</v>
      </c>
      <c r="C358" s="375" t="s">
        <v>215</v>
      </c>
      <c r="D358" s="376" t="str">
        <f>+VLOOKUP(C358,Foundation!$C$8:$D$531,2,FALSE)</f>
        <v>DA+0</v>
      </c>
      <c r="E358" s="376" t="str">
        <f>+VLOOKUP(C358,Foundation!$C$8:$E$495,3,FALSE)</f>
        <v>Sandy</v>
      </c>
      <c r="F358" s="358">
        <v>45927</v>
      </c>
      <c r="G358" s="358">
        <v>45936</v>
      </c>
      <c r="H358" s="381" t="s">
        <v>594</v>
      </c>
      <c r="I358" s="389"/>
      <c r="J358" s="739">
        <f t="shared" ref="J358" si="84">+VLOOKUP(D358,$AB$7:$AC$35,2,FALSE)</f>
        <v>37.504372000000004</v>
      </c>
      <c r="K358" s="381" t="s">
        <v>1415</v>
      </c>
    </row>
    <row r="359" spans="1:13" x14ac:dyDescent="0.2">
      <c r="A359" s="380">
        <f>+SUBTOTAL(3,$G$7:$G359)</f>
        <v>353</v>
      </c>
      <c r="B359" s="374">
        <v>45931</v>
      </c>
      <c r="C359" s="375" t="s">
        <v>565</v>
      </c>
      <c r="D359" s="376" t="str">
        <f>+VLOOKUP(C359,Foundation!$C$8:$D$531,2,FALSE)</f>
        <v>DA+0</v>
      </c>
      <c r="E359" s="376" t="str">
        <f>+VLOOKUP(C359,Foundation!$C$8:$E$495,3,FALSE)</f>
        <v>Sandy</v>
      </c>
      <c r="F359" s="358">
        <v>45922</v>
      </c>
      <c r="G359" s="358">
        <v>45937</v>
      </c>
      <c r="H359" s="381" t="s">
        <v>1595</v>
      </c>
      <c r="I359" s="389"/>
      <c r="J359" s="739">
        <f t="shared" ref="J359" si="85">+VLOOKUP(D359,$AB$7:$AC$35,2,FALSE)</f>
        <v>37.504372000000004</v>
      </c>
      <c r="K359" s="381" t="s">
        <v>1415</v>
      </c>
    </row>
    <row r="360" spans="1:13" x14ac:dyDescent="0.2">
      <c r="A360" s="380">
        <f>+SUBTOTAL(3,$G$7:$G360)</f>
        <v>354</v>
      </c>
      <c r="B360" s="374">
        <v>45931</v>
      </c>
      <c r="C360" s="375" t="s">
        <v>543</v>
      </c>
      <c r="D360" s="376" t="str">
        <f>+VLOOKUP(C360,Foundation!$C$8:$D$531,2,FALSE)</f>
        <v>DC2+0</v>
      </c>
      <c r="E360" s="376" t="str">
        <f>+VLOOKUP(C360,Foundation!$C$8:$E$495,3,FALSE)</f>
        <v>Sandy</v>
      </c>
      <c r="F360" s="358">
        <v>45929</v>
      </c>
      <c r="G360" s="358">
        <v>45938</v>
      </c>
      <c r="H360" s="381" t="s">
        <v>1509</v>
      </c>
      <c r="I360" s="389"/>
      <c r="J360" s="739">
        <f t="shared" ref="J360" si="86">+VLOOKUP(D360,$AB$7:$AC$35,2,FALSE)</f>
        <v>66.381106999999986</v>
      </c>
      <c r="K360" s="381" t="s">
        <v>1415</v>
      </c>
    </row>
    <row r="361" spans="1:13" x14ac:dyDescent="0.2">
      <c r="A361" s="380">
        <f>+SUBTOTAL(3,$G$7:$G361)</f>
        <v>355</v>
      </c>
      <c r="B361" s="374">
        <v>45931</v>
      </c>
      <c r="C361" s="375" t="s">
        <v>468</v>
      </c>
      <c r="D361" s="376" t="str">
        <f>+VLOOKUP(C361,Foundation!$C$8:$D$531,2,FALSE)</f>
        <v>DA+0</v>
      </c>
      <c r="E361" s="376" t="str">
        <f>+VLOOKUP(C361,Foundation!$C$8:$E$495,3,FALSE)</f>
        <v>DRY</v>
      </c>
      <c r="F361" s="358">
        <v>45933</v>
      </c>
      <c r="G361" s="358">
        <v>45940</v>
      </c>
      <c r="H361" s="381" t="s">
        <v>1514</v>
      </c>
      <c r="I361" s="389"/>
      <c r="J361" s="739">
        <f t="shared" ref="J361" si="87">+VLOOKUP(D361,$AB$7:$AC$35,2,FALSE)</f>
        <v>37.504372000000004</v>
      </c>
      <c r="K361" s="381" t="s">
        <v>1415</v>
      </c>
    </row>
    <row r="362" spans="1:13" x14ac:dyDescent="0.2">
      <c r="A362" s="380">
        <f>+SUBTOTAL(3,$G$7:$G362)</f>
        <v>356</v>
      </c>
      <c r="B362" s="374">
        <v>45931</v>
      </c>
      <c r="C362" s="375" t="s">
        <v>740</v>
      </c>
      <c r="D362" s="376" t="str">
        <f>+VLOOKUP(C362,Foundation!$C$8:$D$531,2,FALSE)</f>
        <v>DB1+6</v>
      </c>
      <c r="E362" s="376" t="str">
        <f>+VLOOKUP(C362,Foundation!$C$8:$E$495,3,FALSE)</f>
        <v>Sandy</v>
      </c>
      <c r="F362" s="358">
        <v>45930</v>
      </c>
      <c r="G362" s="358">
        <v>45941</v>
      </c>
      <c r="H362" s="381" t="s">
        <v>1399</v>
      </c>
      <c r="I362" s="389"/>
      <c r="J362" s="739">
        <f t="shared" ref="J362" si="88">+VLOOKUP(D362,$AB$7:$AC$35,2,FALSE)</f>
        <v>67.873650999999995</v>
      </c>
      <c r="K362" s="381" t="s">
        <v>1415</v>
      </c>
    </row>
    <row r="363" spans="1:13" x14ac:dyDescent="0.2">
      <c r="A363" s="380">
        <f>+SUBTOTAL(3,$G$7:$G363)</f>
        <v>357</v>
      </c>
      <c r="B363" s="374">
        <v>45931</v>
      </c>
      <c r="C363" s="375" t="s">
        <v>200</v>
      </c>
      <c r="D363" s="376" t="str">
        <f>+VLOOKUP(C363,Foundation!$C$8:$D$531,2,FALSE)</f>
        <v>DA+0</v>
      </c>
      <c r="E363" s="376" t="str">
        <f>+VLOOKUP(C363,Foundation!$C$8:$E$495,3,FALSE)</f>
        <v>Sandy</v>
      </c>
      <c r="F363" s="358">
        <v>45930</v>
      </c>
      <c r="G363" s="358">
        <v>45942</v>
      </c>
      <c r="H363" s="381" t="s">
        <v>895</v>
      </c>
      <c r="I363" s="389"/>
      <c r="J363" s="739">
        <f t="shared" ref="J363" si="89">+VLOOKUP(D363,$AB$7:$AC$35,2,FALSE)</f>
        <v>37.504372000000004</v>
      </c>
      <c r="K363" s="381" t="s">
        <v>1415</v>
      </c>
    </row>
    <row r="364" spans="1:13" x14ac:dyDescent="0.2">
      <c r="A364" s="380">
        <f>+SUBTOTAL(3,$G$7:$G364)</f>
        <v>358</v>
      </c>
      <c r="B364" s="374">
        <v>45931</v>
      </c>
      <c r="C364" s="375" t="s">
        <v>214</v>
      </c>
      <c r="D364" s="376" t="str">
        <f>+VLOOKUP(C364,Foundation!$C$8:$D$531,2,FALSE)</f>
        <v>DA+0</v>
      </c>
      <c r="E364" s="376" t="str">
        <f>+VLOOKUP(C364,Foundation!$C$8:$E$495,3,FALSE)</f>
        <v>DRY</v>
      </c>
      <c r="F364" s="358">
        <v>45937</v>
      </c>
      <c r="G364" s="358">
        <v>45943</v>
      </c>
      <c r="H364" s="381" t="s">
        <v>594</v>
      </c>
      <c r="I364" s="389"/>
      <c r="J364" s="739">
        <f t="shared" ref="J364" si="90">+VLOOKUP(D364,$AB$7:$AC$35,2,FALSE)</f>
        <v>37.504372000000004</v>
      </c>
      <c r="K364" s="381" t="s">
        <v>1415</v>
      </c>
    </row>
    <row r="365" spans="1:13" x14ac:dyDescent="0.2">
      <c r="A365" s="380">
        <f>+SUBTOTAL(3,$G$7:$G365)</f>
        <v>359</v>
      </c>
      <c r="B365" s="374">
        <v>45931</v>
      </c>
      <c r="C365" s="375" t="s">
        <v>742</v>
      </c>
      <c r="D365" s="376" t="str">
        <f>+VLOOKUP(C365,Foundation!$C$8:$D$531,2,FALSE)</f>
        <v>DA+0</v>
      </c>
      <c r="E365" s="376" t="str">
        <f>+VLOOKUP(C365,Foundation!$C$8:$E$495,3,FALSE)</f>
        <v>WFR</v>
      </c>
      <c r="F365" s="358">
        <v>45942</v>
      </c>
      <c r="G365" s="358">
        <v>45944</v>
      </c>
      <c r="H365" s="381" t="s">
        <v>1399</v>
      </c>
      <c r="I365" s="389"/>
      <c r="J365" s="739">
        <f t="shared" ref="J365" si="91">+VLOOKUP(D365,$AB$7:$AC$35,2,FALSE)</f>
        <v>37.504372000000004</v>
      </c>
      <c r="K365" s="381" t="s">
        <v>1415</v>
      </c>
    </row>
    <row r="366" spans="1:13" s="577" customFormat="1" x14ac:dyDescent="0.2">
      <c r="A366" s="748">
        <f>+SUBTOTAL(3,$G$7:$G366)</f>
        <v>360</v>
      </c>
      <c r="B366" s="749">
        <v>45931</v>
      </c>
      <c r="C366" s="757" t="s">
        <v>535</v>
      </c>
      <c r="D366" s="750" t="str">
        <f>+VLOOKUP(C366,Foundation!$C$8:$D$531,2,FALSE)</f>
        <v>DA+9</v>
      </c>
      <c r="E366" s="750" t="str">
        <f>+VLOOKUP(C366,Foundation!$C$8:$E$495,3,FALSE)</f>
        <v>Sandy</v>
      </c>
      <c r="F366" s="751">
        <v>45940</v>
      </c>
      <c r="G366" s="751">
        <v>45947</v>
      </c>
      <c r="H366" s="752" t="s">
        <v>897</v>
      </c>
      <c r="I366" s="753"/>
      <c r="J366" s="754">
        <f t="shared" ref="J366" si="92">+VLOOKUP(D366,$AB$7:$AC$35,2,FALSE)</f>
        <v>47.184350000000002</v>
      </c>
      <c r="K366" s="752" t="s">
        <v>1415</v>
      </c>
      <c r="M366" s="755"/>
    </row>
    <row r="367" spans="1:13" x14ac:dyDescent="0.2">
      <c r="A367" s="380">
        <f>+SUBTOTAL(3,$G$7:$G367)</f>
        <v>361</v>
      </c>
      <c r="B367" s="374">
        <v>45931</v>
      </c>
      <c r="C367" s="375" t="s">
        <v>541</v>
      </c>
      <c r="D367" s="376" t="str">
        <f>+VLOOKUP(C367,Foundation!$C$8:$D$531,2,FALSE)</f>
        <v>DB2+6</v>
      </c>
      <c r="E367" s="376" t="str">
        <f>+VLOOKUP(C367,Foundation!$C$8:$E$495,3,FALSE)</f>
        <v>Sandy</v>
      </c>
      <c r="F367" s="358">
        <v>45944</v>
      </c>
      <c r="G367" s="358">
        <v>45948</v>
      </c>
      <c r="H367" s="381" t="s">
        <v>1509</v>
      </c>
      <c r="I367" s="389"/>
      <c r="J367" s="739">
        <f t="shared" ref="J367:J368" si="93">+VLOOKUP(D367,$AB$7:$AC$35,2,FALSE)</f>
        <v>67.873650999999995</v>
      </c>
      <c r="K367" s="381" t="s">
        <v>1415</v>
      </c>
    </row>
    <row r="368" spans="1:13" x14ac:dyDescent="0.2">
      <c r="A368" s="380">
        <f>+SUBTOTAL(3,$G$7:$G368)</f>
        <v>362</v>
      </c>
      <c r="B368" s="374">
        <v>45931</v>
      </c>
      <c r="C368" s="375" t="s">
        <v>89</v>
      </c>
      <c r="D368" s="376" t="str">
        <f>+VLOOKUP(C368,Foundation!$C$8:$D$531,2,FALSE)</f>
        <v>DD60+25</v>
      </c>
      <c r="E368" s="376" t="str">
        <f>+VLOOKUP(C368,Foundation!$C$8:$E$495,3,FALSE)</f>
        <v>Sandy</v>
      </c>
      <c r="F368" s="358">
        <v>45929</v>
      </c>
      <c r="G368" s="358">
        <v>45948</v>
      </c>
      <c r="H368" s="381" t="s">
        <v>894</v>
      </c>
      <c r="I368" s="389"/>
      <c r="J368" s="739">
        <f t="shared" si="93"/>
        <v>143.60187300000001</v>
      </c>
      <c r="K368" s="381" t="s">
        <v>1415</v>
      </c>
    </row>
    <row r="369" spans="1:11" x14ac:dyDescent="0.2">
      <c r="A369" s="380">
        <f>+SUBTOTAL(3,$G$7:$G369)</f>
        <v>363</v>
      </c>
      <c r="B369" s="374">
        <v>45931</v>
      </c>
      <c r="C369" s="375" t="s">
        <v>212</v>
      </c>
      <c r="D369" s="376" t="str">
        <f>+VLOOKUP(C369,Foundation!$C$8:$D$531,2,FALSE)</f>
        <v>DB1+0</v>
      </c>
      <c r="E369" s="376" t="str">
        <f>+VLOOKUP(C369,Foundation!$C$8:$E$495,3,FALSE)</f>
        <v>Sandy</v>
      </c>
      <c r="F369" s="358">
        <v>45944</v>
      </c>
      <c r="G369" s="358">
        <v>45952</v>
      </c>
      <c r="H369" s="381" t="s">
        <v>594</v>
      </c>
      <c r="I369" s="389"/>
      <c r="J369" s="739">
        <f t="shared" ref="J369:J370" si="94">+VLOOKUP(D369,$AB$7:$AC$35,2,FALSE)</f>
        <v>57.597240999999997</v>
      </c>
      <c r="K369" s="381" t="s">
        <v>1415</v>
      </c>
    </row>
    <row r="370" spans="1:11" x14ac:dyDescent="0.2">
      <c r="A370" s="380">
        <f>+SUBTOTAL(3,$G$7:$G370)</f>
        <v>364</v>
      </c>
      <c r="B370" s="374">
        <v>45931</v>
      </c>
      <c r="C370" s="375" t="s">
        <v>542</v>
      </c>
      <c r="D370" s="376" t="str">
        <f>+VLOOKUP(C370,Foundation!$C$8:$D$531,2,FALSE)</f>
        <v>DA+0</v>
      </c>
      <c r="E370" s="376" t="str">
        <f>+VLOOKUP(C370,Foundation!$C$8:$E$495,3,FALSE)</f>
        <v>Sandy</v>
      </c>
      <c r="F370" s="358">
        <v>45948</v>
      </c>
      <c r="G370" s="358">
        <v>45952</v>
      </c>
      <c r="H370" s="381" t="s">
        <v>1509</v>
      </c>
      <c r="I370" s="389"/>
      <c r="J370" s="739">
        <f t="shared" si="94"/>
        <v>37.504372000000004</v>
      </c>
      <c r="K370" s="381" t="s">
        <v>1415</v>
      </c>
    </row>
    <row r="371" spans="1:11" x14ac:dyDescent="0.2">
      <c r="A371" s="380">
        <f>+SUBTOTAL(3,$G$7:$G371)</f>
        <v>365</v>
      </c>
      <c r="B371" s="374">
        <v>45931</v>
      </c>
      <c r="C371" s="375" t="s">
        <v>199</v>
      </c>
      <c r="D371" s="376" t="str">
        <f>+VLOOKUP(C371,Foundation!$C$8:$D$531,2,FALSE)</f>
        <v>DA+6</v>
      </c>
      <c r="E371" s="376" t="str">
        <f>+VLOOKUP(C371,Foundation!$C$8:$E$495,3,FALSE)</f>
        <v>DRY</v>
      </c>
      <c r="F371" s="358">
        <v>45943</v>
      </c>
      <c r="G371" s="358">
        <v>45953</v>
      </c>
      <c r="H371" s="381" t="s">
        <v>895</v>
      </c>
      <c r="I371" s="389"/>
      <c r="J371" s="739">
        <f t="shared" ref="J371" si="95">+VLOOKUP(D371,$AB$7:$AC$35,2,FALSE)</f>
        <v>45.413028000000004</v>
      </c>
      <c r="K371" s="381" t="s">
        <v>1415</v>
      </c>
    </row>
    <row r="372" spans="1:11" x14ac:dyDescent="0.2">
      <c r="A372" s="380">
        <f>+SUBTOTAL(3,$G$7:$G372)</f>
        <v>366</v>
      </c>
      <c r="B372" s="374">
        <v>45931</v>
      </c>
      <c r="C372" s="375" t="s">
        <v>217</v>
      </c>
      <c r="D372" s="376" t="str">
        <f>+VLOOKUP(C372,Foundation!$C$8:$D$531,2,FALSE)</f>
        <v>DA+3</v>
      </c>
      <c r="E372" s="376" t="str">
        <f>+VLOOKUP(C372,Foundation!$C$8:$E$495,3,FALSE)</f>
        <v>Sandy</v>
      </c>
      <c r="F372" s="358">
        <v>45948</v>
      </c>
      <c r="G372" s="358">
        <v>45954</v>
      </c>
      <c r="H372" s="381" t="s">
        <v>897</v>
      </c>
      <c r="I372" s="389"/>
      <c r="J372" s="739">
        <f t="shared" ref="J372:J373" si="96">+VLOOKUP(D372,$AB$7:$AC$35,2,FALSE)</f>
        <v>38.847605999999992</v>
      </c>
      <c r="K372" s="381" t="s">
        <v>1415</v>
      </c>
    </row>
    <row r="373" spans="1:11" x14ac:dyDescent="0.2">
      <c r="A373" s="380">
        <f>+SUBTOTAL(3,$G$7:$G373)</f>
        <v>367</v>
      </c>
      <c r="B373" s="374">
        <v>45931</v>
      </c>
      <c r="C373" s="375" t="s">
        <v>481</v>
      </c>
      <c r="D373" s="376" t="str">
        <f>+VLOOKUP(C373,Foundation!$C$8:$D$531,2,FALSE)</f>
        <v>DA+0</v>
      </c>
      <c r="E373" s="376" t="str">
        <f>+VLOOKUP(C373,Foundation!$C$8:$E$495,3,FALSE)</f>
        <v>Sandy</v>
      </c>
      <c r="F373" s="358">
        <v>45947</v>
      </c>
      <c r="G373" s="358">
        <v>45954</v>
      </c>
      <c r="H373" s="381" t="s">
        <v>1703</v>
      </c>
      <c r="I373" s="389"/>
      <c r="J373" s="739">
        <f t="shared" si="96"/>
        <v>37.504372000000004</v>
      </c>
      <c r="K373" s="381" t="s">
        <v>1415</v>
      </c>
    </row>
    <row r="374" spans="1:11" x14ac:dyDescent="0.2">
      <c r="A374" s="380">
        <f>+SUBTOTAL(3,$G$7:$G374)</f>
        <v>368</v>
      </c>
      <c r="B374" s="374">
        <v>45931</v>
      </c>
      <c r="C374" s="375" t="s">
        <v>29</v>
      </c>
      <c r="D374" s="376" t="str">
        <f>+VLOOKUP(C374,Foundation!$C$8:$D$531,2,FALSE)</f>
        <v>DB2+6</v>
      </c>
      <c r="E374" s="376" t="str">
        <f>+VLOOKUP(C374,Foundation!$C$8:$E$495,3,FALSE)</f>
        <v>Sandy</v>
      </c>
      <c r="F374" s="358">
        <v>45946</v>
      </c>
      <c r="G374" s="358">
        <v>45956</v>
      </c>
      <c r="H374" s="381" t="s">
        <v>896</v>
      </c>
      <c r="I374" s="389"/>
      <c r="J374" s="739">
        <f t="shared" ref="J374:J376" si="97">+VLOOKUP(D374,$AB$7:$AC$35,2,FALSE)</f>
        <v>67.873650999999995</v>
      </c>
      <c r="K374" s="381" t="s">
        <v>1415</v>
      </c>
    </row>
    <row r="375" spans="1:11" x14ac:dyDescent="0.2">
      <c r="A375" s="380">
        <f>+SUBTOTAL(3,$G$7:$G375)</f>
        <v>369</v>
      </c>
      <c r="B375" s="374">
        <v>45931</v>
      </c>
      <c r="C375" s="375" t="s">
        <v>540</v>
      </c>
      <c r="D375" s="376" t="str">
        <f>+VLOOKUP(C375,Foundation!$C$8:$D$531,2,FALSE)</f>
        <v>DA+9</v>
      </c>
      <c r="E375" s="376" t="str">
        <f>+VLOOKUP(C375,Foundation!$C$8:$E$495,3,FALSE)</f>
        <v>Sandy</v>
      </c>
      <c r="F375" s="358">
        <v>45952</v>
      </c>
      <c r="G375" s="358">
        <v>45956</v>
      </c>
      <c r="H375" s="381" t="s">
        <v>1509</v>
      </c>
      <c r="I375" s="389"/>
      <c r="J375" s="739">
        <f t="shared" si="97"/>
        <v>47.184350000000002</v>
      </c>
      <c r="K375" s="381" t="s">
        <v>1415</v>
      </c>
    </row>
    <row r="376" spans="1:11" x14ac:dyDescent="0.2">
      <c r="A376" s="380">
        <f>+SUBTOTAL(3,$G$7:$G376)</f>
        <v>370</v>
      </c>
      <c r="B376" s="374">
        <v>45931</v>
      </c>
      <c r="C376" s="375" t="s">
        <v>558</v>
      </c>
      <c r="D376" s="376" t="str">
        <f>+VLOOKUP(C376,Foundation!$C$8:$D$531,2,FALSE)</f>
        <v>DA+0</v>
      </c>
      <c r="E376" s="376" t="str">
        <f>+VLOOKUP(C376,Foundation!$C$8:$E$495,3,FALSE)</f>
        <v>Sandy</v>
      </c>
      <c r="F376" s="358">
        <v>45940</v>
      </c>
      <c r="G376" s="358">
        <v>45957</v>
      </c>
      <c r="H376" s="381" t="s">
        <v>1511</v>
      </c>
      <c r="I376" s="389"/>
      <c r="J376" s="739">
        <f t="shared" si="97"/>
        <v>37.504372000000004</v>
      </c>
      <c r="K376" s="381" t="s">
        <v>1415</v>
      </c>
    </row>
    <row r="377" spans="1:11" x14ac:dyDescent="0.2">
      <c r="A377" s="380">
        <f>+SUBTOTAL(3,$G$7:$G377)</f>
        <v>371</v>
      </c>
      <c r="B377" s="374">
        <v>45931</v>
      </c>
      <c r="C377" s="375" t="s">
        <v>667</v>
      </c>
      <c r="D377" s="376" t="str">
        <f>+VLOOKUP(C377,Foundation!$C$8:$D$531,2,FALSE)</f>
        <v>DA+0</v>
      </c>
      <c r="E377" s="376" t="str">
        <f>+VLOOKUP(C377,Foundation!$C$8:$E$495,3,FALSE)</f>
        <v>Sandy</v>
      </c>
      <c r="F377" s="358">
        <v>45955</v>
      </c>
      <c r="G377" s="358">
        <v>45960</v>
      </c>
      <c r="H377" s="381" t="s">
        <v>897</v>
      </c>
      <c r="I377" s="389"/>
      <c r="J377" s="739">
        <f t="shared" ref="J377" si="98">+VLOOKUP(D377,$AB$7:$AC$35,2,FALSE)</f>
        <v>37.504372000000004</v>
      </c>
      <c r="K377" s="381" t="s">
        <v>1415</v>
      </c>
    </row>
    <row r="378" spans="1:11" x14ac:dyDescent="0.2">
      <c r="A378" s="380">
        <f>+SUBTOTAL(3,$G$7:$G378)</f>
        <v>372</v>
      </c>
      <c r="B378" s="374">
        <v>45931</v>
      </c>
      <c r="C378" s="375" t="s">
        <v>211</v>
      </c>
      <c r="D378" s="376" t="str">
        <f>+VLOOKUP(C378,Foundation!$C$8:$D$531,2,FALSE)</f>
        <v>DA+9</v>
      </c>
      <c r="E378" s="376" t="str">
        <f>+VLOOKUP(C378,Foundation!$C$8:$E$495,3,FALSE)</f>
        <v>Sandy</v>
      </c>
      <c r="F378" s="358">
        <v>45952</v>
      </c>
      <c r="G378" s="358">
        <v>45961</v>
      </c>
      <c r="H378" s="381" t="s">
        <v>594</v>
      </c>
      <c r="I378" s="389"/>
      <c r="J378" s="739">
        <f t="shared" ref="J378:J379" si="99">+VLOOKUP(D378,$AB$7:$AC$35,2,FALSE)</f>
        <v>47.184350000000002</v>
      </c>
      <c r="K378" s="381" t="s">
        <v>1415</v>
      </c>
    </row>
    <row r="379" spans="1:11" x14ac:dyDescent="0.2">
      <c r="A379" s="380">
        <f>+SUBTOTAL(3,$G$7:$G379)</f>
        <v>373</v>
      </c>
      <c r="B379" s="374">
        <v>45931</v>
      </c>
      <c r="C379" s="375" t="s">
        <v>517</v>
      </c>
      <c r="D379" s="376" t="str">
        <f>+VLOOKUP(C379,Foundation!$C$8:$D$531,2,FALSE)</f>
        <v>DA+0</v>
      </c>
      <c r="E379" s="376" t="str">
        <f>+VLOOKUP(C379,Foundation!$C$8:$E$495,3,FALSE)</f>
        <v>DRY</v>
      </c>
      <c r="F379" s="358">
        <v>45950</v>
      </c>
      <c r="G379" s="358">
        <v>45961</v>
      </c>
      <c r="H379" s="381" t="s">
        <v>1597</v>
      </c>
      <c r="I379" s="389"/>
      <c r="J379" s="739">
        <f t="shared" si="99"/>
        <v>37.504372000000004</v>
      </c>
      <c r="K379" s="381" t="s">
        <v>1415</v>
      </c>
    </row>
    <row r="380" spans="1:11" x14ac:dyDescent="0.2">
      <c r="A380" s="380">
        <f>+SUBTOTAL(3,$G$7:$G380)</f>
        <v>374</v>
      </c>
      <c r="B380" s="374">
        <v>45931</v>
      </c>
      <c r="C380" s="375" t="s">
        <v>676</v>
      </c>
      <c r="D380" s="376" t="str">
        <f>+VLOOKUP(C380,Foundation!$C$8:$D$531,2,FALSE)</f>
        <v>DCT+0</v>
      </c>
      <c r="E380" s="376" t="str">
        <f>+VLOOKUP(C380,Foundation!$C$8:$E$495,3,FALSE)</f>
        <v>Sandy</v>
      </c>
      <c r="F380" s="358">
        <v>45948</v>
      </c>
      <c r="G380" s="358">
        <v>45961</v>
      </c>
      <c r="H380" s="381" t="s">
        <v>894</v>
      </c>
      <c r="I380" s="389"/>
      <c r="J380" s="739">
        <f t="shared" ref="J380:J381" si="100">+VLOOKUP(D380,$AB$7:$AC$35,2,FALSE)</f>
        <v>94.219902999999988</v>
      </c>
      <c r="K380" s="381" t="s">
        <v>1415</v>
      </c>
    </row>
    <row r="381" spans="1:11" x14ac:dyDescent="0.2">
      <c r="A381" s="380">
        <f>+SUBTOTAL(3,$G$7:$G381)</f>
        <v>375</v>
      </c>
      <c r="B381" s="374">
        <v>45931</v>
      </c>
      <c r="C381" s="375" t="s">
        <v>536</v>
      </c>
      <c r="D381" s="376" t="str">
        <f>+VLOOKUP(C381,Foundation!$C$8:$D$531,2,FALSE)</f>
        <v>DB2+6</v>
      </c>
      <c r="E381" s="376" t="str">
        <f>+VLOOKUP(C381,Foundation!$C$8:$E$495,3,FALSE)</f>
        <v>Sandy</v>
      </c>
      <c r="F381" s="358">
        <v>45957</v>
      </c>
      <c r="G381" s="358">
        <v>45961</v>
      </c>
      <c r="H381" s="381" t="s">
        <v>1509</v>
      </c>
      <c r="I381" s="389"/>
      <c r="J381" s="739">
        <f t="shared" si="100"/>
        <v>67.873650999999995</v>
      </c>
      <c r="K381" s="381" t="s">
        <v>1415</v>
      </c>
    </row>
    <row r="382" spans="1:11" x14ac:dyDescent="0.2">
      <c r="A382" s="380">
        <f>+SUBTOTAL(3,$G$7:$G382)</f>
        <v>376</v>
      </c>
      <c r="B382" s="374">
        <v>45962</v>
      </c>
      <c r="C382" s="375" t="s">
        <v>210</v>
      </c>
      <c r="D382" s="376" t="str">
        <f>+VLOOKUP(C382,Foundation!$C$8:$D$531,2,FALSE)</f>
        <v>DA+0</v>
      </c>
      <c r="E382" s="376" t="str">
        <f>+VLOOKUP(C382,Foundation!$C$8:$E$495,3,FALSE)</f>
        <v>Sandy</v>
      </c>
      <c r="F382" s="358">
        <v>45957</v>
      </c>
      <c r="G382" s="358">
        <v>45965</v>
      </c>
      <c r="H382" s="381" t="s">
        <v>896</v>
      </c>
      <c r="I382" s="389"/>
      <c r="J382" s="739">
        <f t="shared" ref="J382" si="101">+VLOOKUP(D382,$AB$7:$AC$35,2,FALSE)</f>
        <v>37.504372000000004</v>
      </c>
      <c r="K382" s="381" t="s">
        <v>1415</v>
      </c>
    </row>
    <row r="383" spans="1:11" x14ac:dyDescent="0.2">
      <c r="A383" s="380">
        <f>+SUBTOTAL(3,$G$7:$G383)</f>
        <v>377</v>
      </c>
      <c r="B383" s="374">
        <v>45962</v>
      </c>
      <c r="C383" s="375" t="s">
        <v>553</v>
      </c>
      <c r="D383" s="376" t="str">
        <f>+VLOOKUP(C383,Foundation!$C$8:$D$531,2,FALSE)</f>
        <v>DA+6</v>
      </c>
      <c r="E383" s="376" t="str">
        <f>+VLOOKUP(C383,Foundation!$C$8:$E$495,3,FALSE)</f>
        <v>Sandy</v>
      </c>
      <c r="F383" s="358">
        <v>45962</v>
      </c>
      <c r="G383" s="358">
        <v>45967</v>
      </c>
      <c r="H383" s="381" t="s">
        <v>1509</v>
      </c>
      <c r="I383" s="389"/>
      <c r="J383" s="739">
        <f t="shared" ref="J383" si="102">+VLOOKUP(D383,$AB$7:$AC$35,2,FALSE)</f>
        <v>45.413028000000004</v>
      </c>
      <c r="K383" s="381" t="s">
        <v>1415</v>
      </c>
    </row>
    <row r="384" spans="1:11" x14ac:dyDescent="0.2">
      <c r="A384" s="380">
        <f>+SUBTOTAL(3,$G$7:$G384)</f>
        <v>378</v>
      </c>
      <c r="B384" s="374">
        <v>45962</v>
      </c>
      <c r="C384" s="375" t="s">
        <v>539</v>
      </c>
      <c r="D384" s="376" t="str">
        <f>+VLOOKUP(C384,Foundation!$C$8:$D$531,2,FALSE)</f>
        <v>DA+9</v>
      </c>
      <c r="E384" s="376" t="str">
        <f>+VLOOKUP(C384,Foundation!$C$8:$E$495,3,FALSE)</f>
        <v>Sandy</v>
      </c>
      <c r="F384" s="358">
        <v>45939</v>
      </c>
      <c r="G384" s="358">
        <v>45968</v>
      </c>
      <c r="H384" s="381" t="s">
        <v>1509</v>
      </c>
      <c r="I384" s="389"/>
      <c r="J384" s="739">
        <f t="shared" ref="J384" si="103">+VLOOKUP(D384,$AB$7:$AC$35,2,FALSE)</f>
        <v>47.184350000000002</v>
      </c>
      <c r="K384" s="381" t="s">
        <v>1415</v>
      </c>
    </row>
    <row r="385" spans="1:11" x14ac:dyDescent="0.2">
      <c r="A385" s="380">
        <f>+SUBTOTAL(3,$G$7:$G385)</f>
        <v>379</v>
      </c>
      <c r="B385" s="374">
        <v>45962</v>
      </c>
      <c r="C385" s="375" t="s">
        <v>207</v>
      </c>
      <c r="D385" s="376" t="str">
        <f>+VLOOKUP(C385,Foundation!$C$8:$D$531,2,FALSE)</f>
        <v>DA+9</v>
      </c>
      <c r="E385" s="376" t="str">
        <f>+VLOOKUP(C385,Foundation!$C$8:$E$495,3,FALSE)</f>
        <v>Sandy</v>
      </c>
      <c r="F385" s="358">
        <v>45961</v>
      </c>
      <c r="G385" s="358">
        <v>45968</v>
      </c>
      <c r="H385" s="381" t="s">
        <v>594</v>
      </c>
      <c r="I385" s="389"/>
      <c r="J385" s="739">
        <f t="shared" ref="J385:J386" si="104">+VLOOKUP(D385,$AB$7:$AC$35,2,FALSE)</f>
        <v>47.184350000000002</v>
      </c>
      <c r="K385" s="381" t="s">
        <v>1415</v>
      </c>
    </row>
    <row r="386" spans="1:11" x14ac:dyDescent="0.2">
      <c r="A386" s="380">
        <f>+SUBTOTAL(3,$G$7:$G386)</f>
        <v>380</v>
      </c>
      <c r="B386" s="374">
        <v>45962</v>
      </c>
      <c r="C386" s="375" t="s">
        <v>205</v>
      </c>
      <c r="D386" s="376" t="str">
        <f>+VLOOKUP(C386,Foundation!$C$8:$D$531,2,FALSE)</f>
        <v>DA+0</v>
      </c>
      <c r="E386" s="376" t="str">
        <f>+VLOOKUP(C386,Foundation!$C$8:$E$495,3,FALSE)</f>
        <v>Sandy</v>
      </c>
      <c r="F386" s="358">
        <v>45961</v>
      </c>
      <c r="G386" s="358">
        <v>45968</v>
      </c>
      <c r="H386" s="381" t="s">
        <v>897</v>
      </c>
      <c r="I386" s="389"/>
      <c r="J386" s="739">
        <f t="shared" si="104"/>
        <v>37.504372000000004</v>
      </c>
      <c r="K386" s="381" t="s">
        <v>1415</v>
      </c>
    </row>
    <row r="387" spans="1:11" x14ac:dyDescent="0.2">
      <c r="A387" s="380">
        <f>+SUBTOTAL(3,$G$7:$G387)</f>
        <v>381</v>
      </c>
      <c r="B387" s="374">
        <v>45962</v>
      </c>
      <c r="C387" s="375" t="s">
        <v>39</v>
      </c>
      <c r="D387" s="376" t="str">
        <f>+VLOOKUP(C387,Foundation!$C$8:$D$531,2,FALSE)</f>
        <v>DD60+6</v>
      </c>
      <c r="E387" s="376" t="str">
        <f>+VLOOKUP(C387,Foundation!$C$8:$E$495,3,FALSE)</f>
        <v>DRY</v>
      </c>
      <c r="F387" s="358">
        <v>45955</v>
      </c>
      <c r="G387" s="358">
        <v>45969</v>
      </c>
      <c r="H387" s="381" t="s">
        <v>1703</v>
      </c>
      <c r="I387" s="389"/>
      <c r="J387" s="739">
        <f t="shared" ref="J387" si="105">+VLOOKUP(D387,$AB$7:$AC$35,2,FALSE)</f>
        <v>100.96800900000001</v>
      </c>
      <c r="K387" s="381" t="s">
        <v>1415</v>
      </c>
    </row>
    <row r="388" spans="1:11" x14ac:dyDescent="0.2">
      <c r="A388" s="380">
        <f>+SUBTOTAL(3,$G$7:$G388)</f>
        <v>382</v>
      </c>
      <c r="B388" s="374">
        <v>45962</v>
      </c>
      <c r="C388" s="375" t="s">
        <v>83</v>
      </c>
      <c r="D388" s="376" t="str">
        <f>+VLOOKUP(C388,Foundation!$C$8:$D$531,2,FALSE)</f>
        <v>DC1+0</v>
      </c>
      <c r="E388" s="376" t="str">
        <f>+VLOOKUP(C388,Foundation!$C$8:$E$495,3,FALSE)</f>
        <v>DRY</v>
      </c>
      <c r="F388" s="358">
        <v>45952</v>
      </c>
      <c r="G388" s="358">
        <v>45969</v>
      </c>
      <c r="H388" s="381" t="s">
        <v>1702</v>
      </c>
      <c r="I388" s="389"/>
      <c r="J388" s="739">
        <f t="shared" ref="J388" si="106">+VLOOKUP(D388,$AB$7:$AC$35,2,FALSE)</f>
        <v>66.381106999999986</v>
      </c>
      <c r="K388" s="381" t="s">
        <v>1415</v>
      </c>
    </row>
    <row r="389" spans="1:11" x14ac:dyDescent="0.2">
      <c r="A389" s="380">
        <f>+SUBTOTAL(3,$G$7:$G389)</f>
        <v>383</v>
      </c>
      <c r="B389" s="374">
        <v>45962</v>
      </c>
      <c r="C389" s="375" t="s">
        <v>559</v>
      </c>
      <c r="D389" s="376" t="str">
        <f>+VLOOKUP(C389,Foundation!$C$8:$D$531,2,FALSE)</f>
        <v>DC1+0</v>
      </c>
      <c r="E389" s="376" t="str">
        <f>+VLOOKUP(C389,Foundation!$C$8:$E$495,3,FALSE)</f>
        <v>Sandy</v>
      </c>
      <c r="F389" s="358">
        <v>45957</v>
      </c>
      <c r="G389" s="358">
        <v>45970</v>
      </c>
      <c r="H389" s="381" t="s">
        <v>894</v>
      </c>
      <c r="I389" s="389"/>
      <c r="J389" s="739">
        <f t="shared" ref="J389:J390" si="107">+VLOOKUP(D389,$AB$7:$AC$35,2,FALSE)</f>
        <v>66.381106999999986</v>
      </c>
      <c r="K389" s="381" t="s">
        <v>1415</v>
      </c>
    </row>
    <row r="390" spans="1:11" x14ac:dyDescent="0.2">
      <c r="A390" s="380">
        <f>+SUBTOTAL(3,$G$7:$G390)</f>
        <v>384</v>
      </c>
      <c r="B390" s="374">
        <v>45962</v>
      </c>
      <c r="C390" s="375" t="s">
        <v>561</v>
      </c>
      <c r="D390" s="376" t="str">
        <f>+VLOOKUP(C390,Foundation!$C$8:$D$531,2,FALSE)</f>
        <v>DA+6</v>
      </c>
      <c r="E390" s="376" t="str">
        <f>+VLOOKUP(C390,Foundation!$C$8:$E$495,3,FALSE)</f>
        <v>Sandy</v>
      </c>
      <c r="F390" s="358">
        <v>45957</v>
      </c>
      <c r="G390" s="358">
        <v>45970</v>
      </c>
      <c r="H390" s="381" t="s">
        <v>1511</v>
      </c>
      <c r="I390" s="389"/>
      <c r="J390" s="739">
        <f t="shared" si="107"/>
        <v>45.413028000000004</v>
      </c>
      <c r="K390" s="381" t="s">
        <v>1415</v>
      </c>
    </row>
    <row r="391" spans="1:11" x14ac:dyDescent="0.2">
      <c r="A391" s="380">
        <f>+SUBTOTAL(3,$G$7:$G391)</f>
        <v>385</v>
      </c>
      <c r="B391" s="374">
        <v>45962</v>
      </c>
      <c r="C391" s="375" t="s">
        <v>38</v>
      </c>
      <c r="D391" s="376" t="str">
        <f>+VLOOKUP(C391,Foundation!$C$8:$D$531,2,FALSE)</f>
        <v>DD60+6</v>
      </c>
      <c r="E391" s="376" t="str">
        <f>+VLOOKUP(C391,Foundation!$C$8:$E$495,3,FALSE)</f>
        <v>DRY</v>
      </c>
      <c r="F391" s="358">
        <v>45937</v>
      </c>
      <c r="G391" s="358">
        <v>45971</v>
      </c>
      <c r="H391" s="381" t="s">
        <v>1636</v>
      </c>
      <c r="I391" s="389"/>
      <c r="J391" s="739">
        <f t="shared" ref="J391:J392" si="108">+VLOOKUP(D391,$AB$7:$AC$35,2,FALSE)</f>
        <v>100.96800900000001</v>
      </c>
      <c r="K391" s="381" t="s">
        <v>1415</v>
      </c>
    </row>
    <row r="392" spans="1:11" x14ac:dyDescent="0.2">
      <c r="A392" s="380">
        <f>+SUBTOTAL(3,$G$7:$G392)</f>
        <v>386</v>
      </c>
      <c r="B392" s="374">
        <v>45962</v>
      </c>
      <c r="C392" s="375" t="s">
        <v>231</v>
      </c>
      <c r="D392" s="376" t="str">
        <f>+VLOOKUP(C392,Foundation!$C$8:$D$531,2,FALSE)</f>
        <v>DA+0</v>
      </c>
      <c r="E392" s="376" t="str">
        <f>+VLOOKUP(C392,Foundation!$C$8:$E$495,3,FALSE)</f>
        <v>DRY</v>
      </c>
      <c r="F392" s="358">
        <v>45966</v>
      </c>
      <c r="G392" s="358">
        <v>45972</v>
      </c>
      <c r="H392" s="381" t="s">
        <v>896</v>
      </c>
      <c r="I392" s="389"/>
      <c r="J392" s="739">
        <f t="shared" si="108"/>
        <v>37.504372000000004</v>
      </c>
      <c r="K392" s="381" t="s">
        <v>1415</v>
      </c>
    </row>
    <row r="393" spans="1:11" x14ac:dyDescent="0.2">
      <c r="A393" s="380">
        <f>+SUBTOTAL(3,$G$7:$G393)</f>
        <v>387</v>
      </c>
      <c r="B393" s="374">
        <v>45962</v>
      </c>
      <c r="C393" s="375" t="s">
        <v>82</v>
      </c>
      <c r="D393" s="376" t="str">
        <f>+VLOOKUP(C393,Foundation!$C$8:$D$531,2,FALSE)</f>
        <v>DA+3</v>
      </c>
      <c r="E393" s="376" t="str">
        <f>+VLOOKUP(C393,Foundation!$C$8:$E$495,3,FALSE)</f>
        <v>DRY</v>
      </c>
      <c r="F393" s="358">
        <v>45969</v>
      </c>
      <c r="G393" s="358">
        <v>45974</v>
      </c>
      <c r="H393" s="381" t="s">
        <v>897</v>
      </c>
      <c r="I393" s="389"/>
      <c r="J393" s="739">
        <f t="shared" ref="J393" si="109">+VLOOKUP(D393,$AB$7:$AC$35,2,FALSE)</f>
        <v>38.847605999999992</v>
      </c>
      <c r="K393" s="381" t="s">
        <v>1415</v>
      </c>
    </row>
    <row r="394" spans="1:11" x14ac:dyDescent="0.2">
      <c r="A394" s="380">
        <f>+SUBTOTAL(3,$G$7:$G394)</f>
        <v>388</v>
      </c>
      <c r="B394" s="374">
        <v>45962</v>
      </c>
      <c r="C394" s="375" t="s">
        <v>197</v>
      </c>
      <c r="D394" s="376" t="str">
        <f>+VLOOKUP(C394,Foundation!$C$8:$D$531,2,FALSE)</f>
        <v>DA+3</v>
      </c>
      <c r="E394" s="376" t="str">
        <f>+VLOOKUP(C394,Foundation!$C$8:$E$495,3,FALSE)</f>
        <v>DRY</v>
      </c>
      <c r="F394" s="358">
        <v>45971</v>
      </c>
      <c r="G394" s="358">
        <v>45974</v>
      </c>
      <c r="H394" s="381" t="s">
        <v>894</v>
      </c>
      <c r="I394" s="389"/>
      <c r="J394" s="739">
        <f t="shared" ref="J394" si="110">+VLOOKUP(D394,$AB$7:$AC$35,2,FALSE)</f>
        <v>38.847605999999992</v>
      </c>
      <c r="K394" s="381" t="s">
        <v>1415</v>
      </c>
    </row>
    <row r="395" spans="1:11" x14ac:dyDescent="0.2">
      <c r="A395" s="380">
        <f>+SUBTOTAL(3,$G$7:$G395)</f>
        <v>389</v>
      </c>
      <c r="B395" s="374">
        <v>45962</v>
      </c>
      <c r="C395" s="375" t="s">
        <v>563</v>
      </c>
      <c r="D395" s="376" t="str">
        <f>+VLOOKUP(C395,Foundation!$C$8:$D$531,2,FALSE)</f>
        <v>DA+0</v>
      </c>
      <c r="E395" s="376" t="str">
        <f>+VLOOKUP(C395,Foundation!$C$8:$E$495,3,FALSE)</f>
        <v>Sandy</v>
      </c>
      <c r="F395" s="358">
        <v>45969</v>
      </c>
      <c r="G395" s="358">
        <v>45975</v>
      </c>
      <c r="H395" s="381" t="s">
        <v>1509</v>
      </c>
      <c r="I395" s="389"/>
      <c r="J395" s="739">
        <f t="shared" ref="J395" si="111">+VLOOKUP(D395,$AB$7:$AC$35,2,FALSE)</f>
        <v>37.504372000000004</v>
      </c>
      <c r="K395" s="381" t="s">
        <v>1415</v>
      </c>
    </row>
    <row r="396" spans="1:11" x14ac:dyDescent="0.2">
      <c r="A396" s="380">
        <f>+SUBTOTAL(3,$G$7:$G396)</f>
        <v>390</v>
      </c>
      <c r="B396" s="374">
        <v>45962</v>
      </c>
      <c r="C396" s="375" t="s">
        <v>40</v>
      </c>
      <c r="D396" s="376" t="str">
        <f>+VLOOKUP(C396,Foundation!$C$8:$D$531,2,FALSE)</f>
        <v>DB1+9</v>
      </c>
      <c r="E396" s="376" t="str">
        <f>+VLOOKUP(C396,Foundation!$C$8:$E$495,3,FALSE)</f>
        <v>DRY</v>
      </c>
      <c r="F396" s="358">
        <v>45959</v>
      </c>
      <c r="G396" s="358">
        <v>45977</v>
      </c>
      <c r="H396" s="381" t="s">
        <v>1707</v>
      </c>
      <c r="I396" s="389"/>
      <c r="J396" s="739">
        <f t="shared" ref="J396" si="112">+VLOOKUP(D396,$AB$7:$AC$35,2,FALSE)</f>
        <v>70.701702999999995</v>
      </c>
      <c r="K396" s="381" t="s">
        <v>1415</v>
      </c>
    </row>
    <row r="397" spans="1:11" x14ac:dyDescent="0.2">
      <c r="A397" s="380">
        <f>+SUBTOTAL(3,$G$7:$G397)</f>
        <v>391</v>
      </c>
      <c r="B397" s="374">
        <v>45962</v>
      </c>
      <c r="C397" s="375" t="s">
        <v>562</v>
      </c>
      <c r="D397" s="376" t="str">
        <f>+VLOOKUP(C397,Foundation!$C$8:$D$531,2,FALSE)</f>
        <v>DA+0</v>
      </c>
      <c r="E397" s="376" t="str">
        <f>+VLOOKUP(C397,Foundation!$C$8:$E$495,3,FALSE)</f>
        <v>Sandy</v>
      </c>
      <c r="F397" s="358">
        <v>45976</v>
      </c>
      <c r="G397" s="358">
        <v>45978</v>
      </c>
      <c r="H397" s="381" t="s">
        <v>888</v>
      </c>
      <c r="I397" s="389"/>
      <c r="J397" s="739">
        <f t="shared" ref="J397" si="113">+VLOOKUP(D397,$AB$7:$AC$35,2,FALSE)</f>
        <v>37.504372000000004</v>
      </c>
      <c r="K397" s="381" t="s">
        <v>1415</v>
      </c>
    </row>
    <row r="398" spans="1:11" x14ac:dyDescent="0.2">
      <c r="A398" s="380">
        <f>+SUBTOTAL(3,$G$7:$G398)</f>
        <v>392</v>
      </c>
      <c r="B398" s="374">
        <v>45962</v>
      </c>
      <c r="C398" s="375" t="s">
        <v>71</v>
      </c>
      <c r="D398" s="376" t="str">
        <f>+VLOOKUP(C398,Foundation!$C$8:$D$531,2,FALSE)</f>
        <v>DA+0</v>
      </c>
      <c r="E398" s="376" t="str">
        <f>+VLOOKUP(C398,Foundation!$C$8:$E$495,3,FALSE)</f>
        <v>DRY</v>
      </c>
      <c r="F398" s="358">
        <v>45971</v>
      </c>
      <c r="G398" s="358">
        <v>45978</v>
      </c>
      <c r="H398" s="381" t="s">
        <v>894</v>
      </c>
      <c r="I398" s="389"/>
      <c r="J398" s="739">
        <f t="shared" ref="J398" si="114">+VLOOKUP(D398,$AB$7:$AC$35,2,FALSE)</f>
        <v>37.504372000000004</v>
      </c>
      <c r="K398" s="381" t="s">
        <v>1415</v>
      </c>
    </row>
    <row r="399" spans="1:11" x14ac:dyDescent="0.2">
      <c r="A399" s="380">
        <f>+SUBTOTAL(3,$G$7:$G399)</f>
        <v>393</v>
      </c>
      <c r="B399" s="374">
        <v>45962</v>
      </c>
      <c r="C399" s="375" t="s">
        <v>44</v>
      </c>
      <c r="D399" s="376" t="str">
        <f>+VLOOKUP(C399,Foundation!$C$8:$D$531,2,FALSE)</f>
        <v>DB1+0</v>
      </c>
      <c r="E399" s="376" t="str">
        <f>+VLOOKUP(C399,Foundation!$C$8:$E$495,3,FALSE)</f>
        <v>DRY</v>
      </c>
      <c r="F399" s="358">
        <v>45970</v>
      </c>
      <c r="G399" s="358">
        <v>45979</v>
      </c>
      <c r="H399" s="381" t="s">
        <v>1703</v>
      </c>
      <c r="I399" s="389"/>
      <c r="J399" s="739">
        <f t="shared" ref="J399" si="115">+VLOOKUP(D399,$AB$7:$AC$35,2,FALSE)</f>
        <v>57.597240999999997</v>
      </c>
      <c r="K399" s="381" t="s">
        <v>1415</v>
      </c>
    </row>
    <row r="400" spans="1:11" x14ac:dyDescent="0.2">
      <c r="A400" s="380">
        <f>+SUBTOTAL(3,$G$7:$G400)</f>
        <v>394</v>
      </c>
      <c r="B400" s="374">
        <v>45962</v>
      </c>
      <c r="C400" s="375" t="s">
        <v>206</v>
      </c>
      <c r="D400" s="376" t="str">
        <f>+VLOOKUP(C400,Foundation!$C$8:$D$531,2,FALSE)</f>
        <v>DA+0</v>
      </c>
      <c r="E400" s="376" t="str">
        <f>+VLOOKUP(C400,Foundation!$C$8:$E$495,3,FALSE)</f>
        <v>Sandy</v>
      </c>
      <c r="F400" s="358">
        <v>45972</v>
      </c>
      <c r="G400" s="358">
        <v>45979</v>
      </c>
      <c r="H400" s="381" t="s">
        <v>1702</v>
      </c>
      <c r="I400" s="389"/>
      <c r="J400" s="739">
        <f t="shared" ref="J400" si="116">+VLOOKUP(D400,$AB$7:$AC$35,2,FALSE)</f>
        <v>37.504372000000004</v>
      </c>
      <c r="K400" s="381" t="s">
        <v>1415</v>
      </c>
    </row>
    <row r="401" spans="1:13" x14ac:dyDescent="0.2">
      <c r="A401" s="380">
        <f>+SUBTOTAL(3,$G$7:$G401)</f>
        <v>395</v>
      </c>
      <c r="B401" s="374">
        <v>45962</v>
      </c>
      <c r="C401" s="375" t="s">
        <v>80</v>
      </c>
      <c r="D401" s="376" t="str">
        <f>+VLOOKUP(C401,Foundation!$C$8:$D$531,2,FALSE)</f>
        <v>DC1+0</v>
      </c>
      <c r="E401" s="376" t="str">
        <f>+VLOOKUP(C401,Foundation!$C$8:$E$495,3,FALSE)</f>
        <v>DRY</v>
      </c>
      <c r="F401" s="358">
        <v>45969</v>
      </c>
      <c r="G401" s="358">
        <v>45979</v>
      </c>
      <c r="H401" s="381" t="s">
        <v>895</v>
      </c>
      <c r="I401" s="389"/>
      <c r="J401" s="739">
        <f t="shared" ref="J401" si="117">+VLOOKUP(D401,$AB$7:$AC$35,2,FALSE)</f>
        <v>66.381106999999986</v>
      </c>
      <c r="K401" s="381" t="s">
        <v>1415</v>
      </c>
    </row>
    <row r="402" spans="1:13" x14ac:dyDescent="0.2">
      <c r="A402" s="380">
        <f>+SUBTOTAL(3,$G$7:$G402)</f>
        <v>396</v>
      </c>
      <c r="B402" s="374">
        <v>45962</v>
      </c>
      <c r="C402" s="375" t="s">
        <v>208</v>
      </c>
      <c r="D402" s="376" t="str">
        <f>+VLOOKUP(C402,Foundation!$C$8:$D$531,2,FALSE)</f>
        <v>DA+6</v>
      </c>
      <c r="E402" s="376" t="str">
        <f>+VLOOKUP(C402,Foundation!$C$8:$E$495,3,FALSE)</f>
        <v>Sandy</v>
      </c>
      <c r="F402" s="358">
        <v>45972</v>
      </c>
      <c r="G402" s="358">
        <v>45982</v>
      </c>
      <c r="H402" s="381" t="s">
        <v>896</v>
      </c>
      <c r="I402" s="389"/>
      <c r="J402" s="739">
        <f t="shared" ref="J402" si="118">+VLOOKUP(D402,$AB$7:$AC$35,2,FALSE)</f>
        <v>45.413028000000004</v>
      </c>
      <c r="K402" s="381" t="s">
        <v>1415</v>
      </c>
    </row>
    <row r="403" spans="1:13" x14ac:dyDescent="0.2">
      <c r="A403" s="380">
        <f>+SUBTOTAL(3,$G$7:$G403)</f>
        <v>397</v>
      </c>
      <c r="B403" s="374">
        <v>45962</v>
      </c>
      <c r="C403" s="375" t="s">
        <v>560</v>
      </c>
      <c r="D403" s="376" t="str">
        <f>+VLOOKUP(C403,Foundation!$C$8:$D$531,2,FALSE)</f>
        <v>DA+6</v>
      </c>
      <c r="E403" s="376" t="str">
        <f>+VLOOKUP(C403,Foundation!$C$8:$E$495,3,FALSE)</f>
        <v>Sandy</v>
      </c>
      <c r="F403" s="358">
        <v>45971</v>
      </c>
      <c r="G403" s="358">
        <v>45982</v>
      </c>
      <c r="H403" s="381" t="s">
        <v>1511</v>
      </c>
      <c r="I403" s="389"/>
      <c r="J403" s="739">
        <f t="shared" ref="J403" si="119">+VLOOKUP(D403,$AB$7:$AC$35,2,FALSE)</f>
        <v>45.413028000000004</v>
      </c>
      <c r="K403" s="381" t="s">
        <v>1415</v>
      </c>
    </row>
    <row r="404" spans="1:13" x14ac:dyDescent="0.2">
      <c r="A404" s="380">
        <f>+SUBTOTAL(3,$G$7:$G404)</f>
        <v>398</v>
      </c>
      <c r="B404" s="374">
        <v>45962</v>
      </c>
      <c r="C404" s="375" t="s">
        <v>538</v>
      </c>
      <c r="D404" s="376" t="str">
        <f>+VLOOKUP(C404,Foundation!$C$8:$D$531,2,FALSE)</f>
        <v>DA+6</v>
      </c>
      <c r="E404" s="376" t="str">
        <f>+VLOOKUP(C404,Foundation!$C$8:$E$495,3,FALSE)</f>
        <v>Sandy</v>
      </c>
      <c r="F404" s="358">
        <v>45979</v>
      </c>
      <c r="G404" s="358">
        <v>45983</v>
      </c>
      <c r="H404" s="381" t="s">
        <v>1509</v>
      </c>
      <c r="I404" s="389"/>
      <c r="J404" s="739">
        <f t="shared" ref="J404" si="120">+VLOOKUP(D404,$AB$7:$AC$35,2,FALSE)</f>
        <v>45.413028000000004</v>
      </c>
      <c r="K404" s="381" t="s">
        <v>1415</v>
      </c>
    </row>
    <row r="405" spans="1:13" x14ac:dyDescent="0.2">
      <c r="A405" s="380">
        <f>+SUBTOTAL(3,$G$7:$G405)</f>
        <v>399</v>
      </c>
      <c r="B405" s="374">
        <v>45962</v>
      </c>
      <c r="C405" s="375" t="s">
        <v>188</v>
      </c>
      <c r="D405" s="376" t="str">
        <f>+VLOOKUP(C405,Foundation!$C$8:$D$531,2,FALSE)</f>
        <v>DA+0</v>
      </c>
      <c r="E405" s="376" t="str">
        <f>+VLOOKUP(C405,Foundation!$C$8:$E$495,3,FALSE)</f>
        <v>DFR</v>
      </c>
      <c r="F405" s="358">
        <v>45979</v>
      </c>
      <c r="G405" s="358">
        <v>45987</v>
      </c>
      <c r="H405" s="381" t="s">
        <v>895</v>
      </c>
      <c r="I405" s="389"/>
      <c r="J405" s="739">
        <f t="shared" ref="J405:J408" si="121">+VLOOKUP(D405,$AB$7:$AC$35,2,FALSE)</f>
        <v>37.504372000000004</v>
      </c>
      <c r="K405" s="381" t="s">
        <v>1415</v>
      </c>
    </row>
    <row r="406" spans="1:13" x14ac:dyDescent="0.2">
      <c r="A406" s="380">
        <f>+SUBTOTAL(3,$G$7:$G406)</f>
        <v>400</v>
      </c>
      <c r="B406" s="374">
        <v>45962</v>
      </c>
      <c r="C406" s="375" t="s">
        <v>26</v>
      </c>
      <c r="D406" s="376" t="str">
        <f>+VLOOKUP(C406,Foundation!$C$8:$D$531,2,FALSE)</f>
        <v>DC1+0</v>
      </c>
      <c r="E406" s="376" t="str">
        <f>+VLOOKUP(C406,Foundation!$C$8:$E$495,3,FALSE)</f>
        <v>DRY</v>
      </c>
      <c r="F406" s="358">
        <v>45975</v>
      </c>
      <c r="G406" s="358">
        <v>45987</v>
      </c>
      <c r="H406" s="381" t="s">
        <v>897</v>
      </c>
      <c r="I406" s="389"/>
      <c r="J406" s="739">
        <f t="shared" si="121"/>
        <v>66.381106999999986</v>
      </c>
      <c r="K406" s="381" t="s">
        <v>1415</v>
      </c>
    </row>
    <row r="407" spans="1:13" x14ac:dyDescent="0.2">
      <c r="A407" s="380">
        <f>+SUBTOTAL(3,$G$7:$G407)</f>
        <v>401</v>
      </c>
      <c r="B407" s="374">
        <v>45962</v>
      </c>
      <c r="C407" s="375" t="s">
        <v>62</v>
      </c>
      <c r="D407" s="376" t="str">
        <f>+VLOOKUP(C407,Foundation!$C$8:$D$531,2,FALSE)</f>
        <v>DA+6</v>
      </c>
      <c r="E407" s="376" t="str">
        <f>+VLOOKUP(C407,Foundation!$C$8:$E$495,3,FALSE)</f>
        <v>Sandy</v>
      </c>
      <c r="F407" s="358">
        <v>45982</v>
      </c>
      <c r="G407" s="358">
        <v>45988</v>
      </c>
      <c r="H407" s="381" t="s">
        <v>894</v>
      </c>
      <c r="I407" s="389"/>
      <c r="J407" s="739">
        <f t="shared" si="121"/>
        <v>45.413028000000004</v>
      </c>
      <c r="K407" s="381" t="s">
        <v>1415</v>
      </c>
    </row>
    <row r="408" spans="1:13" x14ac:dyDescent="0.2">
      <c r="A408" s="380">
        <f>+SUBTOTAL(3,$G$7:$G408)</f>
        <v>402</v>
      </c>
      <c r="B408" s="374">
        <v>45962</v>
      </c>
      <c r="C408" s="375" t="s">
        <v>463</v>
      </c>
      <c r="D408" s="376" t="str">
        <f>+VLOOKUP(C408,Foundation!$C$8:$D$531,2,FALSE)</f>
        <v>DA+0</v>
      </c>
      <c r="E408" s="376" t="str">
        <f>+VLOOKUP(C408,Foundation!$C$8:$E$495,3,FALSE)</f>
        <v>DRY</v>
      </c>
      <c r="F408" s="358">
        <v>45971</v>
      </c>
      <c r="G408" s="358">
        <v>45988</v>
      </c>
      <c r="H408" s="381" t="s">
        <v>1474</v>
      </c>
      <c r="I408" s="389"/>
      <c r="J408" s="739">
        <f t="shared" si="121"/>
        <v>37.504372000000004</v>
      </c>
      <c r="K408" s="381" t="s">
        <v>1415</v>
      </c>
    </row>
    <row r="409" spans="1:13" x14ac:dyDescent="0.2">
      <c r="A409" s="380">
        <f>+SUBTOTAL(3,$G$7:$G409)</f>
        <v>403</v>
      </c>
      <c r="B409" s="374">
        <v>45962</v>
      </c>
      <c r="C409" s="375" t="s">
        <v>43</v>
      </c>
      <c r="D409" s="376" t="str">
        <f>+VLOOKUP(C409,Foundation!$C$8:$D$531,2,FALSE)</f>
        <v>DB1+0</v>
      </c>
      <c r="E409" s="376" t="str">
        <f>+VLOOKUP(C409,Foundation!$C$8:$E$495,3,FALSE)</f>
        <v>DRY</v>
      </c>
      <c r="F409" s="358">
        <v>45980</v>
      </c>
      <c r="G409" s="358">
        <v>45989</v>
      </c>
      <c r="H409" s="381" t="s">
        <v>1703</v>
      </c>
      <c r="I409" s="389"/>
      <c r="J409" s="739">
        <f t="shared" ref="J409" si="122">+VLOOKUP(D409,$AB$7:$AC$35,2,FALSE)</f>
        <v>57.597240999999997</v>
      </c>
      <c r="K409" s="381" t="s">
        <v>1415</v>
      </c>
    </row>
    <row r="410" spans="1:13" x14ac:dyDescent="0.2">
      <c r="A410" s="380"/>
      <c r="B410" s="374"/>
      <c r="C410" s="375"/>
      <c r="D410" s="376"/>
      <c r="E410" s="376"/>
      <c r="F410" s="358"/>
      <c r="G410" s="358"/>
      <c r="H410" s="381"/>
      <c r="I410" s="389"/>
      <c r="J410" s="739"/>
      <c r="K410" s="381"/>
    </row>
    <row r="411" spans="1:13" x14ac:dyDescent="0.2">
      <c r="A411" s="380"/>
      <c r="B411" s="374"/>
      <c r="C411" s="375"/>
      <c r="D411" s="376"/>
      <c r="E411" s="376"/>
      <c r="F411" s="358"/>
      <c r="G411" s="358"/>
      <c r="H411" s="381"/>
      <c r="I411" s="389"/>
      <c r="J411" s="739"/>
      <c r="K411" s="381"/>
    </row>
    <row r="412" spans="1:13" x14ac:dyDescent="0.2">
      <c r="A412" s="380"/>
      <c r="B412" s="374"/>
      <c r="C412" s="375"/>
      <c r="D412" s="376"/>
      <c r="E412" s="376"/>
      <c r="F412" s="358"/>
      <c r="G412" s="358"/>
      <c r="H412" s="381"/>
      <c r="I412" s="389"/>
      <c r="J412" s="739"/>
      <c r="K412" s="381"/>
    </row>
    <row r="413" spans="1:13" x14ac:dyDescent="0.2">
      <c r="A413" s="380"/>
      <c r="B413" s="374"/>
      <c r="C413" s="375"/>
      <c r="D413" s="376"/>
      <c r="E413" s="376"/>
      <c r="F413" s="358"/>
      <c r="G413" s="358"/>
      <c r="H413" s="381"/>
      <c r="I413" s="389"/>
      <c r="J413" s="739"/>
      <c r="K413" s="381"/>
    </row>
    <row r="414" spans="1:13" s="675" customFormat="1" x14ac:dyDescent="0.2">
      <c r="A414" s="685"/>
      <c r="B414" s="686"/>
      <c r="C414" s="687"/>
      <c r="D414" s="688" t="s">
        <v>1204</v>
      </c>
      <c r="E414" s="688"/>
      <c r="F414" s="689" t="s">
        <v>6</v>
      </c>
      <c r="G414" s="689" t="s">
        <v>1180</v>
      </c>
      <c r="H414" s="690" t="s">
        <v>7</v>
      </c>
      <c r="I414" s="690"/>
      <c r="J414" s="690"/>
      <c r="K414" s="690" t="s">
        <v>1726</v>
      </c>
      <c r="L414" s="675" t="s">
        <v>1180</v>
      </c>
      <c r="M414" s="691" t="s">
        <v>1426</v>
      </c>
    </row>
    <row r="415" spans="1:13" s="986" customFormat="1" x14ac:dyDescent="0.2">
      <c r="A415" s="980"/>
      <c r="B415" s="981"/>
      <c r="C415" s="982"/>
      <c r="D415" s="974" t="s">
        <v>186</v>
      </c>
      <c r="E415" s="974"/>
      <c r="F415" s="975">
        <v>45987</v>
      </c>
      <c r="G415" s="981" t="s">
        <v>124</v>
      </c>
      <c r="H415" s="983" t="s">
        <v>897</v>
      </c>
      <c r="I415" s="984"/>
      <c r="J415" s="984"/>
      <c r="K415" s="983" t="s">
        <v>1415</v>
      </c>
      <c r="L415" s="978" t="s">
        <v>1744</v>
      </c>
      <c r="M415" s="985">
        <v>36</v>
      </c>
    </row>
    <row r="416" spans="1:13" s="978" customFormat="1" x14ac:dyDescent="0.2">
      <c r="A416" s="971"/>
      <c r="B416" s="972"/>
      <c r="C416" s="973"/>
      <c r="D416" s="974" t="s">
        <v>568</v>
      </c>
      <c r="E416" s="972"/>
      <c r="F416" s="975">
        <v>45983</v>
      </c>
      <c r="G416" s="972" t="s">
        <v>124</v>
      </c>
      <c r="H416" s="976" t="s">
        <v>1511</v>
      </c>
      <c r="I416" s="977"/>
      <c r="J416" s="977"/>
      <c r="K416" s="976" t="s">
        <v>1415</v>
      </c>
      <c r="L416" s="978" t="s">
        <v>1742</v>
      </c>
      <c r="M416" s="979">
        <v>28</v>
      </c>
    </row>
    <row r="417" spans="1:13" s="978" customFormat="1" x14ac:dyDescent="0.2">
      <c r="A417" s="971"/>
      <c r="B417" s="972"/>
      <c r="C417" s="973"/>
      <c r="D417" s="974" t="s">
        <v>84</v>
      </c>
      <c r="E417" s="972"/>
      <c r="F417" s="975">
        <v>45983</v>
      </c>
      <c r="G417" s="972" t="s">
        <v>124</v>
      </c>
      <c r="H417" s="976" t="s">
        <v>896</v>
      </c>
      <c r="I417" s="977"/>
      <c r="J417" s="977"/>
      <c r="K417" s="976" t="s">
        <v>1415</v>
      </c>
      <c r="L417" s="978" t="s">
        <v>1737</v>
      </c>
      <c r="M417" s="979">
        <v>30</v>
      </c>
    </row>
    <row r="418" spans="1:13" s="781" customFormat="1" x14ac:dyDescent="0.2">
      <c r="A418" s="774"/>
      <c r="B418" s="775"/>
      <c r="C418" s="776"/>
      <c r="D418" s="777"/>
      <c r="E418" s="775"/>
      <c r="F418" s="778"/>
      <c r="G418" s="775"/>
      <c r="H418" s="779" t="s">
        <v>1703</v>
      </c>
      <c r="I418" s="780"/>
      <c r="J418" s="780"/>
      <c r="K418" s="779" t="s">
        <v>1415</v>
      </c>
      <c r="L418" s="781" t="s">
        <v>1750</v>
      </c>
      <c r="M418" s="782">
        <v>31</v>
      </c>
    </row>
    <row r="419" spans="1:13" s="978" customFormat="1" x14ac:dyDescent="0.2">
      <c r="A419" s="971"/>
      <c r="B419" s="972"/>
      <c r="C419" s="973"/>
      <c r="D419" s="974" t="s">
        <v>472</v>
      </c>
      <c r="E419" s="972"/>
      <c r="F419" s="975">
        <v>45978</v>
      </c>
      <c r="G419" s="972" t="s">
        <v>124</v>
      </c>
      <c r="H419" s="976" t="s">
        <v>1707</v>
      </c>
      <c r="I419" s="977"/>
      <c r="J419" s="977"/>
      <c r="K419" s="976" t="s">
        <v>1415</v>
      </c>
      <c r="L419" s="978" t="s">
        <v>1742</v>
      </c>
      <c r="M419" s="979">
        <v>28</v>
      </c>
    </row>
    <row r="420" spans="1:13" s="978" customFormat="1" x14ac:dyDescent="0.2">
      <c r="A420" s="971"/>
      <c r="B420" s="972"/>
      <c r="C420" s="973"/>
      <c r="D420" s="974" t="s">
        <v>556</v>
      </c>
      <c r="E420" s="972"/>
      <c r="F420" s="975">
        <v>45984</v>
      </c>
      <c r="G420" s="972" t="s">
        <v>124</v>
      </c>
      <c r="H420" s="976" t="s">
        <v>1509</v>
      </c>
      <c r="I420" s="977"/>
      <c r="J420" s="977"/>
      <c r="K420" s="976" t="s">
        <v>1415</v>
      </c>
      <c r="L420" s="978" t="s">
        <v>1741</v>
      </c>
      <c r="M420" s="979">
        <v>40</v>
      </c>
    </row>
    <row r="421" spans="1:13" s="978" customFormat="1" x14ac:dyDescent="0.2">
      <c r="A421" s="971"/>
      <c r="B421" s="972"/>
      <c r="C421" s="973"/>
      <c r="D421" s="974" t="s">
        <v>192</v>
      </c>
      <c r="E421" s="972"/>
      <c r="F421" s="975">
        <v>45988</v>
      </c>
      <c r="G421" s="972" t="s">
        <v>124</v>
      </c>
      <c r="H421" s="976" t="s">
        <v>895</v>
      </c>
      <c r="I421" s="977"/>
      <c r="J421" s="977"/>
      <c r="K421" s="976" t="s">
        <v>1415</v>
      </c>
      <c r="L421" s="978" t="s">
        <v>1733</v>
      </c>
      <c r="M421" s="979">
        <v>35</v>
      </c>
    </row>
    <row r="422" spans="1:13" s="978" customFormat="1" x14ac:dyDescent="0.2">
      <c r="A422" s="971"/>
      <c r="B422" s="972"/>
      <c r="C422" s="973"/>
      <c r="D422" s="974" t="s">
        <v>68</v>
      </c>
      <c r="E422" s="972"/>
      <c r="F422" s="975">
        <v>45969</v>
      </c>
      <c r="G422" s="972" t="s">
        <v>124</v>
      </c>
      <c r="H422" s="976" t="s">
        <v>1735</v>
      </c>
      <c r="I422" s="977"/>
      <c r="J422" s="977"/>
      <c r="K422" s="976" t="s">
        <v>1415</v>
      </c>
      <c r="L422" s="978" t="s">
        <v>1743</v>
      </c>
      <c r="M422" s="979">
        <v>27</v>
      </c>
    </row>
    <row r="423" spans="1:13" s="978" customFormat="1" x14ac:dyDescent="0.2">
      <c r="A423" s="971"/>
      <c r="B423" s="972"/>
      <c r="C423" s="973"/>
      <c r="D423" s="987" t="s">
        <v>160</v>
      </c>
      <c r="E423" s="972"/>
      <c r="F423" s="975">
        <v>45989</v>
      </c>
      <c r="G423" s="972" t="s">
        <v>124</v>
      </c>
      <c r="H423" s="976" t="s">
        <v>1474</v>
      </c>
      <c r="I423" s="977"/>
      <c r="J423" s="977"/>
      <c r="K423" s="976" t="s">
        <v>1415</v>
      </c>
      <c r="L423" s="978" t="s">
        <v>1745</v>
      </c>
      <c r="M423" s="979">
        <f>17+8</f>
        <v>25</v>
      </c>
    </row>
    <row r="424" spans="1:13" s="978" customFormat="1" x14ac:dyDescent="0.2">
      <c r="A424" s="971"/>
      <c r="B424" s="972"/>
      <c r="C424" s="973"/>
      <c r="D424" s="987" t="s">
        <v>41</v>
      </c>
      <c r="E424" s="972"/>
      <c r="F424" s="975">
        <v>45984</v>
      </c>
      <c r="G424" s="972" t="s">
        <v>124</v>
      </c>
      <c r="H424" s="976" t="s">
        <v>1636</v>
      </c>
      <c r="I424" s="977"/>
      <c r="J424" s="977"/>
      <c r="K424" s="976" t="s">
        <v>1415</v>
      </c>
      <c r="L424" s="978" t="s">
        <v>1744</v>
      </c>
      <c r="M424" s="979">
        <v>40</v>
      </c>
    </row>
    <row r="425" spans="1:13" x14ac:dyDescent="0.2">
      <c r="A425" s="392"/>
      <c r="B425" s="391"/>
      <c r="C425" s="388"/>
      <c r="D425" s="391"/>
      <c r="E425" s="391"/>
      <c r="F425" s="391"/>
      <c r="G425" s="391"/>
      <c r="H425" s="390"/>
      <c r="I425" s="393"/>
      <c r="J425" s="393"/>
      <c r="K425" s="390"/>
    </row>
    <row r="426" spans="1:13" x14ac:dyDescent="0.2">
      <c r="A426" s="392"/>
      <c r="B426" s="391"/>
      <c r="C426" s="388"/>
      <c r="D426" s="391"/>
      <c r="E426" s="391"/>
      <c r="F426" s="391"/>
      <c r="G426" s="391"/>
      <c r="H426" s="390"/>
      <c r="I426" s="393"/>
      <c r="J426" s="393"/>
      <c r="K426" s="390"/>
    </row>
    <row r="427" spans="1:13" x14ac:dyDescent="0.2">
      <c r="A427" s="392"/>
      <c r="B427" s="391"/>
      <c r="C427" s="388"/>
      <c r="D427" s="391"/>
      <c r="E427" s="391"/>
      <c r="F427" s="391"/>
      <c r="G427" s="391"/>
      <c r="H427" s="390"/>
      <c r="I427" s="393"/>
      <c r="J427" s="393"/>
      <c r="K427" s="390"/>
    </row>
    <row r="428" spans="1:13" x14ac:dyDescent="0.2">
      <c r="A428" s="392"/>
      <c r="B428" s="391"/>
      <c r="C428" s="388"/>
      <c r="D428" s="391"/>
      <c r="E428" s="391"/>
      <c r="F428" s="391"/>
      <c r="G428" s="391"/>
      <c r="H428" s="390"/>
      <c r="I428" s="393"/>
      <c r="J428" s="393"/>
      <c r="K428" s="390"/>
    </row>
    <row r="429" spans="1:13" x14ac:dyDescent="0.2">
      <c r="A429" s="392"/>
      <c r="B429" s="391"/>
      <c r="C429" s="388"/>
      <c r="D429" s="391"/>
      <c r="E429" s="391"/>
      <c r="F429" s="391"/>
      <c r="G429" s="391"/>
      <c r="H429" s="390"/>
      <c r="I429" s="393"/>
      <c r="J429" s="393"/>
      <c r="K429" s="390"/>
    </row>
    <row r="430" spans="1:13" x14ac:dyDescent="0.2">
      <c r="A430" s="392"/>
      <c r="B430" s="391"/>
      <c r="C430" s="388"/>
      <c r="D430" s="391"/>
      <c r="E430" s="391"/>
      <c r="F430" s="391"/>
      <c r="G430" s="391"/>
      <c r="H430" s="390"/>
      <c r="I430" s="393"/>
      <c r="J430" s="393"/>
      <c r="K430" s="390"/>
    </row>
    <row r="431" spans="1:13" x14ac:dyDescent="0.2">
      <c r="A431" s="392"/>
      <c r="B431" s="391"/>
      <c r="C431" s="388"/>
      <c r="D431" s="391"/>
      <c r="E431" s="391"/>
      <c r="F431" s="391"/>
      <c r="G431" s="391"/>
      <c r="H431" s="390"/>
      <c r="I431" s="393"/>
      <c r="J431" s="393"/>
      <c r="K431" s="390"/>
    </row>
    <row r="432" spans="1:13"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x14ac:dyDescent="0.2">
      <c r="A590" s="392"/>
      <c r="B590" s="391"/>
      <c r="C590" s="388"/>
      <c r="D590" s="391"/>
      <c r="E590" s="391"/>
      <c r="F590" s="391"/>
      <c r="G590" s="391"/>
      <c r="H590" s="390"/>
      <c r="I590" s="393"/>
      <c r="J590" s="393"/>
      <c r="K590" s="390"/>
    </row>
    <row r="591" spans="1:11" x14ac:dyDescent="0.2">
      <c r="A591" s="392"/>
      <c r="B591" s="391"/>
      <c r="C591" s="388"/>
      <c r="D591" s="391"/>
      <c r="E591" s="391"/>
      <c r="F591" s="391"/>
      <c r="G591" s="391"/>
      <c r="H591" s="390"/>
      <c r="I591" s="393"/>
      <c r="J591" s="393"/>
      <c r="K591" s="390"/>
    </row>
    <row r="592" spans="1:11" x14ac:dyDescent="0.2">
      <c r="A592" s="392"/>
      <c r="B592" s="391"/>
      <c r="C592" s="388"/>
      <c r="D592" s="391"/>
      <c r="E592" s="391"/>
      <c r="F592" s="391"/>
      <c r="G592" s="391"/>
      <c r="H592" s="390"/>
      <c r="I592" s="393"/>
      <c r="J592" s="393"/>
      <c r="K592" s="390"/>
    </row>
    <row r="593" spans="1:11" x14ac:dyDescent="0.2">
      <c r="A593" s="392"/>
      <c r="B593" s="391"/>
      <c r="C593" s="388"/>
      <c r="D593" s="391"/>
      <c r="E593" s="391"/>
      <c r="F593" s="391"/>
      <c r="G593" s="391"/>
      <c r="H593" s="390"/>
      <c r="I593" s="393"/>
      <c r="J593" s="393"/>
      <c r="K593" s="390"/>
    </row>
    <row r="594" spans="1:11" x14ac:dyDescent="0.2">
      <c r="A594" s="392"/>
      <c r="B594" s="391"/>
      <c r="C594" s="388"/>
      <c r="D594" s="391"/>
      <c r="E594" s="391"/>
      <c r="F594" s="391"/>
      <c r="G594" s="391"/>
      <c r="H594" s="390"/>
      <c r="I594" s="393"/>
      <c r="J594" s="393"/>
      <c r="K594" s="390"/>
    </row>
    <row r="595" spans="1:11" x14ac:dyDescent="0.2">
      <c r="A595" s="392"/>
      <c r="B595" s="391"/>
      <c r="C595" s="388"/>
      <c r="D595" s="391"/>
      <c r="E595" s="391"/>
      <c r="F595" s="391"/>
      <c r="G595" s="391"/>
      <c r="H595" s="390"/>
      <c r="I595" s="393"/>
      <c r="J595" s="393"/>
      <c r="K595" s="390"/>
    </row>
    <row r="596" spans="1:11" x14ac:dyDescent="0.2">
      <c r="A596" s="392"/>
      <c r="B596" s="391"/>
      <c r="C596" s="388"/>
      <c r="D596" s="391"/>
      <c r="E596" s="391"/>
      <c r="F596" s="391"/>
      <c r="G596" s="391"/>
      <c r="H596" s="390"/>
      <c r="I596" s="393"/>
      <c r="J596" s="393"/>
      <c r="K596" s="390"/>
    </row>
    <row r="597" spans="1:11" x14ac:dyDescent="0.2">
      <c r="A597" s="392"/>
      <c r="B597" s="391"/>
      <c r="C597" s="388"/>
      <c r="D597" s="391"/>
      <c r="E597" s="391"/>
      <c r="F597" s="391"/>
      <c r="G597" s="391"/>
      <c r="H597" s="390"/>
      <c r="I597" s="393"/>
      <c r="J597" s="393"/>
      <c r="K597" s="390"/>
    </row>
    <row r="598" spans="1:11" x14ac:dyDescent="0.2">
      <c r="A598" s="392"/>
      <c r="B598" s="391"/>
      <c r="C598" s="388"/>
      <c r="D598" s="391"/>
      <c r="E598" s="391"/>
      <c r="F598" s="391"/>
      <c r="G598" s="391"/>
      <c r="H598" s="390"/>
      <c r="I598" s="393"/>
      <c r="J598" s="393"/>
      <c r="K598" s="390"/>
    </row>
    <row r="599" spans="1:11" x14ac:dyDescent="0.2">
      <c r="A599" s="392"/>
      <c r="B599" s="391"/>
      <c r="C599" s="388"/>
      <c r="D599" s="391"/>
      <c r="E599" s="391"/>
      <c r="F599" s="391"/>
      <c r="G599" s="391"/>
      <c r="H599" s="390"/>
      <c r="I599" s="393"/>
      <c r="J599" s="393"/>
      <c r="K599" s="390"/>
    </row>
    <row r="600" spans="1:11" x14ac:dyDescent="0.2">
      <c r="A600" s="392"/>
      <c r="B600" s="391"/>
      <c r="C600" s="388"/>
      <c r="D600" s="391"/>
      <c r="E600" s="391"/>
      <c r="F600" s="391"/>
      <c r="G600" s="391"/>
      <c r="H600" s="390"/>
      <c r="I600" s="393"/>
      <c r="J600" s="393"/>
      <c r="K600" s="390"/>
    </row>
    <row r="601" spans="1:11" x14ac:dyDescent="0.2">
      <c r="A601" s="392"/>
      <c r="B601" s="391"/>
      <c r="C601" s="388"/>
      <c r="D601" s="391"/>
      <c r="E601" s="391"/>
      <c r="F601" s="391"/>
      <c r="G601" s="391"/>
      <c r="H601" s="390"/>
      <c r="I601" s="393"/>
      <c r="J601" s="393"/>
      <c r="K601" s="390"/>
    </row>
    <row r="602" spans="1:11" x14ac:dyDescent="0.2">
      <c r="A602" s="392"/>
      <c r="B602" s="391"/>
      <c r="C602" s="388"/>
      <c r="D602" s="391"/>
      <c r="E602" s="391"/>
      <c r="F602" s="391"/>
      <c r="G602" s="391"/>
      <c r="H602" s="390"/>
      <c r="I602" s="393"/>
      <c r="J602" s="393"/>
      <c r="K602" s="390"/>
    </row>
    <row r="603" spans="1:11" x14ac:dyDescent="0.2">
      <c r="A603" s="392"/>
      <c r="B603" s="391"/>
      <c r="C603" s="388"/>
      <c r="D603" s="391"/>
      <c r="E603" s="391"/>
      <c r="F603" s="391"/>
      <c r="G603" s="391"/>
      <c r="H603" s="390"/>
      <c r="I603" s="393"/>
      <c r="J603" s="393"/>
      <c r="K603" s="390"/>
    </row>
    <row r="604" spans="1:11" x14ac:dyDescent="0.2">
      <c r="A604" s="392"/>
      <c r="B604" s="391"/>
      <c r="C604" s="388"/>
      <c r="D604" s="391"/>
      <c r="E604" s="391"/>
      <c r="F604" s="391"/>
      <c r="G604" s="391"/>
      <c r="H604" s="390"/>
      <c r="I604" s="393"/>
      <c r="J604" s="393"/>
      <c r="K604" s="390"/>
    </row>
    <row r="605" spans="1:11" x14ac:dyDescent="0.2">
      <c r="A605" s="392"/>
      <c r="B605" s="391"/>
      <c r="C605" s="388"/>
      <c r="D605" s="391"/>
      <c r="E605" s="391"/>
      <c r="F605" s="391"/>
      <c r="G605" s="391"/>
      <c r="H605" s="390"/>
      <c r="I605" s="393"/>
      <c r="J605" s="393"/>
      <c r="K605" s="390"/>
    </row>
    <row r="606" spans="1:11" x14ac:dyDescent="0.2">
      <c r="A606" s="392"/>
      <c r="B606" s="391"/>
      <c r="C606" s="388"/>
      <c r="D606" s="391"/>
      <c r="E606" s="391"/>
      <c r="F606" s="391"/>
      <c r="G606" s="391"/>
      <c r="H606" s="390"/>
      <c r="I606" s="393"/>
      <c r="J606" s="393"/>
      <c r="K606" s="390"/>
    </row>
    <row r="607" spans="1:11" ht="13.5" thickBot="1" x14ac:dyDescent="0.25">
      <c r="A607" s="394"/>
      <c r="B607" s="395"/>
      <c r="C607" s="396"/>
      <c r="D607" s="397"/>
      <c r="E607" s="397"/>
      <c r="F607" s="397"/>
      <c r="G607" s="397"/>
      <c r="H607" s="398"/>
      <c r="I607" s="399"/>
      <c r="J607" s="399"/>
      <c r="K607" s="398"/>
    </row>
    <row r="608" spans="1:11" ht="13.5" thickTop="1" x14ac:dyDescent="0.2"/>
  </sheetData>
  <autoFilter ref="A4:U414"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213" activePane="bottomLeft" state="frozen"/>
      <selection activeCell="I204" sqref="I204"/>
      <selection pane="bottomLeft" activeCell="A224" sqref="A224:A228"/>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1278</v>
      </c>
    </row>
    <row r="2" spans="1:8" x14ac:dyDescent="0.25">
      <c r="A2" s="350" t="s">
        <v>1239</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1201</v>
      </c>
      <c r="H5" s="403" t="s">
        <v>1202</v>
      </c>
    </row>
    <row r="6" spans="1:8" x14ac:dyDescent="0.25">
      <c r="A6" s="352">
        <f>+SUBTOTAL(3,$E$6:$E6)</f>
        <v>1</v>
      </c>
      <c r="B6" s="354" t="s">
        <v>766</v>
      </c>
      <c r="C6" s="352" t="str">
        <f>+VLOOKUP(B6,'Erection Compiled'!$C$7:$D$620,2,FALSE)</f>
        <v>DA+3</v>
      </c>
      <c r="D6" s="358">
        <v>45342</v>
      </c>
      <c r="E6" s="358">
        <v>45342</v>
      </c>
      <c r="F6" s="352" t="s">
        <v>1028</v>
      </c>
      <c r="G6" s="352" t="s">
        <v>1030</v>
      </c>
      <c r="H6" s="352" t="s">
        <v>1030</v>
      </c>
    </row>
    <row r="7" spans="1:8" x14ac:dyDescent="0.25">
      <c r="A7" s="352">
        <f>+SUBTOTAL(3,$E$6:$E7)</f>
        <v>2</v>
      </c>
      <c r="B7" s="354" t="s">
        <v>767</v>
      </c>
      <c r="C7" s="352" t="str">
        <f>+VLOOKUP(B7,'Erection Compiled'!$C$7:$D$620,2,FALSE)</f>
        <v>DA+6</v>
      </c>
      <c r="D7" s="358">
        <v>45344</v>
      </c>
      <c r="E7" s="358">
        <v>45344</v>
      </c>
      <c r="F7" s="352" t="s">
        <v>1028</v>
      </c>
      <c r="G7" s="352" t="s">
        <v>1030</v>
      </c>
      <c r="H7" s="352" t="s">
        <v>1030</v>
      </c>
    </row>
    <row r="8" spans="1:8" x14ac:dyDescent="0.25">
      <c r="A8" s="352">
        <f>+SUBTOTAL(3,$E$6:$E8)</f>
        <v>3</v>
      </c>
      <c r="B8" s="354" t="s">
        <v>795</v>
      </c>
      <c r="C8" s="352" t="str">
        <f>+VLOOKUP(B8,'Erection Compiled'!$C$7:$D$620,2,FALSE)</f>
        <v>DA+0</v>
      </c>
      <c r="D8" s="358">
        <v>45349</v>
      </c>
      <c r="E8" s="358">
        <v>45349</v>
      </c>
      <c r="F8" s="352" t="s">
        <v>1028</v>
      </c>
      <c r="G8" s="352" t="s">
        <v>1030</v>
      </c>
      <c r="H8" s="352" t="s">
        <v>1030</v>
      </c>
    </row>
    <row r="9" spans="1:8" x14ac:dyDescent="0.25">
      <c r="A9" s="352">
        <f>+SUBTOTAL(3,$E$6:$E9)</f>
        <v>4</v>
      </c>
      <c r="B9" s="354" t="s">
        <v>807</v>
      </c>
      <c r="C9" s="352" t="str">
        <f>+VLOOKUP(B9,'Erection Compiled'!$C$7:$D$620,2,FALSE)</f>
        <v>DA+3</v>
      </c>
      <c r="D9" s="358">
        <v>45350</v>
      </c>
      <c r="E9" s="358">
        <v>45350</v>
      </c>
      <c r="F9" s="352" t="s">
        <v>1028</v>
      </c>
      <c r="G9" s="352" t="s">
        <v>1030</v>
      </c>
      <c r="H9" s="352" t="s">
        <v>1030</v>
      </c>
    </row>
    <row r="10" spans="1:8" x14ac:dyDescent="0.25">
      <c r="A10" s="352">
        <f>+SUBTOTAL(3,$E$6:$E10)</f>
        <v>5</v>
      </c>
      <c r="B10" s="354" t="s">
        <v>809</v>
      </c>
      <c r="C10" s="352" t="str">
        <f>+VLOOKUP(B10,'Erection Compiled'!$C$7:$D$620,2,FALSE)</f>
        <v>DA+3</v>
      </c>
      <c r="D10" s="358">
        <v>45352</v>
      </c>
      <c r="E10" s="358">
        <v>45353</v>
      </c>
      <c r="F10" s="352" t="s">
        <v>1028</v>
      </c>
      <c r="G10" s="352" t="s">
        <v>1030</v>
      </c>
      <c r="H10" s="352" t="s">
        <v>1030</v>
      </c>
    </row>
    <row r="11" spans="1:8" x14ac:dyDescent="0.25">
      <c r="A11" s="352">
        <f>+SUBTOTAL(3,$E$6:$E11)</f>
        <v>6</v>
      </c>
      <c r="B11" s="354" t="s">
        <v>793</v>
      </c>
      <c r="C11" s="352" t="str">
        <f>+VLOOKUP(B11,'Erection Compiled'!$C$7:$D$620,2,FALSE)</f>
        <v>DA+0</v>
      </c>
      <c r="D11" s="358">
        <v>45325</v>
      </c>
      <c r="E11" s="358">
        <v>45325</v>
      </c>
      <c r="F11" s="352" t="s">
        <v>1028</v>
      </c>
      <c r="G11" s="352" t="s">
        <v>1030</v>
      </c>
      <c r="H11" s="352" t="s">
        <v>1030</v>
      </c>
    </row>
    <row r="12" spans="1:8" x14ac:dyDescent="0.25">
      <c r="A12" s="352">
        <f>+SUBTOTAL(3,$E$6:$E12)</f>
        <v>7</v>
      </c>
      <c r="B12" s="354" t="s">
        <v>794</v>
      </c>
      <c r="C12" s="352" t="str">
        <f>+VLOOKUP(B12,'Erection Compiled'!$C$7:$D$620,2,FALSE)</f>
        <v>DA+3</v>
      </c>
      <c r="D12" s="358">
        <v>45355</v>
      </c>
      <c r="E12" s="358">
        <v>45355</v>
      </c>
      <c r="F12" s="352" t="s">
        <v>1028</v>
      </c>
      <c r="G12" s="352" t="s">
        <v>1030</v>
      </c>
      <c r="H12" s="352" t="s">
        <v>1030</v>
      </c>
    </row>
    <row r="13" spans="1:8" x14ac:dyDescent="0.25">
      <c r="A13" s="352">
        <f>+SUBTOTAL(3,$E$6:$E13)</f>
        <v>8</v>
      </c>
      <c r="B13" s="354" t="s">
        <v>765</v>
      </c>
      <c r="C13" s="352" t="str">
        <f>+VLOOKUP(B13,'Erection Compiled'!$C$7:$D$620,2,FALSE)</f>
        <v>DA+6</v>
      </c>
      <c r="D13" s="358">
        <v>45356</v>
      </c>
      <c r="E13" s="358">
        <v>45356</v>
      </c>
      <c r="F13" s="352" t="s">
        <v>1028</v>
      </c>
      <c r="G13" s="352" t="s">
        <v>1030</v>
      </c>
      <c r="H13" s="352" t="s">
        <v>1030</v>
      </c>
    </row>
    <row r="14" spans="1:8" x14ac:dyDescent="0.25">
      <c r="A14" s="352">
        <f>+SUBTOTAL(3,$E$6:$E14)</f>
        <v>9</v>
      </c>
      <c r="B14" s="354" t="s">
        <v>763</v>
      </c>
      <c r="C14" s="352" t="str">
        <f>+VLOOKUP(B14,'Erection Compiled'!$C$7:$D$620,2,FALSE)</f>
        <v>DA+0</v>
      </c>
      <c r="D14" s="358">
        <v>45357</v>
      </c>
      <c r="E14" s="358">
        <v>45357</v>
      </c>
      <c r="F14" s="352" t="s">
        <v>1028</v>
      </c>
      <c r="G14" s="352" t="s">
        <v>1030</v>
      </c>
      <c r="H14" s="352" t="s">
        <v>1030</v>
      </c>
    </row>
    <row r="15" spans="1:8" x14ac:dyDescent="0.25">
      <c r="A15" s="352">
        <f>+SUBTOTAL(3,$E$6:$E15)</f>
        <v>10</v>
      </c>
      <c r="B15" s="354" t="s">
        <v>762</v>
      </c>
      <c r="C15" s="352" t="str">
        <f>+VLOOKUP(B15,'Erection Compiled'!$C$7:$D$620,2,FALSE)</f>
        <v>DA+3</v>
      </c>
      <c r="D15" s="358">
        <v>45358</v>
      </c>
      <c r="E15" s="358">
        <v>45358</v>
      </c>
      <c r="F15" s="352" t="s">
        <v>1028</v>
      </c>
      <c r="G15" s="352" t="s">
        <v>1030</v>
      </c>
      <c r="H15" s="352" t="s">
        <v>1030</v>
      </c>
    </row>
    <row r="16" spans="1:8" x14ac:dyDescent="0.25">
      <c r="A16" s="352">
        <f>+SUBTOTAL(3,$E$6:$E16)</f>
        <v>11</v>
      </c>
      <c r="B16" s="354" t="s">
        <v>776</v>
      </c>
      <c r="C16" s="352" t="str">
        <f>+VLOOKUP(B16,'Erection Compiled'!$C$7:$D$620,2,FALSE)</f>
        <v>DA+3</v>
      </c>
      <c r="D16" s="358">
        <v>45360</v>
      </c>
      <c r="E16" s="358">
        <v>45360</v>
      </c>
      <c r="F16" s="352" t="s">
        <v>1028</v>
      </c>
      <c r="G16" s="352" t="s">
        <v>1030</v>
      </c>
      <c r="H16" s="352" t="s">
        <v>1030</v>
      </c>
    </row>
    <row r="17" spans="1:8" x14ac:dyDescent="0.25">
      <c r="A17" s="352">
        <f>+SUBTOTAL(3,$E$6:$E17)</f>
        <v>12</v>
      </c>
      <c r="B17" s="352" t="s">
        <v>792</v>
      </c>
      <c r="C17" s="352" t="str">
        <f>+VLOOKUP(B17,'Erection Compiled'!$C$7:$D$620,2,FALSE)</f>
        <v>DA+3</v>
      </c>
      <c r="D17" s="358">
        <v>45361</v>
      </c>
      <c r="E17" s="358">
        <v>45361</v>
      </c>
      <c r="F17" s="352" t="s">
        <v>1028</v>
      </c>
      <c r="G17" s="352" t="s">
        <v>1030</v>
      </c>
      <c r="H17" s="352" t="s">
        <v>1030</v>
      </c>
    </row>
    <row r="18" spans="1:8" x14ac:dyDescent="0.25">
      <c r="A18" s="352">
        <f>+SUBTOTAL(3,$E$6:$E18)</f>
        <v>13</v>
      </c>
      <c r="B18" s="352" t="s">
        <v>797</v>
      </c>
      <c r="C18" s="352" t="str">
        <f>+VLOOKUP(B18,'Erection Compiled'!$C$7:$D$620,2,FALSE)</f>
        <v>DA+3</v>
      </c>
      <c r="D18" s="358">
        <v>45362</v>
      </c>
      <c r="E18" s="358">
        <v>45362</v>
      </c>
      <c r="F18" s="352" t="s">
        <v>1028</v>
      </c>
      <c r="G18" s="352" t="s">
        <v>1030</v>
      </c>
      <c r="H18" s="352" t="s">
        <v>1030</v>
      </c>
    </row>
    <row r="19" spans="1:8" x14ac:dyDescent="0.25">
      <c r="A19" s="352">
        <f>+SUBTOTAL(3,$E$6:$E19)</f>
        <v>14</v>
      </c>
      <c r="B19" s="352" t="s">
        <v>811</v>
      </c>
      <c r="C19" s="352" t="str">
        <f>+VLOOKUP(B19,'Erection Compiled'!$C$7:$D$620,2,FALSE)</f>
        <v>DA+0</v>
      </c>
      <c r="D19" s="358">
        <v>45363</v>
      </c>
      <c r="E19" s="358">
        <v>45363</v>
      </c>
      <c r="F19" s="352" t="s">
        <v>1028</v>
      </c>
      <c r="G19" s="352" t="s">
        <v>1030</v>
      </c>
      <c r="H19" s="352" t="s">
        <v>1030</v>
      </c>
    </row>
    <row r="20" spans="1:8" x14ac:dyDescent="0.25">
      <c r="A20" s="352">
        <f>+SUBTOTAL(3,$E$6:$E20)</f>
        <v>15</v>
      </c>
      <c r="B20" s="352" t="s">
        <v>760</v>
      </c>
      <c r="C20" s="352" t="str">
        <f>+VLOOKUP(B20,'Erection Compiled'!$C$7:$D$620,2,FALSE)</f>
        <v>DA+3</v>
      </c>
      <c r="D20" s="358">
        <v>45363</v>
      </c>
      <c r="E20" s="358">
        <v>45363</v>
      </c>
      <c r="F20" s="352" t="s">
        <v>1029</v>
      </c>
      <c r="G20" s="352" t="s">
        <v>1030</v>
      </c>
      <c r="H20" s="352" t="s">
        <v>1030</v>
      </c>
    </row>
    <row r="21" spans="1:8" x14ac:dyDescent="0.25">
      <c r="A21" s="352">
        <f>+SUBTOTAL(3,$E$6:$E21)</f>
        <v>16</v>
      </c>
      <c r="B21" s="352" t="s">
        <v>814</v>
      </c>
      <c r="C21" s="352" t="str">
        <f>+VLOOKUP(B21,'Erection Compiled'!$C$7:$D$620,2,FALSE)</f>
        <v>DA+3</v>
      </c>
      <c r="D21" s="358">
        <v>45364</v>
      </c>
      <c r="E21" s="358">
        <v>45364</v>
      </c>
      <c r="F21" s="352" t="s">
        <v>1028</v>
      </c>
      <c r="G21" s="352" t="s">
        <v>1030</v>
      </c>
      <c r="H21" s="352" t="s">
        <v>1030</v>
      </c>
    </row>
    <row r="22" spans="1:8" x14ac:dyDescent="0.25">
      <c r="A22" s="352">
        <f>+SUBTOTAL(3,$E$6:$E22)</f>
        <v>17</v>
      </c>
      <c r="B22" s="352" t="s">
        <v>780</v>
      </c>
      <c r="C22" s="352" t="str">
        <f>+VLOOKUP(B22,'Erection Compiled'!$C$7:$D$620,2,FALSE)</f>
        <v>DA+3</v>
      </c>
      <c r="D22" s="358">
        <v>45366</v>
      </c>
      <c r="E22" s="358">
        <v>45366</v>
      </c>
      <c r="F22" s="352" t="s">
        <v>1029</v>
      </c>
      <c r="G22" s="352" t="s">
        <v>1030</v>
      </c>
      <c r="H22" s="352" t="s">
        <v>1030</v>
      </c>
    </row>
    <row r="23" spans="1:8" x14ac:dyDescent="0.25">
      <c r="A23" s="352">
        <f>+SUBTOTAL(3,$E$6:$E23)</f>
        <v>18</v>
      </c>
      <c r="B23" s="352" t="s">
        <v>798</v>
      </c>
      <c r="C23" s="352" t="str">
        <f>+VLOOKUP(B23,'Erection Compiled'!$C$7:$D$620,2,FALSE)</f>
        <v>DA+0</v>
      </c>
      <c r="D23" s="358">
        <v>45366</v>
      </c>
      <c r="E23" s="358">
        <v>45366</v>
      </c>
      <c r="F23" s="352" t="s">
        <v>1028</v>
      </c>
      <c r="G23" s="352" t="s">
        <v>1030</v>
      </c>
      <c r="H23" s="352" t="s">
        <v>1030</v>
      </c>
    </row>
    <row r="24" spans="1:8" x14ac:dyDescent="0.25">
      <c r="A24" s="352">
        <f>+SUBTOTAL(3,$E$6:$E24)</f>
        <v>19</v>
      </c>
      <c r="B24" s="352" t="s">
        <v>824</v>
      </c>
      <c r="C24" s="352" t="str">
        <f>+VLOOKUP(B24,'Erection Compiled'!$C$7:$D$620,2,FALSE)</f>
        <v>DA+0</v>
      </c>
      <c r="D24" s="358">
        <v>45367</v>
      </c>
      <c r="E24" s="358">
        <v>45367</v>
      </c>
      <c r="F24" s="352" t="s">
        <v>1028</v>
      </c>
      <c r="G24" s="352" t="s">
        <v>1030</v>
      </c>
      <c r="H24" s="352" t="s">
        <v>1030</v>
      </c>
    </row>
    <row r="25" spans="1:8" x14ac:dyDescent="0.25">
      <c r="A25" s="352">
        <f>+SUBTOTAL(3,$E$6:$E25)</f>
        <v>20</v>
      </c>
      <c r="B25" s="352" t="s">
        <v>775</v>
      </c>
      <c r="C25" s="352" t="str">
        <f>+VLOOKUP(B25,'Erection Compiled'!$C$7:$D$620,2,FALSE)</f>
        <v>DA+0</v>
      </c>
      <c r="D25" s="358">
        <v>45367</v>
      </c>
      <c r="E25" s="358">
        <v>45367</v>
      </c>
      <c r="F25" s="352" t="s">
        <v>1029</v>
      </c>
      <c r="G25" s="352" t="s">
        <v>1030</v>
      </c>
      <c r="H25" s="352" t="s">
        <v>1030</v>
      </c>
    </row>
    <row r="26" spans="1:8" x14ac:dyDescent="0.25">
      <c r="A26" s="352">
        <f>+SUBTOTAL(3,$E$6:$E26)</f>
        <v>21</v>
      </c>
      <c r="B26" s="352" t="s">
        <v>826</v>
      </c>
      <c r="C26" s="352" t="str">
        <f>+VLOOKUP(B26,'Erection Compiled'!$C$7:$D$620,2,FALSE)</f>
        <v>DA+0</v>
      </c>
      <c r="D26" s="358">
        <v>45368</v>
      </c>
      <c r="E26" s="358">
        <v>45368</v>
      </c>
      <c r="F26" s="352" t="s">
        <v>1028</v>
      </c>
      <c r="G26" s="352" t="s">
        <v>1030</v>
      </c>
      <c r="H26" s="352" t="s">
        <v>1030</v>
      </c>
    </row>
    <row r="27" spans="1:8" x14ac:dyDescent="0.25">
      <c r="A27" s="352">
        <f>+SUBTOTAL(3,$E$6:$E27)</f>
        <v>22</v>
      </c>
      <c r="B27" s="352" t="s">
        <v>815</v>
      </c>
      <c r="C27" s="352" t="str">
        <f>+VLOOKUP(B27,'Erection Compiled'!$C$7:$D$620,2,FALSE)</f>
        <v>DA+3</v>
      </c>
      <c r="D27" s="358">
        <v>45369</v>
      </c>
      <c r="E27" s="358">
        <v>45369</v>
      </c>
      <c r="F27" s="352" t="s">
        <v>1028</v>
      </c>
      <c r="G27" s="352" t="s">
        <v>1030</v>
      </c>
      <c r="H27" s="352" t="s">
        <v>1030</v>
      </c>
    </row>
    <row r="28" spans="1:8" x14ac:dyDescent="0.25">
      <c r="A28" s="352">
        <f>+SUBTOTAL(3,$E$6:$E28)</f>
        <v>23</v>
      </c>
      <c r="B28" s="352" t="s">
        <v>799</v>
      </c>
      <c r="C28" s="352" t="str">
        <f>+VLOOKUP(B28,'Erection Compiled'!$C$7:$D$620,2,FALSE)</f>
        <v>DA+3</v>
      </c>
      <c r="D28" s="358">
        <v>45370</v>
      </c>
      <c r="E28" s="358">
        <v>45370</v>
      </c>
      <c r="F28" s="352" t="s">
        <v>1028</v>
      </c>
      <c r="G28" s="352" t="s">
        <v>1030</v>
      </c>
      <c r="H28" s="352" t="s">
        <v>1030</v>
      </c>
    </row>
    <row r="29" spans="1:8" x14ac:dyDescent="0.25">
      <c r="A29" s="352">
        <f>+SUBTOTAL(3,$E$6:$E29)</f>
        <v>24</v>
      </c>
      <c r="B29" s="352" t="s">
        <v>777</v>
      </c>
      <c r="C29" s="352" t="str">
        <f>+VLOOKUP(B29,'Erection Compiled'!$C$7:$D$620,2,FALSE)</f>
        <v>DA+0</v>
      </c>
      <c r="D29" s="358">
        <v>45370</v>
      </c>
      <c r="E29" s="358">
        <v>45370</v>
      </c>
      <c r="F29" s="352" t="s">
        <v>1029</v>
      </c>
      <c r="G29" s="352" t="s">
        <v>1030</v>
      </c>
      <c r="H29" s="352" t="s">
        <v>1030</v>
      </c>
    </row>
    <row r="30" spans="1:8" x14ac:dyDescent="0.25">
      <c r="A30" s="352">
        <f>+SUBTOTAL(3,$E$6:$E30)</f>
        <v>25</v>
      </c>
      <c r="B30" s="352" t="s">
        <v>800</v>
      </c>
      <c r="C30" s="352" t="str">
        <f>+VLOOKUP(B30,'Erection Compiled'!$C$7:$D$620,2,FALSE)</f>
        <v>DA+0</v>
      </c>
      <c r="D30" s="358">
        <v>45372</v>
      </c>
      <c r="E30" s="358">
        <v>45372</v>
      </c>
      <c r="F30" s="352" t="s">
        <v>1028</v>
      </c>
      <c r="G30" s="352" t="s">
        <v>1030</v>
      </c>
      <c r="H30" s="352" t="s">
        <v>1030</v>
      </c>
    </row>
    <row r="31" spans="1:8" x14ac:dyDescent="0.25">
      <c r="A31" s="352">
        <f>+SUBTOTAL(3,$E$6:$E31)</f>
        <v>26</v>
      </c>
      <c r="B31" s="352" t="s">
        <v>825</v>
      </c>
      <c r="C31" s="352" t="str">
        <f>+VLOOKUP(B31,'Erection Compiled'!$C$7:$D$620,2,FALSE)</f>
        <v>DA+3</v>
      </c>
      <c r="D31" s="358">
        <v>45373</v>
      </c>
      <c r="E31" s="358">
        <v>45373</v>
      </c>
      <c r="F31" s="352" t="s">
        <v>1028</v>
      </c>
      <c r="G31" s="352" t="s">
        <v>1030</v>
      </c>
      <c r="H31" s="352" t="s">
        <v>1030</v>
      </c>
    </row>
    <row r="32" spans="1:8" x14ac:dyDescent="0.25">
      <c r="A32" s="352">
        <f>+SUBTOTAL(3,$E$6:$E32)</f>
        <v>27</v>
      </c>
      <c r="B32" s="352" t="s">
        <v>759</v>
      </c>
      <c r="C32" s="352" t="str">
        <f>+VLOOKUP(B32,'Erection Compiled'!$C$7:$D$620,2,FALSE)</f>
        <v>DA+3</v>
      </c>
      <c r="D32" s="358">
        <v>45373</v>
      </c>
      <c r="E32" s="358">
        <v>45373</v>
      </c>
      <c r="F32" s="352" t="s">
        <v>1029</v>
      </c>
      <c r="G32" s="352" t="s">
        <v>1030</v>
      </c>
      <c r="H32" s="352" t="s">
        <v>1030</v>
      </c>
    </row>
    <row r="33" spans="1:8" x14ac:dyDescent="0.25">
      <c r="A33" s="352">
        <f>+SUBTOTAL(3,$E$6:$E33)</f>
        <v>28</v>
      </c>
      <c r="B33" s="352" t="s">
        <v>779</v>
      </c>
      <c r="C33" s="352" t="str">
        <f>+VLOOKUP(B33,'Erection Compiled'!$C$7:$D$620,2,FALSE)</f>
        <v>DA+0</v>
      </c>
      <c r="D33" s="358">
        <v>45375</v>
      </c>
      <c r="E33" s="358">
        <v>45375</v>
      </c>
      <c r="F33" s="352" t="s">
        <v>1028</v>
      </c>
      <c r="G33" s="352" t="s">
        <v>1030</v>
      </c>
      <c r="H33" s="352" t="s">
        <v>1030</v>
      </c>
    </row>
    <row r="34" spans="1:8" x14ac:dyDescent="0.25">
      <c r="A34" s="352">
        <f>+SUBTOTAL(3,$E$6:$E34)</f>
        <v>29</v>
      </c>
      <c r="B34" s="352" t="s">
        <v>786</v>
      </c>
      <c r="C34" s="352" t="str">
        <f>+VLOOKUP(B34,'Erection Compiled'!$C$7:$D$620,2,FALSE)</f>
        <v>DA+3</v>
      </c>
      <c r="D34" s="358">
        <v>45379</v>
      </c>
      <c r="E34" s="358">
        <v>45379</v>
      </c>
      <c r="F34" s="352" t="s">
        <v>1028</v>
      </c>
      <c r="G34" s="352" t="s">
        <v>1030</v>
      </c>
      <c r="H34" s="352" t="s">
        <v>1030</v>
      </c>
    </row>
    <row r="35" spans="1:8" x14ac:dyDescent="0.25">
      <c r="A35" s="352">
        <f>+SUBTOTAL(3,$E$6:$E35)</f>
        <v>30</v>
      </c>
      <c r="B35" s="352" t="s">
        <v>827</v>
      </c>
      <c r="C35" s="352" t="str">
        <f>+VLOOKUP(B35,'Erection Compiled'!$C$7:$D$620,2,FALSE)</f>
        <v>DA+0</v>
      </c>
      <c r="D35" s="358">
        <v>45380</v>
      </c>
      <c r="E35" s="358">
        <v>45380</v>
      </c>
      <c r="F35" s="352" t="s">
        <v>1028</v>
      </c>
      <c r="G35" s="352" t="s">
        <v>1030</v>
      </c>
      <c r="H35" s="352" t="s">
        <v>1030</v>
      </c>
    </row>
    <row r="36" spans="1:8" x14ac:dyDescent="0.25">
      <c r="A36" s="352">
        <f>+SUBTOTAL(3,$E$6:$E36)</f>
        <v>31</v>
      </c>
      <c r="B36" s="352" t="s">
        <v>816</v>
      </c>
      <c r="C36" s="352" t="str">
        <f>+VLOOKUP(B36,'Erection Compiled'!$C$7:$D$620,2,FALSE)</f>
        <v>DA+0</v>
      </c>
      <c r="D36" s="358">
        <v>45383</v>
      </c>
      <c r="E36" s="358">
        <v>45383</v>
      </c>
      <c r="F36" s="352" t="s">
        <v>1028</v>
      </c>
      <c r="G36" s="352" t="s">
        <v>1030</v>
      </c>
      <c r="H36" s="352" t="s">
        <v>1030</v>
      </c>
    </row>
    <row r="37" spans="1:8" x14ac:dyDescent="0.25">
      <c r="A37" s="352">
        <f>+SUBTOTAL(3,$E$6:$E37)</f>
        <v>32</v>
      </c>
      <c r="B37" s="352" t="s">
        <v>787</v>
      </c>
      <c r="C37" s="352" t="str">
        <f>+VLOOKUP(B37,'Erection Compiled'!$C$7:$D$620,2,FALSE)</f>
        <v>DA+9</v>
      </c>
      <c r="D37" s="358">
        <v>45385</v>
      </c>
      <c r="E37" s="358">
        <v>45385</v>
      </c>
      <c r="F37" s="352" t="s">
        <v>1028</v>
      </c>
      <c r="G37" s="352" t="s">
        <v>1030</v>
      </c>
      <c r="H37" s="352" t="s">
        <v>1030</v>
      </c>
    </row>
    <row r="38" spans="1:8" x14ac:dyDescent="0.25">
      <c r="A38" s="352">
        <f>+SUBTOTAL(3,$E$6:$E38)</f>
        <v>33</v>
      </c>
      <c r="B38" s="352" t="s">
        <v>828</v>
      </c>
      <c r="C38" s="352" t="str">
        <f>+VLOOKUP(B38,'Erection Compiled'!$C$7:$D$620,2,FALSE)</f>
        <v>DA+0</v>
      </c>
      <c r="D38" s="358">
        <v>45386</v>
      </c>
      <c r="E38" s="358">
        <v>45386</v>
      </c>
      <c r="F38" s="352" t="s">
        <v>1028</v>
      </c>
      <c r="G38" s="352" t="s">
        <v>1030</v>
      </c>
      <c r="H38" s="352" t="s">
        <v>1030</v>
      </c>
    </row>
    <row r="39" spans="1:8" x14ac:dyDescent="0.25">
      <c r="A39" s="352">
        <f>+SUBTOTAL(3,$E$6:$E39)</f>
        <v>34</v>
      </c>
      <c r="B39" s="352" t="s">
        <v>817</v>
      </c>
      <c r="C39" s="352" t="str">
        <f>+VLOOKUP(B39,'Erection Compiled'!$C$7:$D$620,2,FALSE)</f>
        <v>DA+3</v>
      </c>
      <c r="D39" s="358">
        <v>45388</v>
      </c>
      <c r="E39" s="358">
        <v>45388</v>
      </c>
      <c r="F39" s="352" t="s">
        <v>1028</v>
      </c>
      <c r="G39" s="352" t="s">
        <v>1030</v>
      </c>
      <c r="H39" s="352" t="s">
        <v>1030</v>
      </c>
    </row>
    <row r="40" spans="1:8" x14ac:dyDescent="0.25">
      <c r="A40" s="352">
        <f>+SUBTOTAL(3,$E$6:$E40)</f>
        <v>35</v>
      </c>
      <c r="B40" s="352" t="s">
        <v>808</v>
      </c>
      <c r="C40" s="352" t="str">
        <f>+VLOOKUP(B40,'Erection Compiled'!$C$7:$D$620,2,FALSE)</f>
        <v>DA+3</v>
      </c>
      <c r="D40" s="358">
        <v>45403</v>
      </c>
      <c r="E40" s="358">
        <v>45404</v>
      </c>
      <c r="F40" s="352" t="s">
        <v>1028</v>
      </c>
      <c r="G40" s="352" t="s">
        <v>1030</v>
      </c>
      <c r="H40" s="352" t="s">
        <v>1030</v>
      </c>
    </row>
    <row r="41" spans="1:8" x14ac:dyDescent="0.25">
      <c r="A41" s="352">
        <f>+SUBTOTAL(3,$E$6:$E41)</f>
        <v>36</v>
      </c>
      <c r="B41" s="352" t="s">
        <v>819</v>
      </c>
      <c r="C41" s="352" t="str">
        <f>+VLOOKUP(B41,'Erection Compiled'!$C$7:$D$620,2,FALSE)</f>
        <v>DA+3</v>
      </c>
      <c r="D41" s="358">
        <v>45406</v>
      </c>
      <c r="E41" s="358">
        <v>45406</v>
      </c>
      <c r="F41" s="352" t="s">
        <v>1028</v>
      </c>
      <c r="G41" s="352" t="s">
        <v>1030</v>
      </c>
      <c r="H41" s="352" t="s">
        <v>1030</v>
      </c>
    </row>
    <row r="42" spans="1:8" x14ac:dyDescent="0.25">
      <c r="A42" s="352">
        <f>+SUBTOTAL(3,$E$6:$E42)</f>
        <v>37</v>
      </c>
      <c r="B42" s="352" t="s">
        <v>98</v>
      </c>
      <c r="C42" s="352" t="str">
        <f>+VLOOKUP(B42,'Erection Compiled'!$C$7:$D$620,2,FALSE)</f>
        <v>DB2+0</v>
      </c>
      <c r="D42" s="358">
        <v>45407</v>
      </c>
      <c r="E42" s="358">
        <v>45407</v>
      </c>
      <c r="F42" s="352" t="s">
        <v>1029</v>
      </c>
      <c r="G42" s="352" t="s">
        <v>1030</v>
      </c>
      <c r="H42" s="352" t="s">
        <v>1030</v>
      </c>
    </row>
    <row r="43" spans="1:8" x14ac:dyDescent="0.25">
      <c r="A43" s="352">
        <f>+SUBTOTAL(3,$E$6:$E43)</f>
        <v>38</v>
      </c>
      <c r="B43" s="352" t="s">
        <v>829</v>
      </c>
      <c r="C43" s="352" t="str">
        <f>+VLOOKUP(B43,'Erection Compiled'!$C$7:$D$620,2,FALSE)</f>
        <v>DA+0</v>
      </c>
      <c r="D43" s="358">
        <v>45409</v>
      </c>
      <c r="E43" s="358">
        <v>45409</v>
      </c>
      <c r="F43" s="352" t="s">
        <v>1028</v>
      </c>
      <c r="G43" s="352" t="s">
        <v>1030</v>
      </c>
      <c r="H43" s="352" t="s">
        <v>1030</v>
      </c>
    </row>
    <row r="44" spans="1:8" x14ac:dyDescent="0.25">
      <c r="A44" s="352">
        <f>+SUBTOTAL(3,$E$6:$E44)</f>
        <v>39</v>
      </c>
      <c r="B44" s="352" t="s">
        <v>831</v>
      </c>
      <c r="C44" s="352" t="str">
        <f>+VLOOKUP(B44,'Erection Compiled'!$C$7:$D$620,2,FALSE)</f>
        <v>DA+0</v>
      </c>
      <c r="D44" s="358">
        <v>45410</v>
      </c>
      <c r="E44" s="358">
        <v>45410</v>
      </c>
      <c r="F44" s="352" t="s">
        <v>1028</v>
      </c>
      <c r="G44" s="352" t="s">
        <v>1030</v>
      </c>
      <c r="H44" s="352" t="s">
        <v>1030</v>
      </c>
    </row>
    <row r="45" spans="1:8" x14ac:dyDescent="0.25">
      <c r="A45" s="352">
        <f>+SUBTOTAL(3,$E$6:$E45)</f>
        <v>40</v>
      </c>
      <c r="B45" s="352" t="s">
        <v>833</v>
      </c>
      <c r="C45" s="352" t="str">
        <f>+VLOOKUP(B45,'Erection Compiled'!$C$7:$D$620,2,FALSE)</f>
        <v>DA+0</v>
      </c>
      <c r="D45" s="358">
        <v>45411</v>
      </c>
      <c r="E45" s="358">
        <v>45411</v>
      </c>
      <c r="F45" s="352" t="s">
        <v>1028</v>
      </c>
      <c r="G45" s="352" t="s">
        <v>1030</v>
      </c>
      <c r="H45" s="352" t="s">
        <v>1030</v>
      </c>
    </row>
    <row r="46" spans="1:8" x14ac:dyDescent="0.25">
      <c r="A46" s="352">
        <f>+SUBTOTAL(3,$E$6:$E46)</f>
        <v>41</v>
      </c>
      <c r="B46" s="352" t="s">
        <v>782</v>
      </c>
      <c r="C46" s="352" t="str">
        <f>+VLOOKUP(B46,'Erection Compiled'!$C$7:$D$620,2,FALSE)</f>
        <v>DA+6</v>
      </c>
      <c r="D46" s="358">
        <v>45411</v>
      </c>
      <c r="E46" s="358">
        <v>45412</v>
      </c>
      <c r="F46" s="352" t="s">
        <v>1029</v>
      </c>
      <c r="G46" s="352" t="s">
        <v>1030</v>
      </c>
      <c r="H46" s="352" t="s">
        <v>1030</v>
      </c>
    </row>
    <row r="47" spans="1:8" x14ac:dyDescent="0.25">
      <c r="A47" s="352">
        <f>+SUBTOTAL(3,$E$6:$E47)</f>
        <v>42</v>
      </c>
      <c r="B47" s="352" t="s">
        <v>820</v>
      </c>
      <c r="C47" s="352" t="str">
        <f>+VLOOKUP(B47,'Erection Compiled'!$C$7:$D$620,2,FALSE)</f>
        <v>DA+3</v>
      </c>
      <c r="D47" s="358">
        <v>45417</v>
      </c>
      <c r="E47" s="358">
        <v>45417</v>
      </c>
      <c r="F47" s="352" t="s">
        <v>1028</v>
      </c>
      <c r="G47" s="352" t="s">
        <v>1030</v>
      </c>
      <c r="H47" s="352" t="s">
        <v>1030</v>
      </c>
    </row>
    <row r="48" spans="1:8" x14ac:dyDescent="0.25">
      <c r="A48" s="352">
        <f>+SUBTOTAL(3,$E$6:$E48)</f>
        <v>43</v>
      </c>
      <c r="B48" s="352" t="s">
        <v>832</v>
      </c>
      <c r="C48" s="352" t="str">
        <f>+VLOOKUP(B48,'Erection Compiled'!$C$7:$D$620,2,FALSE)</f>
        <v>DA+0</v>
      </c>
      <c r="D48" s="358">
        <v>45419</v>
      </c>
      <c r="E48" s="358">
        <v>45419</v>
      </c>
      <c r="F48" s="352" t="s">
        <v>1028</v>
      </c>
      <c r="G48" s="352" t="s">
        <v>1030</v>
      </c>
      <c r="H48" s="352" t="s">
        <v>1030</v>
      </c>
    </row>
    <row r="49" spans="1:8" x14ac:dyDescent="0.25">
      <c r="A49" s="352">
        <f>+SUBTOTAL(3,$E$6:$E49)</f>
        <v>44</v>
      </c>
      <c r="B49" s="352" t="s">
        <v>818</v>
      </c>
      <c r="C49" s="352" t="str">
        <f>+VLOOKUP(B49,'Erection Compiled'!$C$7:$D$620,2,FALSE)</f>
        <v>DA+3</v>
      </c>
      <c r="D49" s="358">
        <v>45421</v>
      </c>
      <c r="E49" s="358">
        <v>45421</v>
      </c>
      <c r="F49" s="352" t="s">
        <v>1028</v>
      </c>
      <c r="G49" s="352" t="s">
        <v>1030</v>
      </c>
      <c r="H49" s="352" t="s">
        <v>1030</v>
      </c>
    </row>
    <row r="50" spans="1:8" x14ac:dyDescent="0.25">
      <c r="A50" s="352">
        <f>+SUBTOTAL(3,$E$6:$E50)</f>
        <v>45</v>
      </c>
      <c r="B50" s="352" t="s">
        <v>823</v>
      </c>
      <c r="C50" s="352" t="str">
        <f>+VLOOKUP(B50,'Erection Compiled'!$C$7:$D$620,2,FALSE)</f>
        <v>DA+0</v>
      </c>
      <c r="D50" s="358">
        <v>45422</v>
      </c>
      <c r="E50" s="358">
        <v>45422</v>
      </c>
      <c r="F50" s="352" t="s">
        <v>1028</v>
      </c>
      <c r="G50" s="352" t="s">
        <v>1030</v>
      </c>
      <c r="H50" s="352" t="s">
        <v>1030</v>
      </c>
    </row>
    <row r="51" spans="1:8" x14ac:dyDescent="0.25">
      <c r="A51" s="352">
        <f>+SUBTOTAL(3,$E$6:$E51)</f>
        <v>46</v>
      </c>
      <c r="B51" s="352" t="s">
        <v>822</v>
      </c>
      <c r="C51" s="352" t="str">
        <f>+VLOOKUP(B51,'Erection Compiled'!$C$7:$D$620,2,FALSE)</f>
        <v>DB1+0</v>
      </c>
      <c r="D51" s="358">
        <v>45422</v>
      </c>
      <c r="E51" s="358">
        <v>45422</v>
      </c>
      <c r="F51" s="352" t="s">
        <v>1028</v>
      </c>
      <c r="G51" s="352" t="s">
        <v>1030</v>
      </c>
      <c r="H51" s="352" t="s">
        <v>1030</v>
      </c>
    </row>
    <row r="52" spans="1:8" x14ac:dyDescent="0.25">
      <c r="A52" s="352">
        <f>+SUBTOTAL(3,$E$6:$E52)</f>
        <v>47</v>
      </c>
      <c r="B52" s="352" t="s">
        <v>781</v>
      </c>
      <c r="C52" s="352" t="str">
        <f>+VLOOKUP(B52,'Erection Compiled'!$C$7:$D$620,2,FALSE)</f>
        <v>DA+6</v>
      </c>
      <c r="D52" s="358">
        <v>45422</v>
      </c>
      <c r="E52" s="358">
        <v>45422</v>
      </c>
      <c r="F52" s="352" t="s">
        <v>1029</v>
      </c>
      <c r="G52" s="352" t="s">
        <v>1030</v>
      </c>
      <c r="H52" s="352" t="s">
        <v>1030</v>
      </c>
    </row>
    <row r="53" spans="1:8" x14ac:dyDescent="0.25">
      <c r="A53" s="352">
        <f>+SUBTOTAL(3,$E$6:$E53)</f>
        <v>48</v>
      </c>
      <c r="B53" s="352" t="s">
        <v>778</v>
      </c>
      <c r="C53" s="352" t="str">
        <f>+VLOOKUP(B53,'Erection Compiled'!$C$7:$D$620,2,FALSE)</f>
        <v>DA+3</v>
      </c>
      <c r="D53" s="358">
        <v>45423</v>
      </c>
      <c r="E53" s="358">
        <v>45423</v>
      </c>
      <c r="F53" s="352" t="s">
        <v>1029</v>
      </c>
      <c r="G53" s="352" t="s">
        <v>1030</v>
      </c>
      <c r="H53" s="352" t="s">
        <v>1030</v>
      </c>
    </row>
    <row r="54" spans="1:8" x14ac:dyDescent="0.25">
      <c r="A54" s="352">
        <f>+SUBTOTAL(3,$E$6:$E54)</f>
        <v>49</v>
      </c>
      <c r="B54" s="352" t="s">
        <v>805</v>
      </c>
      <c r="C54" s="352" t="str">
        <f>+VLOOKUP(B54,'Erection Compiled'!$C$7:$D$620,2,FALSE)</f>
        <v>DA+0</v>
      </c>
      <c r="D54" s="358">
        <v>45426</v>
      </c>
      <c r="E54" s="358">
        <v>45426</v>
      </c>
      <c r="F54" s="352" t="s">
        <v>1028</v>
      </c>
      <c r="G54" s="352" t="s">
        <v>1030</v>
      </c>
      <c r="H54" s="352" t="s">
        <v>1030</v>
      </c>
    </row>
    <row r="55" spans="1:8" x14ac:dyDescent="0.25">
      <c r="A55" s="352">
        <f>+SUBTOTAL(3,$E$6:$E55)</f>
        <v>50</v>
      </c>
      <c r="B55" s="352" t="s">
        <v>804</v>
      </c>
      <c r="C55" s="352" t="str">
        <f>+VLOOKUP(B55,'Erection Compiled'!$C$7:$D$620,2,FALSE)</f>
        <v>DA+3</v>
      </c>
      <c r="D55" s="358">
        <v>45427</v>
      </c>
      <c r="E55" s="358">
        <v>45427</v>
      </c>
      <c r="F55" s="352" t="s">
        <v>1028</v>
      </c>
      <c r="G55" s="352" t="s">
        <v>1030</v>
      </c>
      <c r="H55" s="352" t="s">
        <v>1030</v>
      </c>
    </row>
    <row r="56" spans="1:8" x14ac:dyDescent="0.25">
      <c r="A56" s="352">
        <f>+SUBTOTAL(3,$E$6:$E56)</f>
        <v>51</v>
      </c>
      <c r="B56" s="352" t="s">
        <v>806</v>
      </c>
      <c r="C56" s="352" t="str">
        <f>+VLOOKUP(B56,'Erection Compiled'!$C$7:$D$620,2,FALSE)</f>
        <v>DA+3</v>
      </c>
      <c r="D56" s="358">
        <v>45428</v>
      </c>
      <c r="E56" s="358">
        <v>45428</v>
      </c>
      <c r="F56" s="352" t="s">
        <v>1028</v>
      </c>
      <c r="G56" s="352" t="s">
        <v>1030</v>
      </c>
      <c r="H56" s="352" t="s">
        <v>1030</v>
      </c>
    </row>
    <row r="57" spans="1:8" x14ac:dyDescent="0.25">
      <c r="A57" s="352">
        <f>+SUBTOTAL(3,$E$6:$E57)</f>
        <v>52</v>
      </c>
      <c r="B57" s="352" t="s">
        <v>783</v>
      </c>
      <c r="C57" s="352" t="str">
        <f>+VLOOKUP(B57,'Erection Compiled'!$C$7:$D$620,2,FALSE)</f>
        <v>DA+6</v>
      </c>
      <c r="D57" s="358">
        <v>45429</v>
      </c>
      <c r="E57" s="358">
        <v>45429</v>
      </c>
      <c r="F57" s="352" t="s">
        <v>1029</v>
      </c>
      <c r="G57" s="352" t="s">
        <v>1030</v>
      </c>
      <c r="H57" s="352" t="s">
        <v>1030</v>
      </c>
    </row>
    <row r="58" spans="1:8" x14ac:dyDescent="0.25">
      <c r="A58" s="352">
        <f>+SUBTOTAL(3,$E$6:$E58)</f>
        <v>53</v>
      </c>
      <c r="B58" s="352" t="s">
        <v>801</v>
      </c>
      <c r="C58" s="352" t="str">
        <f>+VLOOKUP(B58,'Erection Compiled'!$C$7:$D$620,2,FALSE)</f>
        <v>DA+3</v>
      </c>
      <c r="D58" s="358">
        <v>45431</v>
      </c>
      <c r="E58" s="358">
        <v>45431</v>
      </c>
      <c r="F58" s="352" t="s">
        <v>1028</v>
      </c>
      <c r="G58" s="352" t="s">
        <v>1030</v>
      </c>
      <c r="H58" s="352" t="s">
        <v>1030</v>
      </c>
    </row>
    <row r="59" spans="1:8" x14ac:dyDescent="0.25">
      <c r="A59" s="352">
        <f>+SUBTOTAL(3,$E$6:$E59)</f>
        <v>54</v>
      </c>
      <c r="B59" s="352" t="s">
        <v>784</v>
      </c>
      <c r="C59" s="352" t="str">
        <f>+VLOOKUP(B59,'Erection Compiled'!$C$7:$D$620,2,FALSE)</f>
        <v>DA+3</v>
      </c>
      <c r="D59" s="358">
        <v>45435</v>
      </c>
      <c r="E59" s="358">
        <v>45435</v>
      </c>
      <c r="F59" s="352" t="s">
        <v>1028</v>
      </c>
      <c r="G59" s="352" t="s">
        <v>1030</v>
      </c>
      <c r="H59" s="352" t="s">
        <v>1030</v>
      </c>
    </row>
    <row r="60" spans="1:8" x14ac:dyDescent="0.25">
      <c r="A60" s="352">
        <f>+SUBTOTAL(3,$E$6:$E60)</f>
        <v>55</v>
      </c>
      <c r="B60" s="352" t="s">
        <v>785</v>
      </c>
      <c r="C60" s="352" t="str">
        <f>+VLOOKUP(B60,'Erection Compiled'!$C$7:$D$620,2,FALSE)</f>
        <v>DA+3</v>
      </c>
      <c r="D60" s="358">
        <v>45437</v>
      </c>
      <c r="E60" s="358">
        <v>45437</v>
      </c>
      <c r="F60" s="352" t="s">
        <v>1028</v>
      </c>
      <c r="G60" s="352" t="s">
        <v>1030</v>
      </c>
      <c r="H60" s="352" t="s">
        <v>1030</v>
      </c>
    </row>
    <row r="61" spans="1:8" x14ac:dyDescent="0.25">
      <c r="A61" s="352">
        <f>+SUBTOTAL(3,$E$6:$E61)</f>
        <v>56</v>
      </c>
      <c r="B61" s="352" t="s">
        <v>812</v>
      </c>
      <c r="C61" s="352" t="str">
        <f>+VLOOKUP(B61,'Erection Compiled'!$C$7:$D$620,2,FALSE)</f>
        <v>DA+3</v>
      </c>
      <c r="D61" s="358">
        <v>45446</v>
      </c>
      <c r="E61" s="358">
        <v>45446</v>
      </c>
      <c r="F61" s="352" t="s">
        <v>1028</v>
      </c>
      <c r="G61" s="352" t="s">
        <v>1030</v>
      </c>
      <c r="H61" s="352" t="s">
        <v>1030</v>
      </c>
    </row>
    <row r="62" spans="1:8" x14ac:dyDescent="0.25">
      <c r="A62" s="352">
        <f>+SUBTOTAL(3,$E$6:$E62)</f>
        <v>57</v>
      </c>
      <c r="B62" s="352" t="s">
        <v>813</v>
      </c>
      <c r="C62" s="352" t="str">
        <f>+VLOOKUP(B62,'Erection Compiled'!$C$7:$D$620,2,FALSE)</f>
        <v>DA+0</v>
      </c>
      <c r="D62" s="358">
        <v>45449</v>
      </c>
      <c r="E62" s="358">
        <v>45449</v>
      </c>
      <c r="F62" s="352" t="s">
        <v>1028</v>
      </c>
      <c r="G62" s="352" t="s">
        <v>1030</v>
      </c>
      <c r="H62" s="352" t="s">
        <v>1030</v>
      </c>
    </row>
    <row r="63" spans="1:8" x14ac:dyDescent="0.25">
      <c r="A63" s="352">
        <f>+SUBTOTAL(3,$E$6:$E63)</f>
        <v>58</v>
      </c>
      <c r="B63" s="352" t="s">
        <v>810</v>
      </c>
      <c r="C63" s="352" t="str">
        <f>+VLOOKUP(B63,'Erection Compiled'!$C$7:$D$620,2,FALSE)</f>
        <v>DB2+0</v>
      </c>
      <c r="D63" s="358">
        <v>45449</v>
      </c>
      <c r="E63" s="358">
        <v>45449</v>
      </c>
      <c r="F63" s="352" t="s">
        <v>1028</v>
      </c>
      <c r="G63" s="352" t="s">
        <v>1030</v>
      </c>
      <c r="H63" s="352" t="s">
        <v>1030</v>
      </c>
    </row>
    <row r="64" spans="1:8" x14ac:dyDescent="0.25">
      <c r="A64" s="352">
        <f>+SUBTOTAL(3,$E$6:$E64)</f>
        <v>59</v>
      </c>
      <c r="B64" s="352" t="s">
        <v>790</v>
      </c>
      <c r="C64" s="352" t="str">
        <f>+VLOOKUP(B64,'Erection Compiled'!$C$7:$D$620,2,FALSE)</f>
        <v>DA+9</v>
      </c>
      <c r="D64" s="358">
        <v>45450</v>
      </c>
      <c r="E64" s="358">
        <v>45450</v>
      </c>
      <c r="F64" s="352" t="s">
        <v>1028</v>
      </c>
      <c r="G64" s="352" t="s">
        <v>1030</v>
      </c>
      <c r="H64" s="352" t="s">
        <v>1030</v>
      </c>
    </row>
    <row r="65" spans="1:8" x14ac:dyDescent="0.25">
      <c r="A65" s="352">
        <f>+SUBTOTAL(3,$E$6:$E65)</f>
        <v>60</v>
      </c>
      <c r="B65" s="352" t="s">
        <v>788</v>
      </c>
      <c r="C65" s="352" t="str">
        <f>+VLOOKUP(B65,'Erection Compiled'!$C$7:$D$620,2,FALSE)</f>
        <v>DA+6</v>
      </c>
      <c r="D65" s="358">
        <v>45451</v>
      </c>
      <c r="E65" s="358">
        <v>45451</v>
      </c>
      <c r="F65" s="352" t="s">
        <v>1029</v>
      </c>
      <c r="G65" s="352" t="s">
        <v>1030</v>
      </c>
      <c r="H65" s="352" t="s">
        <v>1030</v>
      </c>
    </row>
    <row r="66" spans="1:8" x14ac:dyDescent="0.25">
      <c r="A66" s="352">
        <f>+SUBTOTAL(3,$E$6:$E66)</f>
        <v>61</v>
      </c>
      <c r="B66" s="352" t="s">
        <v>803</v>
      </c>
      <c r="C66" s="352" t="str">
        <f>+VLOOKUP(B66,'Erection Compiled'!$C$7:$D$620,2,FALSE)</f>
        <v>DA+0</v>
      </c>
      <c r="D66" s="358">
        <v>45451</v>
      </c>
      <c r="E66" s="358">
        <v>45451</v>
      </c>
      <c r="F66" s="352" t="s">
        <v>1028</v>
      </c>
      <c r="G66" s="352" t="s">
        <v>1030</v>
      </c>
      <c r="H66" s="352" t="s">
        <v>1030</v>
      </c>
    </row>
    <row r="67" spans="1:8" x14ac:dyDescent="0.25">
      <c r="A67" s="352">
        <f>+SUBTOTAL(3,$E$6:$E67)</f>
        <v>62</v>
      </c>
      <c r="B67" s="352" t="s">
        <v>789</v>
      </c>
      <c r="C67" s="352" t="str">
        <f>+VLOOKUP(B67,'Erection Compiled'!$C$7:$D$620,2,FALSE)</f>
        <v>DA+0</v>
      </c>
      <c r="D67" s="358">
        <v>45452</v>
      </c>
      <c r="E67" s="358">
        <v>45452</v>
      </c>
      <c r="F67" s="352" t="s">
        <v>1029</v>
      </c>
      <c r="G67" s="352" t="s">
        <v>1030</v>
      </c>
      <c r="H67" s="352" t="s">
        <v>1030</v>
      </c>
    </row>
    <row r="68" spans="1:8" x14ac:dyDescent="0.25">
      <c r="A68" s="352">
        <f>+SUBTOTAL(3,$E$6:$E68)</f>
        <v>63</v>
      </c>
      <c r="B68" s="352" t="s">
        <v>802</v>
      </c>
      <c r="C68" s="352" t="str">
        <f>+VLOOKUP(B68,'Erection Compiled'!$C$7:$D$620,2,FALSE)</f>
        <v>DA+3</v>
      </c>
      <c r="D68" s="358">
        <v>45452</v>
      </c>
      <c r="E68" s="358">
        <v>45452</v>
      </c>
      <c r="F68" s="352" t="s">
        <v>1028</v>
      </c>
      <c r="G68" s="352" t="s">
        <v>1030</v>
      </c>
      <c r="H68" s="352" t="s">
        <v>1030</v>
      </c>
    </row>
    <row r="69" spans="1:8" x14ac:dyDescent="0.25">
      <c r="A69" s="352">
        <f>+SUBTOTAL(3,$E$6:$E69)</f>
        <v>64</v>
      </c>
      <c r="B69" s="352" t="s">
        <v>758</v>
      </c>
      <c r="C69" s="352" t="str">
        <f>+VLOOKUP(B69,'Erection Compiled'!$C$7:$D$620,2,FALSE)</f>
        <v>DA+3</v>
      </c>
      <c r="D69" s="358">
        <v>45453</v>
      </c>
      <c r="E69" s="358">
        <v>45453</v>
      </c>
      <c r="F69" s="352" t="s">
        <v>1029</v>
      </c>
      <c r="G69" s="352" t="s">
        <v>1030</v>
      </c>
      <c r="H69" s="352" t="s">
        <v>1030</v>
      </c>
    </row>
    <row r="70" spans="1:8" x14ac:dyDescent="0.25">
      <c r="A70" s="352">
        <f>+SUBTOTAL(3,$E$6:$E70)</f>
        <v>65</v>
      </c>
      <c r="B70" s="352" t="s">
        <v>100</v>
      </c>
      <c r="C70" s="352" t="str">
        <f>+VLOOKUP(B70,'Erection Compiled'!$C$7:$D$620,2,FALSE)</f>
        <v>DC1+0</v>
      </c>
      <c r="D70" s="358">
        <v>45453</v>
      </c>
      <c r="E70" s="358">
        <v>45454</v>
      </c>
      <c r="F70" s="352" t="s">
        <v>1028</v>
      </c>
      <c r="G70" s="352" t="s">
        <v>1030</v>
      </c>
      <c r="H70" s="352" t="s">
        <v>1030</v>
      </c>
    </row>
    <row r="71" spans="1:8" x14ac:dyDescent="0.25">
      <c r="A71" s="352">
        <f>+SUBTOTAL(3,$E$6:$E71)</f>
        <v>66</v>
      </c>
      <c r="B71" s="352" t="s">
        <v>774</v>
      </c>
      <c r="C71" s="352" t="str">
        <f>+VLOOKUP(B71,'Erection Compiled'!$C$7:$D$620,2,FALSE)</f>
        <v>DA+3</v>
      </c>
      <c r="D71" s="358">
        <v>45454</v>
      </c>
      <c r="E71" s="358">
        <v>45454</v>
      </c>
      <c r="F71" s="352" t="s">
        <v>1029</v>
      </c>
      <c r="G71" s="352" t="s">
        <v>1030</v>
      </c>
      <c r="H71" s="352" t="s">
        <v>1030</v>
      </c>
    </row>
    <row r="72" spans="1:8" x14ac:dyDescent="0.25">
      <c r="A72" s="352">
        <f>+SUBTOTAL(3,$E$6:$E72)</f>
        <v>67</v>
      </c>
      <c r="B72" s="352" t="s">
        <v>773</v>
      </c>
      <c r="C72" s="352" t="str">
        <f>+VLOOKUP(B72,'Erection Compiled'!$C$7:$D$620,2,FALSE)</f>
        <v>DA+3</v>
      </c>
      <c r="D72" s="358">
        <v>45456</v>
      </c>
      <c r="E72" s="358">
        <v>45456</v>
      </c>
      <c r="F72" s="352" t="s">
        <v>1029</v>
      </c>
      <c r="G72" s="352" t="s">
        <v>1030</v>
      </c>
      <c r="H72" s="352" t="s">
        <v>1030</v>
      </c>
    </row>
    <row r="73" spans="1:8" x14ac:dyDescent="0.25">
      <c r="A73" s="352">
        <f>+SUBTOTAL(3,$E$6:$E73)</f>
        <v>68</v>
      </c>
      <c r="B73" s="352" t="s">
        <v>772</v>
      </c>
      <c r="C73" s="352" t="str">
        <f>+VLOOKUP(B73,'Erection Compiled'!$C$7:$D$620,2,FALSE)</f>
        <v>DA+3</v>
      </c>
      <c r="D73" s="358">
        <v>45466</v>
      </c>
      <c r="E73" s="358">
        <v>45466</v>
      </c>
      <c r="F73" s="352" t="s">
        <v>1029</v>
      </c>
      <c r="G73" s="352" t="s">
        <v>1030</v>
      </c>
      <c r="H73" s="352" t="s">
        <v>1030</v>
      </c>
    </row>
    <row r="74" spans="1:8" x14ac:dyDescent="0.25">
      <c r="A74" s="352">
        <f>+SUBTOTAL(3,$E$6:$E74)</f>
        <v>69</v>
      </c>
      <c r="B74" s="352" t="s">
        <v>771</v>
      </c>
      <c r="C74" s="352" t="str">
        <f>+VLOOKUP(B74,'Erection Compiled'!$C$7:$D$620,2,FALSE)</f>
        <v>DA+3</v>
      </c>
      <c r="D74" s="358">
        <v>45468</v>
      </c>
      <c r="E74" s="358">
        <v>45468</v>
      </c>
      <c r="F74" s="352" t="s">
        <v>1029</v>
      </c>
      <c r="G74" s="352" t="s">
        <v>1030</v>
      </c>
      <c r="H74" s="352" t="s">
        <v>1030</v>
      </c>
    </row>
    <row r="75" spans="1:8" x14ac:dyDescent="0.25">
      <c r="A75" s="352">
        <f>+SUBTOTAL(3,$E$6:$E75)</f>
        <v>70</v>
      </c>
      <c r="B75" s="352" t="s">
        <v>770</v>
      </c>
      <c r="C75" s="352" t="str">
        <f>+VLOOKUP(B75,'Erection Compiled'!$C$7:$D$620,2,FALSE)</f>
        <v>DA+6</v>
      </c>
      <c r="D75" s="358">
        <v>45473</v>
      </c>
      <c r="E75" s="358">
        <v>45473</v>
      </c>
      <c r="F75" s="352" t="s">
        <v>1029</v>
      </c>
      <c r="G75" s="352" t="s">
        <v>1030</v>
      </c>
      <c r="H75" s="352" t="s">
        <v>1030</v>
      </c>
    </row>
    <row r="76" spans="1:8" x14ac:dyDescent="0.25">
      <c r="A76" s="352">
        <f>+SUBTOTAL(3,$E$6:$E76)</f>
        <v>71</v>
      </c>
      <c r="B76" s="352" t="s">
        <v>769</v>
      </c>
      <c r="C76" s="352" t="str">
        <f>+VLOOKUP(B76,'Erection Compiled'!$C$7:$D$620,2,FALSE)</f>
        <v>DA+9</v>
      </c>
      <c r="D76" s="358">
        <v>45474</v>
      </c>
      <c r="E76" s="358">
        <v>45474</v>
      </c>
      <c r="F76" s="352" t="s">
        <v>1028</v>
      </c>
      <c r="G76" s="352" t="s">
        <v>1030</v>
      </c>
      <c r="H76" s="352" t="s">
        <v>1030</v>
      </c>
    </row>
    <row r="77" spans="1:8" x14ac:dyDescent="0.25">
      <c r="A77" s="352">
        <f>+SUBTOTAL(3,$E$6:$E77)</f>
        <v>72</v>
      </c>
      <c r="B77" s="352" t="s">
        <v>768</v>
      </c>
      <c r="C77" s="352" t="str">
        <f>+VLOOKUP(B77,'Erection Compiled'!$C$7:$D$620,2,FALSE)</f>
        <v>DA+6</v>
      </c>
      <c r="D77" s="358">
        <v>45475</v>
      </c>
      <c r="E77" s="358">
        <v>45475</v>
      </c>
      <c r="F77" s="352" t="s">
        <v>1028</v>
      </c>
      <c r="G77" s="352" t="s">
        <v>1030</v>
      </c>
      <c r="H77" s="352" t="s">
        <v>1030</v>
      </c>
    </row>
    <row r="78" spans="1:8" x14ac:dyDescent="0.25">
      <c r="A78" s="352">
        <f>+SUBTOTAL(3,$E$6:$E78)</f>
        <v>73</v>
      </c>
      <c r="B78" s="352" t="s">
        <v>97</v>
      </c>
      <c r="C78" s="352" t="str">
        <f>+VLOOKUP(B78,'Erection Compiled'!$C$7:$D$620,2,FALSE)</f>
        <v>DC1+0</v>
      </c>
      <c r="D78" s="358">
        <v>45497</v>
      </c>
      <c r="E78" s="358">
        <v>45497</v>
      </c>
      <c r="F78" s="352" t="s">
        <v>1028</v>
      </c>
      <c r="G78" s="352" t="s">
        <v>1030</v>
      </c>
      <c r="H78" s="352" t="s">
        <v>1030</v>
      </c>
    </row>
    <row r="79" spans="1:8" x14ac:dyDescent="0.25">
      <c r="A79" s="352">
        <f>+SUBTOTAL(3,$E$6:$E79)</f>
        <v>74</v>
      </c>
      <c r="B79" s="352" t="s">
        <v>761</v>
      </c>
      <c r="C79" s="352" t="str">
        <f>+VLOOKUP(B79,'Erection Compiled'!$C$7:$D$620,2,FALSE)</f>
        <v>DB1+3</v>
      </c>
      <c r="D79" s="358">
        <v>45500</v>
      </c>
      <c r="E79" s="358">
        <v>45500</v>
      </c>
      <c r="F79" s="352" t="s">
        <v>1028</v>
      </c>
      <c r="G79" s="352" t="s">
        <v>1030</v>
      </c>
      <c r="H79" s="352" t="s">
        <v>1030</v>
      </c>
    </row>
    <row r="80" spans="1:8" x14ac:dyDescent="0.25">
      <c r="A80" s="352">
        <f>+SUBTOTAL(3,$E$6:$E80)</f>
        <v>75</v>
      </c>
      <c r="B80" s="352" t="s">
        <v>743</v>
      </c>
      <c r="C80" s="352" t="str">
        <f>+VLOOKUP(B80,'Erection Compiled'!$C$7:$D$620,2,FALSE)</f>
        <v>DA+0</v>
      </c>
      <c r="D80" s="358">
        <v>45527</v>
      </c>
      <c r="E80" s="358">
        <v>45527</v>
      </c>
      <c r="F80" s="352" t="s">
        <v>1028</v>
      </c>
      <c r="G80" s="352" t="s">
        <v>1030</v>
      </c>
      <c r="H80" s="352" t="s">
        <v>1030</v>
      </c>
    </row>
    <row r="81" spans="1:8" x14ac:dyDescent="0.25">
      <c r="A81" s="352">
        <f>+SUBTOTAL(3,$E$6:$E81)</f>
        <v>76</v>
      </c>
      <c r="B81" s="352" t="s">
        <v>744</v>
      </c>
      <c r="C81" s="352" t="str">
        <f>+VLOOKUP(B81,'Erection Compiled'!$C$7:$D$620,2,FALSE)</f>
        <v>DA+0</v>
      </c>
      <c r="D81" s="358">
        <v>45528</v>
      </c>
      <c r="E81" s="358">
        <v>45528</v>
      </c>
      <c r="F81" s="352" t="s">
        <v>1028</v>
      </c>
      <c r="G81" s="352" t="s">
        <v>1030</v>
      </c>
      <c r="H81" s="352" t="s">
        <v>1030</v>
      </c>
    </row>
    <row r="82" spans="1:8" x14ac:dyDescent="0.25">
      <c r="A82" s="352">
        <f>+SUBTOTAL(3,$E$6:$E82)</f>
        <v>77</v>
      </c>
      <c r="B82" s="352" t="s">
        <v>754</v>
      </c>
      <c r="C82" s="352" t="str">
        <f>+VLOOKUP(B82,'Erection Compiled'!$C$7:$D$620,2,FALSE)</f>
        <v>DA+3</v>
      </c>
      <c r="D82" s="358">
        <v>45531</v>
      </c>
      <c r="E82" s="358">
        <v>45531</v>
      </c>
      <c r="F82" s="352" t="s">
        <v>1028</v>
      </c>
      <c r="G82" s="352" t="s">
        <v>1030</v>
      </c>
      <c r="H82" s="352" t="s">
        <v>1030</v>
      </c>
    </row>
    <row r="83" spans="1:8" x14ac:dyDescent="0.25">
      <c r="A83" s="352">
        <f>+SUBTOTAL(3,$E$6:$E83)</f>
        <v>78</v>
      </c>
      <c r="B83" s="352" t="s">
        <v>751</v>
      </c>
      <c r="C83" s="352" t="str">
        <f>+VLOOKUP(B83,'Erection Compiled'!$C$7:$D$620,2,FALSE)</f>
        <v>DA+0</v>
      </c>
      <c r="D83" s="358">
        <v>45532</v>
      </c>
      <c r="E83" s="358">
        <v>45532</v>
      </c>
      <c r="F83" s="352" t="s">
        <v>1028</v>
      </c>
      <c r="G83" s="352" t="s">
        <v>1030</v>
      </c>
      <c r="H83" s="352" t="s">
        <v>1030</v>
      </c>
    </row>
    <row r="84" spans="1:8" x14ac:dyDescent="0.25">
      <c r="A84" s="352">
        <f>+SUBTOTAL(3,$E$6:$E84)</f>
        <v>79</v>
      </c>
      <c r="B84" s="352" t="s">
        <v>752</v>
      </c>
      <c r="C84" s="352" t="str">
        <f>+VLOOKUP(B84,'Erection Compiled'!$C$7:$D$620,2,FALSE)</f>
        <v>DA+0</v>
      </c>
      <c r="D84" s="358">
        <v>45534</v>
      </c>
      <c r="E84" s="358">
        <v>45534</v>
      </c>
      <c r="F84" s="352" t="s">
        <v>1028</v>
      </c>
      <c r="G84" s="352" t="s">
        <v>1030</v>
      </c>
      <c r="H84" s="352" t="s">
        <v>1030</v>
      </c>
    </row>
    <row r="85" spans="1:8" x14ac:dyDescent="0.25">
      <c r="A85" s="352">
        <f>+SUBTOTAL(3,$E$6:$E85)</f>
        <v>80</v>
      </c>
      <c r="B85" s="352" t="s">
        <v>753</v>
      </c>
      <c r="C85" s="352" t="str">
        <f>+VLOOKUP(B85,'Erection Compiled'!$C$7:$D$620,2,FALSE)</f>
        <v>DA+3</v>
      </c>
      <c r="D85" s="358">
        <v>45534</v>
      </c>
      <c r="E85" s="358">
        <v>45534</v>
      </c>
      <c r="F85" s="352" t="s">
        <v>1028</v>
      </c>
      <c r="G85" s="352" t="s">
        <v>1030</v>
      </c>
      <c r="H85" s="352" t="s">
        <v>1030</v>
      </c>
    </row>
    <row r="86" spans="1:8" x14ac:dyDescent="0.25">
      <c r="A86" s="352">
        <f>+SUBTOTAL(3,$E$6:$E86)</f>
        <v>81</v>
      </c>
      <c r="B86" s="352" t="s">
        <v>99</v>
      </c>
      <c r="C86" s="352" t="str">
        <f>+VLOOKUP(B86,'Erection Compiled'!$C$7:$D$620,2,FALSE)</f>
        <v>DB2+0</v>
      </c>
      <c r="D86" s="358">
        <v>45550</v>
      </c>
      <c r="E86" s="358">
        <v>45550</v>
      </c>
      <c r="F86" s="352" t="s">
        <v>1028</v>
      </c>
      <c r="G86" s="352" t="s">
        <v>1030</v>
      </c>
      <c r="H86" s="352" t="s">
        <v>1030</v>
      </c>
    </row>
    <row r="87" spans="1:8" x14ac:dyDescent="0.25">
      <c r="A87" s="352">
        <f>+SUBTOTAL(3,$E$6:$E87)</f>
        <v>82</v>
      </c>
      <c r="B87" s="352" t="s">
        <v>791</v>
      </c>
      <c r="C87" s="352" t="str">
        <f>+VLOOKUP(B87,'Erection Compiled'!$C$7:$D$620,2,FALSE)</f>
        <v>DA+3</v>
      </c>
      <c r="D87" s="358">
        <v>45558</v>
      </c>
      <c r="E87" s="358">
        <v>45559</v>
      </c>
      <c r="F87" s="352" t="s">
        <v>1028</v>
      </c>
      <c r="G87" s="352" t="s">
        <v>1030</v>
      </c>
      <c r="H87" s="352" t="s">
        <v>1030</v>
      </c>
    </row>
    <row r="88" spans="1:8" x14ac:dyDescent="0.25">
      <c r="A88" s="352">
        <f>+SUBTOTAL(3,$E$6:$E88)</f>
        <v>83</v>
      </c>
      <c r="B88" s="352" t="s">
        <v>796</v>
      </c>
      <c r="C88" s="352" t="str">
        <f>+VLOOKUP(B88,'Erection Compiled'!$C$7:$D$620,2,FALSE)</f>
        <v>DA+3</v>
      </c>
      <c r="D88" s="358">
        <v>45560</v>
      </c>
      <c r="E88" s="358">
        <v>45561</v>
      </c>
      <c r="F88" s="352" t="s">
        <v>1028</v>
      </c>
      <c r="G88" s="352" t="s">
        <v>1030</v>
      </c>
      <c r="H88" s="352" t="s">
        <v>1030</v>
      </c>
    </row>
    <row r="89" spans="1:8" x14ac:dyDescent="0.25">
      <c r="A89" s="352">
        <f>+SUBTOTAL(3,$E$6:$E89)</f>
        <v>84</v>
      </c>
      <c r="B89" s="352" t="s">
        <v>755</v>
      </c>
      <c r="C89" s="352" t="str">
        <f>+VLOOKUP(B89,'Erection Compiled'!$C$7:$D$620,2,FALSE)</f>
        <v>DA+3</v>
      </c>
      <c r="D89" s="358">
        <v>45570</v>
      </c>
      <c r="E89" s="358">
        <v>45571</v>
      </c>
      <c r="F89" s="352" t="s">
        <v>1028</v>
      </c>
      <c r="G89" s="352" t="s">
        <v>1030</v>
      </c>
      <c r="H89" s="352" t="s">
        <v>1030</v>
      </c>
    </row>
    <row r="90" spans="1:8" x14ac:dyDescent="0.25">
      <c r="A90" s="352">
        <f>+SUBTOTAL(3,$E$6:$E90)</f>
        <v>85</v>
      </c>
      <c r="B90" s="352" t="s">
        <v>709</v>
      </c>
      <c r="C90" s="352" t="str">
        <f>+VLOOKUP(B90,'Erection Compiled'!$C$7:$D$620,2,FALSE)</f>
        <v>DA+0</v>
      </c>
      <c r="D90" s="358">
        <v>45571</v>
      </c>
      <c r="E90" s="358">
        <v>45572</v>
      </c>
      <c r="F90" s="352" t="s">
        <v>1028</v>
      </c>
      <c r="G90" s="352" t="s">
        <v>1030</v>
      </c>
      <c r="H90" s="352" t="s">
        <v>1030</v>
      </c>
    </row>
    <row r="91" spans="1:8" x14ac:dyDescent="0.25">
      <c r="A91" s="352">
        <f>+SUBTOTAL(3,$E$6:$E91)</f>
        <v>86</v>
      </c>
      <c r="B91" s="352" t="s">
        <v>710</v>
      </c>
      <c r="C91" s="352" t="str">
        <f>+VLOOKUP(B91,'Erection Compiled'!$C$7:$D$620,2,FALSE)</f>
        <v>DA+0</v>
      </c>
      <c r="D91" s="358">
        <v>45574</v>
      </c>
      <c r="E91" s="358">
        <v>45574</v>
      </c>
      <c r="F91" s="352" t="s">
        <v>1028</v>
      </c>
      <c r="G91" s="352" t="s">
        <v>1030</v>
      </c>
      <c r="H91" s="352" t="s">
        <v>1030</v>
      </c>
    </row>
    <row r="92" spans="1:8" x14ac:dyDescent="0.25">
      <c r="A92" s="352">
        <f>+SUBTOTAL(3,$E$6:$E92)</f>
        <v>87</v>
      </c>
      <c r="B92" s="352" t="s">
        <v>92</v>
      </c>
      <c r="C92" s="352" t="str">
        <f>+VLOOKUP(B92,'Erection Compiled'!$C$7:$D$620,2,FALSE)</f>
        <v>DB2+0</v>
      </c>
      <c r="D92" s="358">
        <v>45575</v>
      </c>
      <c r="E92" s="358">
        <v>45575</v>
      </c>
      <c r="F92" s="352" t="s">
        <v>1028</v>
      </c>
      <c r="G92" s="352" t="s">
        <v>1030</v>
      </c>
      <c r="H92" s="352" t="s">
        <v>1030</v>
      </c>
    </row>
    <row r="93" spans="1:8" x14ac:dyDescent="0.25">
      <c r="A93" s="352">
        <f>+SUBTOTAL(3,$E$6:$E93)</f>
        <v>88</v>
      </c>
      <c r="B93" s="352" t="s">
        <v>703</v>
      </c>
      <c r="C93" s="352" t="str">
        <f>+VLOOKUP(B93,'Erection Compiled'!$C$7:$D$620,2,FALSE)</f>
        <v>DA+6</v>
      </c>
      <c r="D93" s="358">
        <v>45589</v>
      </c>
      <c r="E93" s="358">
        <v>45589</v>
      </c>
      <c r="F93" s="352" t="s">
        <v>1028</v>
      </c>
      <c r="G93" s="352" t="s">
        <v>1030</v>
      </c>
      <c r="H93" s="352" t="s">
        <v>1030</v>
      </c>
    </row>
    <row r="94" spans="1:8" x14ac:dyDescent="0.25">
      <c r="A94" s="352">
        <f>+SUBTOTAL(3,$E$6:$E94)</f>
        <v>89</v>
      </c>
      <c r="B94" s="352" t="s">
        <v>701</v>
      </c>
      <c r="C94" s="352" t="str">
        <f>+VLOOKUP(B94,'Erection Compiled'!$C$7:$D$620,2,FALSE)</f>
        <v>DA+6</v>
      </c>
      <c r="D94" s="358">
        <v>45590</v>
      </c>
      <c r="E94" s="358">
        <v>45590</v>
      </c>
      <c r="F94" s="352" t="s">
        <v>1028</v>
      </c>
      <c r="G94" s="352" t="s">
        <v>1030</v>
      </c>
      <c r="H94" s="352" t="s">
        <v>1030</v>
      </c>
    </row>
    <row r="95" spans="1:8" x14ac:dyDescent="0.25">
      <c r="A95" s="352">
        <f>+SUBTOTAL(3,$E$6:$E95)</f>
        <v>90</v>
      </c>
      <c r="B95" s="352" t="s">
        <v>712</v>
      </c>
      <c r="C95" s="352" t="str">
        <f>+VLOOKUP(B95,'Erection Compiled'!$C$7:$D$620,2,FALSE)</f>
        <v>DA+0</v>
      </c>
      <c r="D95" s="358">
        <v>45590</v>
      </c>
      <c r="E95" s="358">
        <v>45590</v>
      </c>
      <c r="F95" s="352" t="s">
        <v>1028</v>
      </c>
      <c r="G95" s="352" t="s">
        <v>1030</v>
      </c>
      <c r="H95" s="352" t="s">
        <v>1030</v>
      </c>
    </row>
    <row r="96" spans="1:8" x14ac:dyDescent="0.25">
      <c r="A96" s="352">
        <f>+SUBTOTAL(3,$E$6:$E96)</f>
        <v>91</v>
      </c>
      <c r="B96" s="354" t="s">
        <v>174</v>
      </c>
      <c r="C96" s="352" t="str">
        <f>+VLOOKUP(B96,'Erection Compiled'!$C$7:$D$620,2,FALSE)</f>
        <v>DA+3</v>
      </c>
      <c r="D96" s="358">
        <v>45591</v>
      </c>
      <c r="E96" s="358">
        <v>45591</v>
      </c>
      <c r="F96" s="352" t="s">
        <v>1031</v>
      </c>
      <c r="G96" s="352" t="s">
        <v>1030</v>
      </c>
      <c r="H96" s="352"/>
    </row>
    <row r="97" spans="1:8" x14ac:dyDescent="0.25">
      <c r="A97" s="352">
        <f>+SUBTOTAL(3,$E$6:$E97)</f>
        <v>92</v>
      </c>
      <c r="B97" s="354" t="s">
        <v>702</v>
      </c>
      <c r="C97" s="352" t="str">
        <f>+VLOOKUP(B97,'Erection Compiled'!$C$7:$D$620,2,FALSE)</f>
        <v>DA+9</v>
      </c>
      <c r="D97" s="358">
        <v>45593</v>
      </c>
      <c r="E97" s="358">
        <v>45593</v>
      </c>
      <c r="F97" s="352" t="s">
        <v>1028</v>
      </c>
      <c r="G97" s="352" t="s">
        <v>1030</v>
      </c>
      <c r="H97" s="352" t="s">
        <v>1030</v>
      </c>
    </row>
    <row r="98" spans="1:8" x14ac:dyDescent="0.25">
      <c r="A98" s="352">
        <f>+SUBTOTAL(3,$E$6:$E98)</f>
        <v>93</v>
      </c>
      <c r="B98" s="354" t="s">
        <v>821</v>
      </c>
      <c r="C98" s="352" t="str">
        <f>+VLOOKUP(B98,'Erection Compiled'!$C$7:$D$620,2,FALSE)</f>
        <v>DA+3</v>
      </c>
      <c r="D98" s="358">
        <v>45594</v>
      </c>
      <c r="E98" s="358">
        <v>45594</v>
      </c>
      <c r="F98" s="352" t="s">
        <v>1028</v>
      </c>
      <c r="G98" s="352" t="s">
        <v>1030</v>
      </c>
      <c r="H98" s="352" t="s">
        <v>1030</v>
      </c>
    </row>
    <row r="99" spans="1:8" x14ac:dyDescent="0.25">
      <c r="A99" s="352">
        <f>+SUBTOTAL(3,$E$6:$E99)</f>
        <v>94</v>
      </c>
      <c r="B99" s="354" t="s">
        <v>499</v>
      </c>
      <c r="C99" s="352" t="str">
        <f>+VLOOKUP(B99,'Erection Compiled'!$C$7:$D$620,2,FALSE)</f>
        <v>DA+3</v>
      </c>
      <c r="D99" s="358">
        <v>45591</v>
      </c>
      <c r="E99" s="358">
        <v>45594</v>
      </c>
      <c r="F99" s="352" t="s">
        <v>616</v>
      </c>
      <c r="G99" s="352" t="s">
        <v>1030</v>
      </c>
      <c r="H99" s="352"/>
    </row>
    <row r="100" spans="1:8" x14ac:dyDescent="0.25">
      <c r="A100" s="352">
        <f>+SUBTOTAL(3,$E$6:$E100)</f>
        <v>95</v>
      </c>
      <c r="B100" s="354" t="s">
        <v>175</v>
      </c>
      <c r="C100" s="352" t="str">
        <f>+VLOOKUP(B100,'Erection Compiled'!$C$7:$D$620,2,FALSE)</f>
        <v>DA+0</v>
      </c>
      <c r="D100" s="358">
        <v>45606</v>
      </c>
      <c r="E100" s="358">
        <v>45606</v>
      </c>
      <c r="F100" s="352" t="s">
        <v>616</v>
      </c>
      <c r="G100" s="352" t="s">
        <v>1030</v>
      </c>
      <c r="H100" s="352"/>
    </row>
    <row r="101" spans="1:8" x14ac:dyDescent="0.25">
      <c r="A101" s="352">
        <f>+SUBTOTAL(3,$E$6:$E101)</f>
        <v>96</v>
      </c>
      <c r="B101" s="352" t="s">
        <v>764</v>
      </c>
      <c r="C101" s="352" t="str">
        <f>+VLOOKUP(B101,'Erection Compiled'!$C$7:$D$620,2,FALSE)</f>
        <v>DA+6</v>
      </c>
      <c r="D101" s="358">
        <v>45607</v>
      </c>
      <c r="E101" s="358">
        <v>45607</v>
      </c>
      <c r="F101" s="352" t="s">
        <v>1028</v>
      </c>
      <c r="G101" s="352" t="s">
        <v>1030</v>
      </c>
      <c r="H101" s="352" t="s">
        <v>1030</v>
      </c>
    </row>
    <row r="102" spans="1:8" x14ac:dyDescent="0.25">
      <c r="A102" s="352">
        <f>+SUBTOTAL(3,$E$6:$E102)</f>
        <v>97</v>
      </c>
      <c r="B102" s="354" t="s">
        <v>511</v>
      </c>
      <c r="C102" s="352" t="str">
        <f>+VLOOKUP(B102,'Erection Compiled'!$C$7:$D$620,2,FALSE)</f>
        <v>DA+0</v>
      </c>
      <c r="D102" s="358">
        <v>45608</v>
      </c>
      <c r="E102" s="358">
        <v>45608</v>
      </c>
      <c r="F102" s="352" t="s">
        <v>616</v>
      </c>
      <c r="G102" s="352" t="s">
        <v>1030</v>
      </c>
      <c r="H102" s="352"/>
    </row>
    <row r="103" spans="1:8" x14ac:dyDescent="0.25">
      <c r="A103" s="352">
        <f>+SUBTOTAL(3,$E$6:$E103)</f>
        <v>98</v>
      </c>
      <c r="B103" s="352" t="s">
        <v>707</v>
      </c>
      <c r="C103" s="352" t="str">
        <f>+VLOOKUP(B103,'Erection Compiled'!$C$7:$D$620,2,FALSE)</f>
        <v>DA+0</v>
      </c>
      <c r="D103" s="358">
        <v>45610</v>
      </c>
      <c r="E103" s="358">
        <v>45610</v>
      </c>
      <c r="F103" s="352" t="s">
        <v>1028</v>
      </c>
      <c r="G103" s="352" t="s">
        <v>1030</v>
      </c>
      <c r="H103" s="352" t="s">
        <v>1030</v>
      </c>
    </row>
    <row r="104" spans="1:8" x14ac:dyDescent="0.25">
      <c r="A104" s="352">
        <f>+SUBTOTAL(3,$E$6:$E104)</f>
        <v>99</v>
      </c>
      <c r="B104" s="352" t="s">
        <v>858</v>
      </c>
      <c r="C104" s="352" t="str">
        <f>+VLOOKUP(B104,'Erection Compiled'!$C$7:$D$620,2,FALSE)</f>
        <v>DA+0</v>
      </c>
      <c r="D104" s="358">
        <v>45610</v>
      </c>
      <c r="E104" s="358">
        <v>45610</v>
      </c>
      <c r="F104" s="352" t="s">
        <v>1028</v>
      </c>
      <c r="G104" s="352" t="s">
        <v>1030</v>
      </c>
      <c r="H104" s="352" t="s">
        <v>1030</v>
      </c>
    </row>
    <row r="105" spans="1:8" x14ac:dyDescent="0.25">
      <c r="A105" s="352">
        <f>+SUBTOTAL(3,$E$6:$E105)</f>
        <v>100</v>
      </c>
      <c r="B105" s="352" t="s">
        <v>859</v>
      </c>
      <c r="C105" s="352" t="str">
        <f>+VLOOKUP(B105,'Erection Compiled'!$C$7:$D$620,2,FALSE)</f>
        <v>DA+0</v>
      </c>
      <c r="D105" s="358">
        <v>45615</v>
      </c>
      <c r="E105" s="358">
        <v>45615</v>
      </c>
      <c r="F105" s="352" t="s">
        <v>1028</v>
      </c>
      <c r="G105" s="352" t="s">
        <v>1030</v>
      </c>
      <c r="H105" s="352" t="s">
        <v>1030</v>
      </c>
    </row>
    <row r="106" spans="1:8" x14ac:dyDescent="0.25">
      <c r="A106" s="352">
        <f>+SUBTOTAL(3,$E$6:$E106)</f>
        <v>101</v>
      </c>
      <c r="B106" s="352" t="s">
        <v>866</v>
      </c>
      <c r="C106" s="352" t="str">
        <f>+VLOOKUP(B106,'Erection Compiled'!$C$7:$D$620,2,FALSE)</f>
        <v>DA+0</v>
      </c>
      <c r="D106" s="358">
        <v>45616</v>
      </c>
      <c r="E106" s="358">
        <v>45616</v>
      </c>
      <c r="F106" s="352" t="s">
        <v>1028</v>
      </c>
      <c r="G106" s="352" t="s">
        <v>1030</v>
      </c>
      <c r="H106" s="352" t="s">
        <v>1030</v>
      </c>
    </row>
    <row r="107" spans="1:8" x14ac:dyDescent="0.25">
      <c r="A107" s="352">
        <f>+SUBTOTAL(3,$E$6:$E107)</f>
        <v>102</v>
      </c>
      <c r="B107" s="352" t="s">
        <v>721</v>
      </c>
      <c r="C107" s="352" t="str">
        <f>+VLOOKUP(B107,'Erection Compiled'!$C$7:$D$620,2,FALSE)</f>
        <v>DA+3</v>
      </c>
      <c r="D107" s="358">
        <v>45621</v>
      </c>
      <c r="E107" s="358">
        <v>45621</v>
      </c>
      <c r="F107" s="352" t="s">
        <v>1028</v>
      </c>
      <c r="G107" s="352" t="s">
        <v>1030</v>
      </c>
      <c r="H107" s="352" t="s">
        <v>1030</v>
      </c>
    </row>
    <row r="108" spans="1:8" x14ac:dyDescent="0.25">
      <c r="A108" s="352">
        <f>+SUBTOTAL(3,$E$6:$E108)</f>
        <v>103</v>
      </c>
      <c r="B108" s="352" t="s">
        <v>720</v>
      </c>
      <c r="C108" s="352" t="str">
        <f>+VLOOKUP(B108,'Erection Compiled'!$C$7:$D$620,2,FALSE)</f>
        <v>DA+6</v>
      </c>
      <c r="D108" s="358">
        <v>45621</v>
      </c>
      <c r="E108" s="358">
        <v>45621</v>
      </c>
      <c r="F108" s="352" t="s">
        <v>1028</v>
      </c>
      <c r="G108" s="352" t="s">
        <v>1030</v>
      </c>
      <c r="H108" s="352" t="s">
        <v>1030</v>
      </c>
    </row>
    <row r="109" spans="1:8" x14ac:dyDescent="0.25">
      <c r="A109" s="352">
        <f>+SUBTOTAL(3,$E$6:$E109)</f>
        <v>104</v>
      </c>
      <c r="B109" s="352" t="s">
        <v>722</v>
      </c>
      <c r="C109" s="352" t="str">
        <f>+VLOOKUP(B109,'Erection Compiled'!$C$7:$D$620,2,FALSE)</f>
        <v>DA+6</v>
      </c>
      <c r="D109" s="358">
        <v>45622</v>
      </c>
      <c r="E109" s="358">
        <v>45622</v>
      </c>
      <c r="F109" s="352" t="s">
        <v>1028</v>
      </c>
      <c r="G109" s="352" t="s">
        <v>1030</v>
      </c>
      <c r="H109" s="352" t="s">
        <v>1030</v>
      </c>
    </row>
    <row r="110" spans="1:8" x14ac:dyDescent="0.25">
      <c r="A110" s="352">
        <f>+SUBTOTAL(3,$E$6:$E110)</f>
        <v>105</v>
      </c>
      <c r="B110" s="352" t="s">
        <v>692</v>
      </c>
      <c r="C110" s="352" t="str">
        <f>+VLOOKUP(B110,'Erection Compiled'!$C$7:$D$620,2,FALSE)</f>
        <v>DC2+0</v>
      </c>
      <c r="D110" s="358">
        <v>45623</v>
      </c>
      <c r="E110" s="358">
        <v>45623</v>
      </c>
      <c r="F110" s="352" t="s">
        <v>1028</v>
      </c>
      <c r="G110" s="352" t="s">
        <v>1030</v>
      </c>
      <c r="H110" s="352" t="s">
        <v>1030</v>
      </c>
    </row>
    <row r="111" spans="1:8" x14ac:dyDescent="0.25">
      <c r="A111" s="352">
        <f>+SUBTOTAL(3,$E$6:$E111)</f>
        <v>106</v>
      </c>
      <c r="B111" s="352" t="s">
        <v>697</v>
      </c>
      <c r="C111" s="352" t="str">
        <f>+VLOOKUP(B111,'Erection Compiled'!$C$7:$D$620,2,FALSE)</f>
        <v>DA+3</v>
      </c>
      <c r="D111" s="358">
        <v>45623</v>
      </c>
      <c r="E111" s="358">
        <v>45623</v>
      </c>
      <c r="F111" s="352" t="s">
        <v>1028</v>
      </c>
      <c r="G111" s="352" t="s">
        <v>1030</v>
      </c>
      <c r="H111" s="352" t="s">
        <v>1030</v>
      </c>
    </row>
    <row r="112" spans="1:8" x14ac:dyDescent="0.25">
      <c r="A112" s="352">
        <f>+SUBTOTAL(3,$E$6:$E112)</f>
        <v>107</v>
      </c>
      <c r="B112" s="352" t="s">
        <v>693</v>
      </c>
      <c r="C112" s="352" t="str">
        <f>+VLOOKUP(B112,'Erection Compiled'!$C$7:$D$620,2,FALSE)</f>
        <v>DA+9</v>
      </c>
      <c r="D112" s="358">
        <v>45625</v>
      </c>
      <c r="E112" s="358">
        <v>45625</v>
      </c>
      <c r="F112" s="352" t="s">
        <v>1028</v>
      </c>
      <c r="G112" s="352" t="s">
        <v>1030</v>
      </c>
      <c r="H112" s="352" t="s">
        <v>1030</v>
      </c>
    </row>
    <row r="113" spans="1:8" x14ac:dyDescent="0.25">
      <c r="A113" s="352">
        <f>+SUBTOTAL(3,$E$6:$E113)</f>
        <v>108</v>
      </c>
      <c r="B113" s="352" t="s">
        <v>691</v>
      </c>
      <c r="C113" s="352" t="str">
        <f>+VLOOKUP(B113,'Erection Compiled'!$C$7:$D$620,2,FALSE)</f>
        <v>DA+6</v>
      </c>
      <c r="D113" s="358">
        <v>45625</v>
      </c>
      <c r="E113" s="358">
        <v>45625</v>
      </c>
      <c r="F113" s="352" t="s">
        <v>1028</v>
      </c>
      <c r="G113" s="352" t="s">
        <v>1030</v>
      </c>
      <c r="H113" s="352" t="s">
        <v>1030</v>
      </c>
    </row>
    <row r="114" spans="1:8" x14ac:dyDescent="0.25">
      <c r="A114" s="352">
        <f>+SUBTOTAL(3,$E$6:$E114)</f>
        <v>109</v>
      </c>
      <c r="B114" s="352" t="s">
        <v>700</v>
      </c>
      <c r="C114" s="352" t="str">
        <f>+VLOOKUP(B114,'Erection Compiled'!$C$7:$D$620,2,FALSE)</f>
        <v>DA+0</v>
      </c>
      <c r="D114" s="358">
        <v>45628</v>
      </c>
      <c r="E114" s="358">
        <v>45628</v>
      </c>
      <c r="F114" s="352" t="s">
        <v>1028</v>
      </c>
      <c r="G114" s="352" t="s">
        <v>1030</v>
      </c>
      <c r="H114" s="352" t="s">
        <v>1030</v>
      </c>
    </row>
    <row r="115" spans="1:8" x14ac:dyDescent="0.25">
      <c r="A115" s="352">
        <f>+SUBTOTAL(3,$E$6:$E115)</f>
        <v>110</v>
      </c>
      <c r="B115" s="352" t="s">
        <v>699</v>
      </c>
      <c r="C115" s="352" t="str">
        <f>+VLOOKUP(B115,'Erection Compiled'!$C$7:$D$620,2,FALSE)</f>
        <v>DA+0</v>
      </c>
      <c r="D115" s="358">
        <v>45629</v>
      </c>
      <c r="E115" s="358">
        <v>45629</v>
      </c>
      <c r="F115" s="352" t="s">
        <v>1028</v>
      </c>
      <c r="G115" s="352" t="s">
        <v>1030</v>
      </c>
      <c r="H115" s="352" t="s">
        <v>1030</v>
      </c>
    </row>
    <row r="116" spans="1:8" x14ac:dyDescent="0.25">
      <c r="A116" s="352">
        <f>+SUBTOTAL(3,$E$6:$E116)</f>
        <v>111</v>
      </c>
      <c r="B116" s="352" t="s">
        <v>698</v>
      </c>
      <c r="C116" s="352" t="str">
        <f>+VLOOKUP(B116,'Erection Compiled'!$C$7:$D$620,2,FALSE)</f>
        <v>DA+3</v>
      </c>
      <c r="D116" s="358">
        <v>45630</v>
      </c>
      <c r="E116" s="358">
        <v>45630</v>
      </c>
      <c r="F116" s="352" t="s">
        <v>1028</v>
      </c>
      <c r="G116" s="352" t="s">
        <v>1030</v>
      </c>
      <c r="H116" s="352" t="s">
        <v>1030</v>
      </c>
    </row>
    <row r="117" spans="1:8" x14ac:dyDescent="0.25">
      <c r="A117" s="352">
        <f>+SUBTOTAL(3,$E$6:$E117)</f>
        <v>112</v>
      </c>
      <c r="B117" s="352" t="s">
        <v>219</v>
      </c>
      <c r="C117" s="352" t="str">
        <f>+VLOOKUP(B117,'Erection Compiled'!$C$7:$D$620,2,FALSE)</f>
        <v>DA+3</v>
      </c>
      <c r="D117" s="358">
        <v>45631</v>
      </c>
      <c r="E117" s="358">
        <v>45631</v>
      </c>
      <c r="F117" s="352" t="s">
        <v>1028</v>
      </c>
      <c r="G117" s="352" t="s">
        <v>1030</v>
      </c>
      <c r="H117" s="352" t="s">
        <v>1030</v>
      </c>
    </row>
    <row r="118" spans="1:8" x14ac:dyDescent="0.25">
      <c r="A118" s="352">
        <f>+SUBTOTAL(3,$E$6:$E118)</f>
        <v>113</v>
      </c>
      <c r="B118" s="352" t="s">
        <v>757</v>
      </c>
      <c r="C118" s="352" t="str">
        <f>+VLOOKUP(B118,'Erection Compiled'!$C$7:$D$620,2,FALSE)</f>
        <v>DA+3</v>
      </c>
      <c r="D118" s="358">
        <v>45632</v>
      </c>
      <c r="E118" s="358">
        <v>45632</v>
      </c>
      <c r="F118" s="352" t="s">
        <v>1028</v>
      </c>
      <c r="G118" s="352" t="s">
        <v>1030</v>
      </c>
      <c r="H118" s="352" t="s">
        <v>1030</v>
      </c>
    </row>
    <row r="119" spans="1:8" x14ac:dyDescent="0.25">
      <c r="A119" s="352">
        <f>+SUBTOTAL(3,$E$6:$E119)</f>
        <v>114</v>
      </c>
      <c r="B119" s="352" t="s">
        <v>863</v>
      </c>
      <c r="C119" s="352" t="str">
        <f>+VLOOKUP(B119,'Erection Compiled'!$C$7:$D$620,2,FALSE)</f>
        <v>DA+0</v>
      </c>
      <c r="D119" s="358">
        <v>45639</v>
      </c>
      <c r="E119" s="358">
        <v>45639</v>
      </c>
      <c r="F119" s="352" t="s">
        <v>1028</v>
      </c>
      <c r="G119" s="352" t="s">
        <v>1030</v>
      </c>
      <c r="H119" s="352" t="s">
        <v>1030</v>
      </c>
    </row>
    <row r="120" spans="1:8" x14ac:dyDescent="0.25">
      <c r="A120" s="352">
        <f>+SUBTOTAL(3,$E$6:$E120)</f>
        <v>115</v>
      </c>
      <c r="B120" s="352" t="s">
        <v>222</v>
      </c>
      <c r="C120" s="352" t="str">
        <f>+VLOOKUP(B120,'Erection Compiled'!$C$7:$D$620,2,FALSE)</f>
        <v>DA+3</v>
      </c>
      <c r="D120" s="358">
        <v>45643</v>
      </c>
      <c r="E120" s="358">
        <v>45643</v>
      </c>
      <c r="F120" s="352" t="s">
        <v>1028</v>
      </c>
      <c r="G120" s="352" t="s">
        <v>1030</v>
      </c>
      <c r="H120" s="352" t="s">
        <v>1030</v>
      </c>
    </row>
    <row r="121" spans="1:8" x14ac:dyDescent="0.25">
      <c r="A121" s="352">
        <f>+SUBTOTAL(3,$E$6:$E121)</f>
        <v>116</v>
      </c>
      <c r="B121" s="352" t="s">
        <v>756</v>
      </c>
      <c r="C121" s="352" t="str">
        <f>+VLOOKUP(B121,'Erection Compiled'!$C$7:$D$620,2,FALSE)</f>
        <v>DA+3</v>
      </c>
      <c r="D121" s="358">
        <v>45644</v>
      </c>
      <c r="E121" s="358">
        <v>45644</v>
      </c>
      <c r="F121" s="352" t="s">
        <v>1028</v>
      </c>
      <c r="G121" s="352" t="s">
        <v>1030</v>
      </c>
      <c r="H121" s="352" t="s">
        <v>1030</v>
      </c>
    </row>
    <row r="122" spans="1:8" x14ac:dyDescent="0.25">
      <c r="A122" s="352">
        <f>+SUBTOTAL(3,$E$6:$E122)</f>
        <v>117</v>
      </c>
      <c r="B122" s="352" t="s">
        <v>96</v>
      </c>
      <c r="C122" s="352" t="str">
        <f>+VLOOKUP(B122,'Erection Compiled'!$C$7:$D$620,2,FALSE)</f>
        <v>DA+3</v>
      </c>
      <c r="D122" s="358">
        <v>45646</v>
      </c>
      <c r="E122" s="358">
        <v>45646</v>
      </c>
      <c r="F122" s="352" t="s">
        <v>1028</v>
      </c>
      <c r="G122" s="352" t="s">
        <v>1030</v>
      </c>
      <c r="H122" s="352" t="s">
        <v>1030</v>
      </c>
    </row>
    <row r="123" spans="1:8" x14ac:dyDescent="0.25">
      <c r="A123" s="352">
        <f>+SUBTOTAL(3,$E$6:$E123)</f>
        <v>118</v>
      </c>
      <c r="B123" s="352" t="s">
        <v>708</v>
      </c>
      <c r="C123" s="352" t="str">
        <f>+VLOOKUP(B123,'Erection Compiled'!$C$7:$D$620,2,FALSE)</f>
        <v>DA+9</v>
      </c>
      <c r="D123" s="358">
        <v>45649</v>
      </c>
      <c r="E123" s="358">
        <v>45649</v>
      </c>
      <c r="F123" s="352" t="s">
        <v>1028</v>
      </c>
      <c r="G123" s="352" t="s">
        <v>1030</v>
      </c>
      <c r="H123" s="352" t="s">
        <v>1030</v>
      </c>
    </row>
    <row r="124" spans="1:8" x14ac:dyDescent="0.25">
      <c r="A124" s="352">
        <f>+SUBTOTAL(3,$E$6:$E124)</f>
        <v>119</v>
      </c>
      <c r="B124" s="352" t="s">
        <v>865</v>
      </c>
      <c r="C124" s="352" t="str">
        <f>+VLOOKUP(B124,'Erection Compiled'!$C$7:$D$620,2,FALSE)</f>
        <v>DA+3</v>
      </c>
      <c r="D124" s="358">
        <v>45651</v>
      </c>
      <c r="E124" s="358">
        <v>45651</v>
      </c>
      <c r="F124" s="352" t="s">
        <v>1028</v>
      </c>
      <c r="G124" s="352" t="s">
        <v>1030</v>
      </c>
      <c r="H124" s="352" t="s">
        <v>1030</v>
      </c>
    </row>
    <row r="125" spans="1:8" x14ac:dyDescent="0.25">
      <c r="A125" s="352">
        <f>+SUBTOTAL(3,$E$6:$E125)</f>
        <v>120</v>
      </c>
      <c r="B125" s="352" t="s">
        <v>713</v>
      </c>
      <c r="C125" s="352" t="str">
        <f>+VLOOKUP(B125,'Erection Compiled'!$C$7:$D$620,2,FALSE)</f>
        <v>DA+0</v>
      </c>
      <c r="D125" s="358">
        <v>45652</v>
      </c>
      <c r="E125" s="358">
        <v>45652</v>
      </c>
      <c r="F125" s="352" t="s">
        <v>1028</v>
      </c>
      <c r="G125" s="352" t="s">
        <v>1030</v>
      </c>
      <c r="H125" s="352" t="s">
        <v>1030</v>
      </c>
    </row>
    <row r="126" spans="1:8" x14ac:dyDescent="0.25">
      <c r="A126" s="352">
        <f>+SUBTOTAL(3,$E$6:$E126)</f>
        <v>121</v>
      </c>
      <c r="B126" s="352" t="s">
        <v>695</v>
      </c>
      <c r="C126" s="352" t="str">
        <f>+VLOOKUP(B126,'Erection Compiled'!$C$7:$D$620,2,FALSE)</f>
        <v>DA+3</v>
      </c>
      <c r="D126" s="358">
        <v>45652</v>
      </c>
      <c r="E126" s="358">
        <v>45652</v>
      </c>
      <c r="F126" s="352" t="s">
        <v>1028</v>
      </c>
      <c r="G126" s="352" t="s">
        <v>1030</v>
      </c>
      <c r="H126" s="352" t="s">
        <v>1030</v>
      </c>
    </row>
    <row r="127" spans="1:8" x14ac:dyDescent="0.25">
      <c r="A127" s="352">
        <f>+SUBTOTAL(3,$E$6:$E127)</f>
        <v>122</v>
      </c>
      <c r="B127" s="352" t="s">
        <v>696</v>
      </c>
      <c r="C127" s="352" t="str">
        <f>+VLOOKUP(B127,'Erection Compiled'!$C$7:$D$620,2,FALSE)</f>
        <v>DA+3</v>
      </c>
      <c r="D127" s="358">
        <v>45652</v>
      </c>
      <c r="E127" s="358">
        <v>45652</v>
      </c>
      <c r="F127" s="352" t="s">
        <v>1028</v>
      </c>
      <c r="G127" s="352" t="s">
        <v>1030</v>
      </c>
      <c r="H127" s="352" t="s">
        <v>1030</v>
      </c>
    </row>
    <row r="128" spans="1:8" x14ac:dyDescent="0.25">
      <c r="A128" s="352">
        <f>+SUBTOTAL(3,$E$6:$E128)</f>
        <v>123</v>
      </c>
      <c r="B128" s="352" t="s">
        <v>694</v>
      </c>
      <c r="C128" s="352" t="str">
        <f>+VLOOKUP(B128,'Erection Compiled'!$C$7:$D$620,2,FALSE)</f>
        <v>DA+0</v>
      </c>
      <c r="D128" s="358">
        <v>45654</v>
      </c>
      <c r="E128" s="358">
        <v>45654</v>
      </c>
      <c r="F128" s="352" t="s">
        <v>1028</v>
      </c>
      <c r="G128" s="352" t="s">
        <v>1030</v>
      </c>
      <c r="H128" s="352" t="s">
        <v>1030</v>
      </c>
    </row>
    <row r="129" spans="1:8" x14ac:dyDescent="0.25">
      <c r="A129" s="352">
        <f>+SUBTOTAL(3,$E$6:$E129)</f>
        <v>124</v>
      </c>
      <c r="B129" s="352" t="s">
        <v>704</v>
      </c>
      <c r="C129" s="352" t="str">
        <f>+VLOOKUP(B129,'Erection Compiled'!$C$7:$D$620,2,FALSE)</f>
        <v>DA+9</v>
      </c>
      <c r="D129" s="358">
        <v>45663</v>
      </c>
      <c r="E129" s="358">
        <v>45663</v>
      </c>
      <c r="F129" s="352" t="s">
        <v>1028</v>
      </c>
      <c r="G129" s="352" t="s">
        <v>1030</v>
      </c>
      <c r="H129" s="352" t="s">
        <v>1030</v>
      </c>
    </row>
    <row r="130" spans="1:8" x14ac:dyDescent="0.25">
      <c r="A130" s="352">
        <f>+SUBTOTAL(3,$E$6:$E130)</f>
        <v>125</v>
      </c>
      <c r="B130" s="352" t="s">
        <v>35</v>
      </c>
      <c r="C130" s="352" t="str">
        <f>+VLOOKUP(B130,'Erection Compiled'!$C$7:$D$620,2,FALSE)</f>
        <v>DC2+0</v>
      </c>
      <c r="D130" s="358">
        <v>45664</v>
      </c>
      <c r="E130" s="358">
        <v>45664</v>
      </c>
      <c r="F130" s="352" t="s">
        <v>1028</v>
      </c>
      <c r="G130" s="352" t="s">
        <v>1030</v>
      </c>
      <c r="H130" s="352" t="s">
        <v>1030</v>
      </c>
    </row>
    <row r="131" spans="1:8" x14ac:dyDescent="0.25">
      <c r="A131" s="352">
        <f>+SUBTOTAL(3,$E$6:$E131)</f>
        <v>126</v>
      </c>
      <c r="B131" s="352" t="s">
        <v>706</v>
      </c>
      <c r="C131" s="352" t="str">
        <f>+VLOOKUP(B131,'Erection Compiled'!$C$7:$D$620,2,FALSE)</f>
        <v>DA+9</v>
      </c>
      <c r="D131" s="358">
        <v>45669</v>
      </c>
      <c r="E131" s="358">
        <v>45669</v>
      </c>
      <c r="F131" s="352" t="s">
        <v>1028</v>
      </c>
      <c r="G131" s="352" t="s">
        <v>1030</v>
      </c>
      <c r="H131" s="352" t="s">
        <v>1030</v>
      </c>
    </row>
    <row r="132" spans="1:8" x14ac:dyDescent="0.25">
      <c r="A132" s="352">
        <f>+SUBTOTAL(3,$E$6:$E132)</f>
        <v>127</v>
      </c>
      <c r="B132" s="352" t="s">
        <v>220</v>
      </c>
      <c r="C132" s="352" t="str">
        <f>+VLOOKUP(B132,'Erection Compiled'!$C$7:$D$620,2,FALSE)</f>
        <v>DA+0</v>
      </c>
      <c r="D132" s="358">
        <v>45674</v>
      </c>
      <c r="E132" s="358">
        <v>45674</v>
      </c>
      <c r="F132" s="352" t="s">
        <v>1028</v>
      </c>
      <c r="G132" s="352" t="s">
        <v>1030</v>
      </c>
      <c r="H132" s="352" t="s">
        <v>1030</v>
      </c>
    </row>
    <row r="133" spans="1:8" x14ac:dyDescent="0.25">
      <c r="A133" s="352">
        <f>+SUBTOTAL(3,$E$6:$E133)</f>
        <v>128</v>
      </c>
      <c r="B133" s="352" t="s">
        <v>221</v>
      </c>
      <c r="C133" s="352" t="str">
        <f>+VLOOKUP(B133,'Erection Compiled'!$C$7:$D$620,2,FALSE)</f>
        <v>DA+0</v>
      </c>
      <c r="D133" s="358">
        <v>45675</v>
      </c>
      <c r="E133" s="358">
        <v>45675</v>
      </c>
      <c r="F133" s="352" t="s">
        <v>1028</v>
      </c>
      <c r="G133" s="352" t="s">
        <v>1030</v>
      </c>
      <c r="H133" s="352" t="s">
        <v>1030</v>
      </c>
    </row>
    <row r="134" spans="1:8" x14ac:dyDescent="0.25">
      <c r="A134" s="352">
        <f>+SUBTOTAL(3,$E$6:$E134)</f>
        <v>129</v>
      </c>
      <c r="B134" s="352" t="s">
        <v>860</v>
      </c>
      <c r="C134" s="352" t="str">
        <f>+VLOOKUP(B134,'Erection Compiled'!$C$7:$D$620,2,FALSE)</f>
        <v>DA+0</v>
      </c>
      <c r="D134" s="358">
        <v>45684</v>
      </c>
      <c r="E134" s="358">
        <v>45684</v>
      </c>
      <c r="F134" s="352" t="s">
        <v>1028</v>
      </c>
      <c r="G134" s="352" t="s">
        <v>1030</v>
      </c>
      <c r="H134" s="352" t="s">
        <v>1030</v>
      </c>
    </row>
    <row r="135" spans="1:8" x14ac:dyDescent="0.25">
      <c r="A135" s="352">
        <f>+SUBTOTAL(3,$E$6:$E135)</f>
        <v>130</v>
      </c>
      <c r="B135" s="352" t="s">
        <v>861</v>
      </c>
      <c r="C135" s="352" t="str">
        <f>+VLOOKUP(B135,'Erection Compiled'!$C$7:$D$620,2,FALSE)</f>
        <v>DA+0</v>
      </c>
      <c r="D135" s="358">
        <v>45685</v>
      </c>
      <c r="E135" s="358">
        <v>45686</v>
      </c>
      <c r="F135" s="352" t="s">
        <v>1028</v>
      </c>
      <c r="G135" s="352" t="s">
        <v>1030</v>
      </c>
      <c r="H135" s="352" t="s">
        <v>1030</v>
      </c>
    </row>
    <row r="136" spans="1:8" x14ac:dyDescent="0.25">
      <c r="A136" s="352">
        <f>+SUBTOTAL(3,$E$6:$E136)</f>
        <v>131</v>
      </c>
      <c r="B136" s="352" t="s">
        <v>864</v>
      </c>
      <c r="C136" s="352" t="str">
        <f>+VLOOKUP(B136,'Erection Compiled'!$C$7:$D$620,2,FALSE)</f>
        <v>DA+0</v>
      </c>
      <c r="D136" s="358">
        <v>45701</v>
      </c>
      <c r="E136" s="358">
        <v>45701</v>
      </c>
      <c r="F136" s="352" t="s">
        <v>1028</v>
      </c>
      <c r="G136" s="352" t="s">
        <v>1030</v>
      </c>
      <c r="H136" s="352" t="s">
        <v>1030</v>
      </c>
    </row>
    <row r="137" spans="1:8" x14ac:dyDescent="0.25">
      <c r="A137" s="352">
        <f>+SUBTOTAL(3,$E$6:$E137)</f>
        <v>132</v>
      </c>
      <c r="B137" s="352" t="s">
        <v>867</v>
      </c>
      <c r="C137" s="352" t="str">
        <f>+VLOOKUP(B137,'Erection Compiled'!$C$7:$D$620,2,FALSE)</f>
        <v>DB2+0</v>
      </c>
      <c r="D137" s="358">
        <v>45702</v>
      </c>
      <c r="E137" s="358">
        <v>45702</v>
      </c>
      <c r="F137" s="352" t="s">
        <v>1028</v>
      </c>
      <c r="G137" s="352" t="s">
        <v>1030</v>
      </c>
      <c r="H137" s="352" t="s">
        <v>1030</v>
      </c>
    </row>
    <row r="138" spans="1:8" x14ac:dyDescent="0.25">
      <c r="A138" s="352">
        <f>+SUBTOTAL(3,$E$6:$E138)</f>
        <v>133</v>
      </c>
      <c r="B138" s="352" t="s">
        <v>862</v>
      </c>
      <c r="C138" s="352" t="str">
        <f>+VLOOKUP(B138,'Erection Compiled'!$C$7:$D$620,2,FALSE)</f>
        <v>DA+0</v>
      </c>
      <c r="D138" s="358">
        <v>45703</v>
      </c>
      <c r="E138" s="358">
        <v>45703</v>
      </c>
      <c r="F138" s="352" t="s">
        <v>1028</v>
      </c>
      <c r="G138" s="352" t="s">
        <v>1030</v>
      </c>
      <c r="H138" s="352" t="s">
        <v>1030</v>
      </c>
    </row>
    <row r="139" spans="1:8" x14ac:dyDescent="0.25">
      <c r="A139" s="352">
        <f>+SUBTOTAL(3,$E$6:$E139)</f>
        <v>134</v>
      </c>
      <c r="B139" s="352" t="s">
        <v>830</v>
      </c>
      <c r="C139" s="352" t="str">
        <f>+VLOOKUP(B139,'Erection Compiled'!$C$7:$D$620,2,FALSE)</f>
        <v>DA+0</v>
      </c>
      <c r="D139" s="358">
        <v>45705</v>
      </c>
      <c r="E139" s="358">
        <v>45705</v>
      </c>
      <c r="F139" s="352" t="s">
        <v>1028</v>
      </c>
      <c r="G139" s="352" t="s">
        <v>1030</v>
      </c>
      <c r="H139" s="352" t="s">
        <v>1030</v>
      </c>
    </row>
    <row r="140" spans="1:8" x14ac:dyDescent="0.25">
      <c r="A140" s="352">
        <f>+SUBTOTAL(3,$E$6:$E140)</f>
        <v>135</v>
      </c>
      <c r="B140" s="352" t="s">
        <v>101</v>
      </c>
      <c r="C140" s="352" t="str">
        <f>+VLOOKUP(B140,'Erection Compiled'!$C$7:$D$620,2,FALSE)</f>
        <v>DC2+6</v>
      </c>
      <c r="D140" s="358">
        <v>45707</v>
      </c>
      <c r="E140" s="358">
        <v>45707</v>
      </c>
      <c r="F140" s="352" t="s">
        <v>1028</v>
      </c>
      <c r="G140" s="352" t="s">
        <v>1030</v>
      </c>
      <c r="H140" s="352" t="s">
        <v>1030</v>
      </c>
    </row>
    <row r="141" spans="1:8" x14ac:dyDescent="0.25">
      <c r="A141" s="352">
        <f>+SUBTOTAL(3,$E$6:$E141)</f>
        <v>136</v>
      </c>
      <c r="B141" s="352" t="s">
        <v>711</v>
      </c>
      <c r="C141" s="352" t="str">
        <f>+VLOOKUP(B141,'Erection Compiled'!$C$7:$D$620,2,FALSE)</f>
        <v>DC2+0</v>
      </c>
      <c r="D141" s="358">
        <v>45714</v>
      </c>
      <c r="E141" s="358">
        <v>45714</v>
      </c>
      <c r="F141" s="352" t="s">
        <v>1028</v>
      </c>
      <c r="G141" s="352" t="s">
        <v>1030</v>
      </c>
      <c r="H141" s="352" t="s">
        <v>1030</v>
      </c>
    </row>
    <row r="142" spans="1:8" x14ac:dyDescent="0.25">
      <c r="A142" s="352">
        <f>+SUBTOTAL(3,$E$6:$E142)</f>
        <v>137</v>
      </c>
      <c r="B142" s="352" t="s">
        <v>705</v>
      </c>
      <c r="C142" s="352" t="str">
        <f>+VLOOKUP(B142,'Erection Compiled'!$C$7:$D$620,2,FALSE)</f>
        <v>DA+9</v>
      </c>
      <c r="D142" s="358">
        <v>45718</v>
      </c>
      <c r="E142" s="358">
        <v>45718</v>
      </c>
      <c r="F142" s="352" t="s">
        <v>1028</v>
      </c>
      <c r="G142" s="352" t="s">
        <v>1030</v>
      </c>
      <c r="H142" s="352" t="s">
        <v>1030</v>
      </c>
    </row>
    <row r="143" spans="1:8" x14ac:dyDescent="0.25">
      <c r="A143" s="352">
        <f>+SUBTOTAL(3,$E$6:$E143)</f>
        <v>138</v>
      </c>
      <c r="B143" s="352" t="s">
        <v>714</v>
      </c>
      <c r="C143" s="352" t="str">
        <f>+VLOOKUP(B143,'Erection Compiled'!$C$7:$D$620,2,FALSE)</f>
        <v>DC2+0</v>
      </c>
      <c r="D143" s="358">
        <v>45721</v>
      </c>
      <c r="E143" s="358">
        <v>45721</v>
      </c>
      <c r="F143" s="352" t="s">
        <v>1028</v>
      </c>
      <c r="G143" s="352" t="s">
        <v>1030</v>
      </c>
      <c r="H143" s="352" t="s">
        <v>1030</v>
      </c>
    </row>
    <row r="144" spans="1:8" x14ac:dyDescent="0.25">
      <c r="A144" s="352">
        <f>+SUBTOTAL(3,$E$6:$E144)</f>
        <v>139</v>
      </c>
      <c r="B144" s="352" t="s">
        <v>91</v>
      </c>
      <c r="C144" s="352" t="str">
        <f>+VLOOKUP(B144,'Erection Compiled'!$C$7:$D$620,2,FALSE)</f>
        <v>DD45+0</v>
      </c>
      <c r="D144" s="358">
        <v>45726</v>
      </c>
      <c r="E144" s="358">
        <v>45726</v>
      </c>
      <c r="F144" s="352" t="s">
        <v>1028</v>
      </c>
      <c r="G144" s="352" t="s">
        <v>1030</v>
      </c>
      <c r="H144" s="352" t="s">
        <v>1030</v>
      </c>
    </row>
    <row r="145" spans="1:8" x14ac:dyDescent="0.25">
      <c r="A145" s="352">
        <f>+SUBTOTAL(3,$E$6:$E145)</f>
        <v>140</v>
      </c>
      <c r="B145" s="352" t="s">
        <v>723</v>
      </c>
      <c r="C145" s="352" t="str">
        <f>+VLOOKUP(B145,'Erection Compiled'!$C$7:$D$620,2,FALSE)</f>
        <v>DA+3</v>
      </c>
      <c r="D145" s="358">
        <v>45727</v>
      </c>
      <c r="E145" s="358">
        <v>45727</v>
      </c>
      <c r="F145" s="352" t="s">
        <v>1028</v>
      </c>
      <c r="G145" s="352" t="s">
        <v>1030</v>
      </c>
      <c r="H145" s="352" t="s">
        <v>1030</v>
      </c>
    </row>
    <row r="146" spans="1:8" x14ac:dyDescent="0.25">
      <c r="A146" s="352">
        <f>+SUBTOTAL(3,$E$6:$E146)</f>
        <v>141</v>
      </c>
      <c r="B146" s="352" t="s">
        <v>724</v>
      </c>
      <c r="C146" s="352" t="str">
        <f>+VLOOKUP(B146,'Erection Compiled'!$C$7:$D$620,2,FALSE)</f>
        <v>DA+9</v>
      </c>
      <c r="D146" s="358">
        <v>45728</v>
      </c>
      <c r="E146" s="358">
        <v>45728</v>
      </c>
      <c r="F146" s="352" t="s">
        <v>1028</v>
      </c>
      <c r="G146" s="352" t="s">
        <v>1030</v>
      </c>
      <c r="H146" s="352" t="s">
        <v>1030</v>
      </c>
    </row>
    <row r="147" spans="1:8" x14ac:dyDescent="0.25">
      <c r="A147" s="352">
        <f>+SUBTOTAL(3,$E$6:$E147)</f>
        <v>142</v>
      </c>
      <c r="B147" s="352" t="s">
        <v>857</v>
      </c>
      <c r="C147" s="352" t="str">
        <f>+VLOOKUP(B147,'Erection Compiled'!$C$7:$D$620,2,FALSE)</f>
        <v>DB2+0</v>
      </c>
      <c r="D147" s="358">
        <v>45729</v>
      </c>
      <c r="E147" s="358">
        <v>45729</v>
      </c>
      <c r="F147" s="352" t="s">
        <v>1028</v>
      </c>
      <c r="G147" s="352" t="s">
        <v>1030</v>
      </c>
      <c r="H147" s="352" t="s">
        <v>1030</v>
      </c>
    </row>
    <row r="148" spans="1:8" x14ac:dyDescent="0.25">
      <c r="A148" s="352">
        <f>+SUBTOTAL(3,$E$6:$E148)</f>
        <v>143</v>
      </c>
      <c r="B148" s="352" t="s">
        <v>719</v>
      </c>
      <c r="C148" s="352" t="str">
        <f>+VLOOKUP(B148,'Erection Compiled'!$C$7:$D$620,2,FALSE)</f>
        <v>DA+9</v>
      </c>
      <c r="D148" s="358">
        <v>45733</v>
      </c>
      <c r="E148" s="358">
        <v>45733</v>
      </c>
      <c r="F148" s="352" t="s">
        <v>1028</v>
      </c>
      <c r="G148" s="352" t="s">
        <v>1030</v>
      </c>
      <c r="H148" s="352" t="s">
        <v>1030</v>
      </c>
    </row>
    <row r="149" spans="1:8" x14ac:dyDescent="0.25">
      <c r="A149" s="352">
        <f>+SUBTOTAL(3,$E$6:$E149)</f>
        <v>144</v>
      </c>
      <c r="B149" s="354" t="s">
        <v>690</v>
      </c>
      <c r="C149" s="352" t="str">
        <f>+VLOOKUP(B149,'Erection Compiled'!$C$7:$D$620,2,FALSE)</f>
        <v>DA+3</v>
      </c>
      <c r="D149" s="358">
        <v>45763</v>
      </c>
      <c r="E149" s="358">
        <v>45763</v>
      </c>
      <c r="F149" s="352" t="s">
        <v>1028</v>
      </c>
      <c r="G149" s="352" t="s">
        <v>1030</v>
      </c>
      <c r="H149" s="352"/>
    </row>
    <row r="150" spans="1:8" x14ac:dyDescent="0.25">
      <c r="A150" s="352">
        <f>+SUBTOTAL(3,$E$6:$E150)</f>
        <v>145</v>
      </c>
      <c r="B150" s="354" t="s">
        <v>689</v>
      </c>
      <c r="C150" s="352" t="str">
        <f>+VLOOKUP(B150,'Erection Compiled'!$C$7:$D$620,2,FALSE)</f>
        <v>DA+0</v>
      </c>
      <c r="D150" s="358">
        <v>45763</v>
      </c>
      <c r="E150" s="358">
        <v>45763</v>
      </c>
      <c r="F150" s="352" t="s">
        <v>1028</v>
      </c>
      <c r="G150" s="352" t="s">
        <v>1030</v>
      </c>
      <c r="H150" s="352"/>
    </row>
    <row r="151" spans="1:8" x14ac:dyDescent="0.25">
      <c r="A151" s="352">
        <f>+SUBTOTAL(3,$E$6:$E151)</f>
        <v>146</v>
      </c>
      <c r="B151" s="354" t="s">
        <v>95</v>
      </c>
      <c r="C151" s="352" t="str">
        <f>+VLOOKUP(B151,'Erection Compiled'!$C$7:$D$620,2,FALSE)</f>
        <v>DC1+3</v>
      </c>
      <c r="D151" s="358">
        <v>45768</v>
      </c>
      <c r="E151" s="358">
        <v>45768</v>
      </c>
      <c r="F151" s="352" t="s">
        <v>1028</v>
      </c>
      <c r="G151" s="352" t="s">
        <v>1030</v>
      </c>
      <c r="H151" s="352"/>
    </row>
    <row r="152" spans="1:8" x14ac:dyDescent="0.25">
      <c r="A152" s="352">
        <f>+SUBTOTAL(3,$E$6:$E152)</f>
        <v>147</v>
      </c>
      <c r="B152" s="354" t="s">
        <v>856</v>
      </c>
      <c r="C152" s="352" t="str">
        <f>+VLOOKUP(B152,'Erection Compiled'!$C$7:$D$620,2,FALSE)</f>
        <v>DA+0</v>
      </c>
      <c r="D152" s="358">
        <v>45775</v>
      </c>
      <c r="E152" s="358">
        <v>45775</v>
      </c>
      <c r="F152" s="352" t="s">
        <v>1028</v>
      </c>
      <c r="G152" s="352" t="s">
        <v>1030</v>
      </c>
      <c r="H152" s="352" t="s">
        <v>1030</v>
      </c>
    </row>
    <row r="153" spans="1:8" x14ac:dyDescent="0.25">
      <c r="A153" s="352">
        <f>+SUBTOTAL(3,$E$6:$E153)</f>
        <v>148</v>
      </c>
      <c r="B153" s="354" t="s">
        <v>855</v>
      </c>
      <c r="C153" s="352" t="str">
        <f>+VLOOKUP(B153,'Erection Compiled'!$C$7:$D$620,2,FALSE)</f>
        <v>DA+3</v>
      </c>
      <c r="D153" s="358">
        <v>45776</v>
      </c>
      <c r="E153" s="358">
        <v>45776</v>
      </c>
      <c r="F153" s="352" t="s">
        <v>1028</v>
      </c>
      <c r="G153" s="352" t="s">
        <v>1030</v>
      </c>
      <c r="H153" s="352" t="s">
        <v>1030</v>
      </c>
    </row>
    <row r="154" spans="1:8" x14ac:dyDescent="0.25">
      <c r="A154" s="352">
        <f>+SUBTOTAL(3,$E$6:$E154)</f>
        <v>149</v>
      </c>
      <c r="B154" s="354" t="s">
        <v>853</v>
      </c>
      <c r="C154" s="352" t="str">
        <f>+VLOOKUP(B154,'Erection Compiled'!$C$7:$D$620,2,FALSE)</f>
        <v>DA+3</v>
      </c>
      <c r="D154" s="358">
        <v>45777</v>
      </c>
      <c r="E154" s="358">
        <v>45777</v>
      </c>
      <c r="F154" s="352" t="s">
        <v>1028</v>
      </c>
      <c r="G154" s="352" t="s">
        <v>1030</v>
      </c>
      <c r="H154" s="352" t="s">
        <v>1030</v>
      </c>
    </row>
    <row r="155" spans="1:8" x14ac:dyDescent="0.25">
      <c r="A155" s="352">
        <f>+SUBTOTAL(3,$E$6:$E155)</f>
        <v>150</v>
      </c>
      <c r="B155" s="354" t="s">
        <v>852</v>
      </c>
      <c r="C155" s="352" t="str">
        <f>+VLOOKUP(B155,'Erection Compiled'!$C$7:$D$620,2,FALSE)</f>
        <v>DA+3</v>
      </c>
      <c r="D155" s="358">
        <v>45777</v>
      </c>
      <c r="E155" s="358">
        <v>45777</v>
      </c>
      <c r="F155" s="352" t="s">
        <v>1028</v>
      </c>
      <c r="G155" s="352" t="s">
        <v>1030</v>
      </c>
      <c r="H155" s="352" t="s">
        <v>1030</v>
      </c>
    </row>
    <row r="156" spans="1:8" x14ac:dyDescent="0.25">
      <c r="A156" s="352">
        <f>+SUBTOTAL(3,$E$6:$E156)</f>
        <v>151</v>
      </c>
      <c r="B156" s="354" t="s">
        <v>839</v>
      </c>
      <c r="C156" s="352" t="str">
        <f>+VLOOKUP(B156,'Erection Compiled'!$C$7:$D$620,2,FALSE)</f>
        <v>DA+3</v>
      </c>
      <c r="D156" s="358">
        <v>45779</v>
      </c>
      <c r="E156" s="358">
        <v>45779</v>
      </c>
      <c r="F156" s="352" t="s">
        <v>1028</v>
      </c>
      <c r="G156" s="352" t="s">
        <v>1030</v>
      </c>
      <c r="H156" s="352" t="s">
        <v>1030</v>
      </c>
    </row>
    <row r="157" spans="1:8" x14ac:dyDescent="0.25">
      <c r="A157" s="352">
        <f>+SUBTOTAL(3,$E$6:$E157)</f>
        <v>152</v>
      </c>
      <c r="B157" s="354" t="s">
        <v>851</v>
      </c>
      <c r="C157" s="352" t="str">
        <f>+VLOOKUP(B157,'Erection Compiled'!$C$7:$D$620,2,FALSE)</f>
        <v>DA+0</v>
      </c>
      <c r="D157" s="358">
        <v>45779</v>
      </c>
      <c r="E157" s="358">
        <v>45779</v>
      </c>
      <c r="F157" s="352" t="s">
        <v>1028</v>
      </c>
      <c r="G157" s="352" t="s">
        <v>1030</v>
      </c>
      <c r="H157" s="352" t="s">
        <v>1030</v>
      </c>
    </row>
    <row r="158" spans="1:8" x14ac:dyDescent="0.25">
      <c r="A158" s="352">
        <f>+SUBTOTAL(3,$E$6:$E158)</f>
        <v>153</v>
      </c>
      <c r="B158" s="354" t="s">
        <v>837</v>
      </c>
      <c r="C158" s="352" t="str">
        <f>+VLOOKUP(B158,'Erection Compiled'!$C$7:$D$620,2,FALSE)</f>
        <v>DA+3</v>
      </c>
      <c r="D158" s="358">
        <v>45780</v>
      </c>
      <c r="E158" s="358">
        <v>45780</v>
      </c>
      <c r="F158" s="352" t="s">
        <v>1028</v>
      </c>
      <c r="G158" s="352" t="s">
        <v>1030</v>
      </c>
      <c r="H158" s="352" t="s">
        <v>1030</v>
      </c>
    </row>
    <row r="159" spans="1:8" x14ac:dyDescent="0.25">
      <c r="A159" s="352">
        <f>+SUBTOTAL(3,$E$6:$E159)</f>
        <v>154</v>
      </c>
      <c r="B159" s="354" t="s">
        <v>745</v>
      </c>
      <c r="C159" s="352" t="str">
        <f>+VLOOKUP(B159,'Erection Compiled'!$C$7:$D$620,2,FALSE)</f>
        <v>DA+0</v>
      </c>
      <c r="D159" s="358">
        <v>45782</v>
      </c>
      <c r="E159" s="358">
        <v>45782</v>
      </c>
      <c r="F159" s="352" t="s">
        <v>1028</v>
      </c>
      <c r="G159" s="352" t="s">
        <v>1030</v>
      </c>
      <c r="H159" s="352" t="s">
        <v>1030</v>
      </c>
    </row>
    <row r="160" spans="1:8" x14ac:dyDescent="0.25">
      <c r="A160" s="352">
        <f>+SUBTOTAL(3,$E$6:$E160)</f>
        <v>155</v>
      </c>
      <c r="B160" s="354" t="s">
        <v>746</v>
      </c>
      <c r="C160" s="352" t="str">
        <f>+VLOOKUP(B160,'Erection Compiled'!$C$7:$D$620,2,FALSE)</f>
        <v>DA+0</v>
      </c>
      <c r="D160" s="358">
        <v>45783</v>
      </c>
      <c r="E160" s="358">
        <v>45783</v>
      </c>
      <c r="F160" s="352" t="s">
        <v>1028</v>
      </c>
      <c r="G160" s="352" t="s">
        <v>1030</v>
      </c>
      <c r="H160" s="352" t="s">
        <v>1030</v>
      </c>
    </row>
    <row r="161" spans="1:8" x14ac:dyDescent="0.25">
      <c r="A161" s="352">
        <f>+SUBTOTAL(3,$E$6:$E161)</f>
        <v>156</v>
      </c>
      <c r="B161" s="354" t="s">
        <v>850</v>
      </c>
      <c r="C161" s="352" t="str">
        <f>+VLOOKUP(B161,'Erection Compiled'!$C$7:$D$620,2,FALSE)</f>
        <v>DA+3</v>
      </c>
      <c r="D161" s="358">
        <v>45787</v>
      </c>
      <c r="E161" s="358">
        <v>45787</v>
      </c>
      <c r="F161" s="352" t="s">
        <v>1028</v>
      </c>
      <c r="G161" s="352" t="s">
        <v>1030</v>
      </c>
      <c r="H161" s="352" t="s">
        <v>1030</v>
      </c>
    </row>
    <row r="162" spans="1:8" x14ac:dyDescent="0.25">
      <c r="A162" s="352">
        <f>+SUBTOTAL(3,$E$6:$E162)</f>
        <v>157</v>
      </c>
      <c r="B162" s="354" t="s">
        <v>838</v>
      </c>
      <c r="C162" s="352" t="str">
        <f>+VLOOKUP(B162,'Erection Compiled'!$C$7:$D$620,2,FALSE)</f>
        <v>DA+3</v>
      </c>
      <c r="D162" s="358">
        <v>45788</v>
      </c>
      <c r="E162" s="358">
        <v>45788</v>
      </c>
      <c r="F162" s="352" t="s">
        <v>1028</v>
      </c>
      <c r="G162" s="352" t="s">
        <v>1030</v>
      </c>
      <c r="H162" s="352" t="s">
        <v>1030</v>
      </c>
    </row>
    <row r="163" spans="1:8" x14ac:dyDescent="0.25">
      <c r="A163" s="352">
        <f>+SUBTOTAL(3,$E$6:$E163)</f>
        <v>158</v>
      </c>
      <c r="B163" s="352" t="s">
        <v>848</v>
      </c>
      <c r="C163" s="352" t="str">
        <f>+VLOOKUP(B163,'Erection Compiled'!$C$7:$D$620,2,FALSE)</f>
        <v>DA+6</v>
      </c>
      <c r="D163" s="358">
        <v>45793</v>
      </c>
      <c r="E163" s="358">
        <v>45793</v>
      </c>
      <c r="F163" s="352" t="s">
        <v>1028</v>
      </c>
      <c r="G163" s="352" t="s">
        <v>1030</v>
      </c>
      <c r="H163" s="352" t="s">
        <v>1030</v>
      </c>
    </row>
    <row r="164" spans="1:8" x14ac:dyDescent="0.25">
      <c r="A164" s="352">
        <f>+SUBTOTAL(3,$E$6:$E164)</f>
        <v>159</v>
      </c>
      <c r="B164" s="354" t="s">
        <v>849</v>
      </c>
      <c r="C164" s="352" t="str">
        <f>+VLOOKUP(B164,'Erection Compiled'!$C$7:$D$620,2,FALSE)</f>
        <v>DA+3</v>
      </c>
      <c r="D164" s="358">
        <v>45794</v>
      </c>
      <c r="E164" s="358">
        <v>45794</v>
      </c>
      <c r="F164" s="352" t="s">
        <v>1028</v>
      </c>
      <c r="G164" s="352" t="s">
        <v>1030</v>
      </c>
      <c r="H164" s="352" t="s">
        <v>1030</v>
      </c>
    </row>
    <row r="165" spans="1:8" x14ac:dyDescent="0.25">
      <c r="A165" s="352">
        <f>+SUBTOTAL(3,$E$6:$E165)</f>
        <v>160</v>
      </c>
      <c r="B165" s="354" t="s">
        <v>847</v>
      </c>
      <c r="C165" s="352" t="str">
        <f>+VLOOKUP(B165,'Erection Compiled'!$C$7:$D$620,2,FALSE)</f>
        <v>DA+3</v>
      </c>
      <c r="D165" s="358">
        <v>45796</v>
      </c>
      <c r="E165" s="358">
        <v>45796</v>
      </c>
      <c r="F165" s="352" t="s">
        <v>1028</v>
      </c>
      <c r="G165" s="352" t="s">
        <v>1030</v>
      </c>
      <c r="H165" s="352" t="s">
        <v>1030</v>
      </c>
    </row>
    <row r="166" spans="1:8" x14ac:dyDescent="0.25">
      <c r="A166" s="352">
        <f>+SUBTOTAL(3,$E$6:$E166)</f>
        <v>161</v>
      </c>
      <c r="B166" s="354" t="s">
        <v>846</v>
      </c>
      <c r="C166" s="352" t="str">
        <f>+VLOOKUP(B166,'Erection Compiled'!$C$7:$D$620,2,FALSE)</f>
        <v>DA+3</v>
      </c>
      <c r="D166" s="358">
        <v>45797</v>
      </c>
      <c r="E166" s="358">
        <v>45797</v>
      </c>
      <c r="F166" s="352" t="s">
        <v>1028</v>
      </c>
      <c r="G166" s="352" t="s">
        <v>1030</v>
      </c>
      <c r="H166" s="352" t="s">
        <v>1030</v>
      </c>
    </row>
    <row r="167" spans="1:8" x14ac:dyDescent="0.25">
      <c r="A167" s="352">
        <f>+SUBTOTAL(3,$E$6:$E167)</f>
        <v>162</v>
      </c>
      <c r="B167" s="354" t="s">
        <v>845</v>
      </c>
      <c r="C167" s="352" t="str">
        <f>+VLOOKUP(B167,'Erection Compiled'!$C$7:$D$620,2,FALSE)</f>
        <v>DA+3</v>
      </c>
      <c r="D167" s="358">
        <v>45801</v>
      </c>
      <c r="E167" s="358">
        <v>45801</v>
      </c>
      <c r="F167" s="352" t="s">
        <v>1028</v>
      </c>
      <c r="G167" s="352" t="s">
        <v>1030</v>
      </c>
      <c r="H167" s="352" t="s">
        <v>1030</v>
      </c>
    </row>
    <row r="168" spans="1:8" x14ac:dyDescent="0.25">
      <c r="A168" s="352">
        <f>+SUBTOTAL(3,$E$6:$E168)</f>
        <v>163</v>
      </c>
      <c r="B168" s="354" t="s">
        <v>106</v>
      </c>
      <c r="C168" s="352" t="str">
        <f>+VLOOKUP(B168,'Erection Compiled'!$C$7:$D$620,2,FALSE)</f>
        <v>DB2+3</v>
      </c>
      <c r="D168" s="358">
        <v>45803</v>
      </c>
      <c r="E168" s="358">
        <v>45803</v>
      </c>
      <c r="F168" s="352" t="s">
        <v>1028</v>
      </c>
      <c r="G168" s="352" t="s">
        <v>1030</v>
      </c>
      <c r="H168" s="352" t="s">
        <v>1030</v>
      </c>
    </row>
    <row r="169" spans="1:8" x14ac:dyDescent="0.25">
      <c r="A169" s="352">
        <f>+SUBTOTAL(3,$E$6:$E169)</f>
        <v>164</v>
      </c>
      <c r="B169" s="354" t="s">
        <v>843</v>
      </c>
      <c r="C169" s="352" t="str">
        <f>+VLOOKUP(B169,'Erection Compiled'!$C$7:$D$620,2,FALSE)</f>
        <v>DA+3</v>
      </c>
      <c r="D169" s="358">
        <v>45804</v>
      </c>
      <c r="E169" s="358">
        <v>45804</v>
      </c>
      <c r="F169" s="352" t="s">
        <v>1028</v>
      </c>
      <c r="G169" s="352" t="s">
        <v>1030</v>
      </c>
      <c r="H169" s="352" t="s">
        <v>1030</v>
      </c>
    </row>
    <row r="170" spans="1:8" x14ac:dyDescent="0.25">
      <c r="A170" s="352">
        <f>+SUBTOTAL(3,$E$6:$E170)</f>
        <v>165</v>
      </c>
      <c r="B170" s="354" t="s">
        <v>844</v>
      </c>
      <c r="C170" s="352" t="str">
        <f>+VLOOKUP(B170,'Erection Compiled'!$C$7:$D$620,2,FALSE)</f>
        <v>DA+3</v>
      </c>
      <c r="D170" s="358">
        <v>45805</v>
      </c>
      <c r="E170" s="358">
        <v>45805</v>
      </c>
      <c r="F170" s="352" t="s">
        <v>1028</v>
      </c>
      <c r="G170" s="352" t="s">
        <v>1030</v>
      </c>
      <c r="H170" s="352" t="s">
        <v>1030</v>
      </c>
    </row>
    <row r="171" spans="1:8" x14ac:dyDescent="0.25">
      <c r="A171" s="352">
        <f>+SUBTOTAL(3,$E$6:$E171)</f>
        <v>166</v>
      </c>
      <c r="B171" s="354" t="s">
        <v>103</v>
      </c>
      <c r="C171" s="352" t="str">
        <f>+VLOOKUP(B171,'Erection Compiled'!$C$7:$D$620,2,FALSE)</f>
        <v>DD45+0</v>
      </c>
      <c r="D171" s="358">
        <v>45812</v>
      </c>
      <c r="E171" s="358">
        <v>45812</v>
      </c>
      <c r="F171" s="352" t="s">
        <v>1028</v>
      </c>
      <c r="G171" s="352" t="s">
        <v>1030</v>
      </c>
      <c r="H171" s="352" t="s">
        <v>1030</v>
      </c>
    </row>
    <row r="172" spans="1:8" x14ac:dyDescent="0.25">
      <c r="A172" s="352">
        <f>+SUBTOTAL(3,$E$6:$E172)</f>
        <v>167</v>
      </c>
      <c r="B172" s="354" t="s">
        <v>102</v>
      </c>
      <c r="C172" s="352" t="str">
        <f>+VLOOKUP(B172,'Erection Compiled'!$C$7:$D$620,2,FALSE)</f>
        <v>DC1+9</v>
      </c>
      <c r="D172" s="358">
        <v>45818</v>
      </c>
      <c r="E172" s="358">
        <v>45818</v>
      </c>
      <c r="F172" s="352" t="s">
        <v>1028</v>
      </c>
      <c r="G172" s="352" t="s">
        <v>1030</v>
      </c>
      <c r="H172" s="352" t="s">
        <v>1030</v>
      </c>
    </row>
    <row r="173" spans="1:8" x14ac:dyDescent="0.25">
      <c r="A173" s="352">
        <f>+SUBTOTAL(3,$E$6:$E173)</f>
        <v>168</v>
      </c>
      <c r="B173" s="354" t="s">
        <v>502</v>
      </c>
      <c r="C173" s="352" t="str">
        <f>+VLOOKUP(B173,'Erection Compiled'!$C$7:$D$620,2,FALSE)</f>
        <v>DA+0</v>
      </c>
      <c r="D173" s="358">
        <v>45818</v>
      </c>
      <c r="E173" s="358">
        <v>45818</v>
      </c>
      <c r="F173" s="352" t="s">
        <v>1412</v>
      </c>
      <c r="G173" s="352" t="s">
        <v>1030</v>
      </c>
      <c r="H173" s="352"/>
    </row>
    <row r="174" spans="1:8" x14ac:dyDescent="0.25">
      <c r="A174" s="352">
        <f>+SUBTOTAL(3,$E$6:$E174)</f>
        <v>169</v>
      </c>
      <c r="B174" s="354" t="s">
        <v>504</v>
      </c>
      <c r="C174" s="352" t="str">
        <f>+VLOOKUP(B174,'Erection Compiled'!$C$7:$D$620,2,FALSE)</f>
        <v>DB2+3</v>
      </c>
      <c r="D174" s="358">
        <v>45818</v>
      </c>
      <c r="E174" s="358">
        <v>45818</v>
      </c>
      <c r="F174" s="352" t="s">
        <v>1412</v>
      </c>
      <c r="G174" s="352" t="s">
        <v>1030</v>
      </c>
      <c r="H174" s="352"/>
    </row>
    <row r="175" spans="1:8" x14ac:dyDescent="0.25">
      <c r="A175" s="352">
        <f>+SUBTOTAL(3,$E$6:$E175)</f>
        <v>170</v>
      </c>
      <c r="B175" s="354" t="s">
        <v>840</v>
      </c>
      <c r="C175" s="352" t="str">
        <f>+VLOOKUP(B175,'Erection Compiled'!$C$7:$D$620,2,FALSE)</f>
        <v>DA+3</v>
      </c>
      <c r="D175" s="358">
        <v>45851</v>
      </c>
      <c r="E175" s="358">
        <v>45852</v>
      </c>
      <c r="F175" s="352" t="s">
        <v>1028</v>
      </c>
      <c r="G175" s="352" t="s">
        <v>1030</v>
      </c>
      <c r="H175" s="352"/>
    </row>
    <row r="176" spans="1:8" x14ac:dyDescent="0.25">
      <c r="A176" s="352">
        <f>+SUBTOTAL(3,$E$6:$E176)</f>
        <v>171</v>
      </c>
      <c r="B176" s="354" t="s">
        <v>728</v>
      </c>
      <c r="C176" s="352" t="str">
        <f>+VLOOKUP(B176,'Erection Compiled'!$C$7:$D$620,2,FALSE)</f>
        <v>DA+6</v>
      </c>
      <c r="D176" s="358">
        <v>45861</v>
      </c>
      <c r="E176" s="358">
        <v>45861</v>
      </c>
      <c r="F176" s="352" t="s">
        <v>1028</v>
      </c>
      <c r="G176" s="352" t="s">
        <v>1030</v>
      </c>
      <c r="H176" s="352"/>
    </row>
    <row r="177" spans="1:8" x14ac:dyDescent="0.25">
      <c r="A177" s="352">
        <f>+SUBTOTAL(3,$E$6:$E177)</f>
        <v>172</v>
      </c>
      <c r="B177" s="354" t="s">
        <v>729</v>
      </c>
      <c r="C177" s="352" t="str">
        <f>+VLOOKUP(B177,'Erection Compiled'!$C$7:$D$620,2,FALSE)</f>
        <v>DA+0</v>
      </c>
      <c r="D177" s="358">
        <v>45861</v>
      </c>
      <c r="E177" s="358">
        <v>45861</v>
      </c>
      <c r="F177" s="352" t="s">
        <v>1028</v>
      </c>
      <c r="G177" s="352" t="s">
        <v>1030</v>
      </c>
      <c r="H177" s="352"/>
    </row>
    <row r="178" spans="1:8" x14ac:dyDescent="0.25">
      <c r="A178" s="352">
        <f>+SUBTOTAL(3,$E$6:$E178)</f>
        <v>173</v>
      </c>
      <c r="B178" s="354" t="s">
        <v>854</v>
      </c>
      <c r="C178" s="352" t="str">
        <f>+VLOOKUP(B178,'Erection Compiled'!$C$7:$D$620,2,FALSE)</f>
        <v>DB2+3</v>
      </c>
      <c r="D178" s="358">
        <v>45861</v>
      </c>
      <c r="E178" s="358">
        <v>45861</v>
      </c>
      <c r="F178" s="352" t="s">
        <v>1028</v>
      </c>
      <c r="G178" s="352" t="s">
        <v>1030</v>
      </c>
      <c r="H178" s="352" t="s">
        <v>1030</v>
      </c>
    </row>
    <row r="179" spans="1:8" x14ac:dyDescent="0.25">
      <c r="A179" s="352">
        <f>+SUBTOTAL(3,$E$6:$E179)</f>
        <v>174</v>
      </c>
      <c r="B179" s="354" t="s">
        <v>167</v>
      </c>
      <c r="C179" s="352" t="str">
        <f>+VLOOKUP(B179,'Erection Compiled'!$C$7:$D$620,2,FALSE)</f>
        <v>DA+3</v>
      </c>
      <c r="D179" s="358">
        <v>45861</v>
      </c>
      <c r="E179" s="358">
        <v>45861</v>
      </c>
      <c r="F179" s="352" t="s">
        <v>1708</v>
      </c>
      <c r="G179" s="352" t="s">
        <v>1030</v>
      </c>
      <c r="H179" s="352" t="s">
        <v>1030</v>
      </c>
    </row>
    <row r="180" spans="1:8" x14ac:dyDescent="0.25">
      <c r="A180" s="352">
        <f>+SUBTOTAL(3,$E$6:$E180)</f>
        <v>175</v>
      </c>
      <c r="B180" s="354" t="s">
        <v>747</v>
      </c>
      <c r="C180" s="352" t="str">
        <f>+VLOOKUP(B180,'Erection Compiled'!$C$7:$D$620,2,FALSE)</f>
        <v>DA+0</v>
      </c>
      <c r="D180" s="358">
        <v>45898</v>
      </c>
      <c r="E180" s="358">
        <v>45898</v>
      </c>
      <c r="F180" s="352" t="s">
        <v>1028</v>
      </c>
      <c r="G180" s="352" t="s">
        <v>1030</v>
      </c>
      <c r="H180" s="352" t="s">
        <v>1030</v>
      </c>
    </row>
    <row r="181" spans="1:8" x14ac:dyDescent="0.25">
      <c r="A181" s="352">
        <f>+SUBTOTAL(3,$E$6:$E181)</f>
        <v>176</v>
      </c>
      <c r="B181" s="354" t="s">
        <v>748</v>
      </c>
      <c r="C181" s="352" t="str">
        <f>+VLOOKUP(B181,'Erection Compiled'!$C$7:$D$620,2,FALSE)</f>
        <v>DA+6</v>
      </c>
      <c r="D181" s="358">
        <v>45901</v>
      </c>
      <c r="E181" s="358">
        <v>45901</v>
      </c>
      <c r="F181" s="352" t="s">
        <v>1028</v>
      </c>
      <c r="G181" s="352" t="s">
        <v>1030</v>
      </c>
      <c r="H181" s="352" t="s">
        <v>1030</v>
      </c>
    </row>
    <row r="182" spans="1:8" x14ac:dyDescent="0.25">
      <c r="A182" s="352">
        <f>+SUBTOTAL(3,$E$6:$E182)</f>
        <v>177</v>
      </c>
      <c r="B182" s="354" t="s">
        <v>749</v>
      </c>
      <c r="C182" s="352" t="str">
        <f>+VLOOKUP(B182,'Erection Compiled'!$C$7:$D$620,2,FALSE)</f>
        <v>DA+0</v>
      </c>
      <c r="D182" s="358">
        <v>45902</v>
      </c>
      <c r="E182" s="358">
        <v>45902</v>
      </c>
      <c r="F182" s="352" t="s">
        <v>1028</v>
      </c>
      <c r="G182" s="352" t="s">
        <v>1030</v>
      </c>
      <c r="H182" s="352"/>
    </row>
    <row r="183" spans="1:8" x14ac:dyDescent="0.25">
      <c r="A183" s="352">
        <f>+SUBTOTAL(3,$E$6:$E183)</f>
        <v>178</v>
      </c>
      <c r="B183" s="354" t="s">
        <v>750</v>
      </c>
      <c r="C183" s="352" t="str">
        <f>+VLOOKUP(B183,'Erection Compiled'!$C$7:$D$620,2,FALSE)</f>
        <v>DA+3</v>
      </c>
      <c r="D183" s="358">
        <v>45902</v>
      </c>
      <c r="E183" s="358">
        <v>45902</v>
      </c>
      <c r="F183" s="352" t="s">
        <v>1028</v>
      </c>
      <c r="G183" s="352" t="s">
        <v>1030</v>
      </c>
      <c r="H183" s="352"/>
    </row>
    <row r="184" spans="1:8" x14ac:dyDescent="0.25">
      <c r="A184" s="352">
        <f>+SUBTOTAL(3,$E$6:$E184)</f>
        <v>179</v>
      </c>
      <c r="B184" s="354" t="s">
        <v>741</v>
      </c>
      <c r="C184" s="352" t="str">
        <f>+VLOOKUP(B184,'Erection Compiled'!$C$7:$D$620,2,FALSE)</f>
        <v>DA+0</v>
      </c>
      <c r="D184" s="358">
        <v>45903</v>
      </c>
      <c r="E184" s="358">
        <v>45903</v>
      </c>
      <c r="F184" s="352" t="s">
        <v>1028</v>
      </c>
      <c r="G184" s="352" t="s">
        <v>1030</v>
      </c>
      <c r="H184" s="352" t="s">
        <v>1030</v>
      </c>
    </row>
    <row r="185" spans="1:8" x14ac:dyDescent="0.25">
      <c r="A185" s="352">
        <f>+SUBTOTAL(3,$E$6:$E185)</f>
        <v>180</v>
      </c>
      <c r="B185" s="354" t="s">
        <v>628</v>
      </c>
      <c r="C185" s="352" t="str">
        <f>+VLOOKUP(B185,'Erection Compiled'!$C$7:$D$620,2,FALSE)</f>
        <v>DD60+0</v>
      </c>
      <c r="D185" s="358">
        <v>45902</v>
      </c>
      <c r="E185" s="358">
        <f>+D185</f>
        <v>45902</v>
      </c>
      <c r="F185" s="352" t="s">
        <v>1596</v>
      </c>
      <c r="G185" s="352" t="s">
        <v>1030</v>
      </c>
      <c r="H185" s="352" t="s">
        <v>1030</v>
      </c>
    </row>
    <row r="186" spans="1:8" x14ac:dyDescent="0.25">
      <c r="A186" s="352">
        <f>+SUBTOTAL(3,$E$6:$E186)</f>
        <v>181</v>
      </c>
      <c r="B186" s="354" t="s">
        <v>629</v>
      </c>
      <c r="C186" s="352" t="str">
        <f>+VLOOKUP(B186,'Erection Compiled'!$C$7:$D$620,2,FALSE)</f>
        <v>DA+6</v>
      </c>
      <c r="D186" s="358">
        <f>+E185+1</f>
        <v>45903</v>
      </c>
      <c r="E186" s="358">
        <f t="shared" ref="E186:E192" si="0">+D186</f>
        <v>45903</v>
      </c>
      <c r="F186" s="352" t="s">
        <v>1596</v>
      </c>
      <c r="G186" s="352" t="s">
        <v>1030</v>
      </c>
      <c r="H186" s="352" t="s">
        <v>1030</v>
      </c>
    </row>
    <row r="187" spans="1:8" x14ac:dyDescent="0.25">
      <c r="A187" s="352">
        <f>+SUBTOTAL(3,$E$6:$E187)</f>
        <v>182</v>
      </c>
      <c r="B187" s="352" t="s">
        <v>631</v>
      </c>
      <c r="C187" s="352" t="str">
        <f>+VLOOKUP(B187,'Erection Compiled'!$C$7:$D$620,2,FALSE)</f>
        <v>DA+0</v>
      </c>
      <c r="D187" s="358">
        <f t="shared" ref="D187:D192" si="1">+E186+1</f>
        <v>45904</v>
      </c>
      <c r="E187" s="358">
        <f t="shared" si="0"/>
        <v>45904</v>
      </c>
      <c r="F187" s="352" t="s">
        <v>1596</v>
      </c>
      <c r="G187" s="352" t="s">
        <v>1030</v>
      </c>
      <c r="H187" s="352" t="s">
        <v>1030</v>
      </c>
    </row>
    <row r="188" spans="1:8" x14ac:dyDescent="0.25">
      <c r="A188" s="352">
        <f>+SUBTOTAL(3,$E$6:$E188)</f>
        <v>183</v>
      </c>
      <c r="B188" s="352" t="s">
        <v>632</v>
      </c>
      <c r="C188" s="352" t="str">
        <f>+VLOOKUP(B188,'Erection Compiled'!$C$7:$D$620,2,FALSE)</f>
        <v>DA+3</v>
      </c>
      <c r="D188" s="358">
        <f t="shared" si="1"/>
        <v>45905</v>
      </c>
      <c r="E188" s="358">
        <f t="shared" si="0"/>
        <v>45905</v>
      </c>
      <c r="F188" s="352" t="s">
        <v>1596</v>
      </c>
      <c r="G188" s="352" t="s">
        <v>1030</v>
      </c>
      <c r="H188" s="352" t="s">
        <v>1030</v>
      </c>
    </row>
    <row r="189" spans="1:8" x14ac:dyDescent="0.25">
      <c r="A189" s="352">
        <f>+SUBTOTAL(3,$E$6:$E189)</f>
        <v>184</v>
      </c>
      <c r="B189" s="352" t="s">
        <v>633</v>
      </c>
      <c r="C189" s="352" t="str">
        <f>+VLOOKUP(B189,'Erection Compiled'!$C$7:$D$620,2,FALSE)</f>
        <v>DA+0</v>
      </c>
      <c r="D189" s="358">
        <f t="shared" si="1"/>
        <v>45906</v>
      </c>
      <c r="E189" s="358">
        <f t="shared" si="0"/>
        <v>45906</v>
      </c>
      <c r="F189" s="352" t="s">
        <v>1596</v>
      </c>
      <c r="G189" s="352" t="s">
        <v>1030</v>
      </c>
      <c r="H189" s="352" t="s">
        <v>1030</v>
      </c>
    </row>
    <row r="190" spans="1:8" x14ac:dyDescent="0.25">
      <c r="A190" s="352">
        <f>+SUBTOTAL(3,$E$6:$E190)</f>
        <v>185</v>
      </c>
      <c r="B190" s="352" t="s">
        <v>634</v>
      </c>
      <c r="C190" s="352" t="str">
        <f>+VLOOKUP(B190,'Erection Compiled'!$C$7:$D$620,2,FALSE)</f>
        <v>DA+0</v>
      </c>
      <c r="D190" s="358">
        <f t="shared" si="1"/>
        <v>45907</v>
      </c>
      <c r="E190" s="358">
        <f t="shared" si="0"/>
        <v>45907</v>
      </c>
      <c r="F190" s="352" t="s">
        <v>1596</v>
      </c>
      <c r="G190" s="352" t="s">
        <v>1030</v>
      </c>
      <c r="H190" s="352" t="s">
        <v>1030</v>
      </c>
    </row>
    <row r="191" spans="1:8" x14ac:dyDescent="0.25">
      <c r="A191" s="352">
        <f>+SUBTOTAL(3,$E$6:$E191)</f>
        <v>186</v>
      </c>
      <c r="B191" s="352" t="s">
        <v>636</v>
      </c>
      <c r="C191" s="352" t="str">
        <f>+VLOOKUP(B191,'Erection Compiled'!$C$7:$D$620,2,FALSE)</f>
        <v>DA+0</v>
      </c>
      <c r="D191" s="358">
        <f t="shared" si="1"/>
        <v>45908</v>
      </c>
      <c r="E191" s="358">
        <f t="shared" si="0"/>
        <v>45908</v>
      </c>
      <c r="F191" s="352" t="s">
        <v>1596</v>
      </c>
      <c r="G191" s="352" t="s">
        <v>1030</v>
      </c>
      <c r="H191" s="352" t="s">
        <v>1030</v>
      </c>
    </row>
    <row r="192" spans="1:8" x14ac:dyDescent="0.25">
      <c r="A192" s="352">
        <f>+SUBTOTAL(3,$E$6:$E192)</f>
        <v>187</v>
      </c>
      <c r="B192" s="352" t="s">
        <v>447</v>
      </c>
      <c r="C192" s="352" t="str">
        <f>+VLOOKUP(B192,'Erection Compiled'!$C$7:$D$620,2,FALSE)</f>
        <v>DC1+0</v>
      </c>
      <c r="D192" s="358">
        <f t="shared" si="1"/>
        <v>45909</v>
      </c>
      <c r="E192" s="358">
        <f t="shared" si="0"/>
        <v>45909</v>
      </c>
      <c r="F192" s="352" t="s">
        <v>1596</v>
      </c>
      <c r="G192" s="352" t="s">
        <v>1030</v>
      </c>
      <c r="H192" s="352" t="s">
        <v>1030</v>
      </c>
    </row>
    <row r="193" spans="1:8" x14ac:dyDescent="0.25">
      <c r="A193" s="352">
        <f>+SUBTOTAL(3,$E$6:$E193)</f>
        <v>188</v>
      </c>
      <c r="B193" s="354" t="s">
        <v>737</v>
      </c>
      <c r="C193" s="352" t="str">
        <f>+VLOOKUP(B193,'Erection Compiled'!$C$7:$D$620,2,FALSE)</f>
        <v>DA+6</v>
      </c>
      <c r="D193" s="358">
        <v>45924</v>
      </c>
      <c r="E193" s="358">
        <v>45924</v>
      </c>
      <c r="F193" s="352" t="s">
        <v>1028</v>
      </c>
      <c r="G193" s="352" t="s">
        <v>1030</v>
      </c>
      <c r="H193" s="352"/>
    </row>
    <row r="194" spans="1:8" x14ac:dyDescent="0.25">
      <c r="A194" s="352">
        <f>+SUBTOTAL(3,$E$6:$E194)</f>
        <v>189</v>
      </c>
      <c r="B194" s="354" t="s">
        <v>735</v>
      </c>
      <c r="C194" s="352" t="str">
        <f>+VLOOKUP(B194,'Erection Compiled'!$C$7:$D$620,2,FALSE)</f>
        <v>DA+3</v>
      </c>
      <c r="D194" s="358">
        <v>45925</v>
      </c>
      <c r="E194" s="358">
        <v>45925</v>
      </c>
      <c r="F194" s="352" t="s">
        <v>1028</v>
      </c>
      <c r="G194" s="352" t="s">
        <v>1030</v>
      </c>
      <c r="H194" s="352"/>
    </row>
    <row r="195" spans="1:8" x14ac:dyDescent="0.25">
      <c r="A195" s="352">
        <f>+SUBTOTAL(3,$E$6:$E195)</f>
        <v>190</v>
      </c>
      <c r="B195" s="354" t="s">
        <v>842</v>
      </c>
      <c r="C195" s="352" t="str">
        <f>+VLOOKUP(B195,'Erection Compiled'!$C$7:$D$620,2,FALSE)</f>
        <v>DA+3</v>
      </c>
      <c r="D195" s="358">
        <v>45938</v>
      </c>
      <c r="E195" s="358">
        <v>45938</v>
      </c>
      <c r="F195" s="352" t="s">
        <v>1028</v>
      </c>
      <c r="G195" s="352" t="s">
        <v>1030</v>
      </c>
      <c r="H195" s="352" t="s">
        <v>1030</v>
      </c>
    </row>
    <row r="196" spans="1:8" x14ac:dyDescent="0.25">
      <c r="A196" s="352">
        <f>+SUBTOTAL(3,$E$6:$E196)</f>
        <v>191</v>
      </c>
      <c r="B196" s="354" t="s">
        <v>841</v>
      </c>
      <c r="C196" s="352" t="str">
        <f>+VLOOKUP(B196,'Erection Compiled'!$C$7:$D$620,2,FALSE)</f>
        <v>DA+3</v>
      </c>
      <c r="D196" s="358">
        <v>45944</v>
      </c>
      <c r="E196" s="358">
        <v>45944</v>
      </c>
      <c r="F196" s="352" t="s">
        <v>1028</v>
      </c>
      <c r="G196" s="352" t="s">
        <v>1030</v>
      </c>
      <c r="H196" s="352" t="s">
        <v>1030</v>
      </c>
    </row>
    <row r="197" spans="1:8" x14ac:dyDescent="0.25">
      <c r="A197" s="352">
        <f>+SUBTOTAL(3,$E$6:$E197)</f>
        <v>192</v>
      </c>
      <c r="B197" s="354" t="s">
        <v>738</v>
      </c>
      <c r="C197" s="352" t="str">
        <f>+VLOOKUP(B197,'Erection Compiled'!$C$7:$D$620,2,FALSE)</f>
        <v>DA+9</v>
      </c>
      <c r="D197" s="358">
        <v>45945</v>
      </c>
      <c r="E197" s="358">
        <v>45945</v>
      </c>
      <c r="F197" s="352" t="s">
        <v>1028</v>
      </c>
      <c r="G197" s="352" t="s">
        <v>1030</v>
      </c>
      <c r="H197" s="352" t="s">
        <v>1030</v>
      </c>
    </row>
    <row r="198" spans="1:8" x14ac:dyDescent="0.25">
      <c r="A198" s="352">
        <f>+SUBTOTAL(3,$E$6:$E198)</f>
        <v>193</v>
      </c>
      <c r="B198" s="354" t="s">
        <v>739</v>
      </c>
      <c r="C198" s="352" t="str">
        <f>+VLOOKUP(B198,'Erection Compiled'!$C$7:$D$620,2,FALSE)</f>
        <v>DA+9</v>
      </c>
      <c r="D198" s="358">
        <v>45946</v>
      </c>
      <c r="E198" s="358">
        <v>45946</v>
      </c>
      <c r="F198" s="352" t="s">
        <v>1028</v>
      </c>
      <c r="G198" s="352" t="s">
        <v>1030</v>
      </c>
      <c r="H198" s="352" t="s">
        <v>1030</v>
      </c>
    </row>
    <row r="199" spans="1:8" x14ac:dyDescent="0.25">
      <c r="A199" s="352">
        <f>+SUBTOTAL(3,$E$6:$E199)</f>
        <v>194</v>
      </c>
      <c r="B199" s="354" t="s">
        <v>679</v>
      </c>
      <c r="C199" s="352" t="str">
        <f>+VLOOKUP(B199,'Erection Compiled'!$C$7:$D$620,2,FALSE)</f>
        <v>DA+0</v>
      </c>
      <c r="D199" s="358">
        <v>45947</v>
      </c>
      <c r="E199" s="358">
        <v>45947</v>
      </c>
      <c r="F199" s="352" t="s">
        <v>1028</v>
      </c>
      <c r="G199" s="352" t="s">
        <v>1030</v>
      </c>
      <c r="H199" s="352" t="s">
        <v>1030</v>
      </c>
    </row>
    <row r="200" spans="1:8" x14ac:dyDescent="0.25">
      <c r="A200" s="352">
        <f>+SUBTOTAL(3,$E$6:$E200)</f>
        <v>195</v>
      </c>
      <c r="B200" s="354" t="s">
        <v>681</v>
      </c>
      <c r="C200" s="352" t="str">
        <f>+VLOOKUP(B200,'Erection Compiled'!$C$7:$D$620,2,FALSE)</f>
        <v>DA+9</v>
      </c>
      <c r="D200" s="358">
        <v>45948</v>
      </c>
      <c r="E200" s="358">
        <v>45948</v>
      </c>
      <c r="F200" s="352" t="s">
        <v>1028</v>
      </c>
      <c r="G200" s="352" t="s">
        <v>1030</v>
      </c>
      <c r="H200" s="352" t="s">
        <v>1030</v>
      </c>
    </row>
    <row r="201" spans="1:8" x14ac:dyDescent="0.25">
      <c r="A201" s="352">
        <f>+SUBTOTAL(3,$E$6:$E201)</f>
        <v>196</v>
      </c>
      <c r="B201" s="352" t="s">
        <v>448</v>
      </c>
      <c r="C201" s="352" t="str">
        <f>+VLOOKUP(B201,'Erection Compiled'!$C$7:$D$620,2,FALSE)</f>
        <v>DA+3</v>
      </c>
      <c r="D201" s="358">
        <v>45949</v>
      </c>
      <c r="E201" s="358">
        <v>45949</v>
      </c>
      <c r="F201" s="352" t="s">
        <v>1708</v>
      </c>
      <c r="G201" s="352" t="s">
        <v>1030</v>
      </c>
      <c r="H201" s="352" t="s">
        <v>1030</v>
      </c>
    </row>
    <row r="202" spans="1:8" x14ac:dyDescent="0.25">
      <c r="A202" s="352">
        <f>+SUBTOTAL(3,$E$6:$E202)</f>
        <v>197</v>
      </c>
      <c r="B202" s="352" t="s">
        <v>449</v>
      </c>
      <c r="C202" s="352" t="str">
        <f>+VLOOKUP(B202,'Erection Compiled'!$C$7:$D$620,2,FALSE)</f>
        <v>DA+3</v>
      </c>
      <c r="D202" s="358">
        <v>45952</v>
      </c>
      <c r="E202" s="358">
        <v>45952</v>
      </c>
      <c r="F202" s="352" t="s">
        <v>1708</v>
      </c>
      <c r="G202" s="352" t="s">
        <v>1030</v>
      </c>
      <c r="H202" s="352" t="s">
        <v>1030</v>
      </c>
    </row>
    <row r="203" spans="1:8" x14ac:dyDescent="0.25">
      <c r="A203" s="352">
        <f>+SUBTOTAL(3,$E$6:$E203)</f>
        <v>198</v>
      </c>
      <c r="B203" s="352" t="s">
        <v>450</v>
      </c>
      <c r="C203" s="352" t="str">
        <f>+VLOOKUP(B203,'Erection Compiled'!$C$7:$D$620,2,FALSE)</f>
        <v>DA+3</v>
      </c>
      <c r="D203" s="358">
        <v>45953</v>
      </c>
      <c r="E203" s="358">
        <v>45953</v>
      </c>
      <c r="F203" s="352" t="s">
        <v>1708</v>
      </c>
      <c r="G203" s="352" t="s">
        <v>1030</v>
      </c>
      <c r="H203" s="352" t="s">
        <v>1030</v>
      </c>
    </row>
    <row r="204" spans="1:8" x14ac:dyDescent="0.25">
      <c r="A204" s="352">
        <f>+SUBTOTAL(3,$E$6:$E204)</f>
        <v>199</v>
      </c>
      <c r="B204" s="352" t="s">
        <v>157</v>
      </c>
      <c r="C204" s="352" t="str">
        <f>+VLOOKUP(B204,'Erection Compiled'!$C$7:$D$620,2,FALSE)</f>
        <v>DA+0</v>
      </c>
      <c r="D204" s="358">
        <v>45955</v>
      </c>
      <c r="E204" s="358">
        <v>45955</v>
      </c>
      <c r="F204" s="352" t="s">
        <v>1708</v>
      </c>
      <c r="G204" s="352" t="s">
        <v>1030</v>
      </c>
      <c r="H204" s="352" t="s">
        <v>1030</v>
      </c>
    </row>
    <row r="205" spans="1:8" x14ac:dyDescent="0.25">
      <c r="A205" s="352">
        <f>+SUBTOTAL(3,$E$6:$E205)</f>
        <v>200</v>
      </c>
      <c r="B205" s="352" t="s">
        <v>470</v>
      </c>
      <c r="C205" s="352" t="str">
        <f>+VLOOKUP(B205,'Erection Compiled'!$C$7:$D$620,2,FALSE)</f>
        <v>DA+3</v>
      </c>
      <c r="D205" s="358">
        <v>45956</v>
      </c>
      <c r="E205" s="358">
        <v>45956</v>
      </c>
      <c r="F205" s="352" t="s">
        <v>1708</v>
      </c>
      <c r="G205" s="352" t="s">
        <v>1030</v>
      </c>
      <c r="H205" s="352" t="s">
        <v>1030</v>
      </c>
    </row>
    <row r="206" spans="1:8" x14ac:dyDescent="0.25">
      <c r="A206" s="352">
        <f>+SUBTOTAL(3,$E$6:$E206)</f>
        <v>201</v>
      </c>
      <c r="B206" s="352" t="s">
        <v>159</v>
      </c>
      <c r="C206" s="352" t="str">
        <f>+VLOOKUP(B206,'Erection Compiled'!$C$7:$D$620,2,FALSE)</f>
        <v>DA+0</v>
      </c>
      <c r="D206" s="358">
        <v>45957</v>
      </c>
      <c r="E206" s="358">
        <v>45957</v>
      </c>
      <c r="F206" s="352" t="s">
        <v>1708</v>
      </c>
      <c r="G206" s="352" t="s">
        <v>1030</v>
      </c>
      <c r="H206" s="352" t="s">
        <v>1030</v>
      </c>
    </row>
    <row r="207" spans="1:8" x14ac:dyDescent="0.25">
      <c r="A207" s="352">
        <f>+SUBTOTAL(3,$E$6:$E207)</f>
        <v>202</v>
      </c>
      <c r="B207" s="352" t="s">
        <v>165</v>
      </c>
      <c r="C207" s="352" t="str">
        <f>+VLOOKUP(B207,'Erection Compiled'!$C$7:$D$620,2,FALSE)</f>
        <v>DB1+0</v>
      </c>
      <c r="D207" s="358">
        <v>45958</v>
      </c>
      <c r="E207" s="358">
        <v>45958</v>
      </c>
      <c r="F207" s="352" t="s">
        <v>1708</v>
      </c>
      <c r="G207" s="352" t="s">
        <v>1030</v>
      </c>
      <c r="H207" s="352" t="s">
        <v>1030</v>
      </c>
    </row>
    <row r="208" spans="1:8" x14ac:dyDescent="0.25">
      <c r="A208" s="352">
        <f>+SUBTOTAL(3,$E$6:$E208)</f>
        <v>203</v>
      </c>
      <c r="B208" s="352" t="s">
        <v>171</v>
      </c>
      <c r="C208" s="352" t="str">
        <f>+VLOOKUP(B208,'Erection Compiled'!$C$7:$D$620,2,FALSE)</f>
        <v>DA+0</v>
      </c>
      <c r="D208" s="358">
        <v>45959</v>
      </c>
      <c r="E208" s="358">
        <v>45959</v>
      </c>
      <c r="F208" s="352" t="s">
        <v>1708</v>
      </c>
      <c r="G208" s="352" t="s">
        <v>1030</v>
      </c>
      <c r="H208" s="352" t="s">
        <v>1030</v>
      </c>
    </row>
    <row r="209" spans="1:8" x14ac:dyDescent="0.25">
      <c r="A209" s="352">
        <f>+SUBTOTAL(3,$E$6:$E209)</f>
        <v>204</v>
      </c>
      <c r="B209" s="352" t="s">
        <v>172</v>
      </c>
      <c r="C209" s="352" t="str">
        <f>+VLOOKUP(B209,'Erection Compiled'!$C$7:$D$620,2,FALSE)</f>
        <v>DB1+0</v>
      </c>
      <c r="D209" s="358">
        <v>45960</v>
      </c>
      <c r="E209" s="358">
        <v>45960</v>
      </c>
      <c r="F209" s="352" t="s">
        <v>1708</v>
      </c>
      <c r="G209" s="352" t="s">
        <v>1030</v>
      </c>
      <c r="H209" s="352"/>
    </row>
    <row r="210" spans="1:8" x14ac:dyDescent="0.25">
      <c r="A210" s="352">
        <f>+SUBTOTAL(3,$E$6:$E210)</f>
        <v>205</v>
      </c>
      <c r="B210" s="352" t="s">
        <v>490</v>
      </c>
      <c r="C210" s="352" t="str">
        <f>+VLOOKUP(B210,'Erection Compiled'!$C$7:$D$620,2,FALSE)</f>
        <v>DA+3</v>
      </c>
      <c r="D210" s="358">
        <v>45961</v>
      </c>
      <c r="E210" s="358">
        <v>45961</v>
      </c>
      <c r="F210" s="352" t="s">
        <v>1708</v>
      </c>
      <c r="G210" s="352" t="s">
        <v>1030</v>
      </c>
      <c r="H210" s="352" t="s">
        <v>1030</v>
      </c>
    </row>
    <row r="211" spans="1:8" x14ac:dyDescent="0.25">
      <c r="A211" s="352">
        <f>+SUBTOTAL(3,$E$6:$E211)</f>
        <v>206</v>
      </c>
      <c r="B211" s="354" t="s">
        <v>718</v>
      </c>
      <c r="C211" s="352" t="str">
        <f>+VLOOKUP(B211,'Erection Compiled'!$C$7:$D$620,2,FALSE)</f>
        <v>DA+9</v>
      </c>
      <c r="D211" s="358">
        <v>45968</v>
      </c>
      <c r="E211" s="358">
        <v>45968</v>
      </c>
      <c r="F211" s="352" t="s">
        <v>1028</v>
      </c>
      <c r="G211" s="352" t="s">
        <v>1030</v>
      </c>
      <c r="H211" s="352"/>
    </row>
    <row r="212" spans="1:8" x14ac:dyDescent="0.25">
      <c r="A212" s="352">
        <f>+SUBTOTAL(3,$E$6:$E212)</f>
        <v>207</v>
      </c>
      <c r="B212" s="354" t="s">
        <v>715</v>
      </c>
      <c r="C212" s="352" t="str">
        <f>+VLOOKUP(B212,'Erection Compiled'!$C$7:$D$620,2,FALSE)</f>
        <v>DA+6</v>
      </c>
      <c r="D212" s="358">
        <v>45968</v>
      </c>
      <c r="E212" s="358">
        <v>45968</v>
      </c>
      <c r="F212" s="352" t="s">
        <v>1028</v>
      </c>
      <c r="G212" s="352" t="s">
        <v>1030</v>
      </c>
      <c r="H212" s="352"/>
    </row>
    <row r="213" spans="1:8" x14ac:dyDescent="0.25">
      <c r="A213" s="352">
        <f>+SUBTOTAL(3,$E$6:$E213)</f>
        <v>208</v>
      </c>
      <c r="B213" s="354" t="s">
        <v>716</v>
      </c>
      <c r="C213" s="352" t="str">
        <f>+VLOOKUP(B213,'Erection Compiled'!$C$7:$D$620,2,FALSE)</f>
        <v>DA+6</v>
      </c>
      <c r="D213" s="358">
        <v>45968</v>
      </c>
      <c r="E213" s="358">
        <v>45968</v>
      </c>
      <c r="F213" s="352" t="s">
        <v>1028</v>
      </c>
      <c r="G213" s="352" t="s">
        <v>1030</v>
      </c>
      <c r="H213" s="352"/>
    </row>
    <row r="214" spans="1:8" x14ac:dyDescent="0.25">
      <c r="A214" s="352">
        <f>+SUBTOTAL(3,$E$6:$E214)</f>
        <v>209</v>
      </c>
      <c r="B214" s="354" t="s">
        <v>540</v>
      </c>
      <c r="C214" s="352" t="str">
        <f>+VLOOKUP(B214,'Erection Compiled'!$C$7:$D$620,2,FALSE)</f>
        <v>DA+9</v>
      </c>
      <c r="D214" s="358">
        <v>45973</v>
      </c>
      <c r="E214" s="358">
        <v>45973</v>
      </c>
      <c r="F214" s="352" t="s">
        <v>1028</v>
      </c>
      <c r="G214" s="352" t="s">
        <v>1030</v>
      </c>
      <c r="H214" s="352"/>
    </row>
    <row r="215" spans="1:8" x14ac:dyDescent="0.25">
      <c r="A215" s="352">
        <f>+SUBTOTAL(3,$E$6:$E215)</f>
        <v>210</v>
      </c>
      <c r="B215" s="354" t="s">
        <v>542</v>
      </c>
      <c r="C215" s="352" t="str">
        <f>+VLOOKUP(B215,'Erection Compiled'!$C$7:$D$620,2,FALSE)</f>
        <v>DA+0</v>
      </c>
      <c r="D215" s="358">
        <v>45975</v>
      </c>
      <c r="E215" s="358">
        <v>45975</v>
      </c>
      <c r="F215" s="352" t="s">
        <v>1028</v>
      </c>
      <c r="G215" s="352" t="s">
        <v>1030</v>
      </c>
      <c r="H215" s="352"/>
    </row>
    <row r="216" spans="1:8" x14ac:dyDescent="0.25">
      <c r="A216" s="352">
        <f>+SUBTOTAL(3,$E$6:$E216)</f>
        <v>211</v>
      </c>
      <c r="B216" s="354" t="s">
        <v>543</v>
      </c>
      <c r="C216" s="352" t="str">
        <f>+VLOOKUP(B216,'Erection Compiled'!$C$7:$D$620,2,FALSE)</f>
        <v>DC2+0</v>
      </c>
      <c r="D216" s="358">
        <v>45976</v>
      </c>
      <c r="E216" s="358">
        <v>45976</v>
      </c>
      <c r="F216" s="352" t="s">
        <v>1028</v>
      </c>
      <c r="G216" s="352" t="s">
        <v>1030</v>
      </c>
      <c r="H216" s="352" t="s">
        <v>1030</v>
      </c>
    </row>
    <row r="217" spans="1:8" x14ac:dyDescent="0.25">
      <c r="A217" s="352">
        <f>+SUBTOTAL(3,$E$6:$E217)</f>
        <v>212</v>
      </c>
      <c r="B217" s="354" t="s">
        <v>77</v>
      </c>
      <c r="C217" s="352" t="str">
        <f>+VLOOKUP(B217,'Erection Compiled'!$C$7:$D$620,2,FALSE)</f>
        <v>DA+0</v>
      </c>
      <c r="D217" s="358">
        <v>45977</v>
      </c>
      <c r="E217" s="358">
        <v>45977</v>
      </c>
      <c r="F217" s="352" t="s">
        <v>1729</v>
      </c>
      <c r="G217" s="352" t="s">
        <v>1030</v>
      </c>
      <c r="H217" s="352" t="s">
        <v>1030</v>
      </c>
    </row>
    <row r="218" spans="1:8" x14ac:dyDescent="0.25">
      <c r="A218" s="352">
        <f>+SUBTOTAL(3,$E$6:$E218)</f>
        <v>213</v>
      </c>
      <c r="B218" s="354" t="s">
        <v>199</v>
      </c>
      <c r="C218" s="352" t="str">
        <f>+VLOOKUP(B218,'Erection Compiled'!$C$7:$D$620,2,FALSE)</f>
        <v>DA+6</v>
      </c>
      <c r="D218" s="358">
        <v>45978</v>
      </c>
      <c r="E218" s="358">
        <v>45978</v>
      </c>
      <c r="F218" s="352" t="s">
        <v>1729</v>
      </c>
      <c r="G218" s="352" t="s">
        <v>1030</v>
      </c>
      <c r="H218" s="352" t="s">
        <v>1030</v>
      </c>
    </row>
    <row r="219" spans="1:8" x14ac:dyDescent="0.25">
      <c r="A219" s="352">
        <f>+SUBTOTAL(3,$E$6:$E219)</f>
        <v>214</v>
      </c>
      <c r="B219" s="354" t="s">
        <v>200</v>
      </c>
      <c r="C219" s="352" t="str">
        <f>+VLOOKUP(B219,'Erection Compiled'!$C$7:$D$620,2,FALSE)</f>
        <v>DA+0</v>
      </c>
      <c r="D219" s="358">
        <v>45979</v>
      </c>
      <c r="E219" s="358">
        <v>45979</v>
      </c>
      <c r="F219" s="352" t="s">
        <v>1729</v>
      </c>
      <c r="G219" s="352" t="s">
        <v>1030</v>
      </c>
      <c r="H219" s="352" t="s">
        <v>1030</v>
      </c>
    </row>
    <row r="220" spans="1:8" x14ac:dyDescent="0.25">
      <c r="A220" s="352">
        <f>+SUBTOTAL(3,$E$6:$E220)</f>
        <v>215</v>
      </c>
      <c r="B220" s="354" t="s">
        <v>201</v>
      </c>
      <c r="C220" s="352" t="str">
        <f>+VLOOKUP(B220,'Erection Compiled'!$C$7:$D$620,2,FALSE)</f>
        <v>DA+3</v>
      </c>
      <c r="D220" s="358">
        <v>45979</v>
      </c>
      <c r="E220" s="358">
        <v>45979</v>
      </c>
      <c r="F220" s="352" t="s">
        <v>1729</v>
      </c>
      <c r="G220" s="352" t="s">
        <v>1030</v>
      </c>
      <c r="H220" s="352" t="s">
        <v>1030</v>
      </c>
    </row>
    <row r="221" spans="1:8" x14ac:dyDescent="0.25">
      <c r="A221" s="352">
        <f>+SUBTOTAL(3,$E$6:$E221)</f>
        <v>216</v>
      </c>
      <c r="B221" s="352" t="s">
        <v>203</v>
      </c>
      <c r="C221" s="352" t="str">
        <f>+VLOOKUP(B221,'Erection Compiled'!$C$7:$D$620,2,FALSE)</f>
        <v>DA+3</v>
      </c>
      <c r="D221" s="358">
        <v>45980</v>
      </c>
      <c r="E221" s="358">
        <v>45980</v>
      </c>
      <c r="F221" s="352" t="s">
        <v>1729</v>
      </c>
      <c r="G221" s="352" t="s">
        <v>1030</v>
      </c>
      <c r="H221" s="352" t="s">
        <v>1030</v>
      </c>
    </row>
    <row r="222" spans="1:8" x14ac:dyDescent="0.25">
      <c r="A222" s="352">
        <f>+SUBTOTAL(3,$E$6:$E222)</f>
        <v>217</v>
      </c>
      <c r="B222" s="352" t="s">
        <v>27</v>
      </c>
      <c r="C222" s="352" t="str">
        <f>+VLOOKUP(B222,'Erection Compiled'!$C$7:$D$620,2,FALSE)</f>
        <v>DA+0</v>
      </c>
      <c r="D222" s="358">
        <v>45980</v>
      </c>
      <c r="E222" s="358">
        <v>45980</v>
      </c>
      <c r="F222" s="352" t="s">
        <v>1729</v>
      </c>
      <c r="G222" s="352" t="s">
        <v>1030</v>
      </c>
      <c r="H222" s="352" t="s">
        <v>1030</v>
      </c>
    </row>
    <row r="223" spans="1:8" x14ac:dyDescent="0.25">
      <c r="A223" s="352">
        <f>+SUBTOTAL(3,$E$6:$E223)</f>
        <v>218</v>
      </c>
      <c r="B223" s="352" t="s">
        <v>79</v>
      </c>
      <c r="C223" s="352" t="str">
        <f>+VLOOKUP(B223,'Erection Compiled'!$C$7:$D$620,2,FALSE)</f>
        <v>DA+0</v>
      </c>
      <c r="D223" s="358">
        <v>45980</v>
      </c>
      <c r="E223" s="358">
        <v>45980</v>
      </c>
      <c r="F223" s="352" t="s">
        <v>1729</v>
      </c>
      <c r="G223" s="352" t="s">
        <v>1030</v>
      </c>
      <c r="H223" s="352" t="s">
        <v>1030</v>
      </c>
    </row>
    <row r="224" spans="1:8" x14ac:dyDescent="0.25">
      <c r="A224" s="352">
        <f>+SUBTOTAL(3,$E$6:$E224)</f>
        <v>219</v>
      </c>
      <c r="B224" s="352" t="s">
        <v>81</v>
      </c>
      <c r="C224" s="352" t="str">
        <f>+VLOOKUP(B224,'Erection Compiled'!$C$7:$D$620,2,FALSE)</f>
        <v>DA+3</v>
      </c>
      <c r="D224" s="358">
        <v>45980</v>
      </c>
      <c r="E224" s="358">
        <v>45980</v>
      </c>
      <c r="F224" s="352" t="s">
        <v>1729</v>
      </c>
      <c r="G224" s="352" t="s">
        <v>1030</v>
      </c>
      <c r="H224" s="352" t="s">
        <v>1030</v>
      </c>
    </row>
    <row r="225" spans="1:8" x14ac:dyDescent="0.25">
      <c r="A225" s="352">
        <f>+SUBTOTAL(3,$E$6:$E225)</f>
        <v>220</v>
      </c>
      <c r="B225" s="354" t="s">
        <v>72</v>
      </c>
      <c r="C225" s="352" t="str">
        <f>+VLOOKUP(B225,'Erection Compiled'!$C$7:$D$620,2,FALSE)</f>
        <v>DA+0</v>
      </c>
      <c r="D225" s="358">
        <v>45987</v>
      </c>
      <c r="E225" s="358">
        <v>45987</v>
      </c>
      <c r="F225" s="352" t="s">
        <v>1729</v>
      </c>
      <c r="G225" s="352" t="s">
        <v>1030</v>
      </c>
      <c r="H225" s="352" t="s">
        <v>1030</v>
      </c>
    </row>
    <row r="226" spans="1:8" x14ac:dyDescent="0.25">
      <c r="A226" s="352">
        <f>+SUBTOTAL(3,$E$6:$E226)</f>
        <v>221</v>
      </c>
      <c r="B226" s="354" t="s">
        <v>70</v>
      </c>
      <c r="C226" s="352" t="str">
        <f>+VLOOKUP(B226,'Erection Compiled'!$C$7:$D$620,2,FALSE)</f>
        <v>DB2+0</v>
      </c>
      <c r="D226" s="358">
        <v>45988</v>
      </c>
      <c r="E226" s="358">
        <v>45988</v>
      </c>
      <c r="F226" s="352" t="s">
        <v>1729</v>
      </c>
      <c r="G226" s="352" t="s">
        <v>1030</v>
      </c>
      <c r="H226" s="352" t="s">
        <v>1030</v>
      </c>
    </row>
    <row r="227" spans="1:8" x14ac:dyDescent="0.25">
      <c r="A227" s="352">
        <f>+SUBTOTAL(3,$E$6:$E227)</f>
        <v>222</v>
      </c>
      <c r="B227" s="354" t="s">
        <v>66</v>
      </c>
      <c r="C227" s="352" t="str">
        <f>+VLOOKUP(B227,'Erection Compiled'!$C$7:$D$620,2,FALSE)</f>
        <v>DA+3</v>
      </c>
      <c r="D227" s="358">
        <v>45988</v>
      </c>
      <c r="E227" s="358">
        <v>45988</v>
      </c>
      <c r="F227" s="352" t="s">
        <v>1729</v>
      </c>
      <c r="G227" s="352" t="s">
        <v>1030</v>
      </c>
      <c r="H227" s="352" t="s">
        <v>1030</v>
      </c>
    </row>
    <row r="228" spans="1:8" x14ac:dyDescent="0.25">
      <c r="A228" s="352">
        <f>+SUBTOTAL(3,$E$6:$E228)</f>
        <v>223</v>
      </c>
      <c r="B228" s="354" t="s">
        <v>65</v>
      </c>
      <c r="C228" s="352" t="str">
        <f>+VLOOKUP(B228,'Erection Compiled'!$C$7:$D$620,2,FALSE)</f>
        <v>DA+3</v>
      </c>
      <c r="D228" s="358">
        <v>45988</v>
      </c>
      <c r="E228" s="358">
        <v>45988</v>
      </c>
      <c r="F228" s="352" t="s">
        <v>1729</v>
      </c>
      <c r="G228" s="352" t="s">
        <v>1030</v>
      </c>
      <c r="H228" s="352" t="s">
        <v>1030</v>
      </c>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1382</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1383</v>
      </c>
      <c r="AP1" s="512">
        <f ca="1">+TODAY()</f>
        <v>45989</v>
      </c>
    </row>
    <row r="2" spans="1:42" s="357" customFormat="1" ht="12.75" customHeight="1" x14ac:dyDescent="0.25">
      <c r="A2" s="885" t="s">
        <v>304</v>
      </c>
      <c r="B2" s="885" t="s">
        <v>1378</v>
      </c>
      <c r="C2" s="887" t="s">
        <v>1384</v>
      </c>
      <c r="D2" s="888"/>
      <c r="E2" s="889"/>
      <c r="F2" s="887" t="s">
        <v>15</v>
      </c>
      <c r="G2" s="888"/>
      <c r="H2" s="888"/>
      <c r="I2" s="888"/>
      <c r="J2" s="888"/>
      <c r="K2" s="888"/>
      <c r="L2" s="888"/>
      <c r="M2" s="888"/>
      <c r="N2" s="888"/>
      <c r="O2" s="888"/>
      <c r="P2" s="888"/>
      <c r="Q2" s="888"/>
      <c r="R2" s="888"/>
      <c r="S2" s="888"/>
      <c r="T2" s="888"/>
      <c r="U2" s="888"/>
      <c r="V2" s="888"/>
      <c r="W2" s="888"/>
      <c r="X2" s="888"/>
      <c r="Y2" s="888"/>
      <c r="Z2" s="888"/>
      <c r="AA2" s="888"/>
      <c r="AB2" s="888"/>
      <c r="AC2" s="888"/>
      <c r="AD2" s="888"/>
      <c r="AE2" s="888"/>
      <c r="AF2" s="888"/>
      <c r="AG2" s="888"/>
      <c r="AH2" s="888"/>
      <c r="AI2" s="888"/>
      <c r="AJ2" s="888"/>
      <c r="AK2" s="885" t="s">
        <v>1387</v>
      </c>
      <c r="AL2" s="885" t="s">
        <v>1385</v>
      </c>
      <c r="AM2" s="892" t="s">
        <v>6</v>
      </c>
      <c r="AN2" s="885" t="s">
        <v>1379</v>
      </c>
      <c r="AO2" s="894" t="s">
        <v>1180</v>
      </c>
      <c r="AP2" s="885" t="s">
        <v>1386</v>
      </c>
    </row>
    <row r="3" spans="1:42" ht="53.25" x14ac:dyDescent="0.2">
      <c r="A3" s="886"/>
      <c r="B3" s="886"/>
      <c r="C3" s="499" t="s">
        <v>1179</v>
      </c>
      <c r="D3" s="499" t="s">
        <v>119</v>
      </c>
      <c r="E3" s="499" t="s">
        <v>1302</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86"/>
      <c r="AL3" s="886"/>
      <c r="AM3" s="893"/>
      <c r="AN3" s="886"/>
      <c r="AO3" s="895"/>
      <c r="AP3" s="886"/>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90"/>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91"/>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P28"/>
  <sheetViews>
    <sheetView workbookViewId="0">
      <pane ySplit="5" topLeftCell="A11" activePane="bottomLeft" state="frozen"/>
      <selection activeCell="I204" sqref="I204"/>
      <selection pane="bottomLeft" activeCell="N22" sqref="N22"/>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8.85546875" style="481" customWidth="1"/>
    <col min="8" max="9" width="10.42578125" style="406" bestFit="1" customWidth="1"/>
    <col min="10" max="10" width="8.85546875" style="406" bestFit="1" customWidth="1"/>
    <col min="11" max="11" width="8" style="406" customWidth="1"/>
    <col min="12" max="13" width="10.42578125" style="406" bestFit="1" customWidth="1"/>
    <col min="14" max="14" width="27" style="406" bestFit="1" customWidth="1"/>
    <col min="15" max="16384" width="9.140625" style="406"/>
  </cols>
  <sheetData>
    <row r="1" spans="1:15" x14ac:dyDescent="0.25">
      <c r="A1" s="419" t="s">
        <v>1278</v>
      </c>
    </row>
    <row r="2" spans="1:15" x14ac:dyDescent="0.25">
      <c r="A2" s="407" t="s">
        <v>1239</v>
      </c>
    </row>
    <row r="3" spans="1:15" ht="15" customHeight="1" x14ac:dyDescent="0.25">
      <c r="A3" s="896" t="s">
        <v>12</v>
      </c>
      <c r="B3" s="896"/>
      <c r="C3" s="896"/>
      <c r="D3" s="896"/>
      <c r="E3" s="896"/>
      <c r="F3" s="896"/>
      <c r="G3" s="896"/>
      <c r="H3" s="896"/>
      <c r="I3" s="896"/>
      <c r="J3" s="896"/>
      <c r="K3" s="896"/>
      <c r="L3" s="896"/>
      <c r="M3" s="896"/>
      <c r="N3" s="896"/>
      <c r="O3" s="896"/>
    </row>
    <row r="4" spans="1:15" ht="15" customHeight="1" x14ac:dyDescent="0.25">
      <c r="A4" s="901" t="s">
        <v>22</v>
      </c>
      <c r="B4" s="901" t="s">
        <v>13</v>
      </c>
      <c r="C4" s="901"/>
      <c r="D4" s="901" t="s">
        <v>120</v>
      </c>
      <c r="E4" s="901" t="s">
        <v>7</v>
      </c>
      <c r="F4" s="901" t="s">
        <v>14</v>
      </c>
      <c r="G4" s="902" t="s">
        <v>1417</v>
      </c>
      <c r="H4" s="902"/>
      <c r="I4" s="902"/>
      <c r="J4" s="902"/>
      <c r="K4" s="897" t="s">
        <v>11</v>
      </c>
      <c r="L4" s="898"/>
      <c r="M4" s="898"/>
      <c r="N4" s="898"/>
      <c r="O4" s="899"/>
    </row>
    <row r="5" spans="1:15" ht="25.5" x14ac:dyDescent="0.25">
      <c r="A5" s="901"/>
      <c r="B5" s="479" t="s">
        <v>118</v>
      </c>
      <c r="C5" s="478" t="s">
        <v>119</v>
      </c>
      <c r="D5" s="901"/>
      <c r="E5" s="901"/>
      <c r="F5" s="901"/>
      <c r="G5" s="478" t="s">
        <v>14</v>
      </c>
      <c r="H5" s="478" t="s">
        <v>6</v>
      </c>
      <c r="I5" s="478" t="s">
        <v>5</v>
      </c>
      <c r="J5" s="478" t="s">
        <v>9</v>
      </c>
      <c r="K5" s="478" t="s">
        <v>14</v>
      </c>
      <c r="L5" s="478" t="s">
        <v>6</v>
      </c>
      <c r="M5" s="478" t="s">
        <v>5</v>
      </c>
      <c r="N5" s="478" t="s">
        <v>9</v>
      </c>
      <c r="O5" s="478" t="s">
        <v>1170</v>
      </c>
    </row>
    <row r="6" spans="1:15" x14ac:dyDescent="0.25">
      <c r="A6" s="408">
        <v>1</v>
      </c>
      <c r="B6" s="408" t="s">
        <v>97</v>
      </c>
      <c r="C6" s="408" t="s">
        <v>98</v>
      </c>
      <c r="D6" s="408" t="s">
        <v>1037</v>
      </c>
      <c r="E6" s="409" t="s">
        <v>1033</v>
      </c>
      <c r="F6" s="633">
        <v>4.8769999999999998</v>
      </c>
      <c r="G6" s="408">
        <f t="shared" ref="G6:G20" si="0">F6</f>
        <v>4.8769999999999998</v>
      </c>
      <c r="H6" s="410">
        <v>45525</v>
      </c>
      <c r="I6" s="410">
        <v>45532</v>
      </c>
      <c r="J6" s="410"/>
      <c r="K6" s="408">
        <f>G6</f>
        <v>4.8769999999999998</v>
      </c>
      <c r="L6" s="410">
        <v>45544</v>
      </c>
      <c r="M6" s="410">
        <v>45551</v>
      </c>
      <c r="N6" s="411" t="s">
        <v>1036</v>
      </c>
      <c r="O6" s="412">
        <v>45536</v>
      </c>
    </row>
    <row r="7" spans="1:15" x14ac:dyDescent="0.25">
      <c r="A7" s="413">
        <v>2</v>
      </c>
      <c r="B7" s="413" t="s">
        <v>98</v>
      </c>
      <c r="C7" s="413" t="s">
        <v>99</v>
      </c>
      <c r="D7" s="413" t="s">
        <v>1037</v>
      </c>
      <c r="E7" s="414" t="s">
        <v>1033</v>
      </c>
      <c r="F7" s="634">
        <v>4.5679999999999996</v>
      </c>
      <c r="G7" s="413">
        <f t="shared" si="0"/>
        <v>4.5679999999999996</v>
      </c>
      <c r="H7" s="415">
        <v>45541</v>
      </c>
      <c r="I7" s="415">
        <v>45551</v>
      </c>
      <c r="J7" s="415"/>
      <c r="K7" s="413">
        <f t="shared" ref="K7:K18" si="1">G7</f>
        <v>4.5679999999999996</v>
      </c>
      <c r="L7" s="415">
        <v>45561</v>
      </c>
      <c r="M7" s="415">
        <v>45568</v>
      </c>
      <c r="N7" s="416" t="s">
        <v>1036</v>
      </c>
      <c r="O7" s="412">
        <v>45566</v>
      </c>
    </row>
    <row r="8" spans="1:15" x14ac:dyDescent="0.25">
      <c r="A8" s="413">
        <v>3</v>
      </c>
      <c r="B8" s="413" t="s">
        <v>99</v>
      </c>
      <c r="C8" s="413" t="s">
        <v>100</v>
      </c>
      <c r="D8" s="413" t="s">
        <v>1037</v>
      </c>
      <c r="E8" s="414" t="s">
        <v>1033</v>
      </c>
      <c r="F8" s="634">
        <v>4.8630000000000004</v>
      </c>
      <c r="G8" s="413">
        <f t="shared" si="0"/>
        <v>4.8630000000000004</v>
      </c>
      <c r="H8" s="415">
        <v>45558</v>
      </c>
      <c r="I8" s="415">
        <v>45567</v>
      </c>
      <c r="J8" s="415"/>
      <c r="K8" s="413">
        <f t="shared" si="1"/>
        <v>4.8630000000000004</v>
      </c>
      <c r="L8" s="415">
        <v>45582</v>
      </c>
      <c r="M8" s="415">
        <v>45587</v>
      </c>
      <c r="N8" s="416" t="s">
        <v>1036</v>
      </c>
      <c r="O8" s="412">
        <v>45566</v>
      </c>
    </row>
    <row r="9" spans="1:15" x14ac:dyDescent="0.25">
      <c r="A9" s="413">
        <v>4</v>
      </c>
      <c r="B9" s="413" t="s">
        <v>100</v>
      </c>
      <c r="C9" s="413" t="s">
        <v>810</v>
      </c>
      <c r="D9" s="413" t="s">
        <v>1037</v>
      </c>
      <c r="E9" s="414" t="s">
        <v>1033</v>
      </c>
      <c r="F9" s="634">
        <v>3.7109999999999999</v>
      </c>
      <c r="G9" s="413">
        <f t="shared" si="0"/>
        <v>3.7109999999999999</v>
      </c>
      <c r="H9" s="415">
        <v>45579</v>
      </c>
      <c r="I9" s="415">
        <v>45586</v>
      </c>
      <c r="J9" s="413"/>
      <c r="K9" s="413">
        <f t="shared" si="1"/>
        <v>3.7109999999999999</v>
      </c>
      <c r="L9" s="415">
        <v>45596</v>
      </c>
      <c r="M9" s="415">
        <v>45602</v>
      </c>
      <c r="N9" s="414" t="s">
        <v>1036</v>
      </c>
      <c r="O9" s="412">
        <v>45597</v>
      </c>
    </row>
    <row r="10" spans="1:15" x14ac:dyDescent="0.25">
      <c r="A10" s="413">
        <v>5</v>
      </c>
      <c r="B10" s="413" t="s">
        <v>810</v>
      </c>
      <c r="C10" s="413" t="s">
        <v>822</v>
      </c>
      <c r="D10" s="413" t="s">
        <v>1037</v>
      </c>
      <c r="E10" s="414" t="s">
        <v>1033</v>
      </c>
      <c r="F10" s="634">
        <v>4.9180000000000001</v>
      </c>
      <c r="G10" s="413">
        <f t="shared" si="0"/>
        <v>4.9180000000000001</v>
      </c>
      <c r="H10" s="415">
        <v>45595</v>
      </c>
      <c r="I10" s="415">
        <v>45601</v>
      </c>
      <c r="J10" s="413"/>
      <c r="K10" s="413">
        <f t="shared" si="1"/>
        <v>4.9180000000000001</v>
      </c>
      <c r="L10" s="415">
        <v>45609</v>
      </c>
      <c r="M10" s="415">
        <v>45612</v>
      </c>
      <c r="N10" s="414" t="s">
        <v>1036</v>
      </c>
      <c r="O10" s="412">
        <v>45597</v>
      </c>
    </row>
    <row r="11" spans="1:15" x14ac:dyDescent="0.25">
      <c r="A11" s="413">
        <v>6</v>
      </c>
      <c r="B11" s="413" t="s">
        <v>761</v>
      </c>
      <c r="C11" s="413" t="s">
        <v>97</v>
      </c>
      <c r="D11" s="413" t="s">
        <v>1037</v>
      </c>
      <c r="E11" s="414" t="s">
        <v>1034</v>
      </c>
      <c r="F11" s="634">
        <v>3.778</v>
      </c>
      <c r="G11" s="413">
        <f t="shared" si="0"/>
        <v>3.778</v>
      </c>
      <c r="H11" s="415">
        <v>45648</v>
      </c>
      <c r="I11" s="415">
        <v>45653</v>
      </c>
      <c r="J11" s="413"/>
      <c r="K11" s="413">
        <f t="shared" si="1"/>
        <v>3.778</v>
      </c>
      <c r="L11" s="415">
        <v>45661</v>
      </c>
      <c r="M11" s="415">
        <v>45666</v>
      </c>
      <c r="N11" s="414" t="s">
        <v>1036</v>
      </c>
      <c r="O11" s="412">
        <v>45658</v>
      </c>
    </row>
    <row r="12" spans="1:15" x14ac:dyDescent="0.25">
      <c r="A12" s="413">
        <v>7</v>
      </c>
      <c r="B12" s="413" t="s">
        <v>35</v>
      </c>
      <c r="C12" s="413" t="s">
        <v>761</v>
      </c>
      <c r="D12" s="413" t="s">
        <v>1037</v>
      </c>
      <c r="E12" s="414" t="s">
        <v>1034</v>
      </c>
      <c r="F12" s="634">
        <v>3.3370000000000002</v>
      </c>
      <c r="G12" s="413">
        <f t="shared" si="0"/>
        <v>3.3370000000000002</v>
      </c>
      <c r="H12" s="415">
        <v>45659</v>
      </c>
      <c r="I12" s="415">
        <v>45665</v>
      </c>
      <c r="J12" s="413"/>
      <c r="K12" s="413">
        <f t="shared" si="1"/>
        <v>3.3370000000000002</v>
      </c>
      <c r="L12" s="415">
        <v>45669</v>
      </c>
      <c r="M12" s="415">
        <v>45672</v>
      </c>
      <c r="N12" s="414" t="s">
        <v>1036</v>
      </c>
      <c r="O12" s="412">
        <v>45658</v>
      </c>
    </row>
    <row r="13" spans="1:15" x14ac:dyDescent="0.25">
      <c r="A13" s="413">
        <v>8</v>
      </c>
      <c r="B13" s="413" t="s">
        <v>822</v>
      </c>
      <c r="C13" s="413" t="s">
        <v>101</v>
      </c>
      <c r="D13" s="413" t="s">
        <v>1037</v>
      </c>
      <c r="E13" s="414" t="s">
        <v>1035</v>
      </c>
      <c r="F13" s="634">
        <v>4.7359999999999998</v>
      </c>
      <c r="G13" s="413">
        <f t="shared" si="0"/>
        <v>4.7359999999999998</v>
      </c>
      <c r="H13" s="415">
        <v>45691</v>
      </c>
      <c r="I13" s="415">
        <v>45738</v>
      </c>
      <c r="J13" s="413"/>
      <c r="K13" s="413">
        <f t="shared" si="1"/>
        <v>4.7359999999999998</v>
      </c>
      <c r="L13" s="415">
        <v>45726</v>
      </c>
      <c r="M13" s="415">
        <v>45739</v>
      </c>
      <c r="N13" s="414" t="s">
        <v>1036</v>
      </c>
      <c r="O13" s="412">
        <v>45717</v>
      </c>
    </row>
    <row r="14" spans="1:15" x14ac:dyDescent="0.25">
      <c r="A14" s="413">
        <v>9</v>
      </c>
      <c r="B14" s="413" t="s">
        <v>1032</v>
      </c>
      <c r="C14" s="413" t="s">
        <v>711</v>
      </c>
      <c r="D14" s="413" t="s">
        <v>1037</v>
      </c>
      <c r="E14" s="414" t="s">
        <v>1034</v>
      </c>
      <c r="F14" s="634">
        <v>4.444</v>
      </c>
      <c r="G14" s="413">
        <f t="shared" si="0"/>
        <v>4.444</v>
      </c>
      <c r="H14" s="415">
        <v>45728</v>
      </c>
      <c r="I14" s="415">
        <v>45739</v>
      </c>
      <c r="J14" s="413"/>
      <c r="K14" s="413">
        <f t="shared" si="1"/>
        <v>4.444</v>
      </c>
      <c r="L14" s="415">
        <v>45733</v>
      </c>
      <c r="M14" s="415">
        <v>45740</v>
      </c>
      <c r="N14" s="414" t="s">
        <v>1036</v>
      </c>
      <c r="O14" s="412">
        <v>45717</v>
      </c>
    </row>
    <row r="15" spans="1:15" x14ac:dyDescent="0.25">
      <c r="A15" s="413">
        <v>10</v>
      </c>
      <c r="B15" s="413" t="s">
        <v>91</v>
      </c>
      <c r="C15" s="413" t="s">
        <v>92</v>
      </c>
      <c r="D15" s="413" t="s">
        <v>1037</v>
      </c>
      <c r="E15" s="414" t="s">
        <v>1034</v>
      </c>
      <c r="F15" s="634">
        <v>3.2269999999999999</v>
      </c>
      <c r="G15" s="413">
        <f t="shared" si="0"/>
        <v>3.2269999999999999</v>
      </c>
      <c r="H15" s="415">
        <v>45694</v>
      </c>
      <c r="I15" s="415">
        <v>45707</v>
      </c>
      <c r="J15" s="413"/>
      <c r="K15" s="413">
        <f t="shared" si="1"/>
        <v>3.2269999999999999</v>
      </c>
      <c r="L15" s="415">
        <v>45778</v>
      </c>
      <c r="M15" s="415">
        <v>45782</v>
      </c>
      <c r="N15" s="414" t="s">
        <v>1036</v>
      </c>
      <c r="O15" s="490">
        <v>45778</v>
      </c>
    </row>
    <row r="16" spans="1:15" x14ac:dyDescent="0.25">
      <c r="A16" s="413">
        <v>11</v>
      </c>
      <c r="B16" s="413" t="s">
        <v>711</v>
      </c>
      <c r="C16" s="413" t="s">
        <v>714</v>
      </c>
      <c r="D16" s="413" t="s">
        <v>1037</v>
      </c>
      <c r="E16" s="414" t="s">
        <v>1034</v>
      </c>
      <c r="F16" s="634">
        <v>1.0489999999999999</v>
      </c>
      <c r="G16" s="413">
        <f t="shared" si="0"/>
        <v>1.0489999999999999</v>
      </c>
      <c r="H16" s="415">
        <v>45749</v>
      </c>
      <c r="I16" s="415">
        <v>45755</v>
      </c>
      <c r="J16" s="413"/>
      <c r="K16" s="413">
        <f t="shared" si="1"/>
        <v>1.0489999999999999</v>
      </c>
      <c r="L16" s="415">
        <v>45751</v>
      </c>
      <c r="M16" s="415">
        <v>45756</v>
      </c>
      <c r="N16" s="414" t="s">
        <v>1036</v>
      </c>
      <c r="O16" s="412">
        <v>45748</v>
      </c>
    </row>
    <row r="17" spans="1:16" ht="14.25" customHeight="1" x14ac:dyDescent="0.25">
      <c r="A17" s="413">
        <v>11</v>
      </c>
      <c r="B17" s="489" t="s">
        <v>857</v>
      </c>
      <c r="C17" s="489" t="s">
        <v>867</v>
      </c>
      <c r="D17" s="413" t="s">
        <v>1037</v>
      </c>
      <c r="E17" s="702" t="s">
        <v>1624</v>
      </c>
      <c r="F17" s="634">
        <v>3.7879999999999998</v>
      </c>
      <c r="G17" s="413">
        <f t="shared" si="0"/>
        <v>3.7879999999999998</v>
      </c>
      <c r="H17" s="415">
        <v>45809</v>
      </c>
      <c r="I17" s="415">
        <v>45829</v>
      </c>
      <c r="J17" s="413"/>
      <c r="K17" s="413">
        <f t="shared" si="1"/>
        <v>3.7879999999999998</v>
      </c>
      <c r="L17" s="415">
        <v>45926</v>
      </c>
      <c r="M17" s="415">
        <v>45930</v>
      </c>
      <c r="N17" s="414" t="s">
        <v>1036</v>
      </c>
      <c r="O17" s="412">
        <v>45901</v>
      </c>
    </row>
    <row r="18" spans="1:16" s="767" customFormat="1" ht="25.5" x14ac:dyDescent="0.25">
      <c r="A18" s="761">
        <v>12</v>
      </c>
      <c r="B18" s="762" t="s">
        <v>854</v>
      </c>
      <c r="C18" s="761" t="s">
        <v>857</v>
      </c>
      <c r="D18" s="761" t="s">
        <v>1037</v>
      </c>
      <c r="E18" s="763" t="s">
        <v>1624</v>
      </c>
      <c r="F18" s="764">
        <v>1.6279999999999999</v>
      </c>
      <c r="G18" s="761">
        <f t="shared" si="0"/>
        <v>1.6279999999999999</v>
      </c>
      <c r="H18" s="765">
        <v>45964</v>
      </c>
      <c r="I18" s="765">
        <v>45969</v>
      </c>
      <c r="J18" s="761"/>
      <c r="K18" s="761">
        <f t="shared" si="1"/>
        <v>1.6279999999999999</v>
      </c>
      <c r="L18" s="765">
        <v>45982</v>
      </c>
      <c r="M18" s="765">
        <v>45986</v>
      </c>
      <c r="N18" s="766" t="s">
        <v>1036</v>
      </c>
      <c r="O18" s="783">
        <v>45962</v>
      </c>
    </row>
    <row r="19" spans="1:16" x14ac:dyDescent="0.25">
      <c r="A19" s="413">
        <v>13</v>
      </c>
      <c r="B19" s="489" t="s">
        <v>447</v>
      </c>
      <c r="C19" s="489" t="s">
        <v>38</v>
      </c>
      <c r="D19" s="413" t="s">
        <v>1037</v>
      </c>
      <c r="E19" s="414" t="s">
        <v>1718</v>
      </c>
      <c r="F19" s="417">
        <v>3.823</v>
      </c>
      <c r="G19" s="413">
        <f t="shared" si="0"/>
        <v>3.823</v>
      </c>
      <c r="H19" s="415">
        <v>45974</v>
      </c>
      <c r="I19" s="415">
        <v>45979</v>
      </c>
      <c r="J19" s="413"/>
      <c r="K19" s="413"/>
      <c r="L19" s="414"/>
      <c r="M19" s="414"/>
      <c r="N19" s="414" t="s">
        <v>1730</v>
      </c>
      <c r="O19" s="413"/>
      <c r="P19" s="406">
        <v>42</v>
      </c>
    </row>
    <row r="20" spans="1:16" s="767" customFormat="1" x14ac:dyDescent="0.25">
      <c r="A20" s="761">
        <v>14</v>
      </c>
      <c r="B20" s="762" t="s">
        <v>106</v>
      </c>
      <c r="C20" s="761" t="s">
        <v>854</v>
      </c>
      <c r="D20" s="761" t="s">
        <v>1037</v>
      </c>
      <c r="E20" s="763" t="s">
        <v>1715</v>
      </c>
      <c r="F20" s="764">
        <v>3.6749999999999998</v>
      </c>
      <c r="G20" s="761">
        <f t="shared" si="0"/>
        <v>3.6749999999999998</v>
      </c>
      <c r="H20" s="765">
        <v>45981</v>
      </c>
      <c r="I20" s="765">
        <v>45986</v>
      </c>
      <c r="J20" s="761"/>
      <c r="K20" s="761"/>
      <c r="L20" s="765">
        <v>45989</v>
      </c>
      <c r="M20" s="765"/>
      <c r="N20" s="766" t="s">
        <v>1746</v>
      </c>
      <c r="O20" s="761"/>
      <c r="P20" s="767">
        <v>45</v>
      </c>
    </row>
    <row r="21" spans="1:16" s="773" customFormat="1" x14ac:dyDescent="0.25">
      <c r="A21" s="768">
        <v>15</v>
      </c>
      <c r="B21" s="769" t="s">
        <v>628</v>
      </c>
      <c r="C21" s="769" t="s">
        <v>447</v>
      </c>
      <c r="D21" s="768" t="s">
        <v>1037</v>
      </c>
      <c r="E21" s="770" t="s">
        <v>1718</v>
      </c>
      <c r="F21" s="771">
        <v>3.4260000000000002</v>
      </c>
      <c r="G21" s="768"/>
      <c r="H21" s="772">
        <v>45982</v>
      </c>
      <c r="I21" s="772"/>
      <c r="J21" s="768"/>
      <c r="K21" s="768"/>
      <c r="L21" s="770"/>
      <c r="M21" s="770"/>
      <c r="N21" s="770" t="s">
        <v>1749</v>
      </c>
      <c r="O21" s="768"/>
    </row>
    <row r="22" spans="1:16" x14ac:dyDescent="0.25">
      <c r="A22" s="413">
        <v>16</v>
      </c>
      <c r="B22" s="413" t="s">
        <v>105</v>
      </c>
      <c r="C22" s="413" t="s">
        <v>106</v>
      </c>
      <c r="D22" s="413" t="s">
        <v>1037</v>
      </c>
      <c r="E22" s="702" t="s">
        <v>1715</v>
      </c>
      <c r="F22" s="417"/>
      <c r="G22" s="413"/>
      <c r="H22" s="415"/>
      <c r="I22" s="415"/>
      <c r="J22" s="413"/>
      <c r="K22" s="413"/>
      <c r="L22" s="414"/>
      <c r="M22" s="414"/>
      <c r="N22" s="414" t="s">
        <v>1747</v>
      </c>
      <c r="O22" s="413"/>
    </row>
    <row r="23" spans="1:16" x14ac:dyDescent="0.25">
      <c r="A23" s="413">
        <v>17</v>
      </c>
      <c r="B23" s="489" t="s">
        <v>93</v>
      </c>
      <c r="C23" s="413" t="s">
        <v>94</v>
      </c>
      <c r="D23" s="413" t="s">
        <v>1736</v>
      </c>
      <c r="E23" s="702" t="s">
        <v>1034</v>
      </c>
      <c r="F23" s="417">
        <v>0.22</v>
      </c>
      <c r="G23" s="413">
        <v>0.22</v>
      </c>
      <c r="H23" s="415">
        <f>I23-6</f>
        <v>45981</v>
      </c>
      <c r="I23" s="415">
        <v>45987</v>
      </c>
      <c r="J23" s="413"/>
      <c r="K23" s="413">
        <f t="shared" ref="K23" si="2">G23</f>
        <v>0.22</v>
      </c>
      <c r="L23" s="415">
        <f>M23-6</f>
        <v>45981</v>
      </c>
      <c r="M23" s="415">
        <v>45987</v>
      </c>
      <c r="N23" s="414" t="s">
        <v>1748</v>
      </c>
      <c r="O23" s="412">
        <v>45901</v>
      </c>
    </row>
    <row r="24" spans="1:16" x14ac:dyDescent="0.25">
      <c r="A24" s="413"/>
      <c r="B24" s="413"/>
      <c r="C24" s="413"/>
      <c r="D24" s="413"/>
      <c r="E24" s="413"/>
      <c r="F24" s="413"/>
      <c r="G24" s="413"/>
      <c r="H24" s="415"/>
      <c r="I24" s="415"/>
      <c r="J24" s="415"/>
      <c r="K24" s="413"/>
      <c r="L24" s="413"/>
      <c r="M24" s="413"/>
      <c r="N24" s="413"/>
      <c r="O24" s="413"/>
    </row>
    <row r="25" spans="1:16" s="407" customFormat="1" x14ac:dyDescent="0.25">
      <c r="A25" s="900" t="s">
        <v>137</v>
      </c>
      <c r="B25" s="900"/>
      <c r="C25" s="900"/>
      <c r="D25" s="418"/>
      <c r="E25" s="418"/>
      <c r="F25" s="418">
        <f>+SUM(F6:F24)</f>
        <v>60.067999999999991</v>
      </c>
      <c r="G25" s="418">
        <f>+SUM(G6:G24)</f>
        <v>56.641999999999989</v>
      </c>
      <c r="H25" s="418"/>
      <c r="I25" s="418"/>
      <c r="J25" s="418"/>
      <c r="K25" s="418">
        <f>+SUM(K6:K24)</f>
        <v>49.143999999999991</v>
      </c>
      <c r="L25" s="418"/>
      <c r="M25" s="418"/>
      <c r="N25" s="418"/>
      <c r="O25" s="418"/>
    </row>
    <row r="27" spans="1:16" x14ac:dyDescent="0.25">
      <c r="F27" s="406" t="s">
        <v>1731</v>
      </c>
      <c r="G27" s="481">
        <f>F25-G25</f>
        <v>3.4260000000000019</v>
      </c>
    </row>
    <row r="28" spans="1:16" x14ac:dyDescent="0.25">
      <c r="F28" s="406" t="s">
        <v>1732</v>
      </c>
      <c r="G28" s="481">
        <f>G25-K25</f>
        <v>7.4979999999999976</v>
      </c>
    </row>
  </sheetData>
  <autoFilter ref="A5:O20" xr:uid="{7D901AC7-2B41-4C8E-919F-B6C2B68B5696}"/>
  <mergeCells count="9">
    <mergeCell ref="A3:O3"/>
    <mergeCell ref="K4:O4"/>
    <mergeCell ref="A25:C25"/>
    <mergeCell ref="D4:D5"/>
    <mergeCell ref="F4:F5"/>
    <mergeCell ref="A4:A5"/>
    <mergeCell ref="B4:C4"/>
    <mergeCell ref="E4:E5"/>
    <mergeCell ref="G4:J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1278</v>
      </c>
    </row>
    <row r="2" spans="1:31" x14ac:dyDescent="0.25">
      <c r="A2" s="907" t="s">
        <v>1038</v>
      </c>
      <c r="B2" s="907"/>
      <c r="C2" s="907"/>
      <c r="D2" s="907"/>
      <c r="E2" s="907"/>
      <c r="F2" s="907"/>
      <c r="G2" s="907"/>
      <c r="H2" s="907"/>
      <c r="I2" s="907"/>
      <c r="J2" s="907"/>
      <c r="K2" s="907"/>
      <c r="L2" s="907"/>
      <c r="M2" s="907"/>
      <c r="N2" s="907"/>
      <c r="O2" s="907"/>
      <c r="P2" s="907"/>
      <c r="Q2" s="907"/>
      <c r="R2" s="907"/>
      <c r="S2" s="907"/>
      <c r="T2" s="907"/>
      <c r="U2" s="907"/>
      <c r="V2" s="907"/>
      <c r="W2" s="907"/>
      <c r="X2" s="907"/>
      <c r="Y2" s="907"/>
      <c r="Z2" s="907"/>
      <c r="AA2" s="907"/>
      <c r="AB2" s="907"/>
      <c r="AC2" s="907"/>
      <c r="AD2" s="907"/>
      <c r="AE2" s="907"/>
    </row>
    <row r="3" spans="1:31" ht="15.75" customHeight="1" x14ac:dyDescent="0.25">
      <c r="A3" s="904" t="s">
        <v>1154</v>
      </c>
      <c r="B3" s="905"/>
      <c r="C3" s="905"/>
      <c r="D3" s="905"/>
      <c r="E3" s="905"/>
      <c r="F3" s="905"/>
      <c r="G3" s="905"/>
      <c r="H3" s="905"/>
      <c r="I3" s="906"/>
      <c r="J3" s="907" t="s">
        <v>1039</v>
      </c>
      <c r="K3" s="907"/>
      <c r="L3" s="904" t="s">
        <v>1040</v>
      </c>
      <c r="M3" s="905"/>
      <c r="N3" s="905"/>
      <c r="O3" s="906"/>
      <c r="P3" s="904" t="s">
        <v>1041</v>
      </c>
      <c r="Q3" s="905"/>
      <c r="R3" s="905"/>
      <c r="S3" s="905"/>
      <c r="T3" s="906"/>
      <c r="U3" s="904" t="s">
        <v>1042</v>
      </c>
      <c r="V3" s="905"/>
      <c r="W3" s="905"/>
      <c r="X3" s="905"/>
      <c r="Y3" s="905"/>
      <c r="Z3" s="906"/>
      <c r="AA3" s="908" t="s">
        <v>9</v>
      </c>
      <c r="AB3" s="904" t="s">
        <v>1159</v>
      </c>
      <c r="AC3" s="905"/>
      <c r="AD3" s="905"/>
      <c r="AE3" s="906"/>
    </row>
    <row r="4" spans="1:31" ht="78.75" x14ac:dyDescent="0.25">
      <c r="A4" s="591" t="s">
        <v>1043</v>
      </c>
      <c r="B4" s="592" t="s">
        <v>1044</v>
      </c>
      <c r="C4" s="591" t="s">
        <v>4</v>
      </c>
      <c r="D4" s="592" t="s">
        <v>1045</v>
      </c>
      <c r="E4" s="591" t="s">
        <v>1046</v>
      </c>
      <c r="F4" s="591"/>
      <c r="G4" s="591" t="s">
        <v>1047</v>
      </c>
      <c r="H4" s="593" t="s">
        <v>1048</v>
      </c>
      <c r="I4" s="593" t="s">
        <v>1049</v>
      </c>
      <c r="J4" s="593" t="s">
        <v>1050</v>
      </c>
      <c r="K4" s="593" t="s">
        <v>1051</v>
      </c>
      <c r="L4" s="593" t="s">
        <v>1052</v>
      </c>
      <c r="M4" s="593" t="s">
        <v>1053</v>
      </c>
      <c r="N4" s="593" t="s">
        <v>1054</v>
      </c>
      <c r="O4" s="593" t="s">
        <v>1055</v>
      </c>
      <c r="P4" s="593" t="s">
        <v>1056</v>
      </c>
      <c r="Q4" s="593" t="s">
        <v>1057</v>
      </c>
      <c r="R4" s="593" t="s">
        <v>1058</v>
      </c>
      <c r="S4" s="593" t="s">
        <v>1059</v>
      </c>
      <c r="T4" s="593" t="s">
        <v>1060</v>
      </c>
      <c r="U4" s="593" t="s">
        <v>1061</v>
      </c>
      <c r="V4" s="593" t="s">
        <v>1062</v>
      </c>
      <c r="W4" s="593" t="s">
        <v>1063</v>
      </c>
      <c r="X4" s="593" t="s">
        <v>1056</v>
      </c>
      <c r="Y4" s="593" t="s">
        <v>1057</v>
      </c>
      <c r="Z4" s="593" t="s">
        <v>1064</v>
      </c>
      <c r="AA4" s="909"/>
      <c r="AB4" s="594" t="s">
        <v>1155</v>
      </c>
      <c r="AC4" s="594" t="s">
        <v>1156</v>
      </c>
      <c r="AD4" s="594" t="s">
        <v>1157</v>
      </c>
      <c r="AE4" s="594" t="s">
        <v>1158</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1065</v>
      </c>
      <c r="C6" s="591" t="s">
        <v>1066</v>
      </c>
      <c r="D6" s="746" t="s">
        <v>1067</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46"/>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1068</v>
      </c>
      <c r="D8" s="746" t="s">
        <v>1069</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46"/>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46" t="s">
        <v>1070</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1071</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1072</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1073</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1074</v>
      </c>
      <c r="D60" s="590" t="s">
        <v>1075</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1076</v>
      </c>
      <c r="D62" s="590" t="s">
        <v>1077</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1078</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1079</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1080</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1081</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1082</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1080</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1083</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1084</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1085</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1086</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1087</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1088</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1089</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1090</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1091</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1092</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1093</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1094</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1095</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1096</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1080</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1097</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1098</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1099</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1100</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1101</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1102</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1103</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1104</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1105</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1106</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1107</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1108</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1109</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1110</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1111</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1112</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1113</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1114</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1115</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1116</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1117</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1118</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1119</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1120</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1120</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1120</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1121</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1122</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1123</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1124</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1125</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1126</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1127</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1128</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1129</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1130</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1131</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1132</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1133</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1134</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1135</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1136</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1137</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1138</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1160</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1139</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1161</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1140</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1141</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1142</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1143</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1144</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1145</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1146</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1147</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1148</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1149</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1150</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1151</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903" t="s">
        <v>1152</v>
      </c>
      <c r="B980" s="903"/>
      <c r="C980" s="903"/>
      <c r="D980" s="903"/>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903" t="s">
        <v>1153</v>
      </c>
      <c r="B981" s="903"/>
      <c r="C981" s="903"/>
      <c r="D981" s="903"/>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1278</v>
      </c>
    </row>
    <row r="2" spans="1:16" x14ac:dyDescent="0.25">
      <c r="A2" s="357" t="s">
        <v>1239</v>
      </c>
    </row>
    <row r="3" spans="1:16" ht="15" customHeight="1" x14ac:dyDescent="0.25">
      <c r="A3" s="912" t="s">
        <v>1162</v>
      </c>
      <c r="B3" s="912"/>
      <c r="C3" s="912"/>
      <c r="D3" s="912"/>
      <c r="E3" s="912"/>
      <c r="F3" s="912"/>
      <c r="G3" s="912"/>
      <c r="H3" s="912"/>
      <c r="I3" s="912"/>
      <c r="J3" s="912"/>
      <c r="K3" s="912"/>
      <c r="L3" s="912"/>
      <c r="M3" s="912"/>
      <c r="N3" s="912"/>
      <c r="O3" s="912"/>
      <c r="P3" s="912"/>
    </row>
    <row r="4" spans="1:16" x14ac:dyDescent="0.25">
      <c r="A4" s="912" t="s">
        <v>22</v>
      </c>
      <c r="B4" s="912" t="s">
        <v>13</v>
      </c>
      <c r="C4" s="912"/>
      <c r="D4" s="912" t="s">
        <v>7</v>
      </c>
      <c r="E4" s="912" t="s">
        <v>14</v>
      </c>
      <c r="F4" s="911" t="s">
        <v>1163</v>
      </c>
      <c r="G4" s="911"/>
      <c r="H4" s="911"/>
      <c r="I4" s="911"/>
      <c r="J4" s="912" t="s">
        <v>11</v>
      </c>
      <c r="K4" s="912"/>
      <c r="L4" s="912"/>
      <c r="M4" s="912"/>
      <c r="N4" s="913" t="s">
        <v>1170</v>
      </c>
      <c r="O4" s="913" t="s">
        <v>1164</v>
      </c>
      <c r="P4" s="913" t="s">
        <v>1165</v>
      </c>
    </row>
    <row r="5" spans="1:16" ht="25.5" x14ac:dyDescent="0.25">
      <c r="A5" s="912"/>
      <c r="B5" s="421" t="s">
        <v>118</v>
      </c>
      <c r="C5" s="420" t="s">
        <v>119</v>
      </c>
      <c r="D5" s="912"/>
      <c r="E5" s="912"/>
      <c r="F5" s="420" t="s">
        <v>14</v>
      </c>
      <c r="G5" s="420" t="s">
        <v>6</v>
      </c>
      <c r="H5" s="420" t="s">
        <v>5</v>
      </c>
      <c r="I5" s="420" t="s">
        <v>9</v>
      </c>
      <c r="J5" s="420" t="s">
        <v>14</v>
      </c>
      <c r="K5" s="420" t="s">
        <v>6</v>
      </c>
      <c r="L5" s="420" t="s">
        <v>5</v>
      </c>
      <c r="M5" s="420" t="s">
        <v>9</v>
      </c>
      <c r="N5" s="914"/>
      <c r="O5" s="914"/>
      <c r="P5" s="914"/>
    </row>
    <row r="6" spans="1:16" x14ac:dyDescent="0.25">
      <c r="A6" s="422">
        <v>1</v>
      </c>
      <c r="B6" s="422" t="s">
        <v>35</v>
      </c>
      <c r="C6" s="422" t="s">
        <v>761</v>
      </c>
      <c r="D6" s="423" t="s">
        <v>1167</v>
      </c>
      <c r="E6" s="422">
        <v>3.3370000000000002</v>
      </c>
      <c r="F6" s="422">
        <f>E6</f>
        <v>3.3370000000000002</v>
      </c>
      <c r="G6" s="424">
        <v>45698</v>
      </c>
      <c r="H6" s="424">
        <v>45699</v>
      </c>
      <c r="I6" s="424"/>
      <c r="J6" s="422">
        <f>E6</f>
        <v>3.3370000000000002</v>
      </c>
      <c r="K6" s="424">
        <f>G6</f>
        <v>45698</v>
      </c>
      <c r="L6" s="424">
        <f>H6</f>
        <v>45699</v>
      </c>
      <c r="M6" s="425" t="s">
        <v>1036</v>
      </c>
      <c r="N6" s="426">
        <v>45536</v>
      </c>
      <c r="O6" s="427">
        <v>45721</v>
      </c>
      <c r="P6" s="428" t="s">
        <v>1166</v>
      </c>
    </row>
    <row r="7" spans="1:16" x14ac:dyDescent="0.25">
      <c r="A7" s="422">
        <v>2</v>
      </c>
      <c r="B7" s="422" t="s">
        <v>761</v>
      </c>
      <c r="C7" s="422" t="s">
        <v>97</v>
      </c>
      <c r="D7" s="423" t="s">
        <v>1167</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1036</v>
      </c>
      <c r="N7" s="426">
        <v>45566</v>
      </c>
      <c r="O7" s="427">
        <v>45714</v>
      </c>
      <c r="P7" s="428" t="s">
        <v>1166</v>
      </c>
    </row>
    <row r="8" spans="1:16" x14ac:dyDescent="0.25">
      <c r="A8" s="422">
        <v>3</v>
      </c>
      <c r="B8" s="422" t="s">
        <v>97</v>
      </c>
      <c r="C8" s="422" t="s">
        <v>98</v>
      </c>
      <c r="D8" s="423" t="s">
        <v>1167</v>
      </c>
      <c r="E8" s="422">
        <v>4.8769999999999998</v>
      </c>
      <c r="F8" s="422">
        <f t="shared" si="0"/>
        <v>4.8769999999999998</v>
      </c>
      <c r="G8" s="424">
        <v>45703</v>
      </c>
      <c r="H8" s="424">
        <v>45704</v>
      </c>
      <c r="I8" s="424"/>
      <c r="J8" s="422">
        <f t="shared" si="1"/>
        <v>4.8769999999999998</v>
      </c>
      <c r="K8" s="424">
        <f t="shared" si="2"/>
        <v>45703</v>
      </c>
      <c r="L8" s="424">
        <f t="shared" si="3"/>
        <v>45704</v>
      </c>
      <c r="M8" s="429" t="s">
        <v>1036</v>
      </c>
      <c r="N8" s="426">
        <v>45566</v>
      </c>
      <c r="O8" s="430"/>
      <c r="P8" s="428"/>
    </row>
    <row r="9" spans="1:16" x14ac:dyDescent="0.25">
      <c r="A9" s="422">
        <v>4</v>
      </c>
      <c r="B9" s="422" t="s">
        <v>98</v>
      </c>
      <c r="C9" s="422" t="s">
        <v>99</v>
      </c>
      <c r="D9" s="423" t="s">
        <v>1167</v>
      </c>
      <c r="E9" s="422">
        <v>4.5679999999999996</v>
      </c>
      <c r="F9" s="422">
        <f t="shared" si="0"/>
        <v>4.5679999999999996</v>
      </c>
      <c r="G9" s="424">
        <v>45707</v>
      </c>
      <c r="H9" s="424">
        <v>45707</v>
      </c>
      <c r="I9" s="422"/>
      <c r="J9" s="422">
        <f t="shared" si="1"/>
        <v>4.5679999999999996</v>
      </c>
      <c r="K9" s="424">
        <f t="shared" si="2"/>
        <v>45707</v>
      </c>
      <c r="L9" s="424">
        <f t="shared" si="3"/>
        <v>45707</v>
      </c>
      <c r="M9" s="425" t="s">
        <v>1036</v>
      </c>
      <c r="N9" s="426">
        <v>45597</v>
      </c>
      <c r="O9" s="427">
        <v>45715</v>
      </c>
      <c r="P9" s="428" t="s">
        <v>1166</v>
      </c>
    </row>
    <row r="10" spans="1:16" x14ac:dyDescent="0.25">
      <c r="A10" s="422">
        <v>5</v>
      </c>
      <c r="B10" s="422" t="s">
        <v>99</v>
      </c>
      <c r="C10" s="422" t="s">
        <v>100</v>
      </c>
      <c r="D10" s="423" t="s">
        <v>1167</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1036</v>
      </c>
      <c r="N10" s="426">
        <v>45597</v>
      </c>
      <c r="O10" s="430"/>
      <c r="P10" s="428"/>
    </row>
    <row r="11" spans="1:16" x14ac:dyDescent="0.25">
      <c r="A11" s="422">
        <v>6</v>
      </c>
      <c r="B11" s="422" t="s">
        <v>100</v>
      </c>
      <c r="C11" s="422" t="s">
        <v>810</v>
      </c>
      <c r="D11" s="423" t="s">
        <v>1167</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1036</v>
      </c>
      <c r="N11" s="426">
        <v>45658</v>
      </c>
      <c r="O11" s="430"/>
      <c r="P11" s="428"/>
    </row>
    <row r="12" spans="1:16" x14ac:dyDescent="0.25">
      <c r="A12" s="422">
        <v>7</v>
      </c>
      <c r="B12" s="422" t="s">
        <v>810</v>
      </c>
      <c r="C12" s="422" t="s">
        <v>822</v>
      </c>
      <c r="D12" s="423" t="s">
        <v>1167</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1036</v>
      </c>
      <c r="N12" s="426">
        <v>45658</v>
      </c>
      <c r="O12" s="430"/>
      <c r="P12" s="428"/>
    </row>
    <row r="13" spans="1:16" x14ac:dyDescent="0.25">
      <c r="A13" s="422">
        <v>8</v>
      </c>
      <c r="B13" s="422" t="s">
        <v>711</v>
      </c>
      <c r="C13" s="422" t="s">
        <v>714</v>
      </c>
      <c r="D13" s="423" t="s">
        <v>1167</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1036</v>
      </c>
      <c r="N13" s="426">
        <v>45839</v>
      </c>
      <c r="O13" s="425"/>
      <c r="P13" s="425"/>
    </row>
    <row r="14" spans="1:16" x14ac:dyDescent="0.25">
      <c r="A14" s="422">
        <v>9</v>
      </c>
      <c r="B14" s="666" t="s">
        <v>92</v>
      </c>
      <c r="C14" s="422" t="s">
        <v>711</v>
      </c>
      <c r="D14" s="423" t="s">
        <v>1167</v>
      </c>
      <c r="E14" s="431">
        <v>4.444</v>
      </c>
      <c r="F14" s="422">
        <f t="shared" si="0"/>
        <v>4.444</v>
      </c>
      <c r="G14" s="424">
        <v>45864</v>
      </c>
      <c r="H14" s="424">
        <v>45864</v>
      </c>
      <c r="I14" s="422"/>
      <c r="J14" s="422">
        <f t="shared" si="1"/>
        <v>4.444</v>
      </c>
      <c r="K14" s="424">
        <f t="shared" si="2"/>
        <v>45864</v>
      </c>
      <c r="L14" s="424">
        <f t="shared" si="3"/>
        <v>45864</v>
      </c>
      <c r="M14" s="425" t="s">
        <v>1036</v>
      </c>
      <c r="N14" s="426">
        <v>45839</v>
      </c>
      <c r="O14" s="425"/>
      <c r="P14" s="425"/>
    </row>
    <row r="15" spans="1:16" x14ac:dyDescent="0.25">
      <c r="A15" s="730">
        <v>10</v>
      </c>
      <c r="B15" s="731" t="s">
        <v>692</v>
      </c>
      <c r="C15" s="731" t="s">
        <v>91</v>
      </c>
      <c r="D15" s="732" t="s">
        <v>1167</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1036</v>
      </c>
      <c r="N15" s="736">
        <v>45870</v>
      </c>
      <c r="O15" s="425"/>
      <c r="P15" s="425"/>
    </row>
    <row r="16" spans="1:16" x14ac:dyDescent="0.25">
      <c r="A16" s="422">
        <v>11</v>
      </c>
      <c r="B16" s="666" t="s">
        <v>91</v>
      </c>
      <c r="C16" s="422" t="s">
        <v>92</v>
      </c>
      <c r="D16" s="423" t="s">
        <v>1167</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1036</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910" t="s">
        <v>137</v>
      </c>
      <c r="B28" s="910"/>
      <c r="C28" s="910"/>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1" zoomScale="84" zoomScaleNormal="90" workbookViewId="0">
      <selection activeCell="U263" sqref="U263"/>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1278</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50" t="s">
        <v>915</v>
      </c>
      <c r="D3" s="951"/>
      <c r="E3" s="951"/>
      <c r="F3" s="951"/>
      <c r="G3" s="951"/>
      <c r="H3" s="951"/>
      <c r="I3" s="951"/>
      <c r="J3" s="951"/>
      <c r="K3" s="951"/>
      <c r="L3" s="951"/>
      <c r="M3" s="951"/>
      <c r="N3" s="951"/>
      <c r="O3" s="951"/>
      <c r="P3" s="951"/>
      <c r="Q3" s="951"/>
      <c r="R3" s="952"/>
      <c r="S3" s="956" t="s">
        <v>401</v>
      </c>
      <c r="T3" s="957"/>
      <c r="U3" s="957"/>
      <c r="V3" s="957"/>
      <c r="W3" s="957"/>
      <c r="X3" s="957"/>
      <c r="Y3" s="957"/>
      <c r="Z3" s="958"/>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53">
        <f ca="1">+TODAY()</f>
        <v>45989</v>
      </c>
      <c r="J4" s="954"/>
      <c r="K4" s="954"/>
      <c r="L4" s="954"/>
      <c r="M4" s="954"/>
      <c r="N4" s="954"/>
      <c r="O4" s="954"/>
      <c r="P4" s="954"/>
      <c r="Q4" s="954"/>
      <c r="R4" s="955"/>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27" t="s">
        <v>304</v>
      </c>
      <c r="D5" s="929"/>
      <c r="E5" s="927" t="s">
        <v>37</v>
      </c>
      <c r="F5" s="928"/>
      <c r="G5" s="928"/>
      <c r="H5" s="929"/>
      <c r="I5" s="927" t="s">
        <v>403</v>
      </c>
      <c r="J5" s="929"/>
      <c r="K5" s="927" t="s">
        <v>404</v>
      </c>
      <c r="L5" s="929"/>
      <c r="M5" s="927" t="s">
        <v>405</v>
      </c>
      <c r="N5" s="928"/>
      <c r="O5" s="929"/>
      <c r="P5" s="927" t="s">
        <v>16</v>
      </c>
      <c r="Q5" s="929"/>
      <c r="R5" s="524" t="s">
        <v>124</v>
      </c>
      <c r="T5" s="14"/>
      <c r="U5" s="14"/>
      <c r="W5" s="927" t="s">
        <v>406</v>
      </c>
      <c r="X5" s="928"/>
      <c r="Y5" s="928"/>
      <c r="Z5" s="929"/>
      <c r="AC5" s="153"/>
      <c r="AD5" s="153"/>
      <c r="AE5" s="153"/>
      <c r="AF5" s="153"/>
      <c r="AG5" s="153"/>
      <c r="AH5" s="153"/>
      <c r="AI5" s="153"/>
      <c r="AJ5" s="153"/>
      <c r="AK5" s="153"/>
      <c r="AL5" s="153"/>
      <c r="AM5" s="153"/>
      <c r="AN5" s="153"/>
      <c r="AO5" s="153"/>
      <c r="AP5" s="153"/>
      <c r="AQ5" s="153"/>
      <c r="AR5" s="158"/>
      <c r="AS5" s="159"/>
      <c r="AT5" s="19"/>
      <c r="AV5" s="961" t="s">
        <v>407</v>
      </c>
      <c r="AW5" s="961"/>
      <c r="AX5" s="961"/>
      <c r="AY5" s="961"/>
      <c r="AZ5" s="961"/>
      <c r="BA5" s="961"/>
      <c r="BB5" s="961"/>
      <c r="BC5" s="961"/>
      <c r="BD5" s="961"/>
      <c r="BE5" s="961"/>
    </row>
    <row r="6" spans="1:63" s="16" customFormat="1" ht="15.75" customHeight="1" x14ac:dyDescent="0.25">
      <c r="A6" s="17"/>
      <c r="B6" s="18"/>
      <c r="C6" s="927">
        <v>1</v>
      </c>
      <c r="D6" s="929"/>
      <c r="E6" s="927" t="s">
        <v>10</v>
      </c>
      <c r="F6" s="928"/>
      <c r="G6" s="928"/>
      <c r="H6" s="929"/>
      <c r="I6" s="927" t="s">
        <v>408</v>
      </c>
      <c r="J6" s="929"/>
      <c r="K6" s="927">
        <v>485</v>
      </c>
      <c r="L6" s="929"/>
      <c r="M6" s="927">
        <f>BA18</f>
        <v>481</v>
      </c>
      <c r="N6" s="928"/>
      <c r="O6" s="929"/>
      <c r="P6" s="959">
        <f>K6-M6</f>
        <v>4</v>
      </c>
      <c r="Q6" s="960"/>
      <c r="R6" s="525">
        <f>BB18</f>
        <v>0</v>
      </c>
      <c r="U6" s="14"/>
      <c r="W6" s="927" t="s">
        <v>409</v>
      </c>
      <c r="X6" s="928"/>
      <c r="Y6" s="928"/>
      <c r="Z6" s="929"/>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27">
        <v>2</v>
      </c>
      <c r="D7" s="929"/>
      <c r="E7" s="959" t="s">
        <v>121</v>
      </c>
      <c r="F7" s="962"/>
      <c r="G7" s="962"/>
      <c r="H7" s="960"/>
      <c r="I7" s="927" t="s">
        <v>408</v>
      </c>
      <c r="J7" s="929"/>
      <c r="K7" s="959">
        <v>485</v>
      </c>
      <c r="L7" s="960"/>
      <c r="M7" s="927">
        <f>BC18</f>
        <v>475</v>
      </c>
      <c r="N7" s="928"/>
      <c r="O7" s="929"/>
      <c r="P7" s="959">
        <f t="shared" ref="P7:P11" si="0">K7-M7</f>
        <v>10</v>
      </c>
      <c r="Q7" s="960"/>
      <c r="R7" s="526">
        <v>0</v>
      </c>
      <c r="U7" s="21"/>
      <c r="W7" s="927" t="s">
        <v>410</v>
      </c>
      <c r="X7" s="928"/>
      <c r="Y7" s="928"/>
      <c r="Z7" s="929"/>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27">
        <v>3</v>
      </c>
      <c r="D8" s="929"/>
      <c r="E8" s="927" t="s">
        <v>412</v>
      </c>
      <c r="F8" s="928"/>
      <c r="G8" s="928"/>
      <c r="H8" s="929"/>
      <c r="I8" s="927" t="s">
        <v>408</v>
      </c>
      <c r="J8" s="929"/>
      <c r="K8" s="927">
        <v>485</v>
      </c>
      <c r="L8" s="929"/>
      <c r="M8" s="927">
        <f>BD18</f>
        <v>403</v>
      </c>
      <c r="N8" s="928"/>
      <c r="O8" s="929"/>
      <c r="P8" s="959">
        <f>K8-M8</f>
        <v>82</v>
      </c>
      <c r="Q8" s="960"/>
      <c r="R8" s="526">
        <v>10</v>
      </c>
      <c r="U8" s="513"/>
      <c r="W8" s="927" t="s">
        <v>413</v>
      </c>
      <c r="X8" s="928"/>
      <c r="Y8" s="928"/>
      <c r="Z8" s="929"/>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27">
        <v>4</v>
      </c>
      <c r="D9" s="929"/>
      <c r="E9" s="959" t="s">
        <v>1394</v>
      </c>
      <c r="F9" s="962"/>
      <c r="G9" s="962"/>
      <c r="H9" s="960"/>
      <c r="I9" s="927" t="s">
        <v>408</v>
      </c>
      <c r="J9" s="929"/>
      <c r="K9" s="959">
        <v>485</v>
      </c>
      <c r="L9" s="960"/>
      <c r="M9" s="927">
        <f>BE18</f>
        <v>223</v>
      </c>
      <c r="N9" s="928"/>
      <c r="O9" s="929"/>
      <c r="P9" s="959">
        <f>K9-M9</f>
        <v>262</v>
      </c>
      <c r="Q9" s="960"/>
      <c r="R9" s="526">
        <v>0</v>
      </c>
      <c r="U9" s="21"/>
      <c r="W9" s="927" t="s">
        <v>416</v>
      </c>
      <c r="X9" s="928"/>
      <c r="Y9" s="928"/>
      <c r="Z9" s="929"/>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27">
        <v>5</v>
      </c>
      <c r="D10" s="929"/>
      <c r="E10" s="927" t="s">
        <v>414</v>
      </c>
      <c r="F10" s="928"/>
      <c r="G10" s="928"/>
      <c r="H10" s="929"/>
      <c r="I10" s="927" t="s">
        <v>415</v>
      </c>
      <c r="J10" s="929"/>
      <c r="K10" s="938">
        <v>191.36</v>
      </c>
      <c r="L10" s="939"/>
      <c r="M10" s="938">
        <f>(BK18/1000)+BJ18/1000</f>
        <v>56.644959999999998</v>
      </c>
      <c r="N10" s="940"/>
      <c r="O10" s="939"/>
      <c r="P10" s="941">
        <f t="shared" si="0"/>
        <v>134.71504000000002</v>
      </c>
      <c r="Q10" s="942"/>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27">
        <v>6</v>
      </c>
      <c r="D11" s="929"/>
      <c r="E11" s="927" t="s">
        <v>418</v>
      </c>
      <c r="F11" s="928"/>
      <c r="G11" s="928"/>
      <c r="H11" s="929"/>
      <c r="I11" s="927" t="s">
        <v>415</v>
      </c>
      <c r="J11" s="929"/>
      <c r="K11" s="938">
        <v>191.36</v>
      </c>
      <c r="L11" s="939"/>
      <c r="M11" s="938">
        <f>BK18/1000</f>
        <v>49.14546</v>
      </c>
      <c r="N11" s="940"/>
      <c r="O11" s="939"/>
      <c r="P11" s="941">
        <f t="shared" si="0"/>
        <v>142.21454</v>
      </c>
      <c r="Q11" s="942"/>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27" t="s">
        <v>909</v>
      </c>
      <c r="X12" s="928"/>
      <c r="Y12" s="928"/>
      <c r="Z12" s="929"/>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23" t="s">
        <v>910</v>
      </c>
      <c r="X13" s="923"/>
      <c r="Y13" s="923"/>
      <c r="Z13" s="923"/>
      <c r="AA13" s="166"/>
      <c r="AB13" s="917"/>
      <c r="AC13" s="917"/>
      <c r="AD13" s="917"/>
      <c r="AE13" s="917"/>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1200</v>
      </c>
      <c r="F14" s="157"/>
      <c r="G14" s="168"/>
      <c r="H14" s="157"/>
      <c r="J14" s="24"/>
      <c r="K14" s="157"/>
      <c r="L14" s="24" t="s">
        <v>422</v>
      </c>
      <c r="M14" s="151"/>
      <c r="N14" s="157"/>
      <c r="P14" s="146" t="s">
        <v>423</v>
      </c>
      <c r="R14" s="25"/>
      <c r="T14" s="14"/>
      <c r="U14" s="14"/>
      <c r="V14" s="151"/>
      <c r="W14" s="927" t="s">
        <v>424</v>
      </c>
      <c r="X14" s="928"/>
      <c r="Y14" s="928"/>
      <c r="Z14" s="929"/>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1199</v>
      </c>
      <c r="F15" s="157"/>
      <c r="G15" s="168"/>
      <c r="H15" s="157"/>
      <c r="I15" s="157"/>
      <c r="J15" s="24"/>
      <c r="K15" s="157"/>
      <c r="M15" s="151"/>
      <c r="N15" s="157"/>
      <c r="P15" s="146"/>
      <c r="R15" s="25"/>
      <c r="T15" s="14"/>
      <c r="U15" s="27"/>
      <c r="W15" s="927" t="s">
        <v>425</v>
      </c>
      <c r="X15" s="928"/>
      <c r="Y15" s="928"/>
      <c r="Z15" s="929"/>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27" t="s">
        <v>429</v>
      </c>
      <c r="X16" s="928"/>
      <c r="Y16" s="928"/>
      <c r="Z16" s="929"/>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27" t="s">
        <v>434</v>
      </c>
      <c r="X17" s="928"/>
      <c r="Y17" s="928"/>
      <c r="Z17" s="929"/>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1397</v>
      </c>
      <c r="BC17" s="26" t="s">
        <v>420</v>
      </c>
      <c r="BD17" s="142" t="s">
        <v>411</v>
      </c>
      <c r="BE17" s="26" t="s">
        <v>1030</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23" t="s">
        <v>914</v>
      </c>
      <c r="X18" s="923"/>
      <c r="Y18" s="923"/>
      <c r="Z18" s="923"/>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220</v>
      </c>
      <c r="AX18" s="11">
        <f t="shared" si="1"/>
        <v>59</v>
      </c>
      <c r="AY18" s="11">
        <f t="shared" si="1"/>
        <v>2</v>
      </c>
      <c r="AZ18" s="11">
        <f t="shared" si="1"/>
        <v>0</v>
      </c>
      <c r="BA18" s="11">
        <f t="shared" si="1"/>
        <v>481</v>
      </c>
      <c r="BB18" s="11">
        <f t="shared" si="1"/>
        <v>0</v>
      </c>
      <c r="BC18" s="11">
        <f t="shared" si="1"/>
        <v>475</v>
      </c>
      <c r="BD18" s="11">
        <f t="shared" si="1"/>
        <v>403</v>
      </c>
      <c r="BE18" s="11">
        <f t="shared" si="1"/>
        <v>223</v>
      </c>
      <c r="BF18" s="11">
        <f t="shared" si="1"/>
        <v>0</v>
      </c>
      <c r="BG18" s="11">
        <f t="shared" si="1"/>
        <v>0</v>
      </c>
      <c r="BH18" s="11">
        <f t="shared" si="1"/>
        <v>191392.64300000004</v>
      </c>
      <c r="BI18" s="11">
        <f t="shared" si="1"/>
        <v>0</v>
      </c>
      <c r="BJ18" s="11">
        <f t="shared" si="1"/>
        <v>7499.5</v>
      </c>
      <c r="BK18" s="11">
        <f t="shared" si="1"/>
        <v>49145.46</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Z22" s="14" t="s">
        <v>911</v>
      </c>
      <c r="AB22" s="14" t="s">
        <v>911</v>
      </c>
      <c r="AD22" s="14" t="s">
        <v>911</v>
      </c>
      <c r="AF22" s="14" t="s">
        <v>911</v>
      </c>
      <c r="AH22" s="14" t="s">
        <v>911</v>
      </c>
      <c r="AJ22" s="14" t="s">
        <v>911</v>
      </c>
      <c r="AL22" s="14" t="s">
        <v>911</v>
      </c>
      <c r="AN22" s="14" t="s">
        <v>911</v>
      </c>
      <c r="AP22" s="14" t="s">
        <v>911</v>
      </c>
      <c r="AR22" s="14" t="s">
        <v>911</v>
      </c>
      <c r="AT22" s="31"/>
      <c r="AU22" s="48"/>
      <c r="AV22" s="12"/>
      <c r="AW22" s="12"/>
      <c r="AX22" s="12"/>
      <c r="AY22" s="12"/>
      <c r="AZ22" s="12"/>
      <c r="BA22" s="12"/>
      <c r="BB22" s="12"/>
      <c r="BC22" s="12"/>
      <c r="BD22" s="139"/>
      <c r="BI22" s="14">
        <f>+SUMIF(D22:AT22,".",D25:AT25)</f>
        <v>0</v>
      </c>
      <c r="BJ22" s="14">
        <f>+SUMIF(D22:AT22,"..",D25:AT25)</f>
        <v>3823.5999999999995</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21</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E</v>
      </c>
      <c r="Q34" s="14" t="str">
        <f>+VLOOKUP(Q32,'Visual chart Edit'!$B$7:$L$591,11,FALSE)</f>
        <v/>
      </c>
      <c r="S34" s="14" t="str">
        <f>+VLOOKUP(S32,'Visual chart Edit'!$B$7:$L$591,11,FALSE)</f>
        <v>E</v>
      </c>
      <c r="U34" s="14" t="str">
        <f>+VLOOKUP(U32,'Visual chart Edit'!$B$7:$L$591,11,FALSE)</f>
        <v>E</v>
      </c>
      <c r="W34" s="14" t="str">
        <f>+VLOOKUP(W32,'Visual chart Edit'!$B$7:$L$591,11,FALSE)</f>
        <v>E</v>
      </c>
      <c r="Y34" s="14" t="str">
        <f>+VLOOKUP(Y32,'Visual chart Edit'!$B$7:$L$591,11,FALSE)</f>
        <v>E</v>
      </c>
      <c r="AA34" s="14" t="str">
        <f>+VLOOKUP(AA32,'Visual chart Edit'!$B$7:$L$591,11,FALSE)</f>
        <v>E</v>
      </c>
      <c r="AC34" s="14" t="str">
        <f>+VLOOKUP(AC32,'Visual chart Edit'!$B$7:$L$591,11,FALSE)</f>
        <v>E</v>
      </c>
      <c r="AE34" s="14" t="str">
        <f>+VLOOKUP(AE32,'Visual chart Edit'!$B$7:$L$591,11,FALSE)</f>
        <v>E</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17</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DRY</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19</v>
      </c>
      <c r="AX69" s="12">
        <f>+COUNTIF(C69:AT69,"DFR")</f>
        <v>0</v>
      </c>
      <c r="AY69" s="12">
        <f>+COUNTIF(C69:AS69,"WFR")</f>
        <v>0</v>
      </c>
      <c r="AZ69" s="12">
        <f>+COUNTIF(C69:AS69,"FS")</f>
        <v>0</v>
      </c>
      <c r="BA69" s="12">
        <f>+SUM(AV69:AZ69)</f>
        <v>21</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E</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Done</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11</v>
      </c>
      <c r="BE102" s="12">
        <f>+COUNTIF(D101:AT101,"Done")</f>
        <v>1</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E</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E</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Done</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Done</v>
      </c>
      <c r="AA112" s="22" t="str">
        <f>+VLOOKUP(AA109,'Visual chart Edit'!$B$7:$M$491,12,FALSE)</f>
        <v/>
      </c>
      <c r="AC112" s="22" t="str">
        <f>+VLOOKUP(AC109,'Visual chart Edit'!$B$7:$M$491,12,FALSE)</f>
        <v>Done</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10</v>
      </c>
      <c r="BE113" s="12">
        <f>+COUNTIF(D112:AT112,"Done")</f>
        <v>3</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E</v>
      </c>
      <c r="G122" s="14" t="str">
        <f>+VLOOKUP(G120,'Visual chart Edit'!$B$7:$L$591,11,FALSE)</f>
        <v>E</v>
      </c>
      <c r="I122" s="14" t="str">
        <f>+VLOOKUP(I120,'Visual chart Edit'!$B$7:$L$591,11,FALSE)</f>
        <v>E</v>
      </c>
      <c r="K122" s="14" t="str">
        <f>+VLOOKUP(K120,'Visual chart Edit'!$B$7:$L$591,11,FALSE)</f>
        <v>E</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E</v>
      </c>
      <c r="AG122" s="14" t="str">
        <f>+VLOOKUP(AG120,'Visual chart Edit'!$B$7:$L$591,11,FALSE)</f>
        <v>E</v>
      </c>
      <c r="AI122" s="14" t="str">
        <f>+VLOOKUP(AI120,'Visual chart Edit'!$B$7:$L$591,11,FALSE)</f>
        <v>E</v>
      </c>
      <c r="AK122" s="14" t="str">
        <f>+VLOOKUP(AK120,'Visual chart Edit'!$B$7:$L$591,11,FALSE)</f>
        <v>E</v>
      </c>
      <c r="AM122" s="14" t="str">
        <f>+VLOOKUP(AM120,'Visual chart Edit'!$B$7:$L$591,11,FALSE)</f>
        <v>E</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Done</v>
      </c>
      <c r="K123" s="22" t="str">
        <f>+VLOOKUP(K120,'Visual chart Edit'!$B$7:$M$491,12,FALSE)</f>
        <v/>
      </c>
      <c r="M123" s="22" t="str">
        <f>+VLOOKUP(M120,'Visual chart Edit'!$B$7:$M$491,12,FALSE)</f>
        <v>Done</v>
      </c>
      <c r="O123" s="22" t="str">
        <f>+VLOOKUP(O120,'Visual chart Edit'!$B$7:$M$491,12,FALSE)</f>
        <v>Done</v>
      </c>
      <c r="Q123" s="22" t="str">
        <f>+VLOOKUP(Q120,'Visual chart Edit'!$B$7:$M$491,12,FALSE)</f>
        <v>Done</v>
      </c>
      <c r="S123" s="22" t="str">
        <f>+VLOOKUP(S120,'Visual chart Edit'!$B$7:$M$491,12,FALSE)</f>
        <v/>
      </c>
      <c r="U123" s="22" t="str">
        <f>+VLOOKUP(U120,'Visual chart Edit'!$B$7:$M$491,12,FALSE)</f>
        <v>Done</v>
      </c>
      <c r="W123" s="22" t="str">
        <f>+VLOOKUP(W120,'Visual chart Edit'!$B$7:$M$491,12,FALSE)</f>
        <v/>
      </c>
      <c r="Y123" s="22" t="str">
        <f>+VLOOKUP(Y120,'Visual chart Edit'!$B$7:$M$491,12,FALSE)</f>
        <v/>
      </c>
      <c r="AA123" s="22" t="str">
        <f>+VLOOKUP(AA120,'Visual chart Edit'!$B$7:$M$491,12,FALSE)</f>
        <v>Done</v>
      </c>
      <c r="AC123" s="22" t="str">
        <f>+VLOOKUP(AC120,'Visual chart Edit'!$B$7:$M$491,12,FALSE)</f>
        <v>Done</v>
      </c>
      <c r="AE123" s="22" t="str">
        <f>+VLOOKUP(AE120,'Visual chart Edit'!$B$7:$M$491,12,FALSE)</f>
        <v/>
      </c>
      <c r="AG123" s="22" t="str">
        <f>+VLOOKUP(AG120,'Visual chart Edit'!$B$7:$M$491,12,FALSE)</f>
        <v>Done</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18</v>
      </c>
      <c r="BE124" s="12">
        <f>+COUNTIF(D123:AT123,"Done")</f>
        <v>8</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E</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19</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E</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E</v>
      </c>
      <c r="AG144" s="14" t="str">
        <f>+VLOOKUP(AG142,'Visual chart Edit'!$B$7:$L$591,11,FALSE)</f>
        <v>E</v>
      </c>
      <c r="AI144" s="14" t="str">
        <f>+VLOOKUP(AI142,'Visual chart Edit'!$B$7:$L$591,11,FALSE)</f>
        <v>E</v>
      </c>
      <c r="AK144" s="14" t="str">
        <f>+VLOOKUP(AK142,'Visual chart Edit'!$B$7:$L$591,11,FALSE)</f>
        <v>E</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Done</v>
      </c>
      <c r="K145" s="22" t="str">
        <f>+VLOOKUP(K142,'Visual chart Edit'!$B$7:$M$491,12,FALSE)</f>
        <v/>
      </c>
      <c r="M145" s="22" t="str">
        <f>+VLOOKUP(M142,'Visual chart Edit'!$B$7:$M$491,12,FALSE)</f>
        <v>Done</v>
      </c>
      <c r="O145" s="22" t="str">
        <f>+VLOOKUP(O142,'Visual chart Edit'!$B$7:$M$491,12,FALSE)</f>
        <v>Done</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19</v>
      </c>
      <c r="BE146" s="12">
        <f>+COUNTIF(D145:AT145,"Done")</f>
        <v>3</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B197" s="14" t="s">
        <v>913</v>
      </c>
      <c r="AO197" s="184"/>
      <c r="AT197" s="31"/>
      <c r="AV197" s="12"/>
      <c r="AW197" s="12"/>
      <c r="AX197" s="12"/>
      <c r="AY197" s="12"/>
      <c r="AZ197" s="12"/>
      <c r="BA197" s="12"/>
      <c r="BB197" s="12"/>
      <c r="BC197" s="12"/>
      <c r="BD197" s="139"/>
      <c r="BI197" s="14">
        <f>+SUMIF(D197:AT197,".",D200:AT200)</f>
        <v>0</v>
      </c>
      <c r="BJ197" s="14">
        <f>+SUMIF(D197:AT197,"..",D200:AT200)</f>
        <v>0</v>
      </c>
      <c r="BK197" s="14">
        <f>+SUMIF(D197:AT197,",",D200:AT200)</f>
        <v>219.76</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D263" s="14" t="s">
        <v>911</v>
      </c>
      <c r="F263" s="14" t="s">
        <v>911</v>
      </c>
      <c r="H263" s="14" t="s">
        <v>911</v>
      </c>
      <c r="J263" s="14" t="s">
        <v>911</v>
      </c>
      <c r="L263" s="14" t="s">
        <v>911</v>
      </c>
      <c r="N263" s="14" t="s">
        <v>911</v>
      </c>
      <c r="P263" s="14" t="s">
        <v>911</v>
      </c>
      <c r="R263" s="14" t="s">
        <v>911</v>
      </c>
      <c r="T263" s="14" t="s">
        <v>911</v>
      </c>
      <c r="V263" s="14" t="s">
        <v>913</v>
      </c>
      <c r="X263" s="14" t="s">
        <v>913</v>
      </c>
      <c r="Z263" s="14" t="s">
        <v>913</v>
      </c>
      <c r="AB263" s="14" t="s">
        <v>913</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3675.9</v>
      </c>
      <c r="BK263" s="14">
        <f>+SUMIF(D263:AT263,",",D266:AT266)</f>
        <v>4658.2999999999993</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45" t="s">
        <v>139</v>
      </c>
      <c r="D285" s="945"/>
      <c r="E285" s="943" t="s">
        <v>922</v>
      </c>
      <c r="F285" s="943"/>
      <c r="G285" s="918" t="s">
        <v>921</v>
      </c>
      <c r="H285" s="947" t="s">
        <v>923</v>
      </c>
      <c r="I285" s="947"/>
      <c r="J285" s="947"/>
      <c r="K285" s="947"/>
      <c r="L285" s="947"/>
      <c r="M285" s="947"/>
      <c r="N285" s="947"/>
      <c r="O285" s="947"/>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46"/>
      <c r="D286" s="946"/>
      <c r="E286" s="944"/>
      <c r="F286" s="944"/>
      <c r="G286" s="919"/>
      <c r="H286" s="948" t="s">
        <v>438</v>
      </c>
      <c r="I286" s="948"/>
      <c r="J286" s="949" t="s">
        <v>436</v>
      </c>
      <c r="K286" s="949"/>
      <c r="L286" s="949"/>
      <c r="M286" s="949"/>
      <c r="N286" s="949"/>
      <c r="O286" s="949"/>
      <c r="P286" s="151"/>
      <c r="Q286" s="148"/>
      <c r="R286" s="147"/>
      <c r="S286" s="147"/>
      <c r="T286" s="147"/>
      <c r="U286" s="147"/>
      <c r="V286" s="151"/>
      <c r="W286" s="926" t="s">
        <v>928</v>
      </c>
      <c r="X286" s="926"/>
      <c r="Y286" s="926"/>
      <c r="Z286" s="926"/>
      <c r="AA286" s="926"/>
      <c r="AB286" s="926"/>
      <c r="AC286" s="926"/>
      <c r="AD286" s="926"/>
      <c r="AE286" s="926"/>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46"/>
      <c r="D287" s="946"/>
      <c r="E287" s="944"/>
      <c r="F287" s="944"/>
      <c r="G287" s="920"/>
      <c r="H287" s="152" t="s">
        <v>578</v>
      </c>
      <c r="I287" s="152" t="s">
        <v>16</v>
      </c>
      <c r="J287" s="152" t="s">
        <v>578</v>
      </c>
      <c r="K287" s="944" t="s">
        <v>919</v>
      </c>
      <c r="L287" s="944"/>
      <c r="M287" s="152" t="s">
        <v>16</v>
      </c>
      <c r="N287" s="944" t="s">
        <v>920</v>
      </c>
      <c r="O287" s="944"/>
      <c r="P287" s="149"/>
      <c r="R287" s="147"/>
      <c r="S287" s="149"/>
      <c r="T287" s="149"/>
      <c r="U287" s="149"/>
      <c r="V287" s="149"/>
      <c r="W287" s="925" t="s">
        <v>37</v>
      </c>
      <c r="X287" s="925"/>
      <c r="Y287" s="925"/>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15">
        <f>+COUNTIF('Visual chart Edit'!$C$6:$C$520,'Visual chart'!C288)</f>
        <v>150</v>
      </c>
      <c r="F288" s="916"/>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126</v>
      </c>
      <c r="K288" s="936">
        <f>G288*J288</f>
        <v>4725.5039999999999</v>
      </c>
      <c r="L288" s="937"/>
      <c r="M288" s="95">
        <f t="shared" ref="M288:M316" si="3">E288-J288</f>
        <v>24</v>
      </c>
      <c r="N288" s="930">
        <f>+M288*G288</f>
        <v>900.096</v>
      </c>
      <c r="O288" s="930"/>
      <c r="P288" s="137"/>
      <c r="Q288" s="137"/>
      <c r="R288" s="137"/>
      <c r="S288" s="150"/>
      <c r="T288" s="137"/>
      <c r="U288" s="150"/>
      <c r="V288" s="137"/>
      <c r="W288" s="924" t="s">
        <v>10</v>
      </c>
      <c r="X288" s="924"/>
      <c r="Y288" s="924"/>
      <c r="Z288" s="176">
        <f>H317</f>
        <v>481</v>
      </c>
      <c r="AA288" s="176"/>
      <c r="AB288" s="176"/>
      <c r="AC288" s="176"/>
      <c r="AD288" s="176"/>
      <c r="AE288" s="176"/>
      <c r="AT288" s="31"/>
      <c r="BD288" s="522"/>
    </row>
    <row r="289" spans="1:56" s="14" customFormat="1" x14ac:dyDescent="0.25">
      <c r="A289" s="12"/>
      <c r="B289" s="57"/>
      <c r="C289" s="523" t="s">
        <v>20</v>
      </c>
      <c r="D289" s="26"/>
      <c r="E289" s="915">
        <f>+COUNTIF('Visual chart Edit'!$C$6:$C$520,'Visual chart'!C289)</f>
        <v>161</v>
      </c>
      <c r="F289" s="916"/>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5">
        <f t="shared" si="2"/>
        <v>1</v>
      </c>
      <c r="J289" s="96">
        <f>+COUNTIFS('Visual chart Edit'!$C$6:$C$520,'Visual chart'!C289,'Visual chart Edit'!$L$6:$L$520,"E")</f>
        <v>140</v>
      </c>
      <c r="K289" s="936">
        <f t="shared" ref="K289:K316" si="4">G289*J289</f>
        <v>5438.58</v>
      </c>
      <c r="L289" s="937"/>
      <c r="M289" s="95">
        <f t="shared" si="3"/>
        <v>21</v>
      </c>
      <c r="N289" s="930">
        <f t="shared" ref="N289:N316" si="5">+M289*G289</f>
        <v>815.78700000000003</v>
      </c>
      <c r="O289" s="930"/>
      <c r="P289" s="137"/>
      <c r="Q289" s="137"/>
      <c r="R289" s="137"/>
      <c r="S289" s="150"/>
      <c r="T289" s="137"/>
      <c r="U289" s="150"/>
      <c r="V289" s="137"/>
      <c r="W289" s="924" t="s">
        <v>126</v>
      </c>
      <c r="X289" s="924"/>
      <c r="Y289" s="924"/>
      <c r="Z289" s="176">
        <f>J317</f>
        <v>403</v>
      </c>
      <c r="AA289" s="176"/>
      <c r="AB289" s="176"/>
      <c r="AC289" s="176"/>
      <c r="AD289" s="176"/>
      <c r="AE289" s="176"/>
      <c r="AT289" s="31"/>
      <c r="BD289" s="522"/>
    </row>
    <row r="290" spans="1:56" s="14" customFormat="1" x14ac:dyDescent="0.25">
      <c r="A290" s="12"/>
      <c r="B290" s="57"/>
      <c r="C290" s="523" t="s">
        <v>233</v>
      </c>
      <c r="D290" s="26"/>
      <c r="E290" s="915">
        <f>+COUNTIF('Visual chart Edit'!$C$6:$C$520,'Visual chart'!C290)</f>
        <v>48</v>
      </c>
      <c r="F290" s="916"/>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34</v>
      </c>
      <c r="K290" s="936">
        <f t="shared" si="4"/>
        <v>1544.0419999999999</v>
      </c>
      <c r="L290" s="937"/>
      <c r="M290" s="95">
        <f t="shared" si="3"/>
        <v>14</v>
      </c>
      <c r="N290" s="930">
        <f t="shared" si="5"/>
        <v>635.78199999999993</v>
      </c>
      <c r="O290" s="930"/>
      <c r="P290" s="137"/>
      <c r="Q290" s="137"/>
      <c r="R290" s="137"/>
      <c r="S290" s="150"/>
      <c r="T290" s="137"/>
      <c r="U290" s="150"/>
      <c r="V290" s="137"/>
      <c r="X290" s="24"/>
      <c r="AT290" s="31"/>
      <c r="BD290" s="522"/>
    </row>
    <row r="291" spans="1:56" s="14" customFormat="1" x14ac:dyDescent="0.25">
      <c r="A291" s="12"/>
      <c r="B291" s="57"/>
      <c r="C291" s="523" t="s">
        <v>234</v>
      </c>
      <c r="D291" s="26"/>
      <c r="E291" s="915">
        <f>+COUNTIF('Visual chart Edit'!$C$6:$C$520,'Visual chart'!C291)</f>
        <v>38</v>
      </c>
      <c r="F291" s="916"/>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36">
        <f t="shared" si="4"/>
        <v>1453.2159999999999</v>
      </c>
      <c r="L291" s="937"/>
      <c r="M291" s="95">
        <f t="shared" si="3"/>
        <v>6</v>
      </c>
      <c r="N291" s="930">
        <f t="shared" si="5"/>
        <v>272.47799999999995</v>
      </c>
      <c r="O291" s="930"/>
      <c r="P291" s="137"/>
      <c r="Q291" s="137"/>
      <c r="R291" s="137"/>
      <c r="S291" s="150"/>
      <c r="T291" s="137"/>
      <c r="U291" s="150"/>
      <c r="V291" s="137"/>
      <c r="X291" s="24"/>
      <c r="AT291" s="31"/>
      <c r="BD291" s="522"/>
    </row>
    <row r="292" spans="1:56" s="14" customFormat="1" x14ac:dyDescent="0.25">
      <c r="A292" s="12"/>
      <c r="B292" s="57"/>
      <c r="C292" s="523" t="s">
        <v>243</v>
      </c>
      <c r="D292" s="26"/>
      <c r="E292" s="915">
        <f>+COUNTIF('Visual chart Edit'!$C$6:$C$520,'Visual chart'!C292)</f>
        <v>13</v>
      </c>
      <c r="F292" s="916"/>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9</v>
      </c>
      <c r="K292" s="936">
        <f t="shared" si="4"/>
        <v>518.37300000000005</v>
      </c>
      <c r="L292" s="937"/>
      <c r="M292" s="95">
        <f t="shared" si="3"/>
        <v>4</v>
      </c>
      <c r="N292" s="930">
        <f t="shared" si="5"/>
        <v>230.38800000000001</v>
      </c>
      <c r="O292" s="930"/>
      <c r="P292" s="137"/>
      <c r="Q292" s="137"/>
      <c r="R292" s="137"/>
      <c r="S292" s="150"/>
      <c r="T292" s="137"/>
      <c r="U292" s="150"/>
      <c r="V292" s="137"/>
      <c r="X292" s="24"/>
      <c r="AT292" s="31"/>
      <c r="BD292" s="522"/>
    </row>
    <row r="293" spans="1:56" s="14" customFormat="1" x14ac:dyDescent="0.25">
      <c r="A293" s="12"/>
      <c r="B293" s="57"/>
      <c r="C293" s="523" t="s">
        <v>244</v>
      </c>
      <c r="D293" s="26"/>
      <c r="E293" s="915">
        <f>+COUNTIF('Visual chart Edit'!$C$6:$C$520,'Visual chart'!C293)</f>
        <v>3</v>
      </c>
      <c r="F293" s="916"/>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36">
        <f t="shared" si="4"/>
        <v>180.28799999999998</v>
      </c>
      <c r="L293" s="937"/>
      <c r="M293" s="95">
        <f t="shared" si="3"/>
        <v>0</v>
      </c>
      <c r="N293" s="930">
        <f t="shared" si="5"/>
        <v>0</v>
      </c>
      <c r="O293" s="930"/>
      <c r="P293" s="137"/>
      <c r="Q293" s="137"/>
      <c r="R293" s="137"/>
      <c r="S293" s="150"/>
      <c r="T293" s="137"/>
      <c r="U293" s="150"/>
      <c r="V293" s="137"/>
      <c r="X293" s="24"/>
      <c r="AT293" s="31"/>
      <c r="BD293" s="522"/>
    </row>
    <row r="294" spans="1:56" s="14" customFormat="1" x14ac:dyDescent="0.25">
      <c r="A294" s="12"/>
      <c r="B294" s="57"/>
      <c r="C294" s="523" t="s">
        <v>247</v>
      </c>
      <c r="D294" s="26"/>
      <c r="E294" s="915">
        <f>+COUNTIF('Visual chart Edit'!$C$6:$C$520,'Visual chart'!C294)</f>
        <v>3</v>
      </c>
      <c r="F294" s="916"/>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36">
        <f t="shared" si="4"/>
        <v>135.74600000000001</v>
      </c>
      <c r="L294" s="937"/>
      <c r="M294" s="95">
        <f t="shared" si="3"/>
        <v>1</v>
      </c>
      <c r="N294" s="930">
        <f t="shared" si="5"/>
        <v>67.873000000000005</v>
      </c>
      <c r="O294" s="930"/>
      <c r="P294" s="137"/>
      <c r="Q294" s="137"/>
      <c r="R294" s="137"/>
      <c r="S294" s="150"/>
      <c r="T294" s="137"/>
      <c r="U294" s="150"/>
      <c r="V294" s="137"/>
      <c r="X294" s="24"/>
      <c r="AT294" s="31"/>
      <c r="BD294" s="522"/>
    </row>
    <row r="295" spans="1:56" s="14" customFormat="1" x14ac:dyDescent="0.25">
      <c r="A295" s="12"/>
      <c r="B295" s="57"/>
      <c r="C295" s="523" t="s">
        <v>241</v>
      </c>
      <c r="D295" s="26"/>
      <c r="E295" s="915">
        <f>+COUNTIF('Visual chart Edit'!$C$6:$C$520,'Visual chart'!C295)</f>
        <v>3</v>
      </c>
      <c r="F295" s="916"/>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3</v>
      </c>
      <c r="K295" s="936">
        <f t="shared" si="4"/>
        <v>212.10299999999998</v>
      </c>
      <c r="L295" s="937"/>
      <c r="M295" s="95">
        <f t="shared" si="3"/>
        <v>0</v>
      </c>
      <c r="N295" s="930">
        <f t="shared" si="5"/>
        <v>0</v>
      </c>
      <c r="O295" s="930"/>
      <c r="P295" s="137"/>
      <c r="Q295" s="137"/>
      <c r="R295" s="137"/>
      <c r="S295" s="150"/>
      <c r="T295" s="137"/>
      <c r="U295" s="150"/>
      <c r="V295" s="137"/>
      <c r="X295" s="24"/>
      <c r="AT295" s="31"/>
      <c r="BD295" s="522"/>
    </row>
    <row r="296" spans="1:56" s="14" customFormat="1" x14ac:dyDescent="0.25">
      <c r="A296" s="12"/>
      <c r="B296" s="57"/>
      <c r="C296" s="523" t="s">
        <v>246</v>
      </c>
      <c r="D296" s="26"/>
      <c r="E296" s="915">
        <f>+COUNTIF('Visual chart Edit'!$C$6:$C$520,'Visual chart'!C296)</f>
        <v>14</v>
      </c>
      <c r="F296" s="916"/>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36">
        <f t="shared" si="4"/>
        <v>691.16399999999999</v>
      </c>
      <c r="L296" s="937"/>
      <c r="M296" s="95">
        <f t="shared" si="3"/>
        <v>2</v>
      </c>
      <c r="N296" s="930">
        <f t="shared" si="5"/>
        <v>115.194</v>
      </c>
      <c r="O296" s="930"/>
      <c r="P296" s="137"/>
      <c r="Q296" s="137"/>
      <c r="R296" s="137"/>
      <c r="S296" s="150"/>
      <c r="T296" s="137"/>
      <c r="U296" s="150"/>
      <c r="V296" s="137"/>
      <c r="X296" s="24"/>
      <c r="AT296" s="31"/>
      <c r="BD296" s="522"/>
    </row>
    <row r="297" spans="1:56" s="14" customFormat="1" x14ac:dyDescent="0.25">
      <c r="A297" s="12"/>
      <c r="B297" s="57"/>
      <c r="C297" s="523" t="s">
        <v>250</v>
      </c>
      <c r="D297" s="26"/>
      <c r="E297" s="915">
        <f>+COUNTIF('Visual chart Edit'!$C$6:$C$520,'Visual chart'!C297)</f>
        <v>4</v>
      </c>
      <c r="F297" s="916"/>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36">
        <f t="shared" si="4"/>
        <v>180.28799999999998</v>
      </c>
      <c r="L297" s="937"/>
      <c r="M297" s="95">
        <f t="shared" si="3"/>
        <v>1</v>
      </c>
      <c r="N297" s="930">
        <f t="shared" si="5"/>
        <v>60.095999999999997</v>
      </c>
      <c r="O297" s="930"/>
      <c r="P297" s="137"/>
      <c r="Q297" s="137"/>
      <c r="R297" s="137"/>
      <c r="S297" s="150"/>
      <c r="T297" s="137"/>
      <c r="U297" s="150"/>
      <c r="V297" s="137"/>
      <c r="X297" s="24"/>
      <c r="AT297" s="31"/>
      <c r="BD297" s="522"/>
    </row>
    <row r="298" spans="1:56" s="14" customFormat="1" x14ac:dyDescent="0.25">
      <c r="A298" s="12"/>
      <c r="B298" s="57"/>
      <c r="C298" s="523" t="s">
        <v>235</v>
      </c>
      <c r="D298" s="26"/>
      <c r="E298" s="915">
        <f>+COUNTIF('Visual chart Edit'!$C$6:$C$520,'Visual chart'!C298)</f>
        <v>3</v>
      </c>
      <c r="F298" s="916"/>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36">
        <f t="shared" si="4"/>
        <v>203.61900000000003</v>
      </c>
      <c r="L298" s="937"/>
      <c r="M298" s="95">
        <f t="shared" si="3"/>
        <v>0</v>
      </c>
      <c r="N298" s="930">
        <f t="shared" si="5"/>
        <v>0</v>
      </c>
      <c r="O298" s="930"/>
      <c r="P298" s="137"/>
      <c r="Q298" s="137"/>
      <c r="R298" s="137"/>
      <c r="S298" s="150"/>
      <c r="T298" s="137"/>
      <c r="U298" s="150"/>
      <c r="V298" s="137"/>
      <c r="X298" s="24"/>
      <c r="AT298" s="31"/>
      <c r="BD298" s="522"/>
    </row>
    <row r="299" spans="1:56" s="14" customFormat="1" x14ac:dyDescent="0.25">
      <c r="A299" s="12"/>
      <c r="B299" s="57"/>
      <c r="C299" s="523" t="s">
        <v>242</v>
      </c>
      <c r="D299" s="26"/>
      <c r="E299" s="915">
        <f>+COUNTIF('Visual chart Edit'!$C$6:$C$520,'Visual chart'!C299)</f>
        <v>2</v>
      </c>
      <c r="F299" s="916"/>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36">
        <f t="shared" si="4"/>
        <v>70.700999999999993</v>
      </c>
      <c r="L299" s="937"/>
      <c r="M299" s="95">
        <f t="shared" si="3"/>
        <v>1</v>
      </c>
      <c r="N299" s="930">
        <f t="shared" si="5"/>
        <v>70.700999999999993</v>
      </c>
      <c r="O299" s="930"/>
      <c r="P299" s="137"/>
      <c r="Q299" s="137"/>
      <c r="R299" s="137"/>
      <c r="S299" s="150"/>
      <c r="T299" s="137"/>
      <c r="U299" s="150"/>
      <c r="V299" s="137"/>
      <c r="X299" s="24"/>
      <c r="AT299" s="31"/>
      <c r="BD299" s="522"/>
    </row>
    <row r="300" spans="1:56" s="14" customFormat="1" x14ac:dyDescent="0.25">
      <c r="A300" s="12"/>
      <c r="B300" s="57"/>
      <c r="C300" s="523" t="s">
        <v>240</v>
      </c>
      <c r="D300" s="26"/>
      <c r="E300" s="915">
        <f>+COUNTIF('Visual chart Edit'!$C$6:$C$520,'Visual chart'!C300)</f>
        <v>12</v>
      </c>
      <c r="F300" s="916"/>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11</v>
      </c>
      <c r="K300" s="932">
        <f t="shared" si="4"/>
        <v>730.19100000000003</v>
      </c>
      <c r="L300" s="932"/>
      <c r="M300" s="95">
        <f t="shared" si="3"/>
        <v>1</v>
      </c>
      <c r="N300" s="930">
        <f t="shared" si="5"/>
        <v>66.381</v>
      </c>
      <c r="O300" s="930"/>
      <c r="P300" s="137"/>
      <c r="Q300" s="137"/>
      <c r="R300" s="137"/>
      <c r="S300" s="150"/>
      <c r="T300" s="137"/>
      <c r="U300" s="150"/>
      <c r="V300" s="137"/>
      <c r="AT300" s="31"/>
      <c r="BD300" s="522"/>
    </row>
    <row r="301" spans="1:56" s="14" customFormat="1" x14ac:dyDescent="0.25">
      <c r="A301" s="12"/>
      <c r="B301" s="57"/>
      <c r="C301" s="523" t="s">
        <v>868</v>
      </c>
      <c r="D301" s="26"/>
      <c r="E301" s="915">
        <f>+COUNTIF('Visual chart Edit'!$C$6:$C$520,'Visual chart'!C301)</f>
        <v>1</v>
      </c>
      <c r="F301" s="916"/>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32">
        <f t="shared" si="4"/>
        <v>94.218999999999994</v>
      </c>
      <c r="L301" s="932"/>
      <c r="M301" s="95">
        <f t="shared" si="3"/>
        <v>0</v>
      </c>
      <c r="N301" s="930">
        <f t="shared" si="5"/>
        <v>0</v>
      </c>
      <c r="O301" s="930"/>
      <c r="P301" s="137"/>
      <c r="Q301" s="137"/>
      <c r="R301" s="137"/>
      <c r="S301" s="150"/>
      <c r="T301" s="137"/>
      <c r="U301" s="150"/>
      <c r="V301" s="137"/>
      <c r="AT301" s="31"/>
      <c r="BD301" s="522"/>
    </row>
    <row r="302" spans="1:56" s="14" customFormat="1" x14ac:dyDescent="0.25">
      <c r="A302" s="12"/>
      <c r="B302" s="57"/>
      <c r="C302" s="523" t="s">
        <v>870</v>
      </c>
      <c r="D302" s="26"/>
      <c r="E302" s="915">
        <f>+COUNTIF('Visual chart Edit'!$C$6:$C$520,'Visual chart'!C302)</f>
        <v>1</v>
      </c>
      <c r="F302" s="916"/>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32">
        <f t="shared" si="4"/>
        <v>69.227999999999994</v>
      </c>
      <c r="L302" s="932"/>
      <c r="M302" s="95">
        <f t="shared" si="3"/>
        <v>0</v>
      </c>
      <c r="N302" s="930">
        <f t="shared" si="5"/>
        <v>0</v>
      </c>
      <c r="O302" s="930"/>
      <c r="P302" s="137"/>
      <c r="Q302" s="137"/>
      <c r="R302" s="137"/>
      <c r="S302" s="150"/>
      <c r="T302" s="137"/>
      <c r="U302" s="150"/>
      <c r="V302" s="137"/>
      <c r="AT302" s="31"/>
      <c r="BD302" s="522"/>
    </row>
    <row r="303" spans="1:56" s="14" customFormat="1" x14ac:dyDescent="0.25">
      <c r="A303" s="12"/>
      <c r="B303" s="57"/>
      <c r="C303" s="523" t="s">
        <v>362</v>
      </c>
      <c r="D303" s="26"/>
      <c r="E303" s="915">
        <f>+COUNTIF('Visual chart Edit'!$C$6:$C$520,'Visual chart'!C303)</f>
        <v>2</v>
      </c>
      <c r="F303" s="916"/>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32">
        <f t="shared" si="4"/>
        <v>0</v>
      </c>
      <c r="L303" s="932"/>
      <c r="M303" s="95">
        <f t="shared" si="3"/>
        <v>2</v>
      </c>
      <c r="N303" s="930">
        <f t="shared" si="5"/>
        <v>156.506</v>
      </c>
      <c r="O303" s="930"/>
      <c r="P303" s="137"/>
      <c r="Q303" s="137"/>
      <c r="R303" s="137"/>
      <c r="S303" s="150"/>
      <c r="T303" s="137"/>
      <c r="U303" s="150"/>
      <c r="V303" s="137"/>
      <c r="AT303" s="31"/>
      <c r="BD303" s="522"/>
    </row>
    <row r="304" spans="1:56" s="14" customFormat="1" x14ac:dyDescent="0.25">
      <c r="A304" s="12"/>
      <c r="B304" s="57"/>
      <c r="C304" s="523" t="s">
        <v>872</v>
      </c>
      <c r="D304" s="26"/>
      <c r="E304" s="915">
        <f>+COUNTIF('Visual chart Edit'!$C$6:$C$520,'Visual chart'!C304)</f>
        <v>1</v>
      </c>
      <c r="F304" s="916"/>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32">
        <f t="shared" si="4"/>
        <v>81.613</v>
      </c>
      <c r="L304" s="932"/>
      <c r="M304" s="95">
        <f t="shared" si="3"/>
        <v>0</v>
      </c>
      <c r="N304" s="930">
        <f t="shared" si="5"/>
        <v>0</v>
      </c>
      <c r="O304" s="930"/>
      <c r="P304" s="137"/>
      <c r="Q304" s="137"/>
      <c r="R304" s="137"/>
      <c r="S304" s="150"/>
      <c r="T304" s="137"/>
      <c r="U304" s="150"/>
      <c r="V304" s="137"/>
      <c r="AT304" s="31"/>
      <c r="BD304" s="522"/>
    </row>
    <row r="305" spans="1:67" s="14" customFormat="1" x14ac:dyDescent="0.25">
      <c r="A305" s="12"/>
      <c r="B305" s="57"/>
      <c r="C305" s="523" t="s">
        <v>245</v>
      </c>
      <c r="D305" s="26"/>
      <c r="E305" s="915">
        <f>+COUNTIF('Visual chart Edit'!$C$6:$C$520,'Visual chart'!C305)</f>
        <v>9</v>
      </c>
      <c r="F305" s="916"/>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32">
        <f t="shared" si="4"/>
        <v>531.048</v>
      </c>
      <c r="L305" s="932"/>
      <c r="M305" s="95">
        <f t="shared" si="3"/>
        <v>1</v>
      </c>
      <c r="N305" s="930">
        <f t="shared" si="5"/>
        <v>66.381</v>
      </c>
      <c r="O305" s="930"/>
      <c r="P305" s="137"/>
      <c r="Q305" s="137"/>
      <c r="R305" s="137"/>
      <c r="S305" s="150"/>
      <c r="T305" s="137"/>
      <c r="U305" s="150"/>
      <c r="V305" s="137"/>
      <c r="AT305" s="31"/>
      <c r="BD305" s="522"/>
    </row>
    <row r="306" spans="1:67" s="14" customFormat="1" x14ac:dyDescent="0.25">
      <c r="A306" s="12"/>
      <c r="B306" s="57"/>
      <c r="C306" s="523" t="s">
        <v>907</v>
      </c>
      <c r="D306" s="26"/>
      <c r="E306" s="915">
        <f>+COUNTIF('Visual chart Edit'!$C$6:$C$520,'Visual chart'!C306)</f>
        <v>0</v>
      </c>
      <c r="F306" s="916"/>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32">
        <f t="shared" si="4"/>
        <v>0</v>
      </c>
      <c r="L306" s="932"/>
      <c r="M306" s="95">
        <f t="shared" si="3"/>
        <v>0</v>
      </c>
      <c r="N306" s="930">
        <f t="shared" si="5"/>
        <v>0</v>
      </c>
      <c r="O306" s="930"/>
      <c r="P306" s="137"/>
      <c r="Q306" s="137"/>
      <c r="R306" s="137"/>
      <c r="S306" s="150"/>
      <c r="T306" s="137"/>
      <c r="U306" s="150"/>
      <c r="V306" s="137"/>
      <c r="AT306" s="31"/>
      <c r="BD306" s="522"/>
    </row>
    <row r="307" spans="1:67" s="14" customFormat="1" x14ac:dyDescent="0.25">
      <c r="A307" s="12"/>
      <c r="B307" s="57"/>
      <c r="C307" s="523" t="s">
        <v>871</v>
      </c>
      <c r="D307" s="26"/>
      <c r="E307" s="915">
        <f>+COUNTIF('Visual chart Edit'!$C$6:$C$520,'Visual chart'!C307)</f>
        <v>1</v>
      </c>
      <c r="F307" s="916"/>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32">
        <f t="shared" si="4"/>
        <v>78.253</v>
      </c>
      <c r="L307" s="932"/>
      <c r="M307" s="95">
        <f t="shared" si="3"/>
        <v>0</v>
      </c>
      <c r="N307" s="930">
        <f t="shared" si="5"/>
        <v>0</v>
      </c>
      <c r="O307" s="930"/>
      <c r="P307" s="137"/>
      <c r="Q307" s="137"/>
      <c r="R307" s="137"/>
      <c r="S307" s="150"/>
      <c r="T307" s="137"/>
      <c r="U307" s="150"/>
      <c r="V307" s="137"/>
      <c r="AT307" s="31"/>
      <c r="BD307" s="522"/>
    </row>
    <row r="308" spans="1:67" s="14" customFormat="1" x14ac:dyDescent="0.25">
      <c r="A308" s="12"/>
      <c r="B308" s="57"/>
      <c r="C308" s="523" t="s">
        <v>249</v>
      </c>
      <c r="D308" s="26"/>
      <c r="E308" s="915">
        <f>+COUNTIF('Visual chart Edit'!$C$6:$C$520,'Visual chart'!C308)</f>
        <v>0</v>
      </c>
      <c r="F308" s="916"/>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32">
        <f t="shared" si="4"/>
        <v>0</v>
      </c>
      <c r="L308" s="932"/>
      <c r="M308" s="95">
        <f t="shared" si="3"/>
        <v>0</v>
      </c>
      <c r="N308" s="930">
        <f t="shared" si="5"/>
        <v>0</v>
      </c>
      <c r="O308" s="930"/>
      <c r="P308" s="137"/>
      <c r="Q308" s="137"/>
      <c r="R308" s="137"/>
      <c r="S308" s="150"/>
      <c r="T308" s="137"/>
      <c r="U308" s="150"/>
      <c r="V308" s="137"/>
      <c r="AT308" s="31"/>
      <c r="BD308" s="522"/>
    </row>
    <row r="309" spans="1:67" s="14" customFormat="1" x14ac:dyDescent="0.25">
      <c r="A309" s="12"/>
      <c r="B309" s="57"/>
      <c r="C309" s="523" t="s">
        <v>869</v>
      </c>
      <c r="D309" s="26"/>
      <c r="E309" s="915">
        <f>+COUNTIF('Visual chart Edit'!$C$6:$C$520,'Visual chart'!C309)</f>
        <v>2</v>
      </c>
      <c r="F309" s="916"/>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32">
        <f t="shared" si="4"/>
        <v>172.25800000000001</v>
      </c>
      <c r="L309" s="932"/>
      <c r="M309" s="95">
        <f t="shared" si="3"/>
        <v>0</v>
      </c>
      <c r="N309" s="930">
        <f t="shared" si="5"/>
        <v>0</v>
      </c>
      <c r="O309" s="930"/>
      <c r="P309" s="137"/>
      <c r="Q309" s="137"/>
      <c r="R309" s="137"/>
      <c r="S309" s="150"/>
      <c r="T309" s="137"/>
      <c r="U309" s="150"/>
      <c r="V309" s="137"/>
      <c r="AT309" s="31"/>
      <c r="BD309" s="522"/>
    </row>
    <row r="310" spans="1:67" s="14" customFormat="1" x14ac:dyDescent="0.25">
      <c r="A310" s="12"/>
      <c r="B310" s="57"/>
      <c r="C310" s="523" t="s">
        <v>248</v>
      </c>
      <c r="D310" s="26"/>
      <c r="E310" s="915">
        <f>+COUNTIF('Visual chart Edit'!$C$6:$C$520,'Visual chart'!C310)</f>
        <v>2</v>
      </c>
      <c r="F310" s="916"/>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32">
        <f t="shared" si="4"/>
        <v>89.909000000000006</v>
      </c>
      <c r="L310" s="932"/>
      <c r="M310" s="95">
        <f t="shared" si="3"/>
        <v>1</v>
      </c>
      <c r="N310" s="930">
        <f t="shared" si="5"/>
        <v>89.909000000000006</v>
      </c>
      <c r="O310" s="930"/>
      <c r="P310" s="137"/>
      <c r="Q310" s="137"/>
      <c r="R310" s="137"/>
      <c r="S310" s="150"/>
      <c r="T310" s="137"/>
      <c r="U310" s="150"/>
      <c r="V310" s="137"/>
      <c r="AT310" s="31"/>
      <c r="BD310" s="522"/>
    </row>
    <row r="311" spans="1:67" s="14" customFormat="1" x14ac:dyDescent="0.25">
      <c r="A311" s="12"/>
      <c r="B311" s="57"/>
      <c r="C311" s="523" t="s">
        <v>239</v>
      </c>
      <c r="D311" s="26"/>
      <c r="E311" s="915">
        <f>+COUNTIF('Visual chart Edit'!$C$6:$C$520,'Visual chart'!C311)</f>
        <v>3</v>
      </c>
      <c r="F311" s="916"/>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32">
        <f t="shared" si="4"/>
        <v>258.387</v>
      </c>
      <c r="L311" s="932"/>
      <c r="M311" s="95">
        <f t="shared" si="3"/>
        <v>0</v>
      </c>
      <c r="N311" s="930">
        <f t="shared" si="5"/>
        <v>0</v>
      </c>
      <c r="O311" s="930"/>
      <c r="P311" s="137"/>
      <c r="Q311" s="137"/>
      <c r="R311" s="137"/>
      <c r="S311" s="150"/>
      <c r="T311" s="137"/>
      <c r="U311" s="150"/>
      <c r="V311" s="137"/>
      <c r="AT311" s="31"/>
      <c r="BD311" s="522"/>
    </row>
    <row r="312" spans="1:67" s="14" customFormat="1" x14ac:dyDescent="0.25">
      <c r="A312" s="12"/>
      <c r="B312" s="57"/>
      <c r="C312" s="523" t="s">
        <v>363</v>
      </c>
      <c r="D312" s="26"/>
      <c r="E312" s="915">
        <f>+COUNTIF('Visual chart Edit'!$C$6:$C$520,'Visual chart'!C312)</f>
        <v>1</v>
      </c>
      <c r="F312" s="916"/>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32">
        <f t="shared" si="4"/>
        <v>0</v>
      </c>
      <c r="L312" s="932"/>
      <c r="M312" s="95">
        <f t="shared" si="3"/>
        <v>1</v>
      </c>
      <c r="N312" s="930">
        <f t="shared" si="5"/>
        <v>89.909000000000006</v>
      </c>
      <c r="O312" s="930"/>
      <c r="P312" s="137"/>
      <c r="Q312" s="137"/>
      <c r="R312" s="137"/>
      <c r="S312" s="150"/>
      <c r="T312" s="137"/>
      <c r="U312" s="150"/>
      <c r="V312" s="137"/>
      <c r="AT312" s="31"/>
      <c r="BD312" s="522"/>
    </row>
    <row r="313" spans="1:67" s="14" customFormat="1" x14ac:dyDescent="0.25">
      <c r="A313" s="12"/>
      <c r="B313" s="57"/>
      <c r="C313" s="523" t="s">
        <v>653</v>
      </c>
      <c r="D313" s="26"/>
      <c r="E313" s="915">
        <f>+COUNTIF('Visual chart Edit'!$C$6:$C$520,'Visual chart'!C313)</f>
        <v>2</v>
      </c>
      <c r="F313" s="916"/>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32">
        <f t="shared" si="4"/>
        <v>201.93600000000001</v>
      </c>
      <c r="L313" s="932"/>
      <c r="M313" s="95">
        <f t="shared" si="3"/>
        <v>0</v>
      </c>
      <c r="N313" s="930">
        <f t="shared" si="5"/>
        <v>0</v>
      </c>
      <c r="O313" s="930"/>
      <c r="P313" s="137"/>
      <c r="Q313" s="137"/>
      <c r="R313" s="137"/>
      <c r="S313" s="150"/>
      <c r="T313" s="137"/>
      <c r="U313" s="150"/>
      <c r="V313" s="137"/>
      <c r="AT313" s="31"/>
      <c r="BD313" s="522"/>
    </row>
    <row r="314" spans="1:67" s="14" customFormat="1" x14ac:dyDescent="0.25">
      <c r="A314" s="12"/>
      <c r="B314" s="57"/>
      <c r="C314" s="523" t="s">
        <v>358</v>
      </c>
      <c r="D314" s="26"/>
      <c r="E314" s="915">
        <f>+COUNTIF('Visual chart Edit'!$C$6:$C$520,'Visual chart'!C314)</f>
        <v>0</v>
      </c>
      <c r="F314" s="916"/>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32">
        <f t="shared" si="4"/>
        <v>0</v>
      </c>
      <c r="L314" s="932"/>
      <c r="M314" s="95">
        <f t="shared" si="3"/>
        <v>0</v>
      </c>
      <c r="N314" s="930">
        <f t="shared" si="5"/>
        <v>0</v>
      </c>
      <c r="O314" s="930"/>
      <c r="P314" s="137"/>
      <c r="Q314" s="137"/>
      <c r="R314" s="137"/>
      <c r="S314" s="150"/>
      <c r="T314" s="137"/>
      <c r="U314" s="150"/>
      <c r="V314" s="137"/>
      <c r="AT314" s="31"/>
      <c r="BD314" s="522"/>
    </row>
    <row r="315" spans="1:67" s="14" customFormat="1" x14ac:dyDescent="0.25">
      <c r="A315" s="12"/>
      <c r="B315" s="57"/>
      <c r="C315" s="523" t="s">
        <v>654</v>
      </c>
      <c r="D315" s="26"/>
      <c r="E315" s="915">
        <f>+COUNTIF('Visual chart Edit'!$C$6:$C$520,'Visual chart'!C315)</f>
        <v>1</v>
      </c>
      <c r="F315" s="916"/>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32">
        <f t="shared" si="4"/>
        <v>0</v>
      </c>
      <c r="L315" s="932"/>
      <c r="M315" s="95">
        <f t="shared" si="3"/>
        <v>1</v>
      </c>
      <c r="N315" s="930">
        <f t="shared" si="5"/>
        <v>129.11000000000001</v>
      </c>
      <c r="O315" s="930"/>
      <c r="P315" s="137"/>
      <c r="Q315" s="137"/>
      <c r="R315" s="137"/>
      <c r="S315" s="150"/>
      <c r="T315" s="137"/>
      <c r="U315" s="150"/>
      <c r="V315" s="137"/>
      <c r="AT315" s="31"/>
      <c r="BD315" s="522"/>
    </row>
    <row r="316" spans="1:67" s="14" customFormat="1" x14ac:dyDescent="0.25">
      <c r="A316" s="12"/>
      <c r="B316" s="57"/>
      <c r="C316" s="523" t="s">
        <v>655</v>
      </c>
      <c r="D316" s="26"/>
      <c r="E316" s="915">
        <f>+COUNTIF('Visual chart Edit'!$C$6:$C$520,'Visual chart'!C316)</f>
        <v>5</v>
      </c>
      <c r="F316" s="916"/>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32">
        <f t="shared" si="4"/>
        <v>574.404</v>
      </c>
      <c r="L316" s="932"/>
      <c r="M316" s="95">
        <f t="shared" si="3"/>
        <v>1</v>
      </c>
      <c r="N316" s="930">
        <f t="shared" si="5"/>
        <v>143.601</v>
      </c>
      <c r="O316" s="930"/>
      <c r="P316" s="137"/>
      <c r="Q316" s="137"/>
      <c r="R316" s="137"/>
      <c r="S316" s="150"/>
      <c r="T316" s="137"/>
      <c r="U316" s="150"/>
      <c r="V316" s="137"/>
      <c r="AT316" s="31"/>
      <c r="BD316" s="522"/>
    </row>
    <row r="317" spans="1:67" s="24" customFormat="1" ht="15.75" customHeight="1" thickBot="1" x14ac:dyDescent="0.25">
      <c r="A317" s="47"/>
      <c r="B317" s="59"/>
      <c r="C317" s="921" t="s">
        <v>19</v>
      </c>
      <c r="D317" s="922"/>
      <c r="E317" s="934">
        <f>SUM(E288:F316)</f>
        <v>485</v>
      </c>
      <c r="F317" s="935"/>
      <c r="G317" s="660"/>
      <c r="H317" s="661">
        <f>+SUM(H288:H316)</f>
        <v>481</v>
      </c>
      <c r="I317" s="662">
        <f>SUM(I288:I316)</f>
        <v>4</v>
      </c>
      <c r="J317" s="661">
        <f>SUM(J288:J316)</f>
        <v>403</v>
      </c>
      <c r="K317" s="933">
        <f t="shared" ref="K317" si="6">SUM(K288:K316)</f>
        <v>18235.069999999996</v>
      </c>
      <c r="L317" s="933"/>
      <c r="M317" s="662">
        <f>+SUM(M288:M316)</f>
        <v>82</v>
      </c>
      <c r="N317" s="931">
        <f>+SUM(N288:N316)</f>
        <v>3910.192</v>
      </c>
      <c r="O317" s="931"/>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4" priority="595" operator="equal">
      <formula>"WFR"</formula>
    </cfRule>
    <cfRule type="cellIs" dxfId="143" priority="596" operator="equal">
      <formula>"SANDY"</formula>
    </cfRule>
    <cfRule type="cellIs" dxfId="142" priority="597" operator="equal">
      <formula>"DFR"</formula>
    </cfRule>
    <cfRule type="cellIs" dxfId="141" priority="598" operator="equal">
      <formula>"DRY"</formula>
    </cfRule>
  </conditionalFormatting>
  <conditionalFormatting sqref="G1:G7 O1:O7 Q1:Q7 Y1:Y7 U1:U9 W1:W9 Y9">
    <cfRule type="cellIs" dxfId="139" priority="583" operator="equal">
      <formula>"C"</formula>
    </cfRule>
    <cfRule type="cellIs" dxfId="138" priority="584" operator="equal">
      <formula>"WIP"</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7" operator="equal">
      <formula>"C"</formula>
    </cfRule>
    <cfRule type="cellIs" dxfId="108" priority="18" operator="equal">
      <formula>"WIP"</formula>
    </cfRule>
  </conditionalFormatting>
  <conditionalFormatting sqref="AK1:AK1048576">
    <cfRule type="cellIs" dxfId="107" priority="15" operator="equal">
      <formula>"C"</formula>
    </cfRule>
    <cfRule type="cellIs" dxfId="106" priority="16" operator="equal">
      <formula>"WIP"</formula>
    </cfRule>
  </conditionalFormatting>
  <conditionalFormatting sqref="AM1:AM1048576">
    <cfRule type="cellIs" dxfId="105" priority="13" operator="equal">
      <formula>"C"</formula>
    </cfRule>
    <cfRule type="cellIs" dxfId="104" priority="14" operator="equal">
      <formula>"WIP"</formula>
    </cfRule>
  </conditionalFormatting>
  <conditionalFormatting sqref="AO1:AO1048576">
    <cfRule type="cellIs" dxfId="103" priority="11" operator="equal">
      <formula>"C"</formula>
    </cfRule>
    <cfRule type="cellIs" dxfId="102" priority="12" operator="equal">
      <formula>"WIP"</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1" operator="equal">
      <formula>"C"</formula>
    </cfRule>
    <cfRule type="cellIs" dxfId="98" priority="532" operator="equal">
      <formula>"WIP"</formula>
    </cfRule>
  </conditionalFormatting>
  <conditionalFormatting sqref="AS35">
    <cfRule type="cellIs" dxfId="97" priority="529" operator="equal">
      <formula>"C"</formula>
    </cfRule>
    <cfRule type="cellIs" dxfId="96" priority="530" operator="equal">
      <formula>"WIP"</formula>
    </cfRule>
  </conditionalFormatting>
  <conditionalFormatting sqref="AS37">
    <cfRule type="cellIs" dxfId="95" priority="535" operator="equal">
      <formula>"C"</formula>
    </cfRule>
    <cfRule type="cellIs" dxfId="94" priority="536" operator="equal">
      <formula>"WIP"</formula>
    </cfRule>
  </conditionalFormatting>
  <conditionalFormatting sqref="AS46">
    <cfRule type="cellIs" dxfId="93" priority="527" operator="equal">
      <formula>"C"</formula>
    </cfRule>
    <cfRule type="cellIs" dxfId="92" priority="528" operator="equal">
      <formula>"WIP"</formula>
    </cfRule>
  </conditionalFormatting>
  <conditionalFormatting sqref="AS48">
    <cfRule type="cellIs" dxfId="91" priority="537" operator="equal">
      <formula>"C"</formula>
    </cfRule>
    <cfRule type="cellIs" dxfId="90" priority="538" operator="equal">
      <formula>"WIP"</formula>
    </cfRule>
  </conditionalFormatting>
  <conditionalFormatting sqref="AS57">
    <cfRule type="cellIs" dxfId="89" priority="525" operator="equal">
      <formula>"C"</formula>
    </cfRule>
    <cfRule type="cellIs" dxfId="88" priority="526" operator="equal">
      <formula>"WIP"</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1" operator="equal">
      <formula>"C"</formula>
    </cfRule>
    <cfRule type="cellIs" dxfId="82" priority="542" operator="equal">
      <formula>"WIP"</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3" operator="equal">
      <formula>"C"</formula>
    </cfRule>
    <cfRule type="cellIs" dxfId="78" priority="544" operator="equal">
      <formula>"WIP"</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5" operator="equal">
      <formula>"C"</formula>
    </cfRule>
    <cfRule type="cellIs" dxfId="74" priority="546" operator="equal">
      <formula>"WIP"</formula>
    </cfRule>
  </conditionalFormatting>
  <conditionalFormatting sqref="AS101">
    <cfRule type="cellIs" dxfId="73" priority="517" operator="equal">
      <formula>"C"</formula>
    </cfRule>
    <cfRule type="cellIs" dxfId="72" priority="518" operator="equal">
      <formula>"WIP"</formula>
    </cfRule>
  </conditionalFormatting>
  <conditionalFormatting sqref="AS103">
    <cfRule type="cellIs" dxfId="71" priority="547" operator="equal">
      <formula>"C"</formula>
    </cfRule>
    <cfRule type="cellIs" dxfId="70" priority="548" operator="equal">
      <formula>"WIP"</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49" operator="equal">
      <formula>"C"</formula>
    </cfRule>
    <cfRule type="cellIs" dxfId="66" priority="550" operator="equal">
      <formula>"WIP"</formula>
    </cfRule>
  </conditionalFormatting>
  <conditionalFormatting sqref="AS123">
    <cfRule type="cellIs" dxfId="65" priority="513" operator="equal">
      <formula>"C"</formula>
    </cfRule>
    <cfRule type="cellIs" dxfId="64" priority="514" operator="equal">
      <formula>"WIP"</formula>
    </cfRule>
  </conditionalFormatting>
  <conditionalFormatting sqref="AS125">
    <cfRule type="cellIs" dxfId="63" priority="551" operator="equal">
      <formula>"C"</formula>
    </cfRule>
    <cfRule type="cellIs" dxfId="62" priority="552" operator="equal">
      <formula>"WIP"</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3" operator="equal">
      <formula>"C"</formula>
    </cfRule>
    <cfRule type="cellIs" dxfId="58" priority="554" operator="equal">
      <formula>"WIP"</formula>
    </cfRule>
  </conditionalFormatting>
  <conditionalFormatting sqref="AS145">
    <cfRule type="cellIs" dxfId="57" priority="469" operator="equal">
      <formula>"C"</formula>
    </cfRule>
    <cfRule type="cellIs" dxfId="56" priority="470" operator="equal">
      <formula>"WIP"</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7" operator="equal">
      <formula>"C"</formula>
    </cfRule>
    <cfRule type="cellIs" dxfId="52" priority="428" operator="equal">
      <formula>"WIP"</formula>
    </cfRule>
  </conditionalFormatting>
  <conditionalFormatting sqref="AS157">
    <cfRule type="cellIs" dxfId="51" priority="559" operator="equal">
      <formula>"C"</formula>
    </cfRule>
    <cfRule type="cellIs" dxfId="50" priority="560" operator="equal">
      <formula>"WIP"</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3" operator="equal">
      <formula>"C"</formula>
    </cfRule>
    <cfRule type="cellIs" dxfId="44" priority="344" operator="equal">
      <formula>"WIP"</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1" operator="equal">
      <formula>"C"</formula>
    </cfRule>
    <cfRule type="cellIs" dxfId="40" priority="302" operator="equal">
      <formula>"WIP"</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7" operator="equal">
      <formula>"C"</formula>
    </cfRule>
    <cfRule type="cellIs" dxfId="32" priority="218" operator="equal">
      <formula>"WIP"</formula>
    </cfRule>
  </conditionalFormatting>
  <conditionalFormatting sqref="AS212">
    <cfRule type="cellIs" dxfId="31" priority="569" operator="equal">
      <formula>"C"</formula>
    </cfRule>
    <cfRule type="cellIs" dxfId="30" priority="570" operator="equal">
      <formula>"WIP"</formula>
    </cfRule>
  </conditionalFormatting>
  <conditionalFormatting sqref="AS221">
    <cfRule type="cellIs" dxfId="29" priority="175" operator="equal">
      <formula>"C"</formula>
    </cfRule>
    <cfRule type="cellIs" dxfId="28" priority="176" operator="equal">
      <formula>"WIP"</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3" operator="equal">
      <formula>"C"</formula>
    </cfRule>
    <cfRule type="cellIs" dxfId="24" priority="134" operator="equal">
      <formula>"WIP"</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1" operator="equal">
      <formula>"C"</formula>
    </cfRule>
    <cfRule type="cellIs" dxfId="20" priority="92" operator="equal">
      <formula>"WIP"</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49" operator="equal">
      <formula>"C"</formula>
    </cfRule>
    <cfRule type="cellIs" dxfId="16" priority="50" operator="equal">
      <formula>"WIP"</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89" operator="equal">
      <formula>"SANDY"</formula>
    </cfRule>
    <cfRule type="cellIs" dxfId="4" priority="590" operator="equal">
      <formula>"DFR"</formula>
    </cfRule>
    <cfRule type="cellIs" dxfId="3" priority="591" operator="equal">
      <formula>"DRY"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1278</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63" t="s">
        <v>657</v>
      </c>
      <c r="C3" s="963"/>
      <c r="D3" s="963"/>
      <c r="E3" s="963"/>
      <c r="F3" s="963"/>
      <c r="G3" s="963"/>
      <c r="H3" s="963"/>
      <c r="I3" s="963"/>
      <c r="J3" s="963"/>
    </row>
    <row r="4" spans="1:13" x14ac:dyDescent="0.25">
      <c r="A4" s="437" t="s">
        <v>304</v>
      </c>
      <c r="B4" s="964" t="s">
        <v>293</v>
      </c>
      <c r="C4" s="964"/>
      <c r="D4" s="964"/>
      <c r="E4" s="964"/>
      <c r="F4" s="964"/>
      <c r="G4" s="964"/>
      <c r="H4" s="964"/>
      <c r="I4" s="964"/>
      <c r="J4" s="964"/>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1201</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+IFERROR(VLOOKUP(B7,Foundation!$C$8:$E$696,3,FALSE),"")</f>
        <v>DRY</v>
      </c>
      <c r="L7" s="435" t="str">
        <f>+IF(IFERROR(MATCH(B7,'Erection Compiled'!$C$6:$C$785,0),"B")="B","","E")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+IFERROR(VLOOKUP(B8,Foundation!$C$8:$E$696,3,FALSE),"")</f>
        <v>DRY</v>
      </c>
      <c r="L8" s="435" t="str">
        <f>+IF(IFERROR(MATCH(B8,'Erection Compiled'!$C$6:$C$785,0),"B")="B","","E")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+IFERROR(VLOOKUP(B9,Foundation!$C$8:$E$696,3,FALSE),"")</f>
        <v>DFR</v>
      </c>
      <c r="L9" s="435" t="str">
        <f>+IF(IFERROR(MATCH(B9,'Erection Compiled'!$C$6:$C$785,0),"B")="B","","E")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+IFERROR(VLOOKUP(B10,Foundation!$C$8:$E$696,3,FALSE),"")</f>
        <v>DRY</v>
      </c>
      <c r="L10" s="435" t="str">
        <f>+IF(IFERROR(MATCH(B10,'Erection Compiled'!$C$6:$C$785,0),"B")="B","","E")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+IFERROR(VLOOKUP(B11,Foundation!$C$8:$E$696,3,FALSE),"")</f>
        <v>DRY</v>
      </c>
      <c r="L11" s="435" t="str">
        <f>+IF(IFERROR(MATCH(B11,'Erection Compiled'!$C$6:$C$785,0),"B")="B","","E")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+IFERROR(VLOOKUP(B12,Foundation!$C$8:$E$696,3,FALSE),"")</f>
        <v>DFR</v>
      </c>
      <c r="L12" s="435" t="str">
        <f>+IF(IFERROR(MATCH(B12,'Erection Compiled'!$C$6:$C$785,0),"B")="B","","E")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+IFERROR(VLOOKUP(B13,Foundation!$C$8:$E$696,3,FALSE),"")</f>
        <v>DRY</v>
      </c>
      <c r="L13" s="435" t="str">
        <f>+IF(IFERROR(MATCH(B13,'Erection Compiled'!$C$6:$C$785,0),"B")="B","","E")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+IFERROR(VLOOKUP(B14,Foundation!$C$8:$E$696,3,FALSE),"")</f>
        <v>Sandy</v>
      </c>
      <c r="L14" s="435" t="str">
        <f>+IF(IFERROR(MATCH(B14,'Erection Compiled'!$C$6:$C$785,0),"B")="B","","E")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+IFERROR(VLOOKUP(B15,Foundation!$C$8:$E$696,3,FALSE),"")</f>
        <v>Sandy</v>
      </c>
      <c r="L15" s="435" t="str">
        <f>+IF(IFERROR(MATCH(B15,'Erection Compiled'!$C$6:$C$785,0),"B")="B","","E")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+IFERROR(VLOOKUP(B16,Foundation!$C$8:$E$696,3,FALSE),"")</f>
        <v>Sandy</v>
      </c>
      <c r="L16" s="435" t="str">
        <f>+IF(IFERROR(MATCH(B16,'Erection Compiled'!$C$6:$C$785,0),"B")="B","","E")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+IFERROR(VLOOKUP(B17,Foundation!$C$8:$E$696,3,FALSE),"")</f>
        <v>DRY</v>
      </c>
      <c r="L17" s="435" t="str">
        <f>+IF(IFERROR(MATCH(B17,'Erection Compiled'!$C$6:$C$785,0),"B")="B","","E")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+IFERROR(VLOOKUP(B18,Foundation!$C$8:$E$696,3,FALSE),"")</f>
        <v>Sandy</v>
      </c>
      <c r="L18" s="435" t="str">
        <f>+IF(IFERROR(MATCH(B18,'Erection Compiled'!$C$6:$C$785,0),"B")="B","","E")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+IFERROR(VLOOKUP(B19,Foundation!$C$8:$E$696,3,FALSE),"")</f>
        <v>Sandy</v>
      </c>
      <c r="L19" s="435" t="str">
        <f>+IF(IFERROR(MATCH(B19,'Erection Compiled'!$C$6:$C$785,0),"B")="B","","E")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+IFERROR(VLOOKUP(B20,Foundation!$C$8:$E$696,3,FALSE),"")</f>
        <v>Sandy</v>
      </c>
      <c r="L20" s="435" t="str">
        <f>+IF(IFERROR(MATCH(B20,'Erection Compiled'!$C$6:$C$785,0),"B")="B","","E")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+IFERROR(VLOOKUP(B21,Foundation!$C$8:$E$696,3,FALSE),"")</f>
        <v>Sandy</v>
      </c>
      <c r="L21" s="435" t="str">
        <f>+IF(IFERROR(MATCH(B21,'Erection Compiled'!$C$6:$C$785,0),"B")="B","","E")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+IFERROR(VLOOKUP(B22,Foundation!$C$8:$E$696,3,FALSE),"")</f>
        <v>Sandy</v>
      </c>
      <c r="L22" s="435" t="str">
        <f>+IF(IFERROR(MATCH(B22,'Erection Compiled'!$C$6:$C$785,0),"B")="B","","E")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+IFERROR(VLOOKUP(B23,Foundation!$C$8:$E$696,3,FALSE),"")</f>
        <v>Sandy</v>
      </c>
      <c r="L23" s="435" t="str">
        <f>+IF(IFERROR(MATCH(B23,'Erection Compiled'!$C$6:$C$785,0),"B")="B","","E")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+IFERROR(VLOOKUP(B24,Foundation!$C$8:$E$696,3,FALSE),"")</f>
        <v>Sandy</v>
      </c>
      <c r="L24" s="435" t="str">
        <f>+IF(IFERROR(MATCH(B24,'Erection Compiled'!$C$6:$C$785,0),"B")="B","","E")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+IFERROR(VLOOKUP(B25,Foundation!$C$8:$E$696,3,FALSE),"")</f>
        <v>Sandy</v>
      </c>
      <c r="L25" s="435" t="str">
        <f>+IF(IFERROR(MATCH(B25,'Erection Compiled'!$C$6:$C$785,0),"B")="B","","E")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+IFERROR(VLOOKUP(B26,Foundation!$C$8:$E$696,3,FALSE),"")</f>
        <v>DRY</v>
      </c>
      <c r="L26" s="435" t="str">
        <f>+IF(IFERROR(MATCH(B26,'Erection Compiled'!$C$6:$C$785,0),"B")="B","","E")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+IFERROR(VLOOKUP(B27,Foundation!$C$8:$E$696,3,FALSE),"")</f>
        <v>DRY</v>
      </c>
      <c r="L27" s="435" t="str">
        <f>+IF(IFERROR(MATCH(B27,'Erection Compiled'!$C$6:$C$785,0),"B")="B","","E")</f>
        <v>E</v>
      </c>
      <c r="M27" s="435" t="str">
        <f>+IFERROR(VLOOKUP(B27,Tackwelding!$B$6:$G$599,6,FALSE),"")</f>
        <v/>
      </c>
    </row>
    <row r="28" spans="1:13" x14ac:dyDescent="0.25">
      <c r="A28" s="435">
        <v>22</v>
      </c>
      <c r="B28" s="435" t="s">
        <v>39</v>
      </c>
      <c r="C28" s="435" t="s">
        <v>653</v>
      </c>
      <c r="H28" s="435" t="str">
        <f t="shared" si="0"/>
        <v>,,,</v>
      </c>
      <c r="I28" s="440">
        <v>226.5</v>
      </c>
      <c r="K28" s="435" t="str">
        <f>+IFERROR(VLOOKUP(B28,Foundation!$C$8:$E$696,3,FALSE),"")</f>
        <v>DRY</v>
      </c>
      <c r="L28" s="435" t="str">
        <f>+IF(IFERROR(MATCH(B28,'Erection Compiled'!$C$6:$C$785,0),"B")="B","","E")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+IFERROR(VLOOKUP(B29,Foundation!$C$8:$E$696,3,FALSE),"")</f>
        <v>DRY</v>
      </c>
      <c r="L29" s="435" t="str">
        <f>+IF(IFERROR(MATCH(B29,'Erection Compiled'!$C$6:$C$785,0),"B")="B","","E")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+IFERROR(VLOOKUP(B30,Foundation!$C$8:$E$696,3,FALSE),"")</f>
        <v>DRY</v>
      </c>
      <c r="L30" s="435" t="str">
        <f>+IF(IFERROR(MATCH(B30,'Erection Compiled'!$C$6:$C$785,0),"B")="B","","E")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+IFERROR(VLOOKUP(B31,Foundation!$C$8:$E$696,3,FALSE),"")</f>
        <v>DRY</v>
      </c>
      <c r="L31" s="435" t="str">
        <f>+IF(IFERROR(MATCH(B31,'Erection Compiled'!$C$6:$C$785,0),"B")="B","","E")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+IFERROR(VLOOKUP(B32,Foundation!$C$8:$E$696,3,FALSE),"")</f>
        <v>DRY</v>
      </c>
      <c r="L32" s="435" t="str">
        <f>+IF(IFERROR(MATCH(B32,'Erection Compiled'!$C$6:$C$785,0),"B")="B","","E")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+IFERROR(VLOOKUP(B33,Foundation!$C$8:$E$696,3,FALSE),"")</f>
        <v>DRY</v>
      </c>
      <c r="L33" s="435" t="str">
        <f>+IF(IFERROR(MATCH(B33,'Erection Compiled'!$C$6:$C$785,0),"B")="B","","E")</f>
        <v>E</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+IFERROR(VLOOKUP(B34,Foundation!$C$8:$E$696,3,FALSE),"")</f>
        <v>DRY</v>
      </c>
      <c r="L34" s="435" t="str">
        <f>+IF(IFERROR(MATCH(B34,'Erection Compiled'!$C$6:$C$785,0),"B")="B","","E")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+IFERROR(VLOOKUP(B35,Foundation!$C$8:$E$696,3,FALSE),"")</f>
        <v>DFR</v>
      </c>
      <c r="L35" s="435" t="str">
        <f>+IF(IFERROR(MATCH(B35,'Erection Compiled'!$C$6:$C$785,0),"B")="B","","E")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+IFERROR(VLOOKUP(B36,Foundation!$C$8:$E$696,3,FALSE),"")</f>
        <v>DFR</v>
      </c>
      <c r="L36" s="435" t="str">
        <f>+IF(IFERROR(MATCH(B36,'Erection Compiled'!$C$6:$C$785,0),"B")="B","","E")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+IFERROR(VLOOKUP(B37,Foundation!$C$8:$E$696,3,FALSE),"")</f>
        <v>DRY</v>
      </c>
      <c r="L37" s="435" t="str">
        <f>+IF(IFERROR(MATCH(B37,'Erection Compiled'!$C$6:$C$785,0),"B")="B","","E")</f>
        <v>E</v>
      </c>
      <c r="M37" s="435" t="str">
        <f>+IFERROR(VLOOKUP(B37,Tackwelding!$B$6:$G$599,6,FALSE),"")</f>
        <v/>
      </c>
    </row>
    <row r="38" spans="1:13" x14ac:dyDescent="0.25">
      <c r="A38" s="435">
        <v>32</v>
      </c>
      <c r="B38" s="435" t="s">
        <v>44</v>
      </c>
      <c r="C38" s="435" t="s">
        <v>243</v>
      </c>
      <c r="H38" s="435" t="str">
        <f t="shared" si="0"/>
        <v>,,,</v>
      </c>
      <c r="I38" s="440">
        <v>210.8</v>
      </c>
      <c r="K38" s="435" t="str">
        <f>+IFERROR(VLOOKUP(B38,Foundation!$C$8:$E$696,3,FALSE),"")</f>
        <v>DRY</v>
      </c>
      <c r="L38" s="435" t="str">
        <f>+IF(IFERROR(MATCH(B38,'Erection Compiled'!$C$6:$C$785,0),"B")="B","","E")</f>
        <v>E</v>
      </c>
      <c r="M38" s="435" t="str">
        <f>+IFERROR(VLOOKUP(B38,Tackwelding!$B$6:$G$599,6,FALSE),"")</f>
        <v/>
      </c>
    </row>
    <row r="39" spans="1:13" x14ac:dyDescent="0.25">
      <c r="A39" s="435">
        <v>33</v>
      </c>
      <c r="B39" s="435" t="s">
        <v>151</v>
      </c>
      <c r="C39" s="435" t="s">
        <v>20</v>
      </c>
      <c r="H39" s="435" t="str">
        <f t="shared" si="0"/>
        <v>,,,</v>
      </c>
      <c r="I39" s="438">
        <v>409.2</v>
      </c>
      <c r="K39" s="435" t="str">
        <f>+IFERROR(VLOOKUP(B39,Foundation!$C$8:$E$696,3,FALSE),"")</f>
        <v>DRY</v>
      </c>
      <c r="L39" s="435" t="str">
        <f>+IF(IFERROR(MATCH(B39,'Erection Compiled'!$C$6:$C$785,0),"B")="B","","E")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+IFERROR(VLOOKUP(B40,Foundation!$C$8:$E$696,3,FALSE),"")</f>
        <v>DRY</v>
      </c>
      <c r="L40" s="435" t="str">
        <f>+IF(IFERROR(MATCH(B40,'Erection Compiled'!$C$6:$C$785,0),"B")="B","","E")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+IFERROR(VLOOKUP(B41,Foundation!$C$8:$E$696,3,FALSE),"")</f>
        <v>DRY</v>
      </c>
      <c r="L41" s="435" t="str">
        <f>+IF(IFERROR(MATCH(B41,'Erection Compiled'!$C$6:$C$785,0),"B")="B","","E")</f>
        <v>E</v>
      </c>
      <c r="M41" s="435" t="str">
        <f>+IFERROR(VLOOKUP(B41,Tackwelding!$B$6:$G$599,6,FALSE),"")</f>
        <v/>
      </c>
    </row>
    <row r="42" spans="1:13" x14ac:dyDescent="0.25">
      <c r="A42" s="435">
        <v>36</v>
      </c>
      <c r="B42" s="435" t="s">
        <v>464</v>
      </c>
      <c r="C42" s="435" t="s">
        <v>20</v>
      </c>
      <c r="H42" s="435" t="str">
        <f t="shared" si="0"/>
        <v>,,,</v>
      </c>
      <c r="I42" s="438">
        <v>416.5</v>
      </c>
      <c r="K42" s="435" t="str">
        <f>+IFERROR(VLOOKUP(B42,Foundation!$C$8:$E$696,3,FALSE),"")</f>
        <v>DRY</v>
      </c>
      <c r="L42" s="435" t="str">
        <f>+IF(IFERROR(MATCH(B42,'Erection Compiled'!$C$6:$C$785,0),"B")="B","","E")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+IFERROR(VLOOKUP(B43,Foundation!$C$8:$E$696,3,FALSE),"")</f>
        <v>DRY</v>
      </c>
      <c r="L43" s="435" t="str">
        <f>+IF(IFERROR(MATCH(B43,'Erection Compiled'!$C$6:$C$785,0),"B")="B","","E")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+IFERROR(VLOOKUP(B44,Foundation!$C$8:$E$696,3,FALSE),"")</f>
        <v/>
      </c>
      <c r="L44" s="435" t="str">
        <f>+IF(IFERROR(MATCH(B44,'Erection Compiled'!$C$6:$C$785,0),"B")="B","","E")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+IFERROR(VLOOKUP(B45,Foundation!$C$8:$E$696,3,FALSE),"")</f>
        <v>DRY</v>
      </c>
      <c r="L45" s="435" t="str">
        <f>+IF(IFERROR(MATCH(B45,'Erection Compiled'!$C$6:$C$785,0),"B")="B","","E")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+IFERROR(VLOOKUP(B46,Foundation!$C$8:$E$696,3,FALSE),"")</f>
        <v/>
      </c>
      <c r="L46" s="435" t="str">
        <f>+IF(IFERROR(MATCH(B46,'Erection Compiled'!$C$6:$C$785,0),"B")="B","","E")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+IFERROR(VLOOKUP(B47,Foundation!$C$8:$E$696,3,FALSE),"")</f>
        <v>DFR</v>
      </c>
      <c r="L47" s="435" t="str">
        <f>+IF(IFERROR(MATCH(B47,'Erection Compiled'!$C$6:$C$785,0),"B")="B","","E")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+IFERROR(VLOOKUP(B48,Foundation!$C$8:$E$696,3,FALSE),"")</f>
        <v>DFR</v>
      </c>
      <c r="L48" s="435" t="str">
        <f>+IF(IFERROR(MATCH(B48,'Erection Compiled'!$C$6:$C$785,0),"B")="B","","E")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+IFERROR(VLOOKUP(B49,Foundation!$C$8:$E$696,3,FALSE),"")</f>
        <v>DRY</v>
      </c>
      <c r="L49" s="435" t="str">
        <f>+IF(IFERROR(MATCH(B49,'Erection Compiled'!$C$6:$C$785,0),"B")="B","","E")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+IFERROR(VLOOKUP(B50,Foundation!$C$8:$E$696,3,FALSE),"")</f>
        <v>DRY</v>
      </c>
      <c r="L50" s="435" t="str">
        <f>+IF(IFERROR(MATCH(B50,'Erection Compiled'!$C$6:$C$785,0),"B")="B","","E")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+IFERROR(VLOOKUP(B51,Foundation!$C$8:$E$696,3,FALSE),"")</f>
        <v>DRY</v>
      </c>
      <c r="L51" s="435" t="str">
        <f>+IF(IFERROR(MATCH(B51,'Erection Compiled'!$C$6:$C$785,0),"B")="B","","E")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+IFERROR(VLOOKUP(B52,Foundation!$C$8:$E$696,3,FALSE),"")</f>
        <v>DFR</v>
      </c>
      <c r="L52" s="435" t="str">
        <f>+IF(IFERROR(MATCH(B52,'Erection Compiled'!$C$6:$C$785,0),"B")="B","","E")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+IFERROR(VLOOKUP(B53,Foundation!$C$8:$E$696,3,FALSE),"")</f>
        <v>DRY</v>
      </c>
      <c r="L53" s="435" t="str">
        <f>+IF(IFERROR(MATCH(B53,'Erection Compiled'!$C$6:$C$785,0),"B")="B","","E")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+IFERROR(VLOOKUP(B54,Foundation!$C$8:$E$696,3,FALSE),"")</f>
        <v/>
      </c>
      <c r="L54" s="435" t="str">
        <f>+IF(IFERROR(MATCH(B54,'Erection Compiled'!$C$6:$C$785,0),"B")="B","","E")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+IFERROR(VLOOKUP(B55,Foundation!$C$8:$E$696,3,FALSE),"")</f>
        <v>DFR</v>
      </c>
      <c r="L55" s="435" t="str">
        <f>+IF(IFERROR(MATCH(B55,'Erection Compiled'!$C$6:$C$785,0),"B")="B","","E")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+IFERROR(VLOOKUP(B56,Foundation!$C$8:$E$696,3,FALSE),"")</f>
        <v>DFR</v>
      </c>
      <c r="L56" s="435" t="str">
        <f>+IF(IFERROR(MATCH(B56,'Erection Compiled'!$C$6:$C$785,0),"B")="B","","E")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+IFERROR(VLOOKUP(B57,Foundation!$C$8:$E$696,3,FALSE),"")</f>
        <v>DRY</v>
      </c>
      <c r="L57" s="435" t="str">
        <f>+IF(IFERROR(MATCH(B57,'Erection Compiled'!$C$6:$C$785,0),"B")="B","","E")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+IFERROR(VLOOKUP(B58,Foundation!$C$8:$E$696,3,FALSE),"")</f>
        <v>DFR</v>
      </c>
      <c r="L58" s="435" t="str">
        <f>+IF(IFERROR(MATCH(B58,'Erection Compiled'!$C$6:$C$785,0),"B")="B","","E")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+IFERROR(VLOOKUP(B59,Foundation!$C$8:$E$696,3,FALSE),"")</f>
        <v>DRY</v>
      </c>
      <c r="L59" s="435" t="str">
        <f>+IF(IFERROR(MATCH(B59,'Erection Compiled'!$C$6:$C$785,0),"B")="B","","E")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+IFERROR(VLOOKUP(B60,Foundation!$C$8:$E$696,3,FALSE),"")</f>
        <v>DFR</v>
      </c>
      <c r="L60" s="435" t="str">
        <f>+IF(IFERROR(MATCH(B60,'Erection Compiled'!$C$6:$C$785,0),"B")="B","","E")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+IFERROR(VLOOKUP(B61,Foundation!$C$8:$E$696,3,FALSE),"")</f>
        <v>DRY</v>
      </c>
      <c r="L61" s="435" t="str">
        <f>+IF(IFERROR(MATCH(B61,'Erection Compiled'!$C$6:$C$785,0),"B")="B","","E")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+IFERROR(VLOOKUP(B62,Foundation!$C$8:$E$696,3,FALSE),"")</f>
        <v>Sandy</v>
      </c>
      <c r="L62" s="435" t="str">
        <f>+IF(IFERROR(MATCH(B62,'Erection Compiled'!$C$6:$C$785,0),"B")="B","","E")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+IFERROR(VLOOKUP(B63,Foundation!$C$8:$E$696,3,FALSE),"")</f>
        <v>DRY</v>
      </c>
      <c r="L63" s="435" t="str">
        <f>+IF(IFERROR(MATCH(B63,'Erection Compiled'!$C$6:$C$785,0),"B")="B","","E")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+IFERROR(VLOOKUP(B64,Foundation!$C$8:$E$696,3,FALSE),"")</f>
        <v>DRY</v>
      </c>
      <c r="L64" s="435" t="str">
        <f>+IF(IFERROR(MATCH(B64,'Erection Compiled'!$C$6:$C$785,0),"B")="B","","E")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+IFERROR(VLOOKUP(B65,Foundation!$C$8:$E$696,3,FALSE),"")</f>
        <v>DRY</v>
      </c>
      <c r="L65" s="435" t="str">
        <f>+IF(IFERROR(MATCH(B65,'Erection Compiled'!$C$6:$C$785,0),"B")="B","","E")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+IFERROR(VLOOKUP(B66,Foundation!$C$8:$E$696,3,FALSE),"")</f>
        <v>DRY</v>
      </c>
      <c r="L66" s="435" t="str">
        <f>+IF(IFERROR(MATCH(B66,'Erection Compiled'!$C$6:$C$785,0),"B")="B","","E")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+IFERROR(VLOOKUP(B67,Foundation!$C$8:$E$696,3,FALSE),"")</f>
        <v>DRY</v>
      </c>
      <c r="L67" s="435" t="str">
        <f>+IF(IFERROR(MATCH(B67,'Erection Compiled'!$C$6:$C$785,0),"B")="B","","E")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+IFERROR(VLOOKUP(B68,Foundation!$C$8:$E$696,3,FALSE),"")</f>
        <v>DRY</v>
      </c>
      <c r="L68" s="435" t="str">
        <f>+IF(IFERROR(MATCH(B68,'Erection Compiled'!$C$6:$C$785,0),"B")="B","","E")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+IFERROR(VLOOKUP(B69,Foundation!$C$8:$E$696,3,FALSE),"")</f>
        <v>DFR</v>
      </c>
      <c r="L69" s="435" t="str">
        <f>+IF(IFERROR(MATCH(B69,'Erection Compiled'!$C$6:$C$785,0),"B")="B","","E")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+IFERROR(VLOOKUP(B70,Foundation!$C$8:$E$696,3,FALSE),"")</f>
        <v>DFR</v>
      </c>
      <c r="L70" s="435" t="str">
        <f>+IF(IFERROR(MATCH(B70,'Erection Compiled'!$C$6:$C$785,0),"B")="B","","E")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+IFERROR(VLOOKUP(B71,Foundation!$C$8:$E$696,3,FALSE),"")</f>
        <v>DRY</v>
      </c>
      <c r="L71" s="435" t="str">
        <f>+IF(IFERROR(MATCH(B71,'Erection Compiled'!$C$6:$C$785,0),"B")="B","","E")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+IFERROR(VLOOKUP(B72,Foundation!$C$8:$E$696,3,FALSE),"")</f>
        <v>DFR</v>
      </c>
      <c r="L72" s="435" t="str">
        <f>+IF(IFERROR(MATCH(B72,'Erection Compiled'!$C$6:$C$785,0),"B")="B","","E")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+IFERROR(VLOOKUP(B73,Foundation!$C$8:$E$696,3,FALSE),"")</f>
        <v>DFR</v>
      </c>
      <c r="L73" s="435" t="str">
        <f>+IF(IFERROR(MATCH(B73,'Erection Compiled'!$C$6:$C$785,0),"B")="B","","E")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+IFERROR(VLOOKUP(B74,Foundation!$C$8:$E$696,3,FALSE),"")</f>
        <v>Sandy</v>
      </c>
      <c r="L74" s="435" t="str">
        <f>+IF(IFERROR(MATCH(B74,'Erection Compiled'!$C$6:$C$785,0),"B")="B","","E")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+IFERROR(VLOOKUP(B75,Foundation!$C$8:$E$696,3,FALSE),"")</f>
        <v>Sandy</v>
      </c>
      <c r="L75" s="435" t="str">
        <f>+IF(IFERROR(MATCH(B75,'Erection Compiled'!$C$6:$C$785,0),"B")="B","","E")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+IFERROR(VLOOKUP(B76,Foundation!$C$8:$E$696,3,FALSE),"")</f>
        <v>Sandy</v>
      </c>
      <c r="L76" s="435" t="str">
        <f>+IF(IFERROR(MATCH(B76,'Erection Compiled'!$C$6:$C$785,0),"B")="B","","E")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+IFERROR(VLOOKUP(B77,Foundation!$C$8:$E$696,3,FALSE),"")</f>
        <v>Sandy</v>
      </c>
      <c r="L77" s="435" t="str">
        <f>+IF(IFERROR(MATCH(B77,'Erection Compiled'!$C$6:$C$785,0),"B")="B","","E")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+IFERROR(VLOOKUP(B78,Foundation!$C$8:$E$696,3,FALSE),"")</f>
        <v>Sandy</v>
      </c>
      <c r="L78" s="435" t="str">
        <f>+IF(IFERROR(MATCH(B78,'Erection Compiled'!$C$6:$C$785,0),"B")="B","","E")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+IFERROR(VLOOKUP(B79,Foundation!$C$8:$E$696,3,FALSE),"")</f>
        <v>Sandy</v>
      </c>
      <c r="L79" s="435" t="str">
        <f>+IF(IFERROR(MATCH(B79,'Erection Compiled'!$C$6:$C$785,0),"B")="B","","E")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+IFERROR(VLOOKUP(B80,Foundation!$C$8:$E$696,3,FALSE),"")</f>
        <v>Sandy</v>
      </c>
      <c r="L80" s="435" t="str">
        <f>+IF(IFERROR(MATCH(B80,'Erection Compiled'!$C$6:$C$785,0),"B")="B","","E")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+IFERROR(VLOOKUP(B81,Foundation!$C$8:$E$696,3,FALSE),"")</f>
        <v>DFR</v>
      </c>
      <c r="L81" s="435" t="str">
        <f>+IF(IFERROR(MATCH(B81,'Erection Compiled'!$C$6:$C$785,0),"B")="B","","E")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+IFERROR(VLOOKUP(B82,Foundation!$C$8:$E$696,3,FALSE),"")</f>
        <v>DRY</v>
      </c>
      <c r="L82" s="435" t="str">
        <f>+IF(IFERROR(MATCH(B82,'Erection Compiled'!$C$6:$C$785,0),"B")="B","","E")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+IFERROR(VLOOKUP(B83,Foundation!$C$8:$E$696,3,FALSE),"")</f>
        <v>DRY</v>
      </c>
      <c r="L83" s="435" t="str">
        <f>+IF(IFERROR(MATCH(B83,'Erection Compiled'!$C$6:$C$785,0),"B")="B","","E")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+IFERROR(VLOOKUP(B84,Foundation!$C$8:$E$696,3,FALSE),"")</f>
        <v>DRY</v>
      </c>
      <c r="L84" s="435" t="str">
        <f>+IF(IFERROR(MATCH(B84,'Erection Compiled'!$C$6:$C$785,0),"B")="B","","E")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+IFERROR(VLOOKUP(B85,Foundation!$C$8:$E$696,3,FALSE),"")</f>
        <v>DRY</v>
      </c>
      <c r="L85" s="435" t="str">
        <f>+IF(IFERROR(MATCH(B85,'Erection Compiled'!$C$6:$C$785,0),"B")="B","","E")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+IFERROR(VLOOKUP(B86,Foundation!$C$8:$E$696,3,FALSE),"")</f>
        <v>DRY</v>
      </c>
      <c r="L86" s="435" t="str">
        <f>+IF(IFERROR(MATCH(B86,'Erection Compiled'!$C$6:$C$785,0),"B")="B","","E")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+IFERROR(VLOOKUP(B87,Foundation!$C$8:$E$696,3,FALSE),"")</f>
        <v>DRY</v>
      </c>
      <c r="L87" s="435" t="str">
        <f>+IF(IFERROR(MATCH(B87,'Erection Compiled'!$C$6:$C$785,0),"B")="B","","E")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+IFERROR(VLOOKUP(B88,Foundation!$C$8:$E$696,3,FALSE),"")</f>
        <v>DRY</v>
      </c>
      <c r="L88" s="435" t="str">
        <f>+IF(IFERROR(MATCH(B88,'Erection Compiled'!$C$6:$C$785,0),"B")="B","","E")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+IFERROR(VLOOKUP(B89,Foundation!$C$8:$E$696,3,FALSE),"")</f>
        <v>Sandy</v>
      </c>
      <c r="L89" s="435" t="str">
        <f>+IF(IFERROR(MATCH(B89,'Erection Compiled'!$C$6:$C$785,0),"B")="B","","E")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+IFERROR(VLOOKUP(B90,Foundation!$C$8:$E$696,3,FALSE),"")</f>
        <v>Sandy</v>
      </c>
      <c r="L90" s="435" t="str">
        <f>+IF(IFERROR(MATCH(B90,'Erection Compiled'!$C$6:$C$785,0),"B")="B","","E")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+IFERROR(VLOOKUP(B91,Foundation!$C$8:$E$696,3,FALSE),"")</f>
        <v>DRY</v>
      </c>
      <c r="L91" s="435" t="str">
        <f>+IF(IFERROR(MATCH(B91,'Erection Compiled'!$C$6:$C$785,0),"B")="B","","E")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+IFERROR(VLOOKUP(B92,Foundation!$C$8:$E$696,3,FALSE),"")</f>
        <v>DRY</v>
      </c>
      <c r="L92" s="435" t="str">
        <f>+IF(IFERROR(MATCH(B92,'Erection Compiled'!$C$6:$C$785,0),"B")="B","","E")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+IFERROR(VLOOKUP(B93,Foundation!$C$8:$E$696,3,FALSE),"")</f>
        <v>DRY</v>
      </c>
      <c r="L93" s="435" t="str">
        <f>+IF(IFERROR(MATCH(B93,'Erection Compiled'!$C$6:$C$785,0),"B")="B","","E")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+IFERROR(VLOOKUP(B94,Foundation!$C$8:$E$696,3,FALSE),"")</f>
        <v>DRY</v>
      </c>
      <c r="L94" s="435" t="str">
        <f>+IF(IFERROR(MATCH(B94,'Erection Compiled'!$C$6:$C$785,0),"B")="B","","E")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+IFERROR(VLOOKUP(B95,Foundation!$C$8:$E$696,3,FALSE),"")</f>
        <v>DRY</v>
      </c>
      <c r="L95" s="435" t="str">
        <f>+IF(IFERROR(MATCH(B95,'Erection Compiled'!$C$6:$C$785,0),"B")="B","","E")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+IFERROR(VLOOKUP(B96,Foundation!$C$8:$E$696,3,FALSE),"")</f>
        <v>Sandy</v>
      </c>
      <c r="L96" s="435" t="str">
        <f>+IF(IFERROR(MATCH(B96,'Erection Compiled'!$C$6:$C$785,0),"B")="B","","E")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+IFERROR(VLOOKUP(B97,Foundation!$C$8:$E$696,3,FALSE),"")</f>
        <v>DRY</v>
      </c>
      <c r="L97" s="435" t="str">
        <f>+IF(IFERROR(MATCH(B97,'Erection Compiled'!$C$6:$C$785,0),"B")="B","","E")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+IFERROR(VLOOKUP(B98,Foundation!$C$8:$E$696,3,FALSE),"")</f>
        <v>Sandy</v>
      </c>
      <c r="L98" s="435" t="str">
        <f>+IF(IFERROR(MATCH(B98,'Erection Compiled'!$C$6:$C$785,0),"B")="B","","E")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+IFERROR(VLOOKUP(B99,Foundation!$C$8:$E$696,3,FALSE),"")</f>
        <v>DRY</v>
      </c>
      <c r="L99" s="435" t="str">
        <f>+IF(IFERROR(MATCH(B99,'Erection Compiled'!$C$6:$C$785,0),"B")="B","","E")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+IFERROR(VLOOKUP(B100,Foundation!$C$8:$E$696,3,FALSE),"")</f>
        <v>DRY</v>
      </c>
      <c r="L100" s="435" t="str">
        <f>+IF(IFERROR(MATCH(B100,'Erection Compiled'!$C$6:$C$785,0),"B")="B","","E")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+IFERROR(VLOOKUP(B101,Foundation!$C$8:$E$696,3,FALSE),"")</f>
        <v>DRY</v>
      </c>
      <c r="L101" s="435" t="str">
        <f>+IF(IFERROR(MATCH(B101,'Erection Compiled'!$C$6:$C$785,0),"B")="B","","E")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+IFERROR(VLOOKUP(B102,Foundation!$C$8:$E$696,3,FALSE),"")</f>
        <v>DRY</v>
      </c>
      <c r="L102" s="435" t="str">
        <f>+IF(IFERROR(MATCH(B102,'Erection Compiled'!$C$6:$C$785,0),"B")="B","","E")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+IFERROR(VLOOKUP(B103,Foundation!$C$8:$E$696,3,FALSE),"")</f>
        <v>DRY</v>
      </c>
      <c r="L103" s="435" t="str">
        <f>+IF(IFERROR(MATCH(B103,'Erection Compiled'!$C$6:$C$785,0),"B")="B","","E")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+IFERROR(VLOOKUP(B104,Foundation!$C$8:$E$696,3,FALSE),"")</f>
        <v>DRY</v>
      </c>
      <c r="L104" s="435" t="str">
        <f>+IF(IFERROR(MATCH(B104,'Erection Compiled'!$C$6:$C$785,0),"B")="B","","E")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+IFERROR(VLOOKUP(B105,Foundation!$C$8:$E$696,3,FALSE),"")</f>
        <v>DRY</v>
      </c>
      <c r="L105" s="435" t="str">
        <f>+IF(IFERROR(MATCH(B105,'Erection Compiled'!$C$6:$C$785,0),"B")="B","","E")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+IFERROR(VLOOKUP(B106,Foundation!$C$8:$E$696,3,FALSE),"")</f>
        <v>DRY</v>
      </c>
      <c r="L106" s="435" t="str">
        <f>+IF(IFERROR(MATCH(B106,'Erection Compiled'!$C$6:$C$785,0),"B")="B","","E")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+IFERROR(VLOOKUP(B107,Foundation!$C$8:$E$696,3,FALSE),"")</f>
        <v>DRY</v>
      </c>
      <c r="L107" s="435" t="str">
        <f>+IF(IFERROR(MATCH(B107,'Erection Compiled'!$C$6:$C$785,0),"B")="B","","E")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+IFERROR(VLOOKUP(B108,Foundation!$C$8:$E$696,3,FALSE),"")</f>
        <v>DRY</v>
      </c>
      <c r="L108" s="435" t="str">
        <f>+IF(IFERROR(MATCH(B108,'Erection Compiled'!$C$6:$C$785,0),"B")="B","","E")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+IFERROR(VLOOKUP(B109,Foundation!$C$8:$E$696,3,FALSE),"")</f>
        <v>DRY</v>
      </c>
      <c r="L109" s="435" t="str">
        <f>+IF(IFERROR(MATCH(B109,'Erection Compiled'!$C$6:$C$785,0),"B")="B","","E")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+IFERROR(VLOOKUP(B110,Foundation!$C$8:$E$696,3,FALSE),"")</f>
        <v>DRY</v>
      </c>
      <c r="L110" s="435" t="str">
        <f>+IF(IFERROR(MATCH(B110,'Erection Compiled'!$C$6:$C$785,0),"B")="B","","E")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+IFERROR(VLOOKUP(B111,Foundation!$C$8:$E$696,3,FALSE),"")</f>
        <v>DRY</v>
      </c>
      <c r="L111" s="435" t="str">
        <f>+IF(IFERROR(MATCH(B111,'Erection Compiled'!$C$6:$C$785,0),"B")="B","","E")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+IFERROR(VLOOKUP(B112,Foundation!$C$8:$E$696,3,FALSE),"")</f>
        <v>DRY</v>
      </c>
      <c r="L112" s="435" t="str">
        <f>+IF(IFERROR(MATCH(B112,'Erection Compiled'!$C$6:$C$785,0),"B")="B","","E")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+IFERROR(VLOOKUP(B113,Foundation!$C$8:$E$696,3,FALSE),"")</f>
        <v>DRY</v>
      </c>
      <c r="L113" s="435" t="str">
        <f>+IF(IFERROR(MATCH(B113,'Erection Compiled'!$C$6:$C$785,0),"B")="B","","E")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+IFERROR(VLOOKUP(B114,Foundation!$C$8:$E$696,3,FALSE),"")</f>
        <v>DRY</v>
      </c>
      <c r="L114" s="435" t="str">
        <f>+IF(IFERROR(MATCH(B114,'Erection Compiled'!$C$6:$C$785,0),"B")="B","","E")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+IFERROR(VLOOKUP(B115,Foundation!$C$8:$E$696,3,FALSE),"")</f>
        <v>DRY</v>
      </c>
      <c r="L115" s="435" t="str">
        <f>+IF(IFERROR(MATCH(B115,'Erection Compiled'!$C$6:$C$785,0),"B")="B","","E")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+IFERROR(VLOOKUP(B116,Foundation!$C$8:$E$696,3,FALSE),"")</f>
        <v>DRY</v>
      </c>
      <c r="L116" s="435" t="str">
        <f>+IF(IFERROR(MATCH(B116,'Erection Compiled'!$C$6:$C$785,0),"B")="B","","E")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+IFERROR(VLOOKUP(B117,Foundation!$C$8:$E$696,3,FALSE),"")</f>
        <v>DRY</v>
      </c>
      <c r="L117" s="435" t="str">
        <f>+IF(IFERROR(MATCH(B117,'Erection Compiled'!$C$6:$C$785,0),"B")="B","","E")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+IFERROR(VLOOKUP(B118,Foundation!$C$8:$E$696,3,FALSE),"")</f>
        <v>DRY</v>
      </c>
      <c r="L118" s="435" t="str">
        <f>+IF(IFERROR(MATCH(B118,'Erection Compiled'!$C$6:$C$785,0),"B")="B","","E")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+IFERROR(VLOOKUP(B119,Foundation!$C$8:$E$696,3,FALSE),"")</f>
        <v>DRY</v>
      </c>
      <c r="L119" s="435" t="str">
        <f>+IF(IFERROR(MATCH(B119,'Erection Compiled'!$C$6:$C$785,0),"B")="B","","E")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+IFERROR(VLOOKUP(B120,Foundation!$C$8:$E$696,3,FALSE),"")</f>
        <v>DRY</v>
      </c>
      <c r="L120" s="435" t="str">
        <f>+IF(IFERROR(MATCH(B120,'Erection Compiled'!$C$6:$C$785,0),"B")="B","","E")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+IFERROR(VLOOKUP(B121,Foundation!$C$8:$E$696,3,FALSE),"")</f>
        <v>DRY</v>
      </c>
      <c r="L121" s="435" t="str">
        <f>+IF(IFERROR(MATCH(B121,'Erection Compiled'!$C$6:$C$785,0),"B")="B","","E")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+IFERROR(VLOOKUP(B122,Foundation!$C$8:$E$696,3,FALSE),"")</f>
        <v>DRY</v>
      </c>
      <c r="L122" s="435" t="str">
        <f>+IF(IFERROR(MATCH(B122,'Erection Compiled'!$C$6:$C$785,0),"B")="B","","E")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+IFERROR(VLOOKUP(B123,Foundation!$C$8:$E$696,3,FALSE),"")</f>
        <v>DRY</v>
      </c>
      <c r="L123" s="435" t="str">
        <f>+IF(IFERROR(MATCH(B123,'Erection Compiled'!$C$6:$C$785,0),"B")="B","","E")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+IFERROR(VLOOKUP(B124,Foundation!$C$8:$E$696,3,FALSE),"")</f>
        <v>DRY</v>
      </c>
      <c r="L124" s="435" t="str">
        <f>+IF(IFERROR(MATCH(B124,'Erection Compiled'!$C$6:$C$785,0),"B")="B","","E")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+IFERROR(VLOOKUP(B125,Foundation!$C$8:$E$696,3,FALSE),"")</f>
        <v>DRY</v>
      </c>
      <c r="L125" s="435" t="str">
        <f>+IF(IFERROR(MATCH(B125,'Erection Compiled'!$C$6:$C$785,0),"B")="B","","E")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+IFERROR(VLOOKUP(B126,Foundation!$C$8:$E$696,3,FALSE),"")</f>
        <v>DRY</v>
      </c>
      <c r="L126" s="435" t="str">
        <f>+IF(IFERROR(MATCH(B126,'Erection Compiled'!$C$6:$C$785,0),"B")="B","","E")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+IFERROR(VLOOKUP(B127,Foundation!$C$8:$E$696,3,FALSE),"")</f>
        <v>Sandy</v>
      </c>
      <c r="L127" s="435" t="str">
        <f>+IF(IFERROR(MATCH(B127,'Erection Compiled'!$C$6:$C$785,0),"B")="B","","E")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+IFERROR(VLOOKUP(B128,Foundation!$C$8:$E$696,3,FALSE),"")</f>
        <v>Sandy</v>
      </c>
      <c r="L128" s="435" t="str">
        <f>+IF(IFERROR(MATCH(B128,'Erection Compiled'!$C$6:$C$785,0),"B")="B","","E")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+IFERROR(VLOOKUP(B129,Foundation!$C$8:$E$696,3,FALSE),"")</f>
        <v>DRY</v>
      </c>
      <c r="L129" s="435" t="str">
        <f>+IF(IFERROR(MATCH(B129,'Erection Compiled'!$C$6:$C$785,0),"B")="B","","E")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+IFERROR(VLOOKUP(B130,Foundation!$C$8:$E$696,3,FALSE),"")</f>
        <v>DRY</v>
      </c>
      <c r="L130" s="435" t="str">
        <f>+IF(IFERROR(MATCH(B130,'Erection Compiled'!$C$6:$C$785,0),"B")="B","","E")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+IFERROR(VLOOKUP(B131,Foundation!$C$8:$E$696,3,FALSE),"")</f>
        <v>DRY</v>
      </c>
      <c r="L131" s="435" t="str">
        <f>+IF(IFERROR(MATCH(B131,'Erection Compiled'!$C$6:$C$785,0),"B")="B","","E")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+IFERROR(VLOOKUP(B132,Foundation!$C$8:$E$696,3,FALSE),"")</f>
        <v>ROW</v>
      </c>
      <c r="L132" s="435" t="str">
        <f>+IF(IFERROR(MATCH(B132,'Erection Compiled'!$C$6:$C$785,0),"B")="B","","E")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+IFERROR(VLOOKUP(B133,Foundation!$C$8:$E$696,3,FALSE),"")</f>
        <v>Sandy</v>
      </c>
      <c r="L133" s="435" t="str">
        <f>+IF(IFERROR(MATCH(B133,'Erection Compiled'!$C$6:$C$785,0),"B")="B","","E")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+IFERROR(VLOOKUP(B134,Foundation!$C$8:$E$696,3,FALSE),"")</f>
        <v>Sandy</v>
      </c>
      <c r="L134" s="435" t="str">
        <f>+IF(IFERROR(MATCH(B134,'Erection Compiled'!$C$6:$C$785,0),"B")="B","","E")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+IFERROR(VLOOKUP(B135,Foundation!$C$8:$E$696,3,FALSE),"")</f>
        <v>Sandy</v>
      </c>
      <c r="L135" s="435" t="str">
        <f>+IF(IFERROR(MATCH(B135,'Erection Compiled'!$C$6:$C$785,0),"B")="B","","E")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+IFERROR(VLOOKUP(B136,Foundation!$C$8:$E$696,3,FALSE),"")</f>
        <v>DFR</v>
      </c>
      <c r="L136" s="435" t="str">
        <f>+IF(IFERROR(MATCH(B136,'Erection Compiled'!$C$6:$C$785,0),"B")="B","","E")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+IFERROR(VLOOKUP(B137,Foundation!$C$8:$E$696,3,FALSE),"")</f>
        <v>DRY</v>
      </c>
      <c r="L137" s="435" t="str">
        <f>+IF(IFERROR(MATCH(B137,'Erection Compiled'!$C$6:$C$785,0),"B")="B","","E")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+IFERROR(VLOOKUP(B138,Foundation!$C$8:$E$696,3,FALSE),"")</f>
        <v>DFR</v>
      </c>
      <c r="L138" s="435" t="str">
        <f>+IF(IFERROR(MATCH(B138,'Erection Compiled'!$C$6:$C$785,0),"B")="B","","E")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+IFERROR(VLOOKUP(B139,Foundation!$C$8:$E$696,3,FALSE),"")</f>
        <v>DRY</v>
      </c>
      <c r="L139" s="435" t="str">
        <f>+IF(IFERROR(MATCH(B139,'Erection Compiled'!$C$6:$C$785,0),"B")="B","","E")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+IFERROR(VLOOKUP(B140,Foundation!$C$8:$E$696,3,FALSE),"")</f>
        <v>DFR</v>
      </c>
      <c r="L140" s="435" t="str">
        <f>+IF(IFERROR(MATCH(B140,'Erection Compiled'!$C$6:$C$785,0),"B")="B","","E")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+IFERROR(VLOOKUP(B141,Foundation!$C$8:$E$696,3,FALSE),"")</f>
        <v>DRY</v>
      </c>
      <c r="L141" s="435" t="str">
        <f>+IF(IFERROR(MATCH(B141,'Erection Compiled'!$C$6:$C$785,0),"B")="B","","E")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+IFERROR(VLOOKUP(B142,Foundation!$C$8:$E$696,3,FALSE),"")</f>
        <v>DRY</v>
      </c>
      <c r="L142" s="435" t="str">
        <f>+IF(IFERROR(MATCH(B142,'Erection Compiled'!$C$6:$C$785,0),"B")="B","","E")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+IFERROR(VLOOKUP(B143,Foundation!$C$8:$E$696,3,FALSE),"")</f>
        <v>Sandy</v>
      </c>
      <c r="L143" s="435" t="str">
        <f>+IF(IFERROR(MATCH(B143,'Erection Compiled'!$C$6:$C$785,0),"B")="B","","E")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+IFERROR(VLOOKUP(B144,Foundation!$C$8:$E$696,3,FALSE),"")</f>
        <v>Sandy</v>
      </c>
      <c r="L144" s="435" t="str">
        <f>+IF(IFERROR(MATCH(B144,'Erection Compiled'!$C$6:$C$785,0),"B")="B","","E")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+IFERROR(VLOOKUP(B145,Foundation!$C$8:$E$696,3,FALSE),"")</f>
        <v>Sandy</v>
      </c>
      <c r="L145" s="435" t="str">
        <f>+IF(IFERROR(MATCH(B145,'Erection Compiled'!$C$6:$C$785,0),"B")="B","","E")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+IFERROR(VLOOKUP(B146,Foundation!$C$8:$E$696,3,FALSE),"")</f>
        <v>Sandy</v>
      </c>
      <c r="L146" s="435" t="str">
        <f>+IF(IFERROR(MATCH(B146,'Erection Compiled'!$C$6:$C$785,0),"B")="B","","E")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+IFERROR(VLOOKUP(B147,Foundation!$C$8:$E$696,3,FALSE),"")</f>
        <v>DRY</v>
      </c>
      <c r="L147" s="435" t="str">
        <f>+IF(IFERROR(MATCH(B147,'Erection Compiled'!$C$6:$C$785,0),"B")="B","","E")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+IFERROR(VLOOKUP(B148,Foundation!$C$8:$E$696,3,FALSE),"")</f>
        <v>Sandy</v>
      </c>
      <c r="L148" s="435" t="str">
        <f>+IF(IFERROR(MATCH(B148,'Erection Compiled'!$C$6:$C$785,0),"B")="B","","E")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+IFERROR(VLOOKUP(B149,Foundation!$C$8:$E$696,3,FALSE),"")</f>
        <v>Sandy</v>
      </c>
      <c r="L149" s="435" t="str">
        <f>+IF(IFERROR(MATCH(B149,'Erection Compiled'!$C$6:$C$785,0),"B")="B","","E")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+IFERROR(VLOOKUP(B150,Foundation!$C$8:$E$696,3,FALSE),"")</f>
        <v>Sandy</v>
      </c>
      <c r="L150" s="435" t="str">
        <f>+IF(IFERROR(MATCH(B150,'Erection Compiled'!$C$6:$C$785,0),"B")="B","","E")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+IFERROR(VLOOKUP(B151,Foundation!$C$8:$E$696,3,FALSE),"")</f>
        <v>Sandy</v>
      </c>
      <c r="L151" s="435" t="str">
        <f>+IF(IFERROR(MATCH(B151,'Erection Compiled'!$C$6:$C$785,0),"B")="B","","E")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+IFERROR(VLOOKUP(B152,Foundation!$C$8:$E$696,3,FALSE),"")</f>
        <v>Sandy</v>
      </c>
      <c r="L152" s="435" t="str">
        <f>+IF(IFERROR(MATCH(B152,'Erection Compiled'!$C$6:$C$785,0),"B")="B","","E")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+IFERROR(VLOOKUP(B153,Foundation!$C$8:$E$696,3,FALSE),"")</f>
        <v>Sandy</v>
      </c>
      <c r="L153" s="435" t="str">
        <f>+IF(IFERROR(MATCH(B153,'Erection Compiled'!$C$6:$C$785,0),"B")="B","","E")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+IFERROR(VLOOKUP(B154,Foundation!$C$8:$E$696,3,FALSE),"")</f>
        <v>Sandy</v>
      </c>
      <c r="L154" s="435" t="str">
        <f>+IF(IFERROR(MATCH(B154,'Erection Compiled'!$C$6:$C$785,0),"B")="B","","E")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+IFERROR(VLOOKUP(B155,Foundation!$C$8:$E$696,3,FALSE),"")</f>
        <v>Sandy</v>
      </c>
      <c r="L155" s="435" t="str">
        <f>+IF(IFERROR(MATCH(B155,'Erection Compiled'!$C$6:$C$785,0),"B")="B","","E")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+IFERROR(VLOOKUP(B156,Foundation!$C$8:$E$696,3,FALSE),"")</f>
        <v>DRY</v>
      </c>
      <c r="L156" s="435" t="str">
        <f>+IF(IFERROR(MATCH(B156,'Erection Compiled'!$C$6:$C$785,0),"B")="B","","E")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+IFERROR(VLOOKUP(B157,Foundation!$C$8:$E$696,3,FALSE),"")</f>
        <v>DRY</v>
      </c>
      <c r="L157" s="435" t="str">
        <f>+IF(IFERROR(MATCH(B157,'Erection Compiled'!$C$6:$C$785,0),"B")="B","","E")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+IFERROR(VLOOKUP(B158,Foundation!$C$8:$E$696,3,FALSE),"")</f>
        <v>DRY</v>
      </c>
      <c r="L158" s="435" t="str">
        <f>+IF(IFERROR(MATCH(B158,'Erection Compiled'!$C$6:$C$785,0),"B")="B","","E")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+IFERROR(VLOOKUP(B159,Foundation!$C$8:$E$696,3,FALSE),"")</f>
        <v>DRY</v>
      </c>
      <c r="L159" s="435" t="str">
        <f>+IF(IFERROR(MATCH(B159,'Erection Compiled'!$C$6:$C$785,0),"B")="B","","E")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+IFERROR(VLOOKUP(B160,Foundation!$C$8:$E$696,3,FALSE),"")</f>
        <v>DRY</v>
      </c>
      <c r="L160" s="435" t="str">
        <f>+IF(IFERROR(MATCH(B160,'Erection Compiled'!$C$6:$C$785,0),"B")="B","","E")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+IFERROR(VLOOKUP(B161,Foundation!$C$8:$E$696,3,FALSE),"")</f>
        <v>Sandy</v>
      </c>
      <c r="L161" s="435" t="str">
        <f>+IF(IFERROR(MATCH(B161,'Erection Compiled'!$C$6:$C$785,0),"B")="B","","E")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+IFERROR(VLOOKUP(B162,Foundation!$C$8:$E$696,3,FALSE),"")</f>
        <v>Sandy</v>
      </c>
      <c r="L162" s="435" t="str">
        <f>+IF(IFERROR(MATCH(B162,'Erection Compiled'!$C$6:$C$785,0),"B")="B","","E")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+IFERROR(VLOOKUP(B163,Foundation!$C$8:$E$696,3,FALSE),"")</f>
        <v>DFR</v>
      </c>
      <c r="L163" s="435" t="str">
        <f>+IF(IFERROR(MATCH(B163,'Erection Compiled'!$C$6:$C$785,0),"B")="B","","E")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+IFERROR(VLOOKUP(B164,Foundation!$C$8:$E$696,3,FALSE),"")</f>
        <v>DRY</v>
      </c>
      <c r="L164" s="435" t="str">
        <f>+IF(IFERROR(MATCH(B164,'Erection Compiled'!$C$6:$C$785,0),"B")="B","","E")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+IFERROR(VLOOKUP(B165,Foundation!$C$8:$E$696,3,FALSE),"")</f>
        <v>DFR</v>
      </c>
      <c r="L165" s="435" t="str">
        <f>+IF(IFERROR(MATCH(B165,'Erection Compiled'!$C$6:$C$785,0),"B")="B","","E")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+IFERROR(VLOOKUP(B166,Foundation!$C$8:$E$696,3,FALSE),"")</f>
        <v>DRY</v>
      </c>
      <c r="L166" s="435" t="str">
        <f>+IF(IFERROR(MATCH(B166,'Erection Compiled'!$C$6:$C$785,0),"B")="B","","E")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+IFERROR(VLOOKUP(B167,Foundation!$C$8:$E$696,3,FALSE),"")</f>
        <v>Sandy</v>
      </c>
      <c r="L167" s="435" t="str">
        <f>+IF(IFERROR(MATCH(B167,'Erection Compiled'!$C$6:$C$785,0),"B")="B","","E")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+IFERROR(VLOOKUP(B168,Foundation!$C$8:$E$696,3,FALSE),"")</f>
        <v>Sandy</v>
      </c>
      <c r="L168" s="435" t="str">
        <f>+IF(IFERROR(MATCH(B168,'Erection Compiled'!$C$6:$C$785,0),"B")="B","","E")</f>
        <v>E</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+IFERROR(VLOOKUP(B169,Foundation!$C$8:$E$696,3,FALSE),"")</f>
        <v>Sandy</v>
      </c>
      <c r="L169" s="435" t="str">
        <f>+IF(IFERROR(MATCH(B169,'Erection Compiled'!$C$6:$C$785,0),"B")="B","","E")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+IFERROR(VLOOKUP(B170,Foundation!$C$8:$E$696,3,FALSE),"")</f>
        <v>DFR</v>
      </c>
      <c r="L170" s="435" t="str">
        <f>+IF(IFERROR(MATCH(B170,'Erection Compiled'!$C$6:$C$785,0),"B")="B","","E")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+IFERROR(VLOOKUP(B171,Foundation!$C$8:$E$696,3,FALSE),"")</f>
        <v>DFR</v>
      </c>
      <c r="L171" s="435" t="str">
        <f>+IF(IFERROR(MATCH(B171,'Erection Compiled'!$C$6:$C$785,0),"B")="B","","E")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+IFERROR(VLOOKUP(B172,Foundation!$C$8:$E$696,3,FALSE),"")</f>
        <v>DFR</v>
      </c>
      <c r="L172" s="435" t="str">
        <f>+IF(IFERROR(MATCH(B172,'Erection Compiled'!$C$6:$C$785,0),"B")="B","","E")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+IFERROR(VLOOKUP(B173,Foundation!$C$8:$E$696,3,FALSE),"")</f>
        <v>DFR</v>
      </c>
      <c r="L173" s="435" t="str">
        <f>+IF(IFERROR(MATCH(B173,'Erection Compiled'!$C$6:$C$785,0),"B")="B","","E")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+IFERROR(VLOOKUP(B174,Foundation!$C$8:$E$696,3,FALSE),"")</f>
        <v>DFR</v>
      </c>
      <c r="L174" s="435" t="str">
        <f>+IF(IFERROR(MATCH(B174,'Erection Compiled'!$C$6:$C$785,0),"B")="B","","E")</f>
        <v>E</v>
      </c>
      <c r="M174" s="435" t="str">
        <f>+IFERROR(VLOOKUP(B174,Tackwelding!$B$6:$G$599,6,FALSE),"")</f>
        <v>Done</v>
      </c>
    </row>
    <row r="175" spans="1:13" x14ac:dyDescent="0.25">
      <c r="A175" s="435">
        <v>169</v>
      </c>
      <c r="B175" s="435" t="s">
        <v>66</v>
      </c>
      <c r="C175" s="435" t="s">
        <v>20</v>
      </c>
      <c r="H175" s="435" t="str">
        <f t="shared" si="2"/>
        <v>,,,</v>
      </c>
      <c r="I175" s="438">
        <v>398.6</v>
      </c>
      <c r="K175" s="435" t="str">
        <f>+IFERROR(VLOOKUP(B175,Foundation!$C$8:$E$696,3,FALSE),"")</f>
        <v>DFR</v>
      </c>
      <c r="L175" s="435" t="str">
        <f>+IF(IFERROR(MATCH(B175,'Erection Compiled'!$C$6:$C$785,0),"B")="B","","E")</f>
        <v>E</v>
      </c>
      <c r="M175" s="435" t="str">
        <f>+IFERROR(VLOOKUP(B175,Tackwelding!$B$6:$G$599,6,FALSE),"")</f>
        <v>Done</v>
      </c>
    </row>
    <row r="176" spans="1:13" x14ac:dyDescent="0.25">
      <c r="A176" s="435">
        <v>170</v>
      </c>
      <c r="B176" s="435" t="s">
        <v>67</v>
      </c>
      <c r="C176" s="435" t="s">
        <v>20</v>
      </c>
      <c r="H176" s="435" t="str">
        <f t="shared" si="2"/>
        <v>,,,</v>
      </c>
      <c r="I176" s="438">
        <v>430.7</v>
      </c>
      <c r="K176" s="435" t="str">
        <f>+IFERROR(VLOOKUP(B176,Foundation!$C$8:$E$696,3,FALSE),"")</f>
        <v>DFR</v>
      </c>
      <c r="L176" s="435" t="str">
        <f>+IF(IFERROR(MATCH(B176,'Erection Compiled'!$C$6:$C$785,0),"B")="B","","E")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+IFERROR(VLOOKUP(B177,Foundation!$C$8:$E$696,3,FALSE),"")</f>
        <v>DRY</v>
      </c>
      <c r="L177" s="435" t="str">
        <f>+IF(IFERROR(MATCH(B177,'Erection Compiled'!$C$6:$C$785,0),"B")="B","","E")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+IFERROR(VLOOKUP(B178,Foundation!$C$8:$E$696,3,FALSE),"")</f>
        <v>Sandy</v>
      </c>
      <c r="L178" s="435" t="str">
        <f>+IF(IFERROR(MATCH(B178,'Erection Compiled'!$C$6:$C$785,0),"B")="B","","E")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+IFERROR(VLOOKUP(B179,Foundation!$C$8:$E$696,3,FALSE),"")</f>
        <v>DFR</v>
      </c>
      <c r="L179" s="435" t="str">
        <f>+IF(IFERROR(MATCH(B179,'Erection Compiled'!$C$6:$C$785,0),"B")="B","","E")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+IFERROR(VLOOKUP(B180,Foundation!$C$8:$E$696,3,FALSE),"")</f>
        <v>DFR</v>
      </c>
      <c r="L180" s="435" t="str">
        <f>+IF(IFERROR(MATCH(B180,'Erection Compiled'!$C$6:$C$785,0),"B")="B","","E")</f>
        <v>E</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+IFERROR(VLOOKUP(B181,Foundation!$C$8:$E$696,3,FALSE),"")</f>
        <v>DFR</v>
      </c>
      <c r="L181" s="435" t="str">
        <f>+IF(IFERROR(MATCH(B181,'Erection Compiled'!$C$6:$C$785,0),"B")="B","","E")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+IFERROR(VLOOKUP(B182,Foundation!$C$8:$E$696,3,FALSE),"")</f>
        <v>DFR</v>
      </c>
      <c r="L182" s="435" t="str">
        <f>+IF(IFERROR(MATCH(B182,'Erection Compiled'!$C$6:$C$785,0),"B")="B","","E")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+IFERROR(VLOOKUP(B183,Foundation!$C$8:$E$696,3,FALSE),"")</f>
        <v>DRY</v>
      </c>
      <c r="L183" s="435" t="str">
        <f>+IF(IFERROR(MATCH(B183,'Erection Compiled'!$C$6:$C$785,0),"B")="B","","E")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+IFERROR(VLOOKUP(B184,Foundation!$C$8:$E$696,3,FALSE),"")</f>
        <v>Sandy</v>
      </c>
      <c r="L184" s="435" t="str">
        <f>+IF(IFERROR(MATCH(B184,'Erection Compiled'!$C$6:$C$785,0),"B")="B","","E")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+IFERROR(VLOOKUP(B185,Foundation!$C$8:$E$696,3,FALSE),"")</f>
        <v>DFR</v>
      </c>
      <c r="L185" s="435" t="str">
        <f>+IF(IFERROR(MATCH(B185,'Erection Compiled'!$C$6:$C$785,0),"B")="B","","E")</f>
        <v>E</v>
      </c>
      <c r="M185" s="435" t="str">
        <f>+IFERROR(VLOOKUP(B185,Tackwelding!$B$6:$G$599,6,FALSE),"")</f>
        <v>Done</v>
      </c>
    </row>
    <row r="186" spans="1:13" x14ac:dyDescent="0.25">
      <c r="A186" s="435">
        <v>180</v>
      </c>
      <c r="B186" s="435" t="s">
        <v>71</v>
      </c>
      <c r="C186" s="435" t="s">
        <v>232</v>
      </c>
      <c r="H186" s="435" t="str">
        <f t="shared" si="2"/>
        <v>,,,</v>
      </c>
      <c r="I186" s="438">
        <v>379.6</v>
      </c>
      <c r="K186" s="435" t="str">
        <f>+IFERROR(VLOOKUP(B186,Foundation!$C$8:$E$696,3,FALSE),"")</f>
        <v>DRY</v>
      </c>
      <c r="L186" s="435" t="str">
        <f>+IF(IFERROR(MATCH(B186,'Erection Compiled'!$C$6:$C$785,0),"B")="B","","E")</f>
        <v>E</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+IFERROR(VLOOKUP(B187,Foundation!$C$8:$E$696,3,FALSE),"")</f>
        <v>DFR</v>
      </c>
      <c r="L187" s="435" t="str">
        <f>+IF(IFERROR(MATCH(B187,'Erection Compiled'!$C$6:$C$785,0),"B")="B","","E")</f>
        <v>E</v>
      </c>
      <c r="M187" s="435" t="str">
        <f>+IFERROR(VLOOKUP(B187,Tackwelding!$B$6:$G$599,6,FALSE),"")</f>
        <v>Done</v>
      </c>
    </row>
    <row r="188" spans="1:13" x14ac:dyDescent="0.25">
      <c r="A188" s="435">
        <v>182</v>
      </c>
      <c r="B188" s="435" t="s">
        <v>73</v>
      </c>
      <c r="C188" s="435" t="s">
        <v>232</v>
      </c>
      <c r="H188" s="435" t="str">
        <f t="shared" si="2"/>
        <v>,,,</v>
      </c>
      <c r="I188" s="438">
        <v>369</v>
      </c>
      <c r="K188" s="435" t="str">
        <f>+IFERROR(VLOOKUP(B188,Foundation!$C$8:$E$696,3,FALSE),"")</f>
        <v>DFR</v>
      </c>
      <c r="L188" s="435" t="str">
        <f>+IF(IFERROR(MATCH(B188,'Erection Compiled'!$C$6:$C$785,0),"B")="B","","E")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+IFERROR(VLOOKUP(B189,Foundation!$C$8:$E$696,3,FALSE),"")</f>
        <v>Sandy</v>
      </c>
      <c r="L189" s="435" t="str">
        <f>+IF(IFERROR(MATCH(B189,'Erection Compiled'!$C$6:$C$785,0),"B")="B","","E")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+IFERROR(VLOOKUP(B190,Foundation!$C$8:$E$696,3,FALSE),"")</f>
        <v>Sandy</v>
      </c>
      <c r="L190" s="435" t="str">
        <f>+IF(IFERROR(MATCH(B190,'Erection Compiled'!$C$6:$C$785,0),"B")="B","","E")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+IFERROR(VLOOKUP(B191,Foundation!$C$8:$E$696,3,FALSE),"")</f>
        <v>Sandy</v>
      </c>
      <c r="L191" s="435" t="str">
        <f>+IF(IFERROR(MATCH(B191,'Erection Compiled'!$C$6:$C$785,0),"B")="B","","E")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+IFERROR(VLOOKUP(B192,Foundation!$C$8:$E$696,3,FALSE),"")</f>
        <v>Sandy</v>
      </c>
      <c r="L192" s="435" t="str">
        <f>+IF(IFERROR(MATCH(B192,'Erection Compiled'!$C$6:$C$785,0),"B")="B","","E")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+IFERROR(VLOOKUP(B193,Foundation!$C$8:$E$696,3,FALSE),"")</f>
        <v>Sandy</v>
      </c>
      <c r="L193" s="435" t="str">
        <f>+IF(IFERROR(MATCH(B193,'Erection Compiled'!$C$6:$C$785,0),"B")="B","","E")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+IFERROR(VLOOKUP(B194,Foundation!$C$8:$E$696,3,FALSE),"")</f>
        <v>DRY</v>
      </c>
      <c r="L194" s="435" t="str">
        <f>+IF(IFERROR(MATCH(B194,'Erection Compiled'!$C$6:$C$785,0),"B")="B","","E")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+IFERROR(VLOOKUP(B195,Foundation!$C$8:$E$696,3,FALSE),"")</f>
        <v>DRY</v>
      </c>
      <c r="L195" s="435" t="str">
        <f>+IF(IFERROR(MATCH(B195,'Erection Compiled'!$C$6:$C$785,0),"B")="B","","E")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+IFERROR(VLOOKUP(B196,Foundation!$C$8:$E$696,3,FALSE),"")</f>
        <v>DRY</v>
      </c>
      <c r="L196" s="435" t="str">
        <f>+IF(IFERROR(MATCH(B196,'Erection Compiled'!$C$6:$C$785,0),"B")="B","","E")</f>
        <v>E</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+IFERROR(VLOOKUP(B197,Foundation!$C$8:$E$696,3,FALSE),"")</f>
        <v>Sandy</v>
      </c>
      <c r="L197" s="435" t="str">
        <f>+IF(IFERROR(MATCH(B197,'Erection Compiled'!$C$6:$C$785,0),"B")="B","","E")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+IFERROR(VLOOKUP(B198,Foundation!$C$8:$E$696,3,FALSE),"")</f>
        <v>DRY</v>
      </c>
      <c r="L198" s="435" t="str">
        <f>+IF(IFERROR(MATCH(B198,'Erection Compiled'!$C$6:$C$785,0),"B")="B","","E")</f>
        <v>E</v>
      </c>
      <c r="M198" s="435" t="str">
        <f>+IFERROR(VLOOKUP(B198,Tackwelding!$B$6:$G$599,6,FALSE),"")</f>
        <v>Done</v>
      </c>
    </row>
    <row r="199" spans="1:13" x14ac:dyDescent="0.25">
      <c r="A199" s="435">
        <v>193</v>
      </c>
      <c r="B199" s="435" t="s">
        <v>26</v>
      </c>
      <c r="C199" s="435" t="s">
        <v>240</v>
      </c>
      <c r="H199" s="435" t="str">
        <f t="shared" si="2"/>
        <v>,,,</v>
      </c>
      <c r="I199" s="438">
        <v>382.1</v>
      </c>
      <c r="K199" s="435" t="str">
        <f>+IFERROR(VLOOKUP(B199,Foundation!$C$8:$E$696,3,FALSE),"")</f>
        <v>DRY</v>
      </c>
      <c r="L199" s="435" t="str">
        <f>+IF(IFERROR(MATCH(B199,'Erection Compiled'!$C$6:$C$785,0),"B")="B","","E")</f>
        <v>E</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+IFERROR(VLOOKUP(B200,Foundation!$C$8:$E$696,3,FALSE),"")</f>
        <v>Sandy</v>
      </c>
      <c r="L200" s="435" t="str">
        <f>+IF(IFERROR(MATCH(B200,'Erection Compiled'!$C$6:$C$785,0),"B")="B","","E")</f>
        <v>E</v>
      </c>
      <c r="M200" s="435" t="str">
        <f>+IFERROR(VLOOKUP(B200,Tackwelding!$B$6:$G$599,6,FALSE),"")</f>
        <v>Done</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+IFERROR(VLOOKUP(B201,Foundation!$C$8:$E$696,3,FALSE),"")</f>
        <v>Sandy</v>
      </c>
      <c r="L201" s="435" t="str">
        <f>+IF(IFERROR(MATCH(B201,'Erection Compiled'!$C$6:$C$785,0),"B")="B","","E")</f>
        <v>E</v>
      </c>
      <c r="M201" s="435" t="str">
        <f>+IFERROR(VLOOKUP(B201,Tackwelding!$B$6:$G$599,6,FALSE),"")</f>
        <v>Done</v>
      </c>
    </row>
    <row r="202" spans="1:13" x14ac:dyDescent="0.25">
      <c r="A202" s="435">
        <v>196</v>
      </c>
      <c r="B202" s="435" t="s">
        <v>201</v>
      </c>
      <c r="C202" s="435" t="s">
        <v>20</v>
      </c>
      <c r="D202" s="435">
        <v>1</v>
      </c>
      <c r="E202" s="435">
        <v>2</v>
      </c>
      <c r="H202" s="435" t="str">
        <f t="shared" si="3"/>
        <v>1,2,,</v>
      </c>
      <c r="I202" s="438">
        <v>395</v>
      </c>
      <c r="K202" s="435" t="str">
        <f>+IFERROR(VLOOKUP(B202,Foundation!$C$8:$E$696,3,FALSE),"")</f>
        <v>Sandy</v>
      </c>
      <c r="L202" s="435" t="str">
        <f>+IF(IFERROR(MATCH(B202,'Erection Compiled'!$C$6:$C$785,0),"B")="B","","E")</f>
        <v>E</v>
      </c>
      <c r="M202" s="435" t="str">
        <f>+IFERROR(VLOOKUP(B202,Tackwelding!$B$6:$G$599,6,FALSE),"")</f>
        <v>Done</v>
      </c>
    </row>
    <row r="203" spans="1:13" x14ac:dyDescent="0.25">
      <c r="A203" s="435">
        <v>197</v>
      </c>
      <c r="B203" s="435" t="s">
        <v>202</v>
      </c>
      <c r="C203" s="435" t="s">
        <v>20</v>
      </c>
      <c r="H203" s="435" t="str">
        <f t="shared" si="3"/>
        <v>,,,</v>
      </c>
      <c r="I203" s="438">
        <v>387</v>
      </c>
      <c r="K203" s="435" t="str">
        <f>+IFERROR(VLOOKUP(B203,Foundation!$C$8:$E$696,3,FALSE),"")</f>
        <v>DRY</v>
      </c>
      <c r="L203" s="435" t="str">
        <f>+IF(IFERROR(MATCH(B203,'Erection Compiled'!$C$6:$C$785,0),"B")="B","","E")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+IFERROR(VLOOKUP(B204,Foundation!$C$8:$E$696,3,FALSE),"")</f>
        <v>DRY</v>
      </c>
      <c r="L204" s="435" t="str">
        <f>+IF(IFERROR(MATCH(B204,'Erection Compiled'!$C$6:$C$785,0),"B")="B","","E")</f>
        <v>E</v>
      </c>
      <c r="M204" s="435" t="str">
        <f>+IFERROR(VLOOKUP(B204,Tackwelding!$B$6:$G$599,6,FALSE),"")</f>
        <v>Done</v>
      </c>
    </row>
    <row r="205" spans="1:13" x14ac:dyDescent="0.25">
      <c r="A205" s="435">
        <v>199</v>
      </c>
      <c r="B205" s="435" t="s">
        <v>204</v>
      </c>
      <c r="C205" s="435" t="s">
        <v>232</v>
      </c>
      <c r="H205" s="435" t="str">
        <f t="shared" si="3"/>
        <v>,,,</v>
      </c>
      <c r="I205" s="438">
        <v>314</v>
      </c>
      <c r="K205" s="435" t="str">
        <f>+IFERROR(VLOOKUP(B205,Foundation!$C$8:$E$696,3,FALSE),"")</f>
        <v>DRY</v>
      </c>
      <c r="L205" s="435" t="str">
        <f>+IF(IFERROR(MATCH(B205,'Erection Compiled'!$C$6:$C$785,0),"B")="B","","E")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+IFERROR(VLOOKUP(B206,Foundation!$C$8:$E$696,3,FALSE),"")</f>
        <v>Sandy</v>
      </c>
      <c r="L206" s="435" t="str">
        <f>+IF(IFERROR(MATCH(B206,'Erection Compiled'!$C$6:$C$785,0),"B")="B","","E")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+IFERROR(VLOOKUP(B207,Foundation!$C$8:$E$696,3,FALSE),"")</f>
        <v>DRY</v>
      </c>
      <c r="L207" s="435" t="str">
        <f>+IF(IFERROR(MATCH(B207,'Erection Compiled'!$C$6:$C$785,0),"B")="B","","E")</f>
        <v>E</v>
      </c>
      <c r="M207" s="435" t="str">
        <f>+IFERROR(VLOOKUP(B207,Tackwelding!$B$6:$G$599,6,FALSE),"")</f>
        <v>Done</v>
      </c>
    </row>
    <row r="208" spans="1:13" x14ac:dyDescent="0.25">
      <c r="A208" s="435">
        <v>202</v>
      </c>
      <c r="B208" s="435" t="s">
        <v>79</v>
      </c>
      <c r="C208" s="435" t="s">
        <v>232</v>
      </c>
      <c r="H208" s="435" t="str">
        <f t="shared" si="3"/>
        <v>,,,</v>
      </c>
      <c r="I208" s="438">
        <v>366</v>
      </c>
      <c r="K208" s="435" t="str">
        <f>+IFERROR(VLOOKUP(B208,Foundation!$C$8:$E$696,3,FALSE),"")</f>
        <v>DRY</v>
      </c>
      <c r="L208" s="435" t="str">
        <f>+IF(IFERROR(MATCH(B208,'Erection Compiled'!$C$6:$C$785,0),"B")="B","","E")</f>
        <v>E</v>
      </c>
      <c r="M208" s="435" t="str">
        <f>+IFERROR(VLOOKUP(B208,Tackwelding!$B$6:$G$599,6,FALSE),"")</f>
        <v>Done</v>
      </c>
    </row>
    <row r="209" spans="1:13" x14ac:dyDescent="0.25">
      <c r="A209" s="435">
        <v>203</v>
      </c>
      <c r="B209" s="435" t="s">
        <v>80</v>
      </c>
      <c r="C209" s="435" t="s">
        <v>240</v>
      </c>
      <c r="H209" s="435" t="str">
        <f t="shared" si="3"/>
        <v>,,,</v>
      </c>
      <c r="I209" s="438">
        <v>332.9</v>
      </c>
      <c r="K209" s="435" t="str">
        <f>+IFERROR(VLOOKUP(B209,Foundation!$C$8:$E$696,3,FALSE),"")</f>
        <v>DRY</v>
      </c>
      <c r="L209" s="435" t="str">
        <f>+IF(IFERROR(MATCH(B209,'Erection Compiled'!$C$6:$C$785,0),"B")="B","","E")</f>
        <v>E</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+IFERROR(VLOOKUP(B210,Foundation!$C$8:$E$696,3,FALSE),"")</f>
        <v>Sandy</v>
      </c>
      <c r="L210" s="435" t="str">
        <f>+IF(IFERROR(MATCH(B210,'Erection Compiled'!$C$6:$C$785,0),"B")="B","","E")</f>
        <v>E</v>
      </c>
      <c r="M210" s="435" t="str">
        <f>+IFERROR(VLOOKUP(B210,Tackwelding!$B$6:$G$599,6,FALSE),"")</f>
        <v>Done</v>
      </c>
    </row>
    <row r="211" spans="1:13" x14ac:dyDescent="0.25">
      <c r="A211" s="435">
        <v>205</v>
      </c>
      <c r="B211" s="435" t="s">
        <v>82</v>
      </c>
      <c r="C211" s="435" t="s">
        <v>20</v>
      </c>
      <c r="H211" s="435" t="str">
        <f t="shared" si="3"/>
        <v>,,,</v>
      </c>
      <c r="I211" s="438">
        <v>428.8</v>
      </c>
      <c r="K211" s="435" t="str">
        <f>+IFERROR(VLOOKUP(B211,Foundation!$C$8:$E$696,3,FALSE),"")</f>
        <v>DRY</v>
      </c>
      <c r="L211" s="435" t="str">
        <f>+IF(IFERROR(MATCH(B211,'Erection Compiled'!$C$6:$C$785,0),"B")="B","","E")</f>
        <v>E</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+IFERROR(VLOOKUP(B212,Foundation!$C$8:$E$696,3,FALSE),"")</f>
        <v>Sandy</v>
      </c>
      <c r="L212" s="435" t="str">
        <f>+IF(IFERROR(MATCH(B212,'Erection Compiled'!$C$6:$C$785,0),"B")="B","","E")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+IFERROR(VLOOKUP(B213,Foundation!$C$8:$E$696,3,FALSE),"")</f>
        <v>Sandy</v>
      </c>
      <c r="L213" s="435" t="str">
        <f>+IF(IFERROR(MATCH(B213,'Erection Compiled'!$C$6:$C$785,0),"B")="B","","E")</f>
        <v>E</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+IFERROR(VLOOKUP(B214,Foundation!$C$8:$E$696,3,FALSE),"")</f>
        <v>DRY</v>
      </c>
      <c r="L214" s="435" t="str">
        <f>+IF(IFERROR(MATCH(B214,'Erection Compiled'!$C$6:$C$785,0),"B")="B","","E")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+IFERROR(VLOOKUP(B215,Foundation!$C$8:$E$696,3,FALSE),"")</f>
        <v>DRY</v>
      </c>
      <c r="L215" s="435" t="str">
        <f>+IF(IFERROR(MATCH(B215,'Erection Compiled'!$C$6:$C$785,0),"B")="B","","E")</f>
        <v>E</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+IFERROR(VLOOKUP(B216,Foundation!$C$8:$E$696,3,FALSE),"")</f>
        <v>DRY</v>
      </c>
      <c r="L216" s="435" t="str">
        <f>+IF(IFERROR(MATCH(B216,'Erection Compiled'!$C$6:$C$785,0),"B")="B","","E")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+IFERROR(VLOOKUP(B217,Foundation!$C$8:$E$696,3,FALSE),"")</f>
        <v>Sandy</v>
      </c>
      <c r="L217" s="435" t="str">
        <f>+IF(IFERROR(MATCH(B217,'Erection Compiled'!$C$6:$C$785,0),"B")="B","","E")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+IFERROR(VLOOKUP(B218,Foundation!$C$8:$E$696,3,FALSE),"")</f>
        <v>Sandy</v>
      </c>
      <c r="L218" s="435" t="str">
        <f>+IF(IFERROR(MATCH(B218,'Erection Compiled'!$C$6:$C$785,0),"B")="B","","E")</f>
        <v>E</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+IFERROR(VLOOKUP(B219,Foundation!$C$8:$E$696,3,FALSE),"")</f>
        <v>Sandy</v>
      </c>
      <c r="L219" s="435" t="str">
        <f>+IF(IFERROR(MATCH(B219,'Erection Compiled'!$C$6:$C$785,0),"B")="B","","E")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+IFERROR(VLOOKUP(B220,Foundation!$C$8:$E$696,3,FALSE),"")</f>
        <v>Sandy</v>
      </c>
      <c r="L220" s="435" t="str">
        <f>+IF(IFERROR(MATCH(B220,'Erection Compiled'!$C$6:$C$785,0),"B")="B","","E")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+IFERROR(VLOOKUP(B221,Foundation!$C$8:$E$696,3,FALSE),"")</f>
        <v>Sandy</v>
      </c>
      <c r="L221" s="435" t="str">
        <f>+IF(IFERROR(MATCH(B221,'Erection Compiled'!$C$6:$C$785,0),"B")="B","","E")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+IFERROR(VLOOKUP(B222,Foundation!$C$8:$E$696,3,FALSE),"")</f>
        <v>Sandy</v>
      </c>
      <c r="L222" s="435" t="str">
        <f>+IF(IFERROR(MATCH(B222,'Erection Compiled'!$C$6:$C$785,0),"B")="B","","E")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+IFERROR(VLOOKUP(B223,Foundation!$C$8:$E$696,3,FALSE),"")</f>
        <v>Sandy</v>
      </c>
      <c r="L223" s="435" t="str">
        <f>+IF(IFERROR(MATCH(B223,'Erection Compiled'!$C$6:$C$785,0),"B")="B","","E")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+IFERROR(VLOOKUP(B224,Foundation!$C$8:$E$696,3,FALSE),"")</f>
        <v>Sandy</v>
      </c>
      <c r="L224" s="435" t="str">
        <f>+IF(IFERROR(MATCH(B224,'Erection Compiled'!$C$6:$C$785,0),"B")="B","","E")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+IFERROR(VLOOKUP(B225,Foundation!$C$8:$E$696,3,FALSE),"")</f>
        <v>DRY</v>
      </c>
      <c r="L225" s="435" t="str">
        <f>+IF(IFERROR(MATCH(B225,'Erection Compiled'!$C$6:$C$785,0),"B")="B","","E")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+IFERROR(VLOOKUP(B226,Foundation!$C$8:$E$696,3,FALSE),"")</f>
        <v>Sandy</v>
      </c>
      <c r="L226" s="435" t="str">
        <f>+IF(IFERROR(MATCH(B226,'Erection Compiled'!$C$6:$C$785,0),"B")="B","","E")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+IFERROR(VLOOKUP(B227,Foundation!$C$8:$E$696,3,FALSE),"")</f>
        <v>Sandy</v>
      </c>
      <c r="L227" s="435" t="str">
        <f>+IF(IFERROR(MATCH(B227,'Erection Compiled'!$C$6:$C$785,0),"B")="B","","E")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+IFERROR(VLOOKUP(B228,Foundation!$C$8:$E$696,3,FALSE),"")</f>
        <v>Sandy</v>
      </c>
      <c r="L228" s="435" t="str">
        <f>+IF(IFERROR(MATCH(B228,'Erection Compiled'!$C$6:$C$785,0),"B")="B","","E")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+IFERROR(VLOOKUP(B229,Foundation!$C$8:$E$696,3,FALSE),"")</f>
        <v>Sandy</v>
      </c>
      <c r="L229" s="435" t="str">
        <f>+IF(IFERROR(MATCH(B229,'Erection Compiled'!$C$6:$C$785,0),"B")="B","","E")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+IFERROR(VLOOKUP(B230,Foundation!$C$8:$E$696,3,FALSE),"")</f>
        <v>Sandy</v>
      </c>
      <c r="L230" s="435" t="str">
        <f>+IF(IFERROR(MATCH(B230,'Erection Compiled'!$C$6:$C$785,0),"B")="B","","E")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+IFERROR(VLOOKUP(B231,Foundation!$C$8:$E$696,3,FALSE),"")</f>
        <v>Sandy</v>
      </c>
      <c r="L231" s="435" t="str">
        <f>+IF(IFERROR(MATCH(B231,'Erection Compiled'!$C$6:$C$785,0),"B")="B","","E")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+IFERROR(VLOOKUP(B232,Foundation!$C$8:$E$696,3,FALSE),"")</f>
        <v>Sandy</v>
      </c>
      <c r="L232" s="435" t="str">
        <f>+IF(IFERROR(MATCH(B232,'Erection Compiled'!$C$6:$C$785,0),"B")="B","","E")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+IFERROR(VLOOKUP(B233,Foundation!$C$8:$E$696,3,FALSE),"")</f>
        <v>Sandy</v>
      </c>
      <c r="L233" s="435" t="str">
        <f>+IF(IFERROR(MATCH(B233,'Erection Compiled'!$C$6:$C$785,0),"B")="B","","E")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+IFERROR(VLOOKUP(B234,Foundation!$C$8:$E$696,3,FALSE),"")</f>
        <v>Sandy</v>
      </c>
      <c r="L234" s="435" t="str">
        <f>+IF(IFERROR(MATCH(B234,'Erection Compiled'!$C$6:$C$785,0),"B")="B","","E")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+IFERROR(VLOOKUP(B235,Foundation!$C$8:$E$696,3,FALSE),"")</f>
        <v>Sandy</v>
      </c>
      <c r="L235" s="435" t="str">
        <f>+IF(IFERROR(MATCH(B235,'Erection Compiled'!$C$6:$C$785,0),"B")="B","","E")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+IFERROR(VLOOKUP(B236,Foundation!$C$8:$E$696,3,FALSE),"")</f>
        <v>Sandy</v>
      </c>
      <c r="L236" s="435" t="str">
        <f>+IF(IFERROR(MATCH(B236,'Erection Compiled'!$C$6:$C$785,0),"B")="B","","E")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+IFERROR(VLOOKUP(B237,Foundation!$C$8:$E$696,3,FALSE),"")</f>
        <v>Sandy</v>
      </c>
      <c r="L237" s="435" t="str">
        <f>+IF(IFERROR(MATCH(B237,'Erection Compiled'!$C$6:$C$785,0),"B")="B","","E")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+IFERROR(VLOOKUP(B238,Foundation!$C$8:$E$696,3,FALSE),"")</f>
        <v>Sandy</v>
      </c>
      <c r="L238" s="435" t="str">
        <f>+IF(IFERROR(MATCH(B238,'Erection Compiled'!$C$6:$C$785,0),"B")="B","","E")</f>
        <v>E</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+IFERROR(VLOOKUP(B239,Foundation!$C$8:$E$696,3,FALSE),"")</f>
        <v>Sandy</v>
      </c>
      <c r="L239" s="435" t="str">
        <f>+IF(IFERROR(MATCH(B239,'Erection Compiled'!$C$6:$C$785,0),"B")="B","","E")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+IFERROR(VLOOKUP(B240,Foundation!$C$8:$E$696,3,FALSE),"")</f>
        <v>Sandy</v>
      </c>
      <c r="L240" s="435" t="str">
        <f>+IF(IFERROR(MATCH(B240,'Erection Compiled'!$C$6:$C$785,0),"B")="B","","E")</f>
        <v>E</v>
      </c>
      <c r="M240" s="435" t="str">
        <f>+IFERROR(VLOOKUP(B240,Tackwelding!$B$6:$G$599,6,FALSE),"")</f>
        <v>Done</v>
      </c>
    </row>
    <row r="241" spans="1:13" x14ac:dyDescent="0.25">
      <c r="A241" s="435">
        <v>235</v>
      </c>
      <c r="B241" s="435" t="s">
        <v>541</v>
      </c>
      <c r="C241" s="435" t="s">
        <v>235</v>
      </c>
      <c r="H241" s="435" t="str">
        <f t="shared" si="3"/>
        <v>,,,</v>
      </c>
      <c r="I241" s="438">
        <v>425.5</v>
      </c>
      <c r="K241" s="435" t="str">
        <f>+IFERROR(VLOOKUP(B241,Foundation!$C$8:$E$696,3,FALSE),"")</f>
        <v>Sandy</v>
      </c>
      <c r="L241" s="435" t="str">
        <f>+IF(IFERROR(MATCH(B241,'Erection Compiled'!$C$6:$C$785,0),"B")="B","","E")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+IFERROR(VLOOKUP(B242,Foundation!$C$8:$E$696,3,FALSE),"")</f>
        <v>Sandy</v>
      </c>
      <c r="L242" s="435" t="str">
        <f>+IF(IFERROR(MATCH(B242,'Erection Compiled'!$C$6:$C$785,0),"B")="B","","E")</f>
        <v>E</v>
      </c>
      <c r="M242" s="435" t="str">
        <f>+IFERROR(VLOOKUP(B242,Tackwelding!$B$6:$G$599,6,FALSE),"")</f>
        <v>Done</v>
      </c>
    </row>
    <row r="243" spans="1:13" x14ac:dyDescent="0.25">
      <c r="A243" s="435">
        <v>237</v>
      </c>
      <c r="B243" s="435" t="s">
        <v>543</v>
      </c>
      <c r="C243" s="435" t="s">
        <v>245</v>
      </c>
      <c r="D243" s="435">
        <v>1</v>
      </c>
      <c r="E243" s="435">
        <v>1</v>
      </c>
      <c r="H243" s="435" t="str">
        <f t="shared" si="3"/>
        <v>1,1,,</v>
      </c>
      <c r="I243" s="438">
        <v>322.61</v>
      </c>
      <c r="K243" s="435" t="str">
        <f>+IFERROR(VLOOKUP(B243,Foundation!$C$8:$E$696,3,FALSE),"")</f>
        <v>Sandy</v>
      </c>
      <c r="L243" s="435" t="str">
        <f>+IF(IFERROR(MATCH(B243,'Erection Compiled'!$C$6:$C$785,0),"B")="B","","E")</f>
        <v>E</v>
      </c>
      <c r="M243" s="435" t="str">
        <f>+IFERROR(VLOOKUP(B243,Tackwelding!$B$6:$G$599,6,FALSE),"")</f>
        <v>Done</v>
      </c>
    </row>
    <row r="244" spans="1:13" x14ac:dyDescent="0.25">
      <c r="A244" s="435">
        <v>238</v>
      </c>
      <c r="B244" s="435" t="s">
        <v>553</v>
      </c>
      <c r="C244" s="435" t="s">
        <v>233</v>
      </c>
      <c r="D244" s="435">
        <v>1</v>
      </c>
      <c r="E244" s="435">
        <v>2</v>
      </c>
      <c r="H244" s="435" t="str">
        <f t="shared" si="3"/>
        <v>1,2,,</v>
      </c>
      <c r="I244" s="438">
        <v>396.2</v>
      </c>
      <c r="K244" s="435" t="str">
        <f>+IFERROR(VLOOKUP(B244,Foundation!$C$8:$E$696,3,FALSE),"")</f>
        <v>Sandy</v>
      </c>
      <c r="L244" s="435" t="str">
        <f>+IF(IFERROR(MATCH(B244,'Erection Compiled'!$C$6:$C$785,0),"B")="B","","E")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+IFERROR(VLOOKUP(B245,Foundation!$C$8:$E$696,3,FALSE),"")</f>
        <v>Sandy</v>
      </c>
      <c r="L245" s="435" t="str">
        <f>+IF(IFERROR(MATCH(B245,'Erection Compiled'!$C$6:$C$785,0),"B")="B","","E")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+IFERROR(VLOOKUP(B246,Foundation!$C$8:$E$696,3,FALSE),"")</f>
        <v>Sandy</v>
      </c>
      <c r="L246" s="435" t="str">
        <f>+IF(IFERROR(MATCH(B246,'Erection Compiled'!$C$6:$C$785,0),"B")="B","","E")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+IFERROR(VLOOKUP(B247,Foundation!$C$8:$E$696,3,FALSE),"")</f>
        <v>Sandy</v>
      </c>
      <c r="L247" s="435" t="str">
        <f>+IF(IFERROR(MATCH(B247,'Erection Compiled'!$C$6:$C$785,0),"B")="B","","E")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+IFERROR(VLOOKUP(B248,Foundation!$C$8:$E$696,3,FALSE),"")</f>
        <v>Sandy</v>
      </c>
      <c r="L248" s="435" t="str">
        <f>+IF(IFERROR(MATCH(B248,'Erection Compiled'!$C$6:$C$785,0),"B")="B","","E")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+IFERROR(VLOOKUP(B249,Foundation!$C$8:$E$696,3,FALSE),"")</f>
        <v>Sandy</v>
      </c>
      <c r="L249" s="435" t="str">
        <f>+IF(IFERROR(MATCH(B249,'Erection Compiled'!$C$6:$C$785,0),"B")="B","","E")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+IFERROR(VLOOKUP(B250,Foundation!$C$8:$E$696,3,FALSE),"")</f>
        <v>Sandy</v>
      </c>
      <c r="L250" s="435" t="str">
        <f>+IF(IFERROR(MATCH(B250,'Erection Compiled'!$C$6:$C$785,0),"B")="B","","E")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+IFERROR(VLOOKUP(B251,Foundation!$C$8:$E$696,3,FALSE),"")</f>
        <v>Sandy</v>
      </c>
      <c r="L251" s="435" t="str">
        <f>+IF(IFERROR(MATCH(B251,'Erection Compiled'!$C$6:$C$785,0),"B")="B","","E")</f>
        <v>E</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+IFERROR(VLOOKUP(B252,Foundation!$C$8:$E$696,3,FALSE),"")</f>
        <v>Sandy</v>
      </c>
      <c r="L252" s="435" t="str">
        <f>+IF(IFERROR(MATCH(B252,'Erection Compiled'!$C$6:$C$785,0),"B")="B","","E")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+IFERROR(VLOOKUP(B253,Foundation!$C$8:$E$696,3,FALSE),"")</f>
        <v>Sandy</v>
      </c>
      <c r="L253" s="435" t="str">
        <f>+IF(IFERROR(MATCH(B253,'Erection Compiled'!$C$6:$C$785,0),"B")="B","","E")</f>
        <v>E</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+IFERROR(VLOOKUP(B254,Foundation!$C$8:$E$696,3,FALSE),"")</f>
        <v>Sandy</v>
      </c>
      <c r="L254" s="435" t="str">
        <f>+IF(IFERROR(MATCH(B254,'Erection Compiled'!$C$6:$C$785,0),"B")="B","","E")</f>
        <v>E</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+IFERROR(VLOOKUP(B255,Foundation!$C$8:$E$696,3,FALSE),"")</f>
        <v>Sandy</v>
      </c>
      <c r="L255" s="435" t="str">
        <f>+IF(IFERROR(MATCH(B255,'Erection Compiled'!$C$6:$C$785,0),"B")="B","","E")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+IFERROR(VLOOKUP(B256,Foundation!$C$8:$E$696,3,FALSE),"")</f>
        <v>Sandy</v>
      </c>
      <c r="L256" s="435" t="str">
        <f>+IF(IFERROR(MATCH(B256,'Erection Compiled'!$C$6:$C$785,0),"B")="B","","E")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+IFERROR(VLOOKUP(B257,Foundation!$C$8:$E$696,3,FALSE),"")</f>
        <v>Sandy</v>
      </c>
      <c r="L257" s="435" t="str">
        <f>+IF(IFERROR(MATCH(B257,'Erection Compiled'!$C$6:$C$785,0),"B")="B","","E")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+IFERROR(VLOOKUP(B258,Foundation!$C$8:$E$696,3,FALSE),"")</f>
        <v>Sandy</v>
      </c>
      <c r="L258" s="435" t="str">
        <f>+IF(IFERROR(MATCH(B258,'Erection Compiled'!$C$6:$C$785,0),"B")="B","","E")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+IFERROR(VLOOKUP(B259,Foundation!$C$8:$E$696,3,FALSE),"")</f>
        <v>Sandy</v>
      </c>
      <c r="L259" s="435" t="str">
        <f>+IF(IFERROR(MATCH(B259,'Erection Compiled'!$C$6:$C$785,0),"B")="B","","E")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+IFERROR(VLOOKUP(B260,Foundation!$C$8:$E$696,3,FALSE),"")</f>
        <v>DRY</v>
      </c>
      <c r="L260" s="435" t="str">
        <f>+IF(IFERROR(MATCH(B260,'Erection Compiled'!$C$6:$C$785,0),"B")="B","","E")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+IFERROR(VLOOKUP(B261,Foundation!$C$8:$E$696,3,FALSE),"")</f>
        <v>Sandy</v>
      </c>
      <c r="L261" s="435" t="str">
        <f>+IF(IFERROR(MATCH(B261,'Erection Compiled'!$C$6:$C$785,0),"B")="B","","E")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+IFERROR(VLOOKUP(B262,Foundation!$C$8:$E$696,3,FALSE),"")</f>
        <v>DRY</v>
      </c>
      <c r="L262" s="435" t="str">
        <f>+IF(IFERROR(MATCH(B262,'Erection Compiled'!$C$6:$C$785,0),"B")="B","","E")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+IFERROR(VLOOKUP(B263,Foundation!$C$8:$E$696,3,FALSE),"")</f>
        <v>Sandy</v>
      </c>
      <c r="L263" s="435" t="str">
        <f>+IF(IFERROR(MATCH(B263,'Erection Compiled'!$C$6:$C$785,0),"B")="B","","E")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+IFERROR(VLOOKUP(B264,Foundation!$C$8:$E$696,3,FALSE),"")</f>
        <v>Sandy</v>
      </c>
      <c r="L264" s="435" t="str">
        <f>+IF(IFERROR(MATCH(B264,'Erection Compiled'!$C$6:$C$785,0),"B")="B","","E")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+IFERROR(VLOOKUP(B265,Foundation!$C$8:$E$696,3,FALSE),"")</f>
        <v>Sandy</v>
      </c>
      <c r="L265" s="435" t="str">
        <f>+IF(IFERROR(MATCH(B265,'Erection Compiled'!$C$6:$C$785,0),"B")="B","","E")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+IFERROR(VLOOKUP(B266,Foundation!$C$8:$E$696,3,FALSE),"")</f>
        <v>Sandy</v>
      </c>
      <c r="L266" s="435" t="str">
        <f>+IF(IFERROR(MATCH(B266,'Erection Compiled'!$C$6:$C$785,0),"B")="B","","E")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+IFERROR(VLOOKUP(B267,Foundation!$C$8:$E$696,3,FALSE),"")</f>
        <v>Sandy</v>
      </c>
      <c r="L267" s="435" t="str">
        <f>+IF(IFERROR(MATCH(B267,'Erection Compiled'!$C$6:$C$785,0),"B")="B","","E")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+IFERROR(VLOOKUP(B268,Foundation!$C$8:$E$696,3,FALSE),"")</f>
        <v>Sandy</v>
      </c>
      <c r="L268" s="435" t="str">
        <f>+IF(IFERROR(MATCH(B268,'Erection Compiled'!$C$6:$C$785,0),"B")="B","","E")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+IFERROR(VLOOKUP(B269,Foundation!$C$8:$E$696,3,FALSE),"")</f>
        <v>Sandy</v>
      </c>
      <c r="L269" s="435" t="str">
        <f>+IF(IFERROR(MATCH(B269,'Erection Compiled'!$C$6:$C$785,0),"B")="B","","E")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+IFERROR(VLOOKUP(B270,Foundation!$C$8:$E$696,3,FALSE),"")</f>
        <v>Sandy</v>
      </c>
      <c r="L270" s="435" t="str">
        <f>+IF(IFERROR(MATCH(B270,'Erection Compiled'!$C$6:$C$785,0),"B")="B","","E")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+IFERROR(VLOOKUP(B271,Foundation!$C$8:$E$696,3,FALSE),"")</f>
        <v>Sandy</v>
      </c>
      <c r="L271" s="435" t="str">
        <f>+IF(IFERROR(MATCH(B271,'Erection Compiled'!$C$6:$C$785,0),"B")="B","","E")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+IFERROR(VLOOKUP(B272,Foundation!$C$8:$E$696,3,FALSE),"")</f>
        <v>Sandy</v>
      </c>
      <c r="L272" s="435" t="str">
        <f>+IF(IFERROR(MATCH(B272,'Erection Compiled'!$C$6:$C$785,0),"B")="B","","E")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+IFERROR(VLOOKUP(B273,Foundation!$C$8:$E$696,3,FALSE),"")</f>
        <v>Sandy</v>
      </c>
      <c r="L273" s="435" t="str">
        <f>+IF(IFERROR(MATCH(B273,'Erection Compiled'!$C$6:$C$785,0),"B")="B","","E")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+IFERROR(VLOOKUP(B274,Foundation!$C$8:$E$696,3,FALSE),"")</f>
        <v>Sandy</v>
      </c>
      <c r="L274" s="435" t="str">
        <f>+IF(IFERROR(MATCH(B274,'Erection Compiled'!$C$6:$C$785,0),"B")="B","","E")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+IFERROR(VLOOKUP(B275,Foundation!$C$8:$E$696,3,FALSE),"")</f>
        <v>Sandy</v>
      </c>
      <c r="L275" s="435" t="str">
        <f>+IF(IFERROR(MATCH(B275,'Erection Compiled'!$C$6:$C$785,0),"B")="B","","E")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+IFERROR(VLOOKUP(B276,Foundation!$C$8:$E$696,3,FALSE),"")</f>
        <v>Sandy</v>
      </c>
      <c r="L276" s="435" t="str">
        <f>+IF(IFERROR(MATCH(B276,'Erection Compiled'!$C$6:$C$785,0),"B")="B","","E")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+IFERROR(VLOOKUP(B277,Foundation!$C$8:$E$696,3,FALSE),"")</f>
        <v>Sandy</v>
      </c>
      <c r="L277" s="435" t="str">
        <f>+IF(IFERROR(MATCH(B277,'Erection Compiled'!$C$6:$C$785,0),"B")="B","","E")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+IFERROR(VLOOKUP(B278,Foundation!$C$8:$E$696,3,FALSE),"")</f>
        <v>Sandy</v>
      </c>
      <c r="L278" s="435" t="str">
        <f>+IF(IFERROR(MATCH(B278,'Erection Compiled'!$C$6:$C$785,0),"B")="B","","E")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+IFERROR(VLOOKUP(B279,Foundation!$C$8:$E$696,3,FALSE),"")</f>
        <v>Sandy</v>
      </c>
      <c r="L279" s="435" t="str">
        <f>+IF(IFERROR(MATCH(B279,'Erection Compiled'!$C$6:$C$785,0),"B")="B","","E")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+IFERROR(VLOOKUP(B280,Foundation!$C$8:$E$696,3,FALSE),"")</f>
        <v>Sandy</v>
      </c>
      <c r="L280" s="435" t="str">
        <f>+IF(IFERROR(MATCH(B280,'Erection Compiled'!$C$6:$C$785,0),"B")="B","","E")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+IFERROR(VLOOKUP(B281,Foundation!$C$8:$E$696,3,FALSE),"")</f>
        <v>Sandy</v>
      </c>
      <c r="L281" s="435" t="str">
        <f>+IF(IFERROR(MATCH(B281,'Erection Compiled'!$C$6:$C$785,0),"B")="B","","E")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+IFERROR(VLOOKUP(B282,Foundation!$C$8:$E$696,3,FALSE),"")</f>
        <v>Sandy</v>
      </c>
      <c r="L282" s="435" t="str">
        <f>+IF(IFERROR(MATCH(B282,'Erection Compiled'!$C$6:$C$785,0),"B")="B","","E")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+IFERROR(VLOOKUP(B283,Foundation!$C$8:$E$696,3,FALSE),"")</f>
        <v>Sandy</v>
      </c>
      <c r="L283" s="435" t="str">
        <f>+IF(IFERROR(MATCH(B283,'Erection Compiled'!$C$6:$C$785,0),"B")="B","","E")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+IFERROR(VLOOKUP(B284,Foundation!$C$8:$E$696,3,FALSE),"")</f>
        <v>Sandy</v>
      </c>
      <c r="L284" s="435" t="str">
        <f>+IF(IFERROR(MATCH(B284,'Erection Compiled'!$C$6:$C$785,0),"B")="B","","E")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+IFERROR(VLOOKUP(B285,Foundation!$C$8:$E$696,3,FALSE),"")</f>
        <v>Sandy</v>
      </c>
      <c r="L285" s="435" t="str">
        <f>+IF(IFERROR(MATCH(B285,'Erection Compiled'!$C$6:$C$785,0),"B")="B","","E")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+IFERROR(VLOOKUP(B286,Foundation!$C$8:$E$696,3,FALSE),"")</f>
        <v>Sandy</v>
      </c>
      <c r="L286" s="435" t="str">
        <f>+IF(IFERROR(MATCH(B286,'Erection Compiled'!$C$6:$C$785,0),"B")="B","","E")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+IFERROR(VLOOKUP(B287,Foundation!$C$8:$E$696,3,FALSE),"")</f>
        <v>Sandy</v>
      </c>
      <c r="L287" s="435" t="str">
        <f>+IF(IFERROR(MATCH(B287,'Erection Compiled'!$C$6:$C$785,0),"B")="B","","E")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+IFERROR(VLOOKUP(B288,Foundation!$C$8:$E$696,3,FALSE),"")</f>
        <v>Sandy</v>
      </c>
      <c r="L288" s="435" t="str">
        <f>+IF(IFERROR(MATCH(B288,'Erection Compiled'!$C$6:$C$785,0),"B")="B","","E")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+IFERROR(VLOOKUP(B289,Foundation!$C$8:$E$696,3,FALSE),"")</f>
        <v>Sandy</v>
      </c>
      <c r="L289" s="435" t="str">
        <f>+IF(IFERROR(MATCH(B289,'Erection Compiled'!$C$6:$C$785,0),"B")="B","","E")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+IFERROR(VLOOKUP(B290,Foundation!$C$8:$E$696,3,FALSE),"")</f>
        <v>Sandy</v>
      </c>
      <c r="L290" s="435" t="str">
        <f>+IF(IFERROR(MATCH(B290,'Erection Compiled'!$C$6:$C$785,0),"B")="B","","E")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+IFERROR(VLOOKUP(B291,Foundation!$C$8:$E$696,3,FALSE),"")</f>
        <v>Sandy</v>
      </c>
      <c r="L291" s="435" t="str">
        <f>+IF(IFERROR(MATCH(B291,'Erection Compiled'!$C$6:$C$785,0),"B")="B","","E")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+IFERROR(VLOOKUP(B292,Foundation!$C$8:$E$696,3,FALSE),"")</f>
        <v>Sandy</v>
      </c>
      <c r="L292" s="435" t="str">
        <f>+IF(IFERROR(MATCH(B292,'Erection Compiled'!$C$6:$C$785,0),"B")="B","","E")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+IFERROR(VLOOKUP(B293,Foundation!$C$8:$E$696,3,FALSE),"")</f>
        <v>Sandy</v>
      </c>
      <c r="L293" s="435" t="str">
        <f>+IF(IFERROR(MATCH(B293,'Erection Compiled'!$C$6:$C$785,0),"B")="B","","E")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+IFERROR(VLOOKUP(B294,Foundation!$C$8:$E$696,3,FALSE),"")</f>
        <v>Sandy</v>
      </c>
      <c r="L294" s="435" t="str">
        <f>+IF(IFERROR(MATCH(B294,'Erection Compiled'!$C$6:$C$785,0),"B")="B","","E")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+IFERROR(VLOOKUP(B295,Foundation!$C$8:$E$696,3,FALSE),"")</f>
        <v>Sandy</v>
      </c>
      <c r="L295" s="435" t="str">
        <f>+IF(IFERROR(MATCH(B295,'Erection Compiled'!$C$6:$C$785,0),"B")="B","","E")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+IFERROR(VLOOKUP(B296,Foundation!$C$8:$E$696,3,FALSE),"")</f>
        <v>Sandy</v>
      </c>
      <c r="L296" s="435" t="str">
        <f>+IF(IFERROR(MATCH(B296,'Erection Compiled'!$C$6:$C$785,0),"B")="B","","E")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+IFERROR(VLOOKUP(B297,Foundation!$C$8:$E$696,3,FALSE),"")</f>
        <v>Sandy</v>
      </c>
      <c r="L297" s="435" t="str">
        <f>+IF(IFERROR(MATCH(B297,'Erection Compiled'!$C$6:$C$785,0),"B")="B","","E")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+IFERROR(VLOOKUP(B298,Foundation!$C$8:$E$696,3,FALSE),"")</f>
        <v>Sandy</v>
      </c>
      <c r="L298" s="435" t="str">
        <f>+IF(IFERROR(MATCH(B298,'Erection Compiled'!$C$6:$C$785,0),"B")="B","","E")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+IFERROR(VLOOKUP(B299,Foundation!$C$8:$E$696,3,FALSE),"")</f>
        <v>Sandy</v>
      </c>
      <c r="L299" s="435" t="str">
        <f>+IF(IFERROR(MATCH(B299,'Erection Compiled'!$C$6:$C$785,0),"B")="B","","E")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+IFERROR(VLOOKUP(B300,Foundation!$C$8:$E$696,3,FALSE),"")</f>
        <v>Sandy</v>
      </c>
      <c r="L300" s="435" t="str">
        <f>+IF(IFERROR(MATCH(B300,'Erection Compiled'!$C$6:$C$785,0),"B")="B","","E")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+IFERROR(VLOOKUP(B301,Foundation!$C$8:$E$696,3,FALSE),"")</f>
        <v>Sandy</v>
      </c>
      <c r="L301" s="435" t="str">
        <f>+IF(IFERROR(MATCH(B301,'Erection Compiled'!$C$6:$C$785,0),"B")="B","","E")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+IFERROR(VLOOKUP(B302,Foundation!$C$8:$E$696,3,FALSE),"")</f>
        <v>Sandy</v>
      </c>
      <c r="L302" s="435" t="str">
        <f>+IF(IFERROR(MATCH(B302,'Erection Compiled'!$C$6:$C$785,0),"B")="B","","E")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+IFERROR(VLOOKUP(B303,Foundation!$C$8:$E$696,3,FALSE),"")</f>
        <v>Sandy</v>
      </c>
      <c r="L303" s="435" t="str">
        <f>+IF(IFERROR(MATCH(B303,'Erection Compiled'!$C$6:$C$785,0),"B")="B","","E")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+IFERROR(VLOOKUP(B304,Foundation!$C$8:$E$696,3,FALSE),"")</f>
        <v>Sandy</v>
      </c>
      <c r="L304" s="435" t="str">
        <f>+IF(IFERROR(MATCH(B304,'Erection Compiled'!$C$6:$C$785,0),"B")="B","","E")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+IFERROR(VLOOKUP(B305,Foundation!$C$8:$E$696,3,FALSE),"")</f>
        <v>Sandy</v>
      </c>
      <c r="L305" s="435" t="str">
        <f>+IF(IFERROR(MATCH(B305,'Erection Compiled'!$C$6:$C$785,0),"B")="B","","E")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+IFERROR(VLOOKUP(B306,Foundation!$C$8:$E$696,3,FALSE),"")</f>
        <v>Sandy</v>
      </c>
      <c r="L306" s="435" t="str">
        <f>+IF(IFERROR(MATCH(B306,'Erection Compiled'!$C$6:$C$785,0),"B")="B","","E")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+IFERROR(VLOOKUP(B307,Foundation!$C$8:$E$696,3,FALSE),"")</f>
        <v>Sandy</v>
      </c>
      <c r="L307" s="435" t="str">
        <f>+IF(IFERROR(MATCH(B307,'Erection Compiled'!$C$6:$C$785,0),"B")="B","","E")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+IFERROR(VLOOKUP(B308,Foundation!$C$8:$E$696,3,FALSE),"")</f>
        <v>Sandy</v>
      </c>
      <c r="L308" s="435" t="str">
        <f>+IF(IFERROR(MATCH(B308,'Erection Compiled'!$C$6:$C$785,0),"B")="B","","E")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+IFERROR(VLOOKUP(B309,Foundation!$C$8:$E$696,3,FALSE),"")</f>
        <v>Sandy</v>
      </c>
      <c r="L309" s="435" t="str">
        <f>+IF(IFERROR(MATCH(B309,'Erection Compiled'!$C$6:$C$785,0),"B")="B","","E")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+IFERROR(VLOOKUP(B310,Foundation!$C$8:$E$696,3,FALSE),"")</f>
        <v>Sandy</v>
      </c>
      <c r="L310" s="435" t="str">
        <f>+IF(IFERROR(MATCH(B310,'Erection Compiled'!$C$6:$C$785,0),"B")="B","","E")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+IFERROR(VLOOKUP(B311,Foundation!$C$8:$E$696,3,FALSE),"")</f>
        <v>Sandy</v>
      </c>
      <c r="L311" s="435" t="str">
        <f>+IF(IFERROR(MATCH(B311,'Erection Compiled'!$C$6:$C$785,0),"B")="B","","E")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+IFERROR(VLOOKUP(B312,Foundation!$C$8:$E$696,3,FALSE),"")</f>
        <v>Sandy</v>
      </c>
      <c r="L312" s="435" t="str">
        <f>+IF(IFERROR(MATCH(B312,'Erection Compiled'!$C$6:$C$785,0),"B")="B","","E")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+IFERROR(VLOOKUP(B313,Foundation!$C$8:$E$696,3,FALSE),"")</f>
        <v>Sandy</v>
      </c>
      <c r="L313" s="435" t="str">
        <f>+IF(IFERROR(MATCH(B313,'Erection Compiled'!$C$6:$C$785,0),"B")="B","","E")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+IFERROR(VLOOKUP(B314,Foundation!$C$8:$E$696,3,FALSE),"")</f>
        <v>Sandy</v>
      </c>
      <c r="L314" s="435" t="str">
        <f>+IF(IFERROR(MATCH(B314,'Erection Compiled'!$C$6:$C$785,0),"B")="B","","E")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+IFERROR(VLOOKUP(B315,Foundation!$C$8:$E$696,3,FALSE),"")</f>
        <v>Sandy</v>
      </c>
      <c r="L315" s="435" t="str">
        <f>+IF(IFERROR(MATCH(B315,'Erection Compiled'!$C$6:$C$785,0),"B")="B","","E")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+IFERROR(VLOOKUP(B316,Foundation!$C$8:$E$696,3,FALSE),"")</f>
        <v>Sandy</v>
      </c>
      <c r="L316" s="435" t="str">
        <f>+IF(IFERROR(MATCH(B316,'Erection Compiled'!$C$6:$C$785,0),"B")="B","","E")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+IFERROR(VLOOKUP(B317,Foundation!$C$8:$E$696,3,FALSE),"")</f>
        <v>Sandy</v>
      </c>
      <c r="L317" s="435" t="str">
        <f>+IF(IFERROR(MATCH(B317,'Erection Compiled'!$C$6:$C$785,0),"B")="B","","E")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+IFERROR(VLOOKUP(B318,Foundation!$C$8:$E$696,3,FALSE),"")</f>
        <v>Sandy</v>
      </c>
      <c r="L318" s="435" t="str">
        <f>+IF(IFERROR(MATCH(B318,'Erection Compiled'!$C$6:$C$785,0),"B")="B","","E")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+IFERROR(VLOOKUP(B319,Foundation!$C$8:$E$696,3,FALSE),"")</f>
        <v>Sandy</v>
      </c>
      <c r="L319" s="435" t="str">
        <f>+IF(IFERROR(MATCH(B319,'Erection Compiled'!$C$6:$C$785,0),"B")="B","","E")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+IFERROR(VLOOKUP(B320,Foundation!$C$8:$E$696,3,FALSE),"")</f>
        <v>Sandy</v>
      </c>
      <c r="L320" s="435" t="str">
        <f>+IF(IFERROR(MATCH(B320,'Erection Compiled'!$C$6:$C$785,0),"B")="B","","E")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+IFERROR(VLOOKUP(B321,Foundation!$C$8:$E$696,3,FALSE),"")</f>
        <v>Sandy</v>
      </c>
      <c r="L321" s="435" t="str">
        <f>+IF(IFERROR(MATCH(B321,'Erection Compiled'!$C$6:$C$785,0),"B")="B","","E")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+IFERROR(VLOOKUP(B322,Foundation!$C$8:$E$696,3,FALSE),"")</f>
        <v>Sandy</v>
      </c>
      <c r="L322" s="435" t="str">
        <f>+IF(IFERROR(MATCH(B322,'Erection Compiled'!$C$6:$C$785,0),"B")="B","","E")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+IFERROR(VLOOKUP(B323,Foundation!$C$8:$E$696,3,FALSE),"")</f>
        <v>Sandy</v>
      </c>
      <c r="L323" s="435" t="str">
        <f>+IF(IFERROR(MATCH(B323,'Erection Compiled'!$C$6:$C$785,0),"B")="B","","E")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+IFERROR(VLOOKUP(B324,Foundation!$C$8:$E$696,3,FALSE),"")</f>
        <v>Sandy</v>
      </c>
      <c r="L324" s="435" t="str">
        <f>+IF(IFERROR(MATCH(B324,'Erection Compiled'!$C$6:$C$785,0),"B")="B","","E")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+IFERROR(VLOOKUP(B325,Foundation!$C$8:$E$696,3,FALSE),"")</f>
        <v>Sandy</v>
      </c>
      <c r="L325" s="435" t="str">
        <f>+IF(IFERROR(MATCH(B325,'Erection Compiled'!$C$6:$C$785,0),"B")="B","","E")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+IFERROR(VLOOKUP(B326,Foundation!$C$8:$E$696,3,FALSE),"")</f>
        <v>Sandy</v>
      </c>
      <c r="L326" s="435" t="str">
        <f>+IF(IFERROR(MATCH(B326,'Erection Compiled'!$C$6:$C$785,0),"B")="B","","E")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+IFERROR(VLOOKUP(B327,Foundation!$C$8:$E$696,3,FALSE),"")</f>
        <v>Sandy</v>
      </c>
      <c r="L327" s="435" t="str">
        <f>+IF(IFERROR(MATCH(B327,'Erection Compiled'!$C$6:$C$785,0),"B")="B","","E")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+IFERROR(VLOOKUP(B328,Foundation!$C$8:$E$696,3,FALSE),"")</f>
        <v>Sandy</v>
      </c>
      <c r="L328" s="435" t="str">
        <f>+IF(IFERROR(MATCH(B328,'Erection Compiled'!$C$6:$C$785,0),"B")="B","","E")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+IFERROR(VLOOKUP(B329,Foundation!$C$8:$E$696,3,FALSE),"")</f>
        <v>Sandy</v>
      </c>
      <c r="L329" s="435" t="str">
        <f>+IF(IFERROR(MATCH(B329,'Erection Compiled'!$C$6:$C$785,0),"B")="B","","E")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+IFERROR(VLOOKUP(B330,Foundation!$C$8:$E$696,3,FALSE),"")</f>
        <v>Sandy</v>
      </c>
      <c r="L330" s="435" t="str">
        <f>+IF(IFERROR(MATCH(B330,'Erection Compiled'!$C$6:$C$785,0),"B")="B","","E")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+IFERROR(VLOOKUP(B331,Foundation!$C$8:$E$696,3,FALSE),"")</f>
        <v>Sandy</v>
      </c>
      <c r="L331" s="435" t="str">
        <f>+IF(IFERROR(MATCH(B331,'Erection Compiled'!$C$6:$C$785,0),"B")="B","","E")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+IFERROR(VLOOKUP(B332,Foundation!$C$8:$E$696,3,FALSE),"")</f>
        <v>Sandy</v>
      </c>
      <c r="L332" s="435" t="str">
        <f>+IF(IFERROR(MATCH(B332,'Erection Compiled'!$C$6:$C$785,0),"B")="B","","E")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+IFERROR(VLOOKUP(B333,Foundation!$C$8:$E$696,3,FALSE),"")</f>
        <v>Sandy</v>
      </c>
      <c r="L333" s="435" t="str">
        <f>+IF(IFERROR(MATCH(B333,'Erection Compiled'!$C$6:$C$785,0),"B")="B","","E")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+IFERROR(VLOOKUP(B334,Foundation!$C$8:$E$696,3,FALSE),"")</f>
        <v>Sandy</v>
      </c>
      <c r="L334" s="435" t="str">
        <f>+IF(IFERROR(MATCH(B334,'Erection Compiled'!$C$6:$C$785,0),"B")="B","","E")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+IFERROR(VLOOKUP(B335,Foundation!$C$8:$E$696,3,FALSE),"")</f>
        <v>Sandy</v>
      </c>
      <c r="L335" s="435" t="str">
        <f>+IF(IFERROR(MATCH(B335,'Erection Compiled'!$C$6:$C$785,0),"B")="B","","E")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+IFERROR(VLOOKUP(B336,Foundation!$C$8:$E$696,3,FALSE),"")</f>
        <v>Sandy</v>
      </c>
      <c r="L336" s="435" t="str">
        <f>+IF(IFERROR(MATCH(B336,'Erection Compiled'!$C$6:$C$785,0),"B")="B","","E")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+IFERROR(VLOOKUP(B337,Foundation!$C$8:$E$696,3,FALSE),"")</f>
        <v>Sandy</v>
      </c>
      <c r="L337" s="435" t="str">
        <f>+IF(IFERROR(MATCH(B337,'Erection Compiled'!$C$6:$C$785,0),"B")="B","","E")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+IFERROR(VLOOKUP(B338,Foundation!$C$8:$E$696,3,FALSE),"")</f>
        <v>Sandy</v>
      </c>
      <c r="L338" s="435" t="str">
        <f>+IF(IFERROR(MATCH(B338,'Erection Compiled'!$C$6:$C$785,0),"B")="B","","E")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+IFERROR(VLOOKUP(B339,Foundation!$C$8:$E$696,3,FALSE),"")</f>
        <v>Sandy</v>
      </c>
      <c r="L339" s="435" t="str">
        <f>+IF(IFERROR(MATCH(B339,'Erection Compiled'!$C$6:$C$785,0),"B")="B","","E")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+IFERROR(VLOOKUP(B340,Foundation!$C$8:$E$696,3,FALSE),"")</f>
        <v>Sandy</v>
      </c>
      <c r="L340" s="435" t="str">
        <f>+IF(IFERROR(MATCH(B340,'Erection Compiled'!$C$6:$C$785,0),"B")="B","","E")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+IFERROR(VLOOKUP(B341,Foundation!$C$8:$E$696,3,FALSE),"")</f>
        <v>Sandy</v>
      </c>
      <c r="L341" s="435" t="str">
        <f>+IF(IFERROR(MATCH(B341,'Erection Compiled'!$C$6:$C$785,0),"B")="B","","E")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+IFERROR(VLOOKUP(B342,Foundation!$C$8:$E$696,3,FALSE),"")</f>
        <v>Sandy</v>
      </c>
      <c r="L342" s="435" t="str">
        <f>+IF(IFERROR(MATCH(B342,'Erection Compiled'!$C$6:$C$785,0),"B")="B","","E")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+IFERROR(VLOOKUP(B343,Foundation!$C$8:$E$696,3,FALSE),"")</f>
        <v>Sandy</v>
      </c>
      <c r="L343" s="435" t="str">
        <f>+IF(IFERROR(MATCH(B343,'Erection Compiled'!$C$6:$C$785,0),"B")="B","","E")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+IFERROR(VLOOKUP(B344,Foundation!$C$8:$E$696,3,FALSE),"")</f>
        <v>Sandy</v>
      </c>
      <c r="L344" s="435" t="str">
        <f>+IF(IFERROR(MATCH(B344,'Erection Compiled'!$C$6:$C$785,0),"B")="B","","E")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+IFERROR(VLOOKUP(B345,Foundation!$C$8:$E$696,3,FALSE),"")</f>
        <v>Sandy</v>
      </c>
      <c r="L345" s="435" t="str">
        <f>+IF(IFERROR(MATCH(B345,'Erection Compiled'!$C$6:$C$785,0),"B")="B","","E")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+IFERROR(VLOOKUP(B346,Foundation!$C$8:$E$696,3,FALSE),"")</f>
        <v>WFR</v>
      </c>
      <c r="L346" s="435" t="str">
        <f>+IF(IFERROR(MATCH(B346,'Erection Compiled'!$C$6:$C$785,0),"B")="B","","E")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+IFERROR(VLOOKUP(B347,Foundation!$C$8:$E$696,3,FALSE),"")</f>
        <v>WFR</v>
      </c>
      <c r="L347" s="435" t="str">
        <f>+IF(IFERROR(MATCH(B347,'Erection Compiled'!$C$6:$C$785,0),"B")="B","","E")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+IFERROR(VLOOKUP(B348,Foundation!$C$8:$E$696,3,FALSE),"")</f>
        <v>Sandy</v>
      </c>
      <c r="L348" s="435" t="str">
        <f>+IF(IFERROR(MATCH(B348,'Erection Compiled'!$C$6:$C$785,0),"B")="B","","E")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+IFERROR(VLOOKUP(B349,Foundation!$C$8:$E$696,3,FALSE),"")</f>
        <v>Sandy</v>
      </c>
      <c r="L349" s="435" t="str">
        <f>+IF(IFERROR(MATCH(B349,'Erection Compiled'!$C$6:$C$785,0),"B")="B","","E")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+IFERROR(VLOOKUP(B350,Foundation!$C$8:$E$696,3,FALSE),"")</f>
        <v>Sandy</v>
      </c>
      <c r="L350" s="435" t="str">
        <f>+IF(IFERROR(MATCH(B350,'Erection Compiled'!$C$6:$C$785,0),"B")="B","","E")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+IFERROR(VLOOKUP(B351,Foundation!$C$8:$E$696,3,FALSE),"")</f>
        <v>Sandy</v>
      </c>
      <c r="L351" s="435" t="str">
        <f>+IF(IFERROR(MATCH(B351,'Erection Compiled'!$C$6:$C$785,0),"B")="B","","E")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+IFERROR(VLOOKUP(B352,Foundation!$C$8:$E$696,3,FALSE),"")</f>
        <v>Sandy</v>
      </c>
      <c r="L352" s="435" t="str">
        <f>+IF(IFERROR(MATCH(B352,'Erection Compiled'!$C$6:$C$785,0),"B")="B","","E")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+IFERROR(VLOOKUP(B353,Foundation!$C$8:$E$696,3,FALSE),"")</f>
        <v>Sandy</v>
      </c>
      <c r="L353" s="435" t="str">
        <f>+IF(IFERROR(MATCH(B353,'Erection Compiled'!$C$6:$C$785,0),"B")="B","","E")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+IFERROR(VLOOKUP(B354,Foundation!$C$8:$E$696,3,FALSE),"")</f>
        <v>Sandy</v>
      </c>
      <c r="L354" s="435" t="str">
        <f>+IF(IFERROR(MATCH(B354,'Erection Compiled'!$C$6:$C$785,0),"B")="B","","E")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+IFERROR(VLOOKUP(B355,Foundation!$C$8:$E$696,3,FALSE),"")</f>
        <v>Sandy</v>
      </c>
      <c r="L355" s="435" t="str">
        <f>+IF(IFERROR(MATCH(B355,'Erection Compiled'!$C$6:$C$785,0),"B")="B","","E")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+IFERROR(VLOOKUP(B356,Foundation!$C$8:$E$696,3,FALSE),"")</f>
        <v>Sandy</v>
      </c>
      <c r="L356" s="435" t="str">
        <f>+IF(IFERROR(MATCH(B356,'Erection Compiled'!$C$6:$C$785,0),"B")="B","","E")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+IFERROR(VLOOKUP(B357,Foundation!$C$8:$E$696,3,FALSE),"")</f>
        <v>DRY</v>
      </c>
      <c r="L357" s="435" t="str">
        <f>+IF(IFERROR(MATCH(B357,'Erection Compiled'!$C$6:$C$785,0),"B")="B","","E")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+IFERROR(VLOOKUP(B358,Foundation!$C$8:$E$696,3,FALSE),"")</f>
        <v>DRY</v>
      </c>
      <c r="L358" s="435" t="str">
        <f>+IF(IFERROR(MATCH(B358,'Erection Compiled'!$C$6:$C$785,0),"B")="B","","E")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+IFERROR(VLOOKUP(B359,Foundation!$C$8:$E$696,3,FALSE),"")</f>
        <v>Sandy</v>
      </c>
      <c r="L359" s="435" t="str">
        <f>+IF(IFERROR(MATCH(B359,'Erection Compiled'!$C$6:$C$785,0),"B")="B","","E")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+IFERROR(VLOOKUP(B360,Foundation!$C$8:$E$696,3,FALSE),"")</f>
        <v>Sandy</v>
      </c>
      <c r="L360" s="435" t="str">
        <f>+IF(IFERROR(MATCH(B360,'Erection Compiled'!$C$6:$C$785,0),"B")="B","","E")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+IFERROR(VLOOKUP(B361,Foundation!$C$8:$E$696,3,FALSE),"")</f>
        <v>Sandy</v>
      </c>
      <c r="L361" s="435" t="str">
        <f>+IF(IFERROR(MATCH(B361,'Erection Compiled'!$C$6:$C$785,0),"B")="B","","E")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+IFERROR(VLOOKUP(B362,Foundation!$C$8:$E$696,3,FALSE),"")</f>
        <v>DFR</v>
      </c>
      <c r="L362" s="435" t="str">
        <f>+IF(IFERROR(MATCH(B362,'Erection Compiled'!$C$6:$C$785,0),"B")="B","","E")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+IFERROR(VLOOKUP(B363,Foundation!$C$8:$E$696,3,FALSE),"")</f>
        <v>DFR</v>
      </c>
      <c r="L363" s="435" t="str">
        <f>+IF(IFERROR(MATCH(B363,'Erection Compiled'!$C$6:$C$785,0),"B")="B","","E")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+IFERROR(VLOOKUP(B364,Foundation!$C$8:$E$696,3,FALSE),"")</f>
        <v>DRY</v>
      </c>
      <c r="L364" s="435" t="str">
        <f>+IF(IFERROR(MATCH(B364,'Erection Compiled'!$C$6:$C$785,0),"B")="B","","E")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+IFERROR(VLOOKUP(B365,Foundation!$C$8:$E$696,3,FALSE),"")</f>
        <v>DRY</v>
      </c>
      <c r="L365" s="435" t="str">
        <f>+IF(IFERROR(MATCH(B365,'Erection Compiled'!$C$6:$C$785,0),"B")="B","","E")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+IFERROR(VLOOKUP(B366,Foundation!$C$8:$E$696,3,FALSE),"")</f>
        <v>DFR</v>
      </c>
      <c r="L366" s="435" t="str">
        <f>+IF(IFERROR(MATCH(B366,'Erection Compiled'!$C$6:$C$785,0),"B")="B","","E")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+IFERROR(VLOOKUP(B367,Foundation!$C$8:$E$696,3,FALSE),"")</f>
        <v>DFR</v>
      </c>
      <c r="L367" s="435" t="str">
        <f>+IF(IFERROR(MATCH(B367,'Erection Compiled'!$C$6:$C$785,0),"B")="B","","E")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+IFERROR(VLOOKUP(B368,Foundation!$C$8:$E$696,3,FALSE),"")</f>
        <v>DFR</v>
      </c>
      <c r="L368" s="435" t="str">
        <f>+IF(IFERROR(MATCH(B368,'Erection Compiled'!$C$6:$C$785,0),"B")="B","","E")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+IFERROR(VLOOKUP(B369,Foundation!$C$8:$E$696,3,FALSE),"")</f>
        <v>DFR</v>
      </c>
      <c r="L369" s="435" t="str">
        <f>+IF(IFERROR(MATCH(B369,'Erection Compiled'!$C$6:$C$785,0),"B")="B","","E")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+IFERROR(VLOOKUP(B370,Foundation!$C$8:$E$696,3,FALSE),"")</f>
        <v>DFR</v>
      </c>
      <c r="L370" s="435" t="str">
        <f>+IF(IFERROR(MATCH(B370,'Erection Compiled'!$C$6:$C$785,0),"B")="B","","E")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+IFERROR(VLOOKUP(B371,Foundation!$C$8:$E$696,3,FALSE),"")</f>
        <v>DRY</v>
      </c>
      <c r="L371" s="435" t="str">
        <f>+IF(IFERROR(MATCH(B371,'Erection Compiled'!$C$6:$C$785,0),"B")="B","","E")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+IFERROR(VLOOKUP(B372,Foundation!$C$8:$E$696,3,FALSE),"")</f>
        <v>DRY</v>
      </c>
      <c r="L372" s="435" t="str">
        <f>+IF(IFERROR(MATCH(B372,'Erection Compiled'!$C$6:$C$785,0),"B")="B","","E")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+IFERROR(VLOOKUP(B373,Foundation!$C$8:$E$696,3,FALSE),"")</f>
        <v>DRY</v>
      </c>
      <c r="L373" s="435" t="str">
        <f>+IF(IFERROR(MATCH(B373,'Erection Compiled'!$C$6:$C$785,0),"B")="B","","E")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+IFERROR(VLOOKUP(B374,Foundation!$C$8:$E$696,3,FALSE),"")</f>
        <v>DRY</v>
      </c>
      <c r="L374" s="435" t="str">
        <f>+IF(IFERROR(MATCH(B374,'Erection Compiled'!$C$6:$C$785,0),"B")="B","","E")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+IFERROR(VLOOKUP(B375,Foundation!$C$8:$E$696,3,FALSE),"")</f>
        <v>DFR</v>
      </c>
      <c r="L375" s="435" t="str">
        <f>+IF(IFERROR(MATCH(B375,'Erection Compiled'!$C$6:$C$785,0),"B")="B","","E")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+IFERROR(VLOOKUP(B376,Foundation!$C$8:$E$696,3,FALSE),"")</f>
        <v>DFR</v>
      </c>
      <c r="L376" s="435" t="str">
        <f>+IF(IFERROR(MATCH(B376,'Erection Compiled'!$C$6:$C$785,0),"B")="B","","E")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+IFERROR(VLOOKUP(B377,Foundation!$C$8:$E$696,3,FALSE),"")</f>
        <v>DRY</v>
      </c>
      <c r="L377" s="435" t="str">
        <f>+IF(IFERROR(MATCH(B377,'Erection Compiled'!$C$6:$C$785,0),"B")="B","","E")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+IFERROR(VLOOKUP(B378,Foundation!$C$8:$E$696,3,FALSE),"")</f>
        <v>DRY</v>
      </c>
      <c r="L378" s="435" t="str">
        <f>+IF(IFERROR(MATCH(B378,'Erection Compiled'!$C$6:$C$785,0),"B")="B","","E")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+IFERROR(VLOOKUP(B379,Foundation!$C$8:$E$696,3,FALSE),"")</f>
        <v>DRY</v>
      </c>
      <c r="L379" s="435" t="str">
        <f>+IF(IFERROR(MATCH(B379,'Erection Compiled'!$C$6:$C$785,0),"B")="B","","E")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+IFERROR(VLOOKUP(B380,Foundation!$C$8:$E$696,3,FALSE),"")</f>
        <v>Dry</v>
      </c>
      <c r="L380" s="435" t="str">
        <f>+IF(IFERROR(MATCH(B380,'Erection Compiled'!$C$6:$C$785,0),"B")="B","","E")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+IFERROR(VLOOKUP(B381,Foundation!$C$8:$E$696,3,FALSE),"")</f>
        <v>DRY</v>
      </c>
      <c r="L381" s="435" t="str">
        <f>+IF(IFERROR(MATCH(B381,'Erection Compiled'!$C$6:$C$785,0),"B")="B","","E")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+IFERROR(VLOOKUP(B382,Foundation!$C$8:$E$696,3,FALSE),"")</f>
        <v>DRY</v>
      </c>
      <c r="L382" s="435" t="str">
        <f>+IF(IFERROR(MATCH(B382,'Erection Compiled'!$C$6:$C$785,0),"B")="B","","E")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+IFERROR(VLOOKUP(B383,Foundation!$C$8:$E$696,3,FALSE),"")</f>
        <v>DFR</v>
      </c>
      <c r="L383" s="435" t="str">
        <f>+IF(IFERROR(MATCH(B383,'Erection Compiled'!$C$6:$C$785,0),"B")="B","","E")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+IFERROR(VLOOKUP(B384,Foundation!$C$8:$E$696,3,FALSE),"")</f>
        <v>DFR</v>
      </c>
      <c r="L384" s="435" t="str">
        <f>+IF(IFERROR(MATCH(B384,'Erection Compiled'!$C$6:$C$785,0),"B")="B","","E")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+IFERROR(VLOOKUP(B385,Foundation!$C$8:$E$696,3,FALSE),"")</f>
        <v>DFR</v>
      </c>
      <c r="L385" s="435" t="str">
        <f>+IF(IFERROR(MATCH(B385,'Erection Compiled'!$C$6:$C$785,0),"B")="B","","E")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+IFERROR(VLOOKUP(B386,Foundation!$C$8:$E$696,3,FALSE),"")</f>
        <v>DRY</v>
      </c>
      <c r="L386" s="435" t="str">
        <f>+IF(IFERROR(MATCH(B386,'Erection Compiled'!$C$6:$C$785,0),"B")="B","","E")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+IFERROR(VLOOKUP(B387,Foundation!$C$8:$E$696,3,FALSE),"")</f>
        <v>DRY</v>
      </c>
      <c r="L387" s="435" t="str">
        <f>+IF(IFERROR(MATCH(B387,'Erection Compiled'!$C$6:$C$785,0),"B")="B","","E")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+IFERROR(VLOOKUP(B388,Foundation!$C$8:$E$696,3,FALSE),"")</f>
        <v>DRY</v>
      </c>
      <c r="L388" s="435" t="str">
        <f>+IF(IFERROR(MATCH(B388,'Erection Compiled'!$C$6:$C$785,0),"B")="B","","E")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+IFERROR(VLOOKUP(B389,Foundation!$C$8:$E$696,3,FALSE),"")</f>
        <v>DRY</v>
      </c>
      <c r="L389" s="435" t="str">
        <f>+IF(IFERROR(MATCH(B389,'Erection Compiled'!$C$6:$C$785,0),"B")="B","","E")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+IFERROR(VLOOKUP(B390,Foundation!$C$8:$E$696,3,FALSE),"")</f>
        <v>DRY</v>
      </c>
      <c r="L390" s="435" t="str">
        <f>+IF(IFERROR(MATCH(B390,'Erection Compiled'!$C$6:$C$785,0),"B")="B","","E")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+IFERROR(VLOOKUP(B391,Foundation!$C$8:$E$696,3,FALSE),"")</f>
        <v>DFR</v>
      </c>
      <c r="L391" s="435" t="str">
        <f>+IF(IFERROR(MATCH(B391,'Erection Compiled'!$C$6:$C$785,0),"B")="B","","E")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+IFERROR(VLOOKUP(B392,Foundation!$C$8:$E$696,3,FALSE),"")</f>
        <v>DRY</v>
      </c>
      <c r="L392" s="435" t="str">
        <f>+IF(IFERROR(MATCH(B392,'Erection Compiled'!$C$6:$C$785,0),"B")="B","","E")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+IFERROR(VLOOKUP(B393,Foundation!$C$8:$E$696,3,FALSE),"")</f>
        <v>DRY</v>
      </c>
      <c r="L393" s="435" t="str">
        <f>+IF(IFERROR(MATCH(B393,'Erection Compiled'!$C$6:$C$785,0),"B")="B","","E")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+IFERROR(VLOOKUP(B394,Foundation!$C$8:$E$696,3,FALSE),"")</f>
        <v>DFR</v>
      </c>
      <c r="L394" s="435" t="str">
        <f>+IF(IFERROR(MATCH(B394,'Erection Compiled'!$C$6:$C$785,0),"B")="B","","E")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+IFERROR(VLOOKUP(B395,Foundation!$C$8:$E$696,3,FALSE),"")</f>
        <v>DFR</v>
      </c>
      <c r="L395" s="435" t="str">
        <f>+IF(IFERROR(MATCH(B395,'Erection Compiled'!$C$6:$C$785,0),"B")="B","","E")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+IFERROR(VLOOKUP(B396,Foundation!$C$8:$E$696,3,FALSE),"")</f>
        <v>DRY</v>
      </c>
      <c r="L396" s="435" t="str">
        <f>+IF(IFERROR(MATCH(B396,'Erection Compiled'!$C$6:$C$785,0),"B")="B","","E")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+IFERROR(VLOOKUP(B397,Foundation!$C$8:$E$696,3,FALSE),"")</f>
        <v>DRY</v>
      </c>
      <c r="L397" s="435" t="str">
        <f>+IF(IFERROR(MATCH(B397,'Erection Compiled'!$C$6:$C$785,0),"B")="B","","E")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+IFERROR(VLOOKUP(B398,Foundation!$C$8:$E$696,3,FALSE),"")</f>
        <v>DRY</v>
      </c>
      <c r="L398" s="435" t="str">
        <f>+IF(IFERROR(MATCH(B398,'Erection Compiled'!$C$6:$C$785,0),"B")="B","","E")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+IFERROR(VLOOKUP(B399,Foundation!$C$8:$E$696,3,FALSE),"")</f>
        <v>DRY</v>
      </c>
      <c r="L399" s="435" t="str">
        <f>+IF(IFERROR(MATCH(B399,'Erection Compiled'!$C$6:$C$785,0),"B")="B","","E")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+IFERROR(VLOOKUP(B400,Foundation!$C$8:$E$696,3,FALSE),"")</f>
        <v>Dry</v>
      </c>
      <c r="L400" s="435" t="str">
        <f>+IF(IFERROR(MATCH(B400,'Erection Compiled'!$C$6:$C$785,0),"B")="B","","E")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+IFERROR(VLOOKUP(B401,Foundation!$C$8:$E$696,3,FALSE),"")</f>
        <v>DRY</v>
      </c>
      <c r="L401" s="435" t="str">
        <f>+IF(IFERROR(MATCH(B401,'Erection Compiled'!$C$6:$C$785,0),"B")="B","","E")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+IFERROR(VLOOKUP(B402,Foundation!$C$8:$E$696,3,FALSE),"")</f>
        <v>Dry</v>
      </c>
      <c r="L402" s="435" t="str">
        <f>+IF(IFERROR(MATCH(B402,'Erection Compiled'!$C$6:$C$785,0),"B")="B","","E")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+IFERROR(VLOOKUP(B403,Foundation!$C$8:$E$696,3,FALSE),"")</f>
        <v>DRY</v>
      </c>
      <c r="L403" s="435" t="str">
        <f>+IF(IFERROR(MATCH(B403,'Erection Compiled'!$C$6:$C$785,0),"B")="B","","E")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+IFERROR(VLOOKUP(B404,Foundation!$C$8:$E$696,3,FALSE),"")</f>
        <v>DRY</v>
      </c>
      <c r="L404" s="435" t="str">
        <f>+IF(IFERROR(MATCH(B404,'Erection Compiled'!$C$6:$C$785,0),"B")="B","","E")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+IFERROR(VLOOKUP(B405,Foundation!$C$8:$E$696,3,FALSE),"")</f>
        <v>Sandy</v>
      </c>
      <c r="L405" s="435" t="str">
        <f>+IF(IFERROR(MATCH(B405,'Erection Compiled'!$C$6:$C$785,0),"B")="B","","E")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+IFERROR(VLOOKUP(B406,Foundation!$C$8:$E$696,3,FALSE),"")</f>
        <v>DRY</v>
      </c>
      <c r="L406" s="435" t="str">
        <f>+IF(IFERROR(MATCH(B406,'Erection Compiled'!$C$6:$C$785,0),"B")="B","","E")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+IFERROR(VLOOKUP(B407,Foundation!$C$8:$E$696,3,FALSE),"")</f>
        <v>DRY</v>
      </c>
      <c r="L407" s="435" t="str">
        <f>+IF(IFERROR(MATCH(B407,'Erection Compiled'!$C$6:$C$785,0),"B")="B","","E")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+IFERROR(VLOOKUP(B408,Foundation!$C$8:$E$696,3,FALSE),"")</f>
        <v>DRY</v>
      </c>
      <c r="L408" s="435" t="str">
        <f>+IF(IFERROR(MATCH(B408,'Erection Compiled'!$C$6:$C$785,0),"B")="B","","E")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+IFERROR(VLOOKUP(B409,Foundation!$C$8:$E$696,3,FALSE),"")</f>
        <v>DRY</v>
      </c>
      <c r="L409" s="435" t="str">
        <f>+IF(IFERROR(MATCH(B409,'Erection Compiled'!$C$6:$C$785,0),"B")="B","","E")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+IFERROR(VLOOKUP(B410,Foundation!$C$8:$E$696,3,FALSE),"")</f>
        <v>DRY</v>
      </c>
      <c r="L410" s="435" t="str">
        <f>+IF(IFERROR(MATCH(B410,'Erection Compiled'!$C$6:$C$785,0),"B")="B","","E")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+IFERROR(VLOOKUP(B411,Foundation!$C$8:$E$696,3,FALSE),"")</f>
        <v>DRY</v>
      </c>
      <c r="L411" s="435" t="str">
        <f>+IF(IFERROR(MATCH(B411,'Erection Compiled'!$C$6:$C$785,0),"B")="B","","E")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+IFERROR(VLOOKUP(B412,Foundation!$C$8:$E$696,3,FALSE),"")</f>
        <v>DFR</v>
      </c>
      <c r="L412" s="435" t="str">
        <f>+IF(IFERROR(MATCH(B412,'Erection Compiled'!$C$6:$C$785,0),"B")="B","","E")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+IFERROR(VLOOKUP(B413,Foundation!$C$8:$E$696,3,FALSE),"")</f>
        <v>DFR</v>
      </c>
      <c r="L413" s="435" t="str">
        <f>+IF(IFERROR(MATCH(B413,'Erection Compiled'!$C$6:$C$785,0),"B")="B","","E")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+IFERROR(VLOOKUP(B414,Foundation!$C$8:$E$696,3,FALSE),"")</f>
        <v>DFR</v>
      </c>
      <c r="L414" s="435" t="str">
        <f>+IF(IFERROR(MATCH(B414,'Erection Compiled'!$C$6:$C$785,0),"B")="B","","E")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+IFERROR(VLOOKUP(B415,Foundation!$C$8:$E$696,3,FALSE),"")</f>
        <v>DRY</v>
      </c>
      <c r="L415" s="435" t="str">
        <f>+IF(IFERROR(MATCH(B415,'Erection Compiled'!$C$6:$C$785,0),"B")="B","","E")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+IFERROR(VLOOKUP(B416,Foundation!$C$8:$E$696,3,FALSE),"")</f>
        <v>DFR</v>
      </c>
      <c r="L416" s="435" t="str">
        <f>+IF(IFERROR(MATCH(B416,'Erection Compiled'!$C$6:$C$785,0),"B")="B","","E")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+IFERROR(VLOOKUP(B417,Foundation!$C$8:$E$696,3,FALSE),"")</f>
        <v>DFR</v>
      </c>
      <c r="L417" s="435" t="str">
        <f>+IF(IFERROR(MATCH(B417,'Erection Compiled'!$C$6:$C$785,0),"B")="B","","E")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+IFERROR(VLOOKUP(B418,Foundation!$C$8:$E$696,3,FALSE),"")</f>
        <v>DFR</v>
      </c>
      <c r="L418" s="435" t="str">
        <f>+IF(IFERROR(MATCH(B418,'Erection Compiled'!$C$6:$C$785,0),"B")="B","","E")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+IFERROR(VLOOKUP(B419,Foundation!$C$8:$E$696,3,FALSE),"")</f>
        <v>DFR</v>
      </c>
      <c r="L419" s="435" t="str">
        <f>+IF(IFERROR(MATCH(B419,'Erection Compiled'!$C$6:$C$785,0),"B")="B","","E")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+IFERROR(VLOOKUP(B420,Foundation!$C$8:$E$696,3,FALSE),"")</f>
        <v>DRY</v>
      </c>
      <c r="L420" s="435" t="str">
        <f>+IF(IFERROR(MATCH(B420,'Erection Compiled'!$C$6:$C$785,0),"B")="B","","E")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+IFERROR(VLOOKUP(B421,Foundation!$C$8:$E$696,3,FALSE),"")</f>
        <v>DFR</v>
      </c>
      <c r="L421" s="435" t="str">
        <f>+IF(IFERROR(MATCH(B421,'Erection Compiled'!$C$6:$C$785,0),"B")="B","","E")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+IFERROR(VLOOKUP(B422,Foundation!$C$8:$E$696,3,FALSE),"")</f>
        <v>DRY</v>
      </c>
      <c r="L422" s="435" t="str">
        <f>+IF(IFERROR(MATCH(B422,'Erection Compiled'!$C$6:$C$785,0),"B")="B","","E")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+IFERROR(VLOOKUP(B423,Foundation!$C$8:$E$696,3,FALSE),"")</f>
        <v>DRY</v>
      </c>
      <c r="L423" s="435" t="str">
        <f>+IF(IFERROR(MATCH(B423,'Erection Compiled'!$C$6:$C$785,0),"B")="B","","E")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+IFERROR(VLOOKUP(B424,Foundation!$C$8:$E$696,3,FALSE),"")</f>
        <v>DRY</v>
      </c>
      <c r="L424" s="435" t="str">
        <f>+IF(IFERROR(MATCH(B424,'Erection Compiled'!$C$6:$C$785,0),"B")="B","","E")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+IFERROR(VLOOKUP(B425,Foundation!$C$8:$E$696,3,FALSE),"")</f>
        <v>DRY</v>
      </c>
      <c r="L425" s="435" t="str">
        <f>+IF(IFERROR(MATCH(B425,'Erection Compiled'!$C$6:$C$785,0),"B")="B","","E")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+IFERROR(VLOOKUP(B426,Foundation!$C$8:$E$696,3,FALSE),"")</f>
        <v>DRY</v>
      </c>
      <c r="L426" s="435" t="str">
        <f>+IF(IFERROR(MATCH(B426,'Erection Compiled'!$C$6:$C$785,0),"B")="B","","E")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+IFERROR(VLOOKUP(B427,Foundation!$C$8:$E$696,3,FALSE),"")</f>
        <v>DRY</v>
      </c>
      <c r="L427" s="435" t="str">
        <f>+IF(IFERROR(MATCH(B427,'Erection Compiled'!$C$6:$C$785,0),"B")="B","","E")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+IFERROR(VLOOKUP(B428,Foundation!$C$8:$E$696,3,FALSE),"")</f>
        <v>DRY</v>
      </c>
      <c r="L428" s="435" t="str">
        <f>+IF(IFERROR(MATCH(B428,'Erection Compiled'!$C$6:$C$785,0),"B")="B","","E")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+IFERROR(VLOOKUP(B429,Foundation!$C$8:$E$696,3,FALSE),"")</f>
        <v>DRY</v>
      </c>
      <c r="L429" s="435" t="str">
        <f>+IF(IFERROR(MATCH(B429,'Erection Compiled'!$C$6:$C$785,0),"B")="B","","E")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+IFERROR(VLOOKUP(B430,Foundation!$C$8:$E$696,3,FALSE),"")</f>
        <v>DRY</v>
      </c>
      <c r="L430" s="435" t="str">
        <f>+IF(IFERROR(MATCH(B430,'Erection Compiled'!$C$6:$C$785,0),"B")="B","","E")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+IFERROR(VLOOKUP(B431,Foundation!$C$8:$E$696,3,FALSE),"")</f>
        <v>DRY</v>
      </c>
      <c r="L431" s="435" t="str">
        <f>+IF(IFERROR(MATCH(B431,'Erection Compiled'!$C$6:$C$785,0),"B")="B","","E")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+IFERROR(VLOOKUP(B432,Foundation!$C$8:$E$696,3,FALSE),"")</f>
        <v>DRY</v>
      </c>
      <c r="L432" s="435" t="str">
        <f>+IF(IFERROR(MATCH(B432,'Erection Compiled'!$C$6:$C$785,0),"B")="B","","E")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+IFERROR(VLOOKUP(B433,Foundation!$C$8:$E$696,3,FALSE),"")</f>
        <v>DRY</v>
      </c>
      <c r="L433" s="435" t="str">
        <f>+IF(IFERROR(MATCH(B433,'Erection Compiled'!$C$6:$C$785,0),"B")="B","","E")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+IFERROR(VLOOKUP(B434,Foundation!$C$8:$E$696,3,FALSE),"")</f>
        <v>DRY</v>
      </c>
      <c r="L434" s="435" t="str">
        <f>+IF(IFERROR(MATCH(B434,'Erection Compiled'!$C$6:$C$785,0),"B")="B","","E")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+IFERROR(VLOOKUP(B435,Foundation!$C$8:$E$696,3,FALSE),"")</f>
        <v>DRY</v>
      </c>
      <c r="L435" s="435" t="str">
        <f>+IF(IFERROR(MATCH(B435,'Erection Compiled'!$C$6:$C$785,0),"B")="B","","E")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+IFERROR(VLOOKUP(B436,Foundation!$C$8:$E$696,3,FALSE),"")</f>
        <v>DRY</v>
      </c>
      <c r="L436" s="435" t="str">
        <f>+IF(IFERROR(MATCH(B436,'Erection Compiled'!$C$6:$C$785,0),"B")="B","","E")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+IFERROR(VLOOKUP(B437,Foundation!$C$8:$E$696,3,FALSE),"")</f>
        <v>DRY</v>
      </c>
      <c r="L437" s="435" t="str">
        <f>+IF(IFERROR(MATCH(B437,'Erection Compiled'!$C$6:$C$785,0),"B")="B","","E")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+IFERROR(VLOOKUP(B438,Foundation!$C$8:$E$696,3,FALSE),"")</f>
        <v>DRY</v>
      </c>
      <c r="L438" s="435" t="str">
        <f>+IF(IFERROR(MATCH(B438,'Erection Compiled'!$C$6:$C$785,0),"B")="B","","E")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+IFERROR(VLOOKUP(B439,Foundation!$C$8:$E$696,3,FALSE),"")</f>
        <v>DRY</v>
      </c>
      <c r="L439" s="435" t="str">
        <f>+IF(IFERROR(MATCH(B439,'Erection Compiled'!$C$6:$C$785,0),"B")="B","","E")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+IFERROR(VLOOKUP(B440,Foundation!$C$8:$E$696,3,FALSE),"")</f>
        <v>DRY</v>
      </c>
      <c r="L440" s="435" t="str">
        <f>+IF(IFERROR(MATCH(B440,'Erection Compiled'!$C$6:$C$785,0),"B")="B","","E")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+IFERROR(VLOOKUP(B441,Foundation!$C$8:$E$696,3,FALSE),"")</f>
        <v>DRY</v>
      </c>
      <c r="L441" s="435" t="str">
        <f>+IF(IFERROR(MATCH(B441,'Erection Compiled'!$C$6:$C$785,0),"B")="B","","E")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+IFERROR(VLOOKUP(B442,Foundation!$C$8:$E$696,3,FALSE),"")</f>
        <v>DRY</v>
      </c>
      <c r="L442" s="435" t="str">
        <f>+IF(IFERROR(MATCH(B442,'Erection Compiled'!$C$6:$C$785,0),"B")="B","","E")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+IFERROR(VLOOKUP(B443,Foundation!$C$8:$E$696,3,FALSE),"")</f>
        <v>DRY</v>
      </c>
      <c r="L443" s="435" t="str">
        <f>+IF(IFERROR(MATCH(B443,'Erection Compiled'!$C$6:$C$785,0),"B")="B","","E")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+IFERROR(VLOOKUP(B444,Foundation!$C$8:$E$696,3,FALSE),"")</f>
        <v>DRY</v>
      </c>
      <c r="L444" s="435" t="str">
        <f>+IF(IFERROR(MATCH(B444,'Erection Compiled'!$C$6:$C$785,0),"B")="B","","E")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+IFERROR(VLOOKUP(B445,Foundation!$C$8:$E$696,3,FALSE),"")</f>
        <v>DRY</v>
      </c>
      <c r="L445" s="435" t="str">
        <f>+IF(IFERROR(MATCH(B445,'Erection Compiled'!$C$6:$C$785,0),"B")="B","","E")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+IFERROR(VLOOKUP(B446,Foundation!$C$8:$E$696,3,FALSE),"")</f>
        <v>DRY</v>
      </c>
      <c r="L446" s="435" t="str">
        <f>+IF(IFERROR(MATCH(B446,'Erection Compiled'!$C$6:$C$785,0),"B")="B","","E")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+IFERROR(VLOOKUP(B447,Foundation!$C$8:$E$696,3,FALSE),"")</f>
        <v>DRY</v>
      </c>
      <c r="L447" s="435" t="str">
        <f>+IF(IFERROR(MATCH(B447,'Erection Compiled'!$C$6:$C$785,0),"B")="B","","E")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+IFERROR(VLOOKUP(B448,Foundation!$C$8:$E$696,3,FALSE),"")</f>
        <v>DRY</v>
      </c>
      <c r="L448" s="435" t="str">
        <f>+IF(IFERROR(MATCH(B448,'Erection Compiled'!$C$6:$C$785,0),"B")="B","","E")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+IFERROR(VLOOKUP(B449,Foundation!$C$8:$E$696,3,FALSE),"")</f>
        <v>DRY</v>
      </c>
      <c r="L449" s="435" t="str">
        <f>+IF(IFERROR(MATCH(B449,'Erection Compiled'!$C$6:$C$785,0),"B")="B","","E")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+IFERROR(VLOOKUP(B450,Foundation!$C$8:$E$696,3,FALSE),"")</f>
        <v>DRY</v>
      </c>
      <c r="L450" s="435" t="str">
        <f>+IF(IFERROR(MATCH(B450,'Erection Compiled'!$C$6:$C$785,0),"B")="B","","E")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+IFERROR(VLOOKUP(B451,Foundation!$C$8:$E$696,3,FALSE),"")</f>
        <v>DRY</v>
      </c>
      <c r="L451" s="435" t="str">
        <f>+IF(IFERROR(MATCH(B451,'Erection Compiled'!$C$6:$C$785,0),"B")="B","","E")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+IFERROR(VLOOKUP(B452,Foundation!$C$8:$E$696,3,FALSE),"")</f>
        <v>DRY</v>
      </c>
      <c r="L452" s="435" t="str">
        <f>+IF(IFERROR(MATCH(B452,'Erection Compiled'!$C$6:$C$785,0),"B")="B","","E")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+IFERROR(VLOOKUP(B453,Foundation!$C$8:$E$696,3,FALSE),"")</f>
        <v>DRY</v>
      </c>
      <c r="L453" s="435" t="str">
        <f>+IF(IFERROR(MATCH(B453,'Erection Compiled'!$C$6:$C$785,0),"B")="B","","E")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+IFERROR(VLOOKUP(B454,Foundation!$C$8:$E$696,3,FALSE),"")</f>
        <v>DFR</v>
      </c>
      <c r="L454" s="435" t="str">
        <f>+IF(IFERROR(MATCH(B454,'Erection Compiled'!$C$6:$C$785,0),"B")="B","","E")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+IFERROR(VLOOKUP(B455,Foundation!$C$8:$E$696,3,FALSE),"")</f>
        <v>DRY</v>
      </c>
      <c r="L455" s="435" t="str">
        <f>+IF(IFERROR(MATCH(B455,'Erection Compiled'!$C$6:$C$785,0),"B")="B","","E")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+IFERROR(VLOOKUP(B456,Foundation!$C$8:$E$696,3,FALSE),"")</f>
        <v>DRY</v>
      </c>
      <c r="L456" s="435" t="str">
        <f>+IF(IFERROR(MATCH(B456,'Erection Compiled'!$C$6:$C$785,0),"B")="B","","E")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+IFERROR(VLOOKUP(B457,Foundation!$C$8:$E$696,3,FALSE),"")</f>
        <v>DRY</v>
      </c>
      <c r="L457" s="435" t="str">
        <f>+IF(IFERROR(MATCH(B457,'Erection Compiled'!$C$6:$C$785,0),"B")="B","","E")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+IFERROR(VLOOKUP(B458,Foundation!$C$8:$E$696,3,FALSE),"")</f>
        <v>DRY</v>
      </c>
      <c r="L458" s="435" t="str">
        <f>+IF(IFERROR(MATCH(B458,'Erection Compiled'!$C$6:$C$785,0),"B")="B","","E")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+IFERROR(VLOOKUP(B459,Foundation!$C$8:$E$696,3,FALSE),"")</f>
        <v>DRY</v>
      </c>
      <c r="L459" s="435" t="str">
        <f>+IF(IFERROR(MATCH(B459,'Erection Compiled'!$C$6:$C$785,0),"B")="B","","E")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+IFERROR(VLOOKUP(B460,Foundation!$C$8:$E$696,3,FALSE),"")</f>
        <v>DRY</v>
      </c>
      <c r="L460" s="435" t="str">
        <f>+IF(IFERROR(MATCH(B460,'Erection Compiled'!$C$6:$C$785,0),"B")="B","","E")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+IFERROR(VLOOKUP(B461,Foundation!$C$8:$E$696,3,FALSE),"")</f>
        <v>DRY</v>
      </c>
      <c r="L461" s="435" t="str">
        <f>+IF(IFERROR(MATCH(B461,'Erection Compiled'!$C$6:$C$785,0),"B")="B","","E")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+IFERROR(VLOOKUP(B462,Foundation!$C$8:$E$696,3,FALSE),"")</f>
        <v>DRY</v>
      </c>
      <c r="L462" s="435" t="str">
        <f>+IF(IFERROR(MATCH(B462,'Erection Compiled'!$C$6:$C$785,0),"B")="B","","E")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+IFERROR(VLOOKUP(B463,Foundation!$C$8:$E$696,3,FALSE),"")</f>
        <v>DRY</v>
      </c>
      <c r="L463" s="435" t="str">
        <f>+IF(IFERROR(MATCH(B463,'Erection Compiled'!$C$6:$C$785,0),"B")="B","","E")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+IFERROR(VLOOKUP(B464,Foundation!$C$8:$E$696,3,FALSE),"")</f>
        <v>DRY</v>
      </c>
      <c r="L464" s="435" t="str">
        <f>+IF(IFERROR(MATCH(B464,'Erection Compiled'!$C$6:$C$785,0),"B")="B","","E")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+IFERROR(VLOOKUP(B465,Foundation!$C$8:$E$696,3,FALSE),"")</f>
        <v>DRY</v>
      </c>
      <c r="L465" s="435" t="str">
        <f>+IF(IFERROR(MATCH(B465,'Erection Compiled'!$C$6:$C$785,0),"B")="B","","E")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+IFERROR(VLOOKUP(B466,Foundation!$C$8:$E$696,3,FALSE),"")</f>
        <v>DRY</v>
      </c>
      <c r="L466" s="435" t="str">
        <f>+IF(IFERROR(MATCH(B466,'Erection Compiled'!$C$6:$C$785,0),"B")="B","","E")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+IFERROR(VLOOKUP(B467,Foundation!$C$8:$E$696,3,FALSE),"")</f>
        <v>DRY</v>
      </c>
      <c r="L467" s="435" t="str">
        <f>+IF(IFERROR(MATCH(B467,'Erection Compiled'!$C$6:$C$785,0),"B")="B","","E")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+IFERROR(VLOOKUP(B468,Foundation!$C$8:$E$696,3,FALSE),"")</f>
        <v>DRY</v>
      </c>
      <c r="L468" s="435" t="str">
        <f>+IF(IFERROR(MATCH(B468,'Erection Compiled'!$C$6:$C$785,0),"B")="B","","E")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+IFERROR(VLOOKUP(B469,Foundation!$C$8:$E$696,3,FALSE),"")</f>
        <v>DRY</v>
      </c>
      <c r="L469" s="435" t="str">
        <f>+IF(IFERROR(MATCH(B469,'Erection Compiled'!$C$6:$C$785,0),"B")="B","","E")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+IFERROR(VLOOKUP(B470,Foundation!$C$8:$E$696,3,FALSE),"")</f>
        <v>DRY</v>
      </c>
      <c r="L470" s="435" t="str">
        <f>+IF(IFERROR(MATCH(B470,'Erection Compiled'!$C$6:$C$785,0),"B")="B","","E")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+IFERROR(VLOOKUP(B471,Foundation!$C$8:$E$696,3,FALSE),"")</f>
        <v>DRY</v>
      </c>
      <c r="L471" s="435" t="str">
        <f>+IF(IFERROR(MATCH(B471,'Erection Compiled'!$C$6:$C$785,0),"B")="B","","E")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+IFERROR(VLOOKUP(B472,Foundation!$C$8:$E$696,3,FALSE),"")</f>
        <v>DRY</v>
      </c>
      <c r="L472" s="435" t="str">
        <f>+IF(IFERROR(MATCH(B472,'Erection Compiled'!$C$6:$C$785,0),"B")="B","","E")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+IFERROR(VLOOKUP(B473,Foundation!$C$8:$E$696,3,FALSE),"")</f>
        <v>DRY</v>
      </c>
      <c r="L473" s="435" t="str">
        <f>+IF(IFERROR(MATCH(B473,'Erection Compiled'!$C$6:$C$785,0),"B")="B","","E")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+IFERROR(VLOOKUP(B474,Foundation!$C$8:$E$696,3,FALSE),"")</f>
        <v>DRY</v>
      </c>
      <c r="L474" s="435" t="str">
        <f>+IF(IFERROR(MATCH(B474,'Erection Compiled'!$C$6:$C$785,0),"B")="B","","E")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+IFERROR(VLOOKUP(B475,Foundation!$C$8:$E$696,3,FALSE),"")</f>
        <v>DRY</v>
      </c>
      <c r="L475" s="435" t="str">
        <f>+IF(IFERROR(MATCH(B475,'Erection Compiled'!$C$6:$C$785,0),"B")="B","","E")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+IFERROR(VLOOKUP(B476,Foundation!$C$8:$E$696,3,FALSE),"")</f>
        <v>DRY</v>
      </c>
      <c r="L476" s="435" t="str">
        <f>+IF(IFERROR(MATCH(B476,'Erection Compiled'!$C$6:$C$785,0),"B")="B","","E")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+IFERROR(VLOOKUP(B477,Foundation!$C$8:$E$696,3,FALSE),"")</f>
        <v>DRY</v>
      </c>
      <c r="L477" s="435" t="str">
        <f>+IF(IFERROR(MATCH(B477,'Erection Compiled'!$C$6:$C$785,0),"B")="B","","E")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+IFERROR(VLOOKUP(B478,Foundation!$C$8:$E$696,3,FALSE),"")</f>
        <v>DRY</v>
      </c>
      <c r="L478" s="435" t="str">
        <f>+IF(IFERROR(MATCH(B478,'Erection Compiled'!$C$6:$C$785,0),"B")="B","","E")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+IFERROR(VLOOKUP(B479,Foundation!$C$8:$E$696,3,FALSE),"")</f>
        <v>DRY</v>
      </c>
      <c r="L479" s="435" t="str">
        <f>+IF(IFERROR(MATCH(B479,'Erection Compiled'!$C$6:$C$785,0),"B")="B","","E")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+IFERROR(VLOOKUP(B480,Foundation!$C$8:$E$696,3,FALSE),"")</f>
        <v>DRY</v>
      </c>
      <c r="L480" s="435" t="str">
        <f>+IF(IFERROR(MATCH(B480,'Erection Compiled'!$C$6:$C$785,0),"B")="B","","E")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+IFERROR(VLOOKUP(B481,Foundation!$C$8:$E$696,3,FALSE),"")</f>
        <v>DRY</v>
      </c>
      <c r="L481" s="435" t="str">
        <f>+IF(IFERROR(MATCH(B481,'Erection Compiled'!$C$6:$C$785,0),"B")="B","","E")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+IFERROR(VLOOKUP(B482,Foundation!$C$8:$E$696,3,FALSE),"")</f>
        <v>DRY</v>
      </c>
      <c r="L482" s="435" t="str">
        <f>+IF(IFERROR(MATCH(B482,'Erection Compiled'!$C$6:$C$785,0),"B")="B","","E")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+IFERROR(VLOOKUP(B483,Foundation!$C$8:$E$696,3,FALSE),"")</f>
        <v>DRY</v>
      </c>
      <c r="L483" s="435" t="str">
        <f>+IF(IFERROR(MATCH(B483,'Erection Compiled'!$C$6:$C$785,0),"B")="B","","E")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+IFERROR(VLOOKUP(B484,Foundation!$C$8:$E$696,3,FALSE),"")</f>
        <v>DRY</v>
      </c>
      <c r="L484" s="435" t="str">
        <f>+IF(IFERROR(MATCH(B484,'Erection Compiled'!$C$6:$C$785,0),"B")="B","","E")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+IFERROR(VLOOKUP(B485,Foundation!$C$8:$E$696,3,FALSE),"")</f>
        <v>DRY</v>
      </c>
      <c r="L485" s="435" t="str">
        <f>+IF(IFERROR(MATCH(B485,'Erection Compiled'!$C$6:$C$785,0),"B")="B","","E")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+IFERROR(VLOOKUP(B486,Foundation!$C$8:$E$696,3,FALSE),"")</f>
        <v>DRY</v>
      </c>
      <c r="L486" s="435" t="str">
        <f>+IF(IFERROR(MATCH(B486,'Erection Compiled'!$C$6:$C$785,0),"B")="B","","E")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+IFERROR(VLOOKUP(B487,Foundation!$C$8:$E$696,3,FALSE),"")</f>
        <v>DRY</v>
      </c>
      <c r="L487" s="435" t="str">
        <f>+IF(IFERROR(MATCH(B487,'Erection Compiled'!$C$6:$C$785,0),"B")="B","","E")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+IFERROR(VLOOKUP(B488,Foundation!$C$8:$E$696,3,FALSE),"")</f>
        <v>DRY</v>
      </c>
      <c r="L488" s="435" t="str">
        <f>+IF(IFERROR(MATCH(B488,'Erection Compiled'!$C$6:$C$785,0),"B")="B","","E")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+IFERROR(VLOOKUP(B489,Foundation!$C$8:$E$696,3,FALSE),"")</f>
        <v>DRY</v>
      </c>
      <c r="L489" s="435" t="str">
        <f>+IF(IFERROR(MATCH(B489,'Erection Compiled'!$C$6:$C$785,0),"B")="B","","E")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+IFERROR(VLOOKUP(B490,Foundation!$C$8:$E$696,3,FALSE),"")</f>
        <v>DRY</v>
      </c>
      <c r="L490" s="435" t="str">
        <f>+IF(IFERROR(MATCH(B490,'Erection Compiled'!$C$6:$C$785,0),"B")="B","","E")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+IFERROR(VLOOKUP(B491,Foundation!$C$8:$E$696,3,FALSE),"")</f>
        <v>Sandy</v>
      </c>
      <c r="L491" s="435" t="str">
        <f>+IF(IFERROR(MATCH(B491,'Erection Compiled'!$C$6:$C$785,0),"B")="B","","E")</f>
        <v>E</v>
      </c>
      <c r="M491" s="435" t="str">
        <f>+IFERROR(VLOOKUP(B491,Tackwelding!$B$6:$G$599,6,FALSE),"")</f>
        <v>Done</v>
      </c>
    </row>
    <row r="492" spans="1:13" x14ac:dyDescent="0.25">
      <c r="K492" s="435" t="str">
        <f>+IFERROR(VLOOKUP(B492,Foundation!$C$8:$E$696,3,FALSE),"")</f>
        <v/>
      </c>
    </row>
    <row r="493" spans="1:13" x14ac:dyDescent="0.25">
      <c r="K493" s="435" t="str">
        <f>+IFERROR(VLOOKUP(B493,Foundation!$C$8:$E$696,3,FALSE),"")</f>
        <v/>
      </c>
    </row>
    <row r="494" spans="1:13" x14ac:dyDescent="0.25">
      <c r="K494" s="435" t="str">
        <f>+IFERROR(VLOOKUP(B494,Foundation!$C$8:$E$696,3,FALSE),"")</f>
        <v/>
      </c>
    </row>
    <row r="495" spans="1:13" x14ac:dyDescent="0.25">
      <c r="K495" s="435" t="str">
        <f>+IFERROR(VLOOKUP(B495,Foundation!$C$8:$E$696,3,FALSE),"")</f>
        <v/>
      </c>
    </row>
    <row r="496" spans="1:13" x14ac:dyDescent="0.25">
      <c r="K496" s="435" t="str">
        <f>+IFERROR(VLOOKUP(B496,Foundation!$C$8:$E$696,3,FALSE),"")</f>
        <v/>
      </c>
    </row>
    <row r="497" spans="11:11" x14ac:dyDescent="0.25">
      <c r="K497" s="435" t="str">
        <f>+IFERROR(VLOOKUP(B497,Foundation!$C$8:$E$696,3,FALSE),"")</f>
        <v/>
      </c>
    </row>
    <row r="498" spans="11:11" x14ac:dyDescent="0.25">
      <c r="K498" s="435" t="str">
        <f>+IFERROR(VLOOKUP(B498,Foundation!$C$8:$E$696,3,FALSE),"")</f>
        <v/>
      </c>
    </row>
    <row r="499" spans="11:11" x14ac:dyDescent="0.25">
      <c r="K499" s="435" t="str">
        <f>+IFERROR(VLOOKUP(B499,Foundation!$C$8:$E$696,3,FALSE),"")</f>
        <v/>
      </c>
    </row>
    <row r="500" spans="11:11" x14ac:dyDescent="0.25">
      <c r="K500" s="435" t="str">
        <f>+IFERROR(VLOOKUP(B500,Foundation!$C$8:$E$696,3,FALSE),"")</f>
        <v/>
      </c>
    </row>
    <row r="501" spans="11:11" x14ac:dyDescent="0.25">
      <c r="K501" s="435" t="str">
        <f>+IFERROR(VLOOKUP(B501,Foundation!$C$8:$E$696,3,FALSE),"")</f>
        <v/>
      </c>
    </row>
    <row r="502" spans="11:11" x14ac:dyDescent="0.25">
      <c r="K502" s="435" t="str">
        <f>+IFERROR(VLOOKUP(B502,Foundation!$C$8:$E$696,3,FALSE),"")</f>
        <v/>
      </c>
    </row>
    <row r="503" spans="11:11" x14ac:dyDescent="0.25">
      <c r="K503" s="435" t="str">
        <f>+IFERROR(VLOOKUP(B503,Foundation!$C$8:$E$696,3,FALSE),"")</f>
        <v/>
      </c>
    </row>
    <row r="504" spans="11:11" x14ac:dyDescent="0.25">
      <c r="K504" s="435" t="str">
        <f>+IFERROR(VLOOKUP(B504,Foundation!$C$8:$E$696,3,FALSE),"")</f>
        <v/>
      </c>
    </row>
    <row r="505" spans="11:11" x14ac:dyDescent="0.25">
      <c r="K505" s="435" t="str">
        <f>+IFERROR(VLOOKUP(B505,Foundation!$C$8:$E$696,3,FALSE),"")</f>
        <v/>
      </c>
    </row>
    <row r="506" spans="11:11" x14ac:dyDescent="0.25">
      <c r="K506" s="435" t="str">
        <f>+IFERROR(VLOOKUP(B506,Foundation!$C$8:$E$696,3,FALSE),"")</f>
        <v/>
      </c>
    </row>
    <row r="507" spans="11:11" x14ac:dyDescent="0.25">
      <c r="K507" s="435" t="str">
        <f>+IFERROR(VLOOKUP(B507,Foundation!$C$8:$E$696,3,FALSE),"")</f>
        <v/>
      </c>
    </row>
    <row r="508" spans="11:11" x14ac:dyDescent="0.25">
      <c r="K508" s="435" t="str">
        <f>+IFERROR(VLOOKUP(B508,Foundation!$C$8:$E$696,3,FALSE),"")</f>
        <v/>
      </c>
    </row>
    <row r="509" spans="11:11" x14ac:dyDescent="0.25">
      <c r="K509" s="435" t="str">
        <f>+IFERROR(VLOOKUP(B509,Foundation!$C$8:$E$696,3,FALSE),"")</f>
        <v/>
      </c>
    </row>
    <row r="510" spans="11:11" x14ac:dyDescent="0.25">
      <c r="K510" s="435" t="str">
        <f>+IFERROR(VLOOKUP(B510,Foundation!$C$8:$E$696,3,FALSE),"")</f>
        <v/>
      </c>
    </row>
    <row r="511" spans="11:11" x14ac:dyDescent="0.25">
      <c r="K511" s="435" t="str">
        <f>+IFERROR(VLOOKUP(B511,Foundation!$C$8:$E$696,3,FALSE),"")</f>
        <v/>
      </c>
    </row>
    <row r="512" spans="11:11" x14ac:dyDescent="0.25">
      <c r="K512" s="435" t="str">
        <f>+IFERROR(VLOOKUP(B512,Foundation!$C$8:$E$696,3,FALSE),"")</f>
        <v/>
      </c>
    </row>
    <row r="513" spans="11:11" x14ac:dyDescent="0.25">
      <c r="K513" s="435" t="str">
        <f>+IFERROR(VLOOKUP(B513,Foundation!$C$8:$E$696,3,FALSE),"")</f>
        <v/>
      </c>
    </row>
    <row r="514" spans="11:11" x14ac:dyDescent="0.25">
      <c r="K514" s="435" t="str">
        <f>+IFERROR(VLOOKUP(B514,Foundation!$C$8:$E$696,3,FALSE),"")</f>
        <v/>
      </c>
    </row>
    <row r="515" spans="11:11" x14ac:dyDescent="0.25">
      <c r="K515" s="435" t="str">
        <f>+IFERROR(VLOOKUP(B515,Foundation!$C$8:$E$696,3,FALSE),"")</f>
        <v/>
      </c>
    </row>
    <row r="516" spans="11:11" x14ac:dyDescent="0.25">
      <c r="K516" s="435" t="str">
        <f>+IFERROR(VLOOKUP(B516,Foundation!$C$8:$E$696,3,FALSE),"")</f>
        <v/>
      </c>
    </row>
    <row r="517" spans="11:11" x14ac:dyDescent="0.25">
      <c r="K517" s="435" t="str">
        <f>+IFERROR(VLOOKUP(B517,Foundation!$C$8:$E$696,3,FALSE),"")</f>
        <v/>
      </c>
    </row>
    <row r="518" spans="11:11" x14ac:dyDescent="0.25">
      <c r="K518" s="435" t="str">
        <f>+IFERROR(VLOOKUP(B518,Foundation!$C$8:$E$696,3,FALSE),"")</f>
        <v/>
      </c>
    </row>
    <row r="519" spans="11:11" x14ac:dyDescent="0.25">
      <c r="K519" s="435" t="str">
        <f>+IFERROR(VLOOKUP(B519,Foundation!$C$8:$E$696,3,FALSE),"")</f>
        <v/>
      </c>
    </row>
    <row r="520" spans="11:11" x14ac:dyDescent="0.25">
      <c r="K520" s="435" t="str">
        <f>+IFERROR(VLOOKUP(B520,Foundation!$C$8:$E$696,3,FALSE),"")</f>
        <v/>
      </c>
    </row>
    <row r="521" spans="11:11" x14ac:dyDescent="0.25">
      <c r="K521" s="435" t="str">
        <f>+IFERROR(VLOOKUP(B521,Foundation!$C$8:$E$696,3,FALSE),"")</f>
        <v/>
      </c>
    </row>
    <row r="522" spans="11:11" x14ac:dyDescent="0.25">
      <c r="K522" s="435" t="str">
        <f>+IFERROR(VLOOKUP(B522,Foundation!$C$8:$E$696,3,FALSE),"")</f>
        <v/>
      </c>
    </row>
    <row r="523" spans="11:11" x14ac:dyDescent="0.25">
      <c r="K523" s="435" t="str">
        <f>+IFERROR(VLOOKUP(B523,Foundation!$C$8:$E$696,3,FALSE),"")</f>
        <v/>
      </c>
    </row>
    <row r="524" spans="11:11" x14ac:dyDescent="0.25">
      <c r="K524" s="435" t="str">
        <f>+IFERROR(VLOOKUP(B524,Foundation!$C$8:$E$696,3,FALSE),"")</f>
        <v/>
      </c>
    </row>
    <row r="525" spans="11:11" x14ac:dyDescent="0.25">
      <c r="K525" s="435" t="str">
        <f>+IFERROR(VLOOKUP(B525,Foundation!$C$8:$E$696,3,FALSE),"")</f>
        <v/>
      </c>
    </row>
    <row r="526" spans="11:11" x14ac:dyDescent="0.25">
      <c r="K526" s="435" t="str">
        <f>+IFERROR(VLOOKUP(B526,Foundation!$C$8:$E$696,3,FALSE),"")</f>
        <v/>
      </c>
    </row>
    <row r="527" spans="11:11" x14ac:dyDescent="0.25">
      <c r="K527" s="435" t="str">
        <f>+IFERROR(VLOOKUP(B527,Foundation!$C$8:$E$696,3,FALSE),"")</f>
        <v/>
      </c>
    </row>
    <row r="528" spans="11:11" x14ac:dyDescent="0.25">
      <c r="K528" s="435" t="str">
        <f>+IFERROR(VLOOKUP(B528,Foundation!$C$8:$E$696,3,FALSE),"")</f>
        <v/>
      </c>
    </row>
    <row r="529" spans="11:11" x14ac:dyDescent="0.25">
      <c r="K529" s="435" t="str">
        <f>+IFERROR(VLOOKUP(B529,Foundation!$C$8:$E$696,3,FALSE),"")</f>
        <v/>
      </c>
    </row>
    <row r="530" spans="11:11" x14ac:dyDescent="0.25">
      <c r="K530" s="43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1278</v>
      </c>
      <c r="I1" s="464" t="s">
        <v>19</v>
      </c>
      <c r="J1" s="719">
        <f>+SUM(J7:J221)</f>
        <v>35308.548700000007</v>
      </c>
      <c r="K1" s="719"/>
      <c r="L1" s="719">
        <f>+SUM(L7:L221)</f>
        <v>22312.440700000006</v>
      </c>
      <c r="M1" s="719"/>
      <c r="N1" s="719">
        <f>+SUM(N7:N221)</f>
        <v>17716.217000000001</v>
      </c>
    </row>
    <row r="2" spans="1:16" x14ac:dyDescent="0.2">
      <c r="A2" s="216"/>
      <c r="I2" s="718" t="s">
        <v>1640</v>
      </c>
      <c r="J2" s="720">
        <f>+COUNTA(B7:B221)</f>
        <v>215</v>
      </c>
      <c r="K2" s="464"/>
      <c r="L2" s="720">
        <f>+COUNTA(L7:L221)</f>
        <v>175</v>
      </c>
      <c r="M2" s="464"/>
      <c r="N2" s="720">
        <f>+COUNTA(N7:N221)</f>
        <v>140</v>
      </c>
    </row>
    <row r="3" spans="1:16" x14ac:dyDescent="0.2">
      <c r="A3" s="966" t="s">
        <v>1255</v>
      </c>
      <c r="B3" s="966"/>
      <c r="C3" s="966"/>
      <c r="D3" s="966"/>
      <c r="E3" s="966"/>
      <c r="F3" s="966"/>
      <c r="G3" s="966"/>
      <c r="H3" s="966"/>
      <c r="I3" s="966"/>
      <c r="J3" s="966"/>
      <c r="K3" s="966"/>
      <c r="L3" s="966"/>
      <c r="M3" s="966"/>
      <c r="N3" s="966"/>
      <c r="O3" s="966"/>
    </row>
    <row r="4" spans="1:16" ht="38.25" customHeight="1" x14ac:dyDescent="0.2">
      <c r="A4" s="965" t="s">
        <v>304</v>
      </c>
      <c r="B4" s="965" t="s">
        <v>1204</v>
      </c>
      <c r="C4" s="967" t="s">
        <v>4</v>
      </c>
      <c r="D4" s="967" t="s">
        <v>1256</v>
      </c>
      <c r="E4" s="967" t="s">
        <v>1257</v>
      </c>
      <c r="F4" s="967" t="s">
        <v>1258</v>
      </c>
      <c r="G4" s="967"/>
      <c r="H4" s="967"/>
      <c r="I4" s="967"/>
      <c r="J4" s="965" t="s">
        <v>1259</v>
      </c>
      <c r="K4" s="965"/>
      <c r="L4" s="965" t="s">
        <v>1276</v>
      </c>
      <c r="M4" s="965"/>
      <c r="N4" s="965" t="s">
        <v>1277</v>
      </c>
      <c r="O4" s="965"/>
    </row>
    <row r="5" spans="1:16" ht="26.25" customHeight="1" x14ac:dyDescent="0.2">
      <c r="A5" s="965"/>
      <c r="B5" s="965"/>
      <c r="C5" s="967"/>
      <c r="D5" s="967"/>
      <c r="E5" s="967"/>
      <c r="F5" s="445" t="s">
        <v>108</v>
      </c>
      <c r="G5" s="445" t="s">
        <v>442</v>
      </c>
      <c r="H5" s="445" t="s">
        <v>420</v>
      </c>
      <c r="I5" s="445" t="s">
        <v>443</v>
      </c>
      <c r="J5" s="444" t="s">
        <v>1260</v>
      </c>
      <c r="K5" s="444" t="s">
        <v>1261</v>
      </c>
      <c r="L5" s="444" t="s">
        <v>1260</v>
      </c>
      <c r="M5" s="444" t="s">
        <v>1261</v>
      </c>
      <c r="N5" s="444" t="s">
        <v>1638</v>
      </c>
      <c r="O5" s="444" t="s">
        <v>1639</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1262</v>
      </c>
      <c r="G17" s="447" t="s">
        <v>1262</v>
      </c>
      <c r="H17" s="447" t="s">
        <v>1262</v>
      </c>
      <c r="I17" s="447" t="s">
        <v>1262</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1263</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1264</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1265</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1265</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1265</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1265</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1266</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1263</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1267</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1268</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1269</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1270</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1271</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1272</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1273</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1264</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1274</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1269</v>
      </c>
      <c r="E63" s="717">
        <v>227.21199999999999</v>
      </c>
      <c r="F63" s="447">
        <v>1</v>
      </c>
      <c r="G63" s="447"/>
      <c r="H63" s="447"/>
      <c r="I63" s="447"/>
      <c r="J63" s="461">
        <v>119.762</v>
      </c>
      <c r="K63" s="461"/>
      <c r="L63" s="461">
        <v>119.762</v>
      </c>
      <c r="M63" s="446"/>
      <c r="N63" s="701" t="s">
        <v>1610</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1611</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1612</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1275</v>
      </c>
      <c r="E72" s="717">
        <v>211.00700000000001</v>
      </c>
      <c r="F72" s="447">
        <v>1</v>
      </c>
      <c r="G72" s="447"/>
      <c r="H72" s="447"/>
      <c r="I72" s="447"/>
      <c r="J72" s="461">
        <v>50.281669999999998</v>
      </c>
      <c r="K72" s="461"/>
      <c r="L72" s="461">
        <v>50.281669999999998</v>
      </c>
      <c r="M72" s="446"/>
      <c r="N72" s="457" t="s">
        <v>1616</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1614</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1613</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1615</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1623</v>
      </c>
      <c r="O77" s="446" t="s">
        <v>144</v>
      </c>
      <c r="P77" s="274"/>
    </row>
    <row r="78" spans="1:16" x14ac:dyDescent="0.2">
      <c r="A78" s="448">
        <v>72</v>
      </c>
      <c r="B78" s="446" t="s">
        <v>535</v>
      </c>
      <c r="C78" s="447" t="s">
        <v>234</v>
      </c>
      <c r="D78" s="447" t="s">
        <v>1275</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1275</v>
      </c>
      <c r="E80" s="717">
        <v>218.25899999999999</v>
      </c>
      <c r="F80" s="447"/>
      <c r="G80" s="447"/>
      <c r="H80" s="447"/>
      <c r="I80" s="447"/>
      <c r="J80" s="461">
        <v>283.6687</v>
      </c>
      <c r="K80" s="461"/>
      <c r="L80" s="461">
        <v>283.6687</v>
      </c>
      <c r="M80" s="446"/>
      <c r="N80" s="457" t="s">
        <v>1622</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1275</v>
      </c>
      <c r="E82" s="717">
        <v>195.91499999999999</v>
      </c>
      <c r="F82" s="448">
        <v>2</v>
      </c>
      <c r="G82" s="448">
        <v>2</v>
      </c>
      <c r="H82" s="447">
        <v>2</v>
      </c>
      <c r="I82" s="447">
        <v>2</v>
      </c>
      <c r="J82" s="461">
        <v>15.318</v>
      </c>
      <c r="K82" s="461"/>
      <c r="L82" s="461">
        <v>15.318</v>
      </c>
      <c r="M82" s="446"/>
      <c r="N82" s="457" t="s">
        <v>1621</v>
      </c>
      <c r="O82" s="446" t="s">
        <v>144</v>
      </c>
      <c r="P82" s="274"/>
    </row>
    <row r="83" spans="1:16" x14ac:dyDescent="0.2">
      <c r="A83" s="448">
        <v>77</v>
      </c>
      <c r="B83" s="446" t="s">
        <v>540</v>
      </c>
      <c r="C83" s="447" t="s">
        <v>234</v>
      </c>
      <c r="D83" s="447" t="s">
        <v>1275</v>
      </c>
      <c r="E83" s="717">
        <v>188.108</v>
      </c>
      <c r="F83" s="448">
        <v>1</v>
      </c>
      <c r="G83" s="448">
        <v>1</v>
      </c>
      <c r="H83" s="447"/>
      <c r="I83" s="447">
        <v>1</v>
      </c>
      <c r="J83" s="461">
        <v>128.04599999999999</v>
      </c>
      <c r="K83" s="461"/>
      <c r="L83" s="461">
        <v>128.04599999999999</v>
      </c>
      <c r="M83" s="446"/>
      <c r="N83" s="457" t="s">
        <v>1620</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1619</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1618</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1617</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1264</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1698</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1699</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1280</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1280</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1281</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1281</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1280</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1280</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1282</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1280</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1280</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1280</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1280</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1280</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1281</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1280</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1280</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1280</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68" t="s">
        <v>1609</v>
      </c>
      <c r="B2" s="968"/>
      <c r="C2" s="968"/>
      <c r="D2" s="968"/>
      <c r="E2" s="968"/>
      <c r="F2" s="968"/>
    </row>
    <row r="3" spans="1:6" s="625" customFormat="1" x14ac:dyDescent="0.25">
      <c r="A3" s="476" t="s">
        <v>304</v>
      </c>
      <c r="B3" s="476" t="s">
        <v>1548</v>
      </c>
      <c r="C3" s="477" t="s">
        <v>1303</v>
      </c>
      <c r="D3" s="477" t="s">
        <v>1541</v>
      </c>
      <c r="E3" s="477" t="s">
        <v>1290</v>
      </c>
      <c r="F3" s="477" t="s">
        <v>1291</v>
      </c>
    </row>
    <row r="4" spans="1:6" x14ac:dyDescent="0.25">
      <c r="A4" s="472">
        <v>1</v>
      </c>
      <c r="B4" s="969" t="s">
        <v>296</v>
      </c>
      <c r="C4" s="470" t="s">
        <v>1286</v>
      </c>
      <c r="D4" s="470" t="s">
        <v>1287</v>
      </c>
      <c r="E4" s="470" t="s">
        <v>1292</v>
      </c>
      <c r="F4" s="472">
        <v>7082518194</v>
      </c>
    </row>
    <row r="5" spans="1:6" x14ac:dyDescent="0.25">
      <c r="A5" s="472">
        <v>2</v>
      </c>
      <c r="B5" s="970"/>
      <c r="C5" s="471" t="s">
        <v>1542</v>
      </c>
      <c r="D5" s="470" t="s">
        <v>1288</v>
      </c>
      <c r="E5" s="470" t="s">
        <v>1293</v>
      </c>
      <c r="F5" s="472">
        <v>9451783340</v>
      </c>
    </row>
    <row r="6" spans="1:6" x14ac:dyDescent="0.25">
      <c r="A6" s="472">
        <v>3</v>
      </c>
      <c r="B6" s="970"/>
      <c r="C6" s="471" t="s">
        <v>1543</v>
      </c>
      <c r="D6" s="471" t="s">
        <v>1452</v>
      </c>
      <c r="E6" s="684" t="s">
        <v>1295</v>
      </c>
      <c r="F6" s="472">
        <v>9598777205</v>
      </c>
    </row>
    <row r="7" spans="1:6" x14ac:dyDescent="0.25">
      <c r="A7" s="472">
        <v>4</v>
      </c>
      <c r="B7" s="970"/>
      <c r="C7" s="471" t="s">
        <v>1536</v>
      </c>
      <c r="D7" s="471" t="s">
        <v>1296</v>
      </c>
      <c r="E7" s="470" t="s">
        <v>1294</v>
      </c>
      <c r="F7" s="472">
        <v>8295788759</v>
      </c>
    </row>
    <row r="8" spans="1:6" x14ac:dyDescent="0.25">
      <c r="A8" s="472">
        <v>5</v>
      </c>
      <c r="B8" s="970"/>
      <c r="C8" s="471" t="s">
        <v>1539</v>
      </c>
      <c r="D8" s="471" t="s">
        <v>1537</v>
      </c>
      <c r="E8" s="470" t="s">
        <v>1544</v>
      </c>
      <c r="F8" s="472">
        <v>6005356903</v>
      </c>
    </row>
    <row r="9" spans="1:6" x14ac:dyDescent="0.25">
      <c r="A9" s="472">
        <v>6</v>
      </c>
      <c r="B9" s="970"/>
      <c r="C9" s="471" t="s">
        <v>1547</v>
      </c>
      <c r="D9" s="471" t="s">
        <v>1538</v>
      </c>
      <c r="E9" s="470" t="s">
        <v>1545</v>
      </c>
      <c r="F9" s="472">
        <v>9998643264</v>
      </c>
    </row>
    <row r="10" spans="1:6" x14ac:dyDescent="0.25">
      <c r="A10" s="472">
        <v>7</v>
      </c>
      <c r="B10" s="969" t="s">
        <v>293</v>
      </c>
      <c r="C10" s="470" t="s">
        <v>1286</v>
      </c>
      <c r="D10" s="470" t="s">
        <v>1287</v>
      </c>
      <c r="E10" s="470" t="s">
        <v>1292</v>
      </c>
      <c r="F10" s="472">
        <v>7082518194</v>
      </c>
    </row>
    <row r="11" spans="1:6" x14ac:dyDescent="0.25">
      <c r="A11" s="472">
        <v>8</v>
      </c>
      <c r="B11" s="970"/>
      <c r="C11" s="471" t="s">
        <v>1542</v>
      </c>
      <c r="D11" s="470" t="s">
        <v>1288</v>
      </c>
      <c r="E11" s="470" t="s">
        <v>1293</v>
      </c>
      <c r="F11" s="472">
        <v>9451783340</v>
      </c>
    </row>
    <row r="12" spans="1:6" x14ac:dyDescent="0.25">
      <c r="A12" s="472">
        <v>9</v>
      </c>
      <c r="B12" s="970"/>
      <c r="C12" s="471" t="s">
        <v>1546</v>
      </c>
      <c r="D12" s="471" t="s">
        <v>1452</v>
      </c>
      <c r="E12" s="684" t="s">
        <v>1295</v>
      </c>
      <c r="F12" s="472">
        <v>9598777205</v>
      </c>
    </row>
    <row r="13" spans="1:6" x14ac:dyDescent="0.25">
      <c r="A13" s="472">
        <v>10</v>
      </c>
      <c r="B13" s="970"/>
      <c r="C13" s="471" t="s">
        <v>1536</v>
      </c>
      <c r="D13" s="471" t="s">
        <v>1296</v>
      </c>
      <c r="E13" s="470" t="s">
        <v>1294</v>
      </c>
      <c r="F13" s="472">
        <v>8295788759</v>
      </c>
    </row>
    <row r="14" spans="1:6" x14ac:dyDescent="0.25">
      <c r="A14" s="472">
        <v>11</v>
      </c>
      <c r="B14" s="970"/>
      <c r="C14" s="471" t="s">
        <v>1539</v>
      </c>
      <c r="D14" s="471" t="s">
        <v>1537</v>
      </c>
      <c r="E14" s="470" t="s">
        <v>1544</v>
      </c>
      <c r="F14" s="472">
        <v>6005356903</v>
      </c>
    </row>
    <row r="15" spans="1:6" x14ac:dyDescent="0.25">
      <c r="A15" s="472">
        <v>12</v>
      </c>
      <c r="B15" s="970"/>
      <c r="C15" s="471" t="s">
        <v>1540</v>
      </c>
      <c r="D15" s="471" t="s">
        <v>1538</v>
      </c>
      <c r="E15" s="470" t="s">
        <v>1545</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2025-11-28T14:22:03Z</dcterms:modified>
</cp:coreProperties>
</file>