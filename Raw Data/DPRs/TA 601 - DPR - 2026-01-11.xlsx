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93BD2066-EF78-4B6F-B2C2-52AA39EEE17B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1" r:id="rId4"/>
    <sheet name="ROW" sheetId="3" r:id="rId5"/>
    <sheet name="X-ing Details " sheetId="7" r:id="rId6"/>
    <sheet name="SuPPLY " sheetId="4" r:id="rId7"/>
    <sheet name="Visual Chart" sheetId="10" r:id="rId8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2" hidden="1">'Progress Sheet '!$B$11:$Q$84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4" l="1"/>
  <c r="L15" i="1"/>
  <c r="H8" i="7"/>
  <c r="K46" i="4" l="1"/>
  <c r="J33" i="1"/>
  <c r="M164" i="10" l="1"/>
  <c r="S143" i="10"/>
  <c r="E143" i="10"/>
  <c r="C143" i="10"/>
  <c r="Y136" i="10"/>
  <c r="W136" i="10"/>
  <c r="U136" i="10"/>
  <c r="O136" i="10"/>
  <c r="M136" i="10"/>
  <c r="G136" i="10"/>
  <c r="C136" i="10"/>
  <c r="S129" i="10"/>
  <c r="Q129" i="10"/>
  <c r="Y122" i="10"/>
  <c r="W108" i="10"/>
  <c r="Q108" i="10"/>
  <c r="M80" i="10"/>
  <c r="K80" i="10"/>
  <c r="Y73" i="10"/>
  <c r="C73" i="10"/>
  <c r="W66" i="10"/>
  <c r="U66" i="10"/>
  <c r="S66" i="10"/>
  <c r="K59" i="10"/>
  <c r="W52" i="10"/>
  <c r="I15" i="10"/>
  <c r="H14" i="10"/>
  <c r="I14" i="10" s="1"/>
  <c r="H13" i="10"/>
  <c r="I13" i="10" s="1"/>
  <c r="H12" i="10"/>
  <c r="I12" i="10" s="1"/>
  <c r="H11" i="10"/>
  <c r="I11" i="10" s="1"/>
  <c r="H10" i="10"/>
  <c r="I10" i="10" s="1"/>
  <c r="H9" i="10"/>
  <c r="I9" i="10" s="1"/>
  <c r="H8" i="10"/>
  <c r="I8" i="10" s="1"/>
  <c r="H7" i="10"/>
  <c r="I7" i="10" s="1"/>
  <c r="W3" i="10"/>
  <c r="J16" i="1"/>
  <c r="G16" i="1"/>
  <c r="F16" i="1"/>
  <c r="D16" i="1"/>
  <c r="L47" i="4" l="1"/>
  <c r="G47" i="4"/>
  <c r="G33" i="1" l="1"/>
  <c r="L5" i="2" l="1"/>
  <c r="L10" i="1"/>
  <c r="J4" i="2" s="1"/>
  <c r="L33" i="1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L56" i="4"/>
  <c r="M55" i="4"/>
  <c r="I55" i="4"/>
  <c r="L54" i="4"/>
  <c r="M54" i="4" s="1"/>
  <c r="I54" i="4"/>
  <c r="L53" i="4"/>
  <c r="M53" i="4" s="1"/>
  <c r="I53" i="4"/>
  <c r="H53" i="4"/>
  <c r="K52" i="4"/>
  <c r="J52" i="4"/>
  <c r="H52" i="4"/>
  <c r="G52" i="4"/>
  <c r="I52" i="4" s="1"/>
  <c r="H46" i="4"/>
  <c r="G46" i="4"/>
  <c r="J45" i="4"/>
  <c r="I45" i="4"/>
  <c r="H45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A14" i="3" s="1"/>
  <c r="F15" i="2"/>
  <c r="F14" i="2"/>
  <c r="H5" i="2"/>
  <c r="G5" i="2"/>
  <c r="E5" i="2"/>
  <c r="D5" i="2"/>
  <c r="L4" i="2"/>
  <c r="K4" i="2"/>
  <c r="I4" i="2"/>
  <c r="H4" i="2"/>
  <c r="E4" i="2"/>
  <c r="D4" i="2"/>
  <c r="L32" i="1"/>
  <c r="G32" i="1"/>
  <c r="K31" i="1"/>
  <c r="L31" i="1" s="1"/>
  <c r="G31" i="1"/>
  <c r="L24" i="1"/>
  <c r="L23" i="1"/>
  <c r="L22" i="1"/>
  <c r="L21" i="1"/>
  <c r="K20" i="1"/>
  <c r="L20" i="1" s="1"/>
  <c r="K19" i="1"/>
  <c r="L19" i="1" s="1"/>
  <c r="K18" i="1"/>
  <c r="L18" i="1" s="1"/>
  <c r="L17" i="1"/>
  <c r="L16" i="1"/>
  <c r="M5" i="2"/>
  <c r="M4" i="2" l="1"/>
  <c r="J5" i="2"/>
  <c r="L46" i="4"/>
  <c r="L52" i="4"/>
  <c r="M52" i="4" s="1"/>
  <c r="I5" i="2" l="1"/>
  <c r="L45" i="4"/>
  <c r="G45" i="4"/>
  <c r="K45" i="4"/>
</calcChain>
</file>

<file path=xl/sharedStrings.xml><?xml version="1.0" encoding="utf-8"?>
<sst xmlns="http://schemas.openxmlformats.org/spreadsheetml/2006/main" count="2255" uniqueCount="749">
  <si>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</si>
  <si>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</si>
  <si>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</si>
  <si>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</si>
  <si>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</si>
  <si>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</si>
  <si>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</si>
  <si>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</si>
  <si>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</si>
  <si>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</si>
  <si>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</si>
  <si>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</si>
  <si>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</si>
  <si>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</si>
  <si>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</si>
  <si>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</si>
  <si>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</si>
  <si>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</si>
  <si>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</si>
  <si>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</si>
  <si>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</si>
  <si>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</si>
  <si>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</si>
  <si>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</si>
  <si>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</si>
  <si>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</si>
  <si>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</si>
  <si>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</si>
  <si>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</si>
  <si>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</si>
  <si>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</si>
  <si>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</si>
  <si>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</si>
  <si>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</si>
  <si>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</si>
  <si>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</si>
  <si>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</si>
  <si>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</si>
  <si>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</si>
  <si>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</si>
  <si>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</si>
  <si>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</si>
  <si>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</si>
  <si>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</si>
  <si>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</si>
  <si>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</si>
  <si>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</si>
  <si>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</si>
  <si>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</si>
  <si>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</si>
  <si>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</si>
  <si>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</si>
  <si>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</si>
  <si>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</si>
  <si>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</si>
  <si>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</si>
  <si>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</si>
  <si>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</si>
  <si>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</si>
  <si>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</si>
  <si>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</si>
  <si>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</si>
  <si>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</si>
  <si>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</si>
  <si>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</si>
  <si>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</si>
  <si>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</si>
  <si>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</si>
  <si>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</si>
  <si>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</si>
  <si>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</si>
  <si>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</si>
  <si>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</si>
  <si>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</si>
  <si>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</si>
  <si>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</si>
  <si>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</si>
  <si>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</si>
  <si>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</si>
  <si>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</si>
  <si>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</si>
  <si>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</si>
  <si>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</si>
  <si>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</si>
  <si>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</si>
  <si>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</si>
  <si>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</si>
  <si>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</si>
  <si>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</si>
  <si>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</si>
  <si>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</si>
  <si>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</si>
  <si>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</si>
  <si>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</si>
  <si>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</si>
  <si>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</si>
  <si>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</si>
  <si>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</si>
  <si>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</si>
  <si>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</si>
  <si>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</si>
  <si>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</si>
  <si>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</si>
  <si>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</si>
  <si>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</si>
  <si>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</si>
  <si>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</si>
  <si>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</si>
  <si>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</si>
  <si>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</si>
  <si>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</si>
  <si>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</si>
  <si>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</si>
  <si>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</si>
  <si>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Date of clearance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</si>
  <si>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</si>
  <si>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</si>
  <si>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</si>
  <si>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</si>
  <si>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</si>
  <si>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</si>
  <si>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</si>
  <si>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</si>
  <si>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</si>
  <si>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</si>
  <si>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</si>
  <si>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</si>
  <si>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</si>
  <si>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</si>
  <si>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</si>
  <si>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</si>
  <si>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</si>
  <si>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</si>
  <si>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</si>
  <si>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</si>
  <si>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</si>
  <si>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</si>
  <si>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</si>
  <si>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</si>
  <si>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</si>
  <si>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</si>
  <si>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</si>
  <si>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>Balance after June'25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</si>
  <si>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</si>
  <si>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</si>
  <si>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</si>
  <si>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</si>
  <si>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</si>
  <si>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</si>
  <si>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</si>
  <si>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</si>
  <si>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</si>
  <si>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</si>
  <si>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</si>
  <si>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</si>
  <si>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</si>
  <si>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</si>
  <si>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</si>
  <si>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</si>
  <si>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</si>
  <si>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</si>
  <si>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</si>
  <si>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</si>
  <si>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</si>
  <si>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</si>
  <si>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</si>
  <si>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</si>
  <si>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</si>
  <si>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</si>
  <si>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</si>
  <si>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</si>
  <si>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</si>
  <si>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</si>
  <si>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</si>
  <si>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</si>
  <si>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</si>
  <si>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</si>
  <si>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</si>
  <si>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</si>
  <si>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</si>
  <si>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</si>
  <si>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</si>
  <si>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</si>
  <si>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</si>
  <si>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</si>
  <si>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</si>
  <si>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</si>
  <si>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</si>
  <si>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</si>
  <si>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</si>
  <si>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</si>
  <si>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</si>
  <si>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</si>
  <si>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</si>
  <si>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</si>
  <si>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</si>
  <si>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</si>
  <si>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</si>
  <si>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</si>
  <si>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</si>
  <si>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</si>
  <si>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</si>
  <si>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</si>
  <si>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</si>
  <si>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</si>
  <si>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</si>
  <si>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</si>
  <si>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</si>
  <si>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</si>
  <si>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</si>
  <si>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</si>
  <si>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</si>
  <si>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</si>
  <si>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</si>
  <si>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</si>
  <si>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</si>
  <si>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</si>
  <si>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</si>
  <si>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</si>
  <si>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</si>
  <si>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</si>
  <si>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</si>
  <si>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</si>
  <si>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</si>
  <si>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</si>
  <si>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</si>
  <si>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</si>
  <si>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</si>
  <si>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</si>
  <si>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</si>
  <si>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</si>
  <si>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</si>
  <si>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</si>
  <si>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</si>
  <si>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</si>
  <si>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</si>
  <si>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</si>
  <si>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</si>
  <si>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</si>
  <si>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</si>
  <si>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</si>
  <si>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</si>
  <si>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</si>
  <si>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</si>
  <si>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</si>
  <si>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</si>
  <si>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</si>
  <si>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</si>
  <si>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</si>
  <si>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</si>
  <si>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</si>
  <si>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</si>
  <si>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</si>
  <si>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</si>
  <si>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</si>
  <si>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</si>
  <si>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</si>
  <si>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</si>
  <si>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</si>
  <si>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</si>
  <si>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</si>
  <si>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</si>
  <si>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</si>
  <si>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</si>
  <si>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</si>
  <si>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</si>
  <si>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</si>
  <si>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</si>
  <si>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</si>
  <si>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</si>
  <si>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</si>
  <si>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</si>
  <si>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</si>
  <si>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</si>
  <si>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</si>
  <si>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</si>
  <si>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</si>
  <si>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</si>
  <si>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</si>
  <si>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</si>
  <si>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</si>
  <si>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</si>
  <si>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</si>
  <si>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</si>
  <si>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</si>
  <si>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</si>
  <si>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</si>
  <si>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</si>
  <si>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</si>
  <si>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</si>
  <si>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</si>
  <si>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</si>
  <si>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</si>
  <si>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</si>
  <si>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</si>
  <si>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</si>
  <si>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</si>
  <si>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</si>
  <si>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</si>
  <si>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</si>
  <si>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</si>
  <si>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</si>
  <si>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</si>
  <si>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</si>
  <si>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</si>
  <si>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</si>
  <si>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</si>
  <si>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</si>
  <si>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</si>
  <si>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</si>
  <si>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</si>
  <si>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</si>
  <si>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</si>
  <si>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</si>
  <si>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</si>
  <si>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</si>
  <si>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</si>
  <si>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</si>
  <si>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</si>
  <si>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</si>
  <si>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</si>
  <si>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</si>
  <si>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</si>
  <si>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</si>
  <si>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</si>
  <si>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</si>
  <si>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</si>
  <si>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</si>
  <si>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</si>
  <si>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</si>
  <si>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</si>
  <si>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</si>
  <si>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</si>
  <si>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</si>
  <si>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</si>
  <si>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</si>
  <si>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</si>
  <si>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</si>
  <si>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</si>
  <si>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</si>
  <si>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</si>
  <si>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</si>
  <si>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</si>
  <si>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</si>
  <si>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</si>
  <si>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</si>
  <si>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</si>
  <si>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</si>
  <si>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</si>
  <si>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</si>
  <si>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</si>
  <si>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</si>
  <si>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</si>
  <si>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</si>
  <si>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</si>
  <si>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</si>
  <si>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</si>
  <si>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</si>
  <si>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</si>
  <si>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</si>
  <si>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</si>
  <si>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</si>
  <si>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</si>
  <si>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</si>
  <si>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</si>
  <si>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</si>
  <si>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</si>
  <si>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</si>
  <si>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</si>
  <si>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</si>
  <si>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</si>
  <si>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</si>
  <si>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</si>
  <si>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</si>
  <si>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</si>
  <si>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</si>
  <si>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</si>
  <si>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</si>
  <si>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</si>
  <si>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</si>
  <si>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</si>
  <si>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</si>
  <si>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</si>
  <si>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</si>
  <si>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</si>
  <si>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</si>
  <si>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</si>
  <si>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</si>
  <si>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</si>
  <si>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</si>
  <si>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</si>
  <si>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</si>
  <si>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</si>
  <si>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</si>
  <si>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</si>
  <si>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</si>
  <si>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</si>
  <si>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</si>
  <si>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</si>
  <si>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</si>
  <si>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</si>
  <si>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</si>
  <si>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</si>
  <si>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</si>
  <si>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</si>
  <si>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</si>
  <si>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</si>
  <si>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</si>
  <si>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</si>
  <si>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</si>
  <si>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</si>
  <si>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</si>
  <si>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</si>
  <si>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</si>
  <si>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</si>
  <si>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</si>
  <si>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</si>
  <si>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</si>
  <si>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</si>
  <si>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</si>
  <si>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</si>
  <si>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</si>
  <si>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</si>
  <si>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</si>
  <si>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</si>
  <si>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</si>
  <si>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</si>
  <si>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</si>
  <si>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</si>
  <si>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</si>
  <si>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</si>
  <si>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</si>
  <si>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</si>
  <si>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</si>
  <si>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</si>
  <si>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</si>
  <si>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</si>
  <si>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</si>
  <si>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</si>
  <si>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</si>
  <si>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</si>
  <si>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</si>
  <si>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</si>
  <si>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</si>
  <si>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</si>
  <si>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</si>
  <si>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</si>
  <si>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</si>
  <si>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</si>
  <si>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</si>
  <si>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</si>
  <si>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</si>
  <si>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</si>
  <si>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</si>
  <si>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</si>
  <si>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</si>
  <si>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</si>
  <si>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</si>
  <si>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</si>
  <si>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</si>
  <si>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</si>
  <si>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</si>
  <si>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</si>
  <si>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</si>
  <si>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</si>
  <si>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</si>
  <si>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</si>
  <si>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</si>
  <si>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</si>
  <si>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</si>
  <si>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</si>
  <si>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</si>
  <si>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</si>
  <si>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</si>
  <si>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</si>
  <si>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</si>
  <si>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</si>
  <si>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</si>
  <si>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</si>
  <si>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</si>
  <si>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</si>
  <si>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</si>
  <si>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</si>
  <si>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</si>
  <si>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</si>
  <si>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</si>
  <si>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</si>
  <si>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</si>
  <si>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</si>
  <si>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</si>
  <si>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</si>
  <si>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</si>
  <si>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</si>
  <si>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</si>
  <si>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</si>
  <si>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</si>
  <si>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</si>
  <si>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</si>
  <si>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</si>
  <si>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</si>
  <si>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</si>
  <si>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</si>
  <si>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</si>
  <si>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</si>
  <si>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</si>
  <si>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</si>
  <si>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</si>
  <si>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</si>
  <si>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</si>
  <si>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</si>
  <si>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</si>
  <si>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</si>
  <si>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</si>
  <si>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</si>
  <si>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</si>
  <si>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</si>
  <si>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</si>
  <si>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</si>
  <si>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</si>
  <si>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</si>
  <si>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</si>
  <si>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</si>
  <si>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</si>
  <si>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</si>
  <si>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</si>
  <si>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</si>
  <si>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</si>
  <si>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</si>
  <si>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</si>
  <si>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</si>
  <si>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</si>
  <si>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</si>
  <si>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</si>
  <si>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</si>
  <si>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</si>
  <si>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</si>
  <si>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</si>
  <si>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</si>
  <si>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</si>
  <si>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</si>
  <si>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</si>
  <si>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</si>
  <si>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</si>
  <si>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</si>
  <si>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</si>
  <si>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</si>
  <si>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</si>
  <si>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</si>
  <si>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</si>
  <si>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</si>
  <si>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</si>
  <si>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</si>
  <si>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</si>
  <si>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</si>
  <si>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</si>
  <si>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</si>
  <si>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</si>
  <si>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</si>
  <si>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</si>
  <si>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SHRIARSHINI CONSTRUCTION</t>
  </si>
  <si>
    <t>Mr. Arun Felbin</t>
  </si>
  <si>
    <t>BALRAJ CONSTRUCTION.</t>
  </si>
  <si>
    <t>SHRIARSHINI CONSTRUCTION.</t>
  </si>
  <si>
    <t>Foundation Completed.</t>
  </si>
  <si>
    <t xml:space="preserve">59/2 </t>
  </si>
  <si>
    <t xml:space="preserve">     </t>
  </si>
  <si>
    <t>2 Pits Excavated.</t>
  </si>
  <si>
    <t>765 kV DC Kurnool IV - Bidar Transmission Line (TL-02)</t>
  </si>
  <si>
    <t>/ 292</t>
  </si>
  <si>
    <t>/292</t>
  </si>
  <si>
    <t xml:space="preserve">            0  /</t>
  </si>
  <si>
    <t xml:space="preserve">            0 /</t>
  </si>
  <si>
    <t xml:space="preserve">110-800 KV </t>
  </si>
  <si>
    <t>Wind Zone - 3 [AP48 - AP111]</t>
  </si>
  <si>
    <t>COMMON POINT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</si>
  <si>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</si>
  <si>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</si>
  <si>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</si>
  <si>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</si>
  <si>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</si>
  <si>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</si>
  <si>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</si>
  <si>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</si>
  <si>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</si>
  <si>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</si>
  <si>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</si>
  <si>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</si>
  <si>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</si>
  <si>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</si>
  <si>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</si>
  <si>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</si>
  <si>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</si>
  <si>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</si>
  <si>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</si>
  <si>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</si>
  <si>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</si>
  <si>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</si>
  <si>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</si>
  <si>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</si>
  <si>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</si>
  <si>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</si>
  <si>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</si>
  <si>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</si>
  <si>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</si>
  <si>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</si>
  <si>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</si>
  <si>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</si>
  <si>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</si>
  <si>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</si>
  <si>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</si>
  <si>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</si>
  <si>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</si>
  <si>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</si>
  <si>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</si>
  <si>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</si>
  <si>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</si>
  <si>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</si>
  <si>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</si>
  <si>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</si>
  <si>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</si>
  <si>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</si>
  <si>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</si>
  <si>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</si>
  <si>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</si>
  <si>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</si>
  <si>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</si>
  <si>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</si>
  <si>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</si>
  <si>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</si>
  <si>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</si>
  <si>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</si>
  <si>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</si>
  <si>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</si>
  <si>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</si>
  <si>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</si>
  <si>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</si>
  <si>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</si>
  <si>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</si>
  <si>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</si>
  <si>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</si>
  <si>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</si>
  <si>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</si>
  <si>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</si>
  <si>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</si>
  <si>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</si>
  <si>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</si>
  <si>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</si>
  <si>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</si>
  <si>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</si>
  <si>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</si>
  <si>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</si>
  <si>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</si>
  <si>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</si>
  <si>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</si>
  <si>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</si>
  <si>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</si>
  <si>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</si>
  <si>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</si>
  <si>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</si>
  <si>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</si>
  <si>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</si>
  <si>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</si>
  <si>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</si>
  <si>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</si>
  <si>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</si>
  <si>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</si>
  <si>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</si>
  <si>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</si>
  <si>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</si>
  <si>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</si>
  <si>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</si>
  <si>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</si>
  <si>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</si>
  <si>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</si>
  <si>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</si>
  <si>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</si>
  <si>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</si>
  <si>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</si>
  <si>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</si>
  <si>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4.529</t>
  </si>
  <si>
    <t>4.603</t>
  </si>
  <si>
    <t>4.985</t>
  </si>
  <si>
    <t>4.572</t>
  </si>
  <si>
    <t>4.706</t>
  </si>
  <si>
    <t>4.427</t>
  </si>
  <si>
    <t>4.828</t>
  </si>
  <si>
    <t>G1</t>
  </si>
  <si>
    <t>WORKING</t>
  </si>
  <si>
    <t>G2</t>
  </si>
  <si>
    <t>G3</t>
  </si>
  <si>
    <t>G4</t>
  </si>
  <si>
    <t>BALRAJ</t>
  </si>
  <si>
    <t>SRIARSHINI</t>
  </si>
  <si>
    <t>SRIHARSHINI</t>
  </si>
  <si>
    <t>Balance after Nov'25</t>
  </si>
  <si>
    <t xml:space="preserve">  Foundation Gangs at Site:</t>
  </si>
  <si>
    <t>Planned L2 till Previous Month
(Nov'25)</t>
  </si>
  <si>
    <t>Trial Pit Excavated.</t>
  </si>
  <si>
    <t>Balaji Infra</t>
  </si>
  <si>
    <t>VKP Traders</t>
  </si>
  <si>
    <t>G5</t>
  </si>
  <si>
    <t>S S Varshini</t>
  </si>
  <si>
    <t>BALAJI INFRA</t>
  </si>
  <si>
    <t>VKP TRADERS</t>
  </si>
  <si>
    <t>SAI SREE VARSHINI</t>
  </si>
  <si>
    <t>Completed till Previous month
(Nov'25)</t>
  </si>
  <si>
    <t>`</t>
  </si>
  <si>
    <t>08.12.2025</t>
  </si>
  <si>
    <t>WET</t>
  </si>
  <si>
    <t>Excavation Completed.</t>
  </si>
  <si>
    <t>1) DA Type RC Foundation Drawings (1MRC,2MRC,3MRC)</t>
  </si>
  <si>
    <t>2) RC Stub Drawings Required- DB,DC,DD45,DD60 (1MRC,2MRC,3MRC)</t>
  </si>
  <si>
    <t>3) RC Foundation Drawings Required- DB,DC,DD45,DD60 (1MRC,2MRC,3MRC)</t>
  </si>
  <si>
    <t>Support Required :</t>
  </si>
  <si>
    <t>ALI USLAM</t>
  </si>
  <si>
    <t>NASIRUDDIN</t>
  </si>
  <si>
    <t>Foundation:</t>
  </si>
  <si>
    <t>Erection:</t>
  </si>
  <si>
    <t>Erection Completed.</t>
  </si>
  <si>
    <t>UMA DEVI</t>
  </si>
  <si>
    <t>AP77 to AP111 : NARAYANPET DISTRICT</t>
  </si>
  <si>
    <t>AP48 to AP77 : VIKRABAD DISTRICT</t>
  </si>
  <si>
    <t>AL59 Conductor 1931.873 Km/ 649 Drums Received.</t>
  </si>
  <si>
    <t>84//6</t>
  </si>
  <si>
    <t>.</t>
  </si>
  <si>
    <t>AL59 Conductor 2095.45 Km/704 Drums Received.</t>
  </si>
  <si>
    <t xml:space="preserve">Jan  Month Progress </t>
  </si>
  <si>
    <t>Jan'25 Month Plan</t>
  </si>
  <si>
    <t>DB2+6</t>
  </si>
  <si>
    <t>Excavation WIP.</t>
  </si>
  <si>
    <t>S S VARSHINI</t>
  </si>
  <si>
    <t>1) MARC Contractors Ltd - 83/0 ( WIP)</t>
  </si>
  <si>
    <t>2) SHRIARSHINI CONSTRUCTIONS - 56/9, 59/0 (WIP)</t>
  </si>
  <si>
    <t>3) VKP Traders - 101/1, 101/2 (WIP)</t>
  </si>
  <si>
    <t>15/292</t>
  </si>
  <si>
    <t>Pit A,C RCC Chimney Completed.</t>
  </si>
  <si>
    <t>08.01.2026</t>
  </si>
  <si>
    <t>Pit A,B,C,D PCC Completed.</t>
  </si>
  <si>
    <t>Bottom Section Completed.</t>
  </si>
  <si>
    <t xml:space="preserve">
1) 77/2 - Erection Completed.
2) 77/1 - Bottom Section Completed.
3) 58/1 - Cage2 WIP.</t>
  </si>
  <si>
    <t>4) BALAJI INFRA - 84/5, 84/1, 85/2 (WIP)</t>
  </si>
  <si>
    <t>5) SAI SREE VARSHINI - 100/1, 100/2</t>
  </si>
  <si>
    <t>Pit C,D Prop Setting Completed.</t>
  </si>
  <si>
    <t>DC1+0</t>
  </si>
  <si>
    <t>Cage2 WIP.</t>
  </si>
  <si>
    <t xml:space="preserve">
1) 56/9 - Pit A,B,C,D PCC Completed.
2) 83/0 - Excavation Completed.
3) 84/1 - Pit C,D Prop Setting Completed.
4) 84/5 - Foundation Completed.</t>
  </si>
  <si>
    <t>Tower Weight</t>
  </si>
  <si>
    <t>Completion Date</t>
  </si>
  <si>
    <t>Starting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</si>
</sst>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.000"/>
    <numFmt numFmtId="166" formatCode="#,##0.00_ ;\-#,##0.00\ "/>
    <numFmt numFmtId="167" formatCode="0.0"/>
    <numFmt numFmtId="168" formatCode="0.00000000000000"/>
    <numFmt numFmtId="169" formatCode="\-"/>
    <numFmt numFmtId="170" formatCode="d/m/yyyy"/>
  </numFmts>
  <fonts count="98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206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sz val="10"/>
      <color theme="1"/>
      <name val="Calibri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1"/>
      <color rgb="FFFF0000"/>
      <name val="Aptos Narrow"/>
      <family val="2"/>
    </font>
    <font>
      <b/>
      <sz val="12"/>
      <color theme="9" tint="-0.499984740745262"/>
      <name val="Calibri"/>
      <family val="2"/>
    </font>
    <font>
      <sz val="14"/>
      <color rgb="FF00B050"/>
      <name val="Calibri"/>
      <family val="2"/>
    </font>
    <font>
      <sz val="14"/>
      <color rgb="FF00B050"/>
      <name val="Calibri"/>
      <family val="2"/>
      <scheme val="minor"/>
    </font>
    <font>
      <sz val="14"/>
      <color rgb="FFFFC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Aptos Narrow"/>
      <family val="2"/>
    </font>
    <font>
      <b/>
      <sz val="10"/>
      <color rgb="FFFF0000"/>
      <name val="Calibri"/>
      <family val="2"/>
      <scheme val="minor"/>
    </font>
    <font>
      <sz val="12"/>
      <color rgb="FF00B05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3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CC0D9"/>
        <bgColor rgb="FFCCC0D9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9C3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rgb="FFD8D8D8"/>
      </patternFill>
    </fill>
    <fill>
      <patternFill patternType="solid">
        <fgColor theme="2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rgb="FFD8D8D8"/>
      </patternFill>
    </fill>
  </fills>
  <borders count="1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0000"/>
      </diagonal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0000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medium">
        <color indexed="64"/>
      </bottom>
      <diagonal/>
    </border>
    <border>
      <left/>
      <right style="thin">
        <color indexed="64"/>
      </right>
      <top style="dashDotDot">
        <color indexed="64"/>
      </top>
      <bottom style="medium">
        <color indexed="64"/>
      </bottom>
      <diagonal/>
    </border>
    <border>
      <left style="thin">
        <color indexed="64"/>
      </left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76"/>
    <xf numFmtId="164" fontId="2" fillId="0" borderId="76" applyFont="0" applyFill="0" applyBorder="0" applyAlignment="0" applyProtection="0"/>
    <xf numFmtId="0" fontId="1" fillId="0" borderId="76"/>
  </cellStyleXfs>
  <cellXfs count="992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165" fontId="10" fillId="3" borderId="2" xfId="0" applyNumberFormat="1" applyFont="1" applyFill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 wrapText="1"/>
    </xf>
    <xf numFmtId="165" fontId="6" fillId="6" borderId="2" xfId="0" applyNumberFormat="1" applyFont="1" applyFill="1" applyBorder="1" applyAlignment="1">
      <alignment horizontal="center" vertical="center" wrapText="1"/>
    </xf>
    <xf numFmtId="165" fontId="6" fillId="5" borderId="2" xfId="0" applyNumberFormat="1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0" borderId="0" xfId="0" applyFont="1"/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167" fontId="12" fillId="6" borderId="2" xfId="0" applyNumberFormat="1" applyFont="1" applyFill="1" applyBorder="1" applyAlignment="1">
      <alignment horizontal="center" vertical="center" wrapText="1"/>
    </xf>
    <xf numFmtId="167" fontId="11" fillId="0" borderId="2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23" xfId="0" applyNumberFormat="1" applyFont="1" applyFill="1" applyBorder="1" applyAlignment="1">
      <alignment horizontal="center" vertical="center" wrapText="1"/>
    </xf>
    <xf numFmtId="0" fontId="4" fillId="3" borderId="25" xfId="0" applyFont="1" applyFill="1" applyBorder="1"/>
    <xf numFmtId="0" fontId="3" fillId="3" borderId="25" xfId="0" applyFont="1" applyFill="1" applyBorder="1"/>
    <xf numFmtId="0" fontId="3" fillId="0" borderId="0" xfId="0" applyFont="1" applyAlignment="1">
      <alignment horizontal="center"/>
    </xf>
    <xf numFmtId="0" fontId="4" fillId="7" borderId="26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165" fontId="5" fillId="0" borderId="21" xfId="0" applyNumberFormat="1" applyFont="1" applyBorder="1" applyAlignment="1">
      <alignment horizontal="center" vertical="center" wrapText="1"/>
    </xf>
    <xf numFmtId="2" fontId="4" fillId="3" borderId="21" xfId="0" applyNumberFormat="1" applyFont="1" applyFill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4" fillId="7" borderId="3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/>
    </xf>
    <xf numFmtId="0" fontId="3" fillId="0" borderId="43" xfId="0" applyFont="1" applyBorder="1" applyAlignment="1">
      <alignment horizontal="center" vertical="center"/>
    </xf>
    <xf numFmtId="165" fontId="3" fillId="0" borderId="4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8" fillId="3" borderId="41" xfId="0" applyFont="1" applyFill="1" applyBorder="1" applyAlignment="1">
      <alignment horizontal="center" wrapText="1"/>
    </xf>
    <xf numFmtId="0" fontId="18" fillId="3" borderId="4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9" borderId="2" xfId="0" applyFont="1" applyFill="1" applyBorder="1"/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14" fontId="19" fillId="10" borderId="2" xfId="0" applyNumberFormat="1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 wrapText="1"/>
    </xf>
    <xf numFmtId="14" fontId="19" fillId="0" borderId="2" xfId="0" applyNumberFormat="1" applyFont="1" applyBorder="1" applyAlignment="1">
      <alignment horizontal="center"/>
    </xf>
    <xf numFmtId="0" fontId="20" fillId="0" borderId="0" xfId="0" applyFont="1"/>
    <xf numFmtId="0" fontId="3" fillId="0" borderId="0" xfId="0" applyFont="1" applyAlignment="1">
      <alignment horizontal="center" vertical="center"/>
    </xf>
    <xf numFmtId="0" fontId="21" fillId="0" borderId="0" xfId="0" applyFont="1"/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1" fontId="4" fillId="5" borderId="48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12" borderId="13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center" vertical="center" wrapText="1"/>
    </xf>
    <xf numFmtId="0" fontId="24" fillId="13" borderId="13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1" fontId="3" fillId="0" borderId="27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24" fillId="13" borderId="26" xfId="0" applyFont="1" applyFill="1" applyBorder="1" applyAlignment="1">
      <alignment horizontal="center" vertical="center" wrapText="1"/>
    </xf>
    <xf numFmtId="0" fontId="24" fillId="13" borderId="27" xfId="0" applyFont="1" applyFill="1" applyBorder="1" applyAlignment="1">
      <alignment horizontal="center" vertical="center" wrapText="1"/>
    </xf>
    <xf numFmtId="0" fontId="25" fillId="13" borderId="27" xfId="0" applyFont="1" applyFill="1" applyBorder="1" applyAlignment="1">
      <alignment horizontal="center" vertical="center" wrapText="1"/>
    </xf>
    <xf numFmtId="0" fontId="25" fillId="13" borderId="28" xfId="0" applyFont="1" applyFill="1" applyBorder="1" applyAlignment="1">
      <alignment horizontal="center" vertical="center" wrapText="1"/>
    </xf>
    <xf numFmtId="0" fontId="24" fillId="13" borderId="2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3" fillId="8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/>
    </xf>
    <xf numFmtId="2" fontId="3" fillId="8" borderId="2" xfId="0" applyNumberFormat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3" borderId="64" xfId="0" applyFont="1" applyFill="1" applyBorder="1" applyAlignment="1">
      <alignment vertical="center"/>
    </xf>
    <xf numFmtId="0" fontId="4" fillId="3" borderId="64" xfId="0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0" fontId="4" fillId="3" borderId="25" xfId="0" applyFont="1" applyFill="1" applyBorder="1" applyAlignment="1">
      <alignment vertical="center"/>
    </xf>
    <xf numFmtId="0" fontId="4" fillId="3" borderId="70" xfId="0" applyFont="1" applyFill="1" applyBorder="1"/>
    <xf numFmtId="0" fontId="4" fillId="3" borderId="72" xfId="0" applyFont="1" applyFill="1" applyBorder="1" applyAlignment="1">
      <alignment horizontal="center"/>
    </xf>
    <xf numFmtId="0" fontId="4" fillId="3" borderId="70" xfId="0" applyFont="1" applyFill="1" applyBorder="1" applyAlignment="1">
      <alignment vertical="center"/>
    </xf>
    <xf numFmtId="0" fontId="4" fillId="3" borderId="63" xfId="0" applyFont="1" applyFill="1" applyBorder="1" applyAlignment="1">
      <alignment horizontal="center"/>
    </xf>
    <xf numFmtId="0" fontId="4" fillId="8" borderId="60" xfId="0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70" xfId="0" applyFont="1" applyFill="1" applyBorder="1" applyAlignment="1">
      <alignment horizontal="center" vertical="top"/>
    </xf>
    <xf numFmtId="0" fontId="4" fillId="3" borderId="25" xfId="0" applyFont="1" applyFill="1" applyBorder="1" applyAlignment="1">
      <alignment wrapText="1"/>
    </xf>
    <xf numFmtId="0" fontId="4" fillId="3" borderId="25" xfId="0" applyFont="1" applyFill="1" applyBorder="1" applyAlignment="1">
      <alignment vertical="center" wrapText="1"/>
    </xf>
    <xf numFmtId="0" fontId="14" fillId="3" borderId="25" xfId="0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left" vertical="top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3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3" xfId="0" applyFont="1" applyFill="1" applyBorder="1" applyAlignment="1">
      <alignment vertical="center"/>
    </xf>
    <xf numFmtId="0" fontId="6" fillId="3" borderId="59" xfId="0" applyFont="1" applyFill="1" applyBorder="1" applyAlignment="1">
      <alignment vertical="center"/>
    </xf>
    <xf numFmtId="0" fontId="6" fillId="3" borderId="60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right" vertical="center"/>
    </xf>
    <xf numFmtId="0" fontId="6" fillId="3" borderId="60" xfId="0" applyFont="1" applyFill="1" applyBorder="1" applyAlignment="1">
      <alignment horizontal="left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right" vertical="center"/>
    </xf>
    <xf numFmtId="0" fontId="19" fillId="3" borderId="63" xfId="0" applyFont="1" applyFill="1" applyBorder="1" applyAlignment="1">
      <alignment horizontal="center" vertical="center"/>
    </xf>
    <xf numFmtId="0" fontId="30" fillId="3" borderId="64" xfId="0" applyFont="1" applyFill="1" applyBorder="1" applyAlignment="1">
      <alignment vertical="center"/>
    </xf>
    <xf numFmtId="0" fontId="30" fillId="3" borderId="65" xfId="0" applyFont="1" applyFill="1" applyBorder="1" applyAlignment="1">
      <alignment vertical="center"/>
    </xf>
    <xf numFmtId="0" fontId="1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2" fillId="3" borderId="64" xfId="0" applyFont="1" applyFill="1" applyBorder="1" applyAlignment="1">
      <alignment horizontal="center"/>
    </xf>
    <xf numFmtId="0" fontId="32" fillId="3" borderId="67" xfId="0" applyFont="1" applyFill="1" applyBorder="1" applyAlignment="1">
      <alignment horizontal="center"/>
    </xf>
    <xf numFmtId="0" fontId="30" fillId="3" borderId="68" xfId="0" applyFont="1" applyFill="1" applyBorder="1" applyAlignment="1">
      <alignment vertical="center"/>
    </xf>
    <xf numFmtId="0" fontId="33" fillId="3" borderId="63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70" xfId="0" applyFont="1" applyFill="1" applyBorder="1"/>
    <xf numFmtId="0" fontId="12" fillId="3" borderId="71" xfId="0" applyFont="1" applyFill="1" applyBorder="1" applyAlignment="1">
      <alignment horizontal="center"/>
    </xf>
    <xf numFmtId="0" fontId="30" fillId="3" borderId="72" xfId="0" applyFont="1" applyFill="1" applyBorder="1"/>
    <xf numFmtId="0" fontId="6" fillId="3" borderId="72" xfId="0" applyFont="1" applyFill="1" applyBorder="1" applyAlignment="1">
      <alignment horizontal="center"/>
    </xf>
    <xf numFmtId="0" fontId="12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40" xfId="0" applyFont="1" applyFill="1" applyBorder="1" applyAlignment="1">
      <alignment horizontal="center" vertical="center"/>
    </xf>
    <xf numFmtId="0" fontId="28" fillId="0" borderId="92" xfId="0" applyFont="1" applyBorder="1" applyAlignment="1">
      <alignment horizontal="center" vertical="center"/>
    </xf>
    <xf numFmtId="0" fontId="12" fillId="3" borderId="72" xfId="0" applyFont="1" applyFill="1" applyBorder="1"/>
    <xf numFmtId="0" fontId="12" fillId="3" borderId="70" xfId="0" applyFont="1" applyFill="1" applyBorder="1"/>
    <xf numFmtId="0" fontId="28" fillId="0" borderId="93" xfId="0" applyFont="1" applyBorder="1" applyAlignment="1">
      <alignment horizontal="center" vertical="center"/>
    </xf>
    <xf numFmtId="0" fontId="12" fillId="3" borderId="6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5" fillId="3" borderId="72" xfId="0" applyFont="1" applyFill="1" applyBorder="1" applyAlignment="1">
      <alignment horizontal="center"/>
    </xf>
    <xf numFmtId="0" fontId="32" fillId="3" borderId="72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2" xfId="0" applyFont="1" applyFill="1" applyBorder="1" applyAlignment="1">
      <alignment vertical="center"/>
    </xf>
    <xf numFmtId="0" fontId="29" fillId="0" borderId="93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70" xfId="0" applyFont="1" applyFill="1" applyBorder="1"/>
    <xf numFmtId="0" fontId="35" fillId="3" borderId="25" xfId="0" applyFont="1" applyFill="1" applyBorder="1"/>
    <xf numFmtId="0" fontId="35" fillId="3" borderId="72" xfId="0" applyFont="1" applyFill="1" applyBorder="1"/>
    <xf numFmtId="0" fontId="4" fillId="15" borderId="40" xfId="0" applyFont="1" applyFill="1" applyBorder="1" applyAlignment="1">
      <alignment horizontal="center" vertical="center"/>
    </xf>
    <xf numFmtId="0" fontId="4" fillId="15" borderId="93" xfId="0" applyFont="1" applyFill="1" applyBorder="1" applyAlignment="1">
      <alignment horizontal="center" vertical="center"/>
    </xf>
    <xf numFmtId="0" fontId="37" fillId="3" borderId="38" xfId="0" applyFont="1" applyFill="1" applyBorder="1"/>
    <xf numFmtId="0" fontId="35" fillId="3" borderId="38" xfId="0" applyFont="1" applyFill="1" applyBorder="1" applyAlignment="1">
      <alignment horizontal="center" vertical="center"/>
    </xf>
    <xf numFmtId="0" fontId="35" fillId="3" borderId="39" xfId="0" applyFont="1" applyFill="1" applyBorder="1"/>
    <xf numFmtId="0" fontId="35" fillId="3" borderId="38" xfId="0" applyFont="1" applyFill="1" applyBorder="1"/>
    <xf numFmtId="0" fontId="35" fillId="3" borderId="44" xfId="0" applyFont="1" applyFill="1" applyBorder="1"/>
    <xf numFmtId="0" fontId="12" fillId="3" borderId="38" xfId="0" applyFont="1" applyFill="1" applyBorder="1"/>
    <xf numFmtId="0" fontId="4" fillId="3" borderId="39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 vertical="center"/>
    </xf>
    <xf numFmtId="0" fontId="4" fillId="3" borderId="77" xfId="0" applyFont="1" applyFill="1" applyBorder="1" applyAlignment="1">
      <alignment horizontal="center"/>
    </xf>
    <xf numFmtId="0" fontId="33" fillId="3" borderId="77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2" fillId="3" borderId="25" xfId="0" applyFont="1" applyFill="1" applyBorder="1" applyAlignment="1">
      <alignment horizontal="center" vertical="top"/>
    </xf>
    <xf numFmtId="0" fontId="39" fillId="3" borderId="63" xfId="0" applyFont="1" applyFill="1" applyBorder="1"/>
    <xf numFmtId="49" fontId="12" fillId="3" borderId="25" xfId="0" applyNumberFormat="1" applyFont="1" applyFill="1" applyBorder="1" applyAlignment="1">
      <alignment horizontal="center" vertical="top"/>
    </xf>
    <xf numFmtId="1" fontId="4" fillId="3" borderId="25" xfId="0" applyNumberFormat="1" applyFont="1" applyFill="1" applyBorder="1" applyAlignment="1">
      <alignment horizontal="right"/>
    </xf>
    <xf numFmtId="0" fontId="33" fillId="3" borderId="63" xfId="0" applyFont="1" applyFill="1" applyBorder="1"/>
    <xf numFmtId="1" fontId="4" fillId="3" borderId="25" xfId="0" applyNumberFormat="1" applyFont="1" applyFill="1" applyBorder="1" applyAlignment="1">
      <alignment horizontal="center"/>
    </xf>
    <xf numFmtId="1" fontId="4" fillId="3" borderId="38" xfId="0" applyNumberFormat="1" applyFont="1" applyFill="1" applyBorder="1" applyAlignment="1">
      <alignment horizontal="center"/>
    </xf>
    <xf numFmtId="1" fontId="4" fillId="3" borderId="96" xfId="0" applyNumberFormat="1" applyFont="1" applyFill="1" applyBorder="1" applyAlignment="1">
      <alignment horizontal="center"/>
    </xf>
    <xf numFmtId="1" fontId="4" fillId="3" borderId="97" xfId="0" applyNumberFormat="1" applyFont="1" applyFill="1" applyBorder="1" applyAlignment="1">
      <alignment horizontal="right"/>
    </xf>
    <xf numFmtId="1" fontId="4" fillId="3" borderId="97" xfId="0" applyNumberFormat="1" applyFont="1" applyFill="1" applyBorder="1" applyAlignment="1">
      <alignment horizontal="center"/>
    </xf>
    <xf numFmtId="1" fontId="4" fillId="3" borderId="98" xfId="0" applyNumberFormat="1" applyFont="1" applyFill="1" applyBorder="1" applyAlignment="1">
      <alignment horizontal="right"/>
    </xf>
    <xf numFmtId="1" fontId="33" fillId="3" borderId="99" xfId="0" applyNumberFormat="1" applyFont="1" applyFill="1" applyBorder="1" applyAlignment="1">
      <alignment horizontal="right"/>
    </xf>
    <xf numFmtId="0" fontId="12" fillId="3" borderId="25" xfId="0" applyFont="1" applyFill="1" applyBorder="1" applyAlignment="1">
      <alignment horizontal="center"/>
    </xf>
    <xf numFmtId="49" fontId="33" fillId="3" borderId="63" xfId="0" applyNumberFormat="1" applyFont="1" applyFill="1" applyBorder="1" applyAlignment="1">
      <alignment horizontal="center" vertical="top"/>
    </xf>
    <xf numFmtId="0" fontId="12" fillId="3" borderId="101" xfId="0" applyFont="1" applyFill="1" applyBorder="1" applyAlignment="1">
      <alignment vertical="center" shrinkToFit="1"/>
    </xf>
    <xf numFmtId="16" fontId="6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6" fillId="3" borderId="25" xfId="0" applyNumberFormat="1" applyFont="1" applyFill="1" applyBorder="1" applyAlignment="1">
      <alignment horizontal="center"/>
    </xf>
    <xf numFmtId="49" fontId="6" fillId="3" borderId="25" xfId="0" applyNumberFormat="1" applyFont="1" applyFill="1" applyBorder="1" applyAlignment="1">
      <alignment horizontal="center" vertical="top"/>
    </xf>
    <xf numFmtId="16" fontId="33" fillId="3" borderId="63" xfId="0" applyNumberFormat="1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 vertical="center"/>
    </xf>
    <xf numFmtId="1" fontId="4" fillId="3" borderId="98" xfId="0" applyNumberFormat="1" applyFont="1" applyFill="1" applyBorder="1" applyAlignment="1">
      <alignment horizontal="center"/>
    </xf>
    <xf numFmtId="1" fontId="4" fillId="3" borderId="77" xfId="0" applyNumberFormat="1" applyFont="1" applyFill="1" applyBorder="1" applyAlignment="1">
      <alignment horizontal="center"/>
    </xf>
    <xf numFmtId="1" fontId="4" fillId="3" borderId="38" xfId="0" applyNumberFormat="1" applyFont="1" applyFill="1" applyBorder="1" applyAlignment="1">
      <alignment horizontal="center" vertical="center"/>
    </xf>
    <xf numFmtId="1" fontId="4" fillId="3" borderId="96" xfId="0" applyNumberFormat="1" applyFont="1" applyFill="1" applyBorder="1" applyAlignment="1">
      <alignment horizontal="center" vertical="center"/>
    </xf>
    <xf numFmtId="1" fontId="4" fillId="3" borderId="97" xfId="0" applyNumberFormat="1" applyFont="1" applyFill="1" applyBorder="1" applyAlignment="1">
      <alignment horizontal="center" vertical="center"/>
    </xf>
    <xf numFmtId="1" fontId="33" fillId="3" borderId="99" xfId="0" applyNumberFormat="1" applyFont="1" applyFill="1" applyBorder="1" applyAlignment="1">
      <alignment horizontal="right" vertical="center"/>
    </xf>
    <xf numFmtId="0" fontId="6" fillId="3" borderId="25" xfId="0" applyFont="1" applyFill="1" applyBorder="1"/>
    <xf numFmtId="0" fontId="6" fillId="3" borderId="25" xfId="0" applyFont="1" applyFill="1" applyBorder="1" applyAlignment="1">
      <alignment horizontal="center"/>
    </xf>
    <xf numFmtId="0" fontId="33" fillId="3" borderId="63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2" fillId="0" borderId="0" xfId="0" applyFont="1"/>
    <xf numFmtId="49" fontId="6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4" fillId="3" borderId="98" xfId="0" applyNumberFormat="1" applyFont="1" applyFill="1" applyBorder="1" applyAlignment="1">
      <alignment horizontal="center" vertical="center"/>
    </xf>
    <xf numFmtId="1" fontId="33" fillId="3" borderId="77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1" fontId="12" fillId="0" borderId="0" xfId="0" applyNumberFormat="1" applyFont="1" applyAlignment="1">
      <alignment horizontal="center" vertical="top"/>
    </xf>
    <xf numFmtId="0" fontId="9" fillId="3" borderId="25" xfId="0" applyFont="1" applyFill="1" applyBorder="1"/>
    <xf numFmtId="0" fontId="4" fillId="3" borderId="97" xfId="0" applyFont="1" applyFill="1" applyBorder="1" applyAlignment="1">
      <alignment horizontal="center" vertical="center"/>
    </xf>
    <xf numFmtId="0" fontId="6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4" fillId="3" borderId="25" xfId="0" applyNumberFormat="1" applyFont="1" applyFill="1" applyBorder="1" applyAlignment="1">
      <alignment horizontal="center" vertical="center"/>
    </xf>
    <xf numFmtId="1" fontId="33" fillId="3" borderId="99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4" fillId="3" borderId="97" xfId="0" applyNumberFormat="1" applyFont="1" applyFill="1" applyBorder="1" applyAlignment="1">
      <alignment horizontal="right" vertical="center"/>
    </xf>
    <xf numFmtId="49" fontId="12" fillId="3" borderId="25" xfId="0" applyNumberFormat="1" applyFont="1" applyFill="1" applyBorder="1" applyAlignment="1">
      <alignment horizontal="center" vertical="center"/>
    </xf>
    <xf numFmtId="1" fontId="12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3" xfId="0" applyNumberFormat="1" applyFont="1" applyFill="1" applyBorder="1" applyAlignment="1">
      <alignment horizontal="center" vertical="top"/>
    </xf>
    <xf numFmtId="0" fontId="4" fillId="3" borderId="38" xfId="0" applyFont="1" applyFill="1" applyBorder="1" applyAlignment="1">
      <alignment horizontal="center" vertical="center"/>
    </xf>
    <xf numFmtId="0" fontId="4" fillId="3" borderId="97" xfId="0" applyFont="1" applyFill="1" applyBorder="1" applyAlignment="1">
      <alignment horizontal="center"/>
    </xf>
    <xf numFmtId="0" fontId="4" fillId="3" borderId="98" xfId="0" applyFont="1" applyFill="1" applyBorder="1" applyAlignment="1">
      <alignment horizontal="center" vertical="center"/>
    </xf>
    <xf numFmtId="1" fontId="4" fillId="3" borderId="96" xfId="0" applyNumberFormat="1" applyFont="1" applyFill="1" applyBorder="1" applyAlignment="1">
      <alignment horizontal="right" vertical="center"/>
    </xf>
    <xf numFmtId="1" fontId="4" fillId="3" borderId="102" xfId="0" applyNumberFormat="1" applyFont="1" applyFill="1" applyBorder="1" applyAlignment="1">
      <alignment horizontal="center" vertical="center"/>
    </xf>
    <xf numFmtId="1" fontId="33" fillId="3" borderId="99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6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4" fillId="3" borderId="98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4" fillId="0" borderId="43" xfId="0" applyNumberFormat="1" applyFont="1" applyBorder="1" applyAlignment="1">
      <alignment horizontal="center" vertical="center"/>
    </xf>
    <xf numFmtId="1" fontId="4" fillId="0" borderId="105" xfId="0" applyNumberFormat="1" applyFont="1" applyBorder="1" applyAlignment="1">
      <alignment horizontal="center" vertical="center"/>
    </xf>
    <xf numFmtId="1" fontId="4" fillId="0" borderId="106" xfId="0" applyNumberFormat="1" applyFont="1" applyBorder="1" applyAlignment="1">
      <alignment horizontal="center" vertical="center"/>
    </xf>
    <xf numFmtId="1" fontId="4" fillId="0" borderId="107" xfId="0" applyNumberFormat="1" applyFont="1" applyBorder="1" applyAlignment="1">
      <alignment horizontal="center" vertical="center"/>
    </xf>
    <xf numFmtId="1" fontId="33" fillId="0" borderId="7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9" xfId="0" applyNumberFormat="1" applyFont="1" applyBorder="1" applyAlignment="1">
      <alignment horizontal="center" vertical="center"/>
    </xf>
    <xf numFmtId="0" fontId="12" fillId="3" borderId="110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3" xfId="0" applyFont="1" applyFill="1" applyBorder="1" applyAlignment="1">
      <alignment horizontal="center" vertical="center"/>
    </xf>
    <xf numFmtId="0" fontId="6" fillId="3" borderId="25" xfId="0" quotePrefix="1" applyFont="1" applyFill="1" applyBorder="1" applyAlignment="1">
      <alignment horizontal="center"/>
    </xf>
    <xf numFmtId="0" fontId="19" fillId="10" borderId="25" xfId="0" applyFont="1" applyFill="1" applyBorder="1"/>
    <xf numFmtId="0" fontId="19" fillId="0" borderId="0" xfId="0" applyFont="1"/>
    <xf numFmtId="0" fontId="19" fillId="10" borderId="63" xfId="0" applyFont="1" applyFill="1" applyBorder="1"/>
    <xf numFmtId="1" fontId="6" fillId="10" borderId="38" xfId="0" applyNumberFormat="1" applyFont="1" applyFill="1" applyBorder="1" applyAlignment="1">
      <alignment horizontal="center"/>
    </xf>
    <xf numFmtId="1" fontId="6" fillId="10" borderId="96" xfId="0" applyNumberFormat="1" applyFont="1" applyFill="1" applyBorder="1" applyAlignment="1">
      <alignment horizontal="center"/>
    </xf>
    <xf numFmtId="1" fontId="6" fillId="10" borderId="98" xfId="0" applyNumberFormat="1" applyFont="1" applyFill="1" applyBorder="1" applyAlignment="1">
      <alignment horizontal="center"/>
    </xf>
    <xf numFmtId="1" fontId="6" fillId="10" borderId="97" xfId="0" applyNumberFormat="1" applyFont="1" applyFill="1" applyBorder="1" applyAlignment="1">
      <alignment horizontal="center"/>
    </xf>
    <xf numFmtId="1" fontId="33" fillId="10" borderId="77" xfId="0" applyNumberFormat="1" applyFont="1" applyFill="1" applyBorder="1" applyAlignment="1">
      <alignment horizontal="center"/>
    </xf>
    <xf numFmtId="49" fontId="19" fillId="10" borderId="25" xfId="0" applyNumberFormat="1" applyFont="1" applyFill="1" applyBorder="1" applyAlignment="1">
      <alignment vertical="top"/>
    </xf>
    <xf numFmtId="49" fontId="19" fillId="10" borderId="63" xfId="0" applyNumberFormat="1" applyFont="1" applyFill="1" applyBorder="1" applyAlignment="1">
      <alignment vertical="top"/>
    </xf>
    <xf numFmtId="0" fontId="6" fillId="10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6" fillId="10" borderId="2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 wrapText="1"/>
    </xf>
    <xf numFmtId="0" fontId="4" fillId="10" borderId="25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4" fillId="16" borderId="13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2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3" fillId="3" borderId="25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4" fillId="0" borderId="76" xfId="0" applyFont="1" applyBorder="1"/>
    <xf numFmtId="0" fontId="57" fillId="0" borderId="2" xfId="0" applyFont="1" applyBorder="1" applyAlignment="1">
      <alignment horizontal="center" vertical="center" wrapText="1"/>
    </xf>
    <xf numFmtId="1" fontId="12" fillId="6" borderId="2" xfId="0" applyNumberFormat="1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1" fontId="5" fillId="3" borderId="18" xfId="0" applyNumberFormat="1" applyFont="1" applyFill="1" applyBorder="1" applyAlignment="1">
      <alignment horizontal="center" vertical="center" wrapText="1"/>
    </xf>
    <xf numFmtId="0" fontId="58" fillId="0" borderId="76" xfId="0" applyFont="1" applyBorder="1" applyAlignment="1">
      <alignment wrapText="1"/>
    </xf>
    <xf numFmtId="0" fontId="58" fillId="0" borderId="115" xfId="0" applyFont="1" applyBorder="1" applyAlignment="1">
      <alignment horizontal="center" vertical="center"/>
    </xf>
    <xf numFmtId="0" fontId="58" fillId="0" borderId="116" xfId="0" applyFont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 wrapText="1"/>
    </xf>
    <xf numFmtId="0" fontId="61" fillId="0" borderId="2" xfId="0" applyFont="1" applyBorder="1" applyAlignment="1">
      <alignment horizontal="center"/>
    </xf>
    <xf numFmtId="0" fontId="5" fillId="0" borderId="76" xfId="0" applyFont="1" applyBorder="1" applyAlignment="1">
      <alignment horizontal="center" vertical="center" wrapText="1"/>
    </xf>
    <xf numFmtId="0" fontId="11" fillId="0" borderId="119" xfId="0" applyFont="1" applyBorder="1" applyAlignment="1">
      <alignment horizontal="center" vertical="center" wrapText="1"/>
    </xf>
    <xf numFmtId="0" fontId="11" fillId="0" borderId="120" xfId="0" applyFont="1" applyBorder="1" applyAlignment="1">
      <alignment horizontal="center" vertical="center" wrapText="1"/>
    </xf>
    <xf numFmtId="1" fontId="11" fillId="0" borderId="120" xfId="0" applyNumberFormat="1" applyFont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12" fillId="6" borderId="120" xfId="0" applyFont="1" applyFill="1" applyBorder="1" applyAlignment="1">
      <alignment horizontal="center" vertical="center" wrapText="1"/>
    </xf>
    <xf numFmtId="1" fontId="12" fillId="6" borderId="120" xfId="0" applyNumberFormat="1" applyFont="1" applyFill="1" applyBorder="1" applyAlignment="1">
      <alignment horizontal="center" vertical="center" wrapText="1"/>
    </xf>
    <xf numFmtId="167" fontId="11" fillId="0" borderId="120" xfId="0" applyNumberFormat="1" applyFont="1" applyBorder="1" applyAlignment="1">
      <alignment horizontal="center" vertical="center" wrapText="1"/>
    </xf>
    <xf numFmtId="0" fontId="5" fillId="0" borderId="120" xfId="0" applyFont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58" fillId="4" borderId="46" xfId="0" applyFont="1" applyFill="1" applyBorder="1" applyAlignment="1">
      <alignment horizontal="center" vertical="center" wrapText="1"/>
    </xf>
    <xf numFmtId="0" fontId="63" fillId="0" borderId="121" xfId="0" applyFont="1" applyBorder="1" applyAlignment="1">
      <alignment horizontal="center" vertical="center"/>
    </xf>
    <xf numFmtId="0" fontId="63" fillId="0" borderId="122" xfId="0" applyFont="1" applyBorder="1" applyAlignment="1">
      <alignment horizontal="center" vertical="center"/>
    </xf>
    <xf numFmtId="0" fontId="63" fillId="0" borderId="117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1" fontId="11" fillId="0" borderId="76" xfId="0" applyNumberFormat="1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1" fontId="12" fillId="0" borderId="76" xfId="0" applyNumberFormat="1" applyFont="1" applyBorder="1" applyAlignment="1">
      <alignment horizontal="center" vertical="center" wrapText="1"/>
    </xf>
    <xf numFmtId="167" fontId="11" fillId="0" borderId="76" xfId="0" applyNumberFormat="1" applyFont="1" applyBorder="1" applyAlignment="1">
      <alignment horizontal="center" vertical="center" wrapText="1"/>
    </xf>
    <xf numFmtId="0" fontId="62" fillId="0" borderId="76" xfId="0" applyFont="1" applyBorder="1" applyAlignment="1">
      <alignment horizontal="right" vertical="center" indent="1"/>
    </xf>
    <xf numFmtId="0" fontId="11" fillId="0" borderId="76" xfId="0" applyFont="1" applyBorder="1" applyAlignment="1">
      <alignment horizontal="left" wrapText="1"/>
    </xf>
    <xf numFmtId="0" fontId="19" fillId="20" borderId="2" xfId="0" applyFont="1" applyFill="1" applyBorder="1" applyAlignment="1">
      <alignment horizontal="center" vertical="center"/>
    </xf>
    <xf numFmtId="0" fontId="12" fillId="0" borderId="76" xfId="0" applyFont="1" applyBorder="1" applyAlignment="1">
      <alignment horizontal="left" vertical="center" indent="1"/>
    </xf>
    <xf numFmtId="0" fontId="7" fillId="18" borderId="2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0" fillId="0" borderId="124" xfId="0" applyBorder="1"/>
    <xf numFmtId="0" fontId="4" fillId="21" borderId="125" xfId="0" applyFont="1" applyFill="1" applyBorder="1" applyAlignment="1">
      <alignment horizontal="center" vertical="center"/>
    </xf>
    <xf numFmtId="0" fontId="3" fillId="0" borderId="126" xfId="0" applyFont="1" applyBorder="1"/>
    <xf numFmtId="0" fontId="3" fillId="0" borderId="127" xfId="0" applyFont="1" applyBorder="1"/>
    <xf numFmtId="0" fontId="19" fillId="0" borderId="18" xfId="0" applyFont="1" applyBorder="1" applyAlignment="1">
      <alignment horizontal="right"/>
    </xf>
    <xf numFmtId="0" fontId="19" fillId="0" borderId="18" xfId="0" applyFont="1" applyBorder="1" applyAlignment="1">
      <alignment horizontal="center"/>
    </xf>
    <xf numFmtId="14" fontId="19" fillId="0" borderId="18" xfId="0" applyNumberFormat="1" applyFont="1" applyBorder="1" applyAlignment="1">
      <alignment horizontal="center"/>
    </xf>
    <xf numFmtId="0" fontId="0" fillId="0" borderId="123" xfId="0" applyBorder="1"/>
    <xf numFmtId="14" fontId="0" fillId="0" borderId="123" xfId="0" applyNumberFormat="1" applyBorder="1" applyAlignment="1">
      <alignment horizontal="center"/>
    </xf>
    <xf numFmtId="0" fontId="19" fillId="20" borderId="18" xfId="0" applyFont="1" applyFill="1" applyBorder="1" applyAlignment="1">
      <alignment horizontal="center"/>
    </xf>
    <xf numFmtId="0" fontId="19" fillId="0" borderId="123" xfId="0" applyFont="1" applyBorder="1" applyAlignment="1">
      <alignment horizontal="center"/>
    </xf>
    <xf numFmtId="1" fontId="11" fillId="18" borderId="76" xfId="0" applyNumberFormat="1" applyFont="1" applyFill="1" applyBorder="1" applyAlignment="1">
      <alignment horizontal="center" vertical="center" wrapText="1"/>
    </xf>
    <xf numFmtId="0" fontId="12" fillId="18" borderId="76" xfId="0" applyFont="1" applyFill="1" applyBorder="1" applyAlignment="1">
      <alignment horizontal="center" vertical="center" wrapText="1"/>
    </xf>
    <xf numFmtId="0" fontId="11" fillId="18" borderId="76" xfId="0" applyFont="1" applyFill="1" applyBorder="1" applyAlignment="1">
      <alignment horizontal="left" wrapText="1"/>
    </xf>
    <xf numFmtId="0" fontId="11" fillId="22" borderId="76" xfId="0" applyFont="1" applyFill="1" applyBorder="1" applyAlignment="1">
      <alignment horizontal="left"/>
    </xf>
    <xf numFmtId="0" fontId="0" fillId="22" borderId="0" xfId="0" applyFill="1"/>
    <xf numFmtId="0" fontId="4" fillId="0" borderId="118" xfId="0" applyFont="1" applyBorder="1" applyAlignment="1">
      <alignment horizontal="left" vertical="center" wrapText="1" indent="1"/>
    </xf>
    <xf numFmtId="0" fontId="59" fillId="3" borderId="129" xfId="0" applyFont="1" applyFill="1" applyBorder="1" applyAlignment="1">
      <alignment horizontal="center" wrapText="1"/>
    </xf>
    <xf numFmtId="0" fontId="17" fillId="3" borderId="129" xfId="0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center" vertical="center"/>
    </xf>
    <xf numFmtId="0" fontId="3" fillId="3" borderId="123" xfId="0" applyFont="1" applyFill="1" applyBorder="1" applyAlignment="1">
      <alignment horizontal="center" vertical="center"/>
    </xf>
    <xf numFmtId="0" fontId="16" fillId="0" borderId="133" xfId="0" applyFont="1" applyBorder="1" applyAlignment="1">
      <alignment horizontal="center" vertical="center" wrapText="1"/>
    </xf>
    <xf numFmtId="0" fontId="17" fillId="3" borderId="134" xfId="0" applyFont="1" applyFill="1" applyBorder="1" applyAlignment="1">
      <alignment horizontal="center" wrapText="1"/>
    </xf>
    <xf numFmtId="0" fontId="0" fillId="0" borderId="76" xfId="0" applyBorder="1"/>
    <xf numFmtId="0" fontId="3" fillId="3" borderId="76" xfId="0" applyFont="1" applyFill="1" applyBorder="1"/>
    <xf numFmtId="0" fontId="3" fillId="3" borderId="18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3" fillId="3" borderId="84" xfId="0" applyFont="1" applyFill="1" applyBorder="1" applyAlignment="1">
      <alignment horizontal="center"/>
    </xf>
    <xf numFmtId="0" fontId="3" fillId="0" borderId="76" xfId="0" applyFont="1" applyBorder="1" applyAlignment="1">
      <alignment horizontal="center"/>
    </xf>
    <xf numFmtId="0" fontId="3" fillId="3" borderId="123" xfId="0" applyFont="1" applyFill="1" applyBorder="1" applyAlignment="1">
      <alignment horizontal="center"/>
    </xf>
    <xf numFmtId="0" fontId="3" fillId="0" borderId="123" xfId="0" applyFont="1" applyBorder="1" applyAlignment="1">
      <alignment horizontal="center"/>
    </xf>
    <xf numFmtId="0" fontId="3" fillId="0" borderId="123" xfId="0" applyFont="1" applyBorder="1" applyAlignment="1">
      <alignment horizontal="center" vertical="center"/>
    </xf>
    <xf numFmtId="14" fontId="3" fillId="0" borderId="123" xfId="0" applyNumberFormat="1" applyFont="1" applyBorder="1" applyAlignment="1">
      <alignment horizontal="center"/>
    </xf>
    <xf numFmtId="0" fontId="3" fillId="0" borderId="138" xfId="0" applyFont="1" applyBorder="1" applyAlignment="1">
      <alignment horizontal="center" vertical="center"/>
    </xf>
    <xf numFmtId="0" fontId="3" fillId="3" borderId="138" xfId="0" applyFont="1" applyFill="1" applyBorder="1" applyAlignment="1">
      <alignment horizontal="center" vertical="center"/>
    </xf>
    <xf numFmtId="0" fontId="24" fillId="13" borderId="17" xfId="0" applyFont="1" applyFill="1" applyBorder="1" applyAlignment="1">
      <alignment horizontal="center" vertical="center" wrapText="1"/>
    </xf>
    <xf numFmtId="3" fontId="5" fillId="3" borderId="18" xfId="0" applyNumberFormat="1" applyFont="1" applyFill="1" applyBorder="1" applyAlignment="1">
      <alignment horizontal="center" vertical="center" wrapText="1"/>
    </xf>
    <xf numFmtId="1" fontId="5" fillId="3" borderId="56" xfId="0" applyNumberFormat="1" applyFont="1" applyFill="1" applyBorder="1" applyAlignment="1">
      <alignment horizontal="center" vertical="center" wrapText="1"/>
    </xf>
    <xf numFmtId="0" fontId="64" fillId="23" borderId="117" xfId="0" applyFont="1" applyFill="1" applyBorder="1" applyAlignment="1">
      <alignment horizontal="center" vertical="center"/>
    </xf>
    <xf numFmtId="0" fontId="19" fillId="20" borderId="123" xfId="0" applyFont="1" applyFill="1" applyBorder="1" applyAlignment="1">
      <alignment horizontal="center" vertical="center"/>
    </xf>
    <xf numFmtId="0" fontId="0" fillId="20" borderId="123" xfId="0" applyFill="1" applyBorder="1" applyAlignment="1">
      <alignment horizontal="center"/>
    </xf>
    <xf numFmtId="0" fontId="0" fillId="0" borderId="123" xfId="0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11" fillId="0" borderId="76" xfId="0" applyFont="1" applyBorder="1" applyAlignment="1">
      <alignment horizontal="left" vertical="top" indent="1"/>
    </xf>
    <xf numFmtId="0" fontId="4" fillId="7" borderId="40" xfId="0" applyFont="1" applyFill="1" applyBorder="1" applyAlignment="1">
      <alignment horizontal="center" vertical="center" wrapText="1"/>
    </xf>
    <xf numFmtId="0" fontId="3" fillId="3" borderId="130" xfId="0" applyFont="1" applyFill="1" applyBorder="1" applyAlignment="1">
      <alignment horizontal="center"/>
    </xf>
    <xf numFmtId="0" fontId="0" fillId="0" borderId="131" xfId="0" applyBorder="1"/>
    <xf numFmtId="1" fontId="5" fillId="3" borderId="56" xfId="0" applyNumberFormat="1" applyFont="1" applyFill="1" applyBorder="1" applyAlignment="1">
      <alignment vertical="center" wrapText="1"/>
    </xf>
    <xf numFmtId="1" fontId="5" fillId="3" borderId="69" xfId="0" applyNumberFormat="1" applyFont="1" applyFill="1" applyBorder="1" applyAlignment="1">
      <alignment vertical="center" wrapText="1"/>
    </xf>
    <xf numFmtId="0" fontId="11" fillId="0" borderId="76" xfId="0" applyFont="1" applyBorder="1" applyAlignment="1">
      <alignment horizontal="right" vertical="center" indent="1"/>
    </xf>
    <xf numFmtId="9" fontId="3" fillId="0" borderId="142" xfId="0" applyNumberFormat="1" applyFont="1" applyBorder="1" applyAlignment="1">
      <alignment horizontal="center"/>
    </xf>
    <xf numFmtId="0" fontId="4" fillId="3" borderId="62" xfId="0" applyFont="1" applyFill="1" applyBorder="1" applyAlignment="1">
      <alignment vertical="center"/>
    </xf>
    <xf numFmtId="0" fontId="4" fillId="3" borderId="60" xfId="0" applyFont="1" applyFill="1" applyBorder="1" applyAlignment="1">
      <alignment vertical="center"/>
    </xf>
    <xf numFmtId="0" fontId="4" fillId="3" borderId="62" xfId="0" applyFont="1" applyFill="1" applyBorder="1" applyAlignment="1">
      <alignment horizontal="right" vertical="center"/>
    </xf>
    <xf numFmtId="0" fontId="4" fillId="3" borderId="60" xfId="0" applyFont="1" applyFill="1" applyBorder="1" applyAlignment="1">
      <alignment horizontal="left" vertical="center"/>
    </xf>
    <xf numFmtId="0" fontId="4" fillId="3" borderId="61" xfId="0" applyFont="1" applyFill="1" applyBorder="1" applyAlignment="1">
      <alignment horizontal="right" vertical="center"/>
    </xf>
    <xf numFmtId="0" fontId="4" fillId="3" borderId="68" xfId="0" applyFont="1" applyFill="1" applyBorder="1" applyAlignment="1">
      <alignment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vertical="center"/>
    </xf>
    <xf numFmtId="0" fontId="4" fillId="3" borderId="65" xfId="0" applyFont="1" applyFill="1" applyBorder="1" applyAlignment="1">
      <alignment vertical="center"/>
    </xf>
    <xf numFmtId="0" fontId="4" fillId="3" borderId="67" xfId="0" applyFont="1" applyFill="1" applyBorder="1" applyAlignment="1">
      <alignment vertical="center"/>
    </xf>
    <xf numFmtId="0" fontId="4" fillId="3" borderId="83" xfId="0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0" fontId="4" fillId="3" borderId="76" xfId="0" applyFont="1" applyFill="1" applyBorder="1" applyAlignment="1">
      <alignment vertical="center"/>
    </xf>
    <xf numFmtId="0" fontId="4" fillId="3" borderId="76" xfId="0" applyFont="1" applyFill="1" applyBorder="1"/>
    <xf numFmtId="0" fontId="4" fillId="3" borderId="90" xfId="0" applyFont="1" applyFill="1" applyBorder="1"/>
    <xf numFmtId="0" fontId="4" fillId="3" borderId="72" xfId="0" applyFont="1" applyFill="1" applyBorder="1"/>
    <xf numFmtId="0" fontId="4" fillId="3" borderId="90" xfId="0" applyFont="1" applyFill="1" applyBorder="1" applyAlignment="1">
      <alignment vertical="center"/>
    </xf>
    <xf numFmtId="0" fontId="4" fillId="3" borderId="9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3" borderId="90" xfId="0" applyFont="1" applyFill="1" applyBorder="1" applyAlignment="1">
      <alignment horizontal="center"/>
    </xf>
    <xf numFmtId="0" fontId="4" fillId="3" borderId="76" xfId="0" applyFont="1" applyFill="1" applyBorder="1" applyAlignment="1">
      <alignment horizontal="center"/>
    </xf>
    <xf numFmtId="0" fontId="4" fillId="3" borderId="90" xfId="0" applyFont="1" applyFill="1" applyBorder="1" applyAlignment="1">
      <alignment horizontal="center" vertical="top"/>
    </xf>
    <xf numFmtId="0" fontId="27" fillId="3" borderId="13" xfId="0" applyFont="1" applyFill="1" applyBorder="1" applyAlignment="1">
      <alignment horizontal="center" vertical="center"/>
    </xf>
    <xf numFmtId="0" fontId="69" fillId="3" borderId="2" xfId="0" applyFont="1" applyFill="1" applyBorder="1" applyAlignment="1">
      <alignment horizontal="center" vertical="center"/>
    </xf>
    <xf numFmtId="0" fontId="72" fillId="3" borderId="2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4" fillId="3" borderId="76" xfId="0" applyFont="1" applyFill="1" applyBorder="1" applyAlignment="1">
      <alignment wrapText="1"/>
    </xf>
    <xf numFmtId="0" fontId="4" fillId="0" borderId="137" xfId="0" applyFont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0" fontId="14" fillId="3" borderId="76" xfId="0" applyFont="1" applyFill="1" applyBorder="1" applyAlignment="1">
      <alignment horizontal="center" wrapText="1"/>
    </xf>
    <xf numFmtId="0" fontId="14" fillId="3" borderId="76" xfId="0" applyFont="1" applyFill="1" applyBorder="1" applyAlignment="1">
      <alignment horizontal="center"/>
    </xf>
    <xf numFmtId="0" fontId="14" fillId="3" borderId="90" xfId="0" applyFont="1" applyFill="1" applyBorder="1" applyAlignment="1">
      <alignment horizontal="center"/>
    </xf>
    <xf numFmtId="0" fontId="14" fillId="3" borderId="72" xfId="0" applyFont="1" applyFill="1" applyBorder="1" applyAlignment="1">
      <alignment horizontal="center"/>
    </xf>
    <xf numFmtId="0" fontId="73" fillId="3" borderId="76" xfId="0" applyFont="1" applyFill="1" applyBorder="1" applyAlignment="1">
      <alignment vertical="center" wrapText="1"/>
    </xf>
    <xf numFmtId="0" fontId="14" fillId="3" borderId="76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vertical="center"/>
    </xf>
    <xf numFmtId="0" fontId="4" fillId="3" borderId="63" xfId="0" applyFont="1" applyFill="1" applyBorder="1" applyAlignment="1">
      <alignment vertical="center"/>
    </xf>
    <xf numFmtId="0" fontId="27" fillId="3" borderId="20" xfId="0" applyFont="1" applyFill="1" applyBorder="1" applyAlignment="1">
      <alignment horizontal="center" vertical="center"/>
    </xf>
    <xf numFmtId="0" fontId="69" fillId="3" borderId="21" xfId="0" applyFont="1" applyFill="1" applyBorder="1" applyAlignment="1">
      <alignment horizontal="center" vertical="center"/>
    </xf>
    <xf numFmtId="0" fontId="72" fillId="3" borderId="21" xfId="0" applyFont="1" applyFill="1" applyBorder="1" applyAlignment="1">
      <alignment horizontal="center" vertical="center"/>
    </xf>
    <xf numFmtId="0" fontId="3" fillId="3" borderId="76" xfId="0" applyFont="1" applyFill="1" applyBorder="1" applyAlignment="1">
      <alignment wrapText="1"/>
    </xf>
    <xf numFmtId="0" fontId="14" fillId="3" borderId="90" xfId="0" applyFont="1" applyFill="1" applyBorder="1"/>
    <xf numFmtId="0" fontId="14" fillId="3" borderId="76" xfId="0" applyFont="1" applyFill="1" applyBorder="1"/>
    <xf numFmtId="0" fontId="14" fillId="3" borderId="72" xfId="0" applyFont="1" applyFill="1" applyBorder="1"/>
    <xf numFmtId="0" fontId="4" fillId="15" borderId="149" xfId="0" applyFont="1" applyFill="1" applyBorder="1" applyAlignment="1">
      <alignment horizontal="center" vertical="center"/>
    </xf>
    <xf numFmtId="0" fontId="4" fillId="15" borderId="75" xfId="0" applyFont="1" applyFill="1" applyBorder="1" applyAlignment="1">
      <alignment horizontal="center" vertical="center"/>
    </xf>
    <xf numFmtId="0" fontId="13" fillId="3" borderId="81" xfId="0" applyFont="1" applyFill="1" applyBorder="1"/>
    <xf numFmtId="0" fontId="14" fillId="3" borderId="81" xfId="0" applyFont="1" applyFill="1" applyBorder="1" applyAlignment="1">
      <alignment horizontal="center" vertical="center"/>
    </xf>
    <xf numFmtId="0" fontId="14" fillId="3" borderId="149" xfId="0" applyFont="1" applyFill="1" applyBorder="1"/>
    <xf numFmtId="0" fontId="14" fillId="3" borderId="81" xfId="0" applyFont="1" applyFill="1" applyBorder="1"/>
    <xf numFmtId="0" fontId="14" fillId="3" borderId="148" xfId="0" applyFont="1" applyFill="1" applyBorder="1"/>
    <xf numFmtId="0" fontId="4" fillId="3" borderId="81" xfId="0" applyFont="1" applyFill="1" applyBorder="1"/>
    <xf numFmtId="0" fontId="4" fillId="3" borderId="149" xfId="0" applyFont="1" applyFill="1" applyBorder="1" applyAlignment="1">
      <alignment horizontal="center"/>
    </xf>
    <xf numFmtId="0" fontId="4" fillId="3" borderId="81" xfId="0" applyFont="1" applyFill="1" applyBorder="1" applyAlignment="1">
      <alignment horizontal="center"/>
    </xf>
    <xf numFmtId="0" fontId="4" fillId="3" borderId="148" xfId="0" applyFont="1" applyFill="1" applyBorder="1" applyAlignment="1">
      <alignment horizontal="center"/>
    </xf>
    <xf numFmtId="0" fontId="4" fillId="3" borderId="149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25" borderId="76" xfId="0" applyFont="1" applyFill="1" applyBorder="1" applyAlignment="1">
      <alignment vertical="center"/>
    </xf>
    <xf numFmtId="0" fontId="4" fillId="20" borderId="76" xfId="0" applyFont="1" applyFill="1" applyBorder="1" applyAlignment="1">
      <alignment horizontal="center" vertical="center"/>
    </xf>
    <xf numFmtId="0" fontId="3" fillId="20" borderId="76" xfId="0" applyFont="1" applyFill="1" applyBorder="1"/>
    <xf numFmtId="0" fontId="74" fillId="3" borderId="76" xfId="0" applyFont="1" applyFill="1" applyBorder="1"/>
    <xf numFmtId="0" fontId="4" fillId="3" borderId="76" xfId="0" applyFont="1" applyFill="1" applyBorder="1" applyAlignment="1">
      <alignment horizontal="left" vertical="top"/>
    </xf>
    <xf numFmtId="0" fontId="6" fillId="26" borderId="123" xfId="0" applyFont="1" applyFill="1" applyBorder="1" applyAlignment="1">
      <alignment vertical="center"/>
    </xf>
    <xf numFmtId="0" fontId="12" fillId="26" borderId="123" xfId="0" applyFont="1" applyFill="1" applyBorder="1" applyAlignment="1">
      <alignment vertical="center"/>
    </xf>
    <xf numFmtId="0" fontId="0" fillId="20" borderId="76" xfId="0" applyFill="1" applyBorder="1"/>
    <xf numFmtId="49" fontId="4" fillId="20" borderId="76" xfId="0" applyNumberFormat="1" applyFont="1" applyFill="1" applyBorder="1" applyAlignment="1">
      <alignment horizontal="center" vertical="top"/>
    </xf>
    <xf numFmtId="1" fontId="4" fillId="20" borderId="76" xfId="0" applyNumberFormat="1" applyFont="1" applyFill="1" applyBorder="1" applyAlignment="1">
      <alignment horizontal="center"/>
    </xf>
    <xf numFmtId="0" fontId="4" fillId="20" borderId="76" xfId="0" applyFont="1" applyFill="1" applyBorder="1"/>
    <xf numFmtId="0" fontId="3" fillId="20" borderId="76" xfId="0" applyFont="1" applyFill="1" applyBorder="1" applyAlignment="1">
      <alignment horizontal="center" vertical="center"/>
    </xf>
    <xf numFmtId="16" fontId="3" fillId="20" borderId="76" xfId="0" applyNumberFormat="1" applyFont="1" applyFill="1" applyBorder="1" applyAlignment="1">
      <alignment horizontal="center"/>
    </xf>
    <xf numFmtId="49" fontId="3" fillId="20" borderId="76" xfId="0" applyNumberFormat="1" applyFont="1" applyFill="1" applyBorder="1" applyAlignment="1">
      <alignment horizontal="center" vertical="top"/>
    </xf>
    <xf numFmtId="0" fontId="65" fillId="20" borderId="76" xfId="0" applyFont="1" applyFill="1" applyBorder="1"/>
    <xf numFmtId="0" fontId="67" fillId="20" borderId="76" xfId="0" applyFont="1" applyFill="1" applyBorder="1"/>
    <xf numFmtId="165" fontId="4" fillId="20" borderId="76" xfId="0" applyNumberFormat="1" applyFont="1" applyFill="1" applyBorder="1" applyAlignment="1">
      <alignment horizontal="center" vertical="center"/>
    </xf>
    <xf numFmtId="0" fontId="65" fillId="0" borderId="0" xfId="0" applyFont="1"/>
    <xf numFmtId="0" fontId="4" fillId="20" borderId="76" xfId="0" applyFont="1" applyFill="1" applyBorder="1" applyAlignment="1">
      <alignment vertical="center"/>
    </xf>
    <xf numFmtId="0" fontId="3" fillId="20" borderId="76" xfId="0" applyFont="1" applyFill="1" applyBorder="1" applyAlignment="1">
      <alignment vertical="center"/>
    </xf>
    <xf numFmtId="165" fontId="4" fillId="20" borderId="150" xfId="0" applyNumberFormat="1" applyFont="1" applyFill="1" applyBorder="1" applyAlignment="1">
      <alignment horizontal="center" vertical="center"/>
    </xf>
    <xf numFmtId="1" fontId="3" fillId="20" borderId="76" xfId="0" applyNumberFormat="1" applyFont="1" applyFill="1" applyBorder="1" applyAlignment="1">
      <alignment horizontal="center"/>
    </xf>
    <xf numFmtId="0" fontId="0" fillId="20" borderId="156" xfId="0" applyFill="1" applyBorder="1"/>
    <xf numFmtId="0" fontId="4" fillId="20" borderId="156" xfId="0" applyFont="1" applyFill="1" applyBorder="1" applyAlignment="1">
      <alignment vertical="center"/>
    </xf>
    <xf numFmtId="0" fontId="4" fillId="20" borderId="155" xfId="0" applyFont="1" applyFill="1" applyBorder="1" applyAlignment="1">
      <alignment vertical="center"/>
    </xf>
    <xf numFmtId="0" fontId="3" fillId="20" borderId="156" xfId="0" applyFont="1" applyFill="1" applyBorder="1"/>
    <xf numFmtId="0" fontId="4" fillId="20" borderId="156" xfId="0" applyFont="1" applyFill="1" applyBorder="1" applyAlignment="1">
      <alignment horizontal="center" vertical="center"/>
    </xf>
    <xf numFmtId="0" fontId="4" fillId="20" borderId="156" xfId="0" applyFont="1" applyFill="1" applyBorder="1"/>
    <xf numFmtId="49" fontId="4" fillId="20" borderId="156" xfId="0" applyNumberFormat="1" applyFont="1" applyFill="1" applyBorder="1" applyAlignment="1">
      <alignment horizontal="center" vertical="top"/>
    </xf>
    <xf numFmtId="1" fontId="4" fillId="20" borderId="156" xfId="0" applyNumberFormat="1" applyFont="1" applyFill="1" applyBorder="1" applyAlignment="1">
      <alignment horizontal="center" vertical="top"/>
    </xf>
    <xf numFmtId="0" fontId="4" fillId="20" borderId="156" xfId="0" applyFont="1" applyFill="1" applyBorder="1" applyAlignment="1">
      <alignment horizontal="center" vertical="top"/>
    </xf>
    <xf numFmtId="0" fontId="4" fillId="20" borderId="156" xfId="0" applyFont="1" applyFill="1" applyBorder="1" applyAlignment="1">
      <alignment horizontal="center"/>
    </xf>
    <xf numFmtId="0" fontId="3" fillId="20" borderId="156" xfId="0" applyFont="1" applyFill="1" applyBorder="1" applyAlignment="1">
      <alignment horizontal="center" vertical="center"/>
    </xf>
    <xf numFmtId="49" fontId="3" fillId="20" borderId="156" xfId="0" applyNumberFormat="1" applyFont="1" applyFill="1" applyBorder="1" applyAlignment="1">
      <alignment horizontal="center" vertical="top"/>
    </xf>
    <xf numFmtId="0" fontId="3" fillId="20" borderId="156" xfId="0" applyFont="1" applyFill="1" applyBorder="1" applyAlignment="1">
      <alignment horizontal="center"/>
    </xf>
    <xf numFmtId="49" fontId="3" fillId="20" borderId="156" xfId="0" applyNumberFormat="1" applyFont="1" applyFill="1" applyBorder="1" applyAlignment="1">
      <alignment horizontal="center" vertical="center"/>
    </xf>
    <xf numFmtId="0" fontId="3" fillId="20" borderId="156" xfId="0" applyFont="1" applyFill="1" applyBorder="1" applyAlignment="1">
      <alignment horizontal="center" vertical="top"/>
    </xf>
    <xf numFmtId="0" fontId="3" fillId="20" borderId="156" xfId="0" applyFont="1" applyFill="1" applyBorder="1" applyAlignment="1">
      <alignment vertical="center"/>
    </xf>
    <xf numFmtId="165" fontId="79" fillId="20" borderId="156" xfId="0" applyNumberFormat="1" applyFont="1" applyFill="1" applyBorder="1" applyAlignment="1">
      <alignment horizontal="center" vertical="top"/>
    </xf>
    <xf numFmtId="0" fontId="79" fillId="20" borderId="156" xfId="0" applyFont="1" applyFill="1" applyBorder="1" applyAlignment="1">
      <alignment horizontal="center" vertical="center"/>
    </xf>
    <xf numFmtId="1" fontId="4" fillId="18" borderId="2" xfId="0" applyNumberFormat="1" applyFont="1" applyFill="1" applyBorder="1" applyAlignment="1">
      <alignment horizontal="center" vertical="center"/>
    </xf>
    <xf numFmtId="1" fontId="4" fillId="30" borderId="48" xfId="0" applyNumberFormat="1" applyFont="1" applyFill="1" applyBorder="1" applyAlignment="1">
      <alignment horizontal="center" vertical="center"/>
    </xf>
    <xf numFmtId="0" fontId="4" fillId="18" borderId="27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1" fontId="4" fillId="20" borderId="94" xfId="0" applyNumberFormat="1" applyFont="1" applyFill="1" applyBorder="1" applyAlignment="1">
      <alignment horizontal="center"/>
    </xf>
    <xf numFmtId="16" fontId="4" fillId="20" borderId="76" xfId="0" quotePrefix="1" applyNumberFormat="1" applyFont="1" applyFill="1" applyBorder="1" applyAlignment="1">
      <alignment horizontal="center"/>
    </xf>
    <xf numFmtId="16" fontId="4" fillId="20" borderId="76" xfId="0" applyNumberFormat="1" applyFont="1" applyFill="1" applyBorder="1" applyAlignment="1">
      <alignment horizontal="center"/>
    </xf>
    <xf numFmtId="0" fontId="83" fillId="20" borderId="76" xfId="0" applyFont="1" applyFill="1" applyBorder="1"/>
    <xf numFmtId="0" fontId="84" fillId="20" borderId="76" xfId="0" applyFont="1" applyFill="1" applyBorder="1"/>
    <xf numFmtId="0" fontId="76" fillId="20" borderId="76" xfId="0" applyFont="1" applyFill="1" applyBorder="1" applyAlignment="1">
      <alignment horizontal="center"/>
    </xf>
    <xf numFmtId="0" fontId="85" fillId="20" borderId="76" xfId="0" applyFont="1" applyFill="1" applyBorder="1"/>
    <xf numFmtId="16" fontId="14" fillId="20" borderId="76" xfId="0" applyNumberFormat="1" applyFont="1" applyFill="1" applyBorder="1" applyAlignment="1">
      <alignment horizontal="center"/>
    </xf>
    <xf numFmtId="14" fontId="3" fillId="22" borderId="2" xfId="0" applyNumberFormat="1" applyFont="1" applyFill="1" applyBorder="1" applyAlignment="1">
      <alignment horizontal="center" vertical="center"/>
    </xf>
    <xf numFmtId="0" fontId="3" fillId="3" borderId="76" xfId="0" applyFont="1" applyFill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0" fontId="3" fillId="3" borderId="76" xfId="0" applyFont="1" applyFill="1" applyBorder="1" applyAlignment="1">
      <alignment horizontal="center" vertical="center"/>
    </xf>
    <xf numFmtId="0" fontId="86" fillId="3" borderId="76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/>
    </xf>
    <xf numFmtId="16" fontId="33" fillId="3" borderId="2" xfId="0" quotePrefix="1" applyNumberFormat="1" applyFont="1" applyFill="1" applyBorder="1" applyAlignment="1">
      <alignment horizontal="center" vertical="center"/>
    </xf>
    <xf numFmtId="14" fontId="33" fillId="3" borderId="2" xfId="0" applyNumberFormat="1" applyFont="1" applyFill="1" applyBorder="1" applyAlignment="1">
      <alignment horizontal="center" vertical="center"/>
    </xf>
    <xf numFmtId="165" fontId="33" fillId="3" borderId="2" xfId="0" applyNumberFormat="1" applyFont="1" applyFill="1" applyBorder="1" applyAlignment="1">
      <alignment horizontal="center" vertical="center"/>
    </xf>
    <xf numFmtId="165" fontId="33" fillId="3" borderId="38" xfId="0" applyNumberFormat="1" applyFont="1" applyFill="1" applyBorder="1" applyAlignment="1">
      <alignment horizontal="center" vertical="center"/>
    </xf>
    <xf numFmtId="0" fontId="33" fillId="3" borderId="2" xfId="0" quotePrefix="1" applyFont="1" applyFill="1" applyBorder="1" applyAlignment="1">
      <alignment horizontal="center" vertical="center"/>
    </xf>
    <xf numFmtId="0" fontId="33" fillId="3" borderId="129" xfId="0" applyFont="1" applyFill="1" applyBorder="1" applyAlignment="1">
      <alignment horizontal="center" vertical="center"/>
    </xf>
    <xf numFmtId="0" fontId="33" fillId="3" borderId="123" xfId="0" applyFont="1" applyFill="1" applyBorder="1" applyAlignment="1">
      <alignment horizontal="center" vertical="center"/>
    </xf>
    <xf numFmtId="0" fontId="33" fillId="3" borderId="134" xfId="0" applyFont="1" applyFill="1" applyBorder="1" applyAlignment="1">
      <alignment horizontal="center" vertical="center"/>
    </xf>
    <xf numFmtId="0" fontId="87" fillId="3" borderId="2" xfId="0" applyFont="1" applyFill="1" applyBorder="1" applyAlignment="1">
      <alignment horizontal="center" vertical="center" wrapText="1"/>
    </xf>
    <xf numFmtId="14" fontId="87" fillId="3" borderId="2" xfId="0" applyNumberFormat="1" applyFont="1" applyFill="1" applyBorder="1" applyAlignment="1">
      <alignment horizontal="center" vertical="center" wrapText="1"/>
    </xf>
    <xf numFmtId="0" fontId="87" fillId="3" borderId="128" xfId="0" applyFont="1" applyFill="1" applyBorder="1" applyAlignment="1">
      <alignment horizontal="center" vertical="center" wrapText="1"/>
    </xf>
    <xf numFmtId="0" fontId="87" fillId="3" borderId="129" xfId="0" applyFont="1" applyFill="1" applyBorder="1" applyAlignment="1">
      <alignment horizontal="center" vertical="center" wrapText="1"/>
    </xf>
    <xf numFmtId="14" fontId="87" fillId="3" borderId="129" xfId="0" applyNumberFormat="1" applyFont="1" applyFill="1" applyBorder="1" applyAlignment="1">
      <alignment horizontal="center" vertical="center" wrapText="1"/>
    </xf>
    <xf numFmtId="0" fontId="87" fillId="3" borderId="123" xfId="0" applyFont="1" applyFill="1" applyBorder="1" applyAlignment="1">
      <alignment horizontal="center" vertical="center" wrapText="1"/>
    </xf>
    <xf numFmtId="14" fontId="87" fillId="3" borderId="123" xfId="0" applyNumberFormat="1" applyFont="1" applyFill="1" applyBorder="1" applyAlignment="1">
      <alignment horizontal="center" vertical="center" wrapText="1"/>
    </xf>
    <xf numFmtId="0" fontId="87" fillId="3" borderId="134" xfId="0" applyFont="1" applyFill="1" applyBorder="1" applyAlignment="1">
      <alignment horizontal="center" vertical="center" wrapText="1"/>
    </xf>
    <xf numFmtId="14" fontId="87" fillId="3" borderId="134" xfId="0" applyNumberFormat="1" applyFont="1" applyFill="1" applyBorder="1" applyAlignment="1">
      <alignment horizontal="center" vertical="center" wrapText="1"/>
    </xf>
    <xf numFmtId="0" fontId="3" fillId="0" borderId="101" xfId="0" applyFont="1" applyBorder="1"/>
    <xf numFmtId="0" fontId="88" fillId="3" borderId="2" xfId="0" applyFont="1" applyFill="1" applyBorder="1" applyAlignment="1">
      <alignment horizontal="center" vertical="center" wrapText="1"/>
    </xf>
    <xf numFmtId="0" fontId="88" fillId="3" borderId="129" xfId="0" applyFont="1" applyFill="1" applyBorder="1" applyAlignment="1">
      <alignment horizontal="center" vertical="center" wrapText="1"/>
    </xf>
    <xf numFmtId="0" fontId="88" fillId="3" borderId="123" xfId="0" applyFont="1" applyFill="1" applyBorder="1" applyAlignment="1">
      <alignment horizontal="center" vertical="center" wrapText="1"/>
    </xf>
    <xf numFmtId="0" fontId="4" fillId="31" borderId="34" xfId="0" applyFont="1" applyFill="1" applyBorder="1" applyAlignment="1">
      <alignment horizontal="center" vertical="center"/>
    </xf>
    <xf numFmtId="14" fontId="17" fillId="10" borderId="42" xfId="0" applyNumberFormat="1" applyFont="1" applyFill="1" applyBorder="1" applyAlignment="1">
      <alignment horizontal="center" vertical="center" wrapText="1"/>
    </xf>
    <xf numFmtId="14" fontId="87" fillId="3" borderId="2" xfId="0" applyNumberFormat="1" applyFont="1" applyFill="1" applyBorder="1" applyAlignment="1">
      <alignment horizontal="center" wrapText="1"/>
    </xf>
    <xf numFmtId="14" fontId="87" fillId="3" borderId="129" xfId="0" applyNumberFormat="1" applyFont="1" applyFill="1" applyBorder="1" applyAlignment="1">
      <alignment horizontal="center" wrapText="1"/>
    </xf>
    <xf numFmtId="14" fontId="87" fillId="3" borderId="131" xfId="0" applyNumberFormat="1" applyFont="1" applyFill="1" applyBorder="1" applyAlignment="1">
      <alignment horizontal="center" wrapText="1"/>
    </xf>
    <xf numFmtId="14" fontId="87" fillId="3" borderId="134" xfId="0" applyNumberFormat="1" applyFont="1" applyFill="1" applyBorder="1" applyAlignment="1">
      <alignment horizontal="center" wrapText="1"/>
    </xf>
    <xf numFmtId="14" fontId="87" fillId="3" borderId="123" xfId="0" applyNumberFormat="1" applyFont="1" applyFill="1" applyBorder="1" applyAlignment="1">
      <alignment horizontal="center" wrapText="1"/>
    </xf>
    <xf numFmtId="0" fontId="87" fillId="3" borderId="123" xfId="0" applyFont="1" applyFill="1" applyBorder="1" applyAlignment="1">
      <alignment horizontal="center" wrapText="1"/>
    </xf>
    <xf numFmtId="0" fontId="33" fillId="0" borderId="2" xfId="0" applyFont="1" applyBorder="1" applyAlignment="1">
      <alignment horizontal="center" vertical="center"/>
    </xf>
    <xf numFmtId="0" fontId="87" fillId="3" borderId="2" xfId="0" applyFont="1" applyFill="1" applyBorder="1" applyAlignment="1">
      <alignment horizontal="center" vertical="center"/>
    </xf>
    <xf numFmtId="0" fontId="87" fillId="3" borderId="129" xfId="0" applyFont="1" applyFill="1" applyBorder="1" applyAlignment="1">
      <alignment horizontal="center" vertical="center"/>
    </xf>
    <xf numFmtId="0" fontId="87" fillId="3" borderId="123" xfId="0" applyFont="1" applyFill="1" applyBorder="1" applyAlignment="1">
      <alignment horizontal="center" vertical="center"/>
    </xf>
    <xf numFmtId="0" fontId="87" fillId="3" borderId="134" xfId="0" applyFont="1" applyFill="1" applyBorder="1" applyAlignment="1">
      <alignment horizontal="center" vertical="center"/>
    </xf>
    <xf numFmtId="0" fontId="90" fillId="20" borderId="76" xfId="0" applyFont="1" applyFill="1" applyBorder="1"/>
    <xf numFmtId="16" fontId="91" fillId="22" borderId="76" xfId="0" applyNumberFormat="1" applyFont="1" applyFill="1" applyBorder="1" applyAlignment="1">
      <alignment vertical="center"/>
    </xf>
    <xf numFmtId="0" fontId="0" fillId="0" borderId="76" xfId="0" applyBorder="1" applyAlignment="1">
      <alignment horizontal="center"/>
    </xf>
    <xf numFmtId="0" fontId="65" fillId="0" borderId="76" xfId="0" applyFont="1" applyBorder="1"/>
    <xf numFmtId="0" fontId="67" fillId="20" borderId="161" xfId="0" applyFont="1" applyFill="1" applyBorder="1"/>
    <xf numFmtId="0" fontId="3" fillId="3" borderId="150" xfId="0" applyFont="1" applyFill="1" applyBorder="1" applyAlignment="1">
      <alignment horizontal="center" vertical="center"/>
    </xf>
    <xf numFmtId="0" fontId="3" fillId="3" borderId="162" xfId="0" applyFont="1" applyFill="1" applyBorder="1" applyAlignment="1">
      <alignment horizontal="center" vertical="center"/>
    </xf>
    <xf numFmtId="49" fontId="3" fillId="20" borderId="163" xfId="0" applyNumberFormat="1" applyFont="1" applyFill="1" applyBorder="1" applyAlignment="1">
      <alignment horizontal="center" vertical="center"/>
    </xf>
    <xf numFmtId="49" fontId="3" fillId="20" borderId="150" xfId="0" applyNumberFormat="1" applyFont="1" applyFill="1" applyBorder="1" applyAlignment="1">
      <alignment horizontal="center" vertical="center"/>
    </xf>
    <xf numFmtId="0" fontId="13" fillId="3" borderId="150" xfId="0" applyFont="1" applyFill="1" applyBorder="1"/>
    <xf numFmtId="0" fontId="3" fillId="20" borderId="150" xfId="0" applyFont="1" applyFill="1" applyBorder="1"/>
    <xf numFmtId="1" fontId="4" fillId="20" borderId="162" xfId="0" applyNumberFormat="1" applyFont="1" applyFill="1" applyBorder="1" applyAlignment="1">
      <alignment horizontal="center"/>
    </xf>
    <xf numFmtId="49" fontId="4" fillId="20" borderId="150" xfId="0" applyNumberFormat="1" applyFont="1" applyFill="1" applyBorder="1" applyAlignment="1">
      <alignment horizontal="center" vertical="top"/>
    </xf>
    <xf numFmtId="16" fontId="4" fillId="20" borderId="150" xfId="0" applyNumberFormat="1" applyFont="1" applyFill="1" applyBorder="1" applyAlignment="1">
      <alignment horizontal="center"/>
    </xf>
    <xf numFmtId="0" fontId="83" fillId="0" borderId="76" xfId="0" applyFont="1" applyBorder="1"/>
    <xf numFmtId="0" fontId="4" fillId="20" borderId="150" xfId="0" applyFont="1" applyFill="1" applyBorder="1" applyAlignment="1">
      <alignment horizontal="center" vertical="center"/>
    </xf>
    <xf numFmtId="0" fontId="14" fillId="20" borderId="150" xfId="0" applyFont="1" applyFill="1" applyBorder="1" applyAlignment="1">
      <alignment horizontal="center" vertical="center"/>
    </xf>
    <xf numFmtId="0" fontId="4" fillId="20" borderId="150" xfId="0" applyFont="1" applyFill="1" applyBorder="1" applyAlignment="1">
      <alignment vertical="center"/>
    </xf>
    <xf numFmtId="0" fontId="84" fillId="20" borderId="161" xfId="0" applyFont="1" applyFill="1" applyBorder="1"/>
    <xf numFmtId="0" fontId="14" fillId="20" borderId="150" xfId="0" applyFont="1" applyFill="1" applyBorder="1" applyAlignment="1">
      <alignment horizontal="center"/>
    </xf>
    <xf numFmtId="165" fontId="14" fillId="20" borderId="150" xfId="0" applyNumberFormat="1" applyFont="1" applyFill="1" applyBorder="1" applyAlignment="1">
      <alignment horizontal="center" vertical="top"/>
    </xf>
    <xf numFmtId="49" fontId="14" fillId="20" borderId="150" xfId="0" applyNumberFormat="1" applyFont="1" applyFill="1" applyBorder="1" applyAlignment="1">
      <alignment horizontal="center" vertical="top"/>
    </xf>
    <xf numFmtId="0" fontId="84" fillId="20" borderId="164" xfId="0" applyFont="1" applyFill="1" applyBorder="1"/>
    <xf numFmtId="0" fontId="4" fillId="20" borderId="162" xfId="0" applyFont="1" applyFill="1" applyBorder="1" applyAlignment="1">
      <alignment horizontal="center" vertical="center"/>
    </xf>
    <xf numFmtId="165" fontId="14" fillId="20" borderId="150" xfId="0" applyNumberFormat="1" applyFont="1" applyFill="1" applyBorder="1" applyAlignment="1">
      <alignment horizontal="center" vertical="center"/>
    </xf>
    <xf numFmtId="49" fontId="14" fillId="20" borderId="150" xfId="0" applyNumberFormat="1" applyFont="1" applyFill="1" applyBorder="1" applyAlignment="1">
      <alignment horizontal="center" vertical="center"/>
    </xf>
    <xf numFmtId="0" fontId="3" fillId="20" borderId="150" xfId="0" applyFont="1" applyFill="1" applyBorder="1" applyAlignment="1">
      <alignment vertical="center"/>
    </xf>
    <xf numFmtId="0" fontId="78" fillId="20" borderId="150" xfId="0" applyFont="1" applyFill="1" applyBorder="1" applyAlignment="1">
      <alignment horizontal="center"/>
    </xf>
    <xf numFmtId="0" fontId="67" fillId="20" borderId="150" xfId="0" applyFont="1" applyFill="1" applyBorder="1"/>
    <xf numFmtId="16" fontId="3" fillId="20" borderId="150" xfId="0" applyNumberFormat="1" applyFont="1" applyFill="1" applyBorder="1" applyAlignment="1">
      <alignment horizontal="center"/>
    </xf>
    <xf numFmtId="0" fontId="3" fillId="20" borderId="150" xfId="0" applyFont="1" applyFill="1" applyBorder="1" applyAlignment="1">
      <alignment horizontal="center" vertical="center"/>
    </xf>
    <xf numFmtId="0" fontId="67" fillId="20" borderId="165" xfId="0" applyFont="1" applyFill="1" applyBorder="1"/>
    <xf numFmtId="0" fontId="6" fillId="28" borderId="170" xfId="0" applyFont="1" applyFill="1" applyBorder="1" applyAlignment="1">
      <alignment horizontal="left"/>
    </xf>
    <xf numFmtId="0" fontId="77" fillId="28" borderId="171" xfId="0" applyFont="1" applyFill="1" applyBorder="1" applyAlignment="1">
      <alignment wrapText="1"/>
    </xf>
    <xf numFmtId="0" fontId="14" fillId="20" borderId="133" xfId="0" applyFont="1" applyFill="1" applyBorder="1" applyAlignment="1">
      <alignment horizontal="center" vertical="center"/>
    </xf>
    <xf numFmtId="0" fontId="83" fillId="20" borderId="133" xfId="0" applyFont="1" applyFill="1" applyBorder="1"/>
    <xf numFmtId="0" fontId="4" fillId="20" borderId="133" xfId="0" applyFont="1" applyFill="1" applyBorder="1" applyAlignment="1">
      <alignment horizontal="center"/>
    </xf>
    <xf numFmtId="0" fontId="4" fillId="20" borderId="133" xfId="0" applyFont="1" applyFill="1" applyBorder="1" applyAlignment="1">
      <alignment horizontal="center" vertical="center"/>
    </xf>
    <xf numFmtId="16" fontId="4" fillId="20" borderId="133" xfId="0" applyNumberFormat="1" applyFont="1" applyFill="1" applyBorder="1" applyAlignment="1">
      <alignment horizontal="center"/>
    </xf>
    <xf numFmtId="49" fontId="4" fillId="20" borderId="133" xfId="0" applyNumberFormat="1" applyFont="1" applyFill="1" applyBorder="1" applyAlignment="1">
      <alignment horizontal="center" vertical="top"/>
    </xf>
    <xf numFmtId="0" fontId="3" fillId="20" borderId="133" xfId="0" applyFont="1" applyFill="1" applyBorder="1"/>
    <xf numFmtId="0" fontId="3" fillId="20" borderId="172" xfId="0" applyFont="1" applyFill="1" applyBorder="1"/>
    <xf numFmtId="1" fontId="11" fillId="0" borderId="76" xfId="0" applyNumberFormat="1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4" fillId="3" borderId="76" xfId="0" applyFont="1" applyFill="1" applyBorder="1" applyAlignment="1">
      <alignment horizontal="center" vertical="center" wrapText="1"/>
    </xf>
    <xf numFmtId="0" fontId="1" fillId="0" borderId="76" xfId="3"/>
    <xf numFmtId="0" fontId="92" fillId="0" borderId="76" xfId="3" applyFont="1"/>
    <xf numFmtId="0" fontId="32" fillId="0" borderId="0" xfId="0" applyFont="1"/>
    <xf numFmtId="0" fontId="93" fillId="0" borderId="76" xfId="3" applyFont="1"/>
    <xf numFmtId="0" fontId="3" fillId="0" borderId="40" xfId="0" applyFont="1" applyBorder="1" applyAlignment="1">
      <alignment horizontal="center" vertical="center"/>
    </xf>
    <xf numFmtId="0" fontId="4" fillId="17" borderId="174" xfId="0" applyFont="1" applyFill="1" applyBorder="1" applyAlignment="1">
      <alignment horizontal="center" vertical="center" wrapText="1"/>
    </xf>
    <xf numFmtId="0" fontId="4" fillId="17" borderId="175" xfId="0" applyFont="1" applyFill="1" applyBorder="1" applyAlignment="1">
      <alignment horizontal="center" vertical="center"/>
    </xf>
    <xf numFmtId="0" fontId="4" fillId="17" borderId="176" xfId="0" applyFont="1" applyFill="1" applyBorder="1" applyAlignment="1">
      <alignment horizontal="center" vertical="center"/>
    </xf>
    <xf numFmtId="0" fontId="4" fillId="17" borderId="177" xfId="0" applyFont="1" applyFill="1" applyBorder="1" applyAlignment="1">
      <alignment horizontal="center" vertical="center"/>
    </xf>
    <xf numFmtId="0" fontId="4" fillId="0" borderId="178" xfId="0" applyFont="1" applyBorder="1" applyAlignment="1">
      <alignment horizontal="center" vertical="center" wrapText="1"/>
    </xf>
    <xf numFmtId="0" fontId="3" fillId="0" borderId="179" xfId="0" applyFont="1" applyBorder="1" applyAlignment="1">
      <alignment horizontal="center" vertical="center"/>
    </xf>
    <xf numFmtId="0" fontId="4" fillId="0" borderId="180" xfId="0" applyFont="1" applyBorder="1" applyAlignment="1">
      <alignment horizontal="center" vertical="center" wrapText="1"/>
    </xf>
    <xf numFmtId="0" fontId="3" fillId="0" borderId="120" xfId="0" applyFont="1" applyBorder="1" applyAlignment="1">
      <alignment horizontal="center" vertical="center"/>
    </xf>
    <xf numFmtId="0" fontId="3" fillId="0" borderId="181" xfId="0" applyFont="1" applyBorder="1" applyAlignment="1">
      <alignment horizontal="center" vertical="center"/>
    </xf>
    <xf numFmtId="0" fontId="3" fillId="0" borderId="118" xfId="0" applyFont="1" applyBorder="1" applyAlignment="1">
      <alignment horizontal="center" vertical="center"/>
    </xf>
    <xf numFmtId="16" fontId="3" fillId="0" borderId="18" xfId="0" applyNumberFormat="1" applyFont="1" applyBorder="1" applyAlignment="1">
      <alignment horizontal="center" vertical="center"/>
    </xf>
    <xf numFmtId="0" fontId="3" fillId="3" borderId="123" xfId="0" applyFont="1" applyFill="1" applyBorder="1"/>
    <xf numFmtId="0" fontId="14" fillId="3" borderId="17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65" fontId="3" fillId="0" borderId="34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0" fontId="3" fillId="7" borderId="123" xfId="0" applyFont="1" applyFill="1" applyBorder="1" applyAlignment="1">
      <alignment horizontal="center"/>
    </xf>
    <xf numFmtId="0" fontId="3" fillId="7" borderId="182" xfId="0" applyFont="1" applyFill="1" applyBorder="1" applyAlignment="1">
      <alignment horizontal="center"/>
    </xf>
    <xf numFmtId="0" fontId="3" fillId="3" borderId="84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 wrapText="1"/>
    </xf>
    <xf numFmtId="0" fontId="18" fillId="3" borderId="173" xfId="0" applyFont="1" applyFill="1" applyBorder="1" applyAlignment="1">
      <alignment horizontal="center" wrapText="1"/>
    </xf>
    <xf numFmtId="16" fontId="4" fillId="20" borderId="76" xfId="0" applyNumberFormat="1" applyFont="1" applyFill="1" applyBorder="1" applyAlignment="1">
      <alignment vertical="center"/>
    </xf>
    <xf numFmtId="0" fontId="87" fillId="3" borderId="123" xfId="0" applyFont="1" applyFill="1" applyBorder="1" applyAlignment="1">
      <alignment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49" fontId="3" fillId="0" borderId="123" xfId="0" applyNumberFormat="1" applyFont="1" applyBorder="1" applyAlignment="1">
      <alignment horizontal="center"/>
    </xf>
    <xf numFmtId="0" fontId="94" fillId="32" borderId="123" xfId="0" applyFont="1" applyFill="1" applyBorder="1" applyAlignment="1">
      <alignment horizontal="center"/>
    </xf>
    <xf numFmtId="16" fontId="3" fillId="0" borderId="134" xfId="0" applyNumberFormat="1" applyFont="1" applyBorder="1" applyAlignment="1">
      <alignment horizontal="center" vertical="center"/>
    </xf>
    <xf numFmtId="0" fontId="3" fillId="0" borderId="134" xfId="0" applyFont="1" applyBorder="1" applyAlignment="1">
      <alignment horizontal="center" vertical="center"/>
    </xf>
    <xf numFmtId="14" fontId="3" fillId="0" borderId="134" xfId="0" applyNumberFormat="1" applyFont="1" applyBorder="1" applyAlignment="1">
      <alignment horizontal="center" vertical="center"/>
    </xf>
    <xf numFmtId="14" fontId="3" fillId="3" borderId="123" xfId="0" applyNumberFormat="1" applyFont="1" applyFill="1" applyBorder="1" applyAlignment="1">
      <alignment horizontal="center" vertical="center"/>
    </xf>
    <xf numFmtId="0" fontId="14" fillId="3" borderId="154" xfId="0" applyFont="1" applyFill="1" applyBorder="1" applyAlignment="1">
      <alignment horizontal="center" wrapText="1"/>
    </xf>
    <xf numFmtId="0" fontId="14" fillId="3" borderId="94" xfId="0" applyFont="1" applyFill="1" applyBorder="1" applyAlignment="1">
      <alignment horizontal="center" wrapText="1"/>
    </xf>
    <xf numFmtId="14" fontId="95" fillId="0" borderId="76" xfId="0" applyNumberFormat="1" applyFont="1" applyBorder="1" applyAlignment="1">
      <alignment horizontal="center"/>
    </xf>
    <xf numFmtId="0" fontId="4" fillId="3" borderId="76" xfId="0" applyFont="1" applyFill="1" applyBorder="1" applyAlignment="1">
      <alignment horizontal="left"/>
    </xf>
    <xf numFmtId="14" fontId="87" fillId="29" borderId="123" xfId="0" applyNumberFormat="1" applyFont="1" applyFill="1" applyBorder="1" applyAlignment="1">
      <alignment horizontal="center" wrapText="1"/>
    </xf>
    <xf numFmtId="0" fontId="19" fillId="3" borderId="123" xfId="0" applyFont="1" applyFill="1" applyBorder="1" applyAlignment="1">
      <alignment horizontal="center"/>
    </xf>
    <xf numFmtId="14" fontId="3" fillId="3" borderId="123" xfId="0" applyNumberFormat="1" applyFont="1" applyFill="1" applyBorder="1" applyAlignment="1">
      <alignment horizont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123" xfId="0" applyNumberFormat="1" applyFont="1" applyBorder="1" applyAlignment="1">
      <alignment horizontal="center" vertical="center"/>
    </xf>
    <xf numFmtId="0" fontId="88" fillId="3" borderId="18" xfId="0" applyFont="1" applyFill="1" applyBorder="1" applyAlignment="1">
      <alignment horizontal="center" vertical="center" wrapText="1"/>
    </xf>
    <xf numFmtId="0" fontId="17" fillId="3" borderId="134" xfId="0" applyFont="1" applyFill="1" applyBorder="1" applyAlignment="1">
      <alignment horizontal="center" vertical="center"/>
    </xf>
    <xf numFmtId="165" fontId="6" fillId="33" borderId="2" xfId="0" applyNumberFormat="1" applyFont="1" applyFill="1" applyBorder="1" applyAlignment="1">
      <alignment horizontal="center" vertical="center" wrapText="1"/>
    </xf>
    <xf numFmtId="14" fontId="87" fillId="29" borderId="123" xfId="0" applyNumberFormat="1" applyFont="1" applyFill="1" applyBorder="1" applyAlignment="1">
      <alignment horizontal="center" vertical="center" wrapText="1"/>
    </xf>
    <xf numFmtId="14" fontId="33" fillId="0" borderId="18" xfId="0" applyNumberFormat="1" applyFont="1" applyBorder="1" applyAlignment="1">
      <alignment horizontal="center" vertical="center"/>
    </xf>
    <xf numFmtId="14" fontId="33" fillId="3" borderId="123" xfId="0" applyNumberFormat="1" applyFont="1" applyFill="1" applyBorder="1" applyAlignment="1">
      <alignment horizontal="center"/>
    </xf>
    <xf numFmtId="14" fontId="33" fillId="0" borderId="123" xfId="0" applyNumberFormat="1" applyFont="1" applyBorder="1" applyAlignment="1">
      <alignment horizontal="center"/>
    </xf>
    <xf numFmtId="0" fontId="18" fillId="3" borderId="76" xfId="0" applyFont="1" applyFill="1" applyBorder="1" applyAlignment="1">
      <alignment horizontal="center" vertical="center" wrapText="1"/>
    </xf>
    <xf numFmtId="0" fontId="4" fillId="20" borderId="133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4" fillId="18" borderId="126" xfId="0" applyFont="1" applyFill="1" applyBorder="1" applyAlignment="1">
      <alignment horizontal="left" vertical="top" wrapText="1"/>
    </xf>
    <xf numFmtId="0" fontId="88" fillId="3" borderId="134" xfId="0" applyFont="1" applyFill="1" applyBorder="1" applyAlignment="1">
      <alignment horizontal="center" vertical="center" wrapText="1"/>
    </xf>
    <xf numFmtId="0" fontId="19" fillId="3" borderId="134" xfId="0" applyFont="1" applyFill="1" applyBorder="1" applyAlignment="1">
      <alignment horizontal="center"/>
    </xf>
    <xf numFmtId="0" fontId="3" fillId="3" borderId="134" xfId="0" applyFont="1" applyFill="1" applyBorder="1" applyAlignment="1">
      <alignment horizontal="center"/>
    </xf>
    <xf numFmtId="14" fontId="3" fillId="3" borderId="134" xfId="0" applyNumberFormat="1" applyFont="1" applyFill="1" applyBorder="1" applyAlignment="1">
      <alignment horizontal="center"/>
    </xf>
    <xf numFmtId="0" fontId="3" fillId="3" borderId="134" xfId="0" applyFont="1" applyFill="1" applyBorder="1"/>
    <xf numFmtId="0" fontId="3" fillId="3" borderId="136" xfId="0" applyFont="1" applyFill="1" applyBorder="1"/>
    <xf numFmtId="0" fontId="0" fillId="0" borderId="183" xfId="0" applyBorder="1"/>
    <xf numFmtId="0" fontId="4" fillId="22" borderId="126" xfId="0" applyFont="1" applyFill="1" applyBorder="1" applyAlignment="1">
      <alignment horizontal="left" vertical="top" wrapText="1"/>
    </xf>
    <xf numFmtId="0" fontId="6" fillId="3" borderId="83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6" fillId="3" borderId="84" xfId="0" applyFont="1" applyFill="1" applyBorder="1" applyAlignment="1">
      <alignment horizontal="center" vertical="center"/>
    </xf>
    <xf numFmtId="0" fontId="8" fillId="0" borderId="85" xfId="0" applyFont="1" applyBorder="1"/>
    <xf numFmtId="0" fontId="8" fillId="0" borderId="86" xfId="0" applyFont="1" applyBorder="1"/>
    <xf numFmtId="0" fontId="6" fillId="3" borderId="31" xfId="0" applyFont="1" applyFill="1" applyBorder="1" applyAlignment="1">
      <alignment horizontal="center" vertical="center"/>
    </xf>
    <xf numFmtId="0" fontId="8" fillId="0" borderId="32" xfId="0" applyFont="1" applyBorder="1"/>
    <xf numFmtId="0" fontId="6" fillId="3" borderId="31" xfId="0" applyFont="1" applyFill="1" applyBorder="1" applyAlignment="1">
      <alignment horizontal="right" vertical="center"/>
    </xf>
    <xf numFmtId="0" fontId="6" fillId="3" borderId="62" xfId="0" applyFont="1" applyFill="1" applyBorder="1" applyAlignment="1">
      <alignment horizontal="left" vertical="center"/>
    </xf>
    <xf numFmtId="0" fontId="8" fillId="0" borderId="33" xfId="0" applyFont="1" applyBorder="1"/>
    <xf numFmtId="0" fontId="27" fillId="3" borderId="89" xfId="0" applyFont="1" applyFill="1" applyBorder="1" applyAlignment="1">
      <alignment horizontal="center" vertical="center"/>
    </xf>
    <xf numFmtId="0" fontId="8" fillId="0" borderId="90" xfId="0" applyFont="1" applyBorder="1"/>
    <xf numFmtId="0" fontId="8" fillId="0" borderId="91" xfId="0" applyFont="1" applyBorder="1"/>
    <xf numFmtId="0" fontId="27" fillId="3" borderId="88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4" fillId="3" borderId="73" xfId="0" applyFont="1" applyFill="1" applyBorder="1" applyAlignment="1">
      <alignment horizontal="center" vertical="center"/>
    </xf>
    <xf numFmtId="0" fontId="8" fillId="0" borderId="30" xfId="0" applyFont="1" applyBorder="1"/>
    <xf numFmtId="0" fontId="4" fillId="3" borderId="74" xfId="0" applyFont="1" applyFill="1" applyBorder="1" applyAlignment="1">
      <alignment horizontal="center" vertical="center"/>
    </xf>
    <xf numFmtId="0" fontId="8" fillId="0" borderId="75" xfId="0" applyFont="1" applyBorder="1"/>
    <xf numFmtId="0" fontId="12" fillId="14" borderId="74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vertical="top"/>
    </xf>
    <xf numFmtId="0" fontId="4" fillId="3" borderId="73" xfId="0" applyFont="1" applyFill="1" applyBorder="1" applyAlignment="1">
      <alignment horizontal="center"/>
    </xf>
    <xf numFmtId="0" fontId="12" fillId="3" borderId="76" xfId="0" applyFont="1" applyFill="1" applyBorder="1" applyAlignment="1">
      <alignment horizontal="center" vertical="center"/>
    </xf>
    <xf numFmtId="0" fontId="8" fillId="0" borderId="94" xfId="0" applyFont="1" applyBorder="1"/>
    <xf numFmtId="0" fontId="6" fillId="3" borderId="87" xfId="0" applyFont="1" applyFill="1" applyBorder="1" applyAlignment="1">
      <alignment horizontal="center" vertical="center"/>
    </xf>
    <xf numFmtId="0" fontId="27" fillId="3" borderId="46" xfId="0" quotePrefix="1" applyFont="1" applyFill="1" applyBorder="1" applyAlignment="1">
      <alignment horizontal="center" vertical="center"/>
    </xf>
    <xf numFmtId="0" fontId="8" fillId="0" borderId="7" xfId="0" applyFont="1" applyBorder="1"/>
    <xf numFmtId="0" fontId="27" fillId="3" borderId="88" xfId="0" quotePrefix="1" applyFont="1" applyFill="1" applyBorder="1" applyAlignment="1">
      <alignment horizontal="center" vertical="center"/>
    </xf>
    <xf numFmtId="0" fontId="27" fillId="3" borderId="88" xfId="0" quotePrefix="1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2" fontId="4" fillId="3" borderId="95" xfId="0" applyNumberFormat="1" applyFont="1" applyFill="1" applyBorder="1" applyAlignment="1">
      <alignment horizontal="center" vertical="center"/>
    </xf>
    <xf numFmtId="0" fontId="8" fillId="0" borderId="100" xfId="0" applyFont="1" applyBorder="1"/>
    <xf numFmtId="2" fontId="4" fillId="3" borderId="74" xfId="0" applyNumberFormat="1" applyFont="1" applyFill="1" applyBorder="1" applyAlignment="1">
      <alignment horizontal="center" vertical="center"/>
    </xf>
    <xf numFmtId="0" fontId="4" fillId="3" borderId="95" xfId="0" applyFont="1" applyFill="1" applyBorder="1" applyAlignment="1">
      <alignment horizontal="center" vertical="center"/>
    </xf>
    <xf numFmtId="0" fontId="27" fillId="3" borderId="46" xfId="0" applyFont="1" applyFill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/>
    </xf>
    <xf numFmtId="0" fontId="8" fillId="0" borderId="82" xfId="0" applyFont="1" applyBorder="1"/>
    <xf numFmtId="0" fontId="4" fillId="3" borderId="1" xfId="0" applyFont="1" applyFill="1" applyBorder="1" applyAlignment="1">
      <alignment horizontal="center" vertical="center"/>
    </xf>
    <xf numFmtId="2" fontId="43" fillId="3" borderId="74" xfId="0" applyNumberFormat="1" applyFont="1" applyFill="1" applyBorder="1" applyAlignment="1">
      <alignment horizontal="center" vertical="center"/>
    </xf>
    <xf numFmtId="0" fontId="4" fillId="3" borderId="95" xfId="0" applyFont="1" applyFill="1" applyBorder="1" applyAlignment="1">
      <alignment horizontal="center" vertical="center" wrapText="1"/>
    </xf>
    <xf numFmtId="0" fontId="4" fillId="3" borderId="74" xfId="0" applyFont="1" applyFill="1" applyBorder="1" applyAlignment="1">
      <alignment horizontal="center" wrapText="1"/>
    </xf>
    <xf numFmtId="0" fontId="4" fillId="3" borderId="103" xfId="0" applyFont="1" applyFill="1" applyBorder="1" applyAlignment="1">
      <alignment horizontal="center" vertical="center"/>
    </xf>
    <xf numFmtId="0" fontId="8" fillId="0" borderId="104" xfId="0" applyFont="1" applyBorder="1"/>
    <xf numFmtId="0" fontId="19" fillId="10" borderId="95" xfId="0" applyFont="1" applyFill="1" applyBorder="1"/>
    <xf numFmtId="0" fontId="19" fillId="10" borderId="74" xfId="0" applyFont="1" applyFill="1" applyBorder="1"/>
    <xf numFmtId="2" fontId="19" fillId="10" borderId="74" xfId="0" applyNumberFormat="1" applyFont="1" applyFill="1" applyBorder="1"/>
    <xf numFmtId="2" fontId="19" fillId="10" borderId="95" xfId="0" applyNumberFormat="1" applyFont="1" applyFill="1" applyBorder="1"/>
    <xf numFmtId="0" fontId="4" fillId="3" borderId="74" xfId="0" applyFont="1" applyFill="1" applyBorder="1" applyAlignment="1">
      <alignment horizontal="right" vertical="center"/>
    </xf>
    <xf numFmtId="0" fontId="4" fillId="14" borderId="95" xfId="0" applyFont="1" applyFill="1" applyBorder="1" applyAlignment="1">
      <alignment horizontal="center" vertical="center"/>
    </xf>
    <xf numFmtId="0" fontId="4" fillId="8" borderId="108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0" fontId="5" fillId="0" borderId="1" xfId="0" applyFont="1" applyBorder="1" applyAlignment="1">
      <alignment vertical="center" textRotation="90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9" fillId="3" borderId="22" xfId="0" applyFont="1" applyFill="1" applyBorder="1" applyAlignment="1">
      <alignment horizontal="center" wrapText="1"/>
    </xf>
    <xf numFmtId="0" fontId="8" fillId="0" borderId="83" xfId="0" applyFont="1" applyBorder="1"/>
    <xf numFmtId="0" fontId="8" fillId="0" borderId="68" xfId="0" applyFont="1" applyBorder="1"/>
    <xf numFmtId="0" fontId="9" fillId="3" borderId="61" xfId="0" applyFont="1" applyFill="1" applyBorder="1" applyAlignment="1">
      <alignment horizontal="center" wrapText="1"/>
    </xf>
    <xf numFmtId="0" fontId="8" fillId="0" borderId="62" xfId="0" applyFont="1" applyBorder="1"/>
    <xf numFmtId="0" fontId="8" fillId="0" borderId="81" xfId="0" applyFont="1" applyBorder="1"/>
    <xf numFmtId="0" fontId="3" fillId="18" borderId="130" xfId="0" applyFont="1" applyFill="1" applyBorder="1" applyAlignment="1">
      <alignment horizontal="center"/>
    </xf>
    <xf numFmtId="0" fontId="3" fillId="18" borderId="132" xfId="0" applyFont="1" applyFill="1" applyBorder="1" applyAlignment="1">
      <alignment horizontal="center"/>
    </xf>
    <xf numFmtId="0" fontId="3" fillId="18" borderId="131" xfId="0" applyFont="1" applyFill="1" applyBorder="1" applyAlignment="1">
      <alignment horizontal="center"/>
    </xf>
    <xf numFmtId="0" fontId="97" fillId="18" borderId="130" xfId="0" applyFont="1" applyFill="1" applyBorder="1" applyAlignment="1">
      <alignment horizontal="center"/>
    </xf>
    <xf numFmtId="0" fontId="97" fillId="18" borderId="132" xfId="0" applyFont="1" applyFill="1" applyBorder="1" applyAlignment="1">
      <alignment horizontal="center"/>
    </xf>
    <xf numFmtId="0" fontId="97" fillId="18" borderId="131" xfId="0" applyFont="1" applyFill="1" applyBorder="1" applyAlignment="1">
      <alignment horizontal="center"/>
    </xf>
    <xf numFmtId="0" fontId="97" fillId="18" borderId="135" xfId="0" applyFont="1" applyFill="1" applyBorder="1" applyAlignment="1">
      <alignment horizontal="center"/>
    </xf>
    <xf numFmtId="0" fontId="97" fillId="18" borderId="136" xfId="0" applyFont="1" applyFill="1" applyBorder="1" applyAlignment="1">
      <alignment horizontal="center"/>
    </xf>
    <xf numFmtId="0" fontId="97" fillId="18" borderId="137" xfId="0" applyFont="1" applyFill="1" applyBorder="1" applyAlignment="1">
      <alignment horizontal="center"/>
    </xf>
    <xf numFmtId="0" fontId="86" fillId="22" borderId="123" xfId="0" applyFont="1" applyFill="1" applyBorder="1" applyAlignment="1">
      <alignment horizontal="center" vertical="center" wrapText="1"/>
    </xf>
    <xf numFmtId="0" fontId="86" fillId="22" borderId="123" xfId="0" applyFont="1" applyFill="1" applyBorder="1"/>
    <xf numFmtId="0" fontId="86" fillId="22" borderId="84" xfId="0" applyFont="1" applyFill="1" applyBorder="1" applyAlignment="1">
      <alignment horizontal="center" vertical="center" wrapText="1"/>
    </xf>
    <xf numFmtId="0" fontId="86" fillId="22" borderId="110" xfId="0" applyFont="1" applyFill="1" applyBorder="1"/>
    <xf numFmtId="0" fontId="86" fillId="22" borderId="79" xfId="0" applyFont="1" applyFill="1" applyBorder="1"/>
    <xf numFmtId="0" fontId="86" fillId="0" borderId="135" xfId="0" applyFont="1" applyBorder="1" applyAlignment="1">
      <alignment horizontal="center" vertical="center" wrapText="1"/>
    </xf>
    <xf numFmtId="0" fontId="86" fillId="0" borderId="136" xfId="0" applyFont="1" applyBorder="1" applyAlignment="1">
      <alignment horizontal="center" vertical="center"/>
    </xf>
    <xf numFmtId="0" fontId="86" fillId="0" borderId="137" xfId="0" applyFont="1" applyBorder="1" applyAlignment="1">
      <alignment horizontal="center" vertical="center"/>
    </xf>
    <xf numFmtId="0" fontId="86" fillId="0" borderId="130" xfId="0" applyFont="1" applyBorder="1" applyAlignment="1">
      <alignment horizontal="center" vertical="center" wrapText="1"/>
    </xf>
    <xf numFmtId="0" fontId="86" fillId="0" borderId="132" xfId="0" applyFont="1" applyBorder="1" applyAlignment="1">
      <alignment horizontal="center" vertical="center"/>
    </xf>
    <xf numFmtId="0" fontId="86" fillId="0" borderId="131" xfId="0" applyFont="1" applyBorder="1" applyAlignment="1">
      <alignment horizontal="center" vertical="center"/>
    </xf>
    <xf numFmtId="0" fontId="86" fillId="0" borderId="123" xfId="0" applyFont="1" applyBorder="1" applyAlignment="1">
      <alignment horizontal="center" vertical="center" wrapText="1"/>
    </xf>
    <xf numFmtId="0" fontId="86" fillId="0" borderId="123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 wrapText="1"/>
    </xf>
    <xf numFmtId="0" fontId="8" fillId="0" borderId="80" xfId="0" applyFont="1" applyBorder="1"/>
    <xf numFmtId="0" fontId="3" fillId="7" borderId="35" xfId="0" applyFont="1" applyFill="1" applyBorder="1" applyAlignment="1">
      <alignment horizontal="center"/>
    </xf>
    <xf numFmtId="0" fontId="8" fillId="0" borderId="36" xfId="0" applyFont="1" applyBorder="1"/>
    <xf numFmtId="0" fontId="8" fillId="0" borderId="37" xfId="0" applyFont="1" applyBorder="1"/>
    <xf numFmtId="0" fontId="81" fillId="22" borderId="135" xfId="0" applyFont="1" applyFill="1" applyBorder="1" applyAlignment="1">
      <alignment horizontal="center"/>
    </xf>
    <xf numFmtId="0" fontId="81" fillId="22" borderId="136" xfId="0" applyFont="1" applyFill="1" applyBorder="1" applyAlignment="1">
      <alignment horizontal="center"/>
    </xf>
    <xf numFmtId="0" fontId="81" fillId="22" borderId="137" xfId="0" applyFont="1" applyFill="1" applyBorder="1" applyAlignment="1">
      <alignment horizontal="center"/>
    </xf>
    <xf numFmtId="0" fontId="96" fillId="27" borderId="130" xfId="0" applyFont="1" applyFill="1" applyBorder="1" applyAlignment="1">
      <alignment horizontal="center"/>
    </xf>
    <xf numFmtId="0" fontId="96" fillId="27" borderId="132" xfId="0" applyFont="1" applyFill="1" applyBorder="1" applyAlignment="1">
      <alignment horizontal="center"/>
    </xf>
    <xf numFmtId="0" fontId="96" fillId="27" borderId="131" xfId="0" applyFont="1" applyFill="1" applyBorder="1" applyAlignment="1">
      <alignment horizontal="center"/>
    </xf>
    <xf numFmtId="0" fontId="81" fillId="22" borderId="123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80" fillId="29" borderId="3" xfId="0" applyFont="1" applyFill="1" applyBorder="1" applyAlignment="1">
      <alignment horizontal="center" vertical="center" wrapText="1"/>
    </xf>
    <xf numFmtId="0" fontId="80" fillId="22" borderId="4" xfId="0" applyFont="1" applyFill="1" applyBorder="1"/>
    <xf numFmtId="0" fontId="80" fillId="22" borderId="5" xfId="0" applyFont="1" applyFill="1" applyBorder="1"/>
    <xf numFmtId="0" fontId="81" fillId="22" borderId="130" xfId="0" applyFont="1" applyFill="1" applyBorder="1" applyAlignment="1">
      <alignment horizontal="center"/>
    </xf>
    <xf numFmtId="0" fontId="81" fillId="22" borderId="132" xfId="0" applyFont="1" applyFill="1" applyBorder="1" applyAlignment="1">
      <alignment horizontal="center"/>
    </xf>
    <xf numFmtId="0" fontId="81" fillId="22" borderId="131" xfId="0" applyFont="1" applyFill="1" applyBorder="1" applyAlignment="1">
      <alignment horizontal="center"/>
    </xf>
    <xf numFmtId="0" fontId="80" fillId="29" borderId="135" xfId="0" applyFont="1" applyFill="1" applyBorder="1" applyAlignment="1">
      <alignment horizontal="center" vertical="center" wrapText="1"/>
    </xf>
    <xf numFmtId="0" fontId="80" fillId="29" borderId="136" xfId="0" applyFont="1" applyFill="1" applyBorder="1" applyAlignment="1">
      <alignment horizontal="center" vertical="center" wrapText="1"/>
    </xf>
    <xf numFmtId="0" fontId="80" fillId="29" borderId="137" xfId="0" applyFont="1" applyFill="1" applyBorder="1" applyAlignment="1">
      <alignment horizontal="center" vertical="center" wrapText="1"/>
    </xf>
    <xf numFmtId="0" fontId="82" fillId="22" borderId="130" xfId="0" applyFont="1" applyFill="1" applyBorder="1" applyAlignment="1">
      <alignment horizontal="center"/>
    </xf>
    <xf numFmtId="0" fontId="82" fillId="22" borderId="132" xfId="0" applyFont="1" applyFill="1" applyBorder="1" applyAlignment="1">
      <alignment horizontal="center"/>
    </xf>
    <xf numFmtId="0" fontId="82" fillId="22" borderId="131" xfId="0" applyFont="1" applyFill="1" applyBorder="1" applyAlignment="1">
      <alignment horizontal="center"/>
    </xf>
    <xf numFmtId="0" fontId="89" fillId="22" borderId="130" xfId="0" applyFont="1" applyFill="1" applyBorder="1" applyAlignment="1">
      <alignment horizontal="center"/>
    </xf>
    <xf numFmtId="0" fontId="89" fillId="22" borderId="132" xfId="0" applyFont="1" applyFill="1" applyBorder="1" applyAlignment="1">
      <alignment horizontal="center"/>
    </xf>
    <xf numFmtId="0" fontId="89" fillId="22" borderId="131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 wrapText="1"/>
    </xf>
    <xf numFmtId="0" fontId="14" fillId="3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7" borderId="40" xfId="0" applyFont="1" applyFill="1" applyBorder="1" applyAlignment="1">
      <alignment horizontal="center" vertical="center" wrapText="1"/>
    </xf>
    <xf numFmtId="0" fontId="4" fillId="7" borderId="42" xfId="0" applyFont="1" applyFill="1" applyBorder="1" applyAlignment="1">
      <alignment horizontal="center" vertical="center" wrapText="1"/>
    </xf>
    <xf numFmtId="0" fontId="14" fillId="3" borderId="76" xfId="0" applyFont="1" applyFill="1" applyBorder="1" applyAlignment="1">
      <alignment horizontal="center" vertical="center" wrapText="1"/>
    </xf>
    <xf numFmtId="0" fontId="5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14" fillId="3" borderId="31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 wrapText="1"/>
    </xf>
    <xf numFmtId="0" fontId="80" fillId="29" borderId="130" xfId="0" applyFont="1" applyFill="1" applyBorder="1" applyAlignment="1">
      <alignment horizontal="center" vertical="center" wrapText="1"/>
    </xf>
    <xf numFmtId="0" fontId="80" fillId="29" borderId="132" xfId="0" applyFont="1" applyFill="1" applyBorder="1" applyAlignment="1">
      <alignment horizontal="center" vertical="center" wrapText="1"/>
    </xf>
    <xf numFmtId="0" fontId="80" fillId="29" borderId="131" xfId="0" applyFont="1" applyFill="1" applyBorder="1" applyAlignment="1">
      <alignment horizontal="center" vertical="center" wrapText="1"/>
    </xf>
    <xf numFmtId="0" fontId="86" fillId="0" borderId="84" xfId="0" applyFont="1" applyBorder="1" applyAlignment="1">
      <alignment horizontal="center" vertical="center" wrapText="1"/>
    </xf>
    <xf numFmtId="0" fontId="86" fillId="0" borderId="110" xfId="0" applyFont="1" applyBorder="1" applyAlignment="1">
      <alignment horizontal="center" vertical="center"/>
    </xf>
    <xf numFmtId="0" fontId="86" fillId="0" borderId="79" xfId="0" applyFont="1" applyBorder="1" applyAlignment="1">
      <alignment horizontal="center" vertical="center"/>
    </xf>
    <xf numFmtId="0" fontId="3" fillId="7" borderId="123" xfId="0" applyFont="1" applyFill="1" applyBorder="1" applyAlignment="1">
      <alignment horizontal="center"/>
    </xf>
    <xf numFmtId="0" fontId="8" fillId="0" borderId="123" xfId="0" applyFont="1" applyBorder="1"/>
    <xf numFmtId="0" fontId="86" fillId="0" borderId="139" xfId="0" applyFont="1" applyBorder="1" applyAlignment="1">
      <alignment horizontal="center" vertical="center" wrapText="1"/>
    </xf>
    <xf numFmtId="0" fontId="86" fillId="0" borderId="140" xfId="0" applyFont="1" applyBorder="1" applyAlignment="1">
      <alignment horizontal="center" vertical="center"/>
    </xf>
    <xf numFmtId="0" fontId="86" fillId="0" borderId="14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/>
    <xf numFmtId="0" fontId="6" fillId="8" borderId="3" xfId="0" applyFont="1" applyFill="1" applyBorder="1" applyAlignment="1">
      <alignment horizontal="center"/>
    </xf>
    <xf numFmtId="0" fontId="4" fillId="18" borderId="111" xfId="0" applyFont="1" applyFill="1" applyBorder="1" applyAlignment="1">
      <alignment horizontal="center" vertical="center"/>
    </xf>
    <xf numFmtId="0" fontId="8" fillId="18" borderId="112" xfId="0" applyFont="1" applyFill="1" applyBorder="1"/>
    <xf numFmtId="0" fontId="8" fillId="18" borderId="113" xfId="0" applyFont="1" applyFill="1" applyBorder="1"/>
    <xf numFmtId="0" fontId="4" fillId="0" borderId="114" xfId="0" applyFont="1" applyBorder="1" applyAlignment="1">
      <alignment horizontal="left" vertical="center" wrapText="1"/>
    </xf>
    <xf numFmtId="0" fontId="52" fillId="17" borderId="111" xfId="0" applyFont="1" applyFill="1" applyBorder="1" applyAlignment="1">
      <alignment horizontal="center" vertical="center" wrapText="1"/>
    </xf>
    <xf numFmtId="0" fontId="8" fillId="0" borderId="112" xfId="0" applyFont="1" applyBorder="1"/>
    <xf numFmtId="0" fontId="8" fillId="0" borderId="113" xfId="0" applyFont="1" applyBorder="1"/>
    <xf numFmtId="0" fontId="6" fillId="0" borderId="1" xfId="0" applyFont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8" fillId="0" borderId="15" xfId="0" applyFont="1" applyBorder="1"/>
    <xf numFmtId="0" fontId="8" fillId="0" borderId="54" xfId="0" applyFont="1" applyBorder="1"/>
    <xf numFmtId="0" fontId="4" fillId="0" borderId="51" xfId="0" applyFont="1" applyBorder="1" applyAlignment="1">
      <alignment horizontal="center" vertical="center"/>
    </xf>
    <xf numFmtId="0" fontId="8" fillId="0" borderId="53" xfId="0" applyFont="1" applyBorder="1"/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8" fillId="0" borderId="55" xfId="0" applyFont="1" applyBorder="1"/>
    <xf numFmtId="16" fontId="4" fillId="20" borderId="76" xfId="0" applyNumberFormat="1" applyFont="1" applyFill="1" applyBorder="1" applyAlignment="1">
      <alignment horizontal="left" vertical="top"/>
    </xf>
    <xf numFmtId="0" fontId="4" fillId="20" borderId="76" xfId="0" applyFont="1" applyFill="1" applyBorder="1" applyAlignment="1">
      <alignment horizontal="left" vertical="top"/>
    </xf>
    <xf numFmtId="2" fontId="4" fillId="20" borderId="151" xfId="0" applyNumberFormat="1" applyFont="1" applyFill="1" applyBorder="1" applyAlignment="1">
      <alignment horizontal="center" vertical="center"/>
    </xf>
    <xf numFmtId="0" fontId="76" fillId="20" borderId="152" xfId="0" applyFont="1" applyFill="1" applyBorder="1"/>
    <xf numFmtId="2" fontId="4" fillId="20" borderId="153" xfId="0" applyNumberFormat="1" applyFont="1" applyFill="1" applyBorder="1" applyAlignment="1">
      <alignment horizontal="center" vertical="center"/>
    </xf>
    <xf numFmtId="0" fontId="76" fillId="20" borderId="154" xfId="0" applyFont="1" applyFill="1" applyBorder="1"/>
    <xf numFmtId="2" fontId="75" fillId="20" borderId="153" xfId="0" applyNumberFormat="1" applyFont="1" applyFill="1" applyBorder="1" applyAlignment="1">
      <alignment horizontal="center" vertical="center"/>
    </xf>
    <xf numFmtId="0" fontId="75" fillId="20" borderId="154" xfId="0" applyFont="1" applyFill="1" applyBorder="1"/>
    <xf numFmtId="2" fontId="75" fillId="20" borderId="151" xfId="0" applyNumberFormat="1" applyFont="1" applyFill="1" applyBorder="1" applyAlignment="1">
      <alignment horizontal="center" vertical="center"/>
    </xf>
    <xf numFmtId="0" fontId="75" fillId="20" borderId="152" xfId="0" applyFont="1" applyFill="1" applyBorder="1"/>
    <xf numFmtId="165" fontId="79" fillId="20" borderId="156" xfId="0" applyNumberFormat="1" applyFont="1" applyFill="1" applyBorder="1" applyAlignment="1">
      <alignment horizontal="center" vertical="top"/>
    </xf>
    <xf numFmtId="165" fontId="79" fillId="20" borderId="157" xfId="0" applyNumberFormat="1" applyFont="1" applyFill="1" applyBorder="1" applyAlignment="1">
      <alignment horizontal="center" vertical="top"/>
    </xf>
    <xf numFmtId="165" fontId="79" fillId="20" borderId="155" xfId="0" applyNumberFormat="1" applyFont="1" applyFill="1" applyBorder="1" applyAlignment="1">
      <alignment horizontal="center" vertical="top"/>
    </xf>
    <xf numFmtId="2" fontId="35" fillId="20" borderId="153" xfId="0" applyNumberFormat="1" applyFont="1" applyFill="1" applyBorder="1" applyAlignment="1">
      <alignment horizontal="center" vertical="center"/>
    </xf>
    <xf numFmtId="0" fontId="35" fillId="20" borderId="154" xfId="0" applyFont="1" applyFill="1" applyBorder="1"/>
    <xf numFmtId="2" fontId="4" fillId="18" borderId="153" xfId="0" applyNumberFormat="1" applyFont="1" applyFill="1" applyBorder="1" applyAlignment="1">
      <alignment horizontal="center" vertical="center"/>
    </xf>
    <xf numFmtId="0" fontId="76" fillId="18" borderId="154" xfId="0" applyFont="1" applyFill="1" applyBorder="1"/>
    <xf numFmtId="2" fontId="4" fillId="27" borderId="153" xfId="0" applyNumberFormat="1" applyFont="1" applyFill="1" applyBorder="1" applyAlignment="1">
      <alignment horizontal="center" vertical="center"/>
    </xf>
    <xf numFmtId="0" fontId="76" fillId="27" borderId="154" xfId="0" applyFont="1" applyFill="1" applyBorder="1"/>
    <xf numFmtId="2" fontId="35" fillId="20" borderId="151" xfId="0" applyNumberFormat="1" applyFont="1" applyFill="1" applyBorder="1" applyAlignment="1">
      <alignment horizontal="center" vertical="center"/>
    </xf>
    <xf numFmtId="0" fontId="35" fillId="20" borderId="152" xfId="0" applyFont="1" applyFill="1" applyBorder="1"/>
    <xf numFmtId="2" fontId="4" fillId="22" borderId="153" xfId="0" applyNumberFormat="1" applyFont="1" applyFill="1" applyBorder="1" applyAlignment="1">
      <alignment horizontal="center" vertical="center"/>
    </xf>
    <xf numFmtId="0" fontId="76" fillId="22" borderId="154" xfId="0" applyFont="1" applyFill="1" applyBorder="1"/>
    <xf numFmtId="2" fontId="75" fillId="20" borderId="154" xfId="0" applyNumberFormat="1" applyFont="1" applyFill="1" applyBorder="1" applyAlignment="1">
      <alignment horizontal="center" vertical="center"/>
    </xf>
    <xf numFmtId="2" fontId="4" fillId="18" borderId="151" xfId="0" applyNumberFormat="1" applyFont="1" applyFill="1" applyBorder="1" applyAlignment="1">
      <alignment horizontal="center" vertical="center"/>
    </xf>
    <xf numFmtId="0" fontId="76" fillId="18" borderId="152" xfId="0" applyFont="1" applyFill="1" applyBorder="1"/>
    <xf numFmtId="2" fontId="75" fillId="20" borderId="152" xfId="0" applyNumberFormat="1" applyFont="1" applyFill="1" applyBorder="1" applyAlignment="1">
      <alignment horizontal="center" vertical="center"/>
    </xf>
    <xf numFmtId="2" fontId="91" fillId="27" borderId="153" xfId="0" applyNumberFormat="1" applyFont="1" applyFill="1" applyBorder="1" applyAlignment="1">
      <alignment horizontal="center" vertical="center"/>
    </xf>
    <xf numFmtId="0" fontId="91" fillId="27" borderId="154" xfId="0" applyFont="1" applyFill="1" applyBorder="1"/>
    <xf numFmtId="2" fontId="4" fillId="20" borderId="154" xfId="0" applyNumberFormat="1" applyFont="1" applyFill="1" applyBorder="1" applyAlignment="1">
      <alignment horizontal="center" vertical="center"/>
    </xf>
    <xf numFmtId="0" fontId="4" fillId="3" borderId="90" xfId="0" applyFont="1" applyFill="1" applyBorder="1" applyAlignment="1">
      <alignment horizontal="center"/>
    </xf>
    <xf numFmtId="0" fontId="8" fillId="0" borderId="76" xfId="0" applyFont="1" applyBorder="1"/>
    <xf numFmtId="0" fontId="4" fillId="3" borderId="76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8" fillId="0" borderId="148" xfId="0" applyFont="1" applyBorder="1"/>
    <xf numFmtId="0" fontId="73" fillId="3" borderId="146" xfId="0" applyFont="1" applyFill="1" applyBorder="1" applyAlignment="1">
      <alignment horizontal="center" vertical="center" wrapText="1"/>
    </xf>
    <xf numFmtId="0" fontId="73" fillId="3" borderId="147" xfId="0" applyFont="1" applyFill="1" applyBorder="1" applyAlignment="1">
      <alignment horizontal="center" vertical="center" wrapText="1"/>
    </xf>
    <xf numFmtId="0" fontId="4" fillId="14" borderId="74" xfId="0" applyFont="1" applyFill="1" applyBorder="1" applyAlignment="1">
      <alignment horizontal="center" vertical="center"/>
    </xf>
    <xf numFmtId="0" fontId="8" fillId="0" borderId="147" xfId="0" applyFont="1" applyBorder="1"/>
    <xf numFmtId="0" fontId="4" fillId="3" borderId="90" xfId="0" applyFont="1" applyFill="1" applyBorder="1" applyAlignment="1">
      <alignment horizontal="center" vertical="top"/>
    </xf>
    <xf numFmtId="0" fontId="68" fillId="3" borderId="51" xfId="0" applyFont="1" applyFill="1" applyBorder="1" applyAlignment="1">
      <alignment horizontal="center" vertical="center" wrapText="1"/>
    </xf>
    <xf numFmtId="0" fontId="70" fillId="0" borderId="53" xfId="0" applyFont="1" applyBorder="1"/>
    <xf numFmtId="0" fontId="70" fillId="0" borderId="55" xfId="0" applyFont="1" applyBorder="1"/>
    <xf numFmtId="0" fontId="69" fillId="3" borderId="46" xfId="0" quotePrefix="1" applyFont="1" applyFill="1" applyBorder="1" applyAlignment="1">
      <alignment horizontal="center" vertical="center"/>
    </xf>
    <xf numFmtId="0" fontId="71" fillId="20" borderId="88" xfId="0" applyFont="1" applyFill="1" applyBorder="1"/>
    <xf numFmtId="0" fontId="71" fillId="20" borderId="34" xfId="0" applyFont="1" applyFill="1" applyBorder="1"/>
    <xf numFmtId="0" fontId="8" fillId="0" borderId="88" xfId="0" applyFont="1" applyBorder="1"/>
    <xf numFmtId="0" fontId="8" fillId="0" borderId="34" xfId="0" applyFont="1" applyBorder="1"/>
    <xf numFmtId="0" fontId="27" fillId="3" borderId="46" xfId="0" quotePrefix="1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/>
    </xf>
    <xf numFmtId="0" fontId="66" fillId="0" borderId="83" xfId="0" applyFont="1" applyBorder="1"/>
    <xf numFmtId="0" fontId="66" fillId="0" borderId="68" xfId="0" applyFont="1" applyBorder="1"/>
    <xf numFmtId="0" fontId="6" fillId="3" borderId="158" xfId="0" applyFont="1" applyFill="1" applyBorder="1" applyAlignment="1">
      <alignment horizontal="center" vertical="center"/>
    </xf>
    <xf numFmtId="0" fontId="66" fillId="0" borderId="159" xfId="0" applyFont="1" applyBorder="1"/>
    <xf numFmtId="0" fontId="66" fillId="0" borderId="160" xfId="0" applyFont="1" applyBorder="1"/>
    <xf numFmtId="0" fontId="4" fillId="3" borderId="61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right" vertical="center"/>
    </xf>
    <xf numFmtId="170" fontId="4" fillId="3" borderId="62" xfId="0" applyNumberFormat="1" applyFont="1" applyFill="1" applyBorder="1" applyAlignment="1">
      <alignment horizontal="left" vertical="center"/>
    </xf>
    <xf numFmtId="0" fontId="8" fillId="0" borderId="60" xfId="0" applyFont="1" applyBorder="1"/>
    <xf numFmtId="0" fontId="27" fillId="3" borderId="46" xfId="0" applyFont="1" applyFill="1" applyBorder="1" applyAlignment="1">
      <alignment horizontal="center" vertical="center"/>
    </xf>
    <xf numFmtId="0" fontId="27" fillId="3" borderId="143" xfId="0" applyFont="1" applyFill="1" applyBorder="1" applyAlignment="1">
      <alignment horizontal="center" vertical="center" wrapText="1"/>
    </xf>
    <xf numFmtId="0" fontId="8" fillId="0" borderId="69" xfId="0" applyFont="1" applyBorder="1"/>
    <xf numFmtId="0" fontId="4" fillId="3" borderId="144" xfId="0" applyFont="1" applyFill="1" applyBorder="1" applyAlignment="1">
      <alignment horizontal="center"/>
    </xf>
    <xf numFmtId="0" fontId="4" fillId="3" borderId="145" xfId="0" applyFont="1" applyFill="1" applyBorder="1" applyAlignment="1">
      <alignment horizontal="center"/>
    </xf>
    <xf numFmtId="0" fontId="4" fillId="3" borderId="90" xfId="0" applyFont="1" applyFill="1" applyBorder="1" applyAlignment="1">
      <alignment horizontal="center" vertical="center"/>
    </xf>
    <xf numFmtId="0" fontId="79" fillId="20" borderId="155" xfId="0" applyFont="1" applyFill="1" applyBorder="1" applyAlignment="1">
      <alignment horizontal="center"/>
    </xf>
    <xf numFmtId="0" fontId="79" fillId="20" borderId="156" xfId="0" applyFont="1" applyFill="1" applyBorder="1" applyAlignment="1">
      <alignment horizontal="center"/>
    </xf>
    <xf numFmtId="0" fontId="79" fillId="20" borderId="155" xfId="0" applyFont="1" applyFill="1" applyBorder="1" applyAlignment="1">
      <alignment horizontal="center" vertical="center"/>
    </xf>
    <xf numFmtId="0" fontId="79" fillId="20" borderId="156" xfId="0" applyFont="1" applyFill="1" applyBorder="1" applyAlignment="1">
      <alignment horizontal="center" vertical="center"/>
    </xf>
    <xf numFmtId="0" fontId="79" fillId="20" borderId="157" xfId="0" applyFont="1" applyFill="1" applyBorder="1" applyAlignment="1">
      <alignment horizontal="center" vertical="center"/>
    </xf>
    <xf numFmtId="0" fontId="79" fillId="20" borderId="157" xfId="0" applyFont="1" applyFill="1" applyBorder="1" applyAlignment="1">
      <alignment horizontal="center"/>
    </xf>
    <xf numFmtId="0" fontId="79" fillId="20" borderId="156" xfId="0" applyFont="1" applyFill="1" applyBorder="1" applyAlignment="1">
      <alignment horizontal="center" vertical="top"/>
    </xf>
    <xf numFmtId="0" fontId="79" fillId="20" borderId="157" xfId="0" applyFont="1" applyFill="1" applyBorder="1" applyAlignment="1">
      <alignment horizontal="center" vertical="top"/>
    </xf>
    <xf numFmtId="0" fontId="79" fillId="20" borderId="155" xfId="0" applyFont="1" applyFill="1" applyBorder="1" applyAlignment="1">
      <alignment horizontal="center" vertical="top"/>
    </xf>
    <xf numFmtId="165" fontId="79" fillId="20" borderId="155" xfId="0" applyNumberFormat="1" applyFont="1" applyFill="1" applyBorder="1" applyAlignment="1">
      <alignment horizontal="center" vertical="center"/>
    </xf>
    <xf numFmtId="165" fontId="79" fillId="20" borderId="156" xfId="0" applyNumberFormat="1" applyFont="1" applyFill="1" applyBorder="1" applyAlignment="1">
      <alignment horizontal="center" vertical="center"/>
    </xf>
    <xf numFmtId="165" fontId="79" fillId="20" borderId="157" xfId="0" applyNumberFormat="1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/>
    </xf>
    <xf numFmtId="0" fontId="4" fillId="3" borderId="150" xfId="0" applyFont="1" applyFill="1" applyBorder="1" applyAlignment="1">
      <alignment horizontal="center"/>
    </xf>
    <xf numFmtId="165" fontId="79" fillId="20" borderId="166" xfId="0" applyNumberFormat="1" applyFont="1" applyFill="1" applyBorder="1" applyAlignment="1">
      <alignment horizontal="center" vertical="top"/>
    </xf>
    <xf numFmtId="165" fontId="79" fillId="20" borderId="167" xfId="0" applyNumberFormat="1" applyFont="1" applyFill="1" applyBorder="1" applyAlignment="1">
      <alignment horizontal="center" vertical="top"/>
    </xf>
    <xf numFmtId="165" fontId="79" fillId="20" borderId="168" xfId="0" applyNumberFormat="1" applyFont="1" applyFill="1" applyBorder="1" applyAlignment="1">
      <alignment horizontal="center" vertical="top"/>
    </xf>
    <xf numFmtId="165" fontId="79" fillId="20" borderId="169" xfId="0" applyNumberFormat="1" applyFont="1" applyFill="1" applyBorder="1" applyAlignment="1">
      <alignment horizontal="center" vertical="top"/>
    </xf>
  </cellXfs>
  <cellStyles count="4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</cellStyles>
  <dxfs count="2">
    <dxf>
      <fill>
        <patternFill patternType="solid">
          <fgColor rgb="FFB7E1CD"/>
          <bgColor rgb="FFB7E1CD"/>
        </patternFill>
      </fill>
    </dxf>
    <dxf>
      <font>
        <color rgb="FF93895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9270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6665575" y="386715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7883525" y="83185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7874000" y="82232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178800" y="140970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9972675" y="219710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2150725" y="145732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2207875" y="349885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7997825" y="299720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0471150" y="393382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6616700" y="400050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3411200" y="1862772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3449300" y="1865947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3872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5899150" y="1036320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5899150" y="1034732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8477250" y="1176020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8455025" y="1173480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5899150" y="1449705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5908675" y="1455420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5899150" y="158750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5880100" y="159035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3411200" y="2000885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3439775" y="2003742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8458200" y="2158365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8486775" y="2161222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5880100" y="2435860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5908675" y="2436812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2217400" y="2435860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2245975" y="2433955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2055475" y="175577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255000" y="28321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0947400" y="504825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0975975" y="504825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6656050" y="642620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0982325" y="622617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004550" y="62230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7246600" y="642620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60095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412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4678025" y="760095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4678025" y="762635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00075" y="1034732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3780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4671675" y="897890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4690725" y="899477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185025" y="1171575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188200" y="1176020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5876925" y="1311275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5880100" y="1313815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076450" y="1449387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054225" y="1450657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336925" y="1449070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340100" y="1449070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9782175" y="1451610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9753600" y="1449070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581025" y="1585912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68325" y="1586865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044700" y="158845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054225" y="159035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188200" y="158750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188200" y="158940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8458200" y="158750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8458200" y="158750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571500" y="1725295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571500" y="1728152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616450" y="1725295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597400" y="1729105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8477250" y="1725295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8458200" y="1729105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4700250" y="1725295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4681200" y="1729105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4681200" y="1863090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4709775" y="1866900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8458200" y="1865947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8486775" y="1866900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340100" y="1863090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359150" y="1864995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571500" y="1865947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00075" y="1866900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340100" y="2158365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368675" y="2161222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057400" y="2296160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085975" y="2299017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188200" y="2296160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216775" y="2299017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0985500" y="2296160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014075" y="2299017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4681200" y="2296160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4709775" y="2299017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18407</xdr:colOff>
      <xdr:row>1</xdr:row>
      <xdr:rowOff>78133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885" y="252988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13731</xdr:colOff>
      <xdr:row>4</xdr:row>
      <xdr:rowOff>17162</xdr:rowOff>
    </xdr:from>
    <xdr:ext cx="552622" cy="321904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1A2259D2-152D-4C44-8817-876DE0A1BD3E}"/>
            </a:ext>
          </a:extLst>
        </xdr:cNvPr>
        <xdr:cNvSpPr/>
      </xdr:nvSpPr>
      <xdr:spPr>
        <a:xfrm>
          <a:off x="5763055" y="763716"/>
          <a:ext cx="552622" cy="321904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9CF725D1-B23D-4C78-A944-E42AFDE85D71}"/>
            </a:ext>
          </a:extLst>
        </xdr:cNvPr>
        <xdr:cNvGrpSpPr/>
      </xdr:nvGrpSpPr>
      <xdr:grpSpPr>
        <a:xfrm>
          <a:off x="7344677" y="925062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0398C7B1-F2FF-6D61-DEC7-3A4C609C5B5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F0B8A04E-D15E-4235-9599-8E7880FD5F0E}"/>
            </a:ext>
          </a:extLst>
        </xdr:cNvPr>
        <xdr:cNvSpPr/>
      </xdr:nvSpPr>
      <xdr:spPr>
        <a:xfrm rot="5234537">
          <a:off x="11277801" y="184993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B4D13C66-DE45-485C-90B0-E3648F604156}"/>
            </a:ext>
          </a:extLst>
        </xdr:cNvPr>
        <xdr:cNvGrpSpPr/>
      </xdr:nvGrpSpPr>
      <xdr:grpSpPr>
        <a:xfrm>
          <a:off x="9022840" y="147382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1968A6D1-08FB-D74E-A2ED-C88C949DC352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94AAC32F-66CD-4F37-B501-2994C2A5B415}"/>
            </a:ext>
          </a:extLst>
        </xdr:cNvPr>
        <xdr:cNvSpPr/>
      </xdr:nvSpPr>
      <xdr:spPr>
        <a:xfrm rot="5400000">
          <a:off x="11818938" y="92297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561975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687D6B82-3B86-4611-A83B-FFC4205ACC2F}"/>
            </a:ext>
          </a:extLst>
        </xdr:cNvPr>
        <xdr:cNvGrpSpPr/>
      </xdr:nvGrpSpPr>
      <xdr:grpSpPr>
        <a:xfrm>
          <a:off x="11129629" y="201475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E09F790D-265E-EC6E-1632-B3293396E5E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9300636F-3990-4165-B92A-DBD462CF248D}"/>
            </a:ext>
          </a:extLst>
        </xdr:cNvPr>
        <xdr:cNvGrpSpPr/>
      </xdr:nvGrpSpPr>
      <xdr:grpSpPr>
        <a:xfrm>
          <a:off x="13062381" y="1001262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83C2D965-91E6-8F43-E45B-A84A746EA483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642C6BFF-719A-406E-964A-B6E6CC5CDDD6}"/>
            </a:ext>
          </a:extLst>
        </xdr:cNvPr>
        <xdr:cNvSpPr/>
      </xdr:nvSpPr>
      <xdr:spPr>
        <a:xfrm>
          <a:off x="8473440" y="131826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CA0F972-4697-45A2-AB56-13166F891F96}"/>
            </a:ext>
          </a:extLst>
        </xdr:cNvPr>
        <xdr:cNvGrpSpPr/>
      </xdr:nvGrpSpPr>
      <xdr:grpSpPr>
        <a:xfrm>
          <a:off x="7163702" y="1929694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7E8D9EA-19D5-6AA4-6DFD-7A338CE99EE4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C74A23F4-003A-497C-873B-DCEDB6A457C7}"/>
            </a:ext>
          </a:extLst>
        </xdr:cNvPr>
        <xdr:cNvSpPr/>
      </xdr:nvSpPr>
      <xdr:spPr>
        <a:xfrm>
          <a:off x="8606790" y="236982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E3611D41-139D-4A28-9664-543D3B4E32EC}"/>
            </a:ext>
          </a:extLst>
        </xdr:cNvPr>
        <xdr:cNvGrpSpPr/>
      </xdr:nvGrpSpPr>
      <xdr:grpSpPr>
        <a:xfrm>
          <a:off x="9448878" y="252828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425B5D9-FA76-50AB-D073-67D9E21A6D40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BD78EEC0-C04B-4967-BF5B-EC3617DCDA3A}"/>
            </a:ext>
          </a:extLst>
        </xdr:cNvPr>
        <xdr:cNvGrpSpPr/>
      </xdr:nvGrpSpPr>
      <xdr:grpSpPr>
        <a:xfrm>
          <a:off x="12919506" y="259495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5E03DB2A-372A-476E-19B9-CA2E8E92DEEB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740E270C-D1F7-4B6A-BD7F-6C209CEB8FE3}"/>
            </a:ext>
          </a:extLst>
        </xdr:cNvPr>
        <xdr:cNvGrpSpPr/>
      </xdr:nvGrpSpPr>
      <xdr:grpSpPr>
        <a:xfrm>
          <a:off x="5704613" y="2318887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BA52CC49-976E-C772-9440-655235662AA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043443D5-69B4-4876-8E12-E2C43F3C96C4}"/>
            </a:ext>
          </a:extLst>
        </xdr:cNvPr>
        <xdr:cNvSpPr/>
      </xdr:nvSpPr>
      <xdr:spPr>
        <a:xfrm>
          <a:off x="13904595" y="70294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605790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ABD99D80-89B8-4D14-ABF6-ED644354DBF7}"/>
            </a:ext>
          </a:extLst>
        </xdr:cNvPr>
        <xdr:cNvGrpSpPr/>
      </xdr:nvGrpSpPr>
      <xdr:grpSpPr>
        <a:xfrm>
          <a:off x="5869078" y="260448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5F998088-0FD1-0490-1296-FD7FF7EA888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A97ACD13-3BC5-4F91-B97C-CBDB2F01E4E2}"/>
            </a:ext>
          </a:extLst>
        </xdr:cNvPr>
        <xdr:cNvGrpSpPr/>
      </xdr:nvGrpSpPr>
      <xdr:grpSpPr>
        <a:xfrm>
          <a:off x="7344677" y="925062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DEDBCB43-7C27-3A9F-9A62-B4198796E81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114ADA2F-D22D-44B4-95FD-668B78D13ECF}"/>
            </a:ext>
          </a:extLst>
        </xdr:cNvPr>
        <xdr:cNvGrpSpPr/>
      </xdr:nvGrpSpPr>
      <xdr:grpSpPr>
        <a:xfrm>
          <a:off x="9022840" y="147382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E5362384-6FA2-2B5D-5946-222A0E10DC5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561975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565E124A-BA93-4BDE-9B14-D3933DFA3D0A}"/>
            </a:ext>
          </a:extLst>
        </xdr:cNvPr>
        <xdr:cNvGrpSpPr/>
      </xdr:nvGrpSpPr>
      <xdr:grpSpPr>
        <a:xfrm>
          <a:off x="11129629" y="201475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A59CEBBF-2EDA-F64E-49D5-212623F75C2C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377EBBA4-A00A-4D17-8AF0-605C2B59C0FB}"/>
            </a:ext>
          </a:extLst>
        </xdr:cNvPr>
        <xdr:cNvGrpSpPr/>
      </xdr:nvGrpSpPr>
      <xdr:grpSpPr>
        <a:xfrm>
          <a:off x="13062381" y="1001262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AC31C9F8-EACC-936C-70A0-9B66DE450921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BC9E5E-F6C6-42B6-9B5D-3DF8CBFC44FE}"/>
            </a:ext>
          </a:extLst>
        </xdr:cNvPr>
        <xdr:cNvSpPr/>
      </xdr:nvSpPr>
      <xdr:spPr>
        <a:xfrm>
          <a:off x="8473440" y="131826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1DAF84B0-3DCD-471F-8D1C-8CFBB0B57A37}"/>
            </a:ext>
          </a:extLst>
        </xdr:cNvPr>
        <xdr:cNvGrpSpPr/>
      </xdr:nvGrpSpPr>
      <xdr:grpSpPr>
        <a:xfrm>
          <a:off x="7163702" y="1929694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04CD81B8-348C-3806-3CA2-6784D453A7EE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C69EEC81-1DA4-422B-ADAD-A4295C684E34}"/>
            </a:ext>
          </a:extLst>
        </xdr:cNvPr>
        <xdr:cNvSpPr/>
      </xdr:nvSpPr>
      <xdr:spPr>
        <a:xfrm>
          <a:off x="8606790" y="236982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702EBC18-85CB-443C-BBC3-75F693928C45}"/>
            </a:ext>
          </a:extLst>
        </xdr:cNvPr>
        <xdr:cNvGrpSpPr/>
      </xdr:nvGrpSpPr>
      <xdr:grpSpPr>
        <a:xfrm>
          <a:off x="9448878" y="252828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988F32C0-D437-87C3-DA41-80DBCD63EC1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949C0D44-DFD8-4130-8125-6E98CC9BB707}"/>
            </a:ext>
          </a:extLst>
        </xdr:cNvPr>
        <xdr:cNvGrpSpPr/>
      </xdr:nvGrpSpPr>
      <xdr:grpSpPr>
        <a:xfrm>
          <a:off x="12919506" y="259495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A7A9E6FA-4792-E144-682A-556C3C9A7B7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F0AB1EE9-F65B-4EC7-8B4B-30308D088572}"/>
            </a:ext>
          </a:extLst>
        </xdr:cNvPr>
        <xdr:cNvGrpSpPr/>
      </xdr:nvGrpSpPr>
      <xdr:grpSpPr>
        <a:xfrm>
          <a:off x="5704613" y="2318887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7036934-87D8-E877-6595-8195657A16B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C37C3020-20D1-449D-B1FC-72AEA36EC581}"/>
            </a:ext>
          </a:extLst>
        </xdr:cNvPr>
        <xdr:cNvSpPr/>
      </xdr:nvSpPr>
      <xdr:spPr>
        <a:xfrm>
          <a:off x="13904595" y="70294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605790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EF623ED-2F8B-4ECD-B9A7-D744148327F7}"/>
            </a:ext>
          </a:extLst>
        </xdr:cNvPr>
        <xdr:cNvGrpSpPr/>
      </xdr:nvGrpSpPr>
      <xdr:grpSpPr>
        <a:xfrm>
          <a:off x="5869078" y="260448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90663606-DC45-8F31-DCF6-6DF2776B71A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C4914789-3E60-4138-98C5-49027F6ACF6C}"/>
            </a:ext>
          </a:extLst>
        </xdr:cNvPr>
        <xdr:cNvGrpSpPr/>
      </xdr:nvGrpSpPr>
      <xdr:grpSpPr>
        <a:xfrm>
          <a:off x="7344677" y="925062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3217F965-157B-C4C0-6199-07996541BFA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B02EA45B-6B3C-4C83-AF79-D990C5FE8DC5}"/>
            </a:ext>
          </a:extLst>
        </xdr:cNvPr>
        <xdr:cNvGrpSpPr/>
      </xdr:nvGrpSpPr>
      <xdr:grpSpPr>
        <a:xfrm>
          <a:off x="9022840" y="147382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A4A5865E-F37E-961F-60FA-279616EFE3E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561975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851AD185-AAFC-4EB6-951B-C76464303C68}"/>
            </a:ext>
          </a:extLst>
        </xdr:cNvPr>
        <xdr:cNvGrpSpPr/>
      </xdr:nvGrpSpPr>
      <xdr:grpSpPr>
        <a:xfrm>
          <a:off x="11129629" y="201475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2BBBC43F-C59A-4DA7-12D0-C5409F86F4B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8090CE6C-D422-403C-A1C3-BD6D1BE6B05F}"/>
            </a:ext>
          </a:extLst>
        </xdr:cNvPr>
        <xdr:cNvGrpSpPr/>
      </xdr:nvGrpSpPr>
      <xdr:grpSpPr>
        <a:xfrm>
          <a:off x="13062381" y="1001262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FB7FC500-BFFE-0430-DFAA-5E6824EC06C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EDD13E6D-D495-49D3-94CB-7A79F1F1BA68}"/>
            </a:ext>
          </a:extLst>
        </xdr:cNvPr>
        <xdr:cNvSpPr/>
      </xdr:nvSpPr>
      <xdr:spPr>
        <a:xfrm>
          <a:off x="8473440" y="131826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7D5838F-C663-4DAC-8F8B-59424A29BC28}"/>
            </a:ext>
          </a:extLst>
        </xdr:cNvPr>
        <xdr:cNvGrpSpPr/>
      </xdr:nvGrpSpPr>
      <xdr:grpSpPr>
        <a:xfrm>
          <a:off x="7163702" y="1929694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DFAE2C92-3EF0-068C-0726-A48DC2E2861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58B47DB4-4BAA-4DCE-BB42-AEB4D222279E}"/>
            </a:ext>
          </a:extLst>
        </xdr:cNvPr>
        <xdr:cNvSpPr/>
      </xdr:nvSpPr>
      <xdr:spPr>
        <a:xfrm>
          <a:off x="8606790" y="236982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25EE7493-CB3B-4DCD-9937-2ACA82AE813A}"/>
            </a:ext>
          </a:extLst>
        </xdr:cNvPr>
        <xdr:cNvGrpSpPr/>
      </xdr:nvGrpSpPr>
      <xdr:grpSpPr>
        <a:xfrm>
          <a:off x="9448878" y="252828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71E71DA4-BD42-117B-8F9C-9940F693345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C3C96ECD-ACD5-4BAD-B298-9D1FBDCD9898}"/>
            </a:ext>
          </a:extLst>
        </xdr:cNvPr>
        <xdr:cNvGrpSpPr/>
      </xdr:nvGrpSpPr>
      <xdr:grpSpPr>
        <a:xfrm>
          <a:off x="12919506" y="259495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7FC2B87-6EA2-5E58-D01B-FCB280E23F4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6B58F6EB-94BF-4C3B-BAEA-9D05D879D99C}"/>
            </a:ext>
          </a:extLst>
        </xdr:cNvPr>
        <xdr:cNvGrpSpPr/>
      </xdr:nvGrpSpPr>
      <xdr:grpSpPr>
        <a:xfrm>
          <a:off x="5704613" y="2318887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51BA6F31-EB6C-1D08-14CC-6691E4D03A6D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0E16DB9B-0FE9-4434-BB05-BCBA9086675E}"/>
            </a:ext>
          </a:extLst>
        </xdr:cNvPr>
        <xdr:cNvSpPr/>
      </xdr:nvSpPr>
      <xdr:spPr>
        <a:xfrm>
          <a:off x="13904595" y="70294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605790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C042609A-9E51-41A5-9E38-A8812DAD8E97}"/>
            </a:ext>
          </a:extLst>
        </xdr:cNvPr>
        <xdr:cNvGrpSpPr/>
      </xdr:nvGrpSpPr>
      <xdr:grpSpPr>
        <a:xfrm>
          <a:off x="5869078" y="260448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0FA6F318-06B3-07CB-56F7-4D63AA8F7AA8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013D7DAC-D9B2-4330-920D-9DBACFC00695}"/>
            </a:ext>
          </a:extLst>
        </xdr:cNvPr>
        <xdr:cNvGrpSpPr/>
      </xdr:nvGrpSpPr>
      <xdr:grpSpPr>
        <a:xfrm>
          <a:off x="7344677" y="925062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49BD633E-ACE0-D171-354B-6A5E81B27802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F23B2918-EEFF-402C-8692-6D1C16786824}"/>
            </a:ext>
          </a:extLst>
        </xdr:cNvPr>
        <xdr:cNvGrpSpPr/>
      </xdr:nvGrpSpPr>
      <xdr:grpSpPr>
        <a:xfrm>
          <a:off x="9022840" y="147382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D72E45E5-AFB6-EC17-C457-F6833832A0B5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561975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BCC3BD1-3BA7-4EAC-86B8-BBCF4AAB16F1}"/>
            </a:ext>
          </a:extLst>
        </xdr:cNvPr>
        <xdr:cNvGrpSpPr/>
      </xdr:nvGrpSpPr>
      <xdr:grpSpPr>
        <a:xfrm>
          <a:off x="11129629" y="201475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CFFE8315-DD1C-F686-0352-58EEFDDA615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79EAD514-C232-4048-B7CE-DC7F1AB2005D}"/>
            </a:ext>
          </a:extLst>
        </xdr:cNvPr>
        <xdr:cNvGrpSpPr/>
      </xdr:nvGrpSpPr>
      <xdr:grpSpPr>
        <a:xfrm>
          <a:off x="13062381" y="1001262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63874717-26E8-5039-D096-8CB624050125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00DF411C-4107-4FCA-813A-05333F613CC6}"/>
            </a:ext>
          </a:extLst>
        </xdr:cNvPr>
        <xdr:cNvSpPr/>
      </xdr:nvSpPr>
      <xdr:spPr>
        <a:xfrm>
          <a:off x="8473440" y="131826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B9CA027E-0184-4801-B847-4203E6B37F3D}"/>
            </a:ext>
          </a:extLst>
        </xdr:cNvPr>
        <xdr:cNvGrpSpPr/>
      </xdr:nvGrpSpPr>
      <xdr:grpSpPr>
        <a:xfrm>
          <a:off x="7163702" y="1929694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DBEF0CB0-0397-7639-358A-DA02E2FA1E0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C50C8C30-AC53-4783-A326-71FA36DD5E90}"/>
            </a:ext>
          </a:extLst>
        </xdr:cNvPr>
        <xdr:cNvSpPr/>
      </xdr:nvSpPr>
      <xdr:spPr>
        <a:xfrm>
          <a:off x="8606790" y="236982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26C6946-F82E-4E75-B6D2-BD12DC7320FE}"/>
            </a:ext>
          </a:extLst>
        </xdr:cNvPr>
        <xdr:cNvGrpSpPr/>
      </xdr:nvGrpSpPr>
      <xdr:grpSpPr>
        <a:xfrm>
          <a:off x="9448878" y="252828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CB45666A-7034-9070-BC8E-2750FA0303F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6DD3E9EC-D22E-428B-A2AE-E325F7FBDA38}"/>
            </a:ext>
          </a:extLst>
        </xdr:cNvPr>
        <xdr:cNvGrpSpPr/>
      </xdr:nvGrpSpPr>
      <xdr:grpSpPr>
        <a:xfrm>
          <a:off x="12919506" y="259495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D90E1EBF-CB40-CE73-0B1A-22E8F73F808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BDA916-AB4E-4A73-8C72-9D5634321E20}"/>
            </a:ext>
          </a:extLst>
        </xdr:cNvPr>
        <xdr:cNvGrpSpPr/>
      </xdr:nvGrpSpPr>
      <xdr:grpSpPr>
        <a:xfrm>
          <a:off x="5704613" y="2318887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F0832A68-7616-002A-C465-252AA31595FB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0BD2A44D-6EED-457B-82EB-7DAC5A8F5E44}"/>
            </a:ext>
          </a:extLst>
        </xdr:cNvPr>
        <xdr:cNvSpPr/>
      </xdr:nvSpPr>
      <xdr:spPr>
        <a:xfrm>
          <a:off x="13904595" y="70294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605790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29F1912B-5F00-45C8-B070-83FAAA083FC1}"/>
            </a:ext>
          </a:extLst>
        </xdr:cNvPr>
        <xdr:cNvGrpSpPr/>
      </xdr:nvGrpSpPr>
      <xdr:grpSpPr>
        <a:xfrm>
          <a:off x="5869078" y="260448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DEB451CB-8440-1113-7ACF-0CAD0573D5A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08B0EA88-4BB4-47EC-BB04-42CD96CC2A08}"/>
            </a:ext>
          </a:extLst>
        </xdr:cNvPr>
        <xdr:cNvGrpSpPr/>
      </xdr:nvGrpSpPr>
      <xdr:grpSpPr>
        <a:xfrm>
          <a:off x="7344677" y="925062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A87FD5D0-810F-546C-A93F-B90F0B9A1E2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37679389-E430-4EF5-AE18-021CEA5B1A82}"/>
            </a:ext>
          </a:extLst>
        </xdr:cNvPr>
        <xdr:cNvGrpSpPr/>
      </xdr:nvGrpSpPr>
      <xdr:grpSpPr>
        <a:xfrm>
          <a:off x="9022840" y="147382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7149E6A2-C206-A1C2-9CA7-9A1402FF16D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561975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0184E629-FC4F-4BE2-9F70-2D22607C7BAD}"/>
            </a:ext>
          </a:extLst>
        </xdr:cNvPr>
        <xdr:cNvGrpSpPr/>
      </xdr:nvGrpSpPr>
      <xdr:grpSpPr>
        <a:xfrm>
          <a:off x="11129629" y="201475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02585F2-7678-43ED-4A6F-B9D06C4CF12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9958E1CA-7F1F-46F5-84C5-4B2A8934A352}"/>
            </a:ext>
          </a:extLst>
        </xdr:cNvPr>
        <xdr:cNvGrpSpPr/>
      </xdr:nvGrpSpPr>
      <xdr:grpSpPr>
        <a:xfrm>
          <a:off x="13062381" y="1001262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60D8628B-50E0-D4EA-7433-BAFA8AEBB865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2ECDFF91-AF53-40BA-8E11-B07319162894}"/>
            </a:ext>
          </a:extLst>
        </xdr:cNvPr>
        <xdr:cNvGrpSpPr/>
      </xdr:nvGrpSpPr>
      <xdr:grpSpPr>
        <a:xfrm>
          <a:off x="7163702" y="1929694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CE2F1876-C8CD-2F8F-E27F-9C9CA3BBAF9E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D091FEB-0317-482C-B110-578C81B4DF4E}"/>
            </a:ext>
          </a:extLst>
        </xdr:cNvPr>
        <xdr:cNvSpPr/>
      </xdr:nvSpPr>
      <xdr:spPr>
        <a:xfrm>
          <a:off x="8606790" y="236982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586F891D-1143-4AB1-9197-C4D61C9B90C6}"/>
            </a:ext>
          </a:extLst>
        </xdr:cNvPr>
        <xdr:cNvGrpSpPr/>
      </xdr:nvGrpSpPr>
      <xdr:grpSpPr>
        <a:xfrm>
          <a:off x="9448878" y="252828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17800D0E-6089-1562-4EE2-65B19F3EB8B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76FA6147-FF9D-4A2D-8F1F-1864BDDF4E8D}"/>
            </a:ext>
          </a:extLst>
        </xdr:cNvPr>
        <xdr:cNvGrpSpPr/>
      </xdr:nvGrpSpPr>
      <xdr:grpSpPr>
        <a:xfrm>
          <a:off x="12919506" y="259495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DECFB736-275B-FA15-767E-ACD275CD50BB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614732AE-EAA6-4C9C-92DA-872FB448C823}"/>
            </a:ext>
          </a:extLst>
        </xdr:cNvPr>
        <xdr:cNvGrpSpPr/>
      </xdr:nvGrpSpPr>
      <xdr:grpSpPr>
        <a:xfrm>
          <a:off x="5704613" y="2318887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73FCC395-B73E-A661-02BB-C7521CCE04E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259A715-1EE2-4C01-9EA6-4540315B1FB4}"/>
            </a:ext>
          </a:extLst>
        </xdr:cNvPr>
        <xdr:cNvSpPr/>
      </xdr:nvSpPr>
      <xdr:spPr>
        <a:xfrm>
          <a:off x="13904595" y="70294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605790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BD9FE870-8E53-4F86-A6B3-2933FDA891AC}"/>
            </a:ext>
          </a:extLst>
        </xdr:cNvPr>
        <xdr:cNvGrpSpPr/>
      </xdr:nvGrpSpPr>
      <xdr:grpSpPr>
        <a:xfrm>
          <a:off x="5869078" y="260448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E8117AF-BF00-A138-7073-BB5DBB9E25E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A68EE09F-A1C8-492F-86D1-8892995285E8}"/>
            </a:ext>
          </a:extLst>
        </xdr:cNvPr>
        <xdr:cNvGrpSpPr/>
      </xdr:nvGrpSpPr>
      <xdr:grpSpPr>
        <a:xfrm>
          <a:off x="7344677" y="925062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3574401F-AB7A-766F-3EBF-FE46BE330A86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9A11A57-3D1F-4191-8C01-6424CCD1DE51}"/>
            </a:ext>
          </a:extLst>
        </xdr:cNvPr>
        <xdr:cNvGrpSpPr/>
      </xdr:nvGrpSpPr>
      <xdr:grpSpPr>
        <a:xfrm>
          <a:off x="9022840" y="147382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04E1DB3E-1E6C-AC8F-BC3E-3D9C9EA44A44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587374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16CB9CD8-9BC0-40E2-90DD-8F1BFEE50983}"/>
            </a:ext>
          </a:extLst>
        </xdr:cNvPr>
        <xdr:cNvGrpSpPr/>
      </xdr:nvGrpSpPr>
      <xdr:grpSpPr>
        <a:xfrm>
          <a:off x="11155028" y="830477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D254227F-5FAC-4515-CE20-5C850DD1EE6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561975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30D89E1F-F4B4-4F5F-BC91-1D7B74C48307}"/>
            </a:ext>
          </a:extLst>
        </xdr:cNvPr>
        <xdr:cNvGrpSpPr/>
      </xdr:nvGrpSpPr>
      <xdr:grpSpPr>
        <a:xfrm>
          <a:off x="11129629" y="201475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8F875FD7-ABCF-DF7D-66A7-BE3592884C3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8" name="Shape 2">
          <a:extLst>
            <a:ext uri="{FF2B5EF4-FFF2-40B4-BE49-F238E27FC236}">
              <a16:creationId xmlns:a16="http://schemas.microsoft.com/office/drawing/2014/main" id="{31E85C8F-13BB-402A-9EC6-D95B795D3048}"/>
            </a:ext>
          </a:extLst>
        </xdr:cNvPr>
        <xdr:cNvGrpSpPr/>
      </xdr:nvGrpSpPr>
      <xdr:grpSpPr>
        <a:xfrm>
          <a:off x="13062381" y="1001262"/>
          <a:ext cx="485775" cy="38100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8F8DBDC-0FAD-C18C-10C3-6B6BABF4D27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500FC935-D323-4535-B073-9D17DFB1D70B}"/>
            </a:ext>
          </a:extLst>
        </xdr:cNvPr>
        <xdr:cNvGrpSpPr/>
      </xdr:nvGrpSpPr>
      <xdr:grpSpPr>
        <a:xfrm>
          <a:off x="7163702" y="1929694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B7117C6C-898E-7E1B-07F5-EC4866781D6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F08BED62-7E47-41CA-86B2-1CAE60D2B864}"/>
            </a:ext>
          </a:extLst>
        </xdr:cNvPr>
        <xdr:cNvSpPr/>
      </xdr:nvSpPr>
      <xdr:spPr>
        <a:xfrm>
          <a:off x="8606790" y="236982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DC49A09E-A559-4084-A047-9D0EEBBF208E}"/>
            </a:ext>
          </a:extLst>
        </xdr:cNvPr>
        <xdr:cNvGrpSpPr/>
      </xdr:nvGrpSpPr>
      <xdr:grpSpPr>
        <a:xfrm>
          <a:off x="9448878" y="252828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9E88A714-F126-0587-61B9-992D05CC27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3094AD39-C1E3-4628-B776-7801C86BCFF9}"/>
            </a:ext>
          </a:extLst>
        </xdr:cNvPr>
        <xdr:cNvGrpSpPr/>
      </xdr:nvGrpSpPr>
      <xdr:grpSpPr>
        <a:xfrm>
          <a:off x="12919506" y="2594955"/>
          <a:ext cx="742950" cy="38100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54AFD92D-9F67-4F4D-E430-717C338958C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24C10E76-C931-4AD9-A944-C937C2BB3EDC}"/>
            </a:ext>
          </a:extLst>
        </xdr:cNvPr>
        <xdr:cNvGrpSpPr/>
      </xdr:nvGrpSpPr>
      <xdr:grpSpPr>
        <a:xfrm>
          <a:off x="5704613" y="2318887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1A961C3B-EAA4-0B29-ADD4-2379B0846E69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91F2B3EB-87B0-4AEC-9F09-032D7DFA2178}"/>
            </a:ext>
          </a:extLst>
        </xdr:cNvPr>
        <xdr:cNvSpPr/>
      </xdr:nvSpPr>
      <xdr:spPr>
        <a:xfrm>
          <a:off x="13904595" y="70294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605790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89ED6B82-AB15-4A1E-9D0D-48E6175E5512}"/>
            </a:ext>
          </a:extLst>
        </xdr:cNvPr>
        <xdr:cNvGrpSpPr/>
      </xdr:nvGrpSpPr>
      <xdr:grpSpPr>
        <a:xfrm>
          <a:off x="5869078" y="260448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676BFA5A-51AF-4E13-25D5-1BE432EFDD6E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6DAB9E8B-D3E3-47E0-8258-A940C8B51F09}"/>
            </a:ext>
          </a:extLst>
        </xdr:cNvPr>
        <xdr:cNvSpPr/>
      </xdr:nvSpPr>
      <xdr:spPr>
        <a:xfrm>
          <a:off x="8416290" y="200025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32AE9C81-1BB5-493B-9769-4DBB8F602784}"/>
            </a:ext>
          </a:extLst>
        </xdr:cNvPr>
        <xdr:cNvSpPr/>
      </xdr:nvSpPr>
      <xdr:spPr>
        <a:xfrm>
          <a:off x="8463915" y="96393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E579E5D5-A178-443F-8136-64DC3E683A67}"/>
            </a:ext>
          </a:extLst>
        </xdr:cNvPr>
        <xdr:cNvSpPr/>
      </xdr:nvSpPr>
      <xdr:spPr>
        <a:xfrm>
          <a:off x="11498580" y="106299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0A06D1E8-2D9A-43F8-83B7-4CCBAB83BE0F}"/>
            </a:ext>
          </a:extLst>
        </xdr:cNvPr>
        <xdr:cNvGrpSpPr/>
      </xdr:nvGrpSpPr>
      <xdr:grpSpPr>
        <a:xfrm rot="20877196">
          <a:off x="10587447" y="1127077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3886F0C6-3A28-A4E9-F654-EBCE8ACF86FA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0FA2BB52-C2A9-4B73-A062-ACA953DBE9F4}"/>
            </a:ext>
          </a:extLst>
        </xdr:cNvPr>
        <xdr:cNvGrpSpPr/>
      </xdr:nvGrpSpPr>
      <xdr:grpSpPr>
        <a:xfrm>
          <a:off x="7431038" y="1786216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D80DFB53-F3A4-835A-18DE-2EB57873DF7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6630196B-5F38-A1AB-F095-9030106CFCB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1029FFFB-3C4C-8BC5-363F-F910C5B0F414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4B692CC7-EF49-CBB6-6BA8-4EC3CC1C86A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3C04C303-D53D-B12F-D101-BF9BF1DB7D1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D44E631B-972B-1C25-0BA1-152215ED64C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78E69430-0EFB-078F-D3EB-68049E96EA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06BC40C4-C268-4959-A60D-68EF79E679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39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7D18C346-7E28-4FF9-9084-995205F148E9}"/>
            </a:ext>
          </a:extLst>
        </xdr:cNvPr>
        <xdr:cNvSpPr/>
      </xdr:nvSpPr>
      <xdr:spPr>
        <a:xfrm rot="5234537">
          <a:off x="14174561" y="732766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67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D5C99FE6-40F6-4B02-A6CD-319CE36A74C2}"/>
            </a:ext>
          </a:extLst>
        </xdr:cNvPr>
        <xdr:cNvSpPr/>
      </xdr:nvSpPr>
      <xdr:spPr>
        <a:xfrm rot="5400000">
          <a:off x="2225039" y="1236408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150812</xdr:colOff>
      <xdr:row>88</xdr:row>
      <xdr:rowOff>71438</xdr:rowOff>
    </xdr:from>
    <xdr:ext cx="95251" cy="906462"/>
    <xdr:sp macro="" textlink="">
      <xdr:nvSpPr>
        <xdr:cNvPr id="149" name="Shape 335">
          <a:extLst>
            <a:ext uri="{FF2B5EF4-FFF2-40B4-BE49-F238E27FC236}">
              <a16:creationId xmlns:a16="http://schemas.microsoft.com/office/drawing/2014/main" id="{8F4548DE-51DC-4684-BE56-9994ACD16CFA}"/>
            </a:ext>
          </a:extLst>
        </xdr:cNvPr>
        <xdr:cNvSpPr/>
      </xdr:nvSpPr>
      <xdr:spPr>
        <a:xfrm rot="5400000">
          <a:off x="5803107" y="15991363"/>
          <a:ext cx="906462" cy="95251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186</xdr:row>
      <xdr:rowOff>15875</xdr:rowOff>
    </xdr:from>
    <xdr:ext cx="45719" cy="960438"/>
    <xdr:sp macro="" textlink="">
      <xdr:nvSpPr>
        <xdr:cNvPr id="150" name="Shape 334">
          <a:extLst>
            <a:ext uri="{FF2B5EF4-FFF2-40B4-BE49-F238E27FC236}">
              <a16:creationId xmlns:a16="http://schemas.microsoft.com/office/drawing/2014/main" id="{F693C638-90EE-4084-A725-CF385FD3461F}"/>
            </a:ext>
          </a:extLst>
        </xdr:cNvPr>
        <xdr:cNvSpPr/>
      </xdr:nvSpPr>
      <xdr:spPr>
        <a:xfrm rot="5400000">
          <a:off x="3407250" y="3316303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54903</xdr:colOff>
      <xdr:row>179</xdr:row>
      <xdr:rowOff>3838</xdr:rowOff>
    </xdr:from>
    <xdr:ext cx="182243" cy="944853"/>
    <xdr:sp macro="" textlink="">
      <xdr:nvSpPr>
        <xdr:cNvPr id="151" name="Shape 337">
          <a:extLst>
            <a:ext uri="{FF2B5EF4-FFF2-40B4-BE49-F238E27FC236}">
              <a16:creationId xmlns:a16="http://schemas.microsoft.com/office/drawing/2014/main" id="{3D320E47-8413-428E-B0A9-1B9DF270F1E7}"/>
            </a:ext>
          </a:extLst>
        </xdr:cNvPr>
        <xdr:cNvSpPr/>
      </xdr:nvSpPr>
      <xdr:spPr>
        <a:xfrm rot="5234537">
          <a:off x="9297658" y="318481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2" name="image2.png">
          <a:extLst>
            <a:ext uri="{FF2B5EF4-FFF2-40B4-BE49-F238E27FC236}">
              <a16:creationId xmlns:a16="http://schemas.microsoft.com/office/drawing/2014/main" id="{AE74548D-C7F1-4613-80D4-C307AECE80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1930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82</xdr:row>
      <xdr:rowOff>33866</xdr:rowOff>
    </xdr:from>
    <xdr:ext cx="190500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1F879577-AF1C-411F-B51B-51B701A9D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24628" y="1449662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88</xdr:row>
      <xdr:rowOff>124355</xdr:rowOff>
    </xdr:from>
    <xdr:ext cx="234315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56BD1816-3988-4584-A7CB-2C1491599F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79392" y="1563867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23125</xdr:colOff>
      <xdr:row>123</xdr:row>
      <xdr:rowOff>145520</xdr:rowOff>
    </xdr:from>
    <xdr:ext cx="100013" cy="685800"/>
    <xdr:pic>
      <xdr:nvPicPr>
        <xdr:cNvPr id="155" name="image2.png">
          <a:extLst>
            <a:ext uri="{FF2B5EF4-FFF2-40B4-BE49-F238E27FC236}">
              <a16:creationId xmlns:a16="http://schemas.microsoft.com/office/drawing/2014/main" id="{EC660070-CD0E-404F-8EBE-737383F720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9395" y="2351008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161925</xdr:colOff>
      <xdr:row>131</xdr:row>
      <xdr:rowOff>9525</xdr:rowOff>
    </xdr:from>
    <xdr:ext cx="179388" cy="676275"/>
    <xdr:pic>
      <xdr:nvPicPr>
        <xdr:cNvPr id="156" name="image2.png">
          <a:extLst>
            <a:ext uri="{FF2B5EF4-FFF2-40B4-BE49-F238E27FC236}">
              <a16:creationId xmlns:a16="http://schemas.microsoft.com/office/drawing/2014/main" id="{DA01CCB0-931E-4E5D-90C9-30F382C57B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40865" y="2306002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15875</xdr:colOff>
      <xdr:row>186</xdr:row>
      <xdr:rowOff>96836</xdr:rowOff>
    </xdr:from>
    <xdr:ext cx="190500" cy="685800"/>
    <xdr:pic>
      <xdr:nvPicPr>
        <xdr:cNvPr id="157" name="image2.png">
          <a:extLst>
            <a:ext uri="{FF2B5EF4-FFF2-40B4-BE49-F238E27FC236}">
              <a16:creationId xmlns:a16="http://schemas.microsoft.com/office/drawing/2014/main" id="{5B0D1375-2B56-414A-BD6A-530234E14B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07615" y="3278663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54</xdr:row>
      <xdr:rowOff>20637</xdr:rowOff>
    </xdr:from>
    <xdr:ext cx="119063" cy="701145"/>
    <xdr:pic>
      <xdr:nvPicPr>
        <xdr:cNvPr id="452" name="image2.png">
          <a:extLst>
            <a:ext uri="{FF2B5EF4-FFF2-40B4-BE49-F238E27FC236}">
              <a16:creationId xmlns:a16="http://schemas.microsoft.com/office/drawing/2014/main" id="{F260B83F-6F0D-4A7F-9566-E25DB0E0CD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58075" y="10050462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86783</xdr:colOff>
      <xdr:row>144</xdr:row>
      <xdr:rowOff>14288</xdr:rowOff>
    </xdr:from>
    <xdr:ext cx="100542" cy="776287"/>
    <xdr:sp macro="" textlink="">
      <xdr:nvSpPr>
        <xdr:cNvPr id="453" name="Shape 336">
          <a:extLst>
            <a:ext uri="{FF2B5EF4-FFF2-40B4-BE49-F238E27FC236}">
              <a16:creationId xmlns:a16="http://schemas.microsoft.com/office/drawing/2014/main" id="{073F8694-164A-4638-9BA9-693CD6BCFFEF}"/>
            </a:ext>
          </a:extLst>
        </xdr:cNvPr>
        <xdr:cNvSpPr/>
      </xdr:nvSpPr>
      <xdr:spPr>
        <a:xfrm rot="5400000">
          <a:off x="3463660" y="26917386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112</xdr:row>
      <xdr:rowOff>0</xdr:rowOff>
    </xdr:from>
    <xdr:ext cx="273050" cy="254000"/>
    <xdr:grpSp>
      <xdr:nvGrpSpPr>
        <xdr:cNvPr id="454" name="Shape 2">
          <a:extLst>
            <a:ext uri="{FF2B5EF4-FFF2-40B4-BE49-F238E27FC236}">
              <a16:creationId xmlns:a16="http://schemas.microsoft.com/office/drawing/2014/main" id="{0C755CF2-B791-45B2-8C38-3FE11C6D345E}"/>
            </a:ext>
          </a:extLst>
        </xdr:cNvPr>
        <xdr:cNvGrpSpPr/>
      </xdr:nvGrpSpPr>
      <xdr:grpSpPr>
        <a:xfrm>
          <a:off x="5863951" y="20688457"/>
          <a:ext cx="273050" cy="254000"/>
          <a:chOff x="5017388" y="3694275"/>
          <a:chExt cx="657225" cy="171450"/>
        </a:xfrm>
      </xdr:grpSpPr>
      <xdr:grpSp>
        <xdr:nvGrpSpPr>
          <xdr:cNvPr id="455" name="Shape 282">
            <a:extLst>
              <a:ext uri="{FF2B5EF4-FFF2-40B4-BE49-F238E27FC236}">
                <a16:creationId xmlns:a16="http://schemas.microsoft.com/office/drawing/2014/main" id="{74DF2B11-753B-E231-A513-3146DA5B143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6" name="Shape 283">
              <a:extLst>
                <a:ext uri="{FF2B5EF4-FFF2-40B4-BE49-F238E27FC236}">
                  <a16:creationId xmlns:a16="http://schemas.microsoft.com/office/drawing/2014/main" id="{8A446516-21DD-80A2-CD16-5BCF660A406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7" name="Shape 284">
              <a:extLst>
                <a:ext uri="{FF2B5EF4-FFF2-40B4-BE49-F238E27FC236}">
                  <a16:creationId xmlns:a16="http://schemas.microsoft.com/office/drawing/2014/main" id="{2E32BE4E-3A69-348D-3CFF-C60B3013BB5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8" name="Shape 285">
              <a:extLst>
                <a:ext uri="{FF2B5EF4-FFF2-40B4-BE49-F238E27FC236}">
                  <a16:creationId xmlns:a16="http://schemas.microsoft.com/office/drawing/2014/main" id="{61DDCC01-410B-8F12-BFC6-ACF7449FF63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6">
              <a:extLst>
                <a:ext uri="{FF2B5EF4-FFF2-40B4-BE49-F238E27FC236}">
                  <a16:creationId xmlns:a16="http://schemas.microsoft.com/office/drawing/2014/main" id="{F1E2D166-7371-8510-13F6-CD5679E2B49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7">
              <a:extLst>
                <a:ext uri="{FF2B5EF4-FFF2-40B4-BE49-F238E27FC236}">
                  <a16:creationId xmlns:a16="http://schemas.microsoft.com/office/drawing/2014/main" id="{32413B62-CF40-8467-3204-BFFFFD6025A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8">
              <a:extLst>
                <a:ext uri="{FF2B5EF4-FFF2-40B4-BE49-F238E27FC236}">
                  <a16:creationId xmlns:a16="http://schemas.microsoft.com/office/drawing/2014/main" id="{68DAEB54-94CD-8699-FF9E-05DA24BF1E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9">
              <a:extLst>
                <a:ext uri="{FF2B5EF4-FFF2-40B4-BE49-F238E27FC236}">
                  <a16:creationId xmlns:a16="http://schemas.microsoft.com/office/drawing/2014/main" id="{805B387E-EF64-F2D6-D730-3A88F337D42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105</xdr:row>
      <xdr:rowOff>0</xdr:rowOff>
    </xdr:from>
    <xdr:ext cx="273050" cy="254000"/>
    <xdr:grpSp>
      <xdr:nvGrpSpPr>
        <xdr:cNvPr id="463" name="Shape 2">
          <a:extLst>
            <a:ext uri="{FF2B5EF4-FFF2-40B4-BE49-F238E27FC236}">
              <a16:creationId xmlns:a16="http://schemas.microsoft.com/office/drawing/2014/main" id="{4139901F-A504-41A7-A1CB-8096A57E2A74}"/>
            </a:ext>
          </a:extLst>
        </xdr:cNvPr>
        <xdr:cNvGrpSpPr/>
      </xdr:nvGrpSpPr>
      <xdr:grpSpPr>
        <a:xfrm>
          <a:off x="12919506" y="19394938"/>
          <a:ext cx="273050" cy="254000"/>
          <a:chOff x="5017388" y="3694275"/>
          <a:chExt cx="657225" cy="171450"/>
        </a:xfrm>
      </xdr:grpSpPr>
      <xdr:grpSp>
        <xdr:nvGrpSpPr>
          <xdr:cNvPr id="464" name="Shape 282">
            <a:extLst>
              <a:ext uri="{FF2B5EF4-FFF2-40B4-BE49-F238E27FC236}">
                <a16:creationId xmlns:a16="http://schemas.microsoft.com/office/drawing/2014/main" id="{00B2DE0E-E430-FEA6-DC82-9BD35097DA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5" name="Shape 283">
              <a:extLst>
                <a:ext uri="{FF2B5EF4-FFF2-40B4-BE49-F238E27FC236}">
                  <a16:creationId xmlns:a16="http://schemas.microsoft.com/office/drawing/2014/main" id="{E88DF768-53CB-28FF-BDCC-865DECAA251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6" name="Shape 284">
              <a:extLst>
                <a:ext uri="{FF2B5EF4-FFF2-40B4-BE49-F238E27FC236}">
                  <a16:creationId xmlns:a16="http://schemas.microsoft.com/office/drawing/2014/main" id="{B217CDDF-E05D-A669-889A-F20CCAE60F0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7" name="Shape 285">
              <a:extLst>
                <a:ext uri="{FF2B5EF4-FFF2-40B4-BE49-F238E27FC236}">
                  <a16:creationId xmlns:a16="http://schemas.microsoft.com/office/drawing/2014/main" id="{73F72A0C-AC40-9D21-BCB3-0DB384A7A39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6">
              <a:extLst>
                <a:ext uri="{FF2B5EF4-FFF2-40B4-BE49-F238E27FC236}">
                  <a16:creationId xmlns:a16="http://schemas.microsoft.com/office/drawing/2014/main" id="{D770148E-0029-3FFD-EDFE-CCD802E859F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7">
              <a:extLst>
                <a:ext uri="{FF2B5EF4-FFF2-40B4-BE49-F238E27FC236}">
                  <a16:creationId xmlns:a16="http://schemas.microsoft.com/office/drawing/2014/main" id="{C6C1B02D-37C2-482A-A56E-A4A38645825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70" name="Shape 288">
              <a:extLst>
                <a:ext uri="{FF2B5EF4-FFF2-40B4-BE49-F238E27FC236}">
                  <a16:creationId xmlns:a16="http://schemas.microsoft.com/office/drawing/2014/main" id="{2194D4F0-79DE-4DD0-4B5E-9EE820781B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71" name="Shape 289">
              <a:extLst>
                <a:ext uri="{FF2B5EF4-FFF2-40B4-BE49-F238E27FC236}">
                  <a16:creationId xmlns:a16="http://schemas.microsoft.com/office/drawing/2014/main" id="{CE07940F-8ADC-2079-6612-92A96AE6775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2" name="Shape 2">
          <a:extLst>
            <a:ext uri="{FF2B5EF4-FFF2-40B4-BE49-F238E27FC236}">
              <a16:creationId xmlns:a16="http://schemas.microsoft.com/office/drawing/2014/main" id="{A6E6C8B3-EE73-4484-B402-6A056EFE18E9}"/>
            </a:ext>
          </a:extLst>
        </xdr:cNvPr>
        <xdr:cNvGrpSpPr/>
      </xdr:nvGrpSpPr>
      <xdr:grpSpPr>
        <a:xfrm rot="7738356">
          <a:off x="5959534" y="688228"/>
          <a:ext cx="128397" cy="341184"/>
          <a:chOff x="5307900" y="3670463"/>
          <a:chExt cx="76200" cy="219075"/>
        </a:xfrm>
      </xdr:grpSpPr>
      <xdr:cxnSp macro="">
        <xdr:nvCxnSpPr>
          <xdr:cNvPr id="473" name="Shape 17">
            <a:extLst>
              <a:ext uri="{FF2B5EF4-FFF2-40B4-BE49-F238E27FC236}">
                <a16:creationId xmlns:a16="http://schemas.microsoft.com/office/drawing/2014/main" id="{E6F091CA-59D1-1019-DFF4-DE5DAB95F5C2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0</xdr:colOff>
      <xdr:row>25</xdr:row>
      <xdr:rowOff>60067</xdr:rowOff>
    </xdr:from>
    <xdr:ext cx="586966" cy="284746"/>
    <xdr:sp macro="" textlink="">
      <xdr:nvSpPr>
        <xdr:cNvPr id="526" name="Shape 345">
          <a:extLst>
            <a:ext uri="{FF2B5EF4-FFF2-40B4-BE49-F238E27FC236}">
              <a16:creationId xmlns:a16="http://schemas.microsoft.com/office/drawing/2014/main" id="{D7824C1E-9083-4F8A-89C1-9CDA9F088867}"/>
            </a:ext>
          </a:extLst>
        </xdr:cNvPr>
        <xdr:cNvSpPr/>
      </xdr:nvSpPr>
      <xdr:spPr>
        <a:xfrm>
          <a:off x="574932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25</xdr:row>
      <xdr:rowOff>60067</xdr:rowOff>
    </xdr:from>
    <xdr:ext cx="586966" cy="284746"/>
    <xdr:sp macro="" textlink="">
      <xdr:nvSpPr>
        <xdr:cNvPr id="527" name="Shape 345">
          <a:extLst>
            <a:ext uri="{FF2B5EF4-FFF2-40B4-BE49-F238E27FC236}">
              <a16:creationId xmlns:a16="http://schemas.microsoft.com/office/drawing/2014/main" id="{9134A028-D542-4A90-B380-439C0D1C1550}"/>
            </a:ext>
          </a:extLst>
        </xdr:cNvPr>
        <xdr:cNvSpPr/>
      </xdr:nvSpPr>
      <xdr:spPr>
        <a:xfrm>
          <a:off x="1767702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25</xdr:row>
      <xdr:rowOff>60067</xdr:rowOff>
    </xdr:from>
    <xdr:ext cx="586966" cy="284746"/>
    <xdr:sp macro="" textlink="">
      <xdr:nvSpPr>
        <xdr:cNvPr id="528" name="Shape 345">
          <a:extLst>
            <a:ext uri="{FF2B5EF4-FFF2-40B4-BE49-F238E27FC236}">
              <a16:creationId xmlns:a16="http://schemas.microsoft.com/office/drawing/2014/main" id="{AA9BAB0B-EFA6-41DB-A208-BEF25E8AF235}"/>
            </a:ext>
          </a:extLst>
        </xdr:cNvPr>
        <xdr:cNvSpPr/>
      </xdr:nvSpPr>
      <xdr:spPr>
        <a:xfrm>
          <a:off x="2951891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25</xdr:row>
      <xdr:rowOff>60067</xdr:rowOff>
    </xdr:from>
    <xdr:ext cx="586966" cy="284746"/>
    <xdr:sp macro="" textlink="">
      <xdr:nvSpPr>
        <xdr:cNvPr id="529" name="Shape 345">
          <a:extLst>
            <a:ext uri="{FF2B5EF4-FFF2-40B4-BE49-F238E27FC236}">
              <a16:creationId xmlns:a16="http://schemas.microsoft.com/office/drawing/2014/main" id="{A2435680-4418-4EB8-9BF4-4E2377BF0110}"/>
            </a:ext>
          </a:extLst>
        </xdr:cNvPr>
        <xdr:cNvSpPr/>
      </xdr:nvSpPr>
      <xdr:spPr>
        <a:xfrm>
          <a:off x="4136080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25</xdr:row>
      <xdr:rowOff>60067</xdr:rowOff>
    </xdr:from>
    <xdr:ext cx="586966" cy="284746"/>
    <xdr:sp macro="" textlink="">
      <xdr:nvSpPr>
        <xdr:cNvPr id="530" name="Shape 345">
          <a:extLst>
            <a:ext uri="{FF2B5EF4-FFF2-40B4-BE49-F238E27FC236}">
              <a16:creationId xmlns:a16="http://schemas.microsoft.com/office/drawing/2014/main" id="{FB0D5E3A-15F6-48EC-8BF4-91670BB3F710}"/>
            </a:ext>
          </a:extLst>
        </xdr:cNvPr>
        <xdr:cNvSpPr/>
      </xdr:nvSpPr>
      <xdr:spPr>
        <a:xfrm>
          <a:off x="5320270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25</xdr:row>
      <xdr:rowOff>60067</xdr:rowOff>
    </xdr:from>
    <xdr:ext cx="586966" cy="284746"/>
    <xdr:sp macro="" textlink="">
      <xdr:nvSpPr>
        <xdr:cNvPr id="531" name="Shape 345">
          <a:extLst>
            <a:ext uri="{FF2B5EF4-FFF2-40B4-BE49-F238E27FC236}">
              <a16:creationId xmlns:a16="http://schemas.microsoft.com/office/drawing/2014/main" id="{7E288A8C-479B-4C86-BEA0-465B0059EC04}"/>
            </a:ext>
          </a:extLst>
        </xdr:cNvPr>
        <xdr:cNvSpPr/>
      </xdr:nvSpPr>
      <xdr:spPr>
        <a:xfrm>
          <a:off x="6504459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25</xdr:row>
      <xdr:rowOff>60067</xdr:rowOff>
    </xdr:from>
    <xdr:ext cx="586966" cy="284746"/>
    <xdr:sp macro="" textlink="">
      <xdr:nvSpPr>
        <xdr:cNvPr id="532" name="Shape 345">
          <a:extLst>
            <a:ext uri="{FF2B5EF4-FFF2-40B4-BE49-F238E27FC236}">
              <a16:creationId xmlns:a16="http://schemas.microsoft.com/office/drawing/2014/main" id="{1E9ABBA9-8BB8-45D6-B913-0C822F2CF9F3}"/>
            </a:ext>
          </a:extLst>
        </xdr:cNvPr>
        <xdr:cNvSpPr/>
      </xdr:nvSpPr>
      <xdr:spPr>
        <a:xfrm>
          <a:off x="7688648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25</xdr:row>
      <xdr:rowOff>60067</xdr:rowOff>
    </xdr:from>
    <xdr:ext cx="586966" cy="284746"/>
    <xdr:sp macro="" textlink="">
      <xdr:nvSpPr>
        <xdr:cNvPr id="533" name="Shape 345">
          <a:extLst>
            <a:ext uri="{FF2B5EF4-FFF2-40B4-BE49-F238E27FC236}">
              <a16:creationId xmlns:a16="http://schemas.microsoft.com/office/drawing/2014/main" id="{4E9ED1ED-C070-4CEC-BDEE-0D84260003A9}"/>
            </a:ext>
          </a:extLst>
        </xdr:cNvPr>
        <xdr:cNvSpPr/>
      </xdr:nvSpPr>
      <xdr:spPr>
        <a:xfrm>
          <a:off x="8872837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25</xdr:row>
      <xdr:rowOff>60067</xdr:rowOff>
    </xdr:from>
    <xdr:ext cx="586966" cy="284746"/>
    <xdr:sp macro="" textlink="">
      <xdr:nvSpPr>
        <xdr:cNvPr id="534" name="Shape 345">
          <a:extLst>
            <a:ext uri="{FF2B5EF4-FFF2-40B4-BE49-F238E27FC236}">
              <a16:creationId xmlns:a16="http://schemas.microsoft.com/office/drawing/2014/main" id="{7472CEC2-D74C-438F-AD26-85345E2DB98E}"/>
            </a:ext>
          </a:extLst>
        </xdr:cNvPr>
        <xdr:cNvSpPr/>
      </xdr:nvSpPr>
      <xdr:spPr>
        <a:xfrm>
          <a:off x="10057026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25</xdr:row>
      <xdr:rowOff>60067</xdr:rowOff>
    </xdr:from>
    <xdr:ext cx="586966" cy="284746"/>
    <xdr:sp macro="" textlink="">
      <xdr:nvSpPr>
        <xdr:cNvPr id="535" name="Shape 345">
          <a:extLst>
            <a:ext uri="{FF2B5EF4-FFF2-40B4-BE49-F238E27FC236}">
              <a16:creationId xmlns:a16="http://schemas.microsoft.com/office/drawing/2014/main" id="{DAD38C38-2804-49AF-896B-CD378693391C}"/>
            </a:ext>
          </a:extLst>
        </xdr:cNvPr>
        <xdr:cNvSpPr/>
      </xdr:nvSpPr>
      <xdr:spPr>
        <a:xfrm>
          <a:off x="11241216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25</xdr:row>
      <xdr:rowOff>60067</xdr:rowOff>
    </xdr:from>
    <xdr:ext cx="586966" cy="284746"/>
    <xdr:sp macro="" textlink="">
      <xdr:nvSpPr>
        <xdr:cNvPr id="536" name="Shape 345">
          <a:extLst>
            <a:ext uri="{FF2B5EF4-FFF2-40B4-BE49-F238E27FC236}">
              <a16:creationId xmlns:a16="http://schemas.microsoft.com/office/drawing/2014/main" id="{B4585B7C-DB14-44B9-B930-2289C1908307}"/>
            </a:ext>
          </a:extLst>
        </xdr:cNvPr>
        <xdr:cNvSpPr/>
      </xdr:nvSpPr>
      <xdr:spPr>
        <a:xfrm>
          <a:off x="12425405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25</xdr:row>
      <xdr:rowOff>60067</xdr:rowOff>
    </xdr:from>
    <xdr:ext cx="586966" cy="284746"/>
    <xdr:sp macro="" textlink="">
      <xdr:nvSpPr>
        <xdr:cNvPr id="537" name="Shape 345">
          <a:extLst>
            <a:ext uri="{FF2B5EF4-FFF2-40B4-BE49-F238E27FC236}">
              <a16:creationId xmlns:a16="http://schemas.microsoft.com/office/drawing/2014/main" id="{27DECD94-DE7E-4ECD-B314-478C8CF72CC6}"/>
            </a:ext>
          </a:extLst>
        </xdr:cNvPr>
        <xdr:cNvSpPr/>
      </xdr:nvSpPr>
      <xdr:spPr>
        <a:xfrm>
          <a:off x="13609594" y="473675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</xdr:row>
      <xdr:rowOff>60068</xdr:rowOff>
    </xdr:from>
    <xdr:ext cx="586966" cy="284746"/>
    <xdr:sp macro="" textlink="">
      <xdr:nvSpPr>
        <xdr:cNvPr id="538" name="Shape 345">
          <a:extLst>
            <a:ext uri="{FF2B5EF4-FFF2-40B4-BE49-F238E27FC236}">
              <a16:creationId xmlns:a16="http://schemas.microsoft.com/office/drawing/2014/main" id="{EF42CD04-960E-4C77-82B9-43A76A28625D}"/>
            </a:ext>
          </a:extLst>
        </xdr:cNvPr>
        <xdr:cNvSpPr/>
      </xdr:nvSpPr>
      <xdr:spPr>
        <a:xfrm>
          <a:off x="574932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32</xdr:row>
      <xdr:rowOff>60068</xdr:rowOff>
    </xdr:from>
    <xdr:ext cx="586966" cy="284746"/>
    <xdr:sp macro="" textlink="">
      <xdr:nvSpPr>
        <xdr:cNvPr id="539" name="Shape 345">
          <a:extLst>
            <a:ext uri="{FF2B5EF4-FFF2-40B4-BE49-F238E27FC236}">
              <a16:creationId xmlns:a16="http://schemas.microsoft.com/office/drawing/2014/main" id="{FDD846C4-606F-4E13-8DC5-A6BA510F525D}"/>
            </a:ext>
          </a:extLst>
        </xdr:cNvPr>
        <xdr:cNvSpPr/>
      </xdr:nvSpPr>
      <xdr:spPr>
        <a:xfrm>
          <a:off x="1767702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32</xdr:row>
      <xdr:rowOff>60068</xdr:rowOff>
    </xdr:from>
    <xdr:ext cx="586966" cy="284746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74B811C4-A4D7-4F2C-89CD-BE732E9BE0A0}"/>
            </a:ext>
          </a:extLst>
        </xdr:cNvPr>
        <xdr:cNvSpPr/>
      </xdr:nvSpPr>
      <xdr:spPr>
        <a:xfrm>
          <a:off x="2951891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32</xdr:row>
      <xdr:rowOff>60068</xdr:rowOff>
    </xdr:from>
    <xdr:ext cx="586966" cy="284746"/>
    <xdr:sp macro="" textlink="">
      <xdr:nvSpPr>
        <xdr:cNvPr id="541" name="Shape 345">
          <a:extLst>
            <a:ext uri="{FF2B5EF4-FFF2-40B4-BE49-F238E27FC236}">
              <a16:creationId xmlns:a16="http://schemas.microsoft.com/office/drawing/2014/main" id="{DEABA557-9CD5-47DD-AC73-8605439DEC86}"/>
            </a:ext>
          </a:extLst>
        </xdr:cNvPr>
        <xdr:cNvSpPr/>
      </xdr:nvSpPr>
      <xdr:spPr>
        <a:xfrm>
          <a:off x="4136080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32</xdr:row>
      <xdr:rowOff>60068</xdr:rowOff>
    </xdr:from>
    <xdr:ext cx="586966" cy="284746"/>
    <xdr:sp macro="" textlink="">
      <xdr:nvSpPr>
        <xdr:cNvPr id="542" name="Shape 345">
          <a:extLst>
            <a:ext uri="{FF2B5EF4-FFF2-40B4-BE49-F238E27FC236}">
              <a16:creationId xmlns:a16="http://schemas.microsoft.com/office/drawing/2014/main" id="{4FAE2D78-E22B-4590-8879-9B64090FE3E7}"/>
            </a:ext>
          </a:extLst>
        </xdr:cNvPr>
        <xdr:cNvSpPr/>
      </xdr:nvSpPr>
      <xdr:spPr>
        <a:xfrm>
          <a:off x="5320270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32</xdr:row>
      <xdr:rowOff>60068</xdr:rowOff>
    </xdr:from>
    <xdr:ext cx="586966" cy="284746"/>
    <xdr:sp macro="" textlink="">
      <xdr:nvSpPr>
        <xdr:cNvPr id="543" name="Shape 345">
          <a:extLst>
            <a:ext uri="{FF2B5EF4-FFF2-40B4-BE49-F238E27FC236}">
              <a16:creationId xmlns:a16="http://schemas.microsoft.com/office/drawing/2014/main" id="{9FF7CB5B-6AD6-40DB-B293-7EBC0D74800A}"/>
            </a:ext>
          </a:extLst>
        </xdr:cNvPr>
        <xdr:cNvSpPr/>
      </xdr:nvSpPr>
      <xdr:spPr>
        <a:xfrm>
          <a:off x="6504459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32</xdr:row>
      <xdr:rowOff>60068</xdr:rowOff>
    </xdr:from>
    <xdr:ext cx="586966" cy="284746"/>
    <xdr:sp macro="" textlink="">
      <xdr:nvSpPr>
        <xdr:cNvPr id="544" name="Shape 345">
          <a:extLst>
            <a:ext uri="{FF2B5EF4-FFF2-40B4-BE49-F238E27FC236}">
              <a16:creationId xmlns:a16="http://schemas.microsoft.com/office/drawing/2014/main" id="{79C2D582-7DD4-47F0-A872-0DE628336ACB}"/>
            </a:ext>
          </a:extLst>
        </xdr:cNvPr>
        <xdr:cNvSpPr/>
      </xdr:nvSpPr>
      <xdr:spPr>
        <a:xfrm>
          <a:off x="7688648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32</xdr:row>
      <xdr:rowOff>60068</xdr:rowOff>
    </xdr:from>
    <xdr:ext cx="586966" cy="284746"/>
    <xdr:sp macro="" textlink="">
      <xdr:nvSpPr>
        <xdr:cNvPr id="545" name="Shape 345">
          <a:extLst>
            <a:ext uri="{FF2B5EF4-FFF2-40B4-BE49-F238E27FC236}">
              <a16:creationId xmlns:a16="http://schemas.microsoft.com/office/drawing/2014/main" id="{F0E4F633-DD45-48F7-A57B-3B8263640CA0}"/>
            </a:ext>
          </a:extLst>
        </xdr:cNvPr>
        <xdr:cNvSpPr/>
      </xdr:nvSpPr>
      <xdr:spPr>
        <a:xfrm>
          <a:off x="8872837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32</xdr:row>
      <xdr:rowOff>60068</xdr:rowOff>
    </xdr:from>
    <xdr:ext cx="586966" cy="284746"/>
    <xdr:sp macro="" textlink="">
      <xdr:nvSpPr>
        <xdr:cNvPr id="546" name="Shape 345">
          <a:extLst>
            <a:ext uri="{FF2B5EF4-FFF2-40B4-BE49-F238E27FC236}">
              <a16:creationId xmlns:a16="http://schemas.microsoft.com/office/drawing/2014/main" id="{408F0965-339C-480A-ADAA-E9FD1B52E99E}"/>
            </a:ext>
          </a:extLst>
        </xdr:cNvPr>
        <xdr:cNvSpPr/>
      </xdr:nvSpPr>
      <xdr:spPr>
        <a:xfrm>
          <a:off x="10057026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32</xdr:row>
      <xdr:rowOff>60068</xdr:rowOff>
    </xdr:from>
    <xdr:ext cx="586966" cy="284746"/>
    <xdr:sp macro="" textlink="">
      <xdr:nvSpPr>
        <xdr:cNvPr id="547" name="Shape 345">
          <a:extLst>
            <a:ext uri="{FF2B5EF4-FFF2-40B4-BE49-F238E27FC236}">
              <a16:creationId xmlns:a16="http://schemas.microsoft.com/office/drawing/2014/main" id="{354FB197-CF57-474A-92FC-F969A9441A2B}"/>
            </a:ext>
          </a:extLst>
        </xdr:cNvPr>
        <xdr:cNvSpPr/>
      </xdr:nvSpPr>
      <xdr:spPr>
        <a:xfrm>
          <a:off x="11241216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32</xdr:row>
      <xdr:rowOff>60068</xdr:rowOff>
    </xdr:from>
    <xdr:ext cx="586966" cy="284746"/>
    <xdr:sp macro="" textlink="">
      <xdr:nvSpPr>
        <xdr:cNvPr id="548" name="Shape 345">
          <a:extLst>
            <a:ext uri="{FF2B5EF4-FFF2-40B4-BE49-F238E27FC236}">
              <a16:creationId xmlns:a16="http://schemas.microsoft.com/office/drawing/2014/main" id="{3735D340-F9F3-419F-94E0-A83EC57E8AA2}"/>
            </a:ext>
          </a:extLst>
        </xdr:cNvPr>
        <xdr:cNvSpPr/>
      </xdr:nvSpPr>
      <xdr:spPr>
        <a:xfrm>
          <a:off x="12425405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32</xdr:row>
      <xdr:rowOff>60068</xdr:rowOff>
    </xdr:from>
    <xdr:ext cx="586966" cy="284746"/>
    <xdr:sp macro="" textlink="">
      <xdr:nvSpPr>
        <xdr:cNvPr id="549" name="Shape 345">
          <a:extLst>
            <a:ext uri="{FF2B5EF4-FFF2-40B4-BE49-F238E27FC236}">
              <a16:creationId xmlns:a16="http://schemas.microsoft.com/office/drawing/2014/main" id="{4B608260-F3AE-4693-B1A4-5AE4A33228A1}"/>
            </a:ext>
          </a:extLst>
        </xdr:cNvPr>
        <xdr:cNvSpPr/>
      </xdr:nvSpPr>
      <xdr:spPr>
        <a:xfrm>
          <a:off x="13609594" y="604108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39</xdr:row>
      <xdr:rowOff>60068</xdr:rowOff>
    </xdr:from>
    <xdr:ext cx="586966" cy="284746"/>
    <xdr:sp macro="" textlink="">
      <xdr:nvSpPr>
        <xdr:cNvPr id="550" name="Shape 345">
          <a:extLst>
            <a:ext uri="{FF2B5EF4-FFF2-40B4-BE49-F238E27FC236}">
              <a16:creationId xmlns:a16="http://schemas.microsoft.com/office/drawing/2014/main" id="{223AEED6-2B60-43BD-AC7B-42B52AB61AAC}"/>
            </a:ext>
          </a:extLst>
        </xdr:cNvPr>
        <xdr:cNvSpPr/>
      </xdr:nvSpPr>
      <xdr:spPr>
        <a:xfrm>
          <a:off x="574932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39</xdr:row>
      <xdr:rowOff>60068</xdr:rowOff>
    </xdr:from>
    <xdr:ext cx="586966" cy="284746"/>
    <xdr:sp macro="" textlink="">
      <xdr:nvSpPr>
        <xdr:cNvPr id="551" name="Shape 345">
          <a:extLst>
            <a:ext uri="{FF2B5EF4-FFF2-40B4-BE49-F238E27FC236}">
              <a16:creationId xmlns:a16="http://schemas.microsoft.com/office/drawing/2014/main" id="{0F87CEB2-892A-4138-81A1-202F01557C70}"/>
            </a:ext>
          </a:extLst>
        </xdr:cNvPr>
        <xdr:cNvSpPr/>
      </xdr:nvSpPr>
      <xdr:spPr>
        <a:xfrm>
          <a:off x="1767702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39</xdr:row>
      <xdr:rowOff>60068</xdr:rowOff>
    </xdr:from>
    <xdr:ext cx="586966" cy="284746"/>
    <xdr:sp macro="" textlink="">
      <xdr:nvSpPr>
        <xdr:cNvPr id="552" name="Shape 345">
          <a:extLst>
            <a:ext uri="{FF2B5EF4-FFF2-40B4-BE49-F238E27FC236}">
              <a16:creationId xmlns:a16="http://schemas.microsoft.com/office/drawing/2014/main" id="{7CAD23F1-90C9-4008-978C-2B4C75960FB3}"/>
            </a:ext>
          </a:extLst>
        </xdr:cNvPr>
        <xdr:cNvSpPr/>
      </xdr:nvSpPr>
      <xdr:spPr>
        <a:xfrm>
          <a:off x="2951891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39</xdr:row>
      <xdr:rowOff>60068</xdr:rowOff>
    </xdr:from>
    <xdr:ext cx="586966" cy="284746"/>
    <xdr:sp macro="" textlink="">
      <xdr:nvSpPr>
        <xdr:cNvPr id="553" name="Shape 345">
          <a:extLst>
            <a:ext uri="{FF2B5EF4-FFF2-40B4-BE49-F238E27FC236}">
              <a16:creationId xmlns:a16="http://schemas.microsoft.com/office/drawing/2014/main" id="{85CA5040-A02E-4DA0-928F-ACEFF909F2D7}"/>
            </a:ext>
          </a:extLst>
        </xdr:cNvPr>
        <xdr:cNvSpPr/>
      </xdr:nvSpPr>
      <xdr:spPr>
        <a:xfrm>
          <a:off x="4136080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39</xdr:row>
      <xdr:rowOff>60068</xdr:rowOff>
    </xdr:from>
    <xdr:ext cx="586966" cy="284746"/>
    <xdr:sp macro="" textlink="">
      <xdr:nvSpPr>
        <xdr:cNvPr id="554" name="Shape 345">
          <a:extLst>
            <a:ext uri="{FF2B5EF4-FFF2-40B4-BE49-F238E27FC236}">
              <a16:creationId xmlns:a16="http://schemas.microsoft.com/office/drawing/2014/main" id="{A3054501-6F81-483C-AB32-EA4C0C007890}"/>
            </a:ext>
          </a:extLst>
        </xdr:cNvPr>
        <xdr:cNvSpPr/>
      </xdr:nvSpPr>
      <xdr:spPr>
        <a:xfrm>
          <a:off x="5320270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39</xdr:row>
      <xdr:rowOff>60068</xdr:rowOff>
    </xdr:from>
    <xdr:ext cx="586966" cy="284746"/>
    <xdr:sp macro="" textlink="">
      <xdr:nvSpPr>
        <xdr:cNvPr id="555" name="Shape 345">
          <a:extLst>
            <a:ext uri="{FF2B5EF4-FFF2-40B4-BE49-F238E27FC236}">
              <a16:creationId xmlns:a16="http://schemas.microsoft.com/office/drawing/2014/main" id="{EA7BBEDA-B827-4905-8F20-5209D1118005}"/>
            </a:ext>
          </a:extLst>
        </xdr:cNvPr>
        <xdr:cNvSpPr/>
      </xdr:nvSpPr>
      <xdr:spPr>
        <a:xfrm>
          <a:off x="6504459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39</xdr:row>
      <xdr:rowOff>60068</xdr:rowOff>
    </xdr:from>
    <xdr:ext cx="586966" cy="284746"/>
    <xdr:sp macro="" textlink="">
      <xdr:nvSpPr>
        <xdr:cNvPr id="556" name="Shape 345">
          <a:extLst>
            <a:ext uri="{FF2B5EF4-FFF2-40B4-BE49-F238E27FC236}">
              <a16:creationId xmlns:a16="http://schemas.microsoft.com/office/drawing/2014/main" id="{1FA03C6F-3A77-455D-9AB7-11E30E963DD1}"/>
            </a:ext>
          </a:extLst>
        </xdr:cNvPr>
        <xdr:cNvSpPr/>
      </xdr:nvSpPr>
      <xdr:spPr>
        <a:xfrm>
          <a:off x="7688648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39</xdr:row>
      <xdr:rowOff>60068</xdr:rowOff>
    </xdr:from>
    <xdr:ext cx="586966" cy="284746"/>
    <xdr:sp macro="" textlink="">
      <xdr:nvSpPr>
        <xdr:cNvPr id="557" name="Shape 345">
          <a:extLst>
            <a:ext uri="{FF2B5EF4-FFF2-40B4-BE49-F238E27FC236}">
              <a16:creationId xmlns:a16="http://schemas.microsoft.com/office/drawing/2014/main" id="{39C98050-0468-4D64-86D0-452B1E4CD160}"/>
            </a:ext>
          </a:extLst>
        </xdr:cNvPr>
        <xdr:cNvSpPr/>
      </xdr:nvSpPr>
      <xdr:spPr>
        <a:xfrm>
          <a:off x="8872837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39</xdr:row>
      <xdr:rowOff>60068</xdr:rowOff>
    </xdr:from>
    <xdr:ext cx="586966" cy="284746"/>
    <xdr:sp macro="" textlink="">
      <xdr:nvSpPr>
        <xdr:cNvPr id="558" name="Shape 345">
          <a:extLst>
            <a:ext uri="{FF2B5EF4-FFF2-40B4-BE49-F238E27FC236}">
              <a16:creationId xmlns:a16="http://schemas.microsoft.com/office/drawing/2014/main" id="{EE93EF7B-6941-4177-8CF2-115D29756985}"/>
            </a:ext>
          </a:extLst>
        </xdr:cNvPr>
        <xdr:cNvSpPr/>
      </xdr:nvSpPr>
      <xdr:spPr>
        <a:xfrm>
          <a:off x="10057026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39</xdr:row>
      <xdr:rowOff>60068</xdr:rowOff>
    </xdr:from>
    <xdr:ext cx="586966" cy="284746"/>
    <xdr:sp macro="" textlink="">
      <xdr:nvSpPr>
        <xdr:cNvPr id="559" name="Shape 345">
          <a:extLst>
            <a:ext uri="{FF2B5EF4-FFF2-40B4-BE49-F238E27FC236}">
              <a16:creationId xmlns:a16="http://schemas.microsoft.com/office/drawing/2014/main" id="{46E92379-C6F3-4CCA-960A-35004815F95B}"/>
            </a:ext>
          </a:extLst>
        </xdr:cNvPr>
        <xdr:cNvSpPr/>
      </xdr:nvSpPr>
      <xdr:spPr>
        <a:xfrm>
          <a:off x="11241216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39</xdr:row>
      <xdr:rowOff>60068</xdr:rowOff>
    </xdr:from>
    <xdr:ext cx="586966" cy="284746"/>
    <xdr:sp macro="" textlink="">
      <xdr:nvSpPr>
        <xdr:cNvPr id="560" name="Shape 345">
          <a:extLst>
            <a:ext uri="{FF2B5EF4-FFF2-40B4-BE49-F238E27FC236}">
              <a16:creationId xmlns:a16="http://schemas.microsoft.com/office/drawing/2014/main" id="{C879532A-3083-4380-922E-EDED9060DD8B}"/>
            </a:ext>
          </a:extLst>
        </xdr:cNvPr>
        <xdr:cNvSpPr/>
      </xdr:nvSpPr>
      <xdr:spPr>
        <a:xfrm>
          <a:off x="12425405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39</xdr:row>
      <xdr:rowOff>60068</xdr:rowOff>
    </xdr:from>
    <xdr:ext cx="586966" cy="284746"/>
    <xdr:sp macro="" textlink="">
      <xdr:nvSpPr>
        <xdr:cNvPr id="561" name="Shape 345">
          <a:extLst>
            <a:ext uri="{FF2B5EF4-FFF2-40B4-BE49-F238E27FC236}">
              <a16:creationId xmlns:a16="http://schemas.microsoft.com/office/drawing/2014/main" id="{582CB747-46A1-4B88-A25D-CAE6A33B9763}"/>
            </a:ext>
          </a:extLst>
        </xdr:cNvPr>
        <xdr:cNvSpPr/>
      </xdr:nvSpPr>
      <xdr:spPr>
        <a:xfrm>
          <a:off x="13609594" y="73196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46</xdr:row>
      <xdr:rowOff>60067</xdr:rowOff>
    </xdr:from>
    <xdr:ext cx="586966" cy="284746"/>
    <xdr:sp macro="" textlink="">
      <xdr:nvSpPr>
        <xdr:cNvPr id="562" name="Shape 345">
          <a:extLst>
            <a:ext uri="{FF2B5EF4-FFF2-40B4-BE49-F238E27FC236}">
              <a16:creationId xmlns:a16="http://schemas.microsoft.com/office/drawing/2014/main" id="{D00753EF-5F96-44F8-91F7-33E17F5F7D91}"/>
            </a:ext>
          </a:extLst>
        </xdr:cNvPr>
        <xdr:cNvSpPr/>
      </xdr:nvSpPr>
      <xdr:spPr>
        <a:xfrm>
          <a:off x="574932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46</xdr:row>
      <xdr:rowOff>60067</xdr:rowOff>
    </xdr:from>
    <xdr:ext cx="586966" cy="284746"/>
    <xdr:sp macro="" textlink="">
      <xdr:nvSpPr>
        <xdr:cNvPr id="563" name="Shape 345">
          <a:extLst>
            <a:ext uri="{FF2B5EF4-FFF2-40B4-BE49-F238E27FC236}">
              <a16:creationId xmlns:a16="http://schemas.microsoft.com/office/drawing/2014/main" id="{2FF1D8A4-304D-40D2-8C2B-0C3C7C467833}"/>
            </a:ext>
          </a:extLst>
        </xdr:cNvPr>
        <xdr:cNvSpPr/>
      </xdr:nvSpPr>
      <xdr:spPr>
        <a:xfrm>
          <a:off x="1767702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46</xdr:row>
      <xdr:rowOff>60067</xdr:rowOff>
    </xdr:from>
    <xdr:ext cx="586966" cy="284746"/>
    <xdr:sp macro="" textlink="">
      <xdr:nvSpPr>
        <xdr:cNvPr id="564" name="Shape 345">
          <a:extLst>
            <a:ext uri="{FF2B5EF4-FFF2-40B4-BE49-F238E27FC236}">
              <a16:creationId xmlns:a16="http://schemas.microsoft.com/office/drawing/2014/main" id="{55072F5C-65CA-482D-961B-239CA3FCAAB5}"/>
            </a:ext>
          </a:extLst>
        </xdr:cNvPr>
        <xdr:cNvSpPr/>
      </xdr:nvSpPr>
      <xdr:spPr>
        <a:xfrm>
          <a:off x="2951891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46</xdr:row>
      <xdr:rowOff>60067</xdr:rowOff>
    </xdr:from>
    <xdr:ext cx="586966" cy="284746"/>
    <xdr:sp macro="" textlink="">
      <xdr:nvSpPr>
        <xdr:cNvPr id="565" name="Shape 345">
          <a:extLst>
            <a:ext uri="{FF2B5EF4-FFF2-40B4-BE49-F238E27FC236}">
              <a16:creationId xmlns:a16="http://schemas.microsoft.com/office/drawing/2014/main" id="{B1EBB5E1-0B06-4A67-BD69-E52DF5F692CC}"/>
            </a:ext>
          </a:extLst>
        </xdr:cNvPr>
        <xdr:cNvSpPr/>
      </xdr:nvSpPr>
      <xdr:spPr>
        <a:xfrm>
          <a:off x="4136080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46</xdr:row>
      <xdr:rowOff>60067</xdr:rowOff>
    </xdr:from>
    <xdr:ext cx="586966" cy="284746"/>
    <xdr:sp macro="" textlink="">
      <xdr:nvSpPr>
        <xdr:cNvPr id="566" name="Shape 345">
          <a:extLst>
            <a:ext uri="{FF2B5EF4-FFF2-40B4-BE49-F238E27FC236}">
              <a16:creationId xmlns:a16="http://schemas.microsoft.com/office/drawing/2014/main" id="{3C64F227-E88B-4807-958A-0FC341B84EE1}"/>
            </a:ext>
          </a:extLst>
        </xdr:cNvPr>
        <xdr:cNvSpPr/>
      </xdr:nvSpPr>
      <xdr:spPr>
        <a:xfrm>
          <a:off x="5320270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46</xdr:row>
      <xdr:rowOff>60067</xdr:rowOff>
    </xdr:from>
    <xdr:ext cx="586966" cy="284746"/>
    <xdr:sp macro="" textlink="">
      <xdr:nvSpPr>
        <xdr:cNvPr id="567" name="Shape 345">
          <a:extLst>
            <a:ext uri="{FF2B5EF4-FFF2-40B4-BE49-F238E27FC236}">
              <a16:creationId xmlns:a16="http://schemas.microsoft.com/office/drawing/2014/main" id="{94360CD1-D41C-413E-AB8D-989293702C16}"/>
            </a:ext>
          </a:extLst>
        </xdr:cNvPr>
        <xdr:cNvSpPr/>
      </xdr:nvSpPr>
      <xdr:spPr>
        <a:xfrm>
          <a:off x="6504459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46</xdr:row>
      <xdr:rowOff>60067</xdr:rowOff>
    </xdr:from>
    <xdr:ext cx="586966" cy="284746"/>
    <xdr:sp macro="" textlink="">
      <xdr:nvSpPr>
        <xdr:cNvPr id="568" name="Shape 345">
          <a:extLst>
            <a:ext uri="{FF2B5EF4-FFF2-40B4-BE49-F238E27FC236}">
              <a16:creationId xmlns:a16="http://schemas.microsoft.com/office/drawing/2014/main" id="{BA9D6467-A9CF-4F5F-AA5D-824C38C9FC61}"/>
            </a:ext>
          </a:extLst>
        </xdr:cNvPr>
        <xdr:cNvSpPr/>
      </xdr:nvSpPr>
      <xdr:spPr>
        <a:xfrm>
          <a:off x="7688648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46</xdr:row>
      <xdr:rowOff>60067</xdr:rowOff>
    </xdr:from>
    <xdr:ext cx="586966" cy="284746"/>
    <xdr:sp macro="" textlink="">
      <xdr:nvSpPr>
        <xdr:cNvPr id="569" name="Shape 345">
          <a:extLst>
            <a:ext uri="{FF2B5EF4-FFF2-40B4-BE49-F238E27FC236}">
              <a16:creationId xmlns:a16="http://schemas.microsoft.com/office/drawing/2014/main" id="{3E2FDB7E-47EC-4105-8B78-EC9CC9ACBEB9}"/>
            </a:ext>
          </a:extLst>
        </xdr:cNvPr>
        <xdr:cNvSpPr/>
      </xdr:nvSpPr>
      <xdr:spPr>
        <a:xfrm>
          <a:off x="8872837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46</xdr:row>
      <xdr:rowOff>60067</xdr:rowOff>
    </xdr:from>
    <xdr:ext cx="586966" cy="284746"/>
    <xdr:sp macro="" textlink="">
      <xdr:nvSpPr>
        <xdr:cNvPr id="570" name="Shape 345">
          <a:extLst>
            <a:ext uri="{FF2B5EF4-FFF2-40B4-BE49-F238E27FC236}">
              <a16:creationId xmlns:a16="http://schemas.microsoft.com/office/drawing/2014/main" id="{8217C909-BE10-4B51-84C8-DE8A6801CD61}"/>
            </a:ext>
          </a:extLst>
        </xdr:cNvPr>
        <xdr:cNvSpPr/>
      </xdr:nvSpPr>
      <xdr:spPr>
        <a:xfrm>
          <a:off x="10057026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46</xdr:row>
      <xdr:rowOff>60067</xdr:rowOff>
    </xdr:from>
    <xdr:ext cx="586966" cy="284746"/>
    <xdr:sp macro="" textlink="">
      <xdr:nvSpPr>
        <xdr:cNvPr id="571" name="Shape 345">
          <a:extLst>
            <a:ext uri="{FF2B5EF4-FFF2-40B4-BE49-F238E27FC236}">
              <a16:creationId xmlns:a16="http://schemas.microsoft.com/office/drawing/2014/main" id="{FD457DE9-38BA-4B1D-9F58-B0E946128B61}"/>
            </a:ext>
          </a:extLst>
        </xdr:cNvPr>
        <xdr:cNvSpPr/>
      </xdr:nvSpPr>
      <xdr:spPr>
        <a:xfrm>
          <a:off x="11241216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46</xdr:row>
      <xdr:rowOff>60067</xdr:rowOff>
    </xdr:from>
    <xdr:ext cx="586966" cy="284746"/>
    <xdr:sp macro="" textlink="">
      <xdr:nvSpPr>
        <xdr:cNvPr id="572" name="Shape 345">
          <a:extLst>
            <a:ext uri="{FF2B5EF4-FFF2-40B4-BE49-F238E27FC236}">
              <a16:creationId xmlns:a16="http://schemas.microsoft.com/office/drawing/2014/main" id="{9F04CDF6-4AA9-4B2E-9A3F-9E411B3B917A}"/>
            </a:ext>
          </a:extLst>
        </xdr:cNvPr>
        <xdr:cNvSpPr/>
      </xdr:nvSpPr>
      <xdr:spPr>
        <a:xfrm>
          <a:off x="12425405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46</xdr:row>
      <xdr:rowOff>60067</xdr:rowOff>
    </xdr:from>
    <xdr:ext cx="586966" cy="284746"/>
    <xdr:sp macro="" textlink="">
      <xdr:nvSpPr>
        <xdr:cNvPr id="573" name="Shape 345">
          <a:extLst>
            <a:ext uri="{FF2B5EF4-FFF2-40B4-BE49-F238E27FC236}">
              <a16:creationId xmlns:a16="http://schemas.microsoft.com/office/drawing/2014/main" id="{965D5D73-3D52-4FB9-951B-3755211CCEE0}"/>
            </a:ext>
          </a:extLst>
        </xdr:cNvPr>
        <xdr:cNvSpPr/>
      </xdr:nvSpPr>
      <xdr:spPr>
        <a:xfrm>
          <a:off x="13609594" y="861540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53</xdr:row>
      <xdr:rowOff>60069</xdr:rowOff>
    </xdr:from>
    <xdr:ext cx="586966" cy="284746"/>
    <xdr:sp macro="" textlink="">
      <xdr:nvSpPr>
        <xdr:cNvPr id="574" name="Shape 345">
          <a:extLst>
            <a:ext uri="{FF2B5EF4-FFF2-40B4-BE49-F238E27FC236}">
              <a16:creationId xmlns:a16="http://schemas.microsoft.com/office/drawing/2014/main" id="{417C7DC2-D3EB-4F01-954E-C01ABBEA4B64}"/>
            </a:ext>
          </a:extLst>
        </xdr:cNvPr>
        <xdr:cNvSpPr/>
      </xdr:nvSpPr>
      <xdr:spPr>
        <a:xfrm>
          <a:off x="574932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53</xdr:row>
      <xdr:rowOff>60069</xdr:rowOff>
    </xdr:from>
    <xdr:ext cx="586966" cy="284746"/>
    <xdr:sp macro="" textlink="">
      <xdr:nvSpPr>
        <xdr:cNvPr id="575" name="Shape 345">
          <a:extLst>
            <a:ext uri="{FF2B5EF4-FFF2-40B4-BE49-F238E27FC236}">
              <a16:creationId xmlns:a16="http://schemas.microsoft.com/office/drawing/2014/main" id="{67519BF7-99D9-4530-ADED-6D2DFEF55522}"/>
            </a:ext>
          </a:extLst>
        </xdr:cNvPr>
        <xdr:cNvSpPr/>
      </xdr:nvSpPr>
      <xdr:spPr>
        <a:xfrm>
          <a:off x="1767702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53</xdr:row>
      <xdr:rowOff>60069</xdr:rowOff>
    </xdr:from>
    <xdr:ext cx="586966" cy="284746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081F165-A219-4416-A8F7-132E65C9760C}"/>
            </a:ext>
          </a:extLst>
        </xdr:cNvPr>
        <xdr:cNvSpPr/>
      </xdr:nvSpPr>
      <xdr:spPr>
        <a:xfrm>
          <a:off x="2951891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53</xdr:row>
      <xdr:rowOff>60069</xdr:rowOff>
    </xdr:from>
    <xdr:ext cx="586966" cy="284746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8FA370F6-465D-4596-898A-EA94A62C42B8}"/>
            </a:ext>
          </a:extLst>
        </xdr:cNvPr>
        <xdr:cNvSpPr/>
      </xdr:nvSpPr>
      <xdr:spPr>
        <a:xfrm>
          <a:off x="4136080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53</xdr:row>
      <xdr:rowOff>60069</xdr:rowOff>
    </xdr:from>
    <xdr:ext cx="586966" cy="284746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17BBC34C-228E-4DF7-AFFA-A1F708AA4013}"/>
            </a:ext>
          </a:extLst>
        </xdr:cNvPr>
        <xdr:cNvSpPr/>
      </xdr:nvSpPr>
      <xdr:spPr>
        <a:xfrm>
          <a:off x="5320270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53</xdr:row>
      <xdr:rowOff>60069</xdr:rowOff>
    </xdr:from>
    <xdr:ext cx="586966" cy="284746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17375F7-918E-4022-84AE-05D6443FA5F3}"/>
            </a:ext>
          </a:extLst>
        </xdr:cNvPr>
        <xdr:cNvSpPr/>
      </xdr:nvSpPr>
      <xdr:spPr>
        <a:xfrm>
          <a:off x="6504459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53</xdr:row>
      <xdr:rowOff>60069</xdr:rowOff>
    </xdr:from>
    <xdr:ext cx="586966" cy="284746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4C605CD4-BFAA-40E7-B314-93F2D1B0B37B}"/>
            </a:ext>
          </a:extLst>
        </xdr:cNvPr>
        <xdr:cNvSpPr/>
      </xdr:nvSpPr>
      <xdr:spPr>
        <a:xfrm>
          <a:off x="7688648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53</xdr:row>
      <xdr:rowOff>60069</xdr:rowOff>
    </xdr:from>
    <xdr:ext cx="586966" cy="284746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9B0F9657-B2D4-4F65-B3DF-236651C99396}"/>
            </a:ext>
          </a:extLst>
        </xdr:cNvPr>
        <xdr:cNvSpPr/>
      </xdr:nvSpPr>
      <xdr:spPr>
        <a:xfrm>
          <a:off x="8872837" y="9893988"/>
          <a:ext cx="586966" cy="284746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53</xdr:row>
      <xdr:rowOff>60069</xdr:rowOff>
    </xdr:from>
    <xdr:ext cx="586966" cy="284746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8B4F13D8-D168-415B-8F71-76AE2F7C519D}"/>
            </a:ext>
          </a:extLst>
        </xdr:cNvPr>
        <xdr:cNvSpPr/>
      </xdr:nvSpPr>
      <xdr:spPr>
        <a:xfrm>
          <a:off x="10057026" y="9893988"/>
          <a:ext cx="586966" cy="284746"/>
        </a:xfrm>
        <a:prstGeom prst="flowChartExtract">
          <a:avLst/>
        </a:prstGeom>
        <a:solidFill>
          <a:srgbClr val="FF0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53</xdr:row>
      <xdr:rowOff>60069</xdr:rowOff>
    </xdr:from>
    <xdr:ext cx="586966" cy="284746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852938B3-A679-495A-8F29-2842A706C3C8}"/>
            </a:ext>
          </a:extLst>
        </xdr:cNvPr>
        <xdr:cNvSpPr/>
      </xdr:nvSpPr>
      <xdr:spPr>
        <a:xfrm>
          <a:off x="11241216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53</xdr:row>
      <xdr:rowOff>60069</xdr:rowOff>
    </xdr:from>
    <xdr:ext cx="586966" cy="284746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27E32BB6-CB03-4ECA-941E-1D11880811DB}"/>
            </a:ext>
          </a:extLst>
        </xdr:cNvPr>
        <xdr:cNvSpPr/>
      </xdr:nvSpPr>
      <xdr:spPr>
        <a:xfrm>
          <a:off x="12425405" y="98939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53</xdr:row>
      <xdr:rowOff>60069</xdr:rowOff>
    </xdr:from>
    <xdr:ext cx="586966" cy="284746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D75E3B44-8E2C-4C1A-A862-D1AA8D34016E}"/>
            </a:ext>
          </a:extLst>
        </xdr:cNvPr>
        <xdr:cNvSpPr/>
      </xdr:nvSpPr>
      <xdr:spPr>
        <a:xfrm>
          <a:off x="13609594" y="9893988"/>
          <a:ext cx="586966" cy="284746"/>
        </a:xfrm>
        <a:prstGeom prst="flowChartExtract">
          <a:avLst/>
        </a:prstGeom>
        <a:solidFill>
          <a:srgbClr val="FF0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>
              <a:solidFill>
                <a:srgbClr val="FF0000"/>
              </a:solidFill>
            </a:rPr>
            <a:t>B</a:t>
          </a:r>
          <a:endParaRPr sz="1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60</xdr:row>
      <xdr:rowOff>60069</xdr:rowOff>
    </xdr:from>
    <xdr:ext cx="586966" cy="284746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04F1D586-AF08-4CA0-A5C9-825880566A66}"/>
            </a:ext>
          </a:extLst>
        </xdr:cNvPr>
        <xdr:cNvSpPr/>
      </xdr:nvSpPr>
      <xdr:spPr>
        <a:xfrm>
          <a:off x="574932" y="11189731"/>
          <a:ext cx="586966" cy="284746"/>
        </a:xfrm>
        <a:prstGeom prst="flowChartExtract">
          <a:avLst/>
        </a:prstGeom>
        <a:solidFill>
          <a:srgbClr val="FF0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8580</xdr:colOff>
      <xdr:row>60</xdr:row>
      <xdr:rowOff>60069</xdr:rowOff>
    </xdr:from>
    <xdr:ext cx="586966" cy="284746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38AF8F54-9E78-4DF6-B430-178236B0DC76}"/>
            </a:ext>
          </a:extLst>
        </xdr:cNvPr>
        <xdr:cNvSpPr/>
      </xdr:nvSpPr>
      <xdr:spPr>
        <a:xfrm>
          <a:off x="1767702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60</xdr:row>
      <xdr:rowOff>60069</xdr:rowOff>
    </xdr:from>
    <xdr:ext cx="586966" cy="284746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2CA8232A-BCB1-4FE8-8E10-0E6BC34E6BCD}"/>
            </a:ext>
          </a:extLst>
        </xdr:cNvPr>
        <xdr:cNvSpPr/>
      </xdr:nvSpPr>
      <xdr:spPr>
        <a:xfrm>
          <a:off x="2951891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60</xdr:row>
      <xdr:rowOff>60069</xdr:rowOff>
    </xdr:from>
    <xdr:ext cx="586966" cy="284746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728EECAE-9250-49C9-BB66-EC4B364308E9}"/>
            </a:ext>
          </a:extLst>
        </xdr:cNvPr>
        <xdr:cNvSpPr/>
      </xdr:nvSpPr>
      <xdr:spPr>
        <a:xfrm>
          <a:off x="4136080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60</xdr:row>
      <xdr:rowOff>60069</xdr:rowOff>
    </xdr:from>
    <xdr:ext cx="586966" cy="284746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9E06EAF4-BED5-4278-9526-C70FFC0BD3AB}"/>
            </a:ext>
          </a:extLst>
        </xdr:cNvPr>
        <xdr:cNvSpPr/>
      </xdr:nvSpPr>
      <xdr:spPr>
        <a:xfrm>
          <a:off x="5320270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60</xdr:row>
      <xdr:rowOff>60069</xdr:rowOff>
    </xdr:from>
    <xdr:ext cx="586966" cy="284746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BA35EE28-447D-485D-8093-BF6CC3C69D6C}"/>
            </a:ext>
          </a:extLst>
        </xdr:cNvPr>
        <xdr:cNvSpPr/>
      </xdr:nvSpPr>
      <xdr:spPr>
        <a:xfrm>
          <a:off x="6504459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60</xdr:row>
      <xdr:rowOff>60069</xdr:rowOff>
    </xdr:from>
    <xdr:ext cx="586966" cy="284746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F78F6917-F258-44B9-B4EC-5E108CBB27D2}"/>
            </a:ext>
          </a:extLst>
        </xdr:cNvPr>
        <xdr:cNvSpPr/>
      </xdr:nvSpPr>
      <xdr:spPr>
        <a:xfrm>
          <a:off x="7688648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60</xdr:row>
      <xdr:rowOff>60069</xdr:rowOff>
    </xdr:from>
    <xdr:ext cx="586966" cy="284746"/>
    <xdr:sp macro="" textlink="">
      <xdr:nvSpPr>
        <xdr:cNvPr id="576" name="Shape 345">
          <a:extLst>
            <a:ext uri="{FF2B5EF4-FFF2-40B4-BE49-F238E27FC236}">
              <a16:creationId xmlns:a16="http://schemas.microsoft.com/office/drawing/2014/main" id="{39B1DA3B-BCB0-401A-BA23-47B824CA8D92}"/>
            </a:ext>
          </a:extLst>
        </xdr:cNvPr>
        <xdr:cNvSpPr/>
      </xdr:nvSpPr>
      <xdr:spPr>
        <a:xfrm>
          <a:off x="8872837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60</xdr:row>
      <xdr:rowOff>60069</xdr:rowOff>
    </xdr:from>
    <xdr:ext cx="586966" cy="284746"/>
    <xdr:sp macro="" textlink="">
      <xdr:nvSpPr>
        <xdr:cNvPr id="577" name="Shape 345">
          <a:extLst>
            <a:ext uri="{FF2B5EF4-FFF2-40B4-BE49-F238E27FC236}">
              <a16:creationId xmlns:a16="http://schemas.microsoft.com/office/drawing/2014/main" id="{89699914-8024-4C25-8D52-833B923E295F}"/>
            </a:ext>
          </a:extLst>
        </xdr:cNvPr>
        <xdr:cNvSpPr/>
      </xdr:nvSpPr>
      <xdr:spPr>
        <a:xfrm>
          <a:off x="10057026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60</xdr:row>
      <xdr:rowOff>60069</xdr:rowOff>
    </xdr:from>
    <xdr:ext cx="586966" cy="284746"/>
    <xdr:sp macro="" textlink="">
      <xdr:nvSpPr>
        <xdr:cNvPr id="578" name="Shape 345">
          <a:extLst>
            <a:ext uri="{FF2B5EF4-FFF2-40B4-BE49-F238E27FC236}">
              <a16:creationId xmlns:a16="http://schemas.microsoft.com/office/drawing/2014/main" id="{62A681F1-68D5-4B8C-B84A-CE7A0F686C7D}"/>
            </a:ext>
          </a:extLst>
        </xdr:cNvPr>
        <xdr:cNvSpPr/>
      </xdr:nvSpPr>
      <xdr:spPr>
        <a:xfrm>
          <a:off x="11241216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60</xdr:row>
      <xdr:rowOff>60069</xdr:rowOff>
    </xdr:from>
    <xdr:ext cx="586966" cy="284746"/>
    <xdr:sp macro="" textlink="">
      <xdr:nvSpPr>
        <xdr:cNvPr id="579" name="Shape 345">
          <a:extLst>
            <a:ext uri="{FF2B5EF4-FFF2-40B4-BE49-F238E27FC236}">
              <a16:creationId xmlns:a16="http://schemas.microsoft.com/office/drawing/2014/main" id="{8160A746-CA35-45A9-835D-FA99AC64BE6A}"/>
            </a:ext>
          </a:extLst>
        </xdr:cNvPr>
        <xdr:cNvSpPr/>
      </xdr:nvSpPr>
      <xdr:spPr>
        <a:xfrm>
          <a:off x="12425405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60</xdr:row>
      <xdr:rowOff>60069</xdr:rowOff>
    </xdr:from>
    <xdr:ext cx="586966" cy="284746"/>
    <xdr:sp macro="" textlink="">
      <xdr:nvSpPr>
        <xdr:cNvPr id="580" name="Shape 345">
          <a:extLst>
            <a:ext uri="{FF2B5EF4-FFF2-40B4-BE49-F238E27FC236}">
              <a16:creationId xmlns:a16="http://schemas.microsoft.com/office/drawing/2014/main" id="{A6E486D2-4F26-4E20-87B6-EE2C7C59CDB0}"/>
            </a:ext>
          </a:extLst>
        </xdr:cNvPr>
        <xdr:cNvSpPr/>
      </xdr:nvSpPr>
      <xdr:spPr>
        <a:xfrm>
          <a:off x="13609594" y="1118973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67</xdr:row>
      <xdr:rowOff>60067</xdr:rowOff>
    </xdr:from>
    <xdr:ext cx="586966" cy="284746"/>
    <xdr:sp macro="" textlink="">
      <xdr:nvSpPr>
        <xdr:cNvPr id="581" name="Shape 345">
          <a:extLst>
            <a:ext uri="{FF2B5EF4-FFF2-40B4-BE49-F238E27FC236}">
              <a16:creationId xmlns:a16="http://schemas.microsoft.com/office/drawing/2014/main" id="{E549F591-F29C-4471-87FA-5D5C9CD9E174}"/>
            </a:ext>
          </a:extLst>
        </xdr:cNvPr>
        <xdr:cNvSpPr/>
      </xdr:nvSpPr>
      <xdr:spPr>
        <a:xfrm>
          <a:off x="574932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67</xdr:row>
      <xdr:rowOff>60067</xdr:rowOff>
    </xdr:from>
    <xdr:ext cx="586966" cy="284746"/>
    <xdr:sp macro="" textlink="">
      <xdr:nvSpPr>
        <xdr:cNvPr id="582" name="Shape 345">
          <a:extLst>
            <a:ext uri="{FF2B5EF4-FFF2-40B4-BE49-F238E27FC236}">
              <a16:creationId xmlns:a16="http://schemas.microsoft.com/office/drawing/2014/main" id="{2FD8235D-1947-414D-AC84-24A0CF098088}"/>
            </a:ext>
          </a:extLst>
        </xdr:cNvPr>
        <xdr:cNvSpPr/>
      </xdr:nvSpPr>
      <xdr:spPr>
        <a:xfrm>
          <a:off x="1767702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67</xdr:row>
      <xdr:rowOff>60067</xdr:rowOff>
    </xdr:from>
    <xdr:ext cx="586966" cy="284746"/>
    <xdr:sp macro="" textlink="">
      <xdr:nvSpPr>
        <xdr:cNvPr id="583" name="Shape 345">
          <a:extLst>
            <a:ext uri="{FF2B5EF4-FFF2-40B4-BE49-F238E27FC236}">
              <a16:creationId xmlns:a16="http://schemas.microsoft.com/office/drawing/2014/main" id="{349D666A-A3CD-4114-A284-8CA1B0B6AF49}"/>
            </a:ext>
          </a:extLst>
        </xdr:cNvPr>
        <xdr:cNvSpPr/>
      </xdr:nvSpPr>
      <xdr:spPr>
        <a:xfrm>
          <a:off x="2951891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67</xdr:row>
      <xdr:rowOff>60067</xdr:rowOff>
    </xdr:from>
    <xdr:ext cx="586966" cy="284746"/>
    <xdr:sp macro="" textlink="">
      <xdr:nvSpPr>
        <xdr:cNvPr id="584" name="Shape 345">
          <a:extLst>
            <a:ext uri="{FF2B5EF4-FFF2-40B4-BE49-F238E27FC236}">
              <a16:creationId xmlns:a16="http://schemas.microsoft.com/office/drawing/2014/main" id="{93F697F9-000B-4D73-B1CA-C4D7CD86A0BE}"/>
            </a:ext>
          </a:extLst>
        </xdr:cNvPr>
        <xdr:cNvSpPr/>
      </xdr:nvSpPr>
      <xdr:spPr>
        <a:xfrm>
          <a:off x="4136080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67</xdr:row>
      <xdr:rowOff>60067</xdr:rowOff>
    </xdr:from>
    <xdr:ext cx="586966" cy="284746"/>
    <xdr:sp macro="" textlink="">
      <xdr:nvSpPr>
        <xdr:cNvPr id="585" name="Shape 345">
          <a:extLst>
            <a:ext uri="{FF2B5EF4-FFF2-40B4-BE49-F238E27FC236}">
              <a16:creationId xmlns:a16="http://schemas.microsoft.com/office/drawing/2014/main" id="{DDEBAA56-3255-4D03-B851-55072D32FD31}"/>
            </a:ext>
          </a:extLst>
        </xdr:cNvPr>
        <xdr:cNvSpPr/>
      </xdr:nvSpPr>
      <xdr:spPr>
        <a:xfrm>
          <a:off x="5320270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67</xdr:row>
      <xdr:rowOff>60067</xdr:rowOff>
    </xdr:from>
    <xdr:ext cx="586966" cy="284746"/>
    <xdr:sp macro="" textlink="">
      <xdr:nvSpPr>
        <xdr:cNvPr id="586" name="Shape 345">
          <a:extLst>
            <a:ext uri="{FF2B5EF4-FFF2-40B4-BE49-F238E27FC236}">
              <a16:creationId xmlns:a16="http://schemas.microsoft.com/office/drawing/2014/main" id="{367C793A-5AE9-46BF-A41D-71DF0EE2284C}"/>
            </a:ext>
          </a:extLst>
        </xdr:cNvPr>
        <xdr:cNvSpPr/>
      </xdr:nvSpPr>
      <xdr:spPr>
        <a:xfrm>
          <a:off x="6504459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67</xdr:row>
      <xdr:rowOff>60067</xdr:rowOff>
    </xdr:from>
    <xdr:ext cx="586966" cy="284746"/>
    <xdr:sp macro="" textlink="">
      <xdr:nvSpPr>
        <xdr:cNvPr id="587" name="Shape 345">
          <a:extLst>
            <a:ext uri="{FF2B5EF4-FFF2-40B4-BE49-F238E27FC236}">
              <a16:creationId xmlns:a16="http://schemas.microsoft.com/office/drawing/2014/main" id="{4420E066-8FFD-4D66-BEE2-1CEE987E6E8B}"/>
            </a:ext>
          </a:extLst>
        </xdr:cNvPr>
        <xdr:cNvSpPr/>
      </xdr:nvSpPr>
      <xdr:spPr>
        <a:xfrm>
          <a:off x="7688648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67</xdr:row>
      <xdr:rowOff>60067</xdr:rowOff>
    </xdr:from>
    <xdr:ext cx="586966" cy="284746"/>
    <xdr:sp macro="" textlink="">
      <xdr:nvSpPr>
        <xdr:cNvPr id="588" name="Shape 345">
          <a:extLst>
            <a:ext uri="{FF2B5EF4-FFF2-40B4-BE49-F238E27FC236}">
              <a16:creationId xmlns:a16="http://schemas.microsoft.com/office/drawing/2014/main" id="{BCBE5D8B-49CF-4D47-8FBC-D36B1163C7A9}"/>
            </a:ext>
          </a:extLst>
        </xdr:cNvPr>
        <xdr:cNvSpPr/>
      </xdr:nvSpPr>
      <xdr:spPr>
        <a:xfrm>
          <a:off x="8872837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67</xdr:row>
      <xdr:rowOff>60067</xdr:rowOff>
    </xdr:from>
    <xdr:ext cx="586966" cy="284746"/>
    <xdr:sp macro="" textlink="">
      <xdr:nvSpPr>
        <xdr:cNvPr id="589" name="Shape 345">
          <a:extLst>
            <a:ext uri="{FF2B5EF4-FFF2-40B4-BE49-F238E27FC236}">
              <a16:creationId xmlns:a16="http://schemas.microsoft.com/office/drawing/2014/main" id="{23604528-0B18-4976-942C-FE2ED80DD4DE}"/>
            </a:ext>
          </a:extLst>
        </xdr:cNvPr>
        <xdr:cNvSpPr/>
      </xdr:nvSpPr>
      <xdr:spPr>
        <a:xfrm>
          <a:off x="10057026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67</xdr:row>
      <xdr:rowOff>60067</xdr:rowOff>
    </xdr:from>
    <xdr:ext cx="586966" cy="284746"/>
    <xdr:sp macro="" textlink="">
      <xdr:nvSpPr>
        <xdr:cNvPr id="590" name="Shape 345">
          <a:extLst>
            <a:ext uri="{FF2B5EF4-FFF2-40B4-BE49-F238E27FC236}">
              <a16:creationId xmlns:a16="http://schemas.microsoft.com/office/drawing/2014/main" id="{1DB1F331-01C5-488C-9D58-1F4BF942788E}"/>
            </a:ext>
          </a:extLst>
        </xdr:cNvPr>
        <xdr:cNvSpPr/>
      </xdr:nvSpPr>
      <xdr:spPr>
        <a:xfrm>
          <a:off x="11241216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67</xdr:row>
      <xdr:rowOff>60067</xdr:rowOff>
    </xdr:from>
    <xdr:ext cx="586966" cy="284746"/>
    <xdr:sp macro="" textlink="">
      <xdr:nvSpPr>
        <xdr:cNvPr id="591" name="Shape 345">
          <a:extLst>
            <a:ext uri="{FF2B5EF4-FFF2-40B4-BE49-F238E27FC236}">
              <a16:creationId xmlns:a16="http://schemas.microsoft.com/office/drawing/2014/main" id="{D8BD1893-4D89-4C8E-9BA5-62BA064E3E2C}"/>
            </a:ext>
          </a:extLst>
        </xdr:cNvPr>
        <xdr:cNvSpPr/>
      </xdr:nvSpPr>
      <xdr:spPr>
        <a:xfrm>
          <a:off x="12425405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67</xdr:row>
      <xdr:rowOff>60067</xdr:rowOff>
    </xdr:from>
    <xdr:ext cx="586966" cy="284746"/>
    <xdr:sp macro="" textlink="">
      <xdr:nvSpPr>
        <xdr:cNvPr id="592" name="Shape 345">
          <a:extLst>
            <a:ext uri="{FF2B5EF4-FFF2-40B4-BE49-F238E27FC236}">
              <a16:creationId xmlns:a16="http://schemas.microsoft.com/office/drawing/2014/main" id="{E8E18C21-DBC2-47E9-8ABD-CC0EF89AEB64}"/>
            </a:ext>
          </a:extLst>
        </xdr:cNvPr>
        <xdr:cNvSpPr/>
      </xdr:nvSpPr>
      <xdr:spPr>
        <a:xfrm>
          <a:off x="13609594" y="12468310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74</xdr:row>
      <xdr:rowOff>60069</xdr:rowOff>
    </xdr:from>
    <xdr:ext cx="586966" cy="284746"/>
    <xdr:sp macro="" textlink="">
      <xdr:nvSpPr>
        <xdr:cNvPr id="593" name="Shape 345">
          <a:extLst>
            <a:ext uri="{FF2B5EF4-FFF2-40B4-BE49-F238E27FC236}">
              <a16:creationId xmlns:a16="http://schemas.microsoft.com/office/drawing/2014/main" id="{868C4640-04AB-40E3-B488-32CDA81C1E3E}"/>
            </a:ext>
          </a:extLst>
        </xdr:cNvPr>
        <xdr:cNvSpPr/>
      </xdr:nvSpPr>
      <xdr:spPr>
        <a:xfrm>
          <a:off x="574932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74</xdr:row>
      <xdr:rowOff>60069</xdr:rowOff>
    </xdr:from>
    <xdr:ext cx="586966" cy="284746"/>
    <xdr:sp macro="" textlink="">
      <xdr:nvSpPr>
        <xdr:cNvPr id="594" name="Shape 345">
          <a:extLst>
            <a:ext uri="{FF2B5EF4-FFF2-40B4-BE49-F238E27FC236}">
              <a16:creationId xmlns:a16="http://schemas.microsoft.com/office/drawing/2014/main" id="{890AA47C-7F35-4F82-BE08-427C971E507D}"/>
            </a:ext>
          </a:extLst>
        </xdr:cNvPr>
        <xdr:cNvSpPr/>
      </xdr:nvSpPr>
      <xdr:spPr>
        <a:xfrm>
          <a:off x="1767702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74</xdr:row>
      <xdr:rowOff>60069</xdr:rowOff>
    </xdr:from>
    <xdr:ext cx="586966" cy="284746"/>
    <xdr:sp macro="" textlink="">
      <xdr:nvSpPr>
        <xdr:cNvPr id="595" name="Shape 345">
          <a:extLst>
            <a:ext uri="{FF2B5EF4-FFF2-40B4-BE49-F238E27FC236}">
              <a16:creationId xmlns:a16="http://schemas.microsoft.com/office/drawing/2014/main" id="{42FD8F47-CF46-44A9-8144-66291C23F173}"/>
            </a:ext>
          </a:extLst>
        </xdr:cNvPr>
        <xdr:cNvSpPr/>
      </xdr:nvSpPr>
      <xdr:spPr>
        <a:xfrm>
          <a:off x="2951891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74</xdr:row>
      <xdr:rowOff>60069</xdr:rowOff>
    </xdr:from>
    <xdr:ext cx="586966" cy="284746"/>
    <xdr:sp macro="" textlink="">
      <xdr:nvSpPr>
        <xdr:cNvPr id="596" name="Shape 345">
          <a:extLst>
            <a:ext uri="{FF2B5EF4-FFF2-40B4-BE49-F238E27FC236}">
              <a16:creationId xmlns:a16="http://schemas.microsoft.com/office/drawing/2014/main" id="{5D570A5D-7368-4438-8550-43F992803F46}"/>
            </a:ext>
          </a:extLst>
        </xdr:cNvPr>
        <xdr:cNvSpPr/>
      </xdr:nvSpPr>
      <xdr:spPr>
        <a:xfrm>
          <a:off x="4136080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74</xdr:row>
      <xdr:rowOff>60069</xdr:rowOff>
    </xdr:from>
    <xdr:ext cx="586966" cy="284746"/>
    <xdr:sp macro="" textlink="">
      <xdr:nvSpPr>
        <xdr:cNvPr id="597" name="Shape 345">
          <a:extLst>
            <a:ext uri="{FF2B5EF4-FFF2-40B4-BE49-F238E27FC236}">
              <a16:creationId xmlns:a16="http://schemas.microsoft.com/office/drawing/2014/main" id="{B951B000-27A3-4531-B829-2B00F71013BC}"/>
            </a:ext>
          </a:extLst>
        </xdr:cNvPr>
        <xdr:cNvSpPr/>
      </xdr:nvSpPr>
      <xdr:spPr>
        <a:xfrm>
          <a:off x="5320270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74</xdr:row>
      <xdr:rowOff>60069</xdr:rowOff>
    </xdr:from>
    <xdr:ext cx="586966" cy="284746"/>
    <xdr:sp macro="" textlink="">
      <xdr:nvSpPr>
        <xdr:cNvPr id="598" name="Shape 345">
          <a:extLst>
            <a:ext uri="{FF2B5EF4-FFF2-40B4-BE49-F238E27FC236}">
              <a16:creationId xmlns:a16="http://schemas.microsoft.com/office/drawing/2014/main" id="{710ADE4E-04C9-40A3-88A4-A31B8CFCDFB8}"/>
            </a:ext>
          </a:extLst>
        </xdr:cNvPr>
        <xdr:cNvSpPr/>
      </xdr:nvSpPr>
      <xdr:spPr>
        <a:xfrm>
          <a:off x="6504459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74</xdr:row>
      <xdr:rowOff>60069</xdr:rowOff>
    </xdr:from>
    <xdr:ext cx="586966" cy="284746"/>
    <xdr:sp macro="" textlink="">
      <xdr:nvSpPr>
        <xdr:cNvPr id="599" name="Shape 345">
          <a:extLst>
            <a:ext uri="{FF2B5EF4-FFF2-40B4-BE49-F238E27FC236}">
              <a16:creationId xmlns:a16="http://schemas.microsoft.com/office/drawing/2014/main" id="{8AA625B9-D1B5-497E-9E66-7D1B85F014EC}"/>
            </a:ext>
          </a:extLst>
        </xdr:cNvPr>
        <xdr:cNvSpPr/>
      </xdr:nvSpPr>
      <xdr:spPr>
        <a:xfrm>
          <a:off x="7688648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74</xdr:row>
      <xdr:rowOff>60069</xdr:rowOff>
    </xdr:from>
    <xdr:ext cx="586966" cy="284746"/>
    <xdr:sp macro="" textlink="">
      <xdr:nvSpPr>
        <xdr:cNvPr id="600" name="Shape 345">
          <a:extLst>
            <a:ext uri="{FF2B5EF4-FFF2-40B4-BE49-F238E27FC236}">
              <a16:creationId xmlns:a16="http://schemas.microsoft.com/office/drawing/2014/main" id="{1A9666CC-9D65-4AA6-94BF-687D7324DDE4}"/>
            </a:ext>
          </a:extLst>
        </xdr:cNvPr>
        <xdr:cNvSpPr/>
      </xdr:nvSpPr>
      <xdr:spPr>
        <a:xfrm>
          <a:off x="8872837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74</xdr:row>
      <xdr:rowOff>60069</xdr:rowOff>
    </xdr:from>
    <xdr:ext cx="586966" cy="284746"/>
    <xdr:sp macro="" textlink="">
      <xdr:nvSpPr>
        <xdr:cNvPr id="601" name="Shape 345">
          <a:extLst>
            <a:ext uri="{FF2B5EF4-FFF2-40B4-BE49-F238E27FC236}">
              <a16:creationId xmlns:a16="http://schemas.microsoft.com/office/drawing/2014/main" id="{9D97B124-62A9-4EAC-9618-A2A375AA9638}"/>
            </a:ext>
          </a:extLst>
        </xdr:cNvPr>
        <xdr:cNvSpPr/>
      </xdr:nvSpPr>
      <xdr:spPr>
        <a:xfrm>
          <a:off x="10057026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74</xdr:row>
      <xdr:rowOff>60069</xdr:rowOff>
    </xdr:from>
    <xdr:ext cx="586966" cy="284746"/>
    <xdr:sp macro="" textlink="">
      <xdr:nvSpPr>
        <xdr:cNvPr id="602" name="Shape 345">
          <a:extLst>
            <a:ext uri="{FF2B5EF4-FFF2-40B4-BE49-F238E27FC236}">
              <a16:creationId xmlns:a16="http://schemas.microsoft.com/office/drawing/2014/main" id="{310E9741-495F-4F89-937E-D9F8DD955BB3}"/>
            </a:ext>
          </a:extLst>
        </xdr:cNvPr>
        <xdr:cNvSpPr/>
      </xdr:nvSpPr>
      <xdr:spPr>
        <a:xfrm>
          <a:off x="11241216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74</xdr:row>
      <xdr:rowOff>60069</xdr:rowOff>
    </xdr:from>
    <xdr:ext cx="586966" cy="284746"/>
    <xdr:sp macro="" textlink="">
      <xdr:nvSpPr>
        <xdr:cNvPr id="603" name="Shape 345">
          <a:extLst>
            <a:ext uri="{FF2B5EF4-FFF2-40B4-BE49-F238E27FC236}">
              <a16:creationId xmlns:a16="http://schemas.microsoft.com/office/drawing/2014/main" id="{34EBE50B-FBB3-4DCA-B03D-7A3769C6FEDA}"/>
            </a:ext>
          </a:extLst>
        </xdr:cNvPr>
        <xdr:cNvSpPr/>
      </xdr:nvSpPr>
      <xdr:spPr>
        <a:xfrm>
          <a:off x="12425405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74</xdr:row>
      <xdr:rowOff>60069</xdr:rowOff>
    </xdr:from>
    <xdr:ext cx="586966" cy="284746"/>
    <xdr:sp macro="" textlink="">
      <xdr:nvSpPr>
        <xdr:cNvPr id="604" name="Shape 345">
          <a:extLst>
            <a:ext uri="{FF2B5EF4-FFF2-40B4-BE49-F238E27FC236}">
              <a16:creationId xmlns:a16="http://schemas.microsoft.com/office/drawing/2014/main" id="{332C6C7A-BDFB-4290-A4F7-31D5A92A3BD2}"/>
            </a:ext>
          </a:extLst>
        </xdr:cNvPr>
        <xdr:cNvSpPr/>
      </xdr:nvSpPr>
      <xdr:spPr>
        <a:xfrm>
          <a:off x="13609594" y="13764055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60068</xdr:rowOff>
    </xdr:from>
    <xdr:ext cx="586966" cy="284746"/>
    <xdr:sp macro="" textlink="">
      <xdr:nvSpPr>
        <xdr:cNvPr id="605" name="Shape 345">
          <a:extLst>
            <a:ext uri="{FF2B5EF4-FFF2-40B4-BE49-F238E27FC236}">
              <a16:creationId xmlns:a16="http://schemas.microsoft.com/office/drawing/2014/main" id="{2572F0B8-672E-4E6E-94CD-4DD28E066FA9}"/>
            </a:ext>
          </a:extLst>
        </xdr:cNvPr>
        <xdr:cNvSpPr/>
      </xdr:nvSpPr>
      <xdr:spPr>
        <a:xfrm>
          <a:off x="574932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81</xdr:row>
      <xdr:rowOff>60068</xdr:rowOff>
    </xdr:from>
    <xdr:ext cx="586966" cy="284746"/>
    <xdr:sp macro="" textlink="">
      <xdr:nvSpPr>
        <xdr:cNvPr id="606" name="Shape 345">
          <a:extLst>
            <a:ext uri="{FF2B5EF4-FFF2-40B4-BE49-F238E27FC236}">
              <a16:creationId xmlns:a16="http://schemas.microsoft.com/office/drawing/2014/main" id="{0BFD7EBB-1DF8-440C-A397-3422C342EB88}"/>
            </a:ext>
          </a:extLst>
        </xdr:cNvPr>
        <xdr:cNvSpPr/>
      </xdr:nvSpPr>
      <xdr:spPr>
        <a:xfrm>
          <a:off x="1767702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81</xdr:row>
      <xdr:rowOff>60068</xdr:rowOff>
    </xdr:from>
    <xdr:ext cx="586966" cy="284746"/>
    <xdr:sp macro="" textlink="">
      <xdr:nvSpPr>
        <xdr:cNvPr id="607" name="Shape 345">
          <a:extLst>
            <a:ext uri="{FF2B5EF4-FFF2-40B4-BE49-F238E27FC236}">
              <a16:creationId xmlns:a16="http://schemas.microsoft.com/office/drawing/2014/main" id="{6EE35FE6-2E41-4F10-8BDD-F0692A44B878}"/>
            </a:ext>
          </a:extLst>
        </xdr:cNvPr>
        <xdr:cNvSpPr/>
      </xdr:nvSpPr>
      <xdr:spPr>
        <a:xfrm>
          <a:off x="2951891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81</xdr:row>
      <xdr:rowOff>60068</xdr:rowOff>
    </xdr:from>
    <xdr:ext cx="586966" cy="284746"/>
    <xdr:sp macro="" textlink="">
      <xdr:nvSpPr>
        <xdr:cNvPr id="608" name="Shape 345">
          <a:extLst>
            <a:ext uri="{FF2B5EF4-FFF2-40B4-BE49-F238E27FC236}">
              <a16:creationId xmlns:a16="http://schemas.microsoft.com/office/drawing/2014/main" id="{4D39B3A3-E19A-4BC6-9AC9-0F3E002A13B1}"/>
            </a:ext>
          </a:extLst>
        </xdr:cNvPr>
        <xdr:cNvSpPr/>
      </xdr:nvSpPr>
      <xdr:spPr>
        <a:xfrm>
          <a:off x="4136080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81</xdr:row>
      <xdr:rowOff>60068</xdr:rowOff>
    </xdr:from>
    <xdr:ext cx="586966" cy="284746"/>
    <xdr:sp macro="" textlink="">
      <xdr:nvSpPr>
        <xdr:cNvPr id="609" name="Shape 345">
          <a:extLst>
            <a:ext uri="{FF2B5EF4-FFF2-40B4-BE49-F238E27FC236}">
              <a16:creationId xmlns:a16="http://schemas.microsoft.com/office/drawing/2014/main" id="{6A869CC2-2075-4ECD-82DB-84BACDB48B4A}"/>
            </a:ext>
          </a:extLst>
        </xdr:cNvPr>
        <xdr:cNvSpPr/>
      </xdr:nvSpPr>
      <xdr:spPr>
        <a:xfrm>
          <a:off x="5320270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81</xdr:row>
      <xdr:rowOff>60068</xdr:rowOff>
    </xdr:from>
    <xdr:ext cx="586966" cy="284746"/>
    <xdr:sp macro="" textlink="">
      <xdr:nvSpPr>
        <xdr:cNvPr id="610" name="Shape 345">
          <a:extLst>
            <a:ext uri="{FF2B5EF4-FFF2-40B4-BE49-F238E27FC236}">
              <a16:creationId xmlns:a16="http://schemas.microsoft.com/office/drawing/2014/main" id="{3C1C1B72-5DDA-4D04-A423-1E6D7E8B650A}"/>
            </a:ext>
          </a:extLst>
        </xdr:cNvPr>
        <xdr:cNvSpPr/>
      </xdr:nvSpPr>
      <xdr:spPr>
        <a:xfrm>
          <a:off x="6504459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81</xdr:row>
      <xdr:rowOff>60068</xdr:rowOff>
    </xdr:from>
    <xdr:ext cx="586966" cy="284746"/>
    <xdr:sp macro="" textlink="">
      <xdr:nvSpPr>
        <xdr:cNvPr id="611" name="Shape 345">
          <a:extLst>
            <a:ext uri="{FF2B5EF4-FFF2-40B4-BE49-F238E27FC236}">
              <a16:creationId xmlns:a16="http://schemas.microsoft.com/office/drawing/2014/main" id="{51D4116C-202F-42C6-B063-730E50FF0FD2}"/>
            </a:ext>
          </a:extLst>
        </xdr:cNvPr>
        <xdr:cNvSpPr/>
      </xdr:nvSpPr>
      <xdr:spPr>
        <a:xfrm>
          <a:off x="7688648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81</xdr:row>
      <xdr:rowOff>60068</xdr:rowOff>
    </xdr:from>
    <xdr:ext cx="586966" cy="284746"/>
    <xdr:sp macro="" textlink="">
      <xdr:nvSpPr>
        <xdr:cNvPr id="612" name="Shape 345">
          <a:extLst>
            <a:ext uri="{FF2B5EF4-FFF2-40B4-BE49-F238E27FC236}">
              <a16:creationId xmlns:a16="http://schemas.microsoft.com/office/drawing/2014/main" id="{7C9F8559-AA7F-491E-936C-EE20E0BC75E2}"/>
            </a:ext>
          </a:extLst>
        </xdr:cNvPr>
        <xdr:cNvSpPr/>
      </xdr:nvSpPr>
      <xdr:spPr>
        <a:xfrm>
          <a:off x="8872837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81</xdr:row>
      <xdr:rowOff>60068</xdr:rowOff>
    </xdr:from>
    <xdr:ext cx="586966" cy="284746"/>
    <xdr:sp macro="" textlink="">
      <xdr:nvSpPr>
        <xdr:cNvPr id="613" name="Shape 345">
          <a:extLst>
            <a:ext uri="{FF2B5EF4-FFF2-40B4-BE49-F238E27FC236}">
              <a16:creationId xmlns:a16="http://schemas.microsoft.com/office/drawing/2014/main" id="{DE0EEDAA-3BDE-4716-A00B-DEF278DD79A4}"/>
            </a:ext>
          </a:extLst>
        </xdr:cNvPr>
        <xdr:cNvSpPr/>
      </xdr:nvSpPr>
      <xdr:spPr>
        <a:xfrm>
          <a:off x="10057026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81</xdr:row>
      <xdr:rowOff>60068</xdr:rowOff>
    </xdr:from>
    <xdr:ext cx="586966" cy="284746"/>
    <xdr:sp macro="" textlink="">
      <xdr:nvSpPr>
        <xdr:cNvPr id="614" name="Shape 345">
          <a:extLst>
            <a:ext uri="{FF2B5EF4-FFF2-40B4-BE49-F238E27FC236}">
              <a16:creationId xmlns:a16="http://schemas.microsoft.com/office/drawing/2014/main" id="{9E3F0AED-9A64-49A6-9415-D4542B5E78AF}"/>
            </a:ext>
          </a:extLst>
        </xdr:cNvPr>
        <xdr:cNvSpPr/>
      </xdr:nvSpPr>
      <xdr:spPr>
        <a:xfrm>
          <a:off x="11241216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81</xdr:row>
      <xdr:rowOff>60068</xdr:rowOff>
    </xdr:from>
    <xdr:ext cx="586966" cy="284746"/>
    <xdr:sp macro="" textlink="">
      <xdr:nvSpPr>
        <xdr:cNvPr id="615" name="Shape 345">
          <a:extLst>
            <a:ext uri="{FF2B5EF4-FFF2-40B4-BE49-F238E27FC236}">
              <a16:creationId xmlns:a16="http://schemas.microsoft.com/office/drawing/2014/main" id="{C8F58FB2-BCFA-4C12-BE92-ED1E61F8E959}"/>
            </a:ext>
          </a:extLst>
        </xdr:cNvPr>
        <xdr:cNvSpPr/>
      </xdr:nvSpPr>
      <xdr:spPr>
        <a:xfrm>
          <a:off x="12425405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81</xdr:row>
      <xdr:rowOff>60068</xdr:rowOff>
    </xdr:from>
    <xdr:ext cx="586966" cy="284746"/>
    <xdr:sp macro="" textlink="">
      <xdr:nvSpPr>
        <xdr:cNvPr id="616" name="Shape 345">
          <a:extLst>
            <a:ext uri="{FF2B5EF4-FFF2-40B4-BE49-F238E27FC236}">
              <a16:creationId xmlns:a16="http://schemas.microsoft.com/office/drawing/2014/main" id="{4C329E4C-DFE8-4B66-AF09-316CF26B9168}"/>
            </a:ext>
          </a:extLst>
        </xdr:cNvPr>
        <xdr:cNvSpPr/>
      </xdr:nvSpPr>
      <xdr:spPr>
        <a:xfrm>
          <a:off x="13609594" y="1505979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88</xdr:row>
      <xdr:rowOff>60069</xdr:rowOff>
    </xdr:from>
    <xdr:ext cx="586966" cy="284746"/>
    <xdr:sp macro="" textlink="">
      <xdr:nvSpPr>
        <xdr:cNvPr id="617" name="Shape 345">
          <a:extLst>
            <a:ext uri="{FF2B5EF4-FFF2-40B4-BE49-F238E27FC236}">
              <a16:creationId xmlns:a16="http://schemas.microsoft.com/office/drawing/2014/main" id="{5F1A393F-BF31-4820-9DCC-7F65C18E44E9}"/>
            </a:ext>
          </a:extLst>
        </xdr:cNvPr>
        <xdr:cNvSpPr/>
      </xdr:nvSpPr>
      <xdr:spPr>
        <a:xfrm>
          <a:off x="574932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88</xdr:row>
      <xdr:rowOff>60069</xdr:rowOff>
    </xdr:from>
    <xdr:ext cx="586966" cy="284746"/>
    <xdr:sp macro="" textlink="">
      <xdr:nvSpPr>
        <xdr:cNvPr id="618" name="Shape 345">
          <a:extLst>
            <a:ext uri="{FF2B5EF4-FFF2-40B4-BE49-F238E27FC236}">
              <a16:creationId xmlns:a16="http://schemas.microsoft.com/office/drawing/2014/main" id="{5145A669-75D4-42A1-990D-B221B2B6931C}"/>
            </a:ext>
          </a:extLst>
        </xdr:cNvPr>
        <xdr:cNvSpPr/>
      </xdr:nvSpPr>
      <xdr:spPr>
        <a:xfrm>
          <a:off x="1767702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88</xdr:row>
      <xdr:rowOff>60069</xdr:rowOff>
    </xdr:from>
    <xdr:ext cx="586966" cy="284746"/>
    <xdr:sp macro="" textlink="">
      <xdr:nvSpPr>
        <xdr:cNvPr id="619" name="Shape 345">
          <a:extLst>
            <a:ext uri="{FF2B5EF4-FFF2-40B4-BE49-F238E27FC236}">
              <a16:creationId xmlns:a16="http://schemas.microsoft.com/office/drawing/2014/main" id="{177E829C-EDC1-46F3-8E65-DCAB7CDB9E55}"/>
            </a:ext>
          </a:extLst>
        </xdr:cNvPr>
        <xdr:cNvSpPr/>
      </xdr:nvSpPr>
      <xdr:spPr>
        <a:xfrm>
          <a:off x="2951891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88</xdr:row>
      <xdr:rowOff>60069</xdr:rowOff>
    </xdr:from>
    <xdr:ext cx="586966" cy="284746"/>
    <xdr:sp macro="" textlink="">
      <xdr:nvSpPr>
        <xdr:cNvPr id="620" name="Shape 345">
          <a:extLst>
            <a:ext uri="{FF2B5EF4-FFF2-40B4-BE49-F238E27FC236}">
              <a16:creationId xmlns:a16="http://schemas.microsoft.com/office/drawing/2014/main" id="{4D54487B-AB2A-40EF-8061-318ED9EEA647}"/>
            </a:ext>
          </a:extLst>
        </xdr:cNvPr>
        <xdr:cNvSpPr/>
      </xdr:nvSpPr>
      <xdr:spPr>
        <a:xfrm>
          <a:off x="4136080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88</xdr:row>
      <xdr:rowOff>60069</xdr:rowOff>
    </xdr:from>
    <xdr:ext cx="586966" cy="284746"/>
    <xdr:sp macro="" textlink="">
      <xdr:nvSpPr>
        <xdr:cNvPr id="621" name="Shape 345">
          <a:extLst>
            <a:ext uri="{FF2B5EF4-FFF2-40B4-BE49-F238E27FC236}">
              <a16:creationId xmlns:a16="http://schemas.microsoft.com/office/drawing/2014/main" id="{6AE43E87-5761-4DF6-8145-9C5FF9F16BE9}"/>
            </a:ext>
          </a:extLst>
        </xdr:cNvPr>
        <xdr:cNvSpPr/>
      </xdr:nvSpPr>
      <xdr:spPr>
        <a:xfrm>
          <a:off x="5320270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88</xdr:row>
      <xdr:rowOff>60069</xdr:rowOff>
    </xdr:from>
    <xdr:ext cx="586966" cy="284746"/>
    <xdr:sp macro="" textlink="">
      <xdr:nvSpPr>
        <xdr:cNvPr id="622" name="Shape 345">
          <a:extLst>
            <a:ext uri="{FF2B5EF4-FFF2-40B4-BE49-F238E27FC236}">
              <a16:creationId xmlns:a16="http://schemas.microsoft.com/office/drawing/2014/main" id="{C5FD10D2-4011-439F-BFCB-092BD8182BE9}"/>
            </a:ext>
          </a:extLst>
        </xdr:cNvPr>
        <xdr:cNvSpPr/>
      </xdr:nvSpPr>
      <xdr:spPr>
        <a:xfrm>
          <a:off x="6504459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88</xdr:row>
      <xdr:rowOff>60069</xdr:rowOff>
    </xdr:from>
    <xdr:ext cx="586966" cy="284746"/>
    <xdr:sp macro="" textlink="">
      <xdr:nvSpPr>
        <xdr:cNvPr id="623" name="Shape 345">
          <a:extLst>
            <a:ext uri="{FF2B5EF4-FFF2-40B4-BE49-F238E27FC236}">
              <a16:creationId xmlns:a16="http://schemas.microsoft.com/office/drawing/2014/main" id="{9117ECFF-9E7E-4224-AC28-B09DAD649426}"/>
            </a:ext>
          </a:extLst>
        </xdr:cNvPr>
        <xdr:cNvSpPr/>
      </xdr:nvSpPr>
      <xdr:spPr>
        <a:xfrm>
          <a:off x="7688648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88</xdr:row>
      <xdr:rowOff>60069</xdr:rowOff>
    </xdr:from>
    <xdr:ext cx="586966" cy="284746"/>
    <xdr:sp macro="" textlink="">
      <xdr:nvSpPr>
        <xdr:cNvPr id="624" name="Shape 345">
          <a:extLst>
            <a:ext uri="{FF2B5EF4-FFF2-40B4-BE49-F238E27FC236}">
              <a16:creationId xmlns:a16="http://schemas.microsoft.com/office/drawing/2014/main" id="{45953808-FBDE-4256-9113-BBF21D6E99EC}"/>
            </a:ext>
          </a:extLst>
        </xdr:cNvPr>
        <xdr:cNvSpPr/>
      </xdr:nvSpPr>
      <xdr:spPr>
        <a:xfrm>
          <a:off x="8872837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88</xdr:row>
      <xdr:rowOff>60069</xdr:rowOff>
    </xdr:from>
    <xdr:ext cx="586966" cy="284746"/>
    <xdr:sp macro="" textlink="">
      <xdr:nvSpPr>
        <xdr:cNvPr id="625" name="Shape 345">
          <a:extLst>
            <a:ext uri="{FF2B5EF4-FFF2-40B4-BE49-F238E27FC236}">
              <a16:creationId xmlns:a16="http://schemas.microsoft.com/office/drawing/2014/main" id="{509F09CF-3517-46F1-B60F-442BBADA52BD}"/>
            </a:ext>
          </a:extLst>
        </xdr:cNvPr>
        <xdr:cNvSpPr/>
      </xdr:nvSpPr>
      <xdr:spPr>
        <a:xfrm>
          <a:off x="10057026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88</xdr:row>
      <xdr:rowOff>60069</xdr:rowOff>
    </xdr:from>
    <xdr:ext cx="586966" cy="284746"/>
    <xdr:sp macro="" textlink="">
      <xdr:nvSpPr>
        <xdr:cNvPr id="626" name="Shape 345">
          <a:extLst>
            <a:ext uri="{FF2B5EF4-FFF2-40B4-BE49-F238E27FC236}">
              <a16:creationId xmlns:a16="http://schemas.microsoft.com/office/drawing/2014/main" id="{185BFA7E-333A-4C4D-AA21-AAD3FE8DE126}"/>
            </a:ext>
          </a:extLst>
        </xdr:cNvPr>
        <xdr:cNvSpPr/>
      </xdr:nvSpPr>
      <xdr:spPr>
        <a:xfrm>
          <a:off x="11241216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88</xdr:row>
      <xdr:rowOff>60069</xdr:rowOff>
    </xdr:from>
    <xdr:ext cx="586966" cy="284746"/>
    <xdr:sp macro="" textlink="">
      <xdr:nvSpPr>
        <xdr:cNvPr id="627" name="Shape 345">
          <a:extLst>
            <a:ext uri="{FF2B5EF4-FFF2-40B4-BE49-F238E27FC236}">
              <a16:creationId xmlns:a16="http://schemas.microsoft.com/office/drawing/2014/main" id="{167C9277-4B77-44BF-BBB8-DBE25B223503}"/>
            </a:ext>
          </a:extLst>
        </xdr:cNvPr>
        <xdr:cNvSpPr/>
      </xdr:nvSpPr>
      <xdr:spPr>
        <a:xfrm>
          <a:off x="12425405" y="1635554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88</xdr:row>
      <xdr:rowOff>60069</xdr:rowOff>
    </xdr:from>
    <xdr:ext cx="586966" cy="284746"/>
    <xdr:sp macro="" textlink="">
      <xdr:nvSpPr>
        <xdr:cNvPr id="628" name="Shape 345">
          <a:extLst>
            <a:ext uri="{FF2B5EF4-FFF2-40B4-BE49-F238E27FC236}">
              <a16:creationId xmlns:a16="http://schemas.microsoft.com/office/drawing/2014/main" id="{DBFD4451-FB55-4E0F-8702-D3B602FC3D32}"/>
            </a:ext>
          </a:extLst>
        </xdr:cNvPr>
        <xdr:cNvSpPr/>
      </xdr:nvSpPr>
      <xdr:spPr>
        <a:xfrm>
          <a:off x="13609594" y="16355542"/>
          <a:ext cx="586966" cy="284746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</xdr:row>
      <xdr:rowOff>60067</xdr:rowOff>
    </xdr:from>
    <xdr:ext cx="586966" cy="284746"/>
    <xdr:sp macro="" textlink="">
      <xdr:nvSpPr>
        <xdr:cNvPr id="629" name="Shape 345">
          <a:extLst>
            <a:ext uri="{FF2B5EF4-FFF2-40B4-BE49-F238E27FC236}">
              <a16:creationId xmlns:a16="http://schemas.microsoft.com/office/drawing/2014/main" id="{DB976727-1BFF-4BCF-B932-3026BE1DEF48}"/>
            </a:ext>
          </a:extLst>
        </xdr:cNvPr>
        <xdr:cNvSpPr/>
      </xdr:nvSpPr>
      <xdr:spPr>
        <a:xfrm>
          <a:off x="574932" y="17651283"/>
          <a:ext cx="586966" cy="284746"/>
        </a:xfrm>
        <a:prstGeom prst="flowChartExtract">
          <a:avLst/>
        </a:prstGeom>
        <a:solidFill>
          <a:srgbClr val="FF0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95</xdr:row>
      <xdr:rowOff>60067</xdr:rowOff>
    </xdr:from>
    <xdr:ext cx="586966" cy="284746"/>
    <xdr:sp macro="" textlink="">
      <xdr:nvSpPr>
        <xdr:cNvPr id="630" name="Shape 345">
          <a:extLst>
            <a:ext uri="{FF2B5EF4-FFF2-40B4-BE49-F238E27FC236}">
              <a16:creationId xmlns:a16="http://schemas.microsoft.com/office/drawing/2014/main" id="{7E979F7C-E44B-45CF-A239-1BBBBD4BE9BE}"/>
            </a:ext>
          </a:extLst>
        </xdr:cNvPr>
        <xdr:cNvSpPr/>
      </xdr:nvSpPr>
      <xdr:spPr>
        <a:xfrm>
          <a:off x="1767702" y="17651283"/>
          <a:ext cx="586966" cy="284746"/>
        </a:xfrm>
        <a:prstGeom prst="flowChartExtract">
          <a:avLst/>
        </a:prstGeom>
        <a:solidFill>
          <a:srgbClr val="FF0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95</xdr:row>
      <xdr:rowOff>60067</xdr:rowOff>
    </xdr:from>
    <xdr:ext cx="586966" cy="284746"/>
    <xdr:sp macro="" textlink="">
      <xdr:nvSpPr>
        <xdr:cNvPr id="631" name="Shape 345">
          <a:extLst>
            <a:ext uri="{FF2B5EF4-FFF2-40B4-BE49-F238E27FC236}">
              <a16:creationId xmlns:a16="http://schemas.microsoft.com/office/drawing/2014/main" id="{2A5DBE0D-F241-46DA-A36F-7EDD8ED20AA4}"/>
            </a:ext>
          </a:extLst>
        </xdr:cNvPr>
        <xdr:cNvSpPr/>
      </xdr:nvSpPr>
      <xdr:spPr>
        <a:xfrm>
          <a:off x="2951891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95</xdr:row>
      <xdr:rowOff>60067</xdr:rowOff>
    </xdr:from>
    <xdr:ext cx="586966" cy="284746"/>
    <xdr:sp macro="" textlink="">
      <xdr:nvSpPr>
        <xdr:cNvPr id="632" name="Shape 345">
          <a:extLst>
            <a:ext uri="{FF2B5EF4-FFF2-40B4-BE49-F238E27FC236}">
              <a16:creationId xmlns:a16="http://schemas.microsoft.com/office/drawing/2014/main" id="{39754208-F4EF-4164-8B09-314C8C9A472E}"/>
            </a:ext>
          </a:extLst>
        </xdr:cNvPr>
        <xdr:cNvSpPr/>
      </xdr:nvSpPr>
      <xdr:spPr>
        <a:xfrm>
          <a:off x="4136080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95</xdr:row>
      <xdr:rowOff>60067</xdr:rowOff>
    </xdr:from>
    <xdr:ext cx="586966" cy="284746"/>
    <xdr:sp macro="" textlink="">
      <xdr:nvSpPr>
        <xdr:cNvPr id="633" name="Shape 345">
          <a:extLst>
            <a:ext uri="{FF2B5EF4-FFF2-40B4-BE49-F238E27FC236}">
              <a16:creationId xmlns:a16="http://schemas.microsoft.com/office/drawing/2014/main" id="{2558C163-DFCC-4583-BB3D-7C8184C51B04}"/>
            </a:ext>
          </a:extLst>
        </xdr:cNvPr>
        <xdr:cNvSpPr/>
      </xdr:nvSpPr>
      <xdr:spPr>
        <a:xfrm>
          <a:off x="5320270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95</xdr:row>
      <xdr:rowOff>60067</xdr:rowOff>
    </xdr:from>
    <xdr:ext cx="586966" cy="284746"/>
    <xdr:sp macro="" textlink="">
      <xdr:nvSpPr>
        <xdr:cNvPr id="634" name="Shape 345">
          <a:extLst>
            <a:ext uri="{FF2B5EF4-FFF2-40B4-BE49-F238E27FC236}">
              <a16:creationId xmlns:a16="http://schemas.microsoft.com/office/drawing/2014/main" id="{B7C3F984-AB1F-44EF-93CD-A48EED052469}"/>
            </a:ext>
          </a:extLst>
        </xdr:cNvPr>
        <xdr:cNvSpPr/>
      </xdr:nvSpPr>
      <xdr:spPr>
        <a:xfrm>
          <a:off x="6504459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95</xdr:row>
      <xdr:rowOff>60067</xdr:rowOff>
    </xdr:from>
    <xdr:ext cx="586966" cy="284746"/>
    <xdr:sp macro="" textlink="">
      <xdr:nvSpPr>
        <xdr:cNvPr id="635" name="Shape 345">
          <a:extLst>
            <a:ext uri="{FF2B5EF4-FFF2-40B4-BE49-F238E27FC236}">
              <a16:creationId xmlns:a16="http://schemas.microsoft.com/office/drawing/2014/main" id="{FB4CB455-E99B-42BC-AD9D-C1E7C87A11C1}"/>
            </a:ext>
          </a:extLst>
        </xdr:cNvPr>
        <xdr:cNvSpPr/>
      </xdr:nvSpPr>
      <xdr:spPr>
        <a:xfrm>
          <a:off x="7688648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95</xdr:row>
      <xdr:rowOff>60067</xdr:rowOff>
    </xdr:from>
    <xdr:ext cx="586966" cy="284746"/>
    <xdr:sp macro="" textlink="">
      <xdr:nvSpPr>
        <xdr:cNvPr id="636" name="Shape 345">
          <a:extLst>
            <a:ext uri="{FF2B5EF4-FFF2-40B4-BE49-F238E27FC236}">
              <a16:creationId xmlns:a16="http://schemas.microsoft.com/office/drawing/2014/main" id="{838A1697-9C55-4D50-833A-5000F14A219F}"/>
            </a:ext>
          </a:extLst>
        </xdr:cNvPr>
        <xdr:cNvSpPr/>
      </xdr:nvSpPr>
      <xdr:spPr>
        <a:xfrm>
          <a:off x="8872837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95</xdr:row>
      <xdr:rowOff>60067</xdr:rowOff>
    </xdr:from>
    <xdr:ext cx="586966" cy="284746"/>
    <xdr:sp macro="" textlink="">
      <xdr:nvSpPr>
        <xdr:cNvPr id="637" name="Shape 345">
          <a:extLst>
            <a:ext uri="{FF2B5EF4-FFF2-40B4-BE49-F238E27FC236}">
              <a16:creationId xmlns:a16="http://schemas.microsoft.com/office/drawing/2014/main" id="{FB018528-5DE4-4734-8EFC-D52D5DA932BB}"/>
            </a:ext>
          </a:extLst>
        </xdr:cNvPr>
        <xdr:cNvSpPr/>
      </xdr:nvSpPr>
      <xdr:spPr>
        <a:xfrm>
          <a:off x="10057026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95</xdr:row>
      <xdr:rowOff>60067</xdr:rowOff>
    </xdr:from>
    <xdr:ext cx="586966" cy="284746"/>
    <xdr:sp macro="" textlink="">
      <xdr:nvSpPr>
        <xdr:cNvPr id="638" name="Shape 345">
          <a:extLst>
            <a:ext uri="{FF2B5EF4-FFF2-40B4-BE49-F238E27FC236}">
              <a16:creationId xmlns:a16="http://schemas.microsoft.com/office/drawing/2014/main" id="{85FB95D2-669B-40D3-AF2A-86F2B4103BB8}"/>
            </a:ext>
          </a:extLst>
        </xdr:cNvPr>
        <xdr:cNvSpPr/>
      </xdr:nvSpPr>
      <xdr:spPr>
        <a:xfrm>
          <a:off x="11241216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95</xdr:row>
      <xdr:rowOff>60067</xdr:rowOff>
    </xdr:from>
    <xdr:ext cx="586966" cy="284746"/>
    <xdr:sp macro="" textlink="">
      <xdr:nvSpPr>
        <xdr:cNvPr id="639" name="Shape 345">
          <a:extLst>
            <a:ext uri="{FF2B5EF4-FFF2-40B4-BE49-F238E27FC236}">
              <a16:creationId xmlns:a16="http://schemas.microsoft.com/office/drawing/2014/main" id="{880894D9-BAAB-4CBD-8785-39795EC5A205}"/>
            </a:ext>
          </a:extLst>
        </xdr:cNvPr>
        <xdr:cNvSpPr/>
      </xdr:nvSpPr>
      <xdr:spPr>
        <a:xfrm>
          <a:off x="12425405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95</xdr:row>
      <xdr:rowOff>60067</xdr:rowOff>
    </xdr:from>
    <xdr:ext cx="586966" cy="284746"/>
    <xdr:sp macro="" textlink="">
      <xdr:nvSpPr>
        <xdr:cNvPr id="640" name="Shape 345">
          <a:extLst>
            <a:ext uri="{FF2B5EF4-FFF2-40B4-BE49-F238E27FC236}">
              <a16:creationId xmlns:a16="http://schemas.microsoft.com/office/drawing/2014/main" id="{466E8A00-1525-4A0C-A0AA-7FEE130C59F0}"/>
            </a:ext>
          </a:extLst>
        </xdr:cNvPr>
        <xdr:cNvSpPr/>
      </xdr:nvSpPr>
      <xdr:spPr>
        <a:xfrm>
          <a:off x="13609594" y="1765128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102</xdr:row>
      <xdr:rowOff>60069</xdr:rowOff>
    </xdr:from>
    <xdr:ext cx="586966" cy="284746"/>
    <xdr:sp macro="" textlink="">
      <xdr:nvSpPr>
        <xdr:cNvPr id="641" name="Shape 345">
          <a:extLst>
            <a:ext uri="{FF2B5EF4-FFF2-40B4-BE49-F238E27FC236}">
              <a16:creationId xmlns:a16="http://schemas.microsoft.com/office/drawing/2014/main" id="{809008A5-4435-4958-B2FC-0ABB08B673D6}"/>
            </a:ext>
          </a:extLst>
        </xdr:cNvPr>
        <xdr:cNvSpPr/>
      </xdr:nvSpPr>
      <xdr:spPr>
        <a:xfrm>
          <a:off x="574932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102</xdr:row>
      <xdr:rowOff>60069</xdr:rowOff>
    </xdr:from>
    <xdr:ext cx="586966" cy="284746"/>
    <xdr:sp macro="" textlink="">
      <xdr:nvSpPr>
        <xdr:cNvPr id="642" name="Shape 345">
          <a:extLst>
            <a:ext uri="{FF2B5EF4-FFF2-40B4-BE49-F238E27FC236}">
              <a16:creationId xmlns:a16="http://schemas.microsoft.com/office/drawing/2014/main" id="{F9F9A89D-AA88-4310-AF64-35DD34566CD3}"/>
            </a:ext>
          </a:extLst>
        </xdr:cNvPr>
        <xdr:cNvSpPr/>
      </xdr:nvSpPr>
      <xdr:spPr>
        <a:xfrm>
          <a:off x="1767702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102</xdr:row>
      <xdr:rowOff>60069</xdr:rowOff>
    </xdr:from>
    <xdr:ext cx="586966" cy="284746"/>
    <xdr:sp macro="" textlink="">
      <xdr:nvSpPr>
        <xdr:cNvPr id="643" name="Shape 345">
          <a:extLst>
            <a:ext uri="{FF2B5EF4-FFF2-40B4-BE49-F238E27FC236}">
              <a16:creationId xmlns:a16="http://schemas.microsoft.com/office/drawing/2014/main" id="{941EDBB3-91E2-4CAE-9106-5D85FB08486B}"/>
            </a:ext>
          </a:extLst>
        </xdr:cNvPr>
        <xdr:cNvSpPr/>
      </xdr:nvSpPr>
      <xdr:spPr>
        <a:xfrm>
          <a:off x="2951891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102</xdr:row>
      <xdr:rowOff>60069</xdr:rowOff>
    </xdr:from>
    <xdr:ext cx="586966" cy="284746"/>
    <xdr:sp macro="" textlink="">
      <xdr:nvSpPr>
        <xdr:cNvPr id="644" name="Shape 345">
          <a:extLst>
            <a:ext uri="{FF2B5EF4-FFF2-40B4-BE49-F238E27FC236}">
              <a16:creationId xmlns:a16="http://schemas.microsoft.com/office/drawing/2014/main" id="{403DE612-FFD5-4599-A12E-01A0E44D89DF}"/>
            </a:ext>
          </a:extLst>
        </xdr:cNvPr>
        <xdr:cNvSpPr/>
      </xdr:nvSpPr>
      <xdr:spPr>
        <a:xfrm>
          <a:off x="4136080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102</xdr:row>
      <xdr:rowOff>60069</xdr:rowOff>
    </xdr:from>
    <xdr:ext cx="586966" cy="284746"/>
    <xdr:sp macro="" textlink="">
      <xdr:nvSpPr>
        <xdr:cNvPr id="645" name="Shape 345">
          <a:extLst>
            <a:ext uri="{FF2B5EF4-FFF2-40B4-BE49-F238E27FC236}">
              <a16:creationId xmlns:a16="http://schemas.microsoft.com/office/drawing/2014/main" id="{69FA2A72-C8C3-4FCC-A211-518F6E8292AA}"/>
            </a:ext>
          </a:extLst>
        </xdr:cNvPr>
        <xdr:cNvSpPr/>
      </xdr:nvSpPr>
      <xdr:spPr>
        <a:xfrm>
          <a:off x="5320270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102</xdr:row>
      <xdr:rowOff>60069</xdr:rowOff>
    </xdr:from>
    <xdr:ext cx="586966" cy="284746"/>
    <xdr:sp macro="" textlink="">
      <xdr:nvSpPr>
        <xdr:cNvPr id="646" name="Shape 345">
          <a:extLst>
            <a:ext uri="{FF2B5EF4-FFF2-40B4-BE49-F238E27FC236}">
              <a16:creationId xmlns:a16="http://schemas.microsoft.com/office/drawing/2014/main" id="{5DB01F8A-FE3F-4FA8-8572-06E0804A6593}"/>
            </a:ext>
          </a:extLst>
        </xdr:cNvPr>
        <xdr:cNvSpPr/>
      </xdr:nvSpPr>
      <xdr:spPr>
        <a:xfrm>
          <a:off x="6504459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102</xdr:row>
      <xdr:rowOff>60069</xdr:rowOff>
    </xdr:from>
    <xdr:ext cx="586966" cy="284746"/>
    <xdr:sp macro="" textlink="">
      <xdr:nvSpPr>
        <xdr:cNvPr id="647" name="Shape 345">
          <a:extLst>
            <a:ext uri="{FF2B5EF4-FFF2-40B4-BE49-F238E27FC236}">
              <a16:creationId xmlns:a16="http://schemas.microsoft.com/office/drawing/2014/main" id="{11ADE2C8-BE5C-4115-9E65-C40C5DF0DEDD}"/>
            </a:ext>
          </a:extLst>
        </xdr:cNvPr>
        <xdr:cNvSpPr/>
      </xdr:nvSpPr>
      <xdr:spPr>
        <a:xfrm>
          <a:off x="7688648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102</xdr:row>
      <xdr:rowOff>60069</xdr:rowOff>
    </xdr:from>
    <xdr:ext cx="586966" cy="284746"/>
    <xdr:sp macro="" textlink="">
      <xdr:nvSpPr>
        <xdr:cNvPr id="648" name="Shape 345">
          <a:extLst>
            <a:ext uri="{FF2B5EF4-FFF2-40B4-BE49-F238E27FC236}">
              <a16:creationId xmlns:a16="http://schemas.microsoft.com/office/drawing/2014/main" id="{210131FD-0D10-444C-BE07-D39EAA100C39}"/>
            </a:ext>
          </a:extLst>
        </xdr:cNvPr>
        <xdr:cNvSpPr/>
      </xdr:nvSpPr>
      <xdr:spPr>
        <a:xfrm>
          <a:off x="8872837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102</xdr:row>
      <xdr:rowOff>60069</xdr:rowOff>
    </xdr:from>
    <xdr:ext cx="586966" cy="284746"/>
    <xdr:sp macro="" textlink="">
      <xdr:nvSpPr>
        <xdr:cNvPr id="649" name="Shape 345">
          <a:extLst>
            <a:ext uri="{FF2B5EF4-FFF2-40B4-BE49-F238E27FC236}">
              <a16:creationId xmlns:a16="http://schemas.microsoft.com/office/drawing/2014/main" id="{C882DC89-796E-47E0-81F8-0133DDC28C34}"/>
            </a:ext>
          </a:extLst>
        </xdr:cNvPr>
        <xdr:cNvSpPr/>
      </xdr:nvSpPr>
      <xdr:spPr>
        <a:xfrm>
          <a:off x="10057026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102</xdr:row>
      <xdr:rowOff>60069</xdr:rowOff>
    </xdr:from>
    <xdr:ext cx="586966" cy="284746"/>
    <xdr:sp macro="" textlink="">
      <xdr:nvSpPr>
        <xdr:cNvPr id="650" name="Shape 345">
          <a:extLst>
            <a:ext uri="{FF2B5EF4-FFF2-40B4-BE49-F238E27FC236}">
              <a16:creationId xmlns:a16="http://schemas.microsoft.com/office/drawing/2014/main" id="{9B79F90A-B56A-4611-8DBD-81FBC2D5DBDA}"/>
            </a:ext>
          </a:extLst>
        </xdr:cNvPr>
        <xdr:cNvSpPr/>
      </xdr:nvSpPr>
      <xdr:spPr>
        <a:xfrm>
          <a:off x="11241216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102</xdr:row>
      <xdr:rowOff>60069</xdr:rowOff>
    </xdr:from>
    <xdr:ext cx="586966" cy="284746"/>
    <xdr:sp macro="" textlink="">
      <xdr:nvSpPr>
        <xdr:cNvPr id="651" name="Shape 345">
          <a:extLst>
            <a:ext uri="{FF2B5EF4-FFF2-40B4-BE49-F238E27FC236}">
              <a16:creationId xmlns:a16="http://schemas.microsoft.com/office/drawing/2014/main" id="{BB125C5B-7A12-4E36-957A-3FB4B2D4295A}"/>
            </a:ext>
          </a:extLst>
        </xdr:cNvPr>
        <xdr:cNvSpPr/>
      </xdr:nvSpPr>
      <xdr:spPr>
        <a:xfrm>
          <a:off x="12425405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102</xdr:row>
      <xdr:rowOff>60069</xdr:rowOff>
    </xdr:from>
    <xdr:ext cx="586966" cy="284746"/>
    <xdr:sp macro="" textlink="">
      <xdr:nvSpPr>
        <xdr:cNvPr id="652" name="Shape 345">
          <a:extLst>
            <a:ext uri="{FF2B5EF4-FFF2-40B4-BE49-F238E27FC236}">
              <a16:creationId xmlns:a16="http://schemas.microsoft.com/office/drawing/2014/main" id="{308E8263-12BB-463B-8E7E-3F226F8EE884}"/>
            </a:ext>
          </a:extLst>
        </xdr:cNvPr>
        <xdr:cNvSpPr/>
      </xdr:nvSpPr>
      <xdr:spPr>
        <a:xfrm>
          <a:off x="13609594" y="1892986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109</xdr:row>
      <xdr:rowOff>60068</xdr:rowOff>
    </xdr:from>
    <xdr:ext cx="586966" cy="284746"/>
    <xdr:sp macro="" textlink="">
      <xdr:nvSpPr>
        <xdr:cNvPr id="653" name="Shape 345">
          <a:extLst>
            <a:ext uri="{FF2B5EF4-FFF2-40B4-BE49-F238E27FC236}">
              <a16:creationId xmlns:a16="http://schemas.microsoft.com/office/drawing/2014/main" id="{6CA2AB5F-CF0A-47AE-AC59-8B93D1C0EC55}"/>
            </a:ext>
          </a:extLst>
        </xdr:cNvPr>
        <xdr:cNvSpPr/>
      </xdr:nvSpPr>
      <xdr:spPr>
        <a:xfrm>
          <a:off x="574932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109</xdr:row>
      <xdr:rowOff>60068</xdr:rowOff>
    </xdr:from>
    <xdr:ext cx="586966" cy="284746"/>
    <xdr:sp macro="" textlink="">
      <xdr:nvSpPr>
        <xdr:cNvPr id="654" name="Shape 345">
          <a:extLst>
            <a:ext uri="{FF2B5EF4-FFF2-40B4-BE49-F238E27FC236}">
              <a16:creationId xmlns:a16="http://schemas.microsoft.com/office/drawing/2014/main" id="{E7C2B887-8C60-481C-B9A9-46F8587C76E3}"/>
            </a:ext>
          </a:extLst>
        </xdr:cNvPr>
        <xdr:cNvSpPr/>
      </xdr:nvSpPr>
      <xdr:spPr>
        <a:xfrm>
          <a:off x="1767702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109</xdr:row>
      <xdr:rowOff>60068</xdr:rowOff>
    </xdr:from>
    <xdr:ext cx="586966" cy="284746"/>
    <xdr:sp macro="" textlink="">
      <xdr:nvSpPr>
        <xdr:cNvPr id="655" name="Shape 345">
          <a:extLst>
            <a:ext uri="{FF2B5EF4-FFF2-40B4-BE49-F238E27FC236}">
              <a16:creationId xmlns:a16="http://schemas.microsoft.com/office/drawing/2014/main" id="{CD8629B2-DA7E-4FC6-B9C0-82E4430FC368}"/>
            </a:ext>
          </a:extLst>
        </xdr:cNvPr>
        <xdr:cNvSpPr/>
      </xdr:nvSpPr>
      <xdr:spPr>
        <a:xfrm>
          <a:off x="2951891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109</xdr:row>
      <xdr:rowOff>60068</xdr:rowOff>
    </xdr:from>
    <xdr:ext cx="586966" cy="284746"/>
    <xdr:sp macro="" textlink="">
      <xdr:nvSpPr>
        <xdr:cNvPr id="656" name="Shape 345">
          <a:extLst>
            <a:ext uri="{FF2B5EF4-FFF2-40B4-BE49-F238E27FC236}">
              <a16:creationId xmlns:a16="http://schemas.microsoft.com/office/drawing/2014/main" id="{6DA1D3F8-5C57-4239-9FAC-3DAAB6E789D2}"/>
            </a:ext>
          </a:extLst>
        </xdr:cNvPr>
        <xdr:cNvSpPr/>
      </xdr:nvSpPr>
      <xdr:spPr>
        <a:xfrm>
          <a:off x="4136080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109</xdr:row>
      <xdr:rowOff>60068</xdr:rowOff>
    </xdr:from>
    <xdr:ext cx="586966" cy="284746"/>
    <xdr:sp macro="" textlink="">
      <xdr:nvSpPr>
        <xdr:cNvPr id="657" name="Shape 345">
          <a:extLst>
            <a:ext uri="{FF2B5EF4-FFF2-40B4-BE49-F238E27FC236}">
              <a16:creationId xmlns:a16="http://schemas.microsoft.com/office/drawing/2014/main" id="{B3AAF77A-3E3B-42E4-8D28-2420DAF68BD4}"/>
            </a:ext>
          </a:extLst>
        </xdr:cNvPr>
        <xdr:cNvSpPr/>
      </xdr:nvSpPr>
      <xdr:spPr>
        <a:xfrm>
          <a:off x="5320270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109</xdr:row>
      <xdr:rowOff>60068</xdr:rowOff>
    </xdr:from>
    <xdr:ext cx="586966" cy="284746"/>
    <xdr:sp macro="" textlink="">
      <xdr:nvSpPr>
        <xdr:cNvPr id="658" name="Shape 345">
          <a:extLst>
            <a:ext uri="{FF2B5EF4-FFF2-40B4-BE49-F238E27FC236}">
              <a16:creationId xmlns:a16="http://schemas.microsoft.com/office/drawing/2014/main" id="{2386175A-04C5-40F4-862C-F2CFE0145C38}"/>
            </a:ext>
          </a:extLst>
        </xdr:cNvPr>
        <xdr:cNvSpPr/>
      </xdr:nvSpPr>
      <xdr:spPr>
        <a:xfrm>
          <a:off x="6504459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109</xdr:row>
      <xdr:rowOff>60068</xdr:rowOff>
    </xdr:from>
    <xdr:ext cx="586966" cy="284746"/>
    <xdr:sp macro="" textlink="">
      <xdr:nvSpPr>
        <xdr:cNvPr id="659" name="Shape 345">
          <a:extLst>
            <a:ext uri="{FF2B5EF4-FFF2-40B4-BE49-F238E27FC236}">
              <a16:creationId xmlns:a16="http://schemas.microsoft.com/office/drawing/2014/main" id="{7F927F61-6E0D-490C-B3CE-A1515640D829}"/>
            </a:ext>
          </a:extLst>
        </xdr:cNvPr>
        <xdr:cNvSpPr/>
      </xdr:nvSpPr>
      <xdr:spPr>
        <a:xfrm>
          <a:off x="7688648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109</xdr:row>
      <xdr:rowOff>60068</xdr:rowOff>
    </xdr:from>
    <xdr:ext cx="586966" cy="284746"/>
    <xdr:sp macro="" textlink="">
      <xdr:nvSpPr>
        <xdr:cNvPr id="660" name="Shape 345">
          <a:extLst>
            <a:ext uri="{FF2B5EF4-FFF2-40B4-BE49-F238E27FC236}">
              <a16:creationId xmlns:a16="http://schemas.microsoft.com/office/drawing/2014/main" id="{E980A164-5CB0-47C0-94CD-34EBDDFCEFFC}"/>
            </a:ext>
          </a:extLst>
        </xdr:cNvPr>
        <xdr:cNvSpPr/>
      </xdr:nvSpPr>
      <xdr:spPr>
        <a:xfrm>
          <a:off x="8872837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109</xdr:row>
      <xdr:rowOff>60068</xdr:rowOff>
    </xdr:from>
    <xdr:ext cx="586966" cy="284746"/>
    <xdr:sp macro="" textlink="">
      <xdr:nvSpPr>
        <xdr:cNvPr id="661" name="Shape 345">
          <a:extLst>
            <a:ext uri="{FF2B5EF4-FFF2-40B4-BE49-F238E27FC236}">
              <a16:creationId xmlns:a16="http://schemas.microsoft.com/office/drawing/2014/main" id="{0393A163-ABD0-4A08-8848-379130362D7A}"/>
            </a:ext>
          </a:extLst>
        </xdr:cNvPr>
        <xdr:cNvSpPr/>
      </xdr:nvSpPr>
      <xdr:spPr>
        <a:xfrm>
          <a:off x="10057026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109</xdr:row>
      <xdr:rowOff>60068</xdr:rowOff>
    </xdr:from>
    <xdr:ext cx="586966" cy="284746"/>
    <xdr:sp macro="" textlink="">
      <xdr:nvSpPr>
        <xdr:cNvPr id="662" name="Shape 345">
          <a:extLst>
            <a:ext uri="{FF2B5EF4-FFF2-40B4-BE49-F238E27FC236}">
              <a16:creationId xmlns:a16="http://schemas.microsoft.com/office/drawing/2014/main" id="{DA733B44-48D6-4DDD-8A14-71D8545A3637}"/>
            </a:ext>
          </a:extLst>
        </xdr:cNvPr>
        <xdr:cNvSpPr/>
      </xdr:nvSpPr>
      <xdr:spPr>
        <a:xfrm>
          <a:off x="11241216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17988</xdr:colOff>
      <xdr:row>109</xdr:row>
      <xdr:rowOff>60068</xdr:rowOff>
    </xdr:from>
    <xdr:ext cx="586966" cy="284746"/>
    <xdr:sp macro="" textlink="">
      <xdr:nvSpPr>
        <xdr:cNvPr id="663" name="Shape 345">
          <a:extLst>
            <a:ext uri="{FF2B5EF4-FFF2-40B4-BE49-F238E27FC236}">
              <a16:creationId xmlns:a16="http://schemas.microsoft.com/office/drawing/2014/main" id="{25741592-B216-4623-9F52-4A1667B9DF06}"/>
            </a:ext>
          </a:extLst>
        </xdr:cNvPr>
        <xdr:cNvSpPr/>
      </xdr:nvSpPr>
      <xdr:spPr>
        <a:xfrm>
          <a:off x="13432951" y="2010725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109</xdr:row>
      <xdr:rowOff>60068</xdr:rowOff>
    </xdr:from>
    <xdr:ext cx="586966" cy="284746"/>
    <xdr:sp macro="" textlink="">
      <xdr:nvSpPr>
        <xdr:cNvPr id="664" name="Shape 345">
          <a:extLst>
            <a:ext uri="{FF2B5EF4-FFF2-40B4-BE49-F238E27FC236}">
              <a16:creationId xmlns:a16="http://schemas.microsoft.com/office/drawing/2014/main" id="{ABA05020-BEAF-47E8-97F6-E25B8A66B39F}"/>
            </a:ext>
          </a:extLst>
        </xdr:cNvPr>
        <xdr:cNvSpPr/>
      </xdr:nvSpPr>
      <xdr:spPr>
        <a:xfrm>
          <a:off x="13609594" y="2022560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116</xdr:row>
      <xdr:rowOff>60068</xdr:rowOff>
    </xdr:from>
    <xdr:ext cx="586966" cy="284746"/>
    <xdr:sp macro="" textlink="">
      <xdr:nvSpPr>
        <xdr:cNvPr id="665" name="Shape 345">
          <a:extLst>
            <a:ext uri="{FF2B5EF4-FFF2-40B4-BE49-F238E27FC236}">
              <a16:creationId xmlns:a16="http://schemas.microsoft.com/office/drawing/2014/main" id="{22B9ECD1-7437-40E0-9612-37FFA0C5BC4E}"/>
            </a:ext>
          </a:extLst>
        </xdr:cNvPr>
        <xdr:cNvSpPr/>
      </xdr:nvSpPr>
      <xdr:spPr>
        <a:xfrm>
          <a:off x="574932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116</xdr:row>
      <xdr:rowOff>60068</xdr:rowOff>
    </xdr:from>
    <xdr:ext cx="586966" cy="284746"/>
    <xdr:sp macro="" textlink="">
      <xdr:nvSpPr>
        <xdr:cNvPr id="666" name="Shape 345">
          <a:extLst>
            <a:ext uri="{FF2B5EF4-FFF2-40B4-BE49-F238E27FC236}">
              <a16:creationId xmlns:a16="http://schemas.microsoft.com/office/drawing/2014/main" id="{0BDBCD53-8A86-4DAC-8093-E09C01E5920A}"/>
            </a:ext>
          </a:extLst>
        </xdr:cNvPr>
        <xdr:cNvSpPr/>
      </xdr:nvSpPr>
      <xdr:spPr>
        <a:xfrm>
          <a:off x="1767702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116</xdr:row>
      <xdr:rowOff>60068</xdr:rowOff>
    </xdr:from>
    <xdr:ext cx="586966" cy="284746"/>
    <xdr:sp macro="" textlink="">
      <xdr:nvSpPr>
        <xdr:cNvPr id="667" name="Shape 345">
          <a:extLst>
            <a:ext uri="{FF2B5EF4-FFF2-40B4-BE49-F238E27FC236}">
              <a16:creationId xmlns:a16="http://schemas.microsoft.com/office/drawing/2014/main" id="{370D1991-5FB9-42B3-ADF0-656E05B0C154}"/>
            </a:ext>
          </a:extLst>
        </xdr:cNvPr>
        <xdr:cNvSpPr/>
      </xdr:nvSpPr>
      <xdr:spPr>
        <a:xfrm>
          <a:off x="2951891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116</xdr:row>
      <xdr:rowOff>60068</xdr:rowOff>
    </xdr:from>
    <xdr:ext cx="586966" cy="284746"/>
    <xdr:sp macro="" textlink="">
      <xdr:nvSpPr>
        <xdr:cNvPr id="668" name="Shape 345">
          <a:extLst>
            <a:ext uri="{FF2B5EF4-FFF2-40B4-BE49-F238E27FC236}">
              <a16:creationId xmlns:a16="http://schemas.microsoft.com/office/drawing/2014/main" id="{B0BCF630-2F42-45C6-8ACE-F68C74762F61}"/>
            </a:ext>
          </a:extLst>
        </xdr:cNvPr>
        <xdr:cNvSpPr/>
      </xdr:nvSpPr>
      <xdr:spPr>
        <a:xfrm>
          <a:off x="4136080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116</xdr:row>
      <xdr:rowOff>60068</xdr:rowOff>
    </xdr:from>
    <xdr:ext cx="586966" cy="284746"/>
    <xdr:sp macro="" textlink="">
      <xdr:nvSpPr>
        <xdr:cNvPr id="669" name="Shape 345">
          <a:extLst>
            <a:ext uri="{FF2B5EF4-FFF2-40B4-BE49-F238E27FC236}">
              <a16:creationId xmlns:a16="http://schemas.microsoft.com/office/drawing/2014/main" id="{323C54F6-6C12-4982-9D6D-BC0615BFA388}"/>
            </a:ext>
          </a:extLst>
        </xdr:cNvPr>
        <xdr:cNvSpPr/>
      </xdr:nvSpPr>
      <xdr:spPr>
        <a:xfrm>
          <a:off x="5320270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116</xdr:row>
      <xdr:rowOff>60068</xdr:rowOff>
    </xdr:from>
    <xdr:ext cx="586966" cy="284746"/>
    <xdr:sp macro="" textlink="">
      <xdr:nvSpPr>
        <xdr:cNvPr id="670" name="Shape 345">
          <a:extLst>
            <a:ext uri="{FF2B5EF4-FFF2-40B4-BE49-F238E27FC236}">
              <a16:creationId xmlns:a16="http://schemas.microsoft.com/office/drawing/2014/main" id="{237F5833-D172-4948-A8FC-0CCCD5864AA8}"/>
            </a:ext>
          </a:extLst>
        </xdr:cNvPr>
        <xdr:cNvSpPr/>
      </xdr:nvSpPr>
      <xdr:spPr>
        <a:xfrm>
          <a:off x="6504459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116</xdr:row>
      <xdr:rowOff>60068</xdr:rowOff>
    </xdr:from>
    <xdr:ext cx="586966" cy="284746"/>
    <xdr:sp macro="" textlink="">
      <xdr:nvSpPr>
        <xdr:cNvPr id="671" name="Shape 345">
          <a:extLst>
            <a:ext uri="{FF2B5EF4-FFF2-40B4-BE49-F238E27FC236}">
              <a16:creationId xmlns:a16="http://schemas.microsoft.com/office/drawing/2014/main" id="{5833BE6D-8982-499B-BDE3-94A97B53494A}"/>
            </a:ext>
          </a:extLst>
        </xdr:cNvPr>
        <xdr:cNvSpPr/>
      </xdr:nvSpPr>
      <xdr:spPr>
        <a:xfrm>
          <a:off x="7688648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116</xdr:row>
      <xdr:rowOff>60068</xdr:rowOff>
    </xdr:from>
    <xdr:ext cx="586966" cy="284746"/>
    <xdr:sp macro="" textlink="">
      <xdr:nvSpPr>
        <xdr:cNvPr id="672" name="Shape 345">
          <a:extLst>
            <a:ext uri="{FF2B5EF4-FFF2-40B4-BE49-F238E27FC236}">
              <a16:creationId xmlns:a16="http://schemas.microsoft.com/office/drawing/2014/main" id="{7C764C66-61A6-4114-A763-A80F812BF71E}"/>
            </a:ext>
          </a:extLst>
        </xdr:cNvPr>
        <xdr:cNvSpPr/>
      </xdr:nvSpPr>
      <xdr:spPr>
        <a:xfrm>
          <a:off x="8872837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116</xdr:row>
      <xdr:rowOff>60068</xdr:rowOff>
    </xdr:from>
    <xdr:ext cx="586966" cy="284746"/>
    <xdr:sp macro="" textlink="">
      <xdr:nvSpPr>
        <xdr:cNvPr id="673" name="Shape 345">
          <a:extLst>
            <a:ext uri="{FF2B5EF4-FFF2-40B4-BE49-F238E27FC236}">
              <a16:creationId xmlns:a16="http://schemas.microsoft.com/office/drawing/2014/main" id="{EF076296-0AA8-46A0-B65E-AB89279D8B18}"/>
            </a:ext>
          </a:extLst>
        </xdr:cNvPr>
        <xdr:cNvSpPr/>
      </xdr:nvSpPr>
      <xdr:spPr>
        <a:xfrm>
          <a:off x="10057026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116</xdr:row>
      <xdr:rowOff>60068</xdr:rowOff>
    </xdr:from>
    <xdr:ext cx="586966" cy="284746"/>
    <xdr:sp macro="" textlink="">
      <xdr:nvSpPr>
        <xdr:cNvPr id="674" name="Shape 345">
          <a:extLst>
            <a:ext uri="{FF2B5EF4-FFF2-40B4-BE49-F238E27FC236}">
              <a16:creationId xmlns:a16="http://schemas.microsoft.com/office/drawing/2014/main" id="{9A08D6DF-36B0-410B-AA5D-889B77FA3A3E}"/>
            </a:ext>
          </a:extLst>
        </xdr:cNvPr>
        <xdr:cNvSpPr/>
      </xdr:nvSpPr>
      <xdr:spPr>
        <a:xfrm>
          <a:off x="11241216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116</xdr:row>
      <xdr:rowOff>60068</xdr:rowOff>
    </xdr:from>
    <xdr:ext cx="586966" cy="284746"/>
    <xdr:sp macro="" textlink="">
      <xdr:nvSpPr>
        <xdr:cNvPr id="675" name="Shape 345">
          <a:extLst>
            <a:ext uri="{FF2B5EF4-FFF2-40B4-BE49-F238E27FC236}">
              <a16:creationId xmlns:a16="http://schemas.microsoft.com/office/drawing/2014/main" id="{CFE41AA7-4272-4635-8AD0-EDC923CBC890}"/>
            </a:ext>
          </a:extLst>
        </xdr:cNvPr>
        <xdr:cNvSpPr/>
      </xdr:nvSpPr>
      <xdr:spPr>
        <a:xfrm>
          <a:off x="12425405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116</xdr:row>
      <xdr:rowOff>60068</xdr:rowOff>
    </xdr:from>
    <xdr:ext cx="586966" cy="284746"/>
    <xdr:sp macro="" textlink="">
      <xdr:nvSpPr>
        <xdr:cNvPr id="676" name="Shape 345">
          <a:extLst>
            <a:ext uri="{FF2B5EF4-FFF2-40B4-BE49-F238E27FC236}">
              <a16:creationId xmlns:a16="http://schemas.microsoft.com/office/drawing/2014/main" id="{EFD550E8-0269-4BA9-AC64-F0724CA70646}"/>
            </a:ext>
          </a:extLst>
        </xdr:cNvPr>
        <xdr:cNvSpPr/>
      </xdr:nvSpPr>
      <xdr:spPr>
        <a:xfrm>
          <a:off x="13609594" y="2152135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123</xdr:row>
      <xdr:rowOff>60069</xdr:rowOff>
    </xdr:from>
    <xdr:ext cx="586966" cy="284746"/>
    <xdr:sp macro="" textlink="">
      <xdr:nvSpPr>
        <xdr:cNvPr id="677" name="Shape 345">
          <a:extLst>
            <a:ext uri="{FF2B5EF4-FFF2-40B4-BE49-F238E27FC236}">
              <a16:creationId xmlns:a16="http://schemas.microsoft.com/office/drawing/2014/main" id="{5426A5D2-60DA-4B46-9C90-6B2065B3F311}"/>
            </a:ext>
          </a:extLst>
        </xdr:cNvPr>
        <xdr:cNvSpPr/>
      </xdr:nvSpPr>
      <xdr:spPr>
        <a:xfrm>
          <a:off x="574932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123</xdr:row>
      <xdr:rowOff>60069</xdr:rowOff>
    </xdr:from>
    <xdr:ext cx="586966" cy="284746"/>
    <xdr:sp macro="" textlink="">
      <xdr:nvSpPr>
        <xdr:cNvPr id="678" name="Shape 345">
          <a:extLst>
            <a:ext uri="{FF2B5EF4-FFF2-40B4-BE49-F238E27FC236}">
              <a16:creationId xmlns:a16="http://schemas.microsoft.com/office/drawing/2014/main" id="{B3048B13-D516-4CB1-A813-0B36B35B36DB}"/>
            </a:ext>
          </a:extLst>
        </xdr:cNvPr>
        <xdr:cNvSpPr/>
      </xdr:nvSpPr>
      <xdr:spPr>
        <a:xfrm>
          <a:off x="1767702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123</xdr:row>
      <xdr:rowOff>60069</xdr:rowOff>
    </xdr:from>
    <xdr:ext cx="586966" cy="284746"/>
    <xdr:sp macro="" textlink="">
      <xdr:nvSpPr>
        <xdr:cNvPr id="679" name="Shape 345">
          <a:extLst>
            <a:ext uri="{FF2B5EF4-FFF2-40B4-BE49-F238E27FC236}">
              <a16:creationId xmlns:a16="http://schemas.microsoft.com/office/drawing/2014/main" id="{828B5B95-361C-4087-8EE0-61607ACB6517}"/>
            </a:ext>
          </a:extLst>
        </xdr:cNvPr>
        <xdr:cNvSpPr/>
      </xdr:nvSpPr>
      <xdr:spPr>
        <a:xfrm>
          <a:off x="2951891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123</xdr:row>
      <xdr:rowOff>60069</xdr:rowOff>
    </xdr:from>
    <xdr:ext cx="586966" cy="284746"/>
    <xdr:sp macro="" textlink="">
      <xdr:nvSpPr>
        <xdr:cNvPr id="680" name="Shape 345">
          <a:extLst>
            <a:ext uri="{FF2B5EF4-FFF2-40B4-BE49-F238E27FC236}">
              <a16:creationId xmlns:a16="http://schemas.microsoft.com/office/drawing/2014/main" id="{8878021E-B626-466B-8F3F-DD9C6148ABCE}"/>
            </a:ext>
          </a:extLst>
        </xdr:cNvPr>
        <xdr:cNvSpPr/>
      </xdr:nvSpPr>
      <xdr:spPr>
        <a:xfrm>
          <a:off x="4136080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123</xdr:row>
      <xdr:rowOff>60069</xdr:rowOff>
    </xdr:from>
    <xdr:ext cx="586966" cy="284746"/>
    <xdr:sp macro="" textlink="">
      <xdr:nvSpPr>
        <xdr:cNvPr id="681" name="Shape 345">
          <a:extLst>
            <a:ext uri="{FF2B5EF4-FFF2-40B4-BE49-F238E27FC236}">
              <a16:creationId xmlns:a16="http://schemas.microsoft.com/office/drawing/2014/main" id="{04F16556-6B9E-4D35-8A1A-804F86DCBBAB}"/>
            </a:ext>
          </a:extLst>
        </xdr:cNvPr>
        <xdr:cNvSpPr/>
      </xdr:nvSpPr>
      <xdr:spPr>
        <a:xfrm>
          <a:off x="5320270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123</xdr:row>
      <xdr:rowOff>60069</xdr:rowOff>
    </xdr:from>
    <xdr:ext cx="586966" cy="284746"/>
    <xdr:sp macro="" textlink="">
      <xdr:nvSpPr>
        <xdr:cNvPr id="682" name="Shape 345">
          <a:extLst>
            <a:ext uri="{FF2B5EF4-FFF2-40B4-BE49-F238E27FC236}">
              <a16:creationId xmlns:a16="http://schemas.microsoft.com/office/drawing/2014/main" id="{8408817A-F73D-4851-A695-14608739C640}"/>
            </a:ext>
          </a:extLst>
        </xdr:cNvPr>
        <xdr:cNvSpPr/>
      </xdr:nvSpPr>
      <xdr:spPr>
        <a:xfrm>
          <a:off x="6504459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123</xdr:row>
      <xdr:rowOff>60069</xdr:rowOff>
    </xdr:from>
    <xdr:ext cx="586966" cy="284746"/>
    <xdr:sp macro="" textlink="">
      <xdr:nvSpPr>
        <xdr:cNvPr id="683" name="Shape 345">
          <a:extLst>
            <a:ext uri="{FF2B5EF4-FFF2-40B4-BE49-F238E27FC236}">
              <a16:creationId xmlns:a16="http://schemas.microsoft.com/office/drawing/2014/main" id="{D25F0F23-FC8D-4239-868D-FF6AE59E8259}"/>
            </a:ext>
          </a:extLst>
        </xdr:cNvPr>
        <xdr:cNvSpPr/>
      </xdr:nvSpPr>
      <xdr:spPr>
        <a:xfrm>
          <a:off x="7688648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123</xdr:row>
      <xdr:rowOff>60069</xdr:rowOff>
    </xdr:from>
    <xdr:ext cx="586966" cy="284746"/>
    <xdr:sp macro="" textlink="">
      <xdr:nvSpPr>
        <xdr:cNvPr id="684" name="Shape 345">
          <a:extLst>
            <a:ext uri="{FF2B5EF4-FFF2-40B4-BE49-F238E27FC236}">
              <a16:creationId xmlns:a16="http://schemas.microsoft.com/office/drawing/2014/main" id="{BB463A5C-3CCE-41A8-A3AB-21BE9563E143}"/>
            </a:ext>
          </a:extLst>
        </xdr:cNvPr>
        <xdr:cNvSpPr/>
      </xdr:nvSpPr>
      <xdr:spPr>
        <a:xfrm>
          <a:off x="8872837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123</xdr:row>
      <xdr:rowOff>60069</xdr:rowOff>
    </xdr:from>
    <xdr:ext cx="586966" cy="284746"/>
    <xdr:sp macro="" textlink="">
      <xdr:nvSpPr>
        <xdr:cNvPr id="685" name="Shape 345">
          <a:extLst>
            <a:ext uri="{FF2B5EF4-FFF2-40B4-BE49-F238E27FC236}">
              <a16:creationId xmlns:a16="http://schemas.microsoft.com/office/drawing/2014/main" id="{B6E8DDA2-BBB3-44BF-924B-0C90E50136FA}"/>
            </a:ext>
          </a:extLst>
        </xdr:cNvPr>
        <xdr:cNvSpPr/>
      </xdr:nvSpPr>
      <xdr:spPr>
        <a:xfrm>
          <a:off x="10057026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123</xdr:row>
      <xdr:rowOff>60069</xdr:rowOff>
    </xdr:from>
    <xdr:ext cx="586966" cy="284746"/>
    <xdr:sp macro="" textlink="">
      <xdr:nvSpPr>
        <xdr:cNvPr id="686" name="Shape 345">
          <a:extLst>
            <a:ext uri="{FF2B5EF4-FFF2-40B4-BE49-F238E27FC236}">
              <a16:creationId xmlns:a16="http://schemas.microsoft.com/office/drawing/2014/main" id="{1E316E1D-7A5E-4C82-8527-AA3612E6DF5D}"/>
            </a:ext>
          </a:extLst>
        </xdr:cNvPr>
        <xdr:cNvSpPr/>
      </xdr:nvSpPr>
      <xdr:spPr>
        <a:xfrm>
          <a:off x="11241216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123</xdr:row>
      <xdr:rowOff>60069</xdr:rowOff>
    </xdr:from>
    <xdr:ext cx="586966" cy="284746"/>
    <xdr:sp macro="" textlink="">
      <xdr:nvSpPr>
        <xdr:cNvPr id="687" name="Shape 345">
          <a:extLst>
            <a:ext uri="{FF2B5EF4-FFF2-40B4-BE49-F238E27FC236}">
              <a16:creationId xmlns:a16="http://schemas.microsoft.com/office/drawing/2014/main" id="{966E9225-88CA-465C-9F7F-B51BEC22E1B5}"/>
            </a:ext>
          </a:extLst>
        </xdr:cNvPr>
        <xdr:cNvSpPr/>
      </xdr:nvSpPr>
      <xdr:spPr>
        <a:xfrm>
          <a:off x="12425405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123</xdr:row>
      <xdr:rowOff>60069</xdr:rowOff>
    </xdr:from>
    <xdr:ext cx="586966" cy="284746"/>
    <xdr:sp macro="" textlink="">
      <xdr:nvSpPr>
        <xdr:cNvPr id="688" name="Shape 345">
          <a:extLst>
            <a:ext uri="{FF2B5EF4-FFF2-40B4-BE49-F238E27FC236}">
              <a16:creationId xmlns:a16="http://schemas.microsoft.com/office/drawing/2014/main" id="{D2544D08-6AB5-49DF-8D07-8F2FE344B363}"/>
            </a:ext>
          </a:extLst>
        </xdr:cNvPr>
        <xdr:cNvSpPr/>
      </xdr:nvSpPr>
      <xdr:spPr>
        <a:xfrm>
          <a:off x="13609594" y="2281709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130</xdr:row>
      <xdr:rowOff>60069</xdr:rowOff>
    </xdr:from>
    <xdr:ext cx="586966" cy="284746"/>
    <xdr:sp macro="" textlink="">
      <xdr:nvSpPr>
        <xdr:cNvPr id="689" name="Shape 345">
          <a:extLst>
            <a:ext uri="{FF2B5EF4-FFF2-40B4-BE49-F238E27FC236}">
              <a16:creationId xmlns:a16="http://schemas.microsoft.com/office/drawing/2014/main" id="{052DCEC4-EAEC-49BA-8B6A-9921D4925AE3}"/>
            </a:ext>
          </a:extLst>
        </xdr:cNvPr>
        <xdr:cNvSpPr/>
      </xdr:nvSpPr>
      <xdr:spPr>
        <a:xfrm>
          <a:off x="574932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130</xdr:row>
      <xdr:rowOff>60069</xdr:rowOff>
    </xdr:from>
    <xdr:ext cx="586966" cy="284746"/>
    <xdr:sp macro="" textlink="">
      <xdr:nvSpPr>
        <xdr:cNvPr id="690" name="Shape 345">
          <a:extLst>
            <a:ext uri="{FF2B5EF4-FFF2-40B4-BE49-F238E27FC236}">
              <a16:creationId xmlns:a16="http://schemas.microsoft.com/office/drawing/2014/main" id="{2E406279-8C75-445A-99C9-434F9BE72F61}"/>
            </a:ext>
          </a:extLst>
        </xdr:cNvPr>
        <xdr:cNvSpPr/>
      </xdr:nvSpPr>
      <xdr:spPr>
        <a:xfrm>
          <a:off x="1767702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130</xdr:row>
      <xdr:rowOff>60069</xdr:rowOff>
    </xdr:from>
    <xdr:ext cx="586966" cy="284746"/>
    <xdr:sp macro="" textlink="">
      <xdr:nvSpPr>
        <xdr:cNvPr id="691" name="Shape 345">
          <a:extLst>
            <a:ext uri="{FF2B5EF4-FFF2-40B4-BE49-F238E27FC236}">
              <a16:creationId xmlns:a16="http://schemas.microsoft.com/office/drawing/2014/main" id="{F324CAB9-802E-41FD-A614-323D9A1BB5BC}"/>
            </a:ext>
          </a:extLst>
        </xdr:cNvPr>
        <xdr:cNvSpPr/>
      </xdr:nvSpPr>
      <xdr:spPr>
        <a:xfrm>
          <a:off x="2951891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130</xdr:row>
      <xdr:rowOff>60069</xdr:rowOff>
    </xdr:from>
    <xdr:ext cx="586966" cy="284746"/>
    <xdr:sp macro="" textlink="">
      <xdr:nvSpPr>
        <xdr:cNvPr id="692" name="Shape 345">
          <a:extLst>
            <a:ext uri="{FF2B5EF4-FFF2-40B4-BE49-F238E27FC236}">
              <a16:creationId xmlns:a16="http://schemas.microsoft.com/office/drawing/2014/main" id="{13A071A6-F7BC-4308-98C8-0A55924A85CC}"/>
            </a:ext>
          </a:extLst>
        </xdr:cNvPr>
        <xdr:cNvSpPr/>
      </xdr:nvSpPr>
      <xdr:spPr>
        <a:xfrm>
          <a:off x="4136080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130</xdr:row>
      <xdr:rowOff>60069</xdr:rowOff>
    </xdr:from>
    <xdr:ext cx="586966" cy="284746"/>
    <xdr:sp macro="" textlink="">
      <xdr:nvSpPr>
        <xdr:cNvPr id="693" name="Shape 345">
          <a:extLst>
            <a:ext uri="{FF2B5EF4-FFF2-40B4-BE49-F238E27FC236}">
              <a16:creationId xmlns:a16="http://schemas.microsoft.com/office/drawing/2014/main" id="{30DE6251-607C-4DAD-A385-62E529511115}"/>
            </a:ext>
          </a:extLst>
        </xdr:cNvPr>
        <xdr:cNvSpPr/>
      </xdr:nvSpPr>
      <xdr:spPr>
        <a:xfrm>
          <a:off x="5320270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130</xdr:row>
      <xdr:rowOff>60069</xdr:rowOff>
    </xdr:from>
    <xdr:ext cx="586966" cy="284746"/>
    <xdr:sp macro="" textlink="">
      <xdr:nvSpPr>
        <xdr:cNvPr id="694" name="Shape 345">
          <a:extLst>
            <a:ext uri="{FF2B5EF4-FFF2-40B4-BE49-F238E27FC236}">
              <a16:creationId xmlns:a16="http://schemas.microsoft.com/office/drawing/2014/main" id="{8A5E3268-C246-4B18-AC83-14D2D94FDBB8}"/>
            </a:ext>
          </a:extLst>
        </xdr:cNvPr>
        <xdr:cNvSpPr/>
      </xdr:nvSpPr>
      <xdr:spPr>
        <a:xfrm>
          <a:off x="6504459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130</xdr:row>
      <xdr:rowOff>60069</xdr:rowOff>
    </xdr:from>
    <xdr:ext cx="586966" cy="284746"/>
    <xdr:sp macro="" textlink="">
      <xdr:nvSpPr>
        <xdr:cNvPr id="695" name="Shape 345">
          <a:extLst>
            <a:ext uri="{FF2B5EF4-FFF2-40B4-BE49-F238E27FC236}">
              <a16:creationId xmlns:a16="http://schemas.microsoft.com/office/drawing/2014/main" id="{EC7BD876-B0BD-44CF-86C9-8B545BF6B1EA}"/>
            </a:ext>
          </a:extLst>
        </xdr:cNvPr>
        <xdr:cNvSpPr/>
      </xdr:nvSpPr>
      <xdr:spPr>
        <a:xfrm>
          <a:off x="7688648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130</xdr:row>
      <xdr:rowOff>60069</xdr:rowOff>
    </xdr:from>
    <xdr:ext cx="586966" cy="284746"/>
    <xdr:sp macro="" textlink="">
      <xdr:nvSpPr>
        <xdr:cNvPr id="696" name="Shape 345">
          <a:extLst>
            <a:ext uri="{FF2B5EF4-FFF2-40B4-BE49-F238E27FC236}">
              <a16:creationId xmlns:a16="http://schemas.microsoft.com/office/drawing/2014/main" id="{84295C68-3509-414E-80EB-6FEEF83A95DF}"/>
            </a:ext>
          </a:extLst>
        </xdr:cNvPr>
        <xdr:cNvSpPr/>
      </xdr:nvSpPr>
      <xdr:spPr>
        <a:xfrm>
          <a:off x="8872837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130</xdr:row>
      <xdr:rowOff>60069</xdr:rowOff>
    </xdr:from>
    <xdr:ext cx="586966" cy="284746"/>
    <xdr:sp macro="" textlink="">
      <xdr:nvSpPr>
        <xdr:cNvPr id="697" name="Shape 345">
          <a:extLst>
            <a:ext uri="{FF2B5EF4-FFF2-40B4-BE49-F238E27FC236}">
              <a16:creationId xmlns:a16="http://schemas.microsoft.com/office/drawing/2014/main" id="{9CB60E63-DB64-4285-9A31-89AE3623069D}"/>
            </a:ext>
          </a:extLst>
        </xdr:cNvPr>
        <xdr:cNvSpPr/>
      </xdr:nvSpPr>
      <xdr:spPr>
        <a:xfrm>
          <a:off x="10057026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130</xdr:row>
      <xdr:rowOff>60069</xdr:rowOff>
    </xdr:from>
    <xdr:ext cx="586966" cy="284746"/>
    <xdr:sp macro="" textlink="">
      <xdr:nvSpPr>
        <xdr:cNvPr id="698" name="Shape 345">
          <a:extLst>
            <a:ext uri="{FF2B5EF4-FFF2-40B4-BE49-F238E27FC236}">
              <a16:creationId xmlns:a16="http://schemas.microsoft.com/office/drawing/2014/main" id="{570EB3D3-D804-4732-A49B-987FFF624CF1}"/>
            </a:ext>
          </a:extLst>
        </xdr:cNvPr>
        <xdr:cNvSpPr/>
      </xdr:nvSpPr>
      <xdr:spPr>
        <a:xfrm>
          <a:off x="11241216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130</xdr:row>
      <xdr:rowOff>60069</xdr:rowOff>
    </xdr:from>
    <xdr:ext cx="586966" cy="284746"/>
    <xdr:sp macro="" textlink="">
      <xdr:nvSpPr>
        <xdr:cNvPr id="699" name="Shape 345">
          <a:extLst>
            <a:ext uri="{FF2B5EF4-FFF2-40B4-BE49-F238E27FC236}">
              <a16:creationId xmlns:a16="http://schemas.microsoft.com/office/drawing/2014/main" id="{1DD7FA03-7EDC-4EF4-A37D-1CFAA64E31BF}"/>
            </a:ext>
          </a:extLst>
        </xdr:cNvPr>
        <xdr:cNvSpPr/>
      </xdr:nvSpPr>
      <xdr:spPr>
        <a:xfrm>
          <a:off x="12425405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130</xdr:row>
      <xdr:rowOff>60069</xdr:rowOff>
    </xdr:from>
    <xdr:ext cx="586966" cy="284746"/>
    <xdr:sp macro="" textlink="">
      <xdr:nvSpPr>
        <xdr:cNvPr id="700" name="Shape 345">
          <a:extLst>
            <a:ext uri="{FF2B5EF4-FFF2-40B4-BE49-F238E27FC236}">
              <a16:creationId xmlns:a16="http://schemas.microsoft.com/office/drawing/2014/main" id="{F10BE660-BD65-4FA5-9699-FA2B2ACA2F4D}"/>
            </a:ext>
          </a:extLst>
        </xdr:cNvPr>
        <xdr:cNvSpPr/>
      </xdr:nvSpPr>
      <xdr:spPr>
        <a:xfrm>
          <a:off x="13609594" y="2411283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137</xdr:row>
      <xdr:rowOff>60067</xdr:rowOff>
    </xdr:from>
    <xdr:ext cx="586966" cy="284746"/>
    <xdr:sp macro="" textlink="">
      <xdr:nvSpPr>
        <xdr:cNvPr id="701" name="Shape 345">
          <a:extLst>
            <a:ext uri="{FF2B5EF4-FFF2-40B4-BE49-F238E27FC236}">
              <a16:creationId xmlns:a16="http://schemas.microsoft.com/office/drawing/2014/main" id="{F32B6CB3-CDA3-4B1D-957A-17D0BD718FD3}"/>
            </a:ext>
          </a:extLst>
        </xdr:cNvPr>
        <xdr:cNvSpPr/>
      </xdr:nvSpPr>
      <xdr:spPr>
        <a:xfrm>
          <a:off x="574932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137</xdr:row>
      <xdr:rowOff>60067</xdr:rowOff>
    </xdr:from>
    <xdr:ext cx="586966" cy="284746"/>
    <xdr:sp macro="" textlink="">
      <xdr:nvSpPr>
        <xdr:cNvPr id="702" name="Shape 345">
          <a:extLst>
            <a:ext uri="{FF2B5EF4-FFF2-40B4-BE49-F238E27FC236}">
              <a16:creationId xmlns:a16="http://schemas.microsoft.com/office/drawing/2014/main" id="{D02C63C9-3E4C-46CA-B0FF-574330A4B5C3}"/>
            </a:ext>
          </a:extLst>
        </xdr:cNvPr>
        <xdr:cNvSpPr/>
      </xdr:nvSpPr>
      <xdr:spPr>
        <a:xfrm>
          <a:off x="1767702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137</xdr:row>
      <xdr:rowOff>60067</xdr:rowOff>
    </xdr:from>
    <xdr:ext cx="586966" cy="284746"/>
    <xdr:sp macro="" textlink="">
      <xdr:nvSpPr>
        <xdr:cNvPr id="703" name="Shape 345">
          <a:extLst>
            <a:ext uri="{FF2B5EF4-FFF2-40B4-BE49-F238E27FC236}">
              <a16:creationId xmlns:a16="http://schemas.microsoft.com/office/drawing/2014/main" id="{46A561B3-366C-4974-AD59-7040BBC8FEB5}"/>
            </a:ext>
          </a:extLst>
        </xdr:cNvPr>
        <xdr:cNvSpPr/>
      </xdr:nvSpPr>
      <xdr:spPr>
        <a:xfrm>
          <a:off x="2951891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137</xdr:row>
      <xdr:rowOff>60067</xdr:rowOff>
    </xdr:from>
    <xdr:ext cx="586966" cy="284746"/>
    <xdr:sp macro="" textlink="">
      <xdr:nvSpPr>
        <xdr:cNvPr id="704" name="Shape 345">
          <a:extLst>
            <a:ext uri="{FF2B5EF4-FFF2-40B4-BE49-F238E27FC236}">
              <a16:creationId xmlns:a16="http://schemas.microsoft.com/office/drawing/2014/main" id="{89213B5C-BE8B-479B-A1BE-D81F55120425}"/>
            </a:ext>
          </a:extLst>
        </xdr:cNvPr>
        <xdr:cNvSpPr/>
      </xdr:nvSpPr>
      <xdr:spPr>
        <a:xfrm>
          <a:off x="4136080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137</xdr:row>
      <xdr:rowOff>60067</xdr:rowOff>
    </xdr:from>
    <xdr:ext cx="586966" cy="284746"/>
    <xdr:sp macro="" textlink="">
      <xdr:nvSpPr>
        <xdr:cNvPr id="705" name="Shape 345">
          <a:extLst>
            <a:ext uri="{FF2B5EF4-FFF2-40B4-BE49-F238E27FC236}">
              <a16:creationId xmlns:a16="http://schemas.microsoft.com/office/drawing/2014/main" id="{3FDFD440-A053-4883-986D-B4BCA9B269F3}"/>
            </a:ext>
          </a:extLst>
        </xdr:cNvPr>
        <xdr:cNvSpPr/>
      </xdr:nvSpPr>
      <xdr:spPr>
        <a:xfrm>
          <a:off x="5320270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137</xdr:row>
      <xdr:rowOff>60067</xdr:rowOff>
    </xdr:from>
    <xdr:ext cx="586966" cy="284746"/>
    <xdr:sp macro="" textlink="">
      <xdr:nvSpPr>
        <xdr:cNvPr id="706" name="Shape 345">
          <a:extLst>
            <a:ext uri="{FF2B5EF4-FFF2-40B4-BE49-F238E27FC236}">
              <a16:creationId xmlns:a16="http://schemas.microsoft.com/office/drawing/2014/main" id="{0EB068F4-FBB6-45F7-8976-C9D7443E7224}"/>
            </a:ext>
          </a:extLst>
        </xdr:cNvPr>
        <xdr:cNvSpPr/>
      </xdr:nvSpPr>
      <xdr:spPr>
        <a:xfrm>
          <a:off x="6504459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137</xdr:row>
      <xdr:rowOff>60067</xdr:rowOff>
    </xdr:from>
    <xdr:ext cx="586966" cy="284746"/>
    <xdr:sp macro="" textlink="">
      <xdr:nvSpPr>
        <xdr:cNvPr id="707" name="Shape 345">
          <a:extLst>
            <a:ext uri="{FF2B5EF4-FFF2-40B4-BE49-F238E27FC236}">
              <a16:creationId xmlns:a16="http://schemas.microsoft.com/office/drawing/2014/main" id="{42022B07-1633-447E-9518-09AD43537D00}"/>
            </a:ext>
          </a:extLst>
        </xdr:cNvPr>
        <xdr:cNvSpPr/>
      </xdr:nvSpPr>
      <xdr:spPr>
        <a:xfrm>
          <a:off x="7688648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137</xdr:row>
      <xdr:rowOff>60067</xdr:rowOff>
    </xdr:from>
    <xdr:ext cx="586966" cy="284746"/>
    <xdr:sp macro="" textlink="">
      <xdr:nvSpPr>
        <xdr:cNvPr id="708" name="Shape 345">
          <a:extLst>
            <a:ext uri="{FF2B5EF4-FFF2-40B4-BE49-F238E27FC236}">
              <a16:creationId xmlns:a16="http://schemas.microsoft.com/office/drawing/2014/main" id="{AF74A0CD-CA21-4D40-AE5E-A545D1788D44}"/>
            </a:ext>
          </a:extLst>
        </xdr:cNvPr>
        <xdr:cNvSpPr/>
      </xdr:nvSpPr>
      <xdr:spPr>
        <a:xfrm>
          <a:off x="8872837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137</xdr:row>
      <xdr:rowOff>60067</xdr:rowOff>
    </xdr:from>
    <xdr:ext cx="586966" cy="284746"/>
    <xdr:sp macro="" textlink="">
      <xdr:nvSpPr>
        <xdr:cNvPr id="709" name="Shape 345">
          <a:extLst>
            <a:ext uri="{FF2B5EF4-FFF2-40B4-BE49-F238E27FC236}">
              <a16:creationId xmlns:a16="http://schemas.microsoft.com/office/drawing/2014/main" id="{93DD05D2-A8EA-4947-895B-E791EA8A7E44}"/>
            </a:ext>
          </a:extLst>
        </xdr:cNvPr>
        <xdr:cNvSpPr/>
      </xdr:nvSpPr>
      <xdr:spPr>
        <a:xfrm>
          <a:off x="10057026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137</xdr:row>
      <xdr:rowOff>60067</xdr:rowOff>
    </xdr:from>
    <xdr:ext cx="586966" cy="284746"/>
    <xdr:sp macro="" textlink="">
      <xdr:nvSpPr>
        <xdr:cNvPr id="710" name="Shape 345">
          <a:extLst>
            <a:ext uri="{FF2B5EF4-FFF2-40B4-BE49-F238E27FC236}">
              <a16:creationId xmlns:a16="http://schemas.microsoft.com/office/drawing/2014/main" id="{D059925B-6B69-48A2-9BE0-FD3DB1117C68}"/>
            </a:ext>
          </a:extLst>
        </xdr:cNvPr>
        <xdr:cNvSpPr/>
      </xdr:nvSpPr>
      <xdr:spPr>
        <a:xfrm>
          <a:off x="11241216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137</xdr:row>
      <xdr:rowOff>60067</xdr:rowOff>
    </xdr:from>
    <xdr:ext cx="586966" cy="284746"/>
    <xdr:sp macro="" textlink="">
      <xdr:nvSpPr>
        <xdr:cNvPr id="711" name="Shape 345">
          <a:extLst>
            <a:ext uri="{FF2B5EF4-FFF2-40B4-BE49-F238E27FC236}">
              <a16:creationId xmlns:a16="http://schemas.microsoft.com/office/drawing/2014/main" id="{A70BBB80-E513-426A-B326-998B3D7DF1EF}"/>
            </a:ext>
          </a:extLst>
        </xdr:cNvPr>
        <xdr:cNvSpPr/>
      </xdr:nvSpPr>
      <xdr:spPr>
        <a:xfrm>
          <a:off x="12425405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137</xdr:row>
      <xdr:rowOff>60067</xdr:rowOff>
    </xdr:from>
    <xdr:ext cx="586966" cy="284746"/>
    <xdr:sp macro="" textlink="">
      <xdr:nvSpPr>
        <xdr:cNvPr id="712" name="Shape 345">
          <a:extLst>
            <a:ext uri="{FF2B5EF4-FFF2-40B4-BE49-F238E27FC236}">
              <a16:creationId xmlns:a16="http://schemas.microsoft.com/office/drawing/2014/main" id="{F8D206B7-0A56-4275-AC81-A9C4E88373D6}"/>
            </a:ext>
          </a:extLst>
        </xdr:cNvPr>
        <xdr:cNvSpPr/>
      </xdr:nvSpPr>
      <xdr:spPr>
        <a:xfrm>
          <a:off x="13609594" y="25408581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144</xdr:row>
      <xdr:rowOff>60068</xdr:rowOff>
    </xdr:from>
    <xdr:ext cx="586966" cy="284746"/>
    <xdr:sp macro="" textlink="">
      <xdr:nvSpPr>
        <xdr:cNvPr id="713" name="Shape 345">
          <a:extLst>
            <a:ext uri="{FF2B5EF4-FFF2-40B4-BE49-F238E27FC236}">
              <a16:creationId xmlns:a16="http://schemas.microsoft.com/office/drawing/2014/main" id="{97F149AE-9A1F-41F9-A77C-B6250A65E9B3}"/>
            </a:ext>
          </a:extLst>
        </xdr:cNvPr>
        <xdr:cNvSpPr/>
      </xdr:nvSpPr>
      <xdr:spPr>
        <a:xfrm>
          <a:off x="574932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144</xdr:row>
      <xdr:rowOff>60068</xdr:rowOff>
    </xdr:from>
    <xdr:ext cx="586966" cy="284746"/>
    <xdr:sp macro="" textlink="">
      <xdr:nvSpPr>
        <xdr:cNvPr id="714" name="Shape 345">
          <a:extLst>
            <a:ext uri="{FF2B5EF4-FFF2-40B4-BE49-F238E27FC236}">
              <a16:creationId xmlns:a16="http://schemas.microsoft.com/office/drawing/2014/main" id="{0D575FC2-97FB-47CA-9E31-C284900659AE}"/>
            </a:ext>
          </a:extLst>
        </xdr:cNvPr>
        <xdr:cNvSpPr/>
      </xdr:nvSpPr>
      <xdr:spPr>
        <a:xfrm>
          <a:off x="1767702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144</xdr:row>
      <xdr:rowOff>60068</xdr:rowOff>
    </xdr:from>
    <xdr:ext cx="586966" cy="284746"/>
    <xdr:sp macro="" textlink="">
      <xdr:nvSpPr>
        <xdr:cNvPr id="715" name="Shape 345">
          <a:extLst>
            <a:ext uri="{FF2B5EF4-FFF2-40B4-BE49-F238E27FC236}">
              <a16:creationId xmlns:a16="http://schemas.microsoft.com/office/drawing/2014/main" id="{3AE44CB1-8480-47A9-8050-74A2DBBD7041}"/>
            </a:ext>
          </a:extLst>
        </xdr:cNvPr>
        <xdr:cNvSpPr/>
      </xdr:nvSpPr>
      <xdr:spPr>
        <a:xfrm>
          <a:off x="2951891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144</xdr:row>
      <xdr:rowOff>60068</xdr:rowOff>
    </xdr:from>
    <xdr:ext cx="586966" cy="284746"/>
    <xdr:sp macro="" textlink="">
      <xdr:nvSpPr>
        <xdr:cNvPr id="716" name="Shape 345">
          <a:extLst>
            <a:ext uri="{FF2B5EF4-FFF2-40B4-BE49-F238E27FC236}">
              <a16:creationId xmlns:a16="http://schemas.microsoft.com/office/drawing/2014/main" id="{BE79DBB1-84A7-4369-882F-F068EBC0ED0F}"/>
            </a:ext>
          </a:extLst>
        </xdr:cNvPr>
        <xdr:cNvSpPr/>
      </xdr:nvSpPr>
      <xdr:spPr>
        <a:xfrm>
          <a:off x="4136080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144</xdr:row>
      <xdr:rowOff>60068</xdr:rowOff>
    </xdr:from>
    <xdr:ext cx="586966" cy="284746"/>
    <xdr:sp macro="" textlink="">
      <xdr:nvSpPr>
        <xdr:cNvPr id="717" name="Shape 345">
          <a:extLst>
            <a:ext uri="{FF2B5EF4-FFF2-40B4-BE49-F238E27FC236}">
              <a16:creationId xmlns:a16="http://schemas.microsoft.com/office/drawing/2014/main" id="{78DB80EC-313D-43C3-930A-8A7034ADDEB9}"/>
            </a:ext>
          </a:extLst>
        </xdr:cNvPr>
        <xdr:cNvSpPr/>
      </xdr:nvSpPr>
      <xdr:spPr>
        <a:xfrm>
          <a:off x="5320270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144</xdr:row>
      <xdr:rowOff>60068</xdr:rowOff>
    </xdr:from>
    <xdr:ext cx="586966" cy="284746"/>
    <xdr:sp macro="" textlink="">
      <xdr:nvSpPr>
        <xdr:cNvPr id="718" name="Shape 345">
          <a:extLst>
            <a:ext uri="{FF2B5EF4-FFF2-40B4-BE49-F238E27FC236}">
              <a16:creationId xmlns:a16="http://schemas.microsoft.com/office/drawing/2014/main" id="{0BEB87DB-6643-436C-88D6-B6BE1404594B}"/>
            </a:ext>
          </a:extLst>
        </xdr:cNvPr>
        <xdr:cNvSpPr/>
      </xdr:nvSpPr>
      <xdr:spPr>
        <a:xfrm>
          <a:off x="6504459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144</xdr:row>
      <xdr:rowOff>60068</xdr:rowOff>
    </xdr:from>
    <xdr:ext cx="586966" cy="284746"/>
    <xdr:sp macro="" textlink="">
      <xdr:nvSpPr>
        <xdr:cNvPr id="719" name="Shape 345">
          <a:extLst>
            <a:ext uri="{FF2B5EF4-FFF2-40B4-BE49-F238E27FC236}">
              <a16:creationId xmlns:a16="http://schemas.microsoft.com/office/drawing/2014/main" id="{BBD624A1-45C9-4699-A8A7-FCEF4D3E0361}"/>
            </a:ext>
          </a:extLst>
        </xdr:cNvPr>
        <xdr:cNvSpPr/>
      </xdr:nvSpPr>
      <xdr:spPr>
        <a:xfrm>
          <a:off x="7688648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144</xdr:row>
      <xdr:rowOff>60068</xdr:rowOff>
    </xdr:from>
    <xdr:ext cx="586966" cy="284746"/>
    <xdr:sp macro="" textlink="">
      <xdr:nvSpPr>
        <xdr:cNvPr id="720" name="Shape 345">
          <a:extLst>
            <a:ext uri="{FF2B5EF4-FFF2-40B4-BE49-F238E27FC236}">
              <a16:creationId xmlns:a16="http://schemas.microsoft.com/office/drawing/2014/main" id="{BCCC88EB-B1C6-444E-89B5-431FC8826E44}"/>
            </a:ext>
          </a:extLst>
        </xdr:cNvPr>
        <xdr:cNvSpPr/>
      </xdr:nvSpPr>
      <xdr:spPr>
        <a:xfrm>
          <a:off x="8872837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144</xdr:row>
      <xdr:rowOff>60068</xdr:rowOff>
    </xdr:from>
    <xdr:ext cx="586966" cy="284746"/>
    <xdr:sp macro="" textlink="">
      <xdr:nvSpPr>
        <xdr:cNvPr id="721" name="Shape 345">
          <a:extLst>
            <a:ext uri="{FF2B5EF4-FFF2-40B4-BE49-F238E27FC236}">
              <a16:creationId xmlns:a16="http://schemas.microsoft.com/office/drawing/2014/main" id="{ECF45DBF-E50D-48AF-9953-0C28124B45BA}"/>
            </a:ext>
          </a:extLst>
        </xdr:cNvPr>
        <xdr:cNvSpPr/>
      </xdr:nvSpPr>
      <xdr:spPr>
        <a:xfrm>
          <a:off x="10057026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144</xdr:row>
      <xdr:rowOff>60068</xdr:rowOff>
    </xdr:from>
    <xdr:ext cx="586966" cy="284746"/>
    <xdr:sp macro="" textlink="">
      <xdr:nvSpPr>
        <xdr:cNvPr id="722" name="Shape 345">
          <a:extLst>
            <a:ext uri="{FF2B5EF4-FFF2-40B4-BE49-F238E27FC236}">
              <a16:creationId xmlns:a16="http://schemas.microsoft.com/office/drawing/2014/main" id="{1E222776-5543-49E8-BA9F-3898AFE401FE}"/>
            </a:ext>
          </a:extLst>
        </xdr:cNvPr>
        <xdr:cNvSpPr/>
      </xdr:nvSpPr>
      <xdr:spPr>
        <a:xfrm>
          <a:off x="11241216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144</xdr:row>
      <xdr:rowOff>60068</xdr:rowOff>
    </xdr:from>
    <xdr:ext cx="586966" cy="284746"/>
    <xdr:sp macro="" textlink="">
      <xdr:nvSpPr>
        <xdr:cNvPr id="723" name="Shape 345">
          <a:extLst>
            <a:ext uri="{FF2B5EF4-FFF2-40B4-BE49-F238E27FC236}">
              <a16:creationId xmlns:a16="http://schemas.microsoft.com/office/drawing/2014/main" id="{46EEA796-8CBC-49C7-AFBB-6A494DC94E0F}"/>
            </a:ext>
          </a:extLst>
        </xdr:cNvPr>
        <xdr:cNvSpPr/>
      </xdr:nvSpPr>
      <xdr:spPr>
        <a:xfrm>
          <a:off x="12425405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144</xdr:row>
      <xdr:rowOff>60068</xdr:rowOff>
    </xdr:from>
    <xdr:ext cx="586966" cy="284746"/>
    <xdr:sp macro="" textlink="">
      <xdr:nvSpPr>
        <xdr:cNvPr id="724" name="Shape 345">
          <a:extLst>
            <a:ext uri="{FF2B5EF4-FFF2-40B4-BE49-F238E27FC236}">
              <a16:creationId xmlns:a16="http://schemas.microsoft.com/office/drawing/2014/main" id="{8F1A381B-619E-4252-AAD4-604869B57BAE}"/>
            </a:ext>
          </a:extLst>
        </xdr:cNvPr>
        <xdr:cNvSpPr/>
      </xdr:nvSpPr>
      <xdr:spPr>
        <a:xfrm>
          <a:off x="13609594" y="2668716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60069</xdr:rowOff>
    </xdr:from>
    <xdr:ext cx="586966" cy="284746"/>
    <xdr:sp macro="" textlink="">
      <xdr:nvSpPr>
        <xdr:cNvPr id="725" name="Shape 345">
          <a:extLst>
            <a:ext uri="{FF2B5EF4-FFF2-40B4-BE49-F238E27FC236}">
              <a16:creationId xmlns:a16="http://schemas.microsoft.com/office/drawing/2014/main" id="{4CD8C0EF-26BE-48CD-A11A-12A940C3DE88}"/>
            </a:ext>
          </a:extLst>
        </xdr:cNvPr>
        <xdr:cNvSpPr/>
      </xdr:nvSpPr>
      <xdr:spPr>
        <a:xfrm>
          <a:off x="574932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151</xdr:row>
      <xdr:rowOff>60069</xdr:rowOff>
    </xdr:from>
    <xdr:ext cx="586966" cy="284746"/>
    <xdr:sp macro="" textlink="">
      <xdr:nvSpPr>
        <xdr:cNvPr id="726" name="Shape 345">
          <a:extLst>
            <a:ext uri="{FF2B5EF4-FFF2-40B4-BE49-F238E27FC236}">
              <a16:creationId xmlns:a16="http://schemas.microsoft.com/office/drawing/2014/main" id="{E92EDBEF-1651-4A80-B935-E1B09E587423}"/>
            </a:ext>
          </a:extLst>
        </xdr:cNvPr>
        <xdr:cNvSpPr/>
      </xdr:nvSpPr>
      <xdr:spPr>
        <a:xfrm>
          <a:off x="1767702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151</xdr:row>
      <xdr:rowOff>60069</xdr:rowOff>
    </xdr:from>
    <xdr:ext cx="586966" cy="284746"/>
    <xdr:sp macro="" textlink="">
      <xdr:nvSpPr>
        <xdr:cNvPr id="727" name="Shape 345">
          <a:extLst>
            <a:ext uri="{FF2B5EF4-FFF2-40B4-BE49-F238E27FC236}">
              <a16:creationId xmlns:a16="http://schemas.microsoft.com/office/drawing/2014/main" id="{F6F47684-3333-4289-8B62-CCDCB6B8DFD4}"/>
            </a:ext>
          </a:extLst>
        </xdr:cNvPr>
        <xdr:cNvSpPr/>
      </xdr:nvSpPr>
      <xdr:spPr>
        <a:xfrm>
          <a:off x="2951891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151</xdr:row>
      <xdr:rowOff>60069</xdr:rowOff>
    </xdr:from>
    <xdr:ext cx="586966" cy="284746"/>
    <xdr:sp macro="" textlink="">
      <xdr:nvSpPr>
        <xdr:cNvPr id="728" name="Shape 345">
          <a:extLst>
            <a:ext uri="{FF2B5EF4-FFF2-40B4-BE49-F238E27FC236}">
              <a16:creationId xmlns:a16="http://schemas.microsoft.com/office/drawing/2014/main" id="{55192441-892B-439E-A42C-7C692AAFC238}"/>
            </a:ext>
          </a:extLst>
        </xdr:cNvPr>
        <xdr:cNvSpPr/>
      </xdr:nvSpPr>
      <xdr:spPr>
        <a:xfrm>
          <a:off x="4136080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151</xdr:row>
      <xdr:rowOff>60069</xdr:rowOff>
    </xdr:from>
    <xdr:ext cx="586966" cy="284746"/>
    <xdr:sp macro="" textlink="">
      <xdr:nvSpPr>
        <xdr:cNvPr id="729" name="Shape 345">
          <a:extLst>
            <a:ext uri="{FF2B5EF4-FFF2-40B4-BE49-F238E27FC236}">
              <a16:creationId xmlns:a16="http://schemas.microsoft.com/office/drawing/2014/main" id="{39177672-E645-4883-82A8-A3AE1302C80B}"/>
            </a:ext>
          </a:extLst>
        </xdr:cNvPr>
        <xdr:cNvSpPr/>
      </xdr:nvSpPr>
      <xdr:spPr>
        <a:xfrm>
          <a:off x="5320270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151</xdr:row>
      <xdr:rowOff>60069</xdr:rowOff>
    </xdr:from>
    <xdr:ext cx="586966" cy="284746"/>
    <xdr:sp macro="" textlink="">
      <xdr:nvSpPr>
        <xdr:cNvPr id="730" name="Shape 345">
          <a:extLst>
            <a:ext uri="{FF2B5EF4-FFF2-40B4-BE49-F238E27FC236}">
              <a16:creationId xmlns:a16="http://schemas.microsoft.com/office/drawing/2014/main" id="{F9CEA4F0-79D5-4563-B4F6-CE4282525FD4}"/>
            </a:ext>
          </a:extLst>
        </xdr:cNvPr>
        <xdr:cNvSpPr/>
      </xdr:nvSpPr>
      <xdr:spPr>
        <a:xfrm>
          <a:off x="6504459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151</xdr:row>
      <xdr:rowOff>60069</xdr:rowOff>
    </xdr:from>
    <xdr:ext cx="586966" cy="284746"/>
    <xdr:sp macro="" textlink="">
      <xdr:nvSpPr>
        <xdr:cNvPr id="731" name="Shape 345">
          <a:extLst>
            <a:ext uri="{FF2B5EF4-FFF2-40B4-BE49-F238E27FC236}">
              <a16:creationId xmlns:a16="http://schemas.microsoft.com/office/drawing/2014/main" id="{414FE76D-BC99-4837-87BD-0F7FCA5BD19E}"/>
            </a:ext>
          </a:extLst>
        </xdr:cNvPr>
        <xdr:cNvSpPr/>
      </xdr:nvSpPr>
      <xdr:spPr>
        <a:xfrm>
          <a:off x="7688648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151</xdr:row>
      <xdr:rowOff>60069</xdr:rowOff>
    </xdr:from>
    <xdr:ext cx="586966" cy="284746"/>
    <xdr:sp macro="" textlink="">
      <xdr:nvSpPr>
        <xdr:cNvPr id="732" name="Shape 345">
          <a:extLst>
            <a:ext uri="{FF2B5EF4-FFF2-40B4-BE49-F238E27FC236}">
              <a16:creationId xmlns:a16="http://schemas.microsoft.com/office/drawing/2014/main" id="{2C8423F3-6F68-4439-9878-9A1DAE90E1F3}"/>
            </a:ext>
          </a:extLst>
        </xdr:cNvPr>
        <xdr:cNvSpPr/>
      </xdr:nvSpPr>
      <xdr:spPr>
        <a:xfrm>
          <a:off x="8872837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151</xdr:row>
      <xdr:rowOff>60069</xdr:rowOff>
    </xdr:from>
    <xdr:ext cx="586966" cy="284746"/>
    <xdr:sp macro="" textlink="">
      <xdr:nvSpPr>
        <xdr:cNvPr id="733" name="Shape 345">
          <a:extLst>
            <a:ext uri="{FF2B5EF4-FFF2-40B4-BE49-F238E27FC236}">
              <a16:creationId xmlns:a16="http://schemas.microsoft.com/office/drawing/2014/main" id="{896E8D5E-CBF4-4D20-BB57-F3E98736C760}"/>
            </a:ext>
          </a:extLst>
        </xdr:cNvPr>
        <xdr:cNvSpPr/>
      </xdr:nvSpPr>
      <xdr:spPr>
        <a:xfrm>
          <a:off x="10057026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151</xdr:row>
      <xdr:rowOff>60069</xdr:rowOff>
    </xdr:from>
    <xdr:ext cx="586966" cy="284746"/>
    <xdr:sp macro="" textlink="">
      <xdr:nvSpPr>
        <xdr:cNvPr id="734" name="Shape 345">
          <a:extLst>
            <a:ext uri="{FF2B5EF4-FFF2-40B4-BE49-F238E27FC236}">
              <a16:creationId xmlns:a16="http://schemas.microsoft.com/office/drawing/2014/main" id="{73FC8A61-9EBA-4CB4-89E4-1E2DC7920BE9}"/>
            </a:ext>
          </a:extLst>
        </xdr:cNvPr>
        <xdr:cNvSpPr/>
      </xdr:nvSpPr>
      <xdr:spPr>
        <a:xfrm>
          <a:off x="11241216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151</xdr:row>
      <xdr:rowOff>60069</xdr:rowOff>
    </xdr:from>
    <xdr:ext cx="586966" cy="284746"/>
    <xdr:sp macro="" textlink="">
      <xdr:nvSpPr>
        <xdr:cNvPr id="735" name="Shape 345">
          <a:extLst>
            <a:ext uri="{FF2B5EF4-FFF2-40B4-BE49-F238E27FC236}">
              <a16:creationId xmlns:a16="http://schemas.microsoft.com/office/drawing/2014/main" id="{57A5909A-14CD-4915-BF8C-12755122CCB9}"/>
            </a:ext>
          </a:extLst>
        </xdr:cNvPr>
        <xdr:cNvSpPr/>
      </xdr:nvSpPr>
      <xdr:spPr>
        <a:xfrm>
          <a:off x="12425405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151</xdr:row>
      <xdr:rowOff>60069</xdr:rowOff>
    </xdr:from>
    <xdr:ext cx="586966" cy="284746"/>
    <xdr:sp macro="" textlink="">
      <xdr:nvSpPr>
        <xdr:cNvPr id="736" name="Shape 345">
          <a:extLst>
            <a:ext uri="{FF2B5EF4-FFF2-40B4-BE49-F238E27FC236}">
              <a16:creationId xmlns:a16="http://schemas.microsoft.com/office/drawing/2014/main" id="{7EC21EAE-327C-43A0-91FA-A2BBB8AEC6A6}"/>
            </a:ext>
          </a:extLst>
        </xdr:cNvPr>
        <xdr:cNvSpPr/>
      </xdr:nvSpPr>
      <xdr:spPr>
        <a:xfrm>
          <a:off x="13609594" y="2798290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158</xdr:row>
      <xdr:rowOff>60069</xdr:rowOff>
    </xdr:from>
    <xdr:ext cx="586966" cy="284746"/>
    <xdr:sp macro="" textlink="">
      <xdr:nvSpPr>
        <xdr:cNvPr id="737" name="Shape 345">
          <a:extLst>
            <a:ext uri="{FF2B5EF4-FFF2-40B4-BE49-F238E27FC236}">
              <a16:creationId xmlns:a16="http://schemas.microsoft.com/office/drawing/2014/main" id="{7F8ACE98-37A1-4796-902A-B2D4E00AAFE1}"/>
            </a:ext>
          </a:extLst>
        </xdr:cNvPr>
        <xdr:cNvSpPr/>
      </xdr:nvSpPr>
      <xdr:spPr>
        <a:xfrm>
          <a:off x="574932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158</xdr:row>
      <xdr:rowOff>60069</xdr:rowOff>
    </xdr:from>
    <xdr:ext cx="586966" cy="284746"/>
    <xdr:sp macro="" textlink="">
      <xdr:nvSpPr>
        <xdr:cNvPr id="738" name="Shape 345">
          <a:extLst>
            <a:ext uri="{FF2B5EF4-FFF2-40B4-BE49-F238E27FC236}">
              <a16:creationId xmlns:a16="http://schemas.microsoft.com/office/drawing/2014/main" id="{B38DF1CA-FD60-4A99-BADC-61EDE5FA3E31}"/>
            </a:ext>
          </a:extLst>
        </xdr:cNvPr>
        <xdr:cNvSpPr/>
      </xdr:nvSpPr>
      <xdr:spPr>
        <a:xfrm>
          <a:off x="1767702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158</xdr:row>
      <xdr:rowOff>60069</xdr:rowOff>
    </xdr:from>
    <xdr:ext cx="586966" cy="284746"/>
    <xdr:sp macro="" textlink="">
      <xdr:nvSpPr>
        <xdr:cNvPr id="739" name="Shape 345">
          <a:extLst>
            <a:ext uri="{FF2B5EF4-FFF2-40B4-BE49-F238E27FC236}">
              <a16:creationId xmlns:a16="http://schemas.microsoft.com/office/drawing/2014/main" id="{EAF0E61B-11FD-49A0-B1A7-AF2758FA7E87}"/>
            </a:ext>
          </a:extLst>
        </xdr:cNvPr>
        <xdr:cNvSpPr/>
      </xdr:nvSpPr>
      <xdr:spPr>
        <a:xfrm>
          <a:off x="2951891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158</xdr:row>
      <xdr:rowOff>60069</xdr:rowOff>
    </xdr:from>
    <xdr:ext cx="586966" cy="284746"/>
    <xdr:sp macro="" textlink="">
      <xdr:nvSpPr>
        <xdr:cNvPr id="740" name="Shape 345">
          <a:extLst>
            <a:ext uri="{FF2B5EF4-FFF2-40B4-BE49-F238E27FC236}">
              <a16:creationId xmlns:a16="http://schemas.microsoft.com/office/drawing/2014/main" id="{FB264E17-0230-41BF-B9DD-667556A21E09}"/>
            </a:ext>
          </a:extLst>
        </xdr:cNvPr>
        <xdr:cNvSpPr/>
      </xdr:nvSpPr>
      <xdr:spPr>
        <a:xfrm>
          <a:off x="4136080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158</xdr:row>
      <xdr:rowOff>60069</xdr:rowOff>
    </xdr:from>
    <xdr:ext cx="586966" cy="284746"/>
    <xdr:sp macro="" textlink="">
      <xdr:nvSpPr>
        <xdr:cNvPr id="741" name="Shape 345">
          <a:extLst>
            <a:ext uri="{FF2B5EF4-FFF2-40B4-BE49-F238E27FC236}">
              <a16:creationId xmlns:a16="http://schemas.microsoft.com/office/drawing/2014/main" id="{B8F36A86-5969-4A89-ACBD-9007FFDDE27E}"/>
            </a:ext>
          </a:extLst>
        </xdr:cNvPr>
        <xdr:cNvSpPr/>
      </xdr:nvSpPr>
      <xdr:spPr>
        <a:xfrm>
          <a:off x="5320270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158</xdr:row>
      <xdr:rowOff>60069</xdr:rowOff>
    </xdr:from>
    <xdr:ext cx="586966" cy="284746"/>
    <xdr:sp macro="" textlink="">
      <xdr:nvSpPr>
        <xdr:cNvPr id="742" name="Shape 345">
          <a:extLst>
            <a:ext uri="{FF2B5EF4-FFF2-40B4-BE49-F238E27FC236}">
              <a16:creationId xmlns:a16="http://schemas.microsoft.com/office/drawing/2014/main" id="{CE050BC1-8957-40C2-AC02-4EC9D881BFE2}"/>
            </a:ext>
          </a:extLst>
        </xdr:cNvPr>
        <xdr:cNvSpPr/>
      </xdr:nvSpPr>
      <xdr:spPr>
        <a:xfrm>
          <a:off x="6504459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158</xdr:row>
      <xdr:rowOff>60069</xdr:rowOff>
    </xdr:from>
    <xdr:ext cx="586966" cy="284746"/>
    <xdr:sp macro="" textlink="">
      <xdr:nvSpPr>
        <xdr:cNvPr id="743" name="Shape 345">
          <a:extLst>
            <a:ext uri="{FF2B5EF4-FFF2-40B4-BE49-F238E27FC236}">
              <a16:creationId xmlns:a16="http://schemas.microsoft.com/office/drawing/2014/main" id="{EC255757-BC26-4D76-85E4-2C775BEF5DB0}"/>
            </a:ext>
          </a:extLst>
        </xdr:cNvPr>
        <xdr:cNvSpPr/>
      </xdr:nvSpPr>
      <xdr:spPr>
        <a:xfrm>
          <a:off x="7688648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158</xdr:row>
      <xdr:rowOff>60069</xdr:rowOff>
    </xdr:from>
    <xdr:ext cx="586966" cy="284746"/>
    <xdr:sp macro="" textlink="">
      <xdr:nvSpPr>
        <xdr:cNvPr id="744" name="Shape 345">
          <a:extLst>
            <a:ext uri="{FF2B5EF4-FFF2-40B4-BE49-F238E27FC236}">
              <a16:creationId xmlns:a16="http://schemas.microsoft.com/office/drawing/2014/main" id="{ACDA014C-1901-4B63-9B96-E4167C20DB88}"/>
            </a:ext>
          </a:extLst>
        </xdr:cNvPr>
        <xdr:cNvSpPr/>
      </xdr:nvSpPr>
      <xdr:spPr>
        <a:xfrm>
          <a:off x="8872837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158</xdr:row>
      <xdr:rowOff>60069</xdr:rowOff>
    </xdr:from>
    <xdr:ext cx="586966" cy="284746"/>
    <xdr:sp macro="" textlink="">
      <xdr:nvSpPr>
        <xdr:cNvPr id="745" name="Shape 345">
          <a:extLst>
            <a:ext uri="{FF2B5EF4-FFF2-40B4-BE49-F238E27FC236}">
              <a16:creationId xmlns:a16="http://schemas.microsoft.com/office/drawing/2014/main" id="{FDE44198-F01C-4610-B90B-D708E612CD6F}"/>
            </a:ext>
          </a:extLst>
        </xdr:cNvPr>
        <xdr:cNvSpPr/>
      </xdr:nvSpPr>
      <xdr:spPr>
        <a:xfrm>
          <a:off x="10057026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158</xdr:row>
      <xdr:rowOff>60069</xdr:rowOff>
    </xdr:from>
    <xdr:ext cx="586966" cy="284746"/>
    <xdr:sp macro="" textlink="">
      <xdr:nvSpPr>
        <xdr:cNvPr id="746" name="Shape 345">
          <a:extLst>
            <a:ext uri="{FF2B5EF4-FFF2-40B4-BE49-F238E27FC236}">
              <a16:creationId xmlns:a16="http://schemas.microsoft.com/office/drawing/2014/main" id="{B4F13B17-3DB3-4E2D-99EB-8A7625BCC1F7}"/>
            </a:ext>
          </a:extLst>
        </xdr:cNvPr>
        <xdr:cNvSpPr/>
      </xdr:nvSpPr>
      <xdr:spPr>
        <a:xfrm>
          <a:off x="11241216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158</xdr:row>
      <xdr:rowOff>60069</xdr:rowOff>
    </xdr:from>
    <xdr:ext cx="586966" cy="284746"/>
    <xdr:sp macro="" textlink="">
      <xdr:nvSpPr>
        <xdr:cNvPr id="747" name="Shape 345">
          <a:extLst>
            <a:ext uri="{FF2B5EF4-FFF2-40B4-BE49-F238E27FC236}">
              <a16:creationId xmlns:a16="http://schemas.microsoft.com/office/drawing/2014/main" id="{C2016AA8-07A8-46BE-B124-3B89DCBF09DB}"/>
            </a:ext>
          </a:extLst>
        </xdr:cNvPr>
        <xdr:cNvSpPr/>
      </xdr:nvSpPr>
      <xdr:spPr>
        <a:xfrm>
          <a:off x="12425405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158</xdr:row>
      <xdr:rowOff>60069</xdr:rowOff>
    </xdr:from>
    <xdr:ext cx="586966" cy="284746"/>
    <xdr:sp macro="" textlink="">
      <xdr:nvSpPr>
        <xdr:cNvPr id="748" name="Shape 345">
          <a:extLst>
            <a:ext uri="{FF2B5EF4-FFF2-40B4-BE49-F238E27FC236}">
              <a16:creationId xmlns:a16="http://schemas.microsoft.com/office/drawing/2014/main" id="{27E17CB1-FAA5-4A36-AF42-EF5485408366}"/>
            </a:ext>
          </a:extLst>
        </xdr:cNvPr>
        <xdr:cNvSpPr/>
      </xdr:nvSpPr>
      <xdr:spPr>
        <a:xfrm>
          <a:off x="13609594" y="2926148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165</xdr:row>
      <xdr:rowOff>60069</xdr:rowOff>
    </xdr:from>
    <xdr:ext cx="586966" cy="284746"/>
    <xdr:sp macro="" textlink="">
      <xdr:nvSpPr>
        <xdr:cNvPr id="749" name="Shape 345">
          <a:extLst>
            <a:ext uri="{FF2B5EF4-FFF2-40B4-BE49-F238E27FC236}">
              <a16:creationId xmlns:a16="http://schemas.microsoft.com/office/drawing/2014/main" id="{D9CDD74A-F38C-42CC-9DF7-61833247ADF3}"/>
            </a:ext>
          </a:extLst>
        </xdr:cNvPr>
        <xdr:cNvSpPr/>
      </xdr:nvSpPr>
      <xdr:spPr>
        <a:xfrm>
          <a:off x="574932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165</xdr:row>
      <xdr:rowOff>60069</xdr:rowOff>
    </xdr:from>
    <xdr:ext cx="586966" cy="284746"/>
    <xdr:sp macro="" textlink="">
      <xdr:nvSpPr>
        <xdr:cNvPr id="750" name="Shape 345">
          <a:extLst>
            <a:ext uri="{FF2B5EF4-FFF2-40B4-BE49-F238E27FC236}">
              <a16:creationId xmlns:a16="http://schemas.microsoft.com/office/drawing/2014/main" id="{77904678-06B9-471D-A69F-2C568A9D99FC}"/>
            </a:ext>
          </a:extLst>
        </xdr:cNvPr>
        <xdr:cNvSpPr/>
      </xdr:nvSpPr>
      <xdr:spPr>
        <a:xfrm>
          <a:off x="1767702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165</xdr:row>
      <xdr:rowOff>60069</xdr:rowOff>
    </xdr:from>
    <xdr:ext cx="586966" cy="284746"/>
    <xdr:sp macro="" textlink="">
      <xdr:nvSpPr>
        <xdr:cNvPr id="751" name="Shape 345">
          <a:extLst>
            <a:ext uri="{FF2B5EF4-FFF2-40B4-BE49-F238E27FC236}">
              <a16:creationId xmlns:a16="http://schemas.microsoft.com/office/drawing/2014/main" id="{B427C148-7904-416E-81B8-AD8B513185D6}"/>
            </a:ext>
          </a:extLst>
        </xdr:cNvPr>
        <xdr:cNvSpPr/>
      </xdr:nvSpPr>
      <xdr:spPr>
        <a:xfrm>
          <a:off x="2951891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165</xdr:row>
      <xdr:rowOff>60069</xdr:rowOff>
    </xdr:from>
    <xdr:ext cx="586966" cy="284746"/>
    <xdr:sp macro="" textlink="">
      <xdr:nvSpPr>
        <xdr:cNvPr id="752" name="Shape 345">
          <a:extLst>
            <a:ext uri="{FF2B5EF4-FFF2-40B4-BE49-F238E27FC236}">
              <a16:creationId xmlns:a16="http://schemas.microsoft.com/office/drawing/2014/main" id="{AE0F86D1-662B-483A-8A95-8A4E1F2903CA}"/>
            </a:ext>
          </a:extLst>
        </xdr:cNvPr>
        <xdr:cNvSpPr/>
      </xdr:nvSpPr>
      <xdr:spPr>
        <a:xfrm>
          <a:off x="4136080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165</xdr:row>
      <xdr:rowOff>60069</xdr:rowOff>
    </xdr:from>
    <xdr:ext cx="586966" cy="284746"/>
    <xdr:sp macro="" textlink="">
      <xdr:nvSpPr>
        <xdr:cNvPr id="753" name="Shape 345">
          <a:extLst>
            <a:ext uri="{FF2B5EF4-FFF2-40B4-BE49-F238E27FC236}">
              <a16:creationId xmlns:a16="http://schemas.microsoft.com/office/drawing/2014/main" id="{EAE9E196-CDB8-47C2-9357-52A39C4EE0C3}"/>
            </a:ext>
          </a:extLst>
        </xdr:cNvPr>
        <xdr:cNvSpPr/>
      </xdr:nvSpPr>
      <xdr:spPr>
        <a:xfrm>
          <a:off x="5320270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165</xdr:row>
      <xdr:rowOff>60069</xdr:rowOff>
    </xdr:from>
    <xdr:ext cx="586966" cy="284746"/>
    <xdr:sp macro="" textlink="">
      <xdr:nvSpPr>
        <xdr:cNvPr id="754" name="Shape 345">
          <a:extLst>
            <a:ext uri="{FF2B5EF4-FFF2-40B4-BE49-F238E27FC236}">
              <a16:creationId xmlns:a16="http://schemas.microsoft.com/office/drawing/2014/main" id="{EB360134-FEF0-4751-A406-5382A1D57F8C}"/>
            </a:ext>
          </a:extLst>
        </xdr:cNvPr>
        <xdr:cNvSpPr/>
      </xdr:nvSpPr>
      <xdr:spPr>
        <a:xfrm>
          <a:off x="6504459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165</xdr:row>
      <xdr:rowOff>60069</xdr:rowOff>
    </xdr:from>
    <xdr:ext cx="586966" cy="284746"/>
    <xdr:sp macro="" textlink="">
      <xdr:nvSpPr>
        <xdr:cNvPr id="755" name="Shape 345">
          <a:extLst>
            <a:ext uri="{FF2B5EF4-FFF2-40B4-BE49-F238E27FC236}">
              <a16:creationId xmlns:a16="http://schemas.microsoft.com/office/drawing/2014/main" id="{7848F605-03C1-4B9F-8360-71B611C0D17E}"/>
            </a:ext>
          </a:extLst>
        </xdr:cNvPr>
        <xdr:cNvSpPr/>
      </xdr:nvSpPr>
      <xdr:spPr>
        <a:xfrm>
          <a:off x="7688648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165</xdr:row>
      <xdr:rowOff>60069</xdr:rowOff>
    </xdr:from>
    <xdr:ext cx="586966" cy="284746"/>
    <xdr:sp macro="" textlink="">
      <xdr:nvSpPr>
        <xdr:cNvPr id="756" name="Shape 345">
          <a:extLst>
            <a:ext uri="{FF2B5EF4-FFF2-40B4-BE49-F238E27FC236}">
              <a16:creationId xmlns:a16="http://schemas.microsoft.com/office/drawing/2014/main" id="{F2A4E0A2-9268-4AAA-8F10-087122BC1289}"/>
            </a:ext>
          </a:extLst>
        </xdr:cNvPr>
        <xdr:cNvSpPr/>
      </xdr:nvSpPr>
      <xdr:spPr>
        <a:xfrm>
          <a:off x="8872837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165</xdr:row>
      <xdr:rowOff>60069</xdr:rowOff>
    </xdr:from>
    <xdr:ext cx="586966" cy="284746"/>
    <xdr:sp macro="" textlink="">
      <xdr:nvSpPr>
        <xdr:cNvPr id="757" name="Shape 345">
          <a:extLst>
            <a:ext uri="{FF2B5EF4-FFF2-40B4-BE49-F238E27FC236}">
              <a16:creationId xmlns:a16="http://schemas.microsoft.com/office/drawing/2014/main" id="{2527B8C4-938E-4682-BC57-A6E969213694}"/>
            </a:ext>
          </a:extLst>
        </xdr:cNvPr>
        <xdr:cNvSpPr/>
      </xdr:nvSpPr>
      <xdr:spPr>
        <a:xfrm>
          <a:off x="10057026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165</xdr:row>
      <xdr:rowOff>60069</xdr:rowOff>
    </xdr:from>
    <xdr:ext cx="586966" cy="284746"/>
    <xdr:sp macro="" textlink="">
      <xdr:nvSpPr>
        <xdr:cNvPr id="758" name="Shape 345">
          <a:extLst>
            <a:ext uri="{FF2B5EF4-FFF2-40B4-BE49-F238E27FC236}">
              <a16:creationId xmlns:a16="http://schemas.microsoft.com/office/drawing/2014/main" id="{6DD3119F-1D69-4E8D-B3D4-94338521C38D}"/>
            </a:ext>
          </a:extLst>
        </xdr:cNvPr>
        <xdr:cNvSpPr/>
      </xdr:nvSpPr>
      <xdr:spPr>
        <a:xfrm>
          <a:off x="11241216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165</xdr:row>
      <xdr:rowOff>60069</xdr:rowOff>
    </xdr:from>
    <xdr:ext cx="586966" cy="284746"/>
    <xdr:sp macro="" textlink="">
      <xdr:nvSpPr>
        <xdr:cNvPr id="759" name="Shape 345">
          <a:extLst>
            <a:ext uri="{FF2B5EF4-FFF2-40B4-BE49-F238E27FC236}">
              <a16:creationId xmlns:a16="http://schemas.microsoft.com/office/drawing/2014/main" id="{97E9EC6A-40A7-4EF8-A0DD-2A5970730399}"/>
            </a:ext>
          </a:extLst>
        </xdr:cNvPr>
        <xdr:cNvSpPr/>
      </xdr:nvSpPr>
      <xdr:spPr>
        <a:xfrm>
          <a:off x="12425405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165</xdr:row>
      <xdr:rowOff>60069</xdr:rowOff>
    </xdr:from>
    <xdr:ext cx="586966" cy="284746"/>
    <xdr:sp macro="" textlink="">
      <xdr:nvSpPr>
        <xdr:cNvPr id="760" name="Shape 345">
          <a:extLst>
            <a:ext uri="{FF2B5EF4-FFF2-40B4-BE49-F238E27FC236}">
              <a16:creationId xmlns:a16="http://schemas.microsoft.com/office/drawing/2014/main" id="{8801B0AF-B194-4E5F-866E-8DA3193D17B9}"/>
            </a:ext>
          </a:extLst>
        </xdr:cNvPr>
        <xdr:cNvSpPr/>
      </xdr:nvSpPr>
      <xdr:spPr>
        <a:xfrm>
          <a:off x="13609594" y="30540069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172</xdr:row>
      <xdr:rowOff>60069</xdr:rowOff>
    </xdr:from>
    <xdr:ext cx="586966" cy="284746"/>
    <xdr:sp macro="" textlink="">
      <xdr:nvSpPr>
        <xdr:cNvPr id="761" name="Shape 345">
          <a:extLst>
            <a:ext uri="{FF2B5EF4-FFF2-40B4-BE49-F238E27FC236}">
              <a16:creationId xmlns:a16="http://schemas.microsoft.com/office/drawing/2014/main" id="{5D9FD58B-F3C6-4ECC-8039-5D2986DA0607}"/>
            </a:ext>
          </a:extLst>
        </xdr:cNvPr>
        <xdr:cNvSpPr/>
      </xdr:nvSpPr>
      <xdr:spPr>
        <a:xfrm>
          <a:off x="574932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172</xdr:row>
      <xdr:rowOff>60069</xdr:rowOff>
    </xdr:from>
    <xdr:ext cx="586966" cy="284746"/>
    <xdr:sp macro="" textlink="">
      <xdr:nvSpPr>
        <xdr:cNvPr id="762" name="Shape 345">
          <a:extLst>
            <a:ext uri="{FF2B5EF4-FFF2-40B4-BE49-F238E27FC236}">
              <a16:creationId xmlns:a16="http://schemas.microsoft.com/office/drawing/2014/main" id="{1D9450A8-15E3-4495-B55F-547ED7BDBE0A}"/>
            </a:ext>
          </a:extLst>
        </xdr:cNvPr>
        <xdr:cNvSpPr/>
      </xdr:nvSpPr>
      <xdr:spPr>
        <a:xfrm>
          <a:off x="1767702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172</xdr:row>
      <xdr:rowOff>60069</xdr:rowOff>
    </xdr:from>
    <xdr:ext cx="586966" cy="284746"/>
    <xdr:sp macro="" textlink="">
      <xdr:nvSpPr>
        <xdr:cNvPr id="763" name="Shape 345">
          <a:extLst>
            <a:ext uri="{FF2B5EF4-FFF2-40B4-BE49-F238E27FC236}">
              <a16:creationId xmlns:a16="http://schemas.microsoft.com/office/drawing/2014/main" id="{901F0E76-4E7A-4885-8E69-633B3F2D5C7F}"/>
            </a:ext>
          </a:extLst>
        </xdr:cNvPr>
        <xdr:cNvSpPr/>
      </xdr:nvSpPr>
      <xdr:spPr>
        <a:xfrm>
          <a:off x="2951891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172</xdr:row>
      <xdr:rowOff>60069</xdr:rowOff>
    </xdr:from>
    <xdr:ext cx="586966" cy="284746"/>
    <xdr:sp macro="" textlink="">
      <xdr:nvSpPr>
        <xdr:cNvPr id="764" name="Shape 345">
          <a:extLst>
            <a:ext uri="{FF2B5EF4-FFF2-40B4-BE49-F238E27FC236}">
              <a16:creationId xmlns:a16="http://schemas.microsoft.com/office/drawing/2014/main" id="{471760EA-D3F9-4E2C-9BB3-D0EA6A119D8C}"/>
            </a:ext>
          </a:extLst>
        </xdr:cNvPr>
        <xdr:cNvSpPr/>
      </xdr:nvSpPr>
      <xdr:spPr>
        <a:xfrm>
          <a:off x="4136080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172</xdr:row>
      <xdr:rowOff>60069</xdr:rowOff>
    </xdr:from>
    <xdr:ext cx="586966" cy="284746"/>
    <xdr:sp macro="" textlink="">
      <xdr:nvSpPr>
        <xdr:cNvPr id="765" name="Shape 345">
          <a:extLst>
            <a:ext uri="{FF2B5EF4-FFF2-40B4-BE49-F238E27FC236}">
              <a16:creationId xmlns:a16="http://schemas.microsoft.com/office/drawing/2014/main" id="{4E91BA73-89FD-4C7C-88E5-035031B443D4}"/>
            </a:ext>
          </a:extLst>
        </xdr:cNvPr>
        <xdr:cNvSpPr/>
      </xdr:nvSpPr>
      <xdr:spPr>
        <a:xfrm>
          <a:off x="5320270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172</xdr:row>
      <xdr:rowOff>60069</xdr:rowOff>
    </xdr:from>
    <xdr:ext cx="586966" cy="284746"/>
    <xdr:sp macro="" textlink="">
      <xdr:nvSpPr>
        <xdr:cNvPr id="766" name="Shape 345">
          <a:extLst>
            <a:ext uri="{FF2B5EF4-FFF2-40B4-BE49-F238E27FC236}">
              <a16:creationId xmlns:a16="http://schemas.microsoft.com/office/drawing/2014/main" id="{1CF0C28E-D7AC-465E-9E78-12A0DC4D1C50}"/>
            </a:ext>
          </a:extLst>
        </xdr:cNvPr>
        <xdr:cNvSpPr/>
      </xdr:nvSpPr>
      <xdr:spPr>
        <a:xfrm>
          <a:off x="6504459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172</xdr:row>
      <xdr:rowOff>60069</xdr:rowOff>
    </xdr:from>
    <xdr:ext cx="586966" cy="284746"/>
    <xdr:sp macro="" textlink="">
      <xdr:nvSpPr>
        <xdr:cNvPr id="767" name="Shape 345">
          <a:extLst>
            <a:ext uri="{FF2B5EF4-FFF2-40B4-BE49-F238E27FC236}">
              <a16:creationId xmlns:a16="http://schemas.microsoft.com/office/drawing/2014/main" id="{299EFE69-C58E-4AE8-ACC8-C7C8E3DF45E2}"/>
            </a:ext>
          </a:extLst>
        </xdr:cNvPr>
        <xdr:cNvSpPr/>
      </xdr:nvSpPr>
      <xdr:spPr>
        <a:xfrm>
          <a:off x="7688648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172</xdr:row>
      <xdr:rowOff>60069</xdr:rowOff>
    </xdr:from>
    <xdr:ext cx="586966" cy="284746"/>
    <xdr:sp macro="" textlink="">
      <xdr:nvSpPr>
        <xdr:cNvPr id="768" name="Shape 345">
          <a:extLst>
            <a:ext uri="{FF2B5EF4-FFF2-40B4-BE49-F238E27FC236}">
              <a16:creationId xmlns:a16="http://schemas.microsoft.com/office/drawing/2014/main" id="{B951A819-CB08-47D0-BFAA-10069530701F}"/>
            </a:ext>
          </a:extLst>
        </xdr:cNvPr>
        <xdr:cNvSpPr/>
      </xdr:nvSpPr>
      <xdr:spPr>
        <a:xfrm>
          <a:off x="8872837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172</xdr:row>
      <xdr:rowOff>60069</xdr:rowOff>
    </xdr:from>
    <xdr:ext cx="586966" cy="284746"/>
    <xdr:sp macro="" textlink="">
      <xdr:nvSpPr>
        <xdr:cNvPr id="769" name="Shape 345">
          <a:extLst>
            <a:ext uri="{FF2B5EF4-FFF2-40B4-BE49-F238E27FC236}">
              <a16:creationId xmlns:a16="http://schemas.microsoft.com/office/drawing/2014/main" id="{426C6232-0945-4B52-8CB7-14CACA3CD0CB}"/>
            </a:ext>
          </a:extLst>
        </xdr:cNvPr>
        <xdr:cNvSpPr/>
      </xdr:nvSpPr>
      <xdr:spPr>
        <a:xfrm>
          <a:off x="10057026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172</xdr:row>
      <xdr:rowOff>60069</xdr:rowOff>
    </xdr:from>
    <xdr:ext cx="586966" cy="284746"/>
    <xdr:sp macro="" textlink="">
      <xdr:nvSpPr>
        <xdr:cNvPr id="770" name="Shape 345">
          <a:extLst>
            <a:ext uri="{FF2B5EF4-FFF2-40B4-BE49-F238E27FC236}">
              <a16:creationId xmlns:a16="http://schemas.microsoft.com/office/drawing/2014/main" id="{7B5DA16C-A6BC-4F53-B88C-C2CFCDE6110D}"/>
            </a:ext>
          </a:extLst>
        </xdr:cNvPr>
        <xdr:cNvSpPr/>
      </xdr:nvSpPr>
      <xdr:spPr>
        <a:xfrm>
          <a:off x="11241216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172</xdr:row>
      <xdr:rowOff>60069</xdr:rowOff>
    </xdr:from>
    <xdr:ext cx="586966" cy="284746"/>
    <xdr:sp macro="" textlink="">
      <xdr:nvSpPr>
        <xdr:cNvPr id="771" name="Shape 345">
          <a:extLst>
            <a:ext uri="{FF2B5EF4-FFF2-40B4-BE49-F238E27FC236}">
              <a16:creationId xmlns:a16="http://schemas.microsoft.com/office/drawing/2014/main" id="{0952AD47-100C-49B9-A469-9D9DD360A836}"/>
            </a:ext>
          </a:extLst>
        </xdr:cNvPr>
        <xdr:cNvSpPr/>
      </xdr:nvSpPr>
      <xdr:spPr>
        <a:xfrm>
          <a:off x="12425405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172</xdr:row>
      <xdr:rowOff>60069</xdr:rowOff>
    </xdr:from>
    <xdr:ext cx="586966" cy="284746"/>
    <xdr:sp macro="" textlink="">
      <xdr:nvSpPr>
        <xdr:cNvPr id="772" name="Shape 345">
          <a:extLst>
            <a:ext uri="{FF2B5EF4-FFF2-40B4-BE49-F238E27FC236}">
              <a16:creationId xmlns:a16="http://schemas.microsoft.com/office/drawing/2014/main" id="{FD331C5D-7AE2-445D-9CA8-86D3006892BF}"/>
            </a:ext>
          </a:extLst>
        </xdr:cNvPr>
        <xdr:cNvSpPr/>
      </xdr:nvSpPr>
      <xdr:spPr>
        <a:xfrm>
          <a:off x="13609594" y="31835812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179</xdr:row>
      <xdr:rowOff>60069</xdr:rowOff>
    </xdr:from>
    <xdr:ext cx="586966" cy="284746"/>
    <xdr:sp macro="" textlink="">
      <xdr:nvSpPr>
        <xdr:cNvPr id="773" name="Shape 345">
          <a:extLst>
            <a:ext uri="{FF2B5EF4-FFF2-40B4-BE49-F238E27FC236}">
              <a16:creationId xmlns:a16="http://schemas.microsoft.com/office/drawing/2014/main" id="{468CCE96-04B9-49F4-A768-23A05172A6B7}"/>
            </a:ext>
          </a:extLst>
        </xdr:cNvPr>
        <xdr:cNvSpPr/>
      </xdr:nvSpPr>
      <xdr:spPr>
        <a:xfrm>
          <a:off x="574932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179</xdr:row>
      <xdr:rowOff>60069</xdr:rowOff>
    </xdr:from>
    <xdr:ext cx="586966" cy="284746"/>
    <xdr:sp macro="" textlink="">
      <xdr:nvSpPr>
        <xdr:cNvPr id="774" name="Shape 345">
          <a:extLst>
            <a:ext uri="{FF2B5EF4-FFF2-40B4-BE49-F238E27FC236}">
              <a16:creationId xmlns:a16="http://schemas.microsoft.com/office/drawing/2014/main" id="{1DDC16D1-499C-4C24-A0A1-0419561ACB51}"/>
            </a:ext>
          </a:extLst>
        </xdr:cNvPr>
        <xdr:cNvSpPr/>
      </xdr:nvSpPr>
      <xdr:spPr>
        <a:xfrm>
          <a:off x="1767702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179</xdr:row>
      <xdr:rowOff>60069</xdr:rowOff>
    </xdr:from>
    <xdr:ext cx="586966" cy="284746"/>
    <xdr:sp macro="" textlink="">
      <xdr:nvSpPr>
        <xdr:cNvPr id="775" name="Shape 345">
          <a:extLst>
            <a:ext uri="{FF2B5EF4-FFF2-40B4-BE49-F238E27FC236}">
              <a16:creationId xmlns:a16="http://schemas.microsoft.com/office/drawing/2014/main" id="{ABAFFA1E-EACC-456D-8E6F-282B36E181B1}"/>
            </a:ext>
          </a:extLst>
        </xdr:cNvPr>
        <xdr:cNvSpPr/>
      </xdr:nvSpPr>
      <xdr:spPr>
        <a:xfrm>
          <a:off x="2951891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179</xdr:row>
      <xdr:rowOff>60069</xdr:rowOff>
    </xdr:from>
    <xdr:ext cx="586966" cy="284746"/>
    <xdr:sp macro="" textlink="">
      <xdr:nvSpPr>
        <xdr:cNvPr id="776" name="Shape 345">
          <a:extLst>
            <a:ext uri="{FF2B5EF4-FFF2-40B4-BE49-F238E27FC236}">
              <a16:creationId xmlns:a16="http://schemas.microsoft.com/office/drawing/2014/main" id="{DAF19FAC-26F1-4962-A0AE-B2D70A2253C9}"/>
            </a:ext>
          </a:extLst>
        </xdr:cNvPr>
        <xdr:cNvSpPr/>
      </xdr:nvSpPr>
      <xdr:spPr>
        <a:xfrm>
          <a:off x="4136080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8581</xdr:colOff>
      <xdr:row>179</xdr:row>
      <xdr:rowOff>60069</xdr:rowOff>
    </xdr:from>
    <xdr:ext cx="586966" cy="284746"/>
    <xdr:sp macro="" textlink="">
      <xdr:nvSpPr>
        <xdr:cNvPr id="777" name="Shape 345">
          <a:extLst>
            <a:ext uri="{FF2B5EF4-FFF2-40B4-BE49-F238E27FC236}">
              <a16:creationId xmlns:a16="http://schemas.microsoft.com/office/drawing/2014/main" id="{944BAF76-9C4E-4576-9D11-B9ECA9CBE262}"/>
            </a:ext>
          </a:extLst>
        </xdr:cNvPr>
        <xdr:cNvSpPr/>
      </xdr:nvSpPr>
      <xdr:spPr>
        <a:xfrm>
          <a:off x="5320270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8581</xdr:colOff>
      <xdr:row>179</xdr:row>
      <xdr:rowOff>60069</xdr:rowOff>
    </xdr:from>
    <xdr:ext cx="586966" cy="284746"/>
    <xdr:sp macro="" textlink="">
      <xdr:nvSpPr>
        <xdr:cNvPr id="778" name="Shape 345">
          <a:extLst>
            <a:ext uri="{FF2B5EF4-FFF2-40B4-BE49-F238E27FC236}">
              <a16:creationId xmlns:a16="http://schemas.microsoft.com/office/drawing/2014/main" id="{8AB44C30-B928-44BC-A076-D2FE580E67AD}"/>
            </a:ext>
          </a:extLst>
        </xdr:cNvPr>
        <xdr:cNvSpPr/>
      </xdr:nvSpPr>
      <xdr:spPr>
        <a:xfrm>
          <a:off x="6504459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8580</xdr:colOff>
      <xdr:row>179</xdr:row>
      <xdr:rowOff>60069</xdr:rowOff>
    </xdr:from>
    <xdr:ext cx="586966" cy="284746"/>
    <xdr:sp macro="" textlink="">
      <xdr:nvSpPr>
        <xdr:cNvPr id="779" name="Shape 345">
          <a:extLst>
            <a:ext uri="{FF2B5EF4-FFF2-40B4-BE49-F238E27FC236}">
              <a16:creationId xmlns:a16="http://schemas.microsoft.com/office/drawing/2014/main" id="{1131B0E4-C935-4063-B17A-80A16105497C}"/>
            </a:ext>
          </a:extLst>
        </xdr:cNvPr>
        <xdr:cNvSpPr/>
      </xdr:nvSpPr>
      <xdr:spPr>
        <a:xfrm>
          <a:off x="7688648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8580</xdr:colOff>
      <xdr:row>179</xdr:row>
      <xdr:rowOff>60069</xdr:rowOff>
    </xdr:from>
    <xdr:ext cx="586966" cy="284746"/>
    <xdr:sp macro="" textlink="">
      <xdr:nvSpPr>
        <xdr:cNvPr id="780" name="Shape 345">
          <a:extLst>
            <a:ext uri="{FF2B5EF4-FFF2-40B4-BE49-F238E27FC236}">
              <a16:creationId xmlns:a16="http://schemas.microsoft.com/office/drawing/2014/main" id="{9542C2DA-1F5C-46FE-9824-B116E89E6600}"/>
            </a:ext>
          </a:extLst>
        </xdr:cNvPr>
        <xdr:cNvSpPr/>
      </xdr:nvSpPr>
      <xdr:spPr>
        <a:xfrm>
          <a:off x="8872837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8580</xdr:colOff>
      <xdr:row>179</xdr:row>
      <xdr:rowOff>60069</xdr:rowOff>
    </xdr:from>
    <xdr:ext cx="586966" cy="284746"/>
    <xdr:sp macro="" textlink="">
      <xdr:nvSpPr>
        <xdr:cNvPr id="781" name="Shape 345">
          <a:extLst>
            <a:ext uri="{FF2B5EF4-FFF2-40B4-BE49-F238E27FC236}">
              <a16:creationId xmlns:a16="http://schemas.microsoft.com/office/drawing/2014/main" id="{0319D64D-5AF2-485F-BA8B-6DD0D965CE5D}"/>
            </a:ext>
          </a:extLst>
        </xdr:cNvPr>
        <xdr:cNvSpPr/>
      </xdr:nvSpPr>
      <xdr:spPr>
        <a:xfrm>
          <a:off x="10057026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8581</xdr:colOff>
      <xdr:row>179</xdr:row>
      <xdr:rowOff>60069</xdr:rowOff>
    </xdr:from>
    <xdr:ext cx="586966" cy="284746"/>
    <xdr:sp macro="" textlink="">
      <xdr:nvSpPr>
        <xdr:cNvPr id="782" name="Shape 345">
          <a:extLst>
            <a:ext uri="{FF2B5EF4-FFF2-40B4-BE49-F238E27FC236}">
              <a16:creationId xmlns:a16="http://schemas.microsoft.com/office/drawing/2014/main" id="{58428361-8809-4143-A840-92778C5798F4}"/>
            </a:ext>
          </a:extLst>
        </xdr:cNvPr>
        <xdr:cNvSpPr/>
      </xdr:nvSpPr>
      <xdr:spPr>
        <a:xfrm>
          <a:off x="11241216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179</xdr:row>
      <xdr:rowOff>60069</xdr:rowOff>
    </xdr:from>
    <xdr:ext cx="586966" cy="284746"/>
    <xdr:sp macro="" textlink="">
      <xdr:nvSpPr>
        <xdr:cNvPr id="783" name="Shape 345">
          <a:extLst>
            <a:ext uri="{FF2B5EF4-FFF2-40B4-BE49-F238E27FC236}">
              <a16:creationId xmlns:a16="http://schemas.microsoft.com/office/drawing/2014/main" id="{286D8F56-CB8F-4662-B7E9-808796F46337}"/>
            </a:ext>
          </a:extLst>
        </xdr:cNvPr>
        <xdr:cNvSpPr/>
      </xdr:nvSpPr>
      <xdr:spPr>
        <a:xfrm>
          <a:off x="12425405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8580</xdr:colOff>
      <xdr:row>179</xdr:row>
      <xdr:rowOff>60069</xdr:rowOff>
    </xdr:from>
    <xdr:ext cx="586966" cy="284746"/>
    <xdr:sp macro="" textlink="">
      <xdr:nvSpPr>
        <xdr:cNvPr id="784" name="Shape 345">
          <a:extLst>
            <a:ext uri="{FF2B5EF4-FFF2-40B4-BE49-F238E27FC236}">
              <a16:creationId xmlns:a16="http://schemas.microsoft.com/office/drawing/2014/main" id="{FA990527-469D-459C-9CD7-BE9B6D6A00A7}"/>
            </a:ext>
          </a:extLst>
        </xdr:cNvPr>
        <xdr:cNvSpPr/>
      </xdr:nvSpPr>
      <xdr:spPr>
        <a:xfrm>
          <a:off x="13609594" y="3311439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186</xdr:row>
      <xdr:rowOff>60068</xdr:rowOff>
    </xdr:from>
    <xdr:ext cx="586966" cy="284746"/>
    <xdr:sp macro="" textlink="">
      <xdr:nvSpPr>
        <xdr:cNvPr id="785" name="Shape 345">
          <a:extLst>
            <a:ext uri="{FF2B5EF4-FFF2-40B4-BE49-F238E27FC236}">
              <a16:creationId xmlns:a16="http://schemas.microsoft.com/office/drawing/2014/main" id="{2F298FCE-ACAF-4EAE-94D5-A94A73CC2BA4}"/>
            </a:ext>
          </a:extLst>
        </xdr:cNvPr>
        <xdr:cNvSpPr/>
      </xdr:nvSpPr>
      <xdr:spPr>
        <a:xfrm>
          <a:off x="574932" y="3441013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8580</xdr:colOff>
      <xdr:row>186</xdr:row>
      <xdr:rowOff>60068</xdr:rowOff>
    </xdr:from>
    <xdr:ext cx="586966" cy="284746"/>
    <xdr:sp macro="" textlink="">
      <xdr:nvSpPr>
        <xdr:cNvPr id="786" name="Shape 345">
          <a:extLst>
            <a:ext uri="{FF2B5EF4-FFF2-40B4-BE49-F238E27FC236}">
              <a16:creationId xmlns:a16="http://schemas.microsoft.com/office/drawing/2014/main" id="{7B2FAE9D-B5ED-46D8-A73A-BD11003DDF1E}"/>
            </a:ext>
          </a:extLst>
        </xdr:cNvPr>
        <xdr:cNvSpPr/>
      </xdr:nvSpPr>
      <xdr:spPr>
        <a:xfrm>
          <a:off x="1767702" y="3441013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8580</xdr:colOff>
      <xdr:row>186</xdr:row>
      <xdr:rowOff>60068</xdr:rowOff>
    </xdr:from>
    <xdr:ext cx="586966" cy="284746"/>
    <xdr:sp macro="" textlink="">
      <xdr:nvSpPr>
        <xdr:cNvPr id="787" name="Shape 345">
          <a:extLst>
            <a:ext uri="{FF2B5EF4-FFF2-40B4-BE49-F238E27FC236}">
              <a16:creationId xmlns:a16="http://schemas.microsoft.com/office/drawing/2014/main" id="{7AD9B01B-1DD9-45F7-9165-DDEBEB0D47FB}"/>
            </a:ext>
          </a:extLst>
        </xdr:cNvPr>
        <xdr:cNvSpPr/>
      </xdr:nvSpPr>
      <xdr:spPr>
        <a:xfrm>
          <a:off x="2951891" y="3441013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8580</xdr:colOff>
      <xdr:row>186</xdr:row>
      <xdr:rowOff>60068</xdr:rowOff>
    </xdr:from>
    <xdr:ext cx="586966" cy="284746"/>
    <xdr:sp macro="" textlink="">
      <xdr:nvSpPr>
        <xdr:cNvPr id="788" name="Shape 345">
          <a:extLst>
            <a:ext uri="{FF2B5EF4-FFF2-40B4-BE49-F238E27FC236}">
              <a16:creationId xmlns:a16="http://schemas.microsoft.com/office/drawing/2014/main" id="{AD3799C7-2E05-45B0-9A92-92C5EB35434E}"/>
            </a:ext>
          </a:extLst>
        </xdr:cNvPr>
        <xdr:cNvSpPr/>
      </xdr:nvSpPr>
      <xdr:spPr>
        <a:xfrm>
          <a:off x="4136080" y="34410136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8581</xdr:colOff>
      <xdr:row>18</xdr:row>
      <xdr:rowOff>60067</xdr:rowOff>
    </xdr:from>
    <xdr:ext cx="586966" cy="284746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B339A5B5-05B5-4BE4-BA36-AD03C0DF09FF}"/>
            </a:ext>
          </a:extLst>
        </xdr:cNvPr>
        <xdr:cNvSpPr/>
      </xdr:nvSpPr>
      <xdr:spPr>
        <a:xfrm>
          <a:off x="12118203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</xdr:row>
      <xdr:rowOff>60067</xdr:rowOff>
    </xdr:from>
    <xdr:ext cx="586966" cy="284746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0EB1A430-EF9B-464C-9B63-91B8799B9ED5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18</xdr:row>
      <xdr:rowOff>60067</xdr:rowOff>
    </xdr:from>
    <xdr:ext cx="586966" cy="284746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CCED38C4-1349-4E22-B05F-2369AA47C693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</xdr:row>
      <xdr:rowOff>60067</xdr:rowOff>
    </xdr:from>
    <xdr:ext cx="586966" cy="284746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02875E8-819A-4BCF-9AAC-54BB719FDEA9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</xdr:row>
      <xdr:rowOff>60067</xdr:rowOff>
    </xdr:from>
    <xdr:ext cx="586966" cy="284746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F2B8A161-E45D-4E90-8A6E-439475D07ED7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</xdr:row>
      <xdr:rowOff>60067</xdr:rowOff>
    </xdr:from>
    <xdr:ext cx="586966" cy="284746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5AFDB751-513C-4015-9DEC-0603F4524B9F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</xdr:row>
      <xdr:rowOff>60067</xdr:rowOff>
    </xdr:from>
    <xdr:ext cx="586966" cy="284746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E26488A8-5910-4EB1-8F4C-D7BDF44FE409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</xdr:row>
      <xdr:rowOff>60067</xdr:rowOff>
    </xdr:from>
    <xdr:ext cx="586966" cy="284746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FF4189CC-046C-472E-A300-A3A6D7CCE424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18</xdr:row>
      <xdr:rowOff>60067</xdr:rowOff>
    </xdr:from>
    <xdr:ext cx="586966" cy="284746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45D065E0-AC1E-47DB-ADE5-B897640737A2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</xdr:row>
      <xdr:rowOff>60067</xdr:rowOff>
    </xdr:from>
    <xdr:ext cx="586966" cy="284746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83981191-1EAB-4752-8B84-05E4BC99D485}"/>
            </a:ext>
          </a:extLst>
        </xdr:cNvPr>
        <xdr:cNvSpPr/>
      </xdr:nvSpPr>
      <xdr:spPr>
        <a:xfrm>
          <a:off x="617838" y="4858608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8581</xdr:colOff>
      <xdr:row>18</xdr:row>
      <xdr:rowOff>60068</xdr:rowOff>
    </xdr:from>
    <xdr:ext cx="586966" cy="284746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D9C2B5AA-A469-4F59-A443-12C58C3CB52A}"/>
            </a:ext>
          </a:extLst>
        </xdr:cNvPr>
        <xdr:cNvSpPr/>
      </xdr:nvSpPr>
      <xdr:spPr>
        <a:xfrm>
          <a:off x="13395067" y="6197257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60067</xdr:rowOff>
    </xdr:from>
    <xdr:ext cx="586966" cy="284746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FFD827D7-D881-4855-A5B3-B50021DC2D36}"/>
            </a:ext>
          </a:extLst>
        </xdr:cNvPr>
        <xdr:cNvSpPr/>
      </xdr:nvSpPr>
      <xdr:spPr>
        <a:xfrm>
          <a:off x="9555892" y="3540553"/>
          <a:ext cx="586966" cy="284746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0</xdr:rowOff>
    </xdr:from>
    <xdr:ext cx="273050" cy="254000"/>
    <xdr:grpSp>
      <xdr:nvGrpSpPr>
        <xdr:cNvPr id="158" name="Shape 2">
          <a:extLst>
            <a:ext uri="{FF2B5EF4-FFF2-40B4-BE49-F238E27FC236}">
              <a16:creationId xmlns:a16="http://schemas.microsoft.com/office/drawing/2014/main" id="{B325D446-9452-49D3-94E4-1F979D7AD22C}"/>
            </a:ext>
          </a:extLst>
        </xdr:cNvPr>
        <xdr:cNvGrpSpPr/>
      </xdr:nvGrpSpPr>
      <xdr:grpSpPr>
        <a:xfrm>
          <a:off x="14095432" y="16823580"/>
          <a:ext cx="273050" cy="254000"/>
          <a:chOff x="5017388" y="3694275"/>
          <a:chExt cx="657225" cy="171450"/>
        </a:xfrm>
      </xdr:grpSpPr>
      <xdr:grpSp>
        <xdr:nvGrpSpPr>
          <xdr:cNvPr id="159" name="Shape 282">
            <a:extLst>
              <a:ext uri="{FF2B5EF4-FFF2-40B4-BE49-F238E27FC236}">
                <a16:creationId xmlns:a16="http://schemas.microsoft.com/office/drawing/2014/main" id="{80012CC7-6D25-A8D5-C6D0-10A0CB73EB0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73" name="Shape 283">
              <a:extLst>
                <a:ext uri="{FF2B5EF4-FFF2-40B4-BE49-F238E27FC236}">
                  <a16:creationId xmlns:a16="http://schemas.microsoft.com/office/drawing/2014/main" id="{B3952817-CC26-B980-FA37-80BDA4FFB7E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77" name="Shape 284">
              <a:extLst>
                <a:ext uri="{FF2B5EF4-FFF2-40B4-BE49-F238E27FC236}">
                  <a16:creationId xmlns:a16="http://schemas.microsoft.com/office/drawing/2014/main" id="{B3B488DA-147D-7C53-D8D1-FEB27B4C69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78" name="Shape 285">
              <a:extLst>
                <a:ext uri="{FF2B5EF4-FFF2-40B4-BE49-F238E27FC236}">
                  <a16:creationId xmlns:a16="http://schemas.microsoft.com/office/drawing/2014/main" id="{5C4FC4CD-38BE-E89D-BB02-2392A7168CE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79" name="Shape 286">
              <a:extLst>
                <a:ext uri="{FF2B5EF4-FFF2-40B4-BE49-F238E27FC236}">
                  <a16:creationId xmlns:a16="http://schemas.microsoft.com/office/drawing/2014/main" id="{9448D82D-47C8-35E9-2E68-88EEBB3409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80" name="Shape 287">
              <a:extLst>
                <a:ext uri="{FF2B5EF4-FFF2-40B4-BE49-F238E27FC236}">
                  <a16:creationId xmlns:a16="http://schemas.microsoft.com/office/drawing/2014/main" id="{D5439880-59C6-D231-0957-B76548DB174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81" name="Shape 288">
              <a:extLst>
                <a:ext uri="{FF2B5EF4-FFF2-40B4-BE49-F238E27FC236}">
                  <a16:creationId xmlns:a16="http://schemas.microsoft.com/office/drawing/2014/main" id="{1DC4383C-3026-DED3-E272-23B8C5BF0F7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82" name="Shape 289">
              <a:extLst>
                <a:ext uri="{FF2B5EF4-FFF2-40B4-BE49-F238E27FC236}">
                  <a16:creationId xmlns:a16="http://schemas.microsoft.com/office/drawing/2014/main" id="{9797B733-B532-B822-5CF8-BC8480E0B6A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98</xdr:row>
      <xdr:rowOff>0</xdr:rowOff>
    </xdr:from>
    <xdr:ext cx="218440" cy="445770"/>
    <xdr:grpSp>
      <xdr:nvGrpSpPr>
        <xdr:cNvPr id="120" name="Shape 2">
          <a:extLst>
            <a:ext uri="{FF2B5EF4-FFF2-40B4-BE49-F238E27FC236}">
              <a16:creationId xmlns:a16="http://schemas.microsoft.com/office/drawing/2014/main" id="{A5FE087F-0B16-4A14-BD6C-808178498266}"/>
            </a:ext>
          </a:extLst>
        </xdr:cNvPr>
        <xdr:cNvGrpSpPr/>
      </xdr:nvGrpSpPr>
      <xdr:grpSpPr>
        <a:xfrm>
          <a:off x="1160247" y="18117099"/>
          <a:ext cx="218440" cy="445770"/>
          <a:chOff x="5017388" y="3694275"/>
          <a:chExt cx="657225" cy="171450"/>
        </a:xfrm>
      </xdr:grpSpPr>
      <xdr:grpSp>
        <xdr:nvGrpSpPr>
          <xdr:cNvPr id="183" name="Shape 282">
            <a:extLst>
              <a:ext uri="{FF2B5EF4-FFF2-40B4-BE49-F238E27FC236}">
                <a16:creationId xmlns:a16="http://schemas.microsoft.com/office/drawing/2014/main" id="{04A87C76-2824-B96D-7219-13BA17B7DB2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84" name="Shape 283">
              <a:extLst>
                <a:ext uri="{FF2B5EF4-FFF2-40B4-BE49-F238E27FC236}">
                  <a16:creationId xmlns:a16="http://schemas.microsoft.com/office/drawing/2014/main" id="{07E63C1E-AFDE-4A9F-68BD-A039BEA3EA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5" name="Shape 284">
              <a:extLst>
                <a:ext uri="{FF2B5EF4-FFF2-40B4-BE49-F238E27FC236}">
                  <a16:creationId xmlns:a16="http://schemas.microsoft.com/office/drawing/2014/main" id="{BF0AA6BE-7794-26A4-04BE-87B9565425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86" name="Shape 285">
              <a:extLst>
                <a:ext uri="{FF2B5EF4-FFF2-40B4-BE49-F238E27FC236}">
                  <a16:creationId xmlns:a16="http://schemas.microsoft.com/office/drawing/2014/main" id="{2363D29E-8A23-13B4-AFAC-BD89D95A8DF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87" name="Shape 286">
              <a:extLst>
                <a:ext uri="{FF2B5EF4-FFF2-40B4-BE49-F238E27FC236}">
                  <a16:creationId xmlns:a16="http://schemas.microsoft.com/office/drawing/2014/main" id="{FDFF8DDB-EEE3-A679-3B98-FEC85823035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88" name="Shape 287">
              <a:extLst>
                <a:ext uri="{FF2B5EF4-FFF2-40B4-BE49-F238E27FC236}">
                  <a16:creationId xmlns:a16="http://schemas.microsoft.com/office/drawing/2014/main" id="{99BD57FA-BDD7-7967-A09D-8DC76BA5512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89" name="Shape 288">
              <a:extLst>
                <a:ext uri="{FF2B5EF4-FFF2-40B4-BE49-F238E27FC236}">
                  <a16:creationId xmlns:a16="http://schemas.microsoft.com/office/drawing/2014/main" id="{D9DE394F-7E34-96BF-5DDE-DEB6814CC91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90" name="Shape 289">
              <a:extLst>
                <a:ext uri="{FF2B5EF4-FFF2-40B4-BE49-F238E27FC236}">
                  <a16:creationId xmlns:a16="http://schemas.microsoft.com/office/drawing/2014/main" id="{BC778F0B-4C5B-1B36-7FB7-FE014E0E076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98</xdr:row>
      <xdr:rowOff>0</xdr:rowOff>
    </xdr:from>
    <xdr:ext cx="218440" cy="445770"/>
    <xdr:grpSp>
      <xdr:nvGrpSpPr>
        <xdr:cNvPr id="191" name="Shape 2">
          <a:extLst>
            <a:ext uri="{FF2B5EF4-FFF2-40B4-BE49-F238E27FC236}">
              <a16:creationId xmlns:a16="http://schemas.microsoft.com/office/drawing/2014/main" id="{CBADB5FA-BAFB-4198-BAA4-0AF28251EFA2}"/>
            </a:ext>
          </a:extLst>
        </xdr:cNvPr>
        <xdr:cNvGrpSpPr/>
      </xdr:nvGrpSpPr>
      <xdr:grpSpPr>
        <a:xfrm>
          <a:off x="5863951" y="18117099"/>
          <a:ext cx="218440" cy="445770"/>
          <a:chOff x="5017388" y="3694275"/>
          <a:chExt cx="657225" cy="171450"/>
        </a:xfrm>
      </xdr:grpSpPr>
      <xdr:grpSp>
        <xdr:nvGrpSpPr>
          <xdr:cNvPr id="192" name="Shape 282">
            <a:extLst>
              <a:ext uri="{FF2B5EF4-FFF2-40B4-BE49-F238E27FC236}">
                <a16:creationId xmlns:a16="http://schemas.microsoft.com/office/drawing/2014/main" id="{9EAEF7C9-759F-13ED-C3C8-1118A4C3316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93" name="Shape 283">
              <a:extLst>
                <a:ext uri="{FF2B5EF4-FFF2-40B4-BE49-F238E27FC236}">
                  <a16:creationId xmlns:a16="http://schemas.microsoft.com/office/drawing/2014/main" id="{EAB784EA-8D8B-9900-444D-5E562FC3FE8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94" name="Shape 284">
              <a:extLst>
                <a:ext uri="{FF2B5EF4-FFF2-40B4-BE49-F238E27FC236}">
                  <a16:creationId xmlns:a16="http://schemas.microsoft.com/office/drawing/2014/main" id="{F3057951-0A6D-57DC-6516-196955A5158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95" name="Shape 285">
              <a:extLst>
                <a:ext uri="{FF2B5EF4-FFF2-40B4-BE49-F238E27FC236}">
                  <a16:creationId xmlns:a16="http://schemas.microsoft.com/office/drawing/2014/main" id="{4FB8DA64-4DCB-9F03-DAB3-495388331C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96" name="Shape 286">
              <a:extLst>
                <a:ext uri="{FF2B5EF4-FFF2-40B4-BE49-F238E27FC236}">
                  <a16:creationId xmlns:a16="http://schemas.microsoft.com/office/drawing/2014/main" id="{6D1610E2-69D2-22E4-0C36-9FB6AD9951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97" name="Shape 287">
              <a:extLst>
                <a:ext uri="{FF2B5EF4-FFF2-40B4-BE49-F238E27FC236}">
                  <a16:creationId xmlns:a16="http://schemas.microsoft.com/office/drawing/2014/main" id="{5F20AFD9-2722-C4ED-DAEF-003F716781B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98" name="Shape 288">
              <a:extLst>
                <a:ext uri="{FF2B5EF4-FFF2-40B4-BE49-F238E27FC236}">
                  <a16:creationId xmlns:a16="http://schemas.microsoft.com/office/drawing/2014/main" id="{FA168DCC-440C-6EED-34EA-D7E27AEBB650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99" name="Shape 289">
              <a:extLst>
                <a:ext uri="{FF2B5EF4-FFF2-40B4-BE49-F238E27FC236}">
                  <a16:creationId xmlns:a16="http://schemas.microsoft.com/office/drawing/2014/main" id="{E3165C25-F142-6DA0-8AE9-4F21D28AA40F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63</xdr:row>
      <xdr:rowOff>0</xdr:rowOff>
    </xdr:from>
    <xdr:ext cx="218440" cy="445770"/>
    <xdr:grpSp>
      <xdr:nvGrpSpPr>
        <xdr:cNvPr id="200" name="Shape 2">
          <a:extLst>
            <a:ext uri="{FF2B5EF4-FFF2-40B4-BE49-F238E27FC236}">
              <a16:creationId xmlns:a16="http://schemas.microsoft.com/office/drawing/2014/main" id="{A364CCEF-7785-48AD-B389-4BDD40304DCC}"/>
            </a:ext>
          </a:extLst>
        </xdr:cNvPr>
        <xdr:cNvGrpSpPr/>
      </xdr:nvGrpSpPr>
      <xdr:grpSpPr>
        <a:xfrm>
          <a:off x="3512099" y="11665185"/>
          <a:ext cx="218440" cy="445770"/>
          <a:chOff x="5017388" y="3694275"/>
          <a:chExt cx="657225" cy="171450"/>
        </a:xfrm>
      </xdr:grpSpPr>
      <xdr:grpSp>
        <xdr:nvGrpSpPr>
          <xdr:cNvPr id="201" name="Shape 282">
            <a:extLst>
              <a:ext uri="{FF2B5EF4-FFF2-40B4-BE49-F238E27FC236}">
                <a16:creationId xmlns:a16="http://schemas.microsoft.com/office/drawing/2014/main" id="{F8DEBF25-292A-1272-AB89-2324EF6936B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202" name="Shape 283">
              <a:extLst>
                <a:ext uri="{FF2B5EF4-FFF2-40B4-BE49-F238E27FC236}">
                  <a16:creationId xmlns:a16="http://schemas.microsoft.com/office/drawing/2014/main" id="{AB897E68-176F-EF5E-03F5-A17E29F6FD9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03" name="Shape 284">
              <a:extLst>
                <a:ext uri="{FF2B5EF4-FFF2-40B4-BE49-F238E27FC236}">
                  <a16:creationId xmlns:a16="http://schemas.microsoft.com/office/drawing/2014/main" id="{9E57EDFD-E69A-CF0A-3FA3-C360EA32895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204" name="Shape 285">
              <a:extLst>
                <a:ext uri="{FF2B5EF4-FFF2-40B4-BE49-F238E27FC236}">
                  <a16:creationId xmlns:a16="http://schemas.microsoft.com/office/drawing/2014/main" id="{035F031F-C8C8-134C-2C6C-97B6F045C5B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205" name="Shape 286">
              <a:extLst>
                <a:ext uri="{FF2B5EF4-FFF2-40B4-BE49-F238E27FC236}">
                  <a16:creationId xmlns:a16="http://schemas.microsoft.com/office/drawing/2014/main" id="{AE78AF66-70EA-BBD9-1B64-9383BA2FCB9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206" name="Shape 287">
              <a:extLst>
                <a:ext uri="{FF2B5EF4-FFF2-40B4-BE49-F238E27FC236}">
                  <a16:creationId xmlns:a16="http://schemas.microsoft.com/office/drawing/2014/main" id="{0EC3B3B8-C803-A1A0-A785-A5C225322D6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207" name="Shape 288">
              <a:extLst>
                <a:ext uri="{FF2B5EF4-FFF2-40B4-BE49-F238E27FC236}">
                  <a16:creationId xmlns:a16="http://schemas.microsoft.com/office/drawing/2014/main" id="{7A750FF8-277A-9588-1EA2-1D25C9792D2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208" name="Shape 289">
              <a:extLst>
                <a:ext uri="{FF2B5EF4-FFF2-40B4-BE49-F238E27FC236}">
                  <a16:creationId xmlns:a16="http://schemas.microsoft.com/office/drawing/2014/main" id="{A9833267-BB7E-DC7F-8B36-2B5F9EF08EB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3984375" defaultRowHeight="15.75" customHeight="1" x14ac:dyDescent="0.3"/>
  <cols>
    <col min="1" max="1" width="9" customWidth="1"/>
    <col min="2" max="2" width="14.19921875" customWidth="1"/>
    <col min="3" max="3" width="9.19921875" customWidth="1"/>
    <col min="4" max="4" width="10" customWidth="1"/>
    <col min="5" max="5" width="10.19921875" customWidth="1"/>
    <col min="6" max="6" width="10.3984375" customWidth="1"/>
    <col min="7" max="7" width="9.3984375" customWidth="1"/>
    <col min="8" max="8" width="10.3984375" customWidth="1"/>
    <col min="9" max="9" width="9.796875" customWidth="1"/>
    <col min="10" max="10" width="11.59765625" customWidth="1"/>
    <col min="11" max="11" width="9" customWidth="1"/>
    <col min="12" max="12" width="10.796875" customWidth="1"/>
    <col min="13" max="13" width="9.19921875" customWidth="1"/>
    <col min="14" max="14" width="11.3984375" customWidth="1"/>
    <col min="15" max="15" width="9" customWidth="1"/>
    <col min="16" max="16" width="10.3984375" customWidth="1"/>
    <col min="17" max="17" width="9" customWidth="1"/>
    <col min="18" max="18" width="10.3984375" customWidth="1"/>
    <col min="19" max="19" width="9" customWidth="1"/>
    <col min="20" max="20" width="9.796875" customWidth="1"/>
    <col min="21" max="21" width="9" customWidth="1"/>
    <col min="22" max="22" width="9.796875" customWidth="1"/>
    <col min="23" max="23" width="10.19921875" customWidth="1"/>
    <col min="24" max="24" width="10.3984375" customWidth="1"/>
    <col min="25" max="25" width="12" customWidth="1"/>
    <col min="26" max="32" width="9" customWidth="1"/>
  </cols>
  <sheetData>
    <row r="1" spans="1:32" ht="17.25" customHeight="1" x14ac:dyDescent="0.35">
      <c r="A1" s="187"/>
      <c r="B1" s="744" t="s">
        <v>168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6"/>
      <c r="Z1" s="188"/>
      <c r="AA1" s="188"/>
      <c r="AB1" s="188"/>
      <c r="AC1" s="188"/>
      <c r="AD1" s="188"/>
      <c r="AE1" s="188"/>
      <c r="AF1" s="189"/>
    </row>
    <row r="2" spans="1:32" ht="23.5" x14ac:dyDescent="0.35">
      <c r="A2" s="190"/>
      <c r="B2" s="747" t="s">
        <v>419</v>
      </c>
      <c r="C2" s="748"/>
      <c r="D2" s="748"/>
      <c r="E2" s="748"/>
      <c r="F2" s="748"/>
      <c r="G2" s="748"/>
      <c r="H2" s="748"/>
      <c r="I2" s="748"/>
      <c r="J2" s="748"/>
      <c r="K2" s="748"/>
      <c r="L2" s="748"/>
      <c r="M2" s="748"/>
      <c r="N2" s="748"/>
      <c r="O2" s="748"/>
      <c r="P2" s="748"/>
      <c r="Q2" s="748"/>
      <c r="R2" s="748"/>
      <c r="S2" s="748"/>
      <c r="T2" s="748"/>
      <c r="U2" s="748"/>
      <c r="V2" s="748"/>
      <c r="W2" s="748"/>
      <c r="X2" s="748"/>
      <c r="Y2" s="749"/>
      <c r="Z2" s="191"/>
      <c r="AA2" s="191"/>
      <c r="AB2" s="191"/>
      <c r="AC2" s="191"/>
      <c r="AD2" s="191"/>
      <c r="AE2" s="191"/>
      <c r="AF2" s="192"/>
    </row>
    <row r="3" spans="1:32" ht="23.5" x14ac:dyDescent="0.35">
      <c r="A3" s="190"/>
      <c r="B3" s="769" t="s">
        <v>169</v>
      </c>
      <c r="C3" s="751"/>
      <c r="D3" s="193">
        <f>H15</f>
        <v>0</v>
      </c>
      <c r="E3" s="194" t="s">
        <v>420</v>
      </c>
      <c r="F3" s="750" t="s">
        <v>170</v>
      </c>
      <c r="G3" s="751"/>
      <c r="H3" s="195"/>
      <c r="I3" s="196" t="s">
        <v>420</v>
      </c>
      <c r="J3" s="752" t="s">
        <v>171</v>
      </c>
      <c r="K3" s="751"/>
      <c r="L3" s="195"/>
      <c r="M3" s="194" t="s">
        <v>420</v>
      </c>
      <c r="N3" s="750" t="s">
        <v>172</v>
      </c>
      <c r="O3" s="751"/>
      <c r="P3" s="197"/>
      <c r="Q3" s="196">
        <v>113.292</v>
      </c>
      <c r="R3" s="750" t="s">
        <v>173</v>
      </c>
      <c r="S3" s="751"/>
      <c r="T3" s="193"/>
      <c r="U3" s="196">
        <v>113.292</v>
      </c>
      <c r="V3" s="198" t="s">
        <v>174</v>
      </c>
      <c r="W3" s="753" t="str">
        <f>'Master Sheet'!H2</f>
        <v>08.01.2026</v>
      </c>
      <c r="X3" s="754"/>
      <c r="Y3" s="199"/>
      <c r="Z3" s="191"/>
      <c r="AA3" s="191"/>
      <c r="AB3" s="191"/>
      <c r="AC3" s="191"/>
      <c r="AD3" s="191"/>
      <c r="AE3" s="191"/>
      <c r="AF3" s="191"/>
    </row>
    <row r="4" spans="1:32" ht="23.5" x14ac:dyDescent="0.45">
      <c r="A4" s="190"/>
      <c r="B4" s="781" t="s">
        <v>175</v>
      </c>
      <c r="C4" s="770" t="s">
        <v>421</v>
      </c>
      <c r="D4" s="770" t="s">
        <v>176</v>
      </c>
      <c r="E4" s="770" t="s">
        <v>177</v>
      </c>
      <c r="F4" s="772" t="s">
        <v>178</v>
      </c>
      <c r="G4" s="773" t="s">
        <v>179</v>
      </c>
      <c r="H4" s="755" t="s">
        <v>180</v>
      </c>
      <c r="I4" s="758" t="s">
        <v>122</v>
      </c>
      <c r="J4" s="168"/>
      <c r="K4" s="200"/>
      <c r="L4" s="201"/>
      <c r="M4" s="202"/>
      <c r="N4" s="203"/>
      <c r="O4" s="201"/>
      <c r="P4" s="204"/>
      <c r="Q4" s="205"/>
      <c r="R4" s="170"/>
      <c r="S4" s="169"/>
      <c r="T4" s="200"/>
      <c r="U4" s="203"/>
      <c r="V4" s="170"/>
      <c r="W4" s="169"/>
      <c r="X4" s="206"/>
      <c r="Y4" s="207"/>
      <c r="Z4" s="191"/>
      <c r="AA4" s="191"/>
      <c r="AB4" s="191"/>
      <c r="AC4" s="191"/>
      <c r="AD4" s="191"/>
      <c r="AE4" s="191"/>
      <c r="AF4" s="191"/>
    </row>
    <row r="5" spans="1:32" ht="23.5" x14ac:dyDescent="0.5">
      <c r="A5" s="190"/>
      <c r="B5" s="759"/>
      <c r="C5" s="759"/>
      <c r="D5" s="759"/>
      <c r="E5" s="759"/>
      <c r="F5" s="759"/>
      <c r="G5" s="759"/>
      <c r="H5" s="756"/>
      <c r="I5" s="759"/>
      <c r="J5" s="171" t="s">
        <v>181</v>
      </c>
      <c r="K5" s="208"/>
      <c r="L5" s="209"/>
      <c r="M5" s="210"/>
      <c r="N5" s="211"/>
      <c r="O5" s="209"/>
      <c r="P5" s="212" t="s">
        <v>182</v>
      </c>
      <c r="Q5" s="211"/>
      <c r="R5" s="174" t="s">
        <v>183</v>
      </c>
      <c r="S5" s="171"/>
      <c r="T5" s="44"/>
      <c r="U5" s="173"/>
      <c r="V5" s="760"/>
      <c r="W5" s="761"/>
      <c r="X5" s="175"/>
      <c r="Y5" s="207"/>
      <c r="Z5" s="191"/>
      <c r="AA5" s="191"/>
      <c r="AB5" s="191"/>
      <c r="AC5" s="191"/>
      <c r="AD5" s="191"/>
      <c r="AE5" s="191"/>
      <c r="AF5" s="191"/>
    </row>
    <row r="6" spans="1:32" ht="23.5" x14ac:dyDescent="0.5">
      <c r="A6" s="190"/>
      <c r="B6" s="771"/>
      <c r="C6" s="771"/>
      <c r="D6" s="771"/>
      <c r="E6" s="771"/>
      <c r="F6" s="771"/>
      <c r="G6" s="771"/>
      <c r="H6" s="757"/>
      <c r="I6" s="759"/>
      <c r="J6" s="176" t="s">
        <v>184</v>
      </c>
      <c r="K6" s="208"/>
      <c r="L6" s="209"/>
      <c r="M6" s="208"/>
      <c r="N6" s="211"/>
      <c r="O6" s="209"/>
      <c r="P6" s="213"/>
      <c r="Q6" s="212"/>
      <c r="R6" s="177"/>
      <c r="S6" s="178"/>
      <c r="T6" s="178"/>
      <c r="U6" s="173"/>
      <c r="V6" s="179" t="s">
        <v>185</v>
      </c>
      <c r="W6" s="178"/>
      <c r="X6" s="175"/>
      <c r="Y6" s="207"/>
      <c r="Z6" s="191"/>
      <c r="AA6" s="191"/>
      <c r="AB6" s="191"/>
      <c r="AC6" s="191"/>
      <c r="AD6" s="191"/>
      <c r="AE6" s="191"/>
      <c r="AF6" s="191"/>
    </row>
    <row r="7" spans="1:32" ht="23.5" x14ac:dyDescent="0.35">
      <c r="A7" s="190"/>
      <c r="B7" s="214" t="s">
        <v>186</v>
      </c>
      <c r="C7" s="215"/>
      <c r="D7" s="215"/>
      <c r="E7" s="215"/>
      <c r="F7" s="215"/>
      <c r="G7" s="215"/>
      <c r="H7" s="216">
        <f t="shared" ref="H7:H14" si="0">SUM(C7:G7)</f>
        <v>0</v>
      </c>
      <c r="I7" s="217"/>
      <c r="J7" s="44"/>
      <c r="K7" s="764" t="s">
        <v>187</v>
      </c>
      <c r="L7" s="213"/>
      <c r="M7" s="213" t="s">
        <v>188</v>
      </c>
      <c r="N7" s="218"/>
      <c r="O7" s="219"/>
      <c r="P7" s="213"/>
      <c r="Q7" s="218"/>
      <c r="R7" s="172" t="s">
        <v>189</v>
      </c>
      <c r="S7" s="178"/>
      <c r="T7" s="178"/>
      <c r="U7" s="173"/>
      <c r="V7" s="765"/>
      <c r="W7" s="761"/>
      <c r="X7" s="175"/>
      <c r="Y7" s="207"/>
      <c r="Z7" s="191"/>
      <c r="AA7" s="191"/>
      <c r="AB7" s="191"/>
      <c r="AE7" s="191"/>
      <c r="AF7" s="191"/>
    </row>
    <row r="8" spans="1:32" ht="23.5" x14ac:dyDescent="0.35">
      <c r="A8" s="190"/>
      <c r="B8" s="214" t="s">
        <v>190</v>
      </c>
      <c r="C8" s="215"/>
      <c r="D8" s="215"/>
      <c r="E8" s="215"/>
      <c r="F8" s="215"/>
      <c r="G8" s="215"/>
      <c r="H8" s="216">
        <f t="shared" si="0"/>
        <v>0</v>
      </c>
      <c r="I8" s="220"/>
      <c r="J8" s="171" t="s">
        <v>191</v>
      </c>
      <c r="K8" s="763"/>
      <c r="L8" s="213"/>
      <c r="M8" s="213"/>
      <c r="N8" s="218"/>
      <c r="O8" s="219"/>
      <c r="P8" s="213"/>
      <c r="Q8" s="218"/>
      <c r="R8" s="177"/>
      <c r="S8" s="178"/>
      <c r="T8" s="178"/>
      <c r="U8" s="173"/>
      <c r="V8" s="177"/>
      <c r="W8" s="178"/>
      <c r="X8" s="175"/>
      <c r="Y8" s="207"/>
      <c r="Z8" s="191"/>
      <c r="AA8" s="191"/>
      <c r="AB8" s="191"/>
      <c r="AE8" s="191"/>
      <c r="AF8" s="191"/>
    </row>
    <row r="9" spans="1:32" ht="23.5" x14ac:dyDescent="0.35">
      <c r="A9" s="190"/>
      <c r="B9" s="214" t="s">
        <v>192</v>
      </c>
      <c r="C9" s="215"/>
      <c r="D9" s="215"/>
      <c r="E9" s="215"/>
      <c r="F9" s="215"/>
      <c r="G9" s="215"/>
      <c r="H9" s="216">
        <f t="shared" si="0"/>
        <v>0</v>
      </c>
      <c r="I9" s="220"/>
      <c r="J9" s="180"/>
      <c r="K9" s="221"/>
      <c r="L9" s="219"/>
      <c r="M9" s="213"/>
      <c r="N9" s="218"/>
      <c r="O9" s="219" t="s">
        <v>193</v>
      </c>
      <c r="P9" s="213"/>
      <c r="Q9" s="218"/>
      <c r="R9" s="177"/>
      <c r="S9" s="178"/>
      <c r="T9" s="178"/>
      <c r="U9" s="173"/>
      <c r="V9" s="177"/>
      <c r="W9" s="178"/>
      <c r="X9" s="175"/>
      <c r="Y9" s="207"/>
      <c r="Z9" s="191"/>
      <c r="AA9" s="191"/>
      <c r="AB9" s="191"/>
      <c r="AC9" s="191"/>
      <c r="AD9" s="191"/>
      <c r="AE9" s="191"/>
      <c r="AF9" s="191"/>
    </row>
    <row r="10" spans="1:32" ht="23.5" x14ac:dyDescent="0.35">
      <c r="A10" s="190"/>
      <c r="B10" s="214" t="s">
        <v>194</v>
      </c>
      <c r="C10" s="215"/>
      <c r="D10" s="215"/>
      <c r="E10" s="215"/>
      <c r="F10" s="215"/>
      <c r="G10" s="215"/>
      <c r="H10" s="216">
        <f t="shared" si="0"/>
        <v>0</v>
      </c>
      <c r="I10" s="220"/>
      <c r="J10" s="180"/>
      <c r="K10" s="222"/>
      <c r="L10" s="219"/>
      <c r="M10" s="213"/>
      <c r="N10" s="218"/>
      <c r="O10" s="219"/>
      <c r="P10" s="213"/>
      <c r="Q10" s="218"/>
      <c r="R10" s="177"/>
      <c r="S10" s="178"/>
      <c r="T10" s="178"/>
      <c r="U10" s="173"/>
      <c r="V10" s="177"/>
      <c r="W10" s="178"/>
      <c r="X10" s="175"/>
      <c r="Y10" s="207"/>
      <c r="Z10" s="191"/>
      <c r="AA10" s="191"/>
      <c r="AB10" s="191"/>
      <c r="AC10" s="191"/>
      <c r="AD10" s="191"/>
      <c r="AE10" s="191"/>
      <c r="AF10" s="191"/>
    </row>
    <row r="11" spans="1:32" ht="23.5" x14ac:dyDescent="0.45">
      <c r="A11" s="190"/>
      <c r="B11" s="214" t="s">
        <v>195</v>
      </c>
      <c r="C11" s="215"/>
      <c r="D11" s="215"/>
      <c r="E11" s="215"/>
      <c r="F11" s="215"/>
      <c r="G11" s="215"/>
      <c r="H11" s="216">
        <f t="shared" si="0"/>
        <v>0</v>
      </c>
      <c r="I11" s="220"/>
      <c r="J11" s="223"/>
      <c r="K11" s="224"/>
      <c r="L11" s="225"/>
      <c r="M11" s="224"/>
      <c r="N11" s="226"/>
      <c r="P11" s="224"/>
      <c r="Q11" s="226"/>
      <c r="R11" s="177"/>
      <c r="S11" s="178" t="s">
        <v>196</v>
      </c>
      <c r="T11" s="178"/>
      <c r="U11" s="173"/>
      <c r="V11" s="177"/>
      <c r="W11" s="178"/>
      <c r="X11" s="175"/>
      <c r="Y11" s="207"/>
      <c r="Z11" s="191"/>
      <c r="AA11" s="191"/>
      <c r="AB11" s="191"/>
      <c r="AC11" s="191"/>
      <c r="AD11" s="191"/>
      <c r="AE11" s="191"/>
      <c r="AF11" s="191"/>
    </row>
    <row r="12" spans="1:32" ht="23.5" x14ac:dyDescent="0.45">
      <c r="A12" s="190"/>
      <c r="B12" s="214" t="s">
        <v>197</v>
      </c>
      <c r="C12" s="215"/>
      <c r="D12" s="215"/>
      <c r="E12" s="215"/>
      <c r="F12" s="215"/>
      <c r="G12" s="215"/>
      <c r="H12" s="216">
        <f t="shared" si="0"/>
        <v>0</v>
      </c>
      <c r="I12" s="220"/>
      <c r="J12" s="223"/>
      <c r="K12" s="224"/>
      <c r="L12" s="225"/>
      <c r="M12" s="224"/>
      <c r="N12" s="226"/>
      <c r="O12" s="219"/>
      <c r="P12" s="224"/>
      <c r="Q12" s="227" t="s">
        <v>184</v>
      </c>
      <c r="R12" s="177"/>
      <c r="S12" s="178"/>
      <c r="T12" s="178"/>
      <c r="U12" s="173"/>
      <c r="V12" s="177"/>
      <c r="W12" s="178"/>
      <c r="X12" s="175"/>
      <c r="Y12" s="207"/>
      <c r="Z12" s="191"/>
      <c r="AA12" s="191"/>
      <c r="AB12" s="191"/>
      <c r="AC12" s="191"/>
      <c r="AD12" s="191"/>
      <c r="AE12" s="191"/>
      <c r="AF12" s="191"/>
    </row>
    <row r="13" spans="1:32" ht="29.25" customHeight="1" x14ac:dyDescent="0.35">
      <c r="A13" s="190"/>
      <c r="B13" s="214" t="s">
        <v>198</v>
      </c>
      <c r="C13" s="215"/>
      <c r="D13" s="215"/>
      <c r="E13" s="215"/>
      <c r="F13" s="215"/>
      <c r="G13" s="215"/>
      <c r="H13" s="216">
        <f t="shared" si="0"/>
        <v>0</v>
      </c>
      <c r="I13" s="220"/>
      <c r="J13" s="181" t="s">
        <v>199</v>
      </c>
      <c r="K13" s="228" t="s">
        <v>200</v>
      </c>
      <c r="L13" s="177"/>
      <c r="M13" s="178"/>
      <c r="N13" s="173"/>
      <c r="O13" s="177"/>
      <c r="P13" s="213"/>
      <c r="Q13" s="218"/>
      <c r="R13" s="177"/>
      <c r="S13" s="178" t="s">
        <v>201</v>
      </c>
      <c r="T13" s="188"/>
      <c r="U13" s="229"/>
      <c r="V13" s="766" t="s">
        <v>202</v>
      </c>
      <c r="W13" s="761"/>
      <c r="X13" s="189"/>
      <c r="Y13" s="207"/>
      <c r="Z13" s="191"/>
      <c r="AA13" s="191"/>
      <c r="AB13" s="191"/>
      <c r="AC13" s="191"/>
      <c r="AD13" s="191"/>
      <c r="AE13" s="191"/>
      <c r="AF13" s="191"/>
    </row>
    <row r="14" spans="1:32" ht="23.5" x14ac:dyDescent="0.45">
      <c r="A14" s="190"/>
      <c r="B14" s="214" t="s">
        <v>203</v>
      </c>
      <c r="C14" s="215"/>
      <c r="D14" s="215"/>
      <c r="E14" s="215"/>
      <c r="F14" s="215"/>
      <c r="G14" s="215"/>
      <c r="H14" s="216">
        <f t="shared" si="0"/>
        <v>0</v>
      </c>
      <c r="I14" s="230"/>
      <c r="J14" s="231" t="s">
        <v>204</v>
      </c>
      <c r="K14" s="232" t="s">
        <v>205</v>
      </c>
      <c r="L14" s="233"/>
      <c r="M14" s="234" t="s">
        <v>48</v>
      </c>
      <c r="N14" s="235"/>
      <c r="O14" s="213"/>
      <c r="P14" s="767" t="s">
        <v>52</v>
      </c>
      <c r="Q14" s="235"/>
      <c r="R14" s="177" t="s">
        <v>69</v>
      </c>
      <c r="S14" s="178"/>
      <c r="T14" s="178"/>
      <c r="U14" s="173"/>
      <c r="V14" s="183" t="s">
        <v>206</v>
      </c>
      <c r="W14" s="178"/>
      <c r="X14" s="175"/>
      <c r="Y14" s="207"/>
      <c r="Z14" s="191"/>
      <c r="AA14" s="191"/>
      <c r="AB14" s="191"/>
      <c r="AC14" s="191"/>
      <c r="AD14" s="191"/>
      <c r="AE14" s="191"/>
      <c r="AF14" s="191"/>
    </row>
    <row r="15" spans="1:32" ht="23.5" x14ac:dyDescent="0.45">
      <c r="A15" s="190"/>
      <c r="B15" s="774" t="s">
        <v>207</v>
      </c>
      <c r="C15" s="775"/>
      <c r="D15" s="775"/>
      <c r="E15" s="775"/>
      <c r="F15" s="775"/>
      <c r="G15" s="776"/>
      <c r="H15" s="236">
        <f t="shared" ref="H15:I15" si="1">SUM(H7:H14)</f>
        <v>0</v>
      </c>
      <c r="I15" s="237">
        <f t="shared" si="1"/>
        <v>0</v>
      </c>
      <c r="J15" s="238"/>
      <c r="K15" s="239"/>
      <c r="L15" s="240"/>
      <c r="M15" s="241"/>
      <c r="N15" s="242"/>
      <c r="O15" s="243"/>
      <c r="P15" s="768"/>
      <c r="Q15" s="242"/>
      <c r="R15" s="244"/>
      <c r="S15" s="245"/>
      <c r="T15" s="245"/>
      <c r="U15" s="246"/>
      <c r="V15" s="247"/>
      <c r="W15" s="245"/>
      <c r="X15" s="248"/>
      <c r="Y15" s="249"/>
      <c r="Z15" s="191"/>
      <c r="AA15" s="191"/>
      <c r="AB15" s="191"/>
      <c r="AC15" s="191"/>
      <c r="AD15" s="191"/>
      <c r="AE15" s="191"/>
      <c r="AF15" s="191"/>
    </row>
    <row r="16" spans="1:32" ht="15.5" x14ac:dyDescent="0.35">
      <c r="A16" s="190"/>
      <c r="B16" s="250"/>
      <c r="C16" s="250"/>
      <c r="D16" s="250"/>
      <c r="E16" s="129"/>
      <c r="F16" s="129"/>
      <c r="G16" s="129"/>
      <c r="H16" s="129"/>
      <c r="I16" s="213"/>
      <c r="J16" s="213"/>
      <c r="K16" s="213"/>
      <c r="L16" s="213"/>
      <c r="M16" s="213"/>
      <c r="P16" s="222"/>
      <c r="Q16" s="213"/>
      <c r="R16" s="178"/>
      <c r="S16" s="178"/>
      <c r="T16" s="178"/>
      <c r="U16" s="178"/>
      <c r="V16" s="184"/>
      <c r="W16" s="184"/>
      <c r="X16" s="178"/>
      <c r="Y16" s="251"/>
      <c r="AB16" s="252" t="s">
        <v>208</v>
      </c>
    </row>
    <row r="17" spans="1:27" ht="15.5" x14ac:dyDescent="0.35">
      <c r="A17" s="190"/>
      <c r="C17" s="213"/>
      <c r="D17" s="213"/>
      <c r="E17" s="213"/>
      <c r="F17" s="213"/>
      <c r="H17" s="213"/>
      <c r="I17" s="213"/>
      <c r="J17" s="213"/>
      <c r="K17" s="213"/>
      <c r="L17" s="213"/>
      <c r="M17" s="213"/>
      <c r="N17" s="213"/>
      <c r="O17" s="213"/>
      <c r="P17" s="253"/>
      <c r="Q17" s="213"/>
      <c r="R17" s="213"/>
      <c r="S17" s="213"/>
      <c r="T17" s="213"/>
      <c r="U17" s="213"/>
      <c r="V17" s="213"/>
      <c r="W17" s="213"/>
      <c r="X17" s="213"/>
      <c r="Y17" s="254"/>
    </row>
    <row r="18" spans="1:27" ht="15.5" x14ac:dyDescent="0.35">
      <c r="A18" s="190"/>
      <c r="C18" s="255"/>
      <c r="D18" s="255"/>
      <c r="E18" s="255"/>
      <c r="F18" s="255"/>
      <c r="G18" s="255"/>
      <c r="H18" s="255"/>
      <c r="I18" s="256"/>
      <c r="J18" s="255"/>
      <c r="K18" s="255"/>
      <c r="L18" s="255"/>
      <c r="M18" s="255"/>
      <c r="N18" s="255"/>
      <c r="O18" s="255"/>
      <c r="P18" s="253"/>
      <c r="Q18" s="213"/>
      <c r="R18" s="213"/>
      <c r="S18" s="213"/>
      <c r="T18" s="213"/>
      <c r="U18" s="213"/>
      <c r="V18" s="213"/>
      <c r="W18" s="213"/>
      <c r="X18" s="213"/>
      <c r="Y18" s="257"/>
      <c r="AA18" s="252" t="s">
        <v>422</v>
      </c>
    </row>
    <row r="19" spans="1:27" ht="15.5" x14ac:dyDescent="0.35">
      <c r="A19" s="258"/>
      <c r="B19" s="782"/>
      <c r="C19" s="259">
        <v>411</v>
      </c>
      <c r="D19" s="777"/>
      <c r="E19" s="260">
        <v>432</v>
      </c>
      <c r="F19" s="777"/>
      <c r="G19" s="261">
        <v>408</v>
      </c>
      <c r="H19" s="777"/>
      <c r="I19" s="262">
        <v>433</v>
      </c>
      <c r="J19" s="777"/>
      <c r="K19" s="262">
        <v>409</v>
      </c>
      <c r="L19" s="777"/>
      <c r="M19" s="262">
        <v>432</v>
      </c>
      <c r="N19" s="777"/>
      <c r="O19" s="263">
        <v>375</v>
      </c>
      <c r="P19" s="762"/>
      <c r="Q19" s="259">
        <v>414</v>
      </c>
      <c r="R19" s="762"/>
      <c r="S19" s="259">
        <v>403</v>
      </c>
      <c r="T19" s="762"/>
      <c r="U19" s="260">
        <v>406</v>
      </c>
      <c r="V19" s="777"/>
      <c r="W19" s="262">
        <v>319</v>
      </c>
      <c r="X19" s="777"/>
      <c r="Y19" s="264">
        <v>384</v>
      </c>
    </row>
    <row r="20" spans="1:27" ht="15.5" x14ac:dyDescent="0.35">
      <c r="A20" s="190"/>
      <c r="B20" s="783"/>
      <c r="C20" s="255"/>
      <c r="D20" s="778"/>
      <c r="E20" s="255"/>
      <c r="F20" s="778"/>
      <c r="G20" s="265"/>
      <c r="H20" s="778"/>
      <c r="I20" s="255"/>
      <c r="J20" s="778"/>
      <c r="K20" s="255"/>
      <c r="L20" s="778"/>
      <c r="M20" s="255"/>
      <c r="N20" s="778"/>
      <c r="O20" s="255"/>
      <c r="P20" s="763"/>
      <c r="Q20" s="255"/>
      <c r="R20" s="763"/>
      <c r="S20" s="255"/>
      <c r="T20" s="763"/>
      <c r="U20" s="255"/>
      <c r="V20" s="778"/>
      <c r="W20" s="255"/>
      <c r="X20" s="778"/>
      <c r="Y20" s="266"/>
    </row>
    <row r="21" spans="1:27" ht="15" customHeight="1" x14ac:dyDescent="0.35">
      <c r="A21" s="267"/>
      <c r="B21" s="268" t="s">
        <v>423</v>
      </c>
      <c r="C21" s="269"/>
      <c r="D21" s="268" t="s">
        <v>209</v>
      </c>
      <c r="E21" s="270"/>
      <c r="F21" s="268" t="s">
        <v>210</v>
      </c>
      <c r="G21" s="270"/>
      <c r="H21" s="268" t="s">
        <v>211</v>
      </c>
      <c r="I21" s="270"/>
      <c r="J21" s="268" t="s">
        <v>212</v>
      </c>
      <c r="K21" s="270"/>
      <c r="L21" s="268" t="s">
        <v>213</v>
      </c>
      <c r="M21" s="270"/>
      <c r="N21" s="268" t="s">
        <v>214</v>
      </c>
      <c r="O21" s="270"/>
      <c r="P21" s="268" t="s">
        <v>215</v>
      </c>
      <c r="Q21" s="270"/>
      <c r="R21" s="268" t="s">
        <v>424</v>
      </c>
      <c r="S21" s="270"/>
      <c r="T21" s="268" t="s">
        <v>216</v>
      </c>
      <c r="U21" s="271"/>
      <c r="V21" s="268" t="s">
        <v>217</v>
      </c>
      <c r="W21" s="270"/>
      <c r="X21" s="268" t="s">
        <v>218</v>
      </c>
      <c r="Y21" s="272"/>
    </row>
    <row r="22" spans="1:27" ht="15.5" x14ac:dyDescent="0.35">
      <c r="A22" s="190"/>
      <c r="B22" s="273" t="s">
        <v>219</v>
      </c>
      <c r="C22" s="269"/>
      <c r="D22" s="273" t="s">
        <v>220</v>
      </c>
      <c r="E22" s="273"/>
      <c r="F22" s="273" t="s">
        <v>221</v>
      </c>
      <c r="G22" s="273"/>
      <c r="H22" s="273" t="s">
        <v>220</v>
      </c>
      <c r="I22" s="273"/>
      <c r="J22" s="273" t="s">
        <v>222</v>
      </c>
      <c r="K22" s="273"/>
      <c r="L22" s="273" t="s">
        <v>222</v>
      </c>
      <c r="M22" s="273"/>
      <c r="N22" s="273" t="s">
        <v>222</v>
      </c>
      <c r="O22" s="273"/>
      <c r="P22" s="273" t="s">
        <v>220</v>
      </c>
      <c r="Q22" s="273"/>
      <c r="R22" s="273" t="s">
        <v>361</v>
      </c>
      <c r="S22" s="213"/>
      <c r="T22" s="273" t="s">
        <v>221</v>
      </c>
      <c r="U22" s="213"/>
      <c r="V22" s="273" t="s">
        <v>221</v>
      </c>
      <c r="W22" s="273"/>
      <c r="X22" s="273" t="s">
        <v>221</v>
      </c>
      <c r="Y22" s="207"/>
    </row>
    <row r="23" spans="1:27" ht="15.5" x14ac:dyDescent="0.35">
      <c r="A23" s="190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57"/>
    </row>
    <row r="24" spans="1:27" ht="15.5" x14ac:dyDescent="0.35">
      <c r="A24" s="190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57"/>
    </row>
    <row r="25" spans="1:27" ht="15.5" x14ac:dyDescent="0.35">
      <c r="A25" s="190"/>
      <c r="B25" s="779"/>
      <c r="C25" s="260">
        <v>385</v>
      </c>
      <c r="D25" s="780"/>
      <c r="E25" s="262">
        <v>409</v>
      </c>
      <c r="F25" s="780"/>
      <c r="G25" s="274">
        <v>369</v>
      </c>
      <c r="H25" s="780"/>
      <c r="I25" s="274">
        <v>350</v>
      </c>
      <c r="J25" s="780"/>
      <c r="K25" s="259">
        <v>395</v>
      </c>
      <c r="L25" s="777"/>
      <c r="M25" s="275">
        <v>412</v>
      </c>
      <c r="N25" s="779"/>
      <c r="O25" s="276">
        <v>366</v>
      </c>
      <c r="P25" s="779"/>
      <c r="Q25" s="277">
        <v>383</v>
      </c>
      <c r="R25" s="780"/>
      <c r="S25" s="262">
        <v>300</v>
      </c>
      <c r="T25" s="777"/>
      <c r="U25" s="278">
        <v>393</v>
      </c>
      <c r="V25" s="780"/>
      <c r="W25" s="278">
        <v>414</v>
      </c>
      <c r="X25" s="777"/>
      <c r="Y25" s="279">
        <v>412</v>
      </c>
    </row>
    <row r="26" spans="1:27" ht="15.5" x14ac:dyDescent="0.35">
      <c r="A26" s="190"/>
      <c r="B26" s="763"/>
      <c r="C26" s="255"/>
      <c r="D26" s="778"/>
      <c r="E26" s="255"/>
      <c r="F26" s="778"/>
      <c r="G26" s="255"/>
      <c r="H26" s="778"/>
      <c r="I26" s="213"/>
      <c r="J26" s="778"/>
      <c r="K26" s="255"/>
      <c r="L26" s="778"/>
      <c r="M26" s="265"/>
      <c r="N26" s="763"/>
      <c r="O26" s="265"/>
      <c r="P26" s="763"/>
      <c r="Q26" s="265"/>
      <c r="R26" s="778"/>
      <c r="S26" s="265"/>
      <c r="T26" s="778"/>
      <c r="U26" s="265"/>
      <c r="V26" s="778"/>
      <c r="W26" s="265"/>
      <c r="X26" s="778"/>
      <c r="Y26" s="257"/>
    </row>
    <row r="27" spans="1:27" ht="15.5" x14ac:dyDescent="0.35">
      <c r="A27" s="190"/>
      <c r="B27" s="268" t="s">
        <v>224</v>
      </c>
      <c r="C27" s="270"/>
      <c r="D27" s="268" t="s">
        <v>225</v>
      </c>
      <c r="E27" s="270"/>
      <c r="F27" s="268" t="s">
        <v>226</v>
      </c>
      <c r="G27" s="270"/>
      <c r="H27" s="268" t="s">
        <v>227</v>
      </c>
      <c r="I27" s="265"/>
      <c r="J27" s="268" t="s">
        <v>228</v>
      </c>
      <c r="K27" s="270"/>
      <c r="L27" s="268" t="s">
        <v>229</v>
      </c>
      <c r="M27" s="265"/>
      <c r="N27" s="268" t="s">
        <v>230</v>
      </c>
      <c r="O27" s="280"/>
      <c r="P27" s="268" t="s">
        <v>231</v>
      </c>
      <c r="Q27" s="281"/>
      <c r="R27" s="268" t="s">
        <v>425</v>
      </c>
      <c r="S27" s="281"/>
      <c r="T27" s="268" t="s">
        <v>232</v>
      </c>
      <c r="U27" s="281"/>
      <c r="V27" s="268" t="s">
        <v>233</v>
      </c>
      <c r="W27" s="281"/>
      <c r="X27" s="268" t="s">
        <v>234</v>
      </c>
      <c r="Y27" s="282"/>
    </row>
    <row r="28" spans="1:27" ht="15.5" x14ac:dyDescent="0.35">
      <c r="A28" s="190"/>
      <c r="B28" s="273" t="s">
        <v>221</v>
      </c>
      <c r="C28" s="273"/>
      <c r="D28" s="273" t="s">
        <v>220</v>
      </c>
      <c r="E28" s="273"/>
      <c r="F28" s="273" t="s">
        <v>221</v>
      </c>
      <c r="H28" s="273" t="s">
        <v>221</v>
      </c>
      <c r="I28" s="255"/>
      <c r="J28" s="273" t="s">
        <v>221</v>
      </c>
      <c r="K28" s="283"/>
      <c r="L28" s="273" t="s">
        <v>221</v>
      </c>
      <c r="M28" s="255"/>
      <c r="N28" s="273" t="s">
        <v>221</v>
      </c>
      <c r="O28" s="213"/>
      <c r="P28" s="273" t="s">
        <v>221</v>
      </c>
      <c r="Q28" s="283"/>
      <c r="R28" s="273" t="s">
        <v>235</v>
      </c>
      <c r="S28" s="271"/>
      <c r="T28" s="273" t="s">
        <v>221</v>
      </c>
      <c r="U28" s="271"/>
      <c r="V28" s="273" t="s">
        <v>221</v>
      </c>
      <c r="W28" s="271"/>
      <c r="X28" s="273" t="s">
        <v>222</v>
      </c>
      <c r="Y28" s="257"/>
    </row>
    <row r="29" spans="1:27" ht="15.5" x14ac:dyDescent="0.35">
      <c r="A29" s="190"/>
      <c r="N29" s="284"/>
      <c r="O29" s="285"/>
      <c r="P29" s="284"/>
      <c r="Q29" s="285"/>
      <c r="R29" s="284"/>
      <c r="S29" s="286"/>
      <c r="T29" s="284"/>
      <c r="U29" s="286"/>
      <c r="V29" s="284"/>
      <c r="W29" s="286"/>
      <c r="X29" s="284"/>
      <c r="Y29" s="287"/>
    </row>
    <row r="30" spans="1:27" ht="15.5" x14ac:dyDescent="0.35">
      <c r="A30" s="190"/>
      <c r="B30" s="265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82"/>
    </row>
    <row r="31" spans="1:27" ht="15.5" x14ac:dyDescent="0.35">
      <c r="A31" s="190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88"/>
      <c r="S31" s="265"/>
      <c r="T31" s="265"/>
      <c r="U31" s="265"/>
      <c r="V31" s="265"/>
      <c r="W31" s="265"/>
      <c r="X31" s="265"/>
      <c r="Y31" s="282"/>
    </row>
    <row r="32" spans="1:27" ht="15.5" x14ac:dyDescent="0.35">
      <c r="A32" s="190"/>
      <c r="B32" s="762"/>
      <c r="C32" s="277">
        <v>377</v>
      </c>
      <c r="D32" s="780"/>
      <c r="E32" s="278">
        <v>369</v>
      </c>
      <c r="F32" s="780"/>
      <c r="G32" s="278">
        <v>369</v>
      </c>
      <c r="H32" s="780"/>
      <c r="I32" s="278">
        <v>403</v>
      </c>
      <c r="J32" s="780"/>
      <c r="K32" s="278">
        <v>374</v>
      </c>
      <c r="L32" s="780"/>
      <c r="M32" s="278">
        <v>416</v>
      </c>
      <c r="N32" s="780"/>
      <c r="O32" s="278">
        <v>424</v>
      </c>
      <c r="P32" s="780"/>
      <c r="Q32" s="278">
        <v>401</v>
      </c>
      <c r="R32" s="780"/>
      <c r="S32" s="262">
        <v>437</v>
      </c>
      <c r="T32" s="780"/>
      <c r="U32" s="278">
        <v>369</v>
      </c>
      <c r="V32" s="762"/>
      <c r="W32" s="289">
        <v>361</v>
      </c>
      <c r="X32" s="762"/>
      <c r="Y32" s="290">
        <v>458</v>
      </c>
    </row>
    <row r="33" spans="1:27" ht="15.5" x14ac:dyDescent="0.35">
      <c r="A33" s="190"/>
      <c r="B33" s="763"/>
      <c r="C33" s="265"/>
      <c r="D33" s="778"/>
      <c r="E33" s="265"/>
      <c r="F33" s="778"/>
      <c r="G33" s="265"/>
      <c r="H33" s="778"/>
      <c r="I33" s="265"/>
      <c r="J33" s="778"/>
      <c r="K33" s="255"/>
      <c r="L33" s="778"/>
      <c r="M33" s="265"/>
      <c r="N33" s="778"/>
      <c r="O33" s="265"/>
      <c r="P33" s="778"/>
      <c r="Q33" s="255"/>
      <c r="R33" s="778"/>
      <c r="S33" s="255"/>
      <c r="T33" s="778"/>
      <c r="U33" s="255"/>
      <c r="V33" s="763"/>
      <c r="W33" s="265"/>
      <c r="X33" s="763"/>
      <c r="Y33" s="266"/>
    </row>
    <row r="34" spans="1:27" ht="15.5" x14ac:dyDescent="0.35">
      <c r="A34" s="190"/>
      <c r="B34" s="268" t="s">
        <v>426</v>
      </c>
      <c r="C34" s="281"/>
      <c r="D34" s="268" t="s">
        <v>236</v>
      </c>
      <c r="E34" s="281"/>
      <c r="F34" s="268" t="s">
        <v>237</v>
      </c>
      <c r="G34" s="281"/>
      <c r="H34" s="268" t="s">
        <v>238</v>
      </c>
      <c r="I34" s="281"/>
      <c r="J34" s="268" t="s">
        <v>239</v>
      </c>
      <c r="K34" s="271"/>
      <c r="L34" s="268" t="s">
        <v>240</v>
      </c>
      <c r="M34" s="281"/>
      <c r="N34" s="268" t="s">
        <v>241</v>
      </c>
      <c r="O34" s="281"/>
      <c r="P34" s="268" t="s">
        <v>242</v>
      </c>
      <c r="Q34" s="271"/>
      <c r="R34" s="268" t="s">
        <v>243</v>
      </c>
      <c r="S34" s="271"/>
      <c r="T34" s="268" t="s">
        <v>244</v>
      </c>
      <c r="U34" s="271"/>
      <c r="V34" s="268" t="s">
        <v>245</v>
      </c>
      <c r="W34" s="255"/>
      <c r="X34" s="268" t="s">
        <v>427</v>
      </c>
      <c r="Y34" s="266"/>
    </row>
    <row r="35" spans="1:27" ht="15.5" x14ac:dyDescent="0.35">
      <c r="A35" s="190"/>
      <c r="B35" s="273" t="s">
        <v>235</v>
      </c>
      <c r="C35" s="285"/>
      <c r="D35" s="269" t="s">
        <v>222</v>
      </c>
      <c r="E35" s="285"/>
      <c r="F35" s="273" t="s">
        <v>221</v>
      </c>
      <c r="G35" s="285"/>
      <c r="H35" s="273" t="s">
        <v>221</v>
      </c>
      <c r="I35" s="285"/>
      <c r="J35" s="273" t="s">
        <v>221</v>
      </c>
      <c r="K35" s="286"/>
      <c r="L35" s="273" t="s">
        <v>221</v>
      </c>
      <c r="M35" s="283"/>
      <c r="N35" s="273" t="s">
        <v>222</v>
      </c>
      <c r="O35" s="285"/>
      <c r="P35" s="273" t="s">
        <v>222</v>
      </c>
      <c r="Q35" s="286"/>
      <c r="R35" s="273" t="s">
        <v>222</v>
      </c>
      <c r="S35" s="286"/>
      <c r="T35" s="273" t="s">
        <v>222</v>
      </c>
      <c r="U35" s="286"/>
      <c r="V35" s="273" t="s">
        <v>221</v>
      </c>
      <c r="W35" s="291"/>
      <c r="X35" s="273" t="s">
        <v>246</v>
      </c>
      <c r="Y35" s="292"/>
    </row>
    <row r="36" spans="1:27" ht="15.5" x14ac:dyDescent="0.35">
      <c r="A36" s="190"/>
      <c r="B36" s="293"/>
      <c r="C36" s="294"/>
      <c r="D36" s="293"/>
      <c r="E36" s="294"/>
      <c r="F36" s="293"/>
      <c r="G36" s="293"/>
      <c r="H36" s="293"/>
      <c r="I36" s="293"/>
      <c r="J36" s="293"/>
      <c r="K36" s="294"/>
      <c r="L36" s="283"/>
      <c r="M36" s="295"/>
      <c r="N36" s="293"/>
      <c r="O36" s="294"/>
      <c r="P36" s="293"/>
      <c r="Q36" s="294"/>
      <c r="R36" s="293"/>
      <c r="S36" s="294"/>
      <c r="T36" s="293"/>
      <c r="U36" s="294"/>
      <c r="V36" s="293"/>
      <c r="W36" s="294"/>
      <c r="X36" s="295" t="s">
        <v>428</v>
      </c>
      <c r="Y36" s="295" t="s">
        <v>429</v>
      </c>
    </row>
    <row r="37" spans="1:27" ht="15.5" x14ac:dyDescent="0.35">
      <c r="A37" s="190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52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82"/>
    </row>
    <row r="38" spans="1:27" ht="15.5" x14ac:dyDescent="0.35">
      <c r="A38" s="190"/>
      <c r="B38" s="265"/>
      <c r="C38" s="26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82"/>
    </row>
    <row r="39" spans="1:27" ht="15.5" x14ac:dyDescent="0.35">
      <c r="A39" s="190"/>
      <c r="B39" s="762"/>
      <c r="C39" s="259">
        <v>355</v>
      </c>
      <c r="D39" s="779"/>
      <c r="E39" s="259">
        <v>347</v>
      </c>
      <c r="F39" s="762"/>
      <c r="G39" s="260">
        <v>430</v>
      </c>
      <c r="H39" s="780"/>
      <c r="I39" s="278">
        <v>408</v>
      </c>
      <c r="J39" s="780"/>
      <c r="K39" s="296">
        <v>402</v>
      </c>
      <c r="L39" s="777"/>
      <c r="M39" s="262">
        <v>411</v>
      </c>
      <c r="N39" s="777"/>
      <c r="O39" s="278">
        <v>397</v>
      </c>
      <c r="P39" s="777"/>
      <c r="Q39" s="278">
        <v>404</v>
      </c>
      <c r="R39" s="780"/>
      <c r="S39" s="289">
        <v>398</v>
      </c>
      <c r="T39" s="780"/>
      <c r="U39" s="278">
        <v>430</v>
      </c>
      <c r="V39" s="777"/>
      <c r="W39" s="278">
        <v>320</v>
      </c>
      <c r="X39" s="780"/>
      <c r="Y39" s="264">
        <v>230</v>
      </c>
    </row>
    <row r="40" spans="1:27" ht="15.5" x14ac:dyDescent="0.35">
      <c r="A40" s="190"/>
      <c r="B40" s="763"/>
      <c r="C40" s="265"/>
      <c r="D40" s="763"/>
      <c r="E40" s="265"/>
      <c r="F40" s="763"/>
      <c r="G40" s="265"/>
      <c r="H40" s="778"/>
      <c r="I40" s="265"/>
      <c r="J40" s="778"/>
      <c r="K40" s="265"/>
      <c r="L40" s="778"/>
      <c r="M40" s="265"/>
      <c r="N40" s="778"/>
      <c r="O40" s="265"/>
      <c r="P40" s="778"/>
      <c r="Q40" s="255"/>
      <c r="R40" s="778"/>
      <c r="S40" s="265"/>
      <c r="T40" s="778"/>
      <c r="U40" s="255"/>
      <c r="V40" s="778"/>
      <c r="W40" s="255"/>
      <c r="X40" s="778"/>
      <c r="Y40" s="266"/>
    </row>
    <row r="41" spans="1:27" ht="15.5" x14ac:dyDescent="0.35">
      <c r="A41" s="190"/>
      <c r="B41" s="268" t="s">
        <v>247</v>
      </c>
      <c r="C41" s="291"/>
      <c r="D41" s="268" t="s">
        <v>248</v>
      </c>
      <c r="E41" s="297"/>
      <c r="F41" s="268" t="s">
        <v>249</v>
      </c>
      <c r="G41" s="86"/>
      <c r="H41" s="268" t="s">
        <v>250</v>
      </c>
      <c r="I41" s="86"/>
      <c r="J41" s="268" t="s">
        <v>430</v>
      </c>
      <c r="K41" s="86"/>
      <c r="L41" s="268" t="s">
        <v>251</v>
      </c>
      <c r="M41" s="86"/>
      <c r="N41" s="268" t="s">
        <v>252</v>
      </c>
      <c r="O41" s="86"/>
      <c r="P41" s="268" t="s">
        <v>253</v>
      </c>
      <c r="Q41" s="286"/>
      <c r="R41" s="268" t="s">
        <v>254</v>
      </c>
      <c r="S41" s="297"/>
      <c r="T41" s="268" t="s">
        <v>255</v>
      </c>
      <c r="U41" s="286"/>
      <c r="V41" s="268" t="s">
        <v>256</v>
      </c>
      <c r="W41" s="286"/>
      <c r="X41" s="268" t="s">
        <v>431</v>
      </c>
      <c r="Y41" s="292"/>
    </row>
    <row r="42" spans="1:27" ht="15.5" x14ac:dyDescent="0.35">
      <c r="A42" s="190"/>
      <c r="B42" s="284" t="s">
        <v>257</v>
      </c>
      <c r="C42" s="291"/>
      <c r="D42" s="284" t="s">
        <v>221</v>
      </c>
      <c r="E42" s="297"/>
      <c r="F42" s="284" t="s">
        <v>221</v>
      </c>
      <c r="G42" s="286"/>
      <c r="H42" s="284" t="s">
        <v>221</v>
      </c>
      <c r="I42" s="286"/>
      <c r="J42" s="284" t="s">
        <v>379</v>
      </c>
      <c r="K42" s="286"/>
      <c r="L42" s="284" t="s">
        <v>222</v>
      </c>
      <c r="M42" s="286"/>
      <c r="N42" s="284" t="s">
        <v>221</v>
      </c>
      <c r="O42" s="286"/>
      <c r="P42" s="284" t="s">
        <v>222</v>
      </c>
      <c r="Q42" s="286"/>
      <c r="R42" s="284" t="s">
        <v>222</v>
      </c>
      <c r="S42" s="286"/>
      <c r="T42" s="284" t="s">
        <v>221</v>
      </c>
      <c r="U42" s="286"/>
      <c r="V42" s="284" t="s">
        <v>222</v>
      </c>
      <c r="W42" s="286"/>
      <c r="X42" s="284" t="s">
        <v>258</v>
      </c>
      <c r="Y42" s="292"/>
    </row>
    <row r="43" spans="1:27" ht="15.5" x14ac:dyDescent="0.35">
      <c r="A43" s="190"/>
      <c r="B43" s="298"/>
      <c r="C43" s="298"/>
      <c r="D43" s="269"/>
      <c r="E43" s="280"/>
      <c r="F43" s="269"/>
      <c r="G43" s="271"/>
      <c r="H43" s="269"/>
      <c r="I43" s="271"/>
      <c r="J43" s="269"/>
      <c r="L43" s="283"/>
      <c r="M43" s="271"/>
      <c r="N43" s="299"/>
      <c r="O43" s="252"/>
      <c r="P43" s="299"/>
      <c r="Q43" s="271"/>
      <c r="R43" s="299"/>
      <c r="S43" s="271"/>
      <c r="T43" s="299"/>
      <c r="U43" s="286"/>
      <c r="V43" s="284"/>
      <c r="W43" s="286"/>
      <c r="X43" s="284"/>
      <c r="Y43" s="292"/>
    </row>
    <row r="44" spans="1:27" ht="15.5" x14ac:dyDescent="0.35">
      <c r="A44" s="190"/>
      <c r="B44" s="213"/>
      <c r="C44" s="213"/>
      <c r="D44" s="213"/>
      <c r="E44" s="213"/>
      <c r="F44" s="213"/>
      <c r="G44" s="295"/>
      <c r="H44" s="213"/>
      <c r="I44" s="213"/>
      <c r="J44" s="213"/>
      <c r="L44" s="213"/>
      <c r="M44" s="213"/>
      <c r="N44" s="213"/>
      <c r="P44" s="213"/>
      <c r="Q44" s="213"/>
      <c r="R44" s="213"/>
      <c r="S44" s="213"/>
      <c r="T44" s="213"/>
      <c r="U44" s="213"/>
      <c r="V44" s="213"/>
      <c r="W44" s="213"/>
      <c r="X44" s="213"/>
      <c r="Y44" s="257"/>
      <c r="AA44" s="295"/>
    </row>
    <row r="45" spans="1:27" ht="15.5" x14ac:dyDescent="0.35">
      <c r="A45" s="190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57"/>
    </row>
    <row r="46" spans="1:27" ht="15.5" x14ac:dyDescent="0.35">
      <c r="A46" s="190"/>
      <c r="B46" s="762"/>
      <c r="C46" s="276">
        <v>339</v>
      </c>
      <c r="D46" s="762"/>
      <c r="E46" s="276">
        <v>365</v>
      </c>
      <c r="F46" s="762"/>
      <c r="G46" s="277">
        <v>409</v>
      </c>
      <c r="H46" s="780"/>
      <c r="I46" s="278">
        <v>343</v>
      </c>
      <c r="J46" s="780"/>
      <c r="K46" s="289">
        <v>352</v>
      </c>
      <c r="L46" s="762"/>
      <c r="M46" s="276">
        <v>419</v>
      </c>
      <c r="N46" s="762"/>
      <c r="O46" s="300">
        <v>410</v>
      </c>
      <c r="P46" s="784"/>
      <c r="Q46" s="276">
        <v>413</v>
      </c>
      <c r="R46" s="762"/>
      <c r="S46" s="277">
        <v>407</v>
      </c>
      <c r="T46" s="784"/>
      <c r="U46" s="277">
        <v>352</v>
      </c>
      <c r="V46" s="784"/>
      <c r="W46" s="278">
        <v>405</v>
      </c>
      <c r="X46" s="784"/>
      <c r="Y46" s="301">
        <v>393</v>
      </c>
    </row>
    <row r="47" spans="1:27" ht="15.5" x14ac:dyDescent="0.35">
      <c r="A47" s="190"/>
      <c r="B47" s="763"/>
      <c r="C47" s="255"/>
      <c r="D47" s="763"/>
      <c r="E47" s="255"/>
      <c r="F47" s="763"/>
      <c r="G47" s="255"/>
      <c r="H47" s="778"/>
      <c r="I47" s="255"/>
      <c r="J47" s="778"/>
      <c r="K47" s="265"/>
      <c r="L47" s="763"/>
      <c r="M47" s="255"/>
      <c r="N47" s="763"/>
      <c r="O47" s="265"/>
      <c r="P47" s="771"/>
      <c r="Q47" s="265"/>
      <c r="R47" s="763"/>
      <c r="S47" s="265"/>
      <c r="T47" s="771"/>
      <c r="U47" s="265"/>
      <c r="V47" s="771"/>
      <c r="W47" s="265"/>
      <c r="X47" s="771"/>
      <c r="Y47" s="282"/>
    </row>
    <row r="48" spans="1:27" ht="15.5" x14ac:dyDescent="0.35">
      <c r="A48" s="190"/>
      <c r="B48" s="268" t="s">
        <v>432</v>
      </c>
      <c r="C48" s="271"/>
      <c r="D48" s="268" t="s">
        <v>259</v>
      </c>
      <c r="E48" s="271"/>
      <c r="F48" s="268" t="s">
        <v>260</v>
      </c>
      <c r="G48" s="271"/>
      <c r="H48" s="268" t="s">
        <v>261</v>
      </c>
      <c r="I48" s="271"/>
      <c r="J48" s="268" t="s">
        <v>433</v>
      </c>
      <c r="K48" s="255"/>
      <c r="L48" s="268" t="s">
        <v>262</v>
      </c>
      <c r="M48" s="271"/>
      <c r="N48" s="268" t="s">
        <v>263</v>
      </c>
      <c r="O48" s="255"/>
      <c r="P48" s="268" t="s">
        <v>264</v>
      </c>
      <c r="Q48" s="280"/>
      <c r="R48" s="268" t="s">
        <v>265</v>
      </c>
      <c r="S48" s="281"/>
      <c r="T48" s="268" t="s">
        <v>266</v>
      </c>
      <c r="U48" s="281"/>
      <c r="V48" s="268" t="s">
        <v>267</v>
      </c>
      <c r="W48" s="281"/>
      <c r="X48" s="268" t="s">
        <v>268</v>
      </c>
      <c r="Y48" s="282"/>
    </row>
    <row r="49" spans="1:25" ht="15.5" x14ac:dyDescent="0.35">
      <c r="A49" s="190"/>
      <c r="B49" s="284" t="s">
        <v>258</v>
      </c>
      <c r="C49" s="271"/>
      <c r="D49" s="273" t="s">
        <v>221</v>
      </c>
      <c r="E49" s="271"/>
      <c r="F49" s="273" t="s">
        <v>221</v>
      </c>
      <c r="G49" s="271"/>
      <c r="H49" s="273" t="s">
        <v>221</v>
      </c>
      <c r="I49" s="271"/>
      <c r="J49" s="273" t="s">
        <v>223</v>
      </c>
      <c r="K49" s="255"/>
      <c r="L49" s="273" t="s">
        <v>222</v>
      </c>
      <c r="N49" s="273" t="s">
        <v>222</v>
      </c>
      <c r="O49" s="255"/>
      <c r="P49" s="273" t="s">
        <v>221</v>
      </c>
      <c r="Q49" s="280"/>
      <c r="R49" s="273" t="s">
        <v>222</v>
      </c>
      <c r="S49" s="271"/>
      <c r="T49" s="273" t="s">
        <v>222</v>
      </c>
      <c r="U49" s="271"/>
      <c r="V49" s="273" t="s">
        <v>221</v>
      </c>
      <c r="W49" s="213"/>
      <c r="X49" s="273" t="s">
        <v>221</v>
      </c>
      <c r="Y49" s="266"/>
    </row>
    <row r="50" spans="1:25" ht="15.5" x14ac:dyDescent="0.35">
      <c r="A50" s="190"/>
      <c r="B50" s="284"/>
      <c r="C50" s="271"/>
      <c r="D50" s="302"/>
      <c r="E50" s="255"/>
      <c r="F50" s="302"/>
      <c r="G50" s="255"/>
      <c r="H50" s="302"/>
      <c r="I50" s="255"/>
      <c r="J50" s="303"/>
      <c r="K50" s="255"/>
      <c r="L50" s="302"/>
      <c r="M50" s="295" t="s">
        <v>434</v>
      </c>
      <c r="N50" s="303"/>
      <c r="O50" s="255"/>
      <c r="P50" s="269"/>
      <c r="Q50" s="280"/>
      <c r="R50" s="269"/>
      <c r="S50" s="271"/>
      <c r="T50" s="269"/>
      <c r="U50" s="271"/>
      <c r="V50" s="273"/>
      <c r="W50" s="213"/>
      <c r="X50" s="269"/>
      <c r="Y50" s="266"/>
    </row>
    <row r="51" spans="1:25" ht="15.5" x14ac:dyDescent="0.35">
      <c r="A51" s="190"/>
      <c r="B51" s="285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95" t="s">
        <v>435</v>
      </c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57"/>
    </row>
    <row r="52" spans="1:25" ht="15.5" x14ac:dyDescent="0.35">
      <c r="A52" s="190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57"/>
    </row>
    <row r="53" spans="1:25" ht="15.5" x14ac:dyDescent="0.35">
      <c r="A53" s="190"/>
      <c r="B53" s="762"/>
      <c r="C53" s="276">
        <v>439</v>
      </c>
      <c r="D53" s="784"/>
      <c r="E53" s="277">
        <v>398</v>
      </c>
      <c r="F53" s="762"/>
      <c r="G53" s="278">
        <v>445</v>
      </c>
      <c r="H53" s="762"/>
      <c r="I53" s="262">
        <v>355</v>
      </c>
      <c r="J53" s="780"/>
      <c r="K53" s="278">
        <v>447</v>
      </c>
      <c r="L53" s="780"/>
      <c r="M53" s="304">
        <v>215</v>
      </c>
      <c r="N53" s="780"/>
      <c r="O53" s="289">
        <v>498</v>
      </c>
      <c r="P53" s="762"/>
      <c r="Q53" s="289">
        <v>325</v>
      </c>
      <c r="R53" s="780"/>
      <c r="S53" s="262">
        <v>388</v>
      </c>
      <c r="T53" s="780"/>
      <c r="U53" s="278">
        <v>381</v>
      </c>
      <c r="V53" s="762"/>
      <c r="W53" s="274">
        <v>349</v>
      </c>
      <c r="X53" s="762"/>
      <c r="Y53" s="290">
        <v>373</v>
      </c>
    </row>
    <row r="54" spans="1:25" ht="15.5" x14ac:dyDescent="0.35">
      <c r="A54" s="190"/>
      <c r="B54" s="763"/>
      <c r="C54" s="265"/>
      <c r="D54" s="771"/>
      <c r="E54" s="265"/>
      <c r="F54" s="763"/>
      <c r="G54" s="265"/>
      <c r="H54" s="763"/>
      <c r="I54" s="255"/>
      <c r="J54" s="778"/>
      <c r="K54" s="305"/>
      <c r="L54" s="778"/>
      <c r="M54" s="255"/>
      <c r="N54" s="778"/>
      <c r="O54" s="255"/>
      <c r="P54" s="763"/>
      <c r="Q54" s="255"/>
      <c r="R54" s="778"/>
      <c r="S54" s="255"/>
      <c r="T54" s="778"/>
      <c r="U54" s="255"/>
      <c r="V54" s="763"/>
      <c r="W54" s="265"/>
      <c r="X54" s="763"/>
      <c r="Y54" s="266"/>
    </row>
    <row r="55" spans="1:25" ht="15.5" x14ac:dyDescent="0.35">
      <c r="A55" s="190"/>
      <c r="B55" s="268" t="s">
        <v>269</v>
      </c>
      <c r="C55" s="281"/>
      <c r="D55" s="268" t="s">
        <v>270</v>
      </c>
      <c r="E55" s="281"/>
      <c r="F55" s="268" t="s">
        <v>271</v>
      </c>
      <c r="G55" s="281"/>
      <c r="H55" s="268" t="s">
        <v>272</v>
      </c>
      <c r="I55" s="271"/>
      <c r="J55" s="268" t="s">
        <v>273</v>
      </c>
      <c r="K55" s="271"/>
      <c r="L55" s="268" t="s">
        <v>436</v>
      </c>
      <c r="M55" s="271"/>
      <c r="N55" s="268" t="s">
        <v>437</v>
      </c>
      <c r="O55" s="271"/>
      <c r="P55" s="268" t="s">
        <v>274</v>
      </c>
      <c r="Q55" s="271"/>
      <c r="R55" s="268" t="s">
        <v>275</v>
      </c>
      <c r="S55" s="271"/>
      <c r="T55" s="268" t="s">
        <v>276</v>
      </c>
      <c r="U55" s="271"/>
      <c r="V55" s="268" t="s">
        <v>438</v>
      </c>
      <c r="W55" s="255"/>
      <c r="X55" s="268" t="s">
        <v>277</v>
      </c>
      <c r="Y55" s="266"/>
    </row>
    <row r="56" spans="1:25" ht="15.5" x14ac:dyDescent="0.35">
      <c r="A56" s="190"/>
      <c r="B56" s="273" t="s">
        <v>221</v>
      </c>
      <c r="C56" s="281"/>
      <c r="D56" s="273" t="s">
        <v>220</v>
      </c>
      <c r="E56" s="213"/>
      <c r="F56" s="273" t="s">
        <v>221</v>
      </c>
      <c r="G56" s="213"/>
      <c r="H56" s="273" t="s">
        <v>221</v>
      </c>
      <c r="I56" s="213"/>
      <c r="J56" s="273" t="s">
        <v>221</v>
      </c>
      <c r="K56" s="271"/>
      <c r="L56" s="273" t="s">
        <v>278</v>
      </c>
      <c r="M56" s="271"/>
      <c r="N56" s="273" t="s">
        <v>279</v>
      </c>
      <c r="O56" s="271"/>
      <c r="P56" s="273" t="s">
        <v>220</v>
      </c>
      <c r="Q56" s="271"/>
      <c r="R56" s="273" t="s">
        <v>221</v>
      </c>
      <c r="S56" s="271"/>
      <c r="T56" s="273" t="s">
        <v>222</v>
      </c>
      <c r="U56" s="271"/>
      <c r="V56" s="273"/>
      <c r="W56" s="255"/>
      <c r="X56" s="273" t="s">
        <v>221</v>
      </c>
      <c r="Y56" s="266"/>
    </row>
    <row r="57" spans="1:25" ht="15.5" x14ac:dyDescent="0.35">
      <c r="A57" s="190"/>
      <c r="B57" s="299"/>
      <c r="C57" s="213"/>
      <c r="D57" s="253"/>
      <c r="E57" s="306"/>
      <c r="F57" s="253"/>
      <c r="G57" s="306"/>
      <c r="H57" s="253"/>
      <c r="I57" s="253"/>
      <c r="J57" s="253"/>
      <c r="K57" s="306"/>
      <c r="L57" s="253"/>
      <c r="M57" s="306"/>
      <c r="N57" s="253"/>
      <c r="O57" s="306"/>
      <c r="P57" s="307"/>
      <c r="Q57" s="306"/>
      <c r="R57" s="306"/>
      <c r="S57" s="306"/>
      <c r="T57" s="253"/>
      <c r="U57" s="306"/>
      <c r="V57" s="253"/>
      <c r="W57" s="306"/>
      <c r="X57" s="253"/>
      <c r="Y57" s="308"/>
    </row>
    <row r="58" spans="1:25" ht="15.5" x14ac:dyDescent="0.35">
      <c r="A58" s="190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57"/>
    </row>
    <row r="59" spans="1:25" ht="15.5" x14ac:dyDescent="0.35">
      <c r="A59" s="190"/>
      <c r="B59" s="213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57"/>
    </row>
    <row r="60" spans="1:25" ht="15.5" x14ac:dyDescent="0.35">
      <c r="A60" s="190"/>
      <c r="B60" s="762"/>
      <c r="C60" s="309">
        <v>386</v>
      </c>
      <c r="D60" s="762"/>
      <c r="E60" s="309">
        <v>429</v>
      </c>
      <c r="F60" s="780"/>
      <c r="G60" s="296">
        <v>377</v>
      </c>
      <c r="H60" s="780"/>
      <c r="I60" s="296">
        <v>405</v>
      </c>
      <c r="J60" s="780"/>
      <c r="K60" s="296">
        <v>425</v>
      </c>
      <c r="L60" s="780"/>
      <c r="M60" s="310">
        <v>344</v>
      </c>
      <c r="N60" s="780"/>
      <c r="O60" s="310">
        <v>399</v>
      </c>
      <c r="P60" s="780"/>
      <c r="Q60" s="296">
        <v>439</v>
      </c>
      <c r="R60" s="780"/>
      <c r="S60" s="311">
        <v>403</v>
      </c>
      <c r="T60" s="780"/>
      <c r="U60" s="296">
        <v>480</v>
      </c>
      <c r="V60" s="780"/>
      <c r="W60" s="296">
        <v>535</v>
      </c>
      <c r="X60" s="780"/>
      <c r="Y60" s="279">
        <v>389</v>
      </c>
    </row>
    <row r="61" spans="1:25" ht="15.5" x14ac:dyDescent="0.35">
      <c r="A61" s="190"/>
      <c r="B61" s="763"/>
      <c r="C61" s="265"/>
      <c r="D61" s="763"/>
      <c r="E61" s="265"/>
      <c r="F61" s="778"/>
      <c r="G61" s="265"/>
      <c r="H61" s="778"/>
      <c r="I61" s="265"/>
      <c r="J61" s="778"/>
      <c r="K61" s="265"/>
      <c r="L61" s="778"/>
      <c r="M61" s="265"/>
      <c r="N61" s="778"/>
      <c r="O61" s="265"/>
      <c r="P61" s="778"/>
      <c r="Q61" s="265"/>
      <c r="R61" s="778"/>
      <c r="S61" s="265"/>
      <c r="T61" s="778"/>
      <c r="U61" s="253"/>
      <c r="V61" s="778"/>
      <c r="W61" s="253"/>
      <c r="X61" s="778"/>
      <c r="Y61" s="266"/>
    </row>
    <row r="62" spans="1:25" ht="15.5" x14ac:dyDescent="0.35">
      <c r="A62" s="190"/>
      <c r="B62" s="268" t="s">
        <v>280</v>
      </c>
      <c r="C62" s="255"/>
      <c r="D62" s="268" t="s">
        <v>281</v>
      </c>
      <c r="E62" s="280"/>
      <c r="F62" s="268" t="s">
        <v>282</v>
      </c>
      <c r="G62" s="281"/>
      <c r="H62" s="268" t="s">
        <v>283</v>
      </c>
      <c r="I62" s="281"/>
      <c r="J62" s="268" t="s">
        <v>439</v>
      </c>
      <c r="K62" s="281"/>
      <c r="L62" s="268" t="s">
        <v>284</v>
      </c>
      <c r="M62" s="281"/>
      <c r="N62" s="268" t="s">
        <v>285</v>
      </c>
      <c r="O62" s="281"/>
      <c r="P62" s="268" t="s">
        <v>286</v>
      </c>
      <c r="Q62" s="281"/>
      <c r="R62" s="268" t="s">
        <v>287</v>
      </c>
      <c r="S62" s="280"/>
      <c r="T62" s="268" t="s">
        <v>288</v>
      </c>
      <c r="U62" s="271"/>
      <c r="V62" s="268" t="s">
        <v>289</v>
      </c>
      <c r="W62" s="271"/>
      <c r="X62" s="268" t="s">
        <v>290</v>
      </c>
      <c r="Y62" s="266"/>
    </row>
    <row r="63" spans="1:25" ht="15.5" x14ac:dyDescent="0.35">
      <c r="A63" s="190"/>
      <c r="B63" s="273" t="s">
        <v>221</v>
      </c>
      <c r="C63" s="255"/>
      <c r="D63" s="273" t="s">
        <v>221</v>
      </c>
      <c r="E63" s="280"/>
      <c r="F63" s="273" t="s">
        <v>220</v>
      </c>
      <c r="G63" s="271"/>
      <c r="H63" s="273" t="s">
        <v>221</v>
      </c>
      <c r="I63" s="271"/>
      <c r="J63" s="273" t="s">
        <v>246</v>
      </c>
      <c r="K63" s="271"/>
      <c r="L63" s="273" t="s">
        <v>221</v>
      </c>
      <c r="M63" s="271"/>
      <c r="N63" s="273" t="s">
        <v>221</v>
      </c>
      <c r="O63" s="271"/>
      <c r="P63" s="273" t="s">
        <v>220</v>
      </c>
      <c r="Q63" s="271"/>
      <c r="R63" s="273" t="s">
        <v>221</v>
      </c>
      <c r="S63" s="271"/>
      <c r="T63" s="273" t="s">
        <v>291</v>
      </c>
      <c r="U63" s="271"/>
      <c r="V63" s="273" t="s">
        <v>292</v>
      </c>
      <c r="W63" s="271"/>
      <c r="X63" s="273" t="s">
        <v>292</v>
      </c>
      <c r="Y63" s="266"/>
    </row>
    <row r="64" spans="1:25" ht="15.5" x14ac:dyDescent="0.35">
      <c r="A64" s="190"/>
      <c r="B64" s="298"/>
      <c r="C64" s="298"/>
      <c r="D64" s="269"/>
      <c r="E64" s="295" t="s">
        <v>440</v>
      </c>
      <c r="F64" s="269"/>
      <c r="G64" s="271"/>
      <c r="H64" s="269"/>
      <c r="I64" s="271"/>
      <c r="J64" s="269"/>
      <c r="K64" s="271"/>
      <c r="L64" s="269"/>
      <c r="M64" s="271"/>
      <c r="N64" s="299"/>
      <c r="O64" s="271"/>
      <c r="P64" s="269"/>
      <c r="Q64" s="280"/>
      <c r="R64" s="269"/>
      <c r="S64" s="271"/>
      <c r="T64" s="269"/>
      <c r="U64" s="271"/>
      <c r="V64" s="269"/>
      <c r="W64" s="271"/>
      <c r="X64" s="269"/>
      <c r="Y64" s="266"/>
    </row>
    <row r="65" spans="1:25" ht="15.5" x14ac:dyDescent="0.35">
      <c r="A65" s="190"/>
      <c r="B65" s="213"/>
      <c r="C65" s="213"/>
      <c r="D65" s="213"/>
      <c r="E65" s="295" t="s">
        <v>441</v>
      </c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57"/>
    </row>
    <row r="66" spans="1:25" ht="15.5" x14ac:dyDescent="0.35">
      <c r="A66" s="190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57"/>
    </row>
    <row r="67" spans="1:25" ht="15.5" x14ac:dyDescent="0.35">
      <c r="A67" s="190"/>
      <c r="B67" s="762"/>
      <c r="C67" s="276">
        <v>454</v>
      </c>
      <c r="D67" s="785"/>
      <c r="E67" s="312">
        <v>247</v>
      </c>
      <c r="F67" s="780"/>
      <c r="G67" s="278">
        <v>373</v>
      </c>
      <c r="H67" s="780"/>
      <c r="I67" s="278">
        <v>401</v>
      </c>
      <c r="J67" s="786"/>
      <c r="K67" s="289">
        <v>388</v>
      </c>
      <c r="L67" s="787"/>
      <c r="M67" s="276">
        <v>328</v>
      </c>
      <c r="N67" s="787"/>
      <c r="O67" s="313">
        <v>330</v>
      </c>
      <c r="P67" s="780"/>
      <c r="Q67" s="276">
        <v>331</v>
      </c>
      <c r="R67" s="780"/>
      <c r="S67" s="278">
        <v>361</v>
      </c>
      <c r="T67" s="780"/>
      <c r="U67" s="278">
        <v>306</v>
      </c>
      <c r="V67" s="780"/>
      <c r="W67" s="278">
        <v>336</v>
      </c>
      <c r="X67" s="780"/>
      <c r="Y67" s="314">
        <v>278</v>
      </c>
    </row>
    <row r="68" spans="1:25" ht="15.5" x14ac:dyDescent="0.35">
      <c r="A68" s="190"/>
      <c r="B68" s="763"/>
      <c r="C68" s="255"/>
      <c r="D68" s="763"/>
      <c r="E68" s="255"/>
      <c r="F68" s="778"/>
      <c r="G68" s="255"/>
      <c r="H68" s="778"/>
      <c r="I68" s="255"/>
      <c r="J68" s="778"/>
      <c r="K68" s="265"/>
      <c r="L68" s="763"/>
      <c r="M68" s="255"/>
      <c r="N68" s="763"/>
      <c r="O68" s="265"/>
      <c r="P68" s="778"/>
      <c r="Q68" s="265"/>
      <c r="R68" s="778"/>
      <c r="S68" s="265"/>
      <c r="T68" s="778"/>
      <c r="U68" s="265"/>
      <c r="V68" s="778"/>
      <c r="W68" s="265"/>
      <c r="X68" s="778"/>
      <c r="Y68" s="282"/>
    </row>
    <row r="69" spans="1:25" ht="15.5" x14ac:dyDescent="0.35">
      <c r="A69" s="190"/>
      <c r="B69" s="268" t="s">
        <v>293</v>
      </c>
      <c r="C69" s="271"/>
      <c r="D69" s="268" t="s">
        <v>442</v>
      </c>
      <c r="E69" s="271"/>
      <c r="F69" s="268" t="s">
        <v>443</v>
      </c>
      <c r="G69" s="271"/>
      <c r="H69" s="268" t="s">
        <v>294</v>
      </c>
      <c r="I69" s="271"/>
      <c r="J69" s="268" t="s">
        <v>295</v>
      </c>
      <c r="K69" s="255"/>
      <c r="L69" s="268" t="s">
        <v>296</v>
      </c>
      <c r="M69" s="271"/>
      <c r="N69" s="268" t="s">
        <v>297</v>
      </c>
      <c r="O69" s="255"/>
      <c r="P69" s="268" t="s">
        <v>444</v>
      </c>
      <c r="Q69" s="280"/>
      <c r="R69" s="268" t="s">
        <v>298</v>
      </c>
      <c r="S69" s="281"/>
      <c r="T69" s="268" t="s">
        <v>299</v>
      </c>
      <c r="U69" s="281"/>
      <c r="V69" s="268" t="s">
        <v>300</v>
      </c>
      <c r="W69" s="281"/>
      <c r="X69" s="268" t="s">
        <v>445</v>
      </c>
      <c r="Y69" s="282"/>
    </row>
    <row r="70" spans="1:25" ht="15.5" x14ac:dyDescent="0.35">
      <c r="A70" s="190"/>
      <c r="B70" s="273" t="s">
        <v>222</v>
      </c>
      <c r="C70" s="286"/>
      <c r="D70" s="273" t="s">
        <v>219</v>
      </c>
      <c r="E70" s="286"/>
      <c r="F70" s="273" t="s">
        <v>223</v>
      </c>
      <c r="G70" s="286"/>
      <c r="H70" s="273" t="s">
        <v>221</v>
      </c>
      <c r="I70" s="286"/>
      <c r="J70" s="273" t="s">
        <v>257</v>
      </c>
      <c r="K70" s="291"/>
      <c r="L70" s="273" t="s">
        <v>221</v>
      </c>
      <c r="M70" s="286"/>
      <c r="N70" s="273" t="s">
        <v>221</v>
      </c>
      <c r="O70" s="291"/>
      <c r="P70" s="273" t="s">
        <v>235</v>
      </c>
      <c r="Q70" s="297"/>
      <c r="R70" s="273" t="s">
        <v>221</v>
      </c>
      <c r="S70" s="285"/>
      <c r="T70" s="273" t="s">
        <v>221</v>
      </c>
      <c r="U70" s="285"/>
      <c r="V70" s="273" t="s">
        <v>221</v>
      </c>
      <c r="W70" s="285"/>
      <c r="X70" s="273" t="s">
        <v>221</v>
      </c>
      <c r="Y70" s="287"/>
    </row>
    <row r="71" spans="1:25" ht="15.5" x14ac:dyDescent="0.35">
      <c r="A71" s="190"/>
      <c r="B71" s="315"/>
      <c r="C71" s="286"/>
      <c r="D71" s="315"/>
      <c r="E71" s="286"/>
      <c r="F71" s="315"/>
      <c r="G71" s="286"/>
      <c r="H71" s="284"/>
      <c r="I71" s="286"/>
      <c r="J71" s="284"/>
      <c r="K71" s="286"/>
      <c r="L71" s="284"/>
      <c r="M71" s="286"/>
      <c r="N71" s="284"/>
      <c r="O71" s="286"/>
      <c r="P71" s="284"/>
      <c r="Q71" s="286"/>
      <c r="R71" s="284"/>
      <c r="S71" s="286"/>
      <c r="T71" s="284"/>
      <c r="U71" s="286"/>
      <c r="V71" s="284"/>
      <c r="W71" s="291"/>
      <c r="X71" s="284"/>
      <c r="Y71" s="292"/>
    </row>
    <row r="72" spans="1:25" ht="15.5" x14ac:dyDescent="0.35">
      <c r="A72" s="190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316"/>
      <c r="N72" s="213"/>
      <c r="O72" s="213"/>
      <c r="P72" s="213"/>
      <c r="Q72" s="213"/>
      <c r="R72" s="213"/>
      <c r="S72" s="316"/>
      <c r="T72" s="213"/>
      <c r="U72" s="213"/>
      <c r="V72" s="213"/>
      <c r="W72" s="213"/>
      <c r="X72" s="213"/>
      <c r="Y72" s="257"/>
    </row>
    <row r="73" spans="1:25" ht="15.5" x14ac:dyDescent="0.35">
      <c r="A73" s="190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57"/>
    </row>
    <row r="74" spans="1:25" ht="15.5" x14ac:dyDescent="0.35">
      <c r="A74" s="190"/>
      <c r="B74" s="762"/>
      <c r="C74" s="276">
        <v>439</v>
      </c>
      <c r="D74" s="788"/>
      <c r="E74" s="277">
        <v>401</v>
      </c>
      <c r="F74" s="788"/>
      <c r="G74" s="278">
        <v>350</v>
      </c>
      <c r="H74" s="780"/>
      <c r="I74" s="278">
        <v>335</v>
      </c>
      <c r="J74" s="780"/>
      <c r="K74" s="278">
        <v>314</v>
      </c>
      <c r="L74" s="780"/>
      <c r="M74" s="278">
        <v>421</v>
      </c>
      <c r="N74" s="780"/>
      <c r="O74" s="278">
        <v>466</v>
      </c>
      <c r="P74" s="780"/>
      <c r="Q74" s="278">
        <v>352</v>
      </c>
      <c r="R74" s="780"/>
      <c r="S74" s="278">
        <v>403</v>
      </c>
      <c r="T74" s="780"/>
      <c r="U74" s="278">
        <v>373</v>
      </c>
      <c r="V74" s="780"/>
      <c r="W74" s="289">
        <v>362</v>
      </c>
      <c r="X74" s="780"/>
      <c r="Y74" s="290">
        <v>351</v>
      </c>
    </row>
    <row r="75" spans="1:25" ht="15.5" x14ac:dyDescent="0.35">
      <c r="A75" s="190"/>
      <c r="B75" s="763"/>
      <c r="C75" s="265"/>
      <c r="D75" s="789"/>
      <c r="E75" s="265"/>
      <c r="F75" s="789"/>
      <c r="G75" s="265"/>
      <c r="H75" s="778"/>
      <c r="I75" s="255"/>
      <c r="J75" s="778"/>
      <c r="K75" s="255"/>
      <c r="L75" s="778"/>
      <c r="M75" s="255"/>
      <c r="N75" s="778"/>
      <c r="O75" s="255"/>
      <c r="P75" s="778"/>
      <c r="Q75" s="255"/>
      <c r="R75" s="778"/>
      <c r="S75" s="255"/>
      <c r="T75" s="778"/>
      <c r="U75" s="255"/>
      <c r="V75" s="778"/>
      <c r="W75" s="265"/>
      <c r="X75" s="778"/>
      <c r="Y75" s="266"/>
    </row>
    <row r="76" spans="1:25" ht="15.5" x14ac:dyDescent="0.35">
      <c r="A76" s="190"/>
      <c r="B76" s="268" t="s">
        <v>446</v>
      </c>
      <c r="C76" s="281"/>
      <c r="D76" s="268" t="s">
        <v>447</v>
      </c>
      <c r="E76" s="281"/>
      <c r="F76" s="268" t="s">
        <v>302</v>
      </c>
      <c r="G76" s="280"/>
      <c r="H76" s="268" t="s">
        <v>303</v>
      </c>
      <c r="I76" s="271"/>
      <c r="J76" s="268" t="s">
        <v>304</v>
      </c>
      <c r="K76" s="271"/>
      <c r="L76" s="268" t="s">
        <v>448</v>
      </c>
      <c r="M76" s="271"/>
      <c r="N76" s="268" t="s">
        <v>305</v>
      </c>
      <c r="O76" s="271"/>
      <c r="P76" s="268" t="s">
        <v>449</v>
      </c>
      <c r="Q76" s="271"/>
      <c r="R76" s="268" t="s">
        <v>306</v>
      </c>
      <c r="S76" s="271"/>
      <c r="T76" s="268" t="s">
        <v>307</v>
      </c>
      <c r="U76" s="271"/>
      <c r="V76" s="268" t="s">
        <v>308</v>
      </c>
      <c r="W76" s="255"/>
      <c r="X76" s="268" t="s">
        <v>309</v>
      </c>
      <c r="Y76" s="266"/>
    </row>
    <row r="77" spans="1:25" ht="15.5" x14ac:dyDescent="0.35">
      <c r="A77" s="190"/>
      <c r="B77" s="273" t="s">
        <v>235</v>
      </c>
      <c r="C77" s="285"/>
      <c r="D77" s="273" t="s">
        <v>310</v>
      </c>
      <c r="E77" s="286"/>
      <c r="F77" s="273" t="s">
        <v>221</v>
      </c>
      <c r="G77" s="286"/>
      <c r="H77" s="273" t="s">
        <v>222</v>
      </c>
      <c r="I77" s="286"/>
      <c r="J77" s="273" t="s">
        <v>221</v>
      </c>
      <c r="K77" s="286"/>
      <c r="L77" s="273" t="s">
        <v>361</v>
      </c>
      <c r="M77" s="285"/>
      <c r="N77" s="273" t="s">
        <v>291</v>
      </c>
      <c r="O77" s="286"/>
      <c r="P77" s="273" t="s">
        <v>328</v>
      </c>
      <c r="Q77" s="286"/>
      <c r="R77" s="273" t="s">
        <v>257</v>
      </c>
      <c r="S77" s="286"/>
      <c r="T77" s="273" t="s">
        <v>221</v>
      </c>
      <c r="U77" s="286"/>
      <c r="V77" s="273" t="s">
        <v>221</v>
      </c>
      <c r="W77" s="291"/>
      <c r="X77" s="273" t="s">
        <v>222</v>
      </c>
      <c r="Y77" s="292"/>
    </row>
    <row r="78" spans="1:25" ht="15.5" x14ac:dyDescent="0.35">
      <c r="A78" s="190"/>
      <c r="B78" s="269"/>
      <c r="C78" s="255"/>
      <c r="D78" s="253"/>
      <c r="E78" s="306"/>
      <c r="F78" s="253"/>
      <c r="G78" s="306"/>
      <c r="H78" s="253"/>
      <c r="I78" s="253"/>
      <c r="J78" s="253"/>
      <c r="K78" s="306"/>
      <c r="L78" s="253"/>
      <c r="M78" s="306"/>
      <c r="N78" s="253"/>
      <c r="O78" s="306"/>
      <c r="P78" s="253"/>
      <c r="Q78" s="306"/>
      <c r="R78" s="253"/>
      <c r="S78" s="182"/>
      <c r="T78" s="317"/>
      <c r="U78" s="306"/>
      <c r="V78" s="253"/>
      <c r="W78" s="306"/>
      <c r="X78" s="295" t="s">
        <v>434</v>
      </c>
      <c r="Y78" s="318"/>
    </row>
    <row r="79" spans="1:25" ht="15.5" x14ac:dyDescent="0.35">
      <c r="A79" s="190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95" t="s">
        <v>450</v>
      </c>
    </row>
    <row r="80" spans="1:25" ht="15.5" x14ac:dyDescent="0.35">
      <c r="A80" s="190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57"/>
    </row>
    <row r="81" spans="1:25" ht="15.75" customHeight="1" x14ac:dyDescent="0.35">
      <c r="A81" s="190"/>
      <c r="B81" s="762"/>
      <c r="C81" s="276">
        <v>361</v>
      </c>
      <c r="D81" s="788"/>
      <c r="E81" s="276">
        <v>375</v>
      </c>
      <c r="F81" s="788"/>
      <c r="G81" s="289">
        <v>425</v>
      </c>
      <c r="H81" s="762"/>
      <c r="I81" s="277">
        <v>429</v>
      </c>
      <c r="J81" s="780"/>
      <c r="K81" s="278">
        <v>350</v>
      </c>
      <c r="L81" s="780"/>
      <c r="M81" s="278">
        <v>483</v>
      </c>
      <c r="N81" s="780"/>
      <c r="O81" s="278">
        <v>453</v>
      </c>
      <c r="P81" s="780"/>
      <c r="Q81" s="278">
        <v>388</v>
      </c>
      <c r="R81" s="780"/>
      <c r="S81" s="289">
        <v>317</v>
      </c>
      <c r="T81" s="780"/>
      <c r="U81" s="278">
        <v>324</v>
      </c>
      <c r="V81" s="786"/>
      <c r="W81" s="278">
        <v>485</v>
      </c>
      <c r="X81" s="780"/>
      <c r="Y81" s="279">
        <v>249</v>
      </c>
    </row>
    <row r="82" spans="1:25" ht="15.5" x14ac:dyDescent="0.35">
      <c r="A82" s="190"/>
      <c r="B82" s="763"/>
      <c r="C82" s="265"/>
      <c r="D82" s="789"/>
      <c r="E82" s="265"/>
      <c r="F82" s="789"/>
      <c r="G82" s="265"/>
      <c r="H82" s="763"/>
      <c r="I82" s="265"/>
      <c r="J82" s="778"/>
      <c r="K82" s="265"/>
      <c r="L82" s="778"/>
      <c r="M82" s="265"/>
      <c r="N82" s="778"/>
      <c r="O82" s="265"/>
      <c r="P82" s="778"/>
      <c r="Q82" s="265"/>
      <c r="R82" s="778"/>
      <c r="S82" s="265"/>
      <c r="T82" s="778"/>
      <c r="U82" s="255"/>
      <c r="V82" s="778"/>
      <c r="W82" s="255"/>
      <c r="X82" s="778"/>
      <c r="Y82" s="266"/>
    </row>
    <row r="83" spans="1:25" ht="15.5" x14ac:dyDescent="0.35">
      <c r="A83" s="190"/>
      <c r="B83" s="268" t="s">
        <v>451</v>
      </c>
      <c r="C83" s="291"/>
      <c r="D83" s="268" t="s">
        <v>311</v>
      </c>
      <c r="E83" s="297"/>
      <c r="F83" s="268" t="s">
        <v>312</v>
      </c>
      <c r="G83" s="86"/>
      <c r="H83" s="268" t="s">
        <v>452</v>
      </c>
      <c r="I83" s="86"/>
      <c r="J83" s="268" t="s">
        <v>313</v>
      </c>
      <c r="K83" s="86"/>
      <c r="L83" s="268" t="s">
        <v>314</v>
      </c>
      <c r="M83" s="86"/>
      <c r="N83" s="268" t="s">
        <v>453</v>
      </c>
      <c r="O83" s="86"/>
      <c r="P83" s="268" t="s">
        <v>315</v>
      </c>
      <c r="Q83" s="86"/>
      <c r="R83" s="268" t="s">
        <v>316</v>
      </c>
      <c r="S83" s="297"/>
      <c r="T83" s="268" t="s">
        <v>317</v>
      </c>
      <c r="U83" s="286"/>
      <c r="V83" s="268" t="s">
        <v>318</v>
      </c>
      <c r="W83" s="286"/>
      <c r="X83" s="268" t="s">
        <v>454</v>
      </c>
      <c r="Y83" s="292"/>
    </row>
    <row r="84" spans="1:25" ht="15.5" x14ac:dyDescent="0.35">
      <c r="A84" s="190"/>
      <c r="B84" s="273" t="s">
        <v>246</v>
      </c>
      <c r="C84" s="291"/>
      <c r="D84" s="273" t="s">
        <v>222</v>
      </c>
      <c r="E84" s="297"/>
      <c r="F84" s="273" t="s">
        <v>220</v>
      </c>
      <c r="G84" s="319"/>
      <c r="H84" s="273" t="s">
        <v>279</v>
      </c>
      <c r="I84" s="286"/>
      <c r="J84" s="273" t="s">
        <v>257</v>
      </c>
      <c r="K84" s="286"/>
      <c r="L84" s="273" t="s">
        <v>220</v>
      </c>
      <c r="M84" s="286"/>
      <c r="N84" s="273" t="s">
        <v>310</v>
      </c>
      <c r="O84" s="286"/>
      <c r="P84" s="273" t="s">
        <v>257</v>
      </c>
      <c r="Q84" s="286"/>
      <c r="R84" s="273" t="s">
        <v>221</v>
      </c>
      <c r="S84" s="286"/>
      <c r="T84" s="273" t="s">
        <v>221</v>
      </c>
      <c r="U84" s="286"/>
      <c r="V84" s="273" t="s">
        <v>222</v>
      </c>
      <c r="W84" s="286"/>
      <c r="X84" s="273" t="s">
        <v>319</v>
      </c>
      <c r="Y84" s="292"/>
    </row>
    <row r="85" spans="1:25" ht="15.5" x14ac:dyDescent="0.35">
      <c r="A85" s="190"/>
      <c r="B85" s="293"/>
      <c r="C85" s="294"/>
      <c r="D85" s="284"/>
      <c r="E85" s="297"/>
      <c r="F85" s="284"/>
      <c r="G85" s="319"/>
      <c r="H85" s="284"/>
      <c r="I85" s="286"/>
      <c r="J85" s="284"/>
      <c r="K85" s="320"/>
      <c r="L85" s="284"/>
      <c r="M85" s="295" t="s">
        <v>455</v>
      </c>
      <c r="N85" s="315"/>
      <c r="O85" s="286"/>
      <c r="P85" s="315"/>
      <c r="Q85" s="286"/>
      <c r="R85" s="315"/>
      <c r="S85" s="286"/>
      <c r="T85" s="315"/>
      <c r="U85" s="286"/>
      <c r="V85" s="284"/>
      <c r="W85" s="295" t="s">
        <v>456</v>
      </c>
      <c r="X85" s="284"/>
      <c r="Y85" s="292"/>
    </row>
    <row r="86" spans="1:25" ht="15.5" x14ac:dyDescent="0.35">
      <c r="A86" s="190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95" t="s">
        <v>457</v>
      </c>
      <c r="N86" s="213"/>
      <c r="O86" s="213"/>
      <c r="P86" s="213"/>
      <c r="Q86" s="213"/>
      <c r="R86" s="213"/>
      <c r="S86" s="213"/>
      <c r="T86" s="213"/>
      <c r="V86" s="213"/>
      <c r="W86" s="295" t="s">
        <v>458</v>
      </c>
      <c r="X86" s="213"/>
      <c r="Y86" s="257"/>
    </row>
    <row r="87" spans="1:25" ht="15.5" x14ac:dyDescent="0.35">
      <c r="A87" s="190"/>
      <c r="B87" s="213"/>
      <c r="C87" s="213"/>
      <c r="D87" s="213"/>
      <c r="E87" s="213"/>
      <c r="F87" s="213"/>
      <c r="G87" s="213"/>
      <c r="H87" s="213"/>
      <c r="I87" s="213"/>
      <c r="J87" s="298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57"/>
    </row>
    <row r="88" spans="1:25" ht="15.5" x14ac:dyDescent="0.35">
      <c r="A88" s="190"/>
      <c r="B88" s="762"/>
      <c r="C88" s="276">
        <v>429</v>
      </c>
      <c r="D88" s="786"/>
      <c r="E88" s="277">
        <v>399</v>
      </c>
      <c r="F88" s="780"/>
      <c r="G88" s="278">
        <v>435</v>
      </c>
      <c r="H88" s="780"/>
      <c r="I88" s="278">
        <v>404</v>
      </c>
      <c r="J88" s="762"/>
      <c r="K88" s="321">
        <v>374</v>
      </c>
      <c r="L88" s="762"/>
      <c r="M88" s="312">
        <v>250</v>
      </c>
      <c r="N88" s="780"/>
      <c r="O88" s="289">
        <v>398</v>
      </c>
      <c r="P88" s="784"/>
      <c r="Q88" s="276">
        <v>364</v>
      </c>
      <c r="R88" s="762"/>
      <c r="S88" s="278">
        <v>380</v>
      </c>
      <c r="T88" s="780"/>
      <c r="U88" s="304">
        <v>459</v>
      </c>
      <c r="V88" s="780"/>
      <c r="W88" s="278">
        <v>206</v>
      </c>
      <c r="X88" s="780"/>
      <c r="Y88" s="314">
        <v>385</v>
      </c>
    </row>
    <row r="89" spans="1:25" ht="15.5" x14ac:dyDescent="0.35">
      <c r="A89" s="190"/>
      <c r="B89" s="763"/>
      <c r="C89" s="255"/>
      <c r="D89" s="778"/>
      <c r="E89" s="255"/>
      <c r="F89" s="778"/>
      <c r="G89" s="255"/>
      <c r="H89" s="778"/>
      <c r="I89" s="255"/>
      <c r="J89" s="763"/>
      <c r="K89" s="265"/>
      <c r="L89" s="763"/>
      <c r="M89" s="255"/>
      <c r="N89" s="778"/>
      <c r="O89" s="265"/>
      <c r="P89" s="771"/>
      <c r="Q89" s="265"/>
      <c r="R89" s="763"/>
      <c r="S89" s="265"/>
      <c r="T89" s="778"/>
      <c r="U89" s="265"/>
      <c r="V89" s="778"/>
      <c r="W89" s="265"/>
      <c r="X89" s="778"/>
      <c r="Y89" s="282"/>
    </row>
    <row r="90" spans="1:25" ht="15.5" x14ac:dyDescent="0.35">
      <c r="A90" s="190"/>
      <c r="B90" s="268" t="s">
        <v>459</v>
      </c>
      <c r="C90" s="286"/>
      <c r="D90" s="268" t="s">
        <v>321</v>
      </c>
      <c r="E90" s="286"/>
      <c r="F90" s="268" t="s">
        <v>460</v>
      </c>
      <c r="G90" s="286"/>
      <c r="H90" s="268" t="s">
        <v>322</v>
      </c>
      <c r="I90" s="286"/>
      <c r="J90" s="268" t="s">
        <v>323</v>
      </c>
      <c r="K90" s="291"/>
      <c r="L90" s="268" t="s">
        <v>461</v>
      </c>
      <c r="M90" s="286"/>
      <c r="N90" s="268" t="s">
        <v>462</v>
      </c>
      <c r="O90" s="291"/>
      <c r="P90" s="268" t="s">
        <v>324</v>
      </c>
      <c r="Q90" s="297"/>
      <c r="R90" s="268" t="s">
        <v>325</v>
      </c>
      <c r="S90" s="86"/>
      <c r="T90" s="268" t="s">
        <v>326</v>
      </c>
      <c r="U90" s="86"/>
      <c r="V90" s="268" t="s">
        <v>463</v>
      </c>
      <c r="W90" s="86"/>
      <c r="X90" s="268" t="s">
        <v>464</v>
      </c>
      <c r="Y90" s="322"/>
    </row>
    <row r="91" spans="1:25" ht="15.5" x14ac:dyDescent="0.35">
      <c r="A91" s="190"/>
      <c r="B91" s="273" t="s">
        <v>320</v>
      </c>
      <c r="C91" s="291"/>
      <c r="D91" s="273" t="s">
        <v>222</v>
      </c>
      <c r="E91" s="286"/>
      <c r="F91" s="273" t="s">
        <v>246</v>
      </c>
      <c r="G91" s="286"/>
      <c r="H91" s="273" t="s">
        <v>220</v>
      </c>
      <c r="I91" s="286"/>
      <c r="J91" s="273" t="s">
        <v>221</v>
      </c>
      <c r="K91" s="291"/>
      <c r="L91" s="273" t="s">
        <v>223</v>
      </c>
      <c r="M91" s="286"/>
      <c r="N91" s="273" t="s">
        <v>223</v>
      </c>
      <c r="O91" s="291"/>
      <c r="P91" s="273" t="s">
        <v>222</v>
      </c>
      <c r="Q91" s="297"/>
      <c r="R91" s="273" t="s">
        <v>221</v>
      </c>
      <c r="S91" s="286"/>
      <c r="T91" s="273" t="s">
        <v>221</v>
      </c>
      <c r="U91" s="286"/>
      <c r="V91" s="273" t="s">
        <v>278</v>
      </c>
      <c r="W91" s="286"/>
      <c r="X91" s="273" t="s">
        <v>328</v>
      </c>
      <c r="Y91" s="292"/>
    </row>
    <row r="92" spans="1:25" ht="15.5" x14ac:dyDescent="0.35">
      <c r="A92" s="190"/>
      <c r="B92" s="284"/>
      <c r="C92" s="291"/>
      <c r="D92" s="186"/>
      <c r="E92" s="323"/>
      <c r="F92" s="186"/>
      <c r="G92" s="323"/>
      <c r="H92" s="129"/>
      <c r="I92" s="186"/>
      <c r="J92" s="129"/>
      <c r="K92" s="186"/>
      <c r="L92" s="129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5"/>
      <c r="X92" s="186"/>
      <c r="Y92" s="251"/>
    </row>
    <row r="93" spans="1:25" ht="15.5" x14ac:dyDescent="0.35">
      <c r="A93" s="190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323"/>
      <c r="R93" s="285"/>
      <c r="T93" s="285"/>
      <c r="U93" s="285"/>
      <c r="V93" s="285"/>
      <c r="W93" s="324"/>
      <c r="X93" s="285"/>
      <c r="Y93" s="287"/>
    </row>
    <row r="94" spans="1:25" ht="15.5" x14ac:dyDescent="0.35">
      <c r="A94" s="190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324"/>
      <c r="V94" s="285"/>
      <c r="W94" s="285"/>
      <c r="X94" s="285"/>
      <c r="Y94" s="287"/>
    </row>
    <row r="95" spans="1:25" ht="15.5" x14ac:dyDescent="0.35">
      <c r="A95" s="190"/>
      <c r="B95" s="794"/>
      <c r="C95" s="325">
        <v>372</v>
      </c>
      <c r="D95" s="762"/>
      <c r="E95" s="326">
        <v>384</v>
      </c>
      <c r="F95" s="780"/>
      <c r="G95" s="327">
        <v>400</v>
      </c>
      <c r="H95" s="780"/>
      <c r="I95" s="328">
        <v>386</v>
      </c>
      <c r="J95" s="780"/>
      <c r="K95" s="328">
        <v>398</v>
      </c>
      <c r="L95" s="780"/>
      <c r="M95" s="278">
        <v>393</v>
      </c>
      <c r="N95" s="780"/>
      <c r="O95" s="277">
        <v>387</v>
      </c>
      <c r="P95" s="780"/>
      <c r="Q95" s="278">
        <v>378</v>
      </c>
      <c r="R95" s="780"/>
      <c r="S95" s="278">
        <v>410</v>
      </c>
      <c r="T95" s="780"/>
      <c r="U95" s="278">
        <v>368</v>
      </c>
      <c r="V95" s="780"/>
      <c r="W95" s="289">
        <v>396</v>
      </c>
      <c r="X95" s="780"/>
      <c r="Y95" s="329">
        <v>395</v>
      </c>
    </row>
    <row r="96" spans="1:25" ht="15.5" x14ac:dyDescent="0.35">
      <c r="A96" s="190"/>
      <c r="B96" s="763"/>
      <c r="C96" s="330"/>
      <c r="D96" s="763"/>
      <c r="E96" s="291"/>
      <c r="F96" s="778"/>
      <c r="G96" s="330"/>
      <c r="H96" s="778"/>
      <c r="I96" s="291"/>
      <c r="J96" s="778"/>
      <c r="K96" s="291"/>
      <c r="L96" s="778"/>
      <c r="M96" s="255"/>
      <c r="N96" s="778"/>
      <c r="O96" s="255"/>
      <c r="P96" s="778"/>
      <c r="Q96" s="255"/>
      <c r="R96" s="778"/>
      <c r="S96" s="255"/>
      <c r="T96" s="778"/>
      <c r="U96" s="255"/>
      <c r="V96" s="778"/>
      <c r="W96" s="265"/>
      <c r="X96" s="778"/>
      <c r="Y96" s="292"/>
    </row>
    <row r="97" spans="1:27" ht="15.5" x14ac:dyDescent="0.35">
      <c r="A97" s="190"/>
      <c r="B97" s="268" t="s">
        <v>327</v>
      </c>
      <c r="C97" s="86"/>
      <c r="D97" s="268" t="s">
        <v>329</v>
      </c>
      <c r="E97" s="286"/>
      <c r="F97" s="268" t="s">
        <v>330</v>
      </c>
      <c r="G97" s="297"/>
      <c r="H97" s="268" t="s">
        <v>331</v>
      </c>
      <c r="I97" s="286"/>
      <c r="J97" s="268" t="s">
        <v>332</v>
      </c>
      <c r="K97" s="286"/>
      <c r="L97" s="268" t="s">
        <v>333</v>
      </c>
      <c r="M97" s="286"/>
      <c r="N97" s="268" t="s">
        <v>334</v>
      </c>
      <c r="O97" s="286"/>
      <c r="P97" s="268" t="s">
        <v>335</v>
      </c>
      <c r="Q97" s="286"/>
      <c r="R97" s="268" t="s">
        <v>336</v>
      </c>
      <c r="S97" s="286"/>
      <c r="T97" s="268" t="s">
        <v>337</v>
      </c>
      <c r="U97" s="286"/>
      <c r="V97" s="268" t="s">
        <v>465</v>
      </c>
      <c r="W97" s="291"/>
      <c r="X97" s="268" t="s">
        <v>338</v>
      </c>
      <c r="Y97" s="292"/>
    </row>
    <row r="98" spans="1:27" ht="15.5" x14ac:dyDescent="0.35">
      <c r="A98" s="190"/>
      <c r="B98" s="273" t="s">
        <v>221</v>
      </c>
      <c r="C98" s="286"/>
      <c r="D98" s="273" t="s">
        <v>221</v>
      </c>
      <c r="E98" s="286"/>
      <c r="F98" s="273" t="s">
        <v>221</v>
      </c>
      <c r="G98" s="286"/>
      <c r="H98" s="273" t="s">
        <v>221</v>
      </c>
      <c r="I98" s="286"/>
      <c r="J98" s="273" t="s">
        <v>221</v>
      </c>
      <c r="K98" s="286"/>
      <c r="L98" s="273" t="s">
        <v>221</v>
      </c>
      <c r="M98" s="286"/>
      <c r="N98" s="273" t="s">
        <v>221</v>
      </c>
      <c r="O98" s="286"/>
      <c r="P98" s="273" t="s">
        <v>221</v>
      </c>
      <c r="Q98" s="286"/>
      <c r="R98" s="273" t="s">
        <v>221</v>
      </c>
      <c r="S98" s="286"/>
      <c r="T98" s="273" t="s">
        <v>222</v>
      </c>
      <c r="U98" s="286"/>
      <c r="V98" s="273" t="s">
        <v>223</v>
      </c>
      <c r="W98" s="291"/>
      <c r="X98" s="273" t="s">
        <v>222</v>
      </c>
      <c r="Y98" s="292"/>
    </row>
    <row r="99" spans="1:27" ht="15.5" x14ac:dyDescent="0.35">
      <c r="A99" s="190"/>
      <c r="B99" s="186"/>
      <c r="C99" s="185"/>
      <c r="P99" s="284"/>
      <c r="R99" s="284"/>
      <c r="Y99" s="287"/>
    </row>
    <row r="100" spans="1:27" ht="15.5" x14ac:dyDescent="0.35">
      <c r="A100" s="190"/>
      <c r="B100" s="186"/>
      <c r="C100" s="185"/>
      <c r="O100" s="331"/>
      <c r="P100" s="284"/>
      <c r="R100" s="284"/>
      <c r="X100" s="297"/>
      <c r="Y100" s="287"/>
      <c r="AA100" s="332" t="s">
        <v>466</v>
      </c>
    </row>
    <row r="101" spans="1:27" ht="15.5" x14ac:dyDescent="0.35">
      <c r="A101" s="190"/>
      <c r="B101" s="285"/>
      <c r="C101" s="285"/>
      <c r="D101" s="285"/>
      <c r="E101" s="213"/>
      <c r="F101" s="285"/>
      <c r="G101" s="285"/>
      <c r="H101" s="285"/>
      <c r="I101" s="285"/>
      <c r="J101" s="285"/>
      <c r="K101" s="285"/>
      <c r="L101" s="285"/>
      <c r="M101" s="285"/>
      <c r="N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7"/>
    </row>
    <row r="102" spans="1:27" ht="15.5" x14ac:dyDescent="0.35">
      <c r="A102" s="190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57"/>
    </row>
    <row r="103" spans="1:27" ht="15.5" x14ac:dyDescent="0.35">
      <c r="A103" s="190"/>
      <c r="B103" s="762"/>
      <c r="C103" s="276">
        <v>414</v>
      </c>
      <c r="D103" s="779"/>
      <c r="E103" s="276">
        <v>350</v>
      </c>
      <c r="F103" s="777"/>
      <c r="G103" s="278">
        <v>356</v>
      </c>
      <c r="H103" s="777"/>
      <c r="I103" s="278">
        <v>460</v>
      </c>
      <c r="J103" s="777"/>
      <c r="K103" s="278">
        <v>379</v>
      </c>
      <c r="L103" s="777"/>
      <c r="M103" s="278">
        <v>383</v>
      </c>
      <c r="N103" s="777"/>
      <c r="O103" s="304">
        <v>400</v>
      </c>
      <c r="P103" s="777"/>
      <c r="Q103" s="278">
        <v>421</v>
      </c>
      <c r="R103" s="780"/>
      <c r="S103" s="289">
        <v>323</v>
      </c>
      <c r="T103" s="762"/>
      <c r="U103" s="278">
        <v>312</v>
      </c>
      <c r="V103" s="780"/>
      <c r="W103" s="304">
        <v>360</v>
      </c>
      <c r="X103" s="780"/>
      <c r="Y103" s="279">
        <v>301</v>
      </c>
    </row>
    <row r="104" spans="1:27" ht="15.5" x14ac:dyDescent="0.35">
      <c r="A104" s="190"/>
      <c r="B104" s="763"/>
      <c r="C104" s="265"/>
      <c r="D104" s="763"/>
      <c r="E104" s="265"/>
      <c r="F104" s="778"/>
      <c r="G104" s="265"/>
      <c r="H104" s="778"/>
      <c r="I104" s="265"/>
      <c r="J104" s="778"/>
      <c r="K104" s="265"/>
      <c r="L104" s="778"/>
      <c r="M104" s="265"/>
      <c r="N104" s="778"/>
      <c r="O104" s="265"/>
      <c r="P104" s="778"/>
      <c r="Q104" s="265"/>
      <c r="R104" s="778"/>
      <c r="S104" s="265"/>
      <c r="T104" s="763"/>
      <c r="U104" s="255"/>
      <c r="V104" s="778"/>
      <c r="W104" s="255"/>
      <c r="X104" s="778"/>
      <c r="Y104" s="266"/>
    </row>
    <row r="105" spans="1:27" ht="15.5" x14ac:dyDescent="0.35">
      <c r="A105" s="190"/>
      <c r="B105" s="268" t="s">
        <v>339</v>
      </c>
      <c r="C105" s="255"/>
      <c r="D105" s="268" t="s">
        <v>340</v>
      </c>
      <c r="E105" s="280"/>
      <c r="F105" s="268" t="s">
        <v>467</v>
      </c>
      <c r="G105" s="298"/>
      <c r="H105" s="268" t="s">
        <v>341</v>
      </c>
      <c r="I105" s="281"/>
      <c r="J105" s="268" t="s">
        <v>342</v>
      </c>
      <c r="K105" s="281"/>
      <c r="L105" s="268" t="s">
        <v>343</v>
      </c>
      <c r="M105" s="281"/>
      <c r="N105" s="268" t="s">
        <v>468</v>
      </c>
      <c r="O105" s="281"/>
      <c r="P105" s="268" t="s">
        <v>96</v>
      </c>
      <c r="Q105" s="281"/>
      <c r="R105" s="268" t="s">
        <v>344</v>
      </c>
      <c r="S105" s="280"/>
      <c r="T105" s="268" t="s">
        <v>345</v>
      </c>
      <c r="U105" s="271"/>
      <c r="V105" s="268" t="s">
        <v>346</v>
      </c>
      <c r="W105" s="271"/>
      <c r="X105" s="268" t="s">
        <v>98</v>
      </c>
      <c r="Y105" s="266"/>
    </row>
    <row r="106" spans="1:27" ht="15.5" x14ac:dyDescent="0.35">
      <c r="A106" s="190"/>
      <c r="B106" s="273" t="s">
        <v>222</v>
      </c>
      <c r="C106" s="291"/>
      <c r="D106" s="273" t="s">
        <v>221</v>
      </c>
      <c r="E106" s="285"/>
      <c r="F106" s="273" t="s">
        <v>223</v>
      </c>
      <c r="G106" s="285"/>
      <c r="H106" s="273" t="s">
        <v>222</v>
      </c>
      <c r="I106" s="286"/>
      <c r="J106" s="273" t="s">
        <v>220</v>
      </c>
      <c r="K106" s="286"/>
      <c r="L106" s="273" t="s">
        <v>257</v>
      </c>
      <c r="M106" s="286"/>
      <c r="N106" s="273" t="s">
        <v>320</v>
      </c>
      <c r="O106" s="285"/>
      <c r="P106" s="273" t="s">
        <v>222</v>
      </c>
      <c r="Q106" s="285"/>
      <c r="R106" s="273" t="s">
        <v>222</v>
      </c>
      <c r="S106" s="286"/>
      <c r="T106" s="273" t="s">
        <v>221</v>
      </c>
      <c r="U106" s="286"/>
      <c r="V106" s="273" t="s">
        <v>221</v>
      </c>
      <c r="W106" s="286"/>
      <c r="X106" s="273" t="s">
        <v>221</v>
      </c>
      <c r="Y106" s="292"/>
    </row>
    <row r="107" spans="1:27" ht="15.5" x14ac:dyDescent="0.35">
      <c r="A107" s="190"/>
      <c r="B107" s="284"/>
      <c r="C107" s="291"/>
      <c r="D107" s="333"/>
      <c r="E107" s="291"/>
      <c r="F107" s="333"/>
      <c r="G107" s="334"/>
      <c r="H107" s="333"/>
      <c r="I107" s="291"/>
      <c r="J107" s="335"/>
      <c r="K107" s="291"/>
      <c r="L107" s="333"/>
      <c r="M107" s="291"/>
      <c r="N107" s="335"/>
      <c r="O107" s="291"/>
      <c r="P107" s="293"/>
      <c r="Q107" s="294"/>
      <c r="R107" s="293"/>
      <c r="S107" s="294"/>
      <c r="T107" s="293"/>
      <c r="U107" s="293"/>
      <c r="V107" s="293"/>
      <c r="W107" s="294"/>
      <c r="X107" s="293"/>
      <c r="Y107" s="336"/>
    </row>
    <row r="108" spans="1:27" ht="15.5" x14ac:dyDescent="0.35">
      <c r="A108" s="190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98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87"/>
    </row>
    <row r="109" spans="1:27" ht="15.5" x14ac:dyDescent="0.35">
      <c r="A109" s="190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87"/>
    </row>
    <row r="110" spans="1:27" ht="15.5" x14ac:dyDescent="0.35">
      <c r="A110" s="190"/>
      <c r="B110" s="762"/>
      <c r="C110" s="276">
        <v>379</v>
      </c>
      <c r="D110" s="762"/>
      <c r="E110" s="277">
        <v>394</v>
      </c>
      <c r="F110" s="780"/>
      <c r="G110" s="278">
        <v>410</v>
      </c>
      <c r="H110" s="795"/>
      <c r="I110" s="278">
        <v>404</v>
      </c>
      <c r="J110" s="780"/>
      <c r="K110" s="289">
        <v>436</v>
      </c>
      <c r="L110" s="780"/>
      <c r="M110" s="276">
        <v>437</v>
      </c>
      <c r="N110" s="796"/>
      <c r="O110" s="300">
        <v>406</v>
      </c>
      <c r="P110" s="779"/>
      <c r="Q110" s="276">
        <v>438</v>
      </c>
      <c r="R110" s="762"/>
      <c r="S110" s="277">
        <v>412</v>
      </c>
      <c r="T110" s="762"/>
      <c r="U110" s="278">
        <v>413</v>
      </c>
      <c r="V110" s="762"/>
      <c r="W110" s="278">
        <v>328</v>
      </c>
      <c r="X110" s="762"/>
      <c r="Y110" s="337">
        <v>385</v>
      </c>
    </row>
    <row r="111" spans="1:27" ht="15.5" x14ac:dyDescent="0.35">
      <c r="A111" s="190"/>
      <c r="B111" s="763"/>
      <c r="C111" s="255"/>
      <c r="D111" s="763"/>
      <c r="E111" s="255"/>
      <c r="F111" s="778"/>
      <c r="G111" s="255"/>
      <c r="H111" s="778"/>
      <c r="I111" s="255"/>
      <c r="J111" s="778"/>
      <c r="K111" s="265"/>
      <c r="L111" s="778"/>
      <c r="M111" s="255"/>
      <c r="N111" s="778"/>
      <c r="O111" s="338"/>
      <c r="P111" s="763"/>
      <c r="Q111" s="265"/>
      <c r="R111" s="763"/>
      <c r="S111" s="265"/>
      <c r="T111" s="763"/>
      <c r="U111" s="265"/>
      <c r="V111" s="763"/>
      <c r="W111" s="265"/>
      <c r="X111" s="763"/>
      <c r="Y111" s="322"/>
    </row>
    <row r="112" spans="1:27" ht="15.5" x14ac:dyDescent="0.35">
      <c r="A112" s="190"/>
      <c r="B112" s="268" t="s">
        <v>469</v>
      </c>
      <c r="C112" s="286"/>
      <c r="D112" s="268" t="s">
        <v>470</v>
      </c>
      <c r="E112" s="286"/>
      <c r="F112" s="268" t="s">
        <v>95</v>
      </c>
      <c r="G112" s="286"/>
      <c r="H112" s="268" t="s">
        <v>92</v>
      </c>
      <c r="I112" s="286"/>
      <c r="J112" s="268" t="s">
        <v>347</v>
      </c>
      <c r="K112" s="291"/>
      <c r="L112" s="268" t="s">
        <v>471</v>
      </c>
      <c r="M112" s="286"/>
      <c r="N112" s="268" t="s">
        <v>88</v>
      </c>
      <c r="O112" s="291"/>
      <c r="P112" s="268" t="s">
        <v>348</v>
      </c>
      <c r="Q112" s="297"/>
      <c r="R112" s="268" t="s">
        <v>472</v>
      </c>
      <c r="S112" s="86"/>
      <c r="T112" s="268" t="s">
        <v>349</v>
      </c>
      <c r="U112" s="86"/>
      <c r="V112" s="268" t="s">
        <v>115</v>
      </c>
      <c r="W112" s="86"/>
      <c r="X112" s="268" t="s">
        <v>473</v>
      </c>
      <c r="Y112" s="322"/>
    </row>
    <row r="113" spans="1:25" ht="15.5" x14ac:dyDescent="0.35">
      <c r="A113" s="190"/>
      <c r="B113" s="273" t="s">
        <v>221</v>
      </c>
      <c r="C113" s="286"/>
      <c r="D113" s="273" t="s">
        <v>301</v>
      </c>
      <c r="E113" s="286"/>
      <c r="F113" s="273" t="s">
        <v>221</v>
      </c>
      <c r="G113" s="286"/>
      <c r="H113" s="273" t="s">
        <v>222</v>
      </c>
      <c r="I113" s="286"/>
      <c r="J113" s="273" t="s">
        <v>221</v>
      </c>
      <c r="K113" s="291"/>
      <c r="L113" s="273" t="s">
        <v>278</v>
      </c>
      <c r="M113" s="286"/>
      <c r="N113" s="273" t="s">
        <v>221</v>
      </c>
      <c r="O113" s="291"/>
      <c r="P113" s="273" t="s">
        <v>220</v>
      </c>
      <c r="Q113" s="297"/>
      <c r="R113" s="273" t="s">
        <v>279</v>
      </c>
      <c r="S113" s="284"/>
      <c r="T113" s="273" t="s">
        <v>221</v>
      </c>
      <c r="U113" s="284"/>
      <c r="V113" s="273" t="s">
        <v>222</v>
      </c>
      <c r="W113" s="284"/>
      <c r="X113" s="273" t="s">
        <v>219</v>
      </c>
      <c r="Y113" s="339"/>
    </row>
    <row r="114" spans="1:25" ht="15.5" x14ac:dyDescent="0.35">
      <c r="A114" s="190"/>
      <c r="B114" s="298"/>
      <c r="C114" s="298"/>
      <c r="D114" s="299"/>
      <c r="E114" s="271"/>
      <c r="F114" s="269"/>
      <c r="G114" s="271"/>
      <c r="H114" s="269"/>
      <c r="I114" s="271"/>
      <c r="J114" s="269"/>
      <c r="L114" s="269"/>
      <c r="M114" s="271"/>
      <c r="N114" s="269"/>
      <c r="O114" s="255"/>
      <c r="P114" s="269"/>
      <c r="Q114" s="280"/>
      <c r="R114" s="269"/>
      <c r="S114" s="269"/>
      <c r="T114" s="269"/>
      <c r="U114" s="269"/>
      <c r="V114" s="269"/>
      <c r="W114" s="269"/>
      <c r="X114" s="269"/>
      <c r="Y114" s="340"/>
    </row>
    <row r="115" spans="1:25" ht="15.5" x14ac:dyDescent="0.35">
      <c r="A115" s="190"/>
      <c r="B115" s="213"/>
      <c r="C115" s="213"/>
      <c r="D115" s="213"/>
      <c r="E115" s="213"/>
      <c r="F115" s="213"/>
      <c r="G115" s="213"/>
      <c r="H115" s="213"/>
      <c r="I115" s="222"/>
      <c r="J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57"/>
    </row>
    <row r="116" spans="1:25" ht="15.5" x14ac:dyDescent="0.35">
      <c r="A116" s="190"/>
      <c r="B116" s="213"/>
      <c r="C116" s="213"/>
      <c r="D116" s="213"/>
      <c r="E116" s="213"/>
      <c r="F116" s="213"/>
      <c r="G116" s="213"/>
      <c r="H116" s="213"/>
      <c r="I116" s="213"/>
      <c r="J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57"/>
    </row>
    <row r="117" spans="1:25" ht="15.5" x14ac:dyDescent="0.35">
      <c r="A117" s="190"/>
      <c r="B117" s="762"/>
      <c r="C117" s="276">
        <v>415</v>
      </c>
      <c r="D117" s="779"/>
      <c r="E117" s="277">
        <v>394</v>
      </c>
      <c r="F117" s="762"/>
      <c r="G117" s="289">
        <v>362</v>
      </c>
      <c r="H117" s="780"/>
      <c r="I117" s="278">
        <v>386</v>
      </c>
      <c r="J117" s="777"/>
      <c r="K117" s="278">
        <v>425</v>
      </c>
      <c r="L117" s="780"/>
      <c r="M117" s="278">
        <v>412</v>
      </c>
      <c r="N117" s="780"/>
      <c r="O117" s="278">
        <v>337</v>
      </c>
      <c r="P117" s="780"/>
      <c r="Q117" s="289">
        <v>323</v>
      </c>
      <c r="R117" s="762"/>
      <c r="S117" s="289">
        <v>329</v>
      </c>
      <c r="T117" s="780"/>
      <c r="U117" s="278">
        <v>315</v>
      </c>
      <c r="V117" s="780"/>
      <c r="W117" s="289">
        <v>465</v>
      </c>
      <c r="X117" s="762"/>
      <c r="Y117" s="290">
        <v>374</v>
      </c>
    </row>
    <row r="118" spans="1:25" ht="15.5" x14ac:dyDescent="0.35">
      <c r="A118" s="190"/>
      <c r="B118" s="763"/>
      <c r="C118" s="265"/>
      <c r="D118" s="763"/>
      <c r="E118" s="265"/>
      <c r="F118" s="763"/>
      <c r="G118" s="265"/>
      <c r="H118" s="778"/>
      <c r="I118" s="255"/>
      <c r="J118" s="778"/>
      <c r="K118" s="255"/>
      <c r="L118" s="778"/>
      <c r="M118" s="255"/>
      <c r="N118" s="778"/>
      <c r="O118" s="255"/>
      <c r="P118" s="778"/>
      <c r="Q118" s="255"/>
      <c r="R118" s="763"/>
      <c r="S118" s="255"/>
      <c r="T118" s="778"/>
      <c r="U118" s="255"/>
      <c r="V118" s="778"/>
      <c r="W118" s="265"/>
      <c r="X118" s="763"/>
      <c r="Y118" s="266"/>
    </row>
    <row r="119" spans="1:25" ht="15.5" x14ac:dyDescent="0.35">
      <c r="A119" s="190"/>
      <c r="B119" s="268" t="s">
        <v>350</v>
      </c>
      <c r="C119" s="86"/>
      <c r="D119" s="268" t="s">
        <v>117</v>
      </c>
      <c r="E119" s="86"/>
      <c r="F119" s="268" t="s">
        <v>351</v>
      </c>
      <c r="G119" s="297"/>
      <c r="H119" s="268" t="s">
        <v>352</v>
      </c>
      <c r="I119" s="286"/>
      <c r="J119" s="268" t="s">
        <v>353</v>
      </c>
      <c r="K119" s="286"/>
      <c r="L119" s="268" t="s">
        <v>354</v>
      </c>
      <c r="M119" s="286"/>
      <c r="N119" s="268" t="s">
        <v>474</v>
      </c>
      <c r="O119" s="286"/>
      <c r="P119" s="268" t="s">
        <v>475</v>
      </c>
      <c r="Q119" s="286"/>
      <c r="R119" s="268" t="s">
        <v>355</v>
      </c>
      <c r="S119" s="286"/>
      <c r="T119" s="268" t="s">
        <v>356</v>
      </c>
      <c r="U119" s="286"/>
      <c r="V119" s="268" t="s">
        <v>357</v>
      </c>
      <c r="W119" s="291"/>
      <c r="X119" s="268" t="s">
        <v>358</v>
      </c>
      <c r="Y119" s="292"/>
    </row>
    <row r="120" spans="1:25" ht="15.5" x14ac:dyDescent="0.35">
      <c r="A120" s="190"/>
      <c r="B120" s="273" t="s">
        <v>220</v>
      </c>
      <c r="C120" s="284"/>
      <c r="D120" s="273" t="s">
        <v>220</v>
      </c>
      <c r="E120" s="284"/>
      <c r="F120" s="273" t="s">
        <v>221</v>
      </c>
      <c r="G120" s="286"/>
      <c r="H120" s="273" t="s">
        <v>221</v>
      </c>
      <c r="I120" s="286"/>
      <c r="J120" s="273" t="s">
        <v>221</v>
      </c>
      <c r="K120" s="286"/>
      <c r="L120" s="273" t="s">
        <v>221</v>
      </c>
      <c r="M120" s="286"/>
      <c r="N120" s="273" t="s">
        <v>221</v>
      </c>
      <c r="O120" s="286"/>
      <c r="P120" s="273" t="s">
        <v>291</v>
      </c>
      <c r="Q120" s="286"/>
      <c r="R120" s="273" t="s">
        <v>257</v>
      </c>
      <c r="S120" s="286"/>
      <c r="T120" s="273" t="s">
        <v>220</v>
      </c>
      <c r="U120" s="286"/>
      <c r="V120" s="273" t="s">
        <v>222</v>
      </c>
      <c r="W120" s="291"/>
      <c r="X120" s="273" t="s">
        <v>222</v>
      </c>
      <c r="Y120" s="292"/>
    </row>
    <row r="121" spans="1:25" ht="15.5" x14ac:dyDescent="0.35">
      <c r="A121" s="190"/>
      <c r="B121" s="298"/>
      <c r="C121" s="298"/>
      <c r="D121" s="299"/>
      <c r="E121" s="271"/>
      <c r="F121" s="269"/>
      <c r="G121" s="213"/>
      <c r="H121" s="269"/>
      <c r="I121" s="271"/>
      <c r="J121" s="269"/>
      <c r="L121" s="269"/>
      <c r="M121" s="271"/>
      <c r="N121" s="269"/>
      <c r="O121" s="255"/>
      <c r="P121" s="269"/>
      <c r="Q121" s="280"/>
      <c r="R121" s="269"/>
      <c r="S121" s="269"/>
      <c r="T121" s="269"/>
      <c r="U121" s="269"/>
      <c r="V121" s="269"/>
      <c r="W121" s="269"/>
      <c r="X121" s="269"/>
      <c r="Y121" s="340"/>
    </row>
    <row r="122" spans="1:25" ht="15.5" x14ac:dyDescent="0.35">
      <c r="A122" s="190"/>
      <c r="B122" s="213"/>
      <c r="C122" s="213"/>
      <c r="D122" s="213"/>
      <c r="E122" s="213"/>
      <c r="G122" s="213"/>
      <c r="H122" s="213"/>
      <c r="I122" s="222"/>
      <c r="J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57"/>
    </row>
    <row r="123" spans="1:25" ht="15.5" x14ac:dyDescent="0.35">
      <c r="A123" s="190"/>
      <c r="B123" s="213"/>
      <c r="C123" s="213"/>
      <c r="D123" s="213"/>
      <c r="E123" s="213"/>
      <c r="G123" s="213"/>
      <c r="H123" s="213"/>
      <c r="I123" s="213"/>
      <c r="J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57"/>
    </row>
    <row r="124" spans="1:25" ht="15.5" x14ac:dyDescent="0.35">
      <c r="A124" s="190"/>
      <c r="B124" s="762"/>
      <c r="C124" s="276">
        <v>400</v>
      </c>
      <c r="D124" s="779"/>
      <c r="E124" s="277">
        <v>359</v>
      </c>
      <c r="F124" s="762"/>
      <c r="G124" s="289">
        <v>468</v>
      </c>
      <c r="H124" s="780"/>
      <c r="I124" s="278">
        <v>287</v>
      </c>
      <c r="J124" s="777"/>
      <c r="K124" s="278">
        <v>416</v>
      </c>
      <c r="L124" s="780"/>
      <c r="M124" s="278">
        <v>352</v>
      </c>
      <c r="N124" s="780"/>
      <c r="O124" s="278">
        <v>361</v>
      </c>
      <c r="P124" s="780"/>
      <c r="Q124" s="289">
        <v>426</v>
      </c>
      <c r="R124" s="762"/>
      <c r="S124" s="289">
        <v>394</v>
      </c>
      <c r="T124" s="780"/>
      <c r="U124" s="278">
        <v>384</v>
      </c>
      <c r="V124" s="780"/>
      <c r="W124" s="289">
        <v>414</v>
      </c>
      <c r="X124" s="762"/>
      <c r="Y124" s="290">
        <v>480</v>
      </c>
    </row>
    <row r="125" spans="1:25" ht="15.5" x14ac:dyDescent="0.35">
      <c r="A125" s="190"/>
      <c r="B125" s="763"/>
      <c r="C125" s="265"/>
      <c r="D125" s="763"/>
      <c r="E125" s="265"/>
      <c r="F125" s="763"/>
      <c r="G125" s="265"/>
      <c r="H125" s="778"/>
      <c r="I125" s="255"/>
      <c r="J125" s="778"/>
      <c r="K125" s="255"/>
      <c r="L125" s="778"/>
      <c r="M125" s="255"/>
      <c r="N125" s="778"/>
      <c r="O125" s="255"/>
      <c r="P125" s="778"/>
      <c r="Q125" s="255"/>
      <c r="R125" s="763"/>
      <c r="S125" s="255"/>
      <c r="T125" s="778"/>
      <c r="U125" s="255"/>
      <c r="V125" s="778"/>
      <c r="W125" s="265"/>
      <c r="X125" s="763"/>
      <c r="Y125" s="266"/>
    </row>
    <row r="126" spans="1:25" ht="15.5" x14ac:dyDescent="0.35">
      <c r="A126" s="190"/>
      <c r="B126" s="341" t="s">
        <v>476</v>
      </c>
      <c r="C126" s="86"/>
      <c r="D126" s="341" t="s">
        <v>359</v>
      </c>
      <c r="E126" s="86"/>
      <c r="F126" s="341" t="s">
        <v>477</v>
      </c>
      <c r="G126" s="297"/>
      <c r="H126" s="341" t="s">
        <v>478</v>
      </c>
      <c r="I126" s="286"/>
      <c r="J126" s="341" t="s">
        <v>479</v>
      </c>
      <c r="K126" s="286"/>
      <c r="L126" s="341" t="s">
        <v>362</v>
      </c>
      <c r="M126" s="286"/>
      <c r="N126" s="341" t="s">
        <v>480</v>
      </c>
      <c r="O126" s="286"/>
      <c r="P126" s="341" t="s">
        <v>363</v>
      </c>
      <c r="Q126" s="286"/>
      <c r="R126" s="341" t="s">
        <v>364</v>
      </c>
      <c r="S126" s="286"/>
      <c r="T126" s="341" t="s">
        <v>365</v>
      </c>
      <c r="U126" s="286"/>
      <c r="V126" s="341" t="s">
        <v>366</v>
      </c>
      <c r="W126" s="291"/>
      <c r="X126" s="341" t="s">
        <v>367</v>
      </c>
      <c r="Y126" s="292"/>
    </row>
    <row r="127" spans="1:25" ht="15.5" x14ac:dyDescent="0.35">
      <c r="A127" s="190"/>
      <c r="B127" s="273" t="s">
        <v>360</v>
      </c>
      <c r="C127" s="284"/>
      <c r="D127" s="273" t="s">
        <v>222</v>
      </c>
      <c r="E127" s="284"/>
      <c r="F127" s="273" t="s">
        <v>361</v>
      </c>
      <c r="G127" s="286"/>
      <c r="H127" s="273" t="s">
        <v>292</v>
      </c>
      <c r="I127" s="286"/>
      <c r="J127" s="273" t="s">
        <v>360</v>
      </c>
      <c r="K127" s="286"/>
      <c r="L127" s="273" t="s">
        <v>221</v>
      </c>
      <c r="M127" s="286"/>
      <c r="N127" s="273" t="s">
        <v>246</v>
      </c>
      <c r="O127" s="286"/>
      <c r="P127" s="273" t="s">
        <v>222</v>
      </c>
      <c r="Q127" s="286"/>
      <c r="R127" s="273" t="s">
        <v>221</v>
      </c>
      <c r="S127" s="286"/>
      <c r="T127" s="273" t="s">
        <v>222</v>
      </c>
      <c r="U127" s="286"/>
      <c r="V127" s="273" t="s">
        <v>221</v>
      </c>
      <c r="W127" s="291"/>
      <c r="X127" s="273" t="s">
        <v>292</v>
      </c>
      <c r="Y127" s="292"/>
    </row>
    <row r="128" spans="1:25" ht="15.5" x14ac:dyDescent="0.35">
      <c r="A128" s="190"/>
      <c r="B128" s="284"/>
      <c r="C128" s="291"/>
      <c r="D128" s="333"/>
      <c r="E128" s="291"/>
      <c r="F128" s="333"/>
      <c r="G128" s="334"/>
      <c r="H128" s="333"/>
      <c r="I128" s="291"/>
      <c r="J128" s="335"/>
      <c r="K128" s="291"/>
      <c r="L128" s="333"/>
      <c r="M128" s="291"/>
      <c r="N128" s="335"/>
      <c r="O128" s="291"/>
      <c r="P128" s="293"/>
      <c r="Q128" s="294"/>
      <c r="R128" s="293"/>
      <c r="S128" s="294"/>
      <c r="T128" s="293"/>
      <c r="U128" s="293"/>
      <c r="V128" s="293"/>
      <c r="W128" s="294"/>
      <c r="X128" s="293"/>
      <c r="Y128" s="336"/>
    </row>
    <row r="129" spans="1:32" ht="15.5" x14ac:dyDescent="0.35">
      <c r="A129" s="190"/>
      <c r="B129" s="213"/>
      <c r="C129" s="213"/>
      <c r="D129" s="213"/>
      <c r="E129" s="213"/>
      <c r="G129" s="213"/>
      <c r="H129" s="213"/>
      <c r="I129" s="222"/>
      <c r="J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57"/>
    </row>
    <row r="130" spans="1:32" ht="15.5" x14ac:dyDescent="0.35">
      <c r="A130" s="190"/>
      <c r="B130" s="213"/>
      <c r="C130" s="213"/>
      <c r="D130" s="213"/>
      <c r="E130" s="213"/>
      <c r="G130" s="213"/>
      <c r="H130" s="213"/>
      <c r="I130" s="213"/>
      <c r="J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57"/>
    </row>
    <row r="131" spans="1:32" ht="15.5" x14ac:dyDescent="0.35">
      <c r="A131" s="190"/>
      <c r="B131" s="762"/>
      <c r="C131" s="276">
        <v>395</v>
      </c>
      <c r="D131" s="779"/>
      <c r="E131" s="277">
        <v>329</v>
      </c>
      <c r="F131" s="762"/>
      <c r="G131" s="289">
        <v>418</v>
      </c>
      <c r="H131" s="780"/>
      <c r="I131" s="278">
        <v>467</v>
      </c>
      <c r="J131" s="777"/>
      <c r="K131" s="278">
        <v>443</v>
      </c>
      <c r="L131" s="780"/>
      <c r="M131" s="278">
        <v>311</v>
      </c>
      <c r="N131" s="780"/>
      <c r="O131" s="278">
        <v>479</v>
      </c>
      <c r="P131" s="780"/>
      <c r="Q131" s="289">
        <v>321</v>
      </c>
      <c r="R131" s="762"/>
      <c r="S131" s="289">
        <v>506</v>
      </c>
      <c r="T131" s="780"/>
      <c r="U131" s="278">
        <v>421</v>
      </c>
      <c r="V131" s="780"/>
      <c r="W131" s="289">
        <v>421</v>
      </c>
      <c r="X131" s="762"/>
      <c r="Y131" s="290">
        <v>406</v>
      </c>
    </row>
    <row r="132" spans="1:32" ht="15.5" x14ac:dyDescent="0.35">
      <c r="A132" s="190"/>
      <c r="B132" s="763"/>
      <c r="C132" s="265"/>
      <c r="D132" s="763"/>
      <c r="E132" s="265"/>
      <c r="F132" s="763"/>
      <c r="G132" s="265"/>
      <c r="H132" s="778"/>
      <c r="I132" s="255"/>
      <c r="J132" s="778"/>
      <c r="K132" s="255"/>
      <c r="L132" s="778"/>
      <c r="M132" s="255"/>
      <c r="N132" s="778"/>
      <c r="O132" s="255"/>
      <c r="P132" s="778"/>
      <c r="Q132" s="255"/>
      <c r="R132" s="763"/>
      <c r="S132" s="255"/>
      <c r="T132" s="778"/>
      <c r="U132" s="255"/>
      <c r="V132" s="778"/>
      <c r="W132" s="265"/>
      <c r="X132" s="763"/>
      <c r="Y132" s="266"/>
    </row>
    <row r="133" spans="1:32" ht="15.5" x14ac:dyDescent="0.35">
      <c r="A133" s="190"/>
      <c r="B133" s="341" t="s">
        <v>481</v>
      </c>
      <c r="C133" s="86"/>
      <c r="D133" s="341" t="s">
        <v>368</v>
      </c>
      <c r="E133" s="86"/>
      <c r="F133" s="341" t="s">
        <v>369</v>
      </c>
      <c r="G133" s="297"/>
      <c r="H133" s="341" t="s">
        <v>482</v>
      </c>
      <c r="I133" s="286"/>
      <c r="J133" s="341" t="s">
        <v>370</v>
      </c>
      <c r="K133" s="286"/>
      <c r="L133" s="341" t="s">
        <v>371</v>
      </c>
      <c r="M133" s="286"/>
      <c r="N133" s="341" t="s">
        <v>483</v>
      </c>
      <c r="O133" s="286"/>
      <c r="P133" s="341" t="s">
        <v>372</v>
      </c>
      <c r="Q133" s="286"/>
      <c r="R133" s="341" t="s">
        <v>373</v>
      </c>
      <c r="S133" s="286"/>
      <c r="T133" s="341" t="s">
        <v>374</v>
      </c>
      <c r="U133" s="286"/>
      <c r="V133" s="341" t="s">
        <v>484</v>
      </c>
      <c r="W133" s="291"/>
      <c r="X133" s="341" t="s">
        <v>375</v>
      </c>
      <c r="Y133" s="292"/>
    </row>
    <row r="134" spans="1:32" ht="15.5" x14ac:dyDescent="0.35">
      <c r="A134" s="190"/>
      <c r="B134" s="273" t="s">
        <v>310</v>
      </c>
      <c r="C134" s="284"/>
      <c r="D134" s="273" t="s">
        <v>222</v>
      </c>
      <c r="E134" s="284"/>
      <c r="F134" s="273" t="s">
        <v>220</v>
      </c>
      <c r="G134" s="286"/>
      <c r="H134" s="273" t="s">
        <v>378</v>
      </c>
      <c r="I134" s="286"/>
      <c r="J134" s="273" t="s">
        <v>292</v>
      </c>
      <c r="K134" s="286"/>
      <c r="L134" s="273" t="s">
        <v>221</v>
      </c>
      <c r="M134" s="286"/>
      <c r="N134" s="273" t="s">
        <v>379</v>
      </c>
      <c r="O134" s="286"/>
      <c r="P134" s="273" t="s">
        <v>222</v>
      </c>
      <c r="Q134" s="286"/>
      <c r="R134" s="273" t="s">
        <v>257</v>
      </c>
      <c r="S134" s="286"/>
      <c r="T134" s="273" t="s">
        <v>292</v>
      </c>
      <c r="U134" s="286"/>
      <c r="V134" s="273" t="s">
        <v>361</v>
      </c>
      <c r="W134" s="291"/>
      <c r="X134" s="273" t="s">
        <v>221</v>
      </c>
      <c r="Y134" s="292"/>
    </row>
    <row r="135" spans="1:32" ht="15.5" x14ac:dyDescent="0.35">
      <c r="Y135" s="318"/>
    </row>
    <row r="136" spans="1:32" ht="14.5" x14ac:dyDescent="0.35">
      <c r="A136" s="190"/>
      <c r="B136" s="342"/>
      <c r="C136" s="342"/>
      <c r="D136" s="342"/>
      <c r="E136" s="342"/>
      <c r="F136" s="343"/>
      <c r="G136" s="342"/>
      <c r="H136" s="342"/>
      <c r="I136" s="342"/>
      <c r="J136" s="342"/>
      <c r="K136" s="343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4"/>
      <c r="Z136" s="343"/>
      <c r="AA136" s="343"/>
      <c r="AB136" s="343"/>
      <c r="AC136" s="343"/>
      <c r="AD136" s="343"/>
      <c r="AE136" s="343"/>
      <c r="AF136" s="343"/>
    </row>
    <row r="137" spans="1:32" ht="14.5" x14ac:dyDescent="0.35">
      <c r="A137" s="190"/>
      <c r="B137" s="342"/>
      <c r="C137" s="342"/>
      <c r="D137" s="342"/>
      <c r="E137" s="342"/>
      <c r="F137" s="343"/>
      <c r="G137" s="342"/>
      <c r="H137" s="342"/>
      <c r="I137" s="342"/>
      <c r="J137" s="342"/>
      <c r="K137" s="343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4"/>
      <c r="Z137" s="343"/>
      <c r="AA137" s="343"/>
      <c r="AB137" s="343"/>
      <c r="AC137" s="343"/>
      <c r="AD137" s="343"/>
      <c r="AE137" s="343"/>
      <c r="AF137" s="343"/>
    </row>
    <row r="138" spans="1:32" ht="15.5" x14ac:dyDescent="0.35">
      <c r="A138" s="190"/>
      <c r="B138" s="791"/>
      <c r="C138" s="345">
        <v>435</v>
      </c>
      <c r="D138" s="792"/>
      <c r="E138" s="346">
        <v>533</v>
      </c>
      <c r="F138" s="791"/>
      <c r="G138" s="347">
        <v>265</v>
      </c>
      <c r="H138" s="790"/>
      <c r="I138" s="348">
        <v>484</v>
      </c>
      <c r="J138" s="793"/>
      <c r="K138" s="348">
        <v>611</v>
      </c>
      <c r="L138" s="790"/>
      <c r="M138" s="348">
        <v>367</v>
      </c>
      <c r="N138" s="790"/>
      <c r="O138" s="348">
        <v>469</v>
      </c>
      <c r="P138" s="790"/>
      <c r="Q138" s="347">
        <v>371</v>
      </c>
      <c r="R138" s="791"/>
      <c r="S138" s="347">
        <v>370</v>
      </c>
      <c r="T138" s="790"/>
      <c r="U138" s="348">
        <v>327</v>
      </c>
      <c r="V138" s="790"/>
      <c r="W138" s="347">
        <v>318</v>
      </c>
      <c r="X138" s="791"/>
      <c r="Y138" s="349">
        <v>340</v>
      </c>
      <c r="Z138" s="343"/>
      <c r="AA138" s="343"/>
      <c r="AB138" s="343"/>
      <c r="AC138" s="343"/>
      <c r="AD138" s="343"/>
      <c r="AE138" s="343"/>
      <c r="AF138" s="343"/>
    </row>
    <row r="139" spans="1:32" ht="14.5" x14ac:dyDescent="0.35">
      <c r="A139" s="190"/>
      <c r="B139" s="763"/>
      <c r="C139" s="342"/>
      <c r="D139" s="763"/>
      <c r="E139" s="342"/>
      <c r="F139" s="763"/>
      <c r="G139" s="342"/>
      <c r="H139" s="778"/>
      <c r="I139" s="350"/>
      <c r="J139" s="778"/>
      <c r="K139" s="350"/>
      <c r="L139" s="778"/>
      <c r="M139" s="350"/>
      <c r="N139" s="778"/>
      <c r="O139" s="350"/>
      <c r="P139" s="778"/>
      <c r="Q139" s="350"/>
      <c r="R139" s="763"/>
      <c r="S139" s="350"/>
      <c r="T139" s="778"/>
      <c r="U139" s="350"/>
      <c r="V139" s="778"/>
      <c r="W139" s="342"/>
      <c r="X139" s="763"/>
      <c r="Y139" s="351"/>
      <c r="Z139" s="343"/>
      <c r="AA139" s="343"/>
      <c r="AB139" s="343"/>
      <c r="AC139" s="343"/>
      <c r="AD139" s="343"/>
      <c r="AE139" s="343"/>
      <c r="AF139" s="343"/>
    </row>
    <row r="140" spans="1:32" ht="14.5" x14ac:dyDescent="0.35">
      <c r="A140" s="190"/>
      <c r="B140" s="352" t="s">
        <v>376</v>
      </c>
      <c r="C140" s="343"/>
      <c r="D140" s="352" t="s">
        <v>377</v>
      </c>
      <c r="E140" s="343"/>
      <c r="F140" s="352" t="s">
        <v>485</v>
      </c>
      <c r="G140" s="343"/>
      <c r="H140" s="352" t="s">
        <v>486</v>
      </c>
      <c r="I140" s="353"/>
      <c r="J140" s="352" t="s">
        <v>380</v>
      </c>
      <c r="K140" s="353"/>
      <c r="L140" s="352" t="s">
        <v>381</v>
      </c>
      <c r="M140" s="353"/>
      <c r="N140" s="352" t="s">
        <v>382</v>
      </c>
      <c r="O140" s="353"/>
      <c r="P140" s="352" t="s">
        <v>383</v>
      </c>
      <c r="Q140" s="353"/>
      <c r="R140" s="352" t="s">
        <v>384</v>
      </c>
      <c r="S140" s="353"/>
      <c r="T140" s="352" t="s">
        <v>385</v>
      </c>
      <c r="U140" s="353"/>
      <c r="V140" s="352" t="s">
        <v>386</v>
      </c>
      <c r="W140" s="353"/>
      <c r="X140" s="352" t="s">
        <v>387</v>
      </c>
      <c r="Y140" s="354"/>
      <c r="Z140" s="343"/>
      <c r="AA140" s="343"/>
      <c r="AB140" s="343"/>
      <c r="AC140" s="343"/>
      <c r="AD140" s="343"/>
      <c r="AE140" s="343"/>
      <c r="AF140" s="343"/>
    </row>
    <row r="141" spans="1:32" ht="14.5" x14ac:dyDescent="0.35">
      <c r="A141" s="190"/>
      <c r="B141" s="355" t="s">
        <v>222</v>
      </c>
      <c r="C141" s="343"/>
      <c r="D141" s="355" t="s">
        <v>292</v>
      </c>
      <c r="E141" s="343"/>
      <c r="F141" s="355" t="s">
        <v>301</v>
      </c>
      <c r="G141" s="353"/>
      <c r="H141" s="355" t="s">
        <v>301</v>
      </c>
      <c r="I141" s="353"/>
      <c r="J141" s="355" t="s">
        <v>219</v>
      </c>
      <c r="K141" s="353"/>
      <c r="L141" s="355" t="s">
        <v>219</v>
      </c>
      <c r="M141" s="353"/>
      <c r="N141" s="355" t="s">
        <v>220</v>
      </c>
      <c r="O141" s="353"/>
      <c r="P141" s="355" t="s">
        <v>222</v>
      </c>
      <c r="Q141" s="353"/>
      <c r="R141" s="355" t="s">
        <v>221</v>
      </c>
      <c r="S141" s="353"/>
      <c r="T141" s="355" t="s">
        <v>221</v>
      </c>
      <c r="U141" s="353"/>
      <c r="V141" s="355" t="s">
        <v>221</v>
      </c>
      <c r="W141" s="353"/>
      <c r="X141" s="355" t="s">
        <v>221</v>
      </c>
      <c r="Y141" s="354"/>
      <c r="Z141" s="343"/>
      <c r="AA141" s="343"/>
      <c r="AB141" s="343"/>
      <c r="AC141" s="343"/>
      <c r="AD141" s="343"/>
      <c r="AE141" s="343"/>
      <c r="AF141" s="343"/>
    </row>
    <row r="142" spans="1:32" ht="15.5" x14ac:dyDescent="0.35">
      <c r="Y142" s="318"/>
    </row>
    <row r="143" spans="1:32" ht="14.5" x14ac:dyDescent="0.35">
      <c r="A143" s="190"/>
      <c r="B143" s="342"/>
      <c r="C143" s="342"/>
      <c r="D143" s="342"/>
      <c r="E143" s="342"/>
      <c r="F143" s="343"/>
      <c r="G143" s="342"/>
      <c r="H143" s="342"/>
      <c r="I143" s="342"/>
      <c r="J143" s="342"/>
      <c r="K143" s="343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4"/>
      <c r="Z143" s="343"/>
      <c r="AA143" s="343"/>
      <c r="AB143" s="343"/>
      <c r="AC143" s="343"/>
      <c r="AD143" s="343"/>
      <c r="AE143" s="343"/>
      <c r="AF143" s="343"/>
    </row>
    <row r="144" spans="1:32" ht="15.5" x14ac:dyDescent="0.35">
      <c r="A144" s="190"/>
      <c r="B144" s="791"/>
      <c r="C144" s="345">
        <v>396</v>
      </c>
      <c r="D144" s="792"/>
      <c r="E144" s="346">
        <v>377</v>
      </c>
      <c r="F144" s="791"/>
      <c r="G144" s="347">
        <v>398</v>
      </c>
      <c r="H144" s="790"/>
      <c r="I144" s="348">
        <v>393</v>
      </c>
      <c r="J144" s="793"/>
      <c r="K144" s="348">
        <v>374</v>
      </c>
      <c r="L144" s="790"/>
      <c r="M144" s="348">
        <v>363</v>
      </c>
      <c r="N144" s="790"/>
      <c r="O144" s="348">
        <v>349</v>
      </c>
      <c r="P144" s="790"/>
      <c r="Q144" s="347">
        <v>386</v>
      </c>
      <c r="R144" s="791"/>
      <c r="S144" s="347">
        <v>390</v>
      </c>
      <c r="T144" s="790"/>
      <c r="U144" s="348">
        <v>417</v>
      </c>
      <c r="V144" s="790"/>
      <c r="W144" s="347">
        <v>423</v>
      </c>
      <c r="X144" s="791"/>
      <c r="Y144" s="349">
        <v>340</v>
      </c>
      <c r="Z144" s="343"/>
      <c r="AA144" s="343"/>
      <c r="AB144" s="343"/>
      <c r="AC144" s="343"/>
      <c r="AD144" s="343"/>
      <c r="AE144" s="343"/>
      <c r="AF144" s="343"/>
    </row>
    <row r="145" spans="1:32" ht="14.5" x14ac:dyDescent="0.35">
      <c r="A145" s="190"/>
      <c r="B145" s="763"/>
      <c r="C145" s="342"/>
      <c r="D145" s="763"/>
      <c r="E145" s="342"/>
      <c r="F145" s="763"/>
      <c r="G145" s="342"/>
      <c r="H145" s="778"/>
      <c r="I145" s="350"/>
      <c r="J145" s="778"/>
      <c r="K145" s="350"/>
      <c r="L145" s="778"/>
      <c r="M145" s="350"/>
      <c r="N145" s="778"/>
      <c r="O145" s="350"/>
      <c r="P145" s="778"/>
      <c r="Q145" s="350"/>
      <c r="R145" s="763"/>
      <c r="S145" s="350"/>
      <c r="T145" s="778"/>
      <c r="U145" s="350"/>
      <c r="V145" s="778"/>
      <c r="W145" s="342"/>
      <c r="X145" s="763"/>
      <c r="Y145" s="351"/>
      <c r="Z145" s="343"/>
      <c r="AA145" s="343"/>
      <c r="AB145" s="343"/>
      <c r="AC145" s="343"/>
      <c r="AD145" s="343"/>
      <c r="AE145" s="343"/>
      <c r="AF145" s="343"/>
    </row>
    <row r="146" spans="1:32" ht="14.5" x14ac:dyDescent="0.35">
      <c r="A146" s="190"/>
      <c r="B146" s="352" t="s">
        <v>487</v>
      </c>
      <c r="C146" s="343"/>
      <c r="D146" s="352" t="s">
        <v>388</v>
      </c>
      <c r="E146" s="343"/>
      <c r="F146" s="352" t="s">
        <v>389</v>
      </c>
      <c r="G146" s="343"/>
      <c r="H146" s="352" t="s">
        <v>390</v>
      </c>
      <c r="I146" s="353"/>
      <c r="J146" s="352" t="s">
        <v>391</v>
      </c>
      <c r="K146" s="353"/>
      <c r="L146" s="352" t="s">
        <v>488</v>
      </c>
      <c r="M146" s="353"/>
      <c r="N146" s="352" t="s">
        <v>392</v>
      </c>
      <c r="O146" s="353"/>
      <c r="P146" s="352" t="s">
        <v>393</v>
      </c>
      <c r="Q146" s="353"/>
      <c r="R146" s="352" t="s">
        <v>394</v>
      </c>
      <c r="S146" s="353"/>
      <c r="T146" s="352" t="s">
        <v>395</v>
      </c>
      <c r="U146" s="353"/>
      <c r="V146" s="352" t="s">
        <v>396</v>
      </c>
      <c r="W146" s="353"/>
      <c r="X146" s="352" t="s">
        <v>489</v>
      </c>
      <c r="Y146" s="354"/>
      <c r="Z146" s="343"/>
      <c r="AA146" s="343"/>
      <c r="AB146" s="343"/>
      <c r="AC146" s="343"/>
      <c r="AD146" s="343"/>
      <c r="AE146" s="343"/>
      <c r="AF146" s="343"/>
    </row>
    <row r="147" spans="1:32" ht="14.5" x14ac:dyDescent="0.35">
      <c r="A147" s="190"/>
      <c r="B147" s="355" t="s">
        <v>246</v>
      </c>
      <c r="C147" s="343"/>
      <c r="D147" s="355" t="s">
        <v>222</v>
      </c>
      <c r="E147" s="343"/>
      <c r="F147" s="355" t="s">
        <v>221</v>
      </c>
      <c r="G147" s="353"/>
      <c r="H147" s="355" t="s">
        <v>221</v>
      </c>
      <c r="I147" s="353"/>
      <c r="J147" s="355" t="s">
        <v>222</v>
      </c>
      <c r="K147" s="353"/>
      <c r="L147" s="355" t="s">
        <v>223</v>
      </c>
      <c r="M147" s="353"/>
      <c r="N147" s="355" t="s">
        <v>221</v>
      </c>
      <c r="O147" s="353"/>
      <c r="P147" s="355" t="s">
        <v>221</v>
      </c>
      <c r="Q147" s="353"/>
      <c r="R147" s="355" t="s">
        <v>221</v>
      </c>
      <c r="S147" s="353"/>
      <c r="T147" s="355" t="s">
        <v>221</v>
      </c>
      <c r="U147" s="353"/>
      <c r="V147" s="355" t="s">
        <v>220</v>
      </c>
      <c r="W147" s="353"/>
      <c r="X147" s="355" t="s">
        <v>223</v>
      </c>
      <c r="Y147" s="354"/>
      <c r="Z147" s="343"/>
      <c r="AA147" s="343"/>
      <c r="AB147" s="343"/>
      <c r="AC147" s="343"/>
      <c r="AD147" s="343"/>
      <c r="AE147" s="343"/>
      <c r="AF147" s="343"/>
    </row>
    <row r="148" spans="1:32" ht="15.5" x14ac:dyDescent="0.35">
      <c r="Y148" s="318"/>
    </row>
    <row r="149" spans="1:32" ht="14.5" x14ac:dyDescent="0.35">
      <c r="A149" s="190"/>
      <c r="B149" s="342"/>
      <c r="C149" s="342"/>
      <c r="D149" s="342"/>
      <c r="E149" s="342"/>
      <c r="F149" s="343"/>
      <c r="G149" s="342"/>
      <c r="H149" s="342"/>
      <c r="I149" s="342"/>
      <c r="J149" s="342"/>
      <c r="K149" s="343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4"/>
      <c r="Z149" s="343"/>
      <c r="AA149" s="343"/>
      <c r="AB149" s="343"/>
      <c r="AC149" s="343"/>
      <c r="AD149" s="343"/>
      <c r="AE149" s="343"/>
      <c r="AF149" s="343"/>
    </row>
    <row r="150" spans="1:32" ht="15.5" x14ac:dyDescent="0.35">
      <c r="A150" s="190"/>
      <c r="B150" s="791"/>
      <c r="C150" s="345">
        <v>365</v>
      </c>
      <c r="D150" s="792"/>
      <c r="E150" s="346">
        <v>403</v>
      </c>
      <c r="F150" s="791"/>
      <c r="G150" s="347">
        <v>382</v>
      </c>
      <c r="H150" s="790"/>
      <c r="I150" s="348">
        <v>395</v>
      </c>
      <c r="J150" s="793"/>
      <c r="K150" s="348">
        <v>385</v>
      </c>
      <c r="L150" s="790"/>
      <c r="M150" s="348">
        <v>381</v>
      </c>
      <c r="N150" s="790"/>
      <c r="O150" s="348">
        <v>395</v>
      </c>
      <c r="P150" s="790"/>
      <c r="Q150" s="347">
        <v>403</v>
      </c>
      <c r="R150" s="791"/>
      <c r="S150" s="347">
        <v>383</v>
      </c>
      <c r="T150" s="790"/>
      <c r="U150" s="348">
        <v>386</v>
      </c>
      <c r="V150" s="790"/>
      <c r="W150" s="347">
        <v>397</v>
      </c>
      <c r="X150" s="791"/>
      <c r="Y150" s="349">
        <v>371</v>
      </c>
      <c r="Z150" s="343"/>
      <c r="AA150" s="343"/>
      <c r="AB150" s="343"/>
      <c r="AC150" s="343"/>
      <c r="AD150" s="343"/>
      <c r="AE150" s="343"/>
      <c r="AF150" s="343"/>
    </row>
    <row r="151" spans="1:32" ht="14.5" x14ac:dyDescent="0.35">
      <c r="A151" s="190"/>
      <c r="B151" s="763"/>
      <c r="C151" s="342"/>
      <c r="D151" s="763"/>
      <c r="E151" s="342"/>
      <c r="F151" s="763"/>
      <c r="G151" s="342"/>
      <c r="H151" s="778"/>
      <c r="I151" s="350"/>
      <c r="J151" s="778"/>
      <c r="K151" s="350"/>
      <c r="L151" s="778"/>
      <c r="M151" s="350"/>
      <c r="N151" s="778"/>
      <c r="O151" s="350"/>
      <c r="P151" s="778"/>
      <c r="Q151" s="350"/>
      <c r="R151" s="763"/>
      <c r="S151" s="350"/>
      <c r="T151" s="778"/>
      <c r="U151" s="350"/>
      <c r="V151" s="778"/>
      <c r="W151" s="342"/>
      <c r="X151" s="763"/>
      <c r="Y151" s="351"/>
      <c r="Z151" s="343"/>
      <c r="AA151" s="343"/>
      <c r="AB151" s="343"/>
      <c r="AC151" s="343"/>
      <c r="AD151" s="343"/>
      <c r="AE151" s="343"/>
      <c r="AF151" s="343"/>
    </row>
    <row r="152" spans="1:32" ht="14.5" x14ac:dyDescent="0.35">
      <c r="A152" s="190"/>
      <c r="B152" s="352" t="s">
        <v>397</v>
      </c>
      <c r="C152" s="343"/>
      <c r="D152" s="352" t="s">
        <v>398</v>
      </c>
      <c r="E152" s="343"/>
      <c r="F152" s="352" t="s">
        <v>399</v>
      </c>
      <c r="G152" s="343"/>
      <c r="H152" s="352" t="s">
        <v>400</v>
      </c>
      <c r="I152" s="353"/>
      <c r="J152" s="352" t="s">
        <v>401</v>
      </c>
      <c r="K152" s="353"/>
      <c r="L152" s="352" t="s">
        <v>402</v>
      </c>
      <c r="M152" s="353"/>
      <c r="N152" s="352" t="s">
        <v>403</v>
      </c>
      <c r="O152" s="353"/>
      <c r="P152" s="352" t="s">
        <v>404</v>
      </c>
      <c r="Q152" s="353"/>
      <c r="R152" s="352" t="s">
        <v>405</v>
      </c>
      <c r="S152" s="353"/>
      <c r="T152" s="352" t="s">
        <v>406</v>
      </c>
      <c r="U152" s="353"/>
      <c r="V152" s="352" t="s">
        <v>407</v>
      </c>
      <c r="W152" s="353"/>
      <c r="X152" s="352" t="s">
        <v>408</v>
      </c>
      <c r="Y152" s="354"/>
      <c r="Z152" s="343"/>
      <c r="AA152" s="343"/>
      <c r="AB152" s="343"/>
      <c r="AC152" s="343"/>
      <c r="AD152" s="343"/>
      <c r="AE152" s="343"/>
      <c r="AF152" s="343"/>
    </row>
    <row r="153" spans="1:32" ht="14.5" x14ac:dyDescent="0.35">
      <c r="A153" s="190"/>
      <c r="B153" s="355" t="s">
        <v>221</v>
      </c>
      <c r="C153" s="343"/>
      <c r="D153" s="355" t="s">
        <v>221</v>
      </c>
      <c r="E153" s="343"/>
      <c r="F153" s="355" t="s">
        <v>222</v>
      </c>
      <c r="G153" s="353"/>
      <c r="H153" s="355" t="s">
        <v>222</v>
      </c>
      <c r="I153" s="353"/>
      <c r="J153" s="355" t="s">
        <v>221</v>
      </c>
      <c r="K153" s="353"/>
      <c r="L153" s="355" t="s">
        <v>221</v>
      </c>
      <c r="M153" s="353"/>
      <c r="N153" s="355" t="s">
        <v>221</v>
      </c>
      <c r="O153" s="353"/>
      <c r="P153" s="355" t="s">
        <v>221</v>
      </c>
      <c r="Q153" s="353"/>
      <c r="R153" s="355" t="s">
        <v>221</v>
      </c>
      <c r="S153" s="353"/>
      <c r="T153" s="355" t="s">
        <v>221</v>
      </c>
      <c r="U153" s="353"/>
      <c r="V153" s="355" t="s">
        <v>221</v>
      </c>
      <c r="W153" s="353"/>
      <c r="X153" s="355" t="s">
        <v>221</v>
      </c>
      <c r="Y153" s="354"/>
      <c r="Z153" s="343"/>
      <c r="AA153" s="343"/>
      <c r="AB153" s="343"/>
      <c r="AC153" s="343"/>
      <c r="AD153" s="343"/>
      <c r="AE153" s="343"/>
      <c r="AF153" s="343"/>
    </row>
    <row r="154" spans="1:32" ht="15.5" x14ac:dyDescent="0.35">
      <c r="Y154" s="318"/>
    </row>
    <row r="155" spans="1:32" ht="14.5" x14ac:dyDescent="0.35">
      <c r="A155" s="190"/>
      <c r="B155" s="342"/>
      <c r="C155" s="342"/>
      <c r="D155" s="342"/>
      <c r="E155" s="342"/>
      <c r="F155" s="343"/>
      <c r="G155" s="342"/>
      <c r="H155" s="342"/>
      <c r="I155" s="342"/>
      <c r="J155" s="342"/>
      <c r="K155" s="343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4"/>
      <c r="Z155" s="343"/>
      <c r="AA155" s="343"/>
      <c r="AB155" s="343"/>
      <c r="AC155" s="343"/>
      <c r="AD155" s="343"/>
      <c r="AE155" s="343"/>
      <c r="AF155" s="343"/>
    </row>
    <row r="156" spans="1:32" ht="15.5" x14ac:dyDescent="0.35">
      <c r="A156" s="190"/>
      <c r="B156" s="791"/>
      <c r="C156" s="345">
        <v>422</v>
      </c>
      <c r="D156" s="792"/>
      <c r="E156" s="346">
        <v>417</v>
      </c>
      <c r="F156" s="791"/>
      <c r="G156" s="347">
        <v>400</v>
      </c>
      <c r="H156" s="790"/>
      <c r="I156" s="348">
        <v>421</v>
      </c>
      <c r="J156" s="793"/>
      <c r="K156" s="348">
        <v>419</v>
      </c>
      <c r="L156" s="790"/>
      <c r="M156" s="348">
        <v>402</v>
      </c>
      <c r="N156" s="790"/>
      <c r="O156" s="348">
        <v>402</v>
      </c>
      <c r="P156" s="790"/>
      <c r="Q156" s="347">
        <v>411</v>
      </c>
      <c r="R156" s="791"/>
      <c r="S156" s="347">
        <v>355</v>
      </c>
      <c r="T156" s="790"/>
      <c r="U156" s="348">
        <v>390</v>
      </c>
      <c r="V156" s="790"/>
      <c r="W156" s="347">
        <v>380</v>
      </c>
      <c r="X156" s="791"/>
      <c r="Y156" s="349">
        <v>390</v>
      </c>
      <c r="Z156" s="343"/>
      <c r="AA156" s="343"/>
      <c r="AB156" s="343"/>
      <c r="AC156" s="343"/>
      <c r="AD156" s="343"/>
      <c r="AE156" s="343"/>
      <c r="AF156" s="343"/>
    </row>
    <row r="157" spans="1:32" ht="14.5" x14ac:dyDescent="0.35">
      <c r="A157" s="190"/>
      <c r="B157" s="763"/>
      <c r="C157" s="342"/>
      <c r="D157" s="763"/>
      <c r="E157" s="342"/>
      <c r="F157" s="763"/>
      <c r="G157" s="342"/>
      <c r="H157" s="778"/>
      <c r="I157" s="350"/>
      <c r="J157" s="778"/>
      <c r="K157" s="350"/>
      <c r="L157" s="778"/>
      <c r="M157" s="350"/>
      <c r="N157" s="778"/>
      <c r="O157" s="350"/>
      <c r="P157" s="778"/>
      <c r="Q157" s="350"/>
      <c r="R157" s="763"/>
      <c r="S157" s="350"/>
      <c r="T157" s="778"/>
      <c r="U157" s="350"/>
      <c r="V157" s="778"/>
      <c r="W157" s="342"/>
      <c r="X157" s="763"/>
      <c r="Y157" s="351"/>
      <c r="Z157" s="343"/>
      <c r="AA157" s="343"/>
      <c r="AB157" s="343"/>
      <c r="AC157" s="343"/>
      <c r="AD157" s="343"/>
      <c r="AE157" s="343"/>
      <c r="AF157" s="343"/>
    </row>
    <row r="158" spans="1:32" ht="14.5" x14ac:dyDescent="0.35">
      <c r="A158" s="190"/>
      <c r="B158" s="352" t="s">
        <v>490</v>
      </c>
      <c r="C158" s="343"/>
      <c r="D158" s="352" t="s">
        <v>409</v>
      </c>
      <c r="E158" s="343"/>
      <c r="F158" s="352" t="s">
        <v>410</v>
      </c>
      <c r="G158" s="343"/>
      <c r="H158" s="352" t="s">
        <v>411</v>
      </c>
      <c r="I158" s="353"/>
      <c r="J158" s="352" t="s">
        <v>412</v>
      </c>
      <c r="K158" s="353"/>
      <c r="L158" s="352" t="s">
        <v>413</v>
      </c>
      <c r="M158" s="353"/>
      <c r="N158" s="352" t="s">
        <v>414</v>
      </c>
      <c r="O158" s="353"/>
      <c r="P158" s="352" t="s">
        <v>415</v>
      </c>
      <c r="Q158" s="353"/>
      <c r="R158" s="352" t="s">
        <v>416</v>
      </c>
      <c r="S158" s="353"/>
      <c r="T158" s="352" t="s">
        <v>491</v>
      </c>
      <c r="U158" s="353"/>
      <c r="V158" s="352" t="s">
        <v>417</v>
      </c>
      <c r="W158" s="353"/>
      <c r="X158" s="352" t="s">
        <v>418</v>
      </c>
      <c r="Y158" s="354"/>
      <c r="Z158" s="343"/>
      <c r="AA158" s="343"/>
      <c r="AB158" s="343"/>
      <c r="AC158" s="343"/>
      <c r="AD158" s="343"/>
      <c r="AE158" s="343"/>
      <c r="AF158" s="343"/>
    </row>
    <row r="159" spans="1:32" ht="14.5" x14ac:dyDescent="0.35">
      <c r="A159" s="190"/>
      <c r="B159" s="355" t="s">
        <v>246</v>
      </c>
      <c r="C159" s="343"/>
      <c r="D159" s="355" t="s">
        <v>222</v>
      </c>
      <c r="E159" s="343"/>
      <c r="F159" s="355" t="s">
        <v>222</v>
      </c>
      <c r="G159" s="353"/>
      <c r="H159" s="355" t="s">
        <v>221</v>
      </c>
      <c r="I159" s="353"/>
      <c r="J159" s="355" t="s">
        <v>222</v>
      </c>
      <c r="K159" s="353"/>
      <c r="L159" s="355" t="s">
        <v>221</v>
      </c>
      <c r="M159" s="353"/>
      <c r="N159" s="355" t="s">
        <v>221</v>
      </c>
      <c r="O159" s="353"/>
      <c r="P159" s="355" t="s">
        <v>222</v>
      </c>
      <c r="Q159" s="353"/>
      <c r="R159" s="355" t="s">
        <v>221</v>
      </c>
      <c r="S159" s="353"/>
      <c r="T159" s="355" t="s">
        <v>219</v>
      </c>
      <c r="U159" s="353"/>
      <c r="V159" s="355" t="s">
        <v>221</v>
      </c>
      <c r="W159" s="353"/>
      <c r="X159" s="355" t="s">
        <v>221</v>
      </c>
      <c r="Y159" s="354"/>
      <c r="Z159" s="343"/>
      <c r="AA159" s="343"/>
      <c r="AB159" s="343"/>
      <c r="AC159" s="343"/>
      <c r="AD159" s="343"/>
      <c r="AE159" s="343"/>
      <c r="AF159" s="343"/>
    </row>
    <row r="160" spans="1:32" ht="15.5" x14ac:dyDescent="0.35">
      <c r="Y160" s="318"/>
    </row>
    <row r="161" spans="1:32" ht="14.5" x14ac:dyDescent="0.35">
      <c r="A161" s="190"/>
      <c r="B161" s="342"/>
      <c r="C161" s="342"/>
      <c r="D161" s="342"/>
      <c r="E161" s="342"/>
      <c r="F161" s="343"/>
      <c r="G161" s="342"/>
      <c r="H161" s="342"/>
      <c r="I161" s="342"/>
      <c r="J161" s="342"/>
      <c r="K161" s="343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4"/>
      <c r="Z161" s="343"/>
      <c r="AA161" s="343"/>
      <c r="AB161" s="343"/>
      <c r="AC161" s="343"/>
      <c r="AD161" s="343"/>
      <c r="AE161" s="343"/>
      <c r="AF161" s="343"/>
    </row>
    <row r="162" spans="1:32" ht="15.5" x14ac:dyDescent="0.35">
      <c r="A162" s="190"/>
      <c r="B162" s="791"/>
      <c r="C162" s="345">
        <v>422</v>
      </c>
      <c r="D162" s="792"/>
      <c r="E162" s="346">
        <v>417</v>
      </c>
      <c r="F162" s="791"/>
      <c r="G162" s="347">
        <v>400</v>
      </c>
      <c r="H162" s="790"/>
      <c r="I162" s="348">
        <v>421</v>
      </c>
      <c r="J162" s="793"/>
      <c r="K162" s="348">
        <v>419</v>
      </c>
      <c r="L162" s="790"/>
      <c r="M162" s="348">
        <v>402</v>
      </c>
      <c r="N162" s="790"/>
      <c r="O162" s="348">
        <v>402</v>
      </c>
      <c r="P162" s="790"/>
      <c r="Q162" s="347">
        <v>411</v>
      </c>
      <c r="R162" s="791"/>
      <c r="S162" s="347">
        <v>355</v>
      </c>
      <c r="T162" s="790"/>
      <c r="U162" s="348">
        <v>390</v>
      </c>
      <c r="V162" s="790"/>
      <c r="W162" s="347">
        <v>380</v>
      </c>
      <c r="X162" s="791"/>
      <c r="Y162" s="349">
        <v>390</v>
      </c>
      <c r="Z162" s="343"/>
      <c r="AA162" s="343"/>
      <c r="AB162" s="343"/>
      <c r="AC162" s="343"/>
      <c r="AD162" s="343"/>
      <c r="AE162" s="343"/>
      <c r="AF162" s="343"/>
    </row>
    <row r="163" spans="1:32" ht="14.5" x14ac:dyDescent="0.35">
      <c r="A163" s="190"/>
      <c r="B163" s="763"/>
      <c r="C163" s="342"/>
      <c r="D163" s="763"/>
      <c r="E163" s="342"/>
      <c r="F163" s="763"/>
      <c r="G163" s="342"/>
      <c r="H163" s="778"/>
      <c r="I163" s="350"/>
      <c r="J163" s="778"/>
      <c r="K163" s="350"/>
      <c r="L163" s="778"/>
      <c r="M163" s="350"/>
      <c r="N163" s="778"/>
      <c r="O163" s="350"/>
      <c r="P163" s="778"/>
      <c r="Q163" s="350"/>
      <c r="R163" s="763"/>
      <c r="S163" s="350"/>
      <c r="T163" s="778"/>
      <c r="U163" s="350"/>
      <c r="V163" s="778"/>
      <c r="W163" s="342"/>
      <c r="X163" s="763"/>
      <c r="Y163" s="351"/>
      <c r="Z163" s="343"/>
      <c r="AA163" s="343"/>
      <c r="AB163" s="343"/>
      <c r="AC163" s="343"/>
      <c r="AD163" s="343"/>
      <c r="AE163" s="343"/>
      <c r="AF163" s="343"/>
    </row>
    <row r="164" spans="1:32" ht="14.5" x14ac:dyDescent="0.35">
      <c r="A164" s="190"/>
      <c r="B164" s="352" t="s">
        <v>490</v>
      </c>
      <c r="C164" s="343"/>
      <c r="D164" s="352" t="s">
        <v>409</v>
      </c>
      <c r="E164" s="343"/>
      <c r="F164" s="352" t="s">
        <v>410</v>
      </c>
      <c r="G164" s="343"/>
      <c r="H164" s="352" t="s">
        <v>411</v>
      </c>
      <c r="I164" s="353"/>
      <c r="J164" s="352" t="s">
        <v>412</v>
      </c>
      <c r="K164" s="353"/>
      <c r="L164" s="352" t="s">
        <v>413</v>
      </c>
      <c r="M164" s="353"/>
      <c r="N164" s="352" t="s">
        <v>414</v>
      </c>
      <c r="O164" s="353"/>
      <c r="P164" s="352" t="s">
        <v>415</v>
      </c>
      <c r="Q164" s="353"/>
      <c r="R164" s="352" t="s">
        <v>416</v>
      </c>
      <c r="S164" s="353"/>
      <c r="T164" s="352" t="s">
        <v>491</v>
      </c>
      <c r="U164" s="353"/>
      <c r="V164" s="352" t="s">
        <v>417</v>
      </c>
      <c r="W164" s="353"/>
      <c r="X164" s="352" t="s">
        <v>418</v>
      </c>
      <c r="Y164" s="354"/>
      <c r="Z164" s="343"/>
      <c r="AA164" s="343"/>
      <c r="AB164" s="343"/>
      <c r="AC164" s="343"/>
      <c r="AD164" s="343"/>
      <c r="AE164" s="343"/>
      <c r="AF164" s="343"/>
    </row>
    <row r="165" spans="1:32" ht="14.5" x14ac:dyDescent="0.35">
      <c r="A165" s="190"/>
      <c r="B165" s="355" t="s">
        <v>246</v>
      </c>
      <c r="C165" s="343"/>
      <c r="D165" s="355" t="s">
        <v>222</v>
      </c>
      <c r="E165" s="343"/>
      <c r="F165" s="355" t="s">
        <v>222</v>
      </c>
      <c r="G165" s="353"/>
      <c r="H165" s="355" t="s">
        <v>221</v>
      </c>
      <c r="I165" s="353"/>
      <c r="J165" s="355" t="s">
        <v>222</v>
      </c>
      <c r="K165" s="353"/>
      <c r="L165" s="355" t="s">
        <v>221</v>
      </c>
      <c r="M165" s="353"/>
      <c r="N165" s="355" t="s">
        <v>221</v>
      </c>
      <c r="O165" s="353"/>
      <c r="P165" s="355" t="s">
        <v>222</v>
      </c>
      <c r="Q165" s="353"/>
      <c r="R165" s="355" t="s">
        <v>221</v>
      </c>
      <c r="S165" s="353"/>
      <c r="T165" s="355" t="s">
        <v>219</v>
      </c>
      <c r="U165" s="353"/>
      <c r="V165" s="355" t="s">
        <v>221</v>
      </c>
      <c r="W165" s="353"/>
      <c r="X165" s="355" t="s">
        <v>221</v>
      </c>
      <c r="Y165" s="354"/>
      <c r="Z165" s="343"/>
      <c r="AA165" s="343"/>
      <c r="AB165" s="343"/>
      <c r="AC165" s="343"/>
      <c r="AD165" s="343"/>
      <c r="AE165" s="343"/>
      <c r="AF165" s="343"/>
    </row>
    <row r="166" spans="1:32" ht="15.5" x14ac:dyDescent="0.35">
      <c r="Y166" s="318"/>
    </row>
    <row r="167" spans="1:32" ht="15.5" x14ac:dyDescent="0.35">
      <c r="Y167" s="318"/>
    </row>
    <row r="168" spans="1:32" ht="15.5" x14ac:dyDescent="0.35">
      <c r="Y168" s="318"/>
    </row>
    <row r="169" spans="1:32" ht="15.5" x14ac:dyDescent="0.35">
      <c r="Y169" s="318"/>
    </row>
    <row r="170" spans="1:32" ht="15.5" x14ac:dyDescent="0.35">
      <c r="Y170" s="318"/>
    </row>
    <row r="171" spans="1:32" ht="15.5" x14ac:dyDescent="0.35">
      <c r="Y171" s="318"/>
    </row>
    <row r="172" spans="1:32" ht="15.5" x14ac:dyDescent="0.35">
      <c r="Y172" s="318"/>
    </row>
    <row r="173" spans="1:32" ht="15.5" x14ac:dyDescent="0.35">
      <c r="Y173" s="318"/>
    </row>
    <row r="174" spans="1:32" ht="15.5" x14ac:dyDescent="0.35">
      <c r="Y174" s="318"/>
    </row>
    <row r="175" spans="1:32" ht="15.5" x14ac:dyDescent="0.35">
      <c r="Y175" s="318"/>
    </row>
    <row r="176" spans="1:32" ht="15.5" x14ac:dyDescent="0.35">
      <c r="Y176" s="318"/>
    </row>
    <row r="177" spans="25:25" ht="15.5" x14ac:dyDescent="0.35">
      <c r="Y177" s="318"/>
    </row>
    <row r="178" spans="25:25" ht="15.5" x14ac:dyDescent="0.35">
      <c r="Y178" s="318"/>
    </row>
    <row r="179" spans="25:25" ht="15.5" x14ac:dyDescent="0.35">
      <c r="Y179" s="318"/>
    </row>
    <row r="180" spans="25:25" ht="15.5" x14ac:dyDescent="0.35">
      <c r="Y180" s="318"/>
    </row>
    <row r="181" spans="25:25" ht="15.5" x14ac:dyDescent="0.35">
      <c r="Y181" s="318"/>
    </row>
    <row r="182" spans="25:25" ht="15.5" x14ac:dyDescent="0.35">
      <c r="Y182" s="318"/>
    </row>
    <row r="183" spans="25:25" ht="15.5" x14ac:dyDescent="0.35">
      <c r="Y183" s="318"/>
    </row>
    <row r="184" spans="25:25" ht="15.5" x14ac:dyDescent="0.35">
      <c r="Y184" s="318"/>
    </row>
    <row r="185" spans="25:25" ht="15.5" x14ac:dyDescent="0.35">
      <c r="Y185" s="318"/>
    </row>
    <row r="186" spans="25:25" ht="15.5" x14ac:dyDescent="0.35">
      <c r="Y186" s="318"/>
    </row>
    <row r="187" spans="25:25" ht="15.5" x14ac:dyDescent="0.35">
      <c r="Y187" s="318"/>
    </row>
    <row r="188" spans="25:25" ht="15.5" x14ac:dyDescent="0.35">
      <c r="Y188" s="318"/>
    </row>
    <row r="189" spans="25:25" ht="15.5" x14ac:dyDescent="0.35">
      <c r="Y189" s="318"/>
    </row>
    <row r="190" spans="25:25" ht="15.5" x14ac:dyDescent="0.35">
      <c r="Y190" s="318"/>
    </row>
    <row r="191" spans="25:25" ht="15.5" x14ac:dyDescent="0.35">
      <c r="Y191" s="318"/>
    </row>
    <row r="192" spans="25:25" ht="15.5" x14ac:dyDescent="0.35">
      <c r="Y192" s="318"/>
    </row>
    <row r="193" spans="25:25" ht="15.5" x14ac:dyDescent="0.35">
      <c r="Y193" s="318"/>
    </row>
    <row r="194" spans="25:25" ht="15.5" x14ac:dyDescent="0.35">
      <c r="Y194" s="318"/>
    </row>
    <row r="195" spans="25:25" ht="15.5" x14ac:dyDescent="0.35">
      <c r="Y195" s="318"/>
    </row>
    <row r="196" spans="25:25" ht="15.5" x14ac:dyDescent="0.35">
      <c r="Y196" s="318"/>
    </row>
    <row r="197" spans="25:25" ht="15.5" x14ac:dyDescent="0.35">
      <c r="Y197" s="318"/>
    </row>
    <row r="198" spans="25:25" ht="15.5" x14ac:dyDescent="0.35">
      <c r="Y198" s="318"/>
    </row>
    <row r="199" spans="25:25" ht="15.5" x14ac:dyDescent="0.35">
      <c r="Y199" s="318"/>
    </row>
    <row r="200" spans="25:25" ht="15.5" x14ac:dyDescent="0.35">
      <c r="Y200" s="318"/>
    </row>
    <row r="201" spans="25:25" ht="15.5" x14ac:dyDescent="0.35">
      <c r="Y201" s="318"/>
    </row>
    <row r="202" spans="25:25" ht="15.5" x14ac:dyDescent="0.35">
      <c r="Y202" s="318"/>
    </row>
    <row r="203" spans="25:25" ht="15.5" x14ac:dyDescent="0.35">
      <c r="Y203" s="318"/>
    </row>
    <row r="204" spans="25:25" ht="15.5" x14ac:dyDescent="0.35">
      <c r="Y204" s="318"/>
    </row>
    <row r="205" spans="25:25" ht="15.5" x14ac:dyDescent="0.35">
      <c r="Y205" s="318"/>
    </row>
    <row r="206" spans="25:25" ht="15.5" x14ac:dyDescent="0.35">
      <c r="Y206" s="318"/>
    </row>
    <row r="207" spans="25:25" ht="15.5" x14ac:dyDescent="0.35">
      <c r="Y207" s="318"/>
    </row>
    <row r="208" spans="25:25" ht="15.5" x14ac:dyDescent="0.35">
      <c r="Y208" s="318"/>
    </row>
    <row r="209" spans="25:25" ht="15.5" x14ac:dyDescent="0.35">
      <c r="Y209" s="318"/>
    </row>
    <row r="210" spans="25:25" ht="15.5" x14ac:dyDescent="0.35">
      <c r="Y210" s="318"/>
    </row>
    <row r="211" spans="25:25" ht="15.5" x14ac:dyDescent="0.35">
      <c r="Y211" s="318"/>
    </row>
    <row r="212" spans="25:25" ht="15.5" x14ac:dyDescent="0.35">
      <c r="Y212" s="318"/>
    </row>
    <row r="213" spans="25:25" ht="15.5" x14ac:dyDescent="0.35">
      <c r="Y213" s="318"/>
    </row>
    <row r="214" spans="25:25" ht="15.5" x14ac:dyDescent="0.35">
      <c r="Y214" s="318"/>
    </row>
    <row r="215" spans="25:25" ht="15.5" x14ac:dyDescent="0.35">
      <c r="Y215" s="318"/>
    </row>
    <row r="216" spans="25:25" ht="15.5" x14ac:dyDescent="0.35">
      <c r="Y216" s="318"/>
    </row>
    <row r="217" spans="25:25" ht="15.5" x14ac:dyDescent="0.35">
      <c r="Y217" s="318"/>
    </row>
    <row r="218" spans="25:25" ht="15.5" x14ac:dyDescent="0.35">
      <c r="Y218" s="318"/>
    </row>
    <row r="219" spans="25:25" ht="15.5" x14ac:dyDescent="0.35">
      <c r="Y219" s="318"/>
    </row>
    <row r="220" spans="25:25" ht="15.5" x14ac:dyDescent="0.35">
      <c r="Y220" s="318"/>
    </row>
    <row r="221" spans="25:25" ht="15.5" x14ac:dyDescent="0.35">
      <c r="Y221" s="318"/>
    </row>
    <row r="222" spans="25:25" ht="15.5" x14ac:dyDescent="0.35">
      <c r="Y222" s="318"/>
    </row>
    <row r="223" spans="25:25" ht="15.5" x14ac:dyDescent="0.35">
      <c r="Y223" s="318"/>
    </row>
    <row r="224" spans="25:25" ht="15.5" x14ac:dyDescent="0.35">
      <c r="Y224" s="318"/>
    </row>
    <row r="225" spans="25:25" ht="15.5" x14ac:dyDescent="0.35">
      <c r="Y225" s="318"/>
    </row>
    <row r="226" spans="25:25" ht="15.5" x14ac:dyDescent="0.35">
      <c r="Y226" s="318"/>
    </row>
    <row r="227" spans="25:25" ht="15.5" x14ac:dyDescent="0.35">
      <c r="Y227" s="318"/>
    </row>
    <row r="228" spans="25:25" ht="15.5" x14ac:dyDescent="0.35">
      <c r="Y228" s="318"/>
    </row>
    <row r="229" spans="25:25" ht="15.5" x14ac:dyDescent="0.35">
      <c r="Y229" s="318"/>
    </row>
    <row r="230" spans="25:25" ht="15.5" x14ac:dyDescent="0.35">
      <c r="Y230" s="318"/>
    </row>
    <row r="231" spans="25:25" ht="15.5" x14ac:dyDescent="0.35">
      <c r="Y231" s="318"/>
    </row>
    <row r="232" spans="25:25" ht="15.5" x14ac:dyDescent="0.35">
      <c r="Y232" s="318"/>
    </row>
    <row r="233" spans="25:25" ht="15.5" x14ac:dyDescent="0.35">
      <c r="Y233" s="318"/>
    </row>
    <row r="234" spans="25:25" ht="15.5" x14ac:dyDescent="0.35">
      <c r="Y234" s="318"/>
    </row>
    <row r="235" spans="25:25" ht="15.5" x14ac:dyDescent="0.35">
      <c r="Y235" s="318"/>
    </row>
    <row r="236" spans="25:25" ht="15.5" x14ac:dyDescent="0.35">
      <c r="Y236" s="318"/>
    </row>
    <row r="237" spans="25:25" ht="15.5" x14ac:dyDescent="0.35">
      <c r="Y237" s="318"/>
    </row>
    <row r="238" spans="25:25" ht="15.5" x14ac:dyDescent="0.35">
      <c r="Y238" s="318"/>
    </row>
    <row r="239" spans="25:25" ht="15.5" x14ac:dyDescent="0.35">
      <c r="Y239" s="318"/>
    </row>
    <row r="240" spans="25:25" ht="15.5" x14ac:dyDescent="0.35">
      <c r="Y240" s="318"/>
    </row>
    <row r="241" spans="25:25" ht="15.5" x14ac:dyDescent="0.35">
      <c r="Y241" s="318"/>
    </row>
    <row r="242" spans="25:25" ht="15.5" x14ac:dyDescent="0.35">
      <c r="Y242" s="318"/>
    </row>
    <row r="243" spans="25:25" ht="15.5" x14ac:dyDescent="0.35">
      <c r="Y243" s="318"/>
    </row>
    <row r="244" spans="25:25" ht="15.5" x14ac:dyDescent="0.35">
      <c r="Y244" s="318"/>
    </row>
    <row r="245" spans="25:25" ht="15.5" x14ac:dyDescent="0.35">
      <c r="Y245" s="318"/>
    </row>
    <row r="246" spans="25:25" ht="15.5" x14ac:dyDescent="0.35">
      <c r="Y246" s="318"/>
    </row>
    <row r="247" spans="25:25" ht="15.5" x14ac:dyDescent="0.35">
      <c r="Y247" s="318"/>
    </row>
    <row r="248" spans="25:25" ht="15.5" x14ac:dyDescent="0.35">
      <c r="Y248" s="318"/>
    </row>
    <row r="249" spans="25:25" ht="15.5" x14ac:dyDescent="0.35">
      <c r="Y249" s="318"/>
    </row>
    <row r="250" spans="25:25" ht="15.5" x14ac:dyDescent="0.35">
      <c r="Y250" s="318"/>
    </row>
    <row r="251" spans="25:25" ht="15.5" x14ac:dyDescent="0.35">
      <c r="Y251" s="318"/>
    </row>
    <row r="252" spans="25:25" ht="15.5" x14ac:dyDescent="0.35">
      <c r="Y252" s="318"/>
    </row>
    <row r="253" spans="25:25" ht="15.5" x14ac:dyDescent="0.35">
      <c r="Y253" s="318"/>
    </row>
    <row r="254" spans="25:25" ht="15.5" x14ac:dyDescent="0.35">
      <c r="Y254" s="318"/>
    </row>
    <row r="255" spans="25:25" ht="15.5" x14ac:dyDescent="0.35">
      <c r="Y255" s="318"/>
    </row>
    <row r="256" spans="25:25" ht="15.5" x14ac:dyDescent="0.35">
      <c r="Y256" s="318"/>
    </row>
    <row r="257" spans="25:25" ht="15.5" x14ac:dyDescent="0.35">
      <c r="Y257" s="318"/>
    </row>
    <row r="258" spans="25:25" ht="15.5" x14ac:dyDescent="0.35">
      <c r="Y258" s="318"/>
    </row>
    <row r="259" spans="25:25" ht="15.5" x14ac:dyDescent="0.35">
      <c r="Y259" s="318"/>
    </row>
    <row r="260" spans="25:25" ht="15.5" x14ac:dyDescent="0.35">
      <c r="Y260" s="318"/>
    </row>
    <row r="261" spans="25:25" ht="15.5" x14ac:dyDescent="0.35">
      <c r="Y261" s="318"/>
    </row>
    <row r="262" spans="25:25" ht="15.5" x14ac:dyDescent="0.35">
      <c r="Y262" s="318"/>
    </row>
    <row r="263" spans="25:25" ht="15.5" x14ac:dyDescent="0.35">
      <c r="Y263" s="318"/>
    </row>
    <row r="264" spans="25:25" ht="15.5" x14ac:dyDescent="0.35">
      <c r="Y264" s="318"/>
    </row>
    <row r="265" spans="25:25" ht="15.5" x14ac:dyDescent="0.35">
      <c r="Y265" s="318"/>
    </row>
    <row r="266" spans="25:25" ht="15.5" x14ac:dyDescent="0.35">
      <c r="Y266" s="318"/>
    </row>
    <row r="267" spans="25:25" ht="15.5" x14ac:dyDescent="0.35">
      <c r="Y267" s="318"/>
    </row>
    <row r="268" spans="25:25" ht="15.5" x14ac:dyDescent="0.35">
      <c r="Y268" s="318"/>
    </row>
    <row r="269" spans="25:25" ht="15.5" x14ac:dyDescent="0.35">
      <c r="Y269" s="318"/>
    </row>
    <row r="270" spans="25:25" ht="15.5" x14ac:dyDescent="0.35">
      <c r="Y270" s="318"/>
    </row>
    <row r="271" spans="25:25" ht="15.5" x14ac:dyDescent="0.35">
      <c r="Y271" s="318"/>
    </row>
    <row r="272" spans="25:25" ht="15.5" x14ac:dyDescent="0.35">
      <c r="Y272" s="318"/>
    </row>
    <row r="273" spans="25:25" ht="15.5" x14ac:dyDescent="0.35">
      <c r="Y273" s="318"/>
    </row>
    <row r="274" spans="25:25" ht="15.5" x14ac:dyDescent="0.35">
      <c r="Y274" s="318"/>
    </row>
    <row r="275" spans="25:25" ht="15.5" x14ac:dyDescent="0.35">
      <c r="Y275" s="318"/>
    </row>
    <row r="276" spans="25:25" ht="15.5" x14ac:dyDescent="0.35">
      <c r="Y276" s="318"/>
    </row>
    <row r="277" spans="25:25" ht="15.5" x14ac:dyDescent="0.35">
      <c r="Y277" s="318"/>
    </row>
    <row r="278" spans="25:25" ht="15.5" x14ac:dyDescent="0.35">
      <c r="Y278" s="318"/>
    </row>
    <row r="279" spans="25:25" ht="15.5" x14ac:dyDescent="0.35">
      <c r="Y279" s="318"/>
    </row>
    <row r="280" spans="25:25" ht="15.5" x14ac:dyDescent="0.35">
      <c r="Y280" s="318"/>
    </row>
    <row r="281" spans="25:25" ht="15.5" x14ac:dyDescent="0.35">
      <c r="Y281" s="318"/>
    </row>
    <row r="282" spans="25:25" ht="15.5" x14ac:dyDescent="0.35">
      <c r="Y282" s="318"/>
    </row>
    <row r="283" spans="25:25" ht="15.5" x14ac:dyDescent="0.35">
      <c r="Y283" s="318"/>
    </row>
    <row r="284" spans="25:25" ht="15.5" x14ac:dyDescent="0.35">
      <c r="Y284" s="318"/>
    </row>
    <row r="285" spans="25:25" ht="15.5" x14ac:dyDescent="0.35">
      <c r="Y285" s="318"/>
    </row>
    <row r="286" spans="25:25" ht="15.5" x14ac:dyDescent="0.35">
      <c r="Y286" s="318"/>
    </row>
    <row r="287" spans="25:25" ht="15.5" x14ac:dyDescent="0.35">
      <c r="Y287" s="318"/>
    </row>
    <row r="288" spans="25:25" ht="15.5" x14ac:dyDescent="0.35">
      <c r="Y288" s="318"/>
    </row>
    <row r="289" spans="25:25" ht="15.5" x14ac:dyDescent="0.35">
      <c r="Y289" s="318"/>
    </row>
    <row r="290" spans="25:25" ht="15.5" x14ac:dyDescent="0.35">
      <c r="Y290" s="318"/>
    </row>
    <row r="291" spans="25:25" ht="15.5" x14ac:dyDescent="0.35">
      <c r="Y291" s="318"/>
    </row>
    <row r="292" spans="25:25" ht="15.5" x14ac:dyDescent="0.35">
      <c r="Y292" s="318"/>
    </row>
    <row r="293" spans="25:25" ht="15.5" x14ac:dyDescent="0.35">
      <c r="Y293" s="318"/>
    </row>
    <row r="294" spans="25:25" ht="15.5" x14ac:dyDescent="0.35">
      <c r="Y294" s="318"/>
    </row>
    <row r="295" spans="25:25" ht="15.5" x14ac:dyDescent="0.35">
      <c r="Y295" s="318"/>
    </row>
    <row r="296" spans="25:25" ht="15.5" x14ac:dyDescent="0.35">
      <c r="Y296" s="318"/>
    </row>
    <row r="297" spans="25:25" ht="15.5" x14ac:dyDescent="0.35">
      <c r="Y297" s="318"/>
    </row>
    <row r="298" spans="25:25" ht="15.5" x14ac:dyDescent="0.35">
      <c r="Y298" s="318"/>
    </row>
    <row r="299" spans="25:25" ht="15.5" x14ac:dyDescent="0.35">
      <c r="Y299" s="318"/>
    </row>
    <row r="300" spans="25:25" ht="15.5" x14ac:dyDescent="0.35">
      <c r="Y300" s="318"/>
    </row>
    <row r="301" spans="25:25" ht="15.5" x14ac:dyDescent="0.35">
      <c r="Y301" s="318"/>
    </row>
    <row r="302" spans="25:25" ht="15.5" x14ac:dyDescent="0.35">
      <c r="Y302" s="318"/>
    </row>
    <row r="303" spans="25:25" ht="15.5" x14ac:dyDescent="0.35">
      <c r="Y303" s="318"/>
    </row>
    <row r="304" spans="25:25" ht="15.5" x14ac:dyDescent="0.35">
      <c r="Y304" s="318"/>
    </row>
    <row r="305" spans="25:25" ht="15.5" x14ac:dyDescent="0.35">
      <c r="Y305" s="318"/>
    </row>
    <row r="306" spans="25:25" ht="15.5" x14ac:dyDescent="0.35">
      <c r="Y306" s="318"/>
    </row>
    <row r="307" spans="25:25" ht="15.5" x14ac:dyDescent="0.35">
      <c r="Y307" s="318"/>
    </row>
    <row r="308" spans="25:25" ht="15.5" x14ac:dyDescent="0.35">
      <c r="Y308" s="318"/>
    </row>
    <row r="309" spans="25:25" ht="15.5" x14ac:dyDescent="0.35">
      <c r="Y309" s="318"/>
    </row>
    <row r="310" spans="25:25" ht="15.5" x14ac:dyDescent="0.35">
      <c r="Y310" s="318"/>
    </row>
    <row r="311" spans="25:25" ht="15.5" x14ac:dyDescent="0.35">
      <c r="Y311" s="318"/>
    </row>
    <row r="312" spans="25:25" ht="15.5" x14ac:dyDescent="0.35">
      <c r="Y312" s="318"/>
    </row>
    <row r="313" spans="25:25" ht="15.5" x14ac:dyDescent="0.35">
      <c r="Y313" s="318"/>
    </row>
    <row r="314" spans="25:25" ht="15.5" x14ac:dyDescent="0.35">
      <c r="Y314" s="318"/>
    </row>
    <row r="315" spans="25:25" ht="15.5" x14ac:dyDescent="0.35">
      <c r="Y315" s="318"/>
    </row>
    <row r="316" spans="25:25" ht="15.5" x14ac:dyDescent="0.35">
      <c r="Y316" s="318"/>
    </row>
    <row r="317" spans="25:25" ht="15.5" x14ac:dyDescent="0.35">
      <c r="Y317" s="318"/>
    </row>
    <row r="318" spans="25:25" ht="15.5" x14ac:dyDescent="0.35">
      <c r="Y318" s="318"/>
    </row>
    <row r="319" spans="25:25" ht="15.5" x14ac:dyDescent="0.35">
      <c r="Y319" s="318"/>
    </row>
    <row r="320" spans="25:25" ht="15.5" x14ac:dyDescent="0.35">
      <c r="Y320" s="318"/>
    </row>
    <row r="321" spans="25:25" ht="15.5" x14ac:dyDescent="0.35">
      <c r="Y321" s="318"/>
    </row>
    <row r="322" spans="25:25" ht="15.5" x14ac:dyDescent="0.35">
      <c r="Y322" s="318"/>
    </row>
    <row r="323" spans="25:25" ht="15.5" x14ac:dyDescent="0.35">
      <c r="Y323" s="318"/>
    </row>
    <row r="324" spans="25:25" ht="15.5" x14ac:dyDescent="0.35">
      <c r="Y324" s="318"/>
    </row>
    <row r="325" spans="25:25" ht="15.5" x14ac:dyDescent="0.35">
      <c r="Y325" s="318"/>
    </row>
    <row r="326" spans="25:25" ht="15.5" x14ac:dyDescent="0.35">
      <c r="Y326" s="318"/>
    </row>
    <row r="327" spans="25:25" ht="15.5" x14ac:dyDescent="0.35">
      <c r="Y327" s="318"/>
    </row>
    <row r="328" spans="25:25" ht="15.5" x14ac:dyDescent="0.35">
      <c r="Y328" s="318"/>
    </row>
    <row r="329" spans="25:25" ht="15.5" x14ac:dyDescent="0.35">
      <c r="Y329" s="318"/>
    </row>
    <row r="330" spans="25:25" ht="15.5" x14ac:dyDescent="0.35">
      <c r="Y330" s="318"/>
    </row>
    <row r="331" spans="25:25" ht="15.5" x14ac:dyDescent="0.35">
      <c r="Y331" s="318"/>
    </row>
    <row r="332" spans="25:25" ht="15.5" x14ac:dyDescent="0.35">
      <c r="Y332" s="318"/>
    </row>
    <row r="333" spans="25:25" ht="15.5" x14ac:dyDescent="0.35">
      <c r="Y333" s="318"/>
    </row>
    <row r="334" spans="25:25" ht="15.5" x14ac:dyDescent="0.35">
      <c r="Y334" s="318"/>
    </row>
    <row r="335" spans="25:25" ht="15.5" x14ac:dyDescent="0.35">
      <c r="Y335" s="318"/>
    </row>
    <row r="336" spans="25:25" ht="15.5" x14ac:dyDescent="0.35">
      <c r="Y336" s="318"/>
    </row>
    <row r="337" spans="25:25" ht="15.5" x14ac:dyDescent="0.35">
      <c r="Y337" s="318"/>
    </row>
    <row r="338" spans="25:25" ht="15.5" x14ac:dyDescent="0.35">
      <c r="Y338" s="318"/>
    </row>
    <row r="339" spans="25:25" ht="15.5" x14ac:dyDescent="0.35">
      <c r="Y339" s="318"/>
    </row>
    <row r="340" spans="25:25" ht="15.5" x14ac:dyDescent="0.35">
      <c r="Y340" s="318"/>
    </row>
    <row r="341" spans="25:25" ht="15.5" x14ac:dyDescent="0.35">
      <c r="Y341" s="318"/>
    </row>
    <row r="342" spans="25:25" ht="15.5" x14ac:dyDescent="0.35">
      <c r="Y342" s="318"/>
    </row>
    <row r="343" spans="25:25" ht="15.5" x14ac:dyDescent="0.35">
      <c r="Y343" s="318"/>
    </row>
    <row r="344" spans="25:25" ht="15.5" x14ac:dyDescent="0.35">
      <c r="Y344" s="318"/>
    </row>
    <row r="345" spans="25:25" ht="15.5" x14ac:dyDescent="0.35">
      <c r="Y345" s="318"/>
    </row>
    <row r="346" spans="25:25" ht="15.5" x14ac:dyDescent="0.35">
      <c r="Y346" s="318"/>
    </row>
    <row r="347" spans="25:25" ht="15.5" x14ac:dyDescent="0.35">
      <c r="Y347" s="318"/>
    </row>
    <row r="348" spans="25:25" ht="15.5" x14ac:dyDescent="0.35">
      <c r="Y348" s="318"/>
    </row>
    <row r="349" spans="25:25" ht="15.5" x14ac:dyDescent="0.35">
      <c r="Y349" s="318"/>
    </row>
    <row r="350" spans="25:25" ht="15.5" x14ac:dyDescent="0.35">
      <c r="Y350" s="318"/>
    </row>
    <row r="351" spans="25:25" ht="15.5" x14ac:dyDescent="0.35">
      <c r="Y351" s="318"/>
    </row>
    <row r="352" spans="25:25" ht="15.5" x14ac:dyDescent="0.35">
      <c r="Y352" s="318"/>
    </row>
    <row r="353" spans="25:25" ht="15.5" x14ac:dyDescent="0.35">
      <c r="Y353" s="318"/>
    </row>
    <row r="354" spans="25:25" ht="15.5" x14ac:dyDescent="0.35">
      <c r="Y354" s="318"/>
    </row>
    <row r="355" spans="25:25" ht="15.5" x14ac:dyDescent="0.35">
      <c r="Y355" s="318"/>
    </row>
    <row r="356" spans="25:25" ht="15.5" x14ac:dyDescent="0.35">
      <c r="Y356" s="318"/>
    </row>
    <row r="357" spans="25:25" ht="15.5" x14ac:dyDescent="0.35">
      <c r="Y357" s="318"/>
    </row>
    <row r="358" spans="25:25" ht="15.5" x14ac:dyDescent="0.35">
      <c r="Y358" s="318"/>
    </row>
    <row r="359" spans="25:25" ht="15.5" x14ac:dyDescent="0.35">
      <c r="Y359" s="318"/>
    </row>
    <row r="360" spans="25:25" ht="15.5" x14ac:dyDescent="0.35">
      <c r="Y360" s="318"/>
    </row>
    <row r="361" spans="25:25" ht="15.5" x14ac:dyDescent="0.35">
      <c r="Y361" s="318"/>
    </row>
    <row r="362" spans="25:25" ht="15.5" x14ac:dyDescent="0.35">
      <c r="Y362" s="318"/>
    </row>
    <row r="363" spans="25:25" ht="15.5" x14ac:dyDescent="0.35">
      <c r="Y363" s="318"/>
    </row>
    <row r="364" spans="25:25" ht="15.5" x14ac:dyDescent="0.35">
      <c r="Y364" s="318"/>
    </row>
    <row r="365" spans="25:25" ht="15.5" x14ac:dyDescent="0.35">
      <c r="Y365" s="318"/>
    </row>
    <row r="366" spans="25:25" ht="13" x14ac:dyDescent="0.3"/>
    <row r="367" spans="25:25" ht="13" x14ac:dyDescent="0.3"/>
    <row r="368" spans="25:25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  <row r="1000" ht="13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/>
  <rowBreaks count="3" manualBreakCount="3">
    <brk id="49" man="1"/>
    <brk id="129" man="1"/>
    <brk id="99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4"/>
  <sheetViews>
    <sheetView showGridLines="0" zoomScale="72" zoomScaleNormal="73" workbookViewId="0">
      <selection activeCell="R15" sqref="R15"/>
    </sheetView>
  </sheetViews>
  <sheetFormatPr defaultColWidth="14.3984375" defaultRowHeight="15.75" customHeight="1" x14ac:dyDescent="0.3"/>
  <cols>
    <col min="1" max="1" width="3.796875" customWidth="1"/>
    <col min="2" max="2" width="24.3984375" customWidth="1"/>
    <col min="3" max="3" width="16.59765625" customWidth="1"/>
    <col min="4" max="4" width="22.796875" customWidth="1"/>
    <col min="5" max="5" width="18.796875" customWidth="1"/>
    <col min="6" max="6" width="16" customWidth="1"/>
    <col min="7" max="7" width="19.3984375" customWidth="1"/>
    <col min="8" max="8" width="19.19921875" customWidth="1"/>
    <col min="9" max="9" width="19.59765625" customWidth="1"/>
    <col min="10" max="10" width="22.3984375" customWidth="1"/>
    <col min="11" max="11" width="15.796875" customWidth="1"/>
    <col min="12" max="12" width="14.59765625" customWidth="1"/>
    <col min="13" max="13" width="16" customWidth="1"/>
    <col min="14" max="14" width="10.59765625" customWidth="1"/>
    <col min="15" max="15" width="13.59765625" customWidth="1"/>
    <col min="16" max="24" width="9.199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800"/>
      <c r="C2" s="3" t="s">
        <v>0</v>
      </c>
      <c r="D2" s="801" t="s">
        <v>1</v>
      </c>
      <c r="E2" s="775"/>
      <c r="F2" s="776"/>
      <c r="G2" s="3" t="s">
        <v>2</v>
      </c>
      <c r="H2" s="427" t="s">
        <v>736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759"/>
      <c r="C3" s="3" t="s">
        <v>5</v>
      </c>
      <c r="D3" s="802" t="s">
        <v>6</v>
      </c>
      <c r="E3" s="775"/>
      <c r="F3" s="776"/>
      <c r="G3" s="3" t="s">
        <v>7</v>
      </c>
      <c r="H3" s="4" t="s">
        <v>8</v>
      </c>
      <c r="I3" s="3" t="s">
        <v>9</v>
      </c>
      <c r="J3" s="5" t="s">
        <v>560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759"/>
      <c r="C4" s="3" t="s">
        <v>10</v>
      </c>
      <c r="D4" s="802" t="s">
        <v>11</v>
      </c>
      <c r="E4" s="775"/>
      <c r="F4" s="77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771"/>
      <c r="C5" s="3" t="s">
        <v>16</v>
      </c>
      <c r="D5" s="802" t="s">
        <v>17</v>
      </c>
      <c r="E5" s="775"/>
      <c r="F5" s="776"/>
      <c r="G5" s="3" t="s">
        <v>18</v>
      </c>
      <c r="H5" s="391" t="s">
        <v>550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90" t="s">
        <v>565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5" customHeight="1" x14ac:dyDescent="0.35">
      <c r="A8" s="1"/>
      <c r="B8" s="803" t="s">
        <v>21</v>
      </c>
      <c r="C8" s="804"/>
      <c r="D8" s="804"/>
      <c r="E8" s="804"/>
      <c r="F8" s="804"/>
      <c r="G8" s="804"/>
      <c r="H8" s="804"/>
      <c r="I8" s="804"/>
      <c r="J8" s="804"/>
      <c r="K8" s="804"/>
      <c r="L8" s="804"/>
      <c r="M8" s="805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5" x14ac:dyDescent="0.3">
      <c r="A9" s="1"/>
      <c r="B9" s="7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8" t="s">
        <v>31</v>
      </c>
      <c r="J9" s="8" t="s">
        <v>29</v>
      </c>
      <c r="K9" s="8" t="s">
        <v>30</v>
      </c>
      <c r="L9" s="8" t="s">
        <v>32</v>
      </c>
      <c r="M9" s="388" t="s">
        <v>33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.5" customHeight="1" x14ac:dyDescent="0.3">
      <c r="A10" s="1"/>
      <c r="B10" s="9" t="s">
        <v>34</v>
      </c>
      <c r="C10" s="10" t="s">
        <v>35</v>
      </c>
      <c r="D10" s="11">
        <v>113.286</v>
      </c>
      <c r="E10" s="11">
        <v>0</v>
      </c>
      <c r="F10" s="12">
        <v>113.286</v>
      </c>
      <c r="G10" s="13">
        <v>109.04</v>
      </c>
      <c r="H10" s="11">
        <v>0</v>
      </c>
      <c r="I10" s="13">
        <v>0</v>
      </c>
      <c r="J10" s="11">
        <v>4.25</v>
      </c>
      <c r="K10" s="14">
        <v>0</v>
      </c>
      <c r="L10" s="16">
        <f>G10+I10</f>
        <v>109.04</v>
      </c>
      <c r="M10" s="389"/>
      <c r="O10" s="42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" t="s">
        <v>36</v>
      </c>
      <c r="C11" s="10" t="s">
        <v>35</v>
      </c>
      <c r="D11" s="11">
        <v>113.286</v>
      </c>
      <c r="E11" s="15">
        <v>110</v>
      </c>
      <c r="F11" s="17">
        <v>111.745</v>
      </c>
      <c r="G11" s="17">
        <v>96.900999999999996</v>
      </c>
      <c r="H11" s="11">
        <v>9.4480000000000004</v>
      </c>
      <c r="I11" s="727">
        <v>0</v>
      </c>
      <c r="J11" s="11">
        <v>16.385000000000002</v>
      </c>
      <c r="K11" s="14">
        <v>8.6</v>
      </c>
      <c r="L11" s="16">
        <v>96.900999999999996</v>
      </c>
      <c r="M11" s="389"/>
      <c r="N11" s="617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thickBot="1" x14ac:dyDescent="0.4">
      <c r="A12" s="1"/>
      <c r="B12" s="806" t="s">
        <v>724</v>
      </c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8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.5" customHeight="1" thickBot="1" x14ac:dyDescent="0.35">
      <c r="A13" s="1"/>
      <c r="O13" s="429"/>
      <c r="P13" s="1"/>
      <c r="Q13" s="1"/>
      <c r="R13" s="1"/>
      <c r="S13" s="1"/>
      <c r="T13" s="1"/>
      <c r="U13" s="1"/>
      <c r="V13" s="1"/>
      <c r="W13" s="1"/>
      <c r="X13" s="1"/>
    </row>
    <row r="14" spans="1:24" ht="26" x14ac:dyDescent="0.3">
      <c r="A14" s="1"/>
      <c r="B14" s="409" t="s">
        <v>22</v>
      </c>
      <c r="C14" s="410" t="s">
        <v>555</v>
      </c>
      <c r="D14" s="413" t="s">
        <v>556</v>
      </c>
      <c r="E14" s="410" t="s">
        <v>37</v>
      </c>
      <c r="F14" s="410" t="s">
        <v>38</v>
      </c>
      <c r="G14" s="410" t="s">
        <v>39</v>
      </c>
      <c r="H14" s="410" t="s">
        <v>40</v>
      </c>
      <c r="I14" s="410" t="s">
        <v>41</v>
      </c>
      <c r="J14" s="410" t="s">
        <v>42</v>
      </c>
      <c r="K14" s="410" t="s">
        <v>43</v>
      </c>
      <c r="L14" s="410" t="s">
        <v>44</v>
      </c>
      <c r="M14" s="410" t="s">
        <v>45</v>
      </c>
      <c r="N14" s="410" t="s">
        <v>46</v>
      </c>
      <c r="O14" s="430" t="s">
        <v>33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ht="241.25" customHeight="1" x14ac:dyDescent="0.3">
      <c r="A15" s="1"/>
      <c r="B15" s="18" t="s">
        <v>47</v>
      </c>
      <c r="C15" s="19">
        <v>292</v>
      </c>
      <c r="D15" s="20">
        <v>92</v>
      </c>
      <c r="E15" s="20">
        <v>42</v>
      </c>
      <c r="F15" s="19">
        <v>40</v>
      </c>
      <c r="G15" s="19">
        <v>50</v>
      </c>
      <c r="H15" s="709">
        <v>1</v>
      </c>
      <c r="I15" s="21">
        <v>4</v>
      </c>
      <c r="J15" s="19">
        <v>132</v>
      </c>
      <c r="K15" s="21">
        <v>46</v>
      </c>
      <c r="L15" s="19">
        <f t="shared" ref="L15:L24" si="0">C15-K15</f>
        <v>246</v>
      </c>
      <c r="M15" s="19">
        <v>6</v>
      </c>
      <c r="N15" s="19">
        <v>5</v>
      </c>
      <c r="O15" s="735" t="s">
        <v>745</v>
      </c>
      <c r="P15" s="1"/>
      <c r="Q15" s="734"/>
      <c r="R15" s="1"/>
      <c r="S15" s="1"/>
      <c r="T15" s="1"/>
      <c r="U15" s="1"/>
      <c r="V15" s="1"/>
      <c r="W15" s="1"/>
      <c r="X15" s="1"/>
    </row>
    <row r="16" spans="1:24" ht="15.5" x14ac:dyDescent="0.3">
      <c r="A16" s="23"/>
      <c r="B16" s="24" t="s">
        <v>48</v>
      </c>
      <c r="C16" s="19">
        <v>292</v>
      </c>
      <c r="D16" s="20">
        <f>D15</f>
        <v>92</v>
      </c>
      <c r="E16" s="20">
        <v>10</v>
      </c>
      <c r="F16" s="19">
        <f>F15</f>
        <v>40</v>
      </c>
      <c r="G16" s="19">
        <f>G15</f>
        <v>50</v>
      </c>
      <c r="H16" s="709">
        <v>0</v>
      </c>
      <c r="I16" s="21">
        <v>5</v>
      </c>
      <c r="J16" s="19">
        <f>J15</f>
        <v>132</v>
      </c>
      <c r="K16" s="21">
        <v>15</v>
      </c>
      <c r="L16" s="19">
        <f t="shared" si="0"/>
        <v>277</v>
      </c>
      <c r="M16" s="19"/>
      <c r="N16" s="22"/>
      <c r="O16" s="743"/>
      <c r="P16" s="23"/>
      <c r="Q16" s="23"/>
      <c r="R16" s="23"/>
      <c r="S16" s="23"/>
      <c r="T16" s="23"/>
      <c r="U16" s="23"/>
      <c r="V16" s="23"/>
      <c r="W16" s="23"/>
      <c r="X16" s="23"/>
    </row>
    <row r="17" spans="1:24" ht="130" x14ac:dyDescent="0.3">
      <c r="A17" s="1"/>
      <c r="B17" s="18" t="s">
        <v>49</v>
      </c>
      <c r="C17" s="19">
        <v>292</v>
      </c>
      <c r="D17" s="20">
        <v>50</v>
      </c>
      <c r="E17" s="20">
        <v>3</v>
      </c>
      <c r="F17" s="26">
        <v>35</v>
      </c>
      <c r="G17" s="19">
        <v>30</v>
      </c>
      <c r="H17" s="709">
        <v>1</v>
      </c>
      <c r="I17" s="21">
        <v>2</v>
      </c>
      <c r="J17" s="19">
        <v>85</v>
      </c>
      <c r="K17" s="21">
        <v>5</v>
      </c>
      <c r="L17" s="19">
        <f t="shared" si="0"/>
        <v>287</v>
      </c>
      <c r="M17" s="19">
        <v>2</v>
      </c>
      <c r="N17" s="22">
        <v>2</v>
      </c>
      <c r="O17" s="735" t="s">
        <v>739</v>
      </c>
      <c r="P17" s="1"/>
      <c r="Q17" s="1"/>
      <c r="S17" s="1"/>
      <c r="T17" s="1"/>
      <c r="U17" s="1"/>
      <c r="V17" s="1"/>
      <c r="W17" s="1"/>
      <c r="X17" s="1"/>
    </row>
    <row r="18" spans="1:24" ht="20.5" customHeight="1" x14ac:dyDescent="0.3">
      <c r="A18" s="1"/>
      <c r="B18" s="18" t="s">
        <v>50</v>
      </c>
      <c r="C18" s="27">
        <v>113.286</v>
      </c>
      <c r="D18" s="20">
        <v>0</v>
      </c>
      <c r="E18" s="20">
        <v>0</v>
      </c>
      <c r="F18" s="25">
        <v>0</v>
      </c>
      <c r="G18" s="19">
        <v>0</v>
      </c>
      <c r="H18" s="392">
        <v>0</v>
      </c>
      <c r="I18" s="21">
        <v>0</v>
      </c>
      <c r="J18" s="19">
        <v>0</v>
      </c>
      <c r="K18" s="21">
        <f t="shared" ref="K18:K20" si="1">E18+I18</f>
        <v>0</v>
      </c>
      <c r="L18" s="27">
        <f t="shared" si="0"/>
        <v>113.286</v>
      </c>
      <c r="M18" s="28"/>
      <c r="N18" s="22"/>
      <c r="O18" s="431"/>
      <c r="P18" s="1"/>
      <c r="Q18" s="1"/>
      <c r="R18" s="1"/>
      <c r="S18" s="1"/>
      <c r="T18" s="1"/>
      <c r="U18" s="1"/>
      <c r="V18" s="1"/>
      <c r="W18" s="1"/>
      <c r="X18" s="1"/>
    </row>
    <row r="19" spans="1:24" ht="20.5" customHeight="1" x14ac:dyDescent="0.3">
      <c r="A19" s="1"/>
      <c r="B19" s="18" t="s">
        <v>51</v>
      </c>
      <c r="C19" s="27">
        <v>113.286</v>
      </c>
      <c r="D19" s="20">
        <v>0</v>
      </c>
      <c r="E19" s="20">
        <v>0</v>
      </c>
      <c r="F19" s="25">
        <v>0</v>
      </c>
      <c r="G19" s="19">
        <v>0</v>
      </c>
      <c r="H19" s="392">
        <v>0</v>
      </c>
      <c r="I19" s="21">
        <v>0</v>
      </c>
      <c r="J19" s="19">
        <v>0</v>
      </c>
      <c r="K19" s="21">
        <f t="shared" si="1"/>
        <v>0</v>
      </c>
      <c r="L19" s="27">
        <f t="shared" si="0"/>
        <v>113.286</v>
      </c>
      <c r="M19" s="28"/>
      <c r="N19" s="22"/>
      <c r="O19" s="431"/>
      <c r="P19" s="1"/>
      <c r="Q19" s="1"/>
      <c r="R19" s="1"/>
      <c r="S19" s="1"/>
      <c r="T19" s="1"/>
      <c r="U19" s="1"/>
      <c r="V19" s="1"/>
      <c r="W19" s="1"/>
      <c r="X19" s="1"/>
    </row>
    <row r="20" spans="1:24" ht="20.5" customHeight="1" x14ac:dyDescent="0.3">
      <c r="A20" s="1"/>
      <c r="B20" s="18" t="s">
        <v>52</v>
      </c>
      <c r="C20" s="27">
        <v>113.286</v>
      </c>
      <c r="D20" s="20">
        <v>0</v>
      </c>
      <c r="E20" s="20">
        <v>0</v>
      </c>
      <c r="F20" s="25">
        <v>0</v>
      </c>
      <c r="G20" s="19">
        <v>0</v>
      </c>
      <c r="H20" s="392">
        <v>0</v>
      </c>
      <c r="I20" s="21">
        <v>0</v>
      </c>
      <c r="J20" s="25">
        <v>0</v>
      </c>
      <c r="K20" s="21">
        <f t="shared" si="1"/>
        <v>0</v>
      </c>
      <c r="L20" s="27">
        <f t="shared" si="0"/>
        <v>113.286</v>
      </c>
      <c r="M20" s="30"/>
      <c r="N20" s="22"/>
      <c r="O20" s="431"/>
      <c r="P20" s="1"/>
      <c r="Q20" s="1"/>
      <c r="R20" s="1"/>
      <c r="S20" s="1"/>
      <c r="T20" s="1"/>
      <c r="U20" s="1"/>
      <c r="V20" s="1"/>
      <c r="W20" s="1"/>
      <c r="X20" s="1"/>
    </row>
    <row r="21" spans="1:24" ht="20.5" customHeight="1" x14ac:dyDescent="0.3">
      <c r="A21" s="1"/>
      <c r="B21" s="31" t="s">
        <v>53</v>
      </c>
      <c r="C21" s="32">
        <v>3</v>
      </c>
      <c r="D21" s="32"/>
      <c r="E21" s="32"/>
      <c r="F21" s="25"/>
      <c r="G21" s="19"/>
      <c r="H21" s="29"/>
      <c r="I21" s="21"/>
      <c r="J21" s="32"/>
      <c r="K21" s="21"/>
      <c r="L21" s="19">
        <f t="shared" si="0"/>
        <v>3</v>
      </c>
      <c r="M21" s="32"/>
      <c r="N21" s="33"/>
      <c r="O21" s="431"/>
      <c r="P21" s="1"/>
      <c r="Q21" s="1"/>
      <c r="R21" s="1"/>
      <c r="S21" s="1"/>
      <c r="T21" s="1"/>
      <c r="U21" s="1"/>
      <c r="V21" s="1"/>
      <c r="W21" s="1"/>
      <c r="X21" s="1"/>
    </row>
    <row r="22" spans="1:24" ht="20.5" customHeight="1" x14ac:dyDescent="0.3">
      <c r="A22" s="1"/>
      <c r="B22" s="34" t="s">
        <v>54</v>
      </c>
      <c r="C22" s="411">
        <v>1</v>
      </c>
      <c r="D22" s="411"/>
      <c r="E22" s="411"/>
      <c r="F22" s="25"/>
      <c r="G22" s="19"/>
      <c r="H22" s="35"/>
      <c r="I22" s="21"/>
      <c r="J22" s="411"/>
      <c r="K22" s="36"/>
      <c r="L22" s="19">
        <f t="shared" si="0"/>
        <v>1</v>
      </c>
      <c r="M22" s="411"/>
      <c r="N22" s="412"/>
      <c r="O22" s="431"/>
      <c r="P22" s="1"/>
      <c r="Q22" s="1"/>
      <c r="R22" s="1"/>
      <c r="S22" s="1"/>
      <c r="T22" s="1"/>
      <c r="U22" s="1"/>
      <c r="V22" s="1"/>
      <c r="W22" s="1"/>
      <c r="X22" s="1"/>
    </row>
    <row r="23" spans="1:24" ht="20.5" customHeight="1" x14ac:dyDescent="0.3">
      <c r="A23" s="1"/>
      <c r="B23" s="34" t="s">
        <v>55</v>
      </c>
      <c r="C23" s="411">
        <v>2</v>
      </c>
      <c r="D23" s="411"/>
      <c r="E23" s="411"/>
      <c r="F23" s="25"/>
      <c r="G23" s="19"/>
      <c r="H23" s="35"/>
      <c r="I23" s="21"/>
      <c r="J23" s="411"/>
      <c r="K23" s="36"/>
      <c r="L23" s="19">
        <f t="shared" si="0"/>
        <v>2</v>
      </c>
      <c r="M23" s="411"/>
      <c r="N23" s="412"/>
      <c r="O23" s="431"/>
      <c r="P23" s="1"/>
      <c r="Q23" s="1"/>
      <c r="R23" s="1"/>
      <c r="S23" s="1"/>
      <c r="T23" s="1"/>
      <c r="U23" s="1"/>
      <c r="V23" s="1"/>
      <c r="W23" s="1"/>
      <c r="X23" s="1"/>
    </row>
    <row r="24" spans="1:24" ht="20.5" customHeight="1" thickBot="1" x14ac:dyDescent="0.35">
      <c r="A24" s="1"/>
      <c r="B24" s="401" t="s">
        <v>56</v>
      </c>
      <c r="C24" s="402">
        <v>6</v>
      </c>
      <c r="D24" s="402"/>
      <c r="E24" s="403"/>
      <c r="F24" s="404"/>
      <c r="G24" s="402"/>
      <c r="H24" s="405"/>
      <c r="I24" s="405"/>
      <c r="J24" s="404"/>
      <c r="K24" s="406"/>
      <c r="L24" s="403">
        <f t="shared" si="0"/>
        <v>6</v>
      </c>
      <c r="M24" s="407"/>
      <c r="N24" s="408"/>
      <c r="O24" s="432"/>
      <c r="P24" s="1"/>
      <c r="Q24" s="1"/>
      <c r="R24" s="1"/>
      <c r="S24" s="1"/>
      <c r="T24" s="1"/>
      <c r="U24" s="1"/>
      <c r="V24" s="1"/>
      <c r="W24" s="1"/>
      <c r="X24" s="1"/>
    </row>
    <row r="25" spans="1:24" ht="13.5" customHeight="1" x14ac:dyDescent="0.3">
      <c r="A25" s="1"/>
      <c r="B25" s="417"/>
      <c r="C25" s="418"/>
      <c r="D25" s="418"/>
      <c r="E25" s="419"/>
      <c r="F25" s="420"/>
      <c r="G25" s="418"/>
      <c r="H25" s="420"/>
      <c r="I25" s="420"/>
      <c r="J25" s="420"/>
      <c r="K25" s="421"/>
      <c r="L25" s="419"/>
      <c r="M25" s="422"/>
      <c r="N25" s="400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5">
      <c r="A26" s="1"/>
      <c r="B26" s="417"/>
      <c r="C26" s="477"/>
      <c r="D26" s="443"/>
      <c r="E26" s="440"/>
      <c r="F26" s="441"/>
      <c r="G26" s="418"/>
      <c r="H26" s="483" t="s">
        <v>695</v>
      </c>
      <c r="I26" s="426" t="s">
        <v>731</v>
      </c>
      <c r="J26" s="420"/>
      <c r="K26" s="421"/>
      <c r="L26" s="676" t="s">
        <v>740</v>
      </c>
      <c r="M26" s="422"/>
      <c r="N26" s="67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5">
      <c r="A27" s="1"/>
      <c r="B27" s="417"/>
      <c r="C27" s="483"/>
      <c r="D27" s="444"/>
      <c r="E27" s="442"/>
      <c r="F27" s="441"/>
      <c r="G27" s="418"/>
      <c r="H27" s="423"/>
      <c r="I27" s="426" t="s">
        <v>732</v>
      </c>
      <c r="J27" s="420"/>
      <c r="K27" s="421"/>
      <c r="L27" s="676" t="s">
        <v>741</v>
      </c>
      <c r="M27" s="422"/>
      <c r="N27" s="400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.5" customHeight="1" thickBot="1" x14ac:dyDescent="0.4">
      <c r="A28" s="1"/>
      <c r="B28" s="417"/>
      <c r="C28" s="423"/>
      <c r="D28" s="424"/>
      <c r="E28" s="419"/>
      <c r="F28" s="420"/>
      <c r="G28" s="418"/>
      <c r="H28" s="423"/>
      <c r="I28" s="426" t="s">
        <v>733</v>
      </c>
      <c r="J28" s="420"/>
      <c r="K28" s="421"/>
      <c r="L28" s="419"/>
      <c r="M28" s="422"/>
      <c r="N28" s="400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5" customHeight="1" x14ac:dyDescent="0.3">
      <c r="A29" s="1"/>
      <c r="B29" s="797" t="s">
        <v>57</v>
      </c>
      <c r="C29" s="798"/>
      <c r="D29" s="798"/>
      <c r="E29" s="798"/>
      <c r="F29" s="798"/>
      <c r="G29" s="798"/>
      <c r="H29" s="798"/>
      <c r="I29" s="798"/>
      <c r="J29" s="798"/>
      <c r="K29" s="798"/>
      <c r="L29" s="798"/>
      <c r="M29" s="799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39" x14ac:dyDescent="0.3">
      <c r="A30" s="1"/>
      <c r="B30" s="38" t="s">
        <v>22</v>
      </c>
      <c r="C30" s="39" t="s">
        <v>23</v>
      </c>
      <c r="D30" s="39" t="s">
        <v>24</v>
      </c>
      <c r="E30" s="39" t="s">
        <v>25</v>
      </c>
      <c r="F30" s="39" t="s">
        <v>58</v>
      </c>
      <c r="G30" s="39" t="s">
        <v>59</v>
      </c>
      <c r="H30" s="39" t="s">
        <v>60</v>
      </c>
      <c r="I30" s="39" t="s">
        <v>61</v>
      </c>
      <c r="J30" s="39" t="s">
        <v>62</v>
      </c>
      <c r="K30" s="39" t="s">
        <v>63</v>
      </c>
      <c r="L30" s="398" t="s">
        <v>554</v>
      </c>
      <c r="M30" s="40" t="s">
        <v>33</v>
      </c>
      <c r="N30" s="6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40" customHeight="1" x14ac:dyDescent="0.3">
      <c r="A31" s="1"/>
      <c r="B31" s="414" t="s">
        <v>65</v>
      </c>
      <c r="C31" s="41" t="s">
        <v>66</v>
      </c>
      <c r="D31" s="41">
        <v>292</v>
      </c>
      <c r="E31" s="41">
        <v>260</v>
      </c>
      <c r="F31" s="41">
        <v>132</v>
      </c>
      <c r="G31" s="41">
        <f t="shared" ref="G31:G32" si="2">D31-F31</f>
        <v>160</v>
      </c>
      <c r="H31" s="42">
        <v>56</v>
      </c>
      <c r="I31" s="42">
        <v>0</v>
      </c>
      <c r="J31" s="41">
        <v>0</v>
      </c>
      <c r="K31" s="42">
        <f>F31+J31</f>
        <v>132</v>
      </c>
      <c r="L31" s="42">
        <f t="shared" ref="L31:L32" si="3">E31+H31-K31</f>
        <v>184</v>
      </c>
      <c r="M31" s="481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40" customHeight="1" x14ac:dyDescent="0.3">
      <c r="A32" s="1"/>
      <c r="B32" s="415" t="s">
        <v>67</v>
      </c>
      <c r="C32" s="393" t="s">
        <v>68</v>
      </c>
      <c r="D32" s="393">
        <v>292</v>
      </c>
      <c r="E32" s="393">
        <v>160</v>
      </c>
      <c r="F32" s="393">
        <v>160</v>
      </c>
      <c r="G32" s="393">
        <f t="shared" si="2"/>
        <v>132</v>
      </c>
      <c r="H32" s="394">
        <v>0</v>
      </c>
      <c r="I32" s="394">
        <v>0</v>
      </c>
      <c r="J32" s="393">
        <v>0</v>
      </c>
      <c r="K32" s="394">
        <v>160</v>
      </c>
      <c r="L32" s="394">
        <f t="shared" si="3"/>
        <v>0</v>
      </c>
      <c r="M32" s="48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4.5" customHeight="1" thickBot="1" x14ac:dyDescent="0.35">
      <c r="A33" s="1"/>
      <c r="B33" s="416" t="s">
        <v>553</v>
      </c>
      <c r="C33" s="396" t="s">
        <v>35</v>
      </c>
      <c r="D33" s="396">
        <v>4314</v>
      </c>
      <c r="E33" s="396">
        <v>1700</v>
      </c>
      <c r="F33" s="396">
        <v>1931.873</v>
      </c>
      <c r="G33" s="396">
        <f>D33-F33</f>
        <v>2382.127</v>
      </c>
      <c r="H33" s="396">
        <v>400</v>
      </c>
      <c r="I33" s="396">
        <v>400</v>
      </c>
      <c r="J33" s="396">
        <f>K33-F33</f>
        <v>163.57699999999977</v>
      </c>
      <c r="K33" s="396">
        <v>2095.4499999999998</v>
      </c>
      <c r="L33" s="397">
        <f>E33+H33-K33</f>
        <v>4.5500000000001819</v>
      </c>
      <c r="M33" s="445" t="s">
        <v>725</v>
      </c>
      <c r="N33" s="395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5" customHeight="1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.5" customHeight="1" x14ac:dyDescent="0.45">
      <c r="A35" s="1"/>
      <c r="B35" s="681" t="s">
        <v>713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5" customHeight="1" x14ac:dyDescent="0.35">
      <c r="A36" s="1"/>
      <c r="B36" s="682" t="s">
        <v>710</v>
      </c>
      <c r="C36" s="682"/>
      <c r="D36" s="682"/>
      <c r="E36" s="680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5" customHeight="1" x14ac:dyDescent="0.35">
      <c r="A37" s="1"/>
      <c r="B37" s="682" t="s">
        <v>711</v>
      </c>
      <c r="C37" s="682"/>
      <c r="D37" s="682"/>
      <c r="E37" s="680"/>
      <c r="F37" s="680"/>
      <c r="G37" s="679"/>
      <c r="H37" s="2"/>
      <c r="I37" s="2"/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5" customHeight="1" x14ac:dyDescent="0.35">
      <c r="A38" s="1"/>
      <c r="B38" s="682" t="s">
        <v>712</v>
      </c>
      <c r="C38" s="682"/>
      <c r="D38" s="682"/>
      <c r="E38" s="680"/>
      <c r="F38" s="680"/>
      <c r="G38" s="679"/>
      <c r="H38" s="2"/>
      <c r="I38" s="2"/>
      <c r="J38" s="2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5">
      <c r="A39" s="1"/>
      <c r="B39" s="680"/>
      <c r="C39" s="680"/>
      <c r="D39" s="680"/>
      <c r="E39" s="680"/>
      <c r="F39" s="680"/>
      <c r="G39" s="679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3"/>
    <row r="243" spans="1:24" ht="13" x14ac:dyDescent="0.3"/>
    <row r="244" spans="1:24" ht="13" x14ac:dyDescent="0.3"/>
    <row r="245" spans="1:24" ht="13" x14ac:dyDescent="0.3"/>
    <row r="246" spans="1:24" ht="13" x14ac:dyDescent="0.3"/>
    <row r="247" spans="1:24" ht="13" x14ac:dyDescent="0.3"/>
    <row r="248" spans="1:24" ht="13" x14ac:dyDescent="0.3"/>
    <row r="249" spans="1:24" ht="13" x14ac:dyDescent="0.3"/>
    <row r="250" spans="1:24" ht="13" x14ac:dyDescent="0.3"/>
    <row r="251" spans="1:24" ht="13" x14ac:dyDescent="0.3"/>
    <row r="252" spans="1:24" ht="13" x14ac:dyDescent="0.3"/>
    <row r="253" spans="1:24" ht="13" x14ac:dyDescent="0.3"/>
    <row r="254" spans="1:24" ht="13" x14ac:dyDescent="0.3"/>
    <row r="255" spans="1:24" ht="13" x14ac:dyDescent="0.3"/>
    <row r="256" spans="1:24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</sheetData>
  <mergeCells count="8">
    <mergeCell ref="B29:M29"/>
    <mergeCell ref="B2:B5"/>
    <mergeCell ref="D2:F2"/>
    <mergeCell ref="D3:F3"/>
    <mergeCell ref="D4:F4"/>
    <mergeCell ref="D5:F5"/>
    <mergeCell ref="B8:M8"/>
    <mergeCell ref="B12:N12"/>
  </mergeCells>
  <conditionalFormatting sqref="D15:L25 D26:G26 I26:L28 E27:G27 D28:G28">
    <cfRule type="cellIs" dxfId="1" priority="1" operator="equal">
      <formula>0</formula>
    </cfRule>
  </conditionalFormatting>
  <pageMargins left="0.27559055118110198" right="0.31496062992126" top="0.35433070866141703" bottom="0.39370078740157499" header="0" footer="0"/>
  <pageSetup paperSize="9" orientation="landscape"/>
  <colBreaks count="1" manualBreakCount="1">
    <brk id="1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063"/>
  <sheetViews>
    <sheetView zoomScale="70" zoomScaleNormal="75" workbookViewId="0">
      <selection activeCell="B94" sqref="B94:P101"/>
    </sheetView>
  </sheetViews>
  <sheetFormatPr defaultColWidth="14.3984375" defaultRowHeight="15.75" customHeight="1" x14ac:dyDescent="0.3"/>
  <cols>
    <col min="1" max="1" width="9.19921875" customWidth="1"/>
    <col min="2" max="2" width="16.59765625" customWidth="1"/>
    <col min="3" max="3" width="11.69921875" bestFit="1" customWidth="1"/>
    <col min="4" max="4" width="11.59765625" bestFit="1" customWidth="1"/>
    <col min="5" max="5" width="14.69921875" customWidth="1"/>
    <col min="6" max="6" width="15.59765625" bestFit="1" customWidth="1"/>
    <col min="7" max="7" width="12.09765625" bestFit="1" customWidth="1"/>
    <col min="8" max="8" width="14.8984375" bestFit="1" customWidth="1"/>
    <col min="9" max="9" width="9.296875" bestFit="1" customWidth="1"/>
    <col min="10" max="10" width="11.09765625" bestFit="1" customWidth="1"/>
    <col min="11" max="11" width="13.59765625" customWidth="1"/>
    <col min="12" max="12" width="23.59765625" customWidth="1"/>
    <col min="13" max="13" width="26" bestFit="1" customWidth="1"/>
    <col min="14" max="14" width="26.3984375" customWidth="1"/>
    <col min="15" max="15" width="13.296875" bestFit="1" customWidth="1"/>
    <col min="16" max="16" width="12.296875" bestFit="1" customWidth="1"/>
    <col min="17" max="17" width="34.796875" customWidth="1"/>
    <col min="18" max="26" width="9.19921875" customWidth="1"/>
  </cols>
  <sheetData>
    <row r="1" spans="1:26" ht="13.5" customHeight="1" x14ac:dyDescent="0.3">
      <c r="A1" s="1"/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"/>
      <c r="B2" s="860" t="s">
        <v>21</v>
      </c>
      <c r="C2" s="745"/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6"/>
      <c r="O2" s="46"/>
      <c r="P2" s="46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5.25" customHeight="1" x14ac:dyDescent="0.3">
      <c r="A3" s="1"/>
      <c r="B3" s="47" t="s">
        <v>22</v>
      </c>
      <c r="C3" s="48" t="s">
        <v>23</v>
      </c>
      <c r="D3" s="48" t="s">
        <v>24</v>
      </c>
      <c r="E3" s="48" t="s">
        <v>25</v>
      </c>
      <c r="F3" s="48"/>
      <c r="G3" s="48" t="s">
        <v>26</v>
      </c>
      <c r="H3" s="48" t="s">
        <v>27</v>
      </c>
      <c r="I3" s="48" t="s">
        <v>28</v>
      </c>
      <c r="J3" s="48" t="s">
        <v>29</v>
      </c>
      <c r="K3" s="48" t="s">
        <v>30</v>
      </c>
      <c r="L3" s="48" t="s">
        <v>31</v>
      </c>
      <c r="M3" s="48" t="s">
        <v>32</v>
      </c>
      <c r="N3" s="49" t="s">
        <v>33</v>
      </c>
      <c r="O3" s="46"/>
      <c r="P3" s="46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1"/>
      <c r="B4" s="50" t="s">
        <v>34</v>
      </c>
      <c r="C4" s="22" t="s">
        <v>35</v>
      </c>
      <c r="D4" s="51">
        <f>'Master Sheet'!D10</f>
        <v>113.286</v>
      </c>
      <c r="E4" s="51">
        <f>'Master Sheet'!E10</f>
        <v>0</v>
      </c>
      <c r="F4" s="51"/>
      <c r="G4" s="52">
        <v>113.286</v>
      </c>
      <c r="H4" s="53">
        <f>'Master Sheet'!G10</f>
        <v>109.04</v>
      </c>
      <c r="I4" s="53">
        <f>'Master Sheet'!H10</f>
        <v>0</v>
      </c>
      <c r="J4" s="53">
        <f>'Master Sheet'!J10</f>
        <v>4.25</v>
      </c>
      <c r="K4" s="53">
        <f>'Master Sheet'!K10</f>
        <v>0</v>
      </c>
      <c r="L4" s="53">
        <f>'Master Sheet'!I10</f>
        <v>0</v>
      </c>
      <c r="M4" s="53">
        <f>'Master Sheet'!L10</f>
        <v>109.04</v>
      </c>
      <c r="N4" s="54"/>
      <c r="O4" s="55"/>
      <c r="P4" s="46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 customHeight="1" x14ac:dyDescent="0.3">
      <c r="A5" s="1"/>
      <c r="B5" s="56" t="s">
        <v>36</v>
      </c>
      <c r="C5" s="37" t="s">
        <v>35</v>
      </c>
      <c r="D5" s="57">
        <f>'Master Sheet'!D11</f>
        <v>113.286</v>
      </c>
      <c r="E5" s="57">
        <f>'Master Sheet'!E11</f>
        <v>110</v>
      </c>
      <c r="F5" s="57"/>
      <c r="G5" s="58">
        <f>'Master Sheet'!F11</f>
        <v>111.745</v>
      </c>
      <c r="H5" s="59">
        <f>'Master Sheet'!G11</f>
        <v>96.900999999999996</v>
      </c>
      <c r="I5" s="59">
        <f>'Master Sheet'!H11</f>
        <v>9.4480000000000004</v>
      </c>
      <c r="J5" s="59">
        <f>'Master Sheet'!J11</f>
        <v>16.385000000000002</v>
      </c>
      <c r="K5" s="59">
        <v>20</v>
      </c>
      <c r="L5" s="59">
        <f>'Master Sheet'!I11</f>
        <v>0</v>
      </c>
      <c r="M5" s="59">
        <f>'Master Sheet'!L11</f>
        <v>96.900999999999996</v>
      </c>
      <c r="N5" s="60"/>
      <c r="O5" s="46"/>
      <c r="P5" s="46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45"/>
      <c r="C6" s="46"/>
      <c r="D6" s="46"/>
      <c r="E6" s="46"/>
      <c r="F6" s="46"/>
      <c r="G6" s="46"/>
      <c r="H6" s="46"/>
      <c r="I6" s="46"/>
      <c r="J6" s="61"/>
      <c r="K6" s="46"/>
      <c r="L6" s="46"/>
      <c r="M6" s="46"/>
      <c r="N6" s="46"/>
      <c r="O6" s="46"/>
      <c r="P6" s="46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"/>
      <c r="B7" s="861" t="s">
        <v>70</v>
      </c>
      <c r="C7" s="775"/>
      <c r="D7" s="775"/>
      <c r="E7" s="775"/>
      <c r="F7" s="775"/>
      <c r="G7" s="775"/>
      <c r="H7" s="776"/>
      <c r="I7" s="863"/>
      <c r="J7" s="761"/>
      <c r="K7" s="761"/>
      <c r="L7" s="761"/>
      <c r="M7" s="866"/>
      <c r="N7" s="866"/>
      <c r="O7" s="866"/>
      <c r="P7" s="866"/>
      <c r="Q7" s="866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62" t="s">
        <v>71</v>
      </c>
      <c r="C8" s="862" t="s">
        <v>72</v>
      </c>
      <c r="D8" s="776"/>
      <c r="E8" s="864" t="s">
        <v>73</v>
      </c>
      <c r="F8" s="865"/>
      <c r="G8" s="862" t="s">
        <v>74</v>
      </c>
      <c r="H8" s="776"/>
      <c r="M8" s="866"/>
      <c r="N8" s="866"/>
      <c r="O8" s="866"/>
      <c r="P8" s="866"/>
      <c r="Q8" s="866"/>
      <c r="R8" s="1"/>
      <c r="S8" s="1"/>
      <c r="T8" s="1"/>
      <c r="U8" s="1"/>
      <c r="V8" s="1"/>
      <c r="W8" s="1"/>
      <c r="X8" s="1"/>
      <c r="Y8" s="1"/>
      <c r="Z8" s="1"/>
    </row>
    <row r="9" spans="1:26" ht="25.25" customHeight="1" x14ac:dyDescent="0.3">
      <c r="A9" s="1"/>
      <c r="B9" s="64"/>
      <c r="C9" s="867"/>
      <c r="D9" s="776"/>
      <c r="E9" s="867"/>
      <c r="F9" s="776"/>
      <c r="G9" s="868"/>
      <c r="H9" s="776"/>
      <c r="J9" s="65"/>
      <c r="K9" s="46"/>
      <c r="L9" s="46"/>
      <c r="M9" s="866"/>
      <c r="N9" s="866"/>
      <c r="O9" s="866"/>
      <c r="P9" s="866"/>
      <c r="Q9" s="866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thickBot="1" x14ac:dyDescent="0.35">
      <c r="A10" s="1"/>
      <c r="B10" s="45"/>
      <c r="C10" s="46"/>
      <c r="D10" s="46"/>
      <c r="E10" s="46"/>
      <c r="F10" s="46"/>
      <c r="G10" s="46"/>
      <c r="H10" s="46"/>
      <c r="I10" s="46"/>
      <c r="J10" s="451"/>
      <c r="K10" s="46"/>
      <c r="L10" s="46"/>
      <c r="M10" s="46"/>
      <c r="N10" s="46"/>
      <c r="O10" s="46"/>
      <c r="P10" s="4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thickBot="1" x14ac:dyDescent="0.35">
      <c r="A11" s="1"/>
      <c r="B11" s="869" t="s">
        <v>75</v>
      </c>
      <c r="C11" s="870"/>
      <c r="D11" s="870"/>
      <c r="E11" s="870"/>
      <c r="F11" s="870"/>
      <c r="G11" s="870"/>
      <c r="H11" s="870"/>
      <c r="I11" s="870"/>
      <c r="J11" s="871"/>
      <c r="K11" s="870"/>
      <c r="L11" s="870"/>
      <c r="M11" s="870"/>
      <c r="N11" s="870"/>
      <c r="O11" s="870"/>
      <c r="P11" s="870"/>
      <c r="Q11" s="872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">
      <c r="A12" s="1"/>
      <c r="B12" s="66" t="s">
        <v>71</v>
      </c>
      <c r="C12" s="66" t="s">
        <v>76</v>
      </c>
      <c r="D12" s="66" t="s">
        <v>77</v>
      </c>
      <c r="E12" s="66" t="s">
        <v>78</v>
      </c>
      <c r="F12" s="66" t="s">
        <v>79</v>
      </c>
      <c r="G12" s="66" t="s">
        <v>80</v>
      </c>
      <c r="H12" s="66" t="s">
        <v>81</v>
      </c>
      <c r="I12" s="873" t="s">
        <v>82</v>
      </c>
      <c r="J12" s="834"/>
      <c r="K12" s="834"/>
      <c r="L12" s="835"/>
      <c r="M12" s="66" t="s">
        <v>83</v>
      </c>
      <c r="N12" s="66" t="s">
        <v>84</v>
      </c>
      <c r="O12" s="66" t="s">
        <v>85</v>
      </c>
      <c r="P12" s="66" t="s">
        <v>86</v>
      </c>
      <c r="Q12" s="66" t="s">
        <v>87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8.5" x14ac:dyDescent="0.45">
      <c r="A13" s="46"/>
      <c r="B13" s="599">
        <v>1</v>
      </c>
      <c r="C13" s="600" t="s">
        <v>88</v>
      </c>
      <c r="D13" s="599" t="s">
        <v>89</v>
      </c>
      <c r="E13" s="599" t="s">
        <v>90</v>
      </c>
      <c r="F13" s="601">
        <v>45848</v>
      </c>
      <c r="G13" s="601">
        <v>45849</v>
      </c>
      <c r="H13" s="602">
        <v>22.4</v>
      </c>
      <c r="I13" s="845" t="s">
        <v>557</v>
      </c>
      <c r="J13" s="846"/>
      <c r="K13" s="846"/>
      <c r="L13" s="847"/>
      <c r="M13" s="601">
        <v>45891</v>
      </c>
      <c r="N13" s="67" t="s">
        <v>91</v>
      </c>
      <c r="O13" s="68"/>
      <c r="P13" s="629">
        <v>10</v>
      </c>
      <c r="Q13" s="70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8.5" x14ac:dyDescent="0.45">
      <c r="A14" s="46"/>
      <c r="B14" s="599">
        <v>2</v>
      </c>
      <c r="C14" s="600" t="s">
        <v>92</v>
      </c>
      <c r="D14" s="599" t="s">
        <v>93</v>
      </c>
      <c r="E14" s="599" t="s">
        <v>94</v>
      </c>
      <c r="F14" s="601">
        <f>G14</f>
        <v>45854</v>
      </c>
      <c r="G14" s="601">
        <v>45854</v>
      </c>
      <c r="H14" s="603">
        <v>26.43</v>
      </c>
      <c r="I14" s="845" t="s">
        <v>557</v>
      </c>
      <c r="J14" s="846"/>
      <c r="K14" s="846"/>
      <c r="L14" s="847"/>
      <c r="M14" s="601">
        <v>45876</v>
      </c>
      <c r="N14" s="67" t="s">
        <v>91</v>
      </c>
      <c r="O14" s="68"/>
      <c r="P14" s="629">
        <v>10</v>
      </c>
      <c r="Q14" s="71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8.5" x14ac:dyDescent="0.45">
      <c r="A15" s="1"/>
      <c r="B15" s="608">
        <v>3</v>
      </c>
      <c r="C15" s="604" t="s">
        <v>95</v>
      </c>
      <c r="D15" s="599" t="s">
        <v>89</v>
      </c>
      <c r="E15" s="599" t="s">
        <v>94</v>
      </c>
      <c r="F15" s="601">
        <f>ROW!D6</f>
        <v>45881</v>
      </c>
      <c r="G15" s="601">
        <v>45892</v>
      </c>
      <c r="H15" s="618">
        <v>23.27</v>
      </c>
      <c r="I15" s="845" t="s">
        <v>557</v>
      </c>
      <c r="J15" s="846"/>
      <c r="K15" s="846"/>
      <c r="L15" s="847"/>
      <c r="M15" s="623">
        <v>45913</v>
      </c>
      <c r="N15" s="67" t="s">
        <v>91</v>
      </c>
      <c r="O15" s="72"/>
      <c r="P15" s="630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5" x14ac:dyDescent="0.45">
      <c r="A16" s="1"/>
      <c r="B16" s="608">
        <v>4</v>
      </c>
      <c r="C16" s="604" t="s">
        <v>96</v>
      </c>
      <c r="D16" s="599" t="s">
        <v>97</v>
      </c>
      <c r="E16" s="608" t="s">
        <v>551</v>
      </c>
      <c r="F16" s="601">
        <v>45897</v>
      </c>
      <c r="G16" s="609">
        <v>45898</v>
      </c>
      <c r="H16" s="618">
        <v>36.659999999999997</v>
      </c>
      <c r="I16" s="845" t="s">
        <v>557</v>
      </c>
      <c r="J16" s="846"/>
      <c r="K16" s="846"/>
      <c r="L16" s="847"/>
      <c r="M16" s="623">
        <v>45940</v>
      </c>
      <c r="N16" s="67" t="s">
        <v>91</v>
      </c>
      <c r="O16" s="72"/>
      <c r="P16" s="630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8.5" x14ac:dyDescent="0.45">
      <c r="A17" s="1"/>
      <c r="B17" s="608">
        <v>5</v>
      </c>
      <c r="C17" s="608" t="s">
        <v>98</v>
      </c>
      <c r="D17" s="599" t="s">
        <v>89</v>
      </c>
      <c r="E17" s="608" t="s">
        <v>552</v>
      </c>
      <c r="F17" s="601">
        <v>45898</v>
      </c>
      <c r="G17" s="609">
        <v>45902</v>
      </c>
      <c r="H17" s="618">
        <v>21.96</v>
      </c>
      <c r="I17" s="845" t="s">
        <v>557</v>
      </c>
      <c r="J17" s="846"/>
      <c r="K17" s="846"/>
      <c r="L17" s="847"/>
      <c r="M17" s="623">
        <v>45918</v>
      </c>
      <c r="N17" s="67" t="s">
        <v>91</v>
      </c>
      <c r="O17" s="72"/>
      <c r="P17" s="630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8.5" x14ac:dyDescent="0.35">
      <c r="A18" s="1"/>
      <c r="B18" s="608">
        <v>6</v>
      </c>
      <c r="C18" s="608" t="s">
        <v>331</v>
      </c>
      <c r="D18" s="599" t="s">
        <v>89</v>
      </c>
      <c r="E18" s="608" t="s">
        <v>552</v>
      </c>
      <c r="F18" s="609">
        <v>45916</v>
      </c>
      <c r="G18" s="609">
        <v>45917</v>
      </c>
      <c r="H18" s="618">
        <v>21.96</v>
      </c>
      <c r="I18" s="874" t="s">
        <v>563</v>
      </c>
      <c r="J18" s="875"/>
      <c r="K18" s="875"/>
      <c r="L18" s="876"/>
      <c r="M18" s="623">
        <v>45961</v>
      </c>
      <c r="N18" s="67" t="s">
        <v>561</v>
      </c>
      <c r="O18" s="72"/>
      <c r="P18" s="630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8.5" x14ac:dyDescent="0.35">
      <c r="A19" s="1"/>
      <c r="B19" s="610">
        <v>7</v>
      </c>
      <c r="C19" s="611" t="s">
        <v>346</v>
      </c>
      <c r="D19" s="605" t="s">
        <v>93</v>
      </c>
      <c r="E19" s="611" t="s">
        <v>551</v>
      </c>
      <c r="F19" s="612">
        <v>45919</v>
      </c>
      <c r="G19" s="612">
        <v>45923</v>
      </c>
      <c r="H19" s="619">
        <v>36.659999999999997</v>
      </c>
      <c r="I19" s="874" t="s">
        <v>563</v>
      </c>
      <c r="J19" s="875"/>
      <c r="K19" s="875"/>
      <c r="L19" s="876"/>
      <c r="M19" s="624">
        <v>45957</v>
      </c>
      <c r="N19" s="446" t="s">
        <v>91</v>
      </c>
      <c r="O19" s="447"/>
      <c r="P19" s="631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ht="18.5" x14ac:dyDescent="0.45">
      <c r="A20" s="1"/>
      <c r="B20" s="613">
        <v>8</v>
      </c>
      <c r="C20" s="613" t="s">
        <v>283</v>
      </c>
      <c r="D20" s="606" t="s">
        <v>89</v>
      </c>
      <c r="E20" s="613" t="s">
        <v>552</v>
      </c>
      <c r="F20" s="614">
        <v>45930</v>
      </c>
      <c r="G20" s="614">
        <v>45938</v>
      </c>
      <c r="H20" s="618">
        <v>21.96</v>
      </c>
      <c r="I20" s="845" t="s">
        <v>557</v>
      </c>
      <c r="J20" s="846"/>
      <c r="K20" s="846"/>
      <c r="L20" s="847"/>
      <c r="M20" s="625">
        <v>45949</v>
      </c>
      <c r="N20" s="448" t="s">
        <v>562</v>
      </c>
      <c r="O20" s="448"/>
      <c r="P20" s="632">
        <v>10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108" ht="18.5" x14ac:dyDescent="0.35">
      <c r="A21" s="1"/>
      <c r="B21" s="613">
        <v>9</v>
      </c>
      <c r="C21" s="613" t="s">
        <v>351</v>
      </c>
      <c r="D21" s="606" t="s">
        <v>89</v>
      </c>
      <c r="E21" s="613" t="s">
        <v>552</v>
      </c>
      <c r="F21" s="614">
        <v>45919</v>
      </c>
      <c r="G21" s="614">
        <v>45940</v>
      </c>
      <c r="H21" s="618">
        <v>21.96</v>
      </c>
      <c r="I21" s="851" t="s">
        <v>557</v>
      </c>
      <c r="J21" s="852"/>
      <c r="K21" s="852"/>
      <c r="L21" s="853"/>
      <c r="M21" s="625">
        <v>45949</v>
      </c>
      <c r="N21" s="448" t="s">
        <v>561</v>
      </c>
      <c r="O21" s="448"/>
      <c r="P21" s="632">
        <v>10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108" s="453" customFormat="1" ht="18.5" x14ac:dyDescent="0.45">
      <c r="A22" s="428"/>
      <c r="B22" s="615">
        <v>10</v>
      </c>
      <c r="C22" s="615" t="s">
        <v>282</v>
      </c>
      <c r="D22" s="607" t="s">
        <v>97</v>
      </c>
      <c r="E22" s="615" t="s">
        <v>552</v>
      </c>
      <c r="F22" s="616">
        <v>45933</v>
      </c>
      <c r="G22" s="616">
        <v>45938</v>
      </c>
      <c r="H22" s="620">
        <v>25.04</v>
      </c>
      <c r="I22" s="845" t="s">
        <v>557</v>
      </c>
      <c r="J22" s="846"/>
      <c r="K22" s="846"/>
      <c r="L22" s="847"/>
      <c r="M22" s="626">
        <v>45951</v>
      </c>
      <c r="N22" s="448" t="s">
        <v>562</v>
      </c>
      <c r="O22" s="452"/>
      <c r="P22" s="633">
        <v>20</v>
      </c>
      <c r="Q22" s="428"/>
      <c r="R22" s="428"/>
      <c r="S22" s="428"/>
      <c r="T22" s="428"/>
      <c r="U22" s="428"/>
      <c r="V22" s="428"/>
      <c r="W22" s="428"/>
      <c r="X22" s="428"/>
      <c r="Y22" s="428"/>
      <c r="Z22" s="428"/>
    </row>
    <row r="23" spans="1:108" s="436" customFormat="1" ht="18.5" x14ac:dyDescent="0.35">
      <c r="A23" s="428"/>
      <c r="B23" s="613">
        <v>11</v>
      </c>
      <c r="C23" s="613" t="s">
        <v>352</v>
      </c>
      <c r="D23" s="606" t="s">
        <v>89</v>
      </c>
      <c r="E23" s="615" t="s">
        <v>552</v>
      </c>
      <c r="F23" s="614">
        <v>45925</v>
      </c>
      <c r="G23" s="614">
        <v>45941</v>
      </c>
      <c r="H23" s="620">
        <v>21.96</v>
      </c>
      <c r="I23" s="851" t="s">
        <v>557</v>
      </c>
      <c r="J23" s="852"/>
      <c r="K23" s="852"/>
      <c r="L23" s="853"/>
      <c r="M23" s="627">
        <v>45954</v>
      </c>
      <c r="N23" s="448" t="s">
        <v>561</v>
      </c>
      <c r="O23" s="448"/>
      <c r="P23" s="632">
        <v>10</v>
      </c>
      <c r="Q23" s="428"/>
      <c r="R23" s="428"/>
      <c r="S23" s="428"/>
      <c r="T23" s="428"/>
      <c r="U23" s="428"/>
      <c r="V23" s="428"/>
      <c r="W23" s="428"/>
      <c r="X23" s="428"/>
      <c r="Y23" s="428"/>
      <c r="Z23" s="428"/>
      <c r="AA23" s="453"/>
      <c r="AB23" s="453"/>
      <c r="AC23" s="453"/>
      <c r="AD23" s="453"/>
      <c r="AE23" s="453"/>
      <c r="AF23" s="453"/>
      <c r="AG23" s="453"/>
      <c r="AH23" s="453"/>
      <c r="AI23" s="453"/>
      <c r="AJ23" s="453"/>
      <c r="AK23" s="453"/>
      <c r="AL23" s="453"/>
      <c r="AM23" s="453"/>
      <c r="AN23" s="453"/>
      <c r="AO23" s="453"/>
      <c r="AP23" s="453"/>
      <c r="AQ23" s="453"/>
      <c r="AR23" s="453"/>
      <c r="AS23" s="453"/>
      <c r="AT23" s="453"/>
      <c r="AU23" s="453"/>
      <c r="AV23" s="453"/>
      <c r="AW23" s="453"/>
      <c r="AX23" s="453"/>
      <c r="AY23" s="453"/>
      <c r="AZ23" s="453"/>
      <c r="BA23" s="453"/>
      <c r="BB23" s="453"/>
      <c r="BC23" s="453"/>
      <c r="BD23" s="453"/>
      <c r="BE23" s="453"/>
      <c r="BF23" s="453"/>
      <c r="BG23" s="453"/>
      <c r="BH23" s="453"/>
      <c r="BI23" s="453"/>
      <c r="BJ23" s="453"/>
      <c r="BK23" s="453"/>
      <c r="BL23" s="453"/>
      <c r="BM23" s="453"/>
      <c r="BN23" s="453"/>
      <c r="BO23" s="453"/>
      <c r="BP23" s="453"/>
      <c r="BQ23" s="453"/>
      <c r="BR23" s="453"/>
      <c r="BS23" s="453"/>
      <c r="BT23" s="453"/>
      <c r="BU23" s="453"/>
      <c r="BV23" s="453"/>
      <c r="BW23" s="453"/>
      <c r="BX23" s="453"/>
      <c r="BY23" s="453"/>
      <c r="BZ23" s="453"/>
      <c r="CA23" s="453"/>
      <c r="CB23" s="453"/>
      <c r="CC23" s="453"/>
      <c r="CD23" s="453"/>
      <c r="CE23" s="453"/>
      <c r="CF23" s="453"/>
      <c r="CG23" s="453"/>
      <c r="CH23" s="453"/>
      <c r="CI23" s="453"/>
      <c r="CJ23" s="453"/>
      <c r="CK23" s="453"/>
      <c r="CL23" s="453"/>
      <c r="CM23" s="453"/>
      <c r="CN23" s="453"/>
      <c r="CO23" s="453"/>
      <c r="CP23" s="453"/>
      <c r="CQ23" s="453"/>
      <c r="CR23" s="453"/>
      <c r="CS23" s="453"/>
      <c r="CT23" s="453"/>
      <c r="CU23" s="453"/>
      <c r="CV23" s="453"/>
      <c r="CW23" s="453"/>
      <c r="CX23" s="453"/>
      <c r="CY23" s="453"/>
      <c r="CZ23" s="453"/>
      <c r="DA23" s="453"/>
      <c r="DB23" s="453"/>
      <c r="DC23" s="453"/>
      <c r="DD23" s="453"/>
    </row>
    <row r="24" spans="1:108" s="453" customFormat="1" ht="18.5" x14ac:dyDescent="0.35">
      <c r="A24" s="428"/>
      <c r="B24" s="613">
        <v>12</v>
      </c>
      <c r="C24" s="613" t="s">
        <v>285</v>
      </c>
      <c r="D24" s="606" t="s">
        <v>89</v>
      </c>
      <c r="E24" s="613" t="s">
        <v>94</v>
      </c>
      <c r="F24" s="614"/>
      <c r="G24" s="614">
        <v>45944</v>
      </c>
      <c r="H24" s="620">
        <v>23.27</v>
      </c>
      <c r="I24" s="851" t="s">
        <v>557</v>
      </c>
      <c r="J24" s="852"/>
      <c r="K24" s="852"/>
      <c r="L24" s="853"/>
      <c r="M24" s="627">
        <v>45955</v>
      </c>
      <c r="N24" s="448" t="s">
        <v>559</v>
      </c>
      <c r="O24" s="448"/>
      <c r="P24" s="632">
        <v>20</v>
      </c>
      <c r="Q24" s="428"/>
      <c r="R24" s="428"/>
      <c r="S24" s="428"/>
      <c r="T24" s="428"/>
      <c r="U24" s="428"/>
      <c r="V24" s="428"/>
      <c r="W24" s="428"/>
      <c r="X24" s="428"/>
      <c r="Y24" s="428"/>
      <c r="Z24" s="428"/>
    </row>
    <row r="25" spans="1:108" s="453" customFormat="1" ht="18.5" x14ac:dyDescent="0.35">
      <c r="A25" s="428"/>
      <c r="B25" s="613">
        <v>13</v>
      </c>
      <c r="C25" s="613" t="s">
        <v>286</v>
      </c>
      <c r="D25" s="606" t="s">
        <v>97</v>
      </c>
      <c r="E25" s="613" t="s">
        <v>552</v>
      </c>
      <c r="F25" s="614"/>
      <c r="G25" s="614">
        <v>45953</v>
      </c>
      <c r="H25" s="620">
        <v>25.04</v>
      </c>
      <c r="I25" s="851" t="s">
        <v>557</v>
      </c>
      <c r="J25" s="852"/>
      <c r="K25" s="852"/>
      <c r="L25" s="853"/>
      <c r="M25" s="627">
        <v>45976</v>
      </c>
      <c r="N25" s="448" t="s">
        <v>559</v>
      </c>
      <c r="O25" s="448"/>
      <c r="P25" s="632">
        <v>15</v>
      </c>
      <c r="Q25" s="428"/>
      <c r="R25" s="428"/>
      <c r="S25" s="428"/>
      <c r="T25" s="428"/>
      <c r="U25" s="428"/>
      <c r="V25" s="428"/>
      <c r="W25" s="428"/>
      <c r="X25" s="428"/>
      <c r="Y25" s="428"/>
      <c r="Z25" s="428"/>
    </row>
    <row r="26" spans="1:108" s="453" customFormat="1" ht="18.5" x14ac:dyDescent="0.45">
      <c r="A26" s="428"/>
      <c r="B26" s="613">
        <v>14</v>
      </c>
      <c r="C26" s="613" t="s">
        <v>337</v>
      </c>
      <c r="D26" s="606" t="s">
        <v>93</v>
      </c>
      <c r="E26" s="613" t="s">
        <v>552</v>
      </c>
      <c r="F26" s="614"/>
      <c r="G26" s="614">
        <v>45957</v>
      </c>
      <c r="H26" s="620">
        <v>25.04</v>
      </c>
      <c r="I26" s="845" t="s">
        <v>557</v>
      </c>
      <c r="J26" s="846"/>
      <c r="K26" s="846"/>
      <c r="L26" s="847"/>
      <c r="M26" s="627">
        <v>45966</v>
      </c>
      <c r="N26" s="448" t="s">
        <v>561</v>
      </c>
      <c r="O26" s="448"/>
      <c r="P26" s="632">
        <v>10</v>
      </c>
      <c r="Q26" s="428"/>
      <c r="R26" s="428"/>
      <c r="S26" s="428"/>
      <c r="T26" s="428"/>
      <c r="U26" s="428"/>
      <c r="V26" s="428"/>
      <c r="W26" s="428"/>
      <c r="X26" s="428"/>
      <c r="Y26" s="428"/>
      <c r="Z26" s="428"/>
    </row>
    <row r="27" spans="1:108" s="453" customFormat="1" ht="18.5" x14ac:dyDescent="0.45">
      <c r="A27" s="428"/>
      <c r="B27" s="613">
        <v>15</v>
      </c>
      <c r="C27" s="613" t="s">
        <v>276</v>
      </c>
      <c r="D27" s="606" t="s">
        <v>89</v>
      </c>
      <c r="E27" s="613" t="s">
        <v>552</v>
      </c>
      <c r="F27" s="614"/>
      <c r="G27" s="614">
        <v>46000</v>
      </c>
      <c r="H27" s="618">
        <v>21.96</v>
      </c>
      <c r="I27" s="845" t="s">
        <v>557</v>
      </c>
      <c r="J27" s="846"/>
      <c r="K27" s="846"/>
      <c r="L27" s="847"/>
      <c r="M27" s="627">
        <v>46005</v>
      </c>
      <c r="N27" s="448" t="s">
        <v>559</v>
      </c>
      <c r="O27" s="448"/>
      <c r="P27" s="632">
        <v>21</v>
      </c>
      <c r="Q27" s="428"/>
      <c r="R27" s="428"/>
      <c r="S27" s="428"/>
      <c r="T27" s="428"/>
      <c r="U27" s="428"/>
      <c r="V27" s="428"/>
      <c r="W27" s="428"/>
      <c r="X27" s="428"/>
      <c r="Y27" s="428"/>
      <c r="Z27" s="428"/>
    </row>
    <row r="28" spans="1:108" s="453" customFormat="1" ht="18.5" x14ac:dyDescent="0.45">
      <c r="A28" s="428"/>
      <c r="B28" s="613">
        <v>16</v>
      </c>
      <c r="C28" s="613" t="s">
        <v>117</v>
      </c>
      <c r="D28" s="606" t="s">
        <v>89</v>
      </c>
      <c r="E28" s="613"/>
      <c r="F28" s="614"/>
      <c r="G28" s="614"/>
      <c r="H28" s="620"/>
      <c r="I28" s="854" t="s">
        <v>566</v>
      </c>
      <c r="J28" s="855"/>
      <c r="K28" s="855"/>
      <c r="L28" s="856"/>
      <c r="M28" s="628"/>
      <c r="N28" s="448"/>
      <c r="O28" s="448"/>
      <c r="P28" s="632"/>
      <c r="Q28" s="428"/>
      <c r="R28" s="428"/>
      <c r="S28" s="428"/>
      <c r="T28" s="428"/>
      <c r="U28" s="428"/>
      <c r="V28" s="428"/>
      <c r="W28" s="428"/>
      <c r="X28" s="428"/>
      <c r="Y28" s="428"/>
      <c r="Z28" s="428"/>
    </row>
    <row r="29" spans="1:108" s="453" customFormat="1" ht="18.5" x14ac:dyDescent="0.45">
      <c r="A29" s="428"/>
      <c r="B29" s="613">
        <v>17</v>
      </c>
      <c r="C29" s="613" t="s">
        <v>564</v>
      </c>
      <c r="D29" s="606" t="s">
        <v>89</v>
      </c>
      <c r="E29" s="613" t="s">
        <v>552</v>
      </c>
      <c r="F29" s="614"/>
      <c r="G29" s="614">
        <v>45959</v>
      </c>
      <c r="H29" s="620">
        <v>21.96</v>
      </c>
      <c r="I29" s="848" t="s">
        <v>563</v>
      </c>
      <c r="J29" s="849"/>
      <c r="K29" s="849"/>
      <c r="L29" s="850"/>
      <c r="M29" s="627">
        <v>45969</v>
      </c>
      <c r="N29" s="448" t="s">
        <v>559</v>
      </c>
      <c r="O29" s="448"/>
      <c r="P29" s="632">
        <v>15</v>
      </c>
      <c r="Q29" s="428"/>
      <c r="R29" s="428"/>
      <c r="S29" s="428"/>
      <c r="T29" s="428"/>
      <c r="U29" s="428"/>
      <c r="V29" s="428"/>
      <c r="W29" s="428"/>
      <c r="X29" s="428"/>
      <c r="Y29" s="428"/>
      <c r="Z29" s="428"/>
    </row>
    <row r="30" spans="1:108" s="453" customFormat="1" ht="18.5" x14ac:dyDescent="0.45">
      <c r="A30" s="428"/>
      <c r="B30" s="613">
        <v>18</v>
      </c>
      <c r="C30" s="613" t="s">
        <v>334</v>
      </c>
      <c r="D30" s="606" t="s">
        <v>89</v>
      </c>
      <c r="E30" s="613" t="s">
        <v>94</v>
      </c>
      <c r="F30" s="614"/>
      <c r="G30" s="614">
        <v>45963</v>
      </c>
      <c r="H30" s="620">
        <v>23.27</v>
      </c>
      <c r="I30" s="848" t="s">
        <v>563</v>
      </c>
      <c r="J30" s="849"/>
      <c r="K30" s="849"/>
      <c r="L30" s="850"/>
      <c r="M30" s="627">
        <v>45970</v>
      </c>
      <c r="N30" s="448" t="s">
        <v>561</v>
      </c>
      <c r="O30" s="448"/>
      <c r="P30" s="632">
        <v>10</v>
      </c>
      <c r="Q30" s="428"/>
      <c r="R30" s="428"/>
      <c r="S30" s="428"/>
      <c r="T30" s="428"/>
      <c r="U30" s="428"/>
      <c r="V30" s="428"/>
      <c r="W30" s="428"/>
      <c r="X30" s="428"/>
      <c r="Y30" s="428"/>
      <c r="Z30" s="428"/>
    </row>
    <row r="31" spans="1:108" s="453" customFormat="1" ht="18.5" x14ac:dyDescent="0.45">
      <c r="A31" s="428"/>
      <c r="B31" s="613">
        <v>19</v>
      </c>
      <c r="C31" s="613" t="s">
        <v>335</v>
      </c>
      <c r="D31" s="606" t="s">
        <v>89</v>
      </c>
      <c r="E31" s="613" t="s">
        <v>94</v>
      </c>
      <c r="F31" s="614"/>
      <c r="G31" s="614">
        <v>45963</v>
      </c>
      <c r="H31" s="620">
        <v>23.27</v>
      </c>
      <c r="I31" s="848" t="s">
        <v>563</v>
      </c>
      <c r="J31" s="849"/>
      <c r="K31" s="849"/>
      <c r="L31" s="850"/>
      <c r="M31" s="627">
        <v>45974</v>
      </c>
      <c r="N31" s="448" t="s">
        <v>91</v>
      </c>
      <c r="O31" s="448"/>
      <c r="P31" s="632">
        <v>10</v>
      </c>
      <c r="Q31" s="428"/>
      <c r="R31" s="428"/>
      <c r="S31" s="428"/>
      <c r="T31" s="428"/>
      <c r="U31" s="428"/>
      <c r="V31" s="428"/>
      <c r="W31" s="428"/>
      <c r="X31" s="428"/>
      <c r="Y31" s="428"/>
      <c r="Z31" s="428"/>
    </row>
    <row r="32" spans="1:108" s="453" customFormat="1" ht="18.5" x14ac:dyDescent="0.45">
      <c r="A32" s="428"/>
      <c r="B32" s="613">
        <v>20</v>
      </c>
      <c r="C32" s="613" t="s">
        <v>327</v>
      </c>
      <c r="D32" s="606" t="s">
        <v>89</v>
      </c>
      <c r="E32" s="613" t="s">
        <v>552</v>
      </c>
      <c r="F32" s="614"/>
      <c r="G32" s="614">
        <v>45968</v>
      </c>
      <c r="H32" s="618">
        <v>21.96</v>
      </c>
      <c r="I32" s="848" t="s">
        <v>563</v>
      </c>
      <c r="J32" s="849"/>
      <c r="K32" s="849"/>
      <c r="L32" s="850"/>
      <c r="M32" s="627">
        <v>45986</v>
      </c>
      <c r="N32" s="448" t="s">
        <v>91</v>
      </c>
      <c r="O32" s="448"/>
      <c r="P32" s="632">
        <v>10</v>
      </c>
      <c r="Q32" s="428"/>
      <c r="R32" s="428"/>
      <c r="S32" s="428"/>
      <c r="T32" s="428"/>
      <c r="U32" s="428"/>
      <c r="V32" s="428"/>
      <c r="W32" s="428"/>
      <c r="X32" s="428"/>
      <c r="Y32" s="428"/>
      <c r="Z32" s="428"/>
    </row>
    <row r="33" spans="1:26" s="453" customFormat="1" ht="18.5" x14ac:dyDescent="0.45">
      <c r="A33" s="428"/>
      <c r="B33" s="613">
        <v>21</v>
      </c>
      <c r="C33" s="613" t="s">
        <v>330</v>
      </c>
      <c r="D33" s="606" t="s">
        <v>89</v>
      </c>
      <c r="E33" s="613" t="s">
        <v>94</v>
      </c>
      <c r="F33" s="614"/>
      <c r="G33" s="614">
        <v>45968</v>
      </c>
      <c r="H33" s="620">
        <v>23.27</v>
      </c>
      <c r="I33" s="848" t="s">
        <v>563</v>
      </c>
      <c r="J33" s="849"/>
      <c r="K33" s="849"/>
      <c r="L33" s="850"/>
      <c r="M33" s="627">
        <v>45980</v>
      </c>
      <c r="N33" s="448" t="s">
        <v>91</v>
      </c>
      <c r="O33" s="448"/>
      <c r="P33" s="632">
        <v>10</v>
      </c>
      <c r="Q33" s="428"/>
      <c r="R33" s="428"/>
      <c r="S33" s="428"/>
      <c r="T33" s="428"/>
      <c r="U33" s="428"/>
      <c r="V33" s="428"/>
      <c r="W33" s="428"/>
      <c r="X33" s="428"/>
      <c r="Y33" s="428"/>
      <c r="Z33" s="428"/>
    </row>
    <row r="34" spans="1:26" s="453" customFormat="1" ht="18.5" x14ac:dyDescent="0.45">
      <c r="A34" s="428"/>
      <c r="B34" s="613">
        <v>22</v>
      </c>
      <c r="C34" s="613" t="s">
        <v>293</v>
      </c>
      <c r="D34" s="606" t="s">
        <v>93</v>
      </c>
      <c r="E34" s="613" t="s">
        <v>94</v>
      </c>
      <c r="F34" s="614"/>
      <c r="G34" s="614">
        <v>45973</v>
      </c>
      <c r="H34" s="620">
        <v>26.43</v>
      </c>
      <c r="I34" s="848" t="s">
        <v>563</v>
      </c>
      <c r="J34" s="849"/>
      <c r="K34" s="849"/>
      <c r="L34" s="850"/>
      <c r="M34" s="627">
        <v>45984</v>
      </c>
      <c r="N34" s="448" t="s">
        <v>559</v>
      </c>
      <c r="O34" s="448"/>
      <c r="P34" s="632">
        <v>10</v>
      </c>
      <c r="Q34" s="428"/>
      <c r="R34" s="428"/>
      <c r="S34" s="428"/>
      <c r="T34" s="428"/>
      <c r="U34" s="428"/>
      <c r="V34" s="428"/>
      <c r="W34" s="428"/>
      <c r="X34" s="428"/>
      <c r="Y34" s="428"/>
      <c r="Z34" s="428"/>
    </row>
    <row r="35" spans="1:26" s="453" customFormat="1" ht="18.5" x14ac:dyDescent="0.45">
      <c r="A35" s="428"/>
      <c r="B35" s="613">
        <v>23</v>
      </c>
      <c r="C35" s="613" t="s">
        <v>329</v>
      </c>
      <c r="D35" s="606" t="s">
        <v>89</v>
      </c>
      <c r="E35" s="613" t="s">
        <v>552</v>
      </c>
      <c r="F35" s="614"/>
      <c r="G35" s="614">
        <v>45979</v>
      </c>
      <c r="H35" s="618">
        <v>21.96</v>
      </c>
      <c r="I35" s="848" t="s">
        <v>563</v>
      </c>
      <c r="J35" s="849"/>
      <c r="K35" s="849"/>
      <c r="L35" s="850"/>
      <c r="M35" s="627">
        <v>45991</v>
      </c>
      <c r="N35" s="448" t="s">
        <v>91</v>
      </c>
      <c r="O35" s="448"/>
      <c r="P35" s="632">
        <v>10</v>
      </c>
      <c r="Q35" s="428"/>
      <c r="R35" s="428"/>
      <c r="S35" s="428"/>
      <c r="T35" s="428"/>
      <c r="U35" s="428"/>
      <c r="V35" s="428"/>
      <c r="W35" s="428"/>
      <c r="X35" s="428"/>
      <c r="Y35" s="428"/>
      <c r="Z35" s="428"/>
    </row>
    <row r="36" spans="1:26" s="453" customFormat="1" ht="18.5" x14ac:dyDescent="0.45">
      <c r="A36" s="428"/>
      <c r="B36" s="613">
        <v>24</v>
      </c>
      <c r="C36" s="613" t="s">
        <v>284</v>
      </c>
      <c r="D36" s="606" t="s">
        <v>89</v>
      </c>
      <c r="E36" s="613"/>
      <c r="F36" s="614"/>
      <c r="G36" s="614">
        <v>45983</v>
      </c>
      <c r="H36" s="613"/>
      <c r="I36" s="854" t="s">
        <v>697</v>
      </c>
      <c r="J36" s="855"/>
      <c r="K36" s="855"/>
      <c r="L36" s="856"/>
      <c r="M36" s="628"/>
      <c r="N36" s="448"/>
      <c r="O36" s="448"/>
      <c r="P36" s="632"/>
      <c r="Q36" s="428"/>
      <c r="R36" s="428"/>
      <c r="S36" s="428"/>
      <c r="T36" s="428"/>
      <c r="U36" s="428"/>
      <c r="V36" s="428"/>
      <c r="W36" s="428"/>
      <c r="X36" s="428"/>
      <c r="Y36" s="428"/>
      <c r="Z36" s="428"/>
    </row>
    <row r="37" spans="1:26" s="453" customFormat="1" ht="18.5" x14ac:dyDescent="0.45">
      <c r="A37" s="428"/>
      <c r="B37" s="613">
        <v>25</v>
      </c>
      <c r="C37" s="613" t="s">
        <v>277</v>
      </c>
      <c r="D37" s="606" t="s">
        <v>89</v>
      </c>
      <c r="E37" s="613" t="s">
        <v>94</v>
      </c>
      <c r="F37" s="614"/>
      <c r="G37" s="614">
        <v>45984</v>
      </c>
      <c r="H37" s="620">
        <v>23.27</v>
      </c>
      <c r="I37" s="848" t="s">
        <v>563</v>
      </c>
      <c r="J37" s="849"/>
      <c r="K37" s="849"/>
      <c r="L37" s="850"/>
      <c r="M37" s="627">
        <v>45990</v>
      </c>
      <c r="N37" s="448" t="s">
        <v>559</v>
      </c>
      <c r="O37" s="448"/>
      <c r="P37" s="632">
        <v>10</v>
      </c>
      <c r="Q37" s="428"/>
      <c r="R37" s="428"/>
      <c r="S37" s="428"/>
      <c r="T37" s="428"/>
      <c r="U37" s="428"/>
      <c r="V37" s="428"/>
      <c r="W37" s="428"/>
      <c r="X37" s="428"/>
      <c r="Y37" s="428"/>
      <c r="Z37" s="428"/>
    </row>
    <row r="38" spans="1:26" s="453" customFormat="1" ht="18.5" x14ac:dyDescent="0.45">
      <c r="A38" s="428"/>
      <c r="B38" s="613">
        <v>26</v>
      </c>
      <c r="C38" s="613" t="s">
        <v>333</v>
      </c>
      <c r="D38" s="606" t="s">
        <v>89</v>
      </c>
      <c r="E38" s="613" t="s">
        <v>90</v>
      </c>
      <c r="F38" s="614"/>
      <c r="G38" s="614">
        <v>45988</v>
      </c>
      <c r="H38" s="620">
        <v>22.4</v>
      </c>
      <c r="I38" s="848" t="s">
        <v>563</v>
      </c>
      <c r="J38" s="849"/>
      <c r="K38" s="849"/>
      <c r="L38" s="850"/>
      <c r="M38" s="627">
        <v>46003</v>
      </c>
      <c r="N38" s="448" t="s">
        <v>91</v>
      </c>
      <c r="O38" s="448"/>
      <c r="P38" s="632">
        <v>15</v>
      </c>
      <c r="Q38" s="428"/>
      <c r="R38" s="428"/>
      <c r="S38" s="428"/>
      <c r="T38" s="428"/>
      <c r="U38" s="428"/>
      <c r="V38" s="428"/>
      <c r="W38" s="428"/>
      <c r="X38" s="428"/>
      <c r="Y38" s="428"/>
      <c r="Z38" s="428"/>
    </row>
    <row r="39" spans="1:26" s="453" customFormat="1" ht="18.5" x14ac:dyDescent="0.45">
      <c r="A39" s="428"/>
      <c r="B39" s="613">
        <v>27</v>
      </c>
      <c r="C39" s="613" t="s">
        <v>275</v>
      </c>
      <c r="D39" s="606" t="s">
        <v>89</v>
      </c>
      <c r="E39" s="613" t="s">
        <v>552</v>
      </c>
      <c r="F39" s="614"/>
      <c r="G39" s="614">
        <v>45988</v>
      </c>
      <c r="H39" s="618">
        <v>21.96</v>
      </c>
      <c r="I39" s="848" t="s">
        <v>563</v>
      </c>
      <c r="J39" s="849"/>
      <c r="K39" s="849"/>
      <c r="L39" s="850"/>
      <c r="M39" s="627">
        <v>45994</v>
      </c>
      <c r="N39" s="448" t="s">
        <v>559</v>
      </c>
      <c r="O39" s="448"/>
      <c r="P39" s="632">
        <v>16</v>
      </c>
      <c r="Q39" s="428"/>
      <c r="R39" s="428"/>
      <c r="S39" s="428"/>
      <c r="T39" s="428"/>
      <c r="U39" s="428"/>
      <c r="V39" s="428"/>
      <c r="W39" s="428"/>
      <c r="X39" s="428"/>
      <c r="Y39" s="428"/>
      <c r="Z39" s="428"/>
    </row>
    <row r="40" spans="1:26" s="453" customFormat="1" ht="18.5" x14ac:dyDescent="0.45">
      <c r="A40" s="428"/>
      <c r="B40" s="613">
        <v>28</v>
      </c>
      <c r="C40" s="613" t="s">
        <v>274</v>
      </c>
      <c r="D40" s="606" t="s">
        <v>97</v>
      </c>
      <c r="E40" s="613" t="s">
        <v>552</v>
      </c>
      <c r="F40" s="614"/>
      <c r="G40" s="614">
        <v>45992</v>
      </c>
      <c r="H40" s="620">
        <v>25.04</v>
      </c>
      <c r="I40" s="848" t="s">
        <v>563</v>
      </c>
      <c r="J40" s="849"/>
      <c r="K40" s="849"/>
      <c r="L40" s="850"/>
      <c r="M40" s="627">
        <v>45999</v>
      </c>
      <c r="N40" s="448" t="s">
        <v>559</v>
      </c>
      <c r="O40" s="448"/>
      <c r="P40" s="632">
        <v>16</v>
      </c>
      <c r="Q40" s="428" t="s">
        <v>69</v>
      </c>
      <c r="R40" s="428"/>
      <c r="S40" s="428"/>
      <c r="T40" s="428"/>
      <c r="U40" s="428"/>
      <c r="V40" s="428"/>
      <c r="W40" s="428"/>
      <c r="X40" s="428"/>
      <c r="Y40" s="428"/>
      <c r="Z40" s="428"/>
    </row>
    <row r="41" spans="1:26" s="453" customFormat="1" ht="18.5" x14ac:dyDescent="0.45">
      <c r="A41" s="428"/>
      <c r="B41" s="613">
        <v>29</v>
      </c>
      <c r="C41" s="613" t="s">
        <v>322</v>
      </c>
      <c r="D41" s="606" t="s">
        <v>97</v>
      </c>
      <c r="E41" s="613" t="s">
        <v>90</v>
      </c>
      <c r="F41" s="614"/>
      <c r="G41" s="614">
        <v>45995</v>
      </c>
      <c r="H41" s="620">
        <v>25.77</v>
      </c>
      <c r="I41" s="848" t="s">
        <v>563</v>
      </c>
      <c r="J41" s="849"/>
      <c r="K41" s="849"/>
      <c r="L41" s="850"/>
      <c r="M41" s="627">
        <v>46009</v>
      </c>
      <c r="N41" s="448" t="s">
        <v>702</v>
      </c>
      <c r="O41" s="448"/>
      <c r="P41" s="449">
        <v>10</v>
      </c>
      <c r="Q41" s="428"/>
      <c r="R41" s="428"/>
      <c r="S41" s="428"/>
      <c r="T41" s="428"/>
      <c r="U41" s="428"/>
      <c r="V41" s="428"/>
      <c r="W41" s="428"/>
      <c r="X41" s="428"/>
      <c r="Y41" s="428"/>
      <c r="Z41" s="428"/>
    </row>
    <row r="42" spans="1:26" s="453" customFormat="1" ht="18.5" x14ac:dyDescent="0.45">
      <c r="A42" s="428"/>
      <c r="B42" s="613">
        <v>30</v>
      </c>
      <c r="C42" s="613" t="s">
        <v>323</v>
      </c>
      <c r="D42" s="606" t="s">
        <v>89</v>
      </c>
      <c r="E42" s="613" t="s">
        <v>90</v>
      </c>
      <c r="F42" s="614"/>
      <c r="G42" s="614">
        <v>45995</v>
      </c>
      <c r="H42" s="620">
        <v>22.4</v>
      </c>
      <c r="I42" s="848" t="s">
        <v>563</v>
      </c>
      <c r="J42" s="849"/>
      <c r="K42" s="849"/>
      <c r="L42" s="850"/>
      <c r="M42" s="718">
        <v>46015</v>
      </c>
      <c r="N42" s="448" t="s">
        <v>702</v>
      </c>
      <c r="O42" s="448"/>
      <c r="P42" s="449">
        <v>10</v>
      </c>
      <c r="Q42" s="428"/>
      <c r="R42" s="428"/>
      <c r="S42" s="428"/>
      <c r="T42" s="428"/>
      <c r="U42" s="428"/>
      <c r="V42" s="428"/>
      <c r="W42" s="428"/>
      <c r="X42" s="428"/>
      <c r="Y42" s="428"/>
      <c r="Z42" s="428"/>
    </row>
    <row r="43" spans="1:26" s="453" customFormat="1" ht="18.5" x14ac:dyDescent="0.45">
      <c r="A43" s="428"/>
      <c r="B43" s="613">
        <v>31</v>
      </c>
      <c r="C43" s="613" t="s">
        <v>341</v>
      </c>
      <c r="D43" s="606" t="s">
        <v>93</v>
      </c>
      <c r="E43" s="613" t="s">
        <v>708</v>
      </c>
      <c r="F43" s="614"/>
      <c r="G43" s="614">
        <v>45997</v>
      </c>
      <c r="H43" s="620">
        <v>38.979999999999997</v>
      </c>
      <c r="I43" s="848" t="s">
        <v>563</v>
      </c>
      <c r="J43" s="849"/>
      <c r="K43" s="849"/>
      <c r="L43" s="850"/>
      <c r="M43" s="627">
        <v>46016</v>
      </c>
      <c r="N43" s="448" t="s">
        <v>91</v>
      </c>
      <c r="O43" s="448"/>
      <c r="P43" s="449">
        <v>18</v>
      </c>
      <c r="Q43" s="428"/>
      <c r="R43" s="428"/>
      <c r="S43" s="428"/>
      <c r="T43" s="428"/>
      <c r="U43" s="428"/>
      <c r="V43" s="428"/>
      <c r="W43" s="428"/>
      <c r="X43" s="428"/>
      <c r="Y43" s="428"/>
      <c r="Z43" s="428"/>
    </row>
    <row r="44" spans="1:26" s="453" customFormat="1" ht="18.5" x14ac:dyDescent="0.45">
      <c r="A44" s="428"/>
      <c r="B44" s="613">
        <v>32</v>
      </c>
      <c r="C44" s="613" t="s">
        <v>376</v>
      </c>
      <c r="D44" s="606" t="s">
        <v>93</v>
      </c>
      <c r="E44" s="613" t="s">
        <v>551</v>
      </c>
      <c r="F44" s="614"/>
      <c r="G44" s="614">
        <v>45997</v>
      </c>
      <c r="H44" s="618">
        <v>36.659999999999997</v>
      </c>
      <c r="I44" s="857" t="s">
        <v>709</v>
      </c>
      <c r="J44" s="858"/>
      <c r="K44" s="858"/>
      <c r="L44" s="859"/>
      <c r="M44" s="448"/>
      <c r="N44" s="448" t="s">
        <v>703</v>
      </c>
      <c r="O44" s="448"/>
      <c r="P44" s="449"/>
      <c r="Q44" s="428"/>
      <c r="R44" s="428"/>
      <c r="S44" s="428"/>
      <c r="T44" s="428"/>
      <c r="U44" s="428"/>
      <c r="V44" s="428"/>
      <c r="W44" s="428"/>
      <c r="X44" s="428"/>
      <c r="Y44" s="428"/>
      <c r="Z44" s="428"/>
    </row>
    <row r="45" spans="1:26" s="453" customFormat="1" ht="18.5" x14ac:dyDescent="0.45">
      <c r="A45" s="428"/>
      <c r="B45" s="613">
        <v>33</v>
      </c>
      <c r="C45" s="613" t="s">
        <v>402</v>
      </c>
      <c r="D45" s="606" t="s">
        <v>89</v>
      </c>
      <c r="E45" s="613" t="s">
        <v>94</v>
      </c>
      <c r="F45" s="614"/>
      <c r="G45" s="614">
        <v>45998</v>
      </c>
      <c r="H45" s="620">
        <v>23.27</v>
      </c>
      <c r="I45" s="848" t="s">
        <v>563</v>
      </c>
      <c r="J45" s="849"/>
      <c r="K45" s="849"/>
      <c r="L45" s="850"/>
      <c r="M45" s="627">
        <v>46011</v>
      </c>
      <c r="N45" s="448" t="s">
        <v>704</v>
      </c>
      <c r="O45" s="448"/>
      <c r="P45" s="449">
        <v>17</v>
      </c>
      <c r="Q45" s="428"/>
      <c r="R45" s="428"/>
      <c r="S45" s="428"/>
      <c r="T45" s="428"/>
      <c r="U45" s="428"/>
      <c r="V45" s="428"/>
      <c r="W45" s="428"/>
      <c r="X45" s="428"/>
      <c r="Y45" s="428"/>
      <c r="Z45" s="428"/>
    </row>
    <row r="46" spans="1:26" s="453" customFormat="1" ht="18.5" x14ac:dyDescent="0.45">
      <c r="A46" s="428"/>
      <c r="B46" s="613">
        <v>34</v>
      </c>
      <c r="C46" s="613" t="s">
        <v>403</v>
      </c>
      <c r="D46" s="606" t="s">
        <v>89</v>
      </c>
      <c r="E46" s="613" t="s">
        <v>552</v>
      </c>
      <c r="F46" s="614"/>
      <c r="G46" s="614">
        <v>45998</v>
      </c>
      <c r="H46" s="618">
        <v>21.96</v>
      </c>
      <c r="I46" s="848" t="s">
        <v>563</v>
      </c>
      <c r="J46" s="849"/>
      <c r="K46" s="849"/>
      <c r="L46" s="850"/>
      <c r="M46" s="627">
        <v>46006</v>
      </c>
      <c r="N46" s="448" t="s">
        <v>704</v>
      </c>
      <c r="O46" s="448"/>
      <c r="P46" s="449">
        <v>17</v>
      </c>
      <c r="Q46" s="428"/>
      <c r="R46" s="428"/>
      <c r="S46" s="428"/>
      <c r="T46" s="428"/>
      <c r="U46" s="428"/>
      <c r="V46" s="428"/>
      <c r="W46" s="428"/>
      <c r="X46" s="428"/>
      <c r="Y46" s="428"/>
      <c r="Z46" s="428"/>
    </row>
    <row r="47" spans="1:26" s="453" customFormat="1" ht="18.5" x14ac:dyDescent="0.45">
      <c r="A47" s="428"/>
      <c r="B47" s="613">
        <v>35</v>
      </c>
      <c r="C47" s="613" t="s">
        <v>375</v>
      </c>
      <c r="D47" s="606" t="s">
        <v>89</v>
      </c>
      <c r="E47" s="613" t="s">
        <v>552</v>
      </c>
      <c r="F47" s="614"/>
      <c r="G47" s="614">
        <v>46001</v>
      </c>
      <c r="H47" s="618">
        <v>21.96</v>
      </c>
      <c r="I47" s="848" t="s">
        <v>563</v>
      </c>
      <c r="J47" s="849"/>
      <c r="K47" s="849"/>
      <c r="L47" s="850"/>
      <c r="M47" s="627">
        <v>46022</v>
      </c>
      <c r="N47" s="448" t="s">
        <v>703</v>
      </c>
      <c r="O47" s="448"/>
      <c r="P47" s="449">
        <v>10</v>
      </c>
      <c r="Q47" s="428"/>
      <c r="R47" s="428"/>
      <c r="S47" s="428"/>
      <c r="T47" s="428"/>
      <c r="U47" s="428"/>
      <c r="V47" s="428"/>
      <c r="W47" s="428"/>
      <c r="X47" s="428"/>
      <c r="Y47" s="428"/>
      <c r="Z47" s="428"/>
    </row>
    <row r="48" spans="1:26" s="453" customFormat="1" ht="18.5" x14ac:dyDescent="0.45">
      <c r="A48" s="428"/>
      <c r="B48" s="613">
        <v>36</v>
      </c>
      <c r="C48" s="613" t="s">
        <v>404</v>
      </c>
      <c r="D48" s="606" t="s">
        <v>89</v>
      </c>
      <c r="E48" s="613" t="s">
        <v>94</v>
      </c>
      <c r="F48" s="614"/>
      <c r="G48" s="614">
        <v>46005</v>
      </c>
      <c r="H48" s="620"/>
      <c r="I48" s="848" t="s">
        <v>563</v>
      </c>
      <c r="J48" s="849"/>
      <c r="K48" s="849"/>
      <c r="L48" s="850"/>
      <c r="M48" s="627">
        <v>46017</v>
      </c>
      <c r="N48" s="448" t="s">
        <v>704</v>
      </c>
      <c r="O48" s="448"/>
      <c r="P48" s="449">
        <v>17</v>
      </c>
      <c r="Q48" s="428"/>
      <c r="R48" s="428"/>
      <c r="S48" s="428"/>
      <c r="T48" s="428"/>
      <c r="U48" s="428"/>
      <c r="V48" s="428"/>
      <c r="W48" s="428"/>
      <c r="X48" s="428"/>
      <c r="Y48" s="428"/>
      <c r="Z48" s="428"/>
    </row>
    <row r="49" spans="1:26" s="453" customFormat="1" ht="18.5" x14ac:dyDescent="0.45">
      <c r="A49" s="428"/>
      <c r="B49" s="613">
        <v>37</v>
      </c>
      <c r="C49" s="613" t="s">
        <v>405</v>
      </c>
      <c r="D49" s="606" t="s">
        <v>89</v>
      </c>
      <c r="E49" s="613" t="s">
        <v>552</v>
      </c>
      <c r="F49" s="614"/>
      <c r="G49" s="614">
        <v>46005</v>
      </c>
      <c r="H49" s="618">
        <v>21.96</v>
      </c>
      <c r="I49" s="848" t="s">
        <v>563</v>
      </c>
      <c r="J49" s="849"/>
      <c r="K49" s="849"/>
      <c r="L49" s="850"/>
      <c r="M49" s="627">
        <v>46014</v>
      </c>
      <c r="N49" s="448" t="s">
        <v>704</v>
      </c>
      <c r="O49" s="448"/>
      <c r="P49" s="449">
        <v>17</v>
      </c>
      <c r="Q49" s="428"/>
      <c r="R49" s="428"/>
      <c r="S49" s="428"/>
      <c r="T49" s="428"/>
      <c r="U49" s="428"/>
      <c r="V49" s="428"/>
      <c r="W49" s="428"/>
      <c r="X49" s="428"/>
      <c r="Y49" s="428"/>
      <c r="Z49" s="428"/>
    </row>
    <row r="50" spans="1:26" s="453" customFormat="1" ht="18" customHeight="1" x14ac:dyDescent="0.45">
      <c r="A50" s="428"/>
      <c r="B50" s="613">
        <v>39</v>
      </c>
      <c r="C50" s="613" t="s">
        <v>261</v>
      </c>
      <c r="D50" s="606" t="s">
        <v>89</v>
      </c>
      <c r="E50" s="613" t="s">
        <v>552</v>
      </c>
      <c r="F50" s="707"/>
      <c r="G50" s="614">
        <v>46016</v>
      </c>
      <c r="H50" s="707"/>
      <c r="I50" s="848" t="s">
        <v>563</v>
      </c>
      <c r="J50" s="849"/>
      <c r="K50" s="849"/>
      <c r="L50" s="850"/>
      <c r="M50" s="627">
        <v>46022</v>
      </c>
      <c r="N50" s="708" t="s">
        <v>559</v>
      </c>
      <c r="O50" s="707"/>
      <c r="P50" s="613">
        <v>21</v>
      </c>
      <c r="Q50" s="428"/>
      <c r="R50" s="428"/>
      <c r="S50" s="428"/>
      <c r="T50" s="428"/>
      <c r="U50" s="428"/>
      <c r="V50" s="428"/>
      <c r="W50" s="428"/>
      <c r="X50" s="428"/>
      <c r="Y50" s="428"/>
      <c r="Z50" s="428"/>
    </row>
    <row r="51" spans="1:26" s="453" customFormat="1" ht="18" customHeight="1" x14ac:dyDescent="0.45">
      <c r="A51" s="428"/>
      <c r="B51" s="613">
        <v>40</v>
      </c>
      <c r="C51" s="613" t="s">
        <v>263</v>
      </c>
      <c r="D51" s="606" t="s">
        <v>93</v>
      </c>
      <c r="E51" s="613" t="s">
        <v>552</v>
      </c>
      <c r="F51" s="614"/>
      <c r="G51" s="614">
        <v>46008</v>
      </c>
      <c r="H51" s="620">
        <v>25.04</v>
      </c>
      <c r="I51" s="848" t="s">
        <v>563</v>
      </c>
      <c r="J51" s="849"/>
      <c r="K51" s="849"/>
      <c r="L51" s="850"/>
      <c r="M51" s="627">
        <v>46018</v>
      </c>
      <c r="N51" s="708" t="s">
        <v>559</v>
      </c>
      <c r="O51" s="448"/>
      <c r="P51" s="449">
        <v>21</v>
      </c>
      <c r="Q51" s="428"/>
      <c r="R51" s="428"/>
      <c r="S51" s="428"/>
      <c r="T51" s="428"/>
      <c r="U51" s="428"/>
      <c r="V51" s="428"/>
      <c r="W51" s="428"/>
      <c r="X51" s="428"/>
      <c r="Y51" s="428"/>
      <c r="Z51" s="428"/>
    </row>
    <row r="52" spans="1:26" s="453" customFormat="1" ht="18" customHeight="1" x14ac:dyDescent="0.45">
      <c r="A52" s="428"/>
      <c r="B52" s="613">
        <v>41</v>
      </c>
      <c r="C52" s="613" t="s">
        <v>264</v>
      </c>
      <c r="D52" s="606" t="s">
        <v>89</v>
      </c>
      <c r="E52" s="613" t="s">
        <v>94</v>
      </c>
      <c r="F52" s="614"/>
      <c r="G52" s="614">
        <v>46005</v>
      </c>
      <c r="H52" s="620">
        <v>23.27</v>
      </c>
      <c r="I52" s="848" t="s">
        <v>563</v>
      </c>
      <c r="J52" s="849"/>
      <c r="K52" s="849"/>
      <c r="L52" s="850"/>
      <c r="M52" s="627">
        <v>46010</v>
      </c>
      <c r="N52" s="708" t="s">
        <v>559</v>
      </c>
      <c r="O52" s="448"/>
      <c r="P52" s="449">
        <v>21</v>
      </c>
      <c r="Q52" s="428"/>
      <c r="R52" s="428"/>
      <c r="S52" s="428"/>
      <c r="T52" s="428"/>
      <c r="U52" s="428"/>
      <c r="V52" s="428"/>
      <c r="W52" s="428"/>
      <c r="X52" s="428"/>
      <c r="Y52" s="428"/>
      <c r="Z52" s="428"/>
    </row>
    <row r="53" spans="1:26" s="453" customFormat="1" ht="18" customHeight="1" x14ac:dyDescent="0.45">
      <c r="A53" s="428"/>
      <c r="B53" s="613">
        <v>42</v>
      </c>
      <c r="C53" s="613" t="s">
        <v>342</v>
      </c>
      <c r="D53" s="606" t="s">
        <v>97</v>
      </c>
      <c r="E53" s="613" t="s">
        <v>94</v>
      </c>
      <c r="F53" s="614"/>
      <c r="G53" s="614"/>
      <c r="H53" s="620"/>
      <c r="I53" s="848" t="s">
        <v>563</v>
      </c>
      <c r="J53" s="849"/>
      <c r="K53" s="849"/>
      <c r="L53" s="850"/>
      <c r="M53" s="728">
        <v>46027</v>
      </c>
      <c r="N53" s="448" t="s">
        <v>91</v>
      </c>
      <c r="O53" s="448"/>
      <c r="P53" s="449">
        <v>18</v>
      </c>
      <c r="Q53" s="428"/>
      <c r="R53" s="428"/>
      <c r="S53" s="428"/>
      <c r="T53" s="428"/>
      <c r="U53" s="428"/>
      <c r="V53" s="428"/>
      <c r="W53" s="428"/>
      <c r="X53" s="428"/>
      <c r="Y53" s="428"/>
      <c r="Z53" s="428"/>
    </row>
    <row r="54" spans="1:26" s="453" customFormat="1" ht="18" customHeight="1" x14ac:dyDescent="0.45">
      <c r="A54" s="428"/>
      <c r="B54" s="613">
        <v>43</v>
      </c>
      <c r="C54" s="613" t="s">
        <v>343</v>
      </c>
      <c r="D54" s="606" t="s">
        <v>116</v>
      </c>
      <c r="E54" s="613" t="s">
        <v>94</v>
      </c>
      <c r="F54" s="614"/>
      <c r="G54" s="614">
        <v>46010</v>
      </c>
      <c r="H54" s="620"/>
      <c r="I54" s="848" t="s">
        <v>563</v>
      </c>
      <c r="J54" s="849"/>
      <c r="K54" s="849"/>
      <c r="L54" s="850"/>
      <c r="M54" s="720">
        <v>46021</v>
      </c>
      <c r="N54" s="448" t="s">
        <v>91</v>
      </c>
      <c r="O54" s="448"/>
      <c r="P54" s="449">
        <v>18</v>
      </c>
      <c r="Q54" s="428"/>
      <c r="R54" s="428"/>
      <c r="S54" s="428"/>
      <c r="T54" s="428"/>
      <c r="U54" s="428"/>
      <c r="V54" s="428"/>
      <c r="W54" s="428"/>
      <c r="X54" s="428"/>
      <c r="Y54" s="428"/>
      <c r="Z54" s="428"/>
    </row>
    <row r="55" spans="1:26" s="453" customFormat="1" ht="18" customHeight="1" x14ac:dyDescent="0.45">
      <c r="A55" s="428"/>
      <c r="B55" s="613">
        <v>44</v>
      </c>
      <c r="C55" s="613" t="s">
        <v>262</v>
      </c>
      <c r="D55" s="606" t="s">
        <v>93</v>
      </c>
      <c r="E55" s="613" t="s">
        <v>94</v>
      </c>
      <c r="F55" s="614"/>
      <c r="G55" s="614">
        <v>46012</v>
      </c>
      <c r="H55" s="603">
        <v>26.43</v>
      </c>
      <c r="I55" s="848" t="s">
        <v>563</v>
      </c>
      <c r="J55" s="849"/>
      <c r="K55" s="849"/>
      <c r="L55" s="850"/>
      <c r="M55" s="720">
        <v>46015</v>
      </c>
      <c r="N55" s="708" t="s">
        <v>559</v>
      </c>
      <c r="O55" s="448"/>
      <c r="P55" s="449">
        <v>21</v>
      </c>
      <c r="Q55" s="428"/>
      <c r="R55" s="428"/>
      <c r="S55" s="428"/>
      <c r="T55" s="428"/>
      <c r="U55" s="428"/>
      <c r="V55" s="428"/>
      <c r="W55" s="428"/>
      <c r="X55" s="428"/>
      <c r="Y55" s="428"/>
      <c r="Z55" s="428"/>
    </row>
    <row r="56" spans="1:26" s="453" customFormat="1" ht="18.5" x14ac:dyDescent="0.45">
      <c r="A56" s="428"/>
      <c r="B56" s="615">
        <v>45</v>
      </c>
      <c r="C56" s="615" t="s">
        <v>406</v>
      </c>
      <c r="D56" s="607" t="s">
        <v>89</v>
      </c>
      <c r="E56" s="615" t="s">
        <v>94</v>
      </c>
      <c r="F56" s="616"/>
      <c r="G56" s="616">
        <v>46013</v>
      </c>
      <c r="H56" s="725">
        <v>23.27</v>
      </c>
      <c r="I56" s="836" t="s">
        <v>563</v>
      </c>
      <c r="J56" s="837"/>
      <c r="K56" s="837"/>
      <c r="L56" s="838"/>
      <c r="M56" s="626">
        <v>46020</v>
      </c>
      <c r="N56" s="452" t="s">
        <v>704</v>
      </c>
      <c r="O56" s="452"/>
      <c r="P56" s="726">
        <v>17</v>
      </c>
      <c r="Q56" s="428"/>
      <c r="R56" s="428"/>
      <c r="S56" s="428"/>
      <c r="T56" s="428"/>
      <c r="U56" s="428"/>
      <c r="V56" s="428"/>
      <c r="W56" s="428"/>
      <c r="X56" s="428"/>
      <c r="Y56" s="428"/>
      <c r="Z56" s="428"/>
    </row>
    <row r="57" spans="1:26" s="453" customFormat="1" ht="18.5" x14ac:dyDescent="0.45">
      <c r="A57" s="428"/>
      <c r="B57" s="613">
        <v>46</v>
      </c>
      <c r="C57" s="613" t="s">
        <v>407</v>
      </c>
      <c r="D57" s="606" t="s">
        <v>89</v>
      </c>
      <c r="E57" s="613"/>
      <c r="F57" s="614"/>
      <c r="G57" s="614">
        <v>46018</v>
      </c>
      <c r="H57" s="620"/>
      <c r="I57" s="836" t="s">
        <v>563</v>
      </c>
      <c r="J57" s="837"/>
      <c r="K57" s="837"/>
      <c r="L57" s="838"/>
      <c r="M57" s="627">
        <v>46022</v>
      </c>
      <c r="N57" s="448" t="s">
        <v>704</v>
      </c>
      <c r="O57" s="448"/>
      <c r="P57" s="449">
        <v>17</v>
      </c>
      <c r="Q57" s="428"/>
      <c r="R57" s="428"/>
      <c r="S57" s="428"/>
      <c r="T57" s="428"/>
      <c r="U57" s="428"/>
      <c r="V57" s="428"/>
      <c r="W57" s="428"/>
      <c r="X57" s="428"/>
      <c r="Y57" s="428"/>
      <c r="Z57" s="428"/>
    </row>
    <row r="58" spans="1:26" s="453" customFormat="1" ht="18.5" x14ac:dyDescent="0.45">
      <c r="A58" s="428"/>
      <c r="B58" s="613">
        <v>47</v>
      </c>
      <c r="C58" s="613" t="s">
        <v>353</v>
      </c>
      <c r="D58" s="606" t="s">
        <v>116</v>
      </c>
      <c r="E58" s="613" t="s">
        <v>552</v>
      </c>
      <c r="F58" s="614"/>
      <c r="G58" s="614"/>
      <c r="H58" s="620"/>
      <c r="I58" s="839" t="s">
        <v>735</v>
      </c>
      <c r="J58" s="840"/>
      <c r="K58" s="840"/>
      <c r="L58" s="841"/>
      <c r="M58" s="627">
        <v>46030</v>
      </c>
      <c r="N58" s="448" t="s">
        <v>702</v>
      </c>
      <c r="O58" s="448"/>
      <c r="P58" s="449">
        <v>10</v>
      </c>
      <c r="Q58" s="428"/>
      <c r="R58" s="428"/>
      <c r="S58" s="428"/>
      <c r="T58" s="428"/>
      <c r="U58" s="428"/>
      <c r="V58" s="428"/>
      <c r="W58" s="428"/>
      <c r="X58" s="428"/>
      <c r="Y58" s="428"/>
      <c r="Z58" s="428"/>
    </row>
    <row r="59" spans="1:26" s="453" customFormat="1" ht="18.5" x14ac:dyDescent="0.45">
      <c r="A59" s="428"/>
      <c r="B59" s="613">
        <v>48</v>
      </c>
      <c r="C59" s="613" t="s">
        <v>723</v>
      </c>
      <c r="D59" s="606" t="s">
        <v>89</v>
      </c>
      <c r="E59" s="613"/>
      <c r="F59" s="614"/>
      <c r="G59" s="614"/>
      <c r="H59" s="620"/>
      <c r="I59" s="842" t="s">
        <v>563</v>
      </c>
      <c r="J59" s="842"/>
      <c r="K59" s="842"/>
      <c r="L59" s="842"/>
      <c r="M59" s="627">
        <v>46022</v>
      </c>
      <c r="N59" s="448" t="s">
        <v>702</v>
      </c>
      <c r="O59" s="448"/>
      <c r="P59" s="449">
        <v>10</v>
      </c>
      <c r="Q59" s="428"/>
      <c r="R59" s="428"/>
      <c r="S59" s="428"/>
      <c r="T59" s="428"/>
      <c r="U59" s="428"/>
      <c r="V59" s="428"/>
      <c r="W59" s="428"/>
      <c r="X59" s="428"/>
      <c r="Y59" s="428"/>
      <c r="Z59" s="428"/>
    </row>
    <row r="60" spans="1:26" s="453" customFormat="1" ht="18.5" x14ac:dyDescent="0.45">
      <c r="A60" s="428"/>
      <c r="B60" s="613">
        <v>49</v>
      </c>
      <c r="C60" s="613" t="s">
        <v>265</v>
      </c>
      <c r="D60" s="606" t="s">
        <v>93</v>
      </c>
      <c r="E60" s="613" t="s">
        <v>708</v>
      </c>
      <c r="F60" s="614"/>
      <c r="G60" s="614">
        <v>45992</v>
      </c>
      <c r="H60" s="620"/>
      <c r="I60" s="842" t="s">
        <v>563</v>
      </c>
      <c r="J60" s="842"/>
      <c r="K60" s="842"/>
      <c r="L60" s="842"/>
      <c r="M60" s="627">
        <v>46028</v>
      </c>
      <c r="N60" s="708" t="s">
        <v>559</v>
      </c>
      <c r="O60" s="448"/>
      <c r="P60" s="449">
        <v>21</v>
      </c>
      <c r="Q60" s="428"/>
      <c r="R60" s="428"/>
      <c r="S60" s="428"/>
      <c r="T60" s="428"/>
      <c r="U60" s="428"/>
      <c r="V60" s="428"/>
      <c r="W60" s="428"/>
      <c r="X60" s="428"/>
      <c r="Y60" s="428"/>
      <c r="Z60" s="428"/>
    </row>
    <row r="61" spans="1:26" s="453" customFormat="1" ht="18.5" x14ac:dyDescent="0.45">
      <c r="A61" s="428"/>
      <c r="B61" s="613">
        <v>50</v>
      </c>
      <c r="C61" s="613" t="s">
        <v>408</v>
      </c>
      <c r="D61" s="606" t="s">
        <v>89</v>
      </c>
      <c r="E61" s="613" t="s">
        <v>552</v>
      </c>
      <c r="F61" s="614"/>
      <c r="G61" s="614">
        <v>46022</v>
      </c>
      <c r="H61" s="620"/>
      <c r="I61" s="842" t="s">
        <v>563</v>
      </c>
      <c r="J61" s="842"/>
      <c r="K61" s="842"/>
      <c r="L61" s="842"/>
      <c r="M61" s="627">
        <v>46028</v>
      </c>
      <c r="N61" s="448" t="s">
        <v>704</v>
      </c>
      <c r="O61" s="448"/>
      <c r="P61" s="449">
        <v>17</v>
      </c>
      <c r="Q61" s="428"/>
      <c r="R61" s="428"/>
      <c r="S61" s="428"/>
      <c r="T61" s="428"/>
      <c r="U61" s="428"/>
      <c r="V61" s="428"/>
      <c r="W61" s="428"/>
      <c r="X61" s="428"/>
      <c r="Y61" s="428"/>
      <c r="Z61" s="428"/>
    </row>
    <row r="62" spans="1:26" s="453" customFormat="1" ht="18.5" x14ac:dyDescent="0.45">
      <c r="A62" s="428"/>
      <c r="B62" s="613">
        <v>51</v>
      </c>
      <c r="C62" s="613" t="s">
        <v>270</v>
      </c>
      <c r="D62" s="606" t="s">
        <v>97</v>
      </c>
      <c r="E62" s="613" t="s">
        <v>552</v>
      </c>
      <c r="F62" s="614"/>
      <c r="G62" s="614">
        <v>46026</v>
      </c>
      <c r="H62" s="620"/>
      <c r="I62" s="812" t="s">
        <v>737</v>
      </c>
      <c r="J62" s="813"/>
      <c r="K62" s="813"/>
      <c r="L62" s="814"/>
      <c r="M62" s="627"/>
      <c r="N62" s="708" t="s">
        <v>559</v>
      </c>
      <c r="O62" s="448"/>
      <c r="P62" s="449">
        <v>21</v>
      </c>
      <c r="Q62" s="428"/>
      <c r="R62" s="428"/>
      <c r="S62" s="428"/>
      <c r="T62" s="428"/>
      <c r="U62" s="428"/>
      <c r="V62" s="428"/>
      <c r="W62" s="428"/>
      <c r="X62" s="428"/>
      <c r="Y62" s="428"/>
      <c r="Z62" s="428"/>
    </row>
    <row r="63" spans="1:26" s="453" customFormat="1" ht="18.5" x14ac:dyDescent="0.45">
      <c r="A63" s="428"/>
      <c r="B63" s="613">
        <v>52</v>
      </c>
      <c r="C63" s="613" t="s">
        <v>409</v>
      </c>
      <c r="D63" s="606" t="s">
        <v>93</v>
      </c>
      <c r="E63" s="613"/>
      <c r="F63" s="614"/>
      <c r="G63" s="614">
        <v>46026</v>
      </c>
      <c r="H63" s="620"/>
      <c r="I63" s="812" t="s">
        <v>709</v>
      </c>
      <c r="J63" s="813"/>
      <c r="K63" s="813"/>
      <c r="L63" s="814"/>
      <c r="M63" s="627"/>
      <c r="N63" s="448" t="s">
        <v>704</v>
      </c>
      <c r="O63" s="448"/>
      <c r="P63" s="449"/>
      <c r="Q63" s="428"/>
      <c r="R63" s="428"/>
      <c r="S63" s="428"/>
      <c r="T63" s="428"/>
      <c r="U63" s="428"/>
      <c r="V63" s="428"/>
      <c r="W63" s="428"/>
      <c r="X63" s="428"/>
      <c r="Y63" s="428"/>
      <c r="Z63" s="428"/>
    </row>
    <row r="64" spans="1:26" s="453" customFormat="1" ht="18.5" x14ac:dyDescent="0.45">
      <c r="A64" s="428"/>
      <c r="B64" s="613">
        <v>53</v>
      </c>
      <c r="C64" s="613" t="s">
        <v>410</v>
      </c>
      <c r="D64" s="606" t="s">
        <v>93</v>
      </c>
      <c r="E64" s="613"/>
      <c r="F64" s="614"/>
      <c r="G64" s="614"/>
      <c r="H64" s="620"/>
      <c r="I64" s="812" t="s">
        <v>709</v>
      </c>
      <c r="J64" s="813"/>
      <c r="K64" s="813"/>
      <c r="L64" s="814"/>
      <c r="M64" s="627"/>
      <c r="N64" s="448" t="s">
        <v>704</v>
      </c>
      <c r="O64" s="448"/>
      <c r="P64" s="449"/>
      <c r="Q64" s="428"/>
      <c r="R64" s="428"/>
      <c r="S64" s="428"/>
      <c r="T64" s="428"/>
      <c r="U64" s="428"/>
      <c r="V64" s="428"/>
      <c r="W64" s="428"/>
      <c r="X64" s="428"/>
      <c r="Y64" s="428"/>
      <c r="Z64" s="428"/>
    </row>
    <row r="65" spans="1:97" s="453" customFormat="1" ht="18.5" x14ac:dyDescent="0.45">
      <c r="A65" s="428"/>
      <c r="B65" s="615">
        <v>54</v>
      </c>
      <c r="C65" s="615" t="s">
        <v>472</v>
      </c>
      <c r="D65" s="607" t="s">
        <v>728</v>
      </c>
      <c r="E65" s="615"/>
      <c r="F65" s="616"/>
      <c r="G65" s="616">
        <v>46028</v>
      </c>
      <c r="H65" s="736"/>
      <c r="I65" s="815" t="s">
        <v>709</v>
      </c>
      <c r="J65" s="816"/>
      <c r="K65" s="816"/>
      <c r="L65" s="817"/>
      <c r="M65" s="626"/>
      <c r="N65" s="452" t="s">
        <v>702</v>
      </c>
      <c r="O65" s="452"/>
      <c r="P65" s="726"/>
      <c r="Q65" s="428"/>
      <c r="R65" s="428"/>
      <c r="S65" s="428"/>
      <c r="T65" s="428"/>
      <c r="U65" s="428"/>
      <c r="V65" s="428"/>
      <c r="W65" s="428"/>
      <c r="X65" s="428"/>
      <c r="Y65" s="428"/>
      <c r="Z65" s="428"/>
    </row>
    <row r="66" spans="1:97" s="453" customFormat="1" ht="18.5" x14ac:dyDescent="0.45">
      <c r="A66" s="428"/>
      <c r="B66" s="613">
        <v>55</v>
      </c>
      <c r="C66" s="613" t="s">
        <v>350</v>
      </c>
      <c r="D66" s="606" t="s">
        <v>97</v>
      </c>
      <c r="E66" s="613"/>
      <c r="F66" s="614"/>
      <c r="G66" s="614">
        <v>46026</v>
      </c>
      <c r="H66" s="620"/>
      <c r="I66" s="812" t="s">
        <v>742</v>
      </c>
      <c r="J66" s="813"/>
      <c r="K66" s="813"/>
      <c r="L66" s="814"/>
      <c r="M66" s="627"/>
      <c r="N66" s="448" t="s">
        <v>702</v>
      </c>
      <c r="O66" s="448"/>
      <c r="P66" s="449">
        <v>12</v>
      </c>
      <c r="Q66" s="428"/>
      <c r="R66" s="428"/>
      <c r="S66" s="428"/>
      <c r="T66" s="428"/>
      <c r="U66" s="428"/>
      <c r="V66" s="428"/>
      <c r="W66" s="428"/>
      <c r="X66" s="428"/>
      <c r="Y66" s="428"/>
      <c r="Z66" s="428"/>
    </row>
    <row r="67" spans="1:97" s="453" customFormat="1" ht="18.5" x14ac:dyDescent="0.45">
      <c r="A67" s="428"/>
      <c r="B67" s="613">
        <v>56</v>
      </c>
      <c r="C67" s="613" t="s">
        <v>356</v>
      </c>
      <c r="D67" s="606" t="s">
        <v>89</v>
      </c>
      <c r="E67" s="613"/>
      <c r="F67" s="614"/>
      <c r="G67" s="614">
        <v>46028</v>
      </c>
      <c r="H67" s="620"/>
      <c r="I67" s="812" t="s">
        <v>729</v>
      </c>
      <c r="J67" s="813"/>
      <c r="K67" s="813"/>
      <c r="L67" s="814"/>
      <c r="M67" s="627"/>
      <c r="N67" s="448" t="s">
        <v>702</v>
      </c>
      <c r="O67" s="448"/>
      <c r="P67" s="449"/>
      <c r="Q67" s="428"/>
      <c r="R67" s="428"/>
      <c r="S67" s="428"/>
      <c r="T67" s="428"/>
      <c r="U67" s="428"/>
      <c r="V67" s="428"/>
      <c r="W67" s="428"/>
      <c r="X67" s="428"/>
      <c r="Y67" s="428"/>
      <c r="Z67" s="428"/>
    </row>
    <row r="68" spans="1:97" s="453" customFormat="1" ht="18.5" x14ac:dyDescent="0.45">
      <c r="A68" s="428"/>
      <c r="B68" s="613">
        <v>57</v>
      </c>
      <c r="C68" s="613" t="s">
        <v>438</v>
      </c>
      <c r="D68" s="606" t="s">
        <v>743</v>
      </c>
      <c r="E68" s="613"/>
      <c r="F68" s="614"/>
      <c r="G68" s="614">
        <v>46029</v>
      </c>
      <c r="H68" s="620"/>
      <c r="I68" s="812" t="s">
        <v>729</v>
      </c>
      <c r="J68" s="813"/>
      <c r="K68" s="813"/>
      <c r="L68" s="814"/>
      <c r="M68" s="627"/>
      <c r="N68" s="708" t="s">
        <v>559</v>
      </c>
      <c r="O68" s="448"/>
      <c r="P68" s="449"/>
      <c r="Q68" s="428"/>
      <c r="R68" s="428"/>
      <c r="S68" s="428"/>
      <c r="T68" s="428"/>
      <c r="U68" s="428"/>
      <c r="V68" s="428"/>
      <c r="W68" s="428"/>
      <c r="X68" s="428"/>
      <c r="Y68" s="428"/>
      <c r="Z68" s="428"/>
    </row>
    <row r="69" spans="1:97" ht="15" customHeight="1" thickBot="1" x14ac:dyDescent="0.35">
      <c r="A69" s="1"/>
      <c r="B69" s="716" t="s">
        <v>99</v>
      </c>
      <c r="C69" s="717"/>
      <c r="D69" s="717"/>
      <c r="E69" s="717"/>
      <c r="F69" s="717"/>
      <c r="G69" s="717"/>
      <c r="H69" s="717"/>
      <c r="I69" s="717"/>
      <c r="J69" s="717"/>
      <c r="K69" s="717"/>
      <c r="L69" s="717"/>
      <c r="M69" s="717"/>
      <c r="N69" s="717"/>
      <c r="O69" s="717"/>
      <c r="P69" s="597"/>
      <c r="Q69" s="428"/>
      <c r="R69" s="1"/>
      <c r="S69" s="1"/>
      <c r="T69" s="1"/>
      <c r="U69" s="1"/>
      <c r="V69" s="1"/>
      <c r="W69" s="1"/>
      <c r="X69" s="1"/>
      <c r="Y69" s="1"/>
      <c r="Z69" s="1"/>
    </row>
    <row r="70" spans="1:97" ht="13.5" customHeight="1" x14ac:dyDescent="0.3">
      <c r="A70" s="1"/>
      <c r="B70" s="66" t="s">
        <v>100</v>
      </c>
      <c r="C70" s="66" t="s">
        <v>76</v>
      </c>
      <c r="D70" s="66" t="s">
        <v>77</v>
      </c>
      <c r="E70" s="66" t="s">
        <v>78</v>
      </c>
      <c r="F70" s="66" t="s">
        <v>79</v>
      </c>
      <c r="G70" s="66" t="s">
        <v>80</v>
      </c>
      <c r="H70" s="873" t="s">
        <v>101</v>
      </c>
      <c r="I70" s="834"/>
      <c r="J70" s="834"/>
      <c r="K70" s="835"/>
      <c r="L70" s="66" t="s">
        <v>83</v>
      </c>
      <c r="M70" s="66" t="s">
        <v>84</v>
      </c>
      <c r="N70" s="74" t="s">
        <v>102</v>
      </c>
      <c r="O70" s="478"/>
      <c r="P70" s="711"/>
      <c r="Q70" s="428"/>
      <c r="R70" s="428"/>
      <c r="S70" s="428"/>
      <c r="T70" s="428"/>
      <c r="U70" s="428"/>
      <c r="V70" s="428"/>
      <c r="W70" s="428"/>
      <c r="X70" s="428"/>
      <c r="Y70" s="428"/>
      <c r="Z70" s="428"/>
    </row>
    <row r="71" spans="1:97" s="453" customFormat="1" ht="15.5" x14ac:dyDescent="0.3">
      <c r="A71" s="454"/>
      <c r="B71" s="455">
        <v>1</v>
      </c>
      <c r="C71" s="456" t="s">
        <v>88</v>
      </c>
      <c r="D71" s="457" t="s">
        <v>89</v>
      </c>
      <c r="E71" s="457" t="s">
        <v>90</v>
      </c>
      <c r="F71" s="723">
        <v>45848</v>
      </c>
      <c r="G71" s="459">
        <v>45908</v>
      </c>
      <c r="H71" s="877" t="s">
        <v>558</v>
      </c>
      <c r="I71" s="878"/>
      <c r="J71" s="878"/>
      <c r="K71" s="879"/>
      <c r="L71" s="459">
        <v>45908</v>
      </c>
      <c r="M71" s="460" t="s">
        <v>91</v>
      </c>
      <c r="N71" s="461"/>
      <c r="O71" s="461"/>
      <c r="P71" s="450"/>
      <c r="Q71" s="428"/>
      <c r="R71" s="428"/>
      <c r="S71" s="428"/>
      <c r="T71" s="428"/>
      <c r="U71" s="428"/>
      <c r="V71" s="428"/>
      <c r="W71" s="428"/>
      <c r="X71" s="428"/>
      <c r="Y71" s="428"/>
      <c r="Z71" s="428"/>
    </row>
    <row r="72" spans="1:97" s="436" customFormat="1" ht="15.5" x14ac:dyDescent="0.3">
      <c r="A72" s="454"/>
      <c r="B72" s="455">
        <v>2</v>
      </c>
      <c r="C72" s="464" t="s">
        <v>98</v>
      </c>
      <c r="D72" s="467" t="s">
        <v>89</v>
      </c>
      <c r="E72" s="465" t="s">
        <v>552</v>
      </c>
      <c r="F72" s="724">
        <v>45898</v>
      </c>
      <c r="G72" s="466">
        <v>45924</v>
      </c>
      <c r="H72" s="882" t="s">
        <v>558</v>
      </c>
      <c r="I72" s="883"/>
      <c r="J72" s="883"/>
      <c r="K72" s="884"/>
      <c r="L72" s="466">
        <v>45924</v>
      </c>
      <c r="M72" s="468" t="s">
        <v>91</v>
      </c>
      <c r="N72" s="463"/>
      <c r="O72" s="479"/>
      <c r="P72" s="450"/>
      <c r="Q72" s="428"/>
      <c r="R72" s="428"/>
      <c r="S72" s="428"/>
      <c r="T72" s="428"/>
      <c r="U72" s="428"/>
      <c r="V72" s="428"/>
      <c r="W72" s="428"/>
      <c r="X72" s="428"/>
      <c r="Y72" s="428"/>
      <c r="Z72" s="428"/>
      <c r="AA72" s="453"/>
      <c r="AB72" s="453"/>
      <c r="AC72" s="453"/>
      <c r="AD72" s="453"/>
      <c r="AE72" s="453"/>
      <c r="AF72" s="453"/>
      <c r="AG72" s="453"/>
      <c r="AH72" s="453"/>
      <c r="AI72" s="453"/>
      <c r="AJ72" s="453"/>
      <c r="AK72" s="453"/>
      <c r="AL72" s="453"/>
      <c r="AM72" s="453"/>
      <c r="AN72" s="453"/>
      <c r="AO72" s="453"/>
      <c r="AP72" s="453"/>
      <c r="AQ72" s="453"/>
      <c r="AR72" s="453"/>
      <c r="AS72" s="453"/>
      <c r="AT72" s="453"/>
      <c r="AU72" s="453"/>
      <c r="AV72" s="453"/>
      <c r="AW72" s="453"/>
      <c r="AX72" s="453"/>
      <c r="AY72" s="453"/>
      <c r="AZ72" s="453"/>
      <c r="BA72" s="453"/>
      <c r="BB72" s="453"/>
      <c r="BC72" s="453"/>
      <c r="BD72" s="453"/>
      <c r="BE72" s="453"/>
      <c r="BF72" s="453"/>
      <c r="BG72" s="453"/>
      <c r="BH72" s="453"/>
      <c r="BI72" s="453"/>
      <c r="BJ72" s="453"/>
      <c r="BK72" s="453"/>
      <c r="BL72" s="453"/>
      <c r="BM72" s="453"/>
      <c r="BN72" s="453"/>
      <c r="BO72" s="453"/>
      <c r="BP72" s="453"/>
      <c r="BQ72" s="453"/>
      <c r="BR72" s="453"/>
      <c r="BS72" s="453"/>
      <c r="BT72" s="453"/>
      <c r="BU72" s="453"/>
      <c r="BV72" s="453"/>
      <c r="BW72" s="453"/>
      <c r="BX72" s="453"/>
      <c r="BY72" s="453"/>
      <c r="BZ72" s="453"/>
      <c r="CA72" s="453"/>
      <c r="CB72" s="453"/>
      <c r="CC72" s="453"/>
      <c r="CD72" s="453"/>
      <c r="CE72" s="453"/>
      <c r="CF72" s="453"/>
      <c r="CG72" s="453"/>
      <c r="CH72" s="453"/>
      <c r="CI72" s="453"/>
      <c r="CJ72" s="453"/>
      <c r="CK72" s="453"/>
      <c r="CL72" s="453"/>
      <c r="CM72" s="453"/>
      <c r="CN72" s="453"/>
      <c r="CO72" s="453"/>
      <c r="CP72" s="453"/>
      <c r="CQ72" s="453"/>
      <c r="CR72" s="453"/>
      <c r="CS72" s="480"/>
    </row>
    <row r="73" spans="1:97" s="453" customFormat="1" ht="15.5" x14ac:dyDescent="0.3">
      <c r="A73" s="454"/>
      <c r="B73" s="455">
        <v>3</v>
      </c>
      <c r="C73" s="464" t="s">
        <v>282</v>
      </c>
      <c r="D73" s="465" t="s">
        <v>97</v>
      </c>
      <c r="E73" s="465" t="s">
        <v>552</v>
      </c>
      <c r="F73" s="724">
        <v>45933</v>
      </c>
      <c r="G73" s="466">
        <v>45949</v>
      </c>
      <c r="H73" s="826" t="s">
        <v>558</v>
      </c>
      <c r="I73" s="827"/>
      <c r="J73" s="827"/>
      <c r="K73" s="828"/>
      <c r="L73" s="466">
        <v>45949</v>
      </c>
      <c r="M73" s="448" t="s">
        <v>559</v>
      </c>
      <c r="N73" s="463"/>
      <c r="O73" s="463"/>
      <c r="P73" s="450"/>
      <c r="Q73" s="428"/>
      <c r="R73" s="428"/>
      <c r="S73" s="428"/>
      <c r="T73" s="428"/>
      <c r="U73" s="428"/>
      <c r="V73" s="428"/>
      <c r="W73" s="428"/>
      <c r="X73" s="428"/>
      <c r="Y73" s="428"/>
      <c r="Z73" s="428"/>
    </row>
    <row r="74" spans="1:97" s="453" customFormat="1" ht="15.5" x14ac:dyDescent="0.3">
      <c r="A74" s="454"/>
      <c r="B74" s="455">
        <v>4</v>
      </c>
      <c r="C74" s="464" t="s">
        <v>327</v>
      </c>
      <c r="D74" s="465" t="s">
        <v>89</v>
      </c>
      <c r="E74" s="465" t="s">
        <v>552</v>
      </c>
      <c r="F74" s="466"/>
      <c r="G74" s="466">
        <v>45992</v>
      </c>
      <c r="H74" s="826" t="s">
        <v>558</v>
      </c>
      <c r="I74" s="827"/>
      <c r="J74" s="827"/>
      <c r="K74" s="828"/>
      <c r="L74" s="466">
        <v>45992</v>
      </c>
      <c r="M74" s="448" t="s">
        <v>91</v>
      </c>
      <c r="N74" s="463"/>
      <c r="O74" s="463"/>
      <c r="P74" s="450"/>
      <c r="R74" s="428"/>
      <c r="S74" s="428"/>
      <c r="T74" s="428"/>
      <c r="U74" s="428"/>
      <c r="V74" s="428"/>
      <c r="W74" s="428"/>
      <c r="X74" s="428"/>
      <c r="Y74" s="428"/>
      <c r="Z74" s="428"/>
    </row>
    <row r="75" spans="1:97" s="453" customFormat="1" ht="15.5" x14ac:dyDescent="0.3">
      <c r="A75" s="454"/>
      <c r="B75" s="455">
        <v>5</v>
      </c>
      <c r="C75" s="464" t="s">
        <v>329</v>
      </c>
      <c r="D75" s="465" t="s">
        <v>89</v>
      </c>
      <c r="E75" s="465" t="s">
        <v>552</v>
      </c>
      <c r="F75" s="466"/>
      <c r="G75" s="466">
        <v>46010</v>
      </c>
      <c r="H75" s="826" t="s">
        <v>558</v>
      </c>
      <c r="I75" s="827"/>
      <c r="J75" s="827"/>
      <c r="K75" s="828"/>
      <c r="L75" s="466">
        <v>46010</v>
      </c>
      <c r="M75" s="448" t="s">
        <v>91</v>
      </c>
      <c r="N75" s="463"/>
      <c r="O75" s="463"/>
      <c r="P75" s="450"/>
      <c r="R75" s="428"/>
      <c r="S75" s="428"/>
      <c r="T75" s="428"/>
      <c r="U75" s="428"/>
      <c r="V75" s="428"/>
      <c r="W75" s="428"/>
      <c r="X75" s="428"/>
      <c r="Y75" s="428"/>
      <c r="Z75" s="428"/>
    </row>
    <row r="76" spans="1:97" s="453" customFormat="1" ht="15.5" x14ac:dyDescent="0.3">
      <c r="A76" s="454"/>
      <c r="B76" s="455">
        <v>6</v>
      </c>
      <c r="C76" s="464" t="s">
        <v>330</v>
      </c>
      <c r="D76" s="465" t="s">
        <v>89</v>
      </c>
      <c r="E76" s="463" t="s">
        <v>94</v>
      </c>
      <c r="F76" s="466"/>
      <c r="G76" s="466"/>
      <c r="H76" s="826" t="s">
        <v>558</v>
      </c>
      <c r="I76" s="827"/>
      <c r="J76" s="827"/>
      <c r="K76" s="828"/>
      <c r="L76" s="466"/>
      <c r="M76" s="448" t="s">
        <v>91</v>
      </c>
      <c r="N76" s="463"/>
      <c r="O76" s="463"/>
      <c r="P76" s="450"/>
      <c r="R76" s="428"/>
      <c r="S76" s="428"/>
      <c r="T76" s="428"/>
      <c r="U76" s="428"/>
      <c r="V76" s="428"/>
      <c r="W76" s="428"/>
      <c r="X76" s="428"/>
      <c r="Y76" s="428"/>
      <c r="Z76" s="428"/>
    </row>
    <row r="77" spans="1:97" s="453" customFormat="1" ht="15.5" x14ac:dyDescent="0.3">
      <c r="A77" s="428"/>
      <c r="B77" s="455">
        <v>7</v>
      </c>
      <c r="C77" s="710" t="s">
        <v>333</v>
      </c>
      <c r="D77" s="465" t="s">
        <v>89</v>
      </c>
      <c r="E77" s="450" t="s">
        <v>90</v>
      </c>
      <c r="F77" s="466"/>
      <c r="G77" s="466">
        <v>46011</v>
      </c>
      <c r="H77" s="826" t="s">
        <v>558</v>
      </c>
      <c r="I77" s="827"/>
      <c r="J77" s="827"/>
      <c r="K77" s="828"/>
      <c r="L77" s="466">
        <v>46011</v>
      </c>
      <c r="M77" s="448" t="s">
        <v>91</v>
      </c>
      <c r="N77" s="450"/>
      <c r="O77" s="464"/>
      <c r="P77" s="464"/>
      <c r="Q77" s="428"/>
      <c r="R77" s="428"/>
      <c r="S77" s="428"/>
      <c r="T77" s="428"/>
      <c r="U77" s="428"/>
      <c r="V77" s="428"/>
      <c r="W77" s="428"/>
      <c r="X77" s="428"/>
      <c r="Y77" s="428"/>
      <c r="Z77" s="428"/>
    </row>
    <row r="78" spans="1:97" s="453" customFormat="1" ht="15.65" customHeight="1" x14ac:dyDescent="0.35">
      <c r="A78" s="428"/>
      <c r="B78" s="455">
        <v>8</v>
      </c>
      <c r="C78" s="721" t="s">
        <v>264</v>
      </c>
      <c r="D78" s="465" t="s">
        <v>89</v>
      </c>
      <c r="E78" s="463" t="s">
        <v>94</v>
      </c>
      <c r="F78" s="722"/>
      <c r="G78" s="722">
        <v>46016</v>
      </c>
      <c r="H78" s="826" t="s">
        <v>558</v>
      </c>
      <c r="I78" s="827"/>
      <c r="J78" s="827"/>
      <c r="K78" s="828"/>
      <c r="L78" s="722">
        <v>46016</v>
      </c>
      <c r="M78" s="448" t="s">
        <v>559</v>
      </c>
      <c r="N78" s="695"/>
      <c r="O78" s="695"/>
      <c r="P78" s="695"/>
      <c r="Q78" s="428"/>
      <c r="R78" s="428"/>
      <c r="S78" s="428"/>
      <c r="T78" s="428"/>
      <c r="U78" s="428"/>
      <c r="V78" s="428"/>
      <c r="W78" s="428"/>
      <c r="X78" s="428"/>
      <c r="Y78" s="428"/>
      <c r="Z78" s="428"/>
    </row>
    <row r="79" spans="1:97" s="453" customFormat="1" ht="15.65" customHeight="1" x14ac:dyDescent="0.35">
      <c r="A79" s="428"/>
      <c r="B79" s="455">
        <v>9</v>
      </c>
      <c r="C79" s="737" t="s">
        <v>96</v>
      </c>
      <c r="D79" s="713" t="s">
        <v>97</v>
      </c>
      <c r="E79" s="738" t="s">
        <v>551</v>
      </c>
      <c r="F79" s="739"/>
      <c r="G79" s="739">
        <v>46021</v>
      </c>
      <c r="H79" s="823" t="s">
        <v>558</v>
      </c>
      <c r="I79" s="824"/>
      <c r="J79" s="824"/>
      <c r="K79" s="825"/>
      <c r="L79" s="739">
        <v>46021</v>
      </c>
      <c r="M79" s="460" t="s">
        <v>91</v>
      </c>
      <c r="N79" s="740"/>
      <c r="O79" s="740"/>
      <c r="P79" s="740"/>
      <c r="Q79" s="428"/>
      <c r="R79" s="428"/>
      <c r="S79" s="428"/>
      <c r="T79" s="428"/>
      <c r="U79" s="428"/>
      <c r="V79" s="428"/>
      <c r="W79" s="428"/>
      <c r="X79" s="428"/>
      <c r="Y79" s="428"/>
      <c r="Z79" s="428"/>
    </row>
    <row r="80" spans="1:97" s="453" customFormat="1" ht="15.65" customHeight="1" x14ac:dyDescent="0.35">
      <c r="A80" s="428"/>
      <c r="B80" s="455">
        <v>10</v>
      </c>
      <c r="C80" s="721" t="s">
        <v>341</v>
      </c>
      <c r="D80" s="465" t="s">
        <v>93</v>
      </c>
      <c r="E80" s="463" t="s">
        <v>708</v>
      </c>
      <c r="F80" s="722"/>
      <c r="G80" s="722"/>
      <c r="H80" s="823" t="s">
        <v>558</v>
      </c>
      <c r="I80" s="824"/>
      <c r="J80" s="824"/>
      <c r="K80" s="825"/>
      <c r="L80" s="722"/>
      <c r="M80" s="460" t="s">
        <v>91</v>
      </c>
      <c r="N80" s="695"/>
      <c r="O80" s="695"/>
      <c r="P80" s="695"/>
      <c r="Q80" s="428"/>
      <c r="R80" s="428"/>
      <c r="S80" s="428"/>
      <c r="T80" s="428"/>
      <c r="U80" s="428"/>
      <c r="V80" s="428"/>
      <c r="W80" s="428"/>
      <c r="X80" s="428"/>
      <c r="Y80" s="428"/>
      <c r="Z80" s="428"/>
    </row>
    <row r="81" spans="1:26" s="453" customFormat="1" ht="15.65" customHeight="1" x14ac:dyDescent="0.35">
      <c r="A81" s="428"/>
      <c r="B81" s="455">
        <v>11</v>
      </c>
      <c r="C81" s="721" t="s">
        <v>403</v>
      </c>
      <c r="D81" s="465" t="s">
        <v>89</v>
      </c>
      <c r="E81" s="463" t="s">
        <v>552</v>
      </c>
      <c r="F81" s="722"/>
      <c r="G81" s="722"/>
      <c r="H81" s="826" t="s">
        <v>558</v>
      </c>
      <c r="I81" s="827"/>
      <c r="J81" s="827"/>
      <c r="K81" s="828"/>
      <c r="L81" s="722"/>
      <c r="M81" s="448" t="s">
        <v>704</v>
      </c>
      <c r="N81" s="695"/>
      <c r="O81" s="695"/>
      <c r="P81" s="695"/>
      <c r="Q81" s="428"/>
      <c r="R81" s="428"/>
      <c r="S81" s="428"/>
      <c r="T81" s="428"/>
      <c r="U81" s="428"/>
      <c r="V81" s="428"/>
      <c r="W81" s="428"/>
      <c r="X81" s="428"/>
      <c r="Y81" s="428"/>
      <c r="Z81" s="428"/>
    </row>
    <row r="82" spans="1:26" s="453" customFormat="1" ht="15.65" customHeight="1" x14ac:dyDescent="0.35">
      <c r="A82" s="428"/>
      <c r="B82" s="455">
        <v>12</v>
      </c>
      <c r="C82" s="721" t="s">
        <v>404</v>
      </c>
      <c r="D82" s="465" t="s">
        <v>89</v>
      </c>
      <c r="E82" s="463" t="s">
        <v>94</v>
      </c>
      <c r="F82" s="722"/>
      <c r="G82" s="722"/>
      <c r="H82" s="826" t="s">
        <v>558</v>
      </c>
      <c r="I82" s="827"/>
      <c r="J82" s="827"/>
      <c r="K82" s="828"/>
      <c r="L82" s="722"/>
      <c r="M82" s="448" t="s">
        <v>704</v>
      </c>
      <c r="N82" s="695"/>
      <c r="O82" s="695"/>
      <c r="P82" s="695"/>
      <c r="Q82" s="428"/>
      <c r="R82" s="428"/>
      <c r="S82" s="428"/>
      <c r="T82" s="428"/>
      <c r="U82" s="428"/>
      <c r="V82" s="428"/>
      <c r="W82" s="428"/>
      <c r="X82" s="428"/>
      <c r="Y82" s="428"/>
      <c r="Z82" s="428"/>
    </row>
    <row r="83" spans="1:26" s="453" customFormat="1" ht="15.65" customHeight="1" x14ac:dyDescent="0.35">
      <c r="A83" s="428"/>
      <c r="B83" s="455">
        <v>13</v>
      </c>
      <c r="C83" s="721" t="s">
        <v>406</v>
      </c>
      <c r="D83" s="465" t="s">
        <v>89</v>
      </c>
      <c r="E83" s="463" t="s">
        <v>94</v>
      </c>
      <c r="F83" s="722"/>
      <c r="G83" s="722"/>
      <c r="H83" s="826" t="s">
        <v>558</v>
      </c>
      <c r="I83" s="827"/>
      <c r="J83" s="827"/>
      <c r="K83" s="828"/>
      <c r="L83" s="722"/>
      <c r="M83" s="448" t="s">
        <v>704</v>
      </c>
      <c r="N83" s="695"/>
      <c r="O83" s="695"/>
      <c r="P83" s="695"/>
      <c r="Q83" s="428"/>
      <c r="R83" s="428"/>
      <c r="S83" s="428"/>
      <c r="T83" s="428"/>
      <c r="U83" s="428"/>
      <c r="V83" s="428"/>
      <c r="W83" s="428"/>
      <c r="X83" s="428"/>
      <c r="Y83" s="428"/>
      <c r="Z83" s="428"/>
    </row>
    <row r="84" spans="1:26" s="453" customFormat="1" ht="15.65" customHeight="1" x14ac:dyDescent="0.35">
      <c r="A84" s="428"/>
      <c r="B84" s="463">
        <v>14</v>
      </c>
      <c r="C84" s="721" t="s">
        <v>407</v>
      </c>
      <c r="D84" s="465" t="s">
        <v>89</v>
      </c>
      <c r="E84" s="463" t="s">
        <v>94</v>
      </c>
      <c r="F84" s="722"/>
      <c r="G84" s="722"/>
      <c r="H84" s="829" t="s">
        <v>558</v>
      </c>
      <c r="I84" s="830"/>
      <c r="J84" s="830"/>
      <c r="K84" s="830"/>
      <c r="L84" s="722"/>
      <c r="M84" s="448" t="s">
        <v>704</v>
      </c>
      <c r="N84" s="695"/>
      <c r="O84" s="695"/>
      <c r="P84" s="695"/>
      <c r="Q84" s="428"/>
      <c r="R84" s="428"/>
      <c r="S84" s="428"/>
      <c r="T84" s="428"/>
      <c r="U84" s="428"/>
      <c r="V84" s="428"/>
      <c r="W84" s="428"/>
      <c r="X84" s="428"/>
      <c r="Y84" s="428"/>
      <c r="Z84" s="428"/>
    </row>
    <row r="85" spans="1:26" s="453" customFormat="1" ht="13.5" customHeight="1" thickBot="1" x14ac:dyDescent="0.35">
      <c r="A85" s="428"/>
      <c r="B85" s="595"/>
      <c r="C85" s="596"/>
      <c r="D85" s="597"/>
      <c r="E85" s="597"/>
      <c r="F85" s="597"/>
      <c r="G85" s="462"/>
      <c r="H85" s="598"/>
      <c r="I85" s="598"/>
      <c r="J85" s="598"/>
      <c r="K85" s="598"/>
      <c r="L85" s="462"/>
      <c r="M85" s="597"/>
      <c r="N85" s="597"/>
      <c r="O85" s="462"/>
      <c r="P85" s="462"/>
      <c r="Q85" s="428"/>
      <c r="R85" s="428"/>
      <c r="S85" s="428"/>
      <c r="T85" s="428"/>
      <c r="U85" s="428"/>
      <c r="V85" s="428"/>
      <c r="W85" s="428"/>
      <c r="X85" s="428"/>
      <c r="Y85" s="428"/>
      <c r="Z85" s="428"/>
    </row>
    <row r="86" spans="1:26" ht="13.5" customHeight="1" thickBot="1" x14ac:dyDescent="0.35">
      <c r="A86" s="1"/>
      <c r="B86" s="696" t="s">
        <v>103</v>
      </c>
      <c r="C86" s="678"/>
      <c r="D86" s="678"/>
      <c r="E86" s="678"/>
      <c r="F86" s="678"/>
      <c r="G86" s="678"/>
      <c r="H86" s="678"/>
      <c r="I86" s="678"/>
      <c r="J86" s="678"/>
      <c r="K86" s="678"/>
      <c r="L86" s="678"/>
      <c r="M86" s="678"/>
      <c r="N86" s="678"/>
      <c r="O86" s="732"/>
      <c r="P86" s="46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702" t="s">
        <v>71</v>
      </c>
      <c r="C87" s="701" t="s">
        <v>72</v>
      </c>
      <c r="D87" s="701" t="s">
        <v>73</v>
      </c>
      <c r="E87" s="880" t="s">
        <v>101</v>
      </c>
      <c r="F87" s="881"/>
      <c r="G87" s="881"/>
      <c r="H87" s="881"/>
      <c r="I87" s="881"/>
      <c r="J87" s="701" t="s">
        <v>84</v>
      </c>
      <c r="K87" s="701" t="s">
        <v>86</v>
      </c>
      <c r="L87" s="701" t="s">
        <v>104</v>
      </c>
      <c r="M87" s="701" t="s">
        <v>105</v>
      </c>
      <c r="N87" s="701" t="s">
        <v>106</v>
      </c>
      <c r="O87" s="46"/>
      <c r="P87" s="46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697"/>
      <c r="C88" s="698"/>
      <c r="D88" s="699"/>
      <c r="E88" s="831"/>
      <c r="F88" s="768"/>
      <c r="G88" s="768"/>
      <c r="H88" s="768"/>
      <c r="I88" s="832"/>
      <c r="J88" s="698"/>
      <c r="K88" s="698"/>
      <c r="L88" s="697"/>
      <c r="M88" s="700"/>
      <c r="N88" s="700"/>
      <c r="O88" s="46"/>
      <c r="P88" s="46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thickBot="1" x14ac:dyDescent="0.35">
      <c r="A89" s="1"/>
      <c r="B89" s="703"/>
      <c r="C89" s="78"/>
      <c r="D89" s="79"/>
      <c r="E89" s="80"/>
      <c r="F89" s="80"/>
      <c r="G89" s="80"/>
      <c r="H89" s="80"/>
      <c r="I89" s="80"/>
      <c r="J89" s="78"/>
      <c r="K89" s="78"/>
      <c r="L89" s="81"/>
      <c r="M89" s="46"/>
      <c r="N89" s="46"/>
      <c r="O89" s="46"/>
      <c r="P89" s="46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thickBot="1" x14ac:dyDescent="0.35">
      <c r="A90" s="1"/>
      <c r="B90" s="696" t="s">
        <v>107</v>
      </c>
      <c r="C90" s="75"/>
      <c r="D90" s="75"/>
      <c r="E90" s="75"/>
      <c r="F90" s="75"/>
      <c r="G90" s="75"/>
      <c r="H90" s="75"/>
      <c r="I90" s="75"/>
      <c r="J90" s="75"/>
      <c r="K90" s="75"/>
      <c r="L90" s="76"/>
      <c r="M90" s="46"/>
      <c r="N90" s="46"/>
      <c r="O90" s="46"/>
      <c r="P90" s="46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77" t="s">
        <v>71</v>
      </c>
      <c r="C91" s="77" t="s">
        <v>72</v>
      </c>
      <c r="D91" s="77" t="s">
        <v>73</v>
      </c>
      <c r="E91" s="833" t="s">
        <v>101</v>
      </c>
      <c r="F91" s="834"/>
      <c r="G91" s="834"/>
      <c r="H91" s="834"/>
      <c r="I91" s="835"/>
      <c r="J91" s="77" t="s">
        <v>84</v>
      </c>
      <c r="K91" s="77" t="s">
        <v>86</v>
      </c>
      <c r="L91" s="77" t="s">
        <v>33</v>
      </c>
      <c r="M91" s="46"/>
      <c r="N91" s="46"/>
      <c r="O91" s="46"/>
      <c r="P91" s="46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thickBot="1" x14ac:dyDescent="0.35">
      <c r="A92" s="1"/>
      <c r="B92" s="460"/>
      <c r="C92" s="69"/>
      <c r="D92" s="82"/>
      <c r="E92" s="843"/>
      <c r="F92" s="775"/>
      <c r="G92" s="775"/>
      <c r="H92" s="775"/>
      <c r="I92" s="776"/>
      <c r="J92" s="71"/>
      <c r="K92" s="69"/>
      <c r="L92" s="67"/>
      <c r="M92" s="46"/>
      <c r="N92" s="46"/>
      <c r="O92" s="46"/>
      <c r="P92" s="46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thickBot="1" x14ac:dyDescent="0.35">
      <c r="A93" s="1"/>
      <c r="B93" s="705" t="s">
        <v>108</v>
      </c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4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704" t="s">
        <v>100</v>
      </c>
      <c r="C94" s="85" t="s">
        <v>76</v>
      </c>
      <c r="D94" s="85" t="s">
        <v>77</v>
      </c>
      <c r="E94" s="85" t="s">
        <v>78</v>
      </c>
      <c r="F94" s="85"/>
      <c r="G94" s="85" t="s">
        <v>80</v>
      </c>
      <c r="H94" s="85" t="s">
        <v>109</v>
      </c>
      <c r="I94" s="844" t="s">
        <v>101</v>
      </c>
      <c r="J94" s="775"/>
      <c r="K94" s="775"/>
      <c r="L94" s="776"/>
      <c r="M94" s="85" t="s">
        <v>83</v>
      </c>
      <c r="N94" s="85" t="s">
        <v>84</v>
      </c>
      <c r="O94" s="85" t="s">
        <v>86</v>
      </c>
      <c r="P94" s="85" t="s">
        <v>102</v>
      </c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460">
        <v>1</v>
      </c>
      <c r="C95" s="694" t="s">
        <v>277</v>
      </c>
      <c r="D95" s="457" t="s">
        <v>89</v>
      </c>
      <c r="E95" s="457" t="s">
        <v>94</v>
      </c>
      <c r="F95" s="457"/>
      <c r="G95" s="458">
        <v>46006</v>
      </c>
      <c r="H95" s="457">
        <v>36.573999999999998</v>
      </c>
      <c r="I95" s="820" t="s">
        <v>718</v>
      </c>
      <c r="J95" s="821"/>
      <c r="K95" s="821"/>
      <c r="L95" s="822"/>
      <c r="M95" s="729">
        <v>46011</v>
      </c>
      <c r="N95" s="457" t="s">
        <v>715</v>
      </c>
      <c r="O95" s="457">
        <v>35</v>
      </c>
      <c r="P95" s="457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460">
        <v>2</v>
      </c>
      <c r="C96" s="712" t="s">
        <v>330</v>
      </c>
      <c r="D96" s="457" t="s">
        <v>89</v>
      </c>
      <c r="E96" s="457" t="s">
        <v>94</v>
      </c>
      <c r="F96" s="713"/>
      <c r="G96" s="714">
        <v>46013</v>
      </c>
      <c r="H96" s="457">
        <v>36.573999999999998</v>
      </c>
      <c r="I96" s="820" t="s">
        <v>718</v>
      </c>
      <c r="J96" s="821"/>
      <c r="K96" s="821"/>
      <c r="L96" s="822"/>
      <c r="M96" s="627">
        <v>46022</v>
      </c>
      <c r="N96" s="465" t="s">
        <v>714</v>
      </c>
      <c r="O96" s="465">
        <v>25</v>
      </c>
      <c r="P96" s="465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460">
        <v>3</v>
      </c>
      <c r="C97" s="450" t="s">
        <v>280</v>
      </c>
      <c r="D97" s="465" t="s">
        <v>89</v>
      </c>
      <c r="E97" s="450" t="s">
        <v>552</v>
      </c>
      <c r="F97" s="450"/>
      <c r="G97" s="715">
        <v>46013</v>
      </c>
      <c r="H97" s="457">
        <v>36.573999999999998</v>
      </c>
      <c r="I97" s="820" t="s">
        <v>718</v>
      </c>
      <c r="J97" s="821"/>
      <c r="K97" s="821"/>
      <c r="L97" s="822"/>
      <c r="M97" s="730">
        <v>46018</v>
      </c>
      <c r="N97" s="457" t="s">
        <v>715</v>
      </c>
      <c r="O97" s="457">
        <v>35</v>
      </c>
      <c r="P97" s="69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460">
        <v>4</v>
      </c>
      <c r="C98" s="464" t="s">
        <v>329</v>
      </c>
      <c r="D98" s="465" t="s">
        <v>89</v>
      </c>
      <c r="E98" s="450" t="s">
        <v>552</v>
      </c>
      <c r="F98" s="464"/>
      <c r="G98" s="466">
        <v>46016</v>
      </c>
      <c r="H98" s="457">
        <v>36.573999999999998</v>
      </c>
      <c r="I98" s="820" t="s">
        <v>718</v>
      </c>
      <c r="J98" s="821"/>
      <c r="K98" s="821"/>
      <c r="L98" s="822"/>
      <c r="M98" s="731">
        <v>46030</v>
      </c>
      <c r="N98" s="464" t="s">
        <v>719</v>
      </c>
      <c r="O98" s="464">
        <v>25</v>
      </c>
      <c r="P98" s="464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460">
        <v>5</v>
      </c>
      <c r="C99" s="464" t="s">
        <v>275</v>
      </c>
      <c r="D99" s="465" t="s">
        <v>89</v>
      </c>
      <c r="E99" s="450" t="s">
        <v>552</v>
      </c>
      <c r="F99" s="464"/>
      <c r="G99" s="466">
        <v>46016</v>
      </c>
      <c r="H99" s="457">
        <v>36.573999999999998</v>
      </c>
      <c r="I99" s="818" t="s">
        <v>718</v>
      </c>
      <c r="J99" s="819"/>
      <c r="K99" s="819"/>
      <c r="L99" s="819"/>
      <c r="M99" s="731">
        <v>46024</v>
      </c>
      <c r="N99" s="465" t="s">
        <v>715</v>
      </c>
      <c r="O99" s="465">
        <v>35</v>
      </c>
      <c r="P99" s="464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460">
        <v>6</v>
      </c>
      <c r="C100" s="464" t="s">
        <v>327</v>
      </c>
      <c r="D100" s="465" t="s">
        <v>89</v>
      </c>
      <c r="E100" s="450" t="s">
        <v>552</v>
      </c>
      <c r="F100" s="464"/>
      <c r="G100" s="466">
        <v>46023</v>
      </c>
      <c r="H100" s="457">
        <v>36.573999999999998</v>
      </c>
      <c r="I100" s="809" t="s">
        <v>738</v>
      </c>
      <c r="J100" s="810"/>
      <c r="K100" s="810"/>
      <c r="L100" s="811"/>
      <c r="M100" s="464"/>
      <c r="N100" s="464" t="s">
        <v>719</v>
      </c>
      <c r="O100" s="465">
        <v>25</v>
      </c>
      <c r="P100" s="464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450">
        <v>7</v>
      </c>
      <c r="C101" s="464" t="s">
        <v>274</v>
      </c>
      <c r="D101" s="464" t="s">
        <v>97</v>
      </c>
      <c r="E101" s="450" t="s">
        <v>552</v>
      </c>
      <c r="F101" s="464"/>
      <c r="G101" s="466">
        <v>46024</v>
      </c>
      <c r="H101" s="464"/>
      <c r="I101" s="809" t="s">
        <v>744</v>
      </c>
      <c r="J101" s="810"/>
      <c r="K101" s="810"/>
      <c r="L101" s="811"/>
      <c r="M101" s="464"/>
      <c r="N101" s="465" t="s">
        <v>715</v>
      </c>
      <c r="O101" s="465">
        <v>35</v>
      </c>
      <c r="P101" s="464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741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454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454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454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454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454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454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454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454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454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454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454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454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454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454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454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454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454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454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454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454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454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454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454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454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454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454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454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454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454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454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454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454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454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454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454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454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454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454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454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454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454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454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454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454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454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454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454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454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454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454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454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454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454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45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454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454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454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454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454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454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454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454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454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454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454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454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454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454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454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454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454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454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454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454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454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454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454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454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454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454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454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454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454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454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454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454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454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454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454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454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454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454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454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454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45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45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454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454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454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454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454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454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454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454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454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454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454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454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454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454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454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454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454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454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454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454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454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454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454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454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454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454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454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454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454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454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454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454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454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454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454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454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454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454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454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454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454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454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454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454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454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454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454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454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454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454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454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454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454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454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454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454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454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454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454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454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454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454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454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454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454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454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454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454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454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454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454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454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454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454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454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454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454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454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454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454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454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454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454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454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454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454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454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454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454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454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454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454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454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454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454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454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3">
      <c r="B295" s="453"/>
    </row>
    <row r="296" spans="1:26" ht="13" x14ac:dyDescent="0.3">
      <c r="B296" s="453"/>
    </row>
    <row r="297" spans="1:26" ht="13" x14ac:dyDescent="0.3">
      <c r="B297" s="453"/>
    </row>
    <row r="298" spans="1:26" ht="13" x14ac:dyDescent="0.3">
      <c r="B298" s="453"/>
    </row>
    <row r="299" spans="1:26" ht="13" x14ac:dyDescent="0.3">
      <c r="B299" s="453"/>
    </row>
    <row r="300" spans="1:26" ht="13" x14ac:dyDescent="0.3">
      <c r="B300" s="453"/>
    </row>
    <row r="301" spans="1:26" ht="13" x14ac:dyDescent="0.3">
      <c r="B301" s="453"/>
    </row>
    <row r="302" spans="1:26" ht="13" x14ac:dyDescent="0.3">
      <c r="B302" s="453"/>
    </row>
    <row r="303" spans="1:26" ht="13" x14ac:dyDescent="0.3">
      <c r="B303" s="453"/>
    </row>
    <row r="304" spans="1:26" ht="13" x14ac:dyDescent="0.3">
      <c r="B304" s="453"/>
    </row>
    <row r="305" spans="2:2" ht="13" x14ac:dyDescent="0.3">
      <c r="B305" s="453"/>
    </row>
    <row r="306" spans="2:2" ht="13" x14ac:dyDescent="0.3">
      <c r="B306" s="453"/>
    </row>
    <row r="307" spans="2:2" ht="13" x14ac:dyDescent="0.3">
      <c r="B307" s="453"/>
    </row>
    <row r="308" spans="2:2" ht="13" x14ac:dyDescent="0.3">
      <c r="B308" s="453"/>
    </row>
    <row r="309" spans="2:2" ht="13" x14ac:dyDescent="0.3">
      <c r="B309" s="453"/>
    </row>
    <row r="310" spans="2:2" ht="13" x14ac:dyDescent="0.3">
      <c r="B310" s="453"/>
    </row>
    <row r="311" spans="2:2" ht="13" x14ac:dyDescent="0.3">
      <c r="B311" s="453"/>
    </row>
    <row r="312" spans="2:2" ht="13" x14ac:dyDescent="0.3">
      <c r="B312" s="453"/>
    </row>
    <row r="313" spans="2:2" ht="13" x14ac:dyDescent="0.3">
      <c r="B313" s="453"/>
    </row>
    <row r="314" spans="2:2" ht="13" x14ac:dyDescent="0.3">
      <c r="B314" s="453"/>
    </row>
    <row r="315" spans="2:2" ht="13" x14ac:dyDescent="0.3">
      <c r="B315" s="453"/>
    </row>
    <row r="316" spans="2:2" ht="13" x14ac:dyDescent="0.3">
      <c r="B316" s="453"/>
    </row>
    <row r="317" spans="2:2" ht="13" x14ac:dyDescent="0.3">
      <c r="B317" s="453"/>
    </row>
    <row r="318" spans="2:2" ht="13" x14ac:dyDescent="0.3">
      <c r="B318" s="453"/>
    </row>
    <row r="319" spans="2:2" ht="13" x14ac:dyDescent="0.3">
      <c r="B319" s="453"/>
    </row>
    <row r="320" spans="2:2" ht="13" x14ac:dyDescent="0.3">
      <c r="B320" s="453"/>
    </row>
    <row r="321" spans="2:2" ht="13" x14ac:dyDescent="0.3">
      <c r="B321" s="453"/>
    </row>
    <row r="322" spans="2:2" ht="13" x14ac:dyDescent="0.3">
      <c r="B322" s="453"/>
    </row>
    <row r="323" spans="2:2" ht="13" x14ac:dyDescent="0.3">
      <c r="B323" s="453"/>
    </row>
    <row r="324" spans="2:2" ht="13" x14ac:dyDescent="0.3">
      <c r="B324" s="453"/>
    </row>
    <row r="325" spans="2:2" ht="13" x14ac:dyDescent="0.3">
      <c r="B325" s="453"/>
    </row>
    <row r="326" spans="2:2" ht="13" x14ac:dyDescent="0.3">
      <c r="B326" s="453"/>
    </row>
    <row r="327" spans="2:2" ht="13" x14ac:dyDescent="0.3">
      <c r="B327" s="453"/>
    </row>
    <row r="328" spans="2:2" ht="13" x14ac:dyDescent="0.3">
      <c r="B328" s="453"/>
    </row>
    <row r="329" spans="2:2" ht="13" x14ac:dyDescent="0.3">
      <c r="B329" s="453"/>
    </row>
    <row r="330" spans="2:2" ht="13" x14ac:dyDescent="0.3">
      <c r="B330" s="453"/>
    </row>
    <row r="331" spans="2:2" ht="13" x14ac:dyDescent="0.3">
      <c r="B331" s="453"/>
    </row>
    <row r="332" spans="2:2" ht="13" x14ac:dyDescent="0.3">
      <c r="B332" s="453"/>
    </row>
    <row r="333" spans="2:2" ht="13" x14ac:dyDescent="0.3">
      <c r="B333" s="453"/>
    </row>
    <row r="334" spans="2:2" ht="13" x14ac:dyDescent="0.3">
      <c r="B334" s="453"/>
    </row>
    <row r="335" spans="2:2" ht="13" x14ac:dyDescent="0.3">
      <c r="B335" s="453"/>
    </row>
    <row r="336" spans="2:2" ht="13" x14ac:dyDescent="0.3">
      <c r="B336" s="453"/>
    </row>
    <row r="337" spans="2:2" ht="13" x14ac:dyDescent="0.3">
      <c r="B337" s="453"/>
    </row>
    <row r="338" spans="2:2" ht="13" x14ac:dyDescent="0.3">
      <c r="B338" s="453"/>
    </row>
    <row r="339" spans="2:2" ht="13" x14ac:dyDescent="0.3">
      <c r="B339" s="453"/>
    </row>
    <row r="340" spans="2:2" ht="13" x14ac:dyDescent="0.3">
      <c r="B340" s="453"/>
    </row>
    <row r="341" spans="2:2" ht="13" x14ac:dyDescent="0.3">
      <c r="B341" s="453"/>
    </row>
    <row r="342" spans="2:2" ht="13" x14ac:dyDescent="0.3">
      <c r="B342" s="453"/>
    </row>
    <row r="343" spans="2:2" ht="13" x14ac:dyDescent="0.3">
      <c r="B343" s="453"/>
    </row>
    <row r="344" spans="2:2" ht="13" x14ac:dyDescent="0.3">
      <c r="B344" s="453"/>
    </row>
    <row r="345" spans="2:2" ht="13" x14ac:dyDescent="0.3">
      <c r="B345" s="453"/>
    </row>
    <row r="346" spans="2:2" ht="13" x14ac:dyDescent="0.3">
      <c r="B346" s="453"/>
    </row>
    <row r="347" spans="2:2" ht="13" x14ac:dyDescent="0.3">
      <c r="B347" s="453"/>
    </row>
    <row r="348" spans="2:2" ht="13" x14ac:dyDescent="0.3">
      <c r="B348" s="453"/>
    </row>
    <row r="349" spans="2:2" ht="13" x14ac:dyDescent="0.3">
      <c r="B349" s="453"/>
    </row>
    <row r="350" spans="2:2" ht="13" x14ac:dyDescent="0.3">
      <c r="B350" s="453"/>
    </row>
    <row r="351" spans="2:2" ht="13" x14ac:dyDescent="0.3">
      <c r="B351" s="453"/>
    </row>
    <row r="352" spans="2:2" ht="13" x14ac:dyDescent="0.3">
      <c r="B352" s="453"/>
    </row>
    <row r="353" spans="2:2" ht="13" x14ac:dyDescent="0.3">
      <c r="B353" s="453"/>
    </row>
    <row r="354" spans="2:2" ht="13" x14ac:dyDescent="0.3">
      <c r="B354" s="453"/>
    </row>
    <row r="355" spans="2:2" ht="13" x14ac:dyDescent="0.3">
      <c r="B355" s="453"/>
    </row>
    <row r="356" spans="2:2" ht="13" x14ac:dyDescent="0.3">
      <c r="B356" s="453"/>
    </row>
    <row r="357" spans="2:2" ht="13" x14ac:dyDescent="0.3">
      <c r="B357" s="453"/>
    </row>
    <row r="358" spans="2:2" ht="13" x14ac:dyDescent="0.3">
      <c r="B358" s="453"/>
    </row>
    <row r="359" spans="2:2" ht="13" x14ac:dyDescent="0.3">
      <c r="B359" s="453"/>
    </row>
    <row r="360" spans="2:2" ht="13" x14ac:dyDescent="0.3">
      <c r="B360" s="453"/>
    </row>
    <row r="361" spans="2:2" ht="13" x14ac:dyDescent="0.3">
      <c r="B361" s="453"/>
    </row>
    <row r="362" spans="2:2" ht="13" x14ac:dyDescent="0.3">
      <c r="B362" s="453"/>
    </row>
    <row r="363" spans="2:2" ht="13" x14ac:dyDescent="0.3">
      <c r="B363" s="453"/>
    </row>
    <row r="364" spans="2:2" ht="13" x14ac:dyDescent="0.3">
      <c r="B364" s="453"/>
    </row>
    <row r="365" spans="2:2" ht="13" x14ac:dyDescent="0.3">
      <c r="B365" s="453"/>
    </row>
    <row r="366" spans="2:2" ht="13" x14ac:dyDescent="0.3">
      <c r="B366" s="453"/>
    </row>
    <row r="367" spans="2:2" ht="13" x14ac:dyDescent="0.3">
      <c r="B367" s="453"/>
    </row>
    <row r="368" spans="2:2" ht="13" x14ac:dyDescent="0.3">
      <c r="B368" s="453"/>
    </row>
    <row r="369" spans="2:2" ht="13" x14ac:dyDescent="0.3">
      <c r="B369" s="453"/>
    </row>
    <row r="370" spans="2:2" ht="13" x14ac:dyDescent="0.3">
      <c r="B370" s="453"/>
    </row>
    <row r="371" spans="2:2" ht="13" x14ac:dyDescent="0.3">
      <c r="B371" s="453"/>
    </row>
    <row r="372" spans="2:2" ht="13" x14ac:dyDescent="0.3">
      <c r="B372" s="453"/>
    </row>
    <row r="373" spans="2:2" ht="13" x14ac:dyDescent="0.3">
      <c r="B373" s="453"/>
    </row>
    <row r="374" spans="2:2" ht="13" x14ac:dyDescent="0.3">
      <c r="B374" s="453"/>
    </row>
    <row r="375" spans="2:2" ht="13" x14ac:dyDescent="0.3">
      <c r="B375" s="453"/>
    </row>
    <row r="376" spans="2:2" ht="13" x14ac:dyDescent="0.3">
      <c r="B376" s="453"/>
    </row>
    <row r="377" spans="2:2" ht="13" x14ac:dyDescent="0.3">
      <c r="B377" s="453"/>
    </row>
    <row r="378" spans="2:2" ht="13" x14ac:dyDescent="0.3">
      <c r="B378" s="453"/>
    </row>
    <row r="379" spans="2:2" ht="13" x14ac:dyDescent="0.3">
      <c r="B379" s="453"/>
    </row>
    <row r="380" spans="2:2" ht="13" x14ac:dyDescent="0.3">
      <c r="B380" s="453"/>
    </row>
    <row r="381" spans="2:2" ht="13" x14ac:dyDescent="0.3">
      <c r="B381" s="453"/>
    </row>
    <row r="382" spans="2:2" ht="13" x14ac:dyDescent="0.3">
      <c r="B382" s="453"/>
    </row>
    <row r="383" spans="2:2" ht="13" x14ac:dyDescent="0.3">
      <c r="B383" s="453"/>
    </row>
    <row r="384" spans="2:2" ht="13" x14ac:dyDescent="0.3">
      <c r="B384" s="453"/>
    </row>
    <row r="385" spans="2:2" ht="13" x14ac:dyDescent="0.3">
      <c r="B385" s="453"/>
    </row>
    <row r="386" spans="2:2" ht="13" x14ac:dyDescent="0.3">
      <c r="B386" s="453"/>
    </row>
    <row r="387" spans="2:2" ht="13" x14ac:dyDescent="0.3">
      <c r="B387" s="453"/>
    </row>
    <row r="388" spans="2:2" ht="13" x14ac:dyDescent="0.3">
      <c r="B388" s="453"/>
    </row>
    <row r="389" spans="2:2" ht="13" x14ac:dyDescent="0.3">
      <c r="B389" s="453"/>
    </row>
    <row r="390" spans="2:2" ht="13" x14ac:dyDescent="0.3">
      <c r="B390" s="453"/>
    </row>
    <row r="391" spans="2:2" ht="13" x14ac:dyDescent="0.3">
      <c r="B391" s="453"/>
    </row>
    <row r="392" spans="2:2" ht="13" x14ac:dyDescent="0.3">
      <c r="B392" s="453"/>
    </row>
    <row r="393" spans="2:2" ht="13" x14ac:dyDescent="0.3">
      <c r="B393" s="453"/>
    </row>
    <row r="394" spans="2:2" ht="13" x14ac:dyDescent="0.3">
      <c r="B394" s="453"/>
    </row>
    <row r="395" spans="2:2" ht="13" x14ac:dyDescent="0.3">
      <c r="B395" s="453"/>
    </row>
    <row r="396" spans="2:2" ht="13" x14ac:dyDescent="0.3">
      <c r="B396" s="453"/>
    </row>
    <row r="397" spans="2:2" ht="13" x14ac:dyDescent="0.3">
      <c r="B397" s="453"/>
    </row>
    <row r="398" spans="2:2" ht="13" x14ac:dyDescent="0.3">
      <c r="B398" s="453"/>
    </row>
    <row r="399" spans="2:2" ht="13" x14ac:dyDescent="0.3">
      <c r="B399" s="453"/>
    </row>
    <row r="400" spans="2:2" ht="13" x14ac:dyDescent="0.3">
      <c r="B400" s="453"/>
    </row>
    <row r="401" spans="2:2" ht="13" x14ac:dyDescent="0.3">
      <c r="B401" s="453"/>
    </row>
    <row r="402" spans="2:2" ht="13" x14ac:dyDescent="0.3">
      <c r="B402" s="453"/>
    </row>
    <row r="403" spans="2:2" ht="13" x14ac:dyDescent="0.3">
      <c r="B403" s="453"/>
    </row>
    <row r="404" spans="2:2" ht="13" x14ac:dyDescent="0.3">
      <c r="B404" s="453"/>
    </row>
    <row r="405" spans="2:2" ht="13" x14ac:dyDescent="0.3">
      <c r="B405" s="453"/>
    </row>
    <row r="406" spans="2:2" ht="13" x14ac:dyDescent="0.3">
      <c r="B406" s="453"/>
    </row>
    <row r="407" spans="2:2" ht="13" x14ac:dyDescent="0.3">
      <c r="B407" s="453"/>
    </row>
    <row r="408" spans="2:2" ht="13" x14ac:dyDescent="0.3">
      <c r="B408" s="453"/>
    </row>
    <row r="409" spans="2:2" ht="13" x14ac:dyDescent="0.3">
      <c r="B409" s="453"/>
    </row>
    <row r="410" spans="2:2" ht="13" x14ac:dyDescent="0.3">
      <c r="B410" s="453"/>
    </row>
    <row r="411" spans="2:2" ht="13" x14ac:dyDescent="0.3">
      <c r="B411" s="453"/>
    </row>
    <row r="412" spans="2:2" ht="13" x14ac:dyDescent="0.3">
      <c r="B412" s="453"/>
    </row>
    <row r="413" spans="2:2" ht="13" x14ac:dyDescent="0.3">
      <c r="B413" s="453"/>
    </row>
    <row r="414" spans="2:2" ht="13" x14ac:dyDescent="0.3">
      <c r="B414" s="453"/>
    </row>
    <row r="415" spans="2:2" ht="13" x14ac:dyDescent="0.3">
      <c r="B415" s="453"/>
    </row>
    <row r="416" spans="2:2" ht="13" x14ac:dyDescent="0.3">
      <c r="B416" s="453"/>
    </row>
    <row r="417" spans="2:2" ht="13" x14ac:dyDescent="0.3">
      <c r="B417" s="453"/>
    </row>
    <row r="418" spans="2:2" ht="13" x14ac:dyDescent="0.3">
      <c r="B418" s="453"/>
    </row>
    <row r="419" spans="2:2" ht="13" x14ac:dyDescent="0.3">
      <c r="B419" s="453"/>
    </row>
    <row r="420" spans="2:2" ht="13" x14ac:dyDescent="0.3">
      <c r="B420" s="453"/>
    </row>
    <row r="421" spans="2:2" ht="13" x14ac:dyDescent="0.3">
      <c r="B421" s="453"/>
    </row>
    <row r="422" spans="2:2" ht="13" x14ac:dyDescent="0.3">
      <c r="B422" s="453"/>
    </row>
    <row r="423" spans="2:2" ht="13" x14ac:dyDescent="0.3">
      <c r="B423" s="453"/>
    </row>
    <row r="424" spans="2:2" ht="13" x14ac:dyDescent="0.3">
      <c r="B424" s="453"/>
    </row>
    <row r="425" spans="2:2" ht="13" x14ac:dyDescent="0.3">
      <c r="B425" s="453"/>
    </row>
    <row r="426" spans="2:2" ht="13" x14ac:dyDescent="0.3">
      <c r="B426" s="453"/>
    </row>
    <row r="427" spans="2:2" ht="13" x14ac:dyDescent="0.3">
      <c r="B427" s="453"/>
    </row>
    <row r="428" spans="2:2" ht="13" x14ac:dyDescent="0.3">
      <c r="B428" s="453"/>
    </row>
    <row r="429" spans="2:2" ht="13" x14ac:dyDescent="0.3">
      <c r="B429" s="453"/>
    </row>
    <row r="430" spans="2:2" ht="13" x14ac:dyDescent="0.3">
      <c r="B430" s="453"/>
    </row>
    <row r="431" spans="2:2" ht="13" x14ac:dyDescent="0.3">
      <c r="B431" s="453"/>
    </row>
    <row r="432" spans="2:2" ht="13" x14ac:dyDescent="0.3">
      <c r="B432" s="453"/>
    </row>
    <row r="433" spans="2:2" ht="13" x14ac:dyDescent="0.3">
      <c r="B433" s="453"/>
    </row>
    <row r="434" spans="2:2" ht="13" x14ac:dyDescent="0.3">
      <c r="B434" s="453"/>
    </row>
    <row r="435" spans="2:2" ht="13" x14ac:dyDescent="0.3">
      <c r="B435" s="453"/>
    </row>
    <row r="436" spans="2:2" ht="13" x14ac:dyDescent="0.3">
      <c r="B436" s="453"/>
    </row>
    <row r="437" spans="2:2" ht="13" x14ac:dyDescent="0.3">
      <c r="B437" s="453"/>
    </row>
    <row r="438" spans="2:2" ht="13" x14ac:dyDescent="0.3">
      <c r="B438" s="453"/>
    </row>
    <row r="439" spans="2:2" ht="13" x14ac:dyDescent="0.3">
      <c r="B439" s="453"/>
    </row>
    <row r="440" spans="2:2" ht="13" x14ac:dyDescent="0.3">
      <c r="B440" s="453"/>
    </row>
    <row r="441" spans="2:2" ht="13" x14ac:dyDescent="0.3">
      <c r="B441" s="453"/>
    </row>
    <row r="442" spans="2:2" ht="13" x14ac:dyDescent="0.3">
      <c r="B442" s="453"/>
    </row>
    <row r="443" spans="2:2" ht="13" x14ac:dyDescent="0.3">
      <c r="B443" s="453"/>
    </row>
    <row r="444" spans="2:2" ht="13" x14ac:dyDescent="0.3">
      <c r="B444" s="453"/>
    </row>
    <row r="445" spans="2:2" ht="13" x14ac:dyDescent="0.3">
      <c r="B445" s="453"/>
    </row>
    <row r="446" spans="2:2" ht="13" x14ac:dyDescent="0.3">
      <c r="B446" s="453"/>
    </row>
    <row r="447" spans="2:2" ht="13" x14ac:dyDescent="0.3">
      <c r="B447" s="453"/>
    </row>
    <row r="448" spans="2:2" ht="13" x14ac:dyDescent="0.3">
      <c r="B448" s="453"/>
    </row>
    <row r="449" spans="2:2" ht="13" x14ac:dyDescent="0.3">
      <c r="B449" s="453"/>
    </row>
    <row r="450" spans="2:2" ht="13" x14ac:dyDescent="0.3">
      <c r="B450" s="453"/>
    </row>
    <row r="451" spans="2:2" ht="13" x14ac:dyDescent="0.3">
      <c r="B451" s="453"/>
    </row>
    <row r="452" spans="2:2" ht="13" x14ac:dyDescent="0.3">
      <c r="B452" s="453"/>
    </row>
    <row r="453" spans="2:2" ht="13" x14ac:dyDescent="0.3">
      <c r="B453" s="453"/>
    </row>
    <row r="454" spans="2:2" ht="13" x14ac:dyDescent="0.3">
      <c r="B454" s="453"/>
    </row>
    <row r="455" spans="2:2" ht="13" x14ac:dyDescent="0.3">
      <c r="B455" s="453"/>
    </row>
    <row r="456" spans="2:2" ht="13" x14ac:dyDescent="0.3">
      <c r="B456" s="453"/>
    </row>
    <row r="457" spans="2:2" ht="13" x14ac:dyDescent="0.3">
      <c r="B457" s="453"/>
    </row>
    <row r="458" spans="2:2" ht="13" x14ac:dyDescent="0.3">
      <c r="B458" s="453"/>
    </row>
    <row r="459" spans="2:2" ht="13" x14ac:dyDescent="0.3">
      <c r="B459" s="453"/>
    </row>
    <row r="460" spans="2:2" ht="13" x14ac:dyDescent="0.3">
      <c r="B460" s="453"/>
    </row>
    <row r="461" spans="2:2" ht="13" x14ac:dyDescent="0.3">
      <c r="B461" s="453"/>
    </row>
    <row r="462" spans="2:2" ht="13" x14ac:dyDescent="0.3">
      <c r="B462" s="453"/>
    </row>
    <row r="463" spans="2:2" ht="13" x14ac:dyDescent="0.3">
      <c r="B463" s="453"/>
    </row>
    <row r="464" spans="2:2" ht="13" x14ac:dyDescent="0.3">
      <c r="B464" s="453"/>
    </row>
    <row r="465" spans="2:2" ht="13" x14ac:dyDescent="0.3">
      <c r="B465" s="453"/>
    </row>
    <row r="466" spans="2:2" ht="13" x14ac:dyDescent="0.3">
      <c r="B466" s="453"/>
    </row>
    <row r="467" spans="2:2" ht="13" x14ac:dyDescent="0.3">
      <c r="B467" s="453"/>
    </row>
    <row r="468" spans="2:2" ht="13" x14ac:dyDescent="0.3">
      <c r="B468" s="453"/>
    </row>
    <row r="469" spans="2:2" ht="13" x14ac:dyDescent="0.3">
      <c r="B469" s="453"/>
    </row>
    <row r="470" spans="2:2" ht="13" x14ac:dyDescent="0.3">
      <c r="B470" s="453"/>
    </row>
    <row r="471" spans="2:2" ht="13" x14ac:dyDescent="0.3">
      <c r="B471" s="453"/>
    </row>
    <row r="472" spans="2:2" ht="13" x14ac:dyDescent="0.3">
      <c r="B472" s="453"/>
    </row>
    <row r="473" spans="2:2" ht="13" x14ac:dyDescent="0.3">
      <c r="B473" s="453"/>
    </row>
    <row r="474" spans="2:2" ht="13" x14ac:dyDescent="0.3">
      <c r="B474" s="453"/>
    </row>
    <row r="475" spans="2:2" ht="13" x14ac:dyDescent="0.3">
      <c r="B475" s="453"/>
    </row>
    <row r="476" spans="2:2" ht="13" x14ac:dyDescent="0.3">
      <c r="B476" s="453"/>
    </row>
    <row r="477" spans="2:2" ht="13" x14ac:dyDescent="0.3">
      <c r="B477" s="453"/>
    </row>
    <row r="478" spans="2:2" ht="13" x14ac:dyDescent="0.3">
      <c r="B478" s="453"/>
    </row>
    <row r="479" spans="2:2" ht="13" x14ac:dyDescent="0.3">
      <c r="B479" s="453"/>
    </row>
    <row r="480" spans="2:2" ht="13" x14ac:dyDescent="0.3">
      <c r="B480" s="453"/>
    </row>
    <row r="481" spans="2:2" ht="13" x14ac:dyDescent="0.3">
      <c r="B481" s="453"/>
    </row>
    <row r="482" spans="2:2" ht="13" x14ac:dyDescent="0.3">
      <c r="B482" s="453"/>
    </row>
    <row r="483" spans="2:2" ht="13" x14ac:dyDescent="0.3">
      <c r="B483" s="453"/>
    </row>
    <row r="484" spans="2:2" ht="13" x14ac:dyDescent="0.3">
      <c r="B484" s="453"/>
    </row>
    <row r="485" spans="2:2" ht="13" x14ac:dyDescent="0.3">
      <c r="B485" s="453"/>
    </row>
    <row r="486" spans="2:2" ht="13" x14ac:dyDescent="0.3">
      <c r="B486" s="453"/>
    </row>
    <row r="487" spans="2:2" ht="13" x14ac:dyDescent="0.3">
      <c r="B487" s="742"/>
    </row>
    <row r="488" spans="2:2" ht="13" x14ac:dyDescent="0.3"/>
    <row r="489" spans="2:2" ht="13" x14ac:dyDescent="0.3"/>
    <row r="490" spans="2:2" ht="13" x14ac:dyDescent="0.3"/>
    <row r="491" spans="2:2" ht="13" x14ac:dyDescent="0.3"/>
    <row r="492" spans="2:2" ht="13" x14ac:dyDescent="0.3"/>
    <row r="493" spans="2:2" ht="13" x14ac:dyDescent="0.3"/>
    <row r="494" spans="2:2" ht="13" x14ac:dyDescent="0.3"/>
    <row r="495" spans="2:2" ht="13" x14ac:dyDescent="0.3"/>
    <row r="496" spans="2:2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  <row r="1000" ht="13" x14ac:dyDescent="0.3"/>
    <row r="1001" ht="13" x14ac:dyDescent="0.3"/>
    <row r="1002" ht="13" x14ac:dyDescent="0.3"/>
    <row r="1003" ht="13" x14ac:dyDescent="0.3"/>
    <row r="1004" ht="13" x14ac:dyDescent="0.3"/>
    <row r="1005" ht="13" x14ac:dyDescent="0.3"/>
    <row r="1006" ht="13" x14ac:dyDescent="0.3"/>
    <row r="1007" ht="13" x14ac:dyDescent="0.3"/>
    <row r="1008" ht="13" x14ac:dyDescent="0.3"/>
    <row r="1009" ht="13" x14ac:dyDescent="0.3"/>
    <row r="1010" ht="13" x14ac:dyDescent="0.3"/>
    <row r="1011" ht="13" x14ac:dyDescent="0.3"/>
    <row r="1012" ht="13" x14ac:dyDescent="0.3"/>
    <row r="1013" ht="13" x14ac:dyDescent="0.3"/>
    <row r="1014" ht="13" x14ac:dyDescent="0.3"/>
    <row r="1015" ht="13" x14ac:dyDescent="0.3"/>
    <row r="1016" ht="13" x14ac:dyDescent="0.3"/>
    <row r="1017" ht="13" x14ac:dyDescent="0.3"/>
    <row r="1018" ht="13" x14ac:dyDescent="0.3"/>
    <row r="1019" ht="13" x14ac:dyDescent="0.3"/>
    <row r="1020" ht="13" x14ac:dyDescent="0.3"/>
    <row r="1021" ht="13" x14ac:dyDescent="0.3"/>
    <row r="1022" ht="13" x14ac:dyDescent="0.3"/>
    <row r="1023" ht="13" x14ac:dyDescent="0.3"/>
    <row r="1024" ht="13" x14ac:dyDescent="0.3"/>
    <row r="1025" ht="13" x14ac:dyDescent="0.3"/>
    <row r="1026" ht="13" x14ac:dyDescent="0.3"/>
    <row r="1027" ht="13" x14ac:dyDescent="0.3"/>
    <row r="1028" ht="13" x14ac:dyDescent="0.3"/>
    <row r="1029" ht="13" x14ac:dyDescent="0.3"/>
    <row r="1030" ht="13" x14ac:dyDescent="0.3"/>
    <row r="1031" ht="13" x14ac:dyDescent="0.3"/>
    <row r="1032" ht="13" x14ac:dyDescent="0.3"/>
    <row r="1033" ht="13" x14ac:dyDescent="0.3"/>
    <row r="1034" ht="13" x14ac:dyDescent="0.3"/>
    <row r="1035" ht="13" x14ac:dyDescent="0.3"/>
    <row r="1036" ht="13" x14ac:dyDescent="0.3"/>
    <row r="1037" ht="13" x14ac:dyDescent="0.3"/>
    <row r="1038" ht="13" x14ac:dyDescent="0.3"/>
    <row r="1039" ht="13" x14ac:dyDescent="0.3"/>
    <row r="1040" ht="13" x14ac:dyDescent="0.3"/>
    <row r="1041" ht="13" x14ac:dyDescent="0.3"/>
    <row r="1042" ht="13" x14ac:dyDescent="0.3"/>
    <row r="1043" ht="13" x14ac:dyDescent="0.3"/>
    <row r="1044" ht="13" x14ac:dyDescent="0.3"/>
    <row r="1045" ht="13" x14ac:dyDescent="0.3"/>
    <row r="1046" ht="13" x14ac:dyDescent="0.3"/>
    <row r="1047" ht="13" x14ac:dyDescent="0.3"/>
    <row r="1048" ht="13" x14ac:dyDescent="0.3"/>
    <row r="1049" ht="13" x14ac:dyDescent="0.3"/>
    <row r="1050" ht="13" x14ac:dyDescent="0.3"/>
    <row r="1051" ht="13" x14ac:dyDescent="0.3"/>
    <row r="1052" ht="13" x14ac:dyDescent="0.3"/>
    <row r="1053" ht="13" x14ac:dyDescent="0.3"/>
    <row r="1054" ht="13" x14ac:dyDescent="0.3"/>
    <row r="1055" ht="13" x14ac:dyDescent="0.3"/>
    <row r="1056" ht="13" x14ac:dyDescent="0.3"/>
    <row r="1057" ht="13" x14ac:dyDescent="0.3"/>
    <row r="1058" ht="13" x14ac:dyDescent="0.3"/>
    <row r="1059" ht="13" x14ac:dyDescent="0.3"/>
    <row r="1060" ht="13" x14ac:dyDescent="0.3"/>
    <row r="1061" ht="13" x14ac:dyDescent="0.3"/>
    <row r="1062" ht="13" x14ac:dyDescent="0.3"/>
    <row r="1063" ht="13" x14ac:dyDescent="0.3"/>
  </sheetData>
  <autoFilter ref="B11:Q84" xr:uid="{00000000-0001-0000-01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95">
    <mergeCell ref="I55:L55"/>
    <mergeCell ref="I56:L56"/>
    <mergeCell ref="H76:K76"/>
    <mergeCell ref="I46:L46"/>
    <mergeCell ref="E87:I87"/>
    <mergeCell ref="H73:K73"/>
    <mergeCell ref="I52:L52"/>
    <mergeCell ref="I53:L53"/>
    <mergeCell ref="H72:K72"/>
    <mergeCell ref="I47:L47"/>
    <mergeCell ref="I48:L48"/>
    <mergeCell ref="I50:L50"/>
    <mergeCell ref="I49:L49"/>
    <mergeCell ref="H75:K75"/>
    <mergeCell ref="H77:K77"/>
    <mergeCell ref="I54:L54"/>
    <mergeCell ref="I51:L51"/>
    <mergeCell ref="I45:L45"/>
    <mergeCell ref="I38:L38"/>
    <mergeCell ref="I39:L39"/>
    <mergeCell ref="I41:L41"/>
    <mergeCell ref="I42:L42"/>
    <mergeCell ref="I43:L43"/>
    <mergeCell ref="B11:Q11"/>
    <mergeCell ref="I12:L12"/>
    <mergeCell ref="I18:L18"/>
    <mergeCell ref="H70:K70"/>
    <mergeCell ref="H71:K71"/>
    <mergeCell ref="I13:L13"/>
    <mergeCell ref="I14:L14"/>
    <mergeCell ref="I15:L15"/>
    <mergeCell ref="I16:L16"/>
    <mergeCell ref="I35:L35"/>
    <mergeCell ref="I19:L19"/>
    <mergeCell ref="I21:L21"/>
    <mergeCell ref="I25:L25"/>
    <mergeCell ref="I26:L26"/>
    <mergeCell ref="I20:L20"/>
    <mergeCell ref="I22:L22"/>
    <mergeCell ref="B2:N2"/>
    <mergeCell ref="B7:H7"/>
    <mergeCell ref="C8:D8"/>
    <mergeCell ref="G8:H8"/>
    <mergeCell ref="I7:L7"/>
    <mergeCell ref="E8:F8"/>
    <mergeCell ref="M7:Q9"/>
    <mergeCell ref="C9:D9"/>
    <mergeCell ref="E9:F9"/>
    <mergeCell ref="G9:H9"/>
    <mergeCell ref="I17:L17"/>
    <mergeCell ref="H74:K74"/>
    <mergeCell ref="I40:L40"/>
    <mergeCell ref="I23:L23"/>
    <mergeCell ref="I24:L24"/>
    <mergeCell ref="I30:L30"/>
    <mergeCell ref="I36:L36"/>
    <mergeCell ref="I37:L37"/>
    <mergeCell ref="I27:L27"/>
    <mergeCell ref="I28:L28"/>
    <mergeCell ref="I29:L29"/>
    <mergeCell ref="I31:L31"/>
    <mergeCell ref="I33:L33"/>
    <mergeCell ref="I32:L32"/>
    <mergeCell ref="I34:L34"/>
    <mergeCell ref="I44:L44"/>
    <mergeCell ref="I96:L96"/>
    <mergeCell ref="I97:L97"/>
    <mergeCell ref="E92:I92"/>
    <mergeCell ref="I94:L94"/>
    <mergeCell ref="I95:L95"/>
    <mergeCell ref="I57:L57"/>
    <mergeCell ref="I58:L58"/>
    <mergeCell ref="I59:L59"/>
    <mergeCell ref="H79:K79"/>
    <mergeCell ref="I60:L60"/>
    <mergeCell ref="I61:L61"/>
    <mergeCell ref="I64:L64"/>
    <mergeCell ref="I66:L66"/>
    <mergeCell ref="H78:K78"/>
    <mergeCell ref="I100:L100"/>
    <mergeCell ref="I101:L101"/>
    <mergeCell ref="I62:L62"/>
    <mergeCell ref="I63:L63"/>
    <mergeCell ref="I65:L65"/>
    <mergeCell ref="I99:L99"/>
    <mergeCell ref="I98:L98"/>
    <mergeCell ref="I67:L67"/>
    <mergeCell ref="H80:K80"/>
    <mergeCell ref="H81:K81"/>
    <mergeCell ref="H82:K82"/>
    <mergeCell ref="H83:K83"/>
    <mergeCell ref="H84:K84"/>
    <mergeCell ref="I68:L68"/>
    <mergeCell ref="E88:I88"/>
    <mergeCell ref="E91:I91"/>
  </mergeCells>
  <phoneticPr fontId="60" type="noConversion"/>
  <conditionalFormatting sqref="M13:M14 G13:G15 F13:F17">
    <cfRule type="timePeriod" dxfId="0" priority="1" timePeriod="today">
      <formula>FLOOR(F13,1)=TODAY()</formula>
    </cfRule>
  </conditionalFormatting>
  <pageMargins left="0.27559055118110198" right="0.31496062992126" top="0.35433070866141703" bottom="0.39370078740157499" header="0" footer="0"/>
  <pageSetup paperSize="9" orientation="landscape" r:id="rId1"/>
  <rowBreaks count="1" manualBreakCount="1">
    <brk id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56C5-59C8-488A-9C62-B6CAD8DF6BBC}">
  <dimension ref="A1:O8"/>
  <sheetViews>
    <sheetView tabSelected="1" workbookViewId="0">
      <selection activeCell="F2" sqref="F2"/>
    </sheetView>
  </sheetViews>
  <sheetFormatPr defaultRowHeight="13" x14ac:dyDescent="0.3"/>
  <cols>
    <col min="6" max="6" width="10.5" bestFit="1" customWidth="1"/>
    <col min="12" max="12" width="12.296875" bestFit="1" customWidth="1"/>
  </cols>
  <sheetData>
    <row r="1" spans="1:15" ht="26" x14ac:dyDescent="0.3">
      <c r="A1" s="704" t="s">
        <v>100</v>
      </c>
      <c r="B1" s="85" t="s">
        <v>76</v>
      </c>
      <c r="C1" s="85" t="s">
        <v>77</v>
      </c>
      <c r="D1" s="85" t="s">
        <v>78</v>
      </c>
      <c r="E1" s="85"/>
      <c r="F1" s="85" t="s">
        <v>748</v>
      </c>
      <c r="G1" s="85" t="s">
        <v>746</v>
      </c>
      <c r="H1" s="844" t="s">
        <v>101</v>
      </c>
      <c r="I1" s="775"/>
      <c r="J1" s="775"/>
      <c r="K1" s="776"/>
      <c r="L1" s="85" t="s">
        <v>747</v>
      </c>
      <c r="M1" s="85" t="s">
        <v>84</v>
      </c>
      <c r="N1" s="85" t="s">
        <v>86</v>
      </c>
      <c r="O1" s="85" t="s">
        <v>102</v>
      </c>
    </row>
    <row r="2" spans="1:15" ht="15.5" x14ac:dyDescent="0.35">
      <c r="A2" s="460">
        <v>1</v>
      </c>
      <c r="B2" s="694" t="s">
        <v>277</v>
      </c>
      <c r="C2" s="457" t="s">
        <v>89</v>
      </c>
      <c r="D2" s="457" t="s">
        <v>94</v>
      </c>
      <c r="E2" s="457"/>
      <c r="F2" s="458">
        <v>46006</v>
      </c>
      <c r="G2" s="457">
        <v>36.573999999999998</v>
      </c>
      <c r="H2" s="820" t="s">
        <v>718</v>
      </c>
      <c r="I2" s="821"/>
      <c r="J2" s="821"/>
      <c r="K2" s="822"/>
      <c r="L2" s="729">
        <v>46011</v>
      </c>
      <c r="M2" s="457" t="s">
        <v>715</v>
      </c>
      <c r="N2" s="457">
        <v>35</v>
      </c>
      <c r="O2" s="457"/>
    </row>
    <row r="3" spans="1:15" ht="15.5" x14ac:dyDescent="0.35">
      <c r="A3" s="460">
        <v>2</v>
      </c>
      <c r="B3" s="712" t="s">
        <v>330</v>
      </c>
      <c r="C3" s="457" t="s">
        <v>89</v>
      </c>
      <c r="D3" s="457" t="s">
        <v>94</v>
      </c>
      <c r="E3" s="713"/>
      <c r="F3" s="714">
        <v>46013</v>
      </c>
      <c r="G3" s="457">
        <v>36.573999999999998</v>
      </c>
      <c r="H3" s="820" t="s">
        <v>718</v>
      </c>
      <c r="I3" s="821"/>
      <c r="J3" s="821"/>
      <c r="K3" s="822"/>
      <c r="L3" s="627">
        <v>46022</v>
      </c>
      <c r="M3" s="465" t="s">
        <v>714</v>
      </c>
      <c r="N3" s="465">
        <v>25</v>
      </c>
      <c r="O3" s="465"/>
    </row>
    <row r="4" spans="1:15" ht="15.5" x14ac:dyDescent="0.35">
      <c r="A4" s="460">
        <v>3</v>
      </c>
      <c r="B4" s="450" t="s">
        <v>280</v>
      </c>
      <c r="C4" s="465" t="s">
        <v>89</v>
      </c>
      <c r="D4" s="450" t="s">
        <v>552</v>
      </c>
      <c r="E4" s="450"/>
      <c r="F4" s="715">
        <v>46013</v>
      </c>
      <c r="G4" s="457">
        <v>36.573999999999998</v>
      </c>
      <c r="H4" s="820" t="s">
        <v>718</v>
      </c>
      <c r="I4" s="821"/>
      <c r="J4" s="821"/>
      <c r="K4" s="822"/>
      <c r="L4" s="730">
        <v>46018</v>
      </c>
      <c r="M4" s="457" t="s">
        <v>715</v>
      </c>
      <c r="N4" s="457">
        <v>35</v>
      </c>
      <c r="O4" s="695"/>
    </row>
    <row r="5" spans="1:15" ht="15.5" x14ac:dyDescent="0.35">
      <c r="A5" s="460">
        <v>4</v>
      </c>
      <c r="B5" s="464" t="s">
        <v>329</v>
      </c>
      <c r="C5" s="465" t="s">
        <v>89</v>
      </c>
      <c r="D5" s="450" t="s">
        <v>552</v>
      </c>
      <c r="E5" s="464"/>
      <c r="F5" s="466">
        <v>46016</v>
      </c>
      <c r="G5" s="457">
        <v>36.573999999999998</v>
      </c>
      <c r="H5" s="820" t="s">
        <v>718</v>
      </c>
      <c r="I5" s="821"/>
      <c r="J5" s="821"/>
      <c r="K5" s="822"/>
      <c r="L5" s="731">
        <v>46030</v>
      </c>
      <c r="M5" s="464" t="s">
        <v>719</v>
      </c>
      <c r="N5" s="464">
        <v>25</v>
      </c>
      <c r="O5" s="464"/>
    </row>
    <row r="6" spans="1:15" ht="15.5" x14ac:dyDescent="0.35">
      <c r="A6" s="460">
        <v>5</v>
      </c>
      <c r="B6" s="464" t="s">
        <v>275</v>
      </c>
      <c r="C6" s="465" t="s">
        <v>89</v>
      </c>
      <c r="D6" s="450" t="s">
        <v>552</v>
      </c>
      <c r="E6" s="464"/>
      <c r="F6" s="466">
        <v>46016</v>
      </c>
      <c r="G6" s="457">
        <v>36.573999999999998</v>
      </c>
      <c r="H6" s="818" t="s">
        <v>718</v>
      </c>
      <c r="I6" s="819"/>
      <c r="J6" s="819"/>
      <c r="K6" s="819"/>
      <c r="L6" s="731">
        <v>46024</v>
      </c>
      <c r="M6" s="465" t="s">
        <v>715</v>
      </c>
      <c r="N6" s="465">
        <v>35</v>
      </c>
      <c r="O6" s="464"/>
    </row>
    <row r="7" spans="1:15" x14ac:dyDescent="0.3">
      <c r="A7" s="460">
        <v>6</v>
      </c>
      <c r="B7" s="464" t="s">
        <v>327</v>
      </c>
      <c r="C7" s="465" t="s">
        <v>89</v>
      </c>
      <c r="D7" s="450" t="s">
        <v>552</v>
      </c>
      <c r="E7" s="464"/>
      <c r="F7" s="466">
        <v>46023</v>
      </c>
      <c r="G7" s="457">
        <v>36.573999999999998</v>
      </c>
      <c r="H7" s="809" t="s">
        <v>738</v>
      </c>
      <c r="I7" s="810"/>
      <c r="J7" s="810"/>
      <c r="K7" s="811"/>
      <c r="L7" s="464"/>
      <c r="M7" s="464" t="s">
        <v>719</v>
      </c>
      <c r="N7" s="465">
        <v>25</v>
      </c>
      <c r="O7" s="464"/>
    </row>
    <row r="8" spans="1:15" x14ac:dyDescent="0.3">
      <c r="A8" s="450">
        <v>7</v>
      </c>
      <c r="B8" s="464" t="s">
        <v>274</v>
      </c>
      <c r="C8" s="464" t="s">
        <v>97</v>
      </c>
      <c r="D8" s="450" t="s">
        <v>552</v>
      </c>
      <c r="E8" s="464"/>
      <c r="F8" s="466">
        <v>46024</v>
      </c>
      <c r="G8" s="464"/>
      <c r="H8" s="809" t="s">
        <v>744</v>
      </c>
      <c r="I8" s="810"/>
      <c r="J8" s="810"/>
      <c r="K8" s="811"/>
      <c r="L8" s="464"/>
      <c r="M8" s="465" t="s">
        <v>715</v>
      </c>
      <c r="N8" s="465">
        <v>35</v>
      </c>
      <c r="O8" s="464"/>
    </row>
  </sheetData>
  <mergeCells count="8">
    <mergeCell ref="H7:K7"/>
    <mergeCell ref="H8:K8"/>
    <mergeCell ref="H1:K1"/>
    <mergeCell ref="H2:K2"/>
    <mergeCell ref="H3:K3"/>
    <mergeCell ref="H4:K4"/>
    <mergeCell ref="H5:K5"/>
    <mergeCell ref="H6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I5" sqref="I5"/>
    </sheetView>
  </sheetViews>
  <sheetFormatPr defaultColWidth="14.3984375" defaultRowHeight="15.75" customHeight="1" x14ac:dyDescent="0.3"/>
  <cols>
    <col min="1" max="3" width="14.3984375" customWidth="1"/>
    <col min="4" max="4" width="17.19921875" customWidth="1"/>
    <col min="5" max="6" width="14.3984375" customWidth="1"/>
  </cols>
  <sheetData>
    <row r="1" spans="1:4" ht="15.75" customHeight="1" x14ac:dyDescent="0.35">
      <c r="A1" s="885" t="s">
        <v>110</v>
      </c>
      <c r="B1" s="886"/>
      <c r="C1" s="886"/>
      <c r="D1" s="886"/>
    </row>
    <row r="2" spans="1:4" ht="15.75" customHeight="1" x14ac:dyDescent="0.35">
      <c r="A2" s="887" t="s">
        <v>47</v>
      </c>
      <c r="B2" s="775"/>
      <c r="C2" s="775"/>
      <c r="D2" s="776"/>
    </row>
    <row r="3" spans="1:4" ht="15.75" customHeight="1" x14ac:dyDescent="0.35">
      <c r="A3" s="87" t="s">
        <v>111</v>
      </c>
      <c r="B3" s="87" t="s">
        <v>112</v>
      </c>
      <c r="C3" s="87" t="s">
        <v>113</v>
      </c>
      <c r="D3" s="87" t="s">
        <v>114</v>
      </c>
    </row>
    <row r="4" spans="1:4" ht="15.75" customHeight="1" x14ac:dyDescent="0.35">
      <c r="A4" s="88">
        <v>1</v>
      </c>
      <c r="B4" s="89" t="s">
        <v>88</v>
      </c>
      <c r="C4" s="90" t="s">
        <v>89</v>
      </c>
      <c r="D4" s="91">
        <v>45848</v>
      </c>
    </row>
    <row r="5" spans="1:4" ht="15.75" customHeight="1" x14ac:dyDescent="0.35">
      <c r="A5" s="88">
        <f t="shared" ref="A5:A14" si="0">A4+1</f>
        <v>2</v>
      </c>
      <c r="B5" s="89" t="s">
        <v>92</v>
      </c>
      <c r="C5" s="90" t="s">
        <v>93</v>
      </c>
      <c r="D5" s="91">
        <v>45854</v>
      </c>
    </row>
    <row r="6" spans="1:4" ht="15.75" customHeight="1" x14ac:dyDescent="0.35">
      <c r="A6" s="88">
        <f t="shared" si="0"/>
        <v>3</v>
      </c>
      <c r="B6" s="89" t="s">
        <v>95</v>
      </c>
      <c r="C6" s="92" t="s">
        <v>89</v>
      </c>
      <c r="D6" s="93">
        <v>45881</v>
      </c>
    </row>
    <row r="7" spans="1:4" ht="15.75" customHeight="1" x14ac:dyDescent="0.35">
      <c r="A7" s="88">
        <f t="shared" si="0"/>
        <v>4</v>
      </c>
      <c r="B7" s="89" t="s">
        <v>115</v>
      </c>
      <c r="C7" s="92" t="s">
        <v>116</v>
      </c>
      <c r="D7" s="93">
        <v>45883</v>
      </c>
    </row>
    <row r="8" spans="1:4" ht="15.75" customHeight="1" x14ac:dyDescent="0.35">
      <c r="A8" s="88">
        <f t="shared" si="0"/>
        <v>5</v>
      </c>
      <c r="B8" s="89" t="s">
        <v>117</v>
      </c>
      <c r="C8" s="92" t="s">
        <v>89</v>
      </c>
      <c r="D8" s="93">
        <v>45885</v>
      </c>
    </row>
    <row r="9" spans="1:4" ht="15.75" customHeight="1" x14ac:dyDescent="0.35">
      <c r="A9" s="88">
        <f t="shared" si="0"/>
        <v>6</v>
      </c>
      <c r="B9" s="89" t="s">
        <v>96</v>
      </c>
      <c r="C9" s="92" t="s">
        <v>97</v>
      </c>
      <c r="D9" s="93">
        <v>45897</v>
      </c>
    </row>
    <row r="10" spans="1:4" ht="15.75" customHeight="1" x14ac:dyDescent="0.35">
      <c r="A10" s="88">
        <f t="shared" si="0"/>
        <v>7</v>
      </c>
      <c r="B10" s="89" t="s">
        <v>98</v>
      </c>
      <c r="C10" s="92" t="s">
        <v>93</v>
      </c>
      <c r="D10" s="93">
        <v>45898</v>
      </c>
    </row>
    <row r="11" spans="1:4" ht="15.75" customHeight="1" x14ac:dyDescent="0.35">
      <c r="A11" s="88">
        <f t="shared" si="0"/>
        <v>8</v>
      </c>
      <c r="B11" s="399" t="s">
        <v>331</v>
      </c>
      <c r="C11" s="399" t="s">
        <v>89</v>
      </c>
      <c r="D11" s="93">
        <v>45916</v>
      </c>
    </row>
    <row r="12" spans="1:4" ht="15.75" customHeight="1" x14ac:dyDescent="0.35">
      <c r="A12" s="88">
        <f t="shared" si="0"/>
        <v>9</v>
      </c>
      <c r="B12" s="425" t="s">
        <v>351</v>
      </c>
      <c r="C12" s="89" t="s">
        <v>89</v>
      </c>
      <c r="D12" s="93">
        <v>45919</v>
      </c>
    </row>
    <row r="13" spans="1:4" ht="15.75" customHeight="1" x14ac:dyDescent="0.35">
      <c r="A13" s="88">
        <f t="shared" si="0"/>
        <v>10</v>
      </c>
      <c r="B13" s="425" t="s">
        <v>117</v>
      </c>
      <c r="C13" s="89" t="s">
        <v>89</v>
      </c>
      <c r="D13" s="93">
        <v>45919</v>
      </c>
    </row>
    <row r="14" spans="1:4" ht="15.75" customHeight="1" x14ac:dyDescent="0.35">
      <c r="A14" s="88">
        <f t="shared" si="0"/>
        <v>11</v>
      </c>
      <c r="B14" s="425" t="s">
        <v>346</v>
      </c>
      <c r="C14" s="89" t="s">
        <v>93</v>
      </c>
      <c r="D14" s="93">
        <v>45919</v>
      </c>
    </row>
    <row r="15" spans="1:4" ht="15.75" customHeight="1" x14ac:dyDescent="0.35">
      <c r="A15" s="433">
        <v>12</v>
      </c>
      <c r="B15" s="438" t="s">
        <v>352</v>
      </c>
      <c r="C15" s="434" t="s">
        <v>89</v>
      </c>
      <c r="D15" s="435">
        <v>45925</v>
      </c>
    </row>
    <row r="16" spans="1:4" ht="15.75" customHeight="1" x14ac:dyDescent="0.35">
      <c r="A16" s="436">
        <v>13</v>
      </c>
      <c r="B16" s="473" t="s">
        <v>283</v>
      </c>
      <c r="C16" s="439" t="s">
        <v>89</v>
      </c>
      <c r="D16" s="437">
        <v>45930</v>
      </c>
    </row>
    <row r="17" spans="1:4" ht="15.75" customHeight="1" x14ac:dyDescent="0.35">
      <c r="A17" s="436">
        <v>14</v>
      </c>
      <c r="B17" s="474" t="s">
        <v>286</v>
      </c>
      <c r="C17" s="439" t="s">
        <v>97</v>
      </c>
      <c r="D17" s="437">
        <v>45931</v>
      </c>
    </row>
    <row r="18" spans="1:4" ht="15.75" customHeight="1" x14ac:dyDescent="0.35">
      <c r="A18" s="436">
        <v>15</v>
      </c>
      <c r="B18" s="474" t="s">
        <v>282</v>
      </c>
      <c r="C18" s="439" t="s">
        <v>97</v>
      </c>
      <c r="D18" s="437">
        <v>45933</v>
      </c>
    </row>
    <row r="19" spans="1:4" ht="15.75" customHeight="1" x14ac:dyDescent="0.3">
      <c r="A19" s="436">
        <v>16</v>
      </c>
      <c r="B19" s="475" t="s">
        <v>285</v>
      </c>
      <c r="C19" s="475" t="s">
        <v>89</v>
      </c>
      <c r="D19" s="436"/>
    </row>
    <row r="27" spans="1:4" ht="13" x14ac:dyDescent="0.3"/>
    <row r="28" spans="1:4" ht="13" x14ac:dyDescent="0.3"/>
    <row r="29" spans="1:4" ht="13" x14ac:dyDescent="0.3"/>
    <row r="30" spans="1:4" ht="13" x14ac:dyDescent="0.3"/>
    <row r="31" spans="1:4" ht="13" x14ac:dyDescent="0.3"/>
    <row r="32" spans="1:4" ht="13" x14ac:dyDescent="0.3"/>
    <row r="33" ht="13" x14ac:dyDescent="0.3"/>
    <row r="34" ht="13" x14ac:dyDescent="0.3"/>
    <row r="35" ht="13" x14ac:dyDescent="0.3"/>
    <row r="36" ht="13" x14ac:dyDescent="0.3"/>
    <row r="37" ht="13" x14ac:dyDescent="0.3"/>
    <row r="38" ht="13" x14ac:dyDescent="0.3"/>
    <row r="39" ht="13" x14ac:dyDescent="0.3"/>
    <row r="40" ht="13" x14ac:dyDescent="0.3"/>
    <row r="41" ht="13" x14ac:dyDescent="0.3"/>
    <row r="42" ht="13" x14ac:dyDescent="0.3"/>
    <row r="43" ht="13" x14ac:dyDescent="0.3"/>
    <row r="44" ht="13" x14ac:dyDescent="0.3"/>
    <row r="45" ht="13" x14ac:dyDescent="0.3"/>
    <row r="46" ht="13" x14ac:dyDescent="0.3"/>
    <row r="47" ht="13" x14ac:dyDescent="0.3"/>
    <row r="48" ht="13" x14ac:dyDescent="0.3"/>
    <row r="49" ht="13" x14ac:dyDescent="0.3"/>
    <row r="50" ht="13" x14ac:dyDescent="0.3"/>
    <row r="51" ht="13" x14ac:dyDescent="0.3"/>
    <row r="52" ht="13" x14ac:dyDescent="0.3"/>
    <row r="53" ht="13" x14ac:dyDescent="0.3"/>
    <row r="54" ht="13" x14ac:dyDescent="0.3"/>
    <row r="55" ht="13" x14ac:dyDescent="0.3"/>
    <row r="56" ht="13" x14ac:dyDescent="0.3"/>
    <row r="57" ht="13" x14ac:dyDescent="0.3"/>
    <row r="58" ht="13" x14ac:dyDescent="0.3"/>
    <row r="59" ht="13" x14ac:dyDescent="0.3"/>
    <row r="60" ht="13" x14ac:dyDescent="0.3"/>
    <row r="61" ht="13" x14ac:dyDescent="0.3"/>
    <row r="62" ht="13" x14ac:dyDescent="0.3"/>
    <row r="63" ht="13" x14ac:dyDescent="0.3"/>
    <row r="64" ht="13" x14ac:dyDescent="0.3"/>
    <row r="65" ht="13" x14ac:dyDescent="0.3"/>
    <row r="66" ht="13" x14ac:dyDescent="0.3"/>
    <row r="67" ht="13" x14ac:dyDescent="0.3"/>
    <row r="68" ht="13" x14ac:dyDescent="0.3"/>
    <row r="69" ht="13" x14ac:dyDescent="0.3"/>
    <row r="70" ht="13" x14ac:dyDescent="0.3"/>
    <row r="71" ht="13" x14ac:dyDescent="0.3"/>
    <row r="72" ht="13" x14ac:dyDescent="0.3"/>
    <row r="73" ht="13" x14ac:dyDescent="0.3"/>
    <row r="74" ht="13" x14ac:dyDescent="0.3"/>
    <row r="75" ht="13" x14ac:dyDescent="0.3"/>
    <row r="76" ht="13" x14ac:dyDescent="0.3"/>
    <row r="77" ht="13" x14ac:dyDescent="0.3"/>
    <row r="78" ht="13" x14ac:dyDescent="0.3"/>
    <row r="79" ht="13" x14ac:dyDescent="0.3"/>
    <row r="80" ht="13" x14ac:dyDescent="0.3"/>
    <row r="81" ht="13" x14ac:dyDescent="0.3"/>
    <row r="82" ht="13" x14ac:dyDescent="0.3"/>
    <row r="83" ht="13" x14ac:dyDescent="0.3"/>
    <row r="84" ht="13" x14ac:dyDescent="0.3"/>
    <row r="85" ht="13" x14ac:dyDescent="0.3"/>
    <row r="86" ht="13" x14ac:dyDescent="0.3"/>
    <row r="87" ht="13" x14ac:dyDescent="0.3"/>
    <row r="88" ht="13" x14ac:dyDescent="0.3"/>
    <row r="89" ht="13" x14ac:dyDescent="0.3"/>
    <row r="90" ht="13" x14ac:dyDescent="0.3"/>
    <row r="91" ht="13" x14ac:dyDescent="0.3"/>
    <row r="92" ht="13" x14ac:dyDescent="0.3"/>
    <row r="93" ht="13" x14ac:dyDescent="0.3"/>
    <row r="94" ht="13" x14ac:dyDescent="0.3"/>
    <row r="95" ht="13" x14ac:dyDescent="0.3"/>
    <row r="96" ht="13" x14ac:dyDescent="0.3"/>
    <row r="97" ht="13" x14ac:dyDescent="0.3"/>
    <row r="98" ht="13" x14ac:dyDescent="0.3"/>
    <row r="99" ht="13" x14ac:dyDescent="0.3"/>
    <row r="100" ht="13" x14ac:dyDescent="0.3"/>
    <row r="101" ht="13" x14ac:dyDescent="0.3"/>
    <row r="102" ht="13" x14ac:dyDescent="0.3"/>
    <row r="103" ht="13" x14ac:dyDescent="0.3"/>
    <row r="104" ht="13" x14ac:dyDescent="0.3"/>
    <row r="105" ht="13" x14ac:dyDescent="0.3"/>
    <row r="106" ht="13" x14ac:dyDescent="0.3"/>
    <row r="107" ht="13" x14ac:dyDescent="0.3"/>
    <row r="108" ht="13" x14ac:dyDescent="0.3"/>
    <row r="109" ht="13" x14ac:dyDescent="0.3"/>
    <row r="110" ht="13" x14ac:dyDescent="0.3"/>
    <row r="111" ht="13" x14ac:dyDescent="0.3"/>
    <row r="112" ht="13" x14ac:dyDescent="0.3"/>
    <row r="113" ht="13" x14ac:dyDescent="0.3"/>
    <row r="114" ht="13" x14ac:dyDescent="0.3"/>
    <row r="115" ht="13" x14ac:dyDescent="0.3"/>
    <row r="116" ht="13" x14ac:dyDescent="0.3"/>
    <row r="117" ht="13" x14ac:dyDescent="0.3"/>
    <row r="118" ht="13" x14ac:dyDescent="0.3"/>
    <row r="119" ht="13" x14ac:dyDescent="0.3"/>
    <row r="120" ht="13" x14ac:dyDescent="0.3"/>
    <row r="121" ht="13" x14ac:dyDescent="0.3"/>
    <row r="122" ht="13" x14ac:dyDescent="0.3"/>
    <row r="123" ht="13" x14ac:dyDescent="0.3"/>
    <row r="124" ht="13" x14ac:dyDescent="0.3"/>
    <row r="125" ht="13" x14ac:dyDescent="0.3"/>
    <row r="126" ht="13" x14ac:dyDescent="0.3"/>
    <row r="127" ht="13" x14ac:dyDescent="0.3"/>
    <row r="128" ht="13" x14ac:dyDescent="0.3"/>
    <row r="129" ht="13" x14ac:dyDescent="0.3"/>
    <row r="130" ht="13" x14ac:dyDescent="0.3"/>
    <row r="131" ht="13" x14ac:dyDescent="0.3"/>
    <row r="132" ht="13" x14ac:dyDescent="0.3"/>
    <row r="133" ht="13" x14ac:dyDescent="0.3"/>
    <row r="134" ht="13" x14ac:dyDescent="0.3"/>
    <row r="135" ht="13" x14ac:dyDescent="0.3"/>
    <row r="136" ht="13" x14ac:dyDescent="0.3"/>
    <row r="137" ht="13" x14ac:dyDescent="0.3"/>
    <row r="138" ht="13" x14ac:dyDescent="0.3"/>
    <row r="139" ht="13" x14ac:dyDescent="0.3"/>
    <row r="140" ht="13" x14ac:dyDescent="0.3"/>
    <row r="141" ht="13" x14ac:dyDescent="0.3"/>
    <row r="142" ht="13" x14ac:dyDescent="0.3"/>
    <row r="143" ht="13" x14ac:dyDescent="0.3"/>
    <row r="144" ht="13" x14ac:dyDescent="0.3"/>
    <row r="145" ht="13" x14ac:dyDescent="0.3"/>
    <row r="146" ht="13" x14ac:dyDescent="0.3"/>
    <row r="147" ht="13" x14ac:dyDescent="0.3"/>
    <row r="148" ht="13" x14ac:dyDescent="0.3"/>
    <row r="149" ht="13" x14ac:dyDescent="0.3"/>
    <row r="150" ht="13" x14ac:dyDescent="0.3"/>
    <row r="151" ht="13" x14ac:dyDescent="0.3"/>
    <row r="152" ht="13" x14ac:dyDescent="0.3"/>
    <row r="153" ht="13" x14ac:dyDescent="0.3"/>
    <row r="154" ht="13" x14ac:dyDescent="0.3"/>
    <row r="155" ht="13" x14ac:dyDescent="0.3"/>
    <row r="156" ht="13" x14ac:dyDescent="0.3"/>
    <row r="157" ht="13" x14ac:dyDescent="0.3"/>
    <row r="158" ht="13" x14ac:dyDescent="0.3"/>
    <row r="159" ht="13" x14ac:dyDescent="0.3"/>
    <row r="160" ht="13" x14ac:dyDescent="0.3"/>
    <row r="161" ht="13" x14ac:dyDescent="0.3"/>
    <row r="162" ht="13" x14ac:dyDescent="0.3"/>
    <row r="163" ht="13" x14ac:dyDescent="0.3"/>
    <row r="164" ht="13" x14ac:dyDescent="0.3"/>
    <row r="165" ht="13" x14ac:dyDescent="0.3"/>
    <row r="166" ht="13" x14ac:dyDescent="0.3"/>
    <row r="167" ht="13" x14ac:dyDescent="0.3"/>
    <row r="168" ht="13" x14ac:dyDescent="0.3"/>
    <row r="169" ht="13" x14ac:dyDescent="0.3"/>
    <row r="170" ht="13" x14ac:dyDescent="0.3"/>
    <row r="171" ht="13" x14ac:dyDescent="0.3"/>
    <row r="172" ht="13" x14ac:dyDescent="0.3"/>
    <row r="173" ht="13" x14ac:dyDescent="0.3"/>
    <row r="174" ht="13" x14ac:dyDescent="0.3"/>
    <row r="175" ht="13" x14ac:dyDescent="0.3"/>
    <row r="176" ht="13" x14ac:dyDescent="0.3"/>
    <row r="177" ht="13" x14ac:dyDescent="0.3"/>
    <row r="178" ht="13" x14ac:dyDescent="0.3"/>
    <row r="179" ht="13" x14ac:dyDescent="0.3"/>
    <row r="180" ht="13" x14ac:dyDescent="0.3"/>
    <row r="181" ht="13" x14ac:dyDescent="0.3"/>
    <row r="182" ht="13" x14ac:dyDescent="0.3"/>
    <row r="183" ht="13" x14ac:dyDescent="0.3"/>
    <row r="184" ht="13" x14ac:dyDescent="0.3"/>
    <row r="185" ht="13" x14ac:dyDescent="0.3"/>
    <row r="186" ht="13" x14ac:dyDescent="0.3"/>
    <row r="187" ht="13" x14ac:dyDescent="0.3"/>
    <row r="188" ht="13" x14ac:dyDescent="0.3"/>
    <row r="189" ht="13" x14ac:dyDescent="0.3"/>
    <row r="190" ht="13" x14ac:dyDescent="0.3"/>
    <row r="191" ht="13" x14ac:dyDescent="0.3"/>
    <row r="192" ht="13" x14ac:dyDescent="0.3"/>
    <row r="193" ht="13" x14ac:dyDescent="0.3"/>
    <row r="194" ht="13" x14ac:dyDescent="0.3"/>
    <row r="195" ht="13" x14ac:dyDescent="0.3"/>
    <row r="196" ht="13" x14ac:dyDescent="0.3"/>
    <row r="197" ht="13" x14ac:dyDescent="0.3"/>
    <row r="198" ht="13" x14ac:dyDescent="0.3"/>
    <row r="199" ht="13" x14ac:dyDescent="0.3"/>
    <row r="200" ht="13" x14ac:dyDescent="0.3"/>
    <row r="201" ht="13" x14ac:dyDescent="0.3"/>
    <row r="202" ht="13" x14ac:dyDescent="0.3"/>
    <row r="203" ht="13" x14ac:dyDescent="0.3"/>
    <row r="204" ht="13" x14ac:dyDescent="0.3"/>
    <row r="205" ht="13" x14ac:dyDescent="0.3"/>
    <row r="206" ht="13" x14ac:dyDescent="0.3"/>
    <row r="207" ht="13" x14ac:dyDescent="0.3"/>
    <row r="208" ht="13" x14ac:dyDescent="0.3"/>
    <row r="209" ht="13" x14ac:dyDescent="0.3"/>
    <row r="210" ht="13" x14ac:dyDescent="0.3"/>
    <row r="211" ht="13" x14ac:dyDescent="0.3"/>
    <row r="212" ht="13" x14ac:dyDescent="0.3"/>
    <row r="213" ht="13" x14ac:dyDescent="0.3"/>
    <row r="214" ht="13" x14ac:dyDescent="0.3"/>
    <row r="215" ht="13" x14ac:dyDescent="0.3"/>
    <row r="216" ht="13" x14ac:dyDescent="0.3"/>
    <row r="217" ht="13" x14ac:dyDescent="0.3"/>
    <row r="218" ht="13" x14ac:dyDescent="0.3"/>
    <row r="219" ht="13" x14ac:dyDescent="0.3"/>
    <row r="220" ht="13" x14ac:dyDescent="0.3"/>
    <row r="221" ht="13" x14ac:dyDescent="0.3"/>
    <row r="222" ht="13" x14ac:dyDescent="0.3"/>
    <row r="223" ht="13" x14ac:dyDescent="0.3"/>
    <row r="224" ht="13" x14ac:dyDescent="0.3"/>
    <row r="225" ht="13" x14ac:dyDescent="0.3"/>
    <row r="226" ht="13" x14ac:dyDescent="0.3"/>
    <row r="227" ht="13" x14ac:dyDescent="0.3"/>
    <row r="228" ht="13" x14ac:dyDescent="0.3"/>
    <row r="229" ht="13" x14ac:dyDescent="0.3"/>
    <row r="230" ht="13" x14ac:dyDescent="0.3"/>
    <row r="231" ht="13" x14ac:dyDescent="0.3"/>
    <row r="232" ht="13" x14ac:dyDescent="0.3"/>
    <row r="233" ht="13" x14ac:dyDescent="0.3"/>
    <row r="234" ht="13" x14ac:dyDescent="0.3"/>
    <row r="235" ht="13" x14ac:dyDescent="0.3"/>
    <row r="236" ht="13" x14ac:dyDescent="0.3"/>
    <row r="237" ht="13" x14ac:dyDescent="0.3"/>
    <row r="238" ht="13" x14ac:dyDescent="0.3"/>
    <row r="239" ht="13" x14ac:dyDescent="0.3"/>
    <row r="240" ht="13" x14ac:dyDescent="0.3"/>
    <row r="241" ht="13" x14ac:dyDescent="0.3"/>
    <row r="242" ht="13" x14ac:dyDescent="0.3"/>
    <row r="243" ht="13" x14ac:dyDescent="0.3"/>
    <row r="244" ht="13" x14ac:dyDescent="0.3"/>
    <row r="245" ht="13" x14ac:dyDescent="0.3"/>
    <row r="246" ht="13" x14ac:dyDescent="0.3"/>
    <row r="247" ht="13" x14ac:dyDescent="0.3"/>
    <row r="248" ht="13" x14ac:dyDescent="0.3"/>
    <row r="249" ht="13" x14ac:dyDescent="0.3"/>
    <row r="250" ht="13" x14ac:dyDescent="0.3"/>
    <row r="251" ht="13" x14ac:dyDescent="0.3"/>
    <row r="252" ht="13" x14ac:dyDescent="0.3"/>
    <row r="253" ht="13" x14ac:dyDescent="0.3"/>
    <row r="254" ht="13" x14ac:dyDescent="0.3"/>
    <row r="255" ht="13" x14ac:dyDescent="0.3"/>
    <row r="256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  <row r="1000" ht="13" x14ac:dyDescent="0.3"/>
    <row r="1001" ht="13" x14ac:dyDescent="0.3"/>
    <row r="1002" ht="13" x14ac:dyDescent="0.3"/>
    <row r="1003" ht="13" x14ac:dyDescent="0.3"/>
    <row r="1004" ht="13" x14ac:dyDescent="0.3"/>
    <row r="1005" ht="13" x14ac:dyDescent="0.3"/>
    <row r="1006" ht="13" x14ac:dyDescent="0.3"/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0" sqref="F30"/>
    </sheetView>
  </sheetViews>
  <sheetFormatPr defaultColWidth="14.3984375" defaultRowHeight="15.75" customHeight="1" x14ac:dyDescent="0.3"/>
  <cols>
    <col min="1" max="1" width="9" customWidth="1"/>
    <col min="2" max="2" width="26" customWidth="1"/>
    <col min="3" max="3" width="13.3984375" customWidth="1"/>
    <col min="4" max="4" width="14.19921875" customWidth="1"/>
    <col min="5" max="5" width="52.796875" customWidth="1"/>
    <col min="6" max="6" width="47.59765625" customWidth="1"/>
    <col min="7" max="7" width="25.796875" customWidth="1"/>
    <col min="8" max="8" width="20.3984375" customWidth="1"/>
    <col min="9" max="9" width="17.199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888" t="s">
        <v>492</v>
      </c>
      <c r="C2" s="889"/>
      <c r="D2" s="889"/>
      <c r="E2" s="889"/>
      <c r="F2" s="889"/>
      <c r="G2" s="889"/>
      <c r="H2" s="889"/>
      <c r="I2" s="889"/>
      <c r="J2" s="889"/>
      <c r="K2" s="890"/>
    </row>
    <row r="3" spans="2:11" ht="14.25" customHeight="1" x14ac:dyDescent="0.3">
      <c r="B3" s="891"/>
      <c r="C3" s="775"/>
      <c r="D3" s="775"/>
      <c r="E3" s="775"/>
      <c r="F3" s="775"/>
      <c r="G3" s="775"/>
      <c r="H3" s="776"/>
      <c r="I3" s="356"/>
      <c r="J3" s="357"/>
      <c r="K3" s="358"/>
    </row>
    <row r="4" spans="2:11" ht="14.25" customHeight="1" x14ac:dyDescent="0.3">
      <c r="B4" s="359"/>
      <c r="C4" s="360"/>
      <c r="D4" s="360"/>
      <c r="E4" s="360"/>
      <c r="F4" s="360"/>
      <c r="G4" s="360"/>
      <c r="H4" s="361"/>
      <c r="I4" s="360"/>
      <c r="J4" s="362"/>
      <c r="K4" s="363"/>
    </row>
    <row r="5" spans="2:11" ht="14.25" customHeight="1" thickBot="1" x14ac:dyDescent="0.35">
      <c r="B5" s="359"/>
      <c r="C5" s="360"/>
      <c r="D5" s="360"/>
      <c r="E5" s="360"/>
      <c r="F5" s="360"/>
      <c r="G5" s="360"/>
      <c r="H5" s="361"/>
      <c r="I5" s="360"/>
      <c r="J5" s="362"/>
      <c r="K5" s="360"/>
    </row>
    <row r="6" spans="2:11" ht="14.25" customHeight="1" x14ac:dyDescent="0.3">
      <c r="B6" s="684" t="s">
        <v>493</v>
      </c>
      <c r="C6" s="685" t="s">
        <v>494</v>
      </c>
      <c r="D6" s="685" t="s">
        <v>495</v>
      </c>
      <c r="E6" s="685" t="s">
        <v>496</v>
      </c>
      <c r="F6" s="685" t="s">
        <v>497</v>
      </c>
      <c r="G6" s="686" t="s">
        <v>498</v>
      </c>
      <c r="H6" s="687" t="s">
        <v>180</v>
      </c>
      <c r="I6" s="364"/>
      <c r="J6" s="365"/>
      <c r="K6" s="365"/>
    </row>
    <row r="7" spans="2:11" ht="14.25" customHeight="1" x14ac:dyDescent="0.3">
      <c r="B7" s="688" t="s">
        <v>499</v>
      </c>
      <c r="C7" s="69">
        <v>4</v>
      </c>
      <c r="D7" s="69">
        <v>2</v>
      </c>
      <c r="E7" s="69">
        <v>1</v>
      </c>
      <c r="F7" s="69">
        <v>3</v>
      </c>
      <c r="G7" s="683">
        <v>2</v>
      </c>
      <c r="H7" s="689">
        <v>12</v>
      </c>
      <c r="I7" s="95"/>
      <c r="J7" s="73"/>
      <c r="K7" s="366"/>
    </row>
    <row r="8" spans="2:11" ht="14.25" customHeight="1" x14ac:dyDescent="0.3">
      <c r="B8" s="688" t="s">
        <v>500</v>
      </c>
      <c r="C8" s="69">
        <v>4</v>
      </c>
      <c r="D8" s="69">
        <v>2</v>
      </c>
      <c r="E8" s="69">
        <v>0</v>
      </c>
      <c r="F8" s="69">
        <v>3</v>
      </c>
      <c r="G8" s="683">
        <v>2</v>
      </c>
      <c r="H8" s="689">
        <f>C8+D8+F8+G8</f>
        <v>11</v>
      </c>
      <c r="I8" s="95"/>
      <c r="J8" s="95"/>
      <c r="K8" s="136"/>
    </row>
    <row r="9" spans="2:11" ht="14.25" customHeight="1" x14ac:dyDescent="0.3">
      <c r="B9" s="688" t="s">
        <v>501</v>
      </c>
      <c r="C9" s="69">
        <v>0</v>
      </c>
      <c r="D9" s="69">
        <v>0</v>
      </c>
      <c r="E9" s="69">
        <v>0</v>
      </c>
      <c r="F9" s="69">
        <v>0</v>
      </c>
      <c r="G9" s="683">
        <v>0</v>
      </c>
      <c r="H9" s="689">
        <v>0</v>
      </c>
      <c r="I9" s="95"/>
      <c r="J9" s="95"/>
      <c r="K9" s="136"/>
    </row>
    <row r="10" spans="2:11" ht="14.25" customHeight="1" thickBot="1" x14ac:dyDescent="0.35">
      <c r="B10" s="690" t="s">
        <v>502</v>
      </c>
      <c r="C10" s="691">
        <f t="shared" ref="C10:G10" si="0">C7-C8</f>
        <v>0</v>
      </c>
      <c r="D10" s="691">
        <f t="shared" si="0"/>
        <v>0</v>
      </c>
      <c r="E10" s="691">
        <f t="shared" si="0"/>
        <v>1</v>
      </c>
      <c r="F10" s="691">
        <f t="shared" si="0"/>
        <v>0</v>
      </c>
      <c r="G10" s="692">
        <f t="shared" si="0"/>
        <v>0</v>
      </c>
      <c r="H10" s="693">
        <v>0</v>
      </c>
      <c r="I10" s="95"/>
      <c r="J10" s="73"/>
      <c r="K10" s="136"/>
    </row>
    <row r="11" spans="2:11" ht="14.25" customHeight="1" thickBot="1" x14ac:dyDescent="0.35">
      <c r="B11" s="123"/>
      <c r="C11" s="109"/>
      <c r="D11" s="109"/>
      <c r="E11" s="109"/>
      <c r="F11" s="109"/>
      <c r="G11" s="109"/>
      <c r="H11" s="95"/>
      <c r="I11" s="95"/>
      <c r="J11" s="73"/>
      <c r="K11" s="136"/>
    </row>
    <row r="12" spans="2:11" ht="14.25" customHeight="1" x14ac:dyDescent="0.3">
      <c r="B12" s="892" t="s">
        <v>503</v>
      </c>
      <c r="C12" s="893"/>
      <c r="D12" s="893"/>
      <c r="E12" s="893"/>
      <c r="F12" s="893"/>
      <c r="G12" s="893"/>
      <c r="H12" s="893"/>
      <c r="I12" s="894"/>
      <c r="J12" s="367"/>
      <c r="K12" s="367"/>
    </row>
    <row r="13" spans="2:11" ht="32.25" customHeight="1" x14ac:dyDescent="0.3">
      <c r="B13" s="368" t="s">
        <v>504</v>
      </c>
      <c r="C13" s="369" t="s">
        <v>505</v>
      </c>
      <c r="D13" s="369" t="s">
        <v>506</v>
      </c>
      <c r="E13" s="369" t="s">
        <v>507</v>
      </c>
      <c r="F13" s="369" t="s">
        <v>508</v>
      </c>
      <c r="G13" s="369" t="s">
        <v>509</v>
      </c>
      <c r="H13" s="369" t="s">
        <v>510</v>
      </c>
      <c r="I13" s="370" t="s">
        <v>511</v>
      </c>
      <c r="J13" s="63"/>
      <c r="K13" s="371"/>
    </row>
    <row r="14" spans="2:11" ht="36" customHeight="1" x14ac:dyDescent="0.3">
      <c r="B14" s="149">
        <v>1</v>
      </c>
      <c r="C14" s="372" t="s">
        <v>512</v>
      </c>
      <c r="D14" s="372" t="s">
        <v>513</v>
      </c>
      <c r="E14" s="373" t="s">
        <v>514</v>
      </c>
      <c r="F14" s="372" t="s">
        <v>55</v>
      </c>
      <c r="G14" s="622">
        <v>45987</v>
      </c>
      <c r="H14" s="71"/>
      <c r="I14" s="374"/>
      <c r="J14" s="73"/>
      <c r="K14" s="366"/>
    </row>
    <row r="15" spans="2:11" ht="14.25" customHeight="1" x14ac:dyDescent="0.3">
      <c r="B15" s="149">
        <f t="shared" ref="B15:B25" si="1">B14+1</f>
        <v>2</v>
      </c>
      <c r="C15" s="375" t="s">
        <v>515</v>
      </c>
      <c r="D15" s="375" t="s">
        <v>516</v>
      </c>
      <c r="E15" s="376" t="s">
        <v>517</v>
      </c>
      <c r="F15" s="377" t="s">
        <v>518</v>
      </c>
      <c r="G15" s="594">
        <v>45946</v>
      </c>
      <c r="H15" s="71"/>
      <c r="I15" s="374"/>
      <c r="J15" s="73"/>
      <c r="K15" s="366"/>
    </row>
    <row r="16" spans="2:11" ht="14.25" customHeight="1" x14ac:dyDescent="0.3">
      <c r="B16" s="149">
        <f t="shared" si="1"/>
        <v>3</v>
      </c>
      <c r="C16" s="375" t="s">
        <v>519</v>
      </c>
      <c r="D16" s="375" t="s">
        <v>520</v>
      </c>
      <c r="E16" s="376" t="s">
        <v>521</v>
      </c>
      <c r="F16" s="378" t="s">
        <v>522</v>
      </c>
      <c r="G16" s="476">
        <v>45989</v>
      </c>
      <c r="H16" s="71"/>
      <c r="I16" s="374"/>
      <c r="J16" s="73"/>
      <c r="K16" s="366"/>
    </row>
    <row r="17" spans="2:11" ht="14.25" customHeight="1" x14ac:dyDescent="0.3">
      <c r="B17" s="149">
        <f t="shared" si="1"/>
        <v>4</v>
      </c>
      <c r="C17" s="379" t="s">
        <v>523</v>
      </c>
      <c r="D17" s="375" t="s">
        <v>524</v>
      </c>
      <c r="E17" s="376" t="s">
        <v>525</v>
      </c>
      <c r="F17" s="377" t="s">
        <v>518</v>
      </c>
      <c r="G17" s="476">
        <v>45944</v>
      </c>
      <c r="H17" s="71"/>
      <c r="I17" s="374"/>
      <c r="J17" s="73"/>
      <c r="K17" s="366"/>
    </row>
    <row r="18" spans="2:11" ht="14.25" customHeight="1" x14ac:dyDescent="0.3">
      <c r="B18" s="149">
        <f t="shared" si="1"/>
        <v>5</v>
      </c>
      <c r="C18" s="379" t="s">
        <v>526</v>
      </c>
      <c r="D18" s="375" t="s">
        <v>527</v>
      </c>
      <c r="E18" s="376" t="s">
        <v>528</v>
      </c>
      <c r="F18" s="378" t="s">
        <v>522</v>
      </c>
      <c r="G18" s="476">
        <v>45989</v>
      </c>
      <c r="H18" s="71"/>
      <c r="I18" s="374"/>
      <c r="J18" s="73"/>
      <c r="K18" s="366"/>
    </row>
    <row r="19" spans="2:11" ht="14.25" customHeight="1" x14ac:dyDescent="0.3">
      <c r="B19" s="149">
        <f t="shared" si="1"/>
        <v>6</v>
      </c>
      <c r="C19" s="375" t="s">
        <v>529</v>
      </c>
      <c r="D19" s="375" t="s">
        <v>530</v>
      </c>
      <c r="E19" s="376" t="s">
        <v>531</v>
      </c>
      <c r="F19" s="377" t="s">
        <v>518</v>
      </c>
      <c r="G19" s="476">
        <v>45946</v>
      </c>
      <c r="H19" s="71"/>
      <c r="I19" s="380"/>
      <c r="J19" s="73"/>
      <c r="K19" s="366"/>
    </row>
    <row r="20" spans="2:11" ht="14.25" customHeight="1" x14ac:dyDescent="0.3">
      <c r="B20" s="149">
        <f t="shared" si="1"/>
        <v>7</v>
      </c>
      <c r="C20" s="375" t="s">
        <v>532</v>
      </c>
      <c r="D20" s="375" t="s">
        <v>533</v>
      </c>
      <c r="E20" s="376" t="s">
        <v>534</v>
      </c>
      <c r="F20" s="377" t="s">
        <v>518</v>
      </c>
      <c r="G20" s="476">
        <v>45946</v>
      </c>
      <c r="H20" s="71"/>
      <c r="I20" s="374"/>
      <c r="J20" s="73"/>
      <c r="K20" s="366"/>
    </row>
    <row r="21" spans="2:11" ht="14.25" customHeight="1" x14ac:dyDescent="0.3">
      <c r="B21" s="149">
        <f t="shared" si="1"/>
        <v>8</v>
      </c>
      <c r="C21" s="375" t="s">
        <v>535</v>
      </c>
      <c r="D21" s="375" t="s">
        <v>536</v>
      </c>
      <c r="E21" s="376" t="s">
        <v>537</v>
      </c>
      <c r="F21" s="377" t="s">
        <v>518</v>
      </c>
      <c r="G21" s="476">
        <v>45946</v>
      </c>
      <c r="H21" s="71"/>
      <c r="I21" s="380"/>
      <c r="J21" s="73"/>
      <c r="K21" s="366"/>
    </row>
    <row r="22" spans="2:11" ht="14.25" customHeight="1" x14ac:dyDescent="0.3">
      <c r="B22" s="149">
        <f t="shared" si="1"/>
        <v>9</v>
      </c>
      <c r="C22" s="375" t="s">
        <v>538</v>
      </c>
      <c r="D22" s="375" t="s">
        <v>539</v>
      </c>
      <c r="E22" s="376" t="s">
        <v>540</v>
      </c>
      <c r="F22" s="378" t="s">
        <v>541</v>
      </c>
      <c r="G22" s="69"/>
      <c r="H22" s="71"/>
      <c r="I22" s="374"/>
      <c r="J22" s="73"/>
      <c r="K22" s="366"/>
    </row>
    <row r="23" spans="2:11" ht="14.25" customHeight="1" x14ac:dyDescent="0.3">
      <c r="B23" s="149">
        <f t="shared" si="1"/>
        <v>10</v>
      </c>
      <c r="C23" s="375" t="s">
        <v>542</v>
      </c>
      <c r="D23" s="375" t="s">
        <v>543</v>
      </c>
      <c r="E23" s="373" t="s">
        <v>544</v>
      </c>
      <c r="F23" s="372" t="s">
        <v>55</v>
      </c>
      <c r="G23" s="476">
        <v>45988</v>
      </c>
      <c r="H23" s="69"/>
      <c r="I23" s="374"/>
      <c r="J23" s="73"/>
      <c r="K23" s="366"/>
    </row>
    <row r="24" spans="2:11" ht="14.25" customHeight="1" x14ac:dyDescent="0.3">
      <c r="B24" s="149">
        <f t="shared" si="1"/>
        <v>11</v>
      </c>
      <c r="C24" s="375" t="s">
        <v>545</v>
      </c>
      <c r="D24" s="375" t="s">
        <v>546</v>
      </c>
      <c r="E24" s="376" t="s">
        <v>547</v>
      </c>
      <c r="F24" s="377" t="s">
        <v>518</v>
      </c>
      <c r="G24" s="69" t="s">
        <v>707</v>
      </c>
      <c r="H24" s="69"/>
      <c r="I24" s="374"/>
      <c r="J24" s="73"/>
      <c r="K24" s="366"/>
    </row>
    <row r="25" spans="2:11" ht="14.25" customHeight="1" x14ac:dyDescent="0.3">
      <c r="B25" s="149">
        <f t="shared" si="1"/>
        <v>12</v>
      </c>
      <c r="C25" s="375" t="s">
        <v>546</v>
      </c>
      <c r="D25" s="375" t="s">
        <v>548</v>
      </c>
      <c r="E25" s="376" t="s">
        <v>549</v>
      </c>
      <c r="F25" s="378" t="s">
        <v>522</v>
      </c>
      <c r="G25" s="69" t="s">
        <v>707</v>
      </c>
      <c r="H25" s="69"/>
      <c r="I25" s="374"/>
      <c r="J25" s="73"/>
      <c r="K25" s="366"/>
    </row>
    <row r="26" spans="2:11" ht="14.25" customHeight="1" x14ac:dyDescent="0.3">
      <c r="B26" s="149"/>
      <c r="C26" s="381"/>
      <c r="D26" s="381"/>
      <c r="E26" s="376"/>
      <c r="F26" s="69"/>
      <c r="G26" s="69"/>
      <c r="H26" s="69"/>
      <c r="I26" s="374"/>
      <c r="J26" s="73"/>
      <c r="K26" s="366"/>
    </row>
    <row r="27" spans="2:11" ht="14.25" customHeight="1" x14ac:dyDescent="0.3">
      <c r="B27" s="166"/>
      <c r="C27" s="382"/>
      <c r="D27" s="382"/>
      <c r="E27" s="383"/>
      <c r="F27" s="167"/>
      <c r="G27" s="167"/>
      <c r="H27" s="384"/>
      <c r="I27" s="385"/>
      <c r="J27" s="73"/>
      <c r="K27" s="366"/>
    </row>
    <row r="28" spans="2:11" ht="14.25" customHeight="1" x14ac:dyDescent="0.3">
      <c r="B28" s="95"/>
      <c r="C28" s="95"/>
      <c r="D28" s="95"/>
      <c r="E28" s="1"/>
      <c r="F28" s="1"/>
      <c r="G28" s="46"/>
      <c r="H28" s="46"/>
      <c r="I28" s="386"/>
      <c r="J28" s="387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" x14ac:dyDescent="0.3"/>
    <row r="227" ht="13" x14ac:dyDescent="0.3"/>
    <row r="228" ht="13" x14ac:dyDescent="0.3"/>
    <row r="229" ht="13" x14ac:dyDescent="0.3"/>
    <row r="230" ht="13" x14ac:dyDescent="0.3"/>
    <row r="231" ht="13" x14ac:dyDescent="0.3"/>
    <row r="232" ht="13" x14ac:dyDescent="0.3"/>
    <row r="233" ht="13" x14ac:dyDescent="0.3"/>
    <row r="234" ht="13" x14ac:dyDescent="0.3"/>
    <row r="235" ht="13" x14ac:dyDescent="0.3"/>
    <row r="236" ht="13" x14ac:dyDescent="0.3"/>
    <row r="237" ht="13" x14ac:dyDescent="0.3"/>
    <row r="238" ht="13" x14ac:dyDescent="0.3"/>
    <row r="239" ht="13" x14ac:dyDescent="0.3"/>
    <row r="240" ht="13" x14ac:dyDescent="0.3"/>
    <row r="241" ht="13" x14ac:dyDescent="0.3"/>
    <row r="242" ht="13" x14ac:dyDescent="0.3"/>
    <row r="243" ht="13" x14ac:dyDescent="0.3"/>
    <row r="244" ht="13" x14ac:dyDescent="0.3"/>
    <row r="245" ht="13" x14ac:dyDescent="0.3"/>
    <row r="246" ht="13" x14ac:dyDescent="0.3"/>
    <row r="247" ht="13" x14ac:dyDescent="0.3"/>
    <row r="248" ht="13" x14ac:dyDescent="0.3"/>
    <row r="249" ht="13" x14ac:dyDescent="0.3"/>
    <row r="250" ht="13" x14ac:dyDescent="0.3"/>
    <row r="251" ht="13" x14ac:dyDescent="0.3"/>
    <row r="252" ht="13" x14ac:dyDescent="0.3"/>
    <row r="253" ht="13" x14ac:dyDescent="0.3"/>
    <row r="254" ht="13" x14ac:dyDescent="0.3"/>
    <row r="255" ht="13" x14ac:dyDescent="0.3"/>
    <row r="256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  <row r="1000" ht="13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84" workbookViewId="0">
      <selection activeCell="J52" sqref="J52"/>
    </sheetView>
  </sheetViews>
  <sheetFormatPr defaultColWidth="14.3984375" defaultRowHeight="15.75" customHeight="1" x14ac:dyDescent="0.3"/>
  <cols>
    <col min="1" max="1" width="7.59765625" customWidth="1"/>
    <col min="2" max="2" width="10.59765625" customWidth="1"/>
    <col min="3" max="3" width="26.59765625" customWidth="1"/>
    <col min="4" max="4" width="18" customWidth="1"/>
    <col min="5" max="5" width="34.19921875" customWidth="1"/>
    <col min="6" max="6" width="21.796875" customWidth="1"/>
    <col min="7" max="7" width="33.3984375" customWidth="1"/>
    <col min="8" max="8" width="24.59765625" customWidth="1"/>
    <col min="9" max="9" width="50.19921875" customWidth="1"/>
    <col min="10" max="10" width="42.796875" customWidth="1"/>
    <col min="11" max="11" width="41.796875" customWidth="1"/>
    <col min="12" max="12" width="24.796875" customWidth="1"/>
    <col min="13" max="13" width="20.3984375" customWidth="1"/>
    <col min="14" max="14" width="15.796875" customWidth="1"/>
    <col min="15" max="26" width="9.19921875" customWidth="1"/>
  </cols>
  <sheetData>
    <row r="1" spans="1:26" ht="18" customHeight="1" x14ac:dyDescent="0.45">
      <c r="A1" s="94"/>
      <c r="B1" s="907" t="s">
        <v>118</v>
      </c>
      <c r="C1" s="751"/>
      <c r="D1" s="751"/>
      <c r="E1" s="751"/>
      <c r="F1" s="751"/>
      <c r="G1" s="751"/>
      <c r="H1" s="751"/>
      <c r="I1" s="754"/>
      <c r="J1" s="95"/>
      <c r="K1" s="96"/>
      <c r="L1" s="96"/>
      <c r="M1" s="96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8" customHeight="1" x14ac:dyDescent="0.45">
      <c r="A2" s="94"/>
      <c r="B2" s="900" t="s">
        <v>119</v>
      </c>
      <c r="C2" s="798"/>
      <c r="D2" s="798"/>
      <c r="E2" s="798"/>
      <c r="F2" s="798"/>
      <c r="G2" s="798"/>
      <c r="H2" s="798"/>
      <c r="I2" s="799"/>
      <c r="J2" s="95"/>
      <c r="K2" s="96"/>
      <c r="L2" s="96"/>
      <c r="M2" s="96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8" customHeight="1" x14ac:dyDescent="0.45">
      <c r="A3" s="94"/>
      <c r="B3" s="97" t="s">
        <v>120</v>
      </c>
      <c r="C3" s="98" t="s">
        <v>121</v>
      </c>
      <c r="D3" s="99" t="s">
        <v>23</v>
      </c>
      <c r="E3" s="99" t="s">
        <v>122</v>
      </c>
      <c r="F3" s="99" t="s">
        <v>123</v>
      </c>
      <c r="G3" s="100" t="s">
        <v>59</v>
      </c>
      <c r="H3" s="99"/>
      <c r="I3" s="101"/>
      <c r="J3" s="95"/>
      <c r="K3" s="96"/>
      <c r="L3" s="96"/>
      <c r="M3" s="96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8" customHeight="1" x14ac:dyDescent="0.45">
      <c r="A4" s="94"/>
      <c r="B4" s="102">
        <v>1</v>
      </c>
      <c r="C4" s="103" t="s">
        <v>124</v>
      </c>
      <c r="D4" s="103" t="s">
        <v>66</v>
      </c>
      <c r="E4" s="103"/>
      <c r="F4" s="582">
        <v>120</v>
      </c>
      <c r="G4" s="104"/>
      <c r="H4" s="103"/>
      <c r="I4" s="105"/>
      <c r="J4" s="95"/>
      <c r="K4" s="96"/>
      <c r="L4" s="96"/>
      <c r="M4" s="96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8" customHeight="1" x14ac:dyDescent="0.45">
      <c r="A5" s="94"/>
      <c r="B5" s="102">
        <v>2</v>
      </c>
      <c r="C5" s="103" t="s">
        <v>125</v>
      </c>
      <c r="D5" s="103" t="s">
        <v>66</v>
      </c>
      <c r="E5" s="103"/>
      <c r="F5" s="582">
        <v>5</v>
      </c>
      <c r="G5" s="104"/>
      <c r="H5" s="103"/>
      <c r="I5" s="105"/>
      <c r="J5" s="95"/>
      <c r="K5" s="96"/>
      <c r="L5" s="96"/>
      <c r="M5" s="96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8" customHeight="1" x14ac:dyDescent="0.45">
      <c r="A6" s="94"/>
      <c r="B6" s="102">
        <v>3</v>
      </c>
      <c r="C6" s="103" t="s">
        <v>126</v>
      </c>
      <c r="D6" s="103" t="s">
        <v>66</v>
      </c>
      <c r="E6" s="103"/>
      <c r="F6" s="582">
        <v>3</v>
      </c>
      <c r="G6" s="104"/>
      <c r="H6" s="103"/>
      <c r="I6" s="105"/>
      <c r="J6" s="95"/>
      <c r="K6" s="96"/>
      <c r="L6" s="96"/>
      <c r="M6" s="96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8" customHeight="1" x14ac:dyDescent="0.45">
      <c r="A7" s="94"/>
      <c r="B7" s="102">
        <v>4</v>
      </c>
      <c r="C7" s="103" t="s">
        <v>127</v>
      </c>
      <c r="D7" s="103" t="s">
        <v>66</v>
      </c>
      <c r="E7" s="103"/>
      <c r="F7" s="582">
        <v>2</v>
      </c>
      <c r="G7" s="104"/>
      <c r="H7" s="103"/>
      <c r="I7" s="105"/>
      <c r="J7" s="95"/>
      <c r="K7" s="96"/>
      <c r="L7" s="96"/>
      <c r="M7" s="96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18" customHeight="1" x14ac:dyDescent="0.45">
      <c r="A8" s="94"/>
      <c r="B8" s="102">
        <v>5</v>
      </c>
      <c r="C8" s="103" t="s">
        <v>128</v>
      </c>
      <c r="D8" s="103" t="s">
        <v>66</v>
      </c>
      <c r="E8" s="103"/>
      <c r="F8" s="582">
        <v>2</v>
      </c>
      <c r="G8" s="104"/>
      <c r="H8" s="103"/>
      <c r="I8" s="105"/>
      <c r="J8" s="95"/>
      <c r="K8" s="96"/>
      <c r="L8" s="96"/>
      <c r="M8" s="96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8" customHeight="1" x14ac:dyDescent="0.45">
      <c r="A9" s="94"/>
      <c r="B9" s="106"/>
      <c r="C9" s="107" t="s">
        <v>129</v>
      </c>
      <c r="D9" s="107" t="s">
        <v>66</v>
      </c>
      <c r="E9" s="107">
        <f t="shared" ref="E9:I9" si="0">SUM(E4:E8)</f>
        <v>0</v>
      </c>
      <c r="F9" s="583">
        <f t="shared" si="0"/>
        <v>132</v>
      </c>
      <c r="G9" s="108">
        <f t="shared" si="0"/>
        <v>0</v>
      </c>
      <c r="H9" s="107">
        <f t="shared" si="0"/>
        <v>0</v>
      </c>
      <c r="I9" s="107">
        <f t="shared" si="0"/>
        <v>0</v>
      </c>
      <c r="J9" s="95"/>
      <c r="K9" s="96"/>
      <c r="L9" s="96"/>
      <c r="M9" s="96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8" customHeight="1" x14ac:dyDescent="0.45">
      <c r="A10" s="94"/>
      <c r="B10" s="95"/>
      <c r="C10" s="95"/>
      <c r="D10" s="95"/>
      <c r="E10" s="95"/>
      <c r="F10" s="95"/>
      <c r="G10" s="95"/>
      <c r="H10" s="109"/>
      <c r="I10" s="109"/>
      <c r="J10" s="95"/>
      <c r="K10" s="96"/>
      <c r="L10" s="96"/>
      <c r="M10" s="96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8" customHeight="1" x14ac:dyDescent="0.45">
      <c r="A11" s="94"/>
      <c r="B11" s="906" t="s">
        <v>130</v>
      </c>
      <c r="C11" s="751"/>
      <c r="D11" s="751"/>
      <c r="E11" s="751"/>
      <c r="F11" s="751"/>
      <c r="G11" s="751"/>
      <c r="H11" s="751"/>
      <c r="I11" s="751"/>
      <c r="J11" s="754"/>
      <c r="K11" s="96"/>
      <c r="L11" s="96"/>
      <c r="M11" s="96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8" customHeight="1" x14ac:dyDescent="0.45">
      <c r="A12" s="94"/>
      <c r="B12" s="110" t="s">
        <v>120</v>
      </c>
      <c r="C12" s="97" t="s">
        <v>131</v>
      </c>
      <c r="D12" s="111" t="s">
        <v>121</v>
      </c>
      <c r="E12" s="111" t="s">
        <v>122</v>
      </c>
      <c r="F12" s="111" t="s">
        <v>123</v>
      </c>
      <c r="G12" s="111" t="s">
        <v>132</v>
      </c>
      <c r="H12" s="111"/>
      <c r="I12" s="111"/>
      <c r="J12" s="112" t="s">
        <v>87</v>
      </c>
      <c r="K12" s="96"/>
      <c r="L12" s="96"/>
      <c r="M12" s="96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8" customHeight="1" x14ac:dyDescent="0.45">
      <c r="A13" s="94"/>
      <c r="B13" s="900">
        <v>1</v>
      </c>
      <c r="C13" s="903" t="s">
        <v>133</v>
      </c>
      <c r="D13" s="99" t="s">
        <v>134</v>
      </c>
      <c r="E13" s="113"/>
      <c r="F13" s="584">
        <v>126</v>
      </c>
      <c r="G13" s="99"/>
      <c r="H13" s="99"/>
      <c r="I13" s="114"/>
      <c r="J13" s="115"/>
      <c r="K13" s="96"/>
      <c r="L13" s="96"/>
      <c r="M13" s="96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8" customHeight="1" x14ac:dyDescent="0.45">
      <c r="A14" s="94"/>
      <c r="B14" s="901"/>
      <c r="C14" s="904"/>
      <c r="D14" s="116" t="s">
        <v>135</v>
      </c>
      <c r="E14" s="117"/>
      <c r="F14" s="585">
        <v>104</v>
      </c>
      <c r="G14" s="103"/>
      <c r="H14" s="103"/>
      <c r="I14" s="118"/>
      <c r="J14" s="119"/>
      <c r="K14" s="96"/>
      <c r="L14" s="96"/>
      <c r="M14" s="96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8" customHeight="1" x14ac:dyDescent="0.45">
      <c r="A15" s="94"/>
      <c r="B15" s="901"/>
      <c r="C15" s="904"/>
      <c r="D15" s="116" t="s">
        <v>136</v>
      </c>
      <c r="E15" s="117"/>
      <c r="F15" s="585">
        <v>22</v>
      </c>
      <c r="G15" s="103"/>
      <c r="H15" s="103"/>
      <c r="I15" s="118"/>
      <c r="J15" s="119"/>
      <c r="K15" s="96"/>
      <c r="L15" s="96"/>
      <c r="M15" s="96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8" customHeight="1" x14ac:dyDescent="0.45">
      <c r="A16" s="94"/>
      <c r="B16" s="901"/>
      <c r="C16" s="904"/>
      <c r="D16" s="116" t="s">
        <v>137</v>
      </c>
      <c r="E16" s="117"/>
      <c r="F16" s="585">
        <v>13</v>
      </c>
      <c r="G16" s="103"/>
      <c r="H16" s="103"/>
      <c r="I16" s="118"/>
      <c r="J16" s="119"/>
      <c r="K16" s="96"/>
      <c r="L16" s="96"/>
      <c r="M16" s="96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8" customHeight="1" x14ac:dyDescent="0.45">
      <c r="A17" s="94"/>
      <c r="B17" s="902"/>
      <c r="C17" s="908"/>
      <c r="D17" s="116" t="s">
        <v>138</v>
      </c>
      <c r="E17" s="117"/>
      <c r="F17" s="585">
        <v>5</v>
      </c>
      <c r="G17" s="103"/>
      <c r="H17" s="103"/>
      <c r="I17" s="118"/>
      <c r="J17" s="119"/>
      <c r="K17" s="96"/>
      <c r="L17" s="96"/>
      <c r="M17" s="96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8" customHeight="1" thickBot="1" x14ac:dyDescent="0.5">
      <c r="A18" s="94"/>
      <c r="B18" s="900">
        <v>2</v>
      </c>
      <c r="C18" s="903" t="s">
        <v>139</v>
      </c>
      <c r="D18" s="99" t="s">
        <v>134</v>
      </c>
      <c r="E18" s="113"/>
      <c r="F18" s="584">
        <v>20</v>
      </c>
      <c r="G18" s="99"/>
      <c r="H18" s="99"/>
      <c r="I18" s="114"/>
      <c r="J18" s="115"/>
      <c r="K18" s="895"/>
      <c r="L18" s="69"/>
      <c r="M18" s="96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8" customHeight="1" x14ac:dyDescent="0.45">
      <c r="A19" s="94"/>
      <c r="B19" s="901"/>
      <c r="C19" s="904"/>
      <c r="D19" s="116" t="s">
        <v>135</v>
      </c>
      <c r="E19" s="117"/>
      <c r="F19" s="584">
        <v>20</v>
      </c>
      <c r="G19" s="103"/>
      <c r="H19" s="103"/>
      <c r="I19" s="118"/>
      <c r="J19" s="119"/>
      <c r="K19" s="759"/>
      <c r="L19" s="69"/>
      <c r="M19" s="96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8" customHeight="1" x14ac:dyDescent="0.45">
      <c r="A20" s="94"/>
      <c r="B20" s="901"/>
      <c r="C20" s="904"/>
      <c r="D20" s="116" t="s">
        <v>136</v>
      </c>
      <c r="E20" s="120"/>
      <c r="F20" s="103"/>
      <c r="G20" s="103"/>
      <c r="H20" s="103"/>
      <c r="I20" s="118"/>
      <c r="J20" s="119"/>
      <c r="K20" s="759"/>
      <c r="L20" s="69"/>
      <c r="M20" s="96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8" customHeight="1" x14ac:dyDescent="0.45">
      <c r="A21" s="94"/>
      <c r="B21" s="901"/>
      <c r="C21" s="904"/>
      <c r="D21" s="116" t="s">
        <v>137</v>
      </c>
      <c r="E21" s="117"/>
      <c r="F21" s="103"/>
      <c r="G21" s="103"/>
      <c r="H21" s="103"/>
      <c r="I21" s="118"/>
      <c r="J21" s="119"/>
      <c r="K21" s="759"/>
      <c r="L21" s="69"/>
      <c r="M21" s="96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8" customHeight="1" x14ac:dyDescent="0.45">
      <c r="A22" s="94"/>
      <c r="B22" s="902"/>
      <c r="C22" s="908"/>
      <c r="D22" s="116" t="s">
        <v>138</v>
      </c>
      <c r="E22" s="117"/>
      <c r="F22" s="585">
        <v>5</v>
      </c>
      <c r="G22" s="103"/>
      <c r="H22" s="103"/>
      <c r="I22" s="118"/>
      <c r="J22" s="119"/>
      <c r="K22" s="759"/>
      <c r="L22" s="69"/>
      <c r="M22" s="96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8" customHeight="1" x14ac:dyDescent="0.45">
      <c r="A23" s="94"/>
      <c r="B23" s="900">
        <v>3</v>
      </c>
      <c r="C23" s="903" t="s">
        <v>140</v>
      </c>
      <c r="D23" s="99" t="s">
        <v>134</v>
      </c>
      <c r="E23" s="113"/>
      <c r="F23" s="584">
        <v>14</v>
      </c>
      <c r="G23" s="99"/>
      <c r="H23" s="99"/>
      <c r="I23" s="114"/>
      <c r="J23" s="115"/>
      <c r="K23" s="759"/>
      <c r="L23" s="69"/>
      <c r="M23" s="96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8" customHeight="1" x14ac:dyDescent="0.45">
      <c r="A24" s="94"/>
      <c r="B24" s="901"/>
      <c r="C24" s="904"/>
      <c r="D24" s="116" t="s">
        <v>135</v>
      </c>
      <c r="E24" s="117"/>
      <c r="F24" s="585">
        <v>11</v>
      </c>
      <c r="G24" s="103"/>
      <c r="H24" s="103"/>
      <c r="I24" s="118"/>
      <c r="J24" s="119"/>
      <c r="K24" s="759"/>
      <c r="L24" s="69"/>
      <c r="M24" s="96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8" customHeight="1" x14ac:dyDescent="0.45">
      <c r="A25" s="94"/>
      <c r="B25" s="901"/>
      <c r="C25" s="904"/>
      <c r="D25" s="116" t="s">
        <v>136</v>
      </c>
      <c r="E25" s="117"/>
      <c r="F25" s="585">
        <v>3</v>
      </c>
      <c r="G25" s="103"/>
      <c r="H25" s="103"/>
      <c r="I25" s="118"/>
      <c r="J25" s="119"/>
      <c r="K25" s="759"/>
      <c r="L25" s="69"/>
      <c r="M25" s="96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8" customHeight="1" x14ac:dyDescent="0.45">
      <c r="A26" s="94"/>
      <c r="B26" s="901"/>
      <c r="C26" s="904"/>
      <c r="D26" s="116" t="s">
        <v>137</v>
      </c>
      <c r="E26" s="117"/>
      <c r="F26" s="103"/>
      <c r="G26" s="103"/>
      <c r="H26" s="103"/>
      <c r="I26" s="118"/>
      <c r="J26" s="119"/>
      <c r="K26" s="759"/>
      <c r="L26" s="89"/>
      <c r="M26" s="96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8" customHeight="1" x14ac:dyDescent="0.45">
      <c r="A27" s="94"/>
      <c r="B27" s="901"/>
      <c r="C27" s="904"/>
      <c r="D27" s="116" t="s">
        <v>138</v>
      </c>
      <c r="E27" s="117"/>
      <c r="F27" s="585">
        <v>3</v>
      </c>
      <c r="G27" s="103"/>
      <c r="H27" s="103"/>
      <c r="I27" s="118"/>
      <c r="J27" s="119"/>
      <c r="K27" s="771"/>
      <c r="L27" s="69"/>
      <c r="M27" s="96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8" customHeight="1" x14ac:dyDescent="0.45">
      <c r="A28" s="94"/>
      <c r="B28" s="900">
        <v>4</v>
      </c>
      <c r="C28" s="903" t="s">
        <v>141</v>
      </c>
      <c r="D28" s="99" t="s">
        <v>134</v>
      </c>
      <c r="E28" s="113"/>
      <c r="F28" s="99"/>
      <c r="G28" s="99"/>
      <c r="H28" s="99"/>
      <c r="I28" s="121"/>
      <c r="J28" s="115"/>
      <c r="K28" s="896" t="s">
        <v>142</v>
      </c>
      <c r="L28" s="776"/>
      <c r="M28" s="96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8" customHeight="1" x14ac:dyDescent="0.45">
      <c r="A29" s="94"/>
      <c r="B29" s="901"/>
      <c r="C29" s="904"/>
      <c r="D29" s="116" t="s">
        <v>135</v>
      </c>
      <c r="E29" s="117"/>
      <c r="F29" s="103"/>
      <c r="G29" s="103"/>
      <c r="H29" s="103"/>
      <c r="I29" s="122"/>
      <c r="J29" s="119"/>
      <c r="K29" s="897"/>
      <c r="L29" s="898"/>
      <c r="M29" s="96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8" customHeight="1" x14ac:dyDescent="0.45">
      <c r="A30" s="94"/>
      <c r="B30" s="901"/>
      <c r="C30" s="904"/>
      <c r="D30" s="116" t="s">
        <v>136</v>
      </c>
      <c r="E30" s="117"/>
      <c r="F30" s="103"/>
      <c r="G30" s="103"/>
      <c r="H30" s="103"/>
      <c r="I30" s="118"/>
      <c r="J30" s="119"/>
      <c r="K30" s="759"/>
      <c r="L30" s="759"/>
      <c r="M30" s="96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8" customHeight="1" x14ac:dyDescent="0.45">
      <c r="A31" s="94"/>
      <c r="B31" s="901"/>
      <c r="C31" s="904"/>
      <c r="D31" s="116" t="s">
        <v>137</v>
      </c>
      <c r="E31" s="117"/>
      <c r="F31" s="103"/>
      <c r="G31" s="103"/>
      <c r="H31" s="103"/>
      <c r="I31" s="118"/>
      <c r="J31" s="119"/>
      <c r="K31" s="771"/>
      <c r="L31" s="771"/>
      <c r="M31" s="96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8" customHeight="1" x14ac:dyDescent="0.45">
      <c r="A32" s="94"/>
      <c r="B32" s="901"/>
      <c r="C32" s="904"/>
      <c r="D32" s="124" t="s">
        <v>138</v>
      </c>
      <c r="E32" s="125"/>
      <c r="F32" s="126"/>
      <c r="G32" s="126"/>
      <c r="H32" s="126"/>
      <c r="I32" s="127"/>
      <c r="J32" s="128"/>
      <c r="K32" s="1"/>
      <c r="L32" s="1"/>
      <c r="M32" s="96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8" customHeight="1" x14ac:dyDescent="0.45">
      <c r="A33" s="94"/>
      <c r="B33" s="905">
        <v>5</v>
      </c>
      <c r="C33" s="905" t="s">
        <v>143</v>
      </c>
      <c r="D33" s="103" t="s">
        <v>134</v>
      </c>
      <c r="E33" s="117"/>
      <c r="F33" s="103"/>
      <c r="G33" s="103"/>
      <c r="H33" s="103"/>
      <c r="I33" s="103"/>
      <c r="J33" s="69"/>
      <c r="K33" s="1"/>
      <c r="L33" s="1"/>
      <c r="M33" s="96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8" customHeight="1" x14ac:dyDescent="0.45">
      <c r="A34" s="94"/>
      <c r="B34" s="759"/>
      <c r="C34" s="759"/>
      <c r="D34" s="116" t="s">
        <v>135</v>
      </c>
      <c r="E34" s="117"/>
      <c r="F34" s="103"/>
      <c r="G34" s="103"/>
      <c r="H34" s="103"/>
      <c r="I34" s="103"/>
      <c r="J34" s="69"/>
      <c r="K34" s="1"/>
      <c r="L34" s="1"/>
      <c r="M34" s="96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8" customHeight="1" x14ac:dyDescent="0.45">
      <c r="A35" s="94"/>
      <c r="B35" s="759"/>
      <c r="C35" s="759"/>
      <c r="D35" s="116" t="s">
        <v>136</v>
      </c>
      <c r="E35" s="117"/>
      <c r="F35" s="103"/>
      <c r="G35" s="103"/>
      <c r="H35" s="103"/>
      <c r="I35" s="103"/>
      <c r="J35" s="69"/>
      <c r="K35" s="1"/>
      <c r="L35" s="1"/>
      <c r="M35" s="96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8" customHeight="1" x14ac:dyDescent="0.45">
      <c r="A36" s="94"/>
      <c r="B36" s="759"/>
      <c r="C36" s="759"/>
      <c r="D36" s="116" t="s">
        <v>137</v>
      </c>
      <c r="E36" s="117"/>
      <c r="F36" s="103"/>
      <c r="G36" s="103"/>
      <c r="H36" s="103"/>
      <c r="I36" s="103"/>
      <c r="J36" s="69"/>
      <c r="K36" s="1"/>
      <c r="L36" s="1"/>
      <c r="M36" s="96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8" customHeight="1" x14ac:dyDescent="0.45">
      <c r="A37" s="94"/>
      <c r="B37" s="771"/>
      <c r="C37" s="771"/>
      <c r="D37" s="116" t="s">
        <v>138</v>
      </c>
      <c r="E37" s="117"/>
      <c r="F37" s="103"/>
      <c r="G37" s="103"/>
      <c r="H37" s="103"/>
      <c r="I37" s="103"/>
      <c r="J37" s="69"/>
      <c r="K37" s="1"/>
      <c r="L37" s="1"/>
      <c r="M37" s="96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8" customHeight="1" x14ac:dyDescent="0.45">
      <c r="A38" s="94"/>
      <c r="B38" s="129"/>
      <c r="C38" s="129"/>
      <c r="D38" s="130"/>
      <c r="E38" s="130"/>
      <c r="F38" s="130"/>
      <c r="G38" s="130"/>
      <c r="H38" s="130"/>
      <c r="I38" s="131"/>
      <c r="J38" s="132"/>
      <c r="K38" s="1"/>
      <c r="L38" s="1"/>
      <c r="M38" s="96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8" customHeight="1" x14ac:dyDescent="0.45">
      <c r="A39" s="94"/>
      <c r="B39" s="129"/>
      <c r="C39" s="129"/>
      <c r="D39" s="133" t="s">
        <v>129</v>
      </c>
      <c r="E39" s="133"/>
      <c r="F39" s="621"/>
      <c r="G39" s="133"/>
      <c r="H39" s="133"/>
      <c r="I39" s="134"/>
      <c r="J39" s="135"/>
      <c r="K39" s="96"/>
      <c r="L39" s="96"/>
      <c r="M39" s="96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18" customHeight="1" x14ac:dyDescent="0.45">
      <c r="A40" s="94"/>
      <c r="B40" s="136"/>
      <c r="C40" s="136"/>
      <c r="D40" s="1"/>
      <c r="E40" s="1"/>
      <c r="F40" s="1"/>
      <c r="G40" s="1"/>
      <c r="H40" s="1"/>
      <c r="I40" s="1"/>
      <c r="J40" s="1"/>
      <c r="K40" s="96"/>
      <c r="L40" s="96"/>
      <c r="M40" s="96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8" customHeight="1" x14ac:dyDescent="0.45">
      <c r="A41" s="94"/>
      <c r="B41" s="136"/>
      <c r="C41" s="136"/>
      <c r="D41" s="1"/>
      <c r="E41" s="1"/>
      <c r="F41" s="1"/>
      <c r="G41" s="1"/>
      <c r="H41" s="1"/>
      <c r="I41" s="1"/>
      <c r="J41" s="1"/>
      <c r="K41" s="96"/>
      <c r="L41" s="96"/>
      <c r="M41" s="96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8" customHeight="1" x14ac:dyDescent="0.45">
      <c r="A42" s="94"/>
      <c r="B42" s="136"/>
      <c r="C42" s="136"/>
      <c r="D42" s="1"/>
      <c r="E42" s="1"/>
      <c r="F42" s="1"/>
      <c r="G42" s="1"/>
      <c r="H42" s="1"/>
      <c r="I42" s="1"/>
      <c r="J42" s="1"/>
      <c r="K42" s="96"/>
      <c r="L42" s="96"/>
      <c r="M42" s="96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8" customHeight="1" x14ac:dyDescent="0.6">
      <c r="A43" s="94"/>
      <c r="B43" s="899"/>
      <c r="C43" s="751"/>
      <c r="D43" s="751"/>
      <c r="E43" s="751"/>
      <c r="F43" s="751"/>
      <c r="G43" s="751"/>
      <c r="H43" s="751"/>
      <c r="I43" s="751"/>
      <c r="J43" s="751"/>
      <c r="K43" s="754"/>
      <c r="L43" s="96"/>
      <c r="M43" s="96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26" x14ac:dyDescent="0.3">
      <c r="A44" s="94"/>
      <c r="B44" s="137" t="s">
        <v>22</v>
      </c>
      <c r="C44" s="138" t="s">
        <v>23</v>
      </c>
      <c r="D44" s="138" t="s">
        <v>24</v>
      </c>
      <c r="E44" s="138" t="s">
        <v>25</v>
      </c>
      <c r="F44" s="138" t="s">
        <v>58</v>
      </c>
      <c r="G44" s="138" t="s">
        <v>59</v>
      </c>
      <c r="H44" s="138" t="s">
        <v>60</v>
      </c>
      <c r="I44" s="138" t="s">
        <v>61</v>
      </c>
      <c r="J44" s="138" t="s">
        <v>62</v>
      </c>
      <c r="K44" s="138" t="s">
        <v>63</v>
      </c>
      <c r="L44" s="138" t="s">
        <v>64</v>
      </c>
      <c r="M44" s="139" t="s">
        <v>33</v>
      </c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63.75" customHeight="1" x14ac:dyDescent="0.3">
      <c r="A45" s="94"/>
      <c r="B45" s="140" t="s">
        <v>65</v>
      </c>
      <c r="C45" s="41" t="s">
        <v>66</v>
      </c>
      <c r="D45" s="41">
        <v>292</v>
      </c>
      <c r="E45" s="42">
        <v>260</v>
      </c>
      <c r="F45" s="42">
        <v>132</v>
      </c>
      <c r="G45" s="42">
        <f t="shared" ref="G45:G46" si="1">D45-F45</f>
        <v>160</v>
      </c>
      <c r="H45" s="42">
        <f>'Master Sheet'!H31</f>
        <v>56</v>
      </c>
      <c r="I45" s="42">
        <f>'Master Sheet'!I31</f>
        <v>0</v>
      </c>
      <c r="J45" s="41">
        <f>'Master Sheet'!J31</f>
        <v>0</v>
      </c>
      <c r="K45" s="42">
        <f>J45+F45</f>
        <v>132</v>
      </c>
      <c r="L45" s="42">
        <f t="shared" ref="L45:L46" si="2">E45+H45-(F45+J45)</f>
        <v>184</v>
      </c>
      <c r="M45" s="43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3" x14ac:dyDescent="0.3">
      <c r="A46" s="94"/>
      <c r="B46" s="469" t="s">
        <v>67</v>
      </c>
      <c r="C46" s="393" t="s">
        <v>68</v>
      </c>
      <c r="D46" s="393">
        <v>292</v>
      </c>
      <c r="E46" s="393">
        <v>160</v>
      </c>
      <c r="F46" s="393">
        <v>160</v>
      </c>
      <c r="G46" s="470">
        <f t="shared" si="1"/>
        <v>132</v>
      </c>
      <c r="H46" s="470">
        <f>'Master Sheet'!H32</f>
        <v>0</v>
      </c>
      <c r="I46" s="470">
        <v>0</v>
      </c>
      <c r="J46" s="470">
        <v>0</v>
      </c>
      <c r="K46" s="470">
        <f>146+14</f>
        <v>160</v>
      </c>
      <c r="L46" s="394">
        <f t="shared" si="2"/>
        <v>0</v>
      </c>
      <c r="M46" s="471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49.25" customHeight="1" thickBot="1" x14ac:dyDescent="0.35">
      <c r="A47" s="94"/>
      <c r="B47" s="472" t="s">
        <v>553</v>
      </c>
      <c r="C47" s="396" t="s">
        <v>35</v>
      </c>
      <c r="D47" s="396">
        <v>4314</v>
      </c>
      <c r="E47" s="396">
        <v>1700</v>
      </c>
      <c r="F47" s="396">
        <v>1931.873</v>
      </c>
      <c r="G47" s="396">
        <f>D47-F47</f>
        <v>2382.127</v>
      </c>
      <c r="H47" s="396">
        <v>400</v>
      </c>
      <c r="I47" s="396">
        <v>400</v>
      </c>
      <c r="J47" s="396">
        <f>K47-F47</f>
        <v>163.57699999999977</v>
      </c>
      <c r="K47" s="396">
        <v>2095.4499999999998</v>
      </c>
      <c r="L47" s="397">
        <f>E47+H47-K47</f>
        <v>4.5500000000001819</v>
      </c>
      <c r="M47" s="445" t="s">
        <v>722</v>
      </c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8" customHeight="1" x14ac:dyDescent="0.45">
      <c r="A48" s="94"/>
      <c r="B48" s="1"/>
      <c r="C48" s="1"/>
      <c r="D48" s="1"/>
      <c r="E48" s="1"/>
      <c r="F48" s="1"/>
      <c r="G48" s="1"/>
      <c r="H48" s="1"/>
      <c r="I48" s="1"/>
      <c r="J48" s="1"/>
      <c r="K48" s="96"/>
      <c r="L48" s="96"/>
      <c r="M48" s="96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8" customHeight="1" x14ac:dyDescent="0.45">
      <c r="A49" s="94"/>
      <c r="B49" s="1"/>
      <c r="C49" s="1"/>
      <c r="D49" s="1"/>
      <c r="E49" s="1"/>
      <c r="F49" s="1"/>
      <c r="G49" s="1"/>
      <c r="H49" s="1"/>
      <c r="I49" s="1"/>
      <c r="J49" s="1"/>
      <c r="K49" s="96"/>
      <c r="L49" s="96"/>
      <c r="M49" s="96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8" customHeight="1" x14ac:dyDescent="0.3">
      <c r="A50" s="94"/>
      <c r="B50" s="906" t="s">
        <v>144</v>
      </c>
      <c r="C50" s="751"/>
      <c r="D50" s="751"/>
      <c r="E50" s="751"/>
      <c r="F50" s="751"/>
      <c r="G50" s="751"/>
      <c r="H50" s="751"/>
      <c r="I50" s="751"/>
      <c r="J50" s="754"/>
      <c r="K50" s="141"/>
      <c r="L50" s="142"/>
      <c r="M50" s="143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39" x14ac:dyDescent="0.3">
      <c r="A51" s="94"/>
      <c r="B51" s="144" t="s">
        <v>145</v>
      </c>
      <c r="C51" s="145" t="s">
        <v>146</v>
      </c>
      <c r="D51" s="145" t="s">
        <v>23</v>
      </c>
      <c r="E51" s="145" t="s">
        <v>147</v>
      </c>
      <c r="F51" s="145" t="s">
        <v>696</v>
      </c>
      <c r="G51" s="145" t="s">
        <v>705</v>
      </c>
      <c r="H51" s="145" t="s">
        <v>148</v>
      </c>
      <c r="I51" s="146" t="s">
        <v>694</v>
      </c>
      <c r="J51" s="147" t="s">
        <v>727</v>
      </c>
      <c r="K51" s="147" t="s">
        <v>726</v>
      </c>
      <c r="L51" s="148" t="s">
        <v>149</v>
      </c>
      <c r="M51" s="148" t="s">
        <v>150</v>
      </c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8" customHeight="1" x14ac:dyDescent="0.3">
      <c r="A52" s="94"/>
      <c r="B52" s="149">
        <v>1</v>
      </c>
      <c r="C52" s="69" t="s">
        <v>151</v>
      </c>
      <c r="D52" s="150" t="s">
        <v>152</v>
      </c>
      <c r="E52" s="151">
        <v>292</v>
      </c>
      <c r="F52" s="69">
        <v>260</v>
      </c>
      <c r="G52" s="69">
        <f>'Master Sheet'!F31</f>
        <v>132</v>
      </c>
      <c r="H52" s="152">
        <f>'Master Sheet'!H31</f>
        <v>56</v>
      </c>
      <c r="I52" s="152">
        <f t="shared" ref="I52:I55" si="3">E52-G52</f>
        <v>160</v>
      </c>
      <c r="J52" s="153">
        <f>'Master Sheet'!I31</f>
        <v>0</v>
      </c>
      <c r="K52" s="70">
        <f>'Master Sheet'!J31</f>
        <v>0</v>
      </c>
      <c r="L52" s="154">
        <f t="shared" ref="L52:L63" si="4">K52+G52</f>
        <v>132</v>
      </c>
      <c r="M52" s="155">
        <f t="shared" ref="M52:M55" si="5">E52-L52</f>
        <v>160</v>
      </c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8" customHeight="1" x14ac:dyDescent="0.3">
      <c r="A53" s="94"/>
      <c r="B53" s="149">
        <v>2</v>
      </c>
      <c r="C53" s="69" t="s">
        <v>153</v>
      </c>
      <c r="D53" s="69" t="s">
        <v>154</v>
      </c>
      <c r="E53" s="151">
        <v>292</v>
      </c>
      <c r="F53" s="69">
        <v>80</v>
      </c>
      <c r="G53" s="69">
        <v>79</v>
      </c>
      <c r="H53" s="157">
        <f>'Master Sheet'!H32</f>
        <v>0</v>
      </c>
      <c r="I53" s="152">
        <f t="shared" si="3"/>
        <v>213</v>
      </c>
      <c r="J53" s="157">
        <v>80</v>
      </c>
      <c r="K53" s="69">
        <v>81</v>
      </c>
      <c r="L53" s="154">
        <f t="shared" si="4"/>
        <v>160</v>
      </c>
      <c r="M53" s="155">
        <f t="shared" si="5"/>
        <v>132</v>
      </c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8" customHeight="1" x14ac:dyDescent="0.3">
      <c r="A54" s="94"/>
      <c r="B54" s="149">
        <v>3</v>
      </c>
      <c r="C54" s="69" t="s">
        <v>155</v>
      </c>
      <c r="D54" s="150" t="s">
        <v>156</v>
      </c>
      <c r="E54" s="151">
        <v>121</v>
      </c>
      <c r="F54" s="156">
        <v>50</v>
      </c>
      <c r="G54" s="156">
        <v>50.07</v>
      </c>
      <c r="H54" s="157">
        <v>0</v>
      </c>
      <c r="I54" s="152">
        <f t="shared" si="3"/>
        <v>70.930000000000007</v>
      </c>
      <c r="J54" s="153">
        <v>0</v>
      </c>
      <c r="K54" s="70">
        <v>0</v>
      </c>
      <c r="L54" s="154">
        <f t="shared" si="4"/>
        <v>50.07</v>
      </c>
      <c r="M54" s="155">
        <f t="shared" si="5"/>
        <v>70.930000000000007</v>
      </c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8" customHeight="1" x14ac:dyDescent="0.3">
      <c r="A55" s="94"/>
      <c r="B55" s="149">
        <v>4</v>
      </c>
      <c r="C55" s="69" t="s">
        <v>157</v>
      </c>
      <c r="D55" s="150" t="s">
        <v>156</v>
      </c>
      <c r="E55" s="151">
        <v>4314</v>
      </c>
      <c r="F55" s="69">
        <v>1300</v>
      </c>
      <c r="G55" s="69">
        <v>1516.153</v>
      </c>
      <c r="H55" s="157">
        <v>400</v>
      </c>
      <c r="I55" s="152">
        <f t="shared" si="3"/>
        <v>2797.8469999999998</v>
      </c>
      <c r="J55" s="153">
        <v>400</v>
      </c>
      <c r="K55" s="70">
        <v>415.72</v>
      </c>
      <c r="L55" s="154">
        <v>2095.4499999999998</v>
      </c>
      <c r="M55" s="155">
        <f t="shared" si="5"/>
        <v>2218.5500000000002</v>
      </c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8" customHeight="1" x14ac:dyDescent="0.3">
      <c r="A56" s="94"/>
      <c r="B56" s="149">
        <v>5</v>
      </c>
      <c r="C56" s="69" t="s">
        <v>158</v>
      </c>
      <c r="D56" s="69" t="s">
        <v>159</v>
      </c>
      <c r="E56" s="158">
        <v>1</v>
      </c>
      <c r="F56" s="159">
        <v>0</v>
      </c>
      <c r="G56" s="159">
        <v>0</v>
      </c>
      <c r="H56" s="159">
        <v>0.4</v>
      </c>
      <c r="I56" s="159">
        <v>1</v>
      </c>
      <c r="J56" s="160">
        <v>0.4</v>
      </c>
      <c r="K56" s="70">
        <v>0</v>
      </c>
      <c r="L56" s="154">
        <f t="shared" si="4"/>
        <v>0</v>
      </c>
      <c r="M56" s="161">
        <v>1</v>
      </c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8" customHeight="1" x14ac:dyDescent="0.3">
      <c r="A57" s="94"/>
      <c r="B57" s="149">
        <v>6</v>
      </c>
      <c r="C57" s="69" t="s">
        <v>160</v>
      </c>
      <c r="D57" s="69" t="s">
        <v>154</v>
      </c>
      <c r="E57" s="162">
        <v>7200</v>
      </c>
      <c r="F57" s="156">
        <v>0</v>
      </c>
      <c r="G57" s="156">
        <v>0</v>
      </c>
      <c r="H57" s="157">
        <v>2450</v>
      </c>
      <c r="I57" s="152">
        <f t="shared" ref="I57:I63" si="6">E57-G57</f>
        <v>7200</v>
      </c>
      <c r="J57" s="153">
        <v>2450</v>
      </c>
      <c r="K57" s="70">
        <v>0</v>
      </c>
      <c r="L57" s="154">
        <f t="shared" si="4"/>
        <v>0</v>
      </c>
      <c r="M57" s="155">
        <f t="shared" ref="M57:M63" si="7">E57-L57</f>
        <v>7200</v>
      </c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8" customHeight="1" x14ac:dyDescent="0.3">
      <c r="A58" s="94"/>
      <c r="B58" s="149">
        <v>7</v>
      </c>
      <c r="C58" s="69" t="s">
        <v>161</v>
      </c>
      <c r="D58" s="69" t="s">
        <v>162</v>
      </c>
      <c r="E58" s="162">
        <v>123</v>
      </c>
      <c r="F58" s="156">
        <v>0</v>
      </c>
      <c r="G58" s="156">
        <v>0</v>
      </c>
      <c r="H58" s="156">
        <v>0</v>
      </c>
      <c r="I58" s="152">
        <f t="shared" si="6"/>
        <v>123</v>
      </c>
      <c r="J58" s="156">
        <v>0</v>
      </c>
      <c r="K58" s="156">
        <v>0</v>
      </c>
      <c r="L58" s="154">
        <f t="shared" si="4"/>
        <v>0</v>
      </c>
      <c r="M58" s="155">
        <f t="shared" si="7"/>
        <v>123</v>
      </c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8" customHeight="1" x14ac:dyDescent="0.3">
      <c r="A59" s="94"/>
      <c r="B59" s="149">
        <v>8</v>
      </c>
      <c r="C59" s="69" t="s">
        <v>163</v>
      </c>
      <c r="D59" s="69" t="s">
        <v>159</v>
      </c>
      <c r="E59" s="158">
        <v>1</v>
      </c>
      <c r="F59" s="156">
        <v>0</v>
      </c>
      <c r="G59" s="159">
        <v>0</v>
      </c>
      <c r="H59" s="156">
        <v>0</v>
      </c>
      <c r="I59" s="159">
        <f t="shared" si="6"/>
        <v>1</v>
      </c>
      <c r="J59" s="156">
        <v>0</v>
      </c>
      <c r="K59" s="156">
        <v>0</v>
      </c>
      <c r="L59" s="154">
        <f t="shared" si="4"/>
        <v>0</v>
      </c>
      <c r="M59" s="161">
        <f t="shared" si="7"/>
        <v>1</v>
      </c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8" customHeight="1" x14ac:dyDescent="0.3">
      <c r="A60" s="94"/>
      <c r="B60" s="149">
        <v>9</v>
      </c>
      <c r="C60" s="69" t="s">
        <v>164</v>
      </c>
      <c r="D60" s="69" t="s">
        <v>159</v>
      </c>
      <c r="E60" s="158">
        <v>1</v>
      </c>
      <c r="F60" s="159">
        <v>0.25</v>
      </c>
      <c r="G60" s="159">
        <v>0.42</v>
      </c>
      <c r="H60" s="159">
        <v>0.3</v>
      </c>
      <c r="I60" s="159">
        <f t="shared" si="6"/>
        <v>0.58000000000000007</v>
      </c>
      <c r="J60" s="159">
        <v>0.23</v>
      </c>
      <c r="K60" s="159">
        <v>0</v>
      </c>
      <c r="L60" s="163">
        <f t="shared" si="4"/>
        <v>0.42</v>
      </c>
      <c r="M60" s="161">
        <f t="shared" si="7"/>
        <v>0.58000000000000007</v>
      </c>
      <c r="N60" s="94"/>
      <c r="O60" s="94">
        <f>50/296</f>
        <v>0.16891891891891891</v>
      </c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8" customHeight="1" x14ac:dyDescent="0.3">
      <c r="A61" s="94"/>
      <c r="B61" s="149">
        <v>10</v>
      </c>
      <c r="C61" s="69" t="s">
        <v>165</v>
      </c>
      <c r="D61" s="69" t="s">
        <v>159</v>
      </c>
      <c r="E61" s="158">
        <v>1</v>
      </c>
      <c r="F61" s="156">
        <v>0</v>
      </c>
      <c r="G61" s="159">
        <v>0</v>
      </c>
      <c r="H61" s="159">
        <v>0.4</v>
      </c>
      <c r="I61" s="159">
        <f t="shared" si="6"/>
        <v>1</v>
      </c>
      <c r="J61" s="164">
        <v>0.4</v>
      </c>
      <c r="K61" s="159">
        <v>0</v>
      </c>
      <c r="L61" s="163">
        <f t="shared" si="4"/>
        <v>0</v>
      </c>
      <c r="M61" s="161">
        <f t="shared" si="7"/>
        <v>1</v>
      </c>
      <c r="N61" s="94"/>
      <c r="O61" s="94">
        <f>132/296</f>
        <v>0.44594594594594594</v>
      </c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8" customHeight="1" x14ac:dyDescent="0.3">
      <c r="A62" s="94"/>
      <c r="B62" s="149">
        <v>11</v>
      </c>
      <c r="C62" s="69" t="s">
        <v>166</v>
      </c>
      <c r="D62" s="69" t="s">
        <v>159</v>
      </c>
      <c r="E62" s="158">
        <v>1</v>
      </c>
      <c r="F62" s="156">
        <v>0</v>
      </c>
      <c r="G62" s="159">
        <v>0</v>
      </c>
      <c r="H62" s="156">
        <v>0</v>
      </c>
      <c r="I62" s="159">
        <f t="shared" si="6"/>
        <v>1</v>
      </c>
      <c r="J62" s="165">
        <v>0</v>
      </c>
      <c r="K62" s="159">
        <v>0</v>
      </c>
      <c r="L62" s="154">
        <f t="shared" si="4"/>
        <v>0</v>
      </c>
      <c r="M62" s="161">
        <f t="shared" si="7"/>
        <v>1</v>
      </c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8" customHeight="1" x14ac:dyDescent="0.3">
      <c r="A63" s="94"/>
      <c r="B63" s="149">
        <v>12</v>
      </c>
      <c r="C63" s="167" t="s">
        <v>167</v>
      </c>
      <c r="D63" s="167" t="s">
        <v>159</v>
      </c>
      <c r="E63" s="158">
        <v>1</v>
      </c>
      <c r="F63" s="156">
        <v>0</v>
      </c>
      <c r="G63" s="159">
        <v>0</v>
      </c>
      <c r="H63" s="159">
        <v>0.4</v>
      </c>
      <c r="I63" s="159">
        <f t="shared" si="6"/>
        <v>1</v>
      </c>
      <c r="J63" s="484">
        <v>0.4</v>
      </c>
      <c r="K63" s="159">
        <v>0</v>
      </c>
      <c r="L63" s="154">
        <f t="shared" si="4"/>
        <v>0</v>
      </c>
      <c r="M63" s="161">
        <f t="shared" si="7"/>
        <v>1</v>
      </c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8" customHeight="1" x14ac:dyDescent="0.45">
      <c r="A64" s="94"/>
      <c r="B64" s="1"/>
      <c r="C64" s="1"/>
      <c r="D64" s="1"/>
      <c r="E64" s="1"/>
      <c r="F64" s="1"/>
      <c r="G64" s="1"/>
      <c r="H64" s="1"/>
      <c r="I64" s="1"/>
      <c r="J64" s="1"/>
      <c r="K64" s="96"/>
      <c r="L64" s="96"/>
      <c r="M64" s="96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8" customHeight="1" x14ac:dyDescent="0.45">
      <c r="A65" s="94"/>
      <c r="B65" s="1"/>
      <c r="C65" s="1"/>
      <c r="D65" s="1"/>
      <c r="E65" s="1"/>
      <c r="F65" s="1"/>
      <c r="G65" s="1"/>
      <c r="H65" s="1"/>
      <c r="I65" s="1"/>
      <c r="J65" s="1"/>
      <c r="K65" s="96"/>
      <c r="L65" s="96"/>
      <c r="M65" s="96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8" customHeight="1" x14ac:dyDescent="0.45">
      <c r="A66" s="94"/>
      <c r="B66" s="1"/>
      <c r="C66" s="1"/>
      <c r="D66" s="1"/>
      <c r="E66" s="1"/>
      <c r="F66" s="1"/>
      <c r="G66" s="1"/>
      <c r="H66" s="1"/>
      <c r="I66" s="1"/>
      <c r="J66" s="1"/>
      <c r="K66" s="96"/>
      <c r="L66" s="96"/>
      <c r="M66" s="96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8" customHeight="1" x14ac:dyDescent="0.45">
      <c r="A67" s="94"/>
      <c r="B67" s="1"/>
      <c r="C67" s="1"/>
      <c r="D67" s="1"/>
      <c r="E67" s="1"/>
      <c r="F67" s="1"/>
      <c r="G67" s="1"/>
      <c r="H67" s="1"/>
      <c r="I67" s="1"/>
      <c r="J67" s="1"/>
      <c r="K67" s="96"/>
      <c r="L67" s="96"/>
      <c r="M67" s="96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8" customHeight="1" x14ac:dyDescent="0.45">
      <c r="A68" s="94"/>
      <c r="B68" s="1"/>
      <c r="C68" s="1"/>
      <c r="D68" s="1"/>
      <c r="E68" s="1"/>
      <c r="F68" s="1"/>
      <c r="G68" s="1"/>
      <c r="H68" s="1"/>
      <c r="I68" s="1"/>
      <c r="J68" s="1"/>
      <c r="K68" s="96"/>
      <c r="L68" s="96"/>
      <c r="M68" s="96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8" customHeight="1" x14ac:dyDescent="0.45">
      <c r="A69" s="94"/>
      <c r="B69" s="1"/>
      <c r="C69" s="1"/>
      <c r="D69" s="1"/>
      <c r="E69" s="1"/>
      <c r="F69" s="1"/>
      <c r="G69" s="1"/>
      <c r="H69" s="1"/>
      <c r="I69" s="1"/>
      <c r="J69" s="1"/>
      <c r="K69" s="96"/>
      <c r="L69" s="96"/>
      <c r="M69" s="96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8" customHeight="1" x14ac:dyDescent="0.45">
      <c r="A70" s="94"/>
      <c r="B70" s="1"/>
      <c r="C70" s="1"/>
      <c r="D70" s="1"/>
      <c r="E70" s="1"/>
      <c r="F70" s="1"/>
      <c r="G70" s="1"/>
      <c r="H70" s="1"/>
      <c r="I70" s="1"/>
      <c r="J70" s="1"/>
      <c r="K70" s="96"/>
      <c r="L70" s="96"/>
      <c r="M70" s="96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8" customHeight="1" x14ac:dyDescent="0.45">
      <c r="A71" s="94"/>
      <c r="B71" s="1"/>
      <c r="C71" s="1"/>
      <c r="D71" s="1"/>
      <c r="E71" s="1"/>
      <c r="F71" s="1"/>
      <c r="G71" s="1"/>
      <c r="H71" s="1"/>
      <c r="I71" s="1"/>
      <c r="J71" s="1"/>
      <c r="K71" s="96"/>
      <c r="L71" s="96"/>
      <c r="M71" s="96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8" customHeight="1" x14ac:dyDescent="0.45">
      <c r="A72" s="94"/>
      <c r="B72" s="1"/>
      <c r="C72" s="1"/>
      <c r="D72" s="1"/>
      <c r="E72" s="1"/>
      <c r="F72" s="1"/>
      <c r="G72" s="1"/>
      <c r="H72" s="1"/>
      <c r="I72" s="1"/>
      <c r="J72" s="1"/>
      <c r="K72" s="96"/>
      <c r="L72" s="96"/>
      <c r="M72" s="96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8" customHeight="1" x14ac:dyDescent="0.45">
      <c r="A73" s="94"/>
      <c r="B73" s="1"/>
      <c r="C73" s="1"/>
      <c r="D73" s="1"/>
      <c r="E73" s="1"/>
      <c r="F73" s="1"/>
      <c r="G73" s="1"/>
      <c r="H73" s="1"/>
      <c r="I73" s="1"/>
      <c r="J73" s="1"/>
      <c r="K73" s="96"/>
      <c r="L73" s="96"/>
      <c r="M73" s="96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8" customHeight="1" x14ac:dyDescent="0.45">
      <c r="A74" s="94"/>
      <c r="B74" s="1"/>
      <c r="C74" s="1"/>
      <c r="D74" s="1"/>
      <c r="E74" s="1"/>
      <c r="F74" s="1"/>
      <c r="G74" s="1"/>
      <c r="H74" s="1"/>
      <c r="I74" s="1"/>
      <c r="J74" s="1"/>
      <c r="K74" s="96"/>
      <c r="L74" s="96"/>
      <c r="M74" s="96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8" customHeight="1" x14ac:dyDescent="0.45">
      <c r="A75" s="94"/>
      <c r="B75" s="1"/>
      <c r="C75" s="1"/>
      <c r="D75" s="1"/>
      <c r="E75" s="1"/>
      <c r="F75" s="1"/>
      <c r="G75" s="1"/>
      <c r="H75" s="1"/>
      <c r="I75" s="1"/>
      <c r="J75" s="1"/>
      <c r="K75" s="96"/>
      <c r="L75" s="96"/>
      <c r="M75" s="96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8" customHeight="1" x14ac:dyDescent="0.45">
      <c r="A76" s="94"/>
      <c r="B76" s="1"/>
      <c r="C76" s="1"/>
      <c r="D76" s="1"/>
      <c r="E76" s="1"/>
      <c r="F76" s="1"/>
      <c r="G76" s="1"/>
      <c r="H76" s="1"/>
      <c r="I76" s="1"/>
      <c r="J76" s="1"/>
      <c r="K76" s="96"/>
      <c r="L76" s="96"/>
      <c r="M76" s="96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8" customHeight="1" x14ac:dyDescent="0.45">
      <c r="A77" s="94"/>
      <c r="B77" s="1"/>
      <c r="C77" s="1"/>
      <c r="D77" s="1"/>
      <c r="E77" s="1"/>
      <c r="F77" s="1"/>
      <c r="G77" s="1"/>
      <c r="H77" s="1"/>
      <c r="I77" s="1"/>
      <c r="J77" s="1"/>
      <c r="K77" s="96"/>
      <c r="L77" s="96"/>
      <c r="M77" s="96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8" customHeight="1" x14ac:dyDescent="0.45">
      <c r="A78" s="94"/>
      <c r="B78" s="1"/>
      <c r="C78" s="1"/>
      <c r="D78" s="1"/>
      <c r="E78" s="1"/>
      <c r="F78" s="1"/>
      <c r="G78" s="1"/>
      <c r="H78" s="1"/>
      <c r="I78" s="1"/>
      <c r="J78" s="1"/>
      <c r="K78" s="96"/>
      <c r="L78" s="96"/>
      <c r="M78" s="96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8" customHeight="1" x14ac:dyDescent="0.45">
      <c r="A79" s="94"/>
      <c r="B79" s="1"/>
      <c r="C79" s="1"/>
      <c r="D79" s="1"/>
      <c r="E79" s="1"/>
      <c r="F79" s="1"/>
      <c r="G79" s="1"/>
      <c r="H79" s="1"/>
      <c r="I79" s="1"/>
      <c r="J79" s="1"/>
      <c r="K79" s="96"/>
      <c r="L79" s="96"/>
      <c r="M79" s="96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8" customHeight="1" x14ac:dyDescent="0.45">
      <c r="A80" s="94"/>
      <c r="B80" s="1"/>
      <c r="C80" s="1"/>
      <c r="D80" s="1"/>
      <c r="E80" s="1"/>
      <c r="F80" s="1"/>
      <c r="G80" s="1"/>
      <c r="H80" s="1"/>
      <c r="I80" s="1"/>
      <c r="J80" s="1"/>
      <c r="K80" s="96"/>
      <c r="L80" s="96"/>
      <c r="M80" s="96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8" customHeight="1" x14ac:dyDescent="0.45">
      <c r="A81" s="94"/>
      <c r="B81" s="1"/>
      <c r="C81" s="1"/>
      <c r="D81" s="1"/>
      <c r="E81" s="1"/>
      <c r="F81" s="1"/>
      <c r="G81" s="1"/>
      <c r="H81" s="1"/>
      <c r="I81" s="1"/>
      <c r="J81" s="1"/>
      <c r="K81" s="96"/>
      <c r="L81" s="96"/>
      <c r="M81" s="96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8" customHeight="1" x14ac:dyDescent="0.45">
      <c r="A82" s="94"/>
      <c r="B82" s="1"/>
      <c r="C82" s="1"/>
      <c r="D82" s="1"/>
      <c r="E82" s="1"/>
      <c r="F82" s="1"/>
      <c r="G82" s="1"/>
      <c r="H82" s="1"/>
      <c r="I82" s="1"/>
      <c r="J82" s="1"/>
      <c r="K82" s="96"/>
      <c r="L82" s="96"/>
      <c r="M82" s="96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8" customHeight="1" x14ac:dyDescent="0.45">
      <c r="A83" s="94"/>
      <c r="B83" s="1"/>
      <c r="C83" s="1"/>
      <c r="D83" s="1"/>
      <c r="E83" s="1"/>
      <c r="F83" s="1"/>
      <c r="G83" s="1"/>
      <c r="H83" s="1"/>
      <c r="I83" s="1"/>
      <c r="J83" s="1"/>
      <c r="K83" s="96"/>
      <c r="L83" s="96"/>
      <c r="M83" s="96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8" customHeight="1" x14ac:dyDescent="0.45">
      <c r="A84" s="94"/>
      <c r="B84" s="1"/>
      <c r="C84" s="1"/>
      <c r="D84" s="1"/>
      <c r="E84" s="1"/>
      <c r="F84" s="1"/>
      <c r="G84" s="1"/>
      <c r="H84" s="1"/>
      <c r="I84" s="1"/>
      <c r="J84" s="1"/>
      <c r="K84" s="96"/>
      <c r="L84" s="96"/>
      <c r="M84" s="96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8" customHeight="1" x14ac:dyDescent="0.45">
      <c r="A85" s="94"/>
      <c r="B85" s="1"/>
      <c r="C85" s="1"/>
      <c r="D85" s="1"/>
      <c r="E85" s="1"/>
      <c r="F85" s="1"/>
      <c r="G85" s="1"/>
      <c r="H85" s="1"/>
      <c r="I85" s="1"/>
      <c r="J85" s="1"/>
      <c r="K85" s="96"/>
      <c r="L85" s="96"/>
      <c r="M85" s="96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8" customHeight="1" x14ac:dyDescent="0.45">
      <c r="A86" s="94"/>
      <c r="B86" s="1"/>
      <c r="C86" s="1"/>
      <c r="D86" s="1"/>
      <c r="E86" s="1"/>
      <c r="F86" s="1"/>
      <c r="G86" s="1"/>
      <c r="H86" s="1"/>
      <c r="I86" s="1"/>
      <c r="J86" s="1"/>
      <c r="K86" s="96"/>
      <c r="L86" s="96"/>
      <c r="M86" s="96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8" customHeight="1" x14ac:dyDescent="0.45">
      <c r="A87" s="94"/>
      <c r="B87" s="1"/>
      <c r="C87" s="1"/>
      <c r="D87" s="1"/>
      <c r="E87" s="1"/>
      <c r="F87" s="1"/>
      <c r="G87" s="1"/>
      <c r="H87" s="1"/>
      <c r="I87" s="1"/>
      <c r="J87" s="1"/>
      <c r="K87" s="96"/>
      <c r="L87" s="96"/>
      <c r="M87" s="96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8" customHeight="1" x14ac:dyDescent="0.45">
      <c r="A88" s="94"/>
      <c r="B88" s="1"/>
      <c r="C88" s="1"/>
      <c r="D88" s="1"/>
      <c r="E88" s="1"/>
      <c r="F88" s="1"/>
      <c r="G88" s="1"/>
      <c r="H88" s="1"/>
      <c r="I88" s="1"/>
      <c r="J88" s="1"/>
      <c r="K88" s="96"/>
      <c r="L88" s="96"/>
      <c r="M88" s="96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8" customHeight="1" x14ac:dyDescent="0.45">
      <c r="A89" s="94"/>
      <c r="B89" s="1"/>
      <c r="C89" s="1"/>
      <c r="D89" s="1"/>
      <c r="E89" s="1"/>
      <c r="F89" s="1"/>
      <c r="G89" s="1"/>
      <c r="H89" s="1"/>
      <c r="I89" s="1"/>
      <c r="J89" s="1"/>
      <c r="K89" s="96"/>
      <c r="L89" s="96"/>
      <c r="M89" s="96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8" customHeight="1" x14ac:dyDescent="0.45">
      <c r="A90" s="94"/>
      <c r="B90" s="1"/>
      <c r="C90" s="1"/>
      <c r="D90" s="1"/>
      <c r="E90" s="1"/>
      <c r="F90" s="1"/>
      <c r="G90" s="1"/>
      <c r="H90" s="1"/>
      <c r="I90" s="1"/>
      <c r="J90" s="1"/>
      <c r="K90" s="96"/>
      <c r="L90" s="96"/>
      <c r="M90" s="96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8" customHeight="1" x14ac:dyDescent="0.45">
      <c r="A91" s="94"/>
      <c r="B91" s="1"/>
      <c r="C91" s="1"/>
      <c r="D91" s="1"/>
      <c r="E91" s="1"/>
      <c r="F91" s="1"/>
      <c r="G91" s="1"/>
      <c r="H91" s="1"/>
      <c r="I91" s="1"/>
      <c r="J91" s="1"/>
      <c r="K91" s="96"/>
      <c r="L91" s="96"/>
      <c r="M91" s="96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8" customHeight="1" x14ac:dyDescent="0.45">
      <c r="A92" s="94"/>
      <c r="B92" s="1"/>
      <c r="C92" s="1"/>
      <c r="D92" s="1"/>
      <c r="E92" s="1"/>
      <c r="F92" s="1"/>
      <c r="G92" s="1"/>
      <c r="H92" s="1"/>
      <c r="I92" s="1"/>
      <c r="J92" s="1"/>
      <c r="K92" s="96"/>
      <c r="L92" s="96"/>
      <c r="M92" s="96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8" customHeight="1" x14ac:dyDescent="0.45">
      <c r="A93" s="94"/>
      <c r="B93" s="1"/>
      <c r="C93" s="1"/>
      <c r="D93" s="1"/>
      <c r="E93" s="1"/>
      <c r="F93" s="1"/>
      <c r="G93" s="1"/>
      <c r="H93" s="1"/>
      <c r="I93" s="1"/>
      <c r="J93" s="1"/>
      <c r="K93" s="96"/>
      <c r="L93" s="96"/>
      <c r="M93" s="96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8" customHeight="1" x14ac:dyDescent="0.45">
      <c r="A94" s="94"/>
      <c r="B94" s="1"/>
      <c r="C94" s="1"/>
      <c r="D94" s="1"/>
      <c r="E94" s="1"/>
      <c r="F94" s="1"/>
      <c r="G94" s="1"/>
      <c r="H94" s="1"/>
      <c r="I94" s="1"/>
      <c r="J94" s="1"/>
      <c r="K94" s="96"/>
      <c r="L94" s="96"/>
      <c r="M94" s="96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8" customHeight="1" x14ac:dyDescent="0.45">
      <c r="A95" s="94"/>
      <c r="B95" s="1"/>
      <c r="C95" s="1"/>
      <c r="D95" s="1"/>
      <c r="E95" s="1"/>
      <c r="F95" s="1"/>
      <c r="G95" s="1"/>
      <c r="H95" s="1"/>
      <c r="I95" s="1"/>
      <c r="J95" s="1"/>
      <c r="K95" s="96"/>
      <c r="L95" s="96"/>
      <c r="M95" s="96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8" customHeight="1" x14ac:dyDescent="0.45">
      <c r="A96" s="94"/>
      <c r="B96" s="1"/>
      <c r="C96" s="1"/>
      <c r="D96" s="1"/>
      <c r="E96" s="1"/>
      <c r="F96" s="1"/>
      <c r="G96" s="1"/>
      <c r="H96" s="1"/>
      <c r="I96" s="1"/>
      <c r="J96" s="1"/>
      <c r="K96" s="96"/>
      <c r="L96" s="96"/>
      <c r="M96" s="96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8" customHeight="1" x14ac:dyDescent="0.45">
      <c r="A97" s="94"/>
      <c r="B97" s="1"/>
      <c r="C97" s="1"/>
      <c r="D97" s="1"/>
      <c r="E97" s="1"/>
      <c r="F97" s="1"/>
      <c r="G97" s="1"/>
      <c r="H97" s="1"/>
      <c r="I97" s="1"/>
      <c r="J97" s="1"/>
      <c r="K97" s="96"/>
      <c r="L97" s="96"/>
      <c r="M97" s="96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8" customHeight="1" x14ac:dyDescent="0.45">
      <c r="A98" s="94"/>
      <c r="B98" s="1"/>
      <c r="C98" s="1"/>
      <c r="D98" s="1"/>
      <c r="E98" s="1"/>
      <c r="F98" s="1"/>
      <c r="G98" s="1"/>
      <c r="H98" s="1"/>
      <c r="I98" s="1"/>
      <c r="J98" s="1"/>
      <c r="K98" s="96"/>
      <c r="L98" s="96"/>
      <c r="M98" s="96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8" customHeight="1" x14ac:dyDescent="0.45">
      <c r="A99" s="94"/>
      <c r="B99" s="1"/>
      <c r="C99" s="1"/>
      <c r="D99" s="1"/>
      <c r="E99" s="1"/>
      <c r="F99" s="1"/>
      <c r="G99" s="1"/>
      <c r="H99" s="1"/>
      <c r="I99" s="1"/>
      <c r="J99" s="1"/>
      <c r="K99" s="96"/>
      <c r="L99" s="96"/>
      <c r="M99" s="96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8" customHeight="1" x14ac:dyDescent="0.45">
      <c r="A100" s="94"/>
      <c r="B100" s="1"/>
      <c r="C100" s="1"/>
      <c r="D100" s="1"/>
      <c r="E100" s="1"/>
      <c r="F100" s="1"/>
      <c r="G100" s="1"/>
      <c r="H100" s="1"/>
      <c r="I100" s="1"/>
      <c r="J100" s="1"/>
      <c r="K100" s="96"/>
      <c r="L100" s="96"/>
      <c r="M100" s="96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8" customHeight="1" x14ac:dyDescent="0.45">
      <c r="A101" s="94"/>
      <c r="B101" s="1"/>
      <c r="C101" s="1"/>
      <c r="D101" s="1"/>
      <c r="E101" s="1"/>
      <c r="F101" s="1"/>
      <c r="G101" s="1"/>
      <c r="H101" s="1"/>
      <c r="I101" s="1"/>
      <c r="J101" s="1"/>
      <c r="K101" s="96"/>
      <c r="L101" s="96"/>
      <c r="M101" s="96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8" customHeight="1" x14ac:dyDescent="0.45">
      <c r="A102" s="94"/>
      <c r="B102" s="1"/>
      <c r="C102" s="1"/>
      <c r="D102" s="1"/>
      <c r="E102" s="1"/>
      <c r="F102" s="1"/>
      <c r="G102" s="1"/>
      <c r="H102" s="1"/>
      <c r="I102" s="1"/>
      <c r="J102" s="1"/>
      <c r="K102" s="96"/>
      <c r="L102" s="96"/>
      <c r="M102" s="96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8" customHeight="1" x14ac:dyDescent="0.45">
      <c r="A103" s="94"/>
      <c r="B103" s="1"/>
      <c r="C103" s="1"/>
      <c r="D103" s="1"/>
      <c r="E103" s="1"/>
      <c r="F103" s="1"/>
      <c r="G103" s="1"/>
      <c r="H103" s="1"/>
      <c r="I103" s="1"/>
      <c r="J103" s="1"/>
      <c r="K103" s="96"/>
      <c r="L103" s="96"/>
      <c r="M103" s="96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8" customHeight="1" x14ac:dyDescent="0.45">
      <c r="A104" s="94"/>
      <c r="B104" s="1"/>
      <c r="C104" s="1"/>
      <c r="D104" s="1"/>
      <c r="E104" s="1"/>
      <c r="F104" s="1"/>
      <c r="G104" s="1"/>
      <c r="H104" s="1"/>
      <c r="I104" s="1"/>
      <c r="J104" s="1"/>
      <c r="K104" s="96"/>
      <c r="L104" s="96"/>
      <c r="M104" s="96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8" customHeight="1" x14ac:dyDescent="0.45">
      <c r="A105" s="94"/>
      <c r="B105" s="1"/>
      <c r="C105" s="1"/>
      <c r="D105" s="1"/>
      <c r="E105" s="1"/>
      <c r="F105" s="1"/>
      <c r="G105" s="1"/>
      <c r="H105" s="1"/>
      <c r="I105" s="1"/>
      <c r="J105" s="1"/>
      <c r="K105" s="96"/>
      <c r="L105" s="96"/>
      <c r="M105" s="96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8" customHeight="1" x14ac:dyDescent="0.45">
      <c r="A106" s="94"/>
      <c r="B106" s="1"/>
      <c r="C106" s="1"/>
      <c r="D106" s="1"/>
      <c r="E106" s="1"/>
      <c r="F106" s="1"/>
      <c r="G106" s="1"/>
      <c r="H106" s="1"/>
      <c r="I106" s="1"/>
      <c r="J106" s="1"/>
      <c r="K106" s="96"/>
      <c r="L106" s="96"/>
      <c r="M106" s="96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8" customHeight="1" x14ac:dyDescent="0.45">
      <c r="A107" s="94"/>
      <c r="B107" s="1"/>
      <c r="C107" s="1"/>
      <c r="D107" s="1"/>
      <c r="E107" s="1"/>
      <c r="F107" s="1"/>
      <c r="G107" s="1"/>
      <c r="H107" s="1"/>
      <c r="I107" s="1"/>
      <c r="J107" s="1"/>
      <c r="K107" s="96"/>
      <c r="L107" s="96"/>
      <c r="M107" s="96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8" customHeight="1" x14ac:dyDescent="0.45">
      <c r="A108" s="94"/>
      <c r="B108" s="1"/>
      <c r="C108" s="1"/>
      <c r="D108" s="1"/>
      <c r="E108" s="1"/>
      <c r="F108" s="1"/>
      <c r="G108" s="1"/>
      <c r="H108" s="1"/>
      <c r="I108" s="1"/>
      <c r="J108" s="1"/>
      <c r="K108" s="96"/>
      <c r="L108" s="96"/>
      <c r="M108" s="96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8" customHeight="1" x14ac:dyDescent="0.45">
      <c r="A109" s="94"/>
      <c r="B109" s="1"/>
      <c r="C109" s="1"/>
      <c r="D109" s="1"/>
      <c r="E109" s="1"/>
      <c r="F109" s="1"/>
      <c r="G109" s="1"/>
      <c r="H109" s="1"/>
      <c r="I109" s="1"/>
      <c r="J109" s="1"/>
      <c r="K109" s="96"/>
      <c r="L109" s="96"/>
      <c r="M109" s="96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8" customHeight="1" x14ac:dyDescent="0.45">
      <c r="A110" s="94"/>
      <c r="B110" s="1"/>
      <c r="C110" s="1"/>
      <c r="D110" s="1"/>
      <c r="E110" s="1"/>
      <c r="F110" s="1"/>
      <c r="G110" s="1"/>
      <c r="H110" s="1"/>
      <c r="I110" s="1"/>
      <c r="J110" s="1"/>
      <c r="K110" s="96"/>
      <c r="L110" s="96"/>
      <c r="M110" s="96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8" customHeight="1" x14ac:dyDescent="0.45">
      <c r="A111" s="94"/>
      <c r="B111" s="1"/>
      <c r="C111" s="1"/>
      <c r="D111" s="1"/>
      <c r="E111" s="1"/>
      <c r="F111" s="1"/>
      <c r="G111" s="1"/>
      <c r="H111" s="1"/>
      <c r="I111" s="1"/>
      <c r="J111" s="1"/>
      <c r="K111" s="96"/>
      <c r="L111" s="96"/>
      <c r="M111" s="96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8" customHeight="1" x14ac:dyDescent="0.45">
      <c r="A112" s="94"/>
      <c r="B112" s="1"/>
      <c r="C112" s="1"/>
      <c r="D112" s="1"/>
      <c r="E112" s="1"/>
      <c r="F112" s="1"/>
      <c r="G112" s="1"/>
      <c r="H112" s="1"/>
      <c r="I112" s="1"/>
      <c r="J112" s="1"/>
      <c r="K112" s="96"/>
      <c r="L112" s="96"/>
      <c r="M112" s="96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8" customHeight="1" x14ac:dyDescent="0.45">
      <c r="A113" s="94"/>
      <c r="B113" s="1"/>
      <c r="C113" s="1"/>
      <c r="D113" s="1"/>
      <c r="E113" s="1"/>
      <c r="F113" s="1"/>
      <c r="G113" s="1"/>
      <c r="H113" s="1"/>
      <c r="I113" s="1"/>
      <c r="J113" s="1"/>
      <c r="K113" s="96"/>
      <c r="L113" s="96"/>
      <c r="M113" s="96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8" customHeight="1" x14ac:dyDescent="0.45">
      <c r="A114" s="94"/>
      <c r="B114" s="1"/>
      <c r="C114" s="1"/>
      <c r="D114" s="1"/>
      <c r="E114" s="1"/>
      <c r="F114" s="1"/>
      <c r="G114" s="1"/>
      <c r="H114" s="1"/>
      <c r="I114" s="1"/>
      <c r="J114" s="1"/>
      <c r="K114" s="96"/>
      <c r="L114" s="96"/>
      <c r="M114" s="96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8" customHeight="1" x14ac:dyDescent="0.45">
      <c r="A115" s="94"/>
      <c r="B115" s="1"/>
      <c r="C115" s="1"/>
      <c r="D115" s="1"/>
      <c r="E115" s="1"/>
      <c r="F115" s="1"/>
      <c r="G115" s="1"/>
      <c r="H115" s="1"/>
      <c r="I115" s="1"/>
      <c r="J115" s="1"/>
      <c r="K115" s="96"/>
      <c r="L115" s="96"/>
      <c r="M115" s="96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8" customHeight="1" x14ac:dyDescent="0.45">
      <c r="A116" s="94"/>
      <c r="B116" s="1"/>
      <c r="C116" s="1"/>
      <c r="D116" s="1"/>
      <c r="E116" s="1"/>
      <c r="F116" s="1"/>
      <c r="G116" s="1"/>
      <c r="H116" s="1"/>
      <c r="I116" s="1"/>
      <c r="J116" s="1"/>
      <c r="K116" s="96"/>
      <c r="L116" s="96"/>
      <c r="M116" s="96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8" customHeight="1" x14ac:dyDescent="0.45">
      <c r="A117" s="94"/>
      <c r="B117" s="1"/>
      <c r="C117" s="1"/>
      <c r="D117" s="1"/>
      <c r="E117" s="1"/>
      <c r="F117" s="1"/>
      <c r="G117" s="1"/>
      <c r="H117" s="1"/>
      <c r="I117" s="1"/>
      <c r="J117" s="1"/>
      <c r="K117" s="96"/>
      <c r="L117" s="96"/>
      <c r="M117" s="96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8" customHeight="1" x14ac:dyDescent="0.45">
      <c r="A118" s="94"/>
      <c r="B118" s="1"/>
      <c r="C118" s="1"/>
      <c r="D118" s="1"/>
      <c r="E118" s="1"/>
      <c r="F118" s="1"/>
      <c r="G118" s="1"/>
      <c r="H118" s="1"/>
      <c r="I118" s="1"/>
      <c r="J118" s="1"/>
      <c r="K118" s="96"/>
      <c r="L118" s="96"/>
      <c r="M118" s="96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8" customHeight="1" x14ac:dyDescent="0.45">
      <c r="A119" s="94"/>
      <c r="B119" s="1"/>
      <c r="C119" s="1"/>
      <c r="D119" s="1"/>
      <c r="E119" s="1"/>
      <c r="F119" s="1"/>
      <c r="G119" s="1"/>
      <c r="H119" s="1"/>
      <c r="I119" s="1"/>
      <c r="J119" s="1"/>
      <c r="K119" s="96"/>
      <c r="L119" s="96"/>
      <c r="M119" s="96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8" customHeight="1" x14ac:dyDescent="0.45">
      <c r="A120" s="94"/>
      <c r="B120" s="1"/>
      <c r="C120" s="1"/>
      <c r="D120" s="1"/>
      <c r="E120" s="1"/>
      <c r="F120" s="1"/>
      <c r="G120" s="1"/>
      <c r="H120" s="1"/>
      <c r="I120" s="1"/>
      <c r="J120" s="1"/>
      <c r="K120" s="96"/>
      <c r="L120" s="96"/>
      <c r="M120" s="96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8" customHeight="1" x14ac:dyDescent="0.45">
      <c r="A121" s="94"/>
      <c r="B121" s="1"/>
      <c r="C121" s="1"/>
      <c r="D121" s="1"/>
      <c r="E121" s="1"/>
      <c r="F121" s="1"/>
      <c r="G121" s="1"/>
      <c r="H121" s="1"/>
      <c r="I121" s="1"/>
      <c r="J121" s="1"/>
      <c r="K121" s="96"/>
      <c r="L121" s="96"/>
      <c r="M121" s="96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8" customHeight="1" x14ac:dyDescent="0.45">
      <c r="A122" s="94"/>
      <c r="B122" s="1"/>
      <c r="C122" s="1"/>
      <c r="D122" s="1"/>
      <c r="E122" s="1"/>
      <c r="F122" s="1"/>
      <c r="G122" s="1"/>
      <c r="H122" s="1"/>
      <c r="I122" s="1"/>
      <c r="J122" s="1"/>
      <c r="K122" s="96"/>
      <c r="L122" s="96"/>
      <c r="M122" s="96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8" customHeight="1" x14ac:dyDescent="0.45">
      <c r="A123" s="94"/>
      <c r="B123" s="1"/>
      <c r="C123" s="1"/>
      <c r="D123" s="1"/>
      <c r="E123" s="1"/>
      <c r="F123" s="1"/>
      <c r="G123" s="1"/>
      <c r="H123" s="1"/>
      <c r="I123" s="1"/>
      <c r="J123" s="1"/>
      <c r="K123" s="96"/>
      <c r="L123" s="96"/>
      <c r="M123" s="96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8" customHeight="1" x14ac:dyDescent="0.45">
      <c r="A124" s="94"/>
      <c r="B124" s="1"/>
      <c r="C124" s="1"/>
      <c r="D124" s="1"/>
      <c r="E124" s="1"/>
      <c r="F124" s="1"/>
      <c r="G124" s="1"/>
      <c r="H124" s="1"/>
      <c r="I124" s="1"/>
      <c r="J124" s="1"/>
      <c r="K124" s="96"/>
      <c r="L124" s="96"/>
      <c r="M124" s="96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8" customHeight="1" x14ac:dyDescent="0.45">
      <c r="A125" s="94"/>
      <c r="B125" s="1"/>
      <c r="C125" s="1"/>
      <c r="D125" s="1"/>
      <c r="E125" s="1"/>
      <c r="F125" s="1"/>
      <c r="G125" s="1"/>
      <c r="H125" s="1"/>
      <c r="I125" s="1"/>
      <c r="J125" s="1"/>
      <c r="K125" s="96"/>
      <c r="L125" s="96"/>
      <c r="M125" s="96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8" customHeight="1" x14ac:dyDescent="0.45">
      <c r="A126" s="94"/>
      <c r="B126" s="1"/>
      <c r="C126" s="1"/>
      <c r="D126" s="1"/>
      <c r="E126" s="1"/>
      <c r="F126" s="1"/>
      <c r="G126" s="1"/>
      <c r="H126" s="1"/>
      <c r="I126" s="1"/>
      <c r="J126" s="1"/>
      <c r="K126" s="96"/>
      <c r="L126" s="96"/>
      <c r="M126" s="96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8" customHeight="1" x14ac:dyDescent="0.45">
      <c r="A127" s="94"/>
      <c r="B127" s="1"/>
      <c r="C127" s="1"/>
      <c r="D127" s="1"/>
      <c r="E127" s="1"/>
      <c r="F127" s="1"/>
      <c r="G127" s="1"/>
      <c r="H127" s="1"/>
      <c r="I127" s="1"/>
      <c r="J127" s="1"/>
      <c r="K127" s="96"/>
      <c r="L127" s="96"/>
      <c r="M127" s="96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8" customHeight="1" x14ac:dyDescent="0.45">
      <c r="A128" s="94"/>
      <c r="B128" s="1"/>
      <c r="C128" s="1"/>
      <c r="D128" s="1"/>
      <c r="E128" s="1"/>
      <c r="F128" s="1"/>
      <c r="G128" s="1"/>
      <c r="H128" s="1"/>
      <c r="I128" s="1"/>
      <c r="J128" s="1"/>
      <c r="K128" s="96"/>
      <c r="L128" s="96"/>
      <c r="M128" s="96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8" customHeight="1" x14ac:dyDescent="0.45">
      <c r="A129" s="94"/>
      <c r="B129" s="1"/>
      <c r="C129" s="1"/>
      <c r="D129" s="1"/>
      <c r="E129" s="1"/>
      <c r="F129" s="1"/>
      <c r="G129" s="1"/>
      <c r="H129" s="1"/>
      <c r="I129" s="1"/>
      <c r="J129" s="1"/>
      <c r="K129" s="96"/>
      <c r="L129" s="96"/>
      <c r="M129" s="96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8" customHeight="1" x14ac:dyDescent="0.45">
      <c r="A130" s="94"/>
      <c r="B130" s="1"/>
      <c r="C130" s="1"/>
      <c r="D130" s="1"/>
      <c r="E130" s="1"/>
      <c r="F130" s="1"/>
      <c r="G130" s="1"/>
      <c r="H130" s="1"/>
      <c r="I130" s="1"/>
      <c r="J130" s="1"/>
      <c r="K130" s="96"/>
      <c r="L130" s="96"/>
      <c r="M130" s="96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8" customHeight="1" x14ac:dyDescent="0.45">
      <c r="A131" s="94"/>
      <c r="B131" s="1"/>
      <c r="C131" s="1"/>
      <c r="D131" s="1"/>
      <c r="E131" s="1"/>
      <c r="F131" s="1"/>
      <c r="G131" s="1"/>
      <c r="H131" s="1"/>
      <c r="I131" s="1"/>
      <c r="J131" s="1"/>
      <c r="K131" s="96"/>
      <c r="L131" s="96"/>
      <c r="M131" s="96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8" customHeight="1" x14ac:dyDescent="0.45">
      <c r="A132" s="94"/>
      <c r="B132" s="1"/>
      <c r="C132" s="1"/>
      <c r="D132" s="1"/>
      <c r="E132" s="1"/>
      <c r="F132" s="1"/>
      <c r="G132" s="1"/>
      <c r="H132" s="1"/>
      <c r="I132" s="1"/>
      <c r="J132" s="1"/>
      <c r="K132" s="96"/>
      <c r="L132" s="96"/>
      <c r="M132" s="96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8" customHeight="1" x14ac:dyDescent="0.45">
      <c r="A133" s="94"/>
      <c r="B133" s="1"/>
      <c r="C133" s="1"/>
      <c r="D133" s="1"/>
      <c r="E133" s="1"/>
      <c r="F133" s="1"/>
      <c r="G133" s="1"/>
      <c r="H133" s="1"/>
      <c r="I133" s="1"/>
      <c r="J133" s="1"/>
      <c r="K133" s="96"/>
      <c r="L133" s="96"/>
      <c r="M133" s="96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8" customHeight="1" x14ac:dyDescent="0.45">
      <c r="A134" s="94"/>
      <c r="B134" s="1"/>
      <c r="C134" s="1"/>
      <c r="D134" s="1"/>
      <c r="E134" s="1"/>
      <c r="F134" s="1"/>
      <c r="G134" s="1"/>
      <c r="H134" s="1"/>
      <c r="I134" s="1"/>
      <c r="J134" s="1"/>
      <c r="K134" s="96"/>
      <c r="L134" s="96"/>
      <c r="M134" s="96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8" customHeight="1" x14ac:dyDescent="0.45">
      <c r="A135" s="94"/>
      <c r="B135" s="1"/>
      <c r="C135" s="1"/>
      <c r="D135" s="1"/>
      <c r="E135" s="1"/>
      <c r="F135" s="1"/>
      <c r="G135" s="1"/>
      <c r="H135" s="1"/>
      <c r="I135" s="1"/>
      <c r="J135" s="1"/>
      <c r="K135" s="96"/>
      <c r="L135" s="96"/>
      <c r="M135" s="96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8" customHeight="1" x14ac:dyDescent="0.45">
      <c r="A136" s="94"/>
      <c r="B136" s="1"/>
      <c r="C136" s="1"/>
      <c r="D136" s="1"/>
      <c r="E136" s="1"/>
      <c r="F136" s="1"/>
      <c r="G136" s="1"/>
      <c r="H136" s="1"/>
      <c r="I136" s="1"/>
      <c r="J136" s="1"/>
      <c r="K136" s="96"/>
      <c r="L136" s="96"/>
      <c r="M136" s="96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8" customHeight="1" x14ac:dyDescent="0.45">
      <c r="A137" s="94"/>
      <c r="B137" s="1"/>
      <c r="C137" s="1"/>
      <c r="D137" s="1"/>
      <c r="E137" s="1"/>
      <c r="F137" s="1"/>
      <c r="G137" s="1"/>
      <c r="H137" s="1"/>
      <c r="I137" s="1"/>
      <c r="J137" s="1"/>
      <c r="K137" s="96"/>
      <c r="L137" s="96"/>
      <c r="M137" s="96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8" customHeight="1" x14ac:dyDescent="0.45">
      <c r="A138" s="94"/>
      <c r="B138" s="1"/>
      <c r="C138" s="1"/>
      <c r="D138" s="1"/>
      <c r="E138" s="1"/>
      <c r="F138" s="1"/>
      <c r="G138" s="1"/>
      <c r="H138" s="1"/>
      <c r="I138" s="1"/>
      <c r="J138" s="1"/>
      <c r="K138" s="96"/>
      <c r="L138" s="96"/>
      <c r="M138" s="96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8" customHeight="1" x14ac:dyDescent="0.45">
      <c r="A139" s="94"/>
      <c r="B139" s="1"/>
      <c r="C139" s="1"/>
      <c r="D139" s="1"/>
      <c r="E139" s="1"/>
      <c r="F139" s="1"/>
      <c r="G139" s="1"/>
      <c r="H139" s="1"/>
      <c r="I139" s="1"/>
      <c r="J139" s="1"/>
      <c r="K139" s="96"/>
      <c r="L139" s="96"/>
      <c r="M139" s="96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8" customHeight="1" x14ac:dyDescent="0.45">
      <c r="A140" s="94"/>
      <c r="B140" s="1"/>
      <c r="C140" s="1"/>
      <c r="D140" s="1"/>
      <c r="E140" s="1"/>
      <c r="F140" s="1"/>
      <c r="G140" s="1"/>
      <c r="H140" s="1"/>
      <c r="I140" s="1"/>
      <c r="J140" s="1"/>
      <c r="K140" s="96"/>
      <c r="L140" s="96"/>
      <c r="M140" s="96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8" customHeight="1" x14ac:dyDescent="0.45">
      <c r="A141" s="94"/>
      <c r="B141" s="1"/>
      <c r="C141" s="1"/>
      <c r="D141" s="1"/>
      <c r="E141" s="1"/>
      <c r="F141" s="1"/>
      <c r="G141" s="1"/>
      <c r="H141" s="1"/>
      <c r="I141" s="1"/>
      <c r="J141" s="1"/>
      <c r="K141" s="96"/>
      <c r="L141" s="96"/>
      <c r="M141" s="96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8" customHeight="1" x14ac:dyDescent="0.45">
      <c r="A142" s="94"/>
      <c r="B142" s="1"/>
      <c r="C142" s="1"/>
      <c r="D142" s="1"/>
      <c r="E142" s="1"/>
      <c r="F142" s="1"/>
      <c r="G142" s="1"/>
      <c r="H142" s="1"/>
      <c r="I142" s="1"/>
      <c r="J142" s="1"/>
      <c r="K142" s="96"/>
      <c r="L142" s="96"/>
      <c r="M142" s="96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8" customHeight="1" x14ac:dyDescent="0.45">
      <c r="A143" s="94"/>
      <c r="B143" s="1"/>
      <c r="C143" s="1"/>
      <c r="D143" s="1"/>
      <c r="E143" s="1"/>
      <c r="F143" s="1"/>
      <c r="G143" s="1"/>
      <c r="H143" s="1"/>
      <c r="I143" s="1"/>
      <c r="J143" s="1"/>
      <c r="K143" s="96"/>
      <c r="L143" s="96"/>
      <c r="M143" s="96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8" customHeight="1" x14ac:dyDescent="0.45">
      <c r="A144" s="94"/>
      <c r="B144" s="1"/>
      <c r="C144" s="1"/>
      <c r="D144" s="1"/>
      <c r="E144" s="1"/>
      <c r="F144" s="1"/>
      <c r="G144" s="1"/>
      <c r="H144" s="1"/>
      <c r="I144" s="1"/>
      <c r="J144" s="1"/>
      <c r="K144" s="96"/>
      <c r="L144" s="96"/>
      <c r="M144" s="96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8" customHeight="1" x14ac:dyDescent="0.45">
      <c r="A145" s="94"/>
      <c r="B145" s="1"/>
      <c r="C145" s="1"/>
      <c r="D145" s="1"/>
      <c r="E145" s="1"/>
      <c r="F145" s="1"/>
      <c r="G145" s="1"/>
      <c r="H145" s="1"/>
      <c r="I145" s="1"/>
      <c r="J145" s="1"/>
      <c r="K145" s="96"/>
      <c r="L145" s="96"/>
      <c r="M145" s="96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8" customHeight="1" x14ac:dyDescent="0.45">
      <c r="A146" s="94"/>
      <c r="B146" s="1"/>
      <c r="C146" s="1"/>
      <c r="D146" s="1"/>
      <c r="E146" s="1"/>
      <c r="F146" s="1"/>
      <c r="G146" s="1"/>
      <c r="H146" s="1"/>
      <c r="I146" s="1"/>
      <c r="J146" s="1"/>
      <c r="K146" s="96"/>
      <c r="L146" s="96"/>
      <c r="M146" s="96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8" customHeight="1" x14ac:dyDescent="0.45">
      <c r="A147" s="94"/>
      <c r="B147" s="1"/>
      <c r="C147" s="1"/>
      <c r="D147" s="1"/>
      <c r="E147" s="1"/>
      <c r="F147" s="1"/>
      <c r="G147" s="1"/>
      <c r="H147" s="1"/>
      <c r="I147" s="1"/>
      <c r="J147" s="1"/>
      <c r="K147" s="96"/>
      <c r="L147" s="96"/>
      <c r="M147" s="96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8" customHeight="1" x14ac:dyDescent="0.45">
      <c r="A148" s="94"/>
      <c r="B148" s="1"/>
      <c r="C148" s="1"/>
      <c r="D148" s="1"/>
      <c r="E148" s="1"/>
      <c r="F148" s="1"/>
      <c r="G148" s="1"/>
      <c r="H148" s="1"/>
      <c r="I148" s="1"/>
      <c r="J148" s="1"/>
      <c r="K148" s="96"/>
      <c r="L148" s="96"/>
      <c r="M148" s="96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8" customHeight="1" x14ac:dyDescent="0.45">
      <c r="A149" s="94"/>
      <c r="B149" s="1"/>
      <c r="C149" s="1"/>
      <c r="D149" s="1"/>
      <c r="E149" s="1"/>
      <c r="F149" s="1"/>
      <c r="G149" s="1"/>
      <c r="H149" s="1"/>
      <c r="I149" s="1"/>
      <c r="J149" s="1"/>
      <c r="K149" s="96"/>
      <c r="L149" s="96"/>
      <c r="M149" s="96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8" customHeight="1" x14ac:dyDescent="0.45">
      <c r="A150" s="94"/>
      <c r="B150" s="1"/>
      <c r="C150" s="1"/>
      <c r="D150" s="1"/>
      <c r="E150" s="1"/>
      <c r="F150" s="1"/>
      <c r="G150" s="1"/>
      <c r="H150" s="1"/>
      <c r="I150" s="1"/>
      <c r="J150" s="1"/>
      <c r="K150" s="96"/>
      <c r="L150" s="96"/>
      <c r="M150" s="96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8" customHeight="1" x14ac:dyDescent="0.45">
      <c r="A151" s="94"/>
      <c r="B151" s="1"/>
      <c r="C151" s="1"/>
      <c r="D151" s="1"/>
      <c r="E151" s="1"/>
      <c r="F151" s="1"/>
      <c r="G151" s="1"/>
      <c r="H151" s="1"/>
      <c r="I151" s="1"/>
      <c r="J151" s="1"/>
      <c r="K151" s="96"/>
      <c r="L151" s="96"/>
      <c r="M151" s="96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8" customHeight="1" x14ac:dyDescent="0.45">
      <c r="A152" s="94"/>
      <c r="B152" s="1"/>
      <c r="C152" s="1"/>
      <c r="D152" s="1"/>
      <c r="E152" s="1"/>
      <c r="F152" s="1"/>
      <c r="G152" s="1"/>
      <c r="H152" s="1"/>
      <c r="I152" s="1"/>
      <c r="J152" s="1"/>
      <c r="K152" s="96"/>
      <c r="L152" s="96"/>
      <c r="M152" s="96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8" customHeight="1" x14ac:dyDescent="0.45">
      <c r="A153" s="94"/>
      <c r="B153" s="1"/>
      <c r="C153" s="1"/>
      <c r="D153" s="1"/>
      <c r="E153" s="1"/>
      <c r="F153" s="1"/>
      <c r="G153" s="1"/>
      <c r="H153" s="1"/>
      <c r="I153" s="1"/>
      <c r="J153" s="1"/>
      <c r="K153" s="96"/>
      <c r="L153" s="96"/>
      <c r="M153" s="96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8" customHeight="1" x14ac:dyDescent="0.45">
      <c r="A154" s="94"/>
      <c r="B154" s="1"/>
      <c r="C154" s="1"/>
      <c r="D154" s="1"/>
      <c r="E154" s="1"/>
      <c r="F154" s="1"/>
      <c r="G154" s="1"/>
      <c r="H154" s="1"/>
      <c r="I154" s="1"/>
      <c r="J154" s="1"/>
      <c r="K154" s="96"/>
      <c r="L154" s="96"/>
      <c r="M154" s="96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8" customHeight="1" x14ac:dyDescent="0.45">
      <c r="A155" s="94"/>
      <c r="B155" s="1"/>
      <c r="C155" s="1"/>
      <c r="D155" s="1"/>
      <c r="E155" s="1"/>
      <c r="F155" s="1"/>
      <c r="G155" s="1"/>
      <c r="H155" s="1"/>
      <c r="I155" s="1"/>
      <c r="J155" s="1"/>
      <c r="K155" s="96"/>
      <c r="L155" s="96"/>
      <c r="M155" s="96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8" customHeight="1" x14ac:dyDescent="0.45">
      <c r="A156" s="94"/>
      <c r="B156" s="1"/>
      <c r="C156" s="1"/>
      <c r="D156" s="1"/>
      <c r="E156" s="1"/>
      <c r="F156" s="1"/>
      <c r="G156" s="1"/>
      <c r="H156" s="1"/>
      <c r="I156" s="1"/>
      <c r="J156" s="1"/>
      <c r="K156" s="96"/>
      <c r="L156" s="96"/>
      <c r="M156" s="96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8" customHeight="1" x14ac:dyDescent="0.45">
      <c r="A157" s="94"/>
      <c r="B157" s="1"/>
      <c r="C157" s="1"/>
      <c r="D157" s="1"/>
      <c r="E157" s="1"/>
      <c r="F157" s="1"/>
      <c r="G157" s="1"/>
      <c r="H157" s="1"/>
      <c r="I157" s="1"/>
      <c r="J157" s="1"/>
      <c r="K157" s="96"/>
      <c r="L157" s="96"/>
      <c r="M157" s="96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8" customHeight="1" x14ac:dyDescent="0.45">
      <c r="A158" s="94"/>
      <c r="B158" s="1"/>
      <c r="C158" s="1"/>
      <c r="D158" s="1"/>
      <c r="E158" s="1"/>
      <c r="F158" s="1"/>
      <c r="G158" s="1"/>
      <c r="H158" s="1"/>
      <c r="I158" s="1"/>
      <c r="J158" s="1"/>
      <c r="K158" s="96"/>
      <c r="L158" s="96"/>
      <c r="M158" s="96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8" customHeight="1" x14ac:dyDescent="0.45">
      <c r="A159" s="94"/>
      <c r="B159" s="1"/>
      <c r="C159" s="1"/>
      <c r="D159" s="1"/>
      <c r="E159" s="1"/>
      <c r="F159" s="1"/>
      <c r="G159" s="1"/>
      <c r="H159" s="1"/>
      <c r="I159" s="1"/>
      <c r="J159" s="1"/>
      <c r="K159" s="96"/>
      <c r="L159" s="96"/>
      <c r="M159" s="96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8" customHeight="1" x14ac:dyDescent="0.45">
      <c r="A160" s="94"/>
      <c r="B160" s="1"/>
      <c r="C160" s="1"/>
      <c r="D160" s="1"/>
      <c r="E160" s="1"/>
      <c r="F160" s="1"/>
      <c r="G160" s="1"/>
      <c r="H160" s="1"/>
      <c r="I160" s="1"/>
      <c r="J160" s="1"/>
      <c r="K160" s="96"/>
      <c r="L160" s="96"/>
      <c r="M160" s="96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8" customHeight="1" x14ac:dyDescent="0.45">
      <c r="A161" s="94"/>
      <c r="B161" s="1"/>
      <c r="C161" s="1"/>
      <c r="D161" s="1"/>
      <c r="E161" s="1"/>
      <c r="F161" s="1"/>
      <c r="G161" s="1"/>
      <c r="H161" s="1"/>
      <c r="I161" s="1"/>
      <c r="J161" s="1"/>
      <c r="K161" s="96"/>
      <c r="L161" s="96"/>
      <c r="M161" s="96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8" customHeight="1" x14ac:dyDescent="0.45">
      <c r="A162" s="94"/>
      <c r="B162" s="1"/>
      <c r="C162" s="1"/>
      <c r="D162" s="1"/>
      <c r="E162" s="1"/>
      <c r="F162" s="1"/>
      <c r="G162" s="1"/>
      <c r="H162" s="1"/>
      <c r="I162" s="1"/>
      <c r="J162" s="1"/>
      <c r="K162" s="96"/>
      <c r="L162" s="96"/>
      <c r="M162" s="96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8" customHeight="1" x14ac:dyDescent="0.45">
      <c r="A163" s="94"/>
      <c r="B163" s="1"/>
      <c r="C163" s="1"/>
      <c r="D163" s="1"/>
      <c r="E163" s="1"/>
      <c r="F163" s="1"/>
      <c r="G163" s="1"/>
      <c r="H163" s="1"/>
      <c r="I163" s="1"/>
      <c r="J163" s="1"/>
      <c r="K163" s="96"/>
      <c r="L163" s="96"/>
      <c r="M163" s="96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8" customHeight="1" x14ac:dyDescent="0.45">
      <c r="A164" s="94"/>
      <c r="B164" s="1"/>
      <c r="C164" s="1"/>
      <c r="D164" s="1"/>
      <c r="E164" s="1"/>
      <c r="F164" s="1"/>
      <c r="G164" s="1"/>
      <c r="H164" s="1"/>
      <c r="I164" s="1"/>
      <c r="J164" s="1"/>
      <c r="K164" s="96"/>
      <c r="L164" s="96"/>
      <c r="M164" s="96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8" customHeight="1" x14ac:dyDescent="0.45">
      <c r="A165" s="94"/>
      <c r="B165" s="1"/>
      <c r="C165" s="1"/>
      <c r="D165" s="1"/>
      <c r="E165" s="1"/>
      <c r="F165" s="1"/>
      <c r="G165" s="1"/>
      <c r="H165" s="1"/>
      <c r="I165" s="1"/>
      <c r="J165" s="1"/>
      <c r="K165" s="96"/>
      <c r="L165" s="96"/>
      <c r="M165" s="96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8" customHeight="1" x14ac:dyDescent="0.45">
      <c r="A166" s="94"/>
      <c r="B166" s="1"/>
      <c r="C166" s="1"/>
      <c r="D166" s="1"/>
      <c r="E166" s="1"/>
      <c r="F166" s="1"/>
      <c r="G166" s="1"/>
      <c r="H166" s="1"/>
      <c r="I166" s="1"/>
      <c r="J166" s="1"/>
      <c r="K166" s="96"/>
      <c r="L166" s="96"/>
      <c r="M166" s="96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8" customHeight="1" x14ac:dyDescent="0.45">
      <c r="A167" s="94"/>
      <c r="B167" s="1"/>
      <c r="C167" s="1"/>
      <c r="D167" s="1"/>
      <c r="E167" s="1"/>
      <c r="F167" s="1"/>
      <c r="G167" s="1"/>
      <c r="H167" s="1"/>
      <c r="I167" s="1"/>
      <c r="J167" s="1"/>
      <c r="K167" s="96"/>
      <c r="L167" s="96"/>
      <c r="M167" s="96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8" customHeight="1" x14ac:dyDescent="0.45">
      <c r="A168" s="94"/>
      <c r="B168" s="1"/>
      <c r="C168" s="1"/>
      <c r="D168" s="1"/>
      <c r="E168" s="1"/>
      <c r="F168" s="1"/>
      <c r="G168" s="1"/>
      <c r="H168" s="1"/>
      <c r="I168" s="1"/>
      <c r="J168" s="1"/>
      <c r="K168" s="96"/>
      <c r="L168" s="96"/>
      <c r="M168" s="96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8" customHeight="1" x14ac:dyDescent="0.45">
      <c r="A169" s="94"/>
      <c r="B169" s="1"/>
      <c r="C169" s="1"/>
      <c r="D169" s="1"/>
      <c r="E169" s="1"/>
      <c r="F169" s="1"/>
      <c r="G169" s="1"/>
      <c r="H169" s="1"/>
      <c r="I169" s="1"/>
      <c r="J169" s="1"/>
      <c r="K169" s="96"/>
      <c r="L169" s="96"/>
      <c r="M169" s="96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8" customHeight="1" x14ac:dyDescent="0.45">
      <c r="A170" s="94"/>
      <c r="B170" s="1"/>
      <c r="C170" s="1"/>
      <c r="D170" s="1"/>
      <c r="E170" s="1"/>
      <c r="F170" s="1"/>
      <c r="G170" s="1"/>
      <c r="H170" s="1"/>
      <c r="I170" s="1"/>
      <c r="J170" s="1"/>
      <c r="K170" s="96"/>
      <c r="L170" s="96"/>
      <c r="M170" s="96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8" customHeight="1" x14ac:dyDescent="0.45">
      <c r="A171" s="94"/>
      <c r="B171" s="1"/>
      <c r="C171" s="1"/>
      <c r="D171" s="1"/>
      <c r="E171" s="1"/>
      <c r="F171" s="1"/>
      <c r="G171" s="1"/>
      <c r="H171" s="1"/>
      <c r="I171" s="1"/>
      <c r="J171" s="1"/>
      <c r="K171" s="96"/>
      <c r="L171" s="96"/>
      <c r="M171" s="96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8" customHeight="1" x14ac:dyDescent="0.45">
      <c r="A172" s="94"/>
      <c r="B172" s="1"/>
      <c r="C172" s="1"/>
      <c r="D172" s="1"/>
      <c r="E172" s="1"/>
      <c r="F172" s="1"/>
      <c r="G172" s="1"/>
      <c r="H172" s="1"/>
      <c r="I172" s="1"/>
      <c r="J172" s="1"/>
      <c r="K172" s="96"/>
      <c r="L172" s="96"/>
      <c r="M172" s="96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8" customHeight="1" x14ac:dyDescent="0.45">
      <c r="A173" s="94"/>
      <c r="B173" s="1"/>
      <c r="C173" s="1"/>
      <c r="D173" s="1"/>
      <c r="E173" s="1"/>
      <c r="F173" s="1"/>
      <c r="G173" s="1"/>
      <c r="H173" s="1"/>
      <c r="I173" s="1"/>
      <c r="J173" s="1"/>
      <c r="K173" s="96"/>
      <c r="L173" s="96"/>
      <c r="M173" s="96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8" customHeight="1" x14ac:dyDescent="0.45">
      <c r="A174" s="94"/>
      <c r="B174" s="1"/>
      <c r="C174" s="1"/>
      <c r="D174" s="1"/>
      <c r="E174" s="1"/>
      <c r="F174" s="1"/>
      <c r="G174" s="1"/>
      <c r="H174" s="1"/>
      <c r="I174" s="1"/>
      <c r="J174" s="1"/>
      <c r="K174" s="96"/>
      <c r="L174" s="96"/>
      <c r="M174" s="96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8" customHeight="1" x14ac:dyDescent="0.45">
      <c r="A175" s="94"/>
      <c r="B175" s="1"/>
      <c r="C175" s="1"/>
      <c r="D175" s="1"/>
      <c r="E175" s="1"/>
      <c r="F175" s="1"/>
      <c r="G175" s="1"/>
      <c r="H175" s="1"/>
      <c r="I175" s="1"/>
      <c r="J175" s="1"/>
      <c r="K175" s="96"/>
      <c r="L175" s="96"/>
      <c r="M175" s="96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8" customHeight="1" x14ac:dyDescent="0.45">
      <c r="A176" s="94"/>
      <c r="B176" s="1"/>
      <c r="C176" s="1"/>
      <c r="D176" s="1"/>
      <c r="E176" s="1"/>
      <c r="F176" s="1"/>
      <c r="G176" s="1"/>
      <c r="H176" s="1"/>
      <c r="I176" s="1"/>
      <c r="J176" s="1"/>
      <c r="K176" s="96"/>
      <c r="L176" s="96"/>
      <c r="M176" s="96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8" customHeight="1" x14ac:dyDescent="0.45">
      <c r="A177" s="94"/>
      <c r="B177" s="1"/>
      <c r="C177" s="1"/>
      <c r="D177" s="1"/>
      <c r="E177" s="1"/>
      <c r="F177" s="1"/>
      <c r="G177" s="1"/>
      <c r="H177" s="1"/>
      <c r="I177" s="1"/>
      <c r="J177" s="1"/>
      <c r="K177" s="96"/>
      <c r="L177" s="96"/>
      <c r="M177" s="96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8" customHeight="1" x14ac:dyDescent="0.45">
      <c r="A178" s="94"/>
      <c r="B178" s="1"/>
      <c r="C178" s="1"/>
      <c r="D178" s="1"/>
      <c r="E178" s="1"/>
      <c r="F178" s="1"/>
      <c r="G178" s="1"/>
      <c r="H178" s="1"/>
      <c r="I178" s="1"/>
      <c r="J178" s="1"/>
      <c r="K178" s="96"/>
      <c r="L178" s="96"/>
      <c r="M178" s="96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8" customHeight="1" x14ac:dyDescent="0.45">
      <c r="A179" s="94"/>
      <c r="B179" s="1"/>
      <c r="C179" s="1"/>
      <c r="D179" s="1"/>
      <c r="E179" s="1"/>
      <c r="F179" s="1"/>
      <c r="G179" s="1"/>
      <c r="H179" s="1"/>
      <c r="I179" s="1"/>
      <c r="J179" s="1"/>
      <c r="K179" s="96"/>
      <c r="L179" s="96"/>
      <c r="M179" s="96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8" customHeight="1" x14ac:dyDescent="0.45">
      <c r="A180" s="94"/>
      <c r="B180" s="1"/>
      <c r="C180" s="1"/>
      <c r="D180" s="1"/>
      <c r="E180" s="1"/>
      <c r="F180" s="1"/>
      <c r="G180" s="1"/>
      <c r="H180" s="1"/>
      <c r="I180" s="1"/>
      <c r="J180" s="1"/>
      <c r="K180" s="96"/>
      <c r="L180" s="96"/>
      <c r="M180" s="96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8" customHeight="1" x14ac:dyDescent="0.45">
      <c r="A181" s="94"/>
      <c r="B181" s="1"/>
      <c r="C181" s="1"/>
      <c r="D181" s="1"/>
      <c r="E181" s="1"/>
      <c r="F181" s="1"/>
      <c r="G181" s="1"/>
      <c r="H181" s="1"/>
      <c r="I181" s="1"/>
      <c r="J181" s="1"/>
      <c r="K181" s="96"/>
      <c r="L181" s="96"/>
      <c r="M181" s="96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8" customHeight="1" x14ac:dyDescent="0.45">
      <c r="A182" s="94"/>
      <c r="B182" s="1"/>
      <c r="C182" s="1"/>
      <c r="D182" s="1"/>
      <c r="E182" s="1"/>
      <c r="F182" s="1"/>
      <c r="G182" s="1"/>
      <c r="H182" s="1"/>
      <c r="I182" s="1"/>
      <c r="J182" s="1"/>
      <c r="K182" s="96"/>
      <c r="L182" s="96"/>
      <c r="M182" s="96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8" customHeight="1" x14ac:dyDescent="0.45">
      <c r="A183" s="94"/>
      <c r="B183" s="1"/>
      <c r="C183" s="1"/>
      <c r="D183" s="1"/>
      <c r="E183" s="1"/>
      <c r="F183" s="1"/>
      <c r="G183" s="1"/>
      <c r="H183" s="1"/>
      <c r="I183" s="1"/>
      <c r="J183" s="1"/>
      <c r="K183" s="96"/>
      <c r="L183" s="96"/>
      <c r="M183" s="96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8" customHeight="1" x14ac:dyDescent="0.45">
      <c r="A184" s="94"/>
      <c r="B184" s="1"/>
      <c r="C184" s="1"/>
      <c r="D184" s="1"/>
      <c r="E184" s="1"/>
      <c r="F184" s="1"/>
      <c r="G184" s="1"/>
      <c r="H184" s="1"/>
      <c r="I184" s="1"/>
      <c r="J184" s="1"/>
      <c r="K184" s="96"/>
      <c r="L184" s="96"/>
      <c r="M184" s="96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8" customHeight="1" x14ac:dyDescent="0.45">
      <c r="A185" s="94"/>
      <c r="B185" s="1"/>
      <c r="C185" s="1"/>
      <c r="D185" s="1"/>
      <c r="E185" s="1"/>
      <c r="F185" s="1"/>
      <c r="G185" s="1"/>
      <c r="H185" s="1"/>
      <c r="I185" s="1"/>
      <c r="J185" s="1"/>
      <c r="K185" s="96"/>
      <c r="L185" s="96"/>
      <c r="M185" s="96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8" customHeight="1" x14ac:dyDescent="0.45">
      <c r="A186" s="94"/>
      <c r="B186" s="1"/>
      <c r="C186" s="1"/>
      <c r="D186" s="1"/>
      <c r="E186" s="1"/>
      <c r="F186" s="1"/>
      <c r="G186" s="1"/>
      <c r="H186" s="1"/>
      <c r="I186" s="1"/>
      <c r="J186" s="1"/>
      <c r="K186" s="96"/>
      <c r="L186" s="96"/>
      <c r="M186" s="96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8" customHeight="1" x14ac:dyDescent="0.45">
      <c r="A187" s="94"/>
      <c r="B187" s="1"/>
      <c r="C187" s="1"/>
      <c r="D187" s="1"/>
      <c r="E187" s="1"/>
      <c r="F187" s="1"/>
      <c r="G187" s="1"/>
      <c r="H187" s="1"/>
      <c r="I187" s="1"/>
      <c r="J187" s="1"/>
      <c r="K187" s="96"/>
      <c r="L187" s="96"/>
      <c r="M187" s="96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8" customHeight="1" x14ac:dyDescent="0.45">
      <c r="A188" s="94"/>
      <c r="B188" s="1"/>
      <c r="C188" s="1"/>
      <c r="D188" s="1"/>
      <c r="E188" s="1"/>
      <c r="F188" s="1"/>
      <c r="G188" s="1"/>
      <c r="H188" s="1"/>
      <c r="I188" s="1"/>
      <c r="J188" s="1"/>
      <c r="K188" s="96"/>
      <c r="L188" s="96"/>
      <c r="M188" s="96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8" customHeight="1" x14ac:dyDescent="0.45">
      <c r="A189" s="94"/>
      <c r="B189" s="1"/>
      <c r="C189" s="1"/>
      <c r="D189" s="1"/>
      <c r="E189" s="1"/>
      <c r="F189" s="1"/>
      <c r="G189" s="1"/>
      <c r="H189" s="1"/>
      <c r="I189" s="1"/>
      <c r="J189" s="1"/>
      <c r="K189" s="96"/>
      <c r="L189" s="96"/>
      <c r="M189" s="96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8" customHeight="1" x14ac:dyDescent="0.45">
      <c r="A190" s="94"/>
      <c r="B190" s="1"/>
      <c r="C190" s="1"/>
      <c r="D190" s="1"/>
      <c r="E190" s="1"/>
      <c r="F190" s="1"/>
      <c r="G190" s="1"/>
      <c r="H190" s="1"/>
      <c r="I190" s="1"/>
      <c r="J190" s="1"/>
      <c r="K190" s="96"/>
      <c r="L190" s="96"/>
      <c r="M190" s="96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8" customHeight="1" x14ac:dyDescent="0.45">
      <c r="A191" s="94"/>
      <c r="B191" s="1"/>
      <c r="C191" s="1"/>
      <c r="D191" s="1"/>
      <c r="E191" s="1"/>
      <c r="F191" s="1"/>
      <c r="G191" s="1"/>
      <c r="H191" s="1"/>
      <c r="I191" s="1"/>
      <c r="J191" s="1"/>
      <c r="K191" s="96"/>
      <c r="L191" s="96"/>
      <c r="M191" s="96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8" customHeight="1" x14ac:dyDescent="0.45">
      <c r="A192" s="94"/>
      <c r="B192" s="1"/>
      <c r="C192" s="1"/>
      <c r="D192" s="1"/>
      <c r="E192" s="1"/>
      <c r="F192" s="1"/>
      <c r="G192" s="1"/>
      <c r="H192" s="1"/>
      <c r="I192" s="1"/>
      <c r="J192" s="1"/>
      <c r="K192" s="96"/>
      <c r="L192" s="96"/>
      <c r="M192" s="96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8" customHeight="1" x14ac:dyDescent="0.45">
      <c r="A193" s="94"/>
      <c r="B193" s="1"/>
      <c r="C193" s="1"/>
      <c r="D193" s="1"/>
      <c r="E193" s="1"/>
      <c r="F193" s="1"/>
      <c r="G193" s="1"/>
      <c r="H193" s="1"/>
      <c r="I193" s="1"/>
      <c r="J193" s="1"/>
      <c r="K193" s="96"/>
      <c r="L193" s="96"/>
      <c r="M193" s="96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8" customHeight="1" x14ac:dyDescent="0.45">
      <c r="A194" s="94"/>
      <c r="B194" s="1"/>
      <c r="C194" s="1"/>
      <c r="D194" s="1"/>
      <c r="E194" s="1"/>
      <c r="F194" s="1"/>
      <c r="G194" s="1"/>
      <c r="H194" s="1"/>
      <c r="I194" s="1"/>
      <c r="J194" s="1"/>
      <c r="K194" s="96"/>
      <c r="L194" s="96"/>
      <c r="M194" s="96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8" customHeight="1" x14ac:dyDescent="0.45">
      <c r="A195" s="94"/>
      <c r="B195" s="1"/>
      <c r="C195" s="1"/>
      <c r="D195" s="1"/>
      <c r="E195" s="1"/>
      <c r="F195" s="1"/>
      <c r="G195" s="1"/>
      <c r="H195" s="1"/>
      <c r="I195" s="1"/>
      <c r="J195" s="1"/>
      <c r="K195" s="96"/>
      <c r="L195" s="96"/>
      <c r="M195" s="96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8" customHeight="1" x14ac:dyDescent="0.45">
      <c r="A196" s="94"/>
      <c r="B196" s="1"/>
      <c r="C196" s="1"/>
      <c r="D196" s="1"/>
      <c r="E196" s="1"/>
      <c r="F196" s="1"/>
      <c r="G196" s="1"/>
      <c r="H196" s="1"/>
      <c r="I196" s="1"/>
      <c r="J196" s="1"/>
      <c r="K196" s="96"/>
      <c r="L196" s="96"/>
      <c r="M196" s="96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8" customHeight="1" x14ac:dyDescent="0.45">
      <c r="A197" s="94"/>
      <c r="B197" s="1"/>
      <c r="C197" s="1"/>
      <c r="D197" s="1"/>
      <c r="E197" s="1"/>
      <c r="F197" s="1"/>
      <c r="G197" s="1"/>
      <c r="H197" s="1"/>
      <c r="I197" s="1"/>
      <c r="J197" s="1"/>
      <c r="K197" s="96"/>
      <c r="L197" s="96"/>
      <c r="M197" s="96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8" customHeight="1" x14ac:dyDescent="0.45">
      <c r="A198" s="94"/>
      <c r="B198" s="1"/>
      <c r="C198" s="1"/>
      <c r="D198" s="1"/>
      <c r="E198" s="1"/>
      <c r="F198" s="1"/>
      <c r="G198" s="1"/>
      <c r="H198" s="1"/>
      <c r="I198" s="1"/>
      <c r="J198" s="1"/>
      <c r="K198" s="96"/>
      <c r="L198" s="96"/>
      <c r="M198" s="96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8" customHeight="1" x14ac:dyDescent="0.45">
      <c r="A199" s="94"/>
      <c r="B199" s="1"/>
      <c r="C199" s="1"/>
      <c r="D199" s="1"/>
      <c r="E199" s="1"/>
      <c r="F199" s="1"/>
      <c r="G199" s="1"/>
      <c r="H199" s="1"/>
      <c r="I199" s="1"/>
      <c r="J199" s="1"/>
      <c r="K199" s="96"/>
      <c r="L199" s="96"/>
      <c r="M199" s="96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8" customHeight="1" x14ac:dyDescent="0.45">
      <c r="A200" s="94"/>
      <c r="B200" s="1"/>
      <c r="C200" s="1"/>
      <c r="D200" s="1"/>
      <c r="E200" s="1"/>
      <c r="F200" s="1"/>
      <c r="G200" s="1"/>
      <c r="H200" s="1"/>
      <c r="I200" s="1"/>
      <c r="J200" s="1"/>
      <c r="K200" s="96"/>
      <c r="L200" s="96"/>
      <c r="M200" s="96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8" customHeight="1" x14ac:dyDescent="0.45">
      <c r="A201" s="94"/>
      <c r="B201" s="1"/>
      <c r="C201" s="1"/>
      <c r="D201" s="1"/>
      <c r="E201" s="1"/>
      <c r="F201" s="1"/>
      <c r="G201" s="1"/>
      <c r="H201" s="1"/>
      <c r="I201" s="1"/>
      <c r="J201" s="1"/>
      <c r="K201" s="96"/>
      <c r="L201" s="96"/>
      <c r="M201" s="96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8" customHeight="1" x14ac:dyDescent="0.45">
      <c r="A202" s="94"/>
      <c r="B202" s="1"/>
      <c r="C202" s="1"/>
      <c r="D202" s="1"/>
      <c r="E202" s="1"/>
      <c r="F202" s="1"/>
      <c r="G202" s="1"/>
      <c r="H202" s="1"/>
      <c r="I202" s="1"/>
      <c r="J202" s="1"/>
      <c r="K202" s="96"/>
      <c r="L202" s="96"/>
      <c r="M202" s="96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8" customHeight="1" x14ac:dyDescent="0.45">
      <c r="A203" s="94"/>
      <c r="B203" s="1"/>
      <c r="C203" s="1"/>
      <c r="D203" s="1"/>
      <c r="E203" s="1"/>
      <c r="F203" s="1"/>
      <c r="G203" s="1"/>
      <c r="H203" s="1"/>
      <c r="I203" s="1"/>
      <c r="J203" s="1"/>
      <c r="K203" s="96"/>
      <c r="L203" s="96"/>
      <c r="M203" s="96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8" customHeight="1" x14ac:dyDescent="0.45">
      <c r="A204" s="94"/>
      <c r="B204" s="1"/>
      <c r="C204" s="1"/>
      <c r="D204" s="1"/>
      <c r="E204" s="1"/>
      <c r="F204" s="1"/>
      <c r="G204" s="1"/>
      <c r="H204" s="1"/>
      <c r="I204" s="1"/>
      <c r="J204" s="1"/>
      <c r="K204" s="96"/>
      <c r="L204" s="96"/>
      <c r="M204" s="96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8" customHeight="1" x14ac:dyDescent="0.45">
      <c r="A205" s="94"/>
      <c r="B205" s="1"/>
      <c r="C205" s="1"/>
      <c r="D205" s="1"/>
      <c r="E205" s="1"/>
      <c r="F205" s="1"/>
      <c r="G205" s="1"/>
      <c r="H205" s="1"/>
      <c r="I205" s="1"/>
      <c r="J205" s="1"/>
      <c r="K205" s="96"/>
      <c r="L205" s="96"/>
      <c r="M205" s="96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8" customHeight="1" x14ac:dyDescent="0.45">
      <c r="A206" s="94"/>
      <c r="B206" s="1"/>
      <c r="C206" s="1"/>
      <c r="D206" s="1"/>
      <c r="E206" s="1"/>
      <c r="F206" s="1"/>
      <c r="G206" s="1"/>
      <c r="H206" s="1"/>
      <c r="I206" s="1"/>
      <c r="J206" s="1"/>
      <c r="K206" s="96"/>
      <c r="L206" s="96"/>
      <c r="M206" s="96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8" customHeight="1" x14ac:dyDescent="0.45">
      <c r="A207" s="94"/>
      <c r="B207" s="1"/>
      <c r="C207" s="1"/>
      <c r="D207" s="1"/>
      <c r="E207" s="1"/>
      <c r="F207" s="1"/>
      <c r="G207" s="1"/>
      <c r="H207" s="1"/>
      <c r="I207" s="1"/>
      <c r="J207" s="1"/>
      <c r="K207" s="96"/>
      <c r="L207" s="96"/>
      <c r="M207" s="96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8" customHeight="1" x14ac:dyDescent="0.45">
      <c r="A208" s="94"/>
      <c r="B208" s="1"/>
      <c r="C208" s="1"/>
      <c r="D208" s="1"/>
      <c r="E208" s="1"/>
      <c r="F208" s="1"/>
      <c r="G208" s="1"/>
      <c r="H208" s="1"/>
      <c r="I208" s="1"/>
      <c r="J208" s="1"/>
      <c r="K208" s="96"/>
      <c r="L208" s="96"/>
      <c r="M208" s="96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8" customHeight="1" x14ac:dyDescent="0.45">
      <c r="A209" s="94"/>
      <c r="B209" s="1"/>
      <c r="C209" s="1"/>
      <c r="D209" s="1"/>
      <c r="E209" s="1"/>
      <c r="F209" s="1"/>
      <c r="G209" s="1"/>
      <c r="H209" s="1"/>
      <c r="I209" s="1"/>
      <c r="J209" s="1"/>
      <c r="K209" s="96"/>
      <c r="L209" s="96"/>
      <c r="M209" s="96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8" customHeight="1" x14ac:dyDescent="0.45">
      <c r="A210" s="94"/>
      <c r="B210" s="1"/>
      <c r="C210" s="1"/>
      <c r="D210" s="1"/>
      <c r="E210" s="1"/>
      <c r="F210" s="1"/>
      <c r="G210" s="1"/>
      <c r="H210" s="1"/>
      <c r="I210" s="1"/>
      <c r="J210" s="1"/>
      <c r="K210" s="96"/>
      <c r="L210" s="96"/>
      <c r="M210" s="96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8" customHeight="1" x14ac:dyDescent="0.45">
      <c r="A211" s="94"/>
      <c r="B211" s="1"/>
      <c r="C211" s="1"/>
      <c r="D211" s="1"/>
      <c r="E211" s="1"/>
      <c r="F211" s="1"/>
      <c r="G211" s="1"/>
      <c r="H211" s="1"/>
      <c r="I211" s="1"/>
      <c r="J211" s="1"/>
      <c r="K211" s="96"/>
      <c r="L211" s="96"/>
      <c r="M211" s="96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8" customHeight="1" x14ac:dyDescent="0.45">
      <c r="A212" s="94"/>
      <c r="B212" s="1"/>
      <c r="C212" s="1"/>
      <c r="D212" s="1"/>
      <c r="E212" s="1"/>
      <c r="F212" s="1"/>
      <c r="G212" s="1"/>
      <c r="H212" s="1"/>
      <c r="I212" s="1"/>
      <c r="J212" s="1"/>
      <c r="K212" s="96"/>
      <c r="L212" s="96"/>
      <c r="M212" s="96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8" customHeight="1" x14ac:dyDescent="0.45">
      <c r="A213" s="94"/>
      <c r="B213" s="1"/>
      <c r="C213" s="1"/>
      <c r="D213" s="1"/>
      <c r="E213" s="1"/>
      <c r="F213" s="1"/>
      <c r="G213" s="1"/>
      <c r="H213" s="1"/>
      <c r="I213" s="1"/>
      <c r="J213" s="1"/>
      <c r="K213" s="96"/>
      <c r="L213" s="96"/>
      <c r="M213" s="96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8" customHeight="1" x14ac:dyDescent="0.45">
      <c r="A214" s="94"/>
      <c r="B214" s="1"/>
      <c r="C214" s="1"/>
      <c r="D214" s="1"/>
      <c r="E214" s="1"/>
      <c r="F214" s="1"/>
      <c r="G214" s="1"/>
      <c r="H214" s="1"/>
      <c r="I214" s="1"/>
      <c r="J214" s="1"/>
      <c r="K214" s="96"/>
      <c r="L214" s="96"/>
      <c r="M214" s="96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8" customHeight="1" x14ac:dyDescent="0.45">
      <c r="A215" s="94"/>
      <c r="B215" s="1"/>
      <c r="C215" s="1"/>
      <c r="D215" s="1"/>
      <c r="E215" s="1"/>
      <c r="F215" s="1"/>
      <c r="G215" s="1"/>
      <c r="H215" s="1"/>
      <c r="I215" s="1"/>
      <c r="J215" s="1"/>
      <c r="K215" s="96"/>
      <c r="L215" s="96"/>
      <c r="M215" s="96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8" customHeight="1" x14ac:dyDescent="0.45">
      <c r="A216" s="94"/>
      <c r="B216" s="1"/>
      <c r="C216" s="1"/>
      <c r="D216" s="1"/>
      <c r="E216" s="1"/>
      <c r="F216" s="1"/>
      <c r="G216" s="1"/>
      <c r="H216" s="1"/>
      <c r="I216" s="1"/>
      <c r="J216" s="1"/>
      <c r="K216" s="96"/>
      <c r="L216" s="96"/>
      <c r="M216" s="96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8" customHeight="1" x14ac:dyDescent="0.45">
      <c r="A217" s="94"/>
      <c r="B217" s="1"/>
      <c r="C217" s="1"/>
      <c r="D217" s="1"/>
      <c r="E217" s="1"/>
      <c r="F217" s="1"/>
      <c r="G217" s="1"/>
      <c r="H217" s="1"/>
      <c r="I217" s="1"/>
      <c r="J217" s="1"/>
      <c r="K217" s="96"/>
      <c r="L217" s="96"/>
      <c r="M217" s="96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8" customHeight="1" x14ac:dyDescent="0.45">
      <c r="A218" s="94"/>
      <c r="B218" s="1"/>
      <c r="C218" s="1"/>
      <c r="D218" s="1"/>
      <c r="E218" s="1"/>
      <c r="F218" s="1"/>
      <c r="G218" s="1"/>
      <c r="H218" s="1"/>
      <c r="I218" s="1"/>
      <c r="J218" s="1"/>
      <c r="K218" s="96"/>
      <c r="L218" s="96"/>
      <c r="M218" s="96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8" customHeight="1" x14ac:dyDescent="0.45">
      <c r="A219" s="94"/>
      <c r="B219" s="1"/>
      <c r="C219" s="1"/>
      <c r="D219" s="1"/>
      <c r="E219" s="1"/>
      <c r="F219" s="1"/>
      <c r="G219" s="1"/>
      <c r="H219" s="1"/>
      <c r="I219" s="1"/>
      <c r="J219" s="1"/>
      <c r="K219" s="96"/>
      <c r="L219" s="96"/>
      <c r="M219" s="96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8" customHeight="1" x14ac:dyDescent="0.45">
      <c r="A220" s="94"/>
      <c r="B220" s="1"/>
      <c r="C220" s="1"/>
      <c r="D220" s="1"/>
      <c r="E220" s="1"/>
      <c r="F220" s="1"/>
      <c r="G220" s="1"/>
      <c r="H220" s="1"/>
      <c r="I220" s="1"/>
      <c r="J220" s="1"/>
      <c r="K220" s="96"/>
      <c r="L220" s="96"/>
      <c r="M220" s="96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8" customHeight="1" x14ac:dyDescent="0.45">
      <c r="A221" s="94"/>
      <c r="B221" s="1"/>
      <c r="C221" s="1"/>
      <c r="D221" s="1"/>
      <c r="E221" s="1"/>
      <c r="F221" s="1"/>
      <c r="G221" s="1"/>
      <c r="H221" s="1"/>
      <c r="I221" s="1"/>
      <c r="J221" s="1"/>
      <c r="K221" s="96"/>
      <c r="L221" s="96"/>
      <c r="M221" s="96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8" customHeight="1" x14ac:dyDescent="0.45">
      <c r="A222" s="94"/>
      <c r="B222" s="1"/>
      <c r="C222" s="1"/>
      <c r="D222" s="1"/>
      <c r="E222" s="1"/>
      <c r="F222" s="1"/>
      <c r="G222" s="1"/>
      <c r="H222" s="1"/>
      <c r="I222" s="1"/>
      <c r="J222" s="1"/>
      <c r="K222" s="96"/>
      <c r="L222" s="96"/>
      <c r="M222" s="96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8" customHeight="1" x14ac:dyDescent="0.45">
      <c r="A223" s="94"/>
      <c r="B223" s="1"/>
      <c r="C223" s="1"/>
      <c r="D223" s="1"/>
      <c r="E223" s="1"/>
      <c r="F223" s="1"/>
      <c r="G223" s="1"/>
      <c r="H223" s="1"/>
      <c r="I223" s="1"/>
      <c r="J223" s="1"/>
      <c r="K223" s="96"/>
      <c r="L223" s="96"/>
      <c r="M223" s="96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8" customHeight="1" x14ac:dyDescent="0.45">
      <c r="A224" s="94"/>
      <c r="B224" s="1"/>
      <c r="C224" s="1"/>
      <c r="D224" s="1"/>
      <c r="E224" s="1"/>
      <c r="F224" s="1"/>
      <c r="G224" s="1"/>
      <c r="H224" s="1"/>
      <c r="I224" s="1"/>
      <c r="J224" s="1"/>
      <c r="K224" s="96"/>
      <c r="L224" s="96"/>
      <c r="M224" s="96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8" customHeight="1" x14ac:dyDescent="0.45">
      <c r="A225" s="94"/>
      <c r="B225" s="1"/>
      <c r="C225" s="1"/>
      <c r="D225" s="1"/>
      <c r="E225" s="1"/>
      <c r="F225" s="1"/>
      <c r="G225" s="1"/>
      <c r="H225" s="1"/>
      <c r="I225" s="1"/>
      <c r="J225" s="1"/>
      <c r="K225" s="96"/>
      <c r="L225" s="96"/>
      <c r="M225" s="96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8" customHeight="1" x14ac:dyDescent="0.45">
      <c r="A226" s="94"/>
      <c r="B226" s="1"/>
      <c r="C226" s="1"/>
      <c r="D226" s="1"/>
      <c r="E226" s="1"/>
      <c r="F226" s="1"/>
      <c r="G226" s="1"/>
      <c r="H226" s="1"/>
      <c r="I226" s="1"/>
      <c r="J226" s="1"/>
      <c r="K226" s="96"/>
      <c r="L226" s="96"/>
      <c r="M226" s="96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8" customHeight="1" x14ac:dyDescent="0.45">
      <c r="A227" s="94"/>
      <c r="B227" s="1"/>
      <c r="C227" s="1"/>
      <c r="D227" s="1"/>
      <c r="E227" s="1"/>
      <c r="F227" s="1"/>
      <c r="G227" s="1"/>
      <c r="H227" s="1"/>
      <c r="I227" s="1"/>
      <c r="J227" s="1"/>
      <c r="K227" s="96"/>
      <c r="L227" s="96"/>
      <c r="M227" s="96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8" customHeight="1" x14ac:dyDescent="0.45">
      <c r="A228" s="94"/>
      <c r="B228" s="1"/>
      <c r="C228" s="1"/>
      <c r="D228" s="1"/>
      <c r="E228" s="1"/>
      <c r="F228" s="1"/>
      <c r="G228" s="1"/>
      <c r="H228" s="1"/>
      <c r="I228" s="1"/>
      <c r="J228" s="1"/>
      <c r="K228" s="96"/>
      <c r="L228" s="96"/>
      <c r="M228" s="96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8" customHeight="1" x14ac:dyDescent="0.45">
      <c r="A229" s="94"/>
      <c r="B229" s="1"/>
      <c r="C229" s="1"/>
      <c r="D229" s="1"/>
      <c r="E229" s="1"/>
      <c r="F229" s="1"/>
      <c r="G229" s="1"/>
      <c r="H229" s="1"/>
      <c r="I229" s="1"/>
      <c r="J229" s="1"/>
      <c r="K229" s="96"/>
      <c r="L229" s="96"/>
      <c r="M229" s="96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8" customHeight="1" x14ac:dyDescent="0.45">
      <c r="A230" s="94"/>
      <c r="B230" s="1"/>
      <c r="C230" s="1"/>
      <c r="D230" s="1"/>
      <c r="E230" s="1"/>
      <c r="F230" s="1"/>
      <c r="G230" s="1"/>
      <c r="H230" s="1"/>
      <c r="I230" s="1"/>
      <c r="J230" s="1"/>
      <c r="K230" s="96"/>
      <c r="L230" s="96"/>
      <c r="M230" s="96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8" customHeight="1" x14ac:dyDescent="0.45">
      <c r="A231" s="94"/>
      <c r="B231" s="1"/>
      <c r="C231" s="1"/>
      <c r="D231" s="1"/>
      <c r="E231" s="1"/>
      <c r="F231" s="1"/>
      <c r="G231" s="1"/>
      <c r="H231" s="1"/>
      <c r="I231" s="1"/>
      <c r="J231" s="1"/>
      <c r="K231" s="96"/>
      <c r="L231" s="96"/>
      <c r="M231" s="96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8" customHeight="1" x14ac:dyDescent="0.45">
      <c r="A232" s="94"/>
      <c r="B232" s="1"/>
      <c r="C232" s="1"/>
      <c r="D232" s="1"/>
      <c r="E232" s="1"/>
      <c r="F232" s="1"/>
      <c r="G232" s="1"/>
      <c r="H232" s="1"/>
      <c r="I232" s="1"/>
      <c r="J232" s="1"/>
      <c r="K232" s="96"/>
      <c r="L232" s="96"/>
      <c r="M232" s="96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8" customHeight="1" x14ac:dyDescent="0.45">
      <c r="A233" s="94"/>
      <c r="B233" s="1"/>
      <c r="C233" s="1"/>
      <c r="D233" s="1"/>
      <c r="E233" s="1"/>
      <c r="F233" s="1"/>
      <c r="G233" s="1"/>
      <c r="H233" s="1"/>
      <c r="I233" s="1"/>
      <c r="J233" s="1"/>
      <c r="K233" s="96"/>
      <c r="L233" s="96"/>
      <c r="M233" s="96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8" customHeight="1" x14ac:dyDescent="0.45">
      <c r="A234" s="94"/>
      <c r="B234" s="1"/>
      <c r="C234" s="1"/>
      <c r="D234" s="1"/>
      <c r="E234" s="1"/>
      <c r="F234" s="1"/>
      <c r="G234" s="1"/>
      <c r="H234" s="1"/>
      <c r="I234" s="1"/>
      <c r="J234" s="1"/>
      <c r="K234" s="96"/>
      <c r="L234" s="96"/>
      <c r="M234" s="96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8" customHeight="1" x14ac:dyDescent="0.45">
      <c r="A235" s="94"/>
      <c r="B235" s="1"/>
      <c r="C235" s="1"/>
      <c r="D235" s="1"/>
      <c r="E235" s="1"/>
      <c r="F235" s="1"/>
      <c r="G235" s="1"/>
      <c r="H235" s="1"/>
      <c r="I235" s="1"/>
      <c r="J235" s="1"/>
      <c r="K235" s="96"/>
      <c r="L235" s="96"/>
      <c r="M235" s="96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8" customHeight="1" x14ac:dyDescent="0.45">
      <c r="A236" s="94"/>
      <c r="B236" s="1"/>
      <c r="C236" s="1"/>
      <c r="D236" s="1"/>
      <c r="E236" s="1"/>
      <c r="F236" s="1"/>
      <c r="G236" s="1"/>
      <c r="H236" s="1"/>
      <c r="I236" s="1"/>
      <c r="J236" s="1"/>
      <c r="K236" s="96"/>
      <c r="L236" s="96"/>
      <c r="M236" s="96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8" customHeight="1" x14ac:dyDescent="0.45">
      <c r="A237" s="94"/>
      <c r="B237" s="1"/>
      <c r="C237" s="1"/>
      <c r="D237" s="1"/>
      <c r="E237" s="1"/>
      <c r="F237" s="1"/>
      <c r="G237" s="1"/>
      <c r="H237" s="1"/>
      <c r="I237" s="1"/>
      <c r="J237" s="1"/>
      <c r="K237" s="96"/>
      <c r="L237" s="96"/>
      <c r="M237" s="96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8" customHeight="1" x14ac:dyDescent="0.45">
      <c r="A238" s="94"/>
      <c r="B238" s="1"/>
      <c r="C238" s="1"/>
      <c r="D238" s="1"/>
      <c r="E238" s="1"/>
      <c r="F238" s="1"/>
      <c r="G238" s="1"/>
      <c r="H238" s="1"/>
      <c r="I238" s="1"/>
      <c r="J238" s="1"/>
      <c r="K238" s="96"/>
      <c r="L238" s="96"/>
      <c r="M238" s="96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8" customHeight="1" x14ac:dyDescent="0.45">
      <c r="A239" s="94"/>
      <c r="B239" s="1"/>
      <c r="C239" s="1"/>
      <c r="D239" s="1"/>
      <c r="E239" s="1"/>
      <c r="F239" s="1"/>
      <c r="G239" s="1"/>
      <c r="H239" s="1"/>
      <c r="I239" s="1"/>
      <c r="J239" s="1"/>
      <c r="K239" s="96"/>
      <c r="L239" s="96"/>
      <c r="M239" s="96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8" customHeight="1" x14ac:dyDescent="0.45">
      <c r="A240" s="94"/>
      <c r="B240" s="1"/>
      <c r="C240" s="1"/>
      <c r="D240" s="1"/>
      <c r="E240" s="1"/>
      <c r="F240" s="1"/>
      <c r="G240" s="1"/>
      <c r="H240" s="1"/>
      <c r="I240" s="1"/>
      <c r="J240" s="1"/>
      <c r="K240" s="96"/>
      <c r="L240" s="96"/>
      <c r="M240" s="96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8" customHeight="1" x14ac:dyDescent="0.45">
      <c r="A241" s="94"/>
      <c r="B241" s="1"/>
      <c r="C241" s="1"/>
      <c r="D241" s="1"/>
      <c r="E241" s="1"/>
      <c r="F241" s="1"/>
      <c r="G241" s="1"/>
      <c r="H241" s="1"/>
      <c r="I241" s="1"/>
      <c r="J241" s="1"/>
      <c r="K241" s="96"/>
      <c r="L241" s="96"/>
      <c r="M241" s="96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8" customHeight="1" x14ac:dyDescent="0.45">
      <c r="A242" s="94"/>
      <c r="B242" s="1"/>
      <c r="C242" s="1"/>
      <c r="D242" s="1"/>
      <c r="E242" s="1"/>
      <c r="F242" s="1"/>
      <c r="G242" s="1"/>
      <c r="H242" s="1"/>
      <c r="I242" s="1"/>
      <c r="J242" s="1"/>
      <c r="K242" s="96"/>
      <c r="L242" s="96"/>
      <c r="M242" s="96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8" customHeight="1" x14ac:dyDescent="0.45">
      <c r="A243" s="94"/>
      <c r="B243" s="1"/>
      <c r="C243" s="1"/>
      <c r="D243" s="1"/>
      <c r="E243" s="1"/>
      <c r="F243" s="1"/>
      <c r="G243" s="1"/>
      <c r="H243" s="1"/>
      <c r="I243" s="1"/>
      <c r="J243" s="1"/>
      <c r="K243" s="96"/>
      <c r="L243" s="96"/>
      <c r="M243" s="96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8" customHeight="1" x14ac:dyDescent="0.45">
      <c r="A244" s="94"/>
      <c r="B244" s="1"/>
      <c r="C244" s="1"/>
      <c r="D244" s="1"/>
      <c r="E244" s="1"/>
      <c r="F244" s="1"/>
      <c r="G244" s="1"/>
      <c r="H244" s="1"/>
      <c r="I244" s="1"/>
      <c r="J244" s="1"/>
      <c r="K244" s="96"/>
      <c r="L244" s="96"/>
      <c r="M244" s="96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8" customHeight="1" x14ac:dyDescent="0.45">
      <c r="A245" s="94"/>
      <c r="B245" s="1"/>
      <c r="C245" s="1"/>
      <c r="D245" s="1"/>
      <c r="E245" s="1"/>
      <c r="F245" s="1"/>
      <c r="G245" s="1"/>
      <c r="H245" s="1"/>
      <c r="I245" s="1"/>
      <c r="J245" s="1"/>
      <c r="K245" s="96"/>
      <c r="L245" s="96"/>
      <c r="M245" s="96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8" customHeight="1" x14ac:dyDescent="0.45">
      <c r="A246" s="94"/>
      <c r="B246" s="1"/>
      <c r="C246" s="1"/>
      <c r="D246" s="1"/>
      <c r="E246" s="1"/>
      <c r="F246" s="1"/>
      <c r="G246" s="1"/>
      <c r="H246" s="1"/>
      <c r="I246" s="1"/>
      <c r="J246" s="1"/>
      <c r="K246" s="96"/>
      <c r="L246" s="96"/>
      <c r="M246" s="96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8" customHeight="1" x14ac:dyDescent="0.45">
      <c r="A247" s="94"/>
      <c r="B247" s="1"/>
      <c r="C247" s="1"/>
      <c r="D247" s="1"/>
      <c r="E247" s="1"/>
      <c r="F247" s="1"/>
      <c r="G247" s="1"/>
      <c r="H247" s="1"/>
      <c r="I247" s="1"/>
      <c r="J247" s="1"/>
      <c r="K247" s="96"/>
      <c r="L247" s="96"/>
      <c r="M247" s="96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8" customHeight="1" x14ac:dyDescent="0.45">
      <c r="A248" s="94"/>
      <c r="B248" s="1"/>
      <c r="C248" s="1"/>
      <c r="D248" s="1"/>
      <c r="E248" s="1"/>
      <c r="F248" s="1"/>
      <c r="G248" s="1"/>
      <c r="H248" s="1"/>
      <c r="I248" s="1"/>
      <c r="J248" s="1"/>
      <c r="K248" s="96"/>
      <c r="L248" s="96"/>
      <c r="M248" s="96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8" customHeight="1" x14ac:dyDescent="0.45">
      <c r="A249" s="94"/>
      <c r="B249" s="1"/>
      <c r="C249" s="1"/>
      <c r="D249" s="1"/>
      <c r="E249" s="1"/>
      <c r="F249" s="1"/>
      <c r="G249" s="1"/>
      <c r="H249" s="1"/>
      <c r="I249" s="1"/>
      <c r="J249" s="1"/>
      <c r="K249" s="96"/>
      <c r="L249" s="96"/>
      <c r="M249" s="96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8" customHeight="1" x14ac:dyDescent="0.45">
      <c r="A250" s="94"/>
      <c r="B250" s="1"/>
      <c r="C250" s="1"/>
      <c r="D250" s="1"/>
      <c r="E250" s="1"/>
      <c r="F250" s="1"/>
      <c r="G250" s="1"/>
      <c r="H250" s="1"/>
      <c r="I250" s="1"/>
      <c r="J250" s="1"/>
      <c r="K250" s="96"/>
      <c r="L250" s="96"/>
      <c r="M250" s="96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8" customHeight="1" x14ac:dyDescent="0.45">
      <c r="A251" s="94"/>
      <c r="B251" s="1"/>
      <c r="C251" s="1"/>
      <c r="D251" s="1"/>
      <c r="E251" s="1"/>
      <c r="F251" s="1"/>
      <c r="G251" s="1"/>
      <c r="H251" s="1"/>
      <c r="I251" s="1"/>
      <c r="J251" s="1"/>
      <c r="K251" s="96"/>
      <c r="L251" s="96"/>
      <c r="M251" s="96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8" customHeight="1" x14ac:dyDescent="0.45">
      <c r="A252" s="94"/>
      <c r="B252" s="1"/>
      <c r="C252" s="1"/>
      <c r="D252" s="1"/>
      <c r="E252" s="1"/>
      <c r="F252" s="1"/>
      <c r="G252" s="1"/>
      <c r="H252" s="1"/>
      <c r="I252" s="1"/>
      <c r="J252" s="1"/>
      <c r="K252" s="96"/>
      <c r="L252" s="96"/>
      <c r="M252" s="96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8" customHeight="1" x14ac:dyDescent="0.45">
      <c r="A253" s="94"/>
      <c r="B253" s="1"/>
      <c r="C253" s="1"/>
      <c r="D253" s="1"/>
      <c r="E253" s="1"/>
      <c r="F253" s="1"/>
      <c r="G253" s="1"/>
      <c r="H253" s="1"/>
      <c r="I253" s="1"/>
      <c r="J253" s="1"/>
      <c r="K253" s="96"/>
      <c r="L253" s="96"/>
      <c r="M253" s="96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8" customHeight="1" x14ac:dyDescent="0.45">
      <c r="A254" s="94"/>
      <c r="B254" s="1"/>
      <c r="C254" s="1"/>
      <c r="D254" s="1"/>
      <c r="E254" s="1"/>
      <c r="F254" s="1"/>
      <c r="G254" s="1"/>
      <c r="H254" s="1"/>
      <c r="I254" s="1"/>
      <c r="J254" s="1"/>
      <c r="K254" s="96"/>
      <c r="L254" s="96"/>
      <c r="M254" s="96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8" customHeight="1" x14ac:dyDescent="0.45">
      <c r="A255" s="94"/>
      <c r="B255" s="1"/>
      <c r="C255" s="1"/>
      <c r="D255" s="1"/>
      <c r="E255" s="1"/>
      <c r="F255" s="1"/>
      <c r="G255" s="1"/>
      <c r="H255" s="1"/>
      <c r="I255" s="1"/>
      <c r="J255" s="1"/>
      <c r="K255" s="96"/>
      <c r="L255" s="96"/>
      <c r="M255" s="96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8" customHeight="1" x14ac:dyDescent="0.45">
      <c r="A256" s="94"/>
      <c r="B256" s="1"/>
      <c r="C256" s="1"/>
      <c r="D256" s="1"/>
      <c r="E256" s="1"/>
      <c r="F256" s="1"/>
      <c r="G256" s="1"/>
      <c r="H256" s="1"/>
      <c r="I256" s="1"/>
      <c r="J256" s="1"/>
      <c r="K256" s="96"/>
      <c r="L256" s="96"/>
      <c r="M256" s="96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8" customHeight="1" x14ac:dyDescent="0.45">
      <c r="A257" s="94"/>
      <c r="B257" s="1"/>
      <c r="C257" s="1"/>
      <c r="D257" s="1"/>
      <c r="E257" s="1"/>
      <c r="F257" s="1"/>
      <c r="G257" s="1"/>
      <c r="H257" s="1"/>
      <c r="I257" s="1"/>
      <c r="J257" s="1"/>
      <c r="K257" s="96"/>
      <c r="L257" s="96"/>
      <c r="M257" s="96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8" customHeight="1" x14ac:dyDescent="0.45">
      <c r="A258" s="94"/>
      <c r="B258" s="1"/>
      <c r="C258" s="1"/>
      <c r="D258" s="1"/>
      <c r="E258" s="1"/>
      <c r="F258" s="1"/>
      <c r="G258" s="1"/>
      <c r="H258" s="1"/>
      <c r="I258" s="1"/>
      <c r="J258" s="1"/>
      <c r="K258" s="96"/>
      <c r="L258" s="96"/>
      <c r="M258" s="96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8" customHeight="1" x14ac:dyDescent="0.45">
      <c r="A259" s="94"/>
      <c r="B259" s="1"/>
      <c r="C259" s="1"/>
      <c r="D259" s="1"/>
      <c r="E259" s="1"/>
      <c r="F259" s="1"/>
      <c r="G259" s="1"/>
      <c r="H259" s="1"/>
      <c r="I259" s="1"/>
      <c r="J259" s="1"/>
      <c r="K259" s="96"/>
      <c r="L259" s="96"/>
      <c r="M259" s="96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8" customHeight="1" x14ac:dyDescent="0.45">
      <c r="A260" s="94"/>
      <c r="B260" s="1"/>
      <c r="C260" s="1"/>
      <c r="D260" s="1"/>
      <c r="E260" s="1"/>
      <c r="F260" s="1"/>
      <c r="G260" s="1"/>
      <c r="H260" s="1"/>
      <c r="I260" s="1"/>
      <c r="J260" s="1"/>
      <c r="K260" s="96"/>
      <c r="L260" s="96"/>
      <c r="M260" s="96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8" customHeight="1" x14ac:dyDescent="0.45">
      <c r="A261" s="94"/>
      <c r="B261" s="1"/>
      <c r="C261" s="1"/>
      <c r="D261" s="1"/>
      <c r="E261" s="1"/>
      <c r="F261" s="1"/>
      <c r="G261" s="1"/>
      <c r="H261" s="1"/>
      <c r="I261" s="1"/>
      <c r="J261" s="1"/>
      <c r="K261" s="96"/>
      <c r="L261" s="96"/>
      <c r="M261" s="96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8" customHeight="1" x14ac:dyDescent="0.45">
      <c r="A262" s="94"/>
      <c r="B262" s="1"/>
      <c r="C262" s="1"/>
      <c r="D262" s="1"/>
      <c r="E262" s="1"/>
      <c r="F262" s="1"/>
      <c r="G262" s="1"/>
      <c r="H262" s="1"/>
      <c r="I262" s="1"/>
      <c r="J262" s="1"/>
      <c r="K262" s="96"/>
      <c r="L262" s="96"/>
      <c r="M262" s="96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8" customHeight="1" x14ac:dyDescent="0.45">
      <c r="A263" s="94"/>
      <c r="B263" s="1"/>
      <c r="C263" s="1"/>
      <c r="D263" s="1"/>
      <c r="E263" s="1"/>
      <c r="F263" s="1"/>
      <c r="G263" s="1"/>
      <c r="H263" s="1"/>
      <c r="I263" s="1"/>
      <c r="J263" s="1"/>
      <c r="K263" s="96"/>
      <c r="L263" s="96"/>
      <c r="M263" s="96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3" x14ac:dyDescent="0.3"/>
    <row r="265" spans="1:26" ht="13" x14ac:dyDescent="0.3"/>
    <row r="266" spans="1:26" ht="13" x14ac:dyDescent="0.3"/>
    <row r="267" spans="1:26" ht="13" x14ac:dyDescent="0.3"/>
    <row r="268" spans="1:26" ht="13" x14ac:dyDescent="0.3"/>
    <row r="269" spans="1:26" ht="13" x14ac:dyDescent="0.3"/>
    <row r="270" spans="1:26" ht="13" x14ac:dyDescent="0.3"/>
    <row r="271" spans="1:26" ht="13" x14ac:dyDescent="0.3"/>
    <row r="272" spans="1:26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  <row r="1000" ht="13" x14ac:dyDescent="0.3"/>
    <row r="1001" ht="13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9915-6BD9-48EC-B4B4-A9F0A9057139}">
  <dimension ref="A1:AB193"/>
  <sheetViews>
    <sheetView zoomScale="81" zoomScaleNormal="130" workbookViewId="0">
      <selection activeCell="T133" sqref="T133:T134"/>
    </sheetView>
  </sheetViews>
  <sheetFormatPr defaultColWidth="9" defaultRowHeight="13" x14ac:dyDescent="0.3"/>
  <cols>
    <col min="2" max="25" width="9.296875" customWidth="1"/>
  </cols>
  <sheetData>
    <row r="1" spans="1:26" ht="15" thickBot="1" x14ac:dyDescent="0.4">
      <c r="A1" s="958" t="s">
        <v>168</v>
      </c>
      <c r="B1" s="959"/>
      <c r="C1" s="959"/>
      <c r="D1" s="959"/>
      <c r="E1" s="959"/>
      <c r="F1" s="959"/>
      <c r="G1" s="959"/>
      <c r="H1" s="959"/>
      <c r="I1" s="959"/>
      <c r="J1" s="959"/>
      <c r="K1" s="959"/>
      <c r="L1" s="959"/>
      <c r="M1" s="959"/>
      <c r="N1" s="959"/>
      <c r="O1" s="959"/>
      <c r="P1" s="959"/>
      <c r="Q1" s="959"/>
      <c r="R1" s="959"/>
      <c r="S1" s="959"/>
      <c r="T1" s="959"/>
      <c r="U1" s="959"/>
      <c r="V1" s="959"/>
      <c r="W1" s="959"/>
      <c r="X1" s="959"/>
      <c r="Y1" s="960"/>
    </row>
    <row r="2" spans="1:26" ht="15" thickBot="1" x14ac:dyDescent="0.4">
      <c r="A2" s="961" t="s">
        <v>567</v>
      </c>
      <c r="B2" s="962"/>
      <c r="C2" s="962"/>
      <c r="D2" s="962"/>
      <c r="E2" s="962"/>
      <c r="F2" s="962"/>
      <c r="G2" s="962"/>
      <c r="H2" s="962"/>
      <c r="I2" s="962"/>
      <c r="J2" s="962"/>
      <c r="K2" s="962"/>
      <c r="L2" s="962"/>
      <c r="M2" s="962"/>
      <c r="N2" s="962"/>
      <c r="O2" s="962"/>
      <c r="P2" s="962"/>
      <c r="Q2" s="962"/>
      <c r="R2" s="962"/>
      <c r="S2" s="962"/>
      <c r="T2" s="962"/>
      <c r="U2" s="962"/>
      <c r="V2" s="962"/>
      <c r="W2" s="962"/>
      <c r="X2" s="962"/>
      <c r="Y2" s="963"/>
      <c r="Z2" s="453"/>
    </row>
    <row r="3" spans="1:26" ht="15" thickBot="1" x14ac:dyDescent="0.4">
      <c r="A3" s="638"/>
      <c r="B3" s="964" t="s">
        <v>169</v>
      </c>
      <c r="C3" s="807"/>
      <c r="D3" s="485">
        <v>46</v>
      </c>
      <c r="E3" s="486" t="s">
        <v>568</v>
      </c>
      <c r="F3" s="964" t="s">
        <v>170</v>
      </c>
      <c r="G3" s="807"/>
      <c r="H3" s="487">
        <v>5</v>
      </c>
      <c r="I3" s="488" t="s">
        <v>569</v>
      </c>
      <c r="J3" s="965" t="s">
        <v>171</v>
      </c>
      <c r="K3" s="807"/>
      <c r="L3" s="487"/>
      <c r="M3" s="490" t="s">
        <v>734</v>
      </c>
      <c r="N3" s="964" t="s">
        <v>172</v>
      </c>
      <c r="O3" s="807"/>
      <c r="P3" s="491" t="s">
        <v>570</v>
      </c>
      <c r="Q3" s="488">
        <v>113.292</v>
      </c>
      <c r="R3" s="964" t="s">
        <v>173</v>
      </c>
      <c r="S3" s="807"/>
      <c r="T3" s="485" t="s">
        <v>571</v>
      </c>
      <c r="U3" s="488">
        <v>113.292</v>
      </c>
      <c r="V3" s="489" t="s">
        <v>174</v>
      </c>
      <c r="W3" s="966">
        <f ca="1">TODAY()</f>
        <v>46035</v>
      </c>
      <c r="X3" s="967"/>
      <c r="Y3" s="639"/>
      <c r="Z3" s="453"/>
    </row>
    <row r="4" spans="1:26" ht="14.5" x14ac:dyDescent="0.35">
      <c r="A4" s="638"/>
      <c r="B4" s="949" t="s">
        <v>175</v>
      </c>
      <c r="C4" s="952" t="s">
        <v>23</v>
      </c>
      <c r="D4" s="770"/>
      <c r="E4" s="770" t="s">
        <v>177</v>
      </c>
      <c r="F4" s="770" t="s">
        <v>178</v>
      </c>
      <c r="G4" s="957" t="s">
        <v>179</v>
      </c>
      <c r="H4" s="968">
        <v>18</v>
      </c>
      <c r="I4" s="969" t="s">
        <v>122</v>
      </c>
      <c r="J4" s="492"/>
      <c r="K4" s="492"/>
      <c r="L4" s="493"/>
      <c r="M4" s="971"/>
      <c r="N4" s="494"/>
      <c r="O4" s="493"/>
      <c r="P4" s="495"/>
      <c r="Q4" s="496"/>
      <c r="R4" s="170"/>
      <c r="S4" s="495"/>
      <c r="T4" s="492"/>
      <c r="U4" s="494"/>
      <c r="V4" s="170"/>
      <c r="W4" s="495"/>
      <c r="X4" s="490"/>
      <c r="Y4" s="639"/>
      <c r="Z4" s="453"/>
    </row>
    <row r="5" spans="1:26" ht="14.5" x14ac:dyDescent="0.35">
      <c r="A5" s="638"/>
      <c r="B5" s="950"/>
      <c r="C5" s="953"/>
      <c r="D5" s="955"/>
      <c r="E5" s="955"/>
      <c r="F5" s="955"/>
      <c r="G5" s="955"/>
      <c r="H5" s="955"/>
      <c r="I5" s="970"/>
      <c r="J5" s="497" t="s">
        <v>181</v>
      </c>
      <c r="K5" s="498"/>
      <c r="L5" s="499"/>
      <c r="M5" s="972"/>
      <c r="N5" s="500"/>
      <c r="O5" s="499"/>
      <c r="P5" s="173" t="s">
        <v>182</v>
      </c>
      <c r="Q5" s="500"/>
      <c r="R5" s="501" t="s">
        <v>183</v>
      </c>
      <c r="S5" s="497"/>
      <c r="T5" s="498"/>
      <c r="U5" s="173"/>
      <c r="V5" s="973"/>
      <c r="W5" s="940"/>
      <c r="X5" s="175"/>
      <c r="Y5" s="639"/>
      <c r="Z5" s="453"/>
    </row>
    <row r="6" spans="1:26" ht="15" thickBot="1" x14ac:dyDescent="0.4">
      <c r="A6" s="638"/>
      <c r="B6" s="951"/>
      <c r="C6" s="954"/>
      <c r="D6" s="956"/>
      <c r="E6" s="956"/>
      <c r="F6" s="956"/>
      <c r="G6" s="956"/>
      <c r="H6" s="956"/>
      <c r="I6" s="757"/>
      <c r="J6" s="503" t="s">
        <v>184</v>
      </c>
      <c r="K6" s="498"/>
      <c r="L6" s="499"/>
      <c r="M6" s="498"/>
      <c r="N6" s="500"/>
      <c r="O6" s="499"/>
      <c r="P6" s="498"/>
      <c r="Q6" s="173"/>
      <c r="R6" s="504"/>
      <c r="S6" s="505"/>
      <c r="T6" s="505"/>
      <c r="U6" s="173"/>
      <c r="V6" s="506" t="s">
        <v>185</v>
      </c>
      <c r="W6" s="505"/>
      <c r="X6" s="175"/>
      <c r="Y6" s="639"/>
      <c r="Z6" s="453"/>
    </row>
    <row r="7" spans="1:26" ht="14.5" x14ac:dyDescent="0.35">
      <c r="A7" s="638"/>
      <c r="B7" s="507" t="s">
        <v>186</v>
      </c>
      <c r="C7" s="508" t="s">
        <v>154</v>
      </c>
      <c r="D7" s="509">
        <v>136</v>
      </c>
      <c r="E7" s="509">
        <v>47</v>
      </c>
      <c r="F7" s="509">
        <v>21</v>
      </c>
      <c r="G7" s="509">
        <v>12</v>
      </c>
      <c r="H7" s="509">
        <f t="shared" ref="H7:H14" si="0">SUM(D7:G7)</f>
        <v>216</v>
      </c>
      <c r="I7" s="510">
        <f>H7</f>
        <v>216</v>
      </c>
      <c r="J7" s="944" t="s">
        <v>191</v>
      </c>
      <c r="K7" s="946" t="s">
        <v>187</v>
      </c>
      <c r="L7" s="498"/>
      <c r="M7" s="498" t="s">
        <v>188</v>
      </c>
      <c r="N7" s="500"/>
      <c r="O7" s="499"/>
      <c r="P7" s="498"/>
      <c r="Q7" s="500"/>
      <c r="R7" s="499" t="s">
        <v>189</v>
      </c>
      <c r="S7" s="505"/>
      <c r="T7" s="505"/>
      <c r="U7" s="173"/>
      <c r="V7" s="948"/>
      <c r="W7" s="940"/>
      <c r="X7" s="175"/>
      <c r="Y7" s="639"/>
      <c r="Z7" s="453"/>
    </row>
    <row r="8" spans="1:26" ht="14.5" x14ac:dyDescent="0.35">
      <c r="A8" s="638"/>
      <c r="B8" s="507" t="s">
        <v>190</v>
      </c>
      <c r="C8" s="508" t="s">
        <v>154</v>
      </c>
      <c r="D8" s="509">
        <v>8</v>
      </c>
      <c r="E8" s="509">
        <v>2</v>
      </c>
      <c r="F8" s="509">
        <v>1</v>
      </c>
      <c r="G8" s="509">
        <v>9</v>
      </c>
      <c r="H8" s="509">
        <f t="shared" si="0"/>
        <v>20</v>
      </c>
      <c r="I8" s="510">
        <f t="shared" ref="I8:I14" si="1">H8</f>
        <v>20</v>
      </c>
      <c r="J8" s="945"/>
      <c r="K8" s="947"/>
      <c r="L8" s="498"/>
      <c r="M8" s="498"/>
      <c r="N8" s="500"/>
      <c r="O8" s="499"/>
      <c r="P8" s="498"/>
      <c r="Q8" s="500"/>
      <c r="R8" s="504"/>
      <c r="S8" s="505"/>
      <c r="T8" s="505"/>
      <c r="U8" s="173"/>
      <c r="V8" s="504"/>
      <c r="W8" s="505"/>
      <c r="X8" s="175"/>
      <c r="Y8" s="639"/>
      <c r="Z8" s="453"/>
    </row>
    <row r="9" spans="1:26" ht="14.5" x14ac:dyDescent="0.35">
      <c r="A9" s="638"/>
      <c r="B9" s="507" t="s">
        <v>192</v>
      </c>
      <c r="C9" s="508" t="s">
        <v>154</v>
      </c>
      <c r="D9" s="509">
        <v>11</v>
      </c>
      <c r="E9" s="509">
        <v>2</v>
      </c>
      <c r="F9" s="509">
        <v>4</v>
      </c>
      <c r="G9" s="509">
        <v>1</v>
      </c>
      <c r="H9" s="509">
        <f t="shared" si="0"/>
        <v>18</v>
      </c>
      <c r="I9" s="510">
        <f t="shared" si="1"/>
        <v>18</v>
      </c>
      <c r="J9" s="511"/>
      <c r="K9" s="512"/>
      <c r="L9" s="498"/>
      <c r="M9" s="498"/>
      <c r="N9" s="500"/>
      <c r="O9" s="499" t="s">
        <v>193</v>
      </c>
      <c r="P9" s="498"/>
      <c r="Q9" s="500"/>
      <c r="R9" s="504"/>
      <c r="S9" s="505"/>
      <c r="T9" s="505"/>
      <c r="U9" s="173"/>
      <c r="V9" s="504"/>
      <c r="W9" s="505"/>
      <c r="X9" s="175"/>
      <c r="Y9" s="639"/>
      <c r="Z9" s="453"/>
    </row>
    <row r="10" spans="1:26" ht="14.5" x14ac:dyDescent="0.35">
      <c r="A10" s="638"/>
      <c r="B10" s="507" t="s">
        <v>194</v>
      </c>
      <c r="C10" s="508" t="s">
        <v>154</v>
      </c>
      <c r="D10" s="509">
        <v>10</v>
      </c>
      <c r="E10" s="509">
        <v>2</v>
      </c>
      <c r="F10" s="509">
        <v>1</v>
      </c>
      <c r="G10" s="509">
        <v>4</v>
      </c>
      <c r="H10" s="509">
        <f t="shared" si="0"/>
        <v>17</v>
      </c>
      <c r="I10" s="510">
        <f t="shared" si="1"/>
        <v>17</v>
      </c>
      <c r="J10" s="511"/>
      <c r="K10" s="513"/>
      <c r="L10" s="499"/>
      <c r="M10" s="498"/>
      <c r="N10" s="500"/>
      <c r="O10" s="499"/>
      <c r="P10" s="498"/>
      <c r="Q10" s="500"/>
      <c r="R10" s="504"/>
      <c r="S10" s="505"/>
      <c r="T10" s="505"/>
      <c r="U10" s="173"/>
      <c r="V10" s="504"/>
      <c r="W10" s="505"/>
      <c r="X10" s="175"/>
      <c r="Y10" s="639"/>
      <c r="Z10" s="453"/>
    </row>
    <row r="11" spans="1:26" ht="14.5" x14ac:dyDescent="0.35">
      <c r="A11" s="638"/>
      <c r="B11" s="507" t="s">
        <v>195</v>
      </c>
      <c r="C11" s="508" t="s">
        <v>154</v>
      </c>
      <c r="D11" s="509">
        <v>3</v>
      </c>
      <c r="E11" s="509">
        <v>3</v>
      </c>
      <c r="F11" s="509">
        <v>1</v>
      </c>
      <c r="G11" s="509">
        <v>0</v>
      </c>
      <c r="H11" s="509">
        <f t="shared" si="0"/>
        <v>7</v>
      </c>
      <c r="I11" s="510">
        <f t="shared" si="1"/>
        <v>7</v>
      </c>
      <c r="J11" s="514"/>
      <c r="K11" s="515"/>
      <c r="L11" s="516"/>
      <c r="M11" s="515"/>
      <c r="N11" s="517"/>
      <c r="O11" s="428"/>
      <c r="P11" s="515"/>
      <c r="Q11" s="517"/>
      <c r="R11" s="504"/>
      <c r="S11" s="505" t="s">
        <v>196</v>
      </c>
      <c r="T11" s="505"/>
      <c r="U11" s="173"/>
      <c r="V11" s="504"/>
      <c r="W11" s="505"/>
      <c r="X11" s="175"/>
      <c r="Y11" s="639"/>
      <c r="Z11" s="453"/>
    </row>
    <row r="12" spans="1:26" ht="14.5" x14ac:dyDescent="0.35">
      <c r="A12" s="638"/>
      <c r="B12" s="507" t="s">
        <v>197</v>
      </c>
      <c r="C12" s="508" t="s">
        <v>154</v>
      </c>
      <c r="D12" s="509">
        <v>0</v>
      </c>
      <c r="E12" s="509">
        <v>0</v>
      </c>
      <c r="F12" s="509">
        <v>0</v>
      </c>
      <c r="G12" s="509">
        <v>0</v>
      </c>
      <c r="H12" s="509">
        <f t="shared" si="0"/>
        <v>0</v>
      </c>
      <c r="I12" s="510">
        <f t="shared" si="1"/>
        <v>0</v>
      </c>
      <c r="J12" s="514"/>
      <c r="K12" s="515"/>
      <c r="L12" s="516"/>
      <c r="M12" s="515"/>
      <c r="N12" s="517"/>
      <c r="O12" s="499"/>
      <c r="P12" s="515"/>
      <c r="Q12" s="173" t="s">
        <v>184</v>
      </c>
      <c r="R12" s="504"/>
      <c r="S12" s="505" t="s">
        <v>201</v>
      </c>
      <c r="T12" s="505"/>
      <c r="U12" s="173"/>
      <c r="V12" s="504"/>
      <c r="W12" s="505"/>
      <c r="X12" s="175"/>
      <c r="Y12" s="639"/>
      <c r="Z12" s="453"/>
    </row>
    <row r="13" spans="1:26" ht="21" x14ac:dyDescent="0.35">
      <c r="A13" s="638"/>
      <c r="B13" s="507" t="s">
        <v>198</v>
      </c>
      <c r="C13" s="508" t="s">
        <v>154</v>
      </c>
      <c r="D13" s="509">
        <v>3</v>
      </c>
      <c r="E13" s="509">
        <v>1</v>
      </c>
      <c r="F13" s="509">
        <v>1</v>
      </c>
      <c r="G13" s="509">
        <v>4</v>
      </c>
      <c r="H13" s="509">
        <f t="shared" si="0"/>
        <v>9</v>
      </c>
      <c r="I13" s="510">
        <f t="shared" si="1"/>
        <v>9</v>
      </c>
      <c r="J13" s="518" t="s">
        <v>199</v>
      </c>
      <c r="K13" s="519" t="s">
        <v>200</v>
      </c>
      <c r="L13" s="504"/>
      <c r="M13" s="505"/>
      <c r="N13" s="173"/>
      <c r="O13" s="504"/>
      <c r="P13" s="498"/>
      <c r="Q13" s="500"/>
      <c r="R13" s="504"/>
      <c r="S13" s="453"/>
      <c r="T13" s="497"/>
      <c r="U13" s="520"/>
      <c r="V13" s="939" t="s">
        <v>572</v>
      </c>
      <c r="W13" s="940"/>
      <c r="X13" s="521"/>
      <c r="Y13" s="639"/>
      <c r="Z13" s="453"/>
    </row>
    <row r="14" spans="1:26" ht="15" thickBot="1" x14ac:dyDescent="0.4">
      <c r="A14" s="638"/>
      <c r="B14" s="522" t="s">
        <v>203</v>
      </c>
      <c r="C14" s="523" t="s">
        <v>154</v>
      </c>
      <c r="D14" s="524">
        <v>2</v>
      </c>
      <c r="E14" s="524">
        <v>2</v>
      </c>
      <c r="F14" s="524">
        <v>0</v>
      </c>
      <c r="G14" s="524">
        <v>1</v>
      </c>
      <c r="H14" s="524">
        <f t="shared" si="0"/>
        <v>5</v>
      </c>
      <c r="I14" s="510">
        <f t="shared" si="1"/>
        <v>5</v>
      </c>
      <c r="J14" s="525" t="s">
        <v>204</v>
      </c>
      <c r="K14" s="519" t="s">
        <v>205</v>
      </c>
      <c r="L14" s="526"/>
      <c r="M14" s="527" t="s">
        <v>48</v>
      </c>
      <c r="N14" s="528"/>
      <c r="O14" s="498"/>
      <c r="P14" s="941" t="s">
        <v>52</v>
      </c>
      <c r="Q14" s="528"/>
      <c r="R14" s="504" t="s">
        <v>69</v>
      </c>
      <c r="S14" s="505"/>
      <c r="T14" s="505"/>
      <c r="U14" s="173"/>
      <c r="V14" s="502" t="s">
        <v>206</v>
      </c>
      <c r="W14" s="505"/>
      <c r="X14" s="175"/>
      <c r="Y14" s="639"/>
      <c r="Z14" s="453"/>
    </row>
    <row r="15" spans="1:26" ht="15" thickBot="1" x14ac:dyDescent="0.4">
      <c r="A15" s="638"/>
      <c r="B15" s="942" t="s">
        <v>207</v>
      </c>
      <c r="C15" s="808"/>
      <c r="D15" s="808"/>
      <c r="E15" s="808"/>
      <c r="F15" s="808"/>
      <c r="G15" s="943"/>
      <c r="H15" s="529">
        <v>46</v>
      </c>
      <c r="I15" s="530">
        <f>292-H15</f>
        <v>246</v>
      </c>
      <c r="J15" s="531"/>
      <c r="K15" s="532"/>
      <c r="L15" s="533"/>
      <c r="M15" s="534"/>
      <c r="N15" s="535"/>
      <c r="O15" s="536"/>
      <c r="P15" s="808"/>
      <c r="Q15" s="535"/>
      <c r="R15" s="537"/>
      <c r="S15" s="538"/>
      <c r="T15" s="538"/>
      <c r="U15" s="539"/>
      <c r="V15" s="540"/>
      <c r="W15" s="538"/>
      <c r="X15" s="541"/>
      <c r="Y15" s="640"/>
      <c r="Z15" s="453"/>
    </row>
    <row r="16" spans="1:26" ht="14.5" x14ac:dyDescent="0.35">
      <c r="A16" s="638"/>
      <c r="B16" s="542" t="s">
        <v>573</v>
      </c>
      <c r="C16" s="542"/>
      <c r="D16" s="542"/>
      <c r="E16" s="505"/>
      <c r="F16" s="505" t="s">
        <v>721</v>
      </c>
      <c r="G16" s="546"/>
      <c r="H16" s="546"/>
      <c r="I16" s="498"/>
      <c r="J16" s="498"/>
      <c r="K16" s="498"/>
      <c r="L16" s="498"/>
      <c r="M16" s="498"/>
      <c r="N16" s="544"/>
      <c r="O16" s="545"/>
      <c r="P16" s="513"/>
      <c r="Q16" s="498"/>
      <c r="R16" s="505"/>
      <c r="S16" s="505"/>
      <c r="T16" s="505"/>
      <c r="U16" s="505"/>
      <c r="V16" s="546"/>
      <c r="W16" s="546"/>
      <c r="X16" s="505"/>
      <c r="Y16" s="641"/>
      <c r="Z16" s="453"/>
    </row>
    <row r="17" spans="1:26" ht="14.5" x14ac:dyDescent="0.35">
      <c r="A17" s="638"/>
      <c r="B17" s="542"/>
      <c r="C17" s="542"/>
      <c r="D17" s="542"/>
      <c r="E17" s="719" t="s">
        <v>720</v>
      </c>
      <c r="F17" s="719"/>
      <c r="G17" s="546"/>
      <c r="H17" s="546"/>
      <c r="I17" s="498"/>
      <c r="J17" s="498"/>
      <c r="K17" s="498"/>
      <c r="L17" s="498"/>
      <c r="M17" s="498"/>
      <c r="N17" s="544"/>
      <c r="O17" s="545"/>
      <c r="P17" s="513"/>
      <c r="Q17" s="498"/>
      <c r="R17" s="505"/>
      <c r="S17" s="505"/>
      <c r="T17" s="505"/>
      <c r="U17" s="505"/>
      <c r="V17" s="546"/>
      <c r="W17" s="546"/>
      <c r="X17" s="505"/>
      <c r="Y17" s="642"/>
      <c r="Z17" s="453"/>
    </row>
    <row r="18" spans="1:26" ht="15.5" x14ac:dyDescent="0.35">
      <c r="A18" s="638"/>
      <c r="B18" s="547" t="s">
        <v>574</v>
      </c>
      <c r="C18" s="548"/>
      <c r="D18" s="542"/>
      <c r="E18" s="543"/>
      <c r="F18" s="543"/>
      <c r="G18" s="543"/>
      <c r="H18" s="543"/>
      <c r="I18" s="498"/>
      <c r="J18" s="498"/>
      <c r="K18" s="498"/>
      <c r="L18" s="498"/>
      <c r="M18" s="498"/>
      <c r="N18" s="544"/>
      <c r="O18" s="545"/>
      <c r="P18" s="513"/>
      <c r="Q18" s="498"/>
      <c r="R18" s="719"/>
      <c r="S18" s="719"/>
      <c r="T18" s="719"/>
      <c r="U18" s="719"/>
      <c r="V18" s="546"/>
      <c r="W18" s="546"/>
      <c r="X18" s="505"/>
      <c r="Y18" s="642"/>
      <c r="Z18" s="453"/>
    </row>
    <row r="19" spans="1:26" ht="14.5" x14ac:dyDescent="0.35">
      <c r="A19" s="638"/>
      <c r="B19" s="498"/>
      <c r="C19" s="549"/>
      <c r="D19" s="498"/>
      <c r="E19" s="498"/>
      <c r="F19" s="498"/>
      <c r="G19" s="545"/>
      <c r="H19" s="498"/>
      <c r="I19" s="549"/>
      <c r="J19" s="498"/>
      <c r="K19" s="498"/>
      <c r="L19" s="498"/>
      <c r="M19" s="498"/>
      <c r="N19" s="498"/>
      <c r="O19" s="498"/>
      <c r="P19" s="498"/>
      <c r="Q19" s="498"/>
      <c r="R19" s="498"/>
      <c r="S19" s="498"/>
      <c r="T19" s="498"/>
      <c r="U19" s="498"/>
      <c r="V19" s="498"/>
      <c r="W19" s="498"/>
      <c r="X19" s="498"/>
      <c r="Y19" s="643"/>
      <c r="Z19" s="453"/>
    </row>
    <row r="20" spans="1:26" ht="15" thickBot="1" x14ac:dyDescent="0.4">
      <c r="A20" s="638"/>
      <c r="B20" s="550"/>
      <c r="C20" s="498"/>
      <c r="D20" s="550"/>
      <c r="E20" s="551"/>
      <c r="F20" s="550"/>
      <c r="G20" s="550"/>
      <c r="H20" s="550"/>
      <c r="I20" s="498"/>
      <c r="J20" s="550"/>
      <c r="K20" s="550"/>
      <c r="L20" s="550"/>
      <c r="M20" s="550"/>
      <c r="N20" s="550"/>
      <c r="O20" s="550"/>
      <c r="P20" s="550"/>
      <c r="Q20" s="552"/>
      <c r="R20" s="550"/>
      <c r="S20" s="552"/>
      <c r="T20" s="550"/>
      <c r="U20" s="552"/>
      <c r="V20" s="550"/>
      <c r="W20" s="552"/>
      <c r="X20" s="550"/>
      <c r="Y20" s="644"/>
      <c r="Z20" s="453"/>
    </row>
    <row r="21" spans="1:26" ht="14.4" customHeight="1" x14ac:dyDescent="0.35">
      <c r="A21" s="638"/>
      <c r="B21" s="911"/>
      <c r="C21" s="586">
        <v>411</v>
      </c>
      <c r="D21" s="913"/>
      <c r="E21" s="586">
        <v>432</v>
      </c>
      <c r="F21" s="913"/>
      <c r="G21" s="586">
        <v>411</v>
      </c>
      <c r="H21" s="913"/>
      <c r="I21" s="586">
        <v>432</v>
      </c>
      <c r="J21" s="913"/>
      <c r="K21" s="586">
        <v>411</v>
      </c>
      <c r="L21" s="913"/>
      <c r="M21" s="586">
        <v>432</v>
      </c>
      <c r="N21" s="913"/>
      <c r="O21" s="586">
        <v>411</v>
      </c>
      <c r="P21" s="913"/>
      <c r="Q21" s="586">
        <v>374.43700000000001</v>
      </c>
      <c r="R21" s="911"/>
      <c r="S21" s="586">
        <v>376.00299999999999</v>
      </c>
      <c r="T21" s="913"/>
      <c r="U21" s="586">
        <v>405</v>
      </c>
      <c r="V21" s="915" t="s">
        <v>575</v>
      </c>
      <c r="W21" s="586">
        <v>340</v>
      </c>
      <c r="X21" s="913"/>
      <c r="Y21" s="645">
        <v>397</v>
      </c>
      <c r="Z21" s="453"/>
    </row>
    <row r="22" spans="1:26" ht="15" customHeight="1" thickBot="1" x14ac:dyDescent="0.4">
      <c r="A22" s="638"/>
      <c r="B22" s="912"/>
      <c r="C22" s="550"/>
      <c r="D22" s="938"/>
      <c r="E22" s="550"/>
      <c r="F22" s="938"/>
      <c r="G22" s="550"/>
      <c r="H22" s="938"/>
      <c r="I22" s="550"/>
      <c r="J22" s="938"/>
      <c r="K22" s="550"/>
      <c r="L22" s="938"/>
      <c r="M22" s="550"/>
      <c r="N22" s="938"/>
      <c r="O22" s="550"/>
      <c r="P22" s="938"/>
      <c r="Q22" s="550"/>
      <c r="R22" s="912"/>
      <c r="S22" s="550"/>
      <c r="T22" s="938"/>
      <c r="U22" s="550"/>
      <c r="V22" s="916"/>
      <c r="W22" s="550"/>
      <c r="X22" s="938"/>
      <c r="Y22" s="646"/>
      <c r="Z22" s="453"/>
    </row>
    <row r="23" spans="1:26" ht="14.5" x14ac:dyDescent="0.35">
      <c r="A23" s="638"/>
      <c r="B23" s="587" t="s">
        <v>576</v>
      </c>
      <c r="C23" s="543"/>
      <c r="D23" s="587" t="s">
        <v>209</v>
      </c>
      <c r="E23" s="543"/>
      <c r="F23" s="587" t="s">
        <v>210</v>
      </c>
      <c r="G23" s="543"/>
      <c r="H23" s="587" t="s">
        <v>211</v>
      </c>
      <c r="I23" s="543"/>
      <c r="J23" s="587" t="s">
        <v>212</v>
      </c>
      <c r="K23" s="543"/>
      <c r="L23" s="587" t="s">
        <v>213</v>
      </c>
      <c r="M23" s="543"/>
      <c r="N23" s="587" t="s">
        <v>214</v>
      </c>
      <c r="O23" s="543"/>
      <c r="P23" s="587" t="s">
        <v>215</v>
      </c>
      <c r="Q23" s="588"/>
      <c r="R23" s="587" t="s">
        <v>577</v>
      </c>
      <c r="S23" s="588"/>
      <c r="T23" s="587" t="s">
        <v>216</v>
      </c>
      <c r="U23" s="550"/>
      <c r="V23" s="587" t="s">
        <v>217</v>
      </c>
      <c r="W23" s="588"/>
      <c r="X23" s="587" t="s">
        <v>218</v>
      </c>
      <c r="Y23" s="647"/>
      <c r="Z23" s="453"/>
    </row>
    <row r="24" spans="1:26" ht="14.5" x14ac:dyDescent="0.35">
      <c r="A24" s="638"/>
      <c r="B24" s="543" t="s">
        <v>578</v>
      </c>
      <c r="C24" s="589"/>
      <c r="D24" s="543" t="s">
        <v>220</v>
      </c>
      <c r="E24" s="543"/>
      <c r="F24" s="543" t="s">
        <v>221</v>
      </c>
      <c r="G24" s="590"/>
      <c r="H24" s="543" t="s">
        <v>220</v>
      </c>
      <c r="I24" s="543"/>
      <c r="J24" s="543" t="s">
        <v>222</v>
      </c>
      <c r="K24" s="543"/>
      <c r="L24" s="543" t="s">
        <v>222</v>
      </c>
      <c r="M24" s="543"/>
      <c r="N24" s="543" t="s">
        <v>222</v>
      </c>
      <c r="O24" s="543"/>
      <c r="P24" s="543" t="s">
        <v>222</v>
      </c>
      <c r="Q24" s="558"/>
      <c r="R24" s="543" t="s">
        <v>223</v>
      </c>
      <c r="S24" s="648"/>
      <c r="T24" s="543" t="s">
        <v>221</v>
      </c>
      <c r="U24" s="543"/>
      <c r="V24" s="543" t="s">
        <v>221</v>
      </c>
      <c r="W24" s="543"/>
      <c r="X24" s="543" t="s">
        <v>221</v>
      </c>
      <c r="Y24" s="649"/>
      <c r="Z24" s="453"/>
    </row>
    <row r="25" spans="1:26" ht="14.4" customHeight="1" x14ac:dyDescent="0.35">
      <c r="A25" s="638"/>
      <c r="B25" s="976">
        <v>3.3140000000000001</v>
      </c>
      <c r="C25" s="977"/>
      <c r="D25" s="977"/>
      <c r="E25" s="977"/>
      <c r="F25" s="977"/>
      <c r="G25" s="977"/>
      <c r="H25" s="977"/>
      <c r="I25" s="977"/>
      <c r="J25" s="977"/>
      <c r="K25" s="977"/>
      <c r="L25" s="977"/>
      <c r="M25" s="977"/>
      <c r="N25" s="977"/>
      <c r="O25" s="977"/>
      <c r="P25" s="977"/>
      <c r="Q25" s="978"/>
      <c r="R25" s="566"/>
      <c r="S25" s="565"/>
      <c r="T25" s="565"/>
      <c r="U25" s="565"/>
      <c r="V25" s="565"/>
      <c r="W25" s="565"/>
      <c r="X25" s="567"/>
      <c r="Y25" s="650">
        <v>4.8319999999999999</v>
      </c>
      <c r="Z25" s="453"/>
    </row>
    <row r="26" spans="1:26" ht="14.5" x14ac:dyDescent="0.35">
      <c r="A26" s="638"/>
      <c r="B26" s="986"/>
      <c r="C26" s="986"/>
      <c r="D26" s="986"/>
      <c r="E26" s="986"/>
      <c r="F26" s="986"/>
      <c r="G26" s="986"/>
      <c r="H26" s="986"/>
      <c r="I26" s="986"/>
      <c r="J26" s="986"/>
      <c r="K26" s="986"/>
      <c r="L26" s="986"/>
      <c r="M26" s="986"/>
      <c r="N26" s="986"/>
      <c r="O26" s="986"/>
      <c r="P26" s="986"/>
      <c r="Q26" s="986"/>
      <c r="R26" s="986"/>
      <c r="S26" s="986"/>
      <c r="T26" s="986"/>
      <c r="U26" s="986"/>
      <c r="V26" s="986"/>
      <c r="W26" s="986"/>
      <c r="X26" s="986"/>
      <c r="Y26" s="987"/>
      <c r="Z26" s="453"/>
    </row>
    <row r="27" spans="1:26" ht="15" thickBot="1" x14ac:dyDescent="0.4">
      <c r="A27" s="638"/>
      <c r="B27" s="550"/>
      <c r="C27" s="560"/>
      <c r="D27" s="550"/>
      <c r="E27" s="560"/>
      <c r="F27" s="550"/>
      <c r="G27" s="560"/>
      <c r="H27" s="550"/>
      <c r="I27" s="560"/>
      <c r="J27" s="550"/>
      <c r="K27" s="560"/>
      <c r="L27" s="550"/>
      <c r="M27" s="560"/>
      <c r="N27" s="550"/>
      <c r="O27" s="560"/>
      <c r="P27" s="550"/>
      <c r="Q27" s="560"/>
      <c r="R27" s="550"/>
      <c r="S27" s="560"/>
      <c r="T27" s="550"/>
      <c r="U27" s="560"/>
      <c r="V27" s="550"/>
      <c r="W27" s="560"/>
      <c r="X27" s="550"/>
      <c r="Y27" s="651"/>
      <c r="Z27" s="453"/>
    </row>
    <row r="28" spans="1:26" ht="15" customHeight="1" x14ac:dyDescent="0.35">
      <c r="A28" s="652"/>
      <c r="B28" s="913"/>
      <c r="C28" s="586">
        <v>399</v>
      </c>
      <c r="D28" s="915" t="s">
        <v>575</v>
      </c>
      <c r="E28" s="586">
        <v>393</v>
      </c>
      <c r="F28" s="915" t="s">
        <v>575</v>
      </c>
      <c r="G28" s="586">
        <v>370</v>
      </c>
      <c r="H28" s="915" t="s">
        <v>575</v>
      </c>
      <c r="I28" s="586">
        <v>350</v>
      </c>
      <c r="J28" s="915" t="s">
        <v>575</v>
      </c>
      <c r="K28" s="586">
        <v>395</v>
      </c>
      <c r="L28" s="913"/>
      <c r="M28" s="586">
        <v>413</v>
      </c>
      <c r="N28" s="915" t="s">
        <v>575</v>
      </c>
      <c r="O28" s="586">
        <v>366</v>
      </c>
      <c r="P28" s="913"/>
      <c r="Q28" s="586">
        <v>377.77</v>
      </c>
      <c r="R28" s="911"/>
      <c r="S28" s="586">
        <v>300</v>
      </c>
      <c r="T28" s="913"/>
      <c r="U28" s="586">
        <v>393</v>
      </c>
      <c r="V28" s="913"/>
      <c r="W28" s="586">
        <v>415</v>
      </c>
      <c r="X28" s="913"/>
      <c r="Y28" s="645">
        <v>411</v>
      </c>
      <c r="Z28" s="453"/>
    </row>
    <row r="29" spans="1:26" ht="15" customHeight="1" thickBot="1" x14ac:dyDescent="0.4">
      <c r="A29" s="652"/>
      <c r="B29" s="938"/>
      <c r="C29" s="550"/>
      <c r="D29" s="932"/>
      <c r="E29" s="550"/>
      <c r="F29" s="932"/>
      <c r="G29" s="550"/>
      <c r="H29" s="932"/>
      <c r="I29" s="550"/>
      <c r="J29" s="932"/>
      <c r="K29" s="550"/>
      <c r="L29" s="938"/>
      <c r="M29" s="550"/>
      <c r="N29" s="932"/>
      <c r="O29" s="550"/>
      <c r="P29" s="938"/>
      <c r="Q29" s="550"/>
      <c r="R29" s="912"/>
      <c r="S29" s="550"/>
      <c r="T29" s="938"/>
      <c r="U29" s="550"/>
      <c r="V29" s="938"/>
      <c r="W29" s="550"/>
      <c r="X29" s="938"/>
      <c r="Y29" s="646"/>
      <c r="Z29" s="453"/>
    </row>
    <row r="30" spans="1:26" ht="14.5" x14ac:dyDescent="0.35">
      <c r="A30" s="652"/>
      <c r="B30" s="587" t="s">
        <v>224</v>
      </c>
      <c r="C30" s="543"/>
      <c r="D30" s="587" t="s">
        <v>225</v>
      </c>
      <c r="E30" s="588"/>
      <c r="F30" s="587" t="s">
        <v>226</v>
      </c>
      <c r="G30" s="588"/>
      <c r="H30" s="587" t="s">
        <v>227</v>
      </c>
      <c r="I30" s="588"/>
      <c r="J30" s="587" t="s">
        <v>228</v>
      </c>
      <c r="K30" s="588"/>
      <c r="L30" s="587" t="s">
        <v>229</v>
      </c>
      <c r="M30" s="588"/>
      <c r="N30" s="587" t="s">
        <v>230</v>
      </c>
      <c r="O30" s="588"/>
      <c r="P30" s="587" t="s">
        <v>231</v>
      </c>
      <c r="Q30" s="588"/>
      <c r="R30" s="587" t="s">
        <v>579</v>
      </c>
      <c r="S30" s="588"/>
      <c r="T30" s="587" t="s">
        <v>232</v>
      </c>
      <c r="U30" s="550"/>
      <c r="V30" s="587" t="s">
        <v>233</v>
      </c>
      <c r="W30" s="588"/>
      <c r="X30" s="587" t="s">
        <v>234</v>
      </c>
      <c r="Y30" s="647"/>
      <c r="Z30" s="453"/>
    </row>
    <row r="31" spans="1:26" ht="14.5" x14ac:dyDescent="0.35">
      <c r="A31" s="652"/>
      <c r="B31" s="543" t="s">
        <v>221</v>
      </c>
      <c r="C31" s="543"/>
      <c r="D31" s="543" t="s">
        <v>222</v>
      </c>
      <c r="E31" s="543"/>
      <c r="F31" s="543" t="s">
        <v>221</v>
      </c>
      <c r="G31" s="543"/>
      <c r="H31" s="543" t="s">
        <v>221</v>
      </c>
      <c r="I31" s="543"/>
      <c r="J31" s="543" t="s">
        <v>221</v>
      </c>
      <c r="K31" s="543"/>
      <c r="L31" s="543" t="s">
        <v>221</v>
      </c>
      <c r="M31" s="543"/>
      <c r="N31" s="543" t="s">
        <v>221</v>
      </c>
      <c r="O31" s="543"/>
      <c r="P31" s="543" t="s">
        <v>221</v>
      </c>
      <c r="Q31" s="558"/>
      <c r="R31" s="543" t="s">
        <v>235</v>
      </c>
      <c r="S31" s="543"/>
      <c r="T31" s="543" t="s">
        <v>221</v>
      </c>
      <c r="U31" s="543"/>
      <c r="V31" s="543" t="s">
        <v>221</v>
      </c>
      <c r="W31" s="543"/>
      <c r="X31" s="543" t="s">
        <v>222</v>
      </c>
      <c r="Y31" s="649"/>
      <c r="Z31" s="453"/>
    </row>
    <row r="32" spans="1:26" ht="15.5" x14ac:dyDescent="0.35">
      <c r="A32" s="638"/>
      <c r="B32" s="975">
        <v>4.5819999999999999</v>
      </c>
      <c r="C32" s="975"/>
      <c r="D32" s="975"/>
      <c r="E32" s="975"/>
      <c r="F32" s="975"/>
      <c r="G32" s="975"/>
      <c r="H32" s="975"/>
      <c r="I32" s="975"/>
      <c r="J32" s="975"/>
      <c r="K32" s="975"/>
      <c r="L32" s="975"/>
      <c r="M32" s="975"/>
      <c r="N32" s="975"/>
      <c r="O32" s="975"/>
      <c r="P32" s="975"/>
      <c r="Q32" s="979"/>
      <c r="R32" s="974">
        <v>1.5189999999999999</v>
      </c>
      <c r="S32" s="975"/>
      <c r="T32" s="975"/>
      <c r="U32" s="975"/>
      <c r="V32" s="975"/>
      <c r="W32" s="975"/>
      <c r="X32" s="975"/>
      <c r="Y32" s="653">
        <v>4.5830000000000002</v>
      </c>
      <c r="Z32" s="453"/>
    </row>
    <row r="33" spans="1:28" ht="14.5" x14ac:dyDescent="0.35">
      <c r="A33" s="638"/>
      <c r="B33" s="544"/>
      <c r="C33" s="560"/>
      <c r="D33" s="498"/>
      <c r="E33" s="560"/>
      <c r="F33" s="498"/>
      <c r="G33" s="560"/>
      <c r="H33" s="498"/>
      <c r="I33" s="560"/>
      <c r="J33" s="498"/>
      <c r="K33" s="560"/>
      <c r="L33" s="498"/>
      <c r="M33" s="560"/>
      <c r="N33" s="498"/>
      <c r="O33" s="560"/>
      <c r="P33" s="498"/>
      <c r="Q33" s="560"/>
      <c r="R33" s="498"/>
      <c r="S33" s="560"/>
      <c r="T33" s="498"/>
      <c r="U33" s="560"/>
      <c r="V33" s="498"/>
      <c r="W33" s="560"/>
      <c r="X33" s="560"/>
      <c r="Y33" s="651"/>
      <c r="Z33" s="453"/>
    </row>
    <row r="34" spans="1:28" ht="15" thickBot="1" x14ac:dyDescent="0.4">
      <c r="A34" s="652"/>
      <c r="B34" s="552"/>
      <c r="C34" s="560"/>
      <c r="D34" s="550"/>
      <c r="E34" s="560"/>
      <c r="F34" s="550"/>
      <c r="G34" s="560"/>
      <c r="H34" s="550"/>
      <c r="I34" s="560"/>
      <c r="J34" s="550"/>
      <c r="K34" s="560"/>
      <c r="L34" s="550"/>
      <c r="M34" s="560"/>
      <c r="N34" s="550"/>
      <c r="O34" s="560"/>
      <c r="P34" s="550"/>
      <c r="Q34" s="560"/>
      <c r="R34" s="550"/>
      <c r="S34" s="560"/>
      <c r="T34" s="550"/>
      <c r="U34" s="560"/>
      <c r="V34" s="550"/>
      <c r="W34" s="560"/>
      <c r="X34" s="560"/>
      <c r="Y34" s="651"/>
      <c r="Z34" s="453"/>
      <c r="AB34" s="453"/>
    </row>
    <row r="35" spans="1:28" ht="14.5" x14ac:dyDescent="0.35">
      <c r="A35" s="652"/>
      <c r="B35" s="911"/>
      <c r="C35" s="586">
        <v>378</v>
      </c>
      <c r="D35" s="913"/>
      <c r="E35" s="586">
        <v>370</v>
      </c>
      <c r="F35" s="913"/>
      <c r="G35" s="586">
        <v>370</v>
      </c>
      <c r="H35" s="913"/>
      <c r="I35" s="586">
        <v>404</v>
      </c>
      <c r="J35" s="913"/>
      <c r="K35" s="586">
        <v>374</v>
      </c>
      <c r="L35" s="913"/>
      <c r="M35" s="586">
        <v>416</v>
      </c>
      <c r="N35" s="915" t="s">
        <v>575</v>
      </c>
      <c r="O35" s="586">
        <v>425</v>
      </c>
      <c r="P35" s="915" t="s">
        <v>575</v>
      </c>
      <c r="Q35" s="586">
        <v>411</v>
      </c>
      <c r="R35" s="922" t="s">
        <v>575</v>
      </c>
      <c r="S35" s="586">
        <v>427</v>
      </c>
      <c r="T35" s="913"/>
      <c r="U35" s="586">
        <v>370</v>
      </c>
      <c r="V35" s="915" t="s">
        <v>575</v>
      </c>
      <c r="W35" s="586">
        <v>356</v>
      </c>
      <c r="X35" s="911"/>
      <c r="Y35" s="645">
        <v>459</v>
      </c>
      <c r="Z35" s="636"/>
    </row>
    <row r="36" spans="1:28" ht="15" thickBot="1" x14ac:dyDescent="0.4">
      <c r="A36" s="652"/>
      <c r="B36" s="912"/>
      <c r="C36" s="550"/>
      <c r="D36" s="914"/>
      <c r="E36" s="550"/>
      <c r="F36" s="914"/>
      <c r="G36" s="550"/>
      <c r="H36" s="914"/>
      <c r="I36" s="550"/>
      <c r="J36" s="914"/>
      <c r="K36" s="550"/>
      <c r="L36" s="914"/>
      <c r="M36" s="550"/>
      <c r="N36" s="916"/>
      <c r="O36" s="550"/>
      <c r="P36" s="916"/>
      <c r="Q36" s="550"/>
      <c r="R36" s="923"/>
      <c r="S36" s="550"/>
      <c r="T36" s="914"/>
      <c r="U36" s="550"/>
      <c r="V36" s="916"/>
      <c r="W36" s="550"/>
      <c r="X36" s="912"/>
      <c r="Y36" s="646"/>
      <c r="Z36" s="453"/>
    </row>
    <row r="37" spans="1:28" ht="14.5" x14ac:dyDescent="0.35">
      <c r="A37" s="652"/>
      <c r="B37" s="587" t="s">
        <v>580</v>
      </c>
      <c r="C37" s="543"/>
      <c r="D37" s="587" t="s">
        <v>236</v>
      </c>
      <c r="E37" s="588"/>
      <c r="F37" s="587" t="s">
        <v>237</v>
      </c>
      <c r="G37" s="588"/>
      <c r="H37" s="587" t="s">
        <v>238</v>
      </c>
      <c r="I37" s="588"/>
      <c r="J37" s="587" t="s">
        <v>239</v>
      </c>
      <c r="K37" s="588"/>
      <c r="L37" s="587" t="s">
        <v>240</v>
      </c>
      <c r="M37" s="588"/>
      <c r="N37" s="587" t="s">
        <v>241</v>
      </c>
      <c r="O37" s="588"/>
      <c r="P37" s="587" t="s">
        <v>242</v>
      </c>
      <c r="Q37" s="588"/>
      <c r="R37" s="587" t="s">
        <v>243</v>
      </c>
      <c r="S37" s="588"/>
      <c r="T37" s="587" t="s">
        <v>244</v>
      </c>
      <c r="U37" s="550"/>
      <c r="V37" s="587" t="s">
        <v>245</v>
      </c>
      <c r="W37" s="588"/>
      <c r="X37" s="587" t="s">
        <v>581</v>
      </c>
      <c r="Y37" s="647"/>
      <c r="Z37" s="453"/>
    </row>
    <row r="38" spans="1:28" ht="14.5" x14ac:dyDescent="0.35">
      <c r="A38" s="652"/>
      <c r="B38" s="543" t="s">
        <v>235</v>
      </c>
      <c r="C38" s="543"/>
      <c r="D38" s="543" t="s">
        <v>222</v>
      </c>
      <c r="E38" s="543"/>
      <c r="F38" s="543" t="s">
        <v>221</v>
      </c>
      <c r="G38" s="543"/>
      <c r="H38" s="543" t="s">
        <v>221</v>
      </c>
      <c r="I38" s="543"/>
      <c r="J38" s="543" t="s">
        <v>221</v>
      </c>
      <c r="K38" s="543"/>
      <c r="L38" s="543" t="s">
        <v>221</v>
      </c>
      <c r="M38" s="543"/>
      <c r="N38" s="543" t="s">
        <v>222</v>
      </c>
      <c r="O38" s="543"/>
      <c r="P38" s="543" t="s">
        <v>222</v>
      </c>
      <c r="Q38" s="543"/>
      <c r="R38" s="543" t="s">
        <v>221</v>
      </c>
      <c r="S38" s="543"/>
      <c r="T38" s="543" t="s">
        <v>222</v>
      </c>
      <c r="U38" s="543"/>
      <c r="V38" s="543" t="s">
        <v>221</v>
      </c>
      <c r="W38" s="543"/>
      <c r="X38" s="543" t="s">
        <v>246</v>
      </c>
      <c r="Y38" s="649"/>
      <c r="Z38" s="453"/>
    </row>
    <row r="39" spans="1:28" ht="14.4" customHeight="1" x14ac:dyDescent="0.35">
      <c r="A39" s="638"/>
      <c r="B39" s="976">
        <v>4.3010000000000002</v>
      </c>
      <c r="C39" s="977"/>
      <c r="D39" s="977"/>
      <c r="E39" s="977"/>
      <c r="F39" s="977"/>
      <c r="G39" s="977"/>
      <c r="H39" s="977"/>
      <c r="I39" s="977"/>
      <c r="J39" s="977"/>
      <c r="K39" s="977"/>
      <c r="L39" s="977"/>
      <c r="M39" s="977"/>
      <c r="N39" s="977"/>
      <c r="O39" s="977"/>
      <c r="P39" s="977"/>
      <c r="Q39" s="977"/>
      <c r="R39" s="977"/>
      <c r="S39" s="977"/>
      <c r="T39" s="977"/>
      <c r="U39" s="977"/>
      <c r="V39" s="977"/>
      <c r="W39" s="978"/>
      <c r="X39" s="572"/>
      <c r="Y39" s="654">
        <v>4.76</v>
      </c>
      <c r="Z39" s="453"/>
    </row>
    <row r="40" spans="1:28" ht="14.5" x14ac:dyDescent="0.35">
      <c r="A40" s="638"/>
      <c r="B40" s="498"/>
      <c r="C40" s="560"/>
      <c r="D40" s="498"/>
      <c r="E40" s="560"/>
      <c r="F40" s="498"/>
      <c r="G40" s="560"/>
      <c r="H40" s="498"/>
      <c r="I40" s="560"/>
      <c r="J40" s="544"/>
      <c r="K40" s="560"/>
      <c r="L40" s="498"/>
      <c r="M40" s="560"/>
      <c r="N40" s="498"/>
      <c r="O40" s="560"/>
      <c r="P40" s="498"/>
      <c r="Q40" s="560"/>
      <c r="R40" s="498"/>
      <c r="S40" s="560"/>
      <c r="T40" s="498"/>
      <c r="U40" s="560"/>
      <c r="V40" s="498"/>
      <c r="W40" s="560"/>
      <c r="X40" s="560"/>
      <c r="Y40" s="651"/>
      <c r="Z40" s="453"/>
    </row>
    <row r="41" spans="1:28" ht="15" thickBot="1" x14ac:dyDescent="0.4">
      <c r="A41" s="652"/>
      <c r="B41" s="550"/>
      <c r="C41" s="560"/>
      <c r="D41" s="550"/>
      <c r="E41" s="560"/>
      <c r="F41" s="550"/>
      <c r="G41" s="560"/>
      <c r="H41" s="550"/>
      <c r="I41" s="560"/>
      <c r="J41" s="552"/>
      <c r="K41" s="560"/>
      <c r="L41" s="550"/>
      <c r="M41" s="560"/>
      <c r="N41" s="550"/>
      <c r="O41" s="560"/>
      <c r="P41" s="550"/>
      <c r="Q41" s="560"/>
      <c r="R41" s="550"/>
      <c r="S41" s="560"/>
      <c r="T41" s="550"/>
      <c r="U41" s="560"/>
      <c r="V41" s="550"/>
      <c r="W41" s="560"/>
      <c r="X41" s="560"/>
      <c r="Y41" s="651"/>
      <c r="Z41" s="453"/>
    </row>
    <row r="42" spans="1:28" ht="14.5" x14ac:dyDescent="0.35">
      <c r="A42" s="652"/>
      <c r="B42" s="915" t="s">
        <v>575</v>
      </c>
      <c r="C42" s="586">
        <v>355</v>
      </c>
      <c r="D42" s="915" t="s">
        <v>575</v>
      </c>
      <c r="E42" s="586">
        <v>348</v>
      </c>
      <c r="F42" s="913"/>
      <c r="G42" s="586">
        <v>434</v>
      </c>
      <c r="H42" s="915" t="s">
        <v>575</v>
      </c>
      <c r="I42" s="586">
        <v>401</v>
      </c>
      <c r="J42" s="911"/>
      <c r="K42" s="586">
        <v>400</v>
      </c>
      <c r="L42" s="913"/>
      <c r="M42" s="586">
        <v>413</v>
      </c>
      <c r="N42" s="913"/>
      <c r="O42" s="586">
        <v>406</v>
      </c>
      <c r="P42" s="922" t="s">
        <v>575</v>
      </c>
      <c r="Q42" s="586">
        <v>390</v>
      </c>
      <c r="R42" s="913"/>
      <c r="S42" s="586">
        <v>390</v>
      </c>
      <c r="T42" s="922" t="s">
        <v>575</v>
      </c>
      <c r="U42" s="586">
        <v>430</v>
      </c>
      <c r="V42" s="922" t="s">
        <v>575</v>
      </c>
      <c r="W42" s="586">
        <v>332</v>
      </c>
      <c r="X42" s="911"/>
      <c r="Y42" s="645">
        <v>229.642</v>
      </c>
      <c r="Z42" s="453"/>
    </row>
    <row r="43" spans="1:28" ht="15" thickBot="1" x14ac:dyDescent="0.4">
      <c r="A43" s="652"/>
      <c r="B43" s="916"/>
      <c r="C43" s="550"/>
      <c r="D43" s="916"/>
      <c r="E43" s="550"/>
      <c r="F43" s="914"/>
      <c r="G43" s="550"/>
      <c r="H43" s="916"/>
      <c r="I43" s="550"/>
      <c r="J43" s="912"/>
      <c r="K43" s="550"/>
      <c r="L43" s="914"/>
      <c r="M43" s="550"/>
      <c r="N43" s="914"/>
      <c r="O43" s="550"/>
      <c r="P43" s="923"/>
      <c r="Q43" s="550"/>
      <c r="R43" s="914"/>
      <c r="S43" s="550"/>
      <c r="T43" s="923"/>
      <c r="U43" s="550"/>
      <c r="V43" s="923"/>
      <c r="W43" s="550"/>
      <c r="X43" s="912"/>
      <c r="Y43" s="646"/>
      <c r="Z43" s="453"/>
    </row>
    <row r="44" spans="1:28" ht="14.5" x14ac:dyDescent="0.35">
      <c r="A44" s="652"/>
      <c r="B44" s="587" t="s">
        <v>247</v>
      </c>
      <c r="C44" s="543"/>
      <c r="D44" s="587" t="s">
        <v>248</v>
      </c>
      <c r="E44" s="588"/>
      <c r="F44" s="587" t="s">
        <v>249</v>
      </c>
      <c r="G44" s="588"/>
      <c r="H44" s="587" t="s">
        <v>250</v>
      </c>
      <c r="I44" s="588"/>
      <c r="J44" s="587" t="s">
        <v>582</v>
      </c>
      <c r="K44" s="588"/>
      <c r="L44" s="587" t="s">
        <v>251</v>
      </c>
      <c r="M44" s="588"/>
      <c r="N44" s="587" t="s">
        <v>252</v>
      </c>
      <c r="O44" s="588"/>
      <c r="P44" s="587" t="s">
        <v>253</v>
      </c>
      <c r="Q44" s="588"/>
      <c r="R44" s="587" t="s">
        <v>254</v>
      </c>
      <c r="S44" s="588"/>
      <c r="T44" s="587" t="s">
        <v>255</v>
      </c>
      <c r="U44" s="550"/>
      <c r="V44" s="587" t="s">
        <v>256</v>
      </c>
      <c r="W44" s="588"/>
      <c r="X44" s="587" t="s">
        <v>583</v>
      </c>
      <c r="Y44" s="647"/>
      <c r="Z44" s="453"/>
    </row>
    <row r="45" spans="1:28" ht="14.5" x14ac:dyDescent="0.35">
      <c r="A45" s="652"/>
      <c r="B45" s="543" t="s">
        <v>257</v>
      </c>
      <c r="C45" s="543"/>
      <c r="D45" s="543" t="s">
        <v>221</v>
      </c>
      <c r="E45" s="543"/>
      <c r="F45" s="543" t="s">
        <v>221</v>
      </c>
      <c r="G45" s="543"/>
      <c r="H45" s="543" t="s">
        <v>221</v>
      </c>
      <c r="I45" s="543"/>
      <c r="J45" s="543" t="s">
        <v>584</v>
      </c>
      <c r="K45" s="543"/>
      <c r="L45" s="543" t="s">
        <v>222</v>
      </c>
      <c r="M45" s="543"/>
      <c r="N45" s="543" t="s">
        <v>221</v>
      </c>
      <c r="O45" s="543"/>
      <c r="P45" s="543" t="s">
        <v>222</v>
      </c>
      <c r="Q45" s="543"/>
      <c r="R45" s="543" t="s">
        <v>221</v>
      </c>
      <c r="S45" s="543"/>
      <c r="T45" s="543" t="s">
        <v>221</v>
      </c>
      <c r="U45" s="543"/>
      <c r="V45" s="543" t="s">
        <v>222</v>
      </c>
      <c r="W45" s="543"/>
      <c r="X45" s="543" t="s">
        <v>258</v>
      </c>
      <c r="Y45" s="562"/>
      <c r="Z45" s="453"/>
    </row>
    <row r="46" spans="1:28" ht="15.5" x14ac:dyDescent="0.35">
      <c r="A46" s="638"/>
      <c r="B46" s="980">
        <v>1.9970000000000001</v>
      </c>
      <c r="C46" s="980"/>
      <c r="D46" s="980"/>
      <c r="E46" s="980"/>
      <c r="F46" s="980"/>
      <c r="G46" s="980"/>
      <c r="H46" s="980"/>
      <c r="I46" s="981"/>
      <c r="J46" s="976">
        <v>2.7610000000000001</v>
      </c>
      <c r="K46" s="977"/>
      <c r="L46" s="977"/>
      <c r="M46" s="977"/>
      <c r="N46" s="977"/>
      <c r="O46" s="977"/>
      <c r="P46" s="977"/>
      <c r="Q46" s="977"/>
      <c r="R46" s="977"/>
      <c r="S46" s="977"/>
      <c r="T46" s="977"/>
      <c r="U46" s="977"/>
      <c r="V46" s="977"/>
      <c r="W46" s="978"/>
      <c r="X46" s="580">
        <v>0.23</v>
      </c>
      <c r="Y46" s="655" t="s">
        <v>679</v>
      </c>
      <c r="Z46" s="453"/>
    </row>
    <row r="47" spans="1:28" ht="14.5" x14ac:dyDescent="0.35">
      <c r="A47" s="638"/>
      <c r="B47" s="544"/>
      <c r="C47" s="560"/>
      <c r="D47" s="498"/>
      <c r="E47" s="560"/>
      <c r="F47" s="498"/>
      <c r="G47" s="560"/>
      <c r="H47" s="498"/>
      <c r="I47" s="560"/>
      <c r="J47" s="544"/>
      <c r="K47" s="560"/>
      <c r="L47" s="498"/>
      <c r="M47" s="560"/>
      <c r="N47" s="498"/>
      <c r="O47" s="560"/>
      <c r="P47" s="498"/>
      <c r="Q47" s="560"/>
      <c r="R47" s="498"/>
      <c r="S47" s="560"/>
      <c r="T47" s="498"/>
      <c r="U47" s="560"/>
      <c r="V47" s="498"/>
      <c r="W47" s="560"/>
      <c r="X47" s="544"/>
      <c r="Y47" s="651"/>
      <c r="Z47" s="453"/>
    </row>
    <row r="48" spans="1:28" ht="15" thickBot="1" x14ac:dyDescent="0.4">
      <c r="A48" s="652"/>
      <c r="B48" s="552"/>
      <c r="C48" s="560"/>
      <c r="D48" s="550"/>
      <c r="E48" s="560"/>
      <c r="F48" s="550"/>
      <c r="G48" s="560"/>
      <c r="H48" s="550"/>
      <c r="I48" s="560"/>
      <c r="J48" s="552"/>
      <c r="K48" s="560"/>
      <c r="L48" s="550"/>
      <c r="M48" s="560"/>
      <c r="N48" s="550"/>
      <c r="O48" s="560"/>
      <c r="P48" s="550"/>
      <c r="Q48" s="560"/>
      <c r="R48" s="550"/>
      <c r="S48" s="560"/>
      <c r="T48" s="550"/>
      <c r="U48" s="560"/>
      <c r="V48" s="550"/>
      <c r="W48" s="560"/>
      <c r="X48" s="552"/>
      <c r="Y48" s="651"/>
      <c r="Z48" s="453"/>
    </row>
    <row r="49" spans="1:28" ht="14.5" x14ac:dyDescent="0.35">
      <c r="A49" s="652"/>
      <c r="B49" s="911"/>
      <c r="C49" s="586">
        <v>339</v>
      </c>
      <c r="D49" s="913"/>
      <c r="E49" s="586">
        <v>365</v>
      </c>
      <c r="F49" s="922"/>
      <c r="G49" s="586">
        <v>409</v>
      </c>
      <c r="H49" s="936" t="s">
        <v>692</v>
      </c>
      <c r="I49" s="586">
        <v>340.46199999999999</v>
      </c>
      <c r="J49" s="928" t="s">
        <v>575</v>
      </c>
      <c r="K49" s="586">
        <v>352</v>
      </c>
      <c r="L49" s="936" t="s">
        <v>692</v>
      </c>
      <c r="M49" s="586">
        <v>419</v>
      </c>
      <c r="N49" s="926" t="s">
        <v>692</v>
      </c>
      <c r="O49" s="586">
        <v>410</v>
      </c>
      <c r="P49" s="936" t="s">
        <v>692</v>
      </c>
      <c r="Q49" s="586">
        <v>413</v>
      </c>
      <c r="R49" s="936" t="s">
        <v>692</v>
      </c>
      <c r="S49" s="586">
        <v>407</v>
      </c>
      <c r="T49" s="915" t="s">
        <v>575</v>
      </c>
      <c r="U49" s="586">
        <v>351</v>
      </c>
      <c r="V49" s="913"/>
      <c r="W49" s="586">
        <v>405</v>
      </c>
      <c r="X49" s="933" t="s">
        <v>692</v>
      </c>
      <c r="Y49" s="645">
        <v>393</v>
      </c>
      <c r="Z49" s="453"/>
    </row>
    <row r="50" spans="1:28" ht="15" thickBot="1" x14ac:dyDescent="0.4">
      <c r="A50" s="652"/>
      <c r="B50" s="912"/>
      <c r="C50" s="550"/>
      <c r="D50" s="914"/>
      <c r="E50" s="550"/>
      <c r="F50" s="923"/>
      <c r="G50" s="550"/>
      <c r="H50" s="937"/>
      <c r="I50" s="550"/>
      <c r="J50" s="929"/>
      <c r="K50" s="550"/>
      <c r="L50" s="937"/>
      <c r="M50" s="550"/>
      <c r="N50" s="927"/>
      <c r="O50" s="550"/>
      <c r="P50" s="937"/>
      <c r="Q50" s="550"/>
      <c r="R50" s="937"/>
      <c r="S50" s="550"/>
      <c r="T50" s="916"/>
      <c r="U50" s="550"/>
      <c r="V50" s="914"/>
      <c r="W50" s="550"/>
      <c r="X50" s="934"/>
      <c r="Y50" s="646"/>
      <c r="Z50" s="453"/>
    </row>
    <row r="51" spans="1:28" ht="14.5" x14ac:dyDescent="0.35">
      <c r="A51" s="652"/>
      <c r="B51" s="587" t="s">
        <v>585</v>
      </c>
      <c r="C51" s="543"/>
      <c r="D51" s="587" t="s">
        <v>259</v>
      </c>
      <c r="E51" s="588"/>
      <c r="F51" s="587" t="s">
        <v>260</v>
      </c>
      <c r="G51" s="588"/>
      <c r="H51" s="587" t="s">
        <v>261</v>
      </c>
      <c r="I51" s="588"/>
      <c r="J51" s="587" t="s">
        <v>586</v>
      </c>
      <c r="K51" s="588"/>
      <c r="L51" s="587" t="s">
        <v>262</v>
      </c>
      <c r="M51" s="588"/>
      <c r="N51" s="587" t="s">
        <v>263</v>
      </c>
      <c r="O51" s="588"/>
      <c r="P51" s="587" t="s">
        <v>264</v>
      </c>
      <c r="Q51" s="588"/>
      <c r="R51" s="587" t="s">
        <v>265</v>
      </c>
      <c r="S51" s="588"/>
      <c r="T51" s="587" t="s">
        <v>266</v>
      </c>
      <c r="U51" s="550"/>
      <c r="V51" s="587" t="s">
        <v>267</v>
      </c>
      <c r="W51" s="588"/>
      <c r="X51" s="587" t="s">
        <v>268</v>
      </c>
      <c r="Y51" s="647"/>
      <c r="Z51" s="453"/>
    </row>
    <row r="52" spans="1:28" ht="14.5" x14ac:dyDescent="0.35">
      <c r="A52" s="656"/>
      <c r="B52" s="543" t="s">
        <v>258</v>
      </c>
      <c r="C52" s="543"/>
      <c r="D52" s="543" t="s">
        <v>221</v>
      </c>
      <c r="E52" s="543"/>
      <c r="F52" s="543" t="s">
        <v>221</v>
      </c>
      <c r="G52" s="543"/>
      <c r="H52" s="543" t="s">
        <v>221</v>
      </c>
      <c r="I52" s="558"/>
      <c r="J52" s="543" t="s">
        <v>246</v>
      </c>
      <c r="K52" s="543"/>
      <c r="L52" s="543" t="s">
        <v>222</v>
      </c>
      <c r="M52" s="543"/>
      <c r="N52" s="543" t="s">
        <v>222</v>
      </c>
      <c r="O52" s="543"/>
      <c r="P52" s="543" t="s">
        <v>221</v>
      </c>
      <c r="Q52" s="543"/>
      <c r="R52" s="543" t="s">
        <v>222</v>
      </c>
      <c r="S52" s="543"/>
      <c r="T52" s="543" t="s">
        <v>222</v>
      </c>
      <c r="U52" s="543"/>
      <c r="V52" s="543" t="s">
        <v>221</v>
      </c>
      <c r="W52" s="558">
        <f>(K49+M49+O49+Q49+S49+U49+W49)/1000</f>
        <v>2.7570000000000001</v>
      </c>
      <c r="X52" s="543" t="s">
        <v>219</v>
      </c>
      <c r="Y52" s="657"/>
      <c r="Z52" s="453"/>
    </row>
    <row r="53" spans="1:28" ht="14.4" customHeight="1" x14ac:dyDescent="0.35">
      <c r="A53" s="638"/>
      <c r="B53" s="982">
        <v>1.4530000000000001</v>
      </c>
      <c r="C53" s="980"/>
      <c r="D53" s="980"/>
      <c r="E53" s="980"/>
      <c r="F53" s="980"/>
      <c r="G53" s="980"/>
      <c r="H53" s="980"/>
      <c r="I53" s="981"/>
      <c r="J53" s="568"/>
      <c r="K53" s="570"/>
      <c r="L53" s="573"/>
      <c r="M53" s="570"/>
      <c r="N53" s="568"/>
      <c r="O53" s="570"/>
      <c r="P53" s="568"/>
      <c r="Q53" s="569"/>
      <c r="R53" s="568"/>
      <c r="S53" s="570"/>
      <c r="T53" s="568"/>
      <c r="U53" s="570"/>
      <c r="V53" s="568"/>
      <c r="W53" s="569"/>
      <c r="X53" s="572"/>
      <c r="Y53" s="655" t="s">
        <v>680</v>
      </c>
      <c r="Z53" s="453"/>
    </row>
    <row r="54" spans="1:28" ht="14.5" x14ac:dyDescent="0.35">
      <c r="A54" s="638"/>
      <c r="B54" s="498"/>
      <c r="C54" s="560"/>
      <c r="D54" s="498"/>
      <c r="E54" s="560"/>
      <c r="F54" s="498"/>
      <c r="G54" s="560"/>
      <c r="H54" s="498"/>
      <c r="I54" s="560"/>
      <c r="J54" s="498"/>
      <c r="K54" s="560"/>
      <c r="L54" s="544"/>
      <c r="M54" s="560"/>
      <c r="N54" s="544"/>
      <c r="O54" s="560"/>
      <c r="P54" s="498"/>
      <c r="Q54" s="560"/>
      <c r="R54" s="498"/>
      <c r="S54" s="560"/>
      <c r="T54" s="498"/>
      <c r="U54" s="560"/>
      <c r="V54" s="544"/>
      <c r="W54" s="560"/>
      <c r="X54" s="498"/>
      <c r="Y54" s="651"/>
      <c r="Z54" s="453"/>
    </row>
    <row r="55" spans="1:28" ht="15" thickBot="1" x14ac:dyDescent="0.4">
      <c r="A55" s="652"/>
      <c r="B55" s="550"/>
      <c r="C55" s="560"/>
      <c r="D55" s="550"/>
      <c r="E55" s="560"/>
      <c r="F55" s="550"/>
      <c r="G55" s="560"/>
      <c r="H55" s="550"/>
      <c r="I55" s="560"/>
      <c r="J55" s="550"/>
      <c r="K55" s="560"/>
      <c r="L55" s="552"/>
      <c r="M55" s="560"/>
      <c r="N55" s="552"/>
      <c r="O55" s="560"/>
      <c r="P55" s="550"/>
      <c r="Q55" s="560"/>
      <c r="R55" s="550"/>
      <c r="S55" s="560"/>
      <c r="T55" s="550"/>
      <c r="U55" s="560"/>
      <c r="V55" s="552"/>
      <c r="W55" s="560"/>
      <c r="X55" s="550"/>
      <c r="Y55" s="651"/>
      <c r="Z55" s="453"/>
    </row>
    <row r="56" spans="1:28" ht="14.4" customHeight="1" x14ac:dyDescent="0.35">
      <c r="A56" s="652"/>
      <c r="B56" s="913"/>
      <c r="C56" s="586">
        <v>439</v>
      </c>
      <c r="D56" s="924" t="s">
        <v>692</v>
      </c>
      <c r="E56" s="586">
        <v>398</v>
      </c>
      <c r="F56" s="915" t="s">
        <v>575</v>
      </c>
      <c r="G56" s="586">
        <v>445</v>
      </c>
      <c r="H56" s="915" t="s">
        <v>575</v>
      </c>
      <c r="I56" s="586">
        <v>355</v>
      </c>
      <c r="J56" s="913"/>
      <c r="K56" s="586">
        <v>445.64499999999998</v>
      </c>
      <c r="L56" s="917" t="s">
        <v>575</v>
      </c>
      <c r="M56" s="586">
        <v>214.74199999999999</v>
      </c>
      <c r="N56" s="911"/>
      <c r="O56" s="586">
        <v>498</v>
      </c>
      <c r="P56" s="926" t="s">
        <v>692</v>
      </c>
      <c r="Q56" s="586">
        <v>325</v>
      </c>
      <c r="R56" s="926" t="s">
        <v>692</v>
      </c>
      <c r="S56" s="586">
        <v>372</v>
      </c>
      <c r="T56" s="926" t="s">
        <v>692</v>
      </c>
      <c r="U56" s="586">
        <v>393.05399999999997</v>
      </c>
      <c r="V56" s="933" t="s">
        <v>692</v>
      </c>
      <c r="W56" s="586">
        <v>349</v>
      </c>
      <c r="X56" s="926" t="s">
        <v>692</v>
      </c>
      <c r="Y56" s="645">
        <v>373</v>
      </c>
      <c r="Z56" s="453"/>
    </row>
    <row r="57" spans="1:28" ht="15" customHeight="1" thickBot="1" x14ac:dyDescent="0.4">
      <c r="A57" s="652"/>
      <c r="B57" s="914"/>
      <c r="C57" s="550"/>
      <c r="D57" s="925"/>
      <c r="E57" s="550"/>
      <c r="F57" s="916"/>
      <c r="G57" s="550"/>
      <c r="H57" s="916"/>
      <c r="I57" s="550"/>
      <c r="J57" s="914"/>
      <c r="K57" s="550"/>
      <c r="L57" s="935"/>
      <c r="M57" s="550"/>
      <c r="N57" s="912"/>
      <c r="O57" s="550"/>
      <c r="P57" s="927"/>
      <c r="Q57" s="550"/>
      <c r="R57" s="927"/>
      <c r="S57" s="550"/>
      <c r="T57" s="927"/>
      <c r="U57" s="550"/>
      <c r="V57" s="934"/>
      <c r="W57" s="550"/>
      <c r="X57" s="927"/>
      <c r="Y57" s="646"/>
      <c r="Z57" s="453"/>
    </row>
    <row r="58" spans="1:28" ht="14.5" x14ac:dyDescent="0.35">
      <c r="A58" s="652"/>
      <c r="B58" s="587" t="s">
        <v>269</v>
      </c>
      <c r="C58" s="543"/>
      <c r="D58" s="587" t="s">
        <v>270</v>
      </c>
      <c r="E58" s="588"/>
      <c r="F58" s="587" t="s">
        <v>271</v>
      </c>
      <c r="G58" s="588"/>
      <c r="H58" s="587" t="s">
        <v>272</v>
      </c>
      <c r="I58" s="588"/>
      <c r="J58" s="587" t="s">
        <v>273</v>
      </c>
      <c r="K58" s="588"/>
      <c r="L58" s="587" t="s">
        <v>587</v>
      </c>
      <c r="M58" s="588"/>
      <c r="N58" s="587" t="s">
        <v>588</v>
      </c>
      <c r="O58" s="588"/>
      <c r="P58" s="587" t="s">
        <v>274</v>
      </c>
      <c r="Q58" s="588"/>
      <c r="R58" s="587" t="s">
        <v>275</v>
      </c>
      <c r="S58" s="588"/>
      <c r="T58" s="587" t="s">
        <v>276</v>
      </c>
      <c r="U58" s="550"/>
      <c r="V58" s="587" t="s">
        <v>589</v>
      </c>
      <c r="W58" s="588"/>
      <c r="X58" s="587" t="s">
        <v>277</v>
      </c>
      <c r="Y58" s="647"/>
      <c r="Z58" s="453"/>
    </row>
    <row r="59" spans="1:28" ht="14.5" x14ac:dyDescent="0.35">
      <c r="A59" s="652"/>
      <c r="B59" s="543" t="s">
        <v>221</v>
      </c>
      <c r="C59" s="543"/>
      <c r="D59" s="543" t="s">
        <v>220</v>
      </c>
      <c r="E59" s="543"/>
      <c r="F59" s="543" t="s">
        <v>221</v>
      </c>
      <c r="G59" s="543"/>
      <c r="H59" s="543" t="s">
        <v>221</v>
      </c>
      <c r="I59" s="543"/>
      <c r="J59" s="543" t="s">
        <v>221</v>
      </c>
      <c r="K59" s="558">
        <f>(Y49+C56+E56+G56+I56+K56)/1000</f>
        <v>2.4756450000000001</v>
      </c>
      <c r="L59" s="543" t="s">
        <v>278</v>
      </c>
      <c r="M59" s="558"/>
      <c r="N59" s="543" t="s">
        <v>279</v>
      </c>
      <c r="O59" s="543"/>
      <c r="P59" s="543" t="s">
        <v>220</v>
      </c>
      <c r="Q59" s="543"/>
      <c r="R59" s="543" t="s">
        <v>221</v>
      </c>
      <c r="S59" s="543"/>
      <c r="T59" s="543" t="s">
        <v>221</v>
      </c>
      <c r="U59" s="558"/>
      <c r="V59" s="543" t="s">
        <v>223</v>
      </c>
      <c r="W59" s="543"/>
      <c r="X59" s="543" t="s">
        <v>221</v>
      </c>
      <c r="Y59" s="649"/>
      <c r="Z59" s="453"/>
      <c r="AB59" s="559" t="s">
        <v>706</v>
      </c>
    </row>
    <row r="60" spans="1:28" ht="15.5" x14ac:dyDescent="0.35">
      <c r="A60" s="638"/>
      <c r="B60" s="977">
        <v>5.2329999999999997</v>
      </c>
      <c r="C60" s="977"/>
      <c r="D60" s="977"/>
      <c r="E60" s="977"/>
      <c r="F60" s="977"/>
      <c r="G60" s="977"/>
      <c r="H60" s="977"/>
      <c r="I60" s="977"/>
      <c r="J60" s="977"/>
      <c r="K60" s="978"/>
      <c r="L60" s="982">
        <v>0.215</v>
      </c>
      <c r="M60" s="981"/>
      <c r="N60" s="982">
        <v>1.5880000000000001</v>
      </c>
      <c r="O60" s="980"/>
      <c r="P60" s="980"/>
      <c r="Q60" s="980"/>
      <c r="R60" s="980"/>
      <c r="S60" s="980"/>
      <c r="T60" s="980"/>
      <c r="U60" s="981"/>
      <c r="V60" s="572"/>
      <c r="W60" s="571"/>
      <c r="X60" s="571"/>
      <c r="Y60" s="658">
        <v>4.6070000000000002</v>
      </c>
      <c r="Z60" s="453"/>
    </row>
    <row r="61" spans="1:28" ht="14.5" x14ac:dyDescent="0.35">
      <c r="A61" s="638"/>
      <c r="B61" s="498"/>
      <c r="C61" s="560"/>
      <c r="D61" s="498"/>
      <c r="E61" s="560"/>
      <c r="F61" s="498"/>
      <c r="G61" s="560"/>
      <c r="H61" s="498"/>
      <c r="I61" s="560"/>
      <c r="J61" s="544"/>
      <c r="K61" s="560"/>
      <c r="L61" s="498"/>
      <c r="M61" s="560"/>
      <c r="N61" s="498"/>
      <c r="O61" s="560"/>
      <c r="P61" s="498"/>
      <c r="Q61" s="560"/>
      <c r="R61" s="498"/>
      <c r="S61" s="560"/>
      <c r="T61" s="498"/>
      <c r="U61" s="560"/>
      <c r="V61" s="498"/>
      <c r="W61" s="560"/>
      <c r="X61" s="498"/>
      <c r="Y61" s="651"/>
      <c r="Z61" s="453"/>
    </row>
    <row r="62" spans="1:28" ht="15" thickBot="1" x14ac:dyDescent="0.4">
      <c r="A62" s="652"/>
      <c r="B62" s="550"/>
      <c r="C62" s="560"/>
      <c r="D62" s="550"/>
      <c r="E62" s="560"/>
      <c r="F62" s="550"/>
      <c r="G62" s="560"/>
      <c r="H62" s="550"/>
      <c r="I62" s="560"/>
      <c r="J62" s="552"/>
      <c r="K62" s="560"/>
      <c r="L62" s="550"/>
      <c r="M62" s="560"/>
      <c r="N62" s="550"/>
      <c r="O62" s="560"/>
      <c r="P62" s="550"/>
      <c r="Q62" s="560"/>
      <c r="R62" s="550"/>
      <c r="S62" s="560"/>
      <c r="T62" s="550"/>
      <c r="U62" s="560"/>
      <c r="V62" s="550"/>
      <c r="W62" s="560"/>
      <c r="X62" s="550"/>
      <c r="Y62" s="651"/>
      <c r="Z62" s="453"/>
    </row>
    <row r="63" spans="1:28" ht="14.4" customHeight="1" x14ac:dyDescent="0.35">
      <c r="A63" s="652"/>
      <c r="B63" s="926" t="s">
        <v>692</v>
      </c>
      <c r="C63" s="586">
        <v>386</v>
      </c>
      <c r="D63" s="913"/>
      <c r="E63" s="586">
        <v>429</v>
      </c>
      <c r="F63" s="926" t="s">
        <v>692</v>
      </c>
      <c r="G63" s="586">
        <v>377</v>
      </c>
      <c r="H63" s="926" t="s">
        <v>692</v>
      </c>
      <c r="I63" s="586">
        <v>401.83699999999999</v>
      </c>
      <c r="J63" s="911"/>
      <c r="K63" s="586">
        <v>402</v>
      </c>
      <c r="L63" s="930"/>
      <c r="M63" s="586">
        <v>344</v>
      </c>
      <c r="N63" s="926" t="s">
        <v>692</v>
      </c>
      <c r="O63" s="586">
        <v>399</v>
      </c>
      <c r="P63" s="926" t="s">
        <v>693</v>
      </c>
      <c r="Q63" s="586">
        <v>439</v>
      </c>
      <c r="R63" s="915" t="s">
        <v>575</v>
      </c>
      <c r="S63" s="586">
        <v>403</v>
      </c>
      <c r="T63" s="911"/>
      <c r="U63" s="586">
        <v>480</v>
      </c>
      <c r="V63" s="917" t="s">
        <v>575</v>
      </c>
      <c r="W63" s="586">
        <v>535</v>
      </c>
      <c r="X63" s="917" t="s">
        <v>575</v>
      </c>
      <c r="Y63" s="645">
        <v>389.00400000000002</v>
      </c>
      <c r="Z63" s="453"/>
    </row>
    <row r="64" spans="1:28" ht="15" customHeight="1" thickBot="1" x14ac:dyDescent="0.4">
      <c r="A64" s="652"/>
      <c r="B64" s="927"/>
      <c r="C64" s="550"/>
      <c r="D64" s="914"/>
      <c r="E64" s="550"/>
      <c r="F64" s="927"/>
      <c r="G64" s="550"/>
      <c r="H64" s="927"/>
      <c r="I64" s="550"/>
      <c r="J64" s="912"/>
      <c r="K64" s="550"/>
      <c r="L64" s="931"/>
      <c r="M64" s="550"/>
      <c r="N64" s="927"/>
      <c r="O64" s="550"/>
      <c r="P64" s="927"/>
      <c r="Q64" s="550"/>
      <c r="R64" s="916"/>
      <c r="S64" s="550"/>
      <c r="T64" s="912"/>
      <c r="U64" s="550"/>
      <c r="V64" s="935"/>
      <c r="W64" s="550"/>
      <c r="X64" s="935"/>
      <c r="Y64" s="646"/>
      <c r="Z64" s="453"/>
    </row>
    <row r="65" spans="1:26" ht="14.5" x14ac:dyDescent="0.35">
      <c r="A65" s="652"/>
      <c r="B65" s="587" t="s">
        <v>280</v>
      </c>
      <c r="C65" s="543"/>
      <c r="D65" s="587" t="s">
        <v>281</v>
      </c>
      <c r="E65" s="588"/>
      <c r="F65" s="587" t="s">
        <v>282</v>
      </c>
      <c r="G65" s="588"/>
      <c r="H65" s="587" t="s">
        <v>283</v>
      </c>
      <c r="I65" s="588"/>
      <c r="J65" s="587" t="s">
        <v>590</v>
      </c>
      <c r="K65" s="588"/>
      <c r="L65" s="587" t="s">
        <v>284</v>
      </c>
      <c r="M65" s="588"/>
      <c r="N65" s="587" t="s">
        <v>285</v>
      </c>
      <c r="O65" s="588"/>
      <c r="P65" s="587" t="s">
        <v>286</v>
      </c>
      <c r="Q65" s="588"/>
      <c r="R65" s="587" t="s">
        <v>287</v>
      </c>
      <c r="S65" s="588"/>
      <c r="T65" s="587" t="s">
        <v>288</v>
      </c>
      <c r="U65" s="550"/>
      <c r="V65" s="587" t="s">
        <v>289</v>
      </c>
      <c r="W65" s="588"/>
      <c r="X65" s="587" t="s">
        <v>290</v>
      </c>
      <c r="Y65" s="647"/>
      <c r="Z65" s="453"/>
    </row>
    <row r="66" spans="1:26" ht="14.5" x14ac:dyDescent="0.35">
      <c r="A66" s="652"/>
      <c r="B66" s="543" t="s">
        <v>221</v>
      </c>
      <c r="C66" s="543"/>
      <c r="D66" s="543" t="s">
        <v>221</v>
      </c>
      <c r="E66" s="543"/>
      <c r="F66" s="543" t="s">
        <v>220</v>
      </c>
      <c r="G66" s="543"/>
      <c r="H66" s="543" t="s">
        <v>221</v>
      </c>
      <c r="I66" s="558"/>
      <c r="J66" s="543" t="s">
        <v>246</v>
      </c>
      <c r="K66" s="543"/>
      <c r="L66" s="543" t="s">
        <v>221</v>
      </c>
      <c r="M66" s="543"/>
      <c r="N66" s="543" t="s">
        <v>221</v>
      </c>
      <c r="O66" s="543"/>
      <c r="P66" s="543" t="s">
        <v>220</v>
      </c>
      <c r="Q66" s="543"/>
      <c r="R66" s="543" t="s">
        <v>221</v>
      </c>
      <c r="S66" s="558">
        <f>(K63+M63+O63+Q63+S63)/1000</f>
        <v>1.9870000000000001</v>
      </c>
      <c r="T66" s="543" t="s">
        <v>291</v>
      </c>
      <c r="U66" s="558">
        <f>(U63)/1000</f>
        <v>0.48</v>
      </c>
      <c r="V66" s="543" t="s">
        <v>292</v>
      </c>
      <c r="W66" s="558">
        <f>(W63)/1000</f>
        <v>0.53500000000000003</v>
      </c>
      <c r="X66" s="543" t="s">
        <v>292</v>
      </c>
      <c r="Y66" s="649"/>
      <c r="Z66" s="453"/>
    </row>
    <row r="67" spans="1:26" ht="14.4" customHeight="1" x14ac:dyDescent="0.35">
      <c r="A67" s="638"/>
      <c r="B67" s="977">
        <v>2.3159999999999998</v>
      </c>
      <c r="C67" s="977"/>
      <c r="D67" s="977"/>
      <c r="E67" s="977"/>
      <c r="F67" s="977"/>
      <c r="G67" s="977"/>
      <c r="H67" s="977"/>
      <c r="I67" s="978"/>
      <c r="J67" s="568"/>
      <c r="K67" s="570"/>
      <c r="L67" s="568"/>
      <c r="M67" s="570"/>
      <c r="N67" s="573"/>
      <c r="O67" s="570"/>
      <c r="P67" s="568"/>
      <c r="Q67" s="569"/>
      <c r="R67" s="568"/>
      <c r="S67" s="570"/>
      <c r="T67" s="568"/>
      <c r="U67" s="570"/>
      <c r="V67" s="568"/>
      <c r="W67" s="570"/>
      <c r="X67" s="570"/>
      <c r="Y67" s="655" t="s">
        <v>681</v>
      </c>
      <c r="Z67" s="453"/>
    </row>
    <row r="68" spans="1:26" ht="14.5" x14ac:dyDescent="0.35">
      <c r="A68" s="638"/>
      <c r="B68" s="498"/>
      <c r="C68" s="560"/>
      <c r="D68" s="544"/>
      <c r="E68" s="560"/>
      <c r="F68" s="544"/>
      <c r="G68" s="560"/>
      <c r="H68" s="498"/>
      <c r="I68" s="560"/>
      <c r="J68" s="498"/>
      <c r="K68" s="560"/>
      <c r="L68" s="498"/>
      <c r="M68" s="560"/>
      <c r="N68" s="498"/>
      <c r="O68" s="560"/>
      <c r="P68" s="544"/>
      <c r="Q68" s="560"/>
      <c r="R68" s="498"/>
      <c r="S68" s="560"/>
      <c r="T68" s="498"/>
      <c r="U68" s="560"/>
      <c r="V68" s="498"/>
      <c r="W68" s="560"/>
      <c r="X68" s="544"/>
      <c r="Y68" s="651"/>
      <c r="Z68" s="453"/>
    </row>
    <row r="69" spans="1:26" ht="15" thickBot="1" x14ac:dyDescent="0.4">
      <c r="A69" s="652"/>
      <c r="B69" s="550"/>
      <c r="C69" s="560"/>
      <c r="D69" s="552"/>
      <c r="E69" s="560"/>
      <c r="F69" s="552"/>
      <c r="G69" s="560"/>
      <c r="H69" s="550"/>
      <c r="I69" s="560"/>
      <c r="J69" s="550"/>
      <c r="K69" s="560"/>
      <c r="L69" s="550"/>
      <c r="M69" s="560"/>
      <c r="N69" s="550"/>
      <c r="O69" s="560"/>
      <c r="P69" s="552"/>
      <c r="Q69" s="560"/>
      <c r="R69" s="550"/>
      <c r="S69" s="560"/>
      <c r="T69" s="550"/>
      <c r="U69" s="560"/>
      <c r="V69" s="550"/>
      <c r="W69" s="560"/>
      <c r="X69" s="552"/>
      <c r="Y69" s="651"/>
      <c r="Z69" s="453"/>
    </row>
    <row r="70" spans="1:26" ht="14.4" customHeight="1" x14ac:dyDescent="0.35">
      <c r="A70" s="652"/>
      <c r="B70" s="926" t="s">
        <v>692</v>
      </c>
      <c r="C70" s="586">
        <v>454.04700000000003</v>
      </c>
      <c r="D70" s="911"/>
      <c r="E70" s="586">
        <v>247.49199999999999</v>
      </c>
      <c r="F70" s="928" t="s">
        <v>575</v>
      </c>
      <c r="G70" s="586">
        <v>373</v>
      </c>
      <c r="H70" s="915" t="s">
        <v>575</v>
      </c>
      <c r="I70" s="586">
        <v>401</v>
      </c>
      <c r="J70" s="915" t="s">
        <v>575</v>
      </c>
      <c r="K70" s="586">
        <v>388</v>
      </c>
      <c r="L70" s="915" t="s">
        <v>575</v>
      </c>
      <c r="M70" s="586">
        <v>328</v>
      </c>
      <c r="N70" s="915" t="s">
        <v>575</v>
      </c>
      <c r="O70" s="586">
        <v>329.98200000000003</v>
      </c>
      <c r="P70" s="917" t="s">
        <v>575</v>
      </c>
      <c r="Q70" s="586">
        <v>433</v>
      </c>
      <c r="R70" s="913"/>
      <c r="S70" s="586">
        <v>410</v>
      </c>
      <c r="T70" s="915" t="s">
        <v>575</v>
      </c>
      <c r="U70" s="586">
        <v>307</v>
      </c>
      <c r="V70" s="915" t="s">
        <v>575</v>
      </c>
      <c r="W70" s="586">
        <v>461.92700000000002</v>
      </c>
      <c r="X70" s="917" t="s">
        <v>575</v>
      </c>
      <c r="Y70" s="645">
        <v>439.04700000000003</v>
      </c>
      <c r="Z70" s="453"/>
    </row>
    <row r="71" spans="1:26" ht="15" customHeight="1" thickBot="1" x14ac:dyDescent="0.4">
      <c r="A71" s="652"/>
      <c r="B71" s="927"/>
      <c r="C71" s="550"/>
      <c r="D71" s="912"/>
      <c r="E71" s="550"/>
      <c r="F71" s="929"/>
      <c r="G71" s="550"/>
      <c r="H71" s="916"/>
      <c r="I71" s="550"/>
      <c r="J71" s="916"/>
      <c r="K71" s="550"/>
      <c r="L71" s="916"/>
      <c r="M71" s="550"/>
      <c r="N71" s="916"/>
      <c r="O71" s="550"/>
      <c r="P71" s="935"/>
      <c r="Q71" s="550"/>
      <c r="R71" s="914"/>
      <c r="S71" s="550"/>
      <c r="T71" s="916"/>
      <c r="U71" s="550"/>
      <c r="V71" s="916"/>
      <c r="W71" s="550"/>
      <c r="X71" s="935"/>
      <c r="Y71" s="646"/>
      <c r="Z71" s="453"/>
    </row>
    <row r="72" spans="1:26" ht="14.5" x14ac:dyDescent="0.35">
      <c r="A72" s="652"/>
      <c r="B72" s="587" t="s">
        <v>293</v>
      </c>
      <c r="C72" s="543"/>
      <c r="D72" s="587" t="s">
        <v>591</v>
      </c>
      <c r="E72" s="588"/>
      <c r="F72" s="587" t="s">
        <v>592</v>
      </c>
      <c r="G72" s="588"/>
      <c r="H72" s="587" t="s">
        <v>294</v>
      </c>
      <c r="I72" s="588"/>
      <c r="J72" s="587" t="s">
        <v>295</v>
      </c>
      <c r="K72" s="588"/>
      <c r="L72" s="587" t="s">
        <v>296</v>
      </c>
      <c r="M72" s="588"/>
      <c r="N72" s="587" t="s">
        <v>297</v>
      </c>
      <c r="O72" s="588"/>
      <c r="P72" s="587" t="s">
        <v>593</v>
      </c>
      <c r="Q72" s="588"/>
      <c r="R72" s="587" t="s">
        <v>298</v>
      </c>
      <c r="S72" s="588"/>
      <c r="T72" s="587" t="s">
        <v>299</v>
      </c>
      <c r="U72" s="550"/>
      <c r="V72" s="587" t="s">
        <v>300</v>
      </c>
      <c r="W72" s="588"/>
      <c r="X72" s="587" t="s">
        <v>594</v>
      </c>
      <c r="Y72" s="647"/>
      <c r="Z72" s="453"/>
    </row>
    <row r="73" spans="1:26" ht="14.5" x14ac:dyDescent="0.35">
      <c r="A73" s="652"/>
      <c r="B73" s="543" t="s">
        <v>222</v>
      </c>
      <c r="C73" s="558">
        <f>(Y63+C70)/1000</f>
        <v>0.84305099999999999</v>
      </c>
      <c r="D73" s="543" t="s">
        <v>219</v>
      </c>
      <c r="E73" s="558"/>
      <c r="F73" s="543" t="s">
        <v>223</v>
      </c>
      <c r="G73" s="543"/>
      <c r="H73" s="543" t="s">
        <v>221</v>
      </c>
      <c r="I73" s="543"/>
      <c r="J73" s="543" t="s">
        <v>257</v>
      </c>
      <c r="K73" s="543"/>
      <c r="L73" s="543" t="s">
        <v>221</v>
      </c>
      <c r="M73" s="543"/>
      <c r="N73" s="543" t="s">
        <v>221</v>
      </c>
      <c r="O73" s="558"/>
      <c r="P73" s="543" t="s">
        <v>235</v>
      </c>
      <c r="Q73" s="543"/>
      <c r="R73" s="543" t="s">
        <v>257</v>
      </c>
      <c r="S73" s="543"/>
      <c r="T73" s="543" t="s">
        <v>222</v>
      </c>
      <c r="U73" s="543"/>
      <c r="V73" s="543" t="s">
        <v>257</v>
      </c>
      <c r="W73" s="558"/>
      <c r="X73" s="543" t="s">
        <v>301</v>
      </c>
      <c r="Y73" s="562">
        <f>(Y70)/1000</f>
        <v>0.43904700000000002</v>
      </c>
      <c r="Z73" s="453"/>
    </row>
    <row r="74" spans="1:26" ht="15.5" x14ac:dyDescent="0.35">
      <c r="A74" s="638"/>
      <c r="B74" s="977">
        <v>3.8450000000000002</v>
      </c>
      <c r="C74" s="978"/>
      <c r="D74" s="976">
        <v>0.247</v>
      </c>
      <c r="E74" s="978"/>
      <c r="F74" s="983">
        <v>1.82</v>
      </c>
      <c r="G74" s="984"/>
      <c r="H74" s="984"/>
      <c r="I74" s="984"/>
      <c r="J74" s="984"/>
      <c r="K74" s="984"/>
      <c r="L74" s="984"/>
      <c r="M74" s="984"/>
      <c r="N74" s="984"/>
      <c r="O74" s="985"/>
      <c r="P74" s="976">
        <v>1.6120000000000001</v>
      </c>
      <c r="Q74" s="977"/>
      <c r="R74" s="977"/>
      <c r="S74" s="977"/>
      <c r="T74" s="977"/>
      <c r="U74" s="977"/>
      <c r="V74" s="977"/>
      <c r="W74" s="978"/>
      <c r="X74" s="581">
        <v>0.439</v>
      </c>
      <c r="Y74" s="655" t="s">
        <v>682</v>
      </c>
      <c r="Z74" s="453"/>
    </row>
    <row r="75" spans="1:26" ht="14.5" x14ac:dyDescent="0.35">
      <c r="A75" s="638"/>
      <c r="B75" s="544"/>
      <c r="C75" s="560"/>
      <c r="D75" s="498"/>
      <c r="E75" s="560"/>
      <c r="F75" s="498"/>
      <c r="G75" s="560"/>
      <c r="H75" s="498"/>
      <c r="I75" s="560"/>
      <c r="J75" s="544"/>
      <c r="K75" s="560"/>
      <c r="L75" s="544"/>
      <c r="M75" s="560"/>
      <c r="N75" s="544"/>
      <c r="O75" s="560"/>
      <c r="P75" s="498"/>
      <c r="Q75" s="560"/>
      <c r="R75" s="498"/>
      <c r="S75" s="560"/>
      <c r="T75" s="498"/>
      <c r="U75" s="560"/>
      <c r="V75" s="498"/>
      <c r="W75" s="560"/>
      <c r="X75" s="544"/>
      <c r="Y75" s="651"/>
      <c r="Z75" s="453"/>
    </row>
    <row r="76" spans="1:26" ht="15" thickBot="1" x14ac:dyDescent="0.4">
      <c r="A76" s="652"/>
      <c r="B76" s="552"/>
      <c r="C76" s="560"/>
      <c r="D76" s="550"/>
      <c r="E76" s="560"/>
      <c r="F76" s="550"/>
      <c r="G76" s="560"/>
      <c r="H76" s="550"/>
      <c r="I76" s="560"/>
      <c r="J76" s="552"/>
      <c r="K76" s="560"/>
      <c r="L76" s="552"/>
      <c r="M76" s="560"/>
      <c r="N76" s="552"/>
      <c r="O76" s="560"/>
      <c r="P76" s="550"/>
      <c r="Q76" s="560"/>
      <c r="R76" s="550"/>
      <c r="S76" s="560"/>
      <c r="T76" s="550"/>
      <c r="U76" s="560"/>
      <c r="V76" s="550"/>
      <c r="W76" s="560"/>
      <c r="X76" s="552"/>
      <c r="Y76" s="651"/>
      <c r="Z76" s="453"/>
    </row>
    <row r="77" spans="1:26" ht="14.4" customHeight="1" x14ac:dyDescent="0.35">
      <c r="A77" s="652"/>
      <c r="B77" s="917" t="s">
        <v>575</v>
      </c>
      <c r="C77" s="586">
        <v>401</v>
      </c>
      <c r="D77" s="913"/>
      <c r="E77" s="586">
        <v>350</v>
      </c>
      <c r="F77" s="915" t="s">
        <v>575</v>
      </c>
      <c r="G77" s="586">
        <v>335</v>
      </c>
      <c r="H77" s="913"/>
      <c r="I77" s="586">
        <v>313.49</v>
      </c>
      <c r="J77" s="917" t="s">
        <v>575</v>
      </c>
      <c r="K77" s="586">
        <v>421</v>
      </c>
      <c r="L77" s="911"/>
      <c r="M77" s="586">
        <v>465.81799999999998</v>
      </c>
      <c r="N77" s="928" t="s">
        <v>575</v>
      </c>
      <c r="O77" s="586">
        <v>352</v>
      </c>
      <c r="P77" s="913"/>
      <c r="Q77" s="586">
        <v>403</v>
      </c>
      <c r="R77" s="915" t="s">
        <v>575</v>
      </c>
      <c r="S77" s="586">
        <v>373</v>
      </c>
      <c r="T77" s="915" t="s">
        <v>575</v>
      </c>
      <c r="U77" s="586">
        <v>362</v>
      </c>
      <c r="V77" s="922" t="s">
        <v>575</v>
      </c>
      <c r="W77" s="586">
        <v>351.24</v>
      </c>
      <c r="X77" s="917" t="s">
        <v>575</v>
      </c>
      <c r="Y77" s="645">
        <v>361</v>
      </c>
      <c r="Z77" s="453"/>
    </row>
    <row r="78" spans="1:26" ht="15" customHeight="1" thickBot="1" x14ac:dyDescent="0.4">
      <c r="A78" s="652"/>
      <c r="B78" s="935"/>
      <c r="C78" s="550"/>
      <c r="D78" s="914"/>
      <c r="E78" s="550"/>
      <c r="F78" s="916"/>
      <c r="G78" s="550"/>
      <c r="H78" s="914"/>
      <c r="I78" s="550"/>
      <c r="J78" s="935"/>
      <c r="K78" s="550"/>
      <c r="L78" s="912"/>
      <c r="M78" s="550"/>
      <c r="N78" s="929"/>
      <c r="O78" s="550"/>
      <c r="P78" s="914"/>
      <c r="Q78" s="550"/>
      <c r="R78" s="916"/>
      <c r="S78" s="550"/>
      <c r="T78" s="916"/>
      <c r="U78" s="550"/>
      <c r="V78" s="923"/>
      <c r="W78" s="550"/>
      <c r="X78" s="935"/>
      <c r="Y78" s="646"/>
      <c r="Z78" s="453"/>
    </row>
    <row r="79" spans="1:26" ht="14.5" x14ac:dyDescent="0.35">
      <c r="A79" s="652"/>
      <c r="B79" s="587" t="s">
        <v>595</v>
      </c>
      <c r="C79" s="543"/>
      <c r="D79" s="587" t="s">
        <v>302</v>
      </c>
      <c r="E79" s="588"/>
      <c r="F79" s="587" t="s">
        <v>303</v>
      </c>
      <c r="G79" s="588"/>
      <c r="H79" s="587" t="s">
        <v>304</v>
      </c>
      <c r="I79" s="588"/>
      <c r="J79" s="587" t="s">
        <v>596</v>
      </c>
      <c r="K79" s="588"/>
      <c r="L79" s="587" t="s">
        <v>305</v>
      </c>
      <c r="M79" s="588"/>
      <c r="N79" s="587" t="s">
        <v>597</v>
      </c>
      <c r="O79" s="588"/>
      <c r="P79" s="587" t="s">
        <v>306</v>
      </c>
      <c r="Q79" s="588"/>
      <c r="R79" s="587" t="s">
        <v>307</v>
      </c>
      <c r="S79" s="588"/>
      <c r="T79" s="587" t="s">
        <v>308</v>
      </c>
      <c r="U79" s="550"/>
      <c r="V79" s="587" t="s">
        <v>309</v>
      </c>
      <c r="W79" s="588"/>
      <c r="X79" s="587" t="s">
        <v>598</v>
      </c>
      <c r="Y79" s="647"/>
      <c r="Z79" s="453"/>
    </row>
    <row r="80" spans="1:26" ht="14.5" x14ac:dyDescent="0.35">
      <c r="A80" s="652"/>
      <c r="B80" s="543" t="s">
        <v>310</v>
      </c>
      <c r="C80" s="543"/>
      <c r="D80" s="543" t="s">
        <v>221</v>
      </c>
      <c r="E80" s="543"/>
      <c r="F80" s="543" t="s">
        <v>222</v>
      </c>
      <c r="G80" s="543"/>
      <c r="H80" s="543" t="s">
        <v>221</v>
      </c>
      <c r="I80" s="558"/>
      <c r="J80" s="543" t="s">
        <v>246</v>
      </c>
      <c r="K80" s="558">
        <f>(K77)/1000</f>
        <v>0.42099999999999999</v>
      </c>
      <c r="L80" s="543" t="s">
        <v>292</v>
      </c>
      <c r="M80" s="558">
        <f>(M77)/1000</f>
        <v>0.46581800000000001</v>
      </c>
      <c r="N80" s="543" t="s">
        <v>599</v>
      </c>
      <c r="O80" s="543"/>
      <c r="P80" s="543" t="s">
        <v>220</v>
      </c>
      <c r="Q80" s="543"/>
      <c r="R80" s="543" t="s">
        <v>221</v>
      </c>
      <c r="S80" s="543"/>
      <c r="T80" s="543" t="s">
        <v>221</v>
      </c>
      <c r="U80" s="543"/>
      <c r="V80" s="543" t="s">
        <v>222</v>
      </c>
      <c r="W80" s="558"/>
      <c r="X80" s="543" t="s">
        <v>246</v>
      </c>
      <c r="Y80" s="562"/>
      <c r="Z80" s="453"/>
    </row>
    <row r="81" spans="1:26" ht="15.5" x14ac:dyDescent="0.35">
      <c r="A81" s="638"/>
      <c r="B81" s="982">
        <v>1.399</v>
      </c>
      <c r="C81" s="980"/>
      <c r="D81" s="980"/>
      <c r="E81" s="980"/>
      <c r="F81" s="980"/>
      <c r="G81" s="980"/>
      <c r="H81" s="980"/>
      <c r="I81" s="981"/>
      <c r="J81" s="982">
        <v>0.88700000000000001</v>
      </c>
      <c r="K81" s="980"/>
      <c r="L81" s="980"/>
      <c r="M81" s="981"/>
      <c r="N81" s="982">
        <v>1.841</v>
      </c>
      <c r="O81" s="980"/>
      <c r="P81" s="980"/>
      <c r="Q81" s="980"/>
      <c r="R81" s="980"/>
      <c r="S81" s="980"/>
      <c r="T81" s="980"/>
      <c r="U81" s="980"/>
      <c r="V81" s="980"/>
      <c r="W81" s="981"/>
      <c r="X81" s="571"/>
      <c r="Y81" s="654">
        <v>4.4889999999999999</v>
      </c>
      <c r="Z81" s="453"/>
    </row>
    <row r="82" spans="1:26" ht="14.5" x14ac:dyDescent="0.35">
      <c r="A82" s="652"/>
      <c r="B82" s="498"/>
      <c r="C82" s="560"/>
      <c r="D82" s="498"/>
      <c r="E82" s="560"/>
      <c r="F82" s="552"/>
      <c r="G82" s="560"/>
      <c r="H82" s="498"/>
      <c r="I82" s="560"/>
      <c r="J82" s="498"/>
      <c r="K82" s="560"/>
      <c r="L82" s="552"/>
      <c r="M82" s="560"/>
      <c r="N82" s="498"/>
      <c r="O82" s="560"/>
      <c r="P82" s="498"/>
      <c r="Q82" s="560"/>
      <c r="R82" s="498"/>
      <c r="S82" s="560"/>
      <c r="T82" s="498"/>
      <c r="U82" s="560"/>
      <c r="V82" s="552"/>
      <c r="W82" s="560"/>
      <c r="X82" s="552"/>
      <c r="Y82" s="651"/>
      <c r="Z82" s="453"/>
    </row>
    <row r="83" spans="1:26" ht="15" thickBot="1" x14ac:dyDescent="0.4">
      <c r="A83" s="652"/>
      <c r="B83" s="550"/>
      <c r="C83" s="560"/>
      <c r="D83" s="550"/>
      <c r="E83" s="560"/>
      <c r="F83" s="552"/>
      <c r="G83" s="560"/>
      <c r="H83" s="550"/>
      <c r="I83" s="560"/>
      <c r="J83" s="550"/>
      <c r="K83" s="560"/>
      <c r="L83" s="552"/>
      <c r="M83" s="560"/>
      <c r="N83" s="550"/>
      <c r="O83" s="560"/>
      <c r="P83" s="550"/>
      <c r="Q83" s="560"/>
      <c r="R83" s="550"/>
      <c r="S83" s="560"/>
      <c r="T83" s="550"/>
      <c r="U83" s="560"/>
      <c r="V83" s="552"/>
      <c r="W83" s="560"/>
      <c r="X83" s="552"/>
      <c r="Y83" s="651"/>
      <c r="Z83" s="453"/>
    </row>
    <row r="84" spans="1:26" ht="14.4" customHeight="1" x14ac:dyDescent="0.35">
      <c r="A84" s="652"/>
      <c r="B84" s="915" t="s">
        <v>575</v>
      </c>
      <c r="C84" s="586">
        <v>375</v>
      </c>
      <c r="D84" s="915" t="s">
        <v>575</v>
      </c>
      <c r="E84" s="586">
        <v>424.851</v>
      </c>
      <c r="F84" s="911"/>
      <c r="G84" s="586">
        <v>414</v>
      </c>
      <c r="H84" s="913"/>
      <c r="I84" s="586">
        <v>345</v>
      </c>
      <c r="J84" s="915" t="s">
        <v>575</v>
      </c>
      <c r="K84" s="586">
        <v>502.62799999999999</v>
      </c>
      <c r="L84" s="917" t="s">
        <v>575</v>
      </c>
      <c r="M84" s="586">
        <v>453</v>
      </c>
      <c r="N84" s="913"/>
      <c r="O84" s="586">
        <v>388</v>
      </c>
      <c r="P84" s="922" t="s">
        <v>575</v>
      </c>
      <c r="Q84" s="586">
        <v>317</v>
      </c>
      <c r="R84" s="913"/>
      <c r="S84" s="586">
        <v>324</v>
      </c>
      <c r="T84" s="913"/>
      <c r="U84" s="586">
        <v>484.98399999999998</v>
      </c>
      <c r="V84" s="917" t="s">
        <v>575</v>
      </c>
      <c r="W84" s="586">
        <v>248.518</v>
      </c>
      <c r="X84" s="911"/>
      <c r="Y84" s="645">
        <v>429</v>
      </c>
      <c r="Z84" s="453"/>
    </row>
    <row r="85" spans="1:26" ht="15" customHeight="1" thickBot="1" x14ac:dyDescent="0.4">
      <c r="A85" s="652"/>
      <c r="B85" s="916"/>
      <c r="C85" s="550"/>
      <c r="D85" s="916"/>
      <c r="E85" s="550"/>
      <c r="F85" s="912"/>
      <c r="G85" s="550"/>
      <c r="H85" s="914"/>
      <c r="I85" s="550"/>
      <c r="J85" s="916"/>
      <c r="K85" s="550"/>
      <c r="L85" s="935"/>
      <c r="M85" s="550"/>
      <c r="N85" s="914"/>
      <c r="O85" s="550"/>
      <c r="P85" s="923"/>
      <c r="Q85" s="550"/>
      <c r="R85" s="914"/>
      <c r="S85" s="550"/>
      <c r="T85" s="914"/>
      <c r="U85" s="550"/>
      <c r="V85" s="935"/>
      <c r="W85" s="550"/>
      <c r="X85" s="912"/>
      <c r="Y85" s="646"/>
      <c r="Z85" s="453"/>
    </row>
    <row r="86" spans="1:26" ht="14.5" x14ac:dyDescent="0.35">
      <c r="A86" s="652"/>
      <c r="B86" s="587" t="s">
        <v>311</v>
      </c>
      <c r="C86" s="543"/>
      <c r="D86" s="587" t="s">
        <v>312</v>
      </c>
      <c r="E86" s="588"/>
      <c r="F86" s="587" t="s">
        <v>600</v>
      </c>
      <c r="G86" s="588"/>
      <c r="H86" s="587" t="s">
        <v>313</v>
      </c>
      <c r="I86" s="588"/>
      <c r="J86" s="587" t="s">
        <v>314</v>
      </c>
      <c r="K86" s="588"/>
      <c r="L86" s="587" t="s">
        <v>601</v>
      </c>
      <c r="M86" s="588"/>
      <c r="N86" s="587" t="s">
        <v>315</v>
      </c>
      <c r="O86" s="588"/>
      <c r="P86" s="587" t="s">
        <v>316</v>
      </c>
      <c r="Q86" s="588"/>
      <c r="R86" s="587" t="s">
        <v>317</v>
      </c>
      <c r="S86" s="588"/>
      <c r="T86" s="587" t="s">
        <v>318</v>
      </c>
      <c r="U86" s="550"/>
      <c r="V86" s="587" t="s">
        <v>602</v>
      </c>
      <c r="W86" s="588"/>
      <c r="X86" s="587" t="s">
        <v>603</v>
      </c>
      <c r="Y86" s="647"/>
      <c r="Z86" s="453"/>
    </row>
    <row r="87" spans="1:26" ht="14.5" x14ac:dyDescent="0.35">
      <c r="A87" s="652"/>
      <c r="B87" s="543" t="s">
        <v>222</v>
      </c>
      <c r="C87" s="543"/>
      <c r="D87" s="543" t="s">
        <v>222</v>
      </c>
      <c r="E87" s="558"/>
      <c r="F87" s="543" t="s">
        <v>279</v>
      </c>
      <c r="G87" s="558"/>
      <c r="H87" s="543" t="s">
        <v>257</v>
      </c>
      <c r="I87" s="543"/>
      <c r="J87" s="543" t="s">
        <v>220</v>
      </c>
      <c r="K87" s="558"/>
      <c r="L87" s="543" t="s">
        <v>310</v>
      </c>
      <c r="M87" s="543"/>
      <c r="N87" s="543" t="s">
        <v>257</v>
      </c>
      <c r="O87" s="543"/>
      <c r="P87" s="543" t="s">
        <v>221</v>
      </c>
      <c r="Q87" s="543"/>
      <c r="R87" s="543" t="s">
        <v>221</v>
      </c>
      <c r="S87" s="543"/>
      <c r="T87" s="543" t="s">
        <v>220</v>
      </c>
      <c r="U87" s="558"/>
      <c r="V87" s="543" t="s">
        <v>604</v>
      </c>
      <c r="W87" s="558"/>
      <c r="X87" s="543" t="s">
        <v>279</v>
      </c>
      <c r="Y87" s="649"/>
      <c r="Z87" s="453"/>
    </row>
    <row r="88" spans="1:26" ht="15.5" x14ac:dyDescent="0.35">
      <c r="A88" s="638"/>
      <c r="B88" s="980">
        <v>1.161</v>
      </c>
      <c r="C88" s="980"/>
      <c r="D88" s="980"/>
      <c r="E88" s="981"/>
      <c r="F88" s="982">
        <v>1.262</v>
      </c>
      <c r="G88" s="980"/>
      <c r="H88" s="980"/>
      <c r="I88" s="980"/>
      <c r="J88" s="980"/>
      <c r="K88" s="981"/>
      <c r="L88" s="982">
        <v>1.9670000000000001</v>
      </c>
      <c r="M88" s="980"/>
      <c r="N88" s="980"/>
      <c r="O88" s="980"/>
      <c r="P88" s="980"/>
      <c r="Q88" s="980"/>
      <c r="R88" s="980"/>
      <c r="S88" s="980"/>
      <c r="T88" s="980"/>
      <c r="U88" s="981"/>
      <c r="V88" s="976">
        <v>0.249</v>
      </c>
      <c r="W88" s="978"/>
      <c r="X88" s="576"/>
      <c r="Y88" s="655" t="s">
        <v>683</v>
      </c>
      <c r="Z88" s="453"/>
    </row>
    <row r="89" spans="1:26" ht="14.5" x14ac:dyDescent="0.35">
      <c r="A89" s="652"/>
      <c r="B89" s="498"/>
      <c r="C89" s="560"/>
      <c r="D89" s="552"/>
      <c r="E89" s="560"/>
      <c r="F89" s="498"/>
      <c r="G89" s="560"/>
      <c r="H89" s="498"/>
      <c r="I89" s="560"/>
      <c r="J89" s="552"/>
      <c r="K89" s="560"/>
      <c r="L89" s="552"/>
      <c r="M89" s="560"/>
      <c r="N89" s="498"/>
      <c r="O89" s="560"/>
      <c r="P89" s="498"/>
      <c r="Q89" s="560"/>
      <c r="R89" s="498"/>
      <c r="S89" s="560"/>
      <c r="T89" s="552"/>
      <c r="U89" s="560"/>
      <c r="V89" s="552"/>
      <c r="W89" s="560"/>
      <c r="X89" s="498"/>
      <c r="Y89" s="651"/>
      <c r="Z89" s="453"/>
    </row>
    <row r="90" spans="1:26" ht="15" thickBot="1" x14ac:dyDescent="0.4">
      <c r="A90" s="652"/>
      <c r="B90" s="550"/>
      <c r="C90" s="560"/>
      <c r="D90" s="552"/>
      <c r="E90" s="560"/>
      <c r="F90" s="550"/>
      <c r="G90" s="560"/>
      <c r="H90" s="550"/>
      <c r="I90" s="560"/>
      <c r="J90" s="552"/>
      <c r="K90" s="560"/>
      <c r="L90" s="552"/>
      <c r="M90" s="560"/>
      <c r="N90" s="550"/>
      <c r="O90" s="560"/>
      <c r="P90" s="550"/>
      <c r="Q90" s="560"/>
      <c r="R90" s="550"/>
      <c r="S90" s="560"/>
      <c r="T90" s="552"/>
      <c r="U90" s="560"/>
      <c r="V90" s="552"/>
      <c r="W90" s="560"/>
      <c r="X90" s="550"/>
      <c r="Y90" s="651"/>
      <c r="Z90" s="453"/>
    </row>
    <row r="91" spans="1:26" ht="14.4" customHeight="1" x14ac:dyDescent="0.35">
      <c r="A91" s="652"/>
      <c r="B91" s="913"/>
      <c r="C91" s="586">
        <v>398.68400000000003</v>
      </c>
      <c r="D91" s="911"/>
      <c r="E91" s="586">
        <v>435</v>
      </c>
      <c r="F91" s="926" t="s">
        <v>698</v>
      </c>
      <c r="G91" s="586">
        <v>404</v>
      </c>
      <c r="H91" s="926" t="s">
        <v>698</v>
      </c>
      <c r="I91" s="586">
        <v>374.35300000000001</v>
      </c>
      <c r="J91" s="911"/>
      <c r="K91" s="586">
        <v>250.119</v>
      </c>
      <c r="L91" s="928" t="s">
        <v>575</v>
      </c>
      <c r="M91" s="586">
        <v>398</v>
      </c>
      <c r="N91" s="922" t="s">
        <v>575</v>
      </c>
      <c r="O91" s="586">
        <v>364</v>
      </c>
      <c r="P91" s="922" t="s">
        <v>575</v>
      </c>
      <c r="Q91" s="586">
        <v>380</v>
      </c>
      <c r="R91" s="922" t="s">
        <v>575</v>
      </c>
      <c r="S91" s="586">
        <v>459.27199999999999</v>
      </c>
      <c r="T91" s="917" t="s">
        <v>575</v>
      </c>
      <c r="U91" s="586">
        <v>206.441</v>
      </c>
      <c r="V91" s="917" t="s">
        <v>575</v>
      </c>
      <c r="W91" s="586">
        <v>385</v>
      </c>
      <c r="X91" s="926" t="s">
        <v>91</v>
      </c>
      <c r="Y91" s="645">
        <v>372</v>
      </c>
      <c r="Z91" s="453"/>
    </row>
    <row r="92" spans="1:26" ht="15" customHeight="1" thickBot="1" x14ac:dyDescent="0.4">
      <c r="A92" s="652"/>
      <c r="B92" s="914"/>
      <c r="C92" s="550"/>
      <c r="D92" s="912"/>
      <c r="E92" s="550"/>
      <c r="F92" s="927"/>
      <c r="G92" s="550"/>
      <c r="H92" s="927"/>
      <c r="I92" s="550"/>
      <c r="J92" s="912"/>
      <c r="K92" s="550"/>
      <c r="L92" s="929"/>
      <c r="M92" s="550"/>
      <c r="N92" s="923"/>
      <c r="O92" s="550"/>
      <c r="P92" s="923"/>
      <c r="Q92" s="550"/>
      <c r="R92" s="923"/>
      <c r="S92" s="550"/>
      <c r="T92" s="935"/>
      <c r="U92" s="550"/>
      <c r="V92" s="935"/>
      <c r="W92" s="550"/>
      <c r="X92" s="927"/>
      <c r="Y92" s="646"/>
      <c r="Z92" s="453"/>
    </row>
    <row r="93" spans="1:26" ht="14.5" x14ac:dyDescent="0.35">
      <c r="A93" s="652"/>
      <c r="B93" s="587" t="s">
        <v>321</v>
      </c>
      <c r="C93" s="543"/>
      <c r="D93" s="587" t="s">
        <v>605</v>
      </c>
      <c r="E93" s="588"/>
      <c r="F93" s="587" t="s">
        <v>322</v>
      </c>
      <c r="G93" s="588"/>
      <c r="H93" s="587" t="s">
        <v>323</v>
      </c>
      <c r="I93" s="588"/>
      <c r="J93" s="587" t="s">
        <v>606</v>
      </c>
      <c r="K93" s="588"/>
      <c r="L93" s="587" t="s">
        <v>607</v>
      </c>
      <c r="M93" s="588"/>
      <c r="N93" s="587" t="s">
        <v>324</v>
      </c>
      <c r="O93" s="588"/>
      <c r="P93" s="587" t="s">
        <v>325</v>
      </c>
      <c r="Q93" s="588"/>
      <c r="R93" s="587" t="s">
        <v>326</v>
      </c>
      <c r="S93" s="588"/>
      <c r="T93" s="587" t="s">
        <v>608</v>
      </c>
      <c r="U93" s="550"/>
      <c r="V93" s="587" t="s">
        <v>609</v>
      </c>
      <c r="W93" s="588"/>
      <c r="X93" s="587" t="s">
        <v>327</v>
      </c>
      <c r="Y93" s="647"/>
      <c r="Z93" s="453"/>
    </row>
    <row r="94" spans="1:26" ht="14.5" x14ac:dyDescent="0.35">
      <c r="A94" s="652"/>
      <c r="B94" s="543" t="s">
        <v>222</v>
      </c>
      <c r="C94" s="558"/>
      <c r="D94" s="543" t="s">
        <v>246</v>
      </c>
      <c r="E94" s="543"/>
      <c r="F94" s="543" t="s">
        <v>220</v>
      </c>
      <c r="G94" s="543"/>
      <c r="H94" s="543" t="s">
        <v>221</v>
      </c>
      <c r="I94" s="558"/>
      <c r="J94" s="543" t="s">
        <v>223</v>
      </c>
      <c r="K94" s="558"/>
      <c r="L94" s="543" t="s">
        <v>223</v>
      </c>
      <c r="M94" s="543"/>
      <c r="N94" s="543" t="s">
        <v>222</v>
      </c>
      <c r="O94" s="543"/>
      <c r="P94" s="543" t="s">
        <v>221</v>
      </c>
      <c r="Q94" s="543"/>
      <c r="R94" s="543" t="s">
        <v>221</v>
      </c>
      <c r="S94" s="558"/>
      <c r="T94" s="543" t="s">
        <v>278</v>
      </c>
      <c r="U94" s="558"/>
      <c r="V94" s="543" t="s">
        <v>301</v>
      </c>
      <c r="W94" s="543"/>
      <c r="X94" s="543" t="s">
        <v>221</v>
      </c>
      <c r="Y94" s="649"/>
      <c r="Z94" s="453"/>
    </row>
    <row r="95" spans="1:26" ht="15.5" x14ac:dyDescent="0.35">
      <c r="A95" s="638"/>
      <c r="B95" s="980">
        <v>0.82799999999999996</v>
      </c>
      <c r="C95" s="981"/>
      <c r="D95" s="982">
        <v>1.2130000000000001</v>
      </c>
      <c r="E95" s="980"/>
      <c r="F95" s="980"/>
      <c r="G95" s="980"/>
      <c r="H95" s="980"/>
      <c r="I95" s="981"/>
      <c r="J95" s="921">
        <v>0.25</v>
      </c>
      <c r="K95" s="920"/>
      <c r="L95" s="921">
        <v>1.601</v>
      </c>
      <c r="M95" s="919"/>
      <c r="N95" s="919"/>
      <c r="O95" s="919"/>
      <c r="P95" s="919"/>
      <c r="Q95" s="919"/>
      <c r="R95" s="919"/>
      <c r="S95" s="920"/>
      <c r="T95" s="921">
        <v>0.20599999999999999</v>
      </c>
      <c r="U95" s="920"/>
      <c r="V95" s="577"/>
      <c r="W95" s="576"/>
      <c r="X95" s="576"/>
      <c r="Y95" s="659" t="s">
        <v>684</v>
      </c>
      <c r="Z95" s="453"/>
    </row>
    <row r="96" spans="1:26" ht="14.5" x14ac:dyDescent="0.35">
      <c r="A96" s="652"/>
      <c r="B96" s="498"/>
      <c r="C96" s="560"/>
      <c r="D96" s="498"/>
      <c r="E96" s="560"/>
      <c r="F96" s="498"/>
      <c r="G96" s="560"/>
      <c r="H96" s="498"/>
      <c r="I96" s="560"/>
      <c r="J96" s="498"/>
      <c r="K96" s="560"/>
      <c r="L96" s="498"/>
      <c r="M96" s="560"/>
      <c r="N96" s="498"/>
      <c r="O96" s="560"/>
      <c r="P96" s="498"/>
      <c r="Q96" s="560"/>
      <c r="R96" s="498"/>
      <c r="S96" s="560"/>
      <c r="T96" s="552"/>
      <c r="U96" s="560"/>
      <c r="V96" s="498"/>
      <c r="W96" s="560"/>
      <c r="X96" s="498"/>
      <c r="Y96" s="651"/>
      <c r="Z96" s="453"/>
    </row>
    <row r="97" spans="1:27" ht="15" thickBot="1" x14ac:dyDescent="0.4">
      <c r="A97" s="652"/>
      <c r="B97" s="550"/>
      <c r="C97" s="560"/>
      <c r="D97" s="550"/>
      <c r="E97" s="560"/>
      <c r="F97" s="550"/>
      <c r="G97" s="560"/>
      <c r="H97" s="550"/>
      <c r="I97" s="560"/>
      <c r="J97" s="550"/>
      <c r="K97" s="560"/>
      <c r="L97" s="550"/>
      <c r="M97" s="560"/>
      <c r="N97" s="550"/>
      <c r="O97" s="560"/>
      <c r="P97" s="550"/>
      <c r="Q97" s="560"/>
      <c r="R97" s="550"/>
      <c r="S97" s="560"/>
      <c r="T97" s="552"/>
      <c r="U97" s="560"/>
      <c r="V97" s="550"/>
      <c r="W97" s="560"/>
      <c r="X97" s="550"/>
      <c r="Y97" s="651"/>
      <c r="Z97" s="453"/>
    </row>
    <row r="98" spans="1:27" ht="14.4" customHeight="1" x14ac:dyDescent="0.35">
      <c r="A98" s="652"/>
      <c r="B98" s="926" t="s">
        <v>91</v>
      </c>
      <c r="C98" s="586">
        <v>384</v>
      </c>
      <c r="D98" s="926" t="s">
        <v>91</v>
      </c>
      <c r="E98" s="586">
        <v>400</v>
      </c>
      <c r="F98" s="926" t="s">
        <v>691</v>
      </c>
      <c r="G98" s="586">
        <v>386</v>
      </c>
      <c r="H98" s="913"/>
      <c r="I98" s="586">
        <v>398</v>
      </c>
      <c r="J98" s="926" t="s">
        <v>91</v>
      </c>
      <c r="K98" s="586">
        <v>393</v>
      </c>
      <c r="L98" s="926" t="s">
        <v>691</v>
      </c>
      <c r="M98" s="586">
        <v>387</v>
      </c>
      <c r="N98" s="926" t="s">
        <v>691</v>
      </c>
      <c r="O98" s="586">
        <v>378</v>
      </c>
      <c r="P98" s="922" t="s">
        <v>575</v>
      </c>
      <c r="Q98" s="586">
        <v>410</v>
      </c>
      <c r="R98" s="926" t="s">
        <v>691</v>
      </c>
      <c r="S98" s="586">
        <v>367.58</v>
      </c>
      <c r="T98" s="928" t="s">
        <v>575</v>
      </c>
      <c r="U98" s="586">
        <v>396</v>
      </c>
      <c r="V98" s="922" t="s">
        <v>575</v>
      </c>
      <c r="W98" s="551">
        <v>395</v>
      </c>
      <c r="X98" s="913"/>
      <c r="Y98" s="645">
        <v>414</v>
      </c>
      <c r="Z98" s="453"/>
    </row>
    <row r="99" spans="1:27" ht="15" customHeight="1" thickBot="1" x14ac:dyDescent="0.4">
      <c r="A99" s="652"/>
      <c r="B99" s="927"/>
      <c r="C99" s="550"/>
      <c r="D99" s="927"/>
      <c r="E99" s="550"/>
      <c r="F99" s="927"/>
      <c r="G99" s="550"/>
      <c r="H99" s="914"/>
      <c r="I99" s="550"/>
      <c r="J99" s="927"/>
      <c r="K99" s="550"/>
      <c r="L99" s="927"/>
      <c r="M99" s="550"/>
      <c r="N99" s="927"/>
      <c r="O99" s="550"/>
      <c r="P99" s="923"/>
      <c r="Q99" s="550"/>
      <c r="R99" s="927"/>
      <c r="S99" s="550"/>
      <c r="T99" s="929"/>
      <c r="U99" s="550"/>
      <c r="V99" s="923"/>
      <c r="W99" s="550"/>
      <c r="X99" s="914"/>
      <c r="Y99" s="646"/>
      <c r="Z99" s="453"/>
    </row>
    <row r="100" spans="1:27" ht="14.5" x14ac:dyDescent="0.35">
      <c r="A100" s="652"/>
      <c r="B100" s="587" t="s">
        <v>329</v>
      </c>
      <c r="C100" s="543"/>
      <c r="D100" s="587" t="s">
        <v>330</v>
      </c>
      <c r="E100" s="588"/>
      <c r="F100" s="587" t="s">
        <v>331</v>
      </c>
      <c r="G100" s="588"/>
      <c r="H100" s="587" t="s">
        <v>332</v>
      </c>
      <c r="I100" s="588"/>
      <c r="J100" s="587" t="s">
        <v>333</v>
      </c>
      <c r="K100" s="588"/>
      <c r="L100" s="587" t="s">
        <v>334</v>
      </c>
      <c r="M100" s="588"/>
      <c r="N100" s="587" t="s">
        <v>335</v>
      </c>
      <c r="O100" s="588"/>
      <c r="P100" s="587" t="s">
        <v>336</v>
      </c>
      <c r="Q100" s="588"/>
      <c r="R100" s="587" t="s">
        <v>337</v>
      </c>
      <c r="S100" s="588"/>
      <c r="T100" s="587" t="s">
        <v>610</v>
      </c>
      <c r="U100" s="550"/>
      <c r="V100" s="587" t="s">
        <v>338</v>
      </c>
      <c r="W100" s="588"/>
      <c r="X100" s="587" t="s">
        <v>339</v>
      </c>
      <c r="Y100" s="647"/>
      <c r="Z100" s="453"/>
    </row>
    <row r="101" spans="1:27" ht="14.5" x14ac:dyDescent="0.35">
      <c r="A101" s="656"/>
      <c r="B101" s="543" t="s">
        <v>221</v>
      </c>
      <c r="C101" s="543"/>
      <c r="D101" s="543" t="s">
        <v>221</v>
      </c>
      <c r="E101" s="543"/>
      <c r="F101" s="543" t="s">
        <v>221</v>
      </c>
      <c r="G101" s="543"/>
      <c r="H101" s="543" t="s">
        <v>221</v>
      </c>
      <c r="I101" s="543"/>
      <c r="J101" s="543" t="s">
        <v>221</v>
      </c>
      <c r="K101" s="543"/>
      <c r="L101" s="543" t="s">
        <v>221</v>
      </c>
      <c r="M101" s="543"/>
      <c r="N101" s="543" t="s">
        <v>221</v>
      </c>
      <c r="O101" s="543"/>
      <c r="P101" s="543" t="s">
        <v>221</v>
      </c>
      <c r="Q101" s="543"/>
      <c r="R101" s="543" t="s">
        <v>222</v>
      </c>
      <c r="S101" s="558"/>
      <c r="T101" s="543" t="s">
        <v>223</v>
      </c>
      <c r="U101" s="543"/>
      <c r="V101" s="543" t="s">
        <v>222</v>
      </c>
      <c r="W101" s="543"/>
      <c r="X101" s="543" t="s">
        <v>222</v>
      </c>
      <c r="Y101" s="649"/>
      <c r="Z101" s="453"/>
    </row>
    <row r="102" spans="1:27" ht="14.4" customHeight="1" x14ac:dyDescent="0.35">
      <c r="A102" s="638"/>
      <c r="B102" s="919">
        <v>4.2610000000000001</v>
      </c>
      <c r="C102" s="919"/>
      <c r="D102" s="919"/>
      <c r="E102" s="919"/>
      <c r="F102" s="919"/>
      <c r="G102" s="919"/>
      <c r="H102" s="919"/>
      <c r="I102" s="919"/>
      <c r="J102" s="919"/>
      <c r="K102" s="919"/>
      <c r="L102" s="919"/>
      <c r="M102" s="919"/>
      <c r="N102" s="919"/>
      <c r="O102" s="919"/>
      <c r="P102" s="919"/>
      <c r="Q102" s="919"/>
      <c r="R102" s="919"/>
      <c r="S102" s="920"/>
      <c r="T102" s="567"/>
      <c r="U102" s="567"/>
      <c r="V102" s="567"/>
      <c r="W102" s="567"/>
      <c r="X102" s="567"/>
      <c r="Y102" s="653">
        <v>4.7089999999999996</v>
      </c>
      <c r="Z102" s="453"/>
    </row>
    <row r="103" spans="1:27" ht="14.5" x14ac:dyDescent="0.35">
      <c r="A103" s="638"/>
      <c r="B103" s="454"/>
      <c r="C103" s="561"/>
      <c r="D103" s="544"/>
      <c r="E103" s="561"/>
      <c r="F103" s="454"/>
      <c r="G103" s="561"/>
      <c r="H103" s="454"/>
      <c r="I103" s="561"/>
      <c r="J103" s="454"/>
      <c r="K103" s="561"/>
      <c r="L103" s="544"/>
      <c r="M103" s="561"/>
      <c r="N103" s="454"/>
      <c r="O103" s="561"/>
      <c r="P103" s="454"/>
      <c r="Q103" s="561"/>
      <c r="R103" s="561"/>
      <c r="S103" s="561"/>
      <c r="T103" s="454"/>
      <c r="U103" s="561"/>
      <c r="V103" s="454"/>
      <c r="W103" s="561"/>
      <c r="X103" s="544"/>
      <c r="Y103" s="660"/>
      <c r="Z103" s="453"/>
    </row>
    <row r="104" spans="1:27" ht="15" thickBot="1" x14ac:dyDescent="0.4">
      <c r="A104" s="652"/>
      <c r="B104" s="550"/>
      <c r="C104" s="560"/>
      <c r="D104" s="552"/>
      <c r="E104" s="560"/>
      <c r="F104" s="550"/>
      <c r="G104" s="560"/>
      <c r="H104" s="550"/>
      <c r="I104" s="560"/>
      <c r="J104" s="550"/>
      <c r="K104" s="560"/>
      <c r="L104" s="552"/>
      <c r="M104" s="560"/>
      <c r="N104" s="550"/>
      <c r="O104" s="560"/>
      <c r="P104" s="550"/>
      <c r="Q104" s="560"/>
      <c r="R104" s="560"/>
      <c r="S104" s="560"/>
      <c r="T104" s="550"/>
      <c r="U104" s="560"/>
      <c r="V104" s="550"/>
      <c r="W104" s="560"/>
      <c r="X104" s="552"/>
      <c r="Y104" s="651"/>
      <c r="Z104" s="453"/>
    </row>
    <row r="105" spans="1:27" ht="14.4" customHeight="1" x14ac:dyDescent="0.35">
      <c r="A105" s="652"/>
      <c r="B105" s="913"/>
      <c r="C105" s="586">
        <v>350.09</v>
      </c>
      <c r="D105" s="928" t="s">
        <v>575</v>
      </c>
      <c r="E105" s="586">
        <v>364</v>
      </c>
      <c r="F105" s="926" t="s">
        <v>91</v>
      </c>
      <c r="G105" s="586">
        <v>452</v>
      </c>
      <c r="H105" s="926" t="s">
        <v>91</v>
      </c>
      <c r="I105" s="586">
        <v>392</v>
      </c>
      <c r="J105" s="926" t="s">
        <v>91</v>
      </c>
      <c r="K105" s="586">
        <v>369.64499999999998</v>
      </c>
      <c r="L105" s="928" t="s">
        <v>575</v>
      </c>
      <c r="M105" s="586">
        <v>446</v>
      </c>
      <c r="N105" s="926" t="s">
        <v>91</v>
      </c>
      <c r="O105" s="586">
        <v>386</v>
      </c>
      <c r="P105" s="913"/>
      <c r="Q105" s="586">
        <v>451</v>
      </c>
      <c r="R105" s="911"/>
      <c r="S105" s="586">
        <v>428.50400000000002</v>
      </c>
      <c r="T105" s="926" t="s">
        <v>91</v>
      </c>
      <c r="U105" s="586">
        <v>354.49599999999998</v>
      </c>
      <c r="V105" s="926" t="s">
        <v>91</v>
      </c>
      <c r="W105" s="586">
        <v>430.20699999999999</v>
      </c>
      <c r="X105" s="917" t="s">
        <v>575</v>
      </c>
      <c r="Y105" s="645">
        <v>394</v>
      </c>
      <c r="Z105" s="453"/>
    </row>
    <row r="106" spans="1:27" ht="15" customHeight="1" thickBot="1" x14ac:dyDescent="0.4">
      <c r="A106" s="652"/>
      <c r="B106" s="914"/>
      <c r="C106" s="550"/>
      <c r="D106" s="929"/>
      <c r="E106" s="550"/>
      <c r="F106" s="927"/>
      <c r="G106" s="550"/>
      <c r="H106" s="927"/>
      <c r="I106" s="550"/>
      <c r="J106" s="927"/>
      <c r="K106" s="550"/>
      <c r="L106" s="929"/>
      <c r="M106" s="550"/>
      <c r="N106" s="927"/>
      <c r="O106" s="550"/>
      <c r="P106" s="914"/>
      <c r="Q106" s="550"/>
      <c r="R106" s="912"/>
      <c r="S106" s="550"/>
      <c r="T106" s="927"/>
      <c r="U106" s="550"/>
      <c r="V106" s="927"/>
      <c r="W106" s="550"/>
      <c r="X106" s="918"/>
      <c r="Y106" s="646"/>
      <c r="Z106" s="453"/>
    </row>
    <row r="107" spans="1:27" ht="14.5" x14ac:dyDescent="0.35">
      <c r="A107" s="652"/>
      <c r="B107" s="587" t="s">
        <v>340</v>
      </c>
      <c r="C107" s="543"/>
      <c r="D107" s="587" t="s">
        <v>611</v>
      </c>
      <c r="E107" s="588"/>
      <c r="F107" s="587" t="s">
        <v>341</v>
      </c>
      <c r="G107" s="588"/>
      <c r="H107" s="587" t="s">
        <v>342</v>
      </c>
      <c r="I107" s="588"/>
      <c r="J107" s="587" t="s">
        <v>343</v>
      </c>
      <c r="K107" s="588"/>
      <c r="L107" s="587" t="s">
        <v>612</v>
      </c>
      <c r="M107" s="588"/>
      <c r="N107" s="587" t="s">
        <v>96</v>
      </c>
      <c r="O107" s="588"/>
      <c r="P107" s="587" t="s">
        <v>344</v>
      </c>
      <c r="Q107" s="588"/>
      <c r="R107" s="587" t="s">
        <v>345</v>
      </c>
      <c r="S107" s="588"/>
      <c r="T107" s="587" t="s">
        <v>346</v>
      </c>
      <c r="U107" s="550"/>
      <c r="V107" s="587" t="s">
        <v>98</v>
      </c>
      <c r="W107" s="588"/>
      <c r="X107" s="587" t="s">
        <v>613</v>
      </c>
      <c r="Y107" s="647"/>
      <c r="Z107" s="453"/>
    </row>
    <row r="108" spans="1:27" ht="14.5" x14ac:dyDescent="0.35">
      <c r="A108" s="652"/>
      <c r="B108" s="543" t="s">
        <v>221</v>
      </c>
      <c r="C108" s="558"/>
      <c r="D108" s="543" t="s">
        <v>223</v>
      </c>
      <c r="E108" s="543"/>
      <c r="F108" s="543" t="s">
        <v>222</v>
      </c>
      <c r="G108" s="543"/>
      <c r="H108" s="543" t="s">
        <v>220</v>
      </c>
      <c r="I108" s="543"/>
      <c r="J108" s="543" t="s">
        <v>257</v>
      </c>
      <c r="K108" s="558"/>
      <c r="L108" s="543" t="s">
        <v>320</v>
      </c>
      <c r="M108" s="543"/>
      <c r="N108" s="543" t="s">
        <v>220</v>
      </c>
      <c r="O108" s="543"/>
      <c r="P108" s="543" t="s">
        <v>257</v>
      </c>
      <c r="Q108" s="558">
        <f>(M105+O105+Q105)/1000</f>
        <v>1.2829999999999999</v>
      </c>
      <c r="R108" s="543" t="s">
        <v>584</v>
      </c>
      <c r="S108" s="543"/>
      <c r="T108" s="543" t="s">
        <v>222</v>
      </c>
      <c r="U108" s="543"/>
      <c r="V108" s="543" t="s">
        <v>221</v>
      </c>
      <c r="W108" s="558">
        <f>(S105+U105+W105)/1000</f>
        <v>1.2132069999999999</v>
      </c>
      <c r="X108" s="543" t="s">
        <v>301</v>
      </c>
      <c r="Y108" s="649"/>
      <c r="Z108" s="453"/>
    </row>
    <row r="109" spans="1:27" ht="15.5" x14ac:dyDescent="0.35">
      <c r="A109" s="638"/>
      <c r="B109" s="919">
        <v>1.5549999999999999</v>
      </c>
      <c r="C109" s="920"/>
      <c r="D109" s="921">
        <v>1.5780000000000001</v>
      </c>
      <c r="E109" s="919"/>
      <c r="F109" s="919"/>
      <c r="G109" s="919"/>
      <c r="H109" s="919"/>
      <c r="I109" s="919"/>
      <c r="J109" s="919"/>
      <c r="K109" s="920"/>
      <c r="L109" s="921">
        <v>2.496</v>
      </c>
      <c r="M109" s="919"/>
      <c r="N109" s="919"/>
      <c r="O109" s="919"/>
      <c r="P109" s="919"/>
      <c r="Q109" s="919"/>
      <c r="R109" s="919"/>
      <c r="S109" s="919"/>
      <c r="T109" s="919"/>
      <c r="U109" s="919"/>
      <c r="V109" s="919"/>
      <c r="W109" s="920"/>
      <c r="X109" s="578"/>
      <c r="Y109" s="654">
        <v>4.8179999999999996</v>
      </c>
      <c r="Z109" s="453"/>
    </row>
    <row r="110" spans="1:27" ht="14.5" x14ac:dyDescent="0.35">
      <c r="A110" s="652"/>
      <c r="B110" s="498"/>
      <c r="C110" s="560"/>
      <c r="D110" s="498"/>
      <c r="E110" s="560"/>
      <c r="F110" s="498"/>
      <c r="G110" s="560"/>
      <c r="H110" s="552"/>
      <c r="I110" s="560"/>
      <c r="J110" s="498"/>
      <c r="K110" s="560"/>
      <c r="L110" s="498"/>
      <c r="M110" s="560"/>
      <c r="N110" s="552"/>
      <c r="O110" s="560"/>
      <c r="P110" s="498"/>
      <c r="Q110" s="560"/>
      <c r="R110" s="498"/>
      <c r="S110" s="560"/>
      <c r="T110" s="552"/>
      <c r="U110" s="560"/>
      <c r="V110" s="498"/>
      <c r="W110" s="560"/>
      <c r="X110" s="498"/>
      <c r="Y110" s="651"/>
      <c r="Z110" s="453"/>
    </row>
    <row r="111" spans="1:27" ht="15" thickBot="1" x14ac:dyDescent="0.4">
      <c r="A111" s="652"/>
      <c r="B111" s="550"/>
      <c r="C111" s="560"/>
      <c r="D111" s="550"/>
      <c r="E111" s="560"/>
      <c r="F111" s="550"/>
      <c r="G111" s="560"/>
      <c r="H111" s="552"/>
      <c r="I111" s="560"/>
      <c r="J111" s="550"/>
      <c r="K111" s="560"/>
      <c r="L111" s="550"/>
      <c r="M111" s="560"/>
      <c r="N111" s="552"/>
      <c r="O111" s="560"/>
      <c r="P111" s="550"/>
      <c r="Q111" s="560"/>
      <c r="R111" s="550"/>
      <c r="S111" s="560"/>
      <c r="T111" s="552"/>
      <c r="U111" s="560"/>
      <c r="V111" s="550"/>
      <c r="W111" s="560"/>
      <c r="X111" s="550"/>
      <c r="Y111" s="651"/>
      <c r="Z111" s="453"/>
    </row>
    <row r="112" spans="1:27" ht="14.5" x14ac:dyDescent="0.35">
      <c r="A112" s="652"/>
      <c r="B112" s="926" t="s">
        <v>91</v>
      </c>
      <c r="C112" s="586">
        <v>415</v>
      </c>
      <c r="D112" s="926" t="s">
        <v>91</v>
      </c>
      <c r="E112" s="586">
        <v>399</v>
      </c>
      <c r="F112" s="913"/>
      <c r="G112" s="586">
        <v>436.29500000000002</v>
      </c>
      <c r="H112" s="911"/>
      <c r="I112" s="586">
        <v>437</v>
      </c>
      <c r="J112" s="926" t="s">
        <v>91</v>
      </c>
      <c r="K112" s="586">
        <v>406</v>
      </c>
      <c r="L112" s="915" t="s">
        <v>575</v>
      </c>
      <c r="M112" s="586">
        <v>437.79599999999999</v>
      </c>
      <c r="N112" s="933" t="s">
        <v>91</v>
      </c>
      <c r="O112" s="586">
        <v>412</v>
      </c>
      <c r="P112" s="913"/>
      <c r="Q112" s="586">
        <v>356.62799999999999</v>
      </c>
      <c r="R112" s="922" t="s">
        <v>575</v>
      </c>
      <c r="S112" s="586">
        <v>384.62400000000002</v>
      </c>
      <c r="T112" s="928" t="s">
        <v>575</v>
      </c>
      <c r="U112" s="586">
        <v>391</v>
      </c>
      <c r="V112" s="924" t="s">
        <v>91</v>
      </c>
      <c r="W112" s="586">
        <v>436</v>
      </c>
      <c r="X112" s="930"/>
      <c r="Y112" s="645">
        <v>406</v>
      </c>
      <c r="Z112" s="453"/>
      <c r="AA112" s="559"/>
    </row>
    <row r="113" spans="1:27" ht="15" thickBot="1" x14ac:dyDescent="0.4">
      <c r="A113" s="652"/>
      <c r="B113" s="927"/>
      <c r="C113" s="550"/>
      <c r="D113" s="927"/>
      <c r="E113" s="550"/>
      <c r="F113" s="914"/>
      <c r="G113" s="550"/>
      <c r="H113" s="912"/>
      <c r="I113" s="550"/>
      <c r="J113" s="927"/>
      <c r="K113" s="550"/>
      <c r="L113" s="932"/>
      <c r="M113" s="550"/>
      <c r="N113" s="934"/>
      <c r="O113" s="550"/>
      <c r="P113" s="914"/>
      <c r="Q113" s="550"/>
      <c r="R113" s="923"/>
      <c r="S113" s="550"/>
      <c r="T113" s="929"/>
      <c r="U113" s="550"/>
      <c r="V113" s="925"/>
      <c r="W113" s="550"/>
      <c r="X113" s="931"/>
      <c r="Y113" s="646"/>
      <c r="Z113" s="453"/>
      <c r="AA113" s="559" t="s">
        <v>69</v>
      </c>
    </row>
    <row r="114" spans="1:27" ht="14.5" x14ac:dyDescent="0.35">
      <c r="A114" s="652"/>
      <c r="B114" s="587" t="s">
        <v>95</v>
      </c>
      <c r="C114" s="543"/>
      <c r="D114" s="587" t="s">
        <v>92</v>
      </c>
      <c r="E114" s="588"/>
      <c r="F114" s="587" t="s">
        <v>347</v>
      </c>
      <c r="G114" s="588"/>
      <c r="H114" s="587" t="s">
        <v>614</v>
      </c>
      <c r="I114" s="588"/>
      <c r="J114" s="587" t="s">
        <v>88</v>
      </c>
      <c r="K114" s="588"/>
      <c r="L114" s="587" t="s">
        <v>348</v>
      </c>
      <c r="M114" s="588"/>
      <c r="N114" s="587" t="s">
        <v>615</v>
      </c>
      <c r="O114" s="588"/>
      <c r="P114" s="587" t="s">
        <v>349</v>
      </c>
      <c r="Q114" s="588"/>
      <c r="R114" s="587" t="s">
        <v>115</v>
      </c>
      <c r="S114" s="588"/>
      <c r="T114" s="587" t="s">
        <v>616</v>
      </c>
      <c r="U114" s="550"/>
      <c r="V114" s="587" t="s">
        <v>350</v>
      </c>
      <c r="W114" s="588"/>
      <c r="X114" s="587" t="s">
        <v>117</v>
      </c>
      <c r="Y114" s="647"/>
      <c r="Z114" s="453"/>
    </row>
    <row r="115" spans="1:27" ht="14.5" x14ac:dyDescent="0.35">
      <c r="A115" s="652"/>
      <c r="B115" s="543" t="s">
        <v>221</v>
      </c>
      <c r="C115" s="543"/>
      <c r="D115" s="543" t="s">
        <v>222</v>
      </c>
      <c r="E115" s="543"/>
      <c r="F115" s="543" t="s">
        <v>221</v>
      </c>
      <c r="G115" s="558"/>
      <c r="H115" s="543" t="s">
        <v>278</v>
      </c>
      <c r="I115" s="543"/>
      <c r="J115" s="543" t="s">
        <v>221</v>
      </c>
      <c r="K115" s="543"/>
      <c r="L115" s="543" t="s">
        <v>220</v>
      </c>
      <c r="M115" s="558"/>
      <c r="N115" s="543" t="s">
        <v>279</v>
      </c>
      <c r="O115" s="543"/>
      <c r="P115" s="543" t="s">
        <v>221</v>
      </c>
      <c r="Q115" s="543"/>
      <c r="R115" s="543" t="s">
        <v>257</v>
      </c>
      <c r="S115" s="558"/>
      <c r="T115" s="543" t="s">
        <v>219</v>
      </c>
      <c r="U115" s="543"/>
      <c r="V115" s="543" t="s">
        <v>220</v>
      </c>
      <c r="W115" s="543"/>
      <c r="X115" s="543" t="s">
        <v>221</v>
      </c>
      <c r="Y115" s="649"/>
      <c r="Z115" s="453"/>
    </row>
    <row r="116" spans="1:27" ht="15.5" x14ac:dyDescent="0.35">
      <c r="A116" s="638"/>
      <c r="B116" s="919">
        <v>1.6439999999999999</v>
      </c>
      <c r="C116" s="919"/>
      <c r="D116" s="919"/>
      <c r="E116" s="919"/>
      <c r="F116" s="919"/>
      <c r="G116" s="920"/>
      <c r="H116" s="921">
        <v>1.2809999999999999</v>
      </c>
      <c r="I116" s="919"/>
      <c r="J116" s="919"/>
      <c r="K116" s="919"/>
      <c r="L116" s="919"/>
      <c r="M116" s="920"/>
      <c r="N116" s="921">
        <v>1.153</v>
      </c>
      <c r="O116" s="919"/>
      <c r="P116" s="919"/>
      <c r="Q116" s="919"/>
      <c r="R116" s="919"/>
      <c r="S116" s="920"/>
      <c r="T116" s="574"/>
      <c r="U116" s="574"/>
      <c r="V116" s="574"/>
      <c r="W116" s="574"/>
      <c r="X116" s="574"/>
      <c r="Y116" s="650">
        <v>4.9169999999999998</v>
      </c>
      <c r="Z116" s="453"/>
    </row>
    <row r="117" spans="1:27" ht="14.5" x14ac:dyDescent="0.35">
      <c r="A117" s="652"/>
      <c r="B117" s="498"/>
      <c r="C117" s="560"/>
      <c r="D117" s="498"/>
      <c r="E117" s="560"/>
      <c r="F117" s="498"/>
      <c r="G117" s="560"/>
      <c r="H117" s="498"/>
      <c r="I117" s="560"/>
      <c r="J117" s="552"/>
      <c r="K117" s="560"/>
      <c r="L117" s="498"/>
      <c r="M117" s="560"/>
      <c r="N117" s="498"/>
      <c r="O117" s="560"/>
      <c r="P117" s="498"/>
      <c r="Q117" s="560"/>
      <c r="R117" s="498"/>
      <c r="S117" s="560"/>
      <c r="T117" s="498"/>
      <c r="U117" s="560"/>
      <c r="V117" s="498"/>
      <c r="W117" s="560"/>
      <c r="X117" s="552"/>
      <c r="Y117" s="651"/>
      <c r="Z117" s="453"/>
    </row>
    <row r="118" spans="1:27" ht="15" thickBot="1" x14ac:dyDescent="0.4">
      <c r="A118" s="652"/>
      <c r="B118" s="550"/>
      <c r="C118" s="560"/>
      <c r="D118" s="550"/>
      <c r="E118" s="560"/>
      <c r="F118" s="550"/>
      <c r="G118" s="560"/>
      <c r="H118" s="550"/>
      <c r="I118" s="560"/>
      <c r="J118" s="552"/>
      <c r="K118" s="560"/>
      <c r="L118" s="550"/>
      <c r="M118" s="560"/>
      <c r="N118" s="550"/>
      <c r="O118" s="560"/>
      <c r="P118" s="550"/>
      <c r="Q118" s="560"/>
      <c r="R118" s="550"/>
      <c r="S118" s="560"/>
      <c r="T118" s="550"/>
      <c r="U118" s="560"/>
      <c r="V118" s="550"/>
      <c r="W118" s="560"/>
      <c r="X118" s="552"/>
      <c r="Y118" s="651"/>
      <c r="Z118" s="453"/>
    </row>
    <row r="119" spans="1:27" ht="14.5" x14ac:dyDescent="0.35">
      <c r="A119" s="652"/>
      <c r="B119" s="926" t="s">
        <v>691</v>
      </c>
      <c r="C119" s="586">
        <v>359</v>
      </c>
      <c r="D119" s="926" t="s">
        <v>691</v>
      </c>
      <c r="E119" s="586">
        <v>439</v>
      </c>
      <c r="F119" s="926" t="s">
        <v>698</v>
      </c>
      <c r="G119" s="586">
        <v>393</v>
      </c>
      <c r="H119" s="926" t="s">
        <v>698</v>
      </c>
      <c r="I119" s="586">
        <v>314.94900000000001</v>
      </c>
      <c r="J119" s="911"/>
      <c r="K119" s="586">
        <v>437.00099999999998</v>
      </c>
      <c r="L119" s="913"/>
      <c r="M119" s="586">
        <v>399</v>
      </c>
      <c r="N119" s="924" t="s">
        <v>698</v>
      </c>
      <c r="O119" s="586">
        <v>303</v>
      </c>
      <c r="P119" s="913"/>
      <c r="Q119" s="586">
        <v>337</v>
      </c>
      <c r="R119" s="913"/>
      <c r="S119" s="586">
        <v>339.16899999999998</v>
      </c>
      <c r="T119" s="917" t="s">
        <v>575</v>
      </c>
      <c r="U119" s="586">
        <v>400</v>
      </c>
      <c r="V119" s="915" t="s">
        <v>575</v>
      </c>
      <c r="W119" s="586">
        <v>358.84899999999999</v>
      </c>
      <c r="X119" s="928" t="s">
        <v>575</v>
      </c>
      <c r="Y119" s="645">
        <v>468.49200000000002</v>
      </c>
      <c r="Z119" s="453"/>
    </row>
    <row r="120" spans="1:27" ht="15" thickBot="1" x14ac:dyDescent="0.4">
      <c r="A120" s="652"/>
      <c r="B120" s="927"/>
      <c r="C120" s="550"/>
      <c r="D120" s="927"/>
      <c r="E120" s="550"/>
      <c r="F120" s="927"/>
      <c r="G120" s="550"/>
      <c r="H120" s="927"/>
      <c r="I120" s="550"/>
      <c r="J120" s="912"/>
      <c r="K120" s="550"/>
      <c r="L120" s="914"/>
      <c r="M120" s="550"/>
      <c r="N120" s="925"/>
      <c r="O120" s="550"/>
      <c r="P120" s="914"/>
      <c r="Q120" s="550"/>
      <c r="R120" s="914"/>
      <c r="S120" s="550"/>
      <c r="T120" s="918"/>
      <c r="U120" s="550"/>
      <c r="V120" s="916"/>
      <c r="W120" s="550"/>
      <c r="X120" s="929"/>
      <c r="Y120" s="646"/>
      <c r="Z120" s="453"/>
    </row>
    <row r="121" spans="1:27" ht="14.5" x14ac:dyDescent="0.35">
      <c r="A121" s="652"/>
      <c r="B121" s="587" t="s">
        <v>351</v>
      </c>
      <c r="C121" s="543"/>
      <c r="D121" s="587" t="s">
        <v>352</v>
      </c>
      <c r="E121" s="588"/>
      <c r="F121" s="587" t="s">
        <v>353</v>
      </c>
      <c r="G121" s="588"/>
      <c r="H121" s="587" t="s">
        <v>354</v>
      </c>
      <c r="I121" s="588"/>
      <c r="J121" s="587" t="s">
        <v>617</v>
      </c>
      <c r="K121" s="588"/>
      <c r="L121" s="587" t="s">
        <v>355</v>
      </c>
      <c r="M121" s="588"/>
      <c r="N121" s="587" t="s">
        <v>356</v>
      </c>
      <c r="O121" s="588"/>
      <c r="P121" s="587" t="s">
        <v>357</v>
      </c>
      <c r="Q121" s="588"/>
      <c r="R121" s="587" t="s">
        <v>358</v>
      </c>
      <c r="S121" s="588"/>
      <c r="T121" s="587" t="s">
        <v>618</v>
      </c>
      <c r="U121" s="550"/>
      <c r="V121" s="587" t="s">
        <v>359</v>
      </c>
      <c r="W121" s="588"/>
      <c r="X121" s="587" t="s">
        <v>619</v>
      </c>
      <c r="Y121" s="647"/>
      <c r="Z121" s="453"/>
    </row>
    <row r="122" spans="1:27" ht="14.5" x14ac:dyDescent="0.35">
      <c r="A122" s="652"/>
      <c r="B122" s="543" t="s">
        <v>221</v>
      </c>
      <c r="C122" s="543"/>
      <c r="D122" s="543" t="s">
        <v>221</v>
      </c>
      <c r="E122" s="543"/>
      <c r="F122" s="543" t="s">
        <v>257</v>
      </c>
      <c r="G122" s="543"/>
      <c r="H122" s="543" t="s">
        <v>221</v>
      </c>
      <c r="I122" s="558"/>
      <c r="J122" s="543" t="s">
        <v>219</v>
      </c>
      <c r="K122" s="648"/>
      <c r="L122" s="543" t="s">
        <v>257</v>
      </c>
      <c r="M122" s="543"/>
      <c r="N122" s="543" t="s">
        <v>221</v>
      </c>
      <c r="O122" s="543"/>
      <c r="P122" s="543" t="s">
        <v>221</v>
      </c>
      <c r="Q122" s="543"/>
      <c r="R122" s="543" t="s">
        <v>221</v>
      </c>
      <c r="S122" s="558"/>
      <c r="T122" s="543" t="s">
        <v>360</v>
      </c>
      <c r="U122" s="543"/>
      <c r="V122" s="543" t="s">
        <v>222</v>
      </c>
      <c r="W122" s="558"/>
      <c r="X122" s="543" t="s">
        <v>361</v>
      </c>
      <c r="Y122" s="562">
        <f>(Y119)/1000</f>
        <v>0.46849200000000002</v>
      </c>
      <c r="Z122" s="453"/>
    </row>
    <row r="123" spans="1:27" ht="15.5" x14ac:dyDescent="0.35">
      <c r="A123" s="638"/>
      <c r="B123" s="919">
        <v>2.7389999999999999</v>
      </c>
      <c r="C123" s="919"/>
      <c r="D123" s="919"/>
      <c r="E123" s="919"/>
      <c r="F123" s="919"/>
      <c r="G123" s="919"/>
      <c r="H123" s="919"/>
      <c r="I123" s="920"/>
      <c r="J123" s="921">
        <v>1.8149999999999999</v>
      </c>
      <c r="K123" s="919"/>
      <c r="L123" s="919"/>
      <c r="M123" s="919"/>
      <c r="N123" s="919"/>
      <c r="O123" s="919"/>
      <c r="P123" s="919"/>
      <c r="Q123" s="919"/>
      <c r="R123" s="919"/>
      <c r="S123" s="920"/>
      <c r="T123" s="921">
        <v>0.75900000000000001</v>
      </c>
      <c r="U123" s="919"/>
      <c r="V123" s="919"/>
      <c r="W123" s="920"/>
      <c r="X123" s="581">
        <v>0.46800000000000003</v>
      </c>
      <c r="Y123" s="653">
        <v>4.548</v>
      </c>
      <c r="Z123" s="453"/>
    </row>
    <row r="124" spans="1:27" ht="14.5" x14ac:dyDescent="0.35">
      <c r="A124" s="652"/>
      <c r="B124" s="552"/>
      <c r="C124" s="560"/>
      <c r="D124" s="552"/>
      <c r="E124" s="589"/>
      <c r="F124" s="498"/>
      <c r="G124" s="560"/>
      <c r="H124" s="552"/>
      <c r="I124" s="560"/>
      <c r="J124" s="498"/>
      <c r="K124" s="560"/>
      <c r="L124" s="498"/>
      <c r="M124" s="560"/>
      <c r="N124" s="498"/>
      <c r="O124" s="560"/>
      <c r="P124" s="498"/>
      <c r="Q124" s="560"/>
      <c r="R124" s="552"/>
      <c r="S124" s="560"/>
      <c r="T124" s="498"/>
      <c r="U124" s="560"/>
      <c r="V124" s="498"/>
      <c r="W124" s="560"/>
      <c r="X124" s="498"/>
      <c r="Y124" s="651"/>
      <c r="Z124" s="453"/>
    </row>
    <row r="125" spans="1:27" ht="15" thickBot="1" x14ac:dyDescent="0.4">
      <c r="A125" s="652"/>
      <c r="B125" s="552"/>
      <c r="C125" s="560"/>
      <c r="D125" s="552"/>
      <c r="E125" s="560"/>
      <c r="F125" s="550"/>
      <c r="G125" s="560"/>
      <c r="H125" s="552"/>
      <c r="I125" s="560"/>
      <c r="J125" s="550"/>
      <c r="K125" s="560"/>
      <c r="L125" s="550"/>
      <c r="M125" s="560"/>
      <c r="N125" s="550"/>
      <c r="O125" s="560"/>
      <c r="P125" s="550"/>
      <c r="Q125" s="560"/>
      <c r="R125" s="552"/>
      <c r="S125" s="560"/>
      <c r="T125" s="550"/>
      <c r="U125" s="560"/>
      <c r="V125" s="550"/>
      <c r="W125" s="560"/>
      <c r="X125" s="550"/>
      <c r="Y125" s="651"/>
      <c r="Z125" s="453"/>
    </row>
    <row r="126" spans="1:27" ht="14.5" x14ac:dyDescent="0.35">
      <c r="A126" s="652"/>
      <c r="B126" s="917" t="s">
        <v>575</v>
      </c>
      <c r="C126" s="586">
        <v>287.35199999999998</v>
      </c>
      <c r="D126" s="917" t="s">
        <v>575</v>
      </c>
      <c r="E126" s="586">
        <v>416</v>
      </c>
      <c r="F126" s="915" t="s">
        <v>575</v>
      </c>
      <c r="G126" s="586">
        <v>352.35399999999998</v>
      </c>
      <c r="H126" s="911"/>
      <c r="I126" s="586">
        <v>361</v>
      </c>
      <c r="J126" s="913"/>
      <c r="K126" s="586">
        <v>426</v>
      </c>
      <c r="L126" s="922" t="s">
        <v>575</v>
      </c>
      <c r="M126" s="586">
        <v>394</v>
      </c>
      <c r="N126" s="922" t="s">
        <v>575</v>
      </c>
      <c r="O126" s="586">
        <v>384</v>
      </c>
      <c r="P126" s="922" t="s">
        <v>575</v>
      </c>
      <c r="Q126" s="586">
        <v>414</v>
      </c>
      <c r="R126" s="928" t="s">
        <v>575</v>
      </c>
      <c r="S126" s="586">
        <v>480</v>
      </c>
      <c r="T126" s="917" t="s">
        <v>575</v>
      </c>
      <c r="U126" s="586">
        <v>395</v>
      </c>
      <c r="V126" s="915" t="s">
        <v>575</v>
      </c>
      <c r="W126" s="586">
        <v>329</v>
      </c>
      <c r="X126" s="915" t="s">
        <v>575</v>
      </c>
      <c r="Y126" s="645">
        <v>417.94499999999999</v>
      </c>
      <c r="Z126" s="453"/>
    </row>
    <row r="127" spans="1:27" ht="15" thickBot="1" x14ac:dyDescent="0.4">
      <c r="A127" s="652"/>
      <c r="B127" s="918"/>
      <c r="C127" s="550"/>
      <c r="D127" s="918"/>
      <c r="E127" s="550"/>
      <c r="F127" s="932"/>
      <c r="G127" s="550"/>
      <c r="H127" s="912"/>
      <c r="I127" s="550"/>
      <c r="J127" s="914"/>
      <c r="K127" s="550"/>
      <c r="L127" s="923"/>
      <c r="M127" s="550"/>
      <c r="N127" s="923"/>
      <c r="O127" s="550"/>
      <c r="P127" s="923"/>
      <c r="Q127" s="550"/>
      <c r="R127" s="929"/>
      <c r="S127" s="550"/>
      <c r="T127" s="918"/>
      <c r="U127" s="550"/>
      <c r="V127" s="916"/>
      <c r="W127" s="550"/>
      <c r="X127" s="916"/>
      <c r="Y127" s="646"/>
      <c r="Z127" s="453"/>
    </row>
    <row r="128" spans="1:27" ht="14.5" x14ac:dyDescent="0.35">
      <c r="A128" s="652"/>
      <c r="B128" s="587" t="s">
        <v>620</v>
      </c>
      <c r="C128" s="543"/>
      <c r="D128" s="587" t="s">
        <v>621</v>
      </c>
      <c r="E128" s="588"/>
      <c r="F128" s="587" t="s">
        <v>362</v>
      </c>
      <c r="G128" s="588"/>
      <c r="H128" s="587" t="s">
        <v>622</v>
      </c>
      <c r="I128" s="588"/>
      <c r="J128" s="587" t="s">
        <v>363</v>
      </c>
      <c r="K128" s="588"/>
      <c r="L128" s="587" t="s">
        <v>364</v>
      </c>
      <c r="M128" s="588"/>
      <c r="N128" s="587" t="s">
        <v>365</v>
      </c>
      <c r="O128" s="588"/>
      <c r="P128" s="587" t="s">
        <v>366</v>
      </c>
      <c r="Q128" s="588"/>
      <c r="R128" s="587" t="s">
        <v>367</v>
      </c>
      <c r="S128" s="588"/>
      <c r="T128" s="587" t="s">
        <v>623</v>
      </c>
      <c r="U128" s="550"/>
      <c r="V128" s="587" t="s">
        <v>368</v>
      </c>
      <c r="W128" s="588"/>
      <c r="X128" s="587" t="s">
        <v>369</v>
      </c>
      <c r="Y128" s="647"/>
      <c r="Z128" s="453"/>
    </row>
    <row r="129" spans="1:26" ht="14.5" x14ac:dyDescent="0.35">
      <c r="A129" s="652"/>
      <c r="B129" s="543" t="s">
        <v>292</v>
      </c>
      <c r="C129" s="558"/>
      <c r="D129" s="543" t="s">
        <v>278</v>
      </c>
      <c r="E129" s="543"/>
      <c r="F129" s="543" t="s">
        <v>221</v>
      </c>
      <c r="G129" s="558"/>
      <c r="H129" s="543" t="s">
        <v>246</v>
      </c>
      <c r="I129" s="543"/>
      <c r="J129" s="543" t="s">
        <v>222</v>
      </c>
      <c r="K129" s="543"/>
      <c r="L129" s="543" t="s">
        <v>221</v>
      </c>
      <c r="M129" s="543"/>
      <c r="N129" s="543" t="s">
        <v>222</v>
      </c>
      <c r="O129" s="543"/>
      <c r="P129" s="543" t="s">
        <v>221</v>
      </c>
      <c r="Q129" s="558">
        <f>(I126+K126+M126++O126+Q126)/1000</f>
        <v>1.9790000000000001</v>
      </c>
      <c r="R129" s="543" t="s">
        <v>292</v>
      </c>
      <c r="S129" s="558">
        <f>(S126)/1000</f>
        <v>0.48</v>
      </c>
      <c r="T129" s="543" t="s">
        <v>310</v>
      </c>
      <c r="U129" s="543"/>
      <c r="V129" s="543" t="s">
        <v>222</v>
      </c>
      <c r="W129" s="543"/>
      <c r="X129" s="543" t="s">
        <v>220</v>
      </c>
      <c r="Y129" s="562"/>
      <c r="Z129" s="453"/>
    </row>
    <row r="130" spans="1:26" ht="15.5" x14ac:dyDescent="0.35">
      <c r="A130" s="638"/>
      <c r="B130" s="921">
        <v>0.28699999999999998</v>
      </c>
      <c r="C130" s="920"/>
      <c r="D130" s="921">
        <v>0.76800000000000002</v>
      </c>
      <c r="E130" s="919"/>
      <c r="F130" s="919"/>
      <c r="G130" s="920"/>
      <c r="H130" s="921">
        <v>2.4590000000000001</v>
      </c>
      <c r="I130" s="919"/>
      <c r="J130" s="919"/>
      <c r="K130" s="919"/>
      <c r="L130" s="919"/>
      <c r="M130" s="919"/>
      <c r="N130" s="919"/>
      <c r="O130" s="919"/>
      <c r="P130" s="919"/>
      <c r="Q130" s="919"/>
      <c r="R130" s="919"/>
      <c r="S130" s="920"/>
      <c r="T130" s="982">
        <v>1.1419999999999999</v>
      </c>
      <c r="U130" s="980"/>
      <c r="V130" s="980"/>
      <c r="W130" s="980"/>
      <c r="X130" s="980"/>
      <c r="Y130" s="654">
        <v>4.657</v>
      </c>
      <c r="Z130" s="453"/>
    </row>
    <row r="131" spans="1:26" ht="14.5" x14ac:dyDescent="0.35">
      <c r="A131" s="652"/>
      <c r="B131" s="552"/>
      <c r="C131" s="560"/>
      <c r="D131" s="552"/>
      <c r="E131" s="560"/>
      <c r="F131" s="498"/>
      <c r="G131" s="560"/>
      <c r="H131" s="552"/>
      <c r="I131" s="560"/>
      <c r="J131" s="498"/>
      <c r="K131" s="560"/>
      <c r="L131" s="498"/>
      <c r="M131" s="560"/>
      <c r="N131" s="552"/>
      <c r="O131" s="560"/>
      <c r="P131" s="552"/>
      <c r="Q131" s="560"/>
      <c r="R131" s="498"/>
      <c r="S131" s="560"/>
      <c r="T131" s="498"/>
      <c r="U131" s="560"/>
      <c r="V131" s="552"/>
      <c r="W131" s="560"/>
      <c r="X131" s="552"/>
      <c r="Y131" s="651"/>
      <c r="Z131" s="453"/>
    </row>
    <row r="132" spans="1:26" ht="15" thickBot="1" x14ac:dyDescent="0.4">
      <c r="A132" s="652"/>
      <c r="B132" s="552"/>
      <c r="C132" s="560"/>
      <c r="D132" s="552"/>
      <c r="E132" s="560"/>
      <c r="F132" s="550"/>
      <c r="G132" s="560"/>
      <c r="H132" s="552"/>
      <c r="I132" s="560"/>
      <c r="J132" s="550"/>
      <c r="K132" s="560"/>
      <c r="L132" s="550"/>
      <c r="M132" s="560"/>
      <c r="N132" s="552"/>
      <c r="O132" s="560"/>
      <c r="P132" s="552"/>
      <c r="Q132" s="560"/>
      <c r="R132" s="550"/>
      <c r="S132" s="560"/>
      <c r="T132" s="550"/>
      <c r="U132" s="560"/>
      <c r="V132" s="552"/>
      <c r="W132" s="560"/>
      <c r="X132" s="552"/>
      <c r="Y132" s="651"/>
      <c r="Z132" s="453"/>
    </row>
    <row r="133" spans="1:26" ht="14.5" x14ac:dyDescent="0.35">
      <c r="A133" s="652"/>
      <c r="B133" s="917" t="s">
        <v>575</v>
      </c>
      <c r="C133" s="586">
        <v>467</v>
      </c>
      <c r="D133" s="917" t="s">
        <v>575</v>
      </c>
      <c r="E133" s="586">
        <v>443</v>
      </c>
      <c r="F133" s="915" t="s">
        <v>575</v>
      </c>
      <c r="G133" s="586">
        <v>310.74299999999999</v>
      </c>
      <c r="H133" s="917" t="s">
        <v>575</v>
      </c>
      <c r="I133" s="586">
        <v>479</v>
      </c>
      <c r="J133" s="915" t="s">
        <v>575</v>
      </c>
      <c r="K133" s="586">
        <v>321</v>
      </c>
      <c r="L133" s="913"/>
      <c r="M133" s="586">
        <v>506</v>
      </c>
      <c r="N133" s="917" t="s">
        <v>575</v>
      </c>
      <c r="O133" s="586">
        <v>421.20699999999999</v>
      </c>
      <c r="P133" s="917" t="s">
        <v>575</v>
      </c>
      <c r="Q133" s="586">
        <v>421</v>
      </c>
      <c r="R133" s="926" t="s">
        <v>699</v>
      </c>
      <c r="S133" s="586">
        <v>406</v>
      </c>
      <c r="T133" s="930"/>
      <c r="U133" s="586">
        <v>435</v>
      </c>
      <c r="V133" s="917" t="s">
        <v>575</v>
      </c>
      <c r="W133" s="586">
        <v>532.75900000000001</v>
      </c>
      <c r="X133" s="917" t="s">
        <v>575</v>
      </c>
      <c r="Y133" s="645">
        <v>265.46499999999997</v>
      </c>
      <c r="Z133" s="453"/>
    </row>
    <row r="134" spans="1:26" ht="15" thickBot="1" x14ac:dyDescent="0.4">
      <c r="A134" s="652"/>
      <c r="B134" s="918"/>
      <c r="C134" s="550"/>
      <c r="D134" s="918"/>
      <c r="E134" s="550"/>
      <c r="F134" s="916"/>
      <c r="G134" s="550"/>
      <c r="H134" s="918"/>
      <c r="I134" s="550"/>
      <c r="J134" s="916"/>
      <c r="K134" s="550"/>
      <c r="L134" s="914"/>
      <c r="M134" s="550"/>
      <c r="N134" s="918"/>
      <c r="O134" s="550"/>
      <c r="P134" s="918"/>
      <c r="Q134" s="550"/>
      <c r="R134" s="927"/>
      <c r="S134" s="550"/>
      <c r="T134" s="931"/>
      <c r="U134" s="550"/>
      <c r="V134" s="918"/>
      <c r="W134" s="550"/>
      <c r="X134" s="918"/>
      <c r="Y134" s="646"/>
      <c r="Z134" s="453"/>
    </row>
    <row r="135" spans="1:26" ht="14.5" x14ac:dyDescent="0.35">
      <c r="A135" s="652"/>
      <c r="B135" s="587" t="s">
        <v>624</v>
      </c>
      <c r="C135" s="543"/>
      <c r="D135" s="587" t="s">
        <v>370</v>
      </c>
      <c r="E135" s="588"/>
      <c r="F135" s="587" t="s">
        <v>371</v>
      </c>
      <c r="G135" s="588"/>
      <c r="H135" s="587" t="s">
        <v>625</v>
      </c>
      <c r="I135" s="588"/>
      <c r="J135" s="587" t="s">
        <v>372</v>
      </c>
      <c r="K135" s="588"/>
      <c r="L135" s="587" t="s">
        <v>373</v>
      </c>
      <c r="M135" s="588"/>
      <c r="N135" s="587" t="s">
        <v>374</v>
      </c>
      <c r="O135" s="588"/>
      <c r="P135" s="587" t="s">
        <v>626</v>
      </c>
      <c r="Q135" s="588"/>
      <c r="R135" s="587" t="s">
        <v>375</v>
      </c>
      <c r="S135" s="588"/>
      <c r="T135" s="587" t="s">
        <v>376</v>
      </c>
      <c r="U135" s="550"/>
      <c r="V135" s="587" t="s">
        <v>377</v>
      </c>
      <c r="W135" s="588"/>
      <c r="X135" s="587" t="s">
        <v>627</v>
      </c>
      <c r="Y135" s="647"/>
      <c r="Z135" s="453"/>
    </row>
    <row r="136" spans="1:26" ht="14.5" x14ac:dyDescent="0.35">
      <c r="A136" s="652"/>
      <c r="B136" s="543" t="s">
        <v>378</v>
      </c>
      <c r="C136" s="558">
        <f>C133/1000</f>
        <v>0.46700000000000003</v>
      </c>
      <c r="D136" s="543" t="s">
        <v>292</v>
      </c>
      <c r="E136" s="543"/>
      <c r="F136" s="543" t="s">
        <v>221</v>
      </c>
      <c r="G136" s="558">
        <f>(E133+G133)/1000</f>
        <v>0.75374299999999994</v>
      </c>
      <c r="H136" s="543" t="s">
        <v>379</v>
      </c>
      <c r="I136" s="543"/>
      <c r="J136" s="543" t="s">
        <v>222</v>
      </c>
      <c r="K136" s="543"/>
      <c r="L136" s="543" t="s">
        <v>257</v>
      </c>
      <c r="M136" s="558">
        <f>(I133+K133+M133)/1000</f>
        <v>1.306</v>
      </c>
      <c r="N136" s="543" t="s">
        <v>292</v>
      </c>
      <c r="O136" s="558">
        <f>O133/1000</f>
        <v>0.421207</v>
      </c>
      <c r="P136" s="543" t="s">
        <v>361</v>
      </c>
      <c r="Q136" s="543"/>
      <c r="R136" s="543" t="s">
        <v>221</v>
      </c>
      <c r="S136" s="543"/>
      <c r="T136" s="543" t="s">
        <v>222</v>
      </c>
      <c r="U136" s="558">
        <f>(+Q133+S133+U133)/1000</f>
        <v>1.262</v>
      </c>
      <c r="V136" s="543" t="s">
        <v>292</v>
      </c>
      <c r="W136" s="558">
        <f>(W133)/1000</f>
        <v>0.53275899999999998</v>
      </c>
      <c r="X136" s="543" t="s">
        <v>301</v>
      </c>
      <c r="Y136" s="562">
        <f>(Y133)/1000</f>
        <v>0.26546499999999995</v>
      </c>
      <c r="Z136" s="453"/>
    </row>
    <row r="137" spans="1:26" ht="15.5" x14ac:dyDescent="0.35">
      <c r="A137" s="638"/>
      <c r="B137" s="921">
        <v>1.2210000000000001</v>
      </c>
      <c r="C137" s="919"/>
      <c r="D137" s="919"/>
      <c r="E137" s="919"/>
      <c r="F137" s="919"/>
      <c r="G137" s="920"/>
      <c r="H137" s="921">
        <v>1.7270000000000001</v>
      </c>
      <c r="I137" s="919"/>
      <c r="J137" s="919"/>
      <c r="K137" s="919"/>
      <c r="L137" s="919"/>
      <c r="M137" s="919"/>
      <c r="N137" s="919"/>
      <c r="O137" s="920"/>
      <c r="P137" s="921">
        <v>1.7949999999999999</v>
      </c>
      <c r="Q137" s="919"/>
      <c r="R137" s="919"/>
      <c r="S137" s="919"/>
      <c r="T137" s="919"/>
      <c r="U137" s="919"/>
      <c r="V137" s="919"/>
      <c r="W137" s="920"/>
      <c r="X137" s="581">
        <v>0.26500000000000001</v>
      </c>
      <c r="Y137" s="650">
        <v>5.008</v>
      </c>
      <c r="Z137" s="453"/>
    </row>
    <row r="138" spans="1:26" ht="14.5" x14ac:dyDescent="0.35">
      <c r="A138" s="652"/>
      <c r="B138" s="552"/>
      <c r="C138" s="560"/>
      <c r="D138" s="552"/>
      <c r="E138" s="560"/>
      <c r="F138" s="552"/>
      <c r="G138" s="560"/>
      <c r="H138" s="498"/>
      <c r="I138" s="560"/>
      <c r="J138" s="498"/>
      <c r="K138" s="560"/>
      <c r="L138" s="498"/>
      <c r="M138" s="560"/>
      <c r="N138" s="498"/>
      <c r="O138" s="560"/>
      <c r="P138" s="498"/>
      <c r="Q138" s="560"/>
      <c r="R138" s="498"/>
      <c r="S138" s="560"/>
      <c r="T138" s="552"/>
      <c r="U138" s="560"/>
      <c r="V138" s="498"/>
      <c r="W138" s="560"/>
      <c r="X138" s="498"/>
      <c r="Y138" s="651"/>
      <c r="Z138" s="453"/>
    </row>
    <row r="139" spans="1:26" ht="15" thickBot="1" x14ac:dyDescent="0.4">
      <c r="A139" s="652"/>
      <c r="B139" s="552"/>
      <c r="C139" s="560"/>
      <c r="D139" s="552"/>
      <c r="E139" s="560"/>
      <c r="F139" s="552"/>
      <c r="G139" s="560"/>
      <c r="H139" s="550"/>
      <c r="I139" s="560"/>
      <c r="J139" s="550"/>
      <c r="K139" s="560"/>
      <c r="L139" s="550"/>
      <c r="M139" s="560"/>
      <c r="N139" s="550"/>
      <c r="O139" s="560"/>
      <c r="P139" s="550"/>
      <c r="Q139" s="560"/>
      <c r="R139" s="550"/>
      <c r="S139" s="560"/>
      <c r="T139" s="552"/>
      <c r="U139" s="560"/>
      <c r="V139" s="550"/>
      <c r="W139" s="560"/>
      <c r="X139" s="550"/>
      <c r="Y139" s="651"/>
      <c r="Z139" s="453"/>
    </row>
    <row r="140" spans="1:26" ht="14.5" x14ac:dyDescent="0.35">
      <c r="A140" s="652"/>
      <c r="B140" s="917" t="s">
        <v>575</v>
      </c>
      <c r="C140" s="586">
        <v>484</v>
      </c>
      <c r="D140" s="928" t="s">
        <v>575</v>
      </c>
      <c r="E140" s="586">
        <v>611</v>
      </c>
      <c r="F140" s="928" t="s">
        <v>575</v>
      </c>
      <c r="G140" s="586">
        <v>367</v>
      </c>
      <c r="H140" s="915" t="s">
        <v>575</v>
      </c>
      <c r="I140" s="586">
        <v>468.584</v>
      </c>
      <c r="J140" s="915" t="s">
        <v>575</v>
      </c>
      <c r="K140" s="586">
        <v>371.416</v>
      </c>
      <c r="L140" s="915" t="s">
        <v>575</v>
      </c>
      <c r="M140" s="586">
        <v>370</v>
      </c>
      <c r="N140" s="913"/>
      <c r="O140" s="586">
        <v>327</v>
      </c>
      <c r="P140" s="922" t="s">
        <v>575</v>
      </c>
      <c r="Q140" s="586">
        <v>318</v>
      </c>
      <c r="R140" s="913"/>
      <c r="S140" s="586">
        <v>339.76900000000001</v>
      </c>
      <c r="T140" s="911"/>
      <c r="U140" s="586">
        <v>395.99900000000002</v>
      </c>
      <c r="V140" s="913"/>
      <c r="W140" s="551">
        <v>377</v>
      </c>
      <c r="X140" s="913"/>
      <c r="Y140" s="645">
        <v>398</v>
      </c>
      <c r="Z140" s="453"/>
    </row>
    <row r="141" spans="1:26" ht="15" thickBot="1" x14ac:dyDescent="0.4">
      <c r="A141" s="652"/>
      <c r="B141" s="918"/>
      <c r="C141" s="550"/>
      <c r="D141" s="929"/>
      <c r="E141" s="550"/>
      <c r="F141" s="929"/>
      <c r="G141" s="550"/>
      <c r="H141" s="916"/>
      <c r="I141" s="550"/>
      <c r="J141" s="916"/>
      <c r="K141" s="550"/>
      <c r="L141" s="916"/>
      <c r="M141" s="550"/>
      <c r="N141" s="914"/>
      <c r="O141" s="550"/>
      <c r="P141" s="923"/>
      <c r="Q141" s="550"/>
      <c r="R141" s="914"/>
      <c r="S141" s="550"/>
      <c r="T141" s="912"/>
      <c r="U141" s="550"/>
      <c r="V141" s="914"/>
      <c r="W141" s="550"/>
      <c r="X141" s="914"/>
      <c r="Y141" s="646"/>
      <c r="Z141" s="453"/>
    </row>
    <row r="142" spans="1:26" ht="14.5" x14ac:dyDescent="0.35">
      <c r="A142" s="652"/>
      <c r="B142" s="587" t="s">
        <v>628</v>
      </c>
      <c r="C142" s="543"/>
      <c r="D142" s="587" t="s">
        <v>380</v>
      </c>
      <c r="E142" s="588"/>
      <c r="F142" s="587" t="s">
        <v>381</v>
      </c>
      <c r="G142" s="588"/>
      <c r="H142" s="587" t="s">
        <v>382</v>
      </c>
      <c r="I142" s="588"/>
      <c r="J142" s="587" t="s">
        <v>383</v>
      </c>
      <c r="K142" s="588"/>
      <c r="L142" s="587" t="s">
        <v>384</v>
      </c>
      <c r="M142" s="588"/>
      <c r="N142" s="587" t="s">
        <v>385</v>
      </c>
      <c r="O142" s="588"/>
      <c r="P142" s="587" t="s">
        <v>386</v>
      </c>
      <c r="Q142" s="588"/>
      <c r="R142" s="587" t="s">
        <v>387</v>
      </c>
      <c r="S142" s="588"/>
      <c r="T142" s="587" t="s">
        <v>629</v>
      </c>
      <c r="U142" s="550"/>
      <c r="V142" s="587" t="s">
        <v>388</v>
      </c>
      <c r="W142" s="588"/>
      <c r="X142" s="587" t="s">
        <v>389</v>
      </c>
      <c r="Y142" s="647"/>
      <c r="Z142" s="453"/>
    </row>
    <row r="143" spans="1:26" ht="14.5" x14ac:dyDescent="0.35">
      <c r="A143" s="652"/>
      <c r="B143" s="543" t="s">
        <v>328</v>
      </c>
      <c r="C143" s="558">
        <f>C140/1000</f>
        <v>0.48399999999999999</v>
      </c>
      <c r="D143" s="543" t="s">
        <v>219</v>
      </c>
      <c r="E143" s="558">
        <f>E140/1000</f>
        <v>0.61099999999999999</v>
      </c>
      <c r="F143" s="543" t="s">
        <v>219</v>
      </c>
      <c r="G143" s="543"/>
      <c r="H143" s="543" t="s">
        <v>220</v>
      </c>
      <c r="I143" s="543"/>
      <c r="J143" s="543" t="s">
        <v>222</v>
      </c>
      <c r="K143" s="543"/>
      <c r="L143" s="543" t="s">
        <v>221</v>
      </c>
      <c r="M143" s="543"/>
      <c r="N143" s="543" t="s">
        <v>221</v>
      </c>
      <c r="O143" s="543"/>
      <c r="P143" s="543" t="s">
        <v>221</v>
      </c>
      <c r="Q143" s="543"/>
      <c r="R143" s="543" t="s">
        <v>221</v>
      </c>
      <c r="S143" s="558">
        <f>(G140+I140+K140+M140++O140+Q140+S140)/1000</f>
        <v>2.5617690000000004</v>
      </c>
      <c r="T143" s="543" t="s">
        <v>246</v>
      </c>
      <c r="U143" s="543"/>
      <c r="V143" s="543" t="s">
        <v>222</v>
      </c>
      <c r="W143" s="543"/>
      <c r="X143" s="543" t="s">
        <v>221</v>
      </c>
      <c r="Y143" s="649"/>
      <c r="Z143" s="453"/>
    </row>
    <row r="144" spans="1:26" ht="14.4" customHeight="1" x14ac:dyDescent="0.35">
      <c r="A144" s="638"/>
      <c r="B144" s="921">
        <v>3.657</v>
      </c>
      <c r="C144" s="919"/>
      <c r="D144" s="919"/>
      <c r="E144" s="919"/>
      <c r="F144" s="919"/>
      <c r="G144" s="919"/>
      <c r="H144" s="919"/>
      <c r="I144" s="919"/>
      <c r="J144" s="919"/>
      <c r="K144" s="919"/>
      <c r="L144" s="919"/>
      <c r="M144" s="919"/>
      <c r="N144" s="919"/>
      <c r="O144" s="919"/>
      <c r="P144" s="919"/>
      <c r="Q144" s="919"/>
      <c r="R144" s="919"/>
      <c r="S144" s="920"/>
      <c r="T144" s="577"/>
      <c r="U144" s="577"/>
      <c r="V144" s="577"/>
      <c r="W144" s="576"/>
      <c r="X144" s="577"/>
      <c r="Y144" s="659" t="s">
        <v>685</v>
      </c>
      <c r="Z144" s="453"/>
    </row>
    <row r="145" spans="1:26" ht="14.5" x14ac:dyDescent="0.35">
      <c r="A145" s="652"/>
      <c r="B145" s="498"/>
      <c r="C145" s="560"/>
      <c r="D145" s="498"/>
      <c r="E145" s="560"/>
      <c r="F145" s="552"/>
      <c r="G145" s="560"/>
      <c r="H145" s="498"/>
      <c r="I145" s="560"/>
      <c r="J145" s="498"/>
      <c r="K145" s="560"/>
      <c r="L145" s="498"/>
      <c r="M145" s="560"/>
      <c r="N145" s="498"/>
      <c r="O145" s="560"/>
      <c r="P145" s="498"/>
      <c r="Q145" s="560"/>
      <c r="R145" s="552"/>
      <c r="S145" s="560"/>
      <c r="T145" s="498"/>
      <c r="U145" s="560"/>
      <c r="V145" s="498"/>
      <c r="W145" s="560"/>
      <c r="X145" s="498"/>
      <c r="Y145" s="651"/>
      <c r="Z145" s="453"/>
    </row>
    <row r="146" spans="1:26" ht="15" thickBot="1" x14ac:dyDescent="0.4">
      <c r="A146" s="652"/>
      <c r="B146" s="550"/>
      <c r="C146" s="560"/>
      <c r="D146" s="550"/>
      <c r="E146" s="560"/>
      <c r="F146" s="552"/>
      <c r="G146" s="560"/>
      <c r="H146" s="550"/>
      <c r="I146" s="560"/>
      <c r="J146" s="550"/>
      <c r="K146" s="560"/>
      <c r="L146" s="550"/>
      <c r="M146" s="560"/>
      <c r="N146" s="550"/>
      <c r="O146" s="560"/>
      <c r="P146" s="550"/>
      <c r="Q146" s="560"/>
      <c r="R146" s="552"/>
      <c r="S146" s="560"/>
      <c r="T146" s="550"/>
      <c r="U146" s="560"/>
      <c r="V146" s="550"/>
      <c r="W146" s="560"/>
      <c r="X146" s="550"/>
      <c r="Y146" s="651"/>
      <c r="Z146" s="453"/>
    </row>
    <row r="147" spans="1:26" ht="14.5" x14ac:dyDescent="0.35">
      <c r="A147" s="652"/>
      <c r="B147" s="913"/>
      <c r="C147" s="586">
        <v>393</v>
      </c>
      <c r="D147" s="913"/>
      <c r="E147" s="586">
        <v>373.66</v>
      </c>
      <c r="F147" s="911"/>
      <c r="G147" s="586">
        <v>363</v>
      </c>
      <c r="H147" s="913"/>
      <c r="I147" s="586">
        <v>349</v>
      </c>
      <c r="J147" s="913"/>
      <c r="K147" s="586">
        <v>386</v>
      </c>
      <c r="L147" s="913"/>
      <c r="M147" s="586">
        <v>390</v>
      </c>
      <c r="N147" s="913"/>
      <c r="O147" s="586">
        <v>417</v>
      </c>
      <c r="P147" s="913"/>
      <c r="Q147" s="586">
        <v>422.99700000000001</v>
      </c>
      <c r="R147" s="911"/>
      <c r="S147" s="586">
        <v>340</v>
      </c>
      <c r="T147" s="913"/>
      <c r="U147" s="586">
        <v>365</v>
      </c>
      <c r="V147" s="915" t="s">
        <v>575</v>
      </c>
      <c r="W147" s="586">
        <v>403</v>
      </c>
      <c r="X147" s="913"/>
      <c r="Y147" s="645">
        <v>382</v>
      </c>
      <c r="Z147" s="453"/>
    </row>
    <row r="148" spans="1:26" ht="15" thickBot="1" x14ac:dyDescent="0.4">
      <c r="A148" s="652"/>
      <c r="B148" s="914"/>
      <c r="C148" s="550"/>
      <c r="D148" s="914"/>
      <c r="E148" s="550"/>
      <c r="F148" s="912"/>
      <c r="G148" s="550"/>
      <c r="H148" s="914"/>
      <c r="I148" s="550"/>
      <c r="J148" s="914"/>
      <c r="K148" s="550"/>
      <c r="L148" s="914"/>
      <c r="M148" s="550"/>
      <c r="N148" s="914"/>
      <c r="O148" s="550"/>
      <c r="P148" s="914"/>
      <c r="Q148" s="550"/>
      <c r="R148" s="912"/>
      <c r="S148" s="550"/>
      <c r="T148" s="914"/>
      <c r="U148" s="550"/>
      <c r="V148" s="916"/>
      <c r="W148" s="550"/>
      <c r="X148" s="914"/>
      <c r="Y148" s="646"/>
      <c r="Z148" s="453"/>
    </row>
    <row r="149" spans="1:26" ht="14.5" x14ac:dyDescent="0.35">
      <c r="A149" s="652"/>
      <c r="B149" s="587" t="s">
        <v>390</v>
      </c>
      <c r="C149" s="543"/>
      <c r="D149" s="587" t="s">
        <v>391</v>
      </c>
      <c r="E149" s="588"/>
      <c r="F149" s="587" t="s">
        <v>630</v>
      </c>
      <c r="G149" s="588"/>
      <c r="H149" s="587" t="s">
        <v>392</v>
      </c>
      <c r="I149" s="588"/>
      <c r="J149" s="587" t="s">
        <v>393</v>
      </c>
      <c r="K149" s="588"/>
      <c r="L149" s="587" t="s">
        <v>394</v>
      </c>
      <c r="M149" s="588"/>
      <c r="N149" s="587" t="s">
        <v>395</v>
      </c>
      <c r="O149" s="588"/>
      <c r="P149" s="587" t="s">
        <v>396</v>
      </c>
      <c r="Q149" s="588"/>
      <c r="R149" s="587" t="s">
        <v>631</v>
      </c>
      <c r="S149" s="588"/>
      <c r="T149" s="587" t="s">
        <v>397</v>
      </c>
      <c r="U149" s="550"/>
      <c r="V149" s="587" t="s">
        <v>398</v>
      </c>
      <c r="W149" s="588"/>
      <c r="X149" s="587" t="s">
        <v>399</v>
      </c>
      <c r="Y149" s="647"/>
      <c r="Z149" s="453"/>
    </row>
    <row r="150" spans="1:26" ht="14.5" x14ac:dyDescent="0.35">
      <c r="A150" s="656"/>
      <c r="B150" s="543" t="s">
        <v>221</v>
      </c>
      <c r="C150" s="543"/>
      <c r="D150" s="543" t="s">
        <v>222</v>
      </c>
      <c r="E150" s="558"/>
      <c r="F150" s="543" t="s">
        <v>223</v>
      </c>
      <c r="G150" s="543"/>
      <c r="H150" s="543" t="s">
        <v>221</v>
      </c>
      <c r="I150" s="543"/>
      <c r="J150" s="543" t="s">
        <v>221</v>
      </c>
      <c r="K150" s="543"/>
      <c r="L150" s="543" t="s">
        <v>221</v>
      </c>
      <c r="M150" s="543"/>
      <c r="N150" s="543" t="s">
        <v>221</v>
      </c>
      <c r="O150" s="543"/>
      <c r="P150" s="543" t="s">
        <v>220</v>
      </c>
      <c r="Q150" s="558"/>
      <c r="R150" s="543" t="s">
        <v>223</v>
      </c>
      <c r="S150" s="543"/>
      <c r="T150" s="543" t="s">
        <v>221</v>
      </c>
      <c r="U150" s="543"/>
      <c r="V150" s="543" t="s">
        <v>221</v>
      </c>
      <c r="W150" s="543"/>
      <c r="X150" s="543" t="s">
        <v>222</v>
      </c>
      <c r="Y150" s="657"/>
      <c r="Z150" s="453"/>
    </row>
    <row r="151" spans="1:26" ht="15.5" x14ac:dyDescent="0.35">
      <c r="A151" s="638"/>
      <c r="B151" s="919">
        <v>1.9379999999999999</v>
      </c>
      <c r="C151" s="919"/>
      <c r="D151" s="919"/>
      <c r="E151" s="920"/>
      <c r="F151" s="921">
        <v>2.3279999999999998</v>
      </c>
      <c r="G151" s="919"/>
      <c r="H151" s="919"/>
      <c r="I151" s="919"/>
      <c r="J151" s="919"/>
      <c r="K151" s="919"/>
      <c r="L151" s="919"/>
      <c r="M151" s="919"/>
      <c r="N151" s="919"/>
      <c r="O151" s="919"/>
      <c r="P151" s="919"/>
      <c r="Q151" s="920"/>
      <c r="R151" s="567"/>
      <c r="S151" s="567"/>
      <c r="T151" s="567"/>
      <c r="U151" s="567"/>
      <c r="V151" s="567"/>
      <c r="W151" s="567"/>
      <c r="X151" s="567"/>
      <c r="Y151" s="653">
        <v>4.585</v>
      </c>
      <c r="Z151" s="453"/>
    </row>
    <row r="152" spans="1:26" ht="14.5" x14ac:dyDescent="0.35">
      <c r="A152" s="652"/>
      <c r="B152" s="498"/>
      <c r="C152" s="560"/>
      <c r="D152" s="498"/>
      <c r="E152" s="560"/>
      <c r="F152" s="498"/>
      <c r="G152" s="560"/>
      <c r="H152" s="498"/>
      <c r="I152" s="560"/>
      <c r="J152" s="498"/>
      <c r="K152" s="560"/>
      <c r="L152" s="498"/>
      <c r="M152" s="560"/>
      <c r="N152" s="498"/>
      <c r="O152" s="560"/>
      <c r="P152" s="498"/>
      <c r="Q152" s="560"/>
      <c r="R152" s="498"/>
      <c r="S152" s="560"/>
      <c r="T152" s="552"/>
      <c r="U152" s="560"/>
      <c r="V152" s="498"/>
      <c r="W152" s="560"/>
      <c r="X152" s="498"/>
      <c r="Y152" s="651"/>
      <c r="Z152" s="453"/>
    </row>
    <row r="153" spans="1:26" ht="15" thickBot="1" x14ac:dyDescent="0.4">
      <c r="A153" s="652"/>
      <c r="B153" s="550"/>
      <c r="C153" s="560"/>
      <c r="D153" s="550"/>
      <c r="E153" s="560"/>
      <c r="F153" s="550"/>
      <c r="G153" s="560"/>
      <c r="H153" s="550"/>
      <c r="I153" s="560"/>
      <c r="J153" s="550"/>
      <c r="K153" s="560"/>
      <c r="L153" s="550"/>
      <c r="M153" s="560"/>
      <c r="N153" s="550"/>
      <c r="O153" s="560"/>
      <c r="P153" s="550"/>
      <c r="Q153" s="560"/>
      <c r="R153" s="550"/>
      <c r="S153" s="560"/>
      <c r="T153" s="552"/>
      <c r="U153" s="560"/>
      <c r="V153" s="550"/>
      <c r="W153" s="560"/>
      <c r="X153" s="550"/>
      <c r="Y153" s="651"/>
      <c r="Z153" s="453"/>
    </row>
    <row r="154" spans="1:26" ht="14.5" x14ac:dyDescent="0.35">
      <c r="A154" s="652"/>
      <c r="B154" s="915" t="s">
        <v>575</v>
      </c>
      <c r="C154" s="586">
        <v>395</v>
      </c>
      <c r="D154" s="915" t="s">
        <v>575</v>
      </c>
      <c r="E154" s="586">
        <v>385</v>
      </c>
      <c r="F154" s="926" t="s">
        <v>701</v>
      </c>
      <c r="G154" s="586">
        <v>381</v>
      </c>
      <c r="H154" s="926" t="s">
        <v>701</v>
      </c>
      <c r="I154" s="586">
        <v>395</v>
      </c>
      <c r="J154" s="926" t="s">
        <v>701</v>
      </c>
      <c r="K154" s="586">
        <v>403</v>
      </c>
      <c r="L154" s="926" t="s">
        <v>701</v>
      </c>
      <c r="M154" s="586">
        <v>383</v>
      </c>
      <c r="N154" s="926" t="s">
        <v>701</v>
      </c>
      <c r="O154" s="586">
        <v>386</v>
      </c>
      <c r="P154" s="926" t="s">
        <v>701</v>
      </c>
      <c r="Q154" s="586">
        <v>397</v>
      </c>
      <c r="R154" s="926" t="s">
        <v>701</v>
      </c>
      <c r="S154" s="586">
        <v>370.834</v>
      </c>
      <c r="T154" s="911"/>
      <c r="U154" s="551">
        <v>422</v>
      </c>
      <c r="V154" s="924" t="s">
        <v>701</v>
      </c>
      <c r="W154" s="586">
        <v>417</v>
      </c>
      <c r="X154" s="924" t="s">
        <v>701</v>
      </c>
      <c r="Y154" s="645">
        <v>400</v>
      </c>
      <c r="Z154" s="453"/>
    </row>
    <row r="155" spans="1:26" ht="15" thickBot="1" x14ac:dyDescent="0.4">
      <c r="A155" s="652"/>
      <c r="B155" s="916"/>
      <c r="C155" s="550"/>
      <c r="D155" s="916"/>
      <c r="E155" s="550"/>
      <c r="F155" s="927"/>
      <c r="G155" s="550"/>
      <c r="H155" s="927"/>
      <c r="I155" s="550"/>
      <c r="J155" s="927"/>
      <c r="K155" s="550"/>
      <c r="L155" s="927"/>
      <c r="M155" s="550"/>
      <c r="N155" s="927"/>
      <c r="O155" s="550"/>
      <c r="P155" s="927"/>
      <c r="Q155" s="550"/>
      <c r="R155" s="927"/>
      <c r="S155" s="550"/>
      <c r="T155" s="912"/>
      <c r="U155" s="550"/>
      <c r="V155" s="925"/>
      <c r="W155" s="550"/>
      <c r="X155" s="925"/>
      <c r="Y155" s="646"/>
      <c r="Z155" s="453"/>
    </row>
    <row r="156" spans="1:26" ht="14.5" x14ac:dyDescent="0.35">
      <c r="A156" s="652"/>
      <c r="B156" s="587" t="s">
        <v>400</v>
      </c>
      <c r="C156" s="543"/>
      <c r="D156" s="587" t="s">
        <v>401</v>
      </c>
      <c r="E156" s="588"/>
      <c r="F156" s="587" t="s">
        <v>402</v>
      </c>
      <c r="G156" s="588"/>
      <c r="H156" s="587" t="s">
        <v>403</v>
      </c>
      <c r="I156" s="588"/>
      <c r="J156" s="587" t="s">
        <v>404</v>
      </c>
      <c r="K156" s="588"/>
      <c r="L156" s="587" t="s">
        <v>405</v>
      </c>
      <c r="M156" s="588"/>
      <c r="N156" s="587" t="s">
        <v>406</v>
      </c>
      <c r="O156" s="588"/>
      <c r="P156" s="587" t="s">
        <v>407</v>
      </c>
      <c r="Q156" s="588"/>
      <c r="R156" s="587" t="s">
        <v>408</v>
      </c>
      <c r="S156" s="588"/>
      <c r="T156" s="587" t="s">
        <v>632</v>
      </c>
      <c r="U156" s="550"/>
      <c r="V156" s="587" t="s">
        <v>409</v>
      </c>
      <c r="W156" s="588"/>
      <c r="X156" s="587" t="s">
        <v>410</v>
      </c>
      <c r="Y156" s="647"/>
      <c r="Z156" s="453"/>
    </row>
    <row r="157" spans="1:26" ht="14.5" x14ac:dyDescent="0.35">
      <c r="A157" s="652"/>
      <c r="B157" s="543" t="s">
        <v>222</v>
      </c>
      <c r="C157" s="543"/>
      <c r="D157" s="543" t="s">
        <v>221</v>
      </c>
      <c r="E157" s="543"/>
      <c r="F157" s="543" t="s">
        <v>221</v>
      </c>
      <c r="G157" s="543"/>
      <c r="H157" s="543" t="s">
        <v>221</v>
      </c>
      <c r="I157" s="543"/>
      <c r="J157" s="543" t="s">
        <v>221</v>
      </c>
      <c r="K157" s="543"/>
      <c r="L157" s="543" t="s">
        <v>221</v>
      </c>
      <c r="M157" s="543"/>
      <c r="N157" s="543" t="s">
        <v>221</v>
      </c>
      <c r="O157" s="543"/>
      <c r="P157" s="543" t="s">
        <v>221</v>
      </c>
      <c r="Q157" s="543"/>
      <c r="R157" s="543" t="s">
        <v>221</v>
      </c>
      <c r="S157" s="558"/>
      <c r="T157" s="543" t="s">
        <v>246</v>
      </c>
      <c r="U157" s="543"/>
      <c r="V157" s="543" t="s">
        <v>222</v>
      </c>
      <c r="W157" s="543"/>
      <c r="X157" s="543" t="s">
        <v>222</v>
      </c>
      <c r="Y157" s="649"/>
      <c r="Z157" s="453"/>
    </row>
    <row r="158" spans="1:26" ht="14.4" customHeight="1" x14ac:dyDescent="0.35">
      <c r="A158" s="638"/>
      <c r="B158" s="919">
        <v>4.9859999999999998</v>
      </c>
      <c r="C158" s="919"/>
      <c r="D158" s="919"/>
      <c r="E158" s="919"/>
      <c r="F158" s="919"/>
      <c r="G158" s="919"/>
      <c r="H158" s="919"/>
      <c r="I158" s="919"/>
      <c r="J158" s="919"/>
      <c r="K158" s="919"/>
      <c r="L158" s="919"/>
      <c r="M158" s="919"/>
      <c r="N158" s="919"/>
      <c r="O158" s="919"/>
      <c r="P158" s="919"/>
      <c r="Q158" s="919"/>
      <c r="R158" s="919"/>
      <c r="S158" s="920"/>
      <c r="T158" s="574"/>
      <c r="U158" s="575"/>
      <c r="V158" s="574"/>
      <c r="W158" s="575"/>
      <c r="X158" s="574"/>
      <c r="Y158" s="653">
        <v>4.7350000000000003</v>
      </c>
      <c r="Z158" s="453"/>
    </row>
    <row r="159" spans="1:26" ht="14.5" x14ac:dyDescent="0.35">
      <c r="A159" s="652"/>
      <c r="B159" s="498"/>
      <c r="C159" s="560"/>
      <c r="D159" s="498"/>
      <c r="E159" s="560"/>
      <c r="F159" s="498"/>
      <c r="G159" s="589"/>
      <c r="H159" s="498"/>
      <c r="I159" s="560"/>
      <c r="J159" s="498"/>
      <c r="K159" s="560"/>
      <c r="L159" s="498"/>
      <c r="M159" s="560"/>
      <c r="N159" s="498"/>
      <c r="O159" s="560"/>
      <c r="P159" s="498"/>
      <c r="Q159" s="560"/>
      <c r="R159" s="498"/>
      <c r="S159" s="560"/>
      <c r="T159" s="498"/>
      <c r="U159" s="560"/>
      <c r="V159" s="498"/>
      <c r="W159" s="560"/>
      <c r="X159" s="498"/>
      <c r="Y159" s="651"/>
      <c r="Z159" s="453"/>
    </row>
    <row r="160" spans="1:26" ht="15" thickBot="1" x14ac:dyDescent="0.4">
      <c r="A160" s="652"/>
      <c r="B160" s="550"/>
      <c r="C160" s="560"/>
      <c r="D160" s="550"/>
      <c r="E160" s="560"/>
      <c r="F160" s="550"/>
      <c r="G160" s="560"/>
      <c r="H160" s="550"/>
      <c r="I160" s="560"/>
      <c r="J160" s="550"/>
      <c r="K160" s="560"/>
      <c r="L160" s="550"/>
      <c r="M160" s="560"/>
      <c r="N160" s="550"/>
      <c r="O160" s="560"/>
      <c r="P160" s="550"/>
      <c r="Q160" s="560"/>
      <c r="R160" s="550"/>
      <c r="S160" s="560"/>
      <c r="T160" s="550"/>
      <c r="U160" s="560"/>
      <c r="V160" s="550"/>
      <c r="W160" s="560"/>
      <c r="X160" s="550"/>
      <c r="Y160" s="651"/>
      <c r="Z160" s="453"/>
    </row>
    <row r="161" spans="1:26" ht="14.4" customHeight="1" x14ac:dyDescent="0.35">
      <c r="A161" s="652"/>
      <c r="B161" s="913"/>
      <c r="C161" s="586">
        <v>421</v>
      </c>
      <c r="D161" s="913"/>
      <c r="E161" s="586">
        <v>419</v>
      </c>
      <c r="F161" s="922" t="s">
        <v>575</v>
      </c>
      <c r="G161" s="586">
        <v>402</v>
      </c>
      <c r="H161" s="913"/>
      <c r="I161" s="586">
        <v>402</v>
      </c>
      <c r="J161" s="913"/>
      <c r="K161" s="586">
        <v>411</v>
      </c>
      <c r="L161" s="913"/>
      <c r="M161" s="586">
        <v>355.16899999999998</v>
      </c>
      <c r="N161" s="924" t="s">
        <v>701</v>
      </c>
      <c r="O161" s="586">
        <v>390</v>
      </c>
      <c r="P161" s="913"/>
      <c r="Q161" s="586">
        <v>380</v>
      </c>
      <c r="R161" s="913"/>
      <c r="S161" s="586">
        <v>390</v>
      </c>
      <c r="T161" s="913"/>
      <c r="U161" s="586">
        <v>398</v>
      </c>
      <c r="V161" s="913"/>
      <c r="W161" s="586">
        <v>406</v>
      </c>
      <c r="X161" s="913"/>
      <c r="Y161" s="645">
        <v>371</v>
      </c>
      <c r="Z161" s="453"/>
    </row>
    <row r="162" spans="1:26" ht="15" customHeight="1" thickBot="1" x14ac:dyDescent="0.4">
      <c r="A162" s="652"/>
      <c r="B162" s="914"/>
      <c r="C162" s="550"/>
      <c r="D162" s="914"/>
      <c r="E162" s="550"/>
      <c r="F162" s="923"/>
      <c r="G162" s="550"/>
      <c r="H162" s="914"/>
      <c r="I162" s="550"/>
      <c r="J162" s="914"/>
      <c r="K162" s="550"/>
      <c r="L162" s="914"/>
      <c r="M162" s="550"/>
      <c r="N162" s="925"/>
      <c r="O162" s="550"/>
      <c r="P162" s="914"/>
      <c r="Q162" s="550"/>
      <c r="R162" s="914"/>
      <c r="S162" s="550"/>
      <c r="T162" s="914"/>
      <c r="U162" s="550"/>
      <c r="V162" s="914"/>
      <c r="W162" s="550"/>
      <c r="X162" s="914"/>
      <c r="Y162" s="646"/>
      <c r="Z162" s="453"/>
    </row>
    <row r="163" spans="1:26" ht="14.5" x14ac:dyDescent="0.35">
      <c r="A163" s="652"/>
      <c r="B163" s="587" t="s">
        <v>411</v>
      </c>
      <c r="C163" s="543"/>
      <c r="D163" s="587" t="s">
        <v>412</v>
      </c>
      <c r="E163" s="588"/>
      <c r="F163" s="587" t="s">
        <v>413</v>
      </c>
      <c r="G163" s="588"/>
      <c r="H163" s="587" t="s">
        <v>414</v>
      </c>
      <c r="I163" s="588"/>
      <c r="J163" s="587" t="s">
        <v>415</v>
      </c>
      <c r="K163" s="588"/>
      <c r="L163" s="587" t="s">
        <v>416</v>
      </c>
      <c r="M163" s="588"/>
      <c r="N163" s="587" t="s">
        <v>633</v>
      </c>
      <c r="O163" s="588"/>
      <c r="P163" s="587" t="s">
        <v>417</v>
      </c>
      <c r="Q163" s="588"/>
      <c r="R163" s="587" t="s">
        <v>418</v>
      </c>
      <c r="S163" s="588"/>
      <c r="T163" s="587" t="s">
        <v>634</v>
      </c>
      <c r="U163" s="550"/>
      <c r="V163" s="587" t="s">
        <v>635</v>
      </c>
      <c r="W163" s="588"/>
      <c r="X163" s="587" t="s">
        <v>636</v>
      </c>
      <c r="Y163" s="647"/>
      <c r="Z163" s="453"/>
    </row>
    <row r="164" spans="1:26" ht="14.5" x14ac:dyDescent="0.35">
      <c r="A164" s="652"/>
      <c r="B164" s="543" t="s">
        <v>222</v>
      </c>
      <c r="C164" s="543"/>
      <c r="D164" s="543" t="s">
        <v>221</v>
      </c>
      <c r="E164" s="543"/>
      <c r="F164" s="543" t="s">
        <v>221</v>
      </c>
      <c r="G164" s="543"/>
      <c r="H164" s="543" t="s">
        <v>221</v>
      </c>
      <c r="I164" s="543"/>
      <c r="J164" s="543" t="s">
        <v>222</v>
      </c>
      <c r="K164" s="543"/>
      <c r="L164" s="543" t="s">
        <v>221</v>
      </c>
      <c r="M164" s="558">
        <f>(U154+W154+Y154+C161+E161+G161++I161+K161+M161)/1000</f>
        <v>3.6491689999999997</v>
      </c>
      <c r="N164" s="543" t="s">
        <v>219</v>
      </c>
      <c r="O164" s="543"/>
      <c r="P164" s="543" t="s">
        <v>221</v>
      </c>
      <c r="Q164" s="543"/>
      <c r="R164" s="543" t="s">
        <v>221</v>
      </c>
      <c r="S164" s="543"/>
      <c r="T164" s="543" t="s">
        <v>221</v>
      </c>
      <c r="U164" s="543"/>
      <c r="V164" s="543" t="s">
        <v>221</v>
      </c>
      <c r="W164" s="543"/>
      <c r="X164" s="543" t="s">
        <v>221</v>
      </c>
      <c r="Y164" s="649"/>
      <c r="Z164" s="453"/>
    </row>
    <row r="165" spans="1:26" ht="14.4" customHeight="1" x14ac:dyDescent="0.35">
      <c r="A165" s="638"/>
      <c r="B165" s="919">
        <v>3.649</v>
      </c>
      <c r="C165" s="919"/>
      <c r="D165" s="919"/>
      <c r="E165" s="919"/>
      <c r="F165" s="919"/>
      <c r="G165" s="919"/>
      <c r="H165" s="919"/>
      <c r="I165" s="919"/>
      <c r="J165" s="919"/>
      <c r="K165" s="919"/>
      <c r="L165" s="919"/>
      <c r="M165" s="920"/>
      <c r="N165" s="574"/>
      <c r="O165" s="567"/>
      <c r="P165" s="574"/>
      <c r="Q165" s="567"/>
      <c r="R165" s="574"/>
      <c r="S165" s="575"/>
      <c r="T165" s="574"/>
      <c r="U165" s="575"/>
      <c r="V165" s="574"/>
      <c r="W165" s="575"/>
      <c r="X165" s="575"/>
      <c r="Y165" s="653">
        <v>4.7450000000000001</v>
      </c>
      <c r="Z165" s="453"/>
    </row>
    <row r="166" spans="1:26" ht="14.5" x14ac:dyDescent="0.35">
      <c r="A166" s="638"/>
      <c r="B166" s="498"/>
      <c r="C166" s="560"/>
      <c r="D166" s="498"/>
      <c r="E166" s="560"/>
      <c r="F166" s="498"/>
      <c r="G166" s="560"/>
      <c r="H166" s="498"/>
      <c r="I166" s="560"/>
      <c r="J166" s="552"/>
      <c r="K166" s="560"/>
      <c r="L166" s="498"/>
      <c r="M166" s="560"/>
      <c r="N166" s="498"/>
      <c r="O166" s="560"/>
      <c r="P166" s="498"/>
      <c r="Q166" s="560"/>
      <c r="R166" s="498"/>
      <c r="S166" s="560"/>
      <c r="T166" s="498"/>
      <c r="U166" s="560"/>
      <c r="V166" s="498"/>
      <c r="W166" s="560"/>
      <c r="X166" s="552"/>
      <c r="Y166" s="651"/>
      <c r="Z166" s="453"/>
    </row>
    <row r="167" spans="1:26" ht="15" thickBot="1" x14ac:dyDescent="0.4">
      <c r="A167" s="638"/>
      <c r="B167" s="550"/>
      <c r="C167" s="560"/>
      <c r="D167" s="550"/>
      <c r="E167" s="560"/>
      <c r="F167" s="550"/>
      <c r="G167" s="560"/>
      <c r="H167" s="550"/>
      <c r="I167" s="560"/>
      <c r="J167" s="552"/>
      <c r="K167" s="560"/>
      <c r="L167" s="550"/>
      <c r="M167" s="560"/>
      <c r="N167" s="550"/>
      <c r="O167" s="560"/>
      <c r="P167" s="550"/>
      <c r="Q167" s="560"/>
      <c r="R167" s="550"/>
      <c r="S167" s="560"/>
      <c r="T167" s="550"/>
      <c r="U167" s="560"/>
      <c r="V167" s="550"/>
      <c r="W167" s="560"/>
      <c r="X167" s="552"/>
      <c r="Y167" s="651"/>
      <c r="Z167" s="453"/>
    </row>
    <row r="168" spans="1:26" ht="14.5" x14ac:dyDescent="0.35">
      <c r="A168" s="638"/>
      <c r="B168" s="913"/>
      <c r="C168" s="586">
        <v>392</v>
      </c>
      <c r="D168" s="913"/>
      <c r="E168" s="586">
        <v>390</v>
      </c>
      <c r="F168" s="915" t="s">
        <v>575</v>
      </c>
      <c r="G168" s="586">
        <v>401</v>
      </c>
      <c r="H168" s="915" t="s">
        <v>575</v>
      </c>
      <c r="I168" s="586">
        <v>406.005</v>
      </c>
      <c r="J168" s="911"/>
      <c r="K168" s="586">
        <v>385</v>
      </c>
      <c r="L168" s="913"/>
      <c r="M168" s="586">
        <v>380</v>
      </c>
      <c r="N168" s="913"/>
      <c r="O168" s="586">
        <v>380</v>
      </c>
      <c r="P168" s="913"/>
      <c r="Q168" s="586">
        <v>382</v>
      </c>
      <c r="R168" s="913"/>
      <c r="S168" s="586">
        <v>383.99099999999999</v>
      </c>
      <c r="T168" s="913"/>
      <c r="U168" s="586">
        <v>392.29500000000002</v>
      </c>
      <c r="V168" s="922" t="s">
        <v>575</v>
      </c>
      <c r="W168" s="586">
        <v>401.31</v>
      </c>
      <c r="X168" s="911"/>
      <c r="Y168" s="645">
        <v>352</v>
      </c>
      <c r="Z168" s="453"/>
    </row>
    <row r="169" spans="1:26" ht="15" thickBot="1" x14ac:dyDescent="0.4">
      <c r="A169" s="638"/>
      <c r="B169" s="914"/>
      <c r="C169" s="550"/>
      <c r="D169" s="914"/>
      <c r="E169" s="550"/>
      <c r="F169" s="916"/>
      <c r="G169" s="550"/>
      <c r="H169" s="916"/>
      <c r="I169" s="550"/>
      <c r="J169" s="912"/>
      <c r="K169" s="550"/>
      <c r="L169" s="914"/>
      <c r="M169" s="550"/>
      <c r="N169" s="914"/>
      <c r="O169" s="550"/>
      <c r="P169" s="914"/>
      <c r="Q169" s="550"/>
      <c r="R169" s="914"/>
      <c r="S169" s="550"/>
      <c r="T169" s="914"/>
      <c r="U169" s="550"/>
      <c r="V169" s="923"/>
      <c r="W169" s="550"/>
      <c r="X169" s="912"/>
      <c r="Y169" s="646"/>
      <c r="Z169" s="453"/>
    </row>
    <row r="170" spans="1:26" ht="14.5" x14ac:dyDescent="0.35">
      <c r="A170" s="638"/>
      <c r="B170" s="587" t="s">
        <v>637</v>
      </c>
      <c r="C170" s="543"/>
      <c r="D170" s="587" t="s">
        <v>638</v>
      </c>
      <c r="E170" s="588"/>
      <c r="F170" s="587" t="s">
        <v>639</v>
      </c>
      <c r="G170" s="588"/>
      <c r="H170" s="587" t="s">
        <v>640</v>
      </c>
      <c r="I170" s="588"/>
      <c r="J170" s="587" t="s">
        <v>641</v>
      </c>
      <c r="K170" s="588"/>
      <c r="L170" s="587" t="s">
        <v>642</v>
      </c>
      <c r="M170" s="588"/>
      <c r="N170" s="587" t="s">
        <v>643</v>
      </c>
      <c r="O170" s="588"/>
      <c r="P170" s="587" t="s">
        <v>644</v>
      </c>
      <c r="Q170" s="588"/>
      <c r="R170" s="587" t="s">
        <v>645</v>
      </c>
      <c r="S170" s="588"/>
      <c r="T170" s="587" t="s">
        <v>646</v>
      </c>
      <c r="U170" s="550"/>
      <c r="V170" s="587" t="s">
        <v>647</v>
      </c>
      <c r="W170" s="588"/>
      <c r="X170" s="587" t="s">
        <v>648</v>
      </c>
      <c r="Y170" s="647"/>
      <c r="Z170" s="453"/>
    </row>
    <row r="171" spans="1:26" ht="14.5" x14ac:dyDescent="0.35">
      <c r="A171" s="638"/>
      <c r="B171" s="543" t="s">
        <v>221</v>
      </c>
      <c r="C171" s="543"/>
      <c r="D171" s="543" t="s">
        <v>221</v>
      </c>
      <c r="E171" s="543"/>
      <c r="F171" s="543" t="s">
        <v>221</v>
      </c>
      <c r="G171" s="543"/>
      <c r="H171" s="543" t="s">
        <v>221</v>
      </c>
      <c r="I171" s="558"/>
      <c r="J171" s="543" t="s">
        <v>246</v>
      </c>
      <c r="K171" s="543"/>
      <c r="L171" s="543" t="s">
        <v>221</v>
      </c>
      <c r="M171" s="543"/>
      <c r="N171" s="543" t="s">
        <v>221</v>
      </c>
      <c r="O171" s="543"/>
      <c r="P171" s="543" t="s">
        <v>221</v>
      </c>
      <c r="Q171" s="543"/>
      <c r="R171" s="543" t="s">
        <v>221</v>
      </c>
      <c r="S171" s="543"/>
      <c r="T171" s="543" t="s">
        <v>221</v>
      </c>
      <c r="U171" s="543"/>
      <c r="V171" s="543" t="s">
        <v>221</v>
      </c>
      <c r="W171" s="558"/>
      <c r="X171" s="543" t="s">
        <v>246</v>
      </c>
      <c r="Y171" s="649"/>
      <c r="Z171" s="453"/>
    </row>
    <row r="172" spans="1:26" ht="15.5" x14ac:dyDescent="0.35">
      <c r="A172" s="638"/>
      <c r="B172" s="919">
        <v>3.9239999999999999</v>
      </c>
      <c r="C172" s="919"/>
      <c r="D172" s="919"/>
      <c r="E172" s="919"/>
      <c r="F172" s="919"/>
      <c r="G172" s="919"/>
      <c r="H172" s="919"/>
      <c r="I172" s="920"/>
      <c r="J172" s="921">
        <v>2.7050000000000001</v>
      </c>
      <c r="K172" s="919"/>
      <c r="L172" s="919"/>
      <c r="M172" s="919"/>
      <c r="N172" s="919"/>
      <c r="O172" s="919"/>
      <c r="P172" s="919"/>
      <c r="Q172" s="919"/>
      <c r="R172" s="919"/>
      <c r="S172" s="919"/>
      <c r="T172" s="919"/>
      <c r="U172" s="919"/>
      <c r="V172" s="919"/>
      <c r="W172" s="920"/>
      <c r="X172" s="567"/>
      <c r="Y172" s="653">
        <v>4.6459999999999999</v>
      </c>
      <c r="Z172" s="453"/>
    </row>
    <row r="173" spans="1:26" ht="14.5" x14ac:dyDescent="0.35">
      <c r="A173" s="652"/>
      <c r="B173" s="498"/>
      <c r="C173" s="560"/>
      <c r="D173" s="498"/>
      <c r="E173" s="560"/>
      <c r="F173" s="498"/>
      <c r="G173" s="560"/>
      <c r="H173" s="552"/>
      <c r="I173" s="560"/>
      <c r="J173" s="498"/>
      <c r="K173" s="560"/>
      <c r="L173" s="498"/>
      <c r="M173" s="560"/>
      <c r="N173" s="498"/>
      <c r="O173" s="560"/>
      <c r="P173" s="498"/>
      <c r="Q173" s="560"/>
      <c r="R173" s="498"/>
      <c r="S173" s="560"/>
      <c r="T173" s="498"/>
      <c r="U173" s="560"/>
      <c r="V173" s="498"/>
      <c r="W173" s="560"/>
      <c r="X173" s="498"/>
      <c r="Y173" s="651"/>
      <c r="Z173" s="453"/>
    </row>
    <row r="174" spans="1:26" ht="15" thickBot="1" x14ac:dyDescent="0.4">
      <c r="A174" s="652"/>
      <c r="B174" s="550"/>
      <c r="C174" s="560"/>
      <c r="D174" s="550"/>
      <c r="E174" s="560"/>
      <c r="F174" s="550"/>
      <c r="G174" s="560"/>
      <c r="H174" s="552"/>
      <c r="I174" s="560"/>
      <c r="J174" s="550"/>
      <c r="K174" s="560"/>
      <c r="L174" s="550"/>
      <c r="M174" s="560"/>
      <c r="N174" s="550"/>
      <c r="O174" s="560"/>
      <c r="P174" s="550"/>
      <c r="Q174" s="560"/>
      <c r="R174" s="550"/>
      <c r="S174" s="560"/>
      <c r="T174" s="550"/>
      <c r="U174" s="560"/>
      <c r="V174" s="550"/>
      <c r="W174" s="560"/>
      <c r="X174" s="550"/>
      <c r="Y174" s="651"/>
      <c r="Z174" s="453"/>
    </row>
    <row r="175" spans="1:26" ht="14.5" x14ac:dyDescent="0.35">
      <c r="A175" s="652"/>
      <c r="B175" s="913"/>
      <c r="C175" s="586">
        <v>368</v>
      </c>
      <c r="D175" s="913"/>
      <c r="E175" s="551">
        <v>440</v>
      </c>
      <c r="F175" s="913"/>
      <c r="G175" s="586">
        <v>364.13200000000001</v>
      </c>
      <c r="H175" s="911"/>
      <c r="I175" s="586">
        <v>407</v>
      </c>
      <c r="J175" s="913"/>
      <c r="K175" s="586">
        <v>375</v>
      </c>
      <c r="L175" s="913"/>
      <c r="M175" s="586">
        <v>313</v>
      </c>
      <c r="N175" s="913"/>
      <c r="O175" s="586">
        <v>388</v>
      </c>
      <c r="P175" s="915" t="s">
        <v>575</v>
      </c>
      <c r="Q175" s="586">
        <v>414</v>
      </c>
      <c r="R175" s="915" t="s">
        <v>575</v>
      </c>
      <c r="S175" s="586">
        <v>385</v>
      </c>
      <c r="T175" s="913"/>
      <c r="U175" s="586">
        <v>360</v>
      </c>
      <c r="V175" s="913"/>
      <c r="W175" s="586">
        <v>382</v>
      </c>
      <c r="X175" s="913"/>
      <c r="Y175" s="645">
        <v>415</v>
      </c>
      <c r="Z175" s="453"/>
    </row>
    <row r="176" spans="1:26" ht="15" thickBot="1" x14ac:dyDescent="0.4">
      <c r="A176" s="652"/>
      <c r="B176" s="914"/>
      <c r="C176" s="550"/>
      <c r="D176" s="914"/>
      <c r="E176" s="550"/>
      <c r="F176" s="914"/>
      <c r="G176" s="550"/>
      <c r="H176" s="912"/>
      <c r="I176" s="550"/>
      <c r="J176" s="914"/>
      <c r="K176" s="550"/>
      <c r="L176" s="914"/>
      <c r="M176" s="550"/>
      <c r="N176" s="914"/>
      <c r="O176" s="550"/>
      <c r="P176" s="916"/>
      <c r="Q176" s="550"/>
      <c r="R176" s="916"/>
      <c r="S176" s="550"/>
      <c r="T176" s="914"/>
      <c r="U176" s="550"/>
      <c r="V176" s="914"/>
      <c r="W176" s="550"/>
      <c r="X176" s="914"/>
      <c r="Y176" s="646"/>
      <c r="Z176" s="453"/>
    </row>
    <row r="177" spans="1:26" ht="14.5" x14ac:dyDescent="0.35">
      <c r="A177" s="652"/>
      <c r="B177" s="587" t="s">
        <v>649</v>
      </c>
      <c r="C177" s="543"/>
      <c r="D177" s="587" t="s">
        <v>650</v>
      </c>
      <c r="E177" s="588"/>
      <c r="F177" s="587" t="s">
        <v>651</v>
      </c>
      <c r="G177" s="588"/>
      <c r="H177" s="587" t="s">
        <v>652</v>
      </c>
      <c r="I177" s="588"/>
      <c r="J177" s="587" t="s">
        <v>653</v>
      </c>
      <c r="K177" s="588"/>
      <c r="L177" s="587" t="s">
        <v>654</v>
      </c>
      <c r="M177" s="588"/>
      <c r="N177" s="587" t="s">
        <v>655</v>
      </c>
      <c r="O177" s="588"/>
      <c r="P177" s="587" t="s">
        <v>656</v>
      </c>
      <c r="Q177" s="588"/>
      <c r="R177" s="587" t="s">
        <v>657</v>
      </c>
      <c r="S177" s="588"/>
      <c r="T177" s="587" t="s">
        <v>658</v>
      </c>
      <c r="U177" s="550"/>
      <c r="V177" s="587" t="s">
        <v>659</v>
      </c>
      <c r="W177" s="588"/>
      <c r="X177" s="591" t="s">
        <v>660</v>
      </c>
      <c r="Y177" s="647"/>
      <c r="Z177" s="453"/>
    </row>
    <row r="178" spans="1:26" ht="14.5" x14ac:dyDescent="0.35">
      <c r="A178" s="652"/>
      <c r="B178" s="543" t="s">
        <v>221</v>
      </c>
      <c r="C178" s="543"/>
      <c r="D178" s="543" t="s">
        <v>221</v>
      </c>
      <c r="E178" s="543"/>
      <c r="F178" s="543" t="s">
        <v>220</v>
      </c>
      <c r="G178" s="558"/>
      <c r="H178" s="543" t="s">
        <v>223</v>
      </c>
      <c r="I178" s="543"/>
      <c r="J178" s="543" t="s">
        <v>221</v>
      </c>
      <c r="K178" s="543"/>
      <c r="L178" s="543" t="s">
        <v>221</v>
      </c>
      <c r="M178" s="543"/>
      <c r="N178" s="543" t="s">
        <v>221</v>
      </c>
      <c r="O178" s="543"/>
      <c r="P178" s="543" t="s">
        <v>220</v>
      </c>
      <c r="Q178" s="543"/>
      <c r="R178" s="543" t="s">
        <v>221</v>
      </c>
      <c r="S178" s="543"/>
      <c r="T178" s="543" t="s">
        <v>221</v>
      </c>
      <c r="U178" s="543"/>
      <c r="V178" s="543" t="s">
        <v>221</v>
      </c>
      <c r="W178" s="543"/>
      <c r="X178" s="543" t="s">
        <v>221</v>
      </c>
      <c r="Y178" s="649"/>
      <c r="Z178" s="453"/>
    </row>
    <row r="179" spans="1:26" ht="14.4" customHeight="1" x14ac:dyDescent="0.35">
      <c r="A179" s="638"/>
      <c r="B179" s="919">
        <v>1.524</v>
      </c>
      <c r="C179" s="919"/>
      <c r="D179" s="919"/>
      <c r="E179" s="919"/>
      <c r="F179" s="919"/>
      <c r="G179" s="920"/>
      <c r="H179" s="567"/>
      <c r="I179" s="567"/>
      <c r="J179" s="567"/>
      <c r="K179" s="567"/>
      <c r="L179" s="567"/>
      <c r="M179" s="567"/>
      <c r="N179" s="574"/>
      <c r="O179" s="567"/>
      <c r="P179" s="574"/>
      <c r="Q179" s="567"/>
      <c r="R179" s="574"/>
      <c r="S179" s="575"/>
      <c r="T179" s="574"/>
      <c r="U179" s="575"/>
      <c r="V179" s="574"/>
      <c r="W179" s="579"/>
      <c r="X179" s="574"/>
      <c r="Y179" s="653">
        <v>4.6109999999999998</v>
      </c>
      <c r="Z179" s="453"/>
    </row>
    <row r="180" spans="1:26" ht="14.5" x14ac:dyDescent="0.35">
      <c r="A180" s="638"/>
      <c r="B180" s="498"/>
      <c r="C180" s="560"/>
      <c r="D180" s="498"/>
      <c r="E180" s="560"/>
      <c r="F180" s="498"/>
      <c r="G180" s="560"/>
      <c r="H180" s="552"/>
      <c r="I180" s="560"/>
      <c r="J180" s="498"/>
      <c r="K180" s="560"/>
      <c r="L180" s="498"/>
      <c r="M180" s="560"/>
      <c r="N180" s="498"/>
      <c r="O180" s="560"/>
      <c r="P180" s="552"/>
      <c r="Q180" s="560"/>
      <c r="R180" s="552"/>
      <c r="S180" s="560"/>
      <c r="T180" s="498"/>
      <c r="U180" s="560"/>
      <c r="V180" s="552"/>
      <c r="W180" s="590"/>
      <c r="X180" s="498"/>
      <c r="Y180" s="651"/>
      <c r="Z180" s="453"/>
    </row>
    <row r="181" spans="1:26" ht="15" thickBot="1" x14ac:dyDescent="0.4">
      <c r="A181" s="638"/>
      <c r="B181" s="550"/>
      <c r="C181" s="560"/>
      <c r="D181" s="550"/>
      <c r="E181" s="560"/>
      <c r="F181" s="550"/>
      <c r="G181" s="560"/>
      <c r="H181" s="552"/>
      <c r="I181" s="560"/>
      <c r="J181" s="550"/>
      <c r="K181" s="560"/>
      <c r="L181" s="550"/>
      <c r="M181" s="560"/>
      <c r="N181" s="550"/>
      <c r="O181" s="560"/>
      <c r="P181" s="552"/>
      <c r="Q181" s="560"/>
      <c r="R181" s="552"/>
      <c r="S181" s="560"/>
      <c r="T181" s="550"/>
      <c r="U181" s="560"/>
      <c r="V181" s="552"/>
      <c r="W181" s="560"/>
      <c r="X181" s="550"/>
      <c r="Y181" s="651"/>
      <c r="Z181" s="453"/>
    </row>
    <row r="182" spans="1:26" ht="14.5" x14ac:dyDescent="0.35">
      <c r="A182" s="638"/>
      <c r="B182" s="915" t="s">
        <v>575</v>
      </c>
      <c r="C182" s="586">
        <v>429</v>
      </c>
      <c r="D182" s="913"/>
      <c r="E182" s="586">
        <v>383</v>
      </c>
      <c r="F182" s="913"/>
      <c r="G182" s="586">
        <v>447.10700000000003</v>
      </c>
      <c r="H182" s="917" t="s">
        <v>575</v>
      </c>
      <c r="I182" s="586">
        <v>416</v>
      </c>
      <c r="J182" s="913"/>
      <c r="K182" s="586">
        <v>389</v>
      </c>
      <c r="L182" s="913"/>
      <c r="M182" s="586">
        <v>380</v>
      </c>
      <c r="N182" s="915" t="s">
        <v>575</v>
      </c>
      <c r="O182" s="586">
        <v>362.38400000000001</v>
      </c>
      <c r="P182" s="917" t="s">
        <v>575</v>
      </c>
      <c r="Q182" s="586">
        <v>263.31</v>
      </c>
      <c r="R182" s="911"/>
      <c r="S182" s="586">
        <v>393</v>
      </c>
      <c r="T182" s="915" t="s">
        <v>575</v>
      </c>
      <c r="U182" s="586">
        <v>384.17</v>
      </c>
      <c r="V182" s="911"/>
      <c r="W182" s="586">
        <v>348</v>
      </c>
      <c r="X182" s="913"/>
      <c r="Y182" s="645">
        <v>350</v>
      </c>
      <c r="Z182" s="453"/>
    </row>
    <row r="183" spans="1:26" ht="15" customHeight="1" thickBot="1" x14ac:dyDescent="0.4">
      <c r="A183" s="638"/>
      <c r="B183" s="916"/>
      <c r="C183" s="550"/>
      <c r="D183" s="914"/>
      <c r="E183" s="550"/>
      <c r="F183" s="914"/>
      <c r="G183" s="550"/>
      <c r="H183" s="918"/>
      <c r="I183" s="550"/>
      <c r="J183" s="914"/>
      <c r="K183" s="550"/>
      <c r="L183" s="914"/>
      <c r="M183" s="550"/>
      <c r="N183" s="916"/>
      <c r="O183" s="550"/>
      <c r="P183" s="918"/>
      <c r="Q183" s="550"/>
      <c r="R183" s="912"/>
      <c r="S183" s="550"/>
      <c r="T183" s="916"/>
      <c r="U183" s="550"/>
      <c r="V183" s="912"/>
      <c r="W183" s="550"/>
      <c r="X183" s="914"/>
      <c r="Y183" s="646"/>
      <c r="Z183" s="453"/>
    </row>
    <row r="184" spans="1:26" ht="14.5" x14ac:dyDescent="0.35">
      <c r="A184" s="638"/>
      <c r="B184" s="587" t="s">
        <v>661</v>
      </c>
      <c r="C184" s="543"/>
      <c r="D184" s="587" t="s">
        <v>662</v>
      </c>
      <c r="E184" s="588"/>
      <c r="F184" s="587" t="s">
        <v>663</v>
      </c>
      <c r="G184" s="588"/>
      <c r="H184" s="587" t="s">
        <v>664</v>
      </c>
      <c r="I184" s="588"/>
      <c r="J184" s="587" t="s">
        <v>665</v>
      </c>
      <c r="K184" s="588"/>
      <c r="L184" s="587" t="s">
        <v>666</v>
      </c>
      <c r="M184" s="588"/>
      <c r="N184" s="587" t="s">
        <v>667</v>
      </c>
      <c r="O184" s="588"/>
      <c r="P184" s="587" t="s">
        <v>668</v>
      </c>
      <c r="Q184" s="588"/>
      <c r="R184" s="587" t="s">
        <v>669</v>
      </c>
      <c r="S184" s="588"/>
      <c r="T184" s="587" t="s">
        <v>670</v>
      </c>
      <c r="U184" s="550"/>
      <c r="V184" s="587" t="s">
        <v>671</v>
      </c>
      <c r="W184" s="588"/>
      <c r="X184" s="587" t="s">
        <v>672</v>
      </c>
      <c r="Y184" s="647"/>
      <c r="Z184" s="453"/>
    </row>
    <row r="185" spans="1:26" ht="14.5" x14ac:dyDescent="0.35">
      <c r="A185" s="638"/>
      <c r="B185" s="543" t="s">
        <v>222</v>
      </c>
      <c r="C185" s="543"/>
      <c r="D185" s="543" t="s">
        <v>220</v>
      </c>
      <c r="E185" s="543"/>
      <c r="F185" s="543" t="s">
        <v>220</v>
      </c>
      <c r="G185" s="558"/>
      <c r="H185" s="543" t="s">
        <v>379</v>
      </c>
      <c r="I185" s="543"/>
      <c r="J185" s="543" t="s">
        <v>221</v>
      </c>
      <c r="K185" s="543"/>
      <c r="L185" s="543" t="s">
        <v>221</v>
      </c>
      <c r="M185" s="543"/>
      <c r="N185" s="543" t="s">
        <v>221</v>
      </c>
      <c r="O185" s="558"/>
      <c r="P185" s="543" t="s">
        <v>673</v>
      </c>
      <c r="Q185" s="558"/>
      <c r="R185" s="543" t="s">
        <v>673</v>
      </c>
      <c r="S185" s="543"/>
      <c r="T185" s="543" t="s">
        <v>221</v>
      </c>
      <c r="U185" s="558"/>
      <c r="V185" s="543" t="s">
        <v>378</v>
      </c>
      <c r="W185" s="543"/>
      <c r="X185" s="543" t="s">
        <v>221</v>
      </c>
      <c r="Y185" s="649"/>
      <c r="Z185" s="453"/>
    </row>
    <row r="186" spans="1:26" ht="15.5" x14ac:dyDescent="0.35">
      <c r="A186" s="638"/>
      <c r="B186" s="919">
        <v>4.6980000000000004</v>
      </c>
      <c r="C186" s="919"/>
      <c r="D186" s="919"/>
      <c r="E186" s="919"/>
      <c r="F186" s="919"/>
      <c r="G186" s="920"/>
      <c r="H186" s="921">
        <v>1.5469999999999999</v>
      </c>
      <c r="I186" s="919"/>
      <c r="J186" s="919"/>
      <c r="K186" s="919"/>
      <c r="L186" s="919"/>
      <c r="M186" s="919"/>
      <c r="N186" s="919"/>
      <c r="O186" s="920"/>
      <c r="P186" s="921">
        <v>0.26300000000000001</v>
      </c>
      <c r="Q186" s="920"/>
      <c r="R186" s="921">
        <v>0.77700000000000002</v>
      </c>
      <c r="S186" s="919"/>
      <c r="T186" s="919"/>
      <c r="U186" s="920"/>
      <c r="V186" s="564"/>
      <c r="W186" s="564"/>
      <c r="X186" s="564"/>
      <c r="Y186" s="661">
        <v>4.5449999999999999</v>
      </c>
      <c r="Z186" s="453"/>
    </row>
    <row r="187" spans="1:26" ht="15" customHeight="1" x14ac:dyDescent="0.35">
      <c r="A187" s="652"/>
      <c r="B187" s="498"/>
      <c r="C187" s="560"/>
      <c r="D187" s="552"/>
      <c r="E187" s="560"/>
      <c r="F187" s="552"/>
      <c r="G187" s="560"/>
      <c r="H187" s="552"/>
      <c r="I187" s="560"/>
      <c r="J187" s="549"/>
      <c r="K187" s="549"/>
      <c r="L187" s="549"/>
      <c r="M187" s="549"/>
      <c r="N187" s="549"/>
      <c r="O187" s="549"/>
      <c r="P187" s="549"/>
      <c r="Q187" s="549"/>
      <c r="R187" s="549"/>
      <c r="S187" s="549"/>
      <c r="T187" s="549"/>
      <c r="U187" s="549"/>
      <c r="V187" s="549"/>
      <c r="W187" s="549"/>
      <c r="X187" s="549"/>
      <c r="Y187" s="662"/>
      <c r="Z187" s="453"/>
    </row>
    <row r="188" spans="1:26" ht="15" thickBot="1" x14ac:dyDescent="0.4">
      <c r="A188" s="652"/>
      <c r="B188" s="550"/>
      <c r="C188" s="560"/>
      <c r="D188" s="552"/>
      <c r="E188" s="560"/>
      <c r="F188" s="552"/>
      <c r="G188" s="560"/>
      <c r="H188" s="552"/>
      <c r="I188" s="560"/>
      <c r="J188" s="549"/>
      <c r="K188" s="549"/>
      <c r="L188" s="592" t="s">
        <v>716</v>
      </c>
      <c r="M188" s="549"/>
      <c r="N188" s="549"/>
      <c r="O188" s="549"/>
      <c r="P188" s="549"/>
      <c r="Q188" s="549"/>
      <c r="R188" s="592" t="s">
        <v>717</v>
      </c>
      <c r="S188" s="549"/>
      <c r="T188" s="549"/>
      <c r="U188" s="549"/>
      <c r="V188" s="549"/>
      <c r="W188" s="549"/>
      <c r="X188" s="549"/>
      <c r="Y188" s="662"/>
      <c r="Z188" s="453"/>
    </row>
    <row r="189" spans="1:26" s="559" customFormat="1" ht="14.5" x14ac:dyDescent="0.35">
      <c r="A189" s="652"/>
      <c r="B189" s="913"/>
      <c r="C189" s="586">
        <v>429</v>
      </c>
      <c r="D189" s="911"/>
      <c r="E189" s="586">
        <v>194.62799999999999</v>
      </c>
      <c r="F189" s="911"/>
      <c r="G189" s="586">
        <v>203.14099999999999</v>
      </c>
      <c r="H189" s="911"/>
      <c r="I189" s="563"/>
      <c r="J189" s="556"/>
      <c r="K189" s="589">
        <v>1</v>
      </c>
      <c r="L189" s="589" t="s">
        <v>686</v>
      </c>
      <c r="M189" s="589" t="s">
        <v>91</v>
      </c>
      <c r="N189" s="589"/>
      <c r="O189" s="589"/>
      <c r="P189" s="589" t="s">
        <v>687</v>
      </c>
      <c r="Q189" s="556"/>
      <c r="R189" s="589" t="s">
        <v>686</v>
      </c>
      <c r="S189" s="589" t="s">
        <v>715</v>
      </c>
      <c r="T189" s="556"/>
      <c r="U189" s="589" t="s">
        <v>687</v>
      </c>
      <c r="V189" s="556"/>
      <c r="W189" s="556"/>
      <c r="X189" s="556"/>
      <c r="Y189" s="662"/>
      <c r="Z189" s="637"/>
    </row>
    <row r="190" spans="1:26" s="559" customFormat="1" ht="15" thickBot="1" x14ac:dyDescent="0.4">
      <c r="A190" s="652"/>
      <c r="B190" s="914"/>
      <c r="C190" s="550"/>
      <c r="D190" s="912"/>
      <c r="E190" s="550"/>
      <c r="F190" s="912"/>
      <c r="G190" s="550"/>
      <c r="H190" s="912"/>
      <c r="I190" s="555"/>
      <c r="J190" s="556"/>
      <c r="K190" s="589">
        <v>2</v>
      </c>
      <c r="L190" s="589" t="s">
        <v>688</v>
      </c>
      <c r="M190" s="634" t="s">
        <v>702</v>
      </c>
      <c r="N190" s="592"/>
      <c r="O190" s="592"/>
      <c r="P190" s="589" t="s">
        <v>687</v>
      </c>
      <c r="Q190" s="556"/>
      <c r="R190" s="589" t="s">
        <v>688</v>
      </c>
      <c r="S190" s="589" t="s">
        <v>714</v>
      </c>
      <c r="T190" s="556"/>
      <c r="U190" s="589" t="s">
        <v>687</v>
      </c>
      <c r="V190" s="556"/>
      <c r="W190" s="556"/>
      <c r="X190" s="556"/>
      <c r="Y190" s="662"/>
      <c r="Z190" s="637"/>
    </row>
    <row r="191" spans="1:26" ht="14.5" x14ac:dyDescent="0.35">
      <c r="A191" s="652"/>
      <c r="B191" s="587" t="s">
        <v>674</v>
      </c>
      <c r="C191" s="543"/>
      <c r="D191" s="587" t="s">
        <v>675</v>
      </c>
      <c r="E191" s="588"/>
      <c r="F191" s="587" t="s">
        <v>676</v>
      </c>
      <c r="G191" s="588"/>
      <c r="H191" s="587" t="s">
        <v>677</v>
      </c>
      <c r="I191" s="557"/>
      <c r="J191" s="557"/>
      <c r="K191" s="589">
        <v>3</v>
      </c>
      <c r="L191" s="589" t="s">
        <v>689</v>
      </c>
      <c r="M191" s="635" t="s">
        <v>703</v>
      </c>
      <c r="N191" s="593"/>
      <c r="O191" s="593"/>
      <c r="P191" s="589" t="s">
        <v>687</v>
      </c>
      <c r="Q191" s="554"/>
      <c r="R191" s="706" t="s">
        <v>689</v>
      </c>
      <c r="S191" s="909" t="s">
        <v>719</v>
      </c>
      <c r="T191" s="909"/>
      <c r="U191" s="589" t="s">
        <v>687</v>
      </c>
      <c r="V191" s="554"/>
      <c r="W191" s="554"/>
      <c r="X191" s="554"/>
      <c r="Y191" s="663"/>
      <c r="Z191" s="453"/>
    </row>
    <row r="192" spans="1:26" ht="14.5" x14ac:dyDescent="0.35">
      <c r="A192" s="652"/>
      <c r="B192" s="543" t="s">
        <v>221</v>
      </c>
      <c r="C192" s="558"/>
      <c r="D192" s="543" t="s">
        <v>292</v>
      </c>
      <c r="E192" s="558"/>
      <c r="F192" s="543" t="s">
        <v>678</v>
      </c>
      <c r="G192" s="558"/>
      <c r="H192" s="543" t="s">
        <v>378</v>
      </c>
      <c r="I192" s="557"/>
      <c r="J192" s="557"/>
      <c r="K192" s="589">
        <v>4</v>
      </c>
      <c r="L192" s="589" t="s">
        <v>690</v>
      </c>
      <c r="M192" s="910" t="s">
        <v>693</v>
      </c>
      <c r="N192" s="910"/>
      <c r="O192" s="543"/>
      <c r="P192" s="588" t="s">
        <v>687</v>
      </c>
      <c r="Q192" s="553"/>
      <c r="R192" s="553"/>
      <c r="S192" s="543"/>
      <c r="T192" s="553"/>
      <c r="U192" s="553"/>
      <c r="V192" s="553"/>
      <c r="W192" s="553"/>
      <c r="X192" s="553"/>
      <c r="Y192" s="664"/>
      <c r="Z192" s="453"/>
    </row>
    <row r="193" spans="1:26" ht="16" thickBot="1" x14ac:dyDescent="0.4">
      <c r="A193" s="665"/>
      <c r="B193" s="988">
        <v>1.127</v>
      </c>
      <c r="C193" s="989"/>
      <c r="D193" s="990">
        <v>0.19500000000000001</v>
      </c>
      <c r="E193" s="989"/>
      <c r="F193" s="990">
        <v>0.20300000000000001</v>
      </c>
      <c r="G193" s="991"/>
      <c r="H193" s="666" t="s">
        <v>574</v>
      </c>
      <c r="I193" s="667"/>
      <c r="J193" s="668">
        <v>0.82599999999999996</v>
      </c>
      <c r="K193" s="669">
        <v>5</v>
      </c>
      <c r="L193" s="669" t="s">
        <v>700</v>
      </c>
      <c r="M193" s="733" t="s">
        <v>730</v>
      </c>
      <c r="N193" s="671"/>
      <c r="O193" s="670"/>
      <c r="P193" s="672" t="s">
        <v>687</v>
      </c>
      <c r="Q193" s="673"/>
      <c r="R193" s="672"/>
      <c r="S193" s="674"/>
      <c r="T193" s="674"/>
      <c r="U193" s="674"/>
      <c r="V193" s="674"/>
      <c r="W193" s="674"/>
      <c r="X193" s="674"/>
      <c r="Y193" s="675"/>
      <c r="Z193" s="453"/>
    </row>
  </sheetData>
  <mergeCells count="378">
    <mergeCell ref="B26:Y26"/>
    <mergeCell ref="B193:C193"/>
    <mergeCell ref="D193:E193"/>
    <mergeCell ref="F193:G193"/>
    <mergeCell ref="B137:G137"/>
    <mergeCell ref="H137:O137"/>
    <mergeCell ref="P137:W137"/>
    <mergeCell ref="B144:S144"/>
    <mergeCell ref="B151:E151"/>
    <mergeCell ref="F151:Q151"/>
    <mergeCell ref="B158:S158"/>
    <mergeCell ref="B165:M165"/>
    <mergeCell ref="B172:I172"/>
    <mergeCell ref="J172:W172"/>
    <mergeCell ref="T147:T148"/>
    <mergeCell ref="V147:V148"/>
    <mergeCell ref="T161:T162"/>
    <mergeCell ref="V161:V162"/>
    <mergeCell ref="T182:T183"/>
    <mergeCell ref="V182:V183"/>
    <mergeCell ref="T175:T176"/>
    <mergeCell ref="V175:V176"/>
    <mergeCell ref="B175:B176"/>
    <mergeCell ref="D175:D176"/>
    <mergeCell ref="F175:F176"/>
    <mergeCell ref="B116:G116"/>
    <mergeCell ref="H116:M116"/>
    <mergeCell ref="N116:S116"/>
    <mergeCell ref="B123:I123"/>
    <mergeCell ref="J123:S123"/>
    <mergeCell ref="T123:W123"/>
    <mergeCell ref="B130:C130"/>
    <mergeCell ref="D130:G130"/>
    <mergeCell ref="H130:S130"/>
    <mergeCell ref="T130:X130"/>
    <mergeCell ref="T119:T120"/>
    <mergeCell ref="V119:V120"/>
    <mergeCell ref="X119:X120"/>
    <mergeCell ref="B126:B127"/>
    <mergeCell ref="D126:D127"/>
    <mergeCell ref="F126:F127"/>
    <mergeCell ref="H126:H127"/>
    <mergeCell ref="J126:J127"/>
    <mergeCell ref="L126:L127"/>
    <mergeCell ref="N126:N127"/>
    <mergeCell ref="P126:P127"/>
    <mergeCell ref="R126:R127"/>
    <mergeCell ref="T126:T127"/>
    <mergeCell ref="B95:C95"/>
    <mergeCell ref="D95:I95"/>
    <mergeCell ref="J95:K95"/>
    <mergeCell ref="L95:S95"/>
    <mergeCell ref="T95:U95"/>
    <mergeCell ref="B102:S102"/>
    <mergeCell ref="B109:C109"/>
    <mergeCell ref="D109:K109"/>
    <mergeCell ref="L109:W109"/>
    <mergeCell ref="T105:T106"/>
    <mergeCell ref="V105:V106"/>
    <mergeCell ref="B67:I67"/>
    <mergeCell ref="B74:C74"/>
    <mergeCell ref="D74:E74"/>
    <mergeCell ref="F74:O74"/>
    <mergeCell ref="P74:W74"/>
    <mergeCell ref="B81:I81"/>
    <mergeCell ref="J81:M81"/>
    <mergeCell ref="N81:W81"/>
    <mergeCell ref="B88:E88"/>
    <mergeCell ref="F88:K88"/>
    <mergeCell ref="L88:U88"/>
    <mergeCell ref="V88:W88"/>
    <mergeCell ref="T77:T78"/>
    <mergeCell ref="V77:V78"/>
    <mergeCell ref="R32:X32"/>
    <mergeCell ref="B25:Q25"/>
    <mergeCell ref="B32:Q32"/>
    <mergeCell ref="B39:W39"/>
    <mergeCell ref="B46:I46"/>
    <mergeCell ref="J46:W46"/>
    <mergeCell ref="B53:I53"/>
    <mergeCell ref="B60:K60"/>
    <mergeCell ref="L60:M60"/>
    <mergeCell ref="N60:U60"/>
    <mergeCell ref="X35:X36"/>
    <mergeCell ref="B42:B43"/>
    <mergeCell ref="D42:D43"/>
    <mergeCell ref="F42:F43"/>
    <mergeCell ref="H42:H43"/>
    <mergeCell ref="J42:J43"/>
    <mergeCell ref="L42:L43"/>
    <mergeCell ref="N42:N43"/>
    <mergeCell ref="P42:P43"/>
    <mergeCell ref="R42:R43"/>
    <mergeCell ref="T42:T43"/>
    <mergeCell ref="V42:V43"/>
    <mergeCell ref="X42:X43"/>
    <mergeCell ref="B49:B50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B28:B29"/>
    <mergeCell ref="D28:D29"/>
    <mergeCell ref="F28:F29"/>
    <mergeCell ref="H28:H29"/>
    <mergeCell ref="J28:J29"/>
    <mergeCell ref="X28:X29"/>
    <mergeCell ref="B35:B36"/>
    <mergeCell ref="D35:D36"/>
    <mergeCell ref="F35:F36"/>
    <mergeCell ref="H35:H36"/>
    <mergeCell ref="J35:J36"/>
    <mergeCell ref="L35:L36"/>
    <mergeCell ref="N35:N36"/>
    <mergeCell ref="P35:P36"/>
    <mergeCell ref="R35:R36"/>
    <mergeCell ref="L28:L29"/>
    <mergeCell ref="N28:N29"/>
    <mergeCell ref="P28:P29"/>
    <mergeCell ref="R28:R29"/>
    <mergeCell ref="T28:T29"/>
    <mergeCell ref="V28:V29"/>
    <mergeCell ref="T35:T36"/>
    <mergeCell ref="V35:V36"/>
    <mergeCell ref="D49:D50"/>
    <mergeCell ref="F49:F50"/>
    <mergeCell ref="H49:H50"/>
    <mergeCell ref="J49:J50"/>
    <mergeCell ref="X49:X50"/>
    <mergeCell ref="B56:B57"/>
    <mergeCell ref="D56:D57"/>
    <mergeCell ref="F56:F57"/>
    <mergeCell ref="H56:H57"/>
    <mergeCell ref="J56:J57"/>
    <mergeCell ref="L56:L57"/>
    <mergeCell ref="N56:N57"/>
    <mergeCell ref="P56:P57"/>
    <mergeCell ref="R56:R57"/>
    <mergeCell ref="L49:L50"/>
    <mergeCell ref="N49:N50"/>
    <mergeCell ref="P49:P50"/>
    <mergeCell ref="R49:R50"/>
    <mergeCell ref="T49:T50"/>
    <mergeCell ref="V49:V50"/>
    <mergeCell ref="T56:T57"/>
    <mergeCell ref="V56:V57"/>
    <mergeCell ref="X56:X57"/>
    <mergeCell ref="T63:T64"/>
    <mergeCell ref="V63:V64"/>
    <mergeCell ref="X63:X64"/>
    <mergeCell ref="B70:B71"/>
    <mergeCell ref="D70:D71"/>
    <mergeCell ref="F70:F71"/>
    <mergeCell ref="H70:H71"/>
    <mergeCell ref="J70:J71"/>
    <mergeCell ref="X70:X71"/>
    <mergeCell ref="L70:L71"/>
    <mergeCell ref="N70:N71"/>
    <mergeCell ref="P70:P71"/>
    <mergeCell ref="R70:R71"/>
    <mergeCell ref="T70:T71"/>
    <mergeCell ref="V70:V71"/>
    <mergeCell ref="B63:B64"/>
    <mergeCell ref="D63:D64"/>
    <mergeCell ref="F63:F64"/>
    <mergeCell ref="H63:H64"/>
    <mergeCell ref="J63:J64"/>
    <mergeCell ref="L63:L64"/>
    <mergeCell ref="N63:N64"/>
    <mergeCell ref="P63:P64"/>
    <mergeCell ref="R63:R64"/>
    <mergeCell ref="X77:X78"/>
    <mergeCell ref="B84:B85"/>
    <mergeCell ref="D84:D85"/>
    <mergeCell ref="F84:F85"/>
    <mergeCell ref="H84:H85"/>
    <mergeCell ref="J84:J85"/>
    <mergeCell ref="L84:L85"/>
    <mergeCell ref="N84:N85"/>
    <mergeCell ref="P84:P85"/>
    <mergeCell ref="R84:R85"/>
    <mergeCell ref="T84:T85"/>
    <mergeCell ref="V84:V85"/>
    <mergeCell ref="X84:X85"/>
    <mergeCell ref="B77:B78"/>
    <mergeCell ref="D77:D78"/>
    <mergeCell ref="F77:F78"/>
    <mergeCell ref="H77:H78"/>
    <mergeCell ref="J77:J78"/>
    <mergeCell ref="L77:L78"/>
    <mergeCell ref="N77:N78"/>
    <mergeCell ref="P77:P78"/>
    <mergeCell ref="R77:R78"/>
    <mergeCell ref="B91:B92"/>
    <mergeCell ref="D91:D92"/>
    <mergeCell ref="F91:F92"/>
    <mergeCell ref="H91:H92"/>
    <mergeCell ref="J91:J92"/>
    <mergeCell ref="X91:X92"/>
    <mergeCell ref="B98:B99"/>
    <mergeCell ref="D98:D99"/>
    <mergeCell ref="F98:F99"/>
    <mergeCell ref="H98:H99"/>
    <mergeCell ref="J98:J99"/>
    <mergeCell ref="L98:L99"/>
    <mergeCell ref="N98:N99"/>
    <mergeCell ref="P98:P99"/>
    <mergeCell ref="R98:R99"/>
    <mergeCell ref="L91:L92"/>
    <mergeCell ref="N91:N92"/>
    <mergeCell ref="P91:P92"/>
    <mergeCell ref="R91:R92"/>
    <mergeCell ref="T91:T92"/>
    <mergeCell ref="V91:V92"/>
    <mergeCell ref="T98:T99"/>
    <mergeCell ref="V98:V99"/>
    <mergeCell ref="X98:X99"/>
    <mergeCell ref="X105:X106"/>
    <mergeCell ref="B112:B113"/>
    <mergeCell ref="D112:D113"/>
    <mergeCell ref="F112:F113"/>
    <mergeCell ref="H112:H113"/>
    <mergeCell ref="J112:J113"/>
    <mergeCell ref="X112:X113"/>
    <mergeCell ref="L112:L113"/>
    <mergeCell ref="N112:N113"/>
    <mergeCell ref="P112:P113"/>
    <mergeCell ref="R112:R113"/>
    <mergeCell ref="T112:T113"/>
    <mergeCell ref="V112:V113"/>
    <mergeCell ref="B105:B106"/>
    <mergeCell ref="D105:D106"/>
    <mergeCell ref="F105:F106"/>
    <mergeCell ref="H105:H106"/>
    <mergeCell ref="J105:J106"/>
    <mergeCell ref="L105:L106"/>
    <mergeCell ref="N105:N106"/>
    <mergeCell ref="P105:P106"/>
    <mergeCell ref="R105:R106"/>
    <mergeCell ref="X126:X127"/>
    <mergeCell ref="B119:B120"/>
    <mergeCell ref="D119:D120"/>
    <mergeCell ref="F119:F120"/>
    <mergeCell ref="H119:H120"/>
    <mergeCell ref="J119:J120"/>
    <mergeCell ref="L119:L120"/>
    <mergeCell ref="N119:N120"/>
    <mergeCell ref="P119:P120"/>
    <mergeCell ref="R119:R120"/>
    <mergeCell ref="V126:V127"/>
    <mergeCell ref="B133:B134"/>
    <mergeCell ref="D133:D134"/>
    <mergeCell ref="F133:F134"/>
    <mergeCell ref="H133:H134"/>
    <mergeCell ref="J133:J134"/>
    <mergeCell ref="X133:X134"/>
    <mergeCell ref="B140:B141"/>
    <mergeCell ref="D140:D141"/>
    <mergeCell ref="F140:F141"/>
    <mergeCell ref="H140:H141"/>
    <mergeCell ref="J140:J141"/>
    <mergeCell ref="L140:L141"/>
    <mergeCell ref="N140:N141"/>
    <mergeCell ref="P140:P141"/>
    <mergeCell ref="R140:R141"/>
    <mergeCell ref="L133:L134"/>
    <mergeCell ref="N133:N134"/>
    <mergeCell ref="P133:P134"/>
    <mergeCell ref="R133:R134"/>
    <mergeCell ref="T133:T134"/>
    <mergeCell ref="V133:V134"/>
    <mergeCell ref="T140:T141"/>
    <mergeCell ref="V140:V141"/>
    <mergeCell ref="X140:X141"/>
    <mergeCell ref="P161:P162"/>
    <mergeCell ref="R161:R162"/>
    <mergeCell ref="X147:X148"/>
    <mergeCell ref="B154:B155"/>
    <mergeCell ref="D154:D155"/>
    <mergeCell ref="F154:F155"/>
    <mergeCell ref="H154:H155"/>
    <mergeCell ref="J154:J155"/>
    <mergeCell ref="X154:X155"/>
    <mergeCell ref="L154:L155"/>
    <mergeCell ref="N154:N155"/>
    <mergeCell ref="P154:P155"/>
    <mergeCell ref="R154:R155"/>
    <mergeCell ref="T154:T155"/>
    <mergeCell ref="V154:V155"/>
    <mergeCell ref="B147:B148"/>
    <mergeCell ref="D147:D148"/>
    <mergeCell ref="F147:F148"/>
    <mergeCell ref="H147:H148"/>
    <mergeCell ref="J147:J148"/>
    <mergeCell ref="L147:L148"/>
    <mergeCell ref="N147:N148"/>
    <mergeCell ref="P147:P148"/>
    <mergeCell ref="R147:R148"/>
    <mergeCell ref="P186:Q186"/>
    <mergeCell ref="R186:U186"/>
    <mergeCell ref="P175:P176"/>
    <mergeCell ref="R175:R176"/>
    <mergeCell ref="X161:X162"/>
    <mergeCell ref="B168:B169"/>
    <mergeCell ref="D168:D169"/>
    <mergeCell ref="F168:F169"/>
    <mergeCell ref="H168:H169"/>
    <mergeCell ref="J168:J169"/>
    <mergeCell ref="L168:L169"/>
    <mergeCell ref="N168:N169"/>
    <mergeCell ref="P168:P169"/>
    <mergeCell ref="R168:R169"/>
    <mergeCell ref="T168:T169"/>
    <mergeCell ref="V168:V169"/>
    <mergeCell ref="X168:X169"/>
    <mergeCell ref="B161:B162"/>
    <mergeCell ref="D161:D162"/>
    <mergeCell ref="F161:F162"/>
    <mergeCell ref="H161:H162"/>
    <mergeCell ref="J161:J162"/>
    <mergeCell ref="L161:L162"/>
    <mergeCell ref="N161:N162"/>
    <mergeCell ref="S191:T191"/>
    <mergeCell ref="M192:N192"/>
    <mergeCell ref="H175:H176"/>
    <mergeCell ref="J175:J176"/>
    <mergeCell ref="X182:X183"/>
    <mergeCell ref="B189:B190"/>
    <mergeCell ref="D189:D190"/>
    <mergeCell ref="F189:F190"/>
    <mergeCell ref="H189:H190"/>
    <mergeCell ref="X175:X176"/>
    <mergeCell ref="B182:B183"/>
    <mergeCell ref="D182:D183"/>
    <mergeCell ref="F182:F183"/>
    <mergeCell ref="H182:H183"/>
    <mergeCell ref="J182:J183"/>
    <mergeCell ref="L182:L183"/>
    <mergeCell ref="N182:N183"/>
    <mergeCell ref="P182:P183"/>
    <mergeCell ref="R182:R183"/>
    <mergeCell ref="L175:L176"/>
    <mergeCell ref="N175:N176"/>
    <mergeCell ref="B179:G179"/>
    <mergeCell ref="B186:G186"/>
    <mergeCell ref="H186:O186"/>
  </mergeCells>
  <phoneticPr fontId="6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Visual Chart </vt:lpstr>
      <vt:lpstr>Master Sheet</vt:lpstr>
      <vt:lpstr>Progress Sheet </vt:lpstr>
      <vt:lpstr>Erection Compiled</vt:lpstr>
      <vt:lpstr>ROW</vt:lpstr>
      <vt:lpstr>X-ing Details </vt:lpstr>
      <vt:lpstr>SuPPLY </vt:lpstr>
      <vt:lpstr>Visual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Bharat Kaushik</cp:lastModifiedBy>
  <dcterms:created xsi:type="dcterms:W3CDTF">2025-09-08T16:55:31Z</dcterms:created>
  <dcterms:modified xsi:type="dcterms:W3CDTF">2026-01-13T11:16:26Z</dcterms:modified>
</cp:coreProperties>
</file>