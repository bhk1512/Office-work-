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ushikb\Documents\Work\Git\Office-work-\Raw Data\DPRs\"/>
    </mc:Choice>
  </mc:AlternateContent>
  <xr:revisionPtr revIDLastSave="0" documentId="13_ncr:1_{E03A9423-4404-415F-A1E6-B97474CC53CE}" xr6:coauthVersionLast="47" xr6:coauthVersionMax="47" xr10:uidLastSave="{00000000-0000-0000-0000-000000000000}"/>
  <bookViews>
    <workbookView xWindow="-110" yWindow="-110" windowWidth="19420" windowHeight="10300" tabRatio="943" activeTab="3" xr2:uid="{00000000-000D-0000-FFFF-FFFF00000000}"/>
  </bookViews>
  <sheets>
    <sheet name="Project Details" sheetId="53" r:id="rId1"/>
    <sheet name="MASTER SHEET" sheetId="44" r:id="rId2"/>
    <sheet name="Erection Compiled " sheetId="52" r:id="rId3"/>
    <sheet name="Stringing compiled" sheetId="57" r:id="rId4"/>
    <sheet name="Progress." sheetId="54" r:id="rId5"/>
    <sheet name="Visual chart." sheetId="56" r:id="rId6"/>
    <sheet name="PENDING FDN DETAILS" sheetId="50" r:id="rId7"/>
    <sheet name="PENDING ERE DETAILS" sheetId="51" r:id="rId8"/>
    <sheet name="TSE-MANUAL-LT-11KV-33KV Details" sheetId="45" r:id="rId9"/>
    <sheet name="Crossing Details" sheetId="46" r:id="rId10"/>
    <sheet name="TS" sheetId="12" state="hidden" r:id="rId11"/>
    <sheet name="TS (2)" sheetId="48" state="hidden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\A">#REF!</definedName>
    <definedName name="\B">#REF!</definedName>
    <definedName name="\C">#REF!</definedName>
    <definedName name="\M">#REF!</definedName>
    <definedName name="\N">#REF!</definedName>
    <definedName name="\P">#REF!</definedName>
    <definedName name="\R">#REF!</definedName>
    <definedName name="\U">#REF!</definedName>
    <definedName name="\V">#REF!</definedName>
    <definedName name="__123Graph_B" hidden="1">'[1]CASH-FLOW'!#REF!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a655601">#REF!</definedName>
    <definedName name="_xlnm._FilterDatabase" localSheetId="7" hidden="1">'PENDING ERE DETAILS'!$A$5:$G$33</definedName>
    <definedName name="_xlnm._FilterDatabase" localSheetId="6" hidden="1">'PENDING FDN DETAILS'!$A$3:$AD$16</definedName>
    <definedName name="_xlnm._FilterDatabase" localSheetId="10" hidden="1">TS!$B$10:$B$264</definedName>
    <definedName name="_xlnm._FilterDatabase" localSheetId="11" hidden="1">'TS (2)'!$C$8:$C$254</definedName>
    <definedName name="_xlnm._FilterDatabase" hidden="1">'[2]SP Break Up'!$A$6:$I$39</definedName>
    <definedName name="_Order1" hidden="1">255</definedName>
    <definedName name="_Order2" hidden="1">255</definedName>
    <definedName name="_TAB1">[3]TABLES!$A$2:$C$16</definedName>
    <definedName name="A">#REF!</definedName>
    <definedName name="AAA" hidden="1">{#N/A,#N/A,FALSE,"COVER1.XLS ";#N/A,#N/A,FALSE,"RACT1.XLS";#N/A,#N/A,FALSE,"RACT2.XLS";#N/A,#N/A,FALSE,"ECCMP";#N/A,#N/A,FALSE,"WELDER.XLS"}</definedName>
    <definedName name="aaaa">#REF!</definedName>
    <definedName name="ab">#REF!</definedName>
    <definedName name="abcd">#REF!</definedName>
    <definedName name="ADVIK">#REF!</definedName>
    <definedName name="ax">[4]CLAY!#REF!</definedName>
    <definedName name="ay">[4]CLAY!#REF!</definedName>
    <definedName name="B">'[5]PRECAST lightconc-II'!$K$19</definedName>
    <definedName name="botn">#REF!</definedName>
    <definedName name="bua">#REF!</definedName>
    <definedName name="building">'[6]DETAILED  BOQ'!$A$2</definedName>
    <definedName name="cant">'[7]Staff Acco.'!#REF!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r">[8]dBase!$J$14</definedName>
    <definedName name="_xlnm.Database">#N/A</definedName>
    <definedName name="dev">'[9]july-I'!$H$126:$H$140</definedName>
    <definedName name="Dome1">'[10]Data Sheet'!$B$3:$B$51</definedName>
    <definedName name="E">'[5]PRECAST lightconc-II'!$K$20</definedName>
    <definedName name="ff" hidden="1">#REF!</definedName>
    <definedName name="fiI">#REF!</definedName>
    <definedName name="Floor">'[6]DETAILED  BOQ'!$C$4</definedName>
    <definedName name="HTML_CodePage" hidden="1">1252</definedName>
    <definedName name="HTML_Description" hidden="1">""</definedName>
    <definedName name="HTML_Email" hidden="1">""</definedName>
    <definedName name="HTML_Header" hidden="1">"TP-SUMMARY"</definedName>
    <definedName name="HTML_LastUpdate" hidden="1">"12/10/04"</definedName>
    <definedName name="HTML_LineAfter" hidden="1">FALSE</definedName>
    <definedName name="HTML_LineBefore" hidden="1">FALSE</definedName>
    <definedName name="HTML_Name" hidden="1">"DEEPAK"</definedName>
    <definedName name="HTML_OBDlg2" hidden="1">TRUE</definedName>
    <definedName name="HTML_OBDlg4" hidden="1">TRUE</definedName>
    <definedName name="HTML_OS" hidden="1">0</definedName>
    <definedName name="HTML_PathFile" hidden="1">"C:\My Documents\TATA RECORD\TLTS 2385 TATA  POWER\NEW TATA\tata\MyHTML.htm"</definedName>
    <definedName name="HTML_Title" hidden="1">"JEERAT - SG INSP"</definedName>
    <definedName name="job">'[11]DETAILED  BOQ'!$A$1</definedName>
    <definedName name="kllkl">#REF!</definedName>
    <definedName name="knlkk">#REF!</definedName>
    <definedName name="lakh">[8]dBase!$J$12</definedName>
    <definedName name="logo1">"Picture 7"</definedName>
    <definedName name="MonthYear">'[10]Data Sheet'!$A$2:$A$50</definedName>
    <definedName name="NONSOR">#REF!</definedName>
    <definedName name="num2text">[8]dBase!$A$3:$I$1005</definedName>
    <definedName name="PHYSICAL_STATUS_OF_CONDUCTOR_AS_ON_DATE">'[12]Conductor Supply'!$A$1:$M$16</definedName>
    <definedName name="PPPPPP" hidden="1">{#N/A,#N/A,FALSE,"COVER1.XLS ";#N/A,#N/A,FALSE,"RACT1.XLS";#N/A,#N/A,FALSE,"RACT2.XLS";#N/A,#N/A,FALSE,"ECCMP";#N/A,#N/A,FALSE,"WELDER.XLS"}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xlnm.Print_Area">#REF!</definedName>
    <definedName name="_xlnm.Print_Titles">#N/A</definedName>
    <definedName name="_xlnm.Recorder">#REF!</definedName>
    <definedName name="rel">#REF!</definedName>
    <definedName name="Rev">#REF!</definedName>
    <definedName name="rig">#REF!</definedName>
    <definedName name="robot">#REF!</definedName>
    <definedName name="rosid">#REF!</definedName>
    <definedName name="RRR" hidden="1">#REF!</definedName>
    <definedName name="S">#REF!</definedName>
    <definedName name="sas">#REF!</definedName>
    <definedName name="sasssss">#REF!</definedName>
    <definedName name="Sdate">#REF!</definedName>
    <definedName name="SESHA_SAI_CONSTRUCTION">#REF!</definedName>
    <definedName name="sheet1">#REF!</definedName>
    <definedName name="SOR">#REF!</definedName>
    <definedName name="SPTNP">[3]TABLES!$E$4:$F$57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upply">#REF!</definedName>
    <definedName name="TEST">#REF!</definedName>
    <definedName name="TITLE">#REF!</definedName>
    <definedName name="Title1">#REF!</definedName>
    <definedName name="Title2">#REF!</definedName>
    <definedName name="tol">#REF!</definedName>
    <definedName name="topl">#REF!</definedName>
    <definedName name="topn">#REF!</definedName>
    <definedName name="UNITS">#REF!</definedName>
    <definedName name="v">'[13]AT-3'!$C$10</definedName>
    <definedName name="Waiting">"Picture 1"</definedName>
    <definedName name="wertt" hidden="1">{#N/A,#N/A,FALSE,"COVER1.XLS ";#N/A,#N/A,FALSE,"RACT1.XLS";#N/A,#N/A,FALSE,"RACT2.XLS";#N/A,#N/A,FALSE,"ECCMP";#N/A,#N/A,FALSE,"WELDER.XLS"}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hidden="1">{#N/A,#N/A,FALSE,"COVER.XLS";#N/A,#N/A,FALSE,"RACT1.XLS";#N/A,#N/A,FALSE,"RACT2.XLS";#N/A,#N/A,FALSE,"ECCMP";#N/A,#N/A,FALSE,"WELDER.XLS"}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hidden="1">{#N/A,#N/A,FALSE,"COVER1.XLS ";#N/A,#N/A,FALSE,"RACT1.XLS";#N/A,#N/A,FALSE,"RACT2.XLS";#N/A,#N/A,FALSE,"ECCMP";#N/A,#N/A,FALSE,"WELDER.XLS"}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44" l="1"/>
  <c r="I24" i="44"/>
  <c r="E82" i="57"/>
  <c r="J27" i="57"/>
  <c r="J26" i="57"/>
  <c r="M25" i="57"/>
  <c r="T25" i="57" s="1"/>
  <c r="J25" i="57"/>
  <c r="M24" i="57"/>
  <c r="T24" i="57" s="1"/>
  <c r="J24" i="57"/>
  <c r="M23" i="57"/>
  <c r="T23" i="57" s="1"/>
  <c r="J23" i="57"/>
  <c r="M22" i="57"/>
  <c r="T22" i="57" s="1"/>
  <c r="J22" i="57"/>
  <c r="M21" i="57"/>
  <c r="T21" i="57" s="1"/>
  <c r="J21" i="57"/>
  <c r="M20" i="57"/>
  <c r="T20" i="57" s="1"/>
  <c r="J20" i="57"/>
  <c r="M19" i="57"/>
  <c r="T19" i="57" s="1"/>
  <c r="J19" i="57"/>
  <c r="T18" i="57"/>
  <c r="J18" i="57"/>
  <c r="M17" i="57"/>
  <c r="T17" i="57" s="1"/>
  <c r="J17" i="57"/>
  <c r="M16" i="57"/>
  <c r="T16" i="57" s="1"/>
  <c r="J16" i="57"/>
  <c r="M15" i="57"/>
  <c r="T15" i="57" s="1"/>
  <c r="J15" i="57"/>
  <c r="M14" i="57"/>
  <c r="T14" i="57" s="1"/>
  <c r="J14" i="57"/>
  <c r="M13" i="57"/>
  <c r="T13" i="57" s="1"/>
  <c r="J13" i="57"/>
  <c r="M12" i="57"/>
  <c r="T12" i="57" s="1"/>
  <c r="J12" i="57"/>
  <c r="M11" i="57"/>
  <c r="T11" i="57" s="1"/>
  <c r="J11" i="57"/>
  <c r="M10" i="57"/>
  <c r="T10" i="57" s="1"/>
  <c r="J10" i="57"/>
  <c r="M9" i="57"/>
  <c r="T9" i="57" s="1"/>
  <c r="J9" i="57"/>
  <c r="M8" i="57"/>
  <c r="T8" i="57" s="1"/>
  <c r="J8" i="57"/>
  <c r="M7" i="57"/>
  <c r="T7" i="57" s="1"/>
  <c r="J7" i="57"/>
  <c r="M6" i="57"/>
  <c r="T6" i="57" s="1"/>
  <c r="J6" i="57"/>
  <c r="A6" i="57"/>
  <c r="A7" i="57" s="1"/>
  <c r="A8" i="57" s="1"/>
  <c r="A9" i="57" s="1"/>
  <c r="A10" i="57" s="1"/>
  <c r="A11" i="57" s="1"/>
  <c r="A12" i="57" s="1"/>
  <c r="A13" i="57" s="1"/>
  <c r="A14" i="57" s="1"/>
  <c r="A15" i="57" s="1"/>
  <c r="A16" i="57" s="1"/>
  <c r="A17" i="57" s="1"/>
  <c r="A18" i="57" s="1"/>
  <c r="A19" i="57" s="1"/>
  <c r="A20" i="57" s="1"/>
  <c r="A21" i="57" s="1"/>
  <c r="A22" i="57" s="1"/>
  <c r="A23" i="57" s="1"/>
  <c r="A24" i="57" s="1"/>
  <c r="A25" i="57" s="1"/>
  <c r="A26" i="57" s="1"/>
  <c r="A27" i="57" s="1"/>
  <c r="A28" i="57" s="1"/>
  <c r="A29" i="57" s="1"/>
  <c r="A30" i="57" s="1"/>
  <c r="A31" i="57" s="1"/>
  <c r="A32" i="57" s="1"/>
  <c r="A33" i="57" s="1"/>
  <c r="A34" i="57" s="1"/>
  <c r="A35" i="57" s="1"/>
  <c r="A36" i="57" s="1"/>
  <c r="A37" i="57" s="1"/>
  <c r="A38" i="57" s="1"/>
  <c r="A39" i="57" s="1"/>
  <c r="A40" i="57" s="1"/>
  <c r="A41" i="57" s="1"/>
  <c r="A42" i="57" s="1"/>
  <c r="A43" i="57" s="1"/>
  <c r="A44" i="57" s="1"/>
  <c r="A45" i="57" s="1"/>
  <c r="A46" i="57" s="1"/>
  <c r="A47" i="57" s="1"/>
  <c r="A48" i="57" s="1"/>
  <c r="A49" i="57" s="1"/>
  <c r="A50" i="57" s="1"/>
  <c r="A51" i="57" s="1"/>
  <c r="A52" i="57" s="1"/>
  <c r="A53" i="57" s="1"/>
  <c r="A54" i="57" s="1"/>
  <c r="A55" i="57" s="1"/>
  <c r="A56" i="57" s="1"/>
  <c r="A57" i="57" s="1"/>
  <c r="A58" i="57" s="1"/>
  <c r="A59" i="57" s="1"/>
  <c r="A60" i="57" s="1"/>
  <c r="A61" i="57" s="1"/>
  <c r="A62" i="57" s="1"/>
  <c r="A63" i="57" s="1"/>
  <c r="A64" i="57" s="1"/>
  <c r="A65" i="57" s="1"/>
  <c r="A66" i="57" s="1"/>
  <c r="A67" i="57" s="1"/>
  <c r="A68" i="57" s="1"/>
  <c r="A69" i="57" s="1"/>
  <c r="A70" i="57" s="1"/>
  <c r="A71" i="57" s="1"/>
  <c r="A72" i="57" s="1"/>
  <c r="A73" i="57" s="1"/>
  <c r="A74" i="57" s="1"/>
  <c r="A75" i="57" s="1"/>
  <c r="A76" i="57" s="1"/>
  <c r="A77" i="57" s="1"/>
  <c r="A78" i="57" s="1"/>
  <c r="A79" i="57" s="1"/>
  <c r="A80" i="57" s="1"/>
  <c r="M5" i="57"/>
  <c r="T5" i="57" s="1"/>
  <c r="J5" i="57"/>
  <c r="A5" i="57"/>
  <c r="M4" i="57"/>
  <c r="M82" i="57" s="1"/>
  <c r="J4" i="57"/>
  <c r="J82" i="57" s="1"/>
  <c r="T4" i="57" l="1"/>
  <c r="A9" i="51" l="1"/>
  <c r="A10" i="51" s="1"/>
  <c r="A11" i="51" s="1"/>
  <c r="A12" i="51" s="1"/>
  <c r="A13" i="51" s="1"/>
  <c r="A14" i="51" s="1"/>
  <c r="A15" i="51" s="1"/>
  <c r="A16" i="51" s="1"/>
  <c r="A17" i="51" s="1"/>
  <c r="A18" i="51" s="1"/>
  <c r="A19" i="51" s="1"/>
  <c r="A20" i="51" s="1"/>
  <c r="A21" i="51" s="1"/>
  <c r="A22" i="51" s="1"/>
  <c r="A23" i="51" s="1"/>
  <c r="A24" i="51" s="1"/>
  <c r="A25" i="51" s="1"/>
  <c r="A26" i="51" s="1"/>
  <c r="A27" i="51" s="1"/>
  <c r="A28" i="51" s="1"/>
  <c r="A29" i="51" s="1"/>
  <c r="A30" i="51" s="1"/>
  <c r="A31" i="51" s="1"/>
  <c r="AJ12" i="56"/>
  <c r="A7" i="51"/>
  <c r="A8" i="51" s="1"/>
  <c r="C656" i="54"/>
  <c r="F75" i="44"/>
  <c r="F76" i="44"/>
  <c r="F71" i="44"/>
  <c r="C48" i="46" l="1"/>
  <c r="C45" i="46"/>
  <c r="V295" i="56" l="1"/>
  <c r="R295" i="56"/>
  <c r="R301" i="56" s="1"/>
  <c r="N295" i="56"/>
  <c r="N301" i="56" s="1"/>
  <c r="J295" i="56"/>
  <c r="J301" i="56" s="1"/>
  <c r="F295" i="56"/>
  <c r="H298" i="56" s="1"/>
  <c r="B295" i="56"/>
  <c r="D298" i="56" s="1"/>
  <c r="AP285" i="56"/>
  <c r="AP291" i="56" s="1"/>
  <c r="AL285" i="56"/>
  <c r="AL291" i="56" s="1"/>
  <c r="AH285" i="56"/>
  <c r="AH291" i="56" s="1"/>
  <c r="AD285" i="56"/>
  <c r="AF288" i="56" s="1"/>
  <c r="Z285" i="56"/>
  <c r="AB288" i="56" s="1"/>
  <c r="V285" i="56"/>
  <c r="X288" i="56" s="1"/>
  <c r="R285" i="56"/>
  <c r="T288" i="56" s="1"/>
  <c r="N285" i="56"/>
  <c r="N291" i="56" s="1"/>
  <c r="J285" i="56"/>
  <c r="J291" i="56" s="1"/>
  <c r="F285" i="56"/>
  <c r="F291" i="56" s="1"/>
  <c r="B285" i="56"/>
  <c r="B291" i="56" s="1"/>
  <c r="AP275" i="56"/>
  <c r="AR278" i="56" s="1"/>
  <c r="AL275" i="56"/>
  <c r="AN278" i="56" s="1"/>
  <c r="AH275" i="56"/>
  <c r="AJ278" i="56" s="1"/>
  <c r="AD275" i="56"/>
  <c r="AF278" i="56" s="1"/>
  <c r="Z275" i="56"/>
  <c r="Z281" i="56" s="1"/>
  <c r="V275" i="56"/>
  <c r="V281" i="56" s="1"/>
  <c r="R275" i="56"/>
  <c r="R281" i="56" s="1"/>
  <c r="N275" i="56"/>
  <c r="N281" i="56" s="1"/>
  <c r="J275" i="56"/>
  <c r="J281" i="56" s="1"/>
  <c r="F275" i="56"/>
  <c r="H278" i="56" s="1"/>
  <c r="B275" i="56"/>
  <c r="D278" i="56" s="1"/>
  <c r="AP265" i="56"/>
  <c r="AR268" i="56" s="1"/>
  <c r="AL265" i="56"/>
  <c r="AN268" i="56" s="1"/>
  <c r="AH265" i="56"/>
  <c r="AJ268" i="56" s="1"/>
  <c r="AD265" i="56"/>
  <c r="AD271" i="56" s="1"/>
  <c r="Z265" i="56"/>
  <c r="Z271" i="56" s="1"/>
  <c r="V265" i="56"/>
  <c r="V271" i="56" s="1"/>
  <c r="R265" i="56"/>
  <c r="T268" i="56" s="1"/>
  <c r="N265" i="56"/>
  <c r="P268" i="56" s="1"/>
  <c r="J265" i="56"/>
  <c r="L268" i="56" s="1"/>
  <c r="F265" i="56"/>
  <c r="H268" i="56" s="1"/>
  <c r="B265" i="56"/>
  <c r="D268" i="56" s="1"/>
  <c r="AP255" i="56"/>
  <c r="AP261" i="56" s="1"/>
  <c r="AL255" i="56"/>
  <c r="AL261" i="56" s="1"/>
  <c r="AH255" i="56"/>
  <c r="AH261" i="56" s="1"/>
  <c r="AD255" i="56"/>
  <c r="AD261" i="56" s="1"/>
  <c r="Z255" i="56"/>
  <c r="Z261" i="56" s="1"/>
  <c r="V255" i="56"/>
  <c r="X258" i="56" s="1"/>
  <c r="R255" i="56"/>
  <c r="T258" i="56" s="1"/>
  <c r="N255" i="56"/>
  <c r="P258" i="56" s="1"/>
  <c r="J255" i="56"/>
  <c r="L258" i="56" s="1"/>
  <c r="F255" i="56"/>
  <c r="F261" i="56" s="1"/>
  <c r="B255" i="56"/>
  <c r="B261" i="56" s="1"/>
  <c r="AP245" i="56"/>
  <c r="AP251" i="56" s="1"/>
  <c r="AL245" i="56"/>
  <c r="AL251" i="56" s="1"/>
  <c r="AH245" i="56"/>
  <c r="AH251" i="56" s="1"/>
  <c r="AD245" i="56"/>
  <c r="AF248" i="56" s="1"/>
  <c r="Z245" i="56"/>
  <c r="AB248" i="56" s="1"/>
  <c r="V245" i="56"/>
  <c r="X248" i="56" s="1"/>
  <c r="R245" i="56"/>
  <c r="T248" i="56" s="1"/>
  <c r="N245" i="56"/>
  <c r="N251" i="56" s="1"/>
  <c r="J245" i="56"/>
  <c r="J251" i="56" s="1"/>
  <c r="F245" i="56"/>
  <c r="F251" i="56" s="1"/>
  <c r="B245" i="56"/>
  <c r="B251" i="56" s="1"/>
  <c r="AP235" i="56"/>
  <c r="AR238" i="56" s="1"/>
  <c r="AL235" i="56"/>
  <c r="AN238" i="56" s="1"/>
  <c r="AH235" i="56"/>
  <c r="AJ238" i="56" s="1"/>
  <c r="AD235" i="56"/>
  <c r="AF238" i="56" s="1"/>
  <c r="Z235" i="56"/>
  <c r="AB238" i="56" s="1"/>
  <c r="V235" i="56"/>
  <c r="V241" i="56" s="1"/>
  <c r="R235" i="56"/>
  <c r="R241" i="56" s="1"/>
  <c r="N235" i="56"/>
  <c r="N241" i="56" s="1"/>
  <c r="J235" i="56"/>
  <c r="L238" i="56" s="1"/>
  <c r="F235" i="56"/>
  <c r="H238" i="56" s="1"/>
  <c r="B235" i="56"/>
  <c r="D238" i="56" s="1"/>
  <c r="AP225" i="56"/>
  <c r="AR228" i="56" s="1"/>
  <c r="AL225" i="56"/>
  <c r="AN228" i="56" s="1"/>
  <c r="AH225" i="56"/>
  <c r="AH231" i="56" s="1"/>
  <c r="AD225" i="56"/>
  <c r="AD231" i="56" s="1"/>
  <c r="Z225" i="56"/>
  <c r="Z231" i="56" s="1"/>
  <c r="V225" i="56"/>
  <c r="V231" i="56" s="1"/>
  <c r="R225" i="56"/>
  <c r="T228" i="56" s="1"/>
  <c r="N225" i="56"/>
  <c r="P228" i="56" s="1"/>
  <c r="J225" i="56"/>
  <c r="L228" i="56" s="1"/>
  <c r="F225" i="56"/>
  <c r="H228" i="56" s="1"/>
  <c r="B225" i="56"/>
  <c r="D228" i="56" s="1"/>
  <c r="AP215" i="56"/>
  <c r="AR218" i="56" s="1"/>
  <c r="AL215" i="56"/>
  <c r="AL221" i="56" s="1"/>
  <c r="AH215" i="56"/>
  <c r="AH221" i="56" s="1"/>
  <c r="AD215" i="56"/>
  <c r="AD221" i="56" s="1"/>
  <c r="Z215" i="56"/>
  <c r="AB218" i="56" s="1"/>
  <c r="V215" i="56"/>
  <c r="X218" i="56" s="1"/>
  <c r="R215" i="56"/>
  <c r="T218" i="56" s="1"/>
  <c r="N215" i="56"/>
  <c r="P218" i="56" s="1"/>
  <c r="J215" i="56"/>
  <c r="J221" i="56" s="1"/>
  <c r="F215" i="56"/>
  <c r="F221" i="56" s="1"/>
  <c r="B215" i="56"/>
  <c r="B221" i="56" s="1"/>
  <c r="AP205" i="56"/>
  <c r="AP211" i="56" s="1"/>
  <c r="AL205" i="56"/>
  <c r="AL211" i="56" s="1"/>
  <c r="AH205" i="56"/>
  <c r="AJ208" i="56" s="1"/>
  <c r="AD205" i="56"/>
  <c r="AF208" i="56" s="1"/>
  <c r="Z205" i="56"/>
  <c r="AB208" i="56" s="1"/>
  <c r="V205" i="56"/>
  <c r="X208" i="56" s="1"/>
  <c r="R205" i="56"/>
  <c r="T208" i="56" s="1"/>
  <c r="N205" i="56"/>
  <c r="N211" i="56" s="1"/>
  <c r="J205" i="56"/>
  <c r="J211" i="56" s="1"/>
  <c r="F205" i="56"/>
  <c r="F211" i="56" s="1"/>
  <c r="B205" i="56"/>
  <c r="D208" i="56" s="1"/>
  <c r="AP195" i="56"/>
  <c r="AP201" i="56" s="1"/>
  <c r="AL195" i="56"/>
  <c r="AN198" i="56" s="1"/>
  <c r="AH195" i="56"/>
  <c r="AJ198" i="56" s="1"/>
  <c r="AD195" i="56"/>
  <c r="AF198" i="56" s="1"/>
  <c r="Z195" i="56"/>
  <c r="Z201" i="56" s="1"/>
  <c r="V195" i="56"/>
  <c r="V201" i="56" s="1"/>
  <c r="R195" i="56"/>
  <c r="R201" i="56" s="1"/>
  <c r="N195" i="56"/>
  <c r="N201" i="56" s="1"/>
  <c r="J195" i="56"/>
  <c r="L198" i="56" s="1"/>
  <c r="F195" i="56"/>
  <c r="H198" i="56" s="1"/>
  <c r="B195" i="56"/>
  <c r="D198" i="56" s="1"/>
  <c r="AP185" i="56"/>
  <c r="AR188" i="56" s="1"/>
  <c r="AL185" i="56"/>
  <c r="AN188" i="56" s="1"/>
  <c r="AH185" i="56"/>
  <c r="AH191" i="56" s="1"/>
  <c r="AD185" i="56"/>
  <c r="AD191" i="56" s="1"/>
  <c r="Z185" i="56"/>
  <c r="Z191" i="56" s="1"/>
  <c r="V185" i="56"/>
  <c r="V191" i="56" s="1"/>
  <c r="R185" i="56"/>
  <c r="T188" i="56" s="1"/>
  <c r="N185" i="56"/>
  <c r="P188" i="56" s="1"/>
  <c r="J185" i="56"/>
  <c r="L188" i="56" s="1"/>
  <c r="F185" i="56"/>
  <c r="H188" i="56" s="1"/>
  <c r="B185" i="56"/>
  <c r="B191" i="56" s="1"/>
  <c r="AP175" i="56"/>
  <c r="AP181" i="56" s="1"/>
  <c r="AL175" i="56"/>
  <c r="AL181" i="56" s="1"/>
  <c r="AH175" i="56"/>
  <c r="AH181" i="56" s="1"/>
  <c r="AD175" i="56"/>
  <c r="AD181" i="56" s="1"/>
  <c r="Z175" i="56"/>
  <c r="AB178" i="56" s="1"/>
  <c r="V175" i="56"/>
  <c r="X178" i="56" s="1"/>
  <c r="R175" i="56"/>
  <c r="T178" i="56" s="1"/>
  <c r="N175" i="56"/>
  <c r="P178" i="56" s="1"/>
  <c r="J175" i="56"/>
  <c r="J181" i="56" s="1"/>
  <c r="F175" i="56"/>
  <c r="F181" i="56" s="1"/>
  <c r="B175" i="56"/>
  <c r="B181" i="56" s="1"/>
  <c r="AP165" i="56"/>
  <c r="AP171" i="56" s="1"/>
  <c r="AL165" i="56"/>
  <c r="AL171" i="56" s="1"/>
  <c r="AH165" i="56"/>
  <c r="AH171" i="56" s="1"/>
  <c r="AD165" i="56"/>
  <c r="AF168" i="56" s="1"/>
  <c r="Z165" i="56"/>
  <c r="AB168" i="56" s="1"/>
  <c r="V165" i="56"/>
  <c r="X168" i="56" s="1"/>
  <c r="R165" i="56"/>
  <c r="R171" i="56" s="1"/>
  <c r="N165" i="56"/>
  <c r="N171" i="56" s="1"/>
  <c r="J165" i="56"/>
  <c r="J171" i="56" s="1"/>
  <c r="F165" i="56"/>
  <c r="F171" i="56" s="1"/>
  <c r="B165" i="56"/>
  <c r="D168" i="56" s="1"/>
  <c r="F161" i="56"/>
  <c r="B161" i="56"/>
  <c r="H158" i="56"/>
  <c r="D158" i="56"/>
  <c r="AP155" i="56"/>
  <c r="AP161" i="56" s="1"/>
  <c r="AL155" i="56"/>
  <c r="AN158" i="56" s="1"/>
  <c r="AH155" i="56"/>
  <c r="AJ158" i="56" s="1"/>
  <c r="AD155" i="56"/>
  <c r="AF158" i="56" s="1"/>
  <c r="Z155" i="56"/>
  <c r="AB158" i="56" s="1"/>
  <c r="V155" i="56"/>
  <c r="V161" i="56" s="1"/>
  <c r="R155" i="56"/>
  <c r="R161" i="56" s="1"/>
  <c r="N155" i="56"/>
  <c r="N161" i="56" s="1"/>
  <c r="J155" i="56"/>
  <c r="J161" i="56" s="1"/>
  <c r="AP151" i="56"/>
  <c r="AR148" i="56"/>
  <c r="AL145" i="56"/>
  <c r="AN148" i="56" s="1"/>
  <c r="AH145" i="56"/>
  <c r="AJ148" i="56" s="1"/>
  <c r="AD145" i="56"/>
  <c r="AF148" i="56" s="1"/>
  <c r="Z145" i="56"/>
  <c r="AB148" i="56" s="1"/>
  <c r="V145" i="56"/>
  <c r="V151" i="56" s="1"/>
  <c r="R145" i="56"/>
  <c r="R151" i="56" s="1"/>
  <c r="N145" i="56"/>
  <c r="N151" i="56" s="1"/>
  <c r="J145" i="56"/>
  <c r="J151" i="56" s="1"/>
  <c r="F145" i="56"/>
  <c r="H148" i="56" s="1"/>
  <c r="B145" i="56"/>
  <c r="D148" i="56" s="1"/>
  <c r="AP141" i="56"/>
  <c r="AL141" i="56"/>
  <c r="AH141" i="56"/>
  <c r="AD141" i="56"/>
  <c r="Z141" i="56"/>
  <c r="V141" i="56"/>
  <c r="R141" i="56"/>
  <c r="N141" i="56"/>
  <c r="J141" i="56"/>
  <c r="F141" i="56"/>
  <c r="B141" i="56"/>
  <c r="AR138" i="56"/>
  <c r="AN138" i="56"/>
  <c r="AJ138" i="56"/>
  <c r="AF138" i="56"/>
  <c r="AB138" i="56"/>
  <c r="X138" i="56"/>
  <c r="T138" i="56"/>
  <c r="P138" i="56"/>
  <c r="L138" i="56"/>
  <c r="H138" i="56"/>
  <c r="D138" i="56"/>
  <c r="AP131" i="56"/>
  <c r="AL131" i="56"/>
  <c r="AH131" i="56"/>
  <c r="AD131" i="56"/>
  <c r="Z131" i="56"/>
  <c r="V131" i="56"/>
  <c r="R131" i="56"/>
  <c r="N131" i="56"/>
  <c r="J131" i="56"/>
  <c r="F131" i="56"/>
  <c r="B131" i="56"/>
  <c r="AR128" i="56"/>
  <c r="AN128" i="56"/>
  <c r="AJ128" i="56"/>
  <c r="AF128" i="56"/>
  <c r="AB128" i="56"/>
  <c r="X128" i="56"/>
  <c r="T128" i="56"/>
  <c r="P128" i="56"/>
  <c r="L128" i="56"/>
  <c r="H128" i="56"/>
  <c r="D128" i="56"/>
  <c r="AP121" i="56"/>
  <c r="AL121" i="56"/>
  <c r="AH121" i="56"/>
  <c r="AD121" i="56"/>
  <c r="Z121" i="56"/>
  <c r="V121" i="56"/>
  <c r="R121" i="56"/>
  <c r="N121" i="56"/>
  <c r="J121" i="56"/>
  <c r="F121" i="56"/>
  <c r="B121" i="56"/>
  <c r="AR118" i="56"/>
  <c r="AN118" i="56"/>
  <c r="AJ118" i="56"/>
  <c r="AF118" i="56"/>
  <c r="AB118" i="56"/>
  <c r="X118" i="56"/>
  <c r="T118" i="56"/>
  <c r="P118" i="56"/>
  <c r="L118" i="56"/>
  <c r="H118" i="56"/>
  <c r="D118" i="56"/>
  <c r="AP111" i="56"/>
  <c r="AL111" i="56"/>
  <c r="AH111" i="56"/>
  <c r="AD111" i="56"/>
  <c r="Z111" i="56"/>
  <c r="V111" i="56"/>
  <c r="R111" i="56"/>
  <c r="N111" i="56"/>
  <c r="J111" i="56"/>
  <c r="F111" i="56"/>
  <c r="B111" i="56"/>
  <c r="AR108" i="56"/>
  <c r="AN108" i="56"/>
  <c r="AJ108" i="56"/>
  <c r="AF108" i="56"/>
  <c r="AB108" i="56"/>
  <c r="X108" i="56"/>
  <c r="T108" i="56"/>
  <c r="P108" i="56"/>
  <c r="L108" i="56"/>
  <c r="H108" i="56"/>
  <c r="D108" i="56"/>
  <c r="AP101" i="56"/>
  <c r="AL101" i="56"/>
  <c r="AH101" i="56"/>
  <c r="AD101" i="56"/>
  <c r="Z101" i="56"/>
  <c r="V101" i="56"/>
  <c r="R101" i="56"/>
  <c r="N101" i="56"/>
  <c r="J101" i="56"/>
  <c r="F101" i="56"/>
  <c r="B101" i="56"/>
  <c r="AR98" i="56"/>
  <c r="AN98" i="56"/>
  <c r="AJ98" i="56"/>
  <c r="AF98" i="56"/>
  <c r="AB98" i="56"/>
  <c r="X98" i="56"/>
  <c r="T98" i="56"/>
  <c r="P98" i="56"/>
  <c r="L98" i="56"/>
  <c r="H98" i="56"/>
  <c r="D98" i="56"/>
  <c r="AP91" i="56"/>
  <c r="AL91" i="56"/>
  <c r="AH91" i="56"/>
  <c r="AD91" i="56"/>
  <c r="Z91" i="56"/>
  <c r="V91" i="56"/>
  <c r="R91" i="56"/>
  <c r="N91" i="56"/>
  <c r="J91" i="56"/>
  <c r="F91" i="56"/>
  <c r="B91" i="56"/>
  <c r="AR88" i="56"/>
  <c r="AN88" i="56"/>
  <c r="AJ88" i="56"/>
  <c r="AF88" i="56"/>
  <c r="AB88" i="56"/>
  <c r="X88" i="56"/>
  <c r="T88" i="56"/>
  <c r="P88" i="56"/>
  <c r="L88" i="56"/>
  <c r="H88" i="56"/>
  <c r="D88" i="56"/>
  <c r="AP81" i="56"/>
  <c r="AL81" i="56"/>
  <c r="AH81" i="56"/>
  <c r="AD81" i="56"/>
  <c r="Z81" i="56"/>
  <c r="V81" i="56"/>
  <c r="R81" i="56"/>
  <c r="N81" i="56"/>
  <c r="J81" i="56"/>
  <c r="F81" i="56"/>
  <c r="B81" i="56"/>
  <c r="AR78" i="56"/>
  <c r="AN78" i="56"/>
  <c r="AJ78" i="56"/>
  <c r="AF78" i="56"/>
  <c r="AB78" i="56"/>
  <c r="X78" i="56"/>
  <c r="T78" i="56"/>
  <c r="P78" i="56"/>
  <c r="L78" i="56"/>
  <c r="H78" i="56"/>
  <c r="D78" i="56"/>
  <c r="AP65" i="56"/>
  <c r="AR68" i="56" s="1"/>
  <c r="AL65" i="56"/>
  <c r="AN68" i="56" s="1"/>
  <c r="AH65" i="56"/>
  <c r="AJ68" i="56" s="1"/>
  <c r="AD65" i="56"/>
  <c r="AD71" i="56" s="1"/>
  <c r="Z65" i="56"/>
  <c r="Z71" i="56" s="1"/>
  <c r="V65" i="56"/>
  <c r="V71" i="56" s="1"/>
  <c r="R65" i="56"/>
  <c r="T68" i="56" s="1"/>
  <c r="N65" i="56"/>
  <c r="P68" i="56" s="1"/>
  <c r="J65" i="56"/>
  <c r="L68" i="56" s="1"/>
  <c r="F65" i="56"/>
  <c r="H68" i="56" s="1"/>
  <c r="B65" i="56"/>
  <c r="D68" i="56" s="1"/>
  <c r="AP61" i="56"/>
  <c r="AL61" i="56"/>
  <c r="AH61" i="56"/>
  <c r="AD61" i="56"/>
  <c r="Z61" i="56"/>
  <c r="V61" i="56"/>
  <c r="R61" i="56"/>
  <c r="N61" i="56"/>
  <c r="J61" i="56"/>
  <c r="F61" i="56"/>
  <c r="B61" i="56"/>
  <c r="AR58" i="56"/>
  <c r="AN58" i="56"/>
  <c r="AJ58" i="56"/>
  <c r="AF58" i="56"/>
  <c r="AB58" i="56"/>
  <c r="X58" i="56"/>
  <c r="T58" i="56"/>
  <c r="P58" i="56"/>
  <c r="L58" i="56"/>
  <c r="H58" i="56"/>
  <c r="D58" i="56"/>
  <c r="AP51" i="56"/>
  <c r="AL51" i="56"/>
  <c r="AH51" i="56"/>
  <c r="AD51" i="56"/>
  <c r="Z51" i="56"/>
  <c r="V51" i="56"/>
  <c r="R51" i="56"/>
  <c r="N51" i="56"/>
  <c r="J51" i="56"/>
  <c r="F51" i="56"/>
  <c r="B51" i="56"/>
  <c r="AR48" i="56"/>
  <c r="AN48" i="56"/>
  <c r="AJ48" i="56"/>
  <c r="AF48" i="56"/>
  <c r="AB48" i="56"/>
  <c r="X48" i="56"/>
  <c r="T48" i="56"/>
  <c r="P48" i="56"/>
  <c r="L48" i="56"/>
  <c r="H48" i="56"/>
  <c r="D48" i="56"/>
  <c r="AP41" i="56"/>
  <c r="AL41" i="56"/>
  <c r="AH41" i="56"/>
  <c r="AD41" i="56"/>
  <c r="Z41" i="56"/>
  <c r="V41" i="56"/>
  <c r="R41" i="56"/>
  <c r="N41" i="56"/>
  <c r="J41" i="56"/>
  <c r="F41" i="56"/>
  <c r="B41" i="56"/>
  <c r="AR38" i="56"/>
  <c r="AN38" i="56"/>
  <c r="AJ38" i="56"/>
  <c r="AF38" i="56"/>
  <c r="AB38" i="56"/>
  <c r="X38" i="56"/>
  <c r="T38" i="56"/>
  <c r="P38" i="56"/>
  <c r="L38" i="56"/>
  <c r="H38" i="56"/>
  <c r="D38" i="56"/>
  <c r="AP31" i="56"/>
  <c r="AL31" i="56"/>
  <c r="AH31" i="56"/>
  <c r="AD31" i="56"/>
  <c r="Z31" i="56"/>
  <c r="V31" i="56"/>
  <c r="R31" i="56"/>
  <c r="N31" i="56"/>
  <c r="J31" i="56"/>
  <c r="F31" i="56"/>
  <c r="B31" i="56"/>
  <c r="AR28" i="56"/>
  <c r="AN28" i="56"/>
  <c r="AJ28" i="56"/>
  <c r="AF28" i="56"/>
  <c r="AB28" i="56"/>
  <c r="X28" i="56"/>
  <c r="T28" i="56"/>
  <c r="P28" i="56"/>
  <c r="L28" i="56"/>
  <c r="H28" i="56"/>
  <c r="D28" i="56"/>
  <c r="AY24" i="56"/>
  <c r="AG14" i="56"/>
  <c r="AO3" i="56"/>
  <c r="L10" i="54"/>
  <c r="L9" i="54"/>
  <c r="J4" i="54"/>
  <c r="K4" i="54" s="1"/>
  <c r="F4" i="54"/>
  <c r="J3" i="54"/>
  <c r="K3" i="54" s="1"/>
  <c r="F3" i="54"/>
  <c r="AL151" i="56" l="1"/>
  <c r="AR168" i="56"/>
  <c r="AJ218" i="56"/>
  <c r="T198" i="56"/>
  <c r="Z181" i="56"/>
  <c r="R221" i="56"/>
  <c r="D288" i="56"/>
  <c r="AJ188" i="56"/>
  <c r="P158" i="56"/>
  <c r="AH281" i="56"/>
  <c r="F151" i="56"/>
  <c r="AR178" i="56"/>
  <c r="AF258" i="56"/>
  <c r="D218" i="56"/>
  <c r="R71" i="56"/>
  <c r="Z151" i="56"/>
  <c r="AR158" i="56"/>
  <c r="AF218" i="56"/>
  <c r="R191" i="56"/>
  <c r="AH161" i="56"/>
  <c r="H208" i="56"/>
  <c r="J261" i="56"/>
  <c r="R261" i="56"/>
  <c r="AN248" i="56"/>
  <c r="AB68" i="56"/>
  <c r="L158" i="56"/>
  <c r="J231" i="56"/>
  <c r="R251" i="56"/>
  <c r="T168" i="56"/>
  <c r="D178" i="56"/>
  <c r="AR208" i="56"/>
  <c r="D248" i="56"/>
  <c r="AD151" i="56"/>
  <c r="J71" i="56"/>
  <c r="AJ168" i="56"/>
  <c r="L178" i="56"/>
  <c r="D188" i="56"/>
  <c r="J201" i="56"/>
  <c r="Z211" i="56"/>
  <c r="P238" i="56"/>
  <c r="H248" i="56"/>
  <c r="J271" i="56"/>
  <c r="AP281" i="56"/>
  <c r="R291" i="56"/>
  <c r="B151" i="56"/>
  <c r="Z161" i="56"/>
  <c r="AJ178" i="56"/>
  <c r="J241" i="56"/>
  <c r="L248" i="56"/>
  <c r="AB258" i="56"/>
  <c r="AP271" i="56"/>
  <c r="B171" i="56"/>
  <c r="Z241" i="56"/>
  <c r="AJ248" i="56"/>
  <c r="AP241" i="56"/>
  <c r="R231" i="56"/>
  <c r="AH151" i="56"/>
  <c r="T158" i="56"/>
  <c r="L208" i="56"/>
  <c r="Z251" i="56"/>
  <c r="L278" i="56"/>
  <c r="X68" i="56"/>
  <c r="L168" i="56"/>
  <c r="AN208" i="56"/>
  <c r="AJ288" i="56"/>
  <c r="X228" i="56"/>
  <c r="B241" i="56"/>
  <c r="B271" i="56"/>
  <c r="AV98" i="56"/>
  <c r="AB198" i="56"/>
  <c r="AH71" i="56"/>
  <c r="AV88" i="56"/>
  <c r="P148" i="56"/>
  <c r="AP191" i="56"/>
  <c r="AR198" i="56"/>
  <c r="B211" i="56"/>
  <c r="L218" i="56"/>
  <c r="AP221" i="56"/>
  <c r="AJ228" i="56"/>
  <c r="AJ258" i="56"/>
  <c r="R271" i="56"/>
  <c r="T278" i="56"/>
  <c r="AN288" i="56"/>
  <c r="L148" i="56"/>
  <c r="Z221" i="56"/>
  <c r="AB228" i="56"/>
  <c r="P278" i="56"/>
  <c r="AV58" i="56"/>
  <c r="AP71" i="56"/>
  <c r="AV138" i="56"/>
  <c r="AN168" i="56"/>
  <c r="R181" i="56"/>
  <c r="X188" i="56"/>
  <c r="B201" i="56"/>
  <c r="R211" i="56"/>
  <c r="B231" i="56"/>
  <c r="AH241" i="56"/>
  <c r="AR258" i="56"/>
  <c r="AH271" i="56"/>
  <c r="AB278" i="56"/>
  <c r="AR288" i="56"/>
  <c r="AV78" i="56"/>
  <c r="AB188" i="56"/>
  <c r="AH211" i="56"/>
  <c r="T238" i="56"/>
  <c r="AV108" i="56"/>
  <c r="AH201" i="56"/>
  <c r="AR248" i="56"/>
  <c r="D258" i="56"/>
  <c r="AB268" i="56"/>
  <c r="H288" i="56"/>
  <c r="Z291" i="56"/>
  <c r="L298" i="56"/>
  <c r="AV28" i="56"/>
  <c r="AV128" i="56"/>
  <c r="AV48" i="56"/>
  <c r="AV118" i="56"/>
  <c r="X268" i="56"/>
  <c r="B281" i="56"/>
  <c r="AV38" i="56"/>
  <c r="B71" i="56"/>
  <c r="H168" i="56"/>
  <c r="Z171" i="56"/>
  <c r="AF178" i="56"/>
  <c r="J191" i="56"/>
  <c r="P198" i="56"/>
  <c r="AP231" i="56"/>
  <c r="L288" i="56"/>
  <c r="P298" i="56"/>
  <c r="F71" i="56"/>
  <c r="AL71" i="56"/>
  <c r="AD161" i="56"/>
  <c r="V171" i="56"/>
  <c r="N181" i="56"/>
  <c r="F191" i="56"/>
  <c r="AL191" i="56"/>
  <c r="AD201" i="56"/>
  <c r="V211" i="56"/>
  <c r="N221" i="56"/>
  <c r="F231" i="56"/>
  <c r="AL231" i="56"/>
  <c r="AD241" i="56"/>
  <c r="V251" i="56"/>
  <c r="N261" i="56"/>
  <c r="F271" i="56"/>
  <c r="AL271" i="56"/>
  <c r="AD281" i="56"/>
  <c r="V291" i="56"/>
  <c r="T298" i="56"/>
  <c r="AF68" i="56"/>
  <c r="N71" i="56"/>
  <c r="X148" i="56"/>
  <c r="X158" i="56"/>
  <c r="AL161" i="56"/>
  <c r="P168" i="56"/>
  <c r="AD171" i="56"/>
  <c r="H178" i="56"/>
  <c r="AN178" i="56"/>
  <c r="V181" i="56"/>
  <c r="AF188" i="56"/>
  <c r="N191" i="56"/>
  <c r="X198" i="56"/>
  <c r="F201" i="56"/>
  <c r="AL201" i="56"/>
  <c r="P208" i="56"/>
  <c r="AD211" i="56"/>
  <c r="H218" i="56"/>
  <c r="AN218" i="56"/>
  <c r="V221" i="56"/>
  <c r="AF228" i="56"/>
  <c r="N231" i="56"/>
  <c r="X238" i="56"/>
  <c r="F241" i="56"/>
  <c r="AL241" i="56"/>
  <c r="P248" i="56"/>
  <c r="AD251" i="56"/>
  <c r="H258" i="56"/>
  <c r="AN258" i="56"/>
  <c r="V261" i="56"/>
  <c r="AF268" i="56"/>
  <c r="N271" i="56"/>
  <c r="X278" i="56"/>
  <c r="F281" i="56"/>
  <c r="AL281" i="56"/>
  <c r="P288" i="56"/>
  <c r="AD291" i="56"/>
  <c r="B301" i="56"/>
  <c r="F301" i="56"/>
  <c r="T148" i="56"/>
  <c r="AV188" i="56" l="1"/>
  <c r="AV208" i="56"/>
  <c r="AV158" i="56"/>
  <c r="AV268" i="56"/>
  <c r="AV198" i="56"/>
  <c r="AV248" i="56"/>
  <c r="AV68" i="56"/>
  <c r="AV24" i="56" s="1"/>
  <c r="AV168" i="56"/>
  <c r="AV228" i="56"/>
  <c r="AV238" i="56"/>
  <c r="AV278" i="56"/>
  <c r="AV258" i="56"/>
  <c r="AV288" i="56"/>
  <c r="AV218" i="56"/>
  <c r="AV148" i="56"/>
  <c r="AV178" i="56"/>
  <c r="AV298" i="56"/>
  <c r="K22" i="44" l="1"/>
  <c r="I68" i="44" l="1"/>
  <c r="I71" i="44"/>
  <c r="A5" i="50"/>
  <c r="A6" i="50" s="1"/>
  <c r="A7" i="50" s="1"/>
  <c r="A8" i="50" s="1"/>
  <c r="A9" i="50" s="1"/>
  <c r="A10" i="50" s="1"/>
  <c r="A11" i="50" s="1"/>
  <c r="A12" i="50" s="1"/>
  <c r="A13" i="50" s="1"/>
  <c r="A14" i="50" s="1"/>
  <c r="A15" i="50" s="1"/>
  <c r="K11" i="44"/>
  <c r="I62" i="44"/>
  <c r="F10" i="44"/>
  <c r="J10" i="44"/>
  <c r="K10" i="44" s="1"/>
  <c r="F11" i="44"/>
  <c r="L16" i="44"/>
  <c r="L17" i="44"/>
  <c r="J21" i="44"/>
  <c r="K21" i="44"/>
  <c r="L21" i="44" s="1"/>
  <c r="J22" i="44"/>
  <c r="L22" i="44"/>
  <c r="L23" i="44"/>
  <c r="L24" i="44"/>
  <c r="H58" i="44"/>
  <c r="I58" i="44"/>
  <c r="H59" i="44"/>
  <c r="I59" i="44"/>
  <c r="H60" i="44"/>
  <c r="I60" i="44"/>
  <c r="H61" i="44"/>
  <c r="H63" i="44"/>
  <c r="I63" i="44"/>
  <c r="A64" i="44"/>
  <c r="A65" i="44" s="1"/>
  <c r="A66" i="44" s="1"/>
  <c r="A67" i="44" s="1"/>
  <c r="A68" i="44" s="1"/>
  <c r="A69" i="44" s="1"/>
  <c r="A70" i="44" s="1"/>
  <c r="A71" i="44" s="1"/>
  <c r="A72" i="44" s="1"/>
  <c r="A73" i="44" s="1"/>
  <c r="A74" i="44" s="1"/>
  <c r="A75" i="44" s="1"/>
  <c r="A76" i="44" s="1"/>
  <c r="A77" i="44" s="1"/>
  <c r="H64" i="44"/>
  <c r="I64" i="44"/>
  <c r="H65" i="44"/>
  <c r="I65" i="44"/>
  <c r="F66" i="44"/>
  <c r="I66" i="44"/>
  <c r="F67" i="44"/>
  <c r="I67" i="44"/>
  <c r="F68" i="44"/>
  <c r="F69" i="44"/>
  <c r="H69" i="44" s="1"/>
  <c r="I69" i="44"/>
  <c r="F70" i="44"/>
  <c r="I70" i="44"/>
  <c r="I72" i="44"/>
  <c r="F73" i="44"/>
  <c r="I73" i="44"/>
  <c r="F74" i="44"/>
  <c r="I74" i="44"/>
  <c r="I75" i="44"/>
  <c r="I76" i="44"/>
  <c r="F77" i="44"/>
  <c r="I77" i="44"/>
  <c r="J44" i="45"/>
  <c r="I44" i="45"/>
  <c r="H44" i="45"/>
  <c r="E44" i="45"/>
  <c r="D44" i="45"/>
  <c r="A6" i="45"/>
  <c r="A7" i="45"/>
  <c r="A8" i="45" s="1"/>
  <c r="A9" i="45" s="1"/>
  <c r="A10" i="45" s="1"/>
  <c r="A11" i="45" s="1"/>
  <c r="A12" i="45" s="1"/>
  <c r="A13" i="45" s="1"/>
  <c r="A14" i="45" s="1"/>
  <c r="A15" i="45" s="1"/>
  <c r="A16" i="45" s="1"/>
  <c r="A17" i="45" s="1"/>
  <c r="A18" i="45" s="1"/>
  <c r="A19" i="45" s="1"/>
  <c r="A20" i="45" s="1"/>
  <c r="A21" i="45" s="1"/>
  <c r="A22" i="45" s="1"/>
  <c r="A23" i="45" s="1"/>
  <c r="Q34" i="48"/>
  <c r="P34" i="48"/>
  <c r="O34" i="48"/>
  <c r="N34" i="48"/>
  <c r="M34" i="48"/>
  <c r="L34" i="48"/>
  <c r="K34" i="48"/>
  <c r="J34" i="48"/>
  <c r="I34" i="48"/>
  <c r="H34" i="48"/>
  <c r="G34" i="48"/>
  <c r="F34" i="48"/>
  <c r="Q33" i="48"/>
  <c r="P33" i="48"/>
  <c r="O33" i="48"/>
  <c r="N33" i="48"/>
  <c r="M33" i="48"/>
  <c r="L33" i="48"/>
  <c r="K33" i="48"/>
  <c r="J33" i="48"/>
  <c r="I33" i="48"/>
  <c r="H33" i="48"/>
  <c r="G33" i="48"/>
  <c r="F33" i="48"/>
  <c r="Q32" i="48"/>
  <c r="P32" i="48"/>
  <c r="O32" i="48"/>
  <c r="N32" i="48"/>
  <c r="M32" i="48"/>
  <c r="L32" i="48"/>
  <c r="K32" i="48"/>
  <c r="J32" i="48"/>
  <c r="I32" i="48"/>
  <c r="H32" i="48"/>
  <c r="G32" i="48"/>
  <c r="F32" i="48"/>
  <c r="Q31" i="48"/>
  <c r="P31" i="48"/>
  <c r="O31" i="48"/>
  <c r="N31" i="48"/>
  <c r="M31" i="48"/>
  <c r="L31" i="48"/>
  <c r="K31" i="48"/>
  <c r="J31" i="48"/>
  <c r="I31" i="48"/>
  <c r="H31" i="48"/>
  <c r="G31" i="48"/>
  <c r="F31" i="48"/>
  <c r="Q30" i="48"/>
  <c r="P30" i="48"/>
  <c r="O30" i="48"/>
  <c r="N30" i="48"/>
  <c r="M30" i="48"/>
  <c r="L30" i="48"/>
  <c r="K30" i="48"/>
  <c r="J30" i="48"/>
  <c r="I30" i="48"/>
  <c r="H30" i="48"/>
  <c r="G30" i="48"/>
  <c r="F30" i="48"/>
  <c r="Q29" i="48"/>
  <c r="P29" i="48"/>
  <c r="O29" i="48"/>
  <c r="N29" i="48"/>
  <c r="M29" i="48"/>
  <c r="L29" i="48"/>
  <c r="K29" i="48"/>
  <c r="J29" i="48"/>
  <c r="I29" i="48"/>
  <c r="H29" i="48"/>
  <c r="G29" i="48"/>
  <c r="F29" i="48"/>
  <c r="Q28" i="48"/>
  <c r="P28" i="48"/>
  <c r="O28" i="48"/>
  <c r="N28" i="48"/>
  <c r="N35" i="48" s="1"/>
  <c r="M28" i="48"/>
  <c r="M35" i="48" s="1"/>
  <c r="L28" i="48"/>
  <c r="K28" i="48"/>
  <c r="J28" i="48"/>
  <c r="J35" i="48" s="1"/>
  <c r="I28" i="48"/>
  <c r="I35" i="48" s="1"/>
  <c r="H28" i="48"/>
  <c r="H35" i="48" s="1"/>
  <c r="G28" i="48"/>
  <c r="F28" i="48"/>
  <c r="D263" i="48"/>
  <c r="A236" i="48"/>
  <c r="A238" i="48"/>
  <c r="A240" i="48"/>
  <c r="A242" i="48" s="1"/>
  <c r="A244" i="48" s="1"/>
  <c r="A246" i="48" s="1"/>
  <c r="A248" i="48" s="1"/>
  <c r="A250" i="48" s="1"/>
  <c r="A252" i="48" s="1"/>
  <c r="A254" i="48" s="1"/>
  <c r="A256" i="48" s="1"/>
  <c r="A258" i="48" s="1"/>
  <c r="A260" i="48" s="1"/>
  <c r="A262" i="48" s="1"/>
  <c r="A174" i="48"/>
  <c r="A176" i="48" s="1"/>
  <c r="A178" i="48" s="1"/>
  <c r="A180" i="48" s="1"/>
  <c r="A182" i="48" s="1"/>
  <c r="A184" i="48" s="1"/>
  <c r="A186" i="48" s="1"/>
  <c r="A188" i="48" s="1"/>
  <c r="A190" i="48" s="1"/>
  <c r="A192" i="48" s="1"/>
  <c r="A194" i="48" s="1"/>
  <c r="A196" i="48" s="1"/>
  <c r="A198" i="48" s="1"/>
  <c r="A200" i="48" s="1"/>
  <c r="A202" i="48" s="1"/>
  <c r="A204" i="48" s="1"/>
  <c r="A206" i="48" s="1"/>
  <c r="A208" i="48" s="1"/>
  <c r="A210" i="48" s="1"/>
  <c r="A212" i="48" s="1"/>
  <c r="A214" i="48" s="1"/>
  <c r="A216" i="48" s="1"/>
  <c r="A218" i="48" s="1"/>
  <c r="A220" i="48" s="1"/>
  <c r="A222" i="48" s="1"/>
  <c r="A224" i="48" s="1"/>
  <c r="A226" i="48" s="1"/>
  <c r="A228" i="48" s="1"/>
  <c r="A230" i="48" s="1"/>
  <c r="A232" i="48" s="1"/>
  <c r="Q18" i="48"/>
  <c r="P18" i="48"/>
  <c r="O18" i="48"/>
  <c r="N18" i="48"/>
  <c r="M18" i="48"/>
  <c r="L18" i="48"/>
  <c r="K18" i="48"/>
  <c r="J18" i="48"/>
  <c r="I18" i="48"/>
  <c r="H18" i="48"/>
  <c r="G18" i="48"/>
  <c r="F18" i="48"/>
  <c r="Q17" i="48"/>
  <c r="P17" i="48"/>
  <c r="O17" i="48"/>
  <c r="N17" i="48"/>
  <c r="M17" i="48"/>
  <c r="L17" i="48"/>
  <c r="K17" i="48"/>
  <c r="J17" i="48"/>
  <c r="I17" i="48"/>
  <c r="H17" i="48"/>
  <c r="G17" i="48"/>
  <c r="F17" i="48"/>
  <c r="Q16" i="48"/>
  <c r="P16" i="48"/>
  <c r="O16" i="48"/>
  <c r="N16" i="48"/>
  <c r="M16" i="48"/>
  <c r="L16" i="48"/>
  <c r="K16" i="48"/>
  <c r="J16" i="48"/>
  <c r="I16" i="48"/>
  <c r="H16" i="48"/>
  <c r="G16" i="48"/>
  <c r="F16" i="48"/>
  <c r="U15" i="48"/>
  <c r="U17" i="48"/>
  <c r="U19" i="48" s="1"/>
  <c r="U21" i="48" s="1"/>
  <c r="U23" i="48" s="1"/>
  <c r="U25" i="48" s="1"/>
  <c r="U27" i="48" s="1"/>
  <c r="U29" i="48" s="1"/>
  <c r="U31" i="48" s="1"/>
  <c r="Q15" i="48"/>
  <c r="P15" i="48"/>
  <c r="O15" i="48"/>
  <c r="N15" i="48"/>
  <c r="M15" i="48"/>
  <c r="L15" i="48"/>
  <c r="K15" i="48"/>
  <c r="J15" i="48"/>
  <c r="I15" i="48"/>
  <c r="H15" i="48"/>
  <c r="G15" i="48"/>
  <c r="F15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Q13" i="48"/>
  <c r="P13" i="48"/>
  <c r="O13" i="48"/>
  <c r="N13" i="48"/>
  <c r="M13" i="48"/>
  <c r="L13" i="48"/>
  <c r="K13" i="48"/>
  <c r="J13" i="48"/>
  <c r="I13" i="48"/>
  <c r="H13" i="48"/>
  <c r="G13" i="48"/>
  <c r="F13" i="48"/>
  <c r="Q12" i="48"/>
  <c r="P12" i="48"/>
  <c r="O12" i="48"/>
  <c r="N12" i="48"/>
  <c r="N19" i="48" s="1"/>
  <c r="M12" i="48"/>
  <c r="M19" i="48" s="1"/>
  <c r="L12" i="48"/>
  <c r="K12" i="48"/>
  <c r="J12" i="48"/>
  <c r="I12" i="48"/>
  <c r="I19" i="48" s="1"/>
  <c r="H12" i="48"/>
  <c r="H19" i="48" s="1"/>
  <c r="G12" i="48"/>
  <c r="F12" i="48"/>
  <c r="Q19" i="48"/>
  <c r="S32" i="48"/>
  <c r="L35" i="48"/>
  <c r="Q35" i="48"/>
  <c r="P35" i="48"/>
  <c r="O35" i="48"/>
  <c r="G35" i="48"/>
  <c r="K35" i="48"/>
  <c r="D263" i="12"/>
  <c r="S34" i="12"/>
  <c r="S33" i="12"/>
  <c r="S32" i="12"/>
  <c r="S31" i="12"/>
  <c r="S30" i="12"/>
  <c r="O35" i="12"/>
  <c r="K35" i="12"/>
  <c r="G35" i="12"/>
  <c r="S29" i="12"/>
  <c r="Q35" i="12"/>
  <c r="P35" i="12"/>
  <c r="N35" i="12"/>
  <c r="M35" i="12"/>
  <c r="L35" i="12"/>
  <c r="J35" i="12"/>
  <c r="I35" i="12"/>
  <c r="H35" i="12"/>
  <c r="F35" i="12"/>
  <c r="U15" i="12"/>
  <c r="U17" i="12" s="1"/>
  <c r="U19" i="12" s="1"/>
  <c r="U21" i="12" s="1"/>
  <c r="U23" i="12" s="1"/>
  <c r="U25" i="12" s="1"/>
  <c r="U27" i="12" s="1"/>
  <c r="U29" i="12" s="1"/>
  <c r="U31" i="12" s="1"/>
  <c r="S28" i="12"/>
  <c r="P18" i="12"/>
  <c r="P17" i="12"/>
  <c r="O17" i="12"/>
  <c r="N18" i="12"/>
  <c r="N17" i="12"/>
  <c r="M18" i="12"/>
  <c r="M17" i="12"/>
  <c r="M19" i="12" s="1"/>
  <c r="L18" i="12"/>
  <c r="L17" i="12"/>
  <c r="J18" i="12"/>
  <c r="J17" i="12"/>
  <c r="I18" i="12"/>
  <c r="I17" i="12"/>
  <c r="H18" i="12"/>
  <c r="S18" i="12" s="1"/>
  <c r="H17" i="12"/>
  <c r="G18" i="12"/>
  <c r="G17" i="12"/>
  <c r="F18" i="12"/>
  <c r="F17" i="12"/>
  <c r="Q18" i="12"/>
  <c r="P16" i="12"/>
  <c r="O16" i="12"/>
  <c r="N16" i="12"/>
  <c r="L16" i="12"/>
  <c r="J16" i="12"/>
  <c r="I16" i="12"/>
  <c r="H16" i="12"/>
  <c r="G16" i="12"/>
  <c r="F16" i="12"/>
  <c r="N15" i="12"/>
  <c r="L15" i="12"/>
  <c r="J15" i="12"/>
  <c r="I15" i="12"/>
  <c r="G15" i="12"/>
  <c r="F15" i="12"/>
  <c r="N14" i="12"/>
  <c r="L14" i="12"/>
  <c r="J14" i="12"/>
  <c r="I14" i="12"/>
  <c r="H14" i="12"/>
  <c r="G14" i="12"/>
  <c r="F14" i="12"/>
  <c r="N13" i="12"/>
  <c r="L13" i="12"/>
  <c r="J13" i="12"/>
  <c r="I13" i="12"/>
  <c r="G13" i="12"/>
  <c r="F13" i="12"/>
  <c r="Q16" i="12"/>
  <c r="Q15" i="12"/>
  <c r="Q14" i="12"/>
  <c r="Q13" i="12"/>
  <c r="Q12" i="12"/>
  <c r="F12" i="12"/>
  <c r="K19" i="12"/>
  <c r="A236" i="12"/>
  <c r="A238" i="12"/>
  <c r="A240" i="12"/>
  <c r="A242" i="12" s="1"/>
  <c r="A244" i="12" s="1"/>
  <c r="A246" i="12" s="1"/>
  <c r="A248" i="12" s="1"/>
  <c r="A250" i="12" s="1"/>
  <c r="A252" i="12" s="1"/>
  <c r="A254" i="12" s="1"/>
  <c r="A256" i="12" s="1"/>
  <c r="A258" i="12" s="1"/>
  <c r="A260" i="12" s="1"/>
  <c r="A262" i="12" s="1"/>
  <c r="A174" i="12"/>
  <c r="A176" i="12"/>
  <c r="A178" i="12" s="1"/>
  <c r="A180" i="12" s="1"/>
  <c r="A182" i="12" s="1"/>
  <c r="A184" i="12" s="1"/>
  <c r="A186" i="12" s="1"/>
  <c r="A188" i="12" s="1"/>
  <c r="A190" i="12" s="1"/>
  <c r="A192" i="12" s="1"/>
  <c r="A194" i="12" s="1"/>
  <c r="A196" i="12" s="1"/>
  <c r="A198" i="12" s="1"/>
  <c r="A200" i="12" s="1"/>
  <c r="A202" i="12" s="1"/>
  <c r="A204" i="12" s="1"/>
  <c r="A206" i="12" s="1"/>
  <c r="A208" i="12" s="1"/>
  <c r="A210" i="12" s="1"/>
  <c r="A212" i="12" s="1"/>
  <c r="A214" i="12" s="1"/>
  <c r="A216" i="12" s="1"/>
  <c r="A218" i="12" s="1"/>
  <c r="A220" i="12" s="1"/>
  <c r="A222" i="12" s="1"/>
  <c r="A224" i="12" s="1"/>
  <c r="A226" i="12" s="1"/>
  <c r="A228" i="12" s="1"/>
  <c r="A230" i="12" s="1"/>
  <c r="A232" i="12" s="1"/>
  <c r="S12" i="12"/>
  <c r="P19" i="12" l="1"/>
  <c r="P19" i="48"/>
  <c r="S35" i="12"/>
  <c r="N19" i="12"/>
  <c r="S13" i="48"/>
  <c r="T13" i="48" s="1"/>
  <c r="F44" i="45"/>
  <c r="L19" i="48"/>
  <c r="G44" i="45"/>
  <c r="S16" i="48"/>
  <c r="T16" i="48" s="1"/>
  <c r="S28" i="48"/>
  <c r="S35" i="48" s="1"/>
  <c r="S29" i="48"/>
  <c r="S30" i="48"/>
  <c r="S31" i="48"/>
  <c r="S33" i="48"/>
  <c r="S34" i="48"/>
  <c r="A24" i="45"/>
  <c r="A25" i="45"/>
  <c r="A26" i="45" s="1"/>
  <c r="A28" i="45" s="1"/>
  <c r="A29" i="45" s="1"/>
  <c r="A30" i="45" s="1"/>
  <c r="A31" i="45" s="1"/>
  <c r="A32" i="45" s="1"/>
  <c r="A33" i="45" s="1"/>
  <c r="A34" i="45" s="1"/>
  <c r="A35" i="45" s="1"/>
  <c r="A36" i="45" s="1"/>
  <c r="A37" i="45" s="1"/>
  <c r="A38" i="45" s="1"/>
  <c r="A39" i="45" s="1"/>
  <c r="A40" i="45" s="1"/>
  <c r="A41" i="45" s="1"/>
  <c r="A42" i="45" s="1"/>
  <c r="A43" i="45" s="1"/>
  <c r="S17" i="12"/>
  <c r="O19" i="48"/>
  <c r="S18" i="48"/>
  <c r="F35" i="48"/>
  <c r="Q19" i="12"/>
  <c r="I19" i="12"/>
  <c r="H19" i="12"/>
  <c r="L19" i="12"/>
  <c r="S17" i="48"/>
  <c r="F19" i="48"/>
  <c r="F19" i="12"/>
  <c r="S14" i="12"/>
  <c r="S16" i="12"/>
  <c r="O19" i="12"/>
  <c r="G19" i="48"/>
  <c r="S14" i="48"/>
  <c r="T14" i="48" s="1"/>
  <c r="S15" i="48"/>
  <c r="J19" i="48"/>
  <c r="G19" i="12"/>
  <c r="S15" i="12"/>
  <c r="J19" i="12"/>
  <c r="K19" i="48"/>
  <c r="H77" i="44"/>
  <c r="H72" i="44"/>
  <c r="H67" i="44"/>
  <c r="H76" i="44"/>
  <c r="H71" i="44"/>
  <c r="H73" i="44"/>
  <c r="H68" i="44"/>
  <c r="H66" i="44"/>
  <c r="H75" i="44"/>
  <c r="H62" i="44"/>
  <c r="H70" i="44"/>
  <c r="H74" i="44"/>
  <c r="I61" i="44"/>
  <c r="S13" i="12"/>
  <c r="S19" i="12" s="1"/>
  <c r="S12" i="48"/>
  <c r="T18" i="48" l="1"/>
  <c r="T15" i="48"/>
  <c r="T17" i="48"/>
  <c r="S19" i="48"/>
  <c r="T12" i="48"/>
  <c r="AM10" i="56" l="1"/>
  <c r="AJ11" i="56"/>
  <c r="AP11" i="56" s="1"/>
  <c r="AJ10" i="56"/>
  <c r="AP10" i="56" s="1"/>
  <c r="AJ13" i="56"/>
  <c r="AP13" i="56" s="1"/>
  <c r="AP12" i="56" l="1"/>
  <c r="AJ15" i="56" l="1"/>
  <c r="AP15" i="56" s="1"/>
  <c r="AJ14" i="56" l="1"/>
  <c r="AP14" i="56" s="1"/>
</calcChain>
</file>

<file path=xl/sharedStrings.xml><?xml version="1.0" encoding="utf-8"?>
<sst xmlns="http://schemas.openxmlformats.org/spreadsheetml/2006/main" count="6964" uniqueCount="1117">
  <si>
    <t>+0</t>
  </si>
  <si>
    <t>+9</t>
  </si>
  <si>
    <t>40/1</t>
  </si>
  <si>
    <t>+6</t>
  </si>
  <si>
    <t>45/1</t>
  </si>
  <si>
    <t>45/2</t>
  </si>
  <si>
    <t>46/1</t>
  </si>
  <si>
    <t>+3</t>
  </si>
  <si>
    <t>48/1</t>
  </si>
  <si>
    <t>+18</t>
  </si>
  <si>
    <t>Tower</t>
  </si>
  <si>
    <t>Total</t>
  </si>
  <si>
    <t>Sl.No</t>
  </si>
  <si>
    <t>Loc. No.
(Provisional)</t>
  </si>
  <si>
    <t>Type of Tower</t>
  </si>
  <si>
    <t>Span 
(Mtr)</t>
  </si>
  <si>
    <t>34/1</t>
  </si>
  <si>
    <t>34/2</t>
  </si>
  <si>
    <t>34/3</t>
  </si>
  <si>
    <t>36/1</t>
  </si>
  <si>
    <t>37/1</t>
  </si>
  <si>
    <t>37/2</t>
  </si>
  <si>
    <t>AP38</t>
  </si>
  <si>
    <t>AP32</t>
  </si>
  <si>
    <t>AP33</t>
  </si>
  <si>
    <t>AP34</t>
  </si>
  <si>
    <t>AP35</t>
  </si>
  <si>
    <t>AP36</t>
  </si>
  <si>
    <t>AP37</t>
  </si>
  <si>
    <t>AP39</t>
  </si>
  <si>
    <t>AP40</t>
  </si>
  <si>
    <t>AP41</t>
  </si>
  <si>
    <t>AP42</t>
  </si>
  <si>
    <t>AP43</t>
  </si>
  <si>
    <t>AP44</t>
  </si>
  <si>
    <t>AP45</t>
  </si>
  <si>
    <t>AP46</t>
  </si>
  <si>
    <t>46/2</t>
  </si>
  <si>
    <t>AP47</t>
  </si>
  <si>
    <t>AP48</t>
  </si>
  <si>
    <t>48/2</t>
  </si>
  <si>
    <t>AP49</t>
  </si>
  <si>
    <t>AP50</t>
  </si>
  <si>
    <t>AP51</t>
  </si>
  <si>
    <t>AP52</t>
  </si>
  <si>
    <t>AP53</t>
  </si>
  <si>
    <t>AP54</t>
  </si>
  <si>
    <t>AP55</t>
  </si>
  <si>
    <t>AP56</t>
  </si>
  <si>
    <t>40/2</t>
  </si>
  <si>
    <t>40/3</t>
  </si>
  <si>
    <t>42/1</t>
  </si>
  <si>
    <t>42/2</t>
  </si>
  <si>
    <t>48/3</t>
  </si>
  <si>
    <t>AP57</t>
  </si>
  <si>
    <t>Completed</t>
  </si>
  <si>
    <t>TOTAL</t>
  </si>
  <si>
    <t>Tower Type</t>
  </si>
  <si>
    <t>1/0</t>
  </si>
  <si>
    <t>Location No.</t>
  </si>
  <si>
    <t>GANTRY</t>
  </si>
  <si>
    <t>Taluk</t>
  </si>
  <si>
    <t>Foundation</t>
  </si>
  <si>
    <t>Earthing</t>
  </si>
  <si>
    <t>Erection</t>
  </si>
  <si>
    <t>Stringing</t>
  </si>
  <si>
    <t>Tower Erection</t>
  </si>
  <si>
    <t>TW</t>
  </si>
  <si>
    <t>Nos</t>
  </si>
  <si>
    <t>LT</t>
  </si>
  <si>
    <t>Section</t>
  </si>
  <si>
    <t>Status</t>
  </si>
  <si>
    <t>KM</t>
  </si>
  <si>
    <t>Remarks</t>
  </si>
  <si>
    <t>33/1</t>
  </si>
  <si>
    <t>33/2</t>
  </si>
  <si>
    <t>33/3</t>
  </si>
  <si>
    <t>33/4</t>
  </si>
  <si>
    <t>33/5</t>
  </si>
  <si>
    <t>33/6</t>
  </si>
  <si>
    <t>33/7</t>
  </si>
  <si>
    <t>33/8</t>
  </si>
  <si>
    <t>33/9</t>
  </si>
  <si>
    <t>33/10</t>
  </si>
  <si>
    <t>33/11</t>
  </si>
  <si>
    <t>33/12</t>
  </si>
  <si>
    <t>34/4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</si>
  <si>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</si>
  <si>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</si>
  <si>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</si>
  <si>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</si>
  <si>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</si>
  <si>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</si>
  <si>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</si>
  <si>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</si>
  <si>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</si>
  <si>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</si>
  <si>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</si>
  <si>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37/3</t>
  </si>
  <si>
    <t>38/1</t>
  </si>
  <si>
    <t>40/4</t>
  </si>
  <si>
    <t>40/5</t>
  </si>
  <si>
    <t>41/1</t>
  </si>
  <si>
    <t>41/2</t>
  </si>
  <si>
    <t>41/3</t>
  </si>
  <si>
    <t>41/4</t>
  </si>
  <si>
    <t>41/5</t>
  </si>
  <si>
    <t>43/1</t>
  </si>
  <si>
    <t>43/2</t>
  </si>
  <si>
    <t>43/3</t>
  </si>
  <si>
    <t>44/1</t>
  </si>
  <si>
    <t>45/3</t>
  </si>
  <si>
    <t>46/3</t>
  </si>
  <si>
    <t>46/4</t>
  </si>
  <si>
    <t>46/5</t>
  </si>
  <si>
    <t>46/6</t>
  </si>
  <si>
    <t>46/7</t>
  </si>
  <si>
    <t>46/8</t>
  </si>
  <si>
    <t>46/9</t>
  </si>
  <si>
    <t>46/10</t>
  </si>
  <si>
    <t>46/11</t>
  </si>
  <si>
    <t>46/12</t>
  </si>
  <si>
    <t>46/13</t>
  </si>
  <si>
    <t>46/14</t>
  </si>
  <si>
    <t>46/15</t>
  </si>
  <si>
    <t>47/1</t>
  </si>
  <si>
    <t>48/4</t>
  </si>
  <si>
    <t>48/5</t>
  </si>
  <si>
    <t>52/1</t>
  </si>
  <si>
    <t>52/2</t>
  </si>
  <si>
    <t>54/1</t>
  </si>
  <si>
    <t>54/2</t>
  </si>
  <si>
    <t>54/3</t>
  </si>
  <si>
    <t>54/4</t>
  </si>
  <si>
    <t>55/1</t>
  </si>
  <si>
    <t>55/2</t>
  </si>
  <si>
    <t>55/3</t>
  </si>
  <si>
    <t>55/4</t>
  </si>
  <si>
    <t>55/5</t>
  </si>
  <si>
    <t>55/6</t>
  </si>
  <si>
    <t>56/1</t>
  </si>
  <si>
    <t>56/2</t>
  </si>
  <si>
    <t>56/3</t>
  </si>
  <si>
    <t>57/1</t>
  </si>
  <si>
    <t>57/2</t>
  </si>
  <si>
    <t>57/3</t>
  </si>
  <si>
    <t>57/4</t>
  </si>
  <si>
    <t>AP58</t>
  </si>
  <si>
    <t>58/1</t>
  </si>
  <si>
    <t>AP59</t>
  </si>
  <si>
    <t>AP60</t>
  </si>
  <si>
    <t>32/0-33/0</t>
  </si>
  <si>
    <t>+1.5</t>
  </si>
  <si>
    <t>+4.5</t>
  </si>
  <si>
    <t>-0</t>
  </si>
  <si>
    <t>-1.5</t>
  </si>
  <si>
    <t>-3</t>
  </si>
  <si>
    <t>-4.5</t>
  </si>
  <si>
    <t>-6</t>
  </si>
  <si>
    <t xml:space="preserve">Name of the Line :765kV D/C KOPPAL II(PS) - RAICHUR (Part-1) TRANSMISSION LINE </t>
  </si>
  <si>
    <t>Today's Progress</t>
  </si>
  <si>
    <t>Check Survey</t>
  </si>
  <si>
    <t>Classification</t>
  </si>
  <si>
    <t>MT</t>
  </si>
  <si>
    <t>Supply Status</t>
  </si>
  <si>
    <t>Activity</t>
  </si>
  <si>
    <t>Unit</t>
  </si>
  <si>
    <t>Final Est. Qty</t>
  </si>
  <si>
    <t>L2 till Last Month</t>
  </si>
  <si>
    <t>Received till Last Month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</si>
  <si>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</si>
  <si>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</si>
  <si>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</si>
  <si>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</si>
  <si>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</si>
  <si>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</si>
  <si>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No's</t>
  </si>
  <si>
    <t>Survey Status</t>
  </si>
  <si>
    <t>Completed till Last Month</t>
  </si>
  <si>
    <t>Approved till Last Month</t>
  </si>
  <si>
    <t>Balance to Submit</t>
  </si>
  <si>
    <t>Approved in current month</t>
  </si>
  <si>
    <t>Balance to Approve</t>
  </si>
  <si>
    <t>L2 Submission Plan for Current Month</t>
  </si>
  <si>
    <t>Survey Progress For current Month</t>
  </si>
  <si>
    <t>Survey Completed till Current Month</t>
  </si>
  <si>
    <t>Detailed Survey</t>
  </si>
  <si>
    <t>kms</t>
  </si>
  <si>
    <t>S.No</t>
  </si>
  <si>
    <t>Start Date</t>
  </si>
  <si>
    <t>Conc Volume</t>
  </si>
  <si>
    <t>End Date</t>
  </si>
  <si>
    <t>Gang Name</t>
  </si>
  <si>
    <t>Gang Strength</t>
  </si>
  <si>
    <t>Remark</t>
  </si>
  <si>
    <t>DA+0</t>
  </si>
  <si>
    <t xml:space="preserve"> COMPLETED</t>
  </si>
  <si>
    <t>SL No.</t>
  </si>
  <si>
    <t>Length</t>
  </si>
  <si>
    <t>OPGW Stringing</t>
  </si>
  <si>
    <t>Project Code</t>
  </si>
  <si>
    <t>Date</t>
  </si>
  <si>
    <t>SBU Head</t>
  </si>
  <si>
    <t>Mr. Rajinder Gupta</t>
  </si>
  <si>
    <t>Project Name</t>
  </si>
  <si>
    <t>PCH</t>
  </si>
  <si>
    <t>Client Name</t>
  </si>
  <si>
    <t>Power Grid Corporation of India Limited</t>
  </si>
  <si>
    <t>Regional Manager</t>
  </si>
  <si>
    <t>Project Manger</t>
  </si>
  <si>
    <t>Progress Status</t>
  </si>
  <si>
    <t>Final Estimated Quantity</t>
  </si>
  <si>
    <t>Cumulative L2 till Last Month</t>
  </si>
  <si>
    <t>Cumulative Progress till Last Month</t>
  </si>
  <si>
    <t>L2 for present Month</t>
  </si>
  <si>
    <t>Plan for the Month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</si>
  <si>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</si>
  <si>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</si>
  <si>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</si>
  <si>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</si>
  <si>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</si>
  <si>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</si>
  <si>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Sl. No.</t>
  </si>
  <si>
    <t>Stringing (Final Sag)</t>
  </si>
  <si>
    <t>DA+3</t>
  </si>
  <si>
    <t>DA-3</t>
  </si>
  <si>
    <t>DA+6</t>
  </si>
  <si>
    <t>DA+9</t>
  </si>
  <si>
    <t>1DB1+0</t>
  </si>
  <si>
    <t>1DA+0</t>
  </si>
  <si>
    <t>1DA+3</t>
  </si>
  <si>
    <t>1DA-3</t>
  </si>
  <si>
    <t>1DA+9</t>
  </si>
  <si>
    <t>1DB1+3</t>
  </si>
  <si>
    <t>1DB1+9</t>
  </si>
  <si>
    <t>1DC2+3</t>
  </si>
  <si>
    <t>1DC2+0</t>
  </si>
  <si>
    <t>1DB1+6</t>
  </si>
  <si>
    <t>1DB2+9</t>
  </si>
  <si>
    <t>1DA+6</t>
  </si>
  <si>
    <t>1DB2+3</t>
  </si>
  <si>
    <t>1DC1-3</t>
  </si>
  <si>
    <t>1DC1+3</t>
  </si>
  <si>
    <t>1DC1+0</t>
  </si>
  <si>
    <t>1DB1-3</t>
  </si>
  <si>
    <t>1DC2+6</t>
  </si>
  <si>
    <t>1DC1+6</t>
  </si>
  <si>
    <t>1DB2+0</t>
  </si>
  <si>
    <t>DB1+0</t>
  </si>
  <si>
    <t>NOA Start Date</t>
  </si>
  <si>
    <t>NOA End Date</t>
  </si>
  <si>
    <t>SUPPLY STATUS:</t>
  </si>
  <si>
    <t>Description</t>
  </si>
  <si>
    <t>UOM</t>
  </si>
  <si>
    <t>LOA Qty</t>
  </si>
  <si>
    <t>Supply Shortfall against L2</t>
  </si>
  <si>
    <t>Balance Qty.</t>
  </si>
  <si>
    <t xml:space="preserve">STUB </t>
  </si>
  <si>
    <t>Sets</t>
  </si>
  <si>
    <t>TOWER PARTS</t>
  </si>
  <si>
    <t>Earthing Materials</t>
  </si>
  <si>
    <t>EA</t>
  </si>
  <si>
    <t>7/3.66 G.S Earthwire</t>
  </si>
  <si>
    <t xml:space="preserve">Conductor - ACSR AL-59 Zebra </t>
  </si>
  <si>
    <t>160KN CLR Insulator Supply</t>
  </si>
  <si>
    <t>210KN CLR Insulator Supply</t>
  </si>
  <si>
    <t xml:space="preserve"> </t>
  </si>
  <si>
    <t>Supplied AS on Date</t>
  </si>
  <si>
    <t>34/0</t>
  </si>
  <si>
    <t>Km</t>
  </si>
  <si>
    <t>41/0</t>
  </si>
  <si>
    <t>43/0</t>
  </si>
  <si>
    <t>Balance as per L2</t>
  </si>
  <si>
    <t>11KV</t>
  </si>
  <si>
    <t>45/0</t>
  </si>
  <si>
    <t>DC1+3</t>
  </si>
  <si>
    <t>46/0</t>
  </si>
  <si>
    <t>DB1+6</t>
  </si>
  <si>
    <t>1DA-1.5</t>
  </si>
  <si>
    <t>1DD45+18</t>
  </si>
  <si>
    <t>1DD45+0</t>
  </si>
  <si>
    <t>1DD60+0</t>
  </si>
  <si>
    <t>35/0</t>
  </si>
  <si>
    <t>Sl. No</t>
  </si>
  <si>
    <t>SECTION</t>
  </si>
  <si>
    <t>33KV</t>
  </si>
  <si>
    <t>FROM</t>
  </si>
  <si>
    <t>TO</t>
  </si>
  <si>
    <t>37/0</t>
  </si>
  <si>
    <t>57/0</t>
  </si>
  <si>
    <t>58/0</t>
  </si>
  <si>
    <t>1DD60+6</t>
  </si>
  <si>
    <t>59/0</t>
  </si>
  <si>
    <t>59/1</t>
  </si>
  <si>
    <t>60/0</t>
  </si>
  <si>
    <t>60/1</t>
  </si>
  <si>
    <t>60/2</t>
  </si>
  <si>
    <t>60/3</t>
  </si>
  <si>
    <t>60/4</t>
  </si>
  <si>
    <t>61/0</t>
  </si>
  <si>
    <t>1DD45+6</t>
  </si>
  <si>
    <r>
      <rPr>
        <sz val="14"/>
        <rFont val="Calibri"/>
        <family val="1"/>
      </rPr>
      <t>AP-62</t>
    </r>
  </si>
  <si>
    <t>DD60</t>
  </si>
  <si>
    <r>
      <rPr>
        <sz val="14"/>
        <rFont val="Calibri"/>
        <family val="1"/>
      </rPr>
      <t>AP-63</t>
    </r>
  </si>
  <si>
    <t>AP61</t>
  </si>
  <si>
    <t>AP62</t>
  </si>
  <si>
    <t>AP63</t>
  </si>
  <si>
    <t>1DA</t>
  </si>
  <si>
    <t>1DB1</t>
  </si>
  <si>
    <t>1DB2</t>
  </si>
  <si>
    <t>1DC1</t>
  </si>
  <si>
    <t>1DC2</t>
  </si>
  <si>
    <t>1DD45</t>
  </si>
  <si>
    <t>1DD60</t>
  </si>
  <si>
    <t>DB1+9</t>
  </si>
  <si>
    <t>DB2+3</t>
  </si>
  <si>
    <t>42/0</t>
  </si>
  <si>
    <t>55/0</t>
  </si>
  <si>
    <t>DB2+0</t>
  </si>
  <si>
    <t>DB2+9</t>
  </si>
  <si>
    <t>40/0</t>
  </si>
  <si>
    <t>32/0</t>
  </si>
  <si>
    <t>DC2+6</t>
  </si>
  <si>
    <t>Section Length</t>
  </si>
  <si>
    <t>No. Of Towers B/W Angle Towers</t>
  </si>
  <si>
    <t>TSE Section    (In KM)</t>
  </si>
  <si>
    <t>Manual Section  (In KM)</t>
  </si>
  <si>
    <t>49/0</t>
  </si>
  <si>
    <t>62/0</t>
  </si>
  <si>
    <t>63/0</t>
  </si>
  <si>
    <t>Submitted</t>
  </si>
  <si>
    <t>38/2</t>
  </si>
  <si>
    <t>48A/1</t>
  </si>
  <si>
    <t>48A/2</t>
  </si>
  <si>
    <t>Koppal-II Gantry</t>
  </si>
  <si>
    <t>AP48A</t>
  </si>
  <si>
    <t>Suspension Clamp E/W</t>
  </si>
  <si>
    <t>Spacer Damper</t>
  </si>
  <si>
    <t>Set</t>
  </si>
  <si>
    <t>Quadruple Tension
String</t>
  </si>
  <si>
    <t xml:space="preserve">Double
ISuspension String </t>
  </si>
  <si>
    <t xml:space="preserve">Single ISuspension
String (Pilot) </t>
  </si>
  <si>
    <t>REPAIR SLEEVE FOR CONDUCTOR</t>
  </si>
  <si>
    <t>HEXAGONAL RIGID SPACER</t>
  </si>
  <si>
    <t>FLEXIBLE AL BOND</t>
  </si>
  <si>
    <t>Vibration Damper for E/W</t>
  </si>
  <si>
    <t>Tension Clamp for E/W</t>
  </si>
  <si>
    <t>Mid Span Comp. Joint for E/W</t>
  </si>
  <si>
    <t>Mid Span Comp. Joint For Cond.</t>
  </si>
  <si>
    <t>DC1+0</t>
  </si>
  <si>
    <t>36/0</t>
  </si>
  <si>
    <t>DB1+3</t>
  </si>
  <si>
    <t>Loc. No.</t>
  </si>
  <si>
    <t>FDN STATUS</t>
  </si>
  <si>
    <t>ROW STATUS</t>
  </si>
  <si>
    <t>REMARKS</t>
  </si>
  <si>
    <t>Village</t>
  </si>
  <si>
    <t>DC2+0</t>
  </si>
  <si>
    <t>OPGW  supply</t>
  </si>
  <si>
    <t>56/0</t>
  </si>
  <si>
    <t>DD60+6</t>
  </si>
  <si>
    <t>52/0</t>
  </si>
  <si>
    <t>33/0</t>
  </si>
  <si>
    <t>DB+9</t>
  </si>
  <si>
    <t>39/0</t>
  </si>
  <si>
    <t>44/0</t>
  </si>
  <si>
    <t>*SUPPORT REQUIRED :</t>
  </si>
  <si>
    <t xml:space="preserve">* </t>
  </si>
  <si>
    <t>Nature of Work</t>
  </si>
  <si>
    <t>GANG NAME</t>
  </si>
  <si>
    <t>WIP LOCATION</t>
  </si>
  <si>
    <t>48/0</t>
  </si>
  <si>
    <t>47/0</t>
  </si>
  <si>
    <t>53/0</t>
  </si>
  <si>
    <t>Required further work front for foundation works In order to sustain the manpower and Machinary.</t>
  </si>
  <si>
    <t>Required further work front for Erection works without frequest shifting of gang In order to sustain the manpower.</t>
  </si>
  <si>
    <t>54/0</t>
  </si>
  <si>
    <t>DC1+6</t>
  </si>
  <si>
    <t>AS ON DATE - WORK FRONT</t>
  </si>
  <si>
    <t>ERE STATUS</t>
  </si>
  <si>
    <t>DD60+0</t>
  </si>
  <si>
    <t xml:space="preserve">Tree Cutting arrangements for Planned stringing stretches. </t>
  </si>
  <si>
    <t>Team demobilised due to non availability of further  work front.</t>
  </si>
  <si>
    <t>Balance Quantity will be supplied in OCT'25</t>
  </si>
  <si>
    <t>Starting Date</t>
  </si>
  <si>
    <t>Tower Weight</t>
  </si>
  <si>
    <t>Completion Date</t>
  </si>
  <si>
    <t>LOA End Date</t>
  </si>
  <si>
    <t>Section Incharge</t>
  </si>
  <si>
    <t>Supervisor</t>
  </si>
  <si>
    <t>Prabin Patra</t>
  </si>
  <si>
    <t>Rupesh</t>
  </si>
  <si>
    <t>Bijendra</t>
  </si>
  <si>
    <t>Rahman</t>
  </si>
  <si>
    <t>Sitaram</t>
  </si>
  <si>
    <t>Churamani</t>
  </si>
  <si>
    <t>Madhusudan</t>
  </si>
  <si>
    <t>Ritlal</t>
  </si>
  <si>
    <t>Somenath</t>
  </si>
  <si>
    <t>Aflaudin</t>
  </si>
  <si>
    <t>Akhtarul</t>
  </si>
  <si>
    <t xml:space="preserve">765KV D/C HEXA NEEMRANA II BAREILLY TL -03
</t>
  </si>
  <si>
    <t>PGCIL</t>
  </si>
  <si>
    <t>Planning Engineer/Manager</t>
  </si>
  <si>
    <t>Sanjib Samantaray</t>
  </si>
  <si>
    <t>Mr Arun Felbin</t>
  </si>
  <si>
    <t>Mr Rajiv Sharma</t>
  </si>
  <si>
    <t>Mr Sanjay Gupta</t>
  </si>
  <si>
    <t>Saidur</t>
  </si>
  <si>
    <t>765KV D/C  NEEMRANA II - BAREILLY TL  (Part-3)</t>
  </si>
  <si>
    <t>TA-416</t>
  </si>
  <si>
    <t>07.02.2025</t>
  </si>
  <si>
    <t>06.11.2025</t>
  </si>
  <si>
    <t>Mr. Arun Felbin</t>
  </si>
  <si>
    <t>Mr. Rajiv Sharma</t>
  </si>
  <si>
    <t xml:space="preserve">Planning </t>
  </si>
  <si>
    <t>TOWER ERECTION</t>
  </si>
  <si>
    <t>Maa Construction</t>
  </si>
  <si>
    <t>0/0</t>
  </si>
  <si>
    <t>Gourishankar</t>
  </si>
  <si>
    <t>Reeta Bharti</t>
  </si>
  <si>
    <t>22A/0</t>
  </si>
  <si>
    <t>27/0</t>
  </si>
  <si>
    <t>Unity India</t>
  </si>
  <si>
    <t>Pankaj Kumar</t>
  </si>
  <si>
    <t>38/0</t>
  </si>
  <si>
    <t>Amit Choudhury</t>
  </si>
  <si>
    <t>Punam Kumari-1</t>
  </si>
  <si>
    <t>50/0</t>
  </si>
  <si>
    <t>53A/1</t>
  </si>
  <si>
    <t>Punam Kumari-2</t>
  </si>
  <si>
    <t>56/6</t>
  </si>
  <si>
    <t>Mahon Mahto</t>
  </si>
  <si>
    <t>64/3</t>
  </si>
  <si>
    <t>2/2</t>
  </si>
  <si>
    <t>23/0</t>
  </si>
  <si>
    <t>66/1</t>
  </si>
  <si>
    <t>53A/0</t>
  </si>
  <si>
    <t>52/7</t>
  </si>
  <si>
    <t>56/7</t>
  </si>
  <si>
    <t>69A/0</t>
  </si>
  <si>
    <t>2/8</t>
  </si>
  <si>
    <t>2/4</t>
  </si>
  <si>
    <t>39/10</t>
  </si>
  <si>
    <t>20/8</t>
  </si>
  <si>
    <t>39/8</t>
  </si>
  <si>
    <t>20/6</t>
  </si>
  <si>
    <t>20/9</t>
  </si>
  <si>
    <t>39/7</t>
  </si>
  <si>
    <t>20/5</t>
  </si>
  <si>
    <t>20/7</t>
  </si>
  <si>
    <t>39/9</t>
  </si>
  <si>
    <t>20/12</t>
  </si>
  <si>
    <t>14/6</t>
  </si>
  <si>
    <t>39/6</t>
  </si>
  <si>
    <t>14/5</t>
  </si>
  <si>
    <t>14/4</t>
  </si>
  <si>
    <t>2/5</t>
  </si>
  <si>
    <t>19/3</t>
  </si>
  <si>
    <t>6/2</t>
  </si>
  <si>
    <t>38/3</t>
  </si>
  <si>
    <t>14/8</t>
  </si>
  <si>
    <t>2/7</t>
  </si>
  <si>
    <t>19/2</t>
  </si>
  <si>
    <t>14/7</t>
  </si>
  <si>
    <t>4/3</t>
  </si>
  <si>
    <t>36/12</t>
  </si>
  <si>
    <t>2/6</t>
  </si>
  <si>
    <t>14/3</t>
  </si>
  <si>
    <t>4/4</t>
  </si>
  <si>
    <t>19/4</t>
  </si>
  <si>
    <t>2/3</t>
  </si>
  <si>
    <t>4/2</t>
  </si>
  <si>
    <t>14/2</t>
  </si>
  <si>
    <t>19/1</t>
  </si>
  <si>
    <t>4/8</t>
  </si>
  <si>
    <t>14/1</t>
  </si>
  <si>
    <t>7/10</t>
  </si>
  <si>
    <t>19/5</t>
  </si>
  <si>
    <t>4/7</t>
  </si>
  <si>
    <t>7/9</t>
  </si>
  <si>
    <t>38/4</t>
  </si>
  <si>
    <t>17/1</t>
  </si>
  <si>
    <t>31/3</t>
  </si>
  <si>
    <t>4/5</t>
  </si>
  <si>
    <t>7/2</t>
  </si>
  <si>
    <t>19/6</t>
  </si>
  <si>
    <t>17/4</t>
  </si>
  <si>
    <t>31/4</t>
  </si>
  <si>
    <t>12/2</t>
  </si>
  <si>
    <t>7/8</t>
  </si>
  <si>
    <t>36/3</t>
  </si>
  <si>
    <t>19/7</t>
  </si>
  <si>
    <t>17/3</t>
  </si>
  <si>
    <t>31/2</t>
  </si>
  <si>
    <t>12/3</t>
  </si>
  <si>
    <t>7/7</t>
  </si>
  <si>
    <t>17/2</t>
  </si>
  <si>
    <t>36/5</t>
  </si>
  <si>
    <t>31/6</t>
  </si>
  <si>
    <t>12/4</t>
  </si>
  <si>
    <t>19/9</t>
  </si>
  <si>
    <t>17/5</t>
  </si>
  <si>
    <t>7/6</t>
  </si>
  <si>
    <t>12/5</t>
  </si>
  <si>
    <t>31/1</t>
  </si>
  <si>
    <t>17/7</t>
  </si>
  <si>
    <t>20/0</t>
  </si>
  <si>
    <t>DB+0</t>
  </si>
  <si>
    <t>36/2</t>
  </si>
  <si>
    <t>12/9</t>
  </si>
  <si>
    <t>7/5</t>
  </si>
  <si>
    <t>31/7</t>
  </si>
  <si>
    <t>DC+0</t>
  </si>
  <si>
    <t>21/0</t>
  </si>
  <si>
    <t>20/2</t>
  </si>
  <si>
    <t>8/1</t>
  </si>
  <si>
    <t>7/4</t>
  </si>
  <si>
    <t>20/3</t>
  </si>
  <si>
    <t>31/9</t>
  </si>
  <si>
    <t>34/7</t>
  </si>
  <si>
    <t>8/2</t>
  </si>
  <si>
    <t>20/4</t>
  </si>
  <si>
    <t>7/1</t>
  </si>
  <si>
    <t>34/6</t>
  </si>
  <si>
    <t>31/0</t>
  </si>
  <si>
    <t>8/0</t>
  </si>
  <si>
    <t>4/10</t>
  </si>
  <si>
    <t>7/0</t>
  </si>
  <si>
    <t>7/11</t>
  </si>
  <si>
    <t>30/4</t>
  </si>
  <si>
    <t>8/3</t>
  </si>
  <si>
    <t>5/0</t>
  </si>
  <si>
    <t>30/5</t>
  </si>
  <si>
    <t>6/1</t>
  </si>
  <si>
    <t>8/4</t>
  </si>
  <si>
    <t>5/1</t>
  </si>
  <si>
    <t>31/8</t>
  </si>
  <si>
    <t>8B/1</t>
  </si>
  <si>
    <t>7/3</t>
  </si>
  <si>
    <t>6/0</t>
  </si>
  <si>
    <t>31/10</t>
  </si>
  <si>
    <t>38/8</t>
  </si>
  <si>
    <t>39/3</t>
  </si>
  <si>
    <t>8B/5</t>
  </si>
  <si>
    <t>4/6</t>
  </si>
  <si>
    <t>8B/3</t>
  </si>
  <si>
    <t>20/11</t>
  </si>
  <si>
    <t>4/1</t>
  </si>
  <si>
    <t>38/6</t>
  </si>
  <si>
    <t>9/0</t>
  </si>
  <si>
    <t>DB+6</t>
  </si>
  <si>
    <t>DC+6</t>
  </si>
  <si>
    <t>39/1</t>
  </si>
  <si>
    <t>53A/4</t>
  </si>
  <si>
    <t>8B/2</t>
  </si>
  <si>
    <t>20/10</t>
  </si>
  <si>
    <t>52/6</t>
  </si>
  <si>
    <t>10/1</t>
  </si>
  <si>
    <t>4/0</t>
  </si>
  <si>
    <t>DD45+0</t>
  </si>
  <si>
    <t>8B/4</t>
  </si>
  <si>
    <t>31/5</t>
  </si>
  <si>
    <t>38/7</t>
  </si>
  <si>
    <t>36/6</t>
  </si>
  <si>
    <t>20/1</t>
  </si>
  <si>
    <t>25/2</t>
  </si>
  <si>
    <t>52/5</t>
  </si>
  <si>
    <t>0/4</t>
  </si>
  <si>
    <t>19/12</t>
  </si>
  <si>
    <t>39/2</t>
  </si>
  <si>
    <t>36/7</t>
  </si>
  <si>
    <t>10/0</t>
  </si>
  <si>
    <t>30/6</t>
  </si>
  <si>
    <t>52/4</t>
  </si>
  <si>
    <t>38/9</t>
  </si>
  <si>
    <t>8A/0</t>
  </si>
  <si>
    <t>19/11</t>
  </si>
  <si>
    <t>39/4</t>
  </si>
  <si>
    <t>36/8</t>
  </si>
  <si>
    <t>19/10</t>
  </si>
  <si>
    <t>30/3</t>
  </si>
  <si>
    <t>52/3</t>
  </si>
  <si>
    <t>25/3</t>
  </si>
  <si>
    <t>19/8</t>
  </si>
  <si>
    <t>12/1</t>
  </si>
  <si>
    <t>4/9</t>
  </si>
  <si>
    <t>39/5</t>
  </si>
  <si>
    <t>30/1</t>
  </si>
  <si>
    <t>36/4</t>
  </si>
  <si>
    <t>8B/0</t>
  </si>
  <si>
    <t>17/8</t>
  </si>
  <si>
    <t>52/9</t>
  </si>
  <si>
    <t>36/11</t>
  </si>
  <si>
    <t>38/11</t>
  </si>
  <si>
    <t>30/2</t>
  </si>
  <si>
    <t>2/1</t>
  </si>
  <si>
    <t>52/10</t>
  </si>
  <si>
    <t>23/3</t>
  </si>
  <si>
    <t>12/6</t>
  </si>
  <si>
    <t>53/1</t>
  </si>
  <si>
    <t>36/9</t>
  </si>
  <si>
    <t>38/10</t>
  </si>
  <si>
    <t>15/0</t>
  </si>
  <si>
    <t>DC+3</t>
  </si>
  <si>
    <t>23/5</t>
  </si>
  <si>
    <t>52/8</t>
  </si>
  <si>
    <t>23/4</t>
  </si>
  <si>
    <t>0/2</t>
  </si>
  <si>
    <t>56/4</t>
  </si>
  <si>
    <t>12/8</t>
  </si>
  <si>
    <t>36/10</t>
  </si>
  <si>
    <t>38/5</t>
  </si>
  <si>
    <t>23/1</t>
  </si>
  <si>
    <t>0/3</t>
  </si>
  <si>
    <t>56/5</t>
  </si>
  <si>
    <t>51/0</t>
  </si>
  <si>
    <t>23/2</t>
  </si>
  <si>
    <t>0/1</t>
  </si>
  <si>
    <t>50/1</t>
  </si>
  <si>
    <t>53A/5</t>
  </si>
  <si>
    <t>34/5</t>
  </si>
  <si>
    <t>53A/2</t>
  </si>
  <si>
    <t>22/0</t>
  </si>
  <si>
    <t>DB+3</t>
  </si>
  <si>
    <t>30/0</t>
  </si>
  <si>
    <t>DD60+18</t>
  </si>
  <si>
    <t>3/0</t>
  </si>
  <si>
    <t>21/2</t>
  </si>
  <si>
    <t>53A/3</t>
  </si>
  <si>
    <t>DD45+9</t>
  </si>
  <si>
    <t>12/7</t>
  </si>
  <si>
    <t>21/1</t>
  </si>
  <si>
    <t>DD60+25</t>
  </si>
  <si>
    <t>14/0</t>
  </si>
  <si>
    <t>DD60+30</t>
  </si>
  <si>
    <t>28/1</t>
  </si>
  <si>
    <t>21/3</t>
  </si>
  <si>
    <t>25/1</t>
  </si>
  <si>
    <t>DD60+3</t>
  </si>
  <si>
    <t>28/0</t>
  </si>
  <si>
    <t>13/0</t>
  </si>
  <si>
    <t>53A/6</t>
  </si>
  <si>
    <t>24/0</t>
  </si>
  <si>
    <t>65/0</t>
  </si>
  <si>
    <t>18/0</t>
  </si>
  <si>
    <t>12/0</t>
  </si>
  <si>
    <t>DB+18</t>
  </si>
  <si>
    <t>DD60+9</t>
  </si>
  <si>
    <t>16/0</t>
  </si>
  <si>
    <t>DB+25</t>
  </si>
  <si>
    <t>11/0</t>
  </si>
  <si>
    <t>2/0</t>
  </si>
  <si>
    <t>DD45+3</t>
  </si>
  <si>
    <t>64/0</t>
  </si>
  <si>
    <t>DC+9</t>
  </si>
  <si>
    <t>29/0</t>
  </si>
  <si>
    <t>56/8</t>
  </si>
  <si>
    <t>17/6</t>
  </si>
  <si>
    <t>19/0</t>
  </si>
  <si>
    <t>26/0</t>
  </si>
  <si>
    <t>17/0</t>
  </si>
  <si>
    <t>25/0</t>
  </si>
  <si>
    <t>14.11.2024</t>
  </si>
  <si>
    <t>Dewi Construction(Girendra)</t>
  </si>
  <si>
    <t>Horil Mahto</t>
  </si>
  <si>
    <t>Pankaj</t>
  </si>
  <si>
    <t>Pinky Dewi</t>
  </si>
  <si>
    <t>Amar Singh</t>
  </si>
  <si>
    <t xml:space="preserve">ASC heights </t>
  </si>
  <si>
    <t>Rudra Construction</t>
  </si>
  <si>
    <t>M K infra</t>
  </si>
  <si>
    <t>Ananya Traders-1</t>
  </si>
  <si>
    <t>Gagan enterprise.1</t>
  </si>
  <si>
    <t>Anand Construction</t>
  </si>
  <si>
    <t>Gagan enterprise.2</t>
  </si>
  <si>
    <t>Ananya Traders-2</t>
  </si>
  <si>
    <t xml:space="preserve">Pinky Dewi </t>
  </si>
  <si>
    <t>Amit Const</t>
  </si>
  <si>
    <t>Devine</t>
  </si>
  <si>
    <t>Amar singh</t>
  </si>
  <si>
    <t>Punam Kumari</t>
  </si>
  <si>
    <t>Gagan enterprise.2 (Kajol)</t>
  </si>
  <si>
    <t>Kongres Kumar-1</t>
  </si>
  <si>
    <t>Kongres Kumar-2</t>
  </si>
  <si>
    <t>Sainik Trader</t>
  </si>
  <si>
    <t>Radha Construction</t>
  </si>
  <si>
    <t>Gouri Shankar</t>
  </si>
  <si>
    <t>Spotyfy-3</t>
  </si>
  <si>
    <t>Ananya trader</t>
  </si>
  <si>
    <t>64/1</t>
  </si>
  <si>
    <t>64/2</t>
  </si>
  <si>
    <t>53A/7</t>
  </si>
  <si>
    <t>67/0</t>
  </si>
  <si>
    <t>66/0 A,B</t>
  </si>
  <si>
    <t>66/0 C,D</t>
  </si>
  <si>
    <t>68/0</t>
  </si>
  <si>
    <t>70/0</t>
  </si>
  <si>
    <t>69/0</t>
  </si>
  <si>
    <t>Wet Paddy</t>
  </si>
  <si>
    <t>Sandy</t>
  </si>
  <si>
    <t>WET</t>
  </si>
  <si>
    <t>PS</t>
  </si>
  <si>
    <t>DB2+6</t>
  </si>
  <si>
    <t>DC2+9</t>
  </si>
  <si>
    <t>DC2+3</t>
  </si>
  <si>
    <t>FS</t>
  </si>
  <si>
    <t>Wet paddy</t>
  </si>
  <si>
    <t>DD60+25 2mtr RC</t>
  </si>
  <si>
    <t>DB1+25</t>
  </si>
  <si>
    <t>DD60+9,2mtr RC</t>
  </si>
  <si>
    <t>DA+3 Normal leg A,B</t>
  </si>
  <si>
    <t>DA+3, 2mtr RC(C,D)</t>
  </si>
  <si>
    <t>DD60+18,2mtr RC</t>
  </si>
  <si>
    <t>DB1+18</t>
  </si>
  <si>
    <t>DC1+18</t>
  </si>
  <si>
    <t>DC2+18</t>
  </si>
  <si>
    <t>DD45+6</t>
  </si>
  <si>
    <t>DB2+18</t>
  </si>
  <si>
    <t>DC1+25</t>
  </si>
  <si>
    <t>DD60+0, 1mtr RC</t>
  </si>
  <si>
    <t>DB2+25</t>
  </si>
  <si>
    <t>DCT+0</t>
  </si>
  <si>
    <t>Sumit Constrcution</t>
  </si>
  <si>
    <t>Dharamdas Contractor</t>
  </si>
  <si>
    <t>Khalil Const.</t>
  </si>
  <si>
    <t>Anshika con.</t>
  </si>
  <si>
    <t>Jay Sri Ram</t>
  </si>
  <si>
    <t>K R Associates</t>
  </si>
  <si>
    <t>SSR engineering</t>
  </si>
  <si>
    <t>VH Rajpoot cont.</t>
  </si>
  <si>
    <t>VED ENTTERPRISE</t>
  </si>
  <si>
    <t>J M Enterprise</t>
  </si>
  <si>
    <t>SAIFI CON.</t>
  </si>
  <si>
    <t>A V I ENTERPRISE</t>
  </si>
  <si>
    <t>MALLIK CON</t>
  </si>
  <si>
    <t>Garg Construction</t>
  </si>
  <si>
    <t>Shree Krishna</t>
  </si>
  <si>
    <t>Vinayak Enterprise</t>
  </si>
  <si>
    <t>Vishal construction</t>
  </si>
  <si>
    <t>Laxmi Const.</t>
  </si>
  <si>
    <t>Maa Durga</t>
  </si>
  <si>
    <t>Aneshwar Traders</t>
  </si>
  <si>
    <t>M A Construction</t>
  </si>
  <si>
    <t>Vivan Enterprise</t>
  </si>
  <si>
    <t>R K Constrcution</t>
  </si>
  <si>
    <t>A K Rajpoot</t>
  </si>
  <si>
    <t>Kongres Kumar-</t>
  </si>
  <si>
    <t>DC+18</t>
  </si>
  <si>
    <t>Spotyfy-1</t>
  </si>
  <si>
    <t>Mahon mahto</t>
  </si>
  <si>
    <t>Punam kumari-1</t>
  </si>
  <si>
    <t>Amit Choudhry</t>
  </si>
  <si>
    <t>Punam kumari-2</t>
  </si>
  <si>
    <t>AP8A/0</t>
  </si>
  <si>
    <t>AP8B/0</t>
  </si>
  <si>
    <t>AP7/0-AP8/0</t>
  </si>
  <si>
    <t>AP6/0-AP7/0</t>
  </si>
  <si>
    <t>AP35/0-AP36/0</t>
  </si>
  <si>
    <t>AP8/0-AP8A/0</t>
  </si>
  <si>
    <t>AP31/0-AP32/0</t>
  </si>
  <si>
    <t>AP8A/0-AP8B/0</t>
  </si>
  <si>
    <t>AP32/0-AP33/0</t>
  </si>
  <si>
    <t>AP8B/0-AP9/0</t>
  </si>
  <si>
    <t>AP33/0-AP34/0</t>
  </si>
  <si>
    <t>AP5/0-AP6/0</t>
  </si>
  <si>
    <t>AP9/0-AP10/0</t>
  </si>
  <si>
    <t>AP34/0-AP35/0</t>
  </si>
  <si>
    <t>AP4/0-AP5/0</t>
  </si>
  <si>
    <t>AP14/0-AP15/0</t>
  </si>
  <si>
    <t>AP3/0-AP4/0</t>
  </si>
  <si>
    <t>AP30/0-AP31/0</t>
  </si>
  <si>
    <t>AP20/0-AP21/0</t>
  </si>
  <si>
    <t>AP36/0-AP37/0</t>
  </si>
  <si>
    <t>Rough sag completed</t>
  </si>
  <si>
    <t>Anarul Islam</t>
  </si>
  <si>
    <t>S K Infra</t>
  </si>
  <si>
    <t>G P J con.</t>
  </si>
  <si>
    <t>Visual Chart :- 765kV D/C Neemrana II Bareilly Transmission Line, WZ-05, TL-03</t>
  </si>
  <si>
    <t>Project Code : TA416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</si>
  <si>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</si>
  <si>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</si>
  <si>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</si>
  <si>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</si>
  <si>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</si>
  <si>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</si>
  <si>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</si>
  <si>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</si>
  <si>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Erection Comp</t>
  </si>
  <si>
    <t>Stringing WIP</t>
  </si>
  <si>
    <t>Foundation Comp</t>
  </si>
  <si>
    <t>C</t>
  </si>
  <si>
    <t>B</t>
  </si>
  <si>
    <t>SPAN</t>
  </si>
  <si>
    <t>D</t>
  </si>
  <si>
    <t>A</t>
  </si>
  <si>
    <t>Tack Welding</t>
  </si>
  <si>
    <t>Earthing Comp</t>
  </si>
  <si>
    <t>Holdup location</t>
  </si>
  <si>
    <t>Stringing (Rough Sag)</t>
  </si>
  <si>
    <t>TREE CUTTING CLEARANCE</t>
  </si>
  <si>
    <t>NH/SH Xing</t>
  </si>
  <si>
    <t xml:space="preserve">   RAILWAY Xing</t>
  </si>
  <si>
    <t>132/220/400/765 Kv CROSSING</t>
  </si>
  <si>
    <t xml:space="preserve">     RIVER X-ING</t>
  </si>
  <si>
    <t>Gas pipeline</t>
  </si>
  <si>
    <t>OPGW DRUM-1</t>
  </si>
  <si>
    <t>OPGW DRUM-2</t>
  </si>
  <si>
    <t>NH 509, Agra-Moradabad</t>
  </si>
  <si>
    <t>OPGW DRUM-3</t>
  </si>
  <si>
    <t>220 KV SC  Moradabad - Narora TL</t>
  </si>
  <si>
    <t>2M RC in C&amp;D Leg</t>
  </si>
  <si>
    <t xml:space="preserve">132 KV DC LINE DISMANTLED </t>
  </si>
  <si>
    <t>OPGW DRUM-4</t>
  </si>
  <si>
    <t>OPGW DRUM-5</t>
  </si>
  <si>
    <t>OPGW DRUM-6</t>
  </si>
  <si>
    <t xml:space="preserve">GAIL GAS PIPE LINE </t>
  </si>
  <si>
    <t>OPGW DRUM-7</t>
  </si>
  <si>
    <t>132 Kv S/C Sambhal-Babrala</t>
  </si>
  <si>
    <t xml:space="preserve">132 KV D/C CKT-I Sambhal-Babrala  </t>
  </si>
  <si>
    <t>&amp; CKT-II Sambhsal-Bisauli Line</t>
  </si>
  <si>
    <t>OPGW DRUM-8</t>
  </si>
  <si>
    <t>400 KV D/C Sambhal - Budaun Line</t>
  </si>
  <si>
    <t>OPGW DRUM-9</t>
  </si>
  <si>
    <t>SH-51, Islamnagr- Bhajoi Road</t>
  </si>
  <si>
    <t>132 KV D/C Sahaswan-Chandausi</t>
  </si>
  <si>
    <t>CGD INFRA GA LINE</t>
  </si>
  <si>
    <t>OPGW DRUM-10</t>
  </si>
  <si>
    <t>Ganga Express-way</t>
  </si>
  <si>
    <t>OPGW DRUM-11</t>
  </si>
  <si>
    <t>OPGW DRUM-12</t>
  </si>
  <si>
    <t>GAIL GAS PIPE LINE</t>
  </si>
  <si>
    <t>OPGW DRUM-13</t>
  </si>
  <si>
    <t xml:space="preserve">SH-43, </t>
  </si>
  <si>
    <t>132 Kv S/C Budaun-Chandausi Dead line</t>
  </si>
  <si>
    <t>765 KV S/C Ghatampur-Hapur</t>
  </si>
  <si>
    <t>Chandausi - Badaun Road</t>
  </si>
  <si>
    <t>132 Kv S/C Bisauli To Chandausi</t>
  </si>
  <si>
    <t>OPGW DRUM-14</t>
  </si>
  <si>
    <t>Rly Crossing Single track, Chandausi-Bareilly</t>
  </si>
  <si>
    <t>765 Kv S/c Ghatampur-Rampur</t>
  </si>
  <si>
    <t>OPGW DRUM-15</t>
  </si>
  <si>
    <t>OPGW DRUM-16</t>
  </si>
  <si>
    <t>OPGW DRUM-17</t>
  </si>
  <si>
    <t>OPGW DRUM-18</t>
  </si>
  <si>
    <t>SH-125</t>
  </si>
  <si>
    <t>Shahabad-Aonla Road</t>
  </si>
  <si>
    <t>OPGW DRUM-19</t>
  </si>
  <si>
    <t>OPGW DRUM-20</t>
  </si>
  <si>
    <t xml:space="preserve"> 5 Mtr Depth</t>
  </si>
  <si>
    <t>Ramganga River Crossing</t>
  </si>
  <si>
    <t>OPGW DRUM-21</t>
  </si>
  <si>
    <t>OPGW DRUM-22</t>
  </si>
  <si>
    <t>2 M RC</t>
  </si>
  <si>
    <t>220 KV S/C Rampur-CB Ganj</t>
  </si>
  <si>
    <t>400 Kv D/C Bareilly-Meerut</t>
  </si>
  <si>
    <t>400 KV S/C Bareilly-Moradabad</t>
  </si>
  <si>
    <t>OPGW DRUM-23</t>
  </si>
  <si>
    <t xml:space="preserve">NH-530, RAILWAY TRACK, </t>
  </si>
  <si>
    <t>132 KV S/c CB Ganj-Meerganj</t>
  </si>
  <si>
    <t>OPGW DRUM-24</t>
  </si>
  <si>
    <t>132 KV D/C CB Ganj-Meerganj</t>
  </si>
  <si>
    <t>132 KV D/C CB-GANJ - MEERGANJ   T/L</t>
  </si>
  <si>
    <t>OPGW DRUM-25</t>
  </si>
  <si>
    <t>OPGW DRUM-26</t>
  </si>
  <si>
    <t>OPGW DRUM-27</t>
  </si>
  <si>
    <t xml:space="preserve">400 KV S/C BAREILLY - RAMPUR  T/L </t>
  </si>
  <si>
    <t>OPGW DRUM-28</t>
  </si>
  <si>
    <t>220 KV S/C BAIKUNTHAPUR - PANTNAGAR   T/L</t>
  </si>
  <si>
    <t>132 KV S/C DOHNA - RICHHA T/L</t>
  </si>
  <si>
    <t>1M RC in C&amp;D Leg</t>
  </si>
  <si>
    <t>SH-37, ELECTRIFIED, SINGLE RAILWAY TRACK</t>
  </si>
  <si>
    <t>Bareilly</t>
  </si>
  <si>
    <t>Gantry</t>
  </si>
  <si>
    <t>400 KV D/c Bareilly-Kasipur</t>
  </si>
  <si>
    <t>66/0</t>
  </si>
  <si>
    <t>765kV D/C Neemrana II Bareilly Transmission Line, WZ-05, TL-03 | BALANCE WORK DETAILS</t>
  </si>
  <si>
    <t>765kV D/C Neemrana II Bareilly Transmission Line, WZ-05, TL-03</t>
  </si>
  <si>
    <t xml:space="preserve">KEC INTERNATIONAL LIMITED </t>
  </si>
  <si>
    <r>
      <t xml:space="preserve">NOA Supply: </t>
    </r>
    <r>
      <rPr>
        <sz val="10"/>
        <color theme="1"/>
        <rFont val="Tahoma"/>
        <family val="2"/>
      </rPr>
      <t>CC/T/W-TW/DOM/A10/23/10706/NOA-1/24-101862/01 dated 07.02.24.</t>
    </r>
  </si>
  <si>
    <r>
      <t xml:space="preserve">NOA Services: </t>
    </r>
    <r>
      <rPr>
        <sz val="10"/>
        <color theme="1"/>
        <rFont val="Tahoma"/>
        <family val="2"/>
      </rPr>
      <t>CC/T/W-TW/DOM/A10/23/10706/NOA-2/24-101862/02 dated 07.02.24.</t>
    </r>
  </si>
  <si>
    <r>
      <rPr>
        <b/>
        <sz val="10"/>
        <color theme="1"/>
        <rFont val="Calibri"/>
        <family val="2"/>
        <scheme val="minor"/>
      </rPr>
      <t>Contract:</t>
    </r>
    <r>
      <rPr>
        <sz val="10"/>
        <color theme="1"/>
        <rFont val="Calibri"/>
        <family val="2"/>
        <scheme val="minor"/>
      </rPr>
      <t xml:space="preserve"> TL03 for Neemrana-II- Bareilly (PG) 765kV D/C line - Part III associated with “Transmission system for evacuation of power from Rajasthan REZ Ph-IV (Part-1) (Bikaner Complex : 7.7GW) PART-D” through tariff based competitive bidding (TBCB) route.</t>
    </r>
  </si>
  <si>
    <t xml:space="preserve">STATUTORY CLEARANCE </t>
  </si>
  <si>
    <t>POWER LINE CROSSING</t>
  </si>
  <si>
    <t>Name of the Transmission</t>
  </si>
  <si>
    <t>Voltage Rating in kV</t>
  </si>
  <si>
    <t xml:space="preserve">Name of Owner </t>
  </si>
  <si>
    <t>Name of Nearest switching/ sub-station</t>
  </si>
  <si>
    <t>(Crossing in Proposed Line Loc.No)</t>
  </si>
  <si>
    <t>Proposal submission Date</t>
  </si>
  <si>
    <t>APPROVED Date</t>
  </si>
  <si>
    <t xml:space="preserve">Moradabad To Narora </t>
  </si>
  <si>
    <t>220kv S/C &amp; 132kv Dismental</t>
  </si>
  <si>
    <t>UPPTCL</t>
  </si>
  <si>
    <t xml:space="preserve">Loc.:-AP3 - AP4 </t>
  </si>
  <si>
    <t>Approved</t>
  </si>
  <si>
    <t>Sambhal-Babrala</t>
  </si>
  <si>
    <t>132kV.S/C</t>
  </si>
  <si>
    <t xml:space="preserve">Loc.:-AP9 - AP10 </t>
  </si>
  <si>
    <t>CKT-I Sambhal-Babrala  &amp; CKT-II Sambhsal-Bisauli Line</t>
  </si>
  <si>
    <t>132kV.D/C</t>
  </si>
  <si>
    <t>Loc.:-AP11 - AP12</t>
  </si>
  <si>
    <t>400kV.D/C</t>
  </si>
  <si>
    <t xml:space="preserve">Loc.:-AP13 - AP14 </t>
  </si>
  <si>
    <t>Sahaswan-Chandausi</t>
  </si>
  <si>
    <t>Loc.:-AP16- AP17</t>
  </si>
  <si>
    <t>Budaun-Chandausi Dead line
 &amp; Bisauli To Chandaus</t>
  </si>
  <si>
    <t>132kv S/C dead line  &amp; 132kv S/C</t>
  </si>
  <si>
    <t>Loc.:-AP22 - AP22A</t>
  </si>
  <si>
    <t>Budaun-Sambhal</t>
  </si>
  <si>
    <t>220kV.S/C</t>
  </si>
  <si>
    <t>Loc.:-AP22A - AP23</t>
  </si>
  <si>
    <t>Ghatampur-Hapur</t>
  </si>
  <si>
    <t>765kv S/C</t>
  </si>
  <si>
    <t>Loc.:-AP24 - AP25</t>
  </si>
  <si>
    <t>Ghatampur-Rampur</t>
  </si>
  <si>
    <t>Loc.:-AP29 - AP30</t>
  </si>
  <si>
    <t>Bareilly-Mandola</t>
  </si>
  <si>
    <t>Loc.:-AP40 - AP41</t>
  </si>
  <si>
    <t>Lucknow-Moradabad
and Rampur-CB Ganj</t>
  </si>
  <si>
    <t>400kv S/C &amp; 220kv S/C</t>
  </si>
  <si>
    <t>PGCIL &amp; UPPTCL</t>
  </si>
  <si>
    <t>Loc.:-AP42 - AP43</t>
  </si>
  <si>
    <t>CB Ganj-Meerganj</t>
  </si>
  <si>
    <t>Loc.:-AP47- AP48</t>
  </si>
  <si>
    <t>Loc.:-AP49 - AP50</t>
  </si>
  <si>
    <t>Rampur-CB Ganj</t>
  </si>
  <si>
    <t>Loc.:-AP51- AP52</t>
  </si>
  <si>
    <t xml:space="preserve"> Bareilly-Moradabad</t>
  </si>
  <si>
    <t>400kV.S/C</t>
  </si>
  <si>
    <t>Loc.:-AP58 - AP59</t>
  </si>
  <si>
    <t>220 KV S/C Line</t>
  </si>
  <si>
    <t>Loc.:-AP61 - AP62</t>
  </si>
  <si>
    <t>Loc.:-AP52 - AP63</t>
  </si>
  <si>
    <t>Bareilly-Kasipur</t>
  </si>
  <si>
    <t>Loc.:-AP67 - AP68</t>
  </si>
  <si>
    <t>RAILWAY CROSSING</t>
  </si>
  <si>
    <t>Name of the Railway Line</t>
  </si>
  <si>
    <t>Type of Gauge Broad/Metre/Narrow</t>
  </si>
  <si>
    <t>Single/ Double Line</t>
  </si>
  <si>
    <t>Electrified / Non-electrified</t>
  </si>
  <si>
    <t>Crossing loc no of proposed line</t>
  </si>
  <si>
    <t>Date of Submission</t>
  </si>
  <si>
    <t>Broad Gauge</t>
  </si>
  <si>
    <t>Single</t>
  </si>
  <si>
    <t>Under construction</t>
  </si>
  <si>
    <t>AP27-AP28</t>
  </si>
  <si>
    <t>04.08.24</t>
  </si>
  <si>
    <t>Online submission done 15/08/24,</t>
  </si>
  <si>
    <t>Approvaed</t>
  </si>
  <si>
    <t>Double</t>
  </si>
  <si>
    <t>AP44-AP45</t>
  </si>
  <si>
    <t>10.09.24</t>
  </si>
  <si>
    <t>Online submission done 12/09/24,</t>
  </si>
  <si>
    <t>Electrified</t>
  </si>
  <si>
    <t>AP65-AP66</t>
  </si>
  <si>
    <t>11.10.24</t>
  </si>
  <si>
    <t>NH/SH/EXPRESS WAY CROSSING</t>
  </si>
  <si>
    <t>Name of the Highway Line</t>
  </si>
  <si>
    <t>Type of NH</t>
  </si>
  <si>
    <t>Nearest town</t>
  </si>
  <si>
    <t>Nearest Village</t>
  </si>
  <si>
    <t>NH-509</t>
  </si>
  <si>
    <t>Gunnaur</t>
  </si>
  <si>
    <t>Kuravar</t>
  </si>
  <si>
    <t>AP1-AP-2</t>
  </si>
  <si>
    <t>Submitted on 20.06.24, at Moradabad</t>
  </si>
  <si>
    <t>SH51</t>
  </si>
  <si>
    <t>Islam Nagar</t>
  </si>
  <si>
    <t>Talen</t>
  </si>
  <si>
    <t>AP15-AP16</t>
  </si>
  <si>
    <t>Submitted on 10.06.24, at Badaun</t>
  </si>
  <si>
    <t>Padana</t>
  </si>
  <si>
    <t>AP18-AP19</t>
  </si>
  <si>
    <t>Submitted at Lucknow on 03-07-24</t>
  </si>
  <si>
    <t>SH-43</t>
  </si>
  <si>
    <t>Chandausi-Bisauli</t>
  </si>
  <si>
    <t>21/3-AP22</t>
  </si>
  <si>
    <t>35/3-35/4</t>
  </si>
  <si>
    <t>Submitted on 17-07-24</t>
  </si>
  <si>
    <t>NH-530</t>
  </si>
  <si>
    <t>Submitted on 23-08-24</t>
  </si>
  <si>
    <t>SH-37</t>
  </si>
  <si>
    <t>Submitted on 29-07-24</t>
  </si>
  <si>
    <t>FOREST PROPOSAL</t>
  </si>
  <si>
    <t>SL.NO.</t>
  </si>
  <si>
    <t>Protected Forest</t>
  </si>
  <si>
    <t>Crossing span/ area in Hac.</t>
  </si>
  <si>
    <t xml:space="preserve">Detail survey submission by KEC </t>
  </si>
  <si>
    <t>Planning for submission letter to DFO for joint inspection for confirmation of forest area</t>
  </si>
  <si>
    <t xml:space="preserve">Date of Joint inspection with local forest department </t>
  </si>
  <si>
    <t>Planning for submission of Document to powergrid from KEC</t>
  </si>
  <si>
    <t>Date of proposal online submission to DFO from powergrid</t>
  </si>
  <si>
    <t>Date of Joint inspection with DFO</t>
  </si>
  <si>
    <t>DFO to Nodal lucknow for approval</t>
  </si>
  <si>
    <t>AP-1/0 to AP-2/0</t>
  </si>
  <si>
    <t>completed</t>
  </si>
  <si>
    <t>Submitted on 13-03-2024</t>
  </si>
  <si>
    <t>Submitted to PGCIL</t>
  </si>
  <si>
    <t>DFO not given CA land KMZ file</t>
  </si>
  <si>
    <t>21/3 to AP-22/0</t>
  </si>
  <si>
    <t>CA land DGPS map submitted to Concern DFO</t>
  </si>
  <si>
    <t>AP-44/0 to AP-45/0</t>
  </si>
  <si>
    <t>Letter given to DFO Badaun for CA land of Bareilly section</t>
  </si>
  <si>
    <t>AP-52/0 to AP-53/0</t>
  </si>
  <si>
    <t>AP-65/0 to AP-66/0</t>
  </si>
  <si>
    <t>Total PF</t>
  </si>
  <si>
    <t>Scheduled for statuary clearance: Gas Pipe Line</t>
  </si>
  <si>
    <t>Location</t>
  </si>
  <si>
    <t>Type Tower</t>
  </si>
  <si>
    <t>Submission Date</t>
  </si>
  <si>
    <t>Submission from PGCIL GAS PIPE LINE AUTHORITY</t>
  </si>
  <si>
    <t>Aproved Date</t>
  </si>
  <si>
    <t>Clearance / NOC</t>
  </si>
  <si>
    <t>Online submission done on 15/09/24</t>
  </si>
  <si>
    <t>NOC 27-01-25</t>
  </si>
  <si>
    <t xml:space="preserve">GAIL </t>
  </si>
  <si>
    <t>NOC 05-05-25</t>
  </si>
  <si>
    <t>AP12/0-AP13/0</t>
  </si>
  <si>
    <t>AP21/0-AP22/0</t>
  </si>
  <si>
    <t>AP39/0-AP40/0</t>
  </si>
  <si>
    <t>Shikhar Pratap</t>
  </si>
  <si>
    <t>Spotyfy</t>
  </si>
  <si>
    <t>WIP</t>
  </si>
  <si>
    <t>4/0-5/0</t>
  </si>
  <si>
    <t>Length in MTR</t>
  </si>
  <si>
    <t>B K CONSTRUCTION</t>
  </si>
  <si>
    <t>AP17/0-AP18/0</t>
  </si>
  <si>
    <t>Insulator hoisting wip</t>
  </si>
  <si>
    <t>AP38/0-AP39/0</t>
  </si>
  <si>
    <t>5/0-7/6</t>
  </si>
  <si>
    <t>7/6-8B/0</t>
  </si>
  <si>
    <t>DRUM NO.</t>
  </si>
  <si>
    <t>DRUM-3</t>
  </si>
  <si>
    <t>DRUM-4</t>
  </si>
  <si>
    <t>DRUM-5</t>
  </si>
  <si>
    <t>TA 416</t>
  </si>
  <si>
    <t>As per L2 till Oct'25</t>
  </si>
  <si>
    <t>AP19/0-AP20/0</t>
  </si>
  <si>
    <t>34/0-35/0</t>
  </si>
  <si>
    <t>DRUM-17</t>
  </si>
  <si>
    <t>35/0-36/0</t>
  </si>
  <si>
    <t>DRUM-18</t>
  </si>
  <si>
    <t>Pinki Dewi</t>
  </si>
  <si>
    <t>AP13/0-AP14/0</t>
  </si>
  <si>
    <t>PLC</t>
  </si>
  <si>
    <t>PIPE LINE</t>
  </si>
  <si>
    <t>33/0-34/0</t>
  </si>
  <si>
    <t>31/0-33/0</t>
  </si>
  <si>
    <t>DRUM-16</t>
  </si>
  <si>
    <t>DRUM-15</t>
  </si>
  <si>
    <t>Top Phase Paying out</t>
  </si>
  <si>
    <t>Niranjan Singh</t>
  </si>
  <si>
    <t>DC+25</t>
  </si>
  <si>
    <t>NIRANJAN SINGH</t>
  </si>
  <si>
    <t>Number of TSE</t>
  </si>
  <si>
    <t>RATE/KM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</si>
  <si>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</si>
  <si>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</si>
  <si>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</si>
  <si>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</si>
  <si>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</si>
  <si>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</si>
  <si>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</si>
  <si>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</si>
  <si>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</si>
  <si>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</si>
  <si>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</si>
  <si>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</si>
  <si>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Hindrance</t>
  </si>
  <si>
    <t>REVENUE</t>
  </si>
  <si>
    <t>UP</t>
  </si>
  <si>
    <t>AP7/0</t>
  </si>
  <si>
    <t>AP8/0</t>
  </si>
  <si>
    <t>TSE</t>
  </si>
  <si>
    <t>Ready</t>
  </si>
  <si>
    <t>ANARUL ISLAM</t>
  </si>
  <si>
    <t>AP6/0</t>
  </si>
  <si>
    <t>AP35/0</t>
  </si>
  <si>
    <t>AP36/0</t>
  </si>
  <si>
    <t>S K INFRA</t>
  </si>
  <si>
    <t>AP31/0</t>
  </si>
  <si>
    <t>AP32/0</t>
  </si>
  <si>
    <t>Manual</t>
  </si>
  <si>
    <t>AP33/0</t>
  </si>
  <si>
    <t>AP9/0</t>
  </si>
  <si>
    <t>AP34/0</t>
  </si>
  <si>
    <t>AP5/0</t>
  </si>
  <si>
    <t>AP10/0</t>
  </si>
  <si>
    <t>AP4/0</t>
  </si>
  <si>
    <t>AP14/0</t>
  </si>
  <si>
    <t>AP15/0</t>
  </si>
  <si>
    <t>AP37/0</t>
  </si>
  <si>
    <t>37/0 ERECTION WIP</t>
  </si>
  <si>
    <t>AP3/0</t>
  </si>
  <si>
    <t>AP30/0</t>
  </si>
  <si>
    <t>AP20/0</t>
  </si>
  <si>
    <t>AP21/0</t>
  </si>
  <si>
    <t>J PG CON</t>
  </si>
  <si>
    <t>AP12/0</t>
  </si>
  <si>
    <t>AP13/0</t>
  </si>
  <si>
    <t>AP39/0</t>
  </si>
  <si>
    <t>AP40/0</t>
  </si>
  <si>
    <t>AP22/0</t>
  </si>
  <si>
    <t>INSULATOR HOISTING</t>
  </si>
  <si>
    <t>AP38/0</t>
  </si>
  <si>
    <t>TSE-2</t>
  </si>
  <si>
    <t>AP19/0</t>
  </si>
  <si>
    <t>TSE-1</t>
  </si>
  <si>
    <t>AP17/0</t>
  </si>
  <si>
    <t>AP18/0</t>
  </si>
  <si>
    <t>Aloriva Global</t>
  </si>
  <si>
    <t>Sarvesh Enterprise</t>
  </si>
  <si>
    <t>Gang Mobilized.</t>
  </si>
  <si>
    <t>1 Gang shift to PGCIL site Chatri Narela line.</t>
  </si>
  <si>
    <t>Gang shift to Chatri Narela line on PGCIL request</t>
  </si>
  <si>
    <t>Gang left side for PGCIL request Chatri Narela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</si>
</sst>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_ ;_ * \-#,##0_ ;_ * &quot;-&quot;_ ;_ @_ "/>
    <numFmt numFmtId="165" formatCode="_ * #,##0.00_ ;_ * \-#,##0.00_ ;_ * &quot;-&quot;??_ ;_ @_ "/>
    <numFmt numFmtId="166" formatCode="_-&quot;£&quot;* #,##0.00_-;\-&quot;£&quot;* #,##0.00_-;_-&quot;£&quot;* &quot;-&quot;??_-;_-@_-"/>
    <numFmt numFmtId="167" formatCode="0.0"/>
    <numFmt numFmtId="168" formatCode="0.000"/>
    <numFmt numFmtId="169" formatCode="[$-409]dd/mmm/yy;@"/>
    <numFmt numFmtId="170" formatCode="0.0_)"/>
    <numFmt numFmtId="171" formatCode="#,##0.000_);\(#,##0.000\)"/>
    <numFmt numFmtId="172" formatCode=";;"/>
    <numFmt numFmtId="173" formatCode="General_)"/>
    <numFmt numFmtId="174" formatCode="&quot;\&quot;#,##0.00;[Red]\-&quot;\&quot;#,##0.00"/>
    <numFmt numFmtId="175" formatCode="_(* #,##0.00_);_(* \(#,##0.00\);_(* \-??_);_(@_)"/>
    <numFmt numFmtId="176" formatCode="[$-409]mmm\-yy;@"/>
    <numFmt numFmtId="177" formatCode="_(&quot;Rs.&quot;* #,##0_);_(&quot;Rs.&quot;* \(#,##0\);_(&quot;Rs.&quot;* &quot;-&quot;_);_(@_)"/>
    <numFmt numFmtId="178" formatCode="_(&quot;$&quot;\ * #,##0.00_);_(&quot;$&quot;\ * \(#,##0.00\);_(&quot;$&quot;\ * &quot;-&quot;??_);_(@_)"/>
    <numFmt numFmtId="179" formatCode="_(&quot;Rs.&quot;* #,##0.00_);_(&quot;Rs.&quot;* \(#,##0.00\);_(&quot;Rs.&quot;* &quot;-&quot;??_);_(@_)"/>
    <numFmt numFmtId="180" formatCode="_-* #,##0\ _k_r_-;\-* #,##0\ _k_r_-;_-* &quot;-&quot;\ _k_r_-;_-@_-"/>
    <numFmt numFmtId="181" formatCode="_-* #,##0.00\ _k_r_-;\-* #,##0.00\ _k_r_-;_-* &quot;-&quot;??\ _k_r_-;_-@_-"/>
    <numFmt numFmtId="182" formatCode="_([$€-2]* #,##0.00_);_([$€-2]* \(#,##0.00\);_([$€-2]* &quot;-&quot;??_)"/>
    <numFmt numFmtId="183" formatCode="[$-409]General"/>
    <numFmt numFmtId="184" formatCode="&quot;Rs.&quot;#,##0.00_);[Red]\(&quot;Rs.&quot;#,##0.00\)"/>
    <numFmt numFmtId="185" formatCode="#,##0.0"/>
    <numFmt numFmtId="186" formatCode="0.00_)"/>
    <numFmt numFmtId="187" formatCode="&quot;Rs.&quot;#,##0.00_);\(&quot;Rs.&quot;#,##0.00\)"/>
    <numFmt numFmtId="188" formatCode="_-* #,##0\ _D_M_-;\-* #,##0\ _D_M_-;_-* &quot;-&quot;\ _D_M_-;_-@_-"/>
    <numFmt numFmtId="189" formatCode="_-* #,##0.00\ _D_M_-;\-* #,##0.00\ _D_M_-;_-* &quot;-&quot;??\ _D_M_-;_-@_-"/>
    <numFmt numFmtId="190" formatCode="_-* #,##0\ _F_-;\-* #,##0\ _F_-;_-* &quot;-&quot;\ _F_-;_-@_-"/>
    <numFmt numFmtId="191" formatCode="_-* #,##0.00\ _F_-;\-* #,##0.00\ _F_-;_-* &quot;-&quot;??\ _F_-;_-@_-"/>
    <numFmt numFmtId="192" formatCode="_-* #,##0\ &quot;DM&quot;_-;\-* #,##0\ &quot;DM&quot;_-;_-* &quot;-&quot;\ &quot;DM&quot;_-;_-@_-"/>
    <numFmt numFmtId="193" formatCode="_-* #,##0.00\ &quot;DM&quot;_-;\-* #,##0.00\ &quot;DM&quot;_-;_-* &quot;-&quot;??\ &quot;DM&quot;_-;_-@_-"/>
    <numFmt numFmtId="194" formatCode="_-* #,##0\ &quot;F&quot;_-;\-* #,##0\ &quot;F&quot;_-;_-* &quot;-&quot;\ &quot;F&quot;_-;_-@_-"/>
    <numFmt numFmtId="195" formatCode="_-* #,##0.00\ &quot;F&quot;_-;\-* #,##0.00\ &quot;F&quot;_-;_-* &quot;-&quot;??\ &quot;F&quot;_-;_-@_-"/>
    <numFmt numFmtId="196" formatCode="_ &quot;CHF&quot;\ * #,##0_ ;_ &quot;CHF&quot;\ * \-#,##0_ ;_ &quot;CHF&quot;\ * &quot;-&quot;_ ;_ @_ "/>
    <numFmt numFmtId="197" formatCode="_ &quot;kr&quot;\ * #,##0_ ;_ &quot;kr&quot;\ * \-#,##0_ ;_ &quot;kr&quot;\ * &quot;-&quot;_ ;_ @_ "/>
    <numFmt numFmtId="198" formatCode="_ &quot;CHF&quot;\ * #,##0.00_ ;_ &quot;CHF&quot;\ * \-#,##0.00_ ;_ &quot;CHF&quot;\ * &quot;-&quot;??_ ;_ @_ "/>
    <numFmt numFmtId="199" formatCode="_-* #,##0\ &quot;kr&quot;_-;\-* #,##0\ &quot;kr&quot;_-;_-* &quot;-&quot;\ &quot;kr&quot;_-;_-@_-"/>
    <numFmt numFmtId="200" formatCode="_-* #,##0.00\ &quot;kr&quot;_-;\-* #,##0.00\ &quot;kr&quot;_-;_-* &quot;-&quot;??\ &quot;kr&quot;_-;_-@_-"/>
    <numFmt numFmtId="201" formatCode="_ &quot;\&quot;* #,##0_ ;_ &quot;\&quot;* \-#,##0_ ;_ &quot;\&quot;* &quot;-&quot;_ ;_ @_ "/>
    <numFmt numFmtId="202" formatCode="_ &quot;\&quot;* #,##0.00_ ;_ &quot;\&quot;* \-#,##0.00_ ;_ &quot;\&quot;* &quot;-&quot;??_ ;_ @_ "/>
    <numFmt numFmtId="203" formatCode="_ * #,##0_ ;_ * \-#,##0_ ;_ * &quot;-&quot;??_ ;_ @_ "/>
    <numFmt numFmtId="204" formatCode="0.0000"/>
  </numFmts>
  <fonts count="177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ahoma"/>
      <family val="2"/>
    </font>
    <font>
      <sz val="11"/>
      <color theme="0"/>
      <name val="Calibri"/>
      <family val="2"/>
      <scheme val="minor"/>
    </font>
    <font>
      <sz val="9"/>
      <name val="Tahoma"/>
      <family val="2"/>
    </font>
    <font>
      <sz val="11"/>
      <color theme="1"/>
      <name val="Calibri"/>
      <family val="2"/>
      <scheme val="minor"/>
    </font>
    <font>
      <sz val="12"/>
      <name val="Tahoma"/>
      <family val="2"/>
    </font>
    <font>
      <b/>
      <u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2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  <charset val="222"/>
    </font>
    <font>
      <sz val="10"/>
      <name val="Helv"/>
    </font>
    <font>
      <sz val="10"/>
      <name val="Helv"/>
      <charset val="134"/>
    </font>
    <font>
      <sz val="11"/>
      <color indexed="10"/>
      <name val="Calibri"/>
      <family val="2"/>
    </font>
    <font>
      <sz val="10"/>
      <name val="Times New Roman"/>
      <family val="1"/>
    </font>
    <font>
      <sz val="11"/>
      <color indexed="20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Tahoma"/>
      <family val="2"/>
    </font>
    <font>
      <sz val="10"/>
      <color indexed="8"/>
      <name val="Arial"/>
      <family val="2"/>
    </font>
    <font>
      <b/>
      <sz val="12"/>
      <name val="Times New Roman"/>
      <family val="1"/>
    </font>
    <font>
      <sz val="11"/>
      <name val="Courier"/>
      <family val="3"/>
    </font>
    <font>
      <sz val="12"/>
      <name val="Helv"/>
    </font>
    <font>
      <sz val="16"/>
      <name val="Tms Rmn"/>
    </font>
    <font>
      <b/>
      <sz val="1"/>
      <color indexed="8"/>
      <name val="Courier"/>
      <family val="3"/>
    </font>
    <font>
      <b/>
      <sz val="11"/>
      <color indexed="8"/>
      <name val="Calibri"/>
      <family val="2"/>
    </font>
    <font>
      <sz val="11"/>
      <color indexed="62"/>
      <name val="Calibri"/>
      <family val="2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rgb="FF000000"/>
      <name val="Calibri"/>
      <family val="2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2"/>
      <name val="Marigold"/>
      <family val="4"/>
    </font>
    <font>
      <u/>
      <sz val="8.8000000000000007"/>
      <color theme="10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u/>
      <sz val="9"/>
      <color indexed="12"/>
      <name val="Arial"/>
      <family val="2"/>
    </font>
    <font>
      <b/>
      <sz val="14"/>
      <name val="Helv"/>
    </font>
    <font>
      <b/>
      <sz val="12"/>
      <name val="Tms Rmn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color rgb="FF000000"/>
      <name val="Times New Roman"/>
      <family val="1"/>
    </font>
    <font>
      <sz val="11"/>
      <color rgb="FF00000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0"/>
      <name val="Verdana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b/>
      <sz val="18"/>
      <color indexed="62"/>
      <name val="Cambria"/>
      <family val="1"/>
    </font>
    <font>
      <u/>
      <sz val="9"/>
      <color indexed="36"/>
      <name val="Arial"/>
      <family val="2"/>
    </font>
    <font>
      <b/>
      <sz val="12"/>
      <color indexed="48"/>
      <name val="Arial"/>
      <family val="2"/>
    </font>
    <font>
      <b/>
      <sz val="11"/>
      <name val="Times New Roman"/>
      <family val="1"/>
    </font>
    <font>
      <sz val="24"/>
      <color indexed="13"/>
      <name val="Helv"/>
    </font>
    <font>
      <sz val="14"/>
      <color indexed="13"/>
      <name val="Tms Rmn"/>
    </font>
    <font>
      <b/>
      <sz val="18"/>
      <color indexed="56"/>
      <name val="Cambria"/>
      <family val="2"/>
    </font>
    <font>
      <sz val="12"/>
      <name val="바탕체"/>
      <charset val="129"/>
    </font>
    <font>
      <sz val="11"/>
      <name val="돋움"/>
      <charset val="129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rgb="FF4E515E"/>
      <name val="Calibri Light"/>
      <family val="1"/>
      <scheme val="major"/>
    </font>
    <font>
      <b/>
      <sz val="16"/>
      <color rgb="FFFF0000"/>
      <name val="Calibri Light"/>
      <family val="1"/>
      <scheme val="major"/>
    </font>
    <font>
      <b/>
      <sz val="10"/>
      <name val="Arial"/>
      <family val="2"/>
    </font>
    <font>
      <b/>
      <sz val="10"/>
      <color theme="2" tint="-0.749992370372631"/>
      <name val="Calibri Light"/>
      <family val="1"/>
      <scheme val="major"/>
    </font>
    <font>
      <sz val="8"/>
      <color theme="2" tint="-0.749992370372631"/>
      <name val="Calibri Light"/>
      <family val="1"/>
      <scheme val="major"/>
    </font>
    <font>
      <sz val="10"/>
      <color theme="2" tint="-0.749992370372631"/>
      <name val="Calibri Light"/>
      <family val="1"/>
      <scheme val="major"/>
    </font>
    <font>
      <sz val="11"/>
      <color theme="2" tint="-0.749992370372631"/>
      <name val="Calibri Light"/>
      <family val="1"/>
      <scheme val="major"/>
    </font>
    <font>
      <b/>
      <sz val="14"/>
      <color theme="2" tint="-0.749992370372631"/>
      <name val="Calibri Light"/>
      <family val="1"/>
      <scheme val="major"/>
    </font>
    <font>
      <sz val="11"/>
      <color theme="2" tint="-0.749992370372631"/>
      <name val="Calibri"/>
      <family val="2"/>
      <scheme val="minor"/>
    </font>
    <font>
      <b/>
      <sz val="11"/>
      <color theme="2" tint="-0.749992370372631"/>
      <name val="Calibri Light"/>
      <family val="1"/>
      <scheme val="major"/>
    </font>
    <font>
      <b/>
      <sz val="16"/>
      <color theme="2" tint="-0.749992370372631"/>
      <name val="Calibri Light"/>
      <family val="1"/>
      <scheme val="major"/>
    </font>
    <font>
      <sz val="11"/>
      <color theme="2" tint="-0.749992370372631"/>
      <name val="Calibri Light"/>
      <family val="2"/>
      <scheme val="major"/>
    </font>
    <font>
      <b/>
      <sz val="11"/>
      <color theme="2" tint="-0.749992370372631"/>
      <name val="Calibri Light"/>
      <family val="2"/>
      <scheme val="major"/>
    </font>
    <font>
      <sz val="12"/>
      <color theme="2" tint="-0.749992370372631"/>
      <name val="Calibri Light"/>
      <family val="1"/>
      <scheme val="major"/>
    </font>
    <font>
      <sz val="14"/>
      <color theme="1"/>
      <name val="Calibri"/>
      <family val="2"/>
      <scheme val="minor"/>
    </font>
    <font>
      <b/>
      <sz val="12"/>
      <name val="Tahoma"/>
      <family val="2"/>
    </font>
    <font>
      <b/>
      <sz val="10"/>
      <name val="Tahoma"/>
      <family val="2"/>
    </font>
    <font>
      <b/>
      <u/>
      <sz val="14"/>
      <color rgb="FFFF0000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b/>
      <sz val="9"/>
      <color theme="1" tint="0.1499984740745262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Tahoma"/>
      <family val="2"/>
    </font>
    <font>
      <b/>
      <sz val="12"/>
      <color rgb="FF00CC00"/>
      <name val="Calibri"/>
      <family val="2"/>
      <scheme val="minor"/>
    </font>
    <font>
      <b/>
      <sz val="12"/>
      <color theme="2" tint="-0.749992370372631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12"/>
      <name val="Calibri"/>
      <family val="2"/>
      <scheme val="minor"/>
    </font>
    <font>
      <sz val="14"/>
      <name val="Calibri"/>
      <family val="2"/>
    </font>
    <font>
      <sz val="14"/>
      <name val="Calibri"/>
      <family val="1"/>
    </font>
    <font>
      <sz val="14"/>
      <color rgb="FF000000"/>
      <name val="Times New Roman"/>
      <family val="1"/>
    </font>
    <font>
      <sz val="14"/>
      <name val="Times New Roman"/>
      <family val="1"/>
    </font>
    <font>
      <b/>
      <sz val="11"/>
      <color rgb="FFE40000"/>
      <name val="Calibri"/>
      <family val="2"/>
      <scheme val="minor"/>
    </font>
    <font>
      <b/>
      <sz val="12"/>
      <color theme="2" tint="-0.749992370372631"/>
      <name val="Calibri Light"/>
      <family val="1"/>
      <scheme val="major"/>
    </font>
    <font>
      <b/>
      <sz val="11"/>
      <color theme="2" tint="-0.74999237037263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Tahoma"/>
      <family val="2"/>
    </font>
    <font>
      <b/>
      <sz val="11"/>
      <color rgb="FFFF0000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  <font>
      <b/>
      <sz val="14"/>
      <color theme="2" tint="-0.89999084444715716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2" tint="-0.749992370372631"/>
      <name val="Calibri Light"/>
      <family val="1"/>
      <scheme val="major"/>
    </font>
    <font>
      <b/>
      <sz val="22"/>
      <color rgb="FFE4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4"/>
      <color rgb="FFE40000"/>
      <name val="Calibri"/>
      <family val="2"/>
      <scheme val="minor"/>
    </font>
    <font>
      <sz val="16"/>
      <color rgb="FFE40000"/>
      <name val="Calibri"/>
      <family val="2"/>
      <scheme val="minor"/>
    </font>
    <font>
      <b/>
      <sz val="20"/>
      <color rgb="FFE40000"/>
      <name val="Calibri"/>
      <family val="2"/>
      <scheme val="minor"/>
    </font>
    <font>
      <b/>
      <sz val="14"/>
      <color rgb="FFFF0000"/>
      <name val="Calibri Light"/>
      <family val="2"/>
      <scheme val="major"/>
    </font>
    <font>
      <b/>
      <u/>
      <sz val="16"/>
      <color rgb="FFFF0000"/>
      <name val="Calibri Light"/>
      <family val="2"/>
      <scheme val="major"/>
    </font>
    <font>
      <b/>
      <u/>
      <sz val="14"/>
      <color rgb="FFFF0000"/>
      <name val="Calibri Light"/>
      <family val="2"/>
      <scheme val="major"/>
    </font>
    <font>
      <b/>
      <sz val="14"/>
      <color theme="1"/>
      <name val="Calibri Light"/>
      <family val="1"/>
      <scheme val="major"/>
    </font>
    <font>
      <b/>
      <sz val="14"/>
      <color theme="1"/>
      <name val="Calibri Light"/>
      <family val="2"/>
      <scheme val="major"/>
    </font>
    <font>
      <b/>
      <sz val="12"/>
      <color rgb="FFE40000"/>
      <name val="Calibri"/>
      <family val="2"/>
      <scheme val="minor"/>
    </font>
    <font>
      <sz val="9"/>
      <color theme="2" tint="-0.74999237037263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2"/>
      <color rgb="FFFF0000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1"/>
      <color rgb="FFFF0000"/>
      <name val="Calibri"/>
      <family val="2"/>
      <scheme val="minor"/>
    </font>
    <font>
      <b/>
      <sz val="8"/>
      <color theme="2" tint="-0.749992370372631"/>
      <name val="Calibri Light"/>
      <family val="2"/>
      <scheme val="major"/>
    </font>
    <font>
      <b/>
      <sz val="10"/>
      <name val="Calibri"/>
      <family val="2"/>
      <scheme val="minor"/>
    </font>
    <font>
      <sz val="12"/>
      <name val="Calibri Light"/>
      <family val="2"/>
      <scheme val="major"/>
    </font>
    <font>
      <sz val="10"/>
      <name val="Book Antiqua"/>
      <family val="1"/>
    </font>
    <font>
      <sz val="9"/>
      <name val="Book Antiqua"/>
      <family val="1"/>
    </font>
    <font>
      <b/>
      <u/>
      <sz val="18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1"/>
      <name val="Tahoma"/>
      <family val="2"/>
    </font>
    <font>
      <b/>
      <sz val="11"/>
      <name val="Book Antiqua"/>
      <family val="1"/>
    </font>
    <font>
      <sz val="12"/>
      <color theme="1"/>
      <name val="Arial"/>
      <family val="2"/>
    </font>
    <font>
      <sz val="11"/>
      <color indexed="8"/>
      <name val="Calibri"/>
      <family val="2"/>
      <scheme val="minor"/>
    </font>
    <font>
      <b/>
      <sz val="12"/>
      <color theme="1"/>
      <name val="Arial"/>
      <family val="2"/>
    </font>
    <font>
      <b/>
      <sz val="12"/>
      <name val="Book Antiqua"/>
      <family val="1"/>
    </font>
    <font>
      <b/>
      <sz val="10"/>
      <name val="Book Antiqua"/>
      <family val="1"/>
    </font>
    <font>
      <sz val="10"/>
      <color indexed="8"/>
      <name val="Book Antiqua"/>
      <family val="1"/>
    </font>
    <font>
      <b/>
      <sz val="11"/>
      <color rgb="FF000000"/>
      <name val="Arial"/>
      <family val="2"/>
    </font>
    <font>
      <b/>
      <sz val="12"/>
      <color rgb="FF4E515E"/>
      <name val="Calibri Light"/>
      <family val="1"/>
      <scheme val="major"/>
    </font>
    <font>
      <b/>
      <sz val="11"/>
      <color rgb="FF4E515E"/>
      <name val="Calibri Light"/>
      <family val="1"/>
      <scheme val="major"/>
    </font>
    <font>
      <sz val="12"/>
      <name val="Arial"/>
      <family val="2"/>
    </font>
    <font>
      <sz val="12"/>
      <name val="Book Antiqua"/>
      <family val="1"/>
    </font>
    <font>
      <b/>
      <sz val="10"/>
      <color rgb="FFFF0000"/>
      <name val="Calibri Light"/>
      <family val="1"/>
      <scheme val="major"/>
    </font>
  </fonts>
  <fills count="8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</patternFill>
    </fill>
    <fill>
      <patternFill patternType="solid">
        <fgColor rgb="FFFFC00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43"/>
      </patternFill>
    </fill>
    <fill>
      <patternFill patternType="solid">
        <fgColor indexed="12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theme="8" tint="0.39997558519241921"/>
      </bottom>
      <diagonal/>
    </border>
    <border>
      <left/>
      <right/>
      <top/>
      <bottom style="medium">
        <color theme="8" tint="0.39997558519241921"/>
      </bottom>
      <diagonal/>
    </border>
    <border>
      <left style="medium">
        <color theme="8" tint="0.39997558519241921"/>
      </left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/>
      <bottom style="medium">
        <color theme="8" tint="0.39997558519241921"/>
      </bottom>
      <diagonal/>
    </border>
    <border>
      <left/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 style="thin">
        <color indexed="64"/>
      </top>
      <bottom style="medium">
        <color theme="8" tint="0.39997558519241921"/>
      </bottom>
      <diagonal/>
    </border>
    <border>
      <left/>
      <right style="medium">
        <color theme="8" tint="0.39997558519241921"/>
      </right>
      <top style="thin">
        <color indexed="64"/>
      </top>
      <bottom style="medium">
        <color theme="8" tint="0.39997558519241921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theme="2" tint="-0.499984740745262"/>
      </left>
      <right/>
      <top style="thick">
        <color theme="2" tint="-0.499984740745262"/>
      </top>
      <bottom style="thick">
        <color theme="2" tint="-0.499984740745262"/>
      </bottom>
      <diagonal/>
    </border>
    <border>
      <left/>
      <right/>
      <top style="thick">
        <color theme="2" tint="-0.499984740745262"/>
      </top>
      <bottom style="thick">
        <color theme="2" tint="-0.499984740745262"/>
      </bottom>
      <diagonal/>
    </border>
    <border>
      <left/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theme="2" tint="-0.499984740745262"/>
      </left>
      <right/>
      <top/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/>
      <diagonal/>
    </border>
    <border>
      <left/>
      <right/>
      <top style="thick">
        <color theme="2" tint="-0.499984740745262"/>
      </top>
      <bottom/>
      <diagonal/>
    </border>
    <border>
      <left style="thick">
        <color theme="2" tint="-0.499984740745262"/>
      </left>
      <right/>
      <top style="thin">
        <color indexed="64"/>
      </top>
      <bottom style="thick">
        <color theme="2" tint="-0.499984740745262"/>
      </bottom>
      <diagonal/>
    </border>
    <border>
      <left/>
      <right/>
      <top style="thin">
        <color indexed="64"/>
      </top>
      <bottom style="thick">
        <color theme="2" tint="-0.499984740745262"/>
      </bottom>
      <diagonal/>
    </border>
    <border>
      <left/>
      <right style="thick">
        <color theme="2" tint="-0.499984740745262"/>
      </right>
      <top/>
      <bottom style="thick">
        <color theme="2" tint="-0.499984740745262"/>
      </bottom>
      <diagonal/>
    </border>
    <border>
      <left style="medium">
        <color indexed="64"/>
      </left>
      <right style="thick">
        <color theme="2" tint="-0.499984740745262"/>
      </right>
      <top/>
      <bottom style="medium">
        <color indexed="64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medium">
        <color indexed="64"/>
      </bottom>
      <diagonal/>
    </border>
    <border>
      <left style="thick">
        <color theme="2" tint="-0.499984740745262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theme="2" tint="-0.499984740745262"/>
      </right>
      <top style="medium">
        <color indexed="64"/>
      </top>
      <bottom/>
      <diagonal/>
    </border>
    <border>
      <left style="thick">
        <color theme="2" tint="-0.499984740745262"/>
      </left>
      <right style="thick">
        <color theme="2" tint="-0.499984740745262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theme="2" tint="-0.499984740745262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423">
    <xf numFmtId="0" fontId="0" fillId="0" borderId="0"/>
    <xf numFmtId="0" fontId="1" fillId="0" borderId="0"/>
    <xf numFmtId="0" fontId="3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9" fontId="1" fillId="0" borderId="0" applyFont="0" applyFill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9" fontId="17" fillId="0" borderId="0"/>
    <xf numFmtId="9" fontId="17" fillId="0" borderId="0"/>
    <xf numFmtId="0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0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0" fontId="16" fillId="34" borderId="0" applyNumberFormat="0" applyBorder="0" applyAlignment="0" applyProtection="0"/>
    <xf numFmtId="169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0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0" fontId="16" fillId="38" borderId="0" applyNumberFormat="0" applyBorder="0" applyAlignment="0" applyProtection="0"/>
    <xf numFmtId="169" fontId="16" fillId="38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0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0" fontId="16" fillId="37" borderId="0" applyNumberFormat="0" applyBorder="0" applyAlignment="0" applyProtection="0"/>
    <xf numFmtId="169" fontId="16" fillId="37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0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0" fontId="16" fillId="37" borderId="0" applyNumberFormat="0" applyBorder="0" applyAlignment="0" applyProtection="0"/>
    <xf numFmtId="169" fontId="16" fillId="37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0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0" fontId="16" fillId="34" borderId="0" applyNumberFormat="0" applyBorder="0" applyAlignment="0" applyProtection="0"/>
    <xf numFmtId="169" fontId="16" fillId="34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0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0" fontId="16" fillId="43" borderId="0" applyNumberFormat="0" applyBorder="0" applyAlignment="0" applyProtection="0"/>
    <xf numFmtId="169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16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8" fillId="0" borderId="0"/>
    <xf numFmtId="169" fontId="19" fillId="0" borderId="0"/>
    <xf numFmtId="0" fontId="18" fillId="0" borderId="0"/>
    <xf numFmtId="0" fontId="18" fillId="0" borderId="0"/>
    <xf numFmtId="169" fontId="19" fillId="0" borderId="0"/>
    <xf numFmtId="0" fontId="18" fillId="0" borderId="0"/>
    <xf numFmtId="0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71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173" fontId="21" fillId="0" borderId="3">
      <protection locked="0"/>
    </xf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38" fontId="23" fillId="0" borderId="0" applyFill="0" applyBorder="0" applyAlignment="0" applyProtection="0"/>
    <xf numFmtId="0" fontId="24" fillId="0" borderId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6" fillId="0" borderId="27" applyNumberFormat="0" applyFill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174" fontId="1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67" fontId="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5" fontId="1" fillId="0" borderId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5" fontId="1" fillId="0" borderId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6" fontId="29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7" fontId="1" fillId="0" borderId="0">
      <protection locked="0"/>
    </xf>
    <xf numFmtId="0" fontId="1" fillId="47" borderId="29" applyNumberFormat="0" applyFont="0" applyAlignment="0" applyProtection="0"/>
    <xf numFmtId="0" fontId="30" fillId="0" borderId="0"/>
    <xf numFmtId="173" fontId="31" fillId="0" borderId="14" applyNumberFormat="0" applyBorder="0" applyAlignment="0" applyProtection="0">
      <protection locked="0"/>
    </xf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9" fontId="1" fillId="0" borderId="0">
      <protection locked="0"/>
    </xf>
    <xf numFmtId="0" fontId="32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30"/>
    <xf numFmtId="0" fontId="33" fillId="0" borderId="30"/>
    <xf numFmtId="0" fontId="32" fillId="0" borderId="30"/>
    <xf numFmtId="0" fontId="32" fillId="0" borderId="30"/>
    <xf numFmtId="0" fontId="33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2" fillId="0" borderId="30"/>
    <xf numFmtId="0" fontId="32" fillId="0" borderId="30"/>
    <xf numFmtId="0" fontId="32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4" fillId="0" borderId="0">
      <protection locked="0"/>
    </xf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35" fillId="48" borderId="0" applyNumberFormat="0" applyBorder="0" applyAlignment="0" applyProtection="0"/>
    <xf numFmtId="169" fontId="35" fillId="48" borderId="0" applyNumberFormat="0" applyBorder="0" applyAlignment="0" applyProtection="0"/>
    <xf numFmtId="0" fontId="35" fillId="49" borderId="0" applyNumberFormat="0" applyBorder="0" applyAlignment="0" applyProtection="0"/>
    <xf numFmtId="169" fontId="35" fillId="49" borderId="0" applyNumberFormat="0" applyBorder="0" applyAlignment="0" applyProtection="0"/>
    <xf numFmtId="0" fontId="35" fillId="50" borderId="0" applyNumberFormat="0" applyBorder="0" applyAlignment="0" applyProtection="0"/>
    <xf numFmtId="169" fontId="35" fillId="50" borderId="0" applyNumberFormat="0" applyBorder="0" applyAlignment="0" applyProtection="0"/>
    <xf numFmtId="0" fontId="36" fillId="24" borderId="26" applyNumberFormat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37" fillId="0" borderId="0"/>
    <xf numFmtId="0" fontId="38" fillId="0" borderId="0"/>
    <xf numFmtId="0" fontId="8" fillId="0" borderId="0"/>
    <xf numFmtId="183" fontId="39" fillId="0" borderId="0"/>
    <xf numFmtId="0" fontId="1" fillId="0" borderId="0"/>
    <xf numFmtId="0" fontId="37" fillId="0" borderId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>
      <protection locked="0"/>
    </xf>
    <xf numFmtId="169" fontId="41" fillId="0" borderId="0">
      <protection locked="0"/>
    </xf>
    <xf numFmtId="0" fontId="41" fillId="0" borderId="0">
      <protection locked="0"/>
    </xf>
    <xf numFmtId="169" fontId="41" fillId="0" borderId="0">
      <protection locked="0"/>
    </xf>
    <xf numFmtId="0" fontId="42" fillId="0" borderId="0">
      <protection locked="0"/>
    </xf>
    <xf numFmtId="169" fontId="42" fillId="0" borderId="0">
      <protection locked="0"/>
    </xf>
    <xf numFmtId="0" fontId="41" fillId="0" borderId="0">
      <protection locked="0"/>
    </xf>
    <xf numFmtId="169" fontId="41" fillId="0" borderId="0">
      <protection locked="0"/>
    </xf>
    <xf numFmtId="0" fontId="41" fillId="0" borderId="0">
      <protection locked="0"/>
    </xf>
    <xf numFmtId="169" fontId="41" fillId="0" borderId="0">
      <protection locked="0"/>
    </xf>
    <xf numFmtId="0" fontId="41" fillId="0" borderId="0">
      <protection locked="0"/>
    </xf>
    <xf numFmtId="169" fontId="41" fillId="0" borderId="0">
      <protection locked="0"/>
    </xf>
    <xf numFmtId="0" fontId="42" fillId="0" borderId="0">
      <protection locked="0"/>
    </xf>
    <xf numFmtId="169" fontId="42" fillId="0" borderId="0">
      <protection locked="0"/>
    </xf>
    <xf numFmtId="184" fontId="1" fillId="0" borderId="0">
      <protection locked="0"/>
    </xf>
    <xf numFmtId="0" fontId="21" fillId="0" borderId="15" applyNumberFormat="0" applyFill="0" applyBorder="0" applyAlignment="0" applyProtection="0">
      <protection locked="0"/>
    </xf>
    <xf numFmtId="169" fontId="21" fillId="0" borderId="15" applyNumberFormat="0" applyFill="0" applyBorder="0" applyAlignment="0" applyProtection="0">
      <protection locked="0"/>
    </xf>
    <xf numFmtId="185" fontId="43" fillId="0" borderId="24">
      <alignment horizontal="right"/>
    </xf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38" fontId="45" fillId="51" borderId="0" applyNumberFormat="0" applyBorder="0" applyAlignment="0" applyProtection="0"/>
    <xf numFmtId="0" fontId="46" fillId="0" borderId="0" applyNumberFormat="0" applyFont="0" applyBorder="0" applyAlignment="0"/>
    <xf numFmtId="0" fontId="46" fillId="0" borderId="0" applyNumberFormat="0" applyFont="0" applyBorder="0" applyAlignment="0"/>
    <xf numFmtId="0" fontId="10" fillId="0" borderId="22" applyNumberFormat="0" applyAlignment="0" applyProtection="0">
      <alignment horizontal="left" vertical="center"/>
    </xf>
    <xf numFmtId="169" fontId="10" fillId="0" borderId="22" applyNumberFormat="0" applyAlignment="0" applyProtection="0">
      <alignment horizontal="left" vertical="center"/>
    </xf>
    <xf numFmtId="0" fontId="10" fillId="0" borderId="31">
      <alignment horizontal="left" vertical="center"/>
    </xf>
    <xf numFmtId="169" fontId="10" fillId="0" borderId="31">
      <alignment horizontal="left" vertical="center"/>
    </xf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186" fontId="50" fillId="0" borderId="5" applyNumberFormat="0" applyFont="0" applyBorder="0" applyAlignment="0"/>
    <xf numFmtId="186" fontId="50" fillId="0" borderId="5" applyNumberFormat="0" applyFont="0" applyBorder="0" applyAlignment="0"/>
    <xf numFmtId="0" fontId="51" fillId="0" borderId="0" applyNumberFormat="0" applyFill="0" applyBorder="0" applyAlignment="0" applyProtection="0">
      <alignment vertical="top"/>
      <protection locked="0"/>
    </xf>
    <xf numFmtId="169" fontId="52" fillId="0" borderId="0" applyNumberFormat="0" applyFill="0" applyBorder="0" applyAlignment="0" applyProtection="0">
      <alignment vertical="top"/>
      <protection locked="0"/>
    </xf>
    <xf numFmtId="169" fontId="52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69" fontId="53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0" fontId="45" fillId="52" borderId="1" applyNumberFormat="0" applyBorder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22" fillId="20" borderId="0" applyNumberFormat="0" applyBorder="0" applyAlignment="0" applyProtection="0"/>
    <xf numFmtId="0" fontId="55" fillId="53" borderId="30"/>
    <xf numFmtId="0" fontId="56" fillId="53" borderId="30"/>
    <xf numFmtId="0" fontId="55" fillId="53" borderId="30"/>
    <xf numFmtId="0" fontId="55" fillId="53" borderId="30"/>
    <xf numFmtId="0" fontId="56" fillId="53" borderId="30"/>
    <xf numFmtId="0" fontId="55" fillId="53" borderId="30"/>
    <xf numFmtId="0" fontId="56" fillId="53" borderId="30"/>
    <xf numFmtId="0" fontId="56" fillId="53" borderId="30"/>
    <xf numFmtId="0" fontId="56" fillId="53" borderId="30"/>
    <xf numFmtId="0" fontId="56" fillId="53" borderId="30"/>
    <xf numFmtId="0" fontId="56" fillId="53" borderId="30"/>
    <xf numFmtId="0" fontId="56" fillId="53" borderId="30"/>
    <xf numFmtId="0" fontId="55" fillId="53" borderId="30"/>
    <xf numFmtId="0" fontId="55" fillId="53" borderId="30"/>
    <xf numFmtId="0" fontId="55" fillId="53" borderId="30"/>
    <xf numFmtId="0" fontId="55" fillId="53" borderId="30"/>
    <xf numFmtId="0" fontId="56" fillId="53" borderId="30"/>
    <xf numFmtId="0" fontId="56" fillId="53" borderId="30"/>
    <xf numFmtId="0" fontId="56" fillId="53" borderId="30"/>
    <xf numFmtId="0" fontId="55" fillId="53" borderId="30"/>
    <xf numFmtId="0" fontId="56" fillId="53" borderId="30"/>
    <xf numFmtId="0" fontId="56" fillId="53" borderId="30"/>
    <xf numFmtId="0" fontId="56" fillId="53" borderId="30"/>
    <xf numFmtId="0" fontId="56" fillId="53" borderId="3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188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37" fontId="58" fillId="0" borderId="0"/>
    <xf numFmtId="186" fontId="59" fillId="0" borderId="0"/>
    <xf numFmtId="186" fontId="5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60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0" fillId="0" borderId="0"/>
    <xf numFmtId="169" fontId="1" fillId="0" borderId="0"/>
    <xf numFmtId="0" fontId="6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5" fillId="0" borderId="0"/>
    <xf numFmtId="169" fontId="1" fillId="0" borderId="0"/>
    <xf numFmtId="0" fontId="62" fillId="0" borderId="0"/>
    <xf numFmtId="0" fontId="63" fillId="0" borderId="0"/>
    <xf numFmtId="0" fontId="1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0" fontId="21" fillId="0" borderId="0"/>
    <xf numFmtId="0" fontId="21" fillId="0" borderId="0"/>
    <xf numFmtId="169" fontId="1" fillId="0" borderId="0"/>
    <xf numFmtId="0" fontId="2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1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0" fontId="1" fillId="0" borderId="0"/>
    <xf numFmtId="0" fontId="1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0" fontId="28" fillId="0" borderId="0"/>
    <xf numFmtId="0" fontId="28" fillId="0" borderId="0"/>
    <xf numFmtId="0" fontId="61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64" fillId="0" borderId="0">
      <alignment vertical="center"/>
    </xf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61" fillId="0" borderId="0"/>
    <xf numFmtId="0" fontId="6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28" fillId="0" borderId="0"/>
    <xf numFmtId="169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8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0" fontId="1" fillId="0" borderId="0"/>
    <xf numFmtId="0" fontId="5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6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183" fontId="39" fillId="0" borderId="0" applyBorder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8" fillId="0" borderId="0"/>
    <xf numFmtId="0" fontId="5" fillId="0" borderId="0"/>
    <xf numFmtId="0" fontId="62" fillId="0" borderId="0"/>
    <xf numFmtId="169" fontId="5" fillId="0" borderId="0"/>
    <xf numFmtId="169" fontId="5" fillId="0" borderId="0"/>
    <xf numFmtId="0" fontId="62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8" fillId="0" borderId="0"/>
    <xf numFmtId="0" fontId="1" fillId="0" borderId="0"/>
    <xf numFmtId="0" fontId="61" fillId="0" borderId="0"/>
    <xf numFmtId="0" fontId="6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65" fillId="0" borderId="0"/>
    <xf numFmtId="0" fontId="65" fillId="0" borderId="0"/>
    <xf numFmtId="0" fontId="6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0" fillId="0" borderId="0"/>
    <xf numFmtId="0" fontId="60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9" fillId="0" borderId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8" fillId="0" borderId="0" applyFont="0"/>
    <xf numFmtId="0" fontId="68" fillId="0" borderId="0" applyFont="0"/>
    <xf numFmtId="9" fontId="1" fillId="0" borderId="0" applyFont="0" applyFill="0" applyBorder="0" applyAlignment="0" applyProtection="0"/>
    <xf numFmtId="0" fontId="32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4" fillId="21" borderId="0" applyNumberFormat="0" applyBorder="0" applyAlignment="0" applyProtection="0"/>
    <xf numFmtId="0" fontId="69" fillId="0" borderId="0" applyNumberFormat="0" applyFill="0" applyBorder="0" applyAlignment="0" applyProtection="0"/>
    <xf numFmtId="169" fontId="70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0" fontId="67" fillId="45" borderId="35" applyNumberFormat="0" applyAlignment="0" applyProtection="0"/>
    <xf numFmtId="0" fontId="23" fillId="0" borderId="0"/>
    <xf numFmtId="0" fontId="1" fillId="0" borderId="0"/>
    <xf numFmtId="169" fontId="19" fillId="0" borderId="0"/>
    <xf numFmtId="0" fontId="1" fillId="0" borderId="0"/>
    <xf numFmtId="0" fontId="21" fillId="0" borderId="0">
      <alignment horizontal="right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32" fillId="0" borderId="30"/>
    <xf numFmtId="0" fontId="33" fillId="0" borderId="30"/>
    <xf numFmtId="0" fontId="32" fillId="0" borderId="30"/>
    <xf numFmtId="0" fontId="32" fillId="0" borderId="30"/>
    <xf numFmtId="0" fontId="33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2" fillId="0" borderId="30"/>
    <xf numFmtId="0" fontId="32" fillId="0" borderId="30"/>
    <xf numFmtId="0" fontId="32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40" fillId="0" borderId="0" applyNumberFormat="0" applyFill="0" applyBorder="0" applyAlignment="0" applyProtection="0"/>
    <xf numFmtId="40" fontId="73" fillId="0" borderId="0"/>
    <xf numFmtId="0" fontId="74" fillId="55" borderId="0"/>
    <xf numFmtId="0" fontId="75" fillId="55" borderId="0"/>
    <xf numFmtId="0" fontId="74" fillId="55" borderId="0"/>
    <xf numFmtId="0" fontId="74" fillId="55" borderId="0"/>
    <xf numFmtId="0" fontId="75" fillId="55" borderId="0"/>
    <xf numFmtId="0" fontId="74" fillId="55" borderId="0"/>
    <xf numFmtId="0" fontId="75" fillId="55" borderId="0"/>
    <xf numFmtId="0" fontId="75" fillId="55" borderId="0"/>
    <xf numFmtId="0" fontId="75" fillId="55" borderId="0"/>
    <xf numFmtId="0" fontId="75" fillId="55" borderId="0"/>
    <xf numFmtId="0" fontId="75" fillId="55" borderId="0"/>
    <xf numFmtId="0" fontId="75" fillId="55" borderId="0"/>
    <xf numFmtId="0" fontId="74" fillId="55" borderId="0"/>
    <xf numFmtId="0" fontId="74" fillId="55" borderId="0"/>
    <xf numFmtId="0" fontId="74" fillId="55" borderId="0"/>
    <xf numFmtId="0" fontId="74" fillId="55" borderId="0"/>
    <xf numFmtId="0" fontId="75" fillId="55" borderId="0"/>
    <xf numFmtId="0" fontId="75" fillId="55" borderId="0"/>
    <xf numFmtId="0" fontId="75" fillId="55" borderId="0"/>
    <xf numFmtId="0" fontId="74" fillId="55" borderId="0"/>
    <xf numFmtId="0" fontId="75" fillId="55" borderId="0"/>
    <xf numFmtId="0" fontId="75" fillId="55" borderId="0"/>
    <xf numFmtId="0" fontId="75" fillId="55" borderId="0"/>
    <xf numFmtId="0" fontId="75" fillId="55" borderId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47" fillId="0" borderId="32" applyNumberFormat="0" applyFill="0" applyAlignment="0" applyProtection="0"/>
    <xf numFmtId="0" fontId="48" fillId="0" borderId="33" applyNumberFormat="0" applyFill="0" applyAlignment="0" applyProtection="0"/>
    <xf numFmtId="0" fontId="49" fillId="0" borderId="34" applyNumberFormat="0" applyFill="0" applyAlignment="0" applyProtection="0"/>
    <xf numFmtId="0" fontId="49" fillId="0" borderId="0" applyNumberFormat="0" applyFill="0" applyBorder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55" fillId="0" borderId="37"/>
    <xf numFmtId="0" fontId="56" fillId="0" borderId="37"/>
    <xf numFmtId="0" fontId="55" fillId="0" borderId="37"/>
    <xf numFmtId="0" fontId="55" fillId="0" borderId="37"/>
    <xf numFmtId="0" fontId="56" fillId="0" borderId="37"/>
    <xf numFmtId="0" fontId="55" fillId="0" borderId="37"/>
    <xf numFmtId="0" fontId="56" fillId="0" borderId="37"/>
    <xf numFmtId="0" fontId="56" fillId="0" borderId="37"/>
    <xf numFmtId="0" fontId="56" fillId="0" borderId="37"/>
    <xf numFmtId="0" fontId="56" fillId="0" borderId="37"/>
    <xf numFmtId="0" fontId="56" fillId="0" borderId="37"/>
    <xf numFmtId="0" fontId="56" fillId="0" borderId="37"/>
    <xf numFmtId="0" fontId="55" fillId="0" borderId="37"/>
    <xf numFmtId="0" fontId="55" fillId="0" borderId="37"/>
    <xf numFmtId="0" fontId="55" fillId="0" borderId="37"/>
    <xf numFmtId="0" fontId="55" fillId="0" borderId="37"/>
    <xf numFmtId="0" fontId="56" fillId="0" borderId="37"/>
    <xf numFmtId="0" fontId="56" fillId="0" borderId="37"/>
    <xf numFmtId="0" fontId="56" fillId="0" borderId="37"/>
    <xf numFmtId="0" fontId="55" fillId="0" borderId="37"/>
    <xf numFmtId="0" fontId="56" fillId="0" borderId="37"/>
    <xf numFmtId="0" fontId="56" fillId="0" borderId="37"/>
    <xf numFmtId="0" fontId="56" fillId="0" borderId="37"/>
    <xf numFmtId="0" fontId="56" fillId="0" borderId="37"/>
    <xf numFmtId="0" fontId="55" fillId="0" borderId="30"/>
    <xf numFmtId="0" fontId="56" fillId="0" borderId="30"/>
    <xf numFmtId="0" fontId="55" fillId="0" borderId="30"/>
    <xf numFmtId="0" fontId="55" fillId="0" borderId="30"/>
    <xf numFmtId="0" fontId="56" fillId="0" borderId="30"/>
    <xf numFmtId="0" fontId="55" fillId="0" borderId="30"/>
    <xf numFmtId="0" fontId="56" fillId="0" borderId="30"/>
    <xf numFmtId="0" fontId="56" fillId="0" borderId="30"/>
    <xf numFmtId="0" fontId="56" fillId="0" borderId="30"/>
    <xf numFmtId="0" fontId="56" fillId="0" borderId="30"/>
    <xf numFmtId="0" fontId="56" fillId="0" borderId="30"/>
    <xf numFmtId="0" fontId="56" fillId="0" borderId="30"/>
    <xf numFmtId="0" fontId="55" fillId="0" borderId="30"/>
    <xf numFmtId="0" fontId="55" fillId="0" borderId="30"/>
    <xf numFmtId="0" fontId="55" fillId="0" borderId="30"/>
    <xf numFmtId="0" fontId="55" fillId="0" borderId="30"/>
    <xf numFmtId="0" fontId="56" fillId="0" borderId="30"/>
    <xf numFmtId="0" fontId="56" fillId="0" borderId="30"/>
    <xf numFmtId="0" fontId="56" fillId="0" borderId="30"/>
    <xf numFmtId="0" fontId="55" fillId="0" borderId="30"/>
    <xf numFmtId="0" fontId="56" fillId="0" borderId="30"/>
    <xf numFmtId="0" fontId="56" fillId="0" borderId="30"/>
    <xf numFmtId="0" fontId="56" fillId="0" borderId="30"/>
    <xf numFmtId="0" fontId="56" fillId="0" borderId="3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96" fontId="1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11" fillId="0" borderId="0" applyFont="0" applyFill="0" applyBorder="0" applyAlignment="0" applyProtection="0"/>
    <xf numFmtId="0" fontId="27" fillId="46" borderId="28" applyNumberFormat="0" applyAlignment="0" applyProtection="0"/>
    <xf numFmtId="199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9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201" fontId="77" fillId="0" borderId="0" applyFont="0" applyFill="0" applyBorder="0" applyAlignment="0" applyProtection="0"/>
    <xf numFmtId="202" fontId="77" fillId="0" borderId="0" applyFont="0" applyFill="0" applyBorder="0" applyAlignment="0" applyProtection="0"/>
    <xf numFmtId="0" fontId="78" fillId="0" borderId="0"/>
    <xf numFmtId="165" fontId="6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0" fontId="1" fillId="0" borderId="0"/>
  </cellStyleXfs>
  <cellXfs count="766">
    <xf numFmtId="0" fontId="0" fillId="0" borderId="0" xfId="0"/>
    <xf numFmtId="0" fontId="4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0" xfId="0" applyAlignment="1">
      <alignment vertical="center"/>
    </xf>
    <xf numFmtId="2" fontId="7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2" fillId="56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60" borderId="1" xfId="0" applyNumberFormat="1" applyFont="1" applyFill="1" applyBorder="1" applyAlignment="1">
      <alignment horizontal="center" vertical="center" wrapText="1"/>
    </xf>
    <xf numFmtId="0" fontId="85" fillId="0" borderId="0" xfId="0" applyFont="1"/>
    <xf numFmtId="0" fontId="86" fillId="4" borderId="10" xfId="2" quotePrefix="1" applyFont="1" applyBorder="1" applyAlignment="1">
      <alignment horizontal="center" vertical="center"/>
    </xf>
    <xf numFmtId="0" fontId="87" fillId="2" borderId="56" xfId="2" applyFont="1" applyFill="1" applyBorder="1" applyAlignment="1">
      <alignment horizontal="center" vertical="center"/>
    </xf>
    <xf numFmtId="0" fontId="88" fillId="0" borderId="52" xfId="0" applyFont="1" applyBorder="1" applyAlignment="1">
      <alignment horizontal="center" vertical="center"/>
    </xf>
    <xf numFmtId="0" fontId="88" fillId="5" borderId="54" xfId="0" applyFont="1" applyFill="1" applyBorder="1" applyAlignment="1">
      <alignment horizontal="center" vertical="center"/>
    </xf>
    <xf numFmtId="0" fontId="88" fillId="0" borderId="57" xfId="0" applyFont="1" applyBorder="1" applyAlignment="1">
      <alignment horizontal="center" vertical="center"/>
    </xf>
    <xf numFmtId="0" fontId="88" fillId="0" borderId="58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03" fontId="0" fillId="0" borderId="1" xfId="0" applyNumberFormat="1" applyBorder="1" applyAlignment="1">
      <alignment horizontal="center" vertical="center"/>
    </xf>
    <xf numFmtId="203" fontId="0" fillId="0" borderId="40" xfId="0" applyNumberFormat="1" applyBorder="1" applyAlignment="1">
      <alignment horizontal="center" vertical="center"/>
    </xf>
    <xf numFmtId="203" fontId="88" fillId="0" borderId="52" xfId="0" applyNumberFormat="1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89" fillId="61" borderId="61" xfId="0" applyFont="1" applyFill="1" applyBorder="1" applyAlignment="1">
      <alignment horizontal="center" vertical="center" wrapText="1"/>
    </xf>
    <xf numFmtId="0" fontId="95" fillId="0" borderId="0" xfId="0" applyFont="1"/>
    <xf numFmtId="0" fontId="96" fillId="0" borderId="0" xfId="0" applyFont="1" applyAlignment="1">
      <alignment wrapText="1"/>
    </xf>
    <xf numFmtId="168" fontId="95" fillId="0" borderId="0" xfId="0" applyNumberFormat="1" applyFont="1"/>
    <xf numFmtId="0" fontId="95" fillId="0" borderId="0" xfId="0" applyFont="1" applyAlignment="1">
      <alignment vertical="center" wrapText="1"/>
    </xf>
    <xf numFmtId="16" fontId="97" fillId="3" borderId="0" xfId="0" quotePrefix="1" applyNumberFormat="1" applyFont="1" applyFill="1" applyAlignment="1">
      <alignment horizontal="center" vertical="center"/>
    </xf>
    <xf numFmtId="0" fontId="97" fillId="0" borderId="0" xfId="0" applyFont="1"/>
    <xf numFmtId="0" fontId="98" fillId="0" borderId="0" xfId="0" applyFont="1"/>
    <xf numFmtId="167" fontId="95" fillId="0" borderId="0" xfId="0" applyNumberFormat="1" applyFont="1"/>
    <xf numFmtId="0" fontId="94" fillId="0" borderId="66" xfId="0" applyFont="1" applyBorder="1" applyAlignment="1">
      <alignment horizontal="center" vertical="center" wrapText="1"/>
    </xf>
    <xf numFmtId="0" fontId="92" fillId="61" borderId="66" xfId="0" applyFont="1" applyFill="1" applyBorder="1" applyAlignment="1">
      <alignment horizontal="center" vertical="center" wrapText="1"/>
    </xf>
    <xf numFmtId="0" fontId="100" fillId="0" borderId="66" xfId="0" applyFont="1" applyBorder="1" applyAlignment="1">
      <alignment horizontal="center" vertical="center" wrapText="1"/>
    </xf>
    <xf numFmtId="0" fontId="101" fillId="61" borderId="66" xfId="0" applyFont="1" applyFill="1" applyBorder="1" applyAlignment="1">
      <alignment horizontal="center" vertical="center" wrapText="1"/>
    </xf>
    <xf numFmtId="14" fontId="101" fillId="0" borderId="66" xfId="0" applyNumberFormat="1" applyFont="1" applyBorder="1" applyAlignment="1">
      <alignment horizontal="center" vertical="center" wrapText="1"/>
    </xf>
    <xf numFmtId="0" fontId="102" fillId="0" borderId="66" xfId="0" applyFont="1" applyBorder="1" applyAlignment="1">
      <alignment horizontal="center" vertical="center" wrapText="1"/>
    </xf>
    <xf numFmtId="2" fontId="95" fillId="0" borderId="0" xfId="0" applyNumberFormat="1" applyFont="1"/>
    <xf numFmtId="0" fontId="6" fillId="0" borderId="1" xfId="206" applyFont="1" applyBorder="1" applyAlignment="1">
      <alignment horizontal="center" vertical="center"/>
    </xf>
    <xf numFmtId="0" fontId="104" fillId="56" borderId="1" xfId="206" applyFont="1" applyFill="1" applyBorder="1" applyAlignment="1">
      <alignment horizontal="center" vertical="center"/>
    </xf>
    <xf numFmtId="0" fontId="6" fillId="0" borderId="40" xfId="206" applyFont="1" applyBorder="1" applyAlignment="1">
      <alignment horizontal="center" vertical="center"/>
    </xf>
    <xf numFmtId="0" fontId="28" fillId="0" borderId="1" xfId="206" applyFont="1" applyBorder="1" applyAlignment="1">
      <alignment horizontal="center" vertical="center"/>
    </xf>
    <xf numFmtId="0" fontId="105" fillId="0" borderId="1" xfId="206" applyFont="1" applyBorder="1" applyAlignment="1">
      <alignment horizontal="center" vertical="center"/>
    </xf>
    <xf numFmtId="0" fontId="28" fillId="0" borderId="68" xfId="206" applyFont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167" fontId="4" fillId="0" borderId="9" xfId="0" applyNumberFormat="1" applyFont="1" applyBorder="1" applyAlignment="1">
      <alignment horizontal="center" vertical="center"/>
    </xf>
    <xf numFmtId="167" fontId="4" fillId="65" borderId="1" xfId="206" applyNumberFormat="1" applyFont="1" applyFill="1" applyBorder="1" applyAlignment="1">
      <alignment horizontal="center" vertical="center" wrapText="1"/>
    </xf>
    <xf numFmtId="167" fontId="28" fillId="65" borderId="1" xfId="206" applyNumberFormat="1" applyFont="1" applyFill="1" applyBorder="1" applyAlignment="1">
      <alignment horizontal="center" vertical="center" wrapText="1"/>
    </xf>
    <xf numFmtId="167" fontId="0" fillId="0" borderId="9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5" fillId="0" borderId="0" xfId="0" applyFont="1" applyAlignment="1">
      <alignment vertical="center"/>
    </xf>
    <xf numFmtId="0" fontId="107" fillId="66" borderId="1" xfId="1777" applyFont="1" applyFill="1" applyBorder="1" applyAlignment="1">
      <alignment horizontal="center" vertical="center" wrapText="1"/>
    </xf>
    <xf numFmtId="167" fontId="4" fillId="67" borderId="9" xfId="0" applyNumberFormat="1" applyFont="1" applyFill="1" applyBorder="1" applyAlignment="1">
      <alignment horizontal="center" vertical="center"/>
    </xf>
    <xf numFmtId="167" fontId="4" fillId="67" borderId="1" xfId="206" applyNumberFormat="1" applyFont="1" applyFill="1" applyBorder="1" applyAlignment="1">
      <alignment horizontal="center" vertical="center" wrapText="1"/>
    </xf>
    <xf numFmtId="167" fontId="0" fillId="67" borderId="9" xfId="0" applyNumberForma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2" fontId="110" fillId="0" borderId="1" xfId="0" applyNumberFormat="1" applyFont="1" applyBorder="1" applyAlignment="1">
      <alignment horizontal="center" vertical="center" wrapText="1"/>
    </xf>
    <xf numFmtId="2" fontId="110" fillId="67" borderId="1" xfId="206" applyNumberFormat="1" applyFont="1" applyFill="1" applyBorder="1" applyAlignment="1">
      <alignment horizontal="center" vertical="center" wrapText="1"/>
    </xf>
    <xf numFmtId="203" fontId="0" fillId="0" borderId="0" xfId="0" applyNumberFormat="1"/>
    <xf numFmtId="2" fontId="6" fillId="0" borderId="1" xfId="0" applyNumberFormat="1" applyFont="1" applyBorder="1" applyAlignment="1">
      <alignment horizontal="center" vertical="center"/>
    </xf>
    <xf numFmtId="0" fontId="121" fillId="0" borderId="75" xfId="0" applyFont="1" applyBorder="1" applyAlignment="1">
      <alignment horizontal="center" vertical="center" wrapText="1"/>
    </xf>
    <xf numFmtId="0" fontId="122" fillId="0" borderId="75" xfId="0" applyFont="1" applyBorder="1" applyAlignment="1">
      <alignment horizontal="center" vertical="center" wrapText="1"/>
    </xf>
    <xf numFmtId="0" fontId="123" fillId="0" borderId="75" xfId="0" applyFont="1" applyBorder="1" applyAlignment="1">
      <alignment horizontal="center" vertical="center" wrapText="1"/>
    </xf>
    <xf numFmtId="0" fontId="124" fillId="0" borderId="75" xfId="0" applyFont="1" applyBorder="1" applyAlignment="1">
      <alignment horizontal="center" vertical="center" wrapText="1"/>
    </xf>
    <xf numFmtId="0" fontId="92" fillId="61" borderId="77" xfId="0" applyFont="1" applyFill="1" applyBorder="1" applyAlignment="1">
      <alignment horizontal="center" vertical="center" wrapText="1"/>
    </xf>
    <xf numFmtId="0" fontId="92" fillId="61" borderId="76" xfId="0" applyFont="1" applyFill="1" applyBorder="1" applyAlignment="1">
      <alignment horizontal="center" vertical="center" wrapText="1"/>
    </xf>
    <xf numFmtId="2" fontId="2" fillId="0" borderId="1" xfId="0" quotePrefix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22" fillId="0" borderId="1" xfId="0" applyFont="1" applyBorder="1" applyAlignment="1">
      <alignment horizontal="center" vertical="center" wrapText="1"/>
    </xf>
    <xf numFmtId="0" fontId="123" fillId="0" borderId="1" xfId="0" applyFont="1" applyBorder="1" applyAlignment="1">
      <alignment horizontal="center" vertical="center" wrapText="1"/>
    </xf>
    <xf numFmtId="0" fontId="124" fillId="0" borderId="1" xfId="0" applyFont="1" applyBorder="1" applyAlignment="1">
      <alignment horizontal="center" vertical="center" wrapText="1"/>
    </xf>
    <xf numFmtId="0" fontId="87" fillId="0" borderId="0" xfId="0" applyFont="1" applyAlignment="1">
      <alignment horizontal="right"/>
    </xf>
    <xf numFmtId="0" fontId="86" fillId="4" borderId="7" xfId="2" quotePrefix="1" applyFont="1" applyBorder="1" applyAlignment="1">
      <alignment horizontal="center" vertical="center"/>
    </xf>
    <xf numFmtId="203" fontId="0" fillId="0" borderId="6" xfId="0" applyNumberFormat="1" applyBorder="1" applyAlignment="1">
      <alignment horizontal="center" vertical="center"/>
    </xf>
    <xf numFmtId="203" fontId="0" fillId="0" borderId="43" xfId="0" applyNumberFormat="1" applyBorder="1" applyAlignment="1">
      <alignment horizontal="center" vertical="center"/>
    </xf>
    <xf numFmtId="203" fontId="88" fillId="0" borderId="51" xfId="0" applyNumberFormat="1" applyFont="1" applyBorder="1" applyAlignment="1">
      <alignment horizontal="center" vertical="center"/>
    </xf>
    <xf numFmtId="0" fontId="126" fillId="0" borderId="66" xfId="0" applyFont="1" applyBorder="1" applyAlignment="1">
      <alignment horizontal="center" vertical="center" wrapText="1"/>
    </xf>
    <xf numFmtId="1" fontId="126" fillId="0" borderId="66" xfId="0" applyNumberFormat="1" applyFont="1" applyBorder="1" applyAlignment="1">
      <alignment horizontal="center" vertical="center" wrapText="1"/>
    </xf>
    <xf numFmtId="0" fontId="126" fillId="63" borderId="66" xfId="0" applyFont="1" applyFill="1" applyBorder="1" applyAlignment="1">
      <alignment horizontal="center" vertical="center" wrapText="1"/>
    </xf>
    <xf numFmtId="0" fontId="98" fillId="0" borderId="0" xfId="0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92" fillId="0" borderId="66" xfId="0" applyFont="1" applyBorder="1" applyAlignment="1">
      <alignment horizontal="center" vertical="center" wrapText="1"/>
    </xf>
    <xf numFmtId="0" fontId="101" fillId="0" borderId="66" xfId="0" applyFont="1" applyBorder="1" applyAlignment="1">
      <alignment horizontal="center" vertical="center" wrapText="1"/>
    </xf>
    <xf numFmtId="2" fontId="101" fillId="0" borderId="66" xfId="0" applyNumberFormat="1" applyFont="1" applyBorder="1" applyAlignment="1">
      <alignment horizontal="center" vertical="center" wrapText="1"/>
    </xf>
    <xf numFmtId="2" fontId="101" fillId="3" borderId="66" xfId="0" applyNumberFormat="1" applyFont="1" applyFill="1" applyBorder="1" applyAlignment="1">
      <alignment horizontal="center" vertical="center" wrapText="1"/>
    </xf>
    <xf numFmtId="2" fontId="101" fillId="62" borderId="66" xfId="0" applyNumberFormat="1" applyFont="1" applyFill="1" applyBorder="1" applyAlignment="1">
      <alignment horizontal="center" vertical="center" wrapText="1"/>
    </xf>
    <xf numFmtId="0" fontId="112" fillId="0" borderId="66" xfId="0" applyFont="1" applyBorder="1" applyAlignment="1">
      <alignment horizontal="center" vertical="center" wrapText="1"/>
    </xf>
    <xf numFmtId="2" fontId="112" fillId="3" borderId="66" xfId="0" applyNumberFormat="1" applyFont="1" applyFill="1" applyBorder="1" applyAlignment="1">
      <alignment horizontal="center" vertical="center" wrapText="1"/>
    </xf>
    <xf numFmtId="2" fontId="95" fillId="0" borderId="0" xfId="0" applyNumberFormat="1" applyFont="1" applyAlignment="1">
      <alignment vertical="center" wrapText="1"/>
    </xf>
    <xf numFmtId="0" fontId="119" fillId="0" borderId="0" xfId="0" applyFont="1"/>
    <xf numFmtId="0" fontId="87" fillId="0" borderId="0" xfId="0" applyFont="1"/>
    <xf numFmtId="0" fontId="113" fillId="0" borderId="0" xfId="0" applyFont="1" applyAlignment="1">
      <alignment horizontal="center" vertical="center"/>
    </xf>
    <xf numFmtId="0" fontId="128" fillId="68" borderId="1" xfId="0" applyFont="1" applyFill="1" applyBorder="1" applyAlignment="1">
      <alignment horizontal="center" vertical="center" wrapText="1"/>
    </xf>
    <xf numFmtId="0" fontId="116" fillId="0" borderId="6" xfId="0" applyFont="1" applyBorder="1" applyAlignment="1">
      <alignment horizontal="center" vertical="center" wrapText="1"/>
    </xf>
    <xf numFmtId="0" fontId="129" fillId="3" borderId="1" xfId="0" applyFont="1" applyFill="1" applyBorder="1" applyAlignment="1">
      <alignment horizontal="center" vertical="center" wrapText="1"/>
    </xf>
    <xf numFmtId="167" fontId="116" fillId="3" borderId="1" xfId="0" applyNumberFormat="1" applyFont="1" applyFill="1" applyBorder="1" applyAlignment="1">
      <alignment horizontal="center" vertical="center" wrapText="1"/>
    </xf>
    <xf numFmtId="203" fontId="117" fillId="3" borderId="1" xfId="0" applyNumberFormat="1" applyFont="1" applyFill="1" applyBorder="1" applyAlignment="1">
      <alignment horizontal="right" vertical="center" wrapText="1"/>
    </xf>
    <xf numFmtId="0" fontId="117" fillId="3" borderId="1" xfId="0" applyFont="1" applyFill="1" applyBorder="1" applyAlignment="1">
      <alignment horizontal="right" vertical="center" wrapText="1"/>
    </xf>
    <xf numFmtId="167" fontId="117" fillId="3" borderId="1" xfId="0" applyNumberFormat="1" applyFont="1" applyFill="1" applyBorder="1" applyAlignment="1">
      <alignment horizontal="right" vertical="center" wrapText="1"/>
    </xf>
    <xf numFmtId="0" fontId="129" fillId="3" borderId="1" xfId="0" quotePrefix="1" applyFont="1" applyFill="1" applyBorder="1" applyAlignment="1">
      <alignment horizontal="center" vertical="center" wrapText="1"/>
    </xf>
    <xf numFmtId="0" fontId="80" fillId="3" borderId="1" xfId="0" applyFont="1" applyFill="1" applyBorder="1" applyAlignment="1">
      <alignment horizontal="center" vertical="center"/>
    </xf>
    <xf numFmtId="167" fontId="0" fillId="3" borderId="1" xfId="0" applyNumberFormat="1" applyFill="1" applyBorder="1" applyAlignment="1">
      <alignment horizontal="center" vertical="center"/>
    </xf>
    <xf numFmtId="0" fontId="80" fillId="3" borderId="1" xfId="0" quotePrefix="1" applyFont="1" applyFill="1" applyBorder="1" applyAlignment="1">
      <alignment horizontal="center" vertical="center"/>
    </xf>
    <xf numFmtId="167" fontId="0" fillId="3" borderId="1" xfId="0" quotePrefix="1" applyNumberFormat="1" applyFill="1" applyBorder="1" applyAlignment="1">
      <alignment horizontal="center" vertical="center"/>
    </xf>
    <xf numFmtId="167" fontId="130" fillId="0" borderId="11" xfId="0" applyNumberFormat="1" applyFont="1" applyBorder="1" applyAlignment="1">
      <alignment horizontal="center" vertical="center" wrapText="1"/>
    </xf>
    <xf numFmtId="1" fontId="130" fillId="0" borderId="11" xfId="0" applyNumberFormat="1" applyFont="1" applyBorder="1" applyAlignment="1">
      <alignment horizontal="right" vertical="center" wrapText="1"/>
    </xf>
    <xf numFmtId="167" fontId="130" fillId="0" borderId="11" xfId="0" applyNumberFormat="1" applyFont="1" applyBorder="1" applyAlignment="1">
      <alignment horizontal="right" vertical="center" wrapText="1"/>
    </xf>
    <xf numFmtId="0" fontId="131" fillId="0" borderId="0" xfId="0" applyFont="1"/>
    <xf numFmtId="0" fontId="4" fillId="56" borderId="6" xfId="0" applyFont="1" applyFill="1" applyBorder="1" applyAlignment="1">
      <alignment horizontal="center" vertical="center"/>
    </xf>
    <xf numFmtId="0" fontId="0" fillId="56" borderId="6" xfId="0" applyFill="1" applyBorder="1" applyAlignment="1">
      <alignment horizontal="center"/>
    </xf>
    <xf numFmtId="167" fontId="105" fillId="69" borderId="1" xfId="206" applyNumberFormat="1" applyFont="1" applyFill="1" applyBorder="1" applyAlignment="1">
      <alignment horizontal="center" vertical="center" wrapText="1"/>
    </xf>
    <xf numFmtId="167" fontId="105" fillId="69" borderId="9" xfId="0" applyNumberFormat="1" applyFont="1" applyFill="1" applyBorder="1" applyAlignment="1">
      <alignment horizontal="center" vertical="center"/>
    </xf>
    <xf numFmtId="2" fontId="105" fillId="69" borderId="1" xfId="206" applyNumberFormat="1" applyFont="1" applyFill="1" applyBorder="1" applyAlignment="1">
      <alignment horizontal="center" vertical="center" wrapText="1"/>
    </xf>
    <xf numFmtId="167" fontId="109" fillId="69" borderId="9" xfId="0" applyNumberFormat="1" applyFont="1" applyFill="1" applyBorder="1" applyAlignment="1">
      <alignment horizontal="center" vertical="center"/>
    </xf>
    <xf numFmtId="2" fontId="105" fillId="69" borderId="1" xfId="0" applyNumberFormat="1" applyFont="1" applyFill="1" applyBorder="1" applyAlignment="1">
      <alignment horizontal="center" vertical="center" wrapText="1"/>
    </xf>
    <xf numFmtId="2" fontId="105" fillId="69" borderId="1" xfId="0" applyNumberFormat="1" applyFont="1" applyFill="1" applyBorder="1" applyAlignment="1">
      <alignment horizontal="center" vertical="center"/>
    </xf>
    <xf numFmtId="0" fontId="109" fillId="69" borderId="1" xfId="0" applyFont="1" applyFill="1" applyBorder="1"/>
    <xf numFmtId="0" fontId="113" fillId="0" borderId="1" xfId="0" applyFont="1" applyBorder="1" applyAlignment="1">
      <alignment horizontal="center" vertical="center"/>
    </xf>
    <xf numFmtId="0" fontId="115" fillId="0" borderId="1" xfId="1777" applyFont="1" applyBorder="1" applyAlignment="1" applyProtection="1">
      <alignment horizontal="center" vertical="center"/>
      <protection hidden="1"/>
    </xf>
    <xf numFmtId="1" fontId="115" fillId="0" borderId="1" xfId="1777" applyNumberFormat="1" applyFont="1" applyBorder="1" applyAlignment="1">
      <alignment horizontal="center" vertical="center"/>
    </xf>
    <xf numFmtId="1" fontId="133" fillId="0" borderId="1" xfId="1777" applyNumberFormat="1" applyFont="1" applyBorder="1" applyAlignment="1">
      <alignment horizontal="center" vertical="center"/>
    </xf>
    <xf numFmtId="0" fontId="134" fillId="0" borderId="1" xfId="0" applyFont="1" applyBorder="1" applyAlignment="1">
      <alignment horizontal="center" vertical="center"/>
    </xf>
    <xf numFmtId="0" fontId="98" fillId="0" borderId="66" xfId="0" applyFont="1" applyBorder="1" applyAlignment="1">
      <alignment horizontal="left" vertical="center" wrapText="1"/>
    </xf>
    <xf numFmtId="0" fontId="95" fillId="0" borderId="0" xfId="0" applyFont="1" applyAlignment="1">
      <alignment horizontal="left"/>
    </xf>
    <xf numFmtId="1" fontId="95" fillId="0" borderId="0" xfId="0" applyNumberFormat="1" applyFont="1"/>
    <xf numFmtId="0" fontId="80" fillId="2" borderId="1" xfId="0" applyFont="1" applyFill="1" applyBorder="1" applyAlignment="1">
      <alignment horizontal="center" vertical="center" wrapText="1"/>
    </xf>
    <xf numFmtId="0" fontId="87" fillId="2" borderId="1" xfId="0" applyFont="1" applyFill="1" applyBorder="1" applyAlignment="1">
      <alignment horizontal="center" vertical="center" wrapText="1"/>
    </xf>
    <xf numFmtId="0" fontId="80" fillId="70" borderId="1" xfId="0" applyFont="1" applyFill="1" applyBorder="1" applyAlignment="1">
      <alignment horizontal="center" vertical="center" wrapText="1"/>
    </xf>
    <xf numFmtId="0" fontId="80" fillId="0" borderId="0" xfId="0" applyFont="1" applyAlignment="1">
      <alignment horizontal="center" vertical="center" wrapText="1"/>
    </xf>
    <xf numFmtId="0" fontId="0" fillId="71" borderId="1" xfId="0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2" fontId="136" fillId="3" borderId="66" xfId="0" applyNumberFormat="1" applyFont="1" applyFill="1" applyBorder="1" applyAlignment="1">
      <alignment horizontal="left" vertical="center" wrapText="1"/>
    </xf>
    <xf numFmtId="0" fontId="95" fillId="0" borderId="0" xfId="0" applyFont="1" applyAlignment="1">
      <alignment horizontal="left" vertical="center" wrapText="1"/>
    </xf>
    <xf numFmtId="0" fontId="101" fillId="0" borderId="77" xfId="0" applyFont="1" applyBorder="1" applyAlignment="1">
      <alignment horizontal="center" vertical="center" wrapText="1"/>
    </xf>
    <xf numFmtId="2" fontId="101" fillId="0" borderId="77" xfId="0" applyNumberFormat="1" applyFont="1" applyBorder="1" applyAlignment="1">
      <alignment horizontal="center" vertical="center" wrapText="1"/>
    </xf>
    <xf numFmtId="2" fontId="101" fillId="3" borderId="77" xfId="0" applyNumberFormat="1" applyFont="1" applyFill="1" applyBorder="1" applyAlignment="1">
      <alignment horizontal="center" vertical="center" wrapText="1"/>
    </xf>
    <xf numFmtId="2" fontId="101" fillId="62" borderId="77" xfId="0" applyNumberFormat="1" applyFont="1" applyFill="1" applyBorder="1" applyAlignment="1">
      <alignment horizontal="center" vertical="center" wrapText="1"/>
    </xf>
    <xf numFmtId="0" fontId="92" fillId="61" borderId="83" xfId="0" applyFont="1" applyFill="1" applyBorder="1" applyAlignment="1">
      <alignment horizontal="center" vertical="center" wrapText="1"/>
    </xf>
    <xf numFmtId="0" fontId="92" fillId="61" borderId="84" xfId="0" applyFont="1" applyFill="1" applyBorder="1" applyAlignment="1">
      <alignment horizontal="center" vertical="center" wrapText="1"/>
    </xf>
    <xf numFmtId="0" fontId="92" fillId="61" borderId="85" xfId="0" applyFont="1" applyFill="1" applyBorder="1" applyAlignment="1">
      <alignment horizontal="center" vertical="center" wrapText="1"/>
    </xf>
    <xf numFmtId="16" fontId="0" fillId="56" borderId="1" xfId="0" quotePrefix="1" applyNumberFormat="1" applyFill="1" applyBorder="1" applyAlignment="1">
      <alignment horizontal="center" vertical="center"/>
    </xf>
    <xf numFmtId="0" fontId="107" fillId="56" borderId="1" xfId="1777" applyFont="1" applyFill="1" applyBorder="1" applyAlignment="1">
      <alignment horizontal="center" vertical="center" wrapText="1"/>
    </xf>
    <xf numFmtId="1" fontId="115" fillId="56" borderId="1" xfId="1777" applyNumberFormat="1" applyFont="1" applyFill="1" applyBorder="1" applyAlignment="1">
      <alignment horizontal="center" vertical="center"/>
    </xf>
    <xf numFmtId="167" fontId="115" fillId="56" borderId="1" xfId="1777" applyNumberFormat="1" applyFont="1" applyFill="1" applyBorder="1" applyAlignment="1">
      <alignment horizontal="center" vertical="center"/>
    </xf>
    <xf numFmtId="0" fontId="112" fillId="0" borderId="0" xfId="0" applyFont="1" applyAlignment="1">
      <alignment horizontal="left" vertical="center"/>
    </xf>
    <xf numFmtId="0" fontId="142" fillId="0" borderId="0" xfId="0" applyFont="1"/>
    <xf numFmtId="0" fontId="143" fillId="0" borderId="0" xfId="0" applyFont="1"/>
    <xf numFmtId="0" fontId="113" fillId="0" borderId="0" xfId="0" applyFont="1" applyAlignment="1">
      <alignment vertical="center" wrapText="1"/>
    </xf>
    <xf numFmtId="0" fontId="145" fillId="0" borderId="0" xfId="0" applyFont="1" applyAlignment="1">
      <alignment vertical="center"/>
    </xf>
    <xf numFmtId="0" fontId="145" fillId="0" borderId="0" xfId="0" applyFont="1" applyAlignment="1">
      <alignment horizontal="right" vertical="center"/>
    </xf>
    <xf numFmtId="0" fontId="144" fillId="0" borderId="0" xfId="0" applyFont="1" applyAlignment="1">
      <alignment vertical="top"/>
    </xf>
    <xf numFmtId="0" fontId="95" fillId="0" borderId="0" xfId="0" applyFont="1" applyAlignment="1">
      <alignment vertical="top"/>
    </xf>
    <xf numFmtId="203" fontId="117" fillId="3" borderId="0" xfId="0" applyNumberFormat="1" applyFont="1" applyFill="1" applyAlignment="1">
      <alignment horizontal="right" vertical="center" wrapText="1"/>
    </xf>
    <xf numFmtId="0" fontId="148" fillId="66" borderId="11" xfId="0" applyFont="1" applyFill="1" applyBorder="1" applyAlignment="1">
      <alignment horizontal="center" vertical="center"/>
    </xf>
    <xf numFmtId="0" fontId="146" fillId="0" borderId="0" xfId="0" applyFont="1" applyAlignment="1">
      <alignment horizontal="left" vertical="center"/>
    </xf>
    <xf numFmtId="0" fontId="92" fillId="61" borderId="86" xfId="0" applyFont="1" applyFill="1" applyBorder="1" applyAlignment="1">
      <alignment horizontal="center" vertical="center" wrapText="1"/>
    </xf>
    <xf numFmtId="0" fontId="92" fillId="61" borderId="87" xfId="0" applyFont="1" applyFill="1" applyBorder="1" applyAlignment="1">
      <alignment horizontal="center" vertical="center" wrapText="1"/>
    </xf>
    <xf numFmtId="203" fontId="117" fillId="3" borderId="1" xfId="0" applyNumberFormat="1" applyFont="1" applyFill="1" applyBorder="1" applyAlignment="1">
      <alignment horizontal="center" vertical="center" wrapText="1"/>
    </xf>
    <xf numFmtId="203" fontId="117" fillId="3" borderId="9" xfId="0" applyNumberFormat="1" applyFont="1" applyFill="1" applyBorder="1" applyAlignment="1">
      <alignment horizontal="center" vertical="center" wrapText="1"/>
    </xf>
    <xf numFmtId="203" fontId="103" fillId="3" borderId="1" xfId="0" applyNumberFormat="1" applyFont="1" applyFill="1" applyBorder="1" applyAlignment="1">
      <alignment horizontal="center" vertical="center"/>
    </xf>
    <xf numFmtId="203" fontId="103" fillId="3" borderId="9" xfId="0" applyNumberFormat="1" applyFont="1" applyFill="1" applyBorder="1" applyAlignment="1">
      <alignment horizontal="center" vertical="center"/>
    </xf>
    <xf numFmtId="203" fontId="131" fillId="3" borderId="11" xfId="0" applyNumberFormat="1" applyFont="1" applyFill="1" applyBorder="1" applyAlignment="1">
      <alignment horizontal="center" vertical="center"/>
    </xf>
    <xf numFmtId="203" fontId="131" fillId="3" borderId="39" xfId="0" applyNumberFormat="1" applyFont="1" applyFill="1" applyBorder="1" applyAlignment="1">
      <alignment horizontal="center" vertical="center"/>
    </xf>
    <xf numFmtId="0" fontId="92" fillId="0" borderId="66" xfId="0" applyFont="1" applyBorder="1" applyAlignment="1">
      <alignment horizontal="left" vertical="center" wrapText="1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150" fillId="66" borderId="11" xfId="0" applyFont="1" applyFill="1" applyBorder="1" applyAlignment="1">
      <alignment horizontal="center" vertical="center"/>
    </xf>
    <xf numFmtId="0" fontId="150" fillId="66" borderId="88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 wrapText="1"/>
    </xf>
    <xf numFmtId="0" fontId="0" fillId="57" borderId="1" xfId="0" applyFill="1" applyBorder="1" applyAlignment="1">
      <alignment horizontal="left" vertical="top"/>
    </xf>
    <xf numFmtId="1" fontId="112" fillId="3" borderId="66" xfId="0" applyNumberFormat="1" applyFont="1" applyFill="1" applyBorder="1" applyAlignment="1">
      <alignment horizontal="center" vertical="center" wrapText="1"/>
    </xf>
    <xf numFmtId="0" fontId="148" fillId="66" borderId="40" xfId="0" applyFont="1" applyFill="1" applyBorder="1" applyAlignment="1">
      <alignment horizontal="center" vertical="center"/>
    </xf>
    <xf numFmtId="0" fontId="151" fillId="66" borderId="91" xfId="0" applyFont="1" applyFill="1" applyBorder="1" applyAlignment="1">
      <alignment horizontal="center" vertical="center" wrapText="1"/>
    </xf>
    <xf numFmtId="0" fontId="151" fillId="66" borderId="92" xfId="0" applyFont="1" applyFill="1" applyBorder="1" applyAlignment="1">
      <alignment horizontal="center" vertical="center" wrapText="1"/>
    </xf>
    <xf numFmtId="0" fontId="92" fillId="61" borderId="12" xfId="0" applyFont="1" applyFill="1" applyBorder="1" applyAlignment="1">
      <alignment horizontal="center" vertical="center" wrapText="1"/>
    </xf>
    <xf numFmtId="0" fontId="98" fillId="66" borderId="91" xfId="0" applyFont="1" applyFill="1" applyBorder="1" applyAlignment="1">
      <alignment horizontal="center" vertical="center"/>
    </xf>
    <xf numFmtId="0" fontId="153" fillId="66" borderId="43" xfId="0" applyFont="1" applyFill="1" applyBorder="1" applyAlignment="1">
      <alignment horizontal="center" vertical="center" wrapText="1"/>
    </xf>
    <xf numFmtId="0" fontId="153" fillId="66" borderId="38" xfId="0" applyFont="1" applyFill="1" applyBorder="1" applyAlignment="1">
      <alignment horizontal="center" vertical="center" wrapText="1"/>
    </xf>
    <xf numFmtId="0" fontId="149" fillId="66" borderId="11" xfId="0" applyFont="1" applyFill="1" applyBorder="1" applyAlignment="1">
      <alignment horizontal="center" vertical="center"/>
    </xf>
    <xf numFmtId="0" fontId="151" fillId="66" borderId="89" xfId="0" applyFont="1" applyFill="1" applyBorder="1" applyAlignment="1">
      <alignment horizontal="center" vertical="center" wrapText="1"/>
    </xf>
    <xf numFmtId="0" fontId="151" fillId="66" borderId="90" xfId="0" applyFont="1" applyFill="1" applyBorder="1" applyAlignment="1">
      <alignment horizontal="center" vertical="center" wrapText="1"/>
    </xf>
    <xf numFmtId="16" fontId="103" fillId="0" borderId="1" xfId="0" quotePrefix="1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quotePrefix="1" applyNumberFormat="1" applyBorder="1" applyAlignment="1">
      <alignment horizontal="center" vertical="center"/>
    </xf>
    <xf numFmtId="0" fontId="119" fillId="0" borderId="1" xfId="0" applyFont="1" applyBorder="1" applyAlignment="1">
      <alignment horizontal="center" vertical="center"/>
    </xf>
    <xf numFmtId="0" fontId="141" fillId="0" borderId="46" xfId="0" applyFont="1" applyBorder="1" applyAlignment="1">
      <alignment horizontal="center" vertical="center" wrapText="1"/>
    </xf>
    <xf numFmtId="14" fontId="138" fillId="0" borderId="1" xfId="0" applyNumberFormat="1" applyFont="1" applyBorder="1" applyAlignment="1">
      <alignment horizontal="center" vertical="center"/>
    </xf>
    <xf numFmtId="0" fontId="0" fillId="0" borderId="42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118" fillId="0" borderId="42" xfId="0" applyFont="1" applyBorder="1" applyAlignment="1">
      <alignment horizontal="center" vertical="center" wrapText="1"/>
    </xf>
    <xf numFmtId="0" fontId="118" fillId="0" borderId="31" xfId="0" applyFont="1" applyBorder="1" applyAlignment="1">
      <alignment horizontal="center" vertical="center"/>
    </xf>
    <xf numFmtId="0" fontId="118" fillId="0" borderId="45" xfId="0" applyFont="1" applyBorder="1" applyAlignment="1">
      <alignment horizontal="center" vertical="center"/>
    </xf>
    <xf numFmtId="14" fontId="154" fillId="0" borderId="1" xfId="1586" applyNumberFormat="1" applyFont="1" applyBorder="1" applyAlignment="1">
      <alignment horizontal="center" vertical="center" wrapText="1"/>
    </xf>
    <xf numFmtId="203" fontId="105" fillId="0" borderId="1" xfId="1586" applyNumberFormat="1" applyFont="1" applyBorder="1" applyAlignment="1">
      <alignment horizontal="center" vertical="center"/>
    </xf>
    <xf numFmtId="0" fontId="105" fillId="0" borderId="1" xfId="1586" applyFont="1" applyBorder="1" applyAlignment="1">
      <alignment horizontal="center" vertical="center"/>
    </xf>
    <xf numFmtId="203" fontId="105" fillId="0" borderId="45" xfId="1586" applyNumberFormat="1" applyFont="1" applyBorder="1" applyAlignment="1">
      <alignment horizontal="center" vertical="center"/>
    </xf>
    <xf numFmtId="0" fontId="105" fillId="0" borderId="1" xfId="1586" applyFont="1" applyBorder="1" applyAlignment="1">
      <alignment horizontal="center"/>
    </xf>
    <xf numFmtId="0" fontId="131" fillId="0" borderId="1" xfId="0" applyFont="1" applyBorder="1" applyAlignment="1">
      <alignment horizontal="center" vertical="center"/>
    </xf>
    <xf numFmtId="0" fontId="84" fillId="0" borderId="1" xfId="0" applyFont="1" applyBorder="1" applyAlignment="1">
      <alignment horizontal="center" vertical="center"/>
    </xf>
    <xf numFmtId="0" fontId="8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11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16" fillId="0" borderId="1" xfId="1586" applyFont="1" applyBorder="1" applyAlignment="1">
      <alignment horizontal="center" vertical="center"/>
    </xf>
    <xf numFmtId="17" fontId="9" fillId="0" borderId="4" xfId="0" quotePrefix="1" applyNumberFormat="1" applyFont="1" applyBorder="1" applyAlignment="1">
      <alignment horizontal="center" vertical="center"/>
    </xf>
    <xf numFmtId="17" fontId="9" fillId="0" borderId="1" xfId="0" quotePrefix="1" applyNumberFormat="1" applyFont="1" applyBorder="1" applyAlignment="1">
      <alignment horizontal="center" vertical="center"/>
    </xf>
    <xf numFmtId="49" fontId="9" fillId="0" borderId="1" xfId="0" quotePrefix="1" applyNumberFormat="1" applyFont="1" applyBorder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16" fontId="11" fillId="0" borderId="1" xfId="0" quotePrefix="1" applyNumberFormat="1" applyFont="1" applyBorder="1" applyAlignment="1">
      <alignment horizontal="center" vertical="center"/>
    </xf>
    <xf numFmtId="49" fontId="1" fillId="0" borderId="1" xfId="0" quotePrefix="1" applyNumberFormat="1" applyFont="1" applyBorder="1" applyAlignment="1">
      <alignment horizontal="center" vertical="center"/>
    </xf>
    <xf numFmtId="0" fontId="116" fillId="0" borderId="1" xfId="0" quotePrefix="1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/>
    </xf>
    <xf numFmtId="49" fontId="9" fillId="0" borderId="4" xfId="0" quotePrefix="1" applyNumberFormat="1" applyFont="1" applyBorder="1" applyAlignment="1">
      <alignment horizontal="center" vertical="center"/>
    </xf>
    <xf numFmtId="16" fontId="9" fillId="0" borderId="1" xfId="0" quotePrefix="1" applyNumberFormat="1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center"/>
    </xf>
    <xf numFmtId="0" fontId="114" fillId="0" borderId="1" xfId="0" quotePrefix="1" applyFont="1" applyBorder="1" applyAlignment="1">
      <alignment horizontal="center" vertical="center"/>
    </xf>
    <xf numFmtId="0" fontId="114" fillId="0" borderId="4" xfId="0" quotePrefix="1" applyFont="1" applyBorder="1" applyAlignment="1">
      <alignment horizontal="center" vertical="center"/>
    </xf>
    <xf numFmtId="0" fontId="114" fillId="0" borderId="1" xfId="0" quotePrefix="1" applyFont="1" applyBorder="1" applyAlignment="1">
      <alignment horizontal="center"/>
    </xf>
    <xf numFmtId="0" fontId="9" fillId="0" borderId="74" xfId="0" quotePrefix="1" applyFont="1" applyBorder="1" applyAlignment="1">
      <alignment horizontal="center" vertical="center"/>
    </xf>
    <xf numFmtId="0" fontId="114" fillId="0" borderId="1" xfId="0" applyFont="1" applyBorder="1" applyAlignment="1">
      <alignment horizontal="center"/>
    </xf>
    <xf numFmtId="16" fontId="9" fillId="0" borderId="1" xfId="0" quotePrefix="1" applyNumberFormat="1" applyFont="1" applyBorder="1" applyAlignment="1">
      <alignment horizontal="center" vertical="center" wrapText="1"/>
    </xf>
    <xf numFmtId="0" fontId="9" fillId="0" borderId="4" xfId="0" quotePrefix="1" applyFont="1" applyBorder="1" applyAlignment="1">
      <alignment horizontal="center" vertical="center"/>
    </xf>
    <xf numFmtId="0" fontId="9" fillId="0" borderId="40" xfId="0" quotePrefix="1" applyFont="1" applyBorder="1" applyAlignment="1">
      <alignment horizontal="center" vertical="center"/>
    </xf>
    <xf numFmtId="16" fontId="9" fillId="0" borderId="4" xfId="0" quotePrefix="1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81" fillId="0" borderId="1" xfId="0" applyFont="1" applyBorder="1" applyAlignment="1">
      <alignment horizontal="center" vertical="center"/>
    </xf>
    <xf numFmtId="0" fontId="150" fillId="0" borderId="1" xfId="1586" applyFont="1" applyBorder="1" applyAlignment="1">
      <alignment horizontal="center" vertical="center"/>
    </xf>
    <xf numFmtId="0" fontId="155" fillId="0" borderId="1" xfId="1586" applyFont="1" applyBorder="1" applyAlignment="1">
      <alignment horizontal="center" vertical="center"/>
    </xf>
    <xf numFmtId="0" fontId="81" fillId="0" borderId="4" xfId="0" applyFont="1" applyBorder="1" applyAlignment="1">
      <alignment horizontal="center" vertical="center"/>
    </xf>
    <xf numFmtId="0" fontId="155" fillId="0" borderId="40" xfId="1586" applyFont="1" applyBorder="1" applyAlignment="1">
      <alignment horizontal="center" vertical="center"/>
    </xf>
    <xf numFmtId="0" fontId="82" fillId="0" borderId="1" xfId="0" applyFont="1" applyBorder="1" applyAlignment="1">
      <alignment horizontal="center" vertical="center"/>
    </xf>
    <xf numFmtId="0" fontId="155" fillId="0" borderId="4" xfId="1586" applyFont="1" applyBorder="1" applyAlignment="1">
      <alignment horizontal="center" vertical="center"/>
    </xf>
    <xf numFmtId="0" fontId="0" fillId="69" borderId="1" xfId="0" applyFill="1" applyBorder="1" applyAlignment="1">
      <alignment horizontal="center" vertical="center"/>
    </xf>
    <xf numFmtId="0" fontId="152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69" borderId="1" xfId="0" applyFont="1" applyFill="1" applyBorder="1" applyAlignment="1">
      <alignment horizontal="center" vertical="center"/>
    </xf>
    <xf numFmtId="0" fontId="82" fillId="0" borderId="4" xfId="0" applyFont="1" applyBorder="1" applyAlignment="1">
      <alignment horizontal="center" vertical="center"/>
    </xf>
    <xf numFmtId="14" fontId="1" fillId="0" borderId="94" xfId="0" applyNumberFormat="1" applyFont="1" applyBorder="1" applyAlignment="1">
      <alignment horizontal="center" vertical="center"/>
    </xf>
    <xf numFmtId="14" fontId="1" fillId="0" borderId="42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69" fontId="29" fillId="0" borderId="1" xfId="0" applyNumberFormat="1" applyFont="1" applyBorder="1" applyAlignment="1" applyProtection="1">
      <alignment horizontal="center" vertical="center" wrapText="1" readingOrder="1"/>
      <protection locked="0"/>
    </xf>
    <xf numFmtId="14" fontId="114" fillId="0" borderId="1" xfId="0" applyNumberFormat="1" applyFont="1" applyBorder="1" applyAlignment="1">
      <alignment horizontal="center" vertical="center"/>
    </xf>
    <xf numFmtId="169" fontId="29" fillId="0" borderId="40" xfId="0" applyNumberFormat="1" applyFont="1" applyBorder="1" applyAlignment="1" applyProtection="1">
      <alignment horizontal="center" vertical="center" wrapText="1" readingOrder="1"/>
      <protection locked="0"/>
    </xf>
    <xf numFmtId="169" fontId="29" fillId="0" borderId="4" xfId="0" applyNumberFormat="1" applyFont="1" applyBorder="1" applyAlignment="1" applyProtection="1">
      <alignment horizontal="center" vertical="center" wrapText="1" readingOrder="1"/>
      <protection locked="0"/>
    </xf>
    <xf numFmtId="169" fontId="29" fillId="0" borderId="1" xfId="0" quotePrefix="1" applyNumberFormat="1" applyFont="1" applyBorder="1" applyAlignment="1" applyProtection="1">
      <alignment horizontal="center" vertical="center" wrapText="1" readingOrder="1"/>
      <protection locked="0"/>
    </xf>
    <xf numFmtId="169" fontId="29" fillId="0" borderId="94" xfId="0" applyNumberFormat="1" applyFont="1" applyBorder="1" applyAlignment="1" applyProtection="1">
      <alignment horizontal="center" vertical="center" wrapText="1" readingOrder="1"/>
      <protection locked="0"/>
    </xf>
    <xf numFmtId="169" fontId="29" fillId="0" borderId="42" xfId="0" applyNumberFormat="1" applyFont="1" applyBorder="1" applyAlignment="1" applyProtection="1">
      <alignment horizontal="center" vertical="center" wrapText="1" readingOrder="1"/>
      <protection locked="0"/>
    </xf>
    <xf numFmtId="168" fontId="1" fillId="0" borderId="4" xfId="0" applyNumberFormat="1" applyFont="1" applyBorder="1" applyAlignment="1">
      <alignment horizontal="right" vertical="center"/>
    </xf>
    <xf numFmtId="168" fontId="1" fillId="0" borderId="74" xfId="0" applyNumberFormat="1" applyFont="1" applyBorder="1" applyAlignment="1">
      <alignment horizontal="right" vertical="center"/>
    </xf>
    <xf numFmtId="168" fontId="1" fillId="0" borderId="1" xfId="0" applyNumberFormat="1" applyFont="1" applyBorder="1" applyAlignment="1">
      <alignment horizontal="right" vertical="center"/>
    </xf>
    <xf numFmtId="168" fontId="114" fillId="0" borderId="1" xfId="0" applyNumberFormat="1" applyFont="1" applyBorder="1" applyAlignment="1">
      <alignment horizontal="right" vertical="center"/>
    </xf>
    <xf numFmtId="0" fontId="1" fillId="0" borderId="95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5" xfId="0" applyBorder="1" applyAlignment="1">
      <alignment vertical="center"/>
    </xf>
    <xf numFmtId="0" fontId="0" fillId="0" borderId="95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4" xfId="0" applyBorder="1"/>
    <xf numFmtId="0" fontId="89" fillId="61" borderId="1" xfId="0" applyFont="1" applyFill="1" applyBorder="1" applyAlignment="1">
      <alignment horizontal="center" vertical="center" wrapText="1"/>
    </xf>
    <xf numFmtId="17" fontId="154" fillId="0" borderId="1" xfId="1586" quotePrefix="1" applyNumberFormat="1" applyFont="1" applyBorder="1" applyAlignment="1">
      <alignment horizontal="center" vertical="center" wrapText="1"/>
    </xf>
    <xf numFmtId="17" fontId="154" fillId="56" borderId="1" xfId="1586" quotePrefix="1" applyNumberFormat="1" applyFont="1" applyFill="1" applyBorder="1" applyAlignment="1">
      <alignment horizontal="center" vertical="center" wrapText="1"/>
    </xf>
    <xf numFmtId="0" fontId="156" fillId="0" borderId="1" xfId="254" applyFont="1" applyBorder="1" applyAlignment="1">
      <alignment horizontal="center" vertical="center"/>
    </xf>
    <xf numFmtId="49" fontId="1" fillId="0" borderId="1" xfId="254" applyNumberFormat="1" applyFont="1" applyBorder="1" applyAlignment="1" applyProtection="1">
      <alignment horizontal="center" vertical="center"/>
      <protection hidden="1"/>
    </xf>
    <xf numFmtId="0" fontId="156" fillId="2" borderId="1" xfId="254" applyFont="1" applyFill="1" applyBorder="1" applyAlignment="1">
      <alignment horizontal="center" vertical="center"/>
    </xf>
    <xf numFmtId="0" fontId="156" fillId="0" borderId="40" xfId="254" applyFont="1" applyBorder="1" applyAlignment="1">
      <alignment horizontal="center" vertical="center"/>
    </xf>
    <xf numFmtId="0" fontId="0" fillId="0" borderId="45" xfId="0" applyBorder="1" applyAlignment="1">
      <alignment horizontal="center"/>
    </xf>
    <xf numFmtId="168" fontId="0" fillId="0" borderId="1" xfId="0" applyNumberFormat="1" applyBorder="1" applyAlignment="1">
      <alignment horizontal="center" vertical="center"/>
    </xf>
    <xf numFmtId="0" fontId="156" fillId="0" borderId="1" xfId="254" applyFont="1" applyBorder="1" applyAlignment="1">
      <alignment horizontal="center" vertical="center" wrapText="1"/>
    </xf>
    <xf numFmtId="0" fontId="157" fillId="0" borderId="1" xfId="254" applyFont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128" fillId="3" borderId="14" xfId="1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128" fillId="3" borderId="0" xfId="1" applyFont="1" applyFill="1" applyAlignment="1" applyProtection="1">
      <alignment horizontal="left" vertical="center"/>
      <protection locked="0"/>
    </xf>
    <xf numFmtId="0" fontId="87" fillId="3" borderId="0" xfId="0" applyFont="1" applyFill="1" applyAlignment="1" applyProtection="1">
      <alignment vertical="center"/>
      <protection locked="0"/>
    </xf>
    <xf numFmtId="0" fontId="129" fillId="3" borderId="0" xfId="1" applyFont="1" applyFill="1" applyAlignment="1" applyProtection="1">
      <alignment horizontal="left" vertical="center"/>
      <protection locked="0"/>
    </xf>
    <xf numFmtId="0" fontId="5" fillId="3" borderId="0" xfId="0" applyFont="1" applyFill="1" applyAlignment="1" applyProtection="1">
      <alignment horizontal="left" vertical="center"/>
      <protection locked="0"/>
    </xf>
    <xf numFmtId="0" fontId="87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 applyProtection="1">
      <alignment horizontal="left" vertical="center"/>
      <protection locked="0"/>
    </xf>
    <xf numFmtId="0" fontId="0" fillId="76" borderId="42" xfId="0" applyFill="1" applyBorder="1"/>
    <xf numFmtId="0" fontId="0" fillId="76" borderId="31" xfId="0" applyFill="1" applyBorder="1"/>
    <xf numFmtId="0" fontId="0" fillId="56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58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59" borderId="0" xfId="0" applyFill="1"/>
    <xf numFmtId="0" fontId="160" fillId="0" borderId="0" xfId="1" applyFont="1"/>
    <xf numFmtId="0" fontId="161" fillId="0" borderId="0" xfId="1" applyFont="1"/>
    <xf numFmtId="0" fontId="160" fillId="0" borderId="0" xfId="1" applyFont="1" applyAlignment="1">
      <alignment horizontal="center" wrapText="1"/>
    </xf>
    <xf numFmtId="0" fontId="162" fillId="0" borderId="0" xfId="1" applyFont="1" applyAlignment="1">
      <alignment horizontal="center"/>
    </xf>
    <xf numFmtId="0" fontId="162" fillId="0" borderId="0" xfId="1" applyFont="1"/>
    <xf numFmtId="0" fontId="160" fillId="0" borderId="0" xfId="1" applyFont="1" applyAlignment="1">
      <alignment horizontal="center" vertical="top"/>
    </xf>
    <xf numFmtId="0" fontId="160" fillId="0" borderId="0" xfId="1" applyFont="1" applyAlignment="1">
      <alignment horizontal="center" vertical="top" wrapText="1"/>
    </xf>
    <xf numFmtId="0" fontId="152" fillId="0" borderId="0" xfId="0" applyFont="1"/>
    <xf numFmtId="0" fontId="128" fillId="0" borderId="0" xfId="0" applyFont="1"/>
    <xf numFmtId="1" fontId="0" fillId="0" borderId="0" xfId="0" applyNumberFormat="1"/>
    <xf numFmtId="1" fontId="0" fillId="0" borderId="0" xfId="0" applyNumberFormat="1" applyAlignment="1">
      <alignment wrapText="1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0" xfId="0" applyAlignment="1">
      <alignment horizontal="left"/>
    </xf>
    <xf numFmtId="0" fontId="152" fillId="0" borderId="0" xfId="0" applyFont="1" applyAlignment="1">
      <alignment horizontal="left"/>
    </xf>
    <xf numFmtId="1" fontId="0" fillId="58" borderId="1" xfId="0" applyNumberFormat="1" applyFill="1" applyBorder="1" applyAlignment="1">
      <alignment horizontal="center"/>
    </xf>
    <xf numFmtId="0" fontId="114" fillId="0" borderId="0" xfId="0" applyFont="1" applyAlignment="1">
      <alignment vertical="center"/>
    </xf>
    <xf numFmtId="0" fontId="0" fillId="0" borderId="0" xfId="0" applyAlignment="1">
      <alignment horizontal="right"/>
    </xf>
    <xf numFmtId="0" fontId="114" fillId="0" borderId="1" xfId="0" applyFont="1" applyBorder="1"/>
    <xf numFmtId="0" fontId="0" fillId="0" borderId="14" xfId="0" applyBorder="1" applyAlignment="1">
      <alignment horizontal="left"/>
    </xf>
    <xf numFmtId="0" fontId="116" fillId="58" borderId="1" xfId="0" applyFont="1" applyFill="1" applyBorder="1" applyAlignment="1">
      <alignment horizontal="center"/>
    </xf>
    <xf numFmtId="0" fontId="152" fillId="0" borderId="0" xfId="0" applyFont="1" applyAlignment="1">
      <alignment horizontal="center"/>
    </xf>
    <xf numFmtId="0" fontId="114" fillId="0" borderId="0" xfId="0" applyFont="1" applyAlignment="1">
      <alignment horizontal="right"/>
    </xf>
    <xf numFmtId="0" fontId="0" fillId="78" borderId="1" xfId="0" applyFill="1" applyBorder="1" applyAlignment="1">
      <alignment horizontal="center"/>
    </xf>
    <xf numFmtId="0" fontId="0" fillId="0" borderId="16" xfId="0" applyBorder="1"/>
    <xf numFmtId="0" fontId="0" fillId="0" borderId="19" xfId="0" applyBorder="1"/>
    <xf numFmtId="0" fontId="0" fillId="0" borderId="17" xfId="0" applyBorder="1"/>
    <xf numFmtId="0" fontId="80" fillId="0" borderId="1" xfId="0" applyFont="1" applyBorder="1" applyAlignment="1">
      <alignment horizontal="center" vertical="center"/>
    </xf>
    <xf numFmtId="0" fontId="116" fillId="0" borderId="1" xfId="2422" quotePrefix="1" applyFont="1" applyBorder="1" applyAlignment="1">
      <alignment horizontal="center" vertical="center"/>
    </xf>
    <xf numFmtId="0" fontId="116" fillId="0" borderId="1" xfId="2422" applyFont="1" applyBorder="1" applyAlignment="1">
      <alignment horizontal="center" vertical="center"/>
    </xf>
    <xf numFmtId="0" fontId="109" fillId="0" borderId="0" xfId="0" applyFont="1" applyAlignment="1">
      <alignment vertical="center"/>
    </xf>
    <xf numFmtId="0" fontId="114" fillId="0" borderId="0" xfId="0" applyFont="1"/>
    <xf numFmtId="0" fontId="114" fillId="0" borderId="0" xfId="0" applyFont="1" applyAlignment="1">
      <alignment vertical="center" wrapText="1"/>
    </xf>
    <xf numFmtId="0" fontId="113" fillId="0" borderId="0" xfId="0" applyFont="1"/>
    <xf numFmtId="14" fontId="80" fillId="0" borderId="0" xfId="0" applyNumberFormat="1" applyFont="1"/>
    <xf numFmtId="0" fontId="164" fillId="79" borderId="1" xfId="0" applyFont="1" applyFill="1" applyBorder="1" applyAlignment="1">
      <alignment horizontal="center" vertical="center" wrapText="1"/>
    </xf>
    <xf numFmtId="0" fontId="91" fillId="79" borderId="42" xfId="0" applyFont="1" applyFill="1" applyBorder="1" applyAlignment="1">
      <alignment horizontal="center" vertical="center" wrapText="1"/>
    </xf>
    <xf numFmtId="0" fontId="129" fillId="79" borderId="1" xfId="0" applyFont="1" applyFill="1" applyBorder="1" applyAlignment="1">
      <alignment horizontal="center" vertical="center"/>
    </xf>
    <xf numFmtId="0" fontId="129" fillId="79" borderId="42" xfId="0" applyFont="1" applyFill="1" applyBorder="1" applyAlignment="1">
      <alignment horizontal="center" vertical="center" wrapText="1"/>
    </xf>
    <xf numFmtId="0" fontId="165" fillId="0" borderId="4" xfId="0" applyFont="1" applyBorder="1" applyAlignment="1">
      <alignment vertical="top" wrapText="1"/>
    </xf>
    <xf numFmtId="0" fontId="166" fillId="0" borderId="1" xfId="0" applyFont="1" applyBorder="1" applyAlignment="1">
      <alignment horizontal="center" vertical="center" wrapText="1"/>
    </xf>
    <xf numFmtId="0" fontId="116" fillId="0" borderId="1" xfId="0" applyFont="1" applyBorder="1" applyAlignment="1">
      <alignment horizontal="center" vertical="center" wrapText="1"/>
    </xf>
    <xf numFmtId="14" fontId="1" fillId="0" borderId="42" xfId="0" applyNumberFormat="1" applyFont="1" applyBorder="1" applyAlignment="1">
      <alignment horizontal="center" vertical="center" wrapText="1"/>
    </xf>
    <xf numFmtId="0" fontId="116" fillId="69" borderId="42" xfId="0" applyFont="1" applyFill="1" applyBorder="1" applyAlignment="1">
      <alignment horizontal="center" vertical="center"/>
    </xf>
    <xf numFmtId="14" fontId="116" fillId="0" borderId="42" xfId="0" quotePrefix="1" applyNumberFormat="1" applyFont="1" applyBorder="1" applyAlignment="1">
      <alignment horizontal="center" vertical="center"/>
    </xf>
    <xf numFmtId="0" fontId="116" fillId="0" borderId="1" xfId="0" applyFont="1" applyBorder="1"/>
    <xf numFmtId="0" fontId="165" fillId="0" borderId="1" xfId="0" applyFont="1" applyBorder="1" applyAlignment="1">
      <alignment vertical="top" wrapText="1"/>
    </xf>
    <xf numFmtId="0" fontId="116" fillId="3" borderId="1" xfId="0" applyFont="1" applyFill="1" applyBorder="1" applyAlignment="1">
      <alignment horizontal="center" vertical="center" wrapText="1"/>
    </xf>
    <xf numFmtId="0" fontId="116" fillId="0" borderId="1" xfId="0" applyFont="1" applyBorder="1" applyAlignment="1">
      <alignment vertical="center"/>
    </xf>
    <xf numFmtId="0" fontId="167" fillId="72" borderId="74" xfId="0" applyFont="1" applyFill="1" applyBorder="1" applyAlignment="1">
      <alignment horizontal="left" vertical="center" wrapText="1"/>
    </xf>
    <xf numFmtId="0" fontId="0" fillId="72" borderId="0" xfId="0" applyFill="1" applyAlignment="1">
      <alignment horizontal="center" vertical="center"/>
    </xf>
    <xf numFmtId="0" fontId="116" fillId="72" borderId="42" xfId="0" applyFont="1" applyFill="1" applyBorder="1" applyAlignment="1">
      <alignment horizontal="center" vertical="center"/>
    </xf>
    <xf numFmtId="0" fontId="116" fillId="72" borderId="1" xfId="0" applyFont="1" applyFill="1" applyBorder="1"/>
    <xf numFmtId="0" fontId="168" fillId="0" borderId="1" xfId="0" applyFont="1" applyBorder="1" applyAlignment="1">
      <alignment horizontal="center" vertical="center" wrapText="1"/>
    </xf>
    <xf numFmtId="0" fontId="168" fillId="0" borderId="42" xfId="0" applyFont="1" applyBorder="1" applyAlignment="1">
      <alignment horizontal="center" vertical="center" wrapText="1"/>
    </xf>
    <xf numFmtId="0" fontId="128" fillId="0" borderId="42" xfId="0" applyFont="1" applyBorder="1" applyAlignment="1">
      <alignment horizontal="center" vertical="center"/>
    </xf>
    <xf numFmtId="0" fontId="128" fillId="0" borderId="42" xfId="0" applyFont="1" applyBorder="1"/>
    <xf numFmtId="0" fontId="128" fillId="0" borderId="1" xfId="0" applyFont="1" applyBorder="1"/>
    <xf numFmtId="0" fontId="169" fillId="0" borderId="1" xfId="204" applyFont="1" applyBorder="1" applyAlignment="1">
      <alignment horizontal="center" vertical="center" wrapText="1"/>
    </xf>
    <xf numFmtId="0" fontId="17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4" fontId="9" fillId="80" borderId="1" xfId="0" applyNumberFormat="1" applyFont="1" applyFill="1" applyBorder="1" applyAlignment="1">
      <alignment horizontal="center" vertical="center" wrapText="1"/>
    </xf>
    <xf numFmtId="0" fontId="116" fillId="0" borderId="42" xfId="0" applyFont="1" applyBorder="1"/>
    <xf numFmtId="14" fontId="116" fillId="69" borderId="1" xfId="0" applyNumberFormat="1" applyFont="1" applyFill="1" applyBorder="1"/>
    <xf numFmtId="0" fontId="1" fillId="0" borderId="42" xfId="0" applyFont="1" applyBorder="1" applyAlignment="1">
      <alignment horizontal="center" vertical="top" wrapText="1"/>
    </xf>
    <xf numFmtId="0" fontId="128" fillId="72" borderId="0" xfId="0" applyFont="1" applyFill="1" applyAlignment="1">
      <alignment vertical="center"/>
    </xf>
    <xf numFmtId="0" fontId="116" fillId="72" borderId="0" xfId="0" applyFont="1" applyFill="1" applyAlignment="1">
      <alignment vertical="center"/>
    </xf>
    <xf numFmtId="0" fontId="120" fillId="72" borderId="0" xfId="0" applyFont="1" applyFill="1" applyAlignment="1">
      <alignment vertical="center"/>
    </xf>
    <xf numFmtId="0" fontId="116" fillId="72" borderId="42" xfId="0" applyFont="1" applyFill="1" applyBorder="1" applyAlignment="1">
      <alignment vertical="center"/>
    </xf>
    <xf numFmtId="0" fontId="116" fillId="72" borderId="1" xfId="0" applyFont="1" applyFill="1" applyBorder="1" applyAlignment="1">
      <alignment vertical="center"/>
    </xf>
    <xf numFmtId="0" fontId="128" fillId="0" borderId="1" xfId="0" applyFont="1" applyBorder="1" applyAlignment="1">
      <alignment horizontal="center" vertical="center"/>
    </xf>
    <xf numFmtId="0" fontId="118" fillId="0" borderId="1" xfId="0" applyFont="1" applyBorder="1"/>
    <xf numFmtId="0" fontId="169" fillId="0" borderId="4" xfId="204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70" fillId="0" borderId="4" xfId="0" applyFont="1" applyBorder="1" applyAlignment="1">
      <alignment horizontal="center" vertical="center" wrapText="1"/>
    </xf>
    <xf numFmtId="14" fontId="12" fillId="0" borderId="10" xfId="0" applyNumberFormat="1" applyFont="1" applyBorder="1" applyAlignment="1">
      <alignment horizontal="center" vertical="center" wrapText="1"/>
    </xf>
    <xf numFmtId="14" fontId="116" fillId="0" borderId="94" xfId="0" applyNumberFormat="1" applyFont="1" applyBorder="1" applyAlignment="1">
      <alignment horizontal="center" vertical="center"/>
    </xf>
    <xf numFmtId="0" fontId="116" fillId="0" borderId="4" xfId="0" applyFont="1" applyBorder="1"/>
    <xf numFmtId="14" fontId="12" fillId="0" borderId="4" xfId="0" applyNumberFormat="1" applyFont="1" applyBorder="1" applyAlignment="1">
      <alignment horizontal="center" vertical="center" wrapText="1"/>
    </xf>
    <xf numFmtId="14" fontId="116" fillId="0" borderId="42" xfId="0" applyNumberFormat="1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14" fontId="0" fillId="0" borderId="1" xfId="0" applyNumberFormat="1" applyBorder="1"/>
    <xf numFmtId="0" fontId="0" fillId="0" borderId="1" xfId="0" applyBorder="1" applyAlignment="1">
      <alignment vertical="center" wrapText="1"/>
    </xf>
    <xf numFmtId="14" fontId="116" fillId="0" borderId="1" xfId="0" applyNumberFormat="1" applyFont="1" applyBorder="1"/>
    <xf numFmtId="0" fontId="12" fillId="0" borderId="11" xfId="0" applyFont="1" applyBorder="1" applyAlignment="1">
      <alignment horizontal="center" vertical="center" wrapText="1"/>
    </xf>
    <xf numFmtId="0" fontId="80" fillId="81" borderId="0" xfId="0" applyFont="1" applyFill="1" applyAlignment="1">
      <alignment vertical="center"/>
    </xf>
    <xf numFmtId="0" fontId="0" fillId="81" borderId="0" xfId="0" applyFill="1" applyAlignment="1">
      <alignment vertical="center"/>
    </xf>
    <xf numFmtId="0" fontId="13" fillId="0" borderId="51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53" xfId="0" applyFont="1" applyBorder="1" applyAlignment="1">
      <alignment horizontal="center" vertical="center" wrapText="1"/>
    </xf>
    <xf numFmtId="1" fontId="61" fillId="0" borderId="44" xfId="0" applyNumberFormat="1" applyFont="1" applyBorder="1" applyAlignment="1">
      <alignment horizontal="center" vertical="center" wrapText="1" shrinkToFit="1"/>
    </xf>
    <xf numFmtId="0" fontId="11" fillId="0" borderId="4" xfId="0" applyFont="1" applyBorder="1" applyAlignment="1">
      <alignment horizontal="center" vertical="center" wrapText="1"/>
    </xf>
    <xf numFmtId="168" fontId="61" fillId="0" borderId="4" xfId="0" applyNumberFormat="1" applyFont="1" applyBorder="1" applyAlignment="1">
      <alignment horizontal="center" vertical="center" wrapText="1" shrinkToFit="1"/>
    </xf>
    <xf numFmtId="0" fontId="9" fillId="0" borderId="9" xfId="0" applyFont="1" applyBorder="1" applyAlignment="1">
      <alignment horizontal="center" vertical="center" wrapText="1"/>
    </xf>
    <xf numFmtId="1" fontId="61" fillId="0" borderId="6" xfId="0" applyNumberFormat="1" applyFont="1" applyBorder="1" applyAlignment="1">
      <alignment horizontal="center" vertical="center" wrapText="1" shrinkToFit="1"/>
    </xf>
    <xf numFmtId="0" fontId="11" fillId="0" borderId="1" xfId="0" applyFont="1" applyBorder="1" applyAlignment="1">
      <alignment horizontal="center" vertical="center" wrapText="1"/>
    </xf>
    <xf numFmtId="168" fontId="61" fillId="0" borderId="1" xfId="0" applyNumberFormat="1" applyFont="1" applyBorder="1" applyAlignment="1">
      <alignment horizontal="center" vertical="center" wrapText="1" shrinkToFit="1"/>
    </xf>
    <xf numFmtId="1" fontId="61" fillId="0" borderId="43" xfId="0" applyNumberFormat="1" applyFont="1" applyBorder="1" applyAlignment="1">
      <alignment horizontal="center" vertical="center" wrapText="1" shrinkToFit="1"/>
    </xf>
    <xf numFmtId="0" fontId="11" fillId="0" borderId="40" xfId="0" applyFont="1" applyBorder="1" applyAlignment="1">
      <alignment horizontal="center" vertical="center" wrapText="1"/>
    </xf>
    <xf numFmtId="168" fontId="61" fillId="0" borderId="40" xfId="0" applyNumberFormat="1" applyFont="1" applyBorder="1" applyAlignment="1">
      <alignment horizontal="center" vertical="center" wrapText="1" shrinkToFit="1"/>
    </xf>
    <xf numFmtId="0" fontId="12" fillId="0" borderId="40" xfId="0" applyFont="1" applyBorder="1" applyAlignment="1">
      <alignment horizontal="center" vertical="center" wrapText="1"/>
    </xf>
    <xf numFmtId="14" fontId="12" fillId="0" borderId="40" xfId="0" applyNumberFormat="1" applyFont="1" applyBorder="1" applyAlignment="1">
      <alignment horizontal="center" vertical="center" wrapText="1"/>
    </xf>
    <xf numFmtId="168" fontId="171" fillId="0" borderId="52" xfId="0" applyNumberFormat="1" applyFont="1" applyBorder="1" applyAlignment="1">
      <alignment horizontal="center" vertical="center" wrapText="1" shrinkToFit="1"/>
    </xf>
    <xf numFmtId="14" fontId="13" fillId="0" borderId="52" xfId="0" applyNumberFormat="1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69" borderId="10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14" fontId="9" fillId="69" borderId="1" xfId="0" applyNumberFormat="1" applyFont="1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 wrapText="1"/>
    </xf>
    <xf numFmtId="0" fontId="9" fillId="0" borderId="11" xfId="0" quotePrefix="1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14" fontId="9" fillId="0" borderId="11" xfId="0" applyNumberFormat="1" applyFont="1" applyBorder="1" applyAlignment="1">
      <alignment horizontal="center" vertical="center" wrapText="1"/>
    </xf>
    <xf numFmtId="14" fontId="9" fillId="69" borderId="11" xfId="0" applyNumberFormat="1" applyFont="1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173" fillId="61" borderId="61" xfId="0" applyFont="1" applyFill="1" applyBorder="1" applyAlignment="1">
      <alignment horizontal="center" vertical="center" wrapText="1"/>
    </xf>
    <xf numFmtId="0" fontId="129" fillId="0" borderId="1" xfId="1586" applyFont="1" applyBorder="1" applyAlignment="1">
      <alignment horizontal="center" vertical="center" wrapText="1"/>
    </xf>
    <xf numFmtId="2" fontId="112" fillId="0" borderId="66" xfId="0" applyNumberFormat="1" applyFont="1" applyBorder="1" applyAlignment="1">
      <alignment horizontal="center" vertical="center" wrapText="1"/>
    </xf>
    <xf numFmtId="2" fontId="175" fillId="0" borderId="1" xfId="254" applyNumberFormat="1" applyFont="1" applyBorder="1" applyAlignment="1">
      <alignment horizontal="center" vertical="center"/>
    </xf>
    <xf numFmtId="2" fontId="174" fillId="0" borderId="1" xfId="254" applyNumberFormat="1" applyFont="1" applyBorder="1" applyAlignment="1" applyProtection="1">
      <alignment horizontal="center" vertical="center"/>
      <protection hidden="1"/>
    </xf>
    <xf numFmtId="2" fontId="175" fillId="2" borderId="1" xfId="254" applyNumberFormat="1" applyFont="1" applyFill="1" applyBorder="1" applyAlignment="1">
      <alignment horizontal="center" vertical="center"/>
    </xf>
    <xf numFmtId="2" fontId="174" fillId="2" borderId="1" xfId="254" applyNumberFormat="1" applyFont="1" applyFill="1" applyBorder="1" applyAlignment="1" applyProtection="1">
      <alignment horizontal="center" vertical="center"/>
      <protection hidden="1"/>
    </xf>
    <xf numFmtId="2" fontId="114" fillId="0" borderId="1" xfId="0" applyNumberFormat="1" applyFont="1" applyBorder="1" applyAlignment="1">
      <alignment horizontal="center" vertical="center"/>
    </xf>
    <xf numFmtId="0" fontId="114" fillId="0" borderId="1" xfId="0" applyFont="1" applyBorder="1" applyAlignment="1">
      <alignment horizontal="center" vertical="center" wrapText="1"/>
    </xf>
    <xf numFmtId="0" fontId="114" fillId="3" borderId="1" xfId="0" applyFont="1" applyFill="1" applyBorder="1" applyAlignment="1">
      <alignment vertical="center"/>
    </xf>
    <xf numFmtId="0" fontId="114" fillId="0" borderId="4" xfId="0" applyFont="1" applyBorder="1" applyAlignment="1">
      <alignment horizontal="center" vertical="center" wrapText="1"/>
    </xf>
    <xf numFmtId="0" fontId="114" fillId="0" borderId="4" xfId="0" applyFont="1" applyBorder="1" applyAlignment="1">
      <alignment horizontal="center" vertical="center"/>
    </xf>
    <xf numFmtId="0" fontId="114" fillId="3" borderId="4" xfId="0" applyFont="1" applyFill="1" applyBorder="1" applyAlignment="1">
      <alignment vertical="center"/>
    </xf>
    <xf numFmtId="14" fontId="0" fillId="0" borderId="0" xfId="0" applyNumberFormat="1"/>
    <xf numFmtId="0" fontId="0" fillId="0" borderId="42" xfId="0" applyBorder="1" applyAlignment="1">
      <alignment horizontal="center"/>
    </xf>
    <xf numFmtId="0" fontId="0" fillId="0" borderId="31" xfId="0" applyBorder="1" applyAlignment="1">
      <alignment horizontal="center"/>
    </xf>
    <xf numFmtId="0" fontId="154" fillId="0" borderId="1" xfId="1586" applyFont="1" applyBorder="1" applyAlignment="1">
      <alignment horizontal="center" vertical="center" wrapText="1"/>
    </xf>
    <xf numFmtId="2" fontId="126" fillId="61" borderId="66" xfId="0" applyNumberFormat="1" applyFont="1" applyFill="1" applyBorder="1" applyAlignment="1">
      <alignment horizontal="center" vertical="center" wrapText="1"/>
    </xf>
    <xf numFmtId="2" fontId="102" fillId="0" borderId="0" xfId="0" applyNumberFormat="1" applyFont="1"/>
    <xf numFmtId="2" fontId="126" fillId="61" borderId="77" xfId="0" applyNumberFormat="1" applyFont="1" applyFill="1" applyBorder="1" applyAlignment="1">
      <alignment horizontal="center" vertical="center" wrapText="1"/>
    </xf>
    <xf numFmtId="2" fontId="119" fillId="0" borderId="0" xfId="0" applyNumberFormat="1" applyFont="1"/>
    <xf numFmtId="2" fontId="172" fillId="61" borderId="1" xfId="0" applyNumberFormat="1" applyFont="1" applyFill="1" applyBorder="1" applyAlignment="1">
      <alignment horizontal="center" vertical="center" wrapText="1"/>
    </xf>
    <xf numFmtId="2" fontId="165" fillId="0" borderId="4" xfId="0" applyNumberFormat="1" applyFont="1" applyBorder="1" applyAlignment="1">
      <alignment horizontal="center" vertical="center" wrapText="1"/>
    </xf>
    <xf numFmtId="2" fontId="165" fillId="0" borderId="1" xfId="0" applyNumberFormat="1" applyFont="1" applyBorder="1" applyAlignment="1">
      <alignment horizontal="center" vertical="center" wrapText="1"/>
    </xf>
    <xf numFmtId="2" fontId="174" fillId="0" borderId="1" xfId="0" applyNumberFormat="1" applyFont="1" applyBorder="1" applyAlignment="1">
      <alignment horizontal="center" vertical="center"/>
    </xf>
    <xf numFmtId="2" fontId="174" fillId="0" borderId="1" xfId="0" applyNumberFormat="1" applyFont="1" applyBorder="1" applyAlignment="1">
      <alignment horizontal="center" vertical="center" wrapText="1"/>
    </xf>
    <xf numFmtId="2" fontId="118" fillId="0" borderId="1" xfId="0" applyNumberFormat="1" applyFont="1" applyBorder="1" applyAlignment="1">
      <alignment horizontal="center" vertical="center"/>
    </xf>
    <xf numFmtId="2" fontId="165" fillId="0" borderId="1" xfId="0" applyNumberFormat="1" applyFont="1" applyBorder="1" applyAlignment="1">
      <alignment horizontal="center" vertical="center"/>
    </xf>
    <xf numFmtId="2" fontId="119" fillId="0" borderId="1" xfId="0" applyNumberFormat="1" applyFont="1" applyBorder="1" applyAlignment="1">
      <alignment horizontal="center" vertical="center"/>
    </xf>
    <xf numFmtId="2" fontId="165" fillId="0" borderId="1" xfId="0" applyNumberFormat="1" applyFont="1" applyBorder="1" applyAlignment="1">
      <alignment horizontal="center"/>
    </xf>
    <xf numFmtId="2" fontId="118" fillId="0" borderId="1" xfId="1586" applyNumberFormat="1" applyFont="1" applyBorder="1" applyAlignment="1">
      <alignment horizontal="center" vertical="center"/>
    </xf>
    <xf numFmtId="2" fontId="165" fillId="0" borderId="4" xfId="0" applyNumberFormat="1" applyFont="1" applyBorder="1" applyAlignment="1">
      <alignment horizontal="center" vertical="center"/>
    </xf>
    <xf numFmtId="2" fontId="165" fillId="0" borderId="40" xfId="0" applyNumberFormat="1" applyFont="1" applyBorder="1" applyAlignment="1">
      <alignment horizontal="center" vertical="center" wrapText="1"/>
    </xf>
    <xf numFmtId="2" fontId="165" fillId="69" borderId="1" xfId="0" applyNumberFormat="1" applyFont="1" applyFill="1" applyBorder="1" applyAlignment="1">
      <alignment horizontal="center" vertical="center"/>
    </xf>
    <xf numFmtId="2" fontId="165" fillId="72" borderId="1" xfId="0" applyNumberFormat="1" applyFont="1" applyFill="1" applyBorder="1" applyAlignment="1">
      <alignment horizontal="center" vertical="center" wrapText="1"/>
    </xf>
    <xf numFmtId="2" fontId="165" fillId="69" borderId="1" xfId="0" applyNumberFormat="1" applyFont="1" applyFill="1" applyBorder="1" applyAlignment="1">
      <alignment horizontal="center" vertical="center" wrapText="1"/>
    </xf>
    <xf numFmtId="2" fontId="165" fillId="58" borderId="1" xfId="0" applyNumberFormat="1" applyFont="1" applyFill="1" applyBorder="1" applyAlignment="1">
      <alignment horizontal="center" vertical="center" wrapText="1"/>
    </xf>
    <xf numFmtId="2" fontId="172" fillId="61" borderId="61" xfId="0" applyNumberFormat="1" applyFont="1" applyFill="1" applyBorder="1" applyAlignment="1">
      <alignment horizontal="center" vertical="center" wrapText="1"/>
    </xf>
    <xf numFmtId="2" fontId="128" fillId="0" borderId="1" xfId="1586" applyNumberFormat="1" applyFont="1" applyBorder="1" applyAlignment="1">
      <alignment horizontal="center" vertical="center" wrapText="1"/>
    </xf>
    <xf numFmtId="2" fontId="114" fillId="0" borderId="4" xfId="0" applyNumberFormat="1" applyFont="1" applyBorder="1" applyAlignment="1">
      <alignment horizontal="center" vertical="center"/>
    </xf>
    <xf numFmtId="49" fontId="174" fillId="0" borderId="0" xfId="254" applyNumberFormat="1" applyFont="1" applyAlignment="1" applyProtection="1">
      <alignment horizontal="center" vertical="center"/>
      <protection hidden="1"/>
    </xf>
    <xf numFmtId="1" fontId="114" fillId="0" borderId="1" xfId="0" applyNumberFormat="1" applyFont="1" applyBorder="1" applyAlignment="1">
      <alignment horizontal="center" vertical="center"/>
    </xf>
    <xf numFmtId="0" fontId="87" fillId="3" borderId="42" xfId="0" applyFont="1" applyFill="1" applyBorder="1" applyAlignment="1">
      <alignment horizontal="center" vertical="center" wrapText="1"/>
    </xf>
    <xf numFmtId="0" fontId="87" fillId="3" borderId="31" xfId="0" applyFont="1" applyFill="1" applyBorder="1" applyAlignment="1">
      <alignment horizontal="center" vertical="center" wrapText="1"/>
    </xf>
    <xf numFmtId="0" fontId="87" fillId="3" borderId="45" xfId="0" applyFont="1" applyFill="1" applyBorder="1" applyAlignment="1">
      <alignment horizontal="center" vertical="center" wrapText="1"/>
    </xf>
    <xf numFmtId="0" fontId="114" fillId="3" borderId="1" xfId="0" applyFont="1" applyFill="1" applyBorder="1" applyAlignment="1">
      <alignment horizontal="center" vertical="center"/>
    </xf>
    <xf numFmtId="2" fontId="11" fillId="0" borderId="1" xfId="254" applyNumberFormat="1" applyFont="1" applyBorder="1" applyAlignment="1" applyProtection="1">
      <alignment horizontal="center" vertical="center"/>
      <protection hidden="1"/>
    </xf>
    <xf numFmtId="0" fontId="0" fillId="3" borderId="1" xfId="0" applyFill="1" applyBorder="1" applyAlignment="1">
      <alignment horizontal="center" vertical="center"/>
    </xf>
    <xf numFmtId="0" fontId="156" fillId="2" borderId="40" xfId="254" applyFont="1" applyFill="1" applyBorder="1" applyAlignment="1">
      <alignment horizontal="center" vertical="center"/>
    </xf>
    <xf numFmtId="2" fontId="11" fillId="2" borderId="1" xfId="254" applyNumberFormat="1" applyFont="1" applyFill="1" applyBorder="1" applyAlignment="1" applyProtection="1">
      <alignment horizontal="center" vertical="center"/>
      <protection hidden="1"/>
    </xf>
    <xf numFmtId="0" fontId="80" fillId="56" borderId="1" xfId="0" applyFont="1" applyFill="1" applyBorder="1" applyAlignment="1">
      <alignment horizontal="center" vertical="center"/>
    </xf>
    <xf numFmtId="0" fontId="87" fillId="0" borderId="0" xfId="0" applyFont="1" applyAlignment="1">
      <alignment vertical="center"/>
    </xf>
    <xf numFmtId="0" fontId="87" fillId="0" borderId="0" xfId="0" applyFont="1" applyAlignment="1">
      <alignment horizontal="center" vertical="center"/>
    </xf>
    <xf numFmtId="0" fontId="87" fillId="82" borderId="51" xfId="0" applyFont="1" applyFill="1" applyBorder="1" applyAlignment="1">
      <alignment vertical="center"/>
    </xf>
    <xf numFmtId="0" fontId="87" fillId="82" borderId="53" xfId="0" applyFont="1" applyFill="1" applyBorder="1" applyAlignment="1">
      <alignment vertical="center"/>
    </xf>
    <xf numFmtId="168" fontId="87" fillId="0" borderId="0" xfId="0" applyNumberFormat="1" applyFont="1" applyAlignment="1">
      <alignment horizontal="center" vertical="center"/>
    </xf>
    <xf numFmtId="0" fontId="87" fillId="0" borderId="0" xfId="0" applyFont="1" applyAlignment="1">
      <alignment horizontal="left" vertical="center" wrapText="1"/>
    </xf>
    <xf numFmtId="0" fontId="80" fillId="0" borderId="0" xfId="0" applyFont="1"/>
    <xf numFmtId="0" fontId="80" fillId="2" borderId="51" xfId="0" applyFont="1" applyFill="1" applyBorder="1" applyAlignment="1">
      <alignment horizontal="center" vertical="center"/>
    </xf>
    <xf numFmtId="0" fontId="80" fillId="2" borderId="52" xfId="0" applyFont="1" applyFill="1" applyBorder="1" applyAlignment="1">
      <alignment horizontal="center" vertical="center"/>
    </xf>
    <xf numFmtId="0" fontId="80" fillId="2" borderId="52" xfId="0" applyFont="1" applyFill="1" applyBorder="1" applyAlignment="1">
      <alignment horizontal="center" vertical="center" wrapText="1"/>
    </xf>
    <xf numFmtId="0" fontId="80" fillId="2" borderId="52" xfId="1979" applyFont="1" applyFill="1" applyBorder="1" applyAlignment="1">
      <alignment horizontal="center" vertical="center" wrapText="1"/>
    </xf>
    <xf numFmtId="0" fontId="80" fillId="2" borderId="53" xfId="0" applyFont="1" applyFill="1" applyBorder="1" applyAlignment="1">
      <alignment horizontal="center" vertical="center" wrapText="1"/>
    </xf>
    <xf numFmtId="0" fontId="80" fillId="2" borderId="1" xfId="0" applyFont="1" applyFill="1" applyBorder="1" applyAlignment="1">
      <alignment vertical="center"/>
    </xf>
    <xf numFmtId="0" fontId="0" fillId="58" borderId="1" xfId="0" applyFill="1" applyBorder="1" applyAlignment="1">
      <alignment horizontal="center" vertical="center"/>
    </xf>
    <xf numFmtId="0" fontId="80" fillId="80" borderId="4" xfId="1979" applyFont="1" applyFill="1" applyBorder="1" applyAlignment="1">
      <alignment horizontal="center" vertical="center" wrapText="1"/>
    </xf>
    <xf numFmtId="168" fontId="0" fillId="0" borderId="4" xfId="0" applyNumberFormat="1" applyBorder="1" applyAlignment="1">
      <alignment horizontal="center" vertical="center"/>
    </xf>
    <xf numFmtId="168" fontId="0" fillId="69" borderId="4" xfId="0" applyNumberFormat="1" applyFill="1" applyBorder="1" applyAlignment="1">
      <alignment horizontal="center" vertical="center"/>
    </xf>
    <xf numFmtId="0" fontId="0" fillId="69" borderId="4" xfId="0" applyFill="1" applyBorder="1" applyAlignment="1">
      <alignment horizontal="center" vertical="center"/>
    </xf>
    <xf numFmtId="0" fontId="0" fillId="5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204" fontId="80" fillId="56" borderId="1" xfId="0" applyNumberFormat="1" applyFont="1" applyFill="1" applyBorder="1" applyAlignment="1">
      <alignment horizontal="center" vertical="center"/>
    </xf>
    <xf numFmtId="2" fontId="80" fillId="56" borderId="1" xfId="0" applyNumberFormat="1" applyFont="1" applyFill="1" applyBorder="1" applyAlignment="1">
      <alignment horizontal="center" vertical="center"/>
    </xf>
    <xf numFmtId="178" fontId="80" fillId="56" borderId="1" xfId="1155" applyFont="1" applyFill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176" fillId="0" borderId="66" xfId="0" applyFont="1" applyBorder="1" applyAlignment="1">
      <alignment horizontal="left" vertical="center" wrapText="1"/>
    </xf>
    <xf numFmtId="0" fontId="152" fillId="0" borderId="1" xfId="0" applyFont="1" applyBorder="1" applyAlignment="1">
      <alignment horizontal="center" vertical="center" wrapText="1"/>
    </xf>
    <xf numFmtId="0" fontId="152" fillId="0" borderId="1" xfId="0" applyFont="1" applyBorder="1" applyAlignment="1">
      <alignment wrapText="1"/>
    </xf>
    <xf numFmtId="0" fontId="151" fillId="66" borderId="103" xfId="0" applyFont="1" applyFill="1" applyBorder="1" applyAlignment="1">
      <alignment horizontal="center" vertical="center" wrapText="1"/>
    </xf>
    <xf numFmtId="0" fontId="151" fillId="66" borderId="73" xfId="0" applyFont="1" applyFill="1" applyBorder="1" applyAlignment="1">
      <alignment horizontal="center" vertical="center" wrapText="1"/>
    </xf>
    <xf numFmtId="0" fontId="150" fillId="66" borderId="42" xfId="0" applyFont="1" applyFill="1" applyBorder="1" applyAlignment="1">
      <alignment horizontal="center" vertical="center"/>
    </xf>
    <xf numFmtId="0" fontId="150" fillId="66" borderId="73" xfId="0" applyFont="1" applyFill="1" applyBorder="1" applyAlignment="1">
      <alignment horizontal="center" vertical="center"/>
    </xf>
    <xf numFmtId="0" fontId="150" fillId="66" borderId="42" xfId="0" quotePrefix="1" applyFont="1" applyFill="1" applyBorder="1" applyAlignment="1">
      <alignment horizontal="center" vertical="center"/>
    </xf>
    <xf numFmtId="0" fontId="150" fillId="66" borderId="73" xfId="0" quotePrefix="1" applyFont="1" applyFill="1" applyBorder="1" applyAlignment="1">
      <alignment horizontal="center" vertical="center"/>
    </xf>
    <xf numFmtId="0" fontId="149" fillId="66" borderId="42" xfId="0" applyFont="1" applyFill="1" applyBorder="1" applyAlignment="1">
      <alignment horizontal="center" vertical="center"/>
    </xf>
    <xf numFmtId="0" fontId="149" fillId="66" borderId="45" xfId="0" applyFont="1" applyFill="1" applyBorder="1" applyAlignment="1">
      <alignment horizontal="center" vertical="center"/>
    </xf>
    <xf numFmtId="0" fontId="92" fillId="61" borderId="18" xfId="0" applyFont="1" applyFill="1" applyBorder="1" applyAlignment="1">
      <alignment horizontal="center" vertical="center" wrapText="1"/>
    </xf>
    <xf numFmtId="0" fontId="145" fillId="0" borderId="0" xfId="0" applyFont="1" applyAlignment="1">
      <alignment horizontal="left" vertical="center"/>
    </xf>
    <xf numFmtId="0" fontId="149" fillId="66" borderId="42" xfId="0" quotePrefix="1" applyFont="1" applyFill="1" applyBorder="1" applyAlignment="1">
      <alignment horizontal="center" vertical="center"/>
    </xf>
    <xf numFmtId="0" fontId="149" fillId="66" borderId="45" xfId="0" quotePrefix="1" applyFont="1" applyFill="1" applyBorder="1" applyAlignment="1">
      <alignment horizontal="center" vertical="center"/>
    </xf>
    <xf numFmtId="0" fontId="108" fillId="66" borderId="42" xfId="1777" applyFont="1" applyFill="1" applyBorder="1" applyAlignment="1">
      <alignment horizontal="center" vertical="center" wrapText="1"/>
    </xf>
    <xf numFmtId="0" fontId="108" fillId="66" borderId="45" xfId="1777" applyFont="1" applyFill="1" applyBorder="1" applyAlignment="1">
      <alignment horizontal="center" vertical="center" wrapText="1"/>
    </xf>
    <xf numFmtId="0" fontId="92" fillId="61" borderId="93" xfId="0" applyFont="1" applyFill="1" applyBorder="1" applyAlignment="1">
      <alignment horizontal="center" vertical="center" wrapText="1"/>
    </xf>
    <xf numFmtId="0" fontId="92" fillId="61" borderId="72" xfId="0" applyFont="1" applyFill="1" applyBorder="1" applyAlignment="1">
      <alignment horizontal="center" vertical="center" wrapText="1"/>
    </xf>
    <xf numFmtId="0" fontId="93" fillId="0" borderId="67" xfId="0" applyFont="1" applyBorder="1" applyAlignment="1">
      <alignment vertical="center" wrapText="1"/>
    </xf>
    <xf numFmtId="0" fontId="93" fillId="0" borderId="78" xfId="0" applyFont="1" applyBorder="1" applyAlignment="1">
      <alignment vertical="center" wrapText="1"/>
    </xf>
    <xf numFmtId="0" fontId="93" fillId="0" borderId="77" xfId="0" applyFont="1" applyBorder="1" applyAlignment="1">
      <alignment vertical="center" wrapText="1"/>
    </xf>
    <xf numFmtId="0" fontId="100" fillId="0" borderId="69" xfId="0" quotePrefix="1" applyFont="1" applyBorder="1" applyAlignment="1">
      <alignment horizontal="left" vertical="center" wrapText="1"/>
    </xf>
    <xf numFmtId="0" fontId="100" fillId="0" borderId="70" xfId="0" quotePrefix="1" applyFont="1" applyBorder="1" applyAlignment="1">
      <alignment horizontal="left" vertical="center" wrapText="1"/>
    </xf>
    <xf numFmtId="0" fontId="100" fillId="0" borderId="71" xfId="0" quotePrefix="1" applyFont="1" applyBorder="1" applyAlignment="1">
      <alignment horizontal="left" vertical="center" wrapText="1"/>
    </xf>
    <xf numFmtId="0" fontId="101" fillId="0" borderId="69" xfId="0" quotePrefix="1" applyFont="1" applyBorder="1" applyAlignment="1">
      <alignment horizontal="left" vertical="center" wrapText="1"/>
    </xf>
    <xf numFmtId="0" fontId="101" fillId="0" borderId="70" xfId="0" quotePrefix="1" applyFont="1" applyBorder="1" applyAlignment="1">
      <alignment horizontal="left" vertical="center" wrapText="1"/>
    </xf>
    <xf numFmtId="0" fontId="101" fillId="0" borderId="71" xfId="0" quotePrefix="1" applyFont="1" applyBorder="1" applyAlignment="1">
      <alignment horizontal="left" vertical="center" wrapText="1"/>
    </xf>
    <xf numFmtId="0" fontId="99" fillId="61" borderId="21" xfId="0" applyFont="1" applyFill="1" applyBorder="1" applyAlignment="1">
      <alignment horizontal="center" vertical="center" wrapText="1"/>
    </xf>
    <xf numFmtId="0" fontId="99" fillId="61" borderId="22" xfId="0" applyFont="1" applyFill="1" applyBorder="1" applyAlignment="1">
      <alignment horizontal="center" vertical="center" wrapText="1"/>
    </xf>
    <xf numFmtId="0" fontId="99" fillId="61" borderId="23" xfId="0" applyFont="1" applyFill="1" applyBorder="1" applyAlignment="1">
      <alignment horizontal="center" vertical="center" wrapText="1"/>
    </xf>
    <xf numFmtId="0" fontId="99" fillId="61" borderId="69" xfId="0" applyFont="1" applyFill="1" applyBorder="1" applyAlignment="1">
      <alignment horizontal="center" vertical="center"/>
    </xf>
    <xf numFmtId="0" fontId="99" fillId="61" borderId="70" xfId="0" applyFont="1" applyFill="1" applyBorder="1" applyAlignment="1">
      <alignment horizontal="center" vertical="center"/>
    </xf>
    <xf numFmtId="0" fontId="99" fillId="61" borderId="71" xfId="0" applyFont="1" applyFill="1" applyBorder="1" applyAlignment="1">
      <alignment horizontal="center" vertical="center"/>
    </xf>
    <xf numFmtId="0" fontId="99" fillId="61" borderId="69" xfId="0" applyFont="1" applyFill="1" applyBorder="1" applyAlignment="1">
      <alignment horizontal="center" vertical="center" wrapText="1"/>
    </xf>
    <xf numFmtId="0" fontId="99" fillId="61" borderId="70" xfId="0" applyFont="1" applyFill="1" applyBorder="1" applyAlignment="1">
      <alignment horizontal="center" vertical="center" wrapText="1"/>
    </xf>
    <xf numFmtId="0" fontId="99" fillId="61" borderId="71" xfId="0" applyFont="1" applyFill="1" applyBorder="1" applyAlignment="1">
      <alignment horizontal="center" vertical="center" wrapText="1"/>
    </xf>
    <xf numFmtId="168" fontId="132" fillId="0" borderId="42" xfId="247" applyNumberFormat="1" applyFont="1" applyBorder="1" applyAlignment="1">
      <alignment horizontal="left" vertical="center" wrapText="1"/>
    </xf>
    <xf numFmtId="168" fontId="132" fillId="0" borderId="45" xfId="247" applyNumberFormat="1" applyFont="1" applyBorder="1" applyAlignment="1">
      <alignment horizontal="left" vertical="center" wrapText="1"/>
    </xf>
    <xf numFmtId="0" fontId="146" fillId="0" borderId="0" xfId="0" applyFont="1" applyAlignment="1">
      <alignment horizontal="left" vertical="center"/>
    </xf>
    <xf numFmtId="0" fontId="92" fillId="61" borderId="85" xfId="0" applyFont="1" applyFill="1" applyBorder="1" applyAlignment="1">
      <alignment horizontal="center" vertical="center" wrapText="1"/>
    </xf>
    <xf numFmtId="0" fontId="92" fillId="61" borderId="17" xfId="0" applyFont="1" applyFill="1" applyBorder="1" applyAlignment="1">
      <alignment horizontal="center" vertical="center" wrapText="1"/>
    </xf>
    <xf numFmtId="1" fontId="135" fillId="0" borderId="42" xfId="1777" applyNumberFormat="1" applyFont="1" applyBorder="1" applyAlignment="1">
      <alignment horizontal="left" vertical="center" wrapText="1"/>
    </xf>
    <xf numFmtId="1" fontId="135" fillId="0" borderId="45" xfId="1777" applyNumberFormat="1" applyFont="1" applyBorder="1" applyAlignment="1">
      <alignment horizontal="left" vertical="center" wrapText="1"/>
    </xf>
    <xf numFmtId="0" fontId="93" fillId="0" borderId="76" xfId="0" applyFont="1" applyBorder="1" applyAlignment="1">
      <alignment horizontal="left" vertical="center" wrapText="1"/>
    </xf>
    <xf numFmtId="0" fontId="93" fillId="0" borderId="82" xfId="0" applyFont="1" applyBorder="1" applyAlignment="1">
      <alignment horizontal="left" vertical="center" wrapText="1"/>
    </xf>
    <xf numFmtId="0" fontId="93" fillId="0" borderId="69" xfId="0" applyFont="1" applyBorder="1" applyAlignment="1">
      <alignment horizontal="left" vertical="center" wrapText="1"/>
    </xf>
    <xf numFmtId="0" fontId="93" fillId="0" borderId="71" xfId="0" applyFont="1" applyBorder="1" applyAlignment="1">
      <alignment horizontal="left" vertical="center" wrapText="1"/>
    </xf>
    <xf numFmtId="0" fontId="95" fillId="0" borderId="79" xfId="0" applyFont="1" applyBorder="1"/>
    <xf numFmtId="0" fontId="92" fillId="61" borderId="21" xfId="0" applyFont="1" applyFill="1" applyBorder="1" applyAlignment="1">
      <alignment horizontal="center" vertical="center" wrapText="1"/>
    </xf>
    <xf numFmtId="0" fontId="92" fillId="61" borderId="23" xfId="0" applyFont="1" applyFill="1" applyBorder="1" applyAlignment="1">
      <alignment horizontal="center" vertical="center" wrapText="1"/>
    </xf>
    <xf numFmtId="0" fontId="107" fillId="66" borderId="42" xfId="1777" applyFont="1" applyFill="1" applyBorder="1" applyAlignment="1">
      <alignment horizontal="center" vertical="center" wrapText="1"/>
    </xf>
    <xf numFmtId="0" fontId="107" fillId="66" borderId="45" xfId="1777" applyFont="1" applyFill="1" applyBorder="1" applyAlignment="1">
      <alignment horizontal="center" vertical="center" wrapText="1"/>
    </xf>
    <xf numFmtId="1" fontId="135" fillId="0" borderId="42" xfId="1777" applyNumberFormat="1" applyFont="1" applyBorder="1" applyAlignment="1">
      <alignment horizontal="center" vertical="center" wrapText="1"/>
    </xf>
    <xf numFmtId="1" fontId="135" fillId="0" borderId="45" xfId="1777" applyNumberFormat="1" applyFont="1" applyBorder="1" applyAlignment="1">
      <alignment horizontal="center" vertical="center" wrapText="1"/>
    </xf>
    <xf numFmtId="0" fontId="106" fillId="0" borderId="42" xfId="1777" applyFont="1" applyBorder="1" applyAlignment="1" applyProtection="1">
      <alignment horizontal="left" vertical="center"/>
      <protection hidden="1"/>
    </xf>
    <xf numFmtId="0" fontId="106" fillId="0" borderId="45" xfId="1777" applyFont="1" applyBorder="1" applyAlignment="1" applyProtection="1">
      <alignment horizontal="left" vertical="center"/>
      <protection hidden="1"/>
    </xf>
    <xf numFmtId="1" fontId="83" fillId="0" borderId="42" xfId="1777" applyNumberFormat="1" applyFont="1" applyBorder="1" applyAlignment="1">
      <alignment horizontal="center" vertical="center" wrapText="1"/>
    </xf>
    <xf numFmtId="1" fontId="83" fillId="0" borderId="45" xfId="1777" applyNumberFormat="1" applyFont="1" applyBorder="1" applyAlignment="1">
      <alignment horizontal="center" vertical="center" wrapText="1"/>
    </xf>
    <xf numFmtId="0" fontId="11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9" fillId="61" borderId="62" xfId="0" applyFont="1" applyFill="1" applyBorder="1" applyAlignment="1">
      <alignment horizontal="center" vertical="center" wrapText="1"/>
    </xf>
    <xf numFmtId="0" fontId="89" fillId="61" borderId="60" xfId="0" applyFont="1" applyFill="1" applyBorder="1" applyAlignment="1">
      <alignment horizontal="center" vertical="center" wrapText="1"/>
    </xf>
    <xf numFmtId="0" fontId="89" fillId="61" borderId="63" xfId="0" applyFont="1" applyFill="1" applyBorder="1" applyAlignment="1">
      <alignment horizontal="center" vertical="center" wrapText="1"/>
    </xf>
    <xf numFmtId="0" fontId="125" fillId="0" borderId="1" xfId="0" applyFont="1" applyBorder="1" applyAlignment="1">
      <alignment horizontal="center" vertical="center" wrapText="1"/>
    </xf>
    <xf numFmtId="0" fontId="125" fillId="0" borderId="1" xfId="0" applyFont="1" applyBorder="1" applyAlignment="1">
      <alignment horizontal="center" vertical="center"/>
    </xf>
    <xf numFmtId="0" fontId="139" fillId="0" borderId="1" xfId="0" applyFont="1" applyBorder="1" applyAlignment="1">
      <alignment horizontal="center" vertical="center" wrapText="1"/>
    </xf>
    <xf numFmtId="0" fontId="137" fillId="0" borderId="1" xfId="0" applyFont="1" applyBorder="1" applyAlignment="1">
      <alignment horizontal="center" vertical="center" wrapText="1"/>
    </xf>
    <xf numFmtId="0" fontId="140" fillId="0" borderId="1" xfId="0" applyFont="1" applyBorder="1" applyAlignment="1">
      <alignment horizontal="center" vertical="center" wrapText="1"/>
    </xf>
    <xf numFmtId="0" fontId="141" fillId="0" borderId="1" xfId="0" applyFont="1" applyBorder="1" applyAlignment="1">
      <alignment horizontal="center" vertical="center" wrapText="1"/>
    </xf>
    <xf numFmtId="0" fontId="147" fillId="0" borderId="1" xfId="0" applyFont="1" applyBorder="1" applyAlignment="1">
      <alignment horizontal="center" vertical="center" wrapText="1"/>
    </xf>
    <xf numFmtId="0" fontId="0" fillId="0" borderId="42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128" fillId="56" borderId="42" xfId="0" applyFont="1" applyFill="1" applyBorder="1" applyAlignment="1">
      <alignment horizontal="center" vertical="center" wrapText="1"/>
    </xf>
    <xf numFmtId="0" fontId="128" fillId="56" borderId="31" xfId="0" applyFont="1" applyFill="1" applyBorder="1" applyAlignment="1">
      <alignment horizontal="center" vertical="center" wrapText="1"/>
    </xf>
    <xf numFmtId="0" fontId="128" fillId="56" borderId="45" xfId="0" applyFont="1" applyFill="1" applyBorder="1" applyAlignment="1">
      <alignment horizontal="center" vertical="center" wrapText="1"/>
    </xf>
    <xf numFmtId="0" fontId="111" fillId="3" borderId="1" xfId="0" applyFont="1" applyFill="1" applyBorder="1" applyAlignment="1">
      <alignment horizontal="center" vertical="center" wrapText="1"/>
    </xf>
    <xf numFmtId="0" fontId="128" fillId="0" borderId="42" xfId="0" applyFont="1" applyBorder="1" applyAlignment="1">
      <alignment horizontal="center" vertical="center" wrapText="1"/>
    </xf>
    <xf numFmtId="0" fontId="128" fillId="0" borderId="31" xfId="0" applyFont="1" applyBorder="1" applyAlignment="1">
      <alignment horizontal="center" vertical="center" wrapText="1"/>
    </xf>
    <xf numFmtId="0" fontId="128" fillId="0" borderId="45" xfId="0" applyFont="1" applyBorder="1" applyAlignment="1">
      <alignment horizontal="center" vertical="center" wrapText="1"/>
    </xf>
    <xf numFmtId="0" fontId="114" fillId="0" borderId="42" xfId="0" applyFont="1" applyBorder="1" applyAlignment="1">
      <alignment horizontal="center" vertical="center" wrapText="1"/>
    </xf>
    <xf numFmtId="0" fontId="114" fillId="0" borderId="31" xfId="0" applyFont="1" applyBorder="1" applyAlignment="1">
      <alignment horizontal="center" vertical="center" wrapText="1"/>
    </xf>
    <xf numFmtId="0" fontId="114" fillId="0" borderId="45" xfId="0" applyFont="1" applyBorder="1" applyAlignment="1">
      <alignment horizontal="center" vertical="center" wrapText="1"/>
    </xf>
    <xf numFmtId="0" fontId="90" fillId="64" borderId="42" xfId="0" applyFont="1" applyFill="1" applyBorder="1" applyAlignment="1">
      <alignment horizontal="left" vertical="center" wrapText="1"/>
    </xf>
    <xf numFmtId="0" fontId="90" fillId="64" borderId="31" xfId="0" applyFont="1" applyFill="1" applyBorder="1" applyAlignment="1">
      <alignment horizontal="left" vertical="center" wrapText="1"/>
    </xf>
    <xf numFmtId="0" fontId="90" fillId="64" borderId="45" xfId="0" applyFont="1" applyFill="1" applyBorder="1" applyAlignment="1">
      <alignment horizontal="left" vertical="center" wrapText="1"/>
    </xf>
    <xf numFmtId="0" fontId="89" fillId="61" borderId="64" xfId="0" applyFont="1" applyFill="1" applyBorder="1" applyAlignment="1">
      <alignment horizontal="center" vertical="center" wrapText="1"/>
    </xf>
    <xf numFmtId="0" fontId="89" fillId="61" borderId="59" xfId="0" applyFont="1" applyFill="1" applyBorder="1" applyAlignment="1">
      <alignment horizontal="center" vertical="center" wrapText="1"/>
    </xf>
    <xf numFmtId="0" fontId="89" fillId="61" borderId="65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45" xfId="0" applyBorder="1" applyAlignment="1">
      <alignment horizontal="center"/>
    </xf>
    <xf numFmtId="168" fontId="0" fillId="0" borderId="94" xfId="0" applyNumberFormat="1" applyBorder="1" applyAlignment="1">
      <alignment horizontal="center"/>
    </xf>
    <xf numFmtId="168" fontId="0" fillId="0" borderId="97" xfId="0" applyNumberFormat="1" applyBorder="1" applyAlignment="1">
      <alignment horizontal="center"/>
    </xf>
    <xf numFmtId="168" fontId="0" fillId="0" borderId="95" xfId="0" applyNumberFormat="1" applyBorder="1" applyAlignment="1">
      <alignment horizontal="center"/>
    </xf>
    <xf numFmtId="0" fontId="99" fillId="61" borderId="42" xfId="0" applyFont="1" applyFill="1" applyBorder="1" applyAlignment="1">
      <alignment horizontal="center" vertical="center" wrapText="1"/>
    </xf>
    <xf numFmtId="0" fontId="99" fillId="61" borderId="31" xfId="0" applyFont="1" applyFill="1" applyBorder="1" applyAlignment="1">
      <alignment horizontal="center" vertical="center" wrapText="1"/>
    </xf>
    <xf numFmtId="0" fontId="99" fillId="61" borderId="45" xfId="0" applyFont="1" applyFill="1" applyBorder="1" applyAlignment="1">
      <alignment horizontal="center" vertical="center" wrapText="1"/>
    </xf>
    <xf numFmtId="0" fontId="92" fillId="61" borderId="80" xfId="0" applyFont="1" applyFill="1" applyBorder="1" applyAlignment="1">
      <alignment horizontal="center" vertical="center" wrapText="1"/>
    </xf>
    <xf numFmtId="0" fontId="92" fillId="61" borderId="81" xfId="0" applyFont="1" applyFill="1" applyBorder="1" applyAlignment="1">
      <alignment horizontal="center" vertical="center" wrapText="1"/>
    </xf>
    <xf numFmtId="0" fontId="89" fillId="61" borderId="1" xfId="0" applyFont="1" applyFill="1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/>
    </xf>
    <xf numFmtId="0" fontId="114" fillId="0" borderId="46" xfId="0" applyFont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77" borderId="42" xfId="0" applyFill="1" applyBorder="1" applyAlignment="1">
      <alignment horizontal="center"/>
    </xf>
    <xf numFmtId="0" fontId="0" fillId="77" borderId="45" xfId="0" applyFill="1" applyBorder="1" applyAlignment="1">
      <alignment horizontal="center"/>
    </xf>
    <xf numFmtId="0" fontId="0" fillId="77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3" xfId="0" applyNumberFormat="1" applyBorder="1" applyAlignment="1">
      <alignment horizontal="left"/>
    </xf>
    <xf numFmtId="1" fontId="0" fillId="0" borderId="2" xfId="0" applyNumberFormat="1" applyBorder="1" applyAlignment="1">
      <alignment horizontal="left"/>
    </xf>
    <xf numFmtId="1" fontId="0" fillId="0" borderId="3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114" fillId="0" borderId="46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0" xfId="0" applyNumberFormat="1" applyAlignment="1">
      <alignment horizontal="left"/>
    </xf>
    <xf numFmtId="0" fontId="0" fillId="5" borderId="42" xfId="0" applyFill="1" applyBorder="1" applyAlignment="1">
      <alignment horizontal="center"/>
    </xf>
    <xf numFmtId="0" fontId="0" fillId="5" borderId="31" xfId="0" applyFill="1" applyBorder="1" applyAlignment="1">
      <alignment horizontal="center"/>
    </xf>
    <xf numFmtId="0" fontId="0" fillId="5" borderId="45" xfId="0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80" fillId="5" borderId="1" xfId="0" applyFont="1" applyFill="1" applyBorder="1" applyAlignment="1">
      <alignment horizontal="center"/>
    </xf>
    <xf numFmtId="0" fontId="0" fillId="74" borderId="1" xfId="0" applyFill="1" applyBorder="1" applyAlignment="1">
      <alignment horizontal="center"/>
    </xf>
    <xf numFmtId="0" fontId="80" fillId="0" borderId="0" xfId="0" applyFont="1" applyAlignment="1">
      <alignment horizontal="center"/>
    </xf>
    <xf numFmtId="0" fontId="0" fillId="74" borderId="42" xfId="0" applyFill="1" applyBorder="1" applyAlignment="1">
      <alignment horizontal="center"/>
    </xf>
    <xf numFmtId="0" fontId="0" fillId="74" borderId="31" xfId="0" applyFill="1" applyBorder="1" applyAlignment="1">
      <alignment horizontal="center"/>
    </xf>
    <xf numFmtId="0" fontId="0" fillId="74" borderId="45" xfId="0" applyFill="1" applyBorder="1" applyAlignment="1">
      <alignment horizontal="center"/>
    </xf>
    <xf numFmtId="0" fontId="80" fillId="74" borderId="42" xfId="0" applyFont="1" applyFill="1" applyBorder="1" applyAlignment="1">
      <alignment horizontal="center"/>
    </xf>
    <xf numFmtId="0" fontId="80" fillId="74" borderId="31" xfId="0" applyFont="1" applyFill="1" applyBorder="1" applyAlignment="1">
      <alignment horizontal="center"/>
    </xf>
    <xf numFmtId="0" fontId="80" fillId="74" borderId="45" xfId="0" applyFont="1" applyFill="1" applyBorder="1" applyAlignment="1">
      <alignment horizontal="center"/>
    </xf>
    <xf numFmtId="0" fontId="0" fillId="0" borderId="0" xfId="0" quotePrefix="1" applyAlignment="1">
      <alignment horizontal="center"/>
    </xf>
    <xf numFmtId="16" fontId="0" fillId="0" borderId="0" xfId="0" quotePrefix="1" applyNumberFormat="1" applyAlignment="1">
      <alignment horizontal="center"/>
    </xf>
    <xf numFmtId="0" fontId="80" fillId="74" borderId="1" xfId="0" applyFont="1" applyFill="1" applyBorder="1" applyAlignment="1">
      <alignment horizontal="center"/>
    </xf>
    <xf numFmtId="1" fontId="0" fillId="0" borderId="3" xfId="0" applyNumberFormat="1" applyBorder="1" applyAlignment="1">
      <alignment horizontal="right"/>
    </xf>
    <xf numFmtId="1" fontId="0" fillId="0" borderId="2" xfId="0" applyNumberFormat="1" applyBorder="1" applyAlignment="1">
      <alignment horizontal="right"/>
    </xf>
    <xf numFmtId="0" fontId="80" fillId="0" borderId="42" xfId="0" applyFont="1" applyBorder="1" applyAlignment="1">
      <alignment horizontal="center"/>
    </xf>
    <xf numFmtId="0" fontId="80" fillId="0" borderId="31" xfId="0" applyFont="1" applyBorder="1" applyAlignment="1">
      <alignment horizontal="center"/>
    </xf>
    <xf numFmtId="0" fontId="80" fillId="0" borderId="45" xfId="0" applyFont="1" applyBorder="1" applyAlignment="1">
      <alignment horizontal="center"/>
    </xf>
    <xf numFmtId="0" fontId="152" fillId="77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16" fontId="0" fillId="0" borderId="0" xfId="0" quotePrefix="1" applyNumberFormat="1" applyAlignment="1">
      <alignment horizontal="center" vertical="center"/>
    </xf>
    <xf numFmtId="0" fontId="0" fillId="0" borderId="4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7" xfId="0" applyBorder="1" applyAlignment="1">
      <alignment horizontal="center"/>
    </xf>
    <xf numFmtId="0" fontId="109" fillId="69" borderId="0" xfId="0" applyFont="1" applyFill="1" applyAlignment="1">
      <alignment horizontal="center"/>
    </xf>
    <xf numFmtId="1" fontId="0" fillId="0" borderId="0" xfId="0" applyNumberFormat="1" applyAlignment="1">
      <alignment horizontal="center" wrapText="1"/>
    </xf>
    <xf numFmtId="1" fontId="0" fillId="0" borderId="44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0" fontId="159" fillId="0" borderId="38" xfId="1" applyFont="1" applyBorder="1" applyAlignment="1">
      <alignment horizontal="center" vertical="center" wrapText="1"/>
    </xf>
    <xf numFmtId="0" fontId="159" fillId="0" borderId="11" xfId="1" applyFont="1" applyBorder="1" applyAlignment="1">
      <alignment horizontal="center" vertical="center" wrapText="1"/>
    </xf>
    <xf numFmtId="0" fontId="159" fillId="0" borderId="39" xfId="1" applyFont="1" applyBorder="1" applyAlignment="1">
      <alignment horizontal="center" vertical="center" wrapText="1"/>
    </xf>
    <xf numFmtId="1" fontId="0" fillId="0" borderId="99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88" xfId="0" applyNumberFormat="1" applyBorder="1" applyAlignment="1">
      <alignment horizontal="center"/>
    </xf>
    <xf numFmtId="2" fontId="0" fillId="69" borderId="38" xfId="0" applyNumberFormat="1" applyFill="1" applyBorder="1" applyAlignment="1">
      <alignment horizontal="center"/>
    </xf>
    <xf numFmtId="2" fontId="0" fillId="69" borderId="11" xfId="0" applyNumberFormat="1" applyFill="1" applyBorder="1" applyAlignment="1">
      <alignment horizontal="center"/>
    </xf>
    <xf numFmtId="2" fontId="0" fillId="69" borderId="39" xfId="0" applyNumberFormat="1" applyFill="1" applyBorder="1" applyAlignment="1">
      <alignment horizontal="center"/>
    </xf>
    <xf numFmtId="0" fontId="0" fillId="56" borderId="99" xfId="0" applyFill="1" applyBorder="1" applyAlignment="1">
      <alignment horizontal="center"/>
    </xf>
    <xf numFmtId="0" fontId="0" fillId="56" borderId="11" xfId="0" applyFill="1" applyBorder="1" applyAlignment="1">
      <alignment horizontal="center"/>
    </xf>
    <xf numFmtId="0" fontId="0" fillId="56" borderId="39" xfId="0" applyFill="1" applyBorder="1" applyAlignment="1">
      <alignment horizontal="center"/>
    </xf>
    <xf numFmtId="1" fontId="0" fillId="0" borderId="49" xfId="0" applyNumberFormat="1" applyBorder="1" applyAlignment="1">
      <alignment horizontal="center"/>
    </xf>
    <xf numFmtId="1" fontId="0" fillId="0" borderId="68" xfId="0" applyNumberFormat="1" applyBorder="1" applyAlignment="1">
      <alignment horizontal="center"/>
    </xf>
    <xf numFmtId="1" fontId="0" fillId="0" borderId="100" xfId="0" applyNumberFormat="1" applyBorder="1" applyAlignment="1">
      <alignment horizontal="center"/>
    </xf>
    <xf numFmtId="0" fontId="159" fillId="0" borderId="6" xfId="1" applyFont="1" applyBorder="1" applyAlignment="1">
      <alignment horizontal="center" vertical="center" wrapText="1"/>
    </xf>
    <xf numFmtId="0" fontId="159" fillId="0" borderId="1" xfId="1" applyFont="1" applyBorder="1" applyAlignment="1">
      <alignment horizontal="center" vertical="center" wrapText="1"/>
    </xf>
    <xf numFmtId="0" fontId="159" fillId="0" borderId="9" xfId="1" applyFont="1" applyBorder="1" applyAlignment="1">
      <alignment horizontal="center" vertical="center" wrapText="1"/>
    </xf>
    <xf numFmtId="1" fontId="0" fillId="0" borderId="4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42" xfId="0" applyNumberFormat="1" applyBorder="1" applyAlignment="1">
      <alignment horizontal="center"/>
    </xf>
    <xf numFmtId="2" fontId="0" fillId="69" borderId="6" xfId="0" applyNumberFormat="1" applyFill="1" applyBorder="1" applyAlignment="1">
      <alignment horizontal="center"/>
    </xf>
    <xf numFmtId="2" fontId="0" fillId="69" borderId="1" xfId="0" applyNumberFormat="1" applyFill="1" applyBorder="1" applyAlignment="1">
      <alignment horizontal="center"/>
    </xf>
    <xf numFmtId="2" fontId="0" fillId="69" borderId="9" xfId="0" applyNumberFormat="1" applyFill="1" applyBorder="1" applyAlignment="1">
      <alignment horizontal="center"/>
    </xf>
    <xf numFmtId="0" fontId="0" fillId="56" borderId="45" xfId="0" applyFill="1" applyBorder="1" applyAlignment="1">
      <alignment horizontal="center"/>
    </xf>
    <xf numFmtId="0" fontId="0" fillId="56" borderId="1" xfId="0" applyFill="1" applyBorder="1" applyAlignment="1">
      <alignment horizontal="center"/>
    </xf>
    <xf numFmtId="0" fontId="0" fillId="56" borderId="9" xfId="0" applyFill="1" applyBorder="1" applyAlignment="1">
      <alignment horizontal="center"/>
    </xf>
    <xf numFmtId="0" fontId="158" fillId="3" borderId="12" xfId="1" applyFont="1" applyFill="1" applyBorder="1" applyAlignment="1" applyProtection="1">
      <alignment horizontal="center" vertical="center"/>
      <protection locked="0"/>
    </xf>
    <xf numFmtId="0" fontId="158" fillId="3" borderId="18" xfId="1" applyFont="1" applyFill="1" applyBorder="1" applyAlignment="1" applyProtection="1">
      <alignment horizontal="center" vertical="center"/>
      <protection locked="0"/>
    </xf>
    <xf numFmtId="0" fontId="158" fillId="3" borderId="13" xfId="1" applyFont="1" applyFill="1" applyBorder="1" applyAlignment="1" applyProtection="1">
      <alignment horizontal="center" vertical="center"/>
      <protection locked="0"/>
    </xf>
    <xf numFmtId="0" fontId="7" fillId="73" borderId="0" xfId="0" applyFont="1" applyFill="1" applyAlignment="1">
      <alignment horizontal="center"/>
    </xf>
    <xf numFmtId="14" fontId="7" fillId="73" borderId="0" xfId="0" applyNumberFormat="1" applyFont="1" applyFill="1" applyAlignment="1">
      <alignment horizontal="left"/>
    </xf>
    <xf numFmtId="0" fontId="7" fillId="73" borderId="0" xfId="0" applyFont="1" applyFill="1" applyAlignment="1">
      <alignment horizontal="left"/>
    </xf>
    <xf numFmtId="0" fontId="7" fillId="73" borderId="15" xfId="0" applyFont="1" applyFill="1" applyBorder="1" applyAlignment="1">
      <alignment horizontal="left"/>
    </xf>
    <xf numFmtId="0" fontId="80" fillId="74" borderId="21" xfId="0" applyFont="1" applyFill="1" applyBorder="1" applyAlignment="1">
      <alignment horizontal="center"/>
    </xf>
    <xf numFmtId="0" fontId="80" fillId="74" borderId="22" xfId="0" applyFont="1" applyFill="1" applyBorder="1" applyAlignment="1">
      <alignment horizontal="center"/>
    </xf>
    <xf numFmtId="0" fontId="80" fillId="74" borderId="23" xfId="0" applyFont="1" applyFill="1" applyBorder="1" applyAlignment="1">
      <alignment horizontal="center"/>
    </xf>
    <xf numFmtId="0" fontId="80" fillId="75" borderId="7" xfId="0" applyFont="1" applyFill="1" applyBorder="1" applyAlignment="1">
      <alignment horizontal="center" vertical="center"/>
    </xf>
    <xf numFmtId="0" fontId="80" fillId="75" borderId="10" xfId="0" applyFont="1" applyFill="1" applyBorder="1" applyAlignment="1">
      <alignment horizontal="center" vertical="center"/>
    </xf>
    <xf numFmtId="0" fontId="80" fillId="75" borderId="8" xfId="0" applyFont="1" applyFill="1" applyBorder="1" applyAlignment="1">
      <alignment horizontal="center" vertical="center"/>
    </xf>
    <xf numFmtId="0" fontId="80" fillId="75" borderId="6" xfId="0" applyFont="1" applyFill="1" applyBorder="1" applyAlignment="1">
      <alignment horizontal="center" vertical="center"/>
    </xf>
    <xf numFmtId="0" fontId="80" fillId="75" borderId="1" xfId="0" applyFont="1" applyFill="1" applyBorder="1" applyAlignment="1">
      <alignment horizontal="center" vertical="center"/>
    </xf>
    <xf numFmtId="0" fontId="80" fillId="75" borderId="9" xfId="0" applyFont="1" applyFill="1" applyBorder="1" applyAlignment="1">
      <alignment horizontal="center" vertical="center"/>
    </xf>
    <xf numFmtId="0" fontId="80" fillId="75" borderId="38" xfId="0" applyFont="1" applyFill="1" applyBorder="1" applyAlignment="1">
      <alignment horizontal="center" vertical="center"/>
    </xf>
    <xf numFmtId="0" fontId="80" fillId="75" borderId="11" xfId="0" applyFont="1" applyFill="1" applyBorder="1" applyAlignment="1">
      <alignment horizontal="center" vertical="center"/>
    </xf>
    <xf numFmtId="0" fontId="80" fillId="75" borderId="39" xfId="0" applyFont="1" applyFill="1" applyBorder="1" applyAlignment="1">
      <alignment horizontal="center" vertical="center"/>
    </xf>
    <xf numFmtId="0" fontId="80" fillId="75" borderId="72" xfId="0" applyFont="1" applyFill="1" applyBorder="1" applyAlignment="1">
      <alignment horizontal="center" vertical="center" wrapText="1"/>
    </xf>
    <xf numFmtId="0" fontId="80" fillId="75" borderId="10" xfId="0" applyFont="1" applyFill="1" applyBorder="1" applyAlignment="1">
      <alignment horizontal="center" vertical="center" wrapText="1"/>
    </xf>
    <xf numFmtId="0" fontId="80" fillId="75" borderId="98" xfId="0" applyFont="1" applyFill="1" applyBorder="1" applyAlignment="1">
      <alignment horizontal="center" vertical="center" wrapText="1"/>
    </xf>
    <xf numFmtId="0" fontId="80" fillId="75" borderId="45" xfId="0" applyFont="1" applyFill="1" applyBorder="1" applyAlignment="1">
      <alignment horizontal="center" vertical="center" wrapText="1"/>
    </xf>
    <xf numFmtId="0" fontId="80" fillId="75" borderId="1" xfId="0" applyFont="1" applyFill="1" applyBorder="1" applyAlignment="1">
      <alignment horizontal="center" vertical="center" wrapText="1"/>
    </xf>
    <xf numFmtId="0" fontId="80" fillId="75" borderId="42" xfId="0" applyFont="1" applyFill="1" applyBorder="1" applyAlignment="1">
      <alignment horizontal="center" vertical="center" wrapText="1"/>
    </xf>
    <xf numFmtId="0" fontId="80" fillId="75" borderId="99" xfId="0" applyFont="1" applyFill="1" applyBorder="1" applyAlignment="1">
      <alignment horizontal="center" vertical="center" wrapText="1"/>
    </xf>
    <xf numFmtId="0" fontId="80" fillId="75" borderId="11" xfId="0" applyFont="1" applyFill="1" applyBorder="1" applyAlignment="1">
      <alignment horizontal="center" vertical="center" wrapText="1"/>
    </xf>
    <xf numFmtId="0" fontId="80" fillId="75" borderId="88" xfId="0" applyFont="1" applyFill="1" applyBorder="1" applyAlignment="1">
      <alignment horizontal="center" vertical="center" wrapText="1"/>
    </xf>
    <xf numFmtId="0" fontId="80" fillId="75" borderId="7" xfId="0" applyFont="1" applyFill="1" applyBorder="1" applyAlignment="1">
      <alignment horizontal="center" vertical="center" wrapText="1"/>
    </xf>
    <xf numFmtId="0" fontId="80" fillId="75" borderId="8" xfId="0" applyFont="1" applyFill="1" applyBorder="1" applyAlignment="1">
      <alignment horizontal="center" vertical="center" wrapText="1"/>
    </xf>
    <xf numFmtId="0" fontId="80" fillId="75" borderId="6" xfId="0" applyFont="1" applyFill="1" applyBorder="1" applyAlignment="1">
      <alignment horizontal="center" vertical="center" wrapText="1"/>
    </xf>
    <xf numFmtId="0" fontId="80" fillId="75" borderId="9" xfId="0" applyFont="1" applyFill="1" applyBorder="1" applyAlignment="1">
      <alignment horizontal="center" vertical="center" wrapText="1"/>
    </xf>
    <xf numFmtId="0" fontId="80" fillId="75" borderId="38" xfId="0" applyFont="1" applyFill="1" applyBorder="1" applyAlignment="1">
      <alignment horizontal="center" vertical="center" wrapText="1"/>
    </xf>
    <xf numFmtId="0" fontId="80" fillId="75" borderId="39" xfId="0" applyFont="1" applyFill="1" applyBorder="1" applyAlignment="1">
      <alignment horizontal="center" vertical="center" wrapText="1"/>
    </xf>
    <xf numFmtId="0" fontId="0" fillId="76" borderId="31" xfId="0" applyFill="1" applyBorder="1" applyAlignment="1">
      <alignment horizontal="center"/>
    </xf>
    <xf numFmtId="0" fontId="0" fillId="76" borderId="45" xfId="0" applyFill="1" applyBorder="1" applyAlignment="1">
      <alignment horizontal="center"/>
    </xf>
    <xf numFmtId="0" fontId="0" fillId="69" borderId="6" xfId="0" applyFill="1" applyBorder="1" applyAlignment="1">
      <alignment horizontal="center"/>
    </xf>
    <xf numFmtId="0" fontId="0" fillId="69" borderId="1" xfId="0" applyFill="1" applyBorder="1" applyAlignment="1">
      <alignment horizontal="center"/>
    </xf>
    <xf numFmtId="0" fontId="0" fillId="69" borderId="9" xfId="0" applyFill="1" applyBorder="1" applyAlignment="1">
      <alignment horizontal="center"/>
    </xf>
    <xf numFmtId="0" fontId="159" fillId="0" borderId="44" xfId="1" applyFont="1" applyBorder="1" applyAlignment="1">
      <alignment horizontal="center" vertical="center" wrapText="1"/>
    </xf>
    <xf numFmtId="0" fontId="159" fillId="0" borderId="4" xfId="1" applyFont="1" applyBorder="1" applyAlignment="1">
      <alignment horizontal="center" vertical="center" wrapText="1"/>
    </xf>
    <xf numFmtId="0" fontId="159" fillId="0" borderId="47" xfId="1" applyFont="1" applyBorder="1" applyAlignment="1">
      <alignment horizontal="center" vertical="center" wrapText="1"/>
    </xf>
    <xf numFmtId="0" fontId="0" fillId="0" borderId="95" xfId="0" applyBorder="1" applyAlignment="1">
      <alignment horizontal="center"/>
    </xf>
    <xf numFmtId="0" fontId="0" fillId="0" borderId="94" xfId="0" applyBorder="1" applyAlignment="1">
      <alignment horizontal="center"/>
    </xf>
    <xf numFmtId="0" fontId="0" fillId="69" borderId="44" xfId="0" applyFill="1" applyBorder="1" applyAlignment="1">
      <alignment horizontal="center"/>
    </xf>
    <xf numFmtId="0" fontId="0" fillId="69" borderId="4" xfId="0" applyFill="1" applyBorder="1" applyAlignment="1">
      <alignment horizontal="center"/>
    </xf>
    <xf numFmtId="0" fontId="0" fillId="69" borderId="47" xfId="0" applyFill="1" applyBorder="1" applyAlignment="1">
      <alignment horizontal="center"/>
    </xf>
    <xf numFmtId="0" fontId="0" fillId="56" borderId="95" xfId="0" applyFill="1" applyBorder="1" applyAlignment="1">
      <alignment horizontal="center"/>
    </xf>
    <xf numFmtId="0" fontId="0" fillId="56" borderId="4" xfId="0" applyFill="1" applyBorder="1" applyAlignment="1">
      <alignment horizontal="center"/>
    </xf>
    <xf numFmtId="0" fontId="0" fillId="56" borderId="47" xfId="0" applyFill="1" applyBorder="1" applyAlignment="1">
      <alignment horizontal="center"/>
    </xf>
    <xf numFmtId="0" fontId="80" fillId="56" borderId="1" xfId="0" quotePrefix="1" applyFont="1" applyFill="1" applyBorder="1" applyAlignment="1">
      <alignment horizontal="center" vertical="center"/>
    </xf>
    <xf numFmtId="0" fontId="80" fillId="56" borderId="1" xfId="0" applyFont="1" applyFill="1" applyBorder="1" applyAlignment="1">
      <alignment horizontal="center" vertical="center"/>
    </xf>
    <xf numFmtId="0" fontId="129" fillId="68" borderId="40" xfId="0" applyFont="1" applyFill="1" applyBorder="1" applyAlignment="1">
      <alignment horizontal="center" vertical="center" wrapText="1"/>
    </xf>
    <xf numFmtId="0" fontId="129" fillId="68" borderId="4" xfId="0" applyFont="1" applyFill="1" applyBorder="1" applyAlignment="1">
      <alignment horizontal="center" vertical="center" wrapText="1"/>
    </xf>
    <xf numFmtId="0" fontId="87" fillId="68" borderId="7" xfId="0" applyFont="1" applyFill="1" applyBorder="1" applyAlignment="1">
      <alignment horizontal="center" vertical="center"/>
    </xf>
    <xf numFmtId="0" fontId="87" fillId="68" borderId="10" xfId="0" applyFont="1" applyFill="1" applyBorder="1" applyAlignment="1">
      <alignment horizontal="center" vertical="center"/>
    </xf>
    <xf numFmtId="0" fontId="87" fillId="68" borderId="8" xfId="0" applyFont="1" applyFill="1" applyBorder="1" applyAlignment="1">
      <alignment horizontal="center" vertical="center"/>
    </xf>
    <xf numFmtId="0" fontId="128" fillId="68" borderId="1" xfId="0" applyFont="1" applyFill="1" applyBorder="1" applyAlignment="1">
      <alignment horizontal="center" vertical="center" wrapText="1"/>
    </xf>
    <xf numFmtId="0" fontId="128" fillId="68" borderId="9" xfId="0" applyFont="1" applyFill="1" applyBorder="1" applyAlignment="1">
      <alignment horizontal="center" vertical="center" wrapText="1"/>
    </xf>
    <xf numFmtId="0" fontId="130" fillId="0" borderId="38" xfId="0" applyFont="1" applyBorder="1" applyAlignment="1">
      <alignment horizontal="center" vertical="center" wrapText="1"/>
    </xf>
    <xf numFmtId="0" fontId="130" fillId="0" borderId="11" xfId="0" applyFont="1" applyBorder="1" applyAlignment="1">
      <alignment horizontal="center" vertical="center" wrapText="1"/>
    </xf>
    <xf numFmtId="0" fontId="128" fillId="68" borderId="6" xfId="0" applyFont="1" applyFill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101" xfId="0" applyFont="1" applyBorder="1" applyAlignment="1">
      <alignment horizontal="center" vertical="center" wrapText="1"/>
    </xf>
    <xf numFmtId="0" fontId="9" fillId="0" borderId="100" xfId="0" applyFont="1" applyBorder="1" applyAlignment="1">
      <alignment horizontal="center" vertical="center" wrapText="1"/>
    </xf>
    <xf numFmtId="1" fontId="171" fillId="0" borderId="21" xfId="0" applyNumberFormat="1" applyFont="1" applyBorder="1" applyAlignment="1">
      <alignment horizontal="center" vertical="center" wrapText="1" shrinkToFit="1"/>
    </xf>
    <xf numFmtId="1" fontId="171" fillId="0" borderId="102" xfId="0" applyNumberFormat="1" applyFont="1" applyBorder="1" applyAlignment="1">
      <alignment horizontal="center" vertical="center" wrapText="1" shrinkToFit="1"/>
    </xf>
    <xf numFmtId="0" fontId="13" fillId="60" borderId="21" xfId="0" applyFont="1" applyFill="1" applyBorder="1" applyAlignment="1">
      <alignment horizontal="center" vertical="center"/>
    </xf>
    <xf numFmtId="0" fontId="13" fillId="60" borderId="22" xfId="0" applyFont="1" applyFill="1" applyBorder="1" applyAlignment="1">
      <alignment horizontal="center" vertical="center"/>
    </xf>
    <xf numFmtId="0" fontId="13" fillId="60" borderId="23" xfId="0" applyFont="1" applyFill="1" applyBorder="1" applyAlignment="1">
      <alignment horizontal="center" vertical="center"/>
    </xf>
    <xf numFmtId="14" fontId="9" fillId="80" borderId="40" xfId="0" applyNumberFormat="1" applyFont="1" applyFill="1" applyBorder="1" applyAlignment="1">
      <alignment horizontal="center" vertical="center" wrapText="1"/>
    </xf>
    <xf numFmtId="14" fontId="9" fillId="80" borderId="68" xfId="0" applyNumberFormat="1" applyFont="1" applyFill="1" applyBorder="1" applyAlignment="1">
      <alignment horizontal="center" vertical="center" wrapText="1"/>
    </xf>
    <xf numFmtId="0" fontId="113" fillId="0" borderId="0" xfId="0" applyFont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4" fillId="0" borderId="0" xfId="0" applyFont="1" applyAlignment="1">
      <alignment horizontal="left" vertical="center" wrapText="1"/>
    </xf>
    <xf numFmtId="0" fontId="87" fillId="0" borderId="0" xfId="0" applyFont="1" applyAlignment="1">
      <alignment horizontal="center"/>
    </xf>
    <xf numFmtId="0" fontId="87" fillId="0" borderId="55" xfId="0" applyFont="1" applyBorder="1" applyAlignment="1">
      <alignment horizontal="center" vertical="center"/>
    </xf>
    <xf numFmtId="0" fontId="87" fillId="0" borderId="25" xfId="0" applyFont="1" applyBorder="1" applyAlignment="1">
      <alignment horizontal="center" vertical="center"/>
    </xf>
    <xf numFmtId="0" fontId="87" fillId="0" borderId="50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67" fontId="4" fillId="0" borderId="50" xfId="0" applyNumberFormat="1" applyFont="1" applyBorder="1" applyAlignment="1">
      <alignment horizontal="center" vertical="center" wrapText="1"/>
    </xf>
    <xf numFmtId="167" fontId="4" fillId="0" borderId="47" xfId="0" applyNumberFormat="1" applyFont="1" applyBorder="1" applyAlignment="1">
      <alignment horizontal="center" vertical="center" wrapText="1"/>
    </xf>
    <xf numFmtId="0" fontId="87" fillId="0" borderId="48" xfId="0" applyFont="1" applyBorder="1" applyAlignment="1">
      <alignment horizontal="center" vertical="center"/>
    </xf>
  </cellXfs>
  <cellStyles count="2423">
    <cellStyle name="20 % - Accent1" xfId="281" xr:uid="{00000000-0005-0000-0000-000000000000}"/>
    <cellStyle name="20 % - Accent2" xfId="282" xr:uid="{00000000-0005-0000-0000-000001000000}"/>
    <cellStyle name="20 % - Accent3" xfId="283" xr:uid="{00000000-0005-0000-0000-000002000000}"/>
    <cellStyle name="20 % - Accent4" xfId="284" xr:uid="{00000000-0005-0000-0000-000003000000}"/>
    <cellStyle name="20 % - Accent5" xfId="285" xr:uid="{00000000-0005-0000-0000-000004000000}"/>
    <cellStyle name="20 % - Accent6" xfId="286" xr:uid="{00000000-0005-0000-0000-000005000000}"/>
    <cellStyle name="20% - Accent1 10" xfId="3" xr:uid="{00000000-0005-0000-0000-000006000000}"/>
    <cellStyle name="20% - Accent1 11" xfId="4" xr:uid="{00000000-0005-0000-0000-000007000000}"/>
    <cellStyle name="20% - Accent1 12" xfId="5" xr:uid="{00000000-0005-0000-0000-000008000000}"/>
    <cellStyle name="20% - Accent1 13" xfId="6" xr:uid="{00000000-0005-0000-0000-000009000000}"/>
    <cellStyle name="20% - Accent1 14" xfId="7" xr:uid="{00000000-0005-0000-0000-00000A000000}"/>
    <cellStyle name="20% - Accent1 15" xfId="8" xr:uid="{00000000-0005-0000-0000-00000B000000}"/>
    <cellStyle name="20% - Accent1 16" xfId="9" xr:uid="{00000000-0005-0000-0000-00000C000000}"/>
    <cellStyle name="20% - Accent1 17" xfId="10" xr:uid="{00000000-0005-0000-0000-00000D000000}"/>
    <cellStyle name="20% - Accent1 2" xfId="11" xr:uid="{00000000-0005-0000-0000-00000E000000}"/>
    <cellStyle name="20% - Accent1 2 10" xfId="287" xr:uid="{00000000-0005-0000-0000-00000F000000}"/>
    <cellStyle name="20% - Accent1 2 2" xfId="288" xr:uid="{00000000-0005-0000-0000-000010000000}"/>
    <cellStyle name="20% - Accent1 2 2 2" xfId="289" xr:uid="{00000000-0005-0000-0000-000011000000}"/>
    <cellStyle name="20% - Accent1 2 3" xfId="290" xr:uid="{00000000-0005-0000-0000-000012000000}"/>
    <cellStyle name="20% - Accent1 2 3 2" xfId="291" xr:uid="{00000000-0005-0000-0000-000013000000}"/>
    <cellStyle name="20% - Accent1 2 4" xfId="292" xr:uid="{00000000-0005-0000-0000-000014000000}"/>
    <cellStyle name="20% - Accent1 2 5" xfId="293" xr:uid="{00000000-0005-0000-0000-000015000000}"/>
    <cellStyle name="20% - Accent1 2 6" xfId="294" xr:uid="{00000000-0005-0000-0000-000016000000}"/>
    <cellStyle name="20% - Accent1 2 7" xfId="295" xr:uid="{00000000-0005-0000-0000-000017000000}"/>
    <cellStyle name="20% - Accent1 2 8" xfId="296" xr:uid="{00000000-0005-0000-0000-000018000000}"/>
    <cellStyle name="20% - Accent1 2 9" xfId="297" xr:uid="{00000000-0005-0000-0000-000019000000}"/>
    <cellStyle name="20% - Accent1 3" xfId="12" xr:uid="{00000000-0005-0000-0000-00001A000000}"/>
    <cellStyle name="20% - Accent1 3 2" xfId="298" xr:uid="{00000000-0005-0000-0000-00001B000000}"/>
    <cellStyle name="20% - Accent1 4" xfId="13" xr:uid="{00000000-0005-0000-0000-00001C000000}"/>
    <cellStyle name="20% - Accent1 4 2" xfId="299" xr:uid="{00000000-0005-0000-0000-00001D000000}"/>
    <cellStyle name="20% - Accent1 5" xfId="14" xr:uid="{00000000-0005-0000-0000-00001E000000}"/>
    <cellStyle name="20% - Accent1 5 2" xfId="300" xr:uid="{00000000-0005-0000-0000-00001F000000}"/>
    <cellStyle name="20% - Accent1 6" xfId="15" xr:uid="{00000000-0005-0000-0000-000020000000}"/>
    <cellStyle name="20% - Accent1 7" xfId="16" xr:uid="{00000000-0005-0000-0000-000021000000}"/>
    <cellStyle name="20% - Accent1 8" xfId="17" xr:uid="{00000000-0005-0000-0000-000022000000}"/>
    <cellStyle name="20% - Accent1 9" xfId="18" xr:uid="{00000000-0005-0000-0000-000023000000}"/>
    <cellStyle name="20% - Accent2 10" xfId="19" xr:uid="{00000000-0005-0000-0000-000024000000}"/>
    <cellStyle name="20% - Accent2 11" xfId="20" xr:uid="{00000000-0005-0000-0000-000025000000}"/>
    <cellStyle name="20% - Accent2 12" xfId="21" xr:uid="{00000000-0005-0000-0000-000026000000}"/>
    <cellStyle name="20% - Accent2 13" xfId="22" xr:uid="{00000000-0005-0000-0000-000027000000}"/>
    <cellStyle name="20% - Accent2 14" xfId="23" xr:uid="{00000000-0005-0000-0000-000028000000}"/>
    <cellStyle name="20% - Accent2 15" xfId="24" xr:uid="{00000000-0005-0000-0000-000029000000}"/>
    <cellStyle name="20% - Accent2 16" xfId="25" xr:uid="{00000000-0005-0000-0000-00002A000000}"/>
    <cellStyle name="20% - Accent2 17" xfId="26" xr:uid="{00000000-0005-0000-0000-00002B000000}"/>
    <cellStyle name="20% - Accent2 2" xfId="27" xr:uid="{00000000-0005-0000-0000-00002C000000}"/>
    <cellStyle name="20% - Accent2 2 10" xfId="301" xr:uid="{00000000-0005-0000-0000-00002D000000}"/>
    <cellStyle name="20% - Accent2 2 2" xfId="302" xr:uid="{00000000-0005-0000-0000-00002E000000}"/>
    <cellStyle name="20% - Accent2 2 3" xfId="303" xr:uid="{00000000-0005-0000-0000-00002F000000}"/>
    <cellStyle name="20% - Accent2 2 4" xfId="304" xr:uid="{00000000-0005-0000-0000-000030000000}"/>
    <cellStyle name="20% - Accent2 2 5" xfId="305" xr:uid="{00000000-0005-0000-0000-000031000000}"/>
    <cellStyle name="20% - Accent2 2 6" xfId="306" xr:uid="{00000000-0005-0000-0000-000032000000}"/>
    <cellStyle name="20% - Accent2 2 7" xfId="307" xr:uid="{00000000-0005-0000-0000-000033000000}"/>
    <cellStyle name="20% - Accent2 2 8" xfId="308" xr:uid="{00000000-0005-0000-0000-000034000000}"/>
    <cellStyle name="20% - Accent2 2 9" xfId="309" xr:uid="{00000000-0005-0000-0000-000035000000}"/>
    <cellStyle name="20% - Accent2 3" xfId="28" xr:uid="{00000000-0005-0000-0000-000036000000}"/>
    <cellStyle name="20% - Accent2 3 2" xfId="310" xr:uid="{00000000-0005-0000-0000-000037000000}"/>
    <cellStyle name="20% - Accent2 4" xfId="29" xr:uid="{00000000-0005-0000-0000-000038000000}"/>
    <cellStyle name="20% - Accent2 4 2" xfId="311" xr:uid="{00000000-0005-0000-0000-000039000000}"/>
    <cellStyle name="20% - Accent2 5" xfId="30" xr:uid="{00000000-0005-0000-0000-00003A000000}"/>
    <cellStyle name="20% - Accent2 5 2" xfId="312" xr:uid="{00000000-0005-0000-0000-00003B000000}"/>
    <cellStyle name="20% - Accent2 6" xfId="31" xr:uid="{00000000-0005-0000-0000-00003C000000}"/>
    <cellStyle name="20% - Accent2 7" xfId="32" xr:uid="{00000000-0005-0000-0000-00003D000000}"/>
    <cellStyle name="20% - Accent2 8" xfId="33" xr:uid="{00000000-0005-0000-0000-00003E000000}"/>
    <cellStyle name="20% - Accent2 9" xfId="34" xr:uid="{00000000-0005-0000-0000-00003F000000}"/>
    <cellStyle name="20% - Accent3 10" xfId="35" xr:uid="{00000000-0005-0000-0000-000040000000}"/>
    <cellStyle name="20% - Accent3 11" xfId="36" xr:uid="{00000000-0005-0000-0000-000041000000}"/>
    <cellStyle name="20% - Accent3 12" xfId="37" xr:uid="{00000000-0005-0000-0000-000042000000}"/>
    <cellStyle name="20% - Accent3 13" xfId="38" xr:uid="{00000000-0005-0000-0000-000043000000}"/>
    <cellStyle name="20% - Accent3 14" xfId="39" xr:uid="{00000000-0005-0000-0000-000044000000}"/>
    <cellStyle name="20% - Accent3 15" xfId="40" xr:uid="{00000000-0005-0000-0000-000045000000}"/>
    <cellStyle name="20% - Accent3 16" xfId="41" xr:uid="{00000000-0005-0000-0000-000046000000}"/>
    <cellStyle name="20% - Accent3 17" xfId="42" xr:uid="{00000000-0005-0000-0000-000047000000}"/>
    <cellStyle name="20% - Accent3 2" xfId="43" xr:uid="{00000000-0005-0000-0000-000048000000}"/>
    <cellStyle name="20% - Accent3 2 10" xfId="313" xr:uid="{00000000-0005-0000-0000-000049000000}"/>
    <cellStyle name="20% - Accent3 2 2" xfId="314" xr:uid="{00000000-0005-0000-0000-00004A000000}"/>
    <cellStyle name="20% - Accent3 2 3" xfId="315" xr:uid="{00000000-0005-0000-0000-00004B000000}"/>
    <cellStyle name="20% - Accent3 2 4" xfId="316" xr:uid="{00000000-0005-0000-0000-00004C000000}"/>
    <cellStyle name="20% - Accent3 2 5" xfId="317" xr:uid="{00000000-0005-0000-0000-00004D000000}"/>
    <cellStyle name="20% - Accent3 2 6" xfId="318" xr:uid="{00000000-0005-0000-0000-00004E000000}"/>
    <cellStyle name="20% - Accent3 2 7" xfId="319" xr:uid="{00000000-0005-0000-0000-00004F000000}"/>
    <cellStyle name="20% - Accent3 2 8" xfId="320" xr:uid="{00000000-0005-0000-0000-000050000000}"/>
    <cellStyle name="20% - Accent3 2 9" xfId="321" xr:uid="{00000000-0005-0000-0000-000051000000}"/>
    <cellStyle name="20% - Accent3 3" xfId="44" xr:uid="{00000000-0005-0000-0000-000052000000}"/>
    <cellStyle name="20% - Accent3 3 2" xfId="322" xr:uid="{00000000-0005-0000-0000-000053000000}"/>
    <cellStyle name="20% - Accent3 4" xfId="45" xr:uid="{00000000-0005-0000-0000-000054000000}"/>
    <cellStyle name="20% - Accent3 4 2" xfId="323" xr:uid="{00000000-0005-0000-0000-000055000000}"/>
    <cellStyle name="20% - Accent3 5" xfId="46" xr:uid="{00000000-0005-0000-0000-000056000000}"/>
    <cellStyle name="20% - Accent3 5 2" xfId="324" xr:uid="{00000000-0005-0000-0000-000057000000}"/>
    <cellStyle name="20% - Accent3 6" xfId="47" xr:uid="{00000000-0005-0000-0000-000058000000}"/>
    <cellStyle name="20% - Accent3 7" xfId="48" xr:uid="{00000000-0005-0000-0000-000059000000}"/>
    <cellStyle name="20% - Accent3 8" xfId="49" xr:uid="{00000000-0005-0000-0000-00005A000000}"/>
    <cellStyle name="20% - Accent3 9" xfId="50" xr:uid="{00000000-0005-0000-0000-00005B000000}"/>
    <cellStyle name="20% - Accent4 10" xfId="51" xr:uid="{00000000-0005-0000-0000-00005C000000}"/>
    <cellStyle name="20% - Accent4 11" xfId="52" xr:uid="{00000000-0005-0000-0000-00005D000000}"/>
    <cellStyle name="20% - Accent4 12" xfId="53" xr:uid="{00000000-0005-0000-0000-00005E000000}"/>
    <cellStyle name="20% - Accent4 13" xfId="54" xr:uid="{00000000-0005-0000-0000-00005F000000}"/>
    <cellStyle name="20% - Accent4 14" xfId="55" xr:uid="{00000000-0005-0000-0000-000060000000}"/>
    <cellStyle name="20% - Accent4 15" xfId="56" xr:uid="{00000000-0005-0000-0000-000061000000}"/>
    <cellStyle name="20% - Accent4 16" xfId="57" xr:uid="{00000000-0005-0000-0000-000062000000}"/>
    <cellStyle name="20% - Accent4 17" xfId="58" xr:uid="{00000000-0005-0000-0000-000063000000}"/>
    <cellStyle name="20% - Accent4 2" xfId="59" xr:uid="{00000000-0005-0000-0000-000064000000}"/>
    <cellStyle name="20% - Accent4 2 10" xfId="325" xr:uid="{00000000-0005-0000-0000-000065000000}"/>
    <cellStyle name="20% - Accent4 2 2" xfId="326" xr:uid="{00000000-0005-0000-0000-000066000000}"/>
    <cellStyle name="20% - Accent4 2 3" xfId="327" xr:uid="{00000000-0005-0000-0000-000067000000}"/>
    <cellStyle name="20% - Accent4 2 4" xfId="328" xr:uid="{00000000-0005-0000-0000-000068000000}"/>
    <cellStyle name="20% - Accent4 2 5" xfId="329" xr:uid="{00000000-0005-0000-0000-000069000000}"/>
    <cellStyle name="20% - Accent4 2 6" xfId="330" xr:uid="{00000000-0005-0000-0000-00006A000000}"/>
    <cellStyle name="20% - Accent4 2 7" xfId="331" xr:uid="{00000000-0005-0000-0000-00006B000000}"/>
    <cellStyle name="20% - Accent4 2 8" xfId="332" xr:uid="{00000000-0005-0000-0000-00006C000000}"/>
    <cellStyle name="20% - Accent4 2 9" xfId="333" xr:uid="{00000000-0005-0000-0000-00006D000000}"/>
    <cellStyle name="20% - Accent4 3" xfId="60" xr:uid="{00000000-0005-0000-0000-00006E000000}"/>
    <cellStyle name="20% - Accent4 3 2" xfId="334" xr:uid="{00000000-0005-0000-0000-00006F000000}"/>
    <cellStyle name="20% - Accent4 4" xfId="61" xr:uid="{00000000-0005-0000-0000-000070000000}"/>
    <cellStyle name="20% - Accent4 4 2" xfId="335" xr:uid="{00000000-0005-0000-0000-000071000000}"/>
    <cellStyle name="20% - Accent4 5" xfId="62" xr:uid="{00000000-0005-0000-0000-000072000000}"/>
    <cellStyle name="20% - Accent4 5 2" xfId="336" xr:uid="{00000000-0005-0000-0000-000073000000}"/>
    <cellStyle name="20% - Accent4 6" xfId="63" xr:uid="{00000000-0005-0000-0000-000074000000}"/>
    <cellStyle name="20% - Accent4 7" xfId="64" xr:uid="{00000000-0005-0000-0000-000075000000}"/>
    <cellStyle name="20% - Accent4 8" xfId="65" xr:uid="{00000000-0005-0000-0000-000076000000}"/>
    <cellStyle name="20% - Accent4 9" xfId="66" xr:uid="{00000000-0005-0000-0000-000077000000}"/>
    <cellStyle name="20% - Accent5 10" xfId="67" xr:uid="{00000000-0005-0000-0000-000078000000}"/>
    <cellStyle name="20% - Accent5 11" xfId="68" xr:uid="{00000000-0005-0000-0000-000079000000}"/>
    <cellStyle name="20% - Accent5 12" xfId="69" xr:uid="{00000000-0005-0000-0000-00007A000000}"/>
    <cellStyle name="20% - Accent5 13" xfId="70" xr:uid="{00000000-0005-0000-0000-00007B000000}"/>
    <cellStyle name="20% - Accent5 14" xfId="71" xr:uid="{00000000-0005-0000-0000-00007C000000}"/>
    <cellStyle name="20% - Accent5 15" xfId="72" xr:uid="{00000000-0005-0000-0000-00007D000000}"/>
    <cellStyle name="20% - Accent5 16" xfId="73" xr:uid="{00000000-0005-0000-0000-00007E000000}"/>
    <cellStyle name="20% - Accent5 17" xfId="74" xr:uid="{00000000-0005-0000-0000-00007F000000}"/>
    <cellStyle name="20% - Accent5 2" xfId="75" xr:uid="{00000000-0005-0000-0000-000080000000}"/>
    <cellStyle name="20% - Accent5 2 10" xfId="337" xr:uid="{00000000-0005-0000-0000-000081000000}"/>
    <cellStyle name="20% - Accent5 2 2" xfId="338" xr:uid="{00000000-0005-0000-0000-000082000000}"/>
    <cellStyle name="20% - Accent5 2 3" xfId="339" xr:uid="{00000000-0005-0000-0000-000083000000}"/>
    <cellStyle name="20% - Accent5 2 4" xfId="340" xr:uid="{00000000-0005-0000-0000-000084000000}"/>
    <cellStyle name="20% - Accent5 2 5" xfId="341" xr:uid="{00000000-0005-0000-0000-000085000000}"/>
    <cellStyle name="20% - Accent5 2 6" xfId="342" xr:uid="{00000000-0005-0000-0000-000086000000}"/>
    <cellStyle name="20% - Accent5 2 7" xfId="343" xr:uid="{00000000-0005-0000-0000-000087000000}"/>
    <cellStyle name="20% - Accent5 2 8" xfId="344" xr:uid="{00000000-0005-0000-0000-000088000000}"/>
    <cellStyle name="20% - Accent5 2 9" xfId="345" xr:uid="{00000000-0005-0000-0000-000089000000}"/>
    <cellStyle name="20% - Accent5 3" xfId="76" xr:uid="{00000000-0005-0000-0000-00008A000000}"/>
    <cellStyle name="20% - Accent5 3 2" xfId="346" xr:uid="{00000000-0005-0000-0000-00008B000000}"/>
    <cellStyle name="20% - Accent5 4" xfId="77" xr:uid="{00000000-0005-0000-0000-00008C000000}"/>
    <cellStyle name="20% - Accent5 4 2" xfId="347" xr:uid="{00000000-0005-0000-0000-00008D000000}"/>
    <cellStyle name="20% - Accent5 5" xfId="78" xr:uid="{00000000-0005-0000-0000-00008E000000}"/>
    <cellStyle name="20% - Accent5 5 2" xfId="348" xr:uid="{00000000-0005-0000-0000-00008F000000}"/>
    <cellStyle name="20% - Accent5 6" xfId="79" xr:uid="{00000000-0005-0000-0000-000090000000}"/>
    <cellStyle name="20% - Accent5 7" xfId="80" xr:uid="{00000000-0005-0000-0000-000091000000}"/>
    <cellStyle name="20% - Accent5 8" xfId="81" xr:uid="{00000000-0005-0000-0000-000092000000}"/>
    <cellStyle name="20% - Accent5 9" xfId="82" xr:uid="{00000000-0005-0000-0000-000093000000}"/>
    <cellStyle name="20% - Accent6 10" xfId="83" xr:uid="{00000000-0005-0000-0000-000094000000}"/>
    <cellStyle name="20% - Accent6 11" xfId="84" xr:uid="{00000000-0005-0000-0000-000095000000}"/>
    <cellStyle name="20% - Accent6 12" xfId="85" xr:uid="{00000000-0005-0000-0000-000096000000}"/>
    <cellStyle name="20% - Accent6 13" xfId="86" xr:uid="{00000000-0005-0000-0000-000097000000}"/>
    <cellStyle name="20% - Accent6 14" xfId="87" xr:uid="{00000000-0005-0000-0000-000098000000}"/>
    <cellStyle name="20% - Accent6 15" xfId="88" xr:uid="{00000000-0005-0000-0000-000099000000}"/>
    <cellStyle name="20% - Accent6 16" xfId="89" xr:uid="{00000000-0005-0000-0000-00009A000000}"/>
    <cellStyle name="20% - Accent6 17" xfId="90" xr:uid="{00000000-0005-0000-0000-00009B000000}"/>
    <cellStyle name="20% - Accent6 2" xfId="91" xr:uid="{00000000-0005-0000-0000-00009C000000}"/>
    <cellStyle name="20% - Accent6 2 10" xfId="349" xr:uid="{00000000-0005-0000-0000-00009D000000}"/>
    <cellStyle name="20% - Accent6 2 2" xfId="350" xr:uid="{00000000-0005-0000-0000-00009E000000}"/>
    <cellStyle name="20% - Accent6 2 3" xfId="351" xr:uid="{00000000-0005-0000-0000-00009F000000}"/>
    <cellStyle name="20% - Accent6 2 4" xfId="352" xr:uid="{00000000-0005-0000-0000-0000A0000000}"/>
    <cellStyle name="20% - Accent6 2 5" xfId="353" xr:uid="{00000000-0005-0000-0000-0000A1000000}"/>
    <cellStyle name="20% - Accent6 2 6" xfId="354" xr:uid="{00000000-0005-0000-0000-0000A2000000}"/>
    <cellStyle name="20% - Accent6 2 7" xfId="355" xr:uid="{00000000-0005-0000-0000-0000A3000000}"/>
    <cellStyle name="20% - Accent6 2 8" xfId="356" xr:uid="{00000000-0005-0000-0000-0000A4000000}"/>
    <cellStyle name="20% - Accent6 2 9" xfId="357" xr:uid="{00000000-0005-0000-0000-0000A5000000}"/>
    <cellStyle name="20% - Accent6 3" xfId="92" xr:uid="{00000000-0005-0000-0000-0000A6000000}"/>
    <cellStyle name="20% - Accent6 3 2" xfId="358" xr:uid="{00000000-0005-0000-0000-0000A7000000}"/>
    <cellStyle name="20% - Accent6 4" xfId="93" xr:uid="{00000000-0005-0000-0000-0000A8000000}"/>
    <cellStyle name="20% - Accent6 4 2" xfId="359" xr:uid="{00000000-0005-0000-0000-0000A9000000}"/>
    <cellStyle name="20% - Accent6 5" xfId="94" xr:uid="{00000000-0005-0000-0000-0000AA000000}"/>
    <cellStyle name="20% - Accent6 5 2" xfId="360" xr:uid="{00000000-0005-0000-0000-0000AB000000}"/>
    <cellStyle name="20% - Accent6 6" xfId="95" xr:uid="{00000000-0005-0000-0000-0000AC000000}"/>
    <cellStyle name="20% - Accent6 7" xfId="96" xr:uid="{00000000-0005-0000-0000-0000AD000000}"/>
    <cellStyle name="20% - Accent6 8" xfId="97" xr:uid="{00000000-0005-0000-0000-0000AE000000}"/>
    <cellStyle name="20% - Accent6 9" xfId="98" xr:uid="{00000000-0005-0000-0000-0000AF000000}"/>
    <cellStyle name="40 % - Accent1" xfId="361" xr:uid="{00000000-0005-0000-0000-0000B0000000}"/>
    <cellStyle name="40 % - Accent2" xfId="362" xr:uid="{00000000-0005-0000-0000-0000B1000000}"/>
    <cellStyle name="40 % - Accent3" xfId="363" xr:uid="{00000000-0005-0000-0000-0000B2000000}"/>
    <cellStyle name="40 % - Accent4" xfId="364" xr:uid="{00000000-0005-0000-0000-0000B3000000}"/>
    <cellStyle name="40 % - Accent5" xfId="365" xr:uid="{00000000-0005-0000-0000-0000B4000000}"/>
    <cellStyle name="40 % - Accent6" xfId="366" xr:uid="{00000000-0005-0000-0000-0000B5000000}"/>
    <cellStyle name="40% - Accent1 10" xfId="99" xr:uid="{00000000-0005-0000-0000-0000B6000000}"/>
    <cellStyle name="40% - Accent1 11" xfId="100" xr:uid="{00000000-0005-0000-0000-0000B7000000}"/>
    <cellStyle name="40% - Accent1 12" xfId="101" xr:uid="{00000000-0005-0000-0000-0000B8000000}"/>
    <cellStyle name="40% - Accent1 13" xfId="102" xr:uid="{00000000-0005-0000-0000-0000B9000000}"/>
    <cellStyle name="40% - Accent1 14" xfId="103" xr:uid="{00000000-0005-0000-0000-0000BA000000}"/>
    <cellStyle name="40% - Accent1 15" xfId="104" xr:uid="{00000000-0005-0000-0000-0000BB000000}"/>
    <cellStyle name="40% - Accent1 16" xfId="105" xr:uid="{00000000-0005-0000-0000-0000BC000000}"/>
    <cellStyle name="40% - Accent1 17" xfId="106" xr:uid="{00000000-0005-0000-0000-0000BD000000}"/>
    <cellStyle name="40% - Accent1 2" xfId="107" xr:uid="{00000000-0005-0000-0000-0000BE000000}"/>
    <cellStyle name="40% - Accent1 2 10" xfId="367" xr:uid="{00000000-0005-0000-0000-0000BF000000}"/>
    <cellStyle name="40% - Accent1 2 2" xfId="368" xr:uid="{00000000-0005-0000-0000-0000C0000000}"/>
    <cellStyle name="40% - Accent1 2 3" xfId="369" xr:uid="{00000000-0005-0000-0000-0000C1000000}"/>
    <cellStyle name="40% - Accent1 2 4" xfId="370" xr:uid="{00000000-0005-0000-0000-0000C2000000}"/>
    <cellStyle name="40% - Accent1 2 5" xfId="371" xr:uid="{00000000-0005-0000-0000-0000C3000000}"/>
    <cellStyle name="40% - Accent1 2 6" xfId="372" xr:uid="{00000000-0005-0000-0000-0000C4000000}"/>
    <cellStyle name="40% - Accent1 2 7" xfId="373" xr:uid="{00000000-0005-0000-0000-0000C5000000}"/>
    <cellStyle name="40% - Accent1 2 8" xfId="374" xr:uid="{00000000-0005-0000-0000-0000C6000000}"/>
    <cellStyle name="40% - Accent1 2 9" xfId="375" xr:uid="{00000000-0005-0000-0000-0000C7000000}"/>
    <cellStyle name="40% - Accent1 3" xfId="108" xr:uid="{00000000-0005-0000-0000-0000C8000000}"/>
    <cellStyle name="40% - Accent1 3 2" xfId="376" xr:uid="{00000000-0005-0000-0000-0000C9000000}"/>
    <cellStyle name="40% - Accent1 4" xfId="109" xr:uid="{00000000-0005-0000-0000-0000CA000000}"/>
    <cellStyle name="40% - Accent1 4 2" xfId="377" xr:uid="{00000000-0005-0000-0000-0000CB000000}"/>
    <cellStyle name="40% - Accent1 5" xfId="110" xr:uid="{00000000-0005-0000-0000-0000CC000000}"/>
    <cellStyle name="40% - Accent1 5 2" xfId="378" xr:uid="{00000000-0005-0000-0000-0000CD000000}"/>
    <cellStyle name="40% - Accent1 6" xfId="111" xr:uid="{00000000-0005-0000-0000-0000CE000000}"/>
    <cellStyle name="40% - Accent1 7" xfId="112" xr:uid="{00000000-0005-0000-0000-0000CF000000}"/>
    <cellStyle name="40% - Accent1 8" xfId="113" xr:uid="{00000000-0005-0000-0000-0000D0000000}"/>
    <cellStyle name="40% - Accent1 9" xfId="114" xr:uid="{00000000-0005-0000-0000-0000D1000000}"/>
    <cellStyle name="40% - Accent2 10" xfId="115" xr:uid="{00000000-0005-0000-0000-0000D2000000}"/>
    <cellStyle name="40% - Accent2 11" xfId="116" xr:uid="{00000000-0005-0000-0000-0000D3000000}"/>
    <cellStyle name="40% - Accent2 12" xfId="117" xr:uid="{00000000-0005-0000-0000-0000D4000000}"/>
    <cellStyle name="40% - Accent2 13" xfId="118" xr:uid="{00000000-0005-0000-0000-0000D5000000}"/>
    <cellStyle name="40% - Accent2 14" xfId="119" xr:uid="{00000000-0005-0000-0000-0000D6000000}"/>
    <cellStyle name="40% - Accent2 15" xfId="120" xr:uid="{00000000-0005-0000-0000-0000D7000000}"/>
    <cellStyle name="40% - Accent2 16" xfId="121" xr:uid="{00000000-0005-0000-0000-0000D8000000}"/>
    <cellStyle name="40% - Accent2 17" xfId="122" xr:uid="{00000000-0005-0000-0000-0000D9000000}"/>
    <cellStyle name="40% - Accent2 2" xfId="123" xr:uid="{00000000-0005-0000-0000-0000DA000000}"/>
    <cellStyle name="40% - Accent2 2 10" xfId="379" xr:uid="{00000000-0005-0000-0000-0000DB000000}"/>
    <cellStyle name="40% - Accent2 2 2" xfId="380" xr:uid="{00000000-0005-0000-0000-0000DC000000}"/>
    <cellStyle name="40% - Accent2 2 3" xfId="381" xr:uid="{00000000-0005-0000-0000-0000DD000000}"/>
    <cellStyle name="40% - Accent2 2 4" xfId="382" xr:uid="{00000000-0005-0000-0000-0000DE000000}"/>
    <cellStyle name="40% - Accent2 2 5" xfId="383" xr:uid="{00000000-0005-0000-0000-0000DF000000}"/>
    <cellStyle name="40% - Accent2 2 6" xfId="384" xr:uid="{00000000-0005-0000-0000-0000E0000000}"/>
    <cellStyle name="40% - Accent2 2 7" xfId="385" xr:uid="{00000000-0005-0000-0000-0000E1000000}"/>
    <cellStyle name="40% - Accent2 2 8" xfId="386" xr:uid="{00000000-0005-0000-0000-0000E2000000}"/>
    <cellStyle name="40% - Accent2 2 9" xfId="387" xr:uid="{00000000-0005-0000-0000-0000E3000000}"/>
    <cellStyle name="40% - Accent2 3" xfId="124" xr:uid="{00000000-0005-0000-0000-0000E4000000}"/>
    <cellStyle name="40% - Accent2 3 2" xfId="388" xr:uid="{00000000-0005-0000-0000-0000E5000000}"/>
    <cellStyle name="40% - Accent2 4" xfId="125" xr:uid="{00000000-0005-0000-0000-0000E6000000}"/>
    <cellStyle name="40% - Accent2 4 2" xfId="389" xr:uid="{00000000-0005-0000-0000-0000E7000000}"/>
    <cellStyle name="40% - Accent2 5" xfId="126" xr:uid="{00000000-0005-0000-0000-0000E8000000}"/>
    <cellStyle name="40% - Accent2 5 2" xfId="390" xr:uid="{00000000-0005-0000-0000-0000E9000000}"/>
    <cellStyle name="40% - Accent2 6" xfId="127" xr:uid="{00000000-0005-0000-0000-0000EA000000}"/>
    <cellStyle name="40% - Accent2 7" xfId="128" xr:uid="{00000000-0005-0000-0000-0000EB000000}"/>
    <cellStyle name="40% - Accent2 8" xfId="129" xr:uid="{00000000-0005-0000-0000-0000EC000000}"/>
    <cellStyle name="40% - Accent2 9" xfId="130" xr:uid="{00000000-0005-0000-0000-0000ED000000}"/>
    <cellStyle name="40% - Accent3 10" xfId="131" xr:uid="{00000000-0005-0000-0000-0000EE000000}"/>
    <cellStyle name="40% - Accent3 11" xfId="132" xr:uid="{00000000-0005-0000-0000-0000EF000000}"/>
    <cellStyle name="40% - Accent3 12" xfId="133" xr:uid="{00000000-0005-0000-0000-0000F0000000}"/>
    <cellStyle name="40% - Accent3 13" xfId="134" xr:uid="{00000000-0005-0000-0000-0000F1000000}"/>
    <cellStyle name="40% - Accent3 14" xfId="135" xr:uid="{00000000-0005-0000-0000-0000F2000000}"/>
    <cellStyle name="40% - Accent3 15" xfId="136" xr:uid="{00000000-0005-0000-0000-0000F3000000}"/>
    <cellStyle name="40% - Accent3 16" xfId="137" xr:uid="{00000000-0005-0000-0000-0000F4000000}"/>
    <cellStyle name="40% - Accent3 17" xfId="138" xr:uid="{00000000-0005-0000-0000-0000F5000000}"/>
    <cellStyle name="40% - Accent3 2" xfId="139" xr:uid="{00000000-0005-0000-0000-0000F6000000}"/>
    <cellStyle name="40% - Accent3 2 10" xfId="391" xr:uid="{00000000-0005-0000-0000-0000F7000000}"/>
    <cellStyle name="40% - Accent3 2 2" xfId="392" xr:uid="{00000000-0005-0000-0000-0000F8000000}"/>
    <cellStyle name="40% - Accent3 2 2 2" xfId="393" xr:uid="{00000000-0005-0000-0000-0000F9000000}"/>
    <cellStyle name="40% - Accent3 2 3" xfId="394" xr:uid="{00000000-0005-0000-0000-0000FA000000}"/>
    <cellStyle name="40% - Accent3 2 3 2" xfId="395" xr:uid="{00000000-0005-0000-0000-0000FB000000}"/>
    <cellStyle name="40% - Accent3 2 4" xfId="396" xr:uid="{00000000-0005-0000-0000-0000FC000000}"/>
    <cellStyle name="40% - Accent3 2 5" xfId="397" xr:uid="{00000000-0005-0000-0000-0000FD000000}"/>
    <cellStyle name="40% - Accent3 2 6" xfId="398" xr:uid="{00000000-0005-0000-0000-0000FE000000}"/>
    <cellStyle name="40% - Accent3 2 7" xfId="399" xr:uid="{00000000-0005-0000-0000-0000FF000000}"/>
    <cellStyle name="40% - Accent3 2 8" xfId="400" xr:uid="{00000000-0005-0000-0000-000000010000}"/>
    <cellStyle name="40% - Accent3 2 9" xfId="401" xr:uid="{00000000-0005-0000-0000-000001010000}"/>
    <cellStyle name="40% - Accent3 3" xfId="140" xr:uid="{00000000-0005-0000-0000-000002010000}"/>
    <cellStyle name="40% - Accent3 3 2" xfId="402" xr:uid="{00000000-0005-0000-0000-000003010000}"/>
    <cellStyle name="40% - Accent3 4" xfId="141" xr:uid="{00000000-0005-0000-0000-000004010000}"/>
    <cellStyle name="40% - Accent3 4 2" xfId="403" xr:uid="{00000000-0005-0000-0000-000005010000}"/>
    <cellStyle name="40% - Accent3 5" xfId="142" xr:uid="{00000000-0005-0000-0000-000006010000}"/>
    <cellStyle name="40% - Accent3 5 2" xfId="404" xr:uid="{00000000-0005-0000-0000-000007010000}"/>
    <cellStyle name="40% - Accent3 6" xfId="143" xr:uid="{00000000-0005-0000-0000-000008010000}"/>
    <cellStyle name="40% - Accent3 7" xfId="144" xr:uid="{00000000-0005-0000-0000-000009010000}"/>
    <cellStyle name="40% - Accent3 8" xfId="145" xr:uid="{00000000-0005-0000-0000-00000A010000}"/>
    <cellStyle name="40% - Accent3 9" xfId="146" xr:uid="{00000000-0005-0000-0000-00000B010000}"/>
    <cellStyle name="40% - Accent4 10" xfId="147" xr:uid="{00000000-0005-0000-0000-00000C010000}"/>
    <cellStyle name="40% - Accent4 11" xfId="148" xr:uid="{00000000-0005-0000-0000-00000D010000}"/>
    <cellStyle name="40% - Accent4 12" xfId="149" xr:uid="{00000000-0005-0000-0000-00000E010000}"/>
    <cellStyle name="40% - Accent4 13" xfId="150" xr:uid="{00000000-0005-0000-0000-00000F010000}"/>
    <cellStyle name="40% - Accent4 14" xfId="151" xr:uid="{00000000-0005-0000-0000-000010010000}"/>
    <cellStyle name="40% - Accent4 15" xfId="152" xr:uid="{00000000-0005-0000-0000-000011010000}"/>
    <cellStyle name="40% - Accent4 16" xfId="153" xr:uid="{00000000-0005-0000-0000-000012010000}"/>
    <cellStyle name="40% - Accent4 17" xfId="154" xr:uid="{00000000-0005-0000-0000-000013010000}"/>
    <cellStyle name="40% - Accent4 2" xfId="155" xr:uid="{00000000-0005-0000-0000-000014010000}"/>
    <cellStyle name="40% - Accent4 2 10" xfId="405" xr:uid="{00000000-0005-0000-0000-000015010000}"/>
    <cellStyle name="40% - Accent4 2 2" xfId="406" xr:uid="{00000000-0005-0000-0000-000016010000}"/>
    <cellStyle name="40% - Accent4 2 3" xfId="407" xr:uid="{00000000-0005-0000-0000-000017010000}"/>
    <cellStyle name="40% - Accent4 2 4" xfId="408" xr:uid="{00000000-0005-0000-0000-000018010000}"/>
    <cellStyle name="40% - Accent4 2 5" xfId="409" xr:uid="{00000000-0005-0000-0000-000019010000}"/>
    <cellStyle name="40% - Accent4 2 6" xfId="410" xr:uid="{00000000-0005-0000-0000-00001A010000}"/>
    <cellStyle name="40% - Accent4 2 7" xfId="411" xr:uid="{00000000-0005-0000-0000-00001B010000}"/>
    <cellStyle name="40% - Accent4 2 8" xfId="412" xr:uid="{00000000-0005-0000-0000-00001C010000}"/>
    <cellStyle name="40% - Accent4 2 9" xfId="413" xr:uid="{00000000-0005-0000-0000-00001D010000}"/>
    <cellStyle name="40% - Accent4 3" xfId="156" xr:uid="{00000000-0005-0000-0000-00001E010000}"/>
    <cellStyle name="40% - Accent4 3 2" xfId="414" xr:uid="{00000000-0005-0000-0000-00001F010000}"/>
    <cellStyle name="40% - Accent4 4" xfId="157" xr:uid="{00000000-0005-0000-0000-000020010000}"/>
    <cellStyle name="40% - Accent4 4 2" xfId="415" xr:uid="{00000000-0005-0000-0000-000021010000}"/>
    <cellStyle name="40% - Accent4 5" xfId="158" xr:uid="{00000000-0005-0000-0000-000022010000}"/>
    <cellStyle name="40% - Accent4 5 2" xfId="416" xr:uid="{00000000-0005-0000-0000-000023010000}"/>
    <cellStyle name="40% - Accent4 6" xfId="159" xr:uid="{00000000-0005-0000-0000-000024010000}"/>
    <cellStyle name="40% - Accent4 7" xfId="160" xr:uid="{00000000-0005-0000-0000-000025010000}"/>
    <cellStyle name="40% - Accent4 8" xfId="161" xr:uid="{00000000-0005-0000-0000-000026010000}"/>
    <cellStyle name="40% - Accent4 9" xfId="162" xr:uid="{00000000-0005-0000-0000-000027010000}"/>
    <cellStyle name="40% - Accent5 10" xfId="163" xr:uid="{00000000-0005-0000-0000-000028010000}"/>
    <cellStyle name="40% - Accent5 11" xfId="164" xr:uid="{00000000-0005-0000-0000-000029010000}"/>
    <cellStyle name="40% - Accent5 12" xfId="165" xr:uid="{00000000-0005-0000-0000-00002A010000}"/>
    <cellStyle name="40% - Accent5 13" xfId="166" xr:uid="{00000000-0005-0000-0000-00002B010000}"/>
    <cellStyle name="40% - Accent5 14" xfId="167" xr:uid="{00000000-0005-0000-0000-00002C010000}"/>
    <cellStyle name="40% - Accent5 15" xfId="168" xr:uid="{00000000-0005-0000-0000-00002D010000}"/>
    <cellStyle name="40% - Accent5 16" xfId="169" xr:uid="{00000000-0005-0000-0000-00002E010000}"/>
    <cellStyle name="40% - Accent5 17" xfId="170" xr:uid="{00000000-0005-0000-0000-00002F010000}"/>
    <cellStyle name="40% - Accent5 2" xfId="171" xr:uid="{00000000-0005-0000-0000-000030010000}"/>
    <cellStyle name="40% - Accent5 2 10" xfId="417" xr:uid="{00000000-0005-0000-0000-000031010000}"/>
    <cellStyle name="40% - Accent5 2 2" xfId="418" xr:uid="{00000000-0005-0000-0000-000032010000}"/>
    <cellStyle name="40% - Accent5 2 3" xfId="419" xr:uid="{00000000-0005-0000-0000-000033010000}"/>
    <cellStyle name="40% - Accent5 2 4" xfId="420" xr:uid="{00000000-0005-0000-0000-000034010000}"/>
    <cellStyle name="40% - Accent5 2 5" xfId="421" xr:uid="{00000000-0005-0000-0000-000035010000}"/>
    <cellStyle name="40% - Accent5 2 6" xfId="422" xr:uid="{00000000-0005-0000-0000-000036010000}"/>
    <cellStyle name="40% - Accent5 2 7" xfId="423" xr:uid="{00000000-0005-0000-0000-000037010000}"/>
    <cellStyle name="40% - Accent5 2 8" xfId="424" xr:uid="{00000000-0005-0000-0000-000038010000}"/>
    <cellStyle name="40% - Accent5 2 9" xfId="425" xr:uid="{00000000-0005-0000-0000-000039010000}"/>
    <cellStyle name="40% - Accent5 3" xfId="172" xr:uid="{00000000-0005-0000-0000-00003A010000}"/>
    <cellStyle name="40% - Accent5 3 2" xfId="426" xr:uid="{00000000-0005-0000-0000-00003B010000}"/>
    <cellStyle name="40% - Accent5 4" xfId="173" xr:uid="{00000000-0005-0000-0000-00003C010000}"/>
    <cellStyle name="40% - Accent5 4 2" xfId="427" xr:uid="{00000000-0005-0000-0000-00003D010000}"/>
    <cellStyle name="40% - Accent5 5" xfId="174" xr:uid="{00000000-0005-0000-0000-00003E010000}"/>
    <cellStyle name="40% - Accent5 5 2" xfId="428" xr:uid="{00000000-0005-0000-0000-00003F010000}"/>
    <cellStyle name="40% - Accent5 6" xfId="175" xr:uid="{00000000-0005-0000-0000-000040010000}"/>
    <cellStyle name="40% - Accent5 7" xfId="176" xr:uid="{00000000-0005-0000-0000-000041010000}"/>
    <cellStyle name="40% - Accent5 8" xfId="177" xr:uid="{00000000-0005-0000-0000-000042010000}"/>
    <cellStyle name="40% - Accent5 9" xfId="178" xr:uid="{00000000-0005-0000-0000-000043010000}"/>
    <cellStyle name="40% - Accent6 10" xfId="179" xr:uid="{00000000-0005-0000-0000-000044010000}"/>
    <cellStyle name="40% - Accent6 11" xfId="180" xr:uid="{00000000-0005-0000-0000-000045010000}"/>
    <cellStyle name="40% - Accent6 12" xfId="181" xr:uid="{00000000-0005-0000-0000-000046010000}"/>
    <cellStyle name="40% - Accent6 13" xfId="182" xr:uid="{00000000-0005-0000-0000-000047010000}"/>
    <cellStyle name="40% - Accent6 14" xfId="183" xr:uid="{00000000-0005-0000-0000-000048010000}"/>
    <cellStyle name="40% - Accent6 15" xfId="184" xr:uid="{00000000-0005-0000-0000-000049010000}"/>
    <cellStyle name="40% - Accent6 16" xfId="185" xr:uid="{00000000-0005-0000-0000-00004A010000}"/>
    <cellStyle name="40% - Accent6 17" xfId="186" xr:uid="{00000000-0005-0000-0000-00004B010000}"/>
    <cellStyle name="40% - Accent6 2" xfId="187" xr:uid="{00000000-0005-0000-0000-00004C010000}"/>
    <cellStyle name="40% - Accent6 2 10" xfId="429" xr:uid="{00000000-0005-0000-0000-00004D010000}"/>
    <cellStyle name="40% - Accent6 2 2" xfId="430" xr:uid="{00000000-0005-0000-0000-00004E010000}"/>
    <cellStyle name="40% - Accent6 2 3" xfId="431" xr:uid="{00000000-0005-0000-0000-00004F010000}"/>
    <cellStyle name="40% - Accent6 2 4" xfId="432" xr:uid="{00000000-0005-0000-0000-000050010000}"/>
    <cellStyle name="40% - Accent6 2 5" xfId="433" xr:uid="{00000000-0005-0000-0000-000051010000}"/>
    <cellStyle name="40% - Accent6 2 6" xfId="434" xr:uid="{00000000-0005-0000-0000-000052010000}"/>
    <cellStyle name="40% - Accent6 2 7" xfId="435" xr:uid="{00000000-0005-0000-0000-000053010000}"/>
    <cellStyle name="40% - Accent6 2 8" xfId="436" xr:uid="{00000000-0005-0000-0000-000054010000}"/>
    <cellStyle name="40% - Accent6 2 9" xfId="437" xr:uid="{00000000-0005-0000-0000-000055010000}"/>
    <cellStyle name="40% - Accent6 3" xfId="188" xr:uid="{00000000-0005-0000-0000-000056010000}"/>
    <cellStyle name="40% - Accent6 3 2" xfId="438" xr:uid="{00000000-0005-0000-0000-000057010000}"/>
    <cellStyle name="40% - Accent6 4" xfId="189" xr:uid="{00000000-0005-0000-0000-000058010000}"/>
    <cellStyle name="40% - Accent6 4 2" xfId="439" xr:uid="{00000000-0005-0000-0000-000059010000}"/>
    <cellStyle name="40% - Accent6 5" xfId="190" xr:uid="{00000000-0005-0000-0000-00005A010000}"/>
    <cellStyle name="40% - Accent6 5 2" xfId="440" xr:uid="{00000000-0005-0000-0000-00005B010000}"/>
    <cellStyle name="40% - Accent6 6" xfId="191" xr:uid="{00000000-0005-0000-0000-00005C010000}"/>
    <cellStyle name="40% - Accent6 7" xfId="192" xr:uid="{00000000-0005-0000-0000-00005D010000}"/>
    <cellStyle name="40% - Accent6 8" xfId="193" xr:uid="{00000000-0005-0000-0000-00005E010000}"/>
    <cellStyle name="40% - Accent6 9" xfId="194" xr:uid="{00000000-0005-0000-0000-00005F010000}"/>
    <cellStyle name="60 % - Accent1" xfId="441" xr:uid="{00000000-0005-0000-0000-000060010000}"/>
    <cellStyle name="60 % - Accent2" xfId="442" xr:uid="{00000000-0005-0000-0000-000061010000}"/>
    <cellStyle name="60 % - Accent3" xfId="443" xr:uid="{00000000-0005-0000-0000-000062010000}"/>
    <cellStyle name="60 % - Accent4" xfId="444" xr:uid="{00000000-0005-0000-0000-000063010000}"/>
    <cellStyle name="60 % - Accent5" xfId="445" xr:uid="{00000000-0005-0000-0000-000064010000}"/>
    <cellStyle name="60 % - Accent6" xfId="446" xr:uid="{00000000-0005-0000-0000-000065010000}"/>
    <cellStyle name="60% - Accent1 2" xfId="447" xr:uid="{00000000-0005-0000-0000-000066010000}"/>
    <cellStyle name="60% - Accent1 2 10" xfId="448" xr:uid="{00000000-0005-0000-0000-000067010000}"/>
    <cellStyle name="60% - Accent1 2 2" xfId="449" xr:uid="{00000000-0005-0000-0000-000068010000}"/>
    <cellStyle name="60% - Accent1 2 3" xfId="450" xr:uid="{00000000-0005-0000-0000-000069010000}"/>
    <cellStyle name="60% - Accent1 2 4" xfId="451" xr:uid="{00000000-0005-0000-0000-00006A010000}"/>
    <cellStyle name="60% - Accent1 2 5" xfId="452" xr:uid="{00000000-0005-0000-0000-00006B010000}"/>
    <cellStyle name="60% - Accent1 2 6" xfId="453" xr:uid="{00000000-0005-0000-0000-00006C010000}"/>
    <cellStyle name="60% - Accent1 2 7" xfId="454" xr:uid="{00000000-0005-0000-0000-00006D010000}"/>
    <cellStyle name="60% - Accent1 2 8" xfId="455" xr:uid="{00000000-0005-0000-0000-00006E010000}"/>
    <cellStyle name="60% - Accent1 2 9" xfId="456" xr:uid="{00000000-0005-0000-0000-00006F010000}"/>
    <cellStyle name="60% - Accent1 3" xfId="457" xr:uid="{00000000-0005-0000-0000-000070010000}"/>
    <cellStyle name="60% - Accent1 3 2" xfId="458" xr:uid="{00000000-0005-0000-0000-000071010000}"/>
    <cellStyle name="60% - Accent1 4" xfId="459" xr:uid="{00000000-0005-0000-0000-000072010000}"/>
    <cellStyle name="60% - Accent1 4 2" xfId="460" xr:uid="{00000000-0005-0000-0000-000073010000}"/>
    <cellStyle name="60% - Accent1 5" xfId="461" xr:uid="{00000000-0005-0000-0000-000074010000}"/>
    <cellStyle name="60% - Accent1 5 2" xfId="462" xr:uid="{00000000-0005-0000-0000-000075010000}"/>
    <cellStyle name="60% - Accent1 6" xfId="463" xr:uid="{00000000-0005-0000-0000-000076010000}"/>
    <cellStyle name="60% - Accent2 2" xfId="464" xr:uid="{00000000-0005-0000-0000-000077010000}"/>
    <cellStyle name="60% - Accent2 2 10" xfId="465" xr:uid="{00000000-0005-0000-0000-000078010000}"/>
    <cellStyle name="60% - Accent2 2 2" xfId="466" xr:uid="{00000000-0005-0000-0000-000079010000}"/>
    <cellStyle name="60% - Accent2 2 3" xfId="467" xr:uid="{00000000-0005-0000-0000-00007A010000}"/>
    <cellStyle name="60% - Accent2 2 4" xfId="468" xr:uid="{00000000-0005-0000-0000-00007B010000}"/>
    <cellStyle name="60% - Accent2 2 5" xfId="469" xr:uid="{00000000-0005-0000-0000-00007C010000}"/>
    <cellStyle name="60% - Accent2 2 6" xfId="470" xr:uid="{00000000-0005-0000-0000-00007D010000}"/>
    <cellStyle name="60% - Accent2 2 7" xfId="471" xr:uid="{00000000-0005-0000-0000-00007E010000}"/>
    <cellStyle name="60% - Accent2 2 8" xfId="472" xr:uid="{00000000-0005-0000-0000-00007F010000}"/>
    <cellStyle name="60% - Accent2 2 9" xfId="473" xr:uid="{00000000-0005-0000-0000-000080010000}"/>
    <cellStyle name="60% - Accent2 3" xfId="474" xr:uid="{00000000-0005-0000-0000-000081010000}"/>
    <cellStyle name="60% - Accent2 3 2" xfId="475" xr:uid="{00000000-0005-0000-0000-000082010000}"/>
    <cellStyle name="60% - Accent2 4" xfId="476" xr:uid="{00000000-0005-0000-0000-000083010000}"/>
    <cellStyle name="60% - Accent2 4 2" xfId="477" xr:uid="{00000000-0005-0000-0000-000084010000}"/>
    <cellStyle name="60% - Accent2 5" xfId="478" xr:uid="{00000000-0005-0000-0000-000085010000}"/>
    <cellStyle name="60% - Accent2 5 2" xfId="479" xr:uid="{00000000-0005-0000-0000-000086010000}"/>
    <cellStyle name="60% - Accent2 6" xfId="480" xr:uid="{00000000-0005-0000-0000-000087010000}"/>
    <cellStyle name="60% - Accent3 2" xfId="481" xr:uid="{00000000-0005-0000-0000-000088010000}"/>
    <cellStyle name="60% - Accent3 2 10" xfId="482" xr:uid="{00000000-0005-0000-0000-000089010000}"/>
    <cellStyle name="60% - Accent3 2 2" xfId="483" xr:uid="{00000000-0005-0000-0000-00008A010000}"/>
    <cellStyle name="60% - Accent3 2 3" xfId="484" xr:uid="{00000000-0005-0000-0000-00008B010000}"/>
    <cellStyle name="60% - Accent3 2 4" xfId="485" xr:uid="{00000000-0005-0000-0000-00008C010000}"/>
    <cellStyle name="60% - Accent3 2 5" xfId="486" xr:uid="{00000000-0005-0000-0000-00008D010000}"/>
    <cellStyle name="60% - Accent3 2 6" xfId="487" xr:uid="{00000000-0005-0000-0000-00008E010000}"/>
    <cellStyle name="60% - Accent3 2 7" xfId="488" xr:uid="{00000000-0005-0000-0000-00008F010000}"/>
    <cellStyle name="60% - Accent3 2 8" xfId="489" xr:uid="{00000000-0005-0000-0000-000090010000}"/>
    <cellStyle name="60% - Accent3 2 9" xfId="490" xr:uid="{00000000-0005-0000-0000-000091010000}"/>
    <cellStyle name="60% - Accent3 3" xfId="491" xr:uid="{00000000-0005-0000-0000-000092010000}"/>
    <cellStyle name="60% - Accent3 3 2" xfId="492" xr:uid="{00000000-0005-0000-0000-000093010000}"/>
    <cellStyle name="60% - Accent3 4" xfId="493" xr:uid="{00000000-0005-0000-0000-000094010000}"/>
    <cellStyle name="60% - Accent3 4 2" xfId="494" xr:uid="{00000000-0005-0000-0000-000095010000}"/>
    <cellStyle name="60% - Accent3 5" xfId="495" xr:uid="{00000000-0005-0000-0000-000096010000}"/>
    <cellStyle name="60% - Accent3 5 2" xfId="496" xr:uid="{00000000-0005-0000-0000-000097010000}"/>
    <cellStyle name="60% - Accent3 6" xfId="497" xr:uid="{00000000-0005-0000-0000-000098010000}"/>
    <cellStyle name="60% - Accent4 2" xfId="498" xr:uid="{00000000-0005-0000-0000-000099010000}"/>
    <cellStyle name="60% - Accent4 2 10" xfId="499" xr:uid="{00000000-0005-0000-0000-00009A010000}"/>
    <cellStyle name="60% - Accent4 2 2" xfId="500" xr:uid="{00000000-0005-0000-0000-00009B010000}"/>
    <cellStyle name="60% - Accent4 2 3" xfId="501" xr:uid="{00000000-0005-0000-0000-00009C010000}"/>
    <cellStyle name="60% - Accent4 2 4" xfId="502" xr:uid="{00000000-0005-0000-0000-00009D010000}"/>
    <cellStyle name="60% - Accent4 2 5" xfId="503" xr:uid="{00000000-0005-0000-0000-00009E010000}"/>
    <cellStyle name="60% - Accent4 2 6" xfId="504" xr:uid="{00000000-0005-0000-0000-00009F010000}"/>
    <cellStyle name="60% - Accent4 2 7" xfId="505" xr:uid="{00000000-0005-0000-0000-0000A0010000}"/>
    <cellStyle name="60% - Accent4 2 8" xfId="506" xr:uid="{00000000-0005-0000-0000-0000A1010000}"/>
    <cellStyle name="60% - Accent4 2 9" xfId="507" xr:uid="{00000000-0005-0000-0000-0000A2010000}"/>
    <cellStyle name="60% - Accent4 3" xfId="508" xr:uid="{00000000-0005-0000-0000-0000A3010000}"/>
    <cellStyle name="60% - Accent4 3 2" xfId="509" xr:uid="{00000000-0005-0000-0000-0000A4010000}"/>
    <cellStyle name="60% - Accent4 4" xfId="510" xr:uid="{00000000-0005-0000-0000-0000A5010000}"/>
    <cellStyle name="60% - Accent4 4 2" xfId="511" xr:uid="{00000000-0005-0000-0000-0000A6010000}"/>
    <cellStyle name="60% - Accent4 5" xfId="512" xr:uid="{00000000-0005-0000-0000-0000A7010000}"/>
    <cellStyle name="60% - Accent4 5 2" xfId="513" xr:uid="{00000000-0005-0000-0000-0000A8010000}"/>
    <cellStyle name="60% - Accent4 6" xfId="514" xr:uid="{00000000-0005-0000-0000-0000A9010000}"/>
    <cellStyle name="60% - Accent5 2" xfId="515" xr:uid="{00000000-0005-0000-0000-0000AA010000}"/>
    <cellStyle name="60% - Accent5 2 10" xfId="516" xr:uid="{00000000-0005-0000-0000-0000AB010000}"/>
    <cellStyle name="60% - Accent5 2 2" xfId="517" xr:uid="{00000000-0005-0000-0000-0000AC010000}"/>
    <cellStyle name="60% - Accent5 2 3" xfId="518" xr:uid="{00000000-0005-0000-0000-0000AD010000}"/>
    <cellStyle name="60% - Accent5 2 4" xfId="519" xr:uid="{00000000-0005-0000-0000-0000AE010000}"/>
    <cellStyle name="60% - Accent5 2 5" xfId="520" xr:uid="{00000000-0005-0000-0000-0000AF010000}"/>
    <cellStyle name="60% - Accent5 2 6" xfId="521" xr:uid="{00000000-0005-0000-0000-0000B0010000}"/>
    <cellStyle name="60% - Accent5 2 7" xfId="522" xr:uid="{00000000-0005-0000-0000-0000B1010000}"/>
    <cellStyle name="60% - Accent5 2 8" xfId="523" xr:uid="{00000000-0005-0000-0000-0000B2010000}"/>
    <cellStyle name="60% - Accent5 2 9" xfId="524" xr:uid="{00000000-0005-0000-0000-0000B3010000}"/>
    <cellStyle name="60% - Accent5 3" xfId="525" xr:uid="{00000000-0005-0000-0000-0000B4010000}"/>
    <cellStyle name="60% - Accent5 3 2" xfId="526" xr:uid="{00000000-0005-0000-0000-0000B5010000}"/>
    <cellStyle name="60% - Accent5 4" xfId="527" xr:uid="{00000000-0005-0000-0000-0000B6010000}"/>
    <cellStyle name="60% - Accent5 4 2" xfId="528" xr:uid="{00000000-0005-0000-0000-0000B7010000}"/>
    <cellStyle name="60% - Accent5 5" xfId="529" xr:uid="{00000000-0005-0000-0000-0000B8010000}"/>
    <cellStyle name="60% - Accent5 5 2" xfId="530" xr:uid="{00000000-0005-0000-0000-0000B9010000}"/>
    <cellStyle name="60% - Accent5 6" xfId="531" xr:uid="{00000000-0005-0000-0000-0000BA010000}"/>
    <cellStyle name="60% - Accent6 2" xfId="532" xr:uid="{00000000-0005-0000-0000-0000BB010000}"/>
    <cellStyle name="60% - Accent6 2 10" xfId="533" xr:uid="{00000000-0005-0000-0000-0000BC010000}"/>
    <cellStyle name="60% - Accent6 2 2" xfId="534" xr:uid="{00000000-0005-0000-0000-0000BD010000}"/>
    <cellStyle name="60% - Accent6 2 3" xfId="535" xr:uid="{00000000-0005-0000-0000-0000BE010000}"/>
    <cellStyle name="60% - Accent6 2 4" xfId="536" xr:uid="{00000000-0005-0000-0000-0000BF010000}"/>
    <cellStyle name="60% - Accent6 2 5" xfId="537" xr:uid="{00000000-0005-0000-0000-0000C0010000}"/>
    <cellStyle name="60% - Accent6 2 6" xfId="538" xr:uid="{00000000-0005-0000-0000-0000C1010000}"/>
    <cellStyle name="60% - Accent6 2 7" xfId="539" xr:uid="{00000000-0005-0000-0000-0000C2010000}"/>
    <cellStyle name="60% - Accent6 2 8" xfId="540" xr:uid="{00000000-0005-0000-0000-0000C3010000}"/>
    <cellStyle name="60% - Accent6 2 9" xfId="541" xr:uid="{00000000-0005-0000-0000-0000C4010000}"/>
    <cellStyle name="60% - Accent6 3" xfId="542" xr:uid="{00000000-0005-0000-0000-0000C5010000}"/>
    <cellStyle name="60% - Accent6 3 2" xfId="543" xr:uid="{00000000-0005-0000-0000-0000C6010000}"/>
    <cellStyle name="60% - Accent6 4" xfId="544" xr:uid="{00000000-0005-0000-0000-0000C7010000}"/>
    <cellStyle name="60% - Accent6 4 2" xfId="545" xr:uid="{00000000-0005-0000-0000-0000C8010000}"/>
    <cellStyle name="60% - Accent6 5" xfId="546" xr:uid="{00000000-0005-0000-0000-0000C9010000}"/>
    <cellStyle name="60% - Accent6 5 2" xfId="547" xr:uid="{00000000-0005-0000-0000-0000CA010000}"/>
    <cellStyle name="60% - Accent6 6" xfId="548" xr:uid="{00000000-0005-0000-0000-0000CB010000}"/>
    <cellStyle name="75" xfId="549" xr:uid="{00000000-0005-0000-0000-0000CC010000}"/>
    <cellStyle name="75 2" xfId="550" xr:uid="{00000000-0005-0000-0000-0000CD010000}"/>
    <cellStyle name="Accent1 - 20%" xfId="551" xr:uid="{00000000-0005-0000-0000-0000CE010000}"/>
    <cellStyle name="Accent1 - 20% 10" xfId="552" xr:uid="{00000000-0005-0000-0000-0000CF010000}"/>
    <cellStyle name="Accent1 - 20% 11" xfId="553" xr:uid="{00000000-0005-0000-0000-0000D0010000}"/>
    <cellStyle name="Accent1 - 20% 12" xfId="554" xr:uid="{00000000-0005-0000-0000-0000D1010000}"/>
    <cellStyle name="Accent1 - 20% 13" xfId="555" xr:uid="{00000000-0005-0000-0000-0000D2010000}"/>
    <cellStyle name="Accent1 - 20% 14" xfId="556" xr:uid="{00000000-0005-0000-0000-0000D3010000}"/>
    <cellStyle name="Accent1 - 20% 15" xfId="557" xr:uid="{00000000-0005-0000-0000-0000D4010000}"/>
    <cellStyle name="Accent1 - 20% 16" xfId="558" xr:uid="{00000000-0005-0000-0000-0000D5010000}"/>
    <cellStyle name="Accent1 - 20% 17" xfId="559" xr:uid="{00000000-0005-0000-0000-0000D6010000}"/>
    <cellStyle name="Accent1 - 20% 18" xfId="560" xr:uid="{00000000-0005-0000-0000-0000D7010000}"/>
    <cellStyle name="Accent1 - 20% 19" xfId="561" xr:uid="{00000000-0005-0000-0000-0000D8010000}"/>
    <cellStyle name="Accent1 - 20% 2" xfId="562" xr:uid="{00000000-0005-0000-0000-0000D9010000}"/>
    <cellStyle name="Accent1 - 20% 20" xfId="563" xr:uid="{00000000-0005-0000-0000-0000DA010000}"/>
    <cellStyle name="Accent1 - 20% 21" xfId="564" xr:uid="{00000000-0005-0000-0000-0000DB010000}"/>
    <cellStyle name="Accent1 - 20% 22" xfId="565" xr:uid="{00000000-0005-0000-0000-0000DC010000}"/>
    <cellStyle name="Accent1 - 20% 3" xfId="566" xr:uid="{00000000-0005-0000-0000-0000DD010000}"/>
    <cellStyle name="Accent1 - 20% 4" xfId="567" xr:uid="{00000000-0005-0000-0000-0000DE010000}"/>
    <cellStyle name="Accent1 - 20% 5" xfId="568" xr:uid="{00000000-0005-0000-0000-0000DF010000}"/>
    <cellStyle name="Accent1 - 20% 6" xfId="569" xr:uid="{00000000-0005-0000-0000-0000E0010000}"/>
    <cellStyle name="Accent1 - 20% 7" xfId="570" xr:uid="{00000000-0005-0000-0000-0000E1010000}"/>
    <cellStyle name="Accent1 - 20% 8" xfId="571" xr:uid="{00000000-0005-0000-0000-0000E2010000}"/>
    <cellStyle name="Accent1 - 20% 9" xfId="572" xr:uid="{00000000-0005-0000-0000-0000E3010000}"/>
    <cellStyle name="Accent1 - 40%" xfId="573" xr:uid="{00000000-0005-0000-0000-0000E4010000}"/>
    <cellStyle name="Accent1 - 40% 10" xfId="574" xr:uid="{00000000-0005-0000-0000-0000E5010000}"/>
    <cellStyle name="Accent1 - 40% 11" xfId="575" xr:uid="{00000000-0005-0000-0000-0000E6010000}"/>
    <cellStyle name="Accent1 - 40% 12" xfId="576" xr:uid="{00000000-0005-0000-0000-0000E7010000}"/>
    <cellStyle name="Accent1 - 40% 13" xfId="577" xr:uid="{00000000-0005-0000-0000-0000E8010000}"/>
    <cellStyle name="Accent1 - 40% 14" xfId="578" xr:uid="{00000000-0005-0000-0000-0000E9010000}"/>
    <cellStyle name="Accent1 - 40% 15" xfId="579" xr:uid="{00000000-0005-0000-0000-0000EA010000}"/>
    <cellStyle name="Accent1 - 40% 16" xfId="580" xr:uid="{00000000-0005-0000-0000-0000EB010000}"/>
    <cellStyle name="Accent1 - 40% 17" xfId="581" xr:uid="{00000000-0005-0000-0000-0000EC010000}"/>
    <cellStyle name="Accent1 - 40% 18" xfId="582" xr:uid="{00000000-0005-0000-0000-0000ED010000}"/>
    <cellStyle name="Accent1 - 40% 19" xfId="583" xr:uid="{00000000-0005-0000-0000-0000EE010000}"/>
    <cellStyle name="Accent1 - 40% 2" xfId="584" xr:uid="{00000000-0005-0000-0000-0000EF010000}"/>
    <cellStyle name="Accent1 - 40% 20" xfId="585" xr:uid="{00000000-0005-0000-0000-0000F0010000}"/>
    <cellStyle name="Accent1 - 40% 21" xfId="586" xr:uid="{00000000-0005-0000-0000-0000F1010000}"/>
    <cellStyle name="Accent1 - 40% 22" xfId="587" xr:uid="{00000000-0005-0000-0000-0000F2010000}"/>
    <cellStyle name="Accent1 - 40% 3" xfId="588" xr:uid="{00000000-0005-0000-0000-0000F3010000}"/>
    <cellStyle name="Accent1 - 40% 4" xfId="589" xr:uid="{00000000-0005-0000-0000-0000F4010000}"/>
    <cellStyle name="Accent1 - 40% 5" xfId="590" xr:uid="{00000000-0005-0000-0000-0000F5010000}"/>
    <cellStyle name="Accent1 - 40% 6" xfId="591" xr:uid="{00000000-0005-0000-0000-0000F6010000}"/>
    <cellStyle name="Accent1 - 40% 7" xfId="592" xr:uid="{00000000-0005-0000-0000-0000F7010000}"/>
    <cellStyle name="Accent1 - 40% 8" xfId="593" xr:uid="{00000000-0005-0000-0000-0000F8010000}"/>
    <cellStyle name="Accent1 - 40% 9" xfId="594" xr:uid="{00000000-0005-0000-0000-0000F9010000}"/>
    <cellStyle name="Accent1 - 60%" xfId="595" xr:uid="{00000000-0005-0000-0000-0000FA010000}"/>
    <cellStyle name="Accent1 - 60% 2" xfId="596" xr:uid="{00000000-0005-0000-0000-0000FB010000}"/>
    <cellStyle name="Accent1 2" xfId="597" xr:uid="{00000000-0005-0000-0000-0000FC010000}"/>
    <cellStyle name="Accent1 2 10" xfId="598" xr:uid="{00000000-0005-0000-0000-0000FD010000}"/>
    <cellStyle name="Accent1 2 2" xfId="599" xr:uid="{00000000-0005-0000-0000-0000FE010000}"/>
    <cellStyle name="Accent1 2 3" xfId="600" xr:uid="{00000000-0005-0000-0000-0000FF010000}"/>
    <cellStyle name="Accent1 2 4" xfId="601" xr:uid="{00000000-0005-0000-0000-000000020000}"/>
    <cellStyle name="Accent1 2 5" xfId="602" xr:uid="{00000000-0005-0000-0000-000001020000}"/>
    <cellStyle name="Accent1 2 6" xfId="603" xr:uid="{00000000-0005-0000-0000-000002020000}"/>
    <cellStyle name="Accent1 2 7" xfId="604" xr:uid="{00000000-0005-0000-0000-000003020000}"/>
    <cellStyle name="Accent1 2 8" xfId="605" xr:uid="{00000000-0005-0000-0000-000004020000}"/>
    <cellStyle name="Accent1 2 9" xfId="606" xr:uid="{00000000-0005-0000-0000-000005020000}"/>
    <cellStyle name="Accent1 3" xfId="607" xr:uid="{00000000-0005-0000-0000-000006020000}"/>
    <cellStyle name="Accent1 3 2" xfId="608" xr:uid="{00000000-0005-0000-0000-000007020000}"/>
    <cellStyle name="Accent1 4" xfId="609" xr:uid="{00000000-0005-0000-0000-000008020000}"/>
    <cellStyle name="Accent1 4 2" xfId="610" xr:uid="{00000000-0005-0000-0000-000009020000}"/>
    <cellStyle name="Accent1 5" xfId="611" xr:uid="{00000000-0005-0000-0000-00000A020000}"/>
    <cellStyle name="Accent1 5 2" xfId="612" xr:uid="{00000000-0005-0000-0000-00000B020000}"/>
    <cellStyle name="Accent1 6" xfId="613" xr:uid="{00000000-0005-0000-0000-00000C020000}"/>
    <cellStyle name="Accent2 - 20%" xfId="614" xr:uid="{00000000-0005-0000-0000-00000D020000}"/>
    <cellStyle name="Accent2 - 20% 10" xfId="615" xr:uid="{00000000-0005-0000-0000-00000E020000}"/>
    <cellStyle name="Accent2 - 20% 11" xfId="616" xr:uid="{00000000-0005-0000-0000-00000F020000}"/>
    <cellStyle name="Accent2 - 20% 12" xfId="617" xr:uid="{00000000-0005-0000-0000-000010020000}"/>
    <cellStyle name="Accent2 - 20% 13" xfId="618" xr:uid="{00000000-0005-0000-0000-000011020000}"/>
    <cellStyle name="Accent2 - 20% 14" xfId="619" xr:uid="{00000000-0005-0000-0000-000012020000}"/>
    <cellStyle name="Accent2 - 20% 15" xfId="620" xr:uid="{00000000-0005-0000-0000-000013020000}"/>
    <cellStyle name="Accent2 - 20% 16" xfId="621" xr:uid="{00000000-0005-0000-0000-000014020000}"/>
    <cellStyle name="Accent2 - 20% 17" xfId="622" xr:uid="{00000000-0005-0000-0000-000015020000}"/>
    <cellStyle name="Accent2 - 20% 18" xfId="623" xr:uid="{00000000-0005-0000-0000-000016020000}"/>
    <cellStyle name="Accent2 - 20% 19" xfId="624" xr:uid="{00000000-0005-0000-0000-000017020000}"/>
    <cellStyle name="Accent2 - 20% 2" xfId="625" xr:uid="{00000000-0005-0000-0000-000018020000}"/>
    <cellStyle name="Accent2 - 20% 20" xfId="626" xr:uid="{00000000-0005-0000-0000-000019020000}"/>
    <cellStyle name="Accent2 - 20% 21" xfId="627" xr:uid="{00000000-0005-0000-0000-00001A020000}"/>
    <cellStyle name="Accent2 - 20% 22" xfId="628" xr:uid="{00000000-0005-0000-0000-00001B020000}"/>
    <cellStyle name="Accent2 - 20% 3" xfId="629" xr:uid="{00000000-0005-0000-0000-00001C020000}"/>
    <cellStyle name="Accent2 - 20% 4" xfId="630" xr:uid="{00000000-0005-0000-0000-00001D020000}"/>
    <cellStyle name="Accent2 - 20% 5" xfId="631" xr:uid="{00000000-0005-0000-0000-00001E020000}"/>
    <cellStyle name="Accent2 - 20% 6" xfId="632" xr:uid="{00000000-0005-0000-0000-00001F020000}"/>
    <cellStyle name="Accent2 - 20% 7" xfId="633" xr:uid="{00000000-0005-0000-0000-000020020000}"/>
    <cellStyle name="Accent2 - 20% 8" xfId="634" xr:uid="{00000000-0005-0000-0000-000021020000}"/>
    <cellStyle name="Accent2 - 20% 9" xfId="635" xr:uid="{00000000-0005-0000-0000-000022020000}"/>
    <cellStyle name="Accent2 - 40%" xfId="636" xr:uid="{00000000-0005-0000-0000-000023020000}"/>
    <cellStyle name="Accent2 - 40% 10" xfId="637" xr:uid="{00000000-0005-0000-0000-000024020000}"/>
    <cellStyle name="Accent2 - 40% 11" xfId="638" xr:uid="{00000000-0005-0000-0000-000025020000}"/>
    <cellStyle name="Accent2 - 40% 12" xfId="639" xr:uid="{00000000-0005-0000-0000-000026020000}"/>
    <cellStyle name="Accent2 - 40% 13" xfId="640" xr:uid="{00000000-0005-0000-0000-000027020000}"/>
    <cellStyle name="Accent2 - 40% 14" xfId="641" xr:uid="{00000000-0005-0000-0000-000028020000}"/>
    <cellStyle name="Accent2 - 40% 15" xfId="642" xr:uid="{00000000-0005-0000-0000-000029020000}"/>
    <cellStyle name="Accent2 - 40% 16" xfId="643" xr:uid="{00000000-0005-0000-0000-00002A020000}"/>
    <cellStyle name="Accent2 - 40% 17" xfId="644" xr:uid="{00000000-0005-0000-0000-00002B020000}"/>
    <cellStyle name="Accent2 - 40% 18" xfId="645" xr:uid="{00000000-0005-0000-0000-00002C020000}"/>
    <cellStyle name="Accent2 - 40% 19" xfId="646" xr:uid="{00000000-0005-0000-0000-00002D020000}"/>
    <cellStyle name="Accent2 - 40% 2" xfId="647" xr:uid="{00000000-0005-0000-0000-00002E020000}"/>
    <cellStyle name="Accent2 - 40% 20" xfId="648" xr:uid="{00000000-0005-0000-0000-00002F020000}"/>
    <cellStyle name="Accent2 - 40% 21" xfId="649" xr:uid="{00000000-0005-0000-0000-000030020000}"/>
    <cellStyle name="Accent2 - 40% 22" xfId="650" xr:uid="{00000000-0005-0000-0000-000031020000}"/>
    <cellStyle name="Accent2 - 40% 3" xfId="651" xr:uid="{00000000-0005-0000-0000-000032020000}"/>
    <cellStyle name="Accent2 - 40% 4" xfId="652" xr:uid="{00000000-0005-0000-0000-000033020000}"/>
    <cellStyle name="Accent2 - 40% 5" xfId="653" xr:uid="{00000000-0005-0000-0000-000034020000}"/>
    <cellStyle name="Accent2 - 40% 6" xfId="654" xr:uid="{00000000-0005-0000-0000-000035020000}"/>
    <cellStyle name="Accent2 - 40% 7" xfId="655" xr:uid="{00000000-0005-0000-0000-000036020000}"/>
    <cellStyle name="Accent2 - 40% 8" xfId="656" xr:uid="{00000000-0005-0000-0000-000037020000}"/>
    <cellStyle name="Accent2 - 40% 9" xfId="657" xr:uid="{00000000-0005-0000-0000-000038020000}"/>
    <cellStyle name="Accent2 - 60%" xfId="658" xr:uid="{00000000-0005-0000-0000-000039020000}"/>
    <cellStyle name="Accent2 - 60% 2" xfId="659" xr:uid="{00000000-0005-0000-0000-00003A020000}"/>
    <cellStyle name="Accent2 2" xfId="660" xr:uid="{00000000-0005-0000-0000-00003B020000}"/>
    <cellStyle name="Accent2 2 10" xfId="661" xr:uid="{00000000-0005-0000-0000-00003C020000}"/>
    <cellStyle name="Accent2 2 2" xfId="662" xr:uid="{00000000-0005-0000-0000-00003D020000}"/>
    <cellStyle name="Accent2 2 3" xfId="663" xr:uid="{00000000-0005-0000-0000-00003E020000}"/>
    <cellStyle name="Accent2 2 4" xfId="664" xr:uid="{00000000-0005-0000-0000-00003F020000}"/>
    <cellStyle name="Accent2 2 5" xfId="665" xr:uid="{00000000-0005-0000-0000-000040020000}"/>
    <cellStyle name="Accent2 2 6" xfId="666" xr:uid="{00000000-0005-0000-0000-000041020000}"/>
    <cellStyle name="Accent2 2 7" xfId="667" xr:uid="{00000000-0005-0000-0000-000042020000}"/>
    <cellStyle name="Accent2 2 8" xfId="668" xr:uid="{00000000-0005-0000-0000-000043020000}"/>
    <cellStyle name="Accent2 2 9" xfId="669" xr:uid="{00000000-0005-0000-0000-000044020000}"/>
    <cellStyle name="Accent2 3" xfId="670" xr:uid="{00000000-0005-0000-0000-000045020000}"/>
    <cellStyle name="Accent2 3 2" xfId="671" xr:uid="{00000000-0005-0000-0000-000046020000}"/>
    <cellStyle name="Accent2 4" xfId="672" xr:uid="{00000000-0005-0000-0000-000047020000}"/>
    <cellStyle name="Accent2 4 2" xfId="673" xr:uid="{00000000-0005-0000-0000-000048020000}"/>
    <cellStyle name="Accent2 5" xfId="674" xr:uid="{00000000-0005-0000-0000-000049020000}"/>
    <cellStyle name="Accent2 5 2" xfId="675" xr:uid="{00000000-0005-0000-0000-00004A020000}"/>
    <cellStyle name="Accent2 6" xfId="676" xr:uid="{00000000-0005-0000-0000-00004B020000}"/>
    <cellStyle name="Accent3 - 20%" xfId="677" xr:uid="{00000000-0005-0000-0000-00004C020000}"/>
    <cellStyle name="Accent3 - 20% 10" xfId="678" xr:uid="{00000000-0005-0000-0000-00004D020000}"/>
    <cellStyle name="Accent3 - 20% 11" xfId="679" xr:uid="{00000000-0005-0000-0000-00004E020000}"/>
    <cellStyle name="Accent3 - 20% 12" xfId="680" xr:uid="{00000000-0005-0000-0000-00004F020000}"/>
    <cellStyle name="Accent3 - 20% 13" xfId="681" xr:uid="{00000000-0005-0000-0000-000050020000}"/>
    <cellStyle name="Accent3 - 20% 14" xfId="682" xr:uid="{00000000-0005-0000-0000-000051020000}"/>
    <cellStyle name="Accent3 - 20% 15" xfId="683" xr:uid="{00000000-0005-0000-0000-000052020000}"/>
    <cellStyle name="Accent3 - 20% 16" xfId="684" xr:uid="{00000000-0005-0000-0000-000053020000}"/>
    <cellStyle name="Accent3 - 20% 17" xfId="685" xr:uid="{00000000-0005-0000-0000-000054020000}"/>
    <cellStyle name="Accent3 - 20% 18" xfId="686" xr:uid="{00000000-0005-0000-0000-000055020000}"/>
    <cellStyle name="Accent3 - 20% 19" xfId="687" xr:uid="{00000000-0005-0000-0000-000056020000}"/>
    <cellStyle name="Accent3 - 20% 2" xfId="688" xr:uid="{00000000-0005-0000-0000-000057020000}"/>
    <cellStyle name="Accent3 - 20% 20" xfId="689" xr:uid="{00000000-0005-0000-0000-000058020000}"/>
    <cellStyle name="Accent3 - 20% 21" xfId="690" xr:uid="{00000000-0005-0000-0000-000059020000}"/>
    <cellStyle name="Accent3 - 20% 22" xfId="691" xr:uid="{00000000-0005-0000-0000-00005A020000}"/>
    <cellStyle name="Accent3 - 20% 3" xfId="692" xr:uid="{00000000-0005-0000-0000-00005B020000}"/>
    <cellStyle name="Accent3 - 20% 4" xfId="693" xr:uid="{00000000-0005-0000-0000-00005C020000}"/>
    <cellStyle name="Accent3 - 20% 5" xfId="694" xr:uid="{00000000-0005-0000-0000-00005D020000}"/>
    <cellStyle name="Accent3 - 20% 6" xfId="695" xr:uid="{00000000-0005-0000-0000-00005E020000}"/>
    <cellStyle name="Accent3 - 20% 7" xfId="696" xr:uid="{00000000-0005-0000-0000-00005F020000}"/>
    <cellStyle name="Accent3 - 20% 8" xfId="697" xr:uid="{00000000-0005-0000-0000-000060020000}"/>
    <cellStyle name="Accent3 - 20% 9" xfId="698" xr:uid="{00000000-0005-0000-0000-000061020000}"/>
    <cellStyle name="Accent3 - 40%" xfId="699" xr:uid="{00000000-0005-0000-0000-000062020000}"/>
    <cellStyle name="Accent3 - 40% 10" xfId="700" xr:uid="{00000000-0005-0000-0000-000063020000}"/>
    <cellStyle name="Accent3 - 40% 11" xfId="701" xr:uid="{00000000-0005-0000-0000-000064020000}"/>
    <cellStyle name="Accent3 - 40% 12" xfId="702" xr:uid="{00000000-0005-0000-0000-000065020000}"/>
    <cellStyle name="Accent3 - 40% 13" xfId="703" xr:uid="{00000000-0005-0000-0000-000066020000}"/>
    <cellStyle name="Accent3 - 40% 14" xfId="704" xr:uid="{00000000-0005-0000-0000-000067020000}"/>
    <cellStyle name="Accent3 - 40% 15" xfId="705" xr:uid="{00000000-0005-0000-0000-000068020000}"/>
    <cellStyle name="Accent3 - 40% 16" xfId="706" xr:uid="{00000000-0005-0000-0000-000069020000}"/>
    <cellStyle name="Accent3 - 40% 17" xfId="707" xr:uid="{00000000-0005-0000-0000-00006A020000}"/>
    <cellStyle name="Accent3 - 40% 18" xfId="708" xr:uid="{00000000-0005-0000-0000-00006B020000}"/>
    <cellStyle name="Accent3 - 40% 19" xfId="709" xr:uid="{00000000-0005-0000-0000-00006C020000}"/>
    <cellStyle name="Accent3 - 40% 2" xfId="710" xr:uid="{00000000-0005-0000-0000-00006D020000}"/>
    <cellStyle name="Accent3 - 40% 20" xfId="711" xr:uid="{00000000-0005-0000-0000-00006E020000}"/>
    <cellStyle name="Accent3 - 40% 21" xfId="712" xr:uid="{00000000-0005-0000-0000-00006F020000}"/>
    <cellStyle name="Accent3 - 40% 22" xfId="713" xr:uid="{00000000-0005-0000-0000-000070020000}"/>
    <cellStyle name="Accent3 - 40% 3" xfId="714" xr:uid="{00000000-0005-0000-0000-000071020000}"/>
    <cellStyle name="Accent3 - 40% 4" xfId="715" xr:uid="{00000000-0005-0000-0000-000072020000}"/>
    <cellStyle name="Accent3 - 40% 5" xfId="716" xr:uid="{00000000-0005-0000-0000-000073020000}"/>
    <cellStyle name="Accent3 - 40% 6" xfId="717" xr:uid="{00000000-0005-0000-0000-000074020000}"/>
    <cellStyle name="Accent3 - 40% 7" xfId="718" xr:uid="{00000000-0005-0000-0000-000075020000}"/>
    <cellStyle name="Accent3 - 40% 8" xfId="719" xr:uid="{00000000-0005-0000-0000-000076020000}"/>
    <cellStyle name="Accent3 - 40% 9" xfId="720" xr:uid="{00000000-0005-0000-0000-000077020000}"/>
    <cellStyle name="Accent3 - 60%" xfId="721" xr:uid="{00000000-0005-0000-0000-000078020000}"/>
    <cellStyle name="Accent3 - 60% 2" xfId="722" xr:uid="{00000000-0005-0000-0000-000079020000}"/>
    <cellStyle name="Accent3 2" xfId="723" xr:uid="{00000000-0005-0000-0000-00007A020000}"/>
    <cellStyle name="Accent3 2 10" xfId="724" xr:uid="{00000000-0005-0000-0000-00007B020000}"/>
    <cellStyle name="Accent3 2 2" xfId="725" xr:uid="{00000000-0005-0000-0000-00007C020000}"/>
    <cellStyle name="Accent3 2 3" xfId="726" xr:uid="{00000000-0005-0000-0000-00007D020000}"/>
    <cellStyle name="Accent3 2 4" xfId="727" xr:uid="{00000000-0005-0000-0000-00007E020000}"/>
    <cellStyle name="Accent3 2 5" xfId="728" xr:uid="{00000000-0005-0000-0000-00007F020000}"/>
    <cellStyle name="Accent3 2 6" xfId="729" xr:uid="{00000000-0005-0000-0000-000080020000}"/>
    <cellStyle name="Accent3 2 7" xfId="730" xr:uid="{00000000-0005-0000-0000-000081020000}"/>
    <cellStyle name="Accent3 2 8" xfId="731" xr:uid="{00000000-0005-0000-0000-000082020000}"/>
    <cellStyle name="Accent3 2 9" xfId="732" xr:uid="{00000000-0005-0000-0000-000083020000}"/>
    <cellStyle name="Accent3 3" xfId="733" xr:uid="{00000000-0005-0000-0000-000084020000}"/>
    <cellStyle name="Accent3 3 2" xfId="734" xr:uid="{00000000-0005-0000-0000-000085020000}"/>
    <cellStyle name="Accent3 4" xfId="735" xr:uid="{00000000-0005-0000-0000-000086020000}"/>
    <cellStyle name="Accent3 4 2" xfId="736" xr:uid="{00000000-0005-0000-0000-000087020000}"/>
    <cellStyle name="Accent3 5" xfId="737" xr:uid="{00000000-0005-0000-0000-000088020000}"/>
    <cellStyle name="Accent3 5 2" xfId="738" xr:uid="{00000000-0005-0000-0000-000089020000}"/>
    <cellStyle name="Accent3 6" xfId="739" xr:uid="{00000000-0005-0000-0000-00008A020000}"/>
    <cellStyle name="Accent4 - 20%" xfId="740" xr:uid="{00000000-0005-0000-0000-00008B020000}"/>
    <cellStyle name="Accent4 - 20% 10" xfId="741" xr:uid="{00000000-0005-0000-0000-00008C020000}"/>
    <cellStyle name="Accent4 - 20% 11" xfId="742" xr:uid="{00000000-0005-0000-0000-00008D020000}"/>
    <cellStyle name="Accent4 - 20% 12" xfId="743" xr:uid="{00000000-0005-0000-0000-00008E020000}"/>
    <cellStyle name="Accent4 - 20% 13" xfId="744" xr:uid="{00000000-0005-0000-0000-00008F020000}"/>
    <cellStyle name="Accent4 - 20% 14" xfId="745" xr:uid="{00000000-0005-0000-0000-000090020000}"/>
    <cellStyle name="Accent4 - 20% 15" xfId="746" xr:uid="{00000000-0005-0000-0000-000091020000}"/>
    <cellStyle name="Accent4 - 20% 16" xfId="747" xr:uid="{00000000-0005-0000-0000-000092020000}"/>
    <cellStyle name="Accent4 - 20% 17" xfId="748" xr:uid="{00000000-0005-0000-0000-000093020000}"/>
    <cellStyle name="Accent4 - 20% 18" xfId="749" xr:uid="{00000000-0005-0000-0000-000094020000}"/>
    <cellStyle name="Accent4 - 20% 19" xfId="750" xr:uid="{00000000-0005-0000-0000-000095020000}"/>
    <cellStyle name="Accent4 - 20% 2" xfId="751" xr:uid="{00000000-0005-0000-0000-000096020000}"/>
    <cellStyle name="Accent4 - 20% 20" xfId="752" xr:uid="{00000000-0005-0000-0000-000097020000}"/>
    <cellStyle name="Accent4 - 20% 21" xfId="753" xr:uid="{00000000-0005-0000-0000-000098020000}"/>
    <cellStyle name="Accent4 - 20% 22" xfId="754" xr:uid="{00000000-0005-0000-0000-000099020000}"/>
    <cellStyle name="Accent4 - 20% 3" xfId="755" xr:uid="{00000000-0005-0000-0000-00009A020000}"/>
    <cellStyle name="Accent4 - 20% 4" xfId="756" xr:uid="{00000000-0005-0000-0000-00009B020000}"/>
    <cellStyle name="Accent4 - 20% 5" xfId="757" xr:uid="{00000000-0005-0000-0000-00009C020000}"/>
    <cellStyle name="Accent4 - 20% 6" xfId="758" xr:uid="{00000000-0005-0000-0000-00009D020000}"/>
    <cellStyle name="Accent4 - 20% 7" xfId="759" xr:uid="{00000000-0005-0000-0000-00009E020000}"/>
    <cellStyle name="Accent4 - 20% 8" xfId="760" xr:uid="{00000000-0005-0000-0000-00009F020000}"/>
    <cellStyle name="Accent4 - 20% 9" xfId="761" xr:uid="{00000000-0005-0000-0000-0000A0020000}"/>
    <cellStyle name="Accent4 - 40%" xfId="762" xr:uid="{00000000-0005-0000-0000-0000A1020000}"/>
    <cellStyle name="Accent4 - 40% 10" xfId="763" xr:uid="{00000000-0005-0000-0000-0000A2020000}"/>
    <cellStyle name="Accent4 - 40% 11" xfId="764" xr:uid="{00000000-0005-0000-0000-0000A3020000}"/>
    <cellStyle name="Accent4 - 40% 12" xfId="765" xr:uid="{00000000-0005-0000-0000-0000A4020000}"/>
    <cellStyle name="Accent4 - 40% 13" xfId="766" xr:uid="{00000000-0005-0000-0000-0000A5020000}"/>
    <cellStyle name="Accent4 - 40% 14" xfId="767" xr:uid="{00000000-0005-0000-0000-0000A6020000}"/>
    <cellStyle name="Accent4 - 40% 15" xfId="768" xr:uid="{00000000-0005-0000-0000-0000A7020000}"/>
    <cellStyle name="Accent4 - 40% 16" xfId="769" xr:uid="{00000000-0005-0000-0000-0000A8020000}"/>
    <cellStyle name="Accent4 - 40% 17" xfId="770" xr:uid="{00000000-0005-0000-0000-0000A9020000}"/>
    <cellStyle name="Accent4 - 40% 18" xfId="771" xr:uid="{00000000-0005-0000-0000-0000AA020000}"/>
    <cellStyle name="Accent4 - 40% 19" xfId="772" xr:uid="{00000000-0005-0000-0000-0000AB020000}"/>
    <cellStyle name="Accent4 - 40% 2" xfId="773" xr:uid="{00000000-0005-0000-0000-0000AC020000}"/>
    <cellStyle name="Accent4 - 40% 20" xfId="774" xr:uid="{00000000-0005-0000-0000-0000AD020000}"/>
    <cellStyle name="Accent4 - 40% 21" xfId="775" xr:uid="{00000000-0005-0000-0000-0000AE020000}"/>
    <cellStyle name="Accent4 - 40% 22" xfId="776" xr:uid="{00000000-0005-0000-0000-0000AF020000}"/>
    <cellStyle name="Accent4 - 40% 3" xfId="777" xr:uid="{00000000-0005-0000-0000-0000B0020000}"/>
    <cellStyle name="Accent4 - 40% 4" xfId="778" xr:uid="{00000000-0005-0000-0000-0000B1020000}"/>
    <cellStyle name="Accent4 - 40% 5" xfId="779" xr:uid="{00000000-0005-0000-0000-0000B2020000}"/>
    <cellStyle name="Accent4 - 40% 6" xfId="780" xr:uid="{00000000-0005-0000-0000-0000B3020000}"/>
    <cellStyle name="Accent4 - 40% 7" xfId="781" xr:uid="{00000000-0005-0000-0000-0000B4020000}"/>
    <cellStyle name="Accent4 - 40% 8" xfId="782" xr:uid="{00000000-0005-0000-0000-0000B5020000}"/>
    <cellStyle name="Accent4 - 40% 9" xfId="783" xr:uid="{00000000-0005-0000-0000-0000B6020000}"/>
    <cellStyle name="Accent4 - 60%" xfId="784" xr:uid="{00000000-0005-0000-0000-0000B7020000}"/>
    <cellStyle name="Accent4 - 60% 2" xfId="785" xr:uid="{00000000-0005-0000-0000-0000B8020000}"/>
    <cellStyle name="Accent4 2" xfId="786" xr:uid="{00000000-0005-0000-0000-0000B9020000}"/>
    <cellStyle name="Accent4 2 10" xfId="787" xr:uid="{00000000-0005-0000-0000-0000BA020000}"/>
    <cellStyle name="Accent4 2 2" xfId="788" xr:uid="{00000000-0005-0000-0000-0000BB020000}"/>
    <cellStyle name="Accent4 2 3" xfId="789" xr:uid="{00000000-0005-0000-0000-0000BC020000}"/>
    <cellStyle name="Accent4 2 4" xfId="790" xr:uid="{00000000-0005-0000-0000-0000BD020000}"/>
    <cellStyle name="Accent4 2 5" xfId="791" xr:uid="{00000000-0005-0000-0000-0000BE020000}"/>
    <cellStyle name="Accent4 2 6" xfId="792" xr:uid="{00000000-0005-0000-0000-0000BF020000}"/>
    <cellStyle name="Accent4 2 7" xfId="793" xr:uid="{00000000-0005-0000-0000-0000C0020000}"/>
    <cellStyle name="Accent4 2 8" xfId="794" xr:uid="{00000000-0005-0000-0000-0000C1020000}"/>
    <cellStyle name="Accent4 2 9" xfId="795" xr:uid="{00000000-0005-0000-0000-0000C2020000}"/>
    <cellStyle name="Accent4 3" xfId="796" xr:uid="{00000000-0005-0000-0000-0000C3020000}"/>
    <cellStyle name="Accent4 3 2" xfId="797" xr:uid="{00000000-0005-0000-0000-0000C4020000}"/>
    <cellStyle name="Accent4 4" xfId="798" xr:uid="{00000000-0005-0000-0000-0000C5020000}"/>
    <cellStyle name="Accent4 4 2" xfId="799" xr:uid="{00000000-0005-0000-0000-0000C6020000}"/>
    <cellStyle name="Accent4 5" xfId="800" xr:uid="{00000000-0005-0000-0000-0000C7020000}"/>
    <cellStyle name="Accent4 5 2" xfId="801" xr:uid="{00000000-0005-0000-0000-0000C8020000}"/>
    <cellStyle name="Accent4 6" xfId="802" xr:uid="{00000000-0005-0000-0000-0000C9020000}"/>
    <cellStyle name="Accent5" xfId="2" builtinId="45"/>
    <cellStyle name="Accent5 - 20%" xfId="803" xr:uid="{00000000-0005-0000-0000-0000CB020000}"/>
    <cellStyle name="Accent5 - 20% 10" xfId="804" xr:uid="{00000000-0005-0000-0000-0000CC020000}"/>
    <cellStyle name="Accent5 - 20% 11" xfId="805" xr:uid="{00000000-0005-0000-0000-0000CD020000}"/>
    <cellStyle name="Accent5 - 20% 12" xfId="806" xr:uid="{00000000-0005-0000-0000-0000CE020000}"/>
    <cellStyle name="Accent5 - 20% 13" xfId="807" xr:uid="{00000000-0005-0000-0000-0000CF020000}"/>
    <cellStyle name="Accent5 - 20% 14" xfId="808" xr:uid="{00000000-0005-0000-0000-0000D0020000}"/>
    <cellStyle name="Accent5 - 20% 15" xfId="809" xr:uid="{00000000-0005-0000-0000-0000D1020000}"/>
    <cellStyle name="Accent5 - 20% 16" xfId="810" xr:uid="{00000000-0005-0000-0000-0000D2020000}"/>
    <cellStyle name="Accent5 - 20% 17" xfId="811" xr:uid="{00000000-0005-0000-0000-0000D3020000}"/>
    <cellStyle name="Accent5 - 20% 18" xfId="812" xr:uid="{00000000-0005-0000-0000-0000D4020000}"/>
    <cellStyle name="Accent5 - 20% 19" xfId="813" xr:uid="{00000000-0005-0000-0000-0000D5020000}"/>
    <cellStyle name="Accent5 - 20% 2" xfId="814" xr:uid="{00000000-0005-0000-0000-0000D6020000}"/>
    <cellStyle name="Accent5 - 20% 20" xfId="815" xr:uid="{00000000-0005-0000-0000-0000D7020000}"/>
    <cellStyle name="Accent5 - 20% 21" xfId="816" xr:uid="{00000000-0005-0000-0000-0000D8020000}"/>
    <cellStyle name="Accent5 - 20% 22" xfId="817" xr:uid="{00000000-0005-0000-0000-0000D9020000}"/>
    <cellStyle name="Accent5 - 20% 3" xfId="818" xr:uid="{00000000-0005-0000-0000-0000DA020000}"/>
    <cellStyle name="Accent5 - 20% 4" xfId="819" xr:uid="{00000000-0005-0000-0000-0000DB020000}"/>
    <cellStyle name="Accent5 - 20% 5" xfId="820" xr:uid="{00000000-0005-0000-0000-0000DC020000}"/>
    <cellStyle name="Accent5 - 20% 6" xfId="821" xr:uid="{00000000-0005-0000-0000-0000DD020000}"/>
    <cellStyle name="Accent5 - 20% 7" xfId="822" xr:uid="{00000000-0005-0000-0000-0000DE020000}"/>
    <cellStyle name="Accent5 - 20% 8" xfId="823" xr:uid="{00000000-0005-0000-0000-0000DF020000}"/>
    <cellStyle name="Accent5 - 20% 9" xfId="824" xr:uid="{00000000-0005-0000-0000-0000E0020000}"/>
    <cellStyle name="Accent5 - 40%" xfId="825" xr:uid="{00000000-0005-0000-0000-0000E1020000}"/>
    <cellStyle name="Accent5 - 40% 10" xfId="826" xr:uid="{00000000-0005-0000-0000-0000E2020000}"/>
    <cellStyle name="Accent5 - 40% 11" xfId="827" xr:uid="{00000000-0005-0000-0000-0000E3020000}"/>
    <cellStyle name="Accent5 - 40% 12" xfId="828" xr:uid="{00000000-0005-0000-0000-0000E4020000}"/>
    <cellStyle name="Accent5 - 40% 13" xfId="829" xr:uid="{00000000-0005-0000-0000-0000E5020000}"/>
    <cellStyle name="Accent5 - 40% 14" xfId="830" xr:uid="{00000000-0005-0000-0000-0000E6020000}"/>
    <cellStyle name="Accent5 - 40% 15" xfId="831" xr:uid="{00000000-0005-0000-0000-0000E7020000}"/>
    <cellStyle name="Accent5 - 40% 16" xfId="832" xr:uid="{00000000-0005-0000-0000-0000E8020000}"/>
    <cellStyle name="Accent5 - 40% 17" xfId="833" xr:uid="{00000000-0005-0000-0000-0000E9020000}"/>
    <cellStyle name="Accent5 - 40% 18" xfId="834" xr:uid="{00000000-0005-0000-0000-0000EA020000}"/>
    <cellStyle name="Accent5 - 40% 19" xfId="835" xr:uid="{00000000-0005-0000-0000-0000EB020000}"/>
    <cellStyle name="Accent5 - 40% 2" xfId="836" xr:uid="{00000000-0005-0000-0000-0000EC020000}"/>
    <cellStyle name="Accent5 - 40% 20" xfId="837" xr:uid="{00000000-0005-0000-0000-0000ED020000}"/>
    <cellStyle name="Accent5 - 40% 21" xfId="838" xr:uid="{00000000-0005-0000-0000-0000EE020000}"/>
    <cellStyle name="Accent5 - 40% 22" xfId="839" xr:uid="{00000000-0005-0000-0000-0000EF020000}"/>
    <cellStyle name="Accent5 - 40% 3" xfId="840" xr:uid="{00000000-0005-0000-0000-0000F0020000}"/>
    <cellStyle name="Accent5 - 40% 4" xfId="841" xr:uid="{00000000-0005-0000-0000-0000F1020000}"/>
    <cellStyle name="Accent5 - 40% 5" xfId="842" xr:uid="{00000000-0005-0000-0000-0000F2020000}"/>
    <cellStyle name="Accent5 - 40% 6" xfId="843" xr:uid="{00000000-0005-0000-0000-0000F3020000}"/>
    <cellStyle name="Accent5 - 40% 7" xfId="844" xr:uid="{00000000-0005-0000-0000-0000F4020000}"/>
    <cellStyle name="Accent5 - 40% 8" xfId="845" xr:uid="{00000000-0005-0000-0000-0000F5020000}"/>
    <cellStyle name="Accent5 - 40% 9" xfId="846" xr:uid="{00000000-0005-0000-0000-0000F6020000}"/>
    <cellStyle name="Accent5 - 60%" xfId="847" xr:uid="{00000000-0005-0000-0000-0000F7020000}"/>
    <cellStyle name="Accent5 - 60% 2" xfId="848" xr:uid="{00000000-0005-0000-0000-0000F8020000}"/>
    <cellStyle name="Accent5 2" xfId="849" xr:uid="{00000000-0005-0000-0000-0000F9020000}"/>
    <cellStyle name="Accent5 2 10" xfId="850" xr:uid="{00000000-0005-0000-0000-0000FA020000}"/>
    <cellStyle name="Accent5 2 2" xfId="851" xr:uid="{00000000-0005-0000-0000-0000FB020000}"/>
    <cellStyle name="Accent5 2 3" xfId="852" xr:uid="{00000000-0005-0000-0000-0000FC020000}"/>
    <cellStyle name="Accent5 2 4" xfId="853" xr:uid="{00000000-0005-0000-0000-0000FD020000}"/>
    <cellStyle name="Accent5 2 5" xfId="854" xr:uid="{00000000-0005-0000-0000-0000FE020000}"/>
    <cellStyle name="Accent5 2 6" xfId="855" xr:uid="{00000000-0005-0000-0000-0000FF020000}"/>
    <cellStyle name="Accent5 2 7" xfId="856" xr:uid="{00000000-0005-0000-0000-000000030000}"/>
    <cellStyle name="Accent5 2 8" xfId="857" xr:uid="{00000000-0005-0000-0000-000001030000}"/>
    <cellStyle name="Accent5 2 9" xfId="858" xr:uid="{00000000-0005-0000-0000-000002030000}"/>
    <cellStyle name="Accent5 3" xfId="859" xr:uid="{00000000-0005-0000-0000-000003030000}"/>
    <cellStyle name="Accent5 3 2" xfId="860" xr:uid="{00000000-0005-0000-0000-000004030000}"/>
    <cellStyle name="Accent5 4" xfId="861" xr:uid="{00000000-0005-0000-0000-000005030000}"/>
    <cellStyle name="Accent5 4 2" xfId="862" xr:uid="{00000000-0005-0000-0000-000006030000}"/>
    <cellStyle name="Accent5 5" xfId="863" xr:uid="{00000000-0005-0000-0000-000007030000}"/>
    <cellStyle name="Accent5 5 2" xfId="864" xr:uid="{00000000-0005-0000-0000-000008030000}"/>
    <cellStyle name="Accent5 6" xfId="865" xr:uid="{00000000-0005-0000-0000-000009030000}"/>
    <cellStyle name="Accent6 - 20%" xfId="866" xr:uid="{00000000-0005-0000-0000-00000A030000}"/>
    <cellStyle name="Accent6 - 20% 10" xfId="867" xr:uid="{00000000-0005-0000-0000-00000B030000}"/>
    <cellStyle name="Accent6 - 20% 11" xfId="868" xr:uid="{00000000-0005-0000-0000-00000C030000}"/>
    <cellStyle name="Accent6 - 20% 12" xfId="869" xr:uid="{00000000-0005-0000-0000-00000D030000}"/>
    <cellStyle name="Accent6 - 20% 13" xfId="870" xr:uid="{00000000-0005-0000-0000-00000E030000}"/>
    <cellStyle name="Accent6 - 20% 14" xfId="871" xr:uid="{00000000-0005-0000-0000-00000F030000}"/>
    <cellStyle name="Accent6 - 20% 15" xfId="872" xr:uid="{00000000-0005-0000-0000-000010030000}"/>
    <cellStyle name="Accent6 - 20% 16" xfId="873" xr:uid="{00000000-0005-0000-0000-000011030000}"/>
    <cellStyle name="Accent6 - 20% 17" xfId="874" xr:uid="{00000000-0005-0000-0000-000012030000}"/>
    <cellStyle name="Accent6 - 20% 18" xfId="875" xr:uid="{00000000-0005-0000-0000-000013030000}"/>
    <cellStyle name="Accent6 - 20% 19" xfId="876" xr:uid="{00000000-0005-0000-0000-000014030000}"/>
    <cellStyle name="Accent6 - 20% 2" xfId="877" xr:uid="{00000000-0005-0000-0000-000015030000}"/>
    <cellStyle name="Accent6 - 20% 20" xfId="878" xr:uid="{00000000-0005-0000-0000-000016030000}"/>
    <cellStyle name="Accent6 - 20% 21" xfId="879" xr:uid="{00000000-0005-0000-0000-000017030000}"/>
    <cellStyle name="Accent6 - 20% 22" xfId="880" xr:uid="{00000000-0005-0000-0000-000018030000}"/>
    <cellStyle name="Accent6 - 20% 3" xfId="881" xr:uid="{00000000-0005-0000-0000-000019030000}"/>
    <cellStyle name="Accent6 - 20% 4" xfId="882" xr:uid="{00000000-0005-0000-0000-00001A030000}"/>
    <cellStyle name="Accent6 - 20% 5" xfId="883" xr:uid="{00000000-0005-0000-0000-00001B030000}"/>
    <cellStyle name="Accent6 - 20% 6" xfId="884" xr:uid="{00000000-0005-0000-0000-00001C030000}"/>
    <cellStyle name="Accent6 - 20% 7" xfId="885" xr:uid="{00000000-0005-0000-0000-00001D030000}"/>
    <cellStyle name="Accent6 - 20% 8" xfId="886" xr:uid="{00000000-0005-0000-0000-00001E030000}"/>
    <cellStyle name="Accent6 - 20% 9" xfId="887" xr:uid="{00000000-0005-0000-0000-00001F030000}"/>
    <cellStyle name="Accent6 - 40%" xfId="888" xr:uid="{00000000-0005-0000-0000-000020030000}"/>
    <cellStyle name="Accent6 - 40% 10" xfId="889" xr:uid="{00000000-0005-0000-0000-000021030000}"/>
    <cellStyle name="Accent6 - 40% 11" xfId="890" xr:uid="{00000000-0005-0000-0000-000022030000}"/>
    <cellStyle name="Accent6 - 40% 12" xfId="891" xr:uid="{00000000-0005-0000-0000-000023030000}"/>
    <cellStyle name="Accent6 - 40% 13" xfId="892" xr:uid="{00000000-0005-0000-0000-000024030000}"/>
    <cellStyle name="Accent6 - 40% 14" xfId="893" xr:uid="{00000000-0005-0000-0000-000025030000}"/>
    <cellStyle name="Accent6 - 40% 15" xfId="894" xr:uid="{00000000-0005-0000-0000-000026030000}"/>
    <cellStyle name="Accent6 - 40% 16" xfId="895" xr:uid="{00000000-0005-0000-0000-000027030000}"/>
    <cellStyle name="Accent6 - 40% 17" xfId="896" xr:uid="{00000000-0005-0000-0000-000028030000}"/>
    <cellStyle name="Accent6 - 40% 18" xfId="897" xr:uid="{00000000-0005-0000-0000-000029030000}"/>
    <cellStyle name="Accent6 - 40% 19" xfId="898" xr:uid="{00000000-0005-0000-0000-00002A030000}"/>
    <cellStyle name="Accent6 - 40% 2" xfId="899" xr:uid="{00000000-0005-0000-0000-00002B030000}"/>
    <cellStyle name="Accent6 - 40% 20" xfId="900" xr:uid="{00000000-0005-0000-0000-00002C030000}"/>
    <cellStyle name="Accent6 - 40% 21" xfId="901" xr:uid="{00000000-0005-0000-0000-00002D030000}"/>
    <cellStyle name="Accent6 - 40% 22" xfId="902" xr:uid="{00000000-0005-0000-0000-00002E030000}"/>
    <cellStyle name="Accent6 - 40% 3" xfId="903" xr:uid="{00000000-0005-0000-0000-00002F030000}"/>
    <cellStyle name="Accent6 - 40% 4" xfId="904" xr:uid="{00000000-0005-0000-0000-000030030000}"/>
    <cellStyle name="Accent6 - 40% 5" xfId="905" xr:uid="{00000000-0005-0000-0000-000031030000}"/>
    <cellStyle name="Accent6 - 40% 6" xfId="906" xr:uid="{00000000-0005-0000-0000-000032030000}"/>
    <cellStyle name="Accent6 - 40% 7" xfId="907" xr:uid="{00000000-0005-0000-0000-000033030000}"/>
    <cellStyle name="Accent6 - 40% 8" xfId="908" xr:uid="{00000000-0005-0000-0000-000034030000}"/>
    <cellStyle name="Accent6 - 40% 9" xfId="909" xr:uid="{00000000-0005-0000-0000-000035030000}"/>
    <cellStyle name="Accent6 - 60%" xfId="910" xr:uid="{00000000-0005-0000-0000-000036030000}"/>
    <cellStyle name="Accent6 - 60% 2" xfId="911" xr:uid="{00000000-0005-0000-0000-000037030000}"/>
    <cellStyle name="Accent6 2" xfId="912" xr:uid="{00000000-0005-0000-0000-000038030000}"/>
    <cellStyle name="Accent6 2 10" xfId="913" xr:uid="{00000000-0005-0000-0000-000039030000}"/>
    <cellStyle name="Accent6 2 2" xfId="914" xr:uid="{00000000-0005-0000-0000-00003A030000}"/>
    <cellStyle name="Accent6 2 3" xfId="915" xr:uid="{00000000-0005-0000-0000-00003B030000}"/>
    <cellStyle name="Accent6 2 4" xfId="916" xr:uid="{00000000-0005-0000-0000-00003C030000}"/>
    <cellStyle name="Accent6 2 5" xfId="917" xr:uid="{00000000-0005-0000-0000-00003D030000}"/>
    <cellStyle name="Accent6 2 6" xfId="918" xr:uid="{00000000-0005-0000-0000-00003E030000}"/>
    <cellStyle name="Accent6 2 7" xfId="919" xr:uid="{00000000-0005-0000-0000-00003F030000}"/>
    <cellStyle name="Accent6 2 8" xfId="920" xr:uid="{00000000-0005-0000-0000-000040030000}"/>
    <cellStyle name="Accent6 2 9" xfId="921" xr:uid="{00000000-0005-0000-0000-000041030000}"/>
    <cellStyle name="Accent6 3" xfId="922" xr:uid="{00000000-0005-0000-0000-000042030000}"/>
    <cellStyle name="Accent6 3 2" xfId="923" xr:uid="{00000000-0005-0000-0000-000043030000}"/>
    <cellStyle name="Accent6 4" xfId="924" xr:uid="{00000000-0005-0000-0000-000044030000}"/>
    <cellStyle name="Accent6 4 2" xfId="925" xr:uid="{00000000-0005-0000-0000-000045030000}"/>
    <cellStyle name="Accent6 5" xfId="926" xr:uid="{00000000-0005-0000-0000-000046030000}"/>
    <cellStyle name="Accent6 5 2" xfId="927" xr:uid="{00000000-0005-0000-0000-000047030000}"/>
    <cellStyle name="Accent6 6" xfId="928" xr:uid="{00000000-0005-0000-0000-000048030000}"/>
    <cellStyle name="ÅëÈ­ [0]_±âÅ¸" xfId="929" xr:uid="{00000000-0005-0000-0000-000049030000}"/>
    <cellStyle name="ÅëÈ­_±âÅ¸" xfId="930" xr:uid="{00000000-0005-0000-0000-00004A030000}"/>
    <cellStyle name="Arial1 - Style1" xfId="931" xr:uid="{00000000-0005-0000-0000-00004B030000}"/>
    <cellStyle name="Arial1 - Style1 2" xfId="932" xr:uid="{00000000-0005-0000-0000-00004C030000}"/>
    <cellStyle name="Arial1 - Style1 3" xfId="933" xr:uid="{00000000-0005-0000-0000-00004D030000}"/>
    <cellStyle name="Arial1 - Style2" xfId="934" xr:uid="{00000000-0005-0000-0000-00004E030000}"/>
    <cellStyle name="Arial1 - Style2 2" xfId="935" xr:uid="{00000000-0005-0000-0000-00004F030000}"/>
    <cellStyle name="Arial1 - Style2 3" xfId="936" xr:uid="{00000000-0005-0000-0000-000050030000}"/>
    <cellStyle name="Arial10" xfId="937" xr:uid="{00000000-0005-0000-0000-000051030000}"/>
    <cellStyle name="Arial10 10" xfId="938" xr:uid="{00000000-0005-0000-0000-000052030000}"/>
    <cellStyle name="Arial10 11" xfId="939" xr:uid="{00000000-0005-0000-0000-000053030000}"/>
    <cellStyle name="Arial10 12" xfId="940" xr:uid="{00000000-0005-0000-0000-000054030000}"/>
    <cellStyle name="Arial10 13" xfId="941" xr:uid="{00000000-0005-0000-0000-000055030000}"/>
    <cellStyle name="Arial10 14" xfId="942" xr:uid="{00000000-0005-0000-0000-000056030000}"/>
    <cellStyle name="Arial10 15" xfId="943" xr:uid="{00000000-0005-0000-0000-000057030000}"/>
    <cellStyle name="Arial10 16" xfId="944" xr:uid="{00000000-0005-0000-0000-000058030000}"/>
    <cellStyle name="Arial10 17" xfId="945" xr:uid="{00000000-0005-0000-0000-000059030000}"/>
    <cellStyle name="Arial10 18" xfId="946" xr:uid="{00000000-0005-0000-0000-00005A030000}"/>
    <cellStyle name="Arial10 19" xfId="947" xr:uid="{00000000-0005-0000-0000-00005B030000}"/>
    <cellStyle name="Arial10 2" xfId="948" xr:uid="{00000000-0005-0000-0000-00005C030000}"/>
    <cellStyle name="Arial10 20" xfId="949" xr:uid="{00000000-0005-0000-0000-00005D030000}"/>
    <cellStyle name="Arial10 21" xfId="950" xr:uid="{00000000-0005-0000-0000-00005E030000}"/>
    <cellStyle name="Arial10 22" xfId="951" xr:uid="{00000000-0005-0000-0000-00005F030000}"/>
    <cellStyle name="Arial10 3" xfId="952" xr:uid="{00000000-0005-0000-0000-000060030000}"/>
    <cellStyle name="Arial10 4" xfId="953" xr:uid="{00000000-0005-0000-0000-000061030000}"/>
    <cellStyle name="Arial10 5" xfId="954" xr:uid="{00000000-0005-0000-0000-000062030000}"/>
    <cellStyle name="Arial10 6" xfId="955" xr:uid="{00000000-0005-0000-0000-000063030000}"/>
    <cellStyle name="Arial10 7" xfId="956" xr:uid="{00000000-0005-0000-0000-000064030000}"/>
    <cellStyle name="Arial10 8" xfId="957" xr:uid="{00000000-0005-0000-0000-000065030000}"/>
    <cellStyle name="Arial10 9" xfId="958" xr:uid="{00000000-0005-0000-0000-000066030000}"/>
    <cellStyle name="ÄÞ¸¶ [0]_±âÅ¸" xfId="959" xr:uid="{00000000-0005-0000-0000-000067030000}"/>
    <cellStyle name="ÄÞ¸¶_±âÅ¸" xfId="960" xr:uid="{00000000-0005-0000-0000-000068030000}"/>
    <cellStyle name="Avertissement" xfId="961" xr:uid="{00000000-0005-0000-0000-000069030000}"/>
    <cellStyle name="b1x" xfId="962" xr:uid="{00000000-0005-0000-0000-00006A030000}"/>
    <cellStyle name="Bad 2" xfId="963" xr:uid="{00000000-0005-0000-0000-00006B030000}"/>
    <cellStyle name="Bad 2 10" xfId="964" xr:uid="{00000000-0005-0000-0000-00006C030000}"/>
    <cellStyle name="Bad 2 2" xfId="965" xr:uid="{00000000-0005-0000-0000-00006D030000}"/>
    <cellStyle name="Bad 2 3" xfId="966" xr:uid="{00000000-0005-0000-0000-00006E030000}"/>
    <cellStyle name="Bad 2 4" xfId="967" xr:uid="{00000000-0005-0000-0000-00006F030000}"/>
    <cellStyle name="Bad 2 5" xfId="968" xr:uid="{00000000-0005-0000-0000-000070030000}"/>
    <cellStyle name="Bad 2 6" xfId="969" xr:uid="{00000000-0005-0000-0000-000071030000}"/>
    <cellStyle name="Bad 2 7" xfId="970" xr:uid="{00000000-0005-0000-0000-000072030000}"/>
    <cellStyle name="Bad 2 8" xfId="971" xr:uid="{00000000-0005-0000-0000-000073030000}"/>
    <cellStyle name="Bad 2 9" xfId="972" xr:uid="{00000000-0005-0000-0000-000074030000}"/>
    <cellStyle name="Bad 3" xfId="973" xr:uid="{00000000-0005-0000-0000-000075030000}"/>
    <cellStyle name="Bad 3 2" xfId="974" xr:uid="{00000000-0005-0000-0000-000076030000}"/>
    <cellStyle name="Bad 4" xfId="975" xr:uid="{00000000-0005-0000-0000-000077030000}"/>
    <cellStyle name="Bad 4 2" xfId="976" xr:uid="{00000000-0005-0000-0000-000078030000}"/>
    <cellStyle name="Bad 5" xfId="977" xr:uid="{00000000-0005-0000-0000-000079030000}"/>
    <cellStyle name="Bad 5 2" xfId="978" xr:uid="{00000000-0005-0000-0000-00007A030000}"/>
    <cellStyle name="Bad 6" xfId="979" xr:uid="{00000000-0005-0000-0000-00007B030000}"/>
    <cellStyle name="C                      " xfId="980" xr:uid="{00000000-0005-0000-0000-00007C030000}"/>
    <cellStyle name="Ç¥ÁØ_¿¬°£´©°è¿¹»ó" xfId="981" xr:uid="{00000000-0005-0000-0000-00007D030000}"/>
    <cellStyle name="Calcul" xfId="982" xr:uid="{00000000-0005-0000-0000-00007E030000}"/>
    <cellStyle name="Calculation 2" xfId="983" xr:uid="{00000000-0005-0000-0000-00007F030000}"/>
    <cellStyle name="Calculation 2 10" xfId="984" xr:uid="{00000000-0005-0000-0000-000080030000}"/>
    <cellStyle name="Calculation 2 2" xfId="985" xr:uid="{00000000-0005-0000-0000-000081030000}"/>
    <cellStyle name="Calculation 2 3" xfId="986" xr:uid="{00000000-0005-0000-0000-000082030000}"/>
    <cellStyle name="Calculation 2 4" xfId="987" xr:uid="{00000000-0005-0000-0000-000083030000}"/>
    <cellStyle name="Calculation 2 5" xfId="988" xr:uid="{00000000-0005-0000-0000-000084030000}"/>
    <cellStyle name="Calculation 2 6" xfId="989" xr:uid="{00000000-0005-0000-0000-000085030000}"/>
    <cellStyle name="Calculation 2 7" xfId="990" xr:uid="{00000000-0005-0000-0000-000086030000}"/>
    <cellStyle name="Calculation 2 8" xfId="991" xr:uid="{00000000-0005-0000-0000-000087030000}"/>
    <cellStyle name="Calculation 2 9" xfId="992" xr:uid="{00000000-0005-0000-0000-000088030000}"/>
    <cellStyle name="Calculation 3" xfId="993" xr:uid="{00000000-0005-0000-0000-000089030000}"/>
    <cellStyle name="Calculation 3 2" xfId="994" xr:uid="{00000000-0005-0000-0000-00008A030000}"/>
    <cellStyle name="Calculation 4" xfId="995" xr:uid="{00000000-0005-0000-0000-00008B030000}"/>
    <cellStyle name="Calculation 4 2" xfId="996" xr:uid="{00000000-0005-0000-0000-00008C030000}"/>
    <cellStyle name="Calculation 5" xfId="997" xr:uid="{00000000-0005-0000-0000-00008D030000}"/>
    <cellStyle name="Calculation 5 2" xfId="998" xr:uid="{00000000-0005-0000-0000-00008E030000}"/>
    <cellStyle name="Calculation 6" xfId="999" xr:uid="{00000000-0005-0000-0000-00008F030000}"/>
    <cellStyle name="Cellule liée" xfId="1000" xr:uid="{00000000-0005-0000-0000-000090030000}"/>
    <cellStyle name="Check Cell 2" xfId="1001" xr:uid="{00000000-0005-0000-0000-000091030000}"/>
    <cellStyle name="Check Cell 2 10" xfId="1002" xr:uid="{00000000-0005-0000-0000-000092030000}"/>
    <cellStyle name="Check Cell 2 2" xfId="1003" xr:uid="{00000000-0005-0000-0000-000093030000}"/>
    <cellStyle name="Check Cell 2 3" xfId="1004" xr:uid="{00000000-0005-0000-0000-000094030000}"/>
    <cellStyle name="Check Cell 2 4" xfId="1005" xr:uid="{00000000-0005-0000-0000-000095030000}"/>
    <cellStyle name="Check Cell 2 5" xfId="1006" xr:uid="{00000000-0005-0000-0000-000096030000}"/>
    <cellStyle name="Check Cell 2 6" xfId="1007" xr:uid="{00000000-0005-0000-0000-000097030000}"/>
    <cellStyle name="Check Cell 2 7" xfId="1008" xr:uid="{00000000-0005-0000-0000-000098030000}"/>
    <cellStyle name="Check Cell 2 8" xfId="1009" xr:uid="{00000000-0005-0000-0000-000099030000}"/>
    <cellStyle name="Check Cell 2 9" xfId="1010" xr:uid="{00000000-0005-0000-0000-00009A030000}"/>
    <cellStyle name="Check Cell 3" xfId="1011" xr:uid="{00000000-0005-0000-0000-00009B030000}"/>
    <cellStyle name="Check Cell 3 2" xfId="1012" xr:uid="{00000000-0005-0000-0000-00009C030000}"/>
    <cellStyle name="Check Cell 4" xfId="1013" xr:uid="{00000000-0005-0000-0000-00009D030000}"/>
    <cellStyle name="Check Cell 4 2" xfId="1014" xr:uid="{00000000-0005-0000-0000-00009E030000}"/>
    <cellStyle name="Check Cell 5" xfId="1015" xr:uid="{00000000-0005-0000-0000-00009F030000}"/>
    <cellStyle name="Check Cell 5 2" xfId="1016" xr:uid="{00000000-0005-0000-0000-0000A0030000}"/>
    <cellStyle name="Check Cell 6" xfId="1017" xr:uid="{00000000-0005-0000-0000-0000A1030000}"/>
    <cellStyle name="Comma  - Style1" xfId="1018" xr:uid="{00000000-0005-0000-0000-0000A2030000}"/>
    <cellStyle name="Comma  - Style2" xfId="1019" xr:uid="{00000000-0005-0000-0000-0000A3030000}"/>
    <cellStyle name="Comma  - Style3" xfId="1020" xr:uid="{00000000-0005-0000-0000-0000A4030000}"/>
    <cellStyle name="Comma  - Style3 2" xfId="1021" xr:uid="{00000000-0005-0000-0000-0000A5030000}"/>
    <cellStyle name="Comma  - Style3 3" xfId="1022" xr:uid="{00000000-0005-0000-0000-0000A6030000}"/>
    <cellStyle name="Comma  - Style4" xfId="1023" xr:uid="{00000000-0005-0000-0000-0000A7030000}"/>
    <cellStyle name="Comma  - Style4 2" xfId="1024" xr:uid="{00000000-0005-0000-0000-0000A8030000}"/>
    <cellStyle name="Comma  - Style4 3" xfId="1025" xr:uid="{00000000-0005-0000-0000-0000A9030000}"/>
    <cellStyle name="Comma  - Style5" xfId="1026" xr:uid="{00000000-0005-0000-0000-0000AA030000}"/>
    <cellStyle name="Comma  - Style5 2" xfId="1027" xr:uid="{00000000-0005-0000-0000-0000AB030000}"/>
    <cellStyle name="Comma  - Style5 3" xfId="1028" xr:uid="{00000000-0005-0000-0000-0000AC030000}"/>
    <cellStyle name="Comma  - Style6" xfId="1029" xr:uid="{00000000-0005-0000-0000-0000AD030000}"/>
    <cellStyle name="Comma  - Style6 2" xfId="1030" xr:uid="{00000000-0005-0000-0000-0000AE030000}"/>
    <cellStyle name="Comma  - Style6 3" xfId="1031" xr:uid="{00000000-0005-0000-0000-0000AF030000}"/>
    <cellStyle name="Comma  - Style7" xfId="1032" xr:uid="{00000000-0005-0000-0000-0000B0030000}"/>
    <cellStyle name="Comma  - Style7 2" xfId="1033" xr:uid="{00000000-0005-0000-0000-0000B1030000}"/>
    <cellStyle name="Comma  - Style7 3" xfId="1034" xr:uid="{00000000-0005-0000-0000-0000B2030000}"/>
    <cellStyle name="Comma  - Style8" xfId="1035" xr:uid="{00000000-0005-0000-0000-0000B3030000}"/>
    <cellStyle name="Comma  - Style8 2" xfId="1036" xr:uid="{00000000-0005-0000-0000-0000B4030000}"/>
    <cellStyle name="Comma  - Style8 3" xfId="1037" xr:uid="{00000000-0005-0000-0000-0000B5030000}"/>
    <cellStyle name="Comma 10" xfId="1038" xr:uid="{00000000-0005-0000-0000-0000B6030000}"/>
    <cellStyle name="Comma 11" xfId="1039" xr:uid="{00000000-0005-0000-0000-0000B7030000}"/>
    <cellStyle name="Comma 11 2" xfId="1040" xr:uid="{00000000-0005-0000-0000-0000B8030000}"/>
    <cellStyle name="Comma 11 2 2" xfId="2349" xr:uid="{00000000-0005-0000-0000-0000B9030000}"/>
    <cellStyle name="Comma 11 3" xfId="2348" xr:uid="{00000000-0005-0000-0000-0000BA030000}"/>
    <cellStyle name="Comma 12" xfId="1041" xr:uid="{00000000-0005-0000-0000-0000BB030000}"/>
    <cellStyle name="Comma 12 2" xfId="1042" xr:uid="{00000000-0005-0000-0000-0000BC030000}"/>
    <cellStyle name="Comma 12 2 2" xfId="2350" xr:uid="{00000000-0005-0000-0000-0000BD030000}"/>
    <cellStyle name="Comma 13" xfId="1043" xr:uid="{00000000-0005-0000-0000-0000BE030000}"/>
    <cellStyle name="Comma 13 2" xfId="1044" xr:uid="{00000000-0005-0000-0000-0000BF030000}"/>
    <cellStyle name="Comma 13 2 2" xfId="2351" xr:uid="{00000000-0005-0000-0000-0000C0030000}"/>
    <cellStyle name="Comma 14" xfId="1045" xr:uid="{00000000-0005-0000-0000-0000C1030000}"/>
    <cellStyle name="Comma 14 2" xfId="1046" xr:uid="{00000000-0005-0000-0000-0000C2030000}"/>
    <cellStyle name="Comma 14 2 2" xfId="2352" xr:uid="{00000000-0005-0000-0000-0000C3030000}"/>
    <cellStyle name="Comma 15" xfId="1047" xr:uid="{00000000-0005-0000-0000-0000C4030000}"/>
    <cellStyle name="Comma 15 2" xfId="1048" xr:uid="{00000000-0005-0000-0000-0000C5030000}"/>
    <cellStyle name="Comma 15 2 2" xfId="2353" xr:uid="{00000000-0005-0000-0000-0000C6030000}"/>
    <cellStyle name="Comma 16" xfId="1049" xr:uid="{00000000-0005-0000-0000-0000C7030000}"/>
    <cellStyle name="Comma 16 2" xfId="1050" xr:uid="{00000000-0005-0000-0000-0000C8030000}"/>
    <cellStyle name="Comma 16 2 2" xfId="1051" xr:uid="{00000000-0005-0000-0000-0000C9030000}"/>
    <cellStyle name="Comma 16 2 2 2" xfId="2354" xr:uid="{00000000-0005-0000-0000-0000CA030000}"/>
    <cellStyle name="Comma 16 3" xfId="1052" xr:uid="{00000000-0005-0000-0000-0000CB030000}"/>
    <cellStyle name="Comma 16 3 2" xfId="2355" xr:uid="{00000000-0005-0000-0000-0000CC030000}"/>
    <cellStyle name="Comma 17" xfId="1053" xr:uid="{00000000-0005-0000-0000-0000CD030000}"/>
    <cellStyle name="Comma 17 2" xfId="1054" xr:uid="{00000000-0005-0000-0000-0000CE030000}"/>
    <cellStyle name="Comma 17 2 2" xfId="2356" xr:uid="{00000000-0005-0000-0000-0000CF030000}"/>
    <cellStyle name="Comma 18" xfId="1055" xr:uid="{00000000-0005-0000-0000-0000D0030000}"/>
    <cellStyle name="Comma 18 2" xfId="1056" xr:uid="{00000000-0005-0000-0000-0000D1030000}"/>
    <cellStyle name="Comma 18 2 2" xfId="2357" xr:uid="{00000000-0005-0000-0000-0000D2030000}"/>
    <cellStyle name="Comma 19" xfId="1057" xr:uid="{00000000-0005-0000-0000-0000D3030000}"/>
    <cellStyle name="Comma 19 2" xfId="1058" xr:uid="{00000000-0005-0000-0000-0000D4030000}"/>
    <cellStyle name="Comma 19 2 2" xfId="2358" xr:uid="{00000000-0005-0000-0000-0000D5030000}"/>
    <cellStyle name="Comma 2" xfId="195" xr:uid="{00000000-0005-0000-0000-0000D6030000}"/>
    <cellStyle name="Comma 2 10" xfId="1059" xr:uid="{00000000-0005-0000-0000-0000D7030000}"/>
    <cellStyle name="Comma 2 10 2" xfId="2359" xr:uid="{00000000-0005-0000-0000-0000D8030000}"/>
    <cellStyle name="Comma 2 11" xfId="1060" xr:uid="{00000000-0005-0000-0000-0000D9030000}"/>
    <cellStyle name="Comma 2 11 2" xfId="2360" xr:uid="{00000000-0005-0000-0000-0000DA030000}"/>
    <cellStyle name="Comma 2 12" xfId="1061" xr:uid="{00000000-0005-0000-0000-0000DB030000}"/>
    <cellStyle name="Comma 2 12 2" xfId="2361" xr:uid="{00000000-0005-0000-0000-0000DC030000}"/>
    <cellStyle name="Comma 2 13" xfId="1062" xr:uid="{00000000-0005-0000-0000-0000DD030000}"/>
    <cellStyle name="Comma 2 13 2" xfId="2362" xr:uid="{00000000-0005-0000-0000-0000DE030000}"/>
    <cellStyle name="Comma 2 14" xfId="1063" xr:uid="{00000000-0005-0000-0000-0000DF030000}"/>
    <cellStyle name="Comma 2 14 2" xfId="2363" xr:uid="{00000000-0005-0000-0000-0000E0030000}"/>
    <cellStyle name="Comma 2 15" xfId="1064" xr:uid="{00000000-0005-0000-0000-0000E1030000}"/>
    <cellStyle name="Comma 2 15 2" xfId="2364" xr:uid="{00000000-0005-0000-0000-0000E2030000}"/>
    <cellStyle name="Comma 2 16" xfId="1065" xr:uid="{00000000-0005-0000-0000-0000E3030000}"/>
    <cellStyle name="Comma 2 16 2" xfId="2365" xr:uid="{00000000-0005-0000-0000-0000E4030000}"/>
    <cellStyle name="Comma 2 17" xfId="1066" xr:uid="{00000000-0005-0000-0000-0000E5030000}"/>
    <cellStyle name="Comma 2 17 2" xfId="2366" xr:uid="{00000000-0005-0000-0000-0000E6030000}"/>
    <cellStyle name="Comma 2 18" xfId="1067" xr:uid="{00000000-0005-0000-0000-0000E7030000}"/>
    <cellStyle name="Comma 2 18 2" xfId="2367" xr:uid="{00000000-0005-0000-0000-0000E8030000}"/>
    <cellStyle name="Comma 2 19" xfId="1068" xr:uid="{00000000-0005-0000-0000-0000E9030000}"/>
    <cellStyle name="Comma 2 19 2" xfId="2368" xr:uid="{00000000-0005-0000-0000-0000EA030000}"/>
    <cellStyle name="Comma 2 2" xfId="196" xr:uid="{00000000-0005-0000-0000-0000EB030000}"/>
    <cellStyle name="Comma 2 2 2" xfId="197" xr:uid="{00000000-0005-0000-0000-0000EC030000}"/>
    <cellStyle name="Comma 2 2 2 2" xfId="1069" xr:uid="{00000000-0005-0000-0000-0000ED030000}"/>
    <cellStyle name="Comma 2 2 2 2 2" xfId="2369" xr:uid="{00000000-0005-0000-0000-0000EE030000}"/>
    <cellStyle name="Comma 2 2 2 3" xfId="2342" xr:uid="{00000000-0005-0000-0000-0000EF030000}"/>
    <cellStyle name="Comma 2 2 3" xfId="1070" xr:uid="{00000000-0005-0000-0000-0000F0030000}"/>
    <cellStyle name="Comma 2 2 3 2" xfId="2370" xr:uid="{00000000-0005-0000-0000-0000F1030000}"/>
    <cellStyle name="Comma 2 2 4" xfId="2341" xr:uid="{00000000-0005-0000-0000-0000F2030000}"/>
    <cellStyle name="Comma 2 20" xfId="1071" xr:uid="{00000000-0005-0000-0000-0000F3030000}"/>
    <cellStyle name="Comma 2 20 2" xfId="2371" xr:uid="{00000000-0005-0000-0000-0000F4030000}"/>
    <cellStyle name="Comma 2 21" xfId="1072" xr:uid="{00000000-0005-0000-0000-0000F5030000}"/>
    <cellStyle name="Comma 2 21 2" xfId="2372" xr:uid="{00000000-0005-0000-0000-0000F6030000}"/>
    <cellStyle name="Comma 2 22" xfId="1073" xr:uid="{00000000-0005-0000-0000-0000F7030000}"/>
    <cellStyle name="Comma 2 22 2" xfId="2373" xr:uid="{00000000-0005-0000-0000-0000F8030000}"/>
    <cellStyle name="Comma 2 23" xfId="1074" xr:uid="{00000000-0005-0000-0000-0000F9030000}"/>
    <cellStyle name="Comma 2 23 2" xfId="2374" xr:uid="{00000000-0005-0000-0000-0000FA030000}"/>
    <cellStyle name="Comma 2 24" xfId="1075" xr:uid="{00000000-0005-0000-0000-0000FB030000}"/>
    <cellStyle name="Comma 2 24 2" xfId="2375" xr:uid="{00000000-0005-0000-0000-0000FC030000}"/>
    <cellStyle name="Comma 2 25" xfId="1076" xr:uid="{00000000-0005-0000-0000-0000FD030000}"/>
    <cellStyle name="Comma 2 25 2" xfId="2376" xr:uid="{00000000-0005-0000-0000-0000FE030000}"/>
    <cellStyle name="Comma 2 3" xfId="1077" xr:uid="{00000000-0005-0000-0000-0000FF030000}"/>
    <cellStyle name="Comma 2 3 2" xfId="1078" xr:uid="{00000000-0005-0000-0000-000000040000}"/>
    <cellStyle name="Comma 2 3 2 2" xfId="2377" xr:uid="{00000000-0005-0000-0000-000001040000}"/>
    <cellStyle name="Comma 2 4" xfId="1079" xr:uid="{00000000-0005-0000-0000-000002040000}"/>
    <cellStyle name="Comma 2 4 2" xfId="1080" xr:uid="{00000000-0005-0000-0000-000003040000}"/>
    <cellStyle name="Comma 2 5" xfId="1081" xr:uid="{00000000-0005-0000-0000-000004040000}"/>
    <cellStyle name="Comma 2 5 2" xfId="1082" xr:uid="{00000000-0005-0000-0000-000005040000}"/>
    <cellStyle name="Comma 2 5 2 2" xfId="2378" xr:uid="{00000000-0005-0000-0000-000006040000}"/>
    <cellStyle name="Comma 2 5 3" xfId="1083" xr:uid="{00000000-0005-0000-0000-000007040000}"/>
    <cellStyle name="Comma 2 5 3 2" xfId="2379" xr:uid="{00000000-0005-0000-0000-000008040000}"/>
    <cellStyle name="Comma 2 6" xfId="1084" xr:uid="{00000000-0005-0000-0000-000009040000}"/>
    <cellStyle name="Comma 2 6 2" xfId="1085" xr:uid="{00000000-0005-0000-0000-00000A040000}"/>
    <cellStyle name="Comma 2 6 2 2" xfId="2380" xr:uid="{00000000-0005-0000-0000-00000B040000}"/>
    <cellStyle name="Comma 2 6 3" xfId="1086" xr:uid="{00000000-0005-0000-0000-00000C040000}"/>
    <cellStyle name="Comma 2 6 3 2" xfId="2381" xr:uid="{00000000-0005-0000-0000-00000D040000}"/>
    <cellStyle name="Comma 2 7" xfId="1087" xr:uid="{00000000-0005-0000-0000-00000E040000}"/>
    <cellStyle name="Comma 2 7 2" xfId="2382" xr:uid="{00000000-0005-0000-0000-00000F040000}"/>
    <cellStyle name="Comma 2 8" xfId="1088" xr:uid="{00000000-0005-0000-0000-000010040000}"/>
    <cellStyle name="Comma 2 8 2" xfId="2383" xr:uid="{00000000-0005-0000-0000-000011040000}"/>
    <cellStyle name="Comma 2 9" xfId="1089" xr:uid="{00000000-0005-0000-0000-000012040000}"/>
    <cellStyle name="Comma 2 9 2" xfId="2384" xr:uid="{00000000-0005-0000-0000-000013040000}"/>
    <cellStyle name="Comma 2_765KV Final Tower Schedule 27.05.2013" xfId="1090" xr:uid="{00000000-0005-0000-0000-000014040000}"/>
    <cellStyle name="Comma 20" xfId="2340" xr:uid="{00000000-0005-0000-0000-000015040000}"/>
    <cellStyle name="Comma 20 2" xfId="2421" xr:uid="{00000000-0005-0000-0000-000016040000}"/>
    <cellStyle name="Comma 3" xfId="198" xr:uid="{00000000-0005-0000-0000-000017040000}"/>
    <cellStyle name="Comma 3 10" xfId="1091" xr:uid="{00000000-0005-0000-0000-000018040000}"/>
    <cellStyle name="Comma 3 10 2" xfId="1092" xr:uid="{00000000-0005-0000-0000-000019040000}"/>
    <cellStyle name="Comma 3 10 2 2" xfId="2385" xr:uid="{00000000-0005-0000-0000-00001A040000}"/>
    <cellStyle name="Comma 3 11" xfId="1093" xr:uid="{00000000-0005-0000-0000-00001B040000}"/>
    <cellStyle name="Comma 3 11 2" xfId="2386" xr:uid="{00000000-0005-0000-0000-00001C040000}"/>
    <cellStyle name="Comma 3 12" xfId="1094" xr:uid="{00000000-0005-0000-0000-00001D040000}"/>
    <cellStyle name="Comma 3 12 2" xfId="2387" xr:uid="{00000000-0005-0000-0000-00001E040000}"/>
    <cellStyle name="Comma 3 13" xfId="2343" xr:uid="{00000000-0005-0000-0000-00001F040000}"/>
    <cellStyle name="Comma 3 2" xfId="199" xr:uid="{00000000-0005-0000-0000-000020040000}"/>
    <cellStyle name="Comma 3 2 2" xfId="200" xr:uid="{00000000-0005-0000-0000-000021040000}"/>
    <cellStyle name="Comma 3 2 2 2" xfId="1095" xr:uid="{00000000-0005-0000-0000-000022040000}"/>
    <cellStyle name="Comma 3 2 2 2 2" xfId="2388" xr:uid="{00000000-0005-0000-0000-000023040000}"/>
    <cellStyle name="Comma 3 2 2 3" xfId="2345" xr:uid="{00000000-0005-0000-0000-000024040000}"/>
    <cellStyle name="Comma 3 2 3" xfId="1096" xr:uid="{00000000-0005-0000-0000-000025040000}"/>
    <cellStyle name="Comma 3 2 3 2" xfId="2389" xr:uid="{00000000-0005-0000-0000-000026040000}"/>
    <cellStyle name="Comma 3 2 4" xfId="1097" xr:uid="{00000000-0005-0000-0000-000027040000}"/>
    <cellStyle name="Comma 3 2 4 2" xfId="2390" xr:uid="{00000000-0005-0000-0000-000028040000}"/>
    <cellStyle name="Comma 3 2 5" xfId="2344" xr:uid="{00000000-0005-0000-0000-000029040000}"/>
    <cellStyle name="Comma 3 3" xfId="201" xr:uid="{00000000-0005-0000-0000-00002A040000}"/>
    <cellStyle name="Comma 3 3 2" xfId="1098" xr:uid="{00000000-0005-0000-0000-00002B040000}"/>
    <cellStyle name="Comma 3 3 2 2" xfId="2391" xr:uid="{00000000-0005-0000-0000-00002C040000}"/>
    <cellStyle name="Comma 3 3 3" xfId="1099" xr:uid="{00000000-0005-0000-0000-00002D040000}"/>
    <cellStyle name="Comma 3 3 3 2" xfId="2392" xr:uid="{00000000-0005-0000-0000-00002E040000}"/>
    <cellStyle name="Comma 3 3 4" xfId="2346" xr:uid="{00000000-0005-0000-0000-00002F040000}"/>
    <cellStyle name="Comma 3 4" xfId="1100" xr:uid="{00000000-0005-0000-0000-000030040000}"/>
    <cellStyle name="Comma 3 4 2" xfId="1101" xr:uid="{00000000-0005-0000-0000-000031040000}"/>
    <cellStyle name="Comma 3 4 2 2" xfId="2393" xr:uid="{00000000-0005-0000-0000-000032040000}"/>
    <cellStyle name="Comma 3 4 3" xfId="1102" xr:uid="{00000000-0005-0000-0000-000033040000}"/>
    <cellStyle name="Comma 3 4 3 2" xfId="2394" xr:uid="{00000000-0005-0000-0000-000034040000}"/>
    <cellStyle name="Comma 3 5" xfId="1103" xr:uid="{00000000-0005-0000-0000-000035040000}"/>
    <cellStyle name="Comma 3 5 2" xfId="1104" xr:uid="{00000000-0005-0000-0000-000036040000}"/>
    <cellStyle name="Comma 3 5 2 2" xfId="2395" xr:uid="{00000000-0005-0000-0000-000037040000}"/>
    <cellStyle name="Comma 3 5 3" xfId="1105" xr:uid="{00000000-0005-0000-0000-000038040000}"/>
    <cellStyle name="Comma 3 5 3 2" xfId="2396" xr:uid="{00000000-0005-0000-0000-000039040000}"/>
    <cellStyle name="Comma 3 6" xfId="1106" xr:uid="{00000000-0005-0000-0000-00003A040000}"/>
    <cellStyle name="Comma 3 6 2" xfId="1107" xr:uid="{00000000-0005-0000-0000-00003B040000}"/>
    <cellStyle name="Comma 3 6 2 2" xfId="2397" xr:uid="{00000000-0005-0000-0000-00003C040000}"/>
    <cellStyle name="Comma 3 6 3" xfId="1108" xr:uid="{00000000-0005-0000-0000-00003D040000}"/>
    <cellStyle name="Comma 3 6 3 2" xfId="2398" xr:uid="{00000000-0005-0000-0000-00003E040000}"/>
    <cellStyle name="Comma 3 7" xfId="1109" xr:uid="{00000000-0005-0000-0000-00003F040000}"/>
    <cellStyle name="Comma 3 7 2" xfId="1110" xr:uid="{00000000-0005-0000-0000-000040040000}"/>
    <cellStyle name="Comma 3 7 2 2" xfId="2399" xr:uid="{00000000-0005-0000-0000-000041040000}"/>
    <cellStyle name="Comma 3 7 3" xfId="1111" xr:uid="{00000000-0005-0000-0000-000042040000}"/>
    <cellStyle name="Comma 3 7 3 2" xfId="2400" xr:uid="{00000000-0005-0000-0000-000043040000}"/>
    <cellStyle name="Comma 3 8" xfId="1112" xr:uid="{00000000-0005-0000-0000-000044040000}"/>
    <cellStyle name="Comma 3 8 2" xfId="1113" xr:uid="{00000000-0005-0000-0000-000045040000}"/>
    <cellStyle name="Comma 3 8 2 2" xfId="2401" xr:uid="{00000000-0005-0000-0000-000046040000}"/>
    <cellStyle name="Comma 3 8 3" xfId="1114" xr:uid="{00000000-0005-0000-0000-000047040000}"/>
    <cellStyle name="Comma 3 8 3 2" xfId="2402" xr:uid="{00000000-0005-0000-0000-000048040000}"/>
    <cellStyle name="Comma 3 9" xfId="1115" xr:uid="{00000000-0005-0000-0000-000049040000}"/>
    <cellStyle name="Comma 3 9 2" xfId="1116" xr:uid="{00000000-0005-0000-0000-00004A040000}"/>
    <cellStyle name="Comma 3 9 2 2" xfId="2403" xr:uid="{00000000-0005-0000-0000-00004B040000}"/>
    <cellStyle name="Comma 3_765KV Final Tower Schedule 27.05.2013" xfId="1117" xr:uid="{00000000-0005-0000-0000-00004C040000}"/>
    <cellStyle name="Comma 4" xfId="1118" xr:uid="{00000000-0005-0000-0000-00004D040000}"/>
    <cellStyle name="Comma 4 2" xfId="1119" xr:uid="{00000000-0005-0000-0000-00004E040000}"/>
    <cellStyle name="Comma 4 2 2" xfId="1120" xr:uid="{00000000-0005-0000-0000-00004F040000}"/>
    <cellStyle name="Comma 4 2 2 2" xfId="2405" xr:uid="{00000000-0005-0000-0000-000050040000}"/>
    <cellStyle name="Comma 4 3" xfId="1121" xr:uid="{00000000-0005-0000-0000-000051040000}"/>
    <cellStyle name="Comma 4 4" xfId="2404" xr:uid="{00000000-0005-0000-0000-000052040000}"/>
    <cellStyle name="Comma 5" xfId="202" xr:uid="{00000000-0005-0000-0000-000053040000}"/>
    <cellStyle name="Comma 5 2" xfId="1122" xr:uid="{00000000-0005-0000-0000-000054040000}"/>
    <cellStyle name="Comma 5 2 2" xfId="1123" xr:uid="{00000000-0005-0000-0000-000055040000}"/>
    <cellStyle name="Comma 5 2 2 2" xfId="2406" xr:uid="{00000000-0005-0000-0000-000056040000}"/>
    <cellStyle name="Comma 5 3" xfId="1124" xr:uid="{00000000-0005-0000-0000-000057040000}"/>
    <cellStyle name="Comma 5 3 2" xfId="2407" xr:uid="{00000000-0005-0000-0000-000058040000}"/>
    <cellStyle name="Comma 5 4" xfId="2347" xr:uid="{00000000-0005-0000-0000-000059040000}"/>
    <cellStyle name="Comma 6" xfId="1125" xr:uid="{00000000-0005-0000-0000-00005A040000}"/>
    <cellStyle name="Comma 6 2" xfId="1126" xr:uid="{00000000-0005-0000-0000-00005B040000}"/>
    <cellStyle name="Comma 6 2 2" xfId="1127" xr:uid="{00000000-0005-0000-0000-00005C040000}"/>
    <cellStyle name="Comma 6 2 2 2" xfId="2408" xr:uid="{00000000-0005-0000-0000-00005D040000}"/>
    <cellStyle name="Comma 6 3" xfId="1128" xr:uid="{00000000-0005-0000-0000-00005E040000}"/>
    <cellStyle name="Comma 6 3 2" xfId="1129" xr:uid="{00000000-0005-0000-0000-00005F040000}"/>
    <cellStyle name="Comma 6 3 2 2" xfId="2409" xr:uid="{00000000-0005-0000-0000-000060040000}"/>
    <cellStyle name="Comma 6 4" xfId="1130" xr:uid="{00000000-0005-0000-0000-000061040000}"/>
    <cellStyle name="Comma 6 4 2" xfId="1131" xr:uid="{00000000-0005-0000-0000-000062040000}"/>
    <cellStyle name="Comma 6 4 2 2" xfId="2410" xr:uid="{00000000-0005-0000-0000-000063040000}"/>
    <cellStyle name="Comma 6 5" xfId="1132" xr:uid="{00000000-0005-0000-0000-000064040000}"/>
    <cellStyle name="Comma 6 5 2" xfId="1133" xr:uid="{00000000-0005-0000-0000-000065040000}"/>
    <cellStyle name="Comma 6 5 2 2" xfId="2411" xr:uid="{00000000-0005-0000-0000-000066040000}"/>
    <cellStyle name="Comma 6 6" xfId="1134" xr:uid="{00000000-0005-0000-0000-000067040000}"/>
    <cellStyle name="Comma 6 6 2" xfId="1135" xr:uid="{00000000-0005-0000-0000-000068040000}"/>
    <cellStyle name="Comma 6 6 2 2" xfId="2412" xr:uid="{00000000-0005-0000-0000-000069040000}"/>
    <cellStyle name="Comma 6 7" xfId="1136" xr:uid="{00000000-0005-0000-0000-00006A040000}"/>
    <cellStyle name="Comma 6 7 2" xfId="2413" xr:uid="{00000000-0005-0000-0000-00006B040000}"/>
    <cellStyle name="Comma 7" xfId="1137" xr:uid="{00000000-0005-0000-0000-00006C040000}"/>
    <cellStyle name="Comma 7 2" xfId="1138" xr:uid="{00000000-0005-0000-0000-00006D040000}"/>
    <cellStyle name="Comma 7 2 2" xfId="1139" xr:uid="{00000000-0005-0000-0000-00006E040000}"/>
    <cellStyle name="Comma 7 2 2 2" xfId="2414" xr:uid="{00000000-0005-0000-0000-00006F040000}"/>
    <cellStyle name="Comma 7 3" xfId="1140" xr:uid="{00000000-0005-0000-0000-000070040000}"/>
    <cellStyle name="Comma 7 3 2" xfId="1141" xr:uid="{00000000-0005-0000-0000-000071040000}"/>
    <cellStyle name="Comma 7 3 2 2" xfId="2415" xr:uid="{00000000-0005-0000-0000-000072040000}"/>
    <cellStyle name="Comma 7 4" xfId="1142" xr:uid="{00000000-0005-0000-0000-000073040000}"/>
    <cellStyle name="Comma 7 4 2" xfId="1143" xr:uid="{00000000-0005-0000-0000-000074040000}"/>
    <cellStyle name="Comma 7 4 2 2" xfId="2416" xr:uid="{00000000-0005-0000-0000-000075040000}"/>
    <cellStyle name="Comma 7 5" xfId="1144" xr:uid="{00000000-0005-0000-0000-000076040000}"/>
    <cellStyle name="Comma 7 5 2" xfId="1145" xr:uid="{00000000-0005-0000-0000-000077040000}"/>
    <cellStyle name="Comma 7 5 2 2" xfId="2417" xr:uid="{00000000-0005-0000-0000-000078040000}"/>
    <cellStyle name="Comma 7 6" xfId="1146" xr:uid="{00000000-0005-0000-0000-000079040000}"/>
    <cellStyle name="Comma 7 6 2" xfId="2418" xr:uid="{00000000-0005-0000-0000-00007A040000}"/>
    <cellStyle name="Comma 8" xfId="1147" xr:uid="{00000000-0005-0000-0000-00007B040000}"/>
    <cellStyle name="Comma 8 2" xfId="1148" xr:uid="{00000000-0005-0000-0000-00007C040000}"/>
    <cellStyle name="Comma 8 2 2" xfId="2419" xr:uid="{00000000-0005-0000-0000-00007D040000}"/>
    <cellStyle name="Comma 9" xfId="1149" xr:uid="{00000000-0005-0000-0000-00007E040000}"/>
    <cellStyle name="Comma 9 2" xfId="1150" xr:uid="{00000000-0005-0000-0000-00007F040000}"/>
    <cellStyle name="Comma 9 2 2" xfId="2420" xr:uid="{00000000-0005-0000-0000-000080040000}"/>
    <cellStyle name="Comma0" xfId="1151" xr:uid="{00000000-0005-0000-0000-000081040000}"/>
    <cellStyle name="Commentaire" xfId="1152" xr:uid="{00000000-0005-0000-0000-000082040000}"/>
    <cellStyle name="country" xfId="1153" xr:uid="{00000000-0005-0000-0000-000083040000}"/>
    <cellStyle name="COURIER" xfId="1154" xr:uid="{00000000-0005-0000-0000-000084040000}"/>
    <cellStyle name="Currency 2" xfId="1155" xr:uid="{00000000-0005-0000-0000-000085040000}"/>
    <cellStyle name="Currency 2 2" xfId="1156" xr:uid="{00000000-0005-0000-0000-000086040000}"/>
    <cellStyle name="Currency 2 2 2" xfId="1157" xr:uid="{00000000-0005-0000-0000-000087040000}"/>
    <cellStyle name="Currency 2 3" xfId="1158" xr:uid="{00000000-0005-0000-0000-000088040000}"/>
    <cellStyle name="Currency 3" xfId="1159" xr:uid="{00000000-0005-0000-0000-000089040000}"/>
    <cellStyle name="Currency 3 2" xfId="1160" xr:uid="{00000000-0005-0000-0000-00008A040000}"/>
    <cellStyle name="Currency 4" xfId="1161" xr:uid="{00000000-0005-0000-0000-00008B040000}"/>
    <cellStyle name="Currency 4 2" xfId="1162" xr:uid="{00000000-0005-0000-0000-00008C040000}"/>
    <cellStyle name="Currency0" xfId="1163" xr:uid="{00000000-0005-0000-0000-00008D040000}"/>
    <cellStyle name="Custom - Style8" xfId="1164" xr:uid="{00000000-0005-0000-0000-00008E040000}"/>
    <cellStyle name="Custom - Style8 10" xfId="1165" xr:uid="{00000000-0005-0000-0000-00008F040000}"/>
    <cellStyle name="Custom - Style8 11" xfId="1166" xr:uid="{00000000-0005-0000-0000-000090040000}"/>
    <cellStyle name="Custom - Style8 2" xfId="1167" xr:uid="{00000000-0005-0000-0000-000091040000}"/>
    <cellStyle name="Custom - Style8 2 2" xfId="1168" xr:uid="{00000000-0005-0000-0000-000092040000}"/>
    <cellStyle name="Custom - Style8 2 2 2" xfId="1169" xr:uid="{00000000-0005-0000-0000-000093040000}"/>
    <cellStyle name="Custom - Style8 2 2 2 2" xfId="1170" xr:uid="{00000000-0005-0000-0000-000094040000}"/>
    <cellStyle name="Custom - Style8 2 2 3" xfId="1171" xr:uid="{00000000-0005-0000-0000-000095040000}"/>
    <cellStyle name="Custom - Style8 2 2 4" xfId="1172" xr:uid="{00000000-0005-0000-0000-000096040000}"/>
    <cellStyle name="Custom - Style8 2 2 5" xfId="1173" xr:uid="{00000000-0005-0000-0000-000097040000}"/>
    <cellStyle name="Custom - Style8 2 2 6" xfId="1174" xr:uid="{00000000-0005-0000-0000-000098040000}"/>
    <cellStyle name="Custom - Style8 2 3" xfId="1175" xr:uid="{00000000-0005-0000-0000-000099040000}"/>
    <cellStyle name="Custom - Style8 2 3 2" xfId="1176" xr:uid="{00000000-0005-0000-0000-00009A040000}"/>
    <cellStyle name="Custom - Style8 2 4" xfId="1177" xr:uid="{00000000-0005-0000-0000-00009B040000}"/>
    <cellStyle name="Custom - Style8 2 5" xfId="1178" xr:uid="{00000000-0005-0000-0000-00009C040000}"/>
    <cellStyle name="Custom - Style8 2 6" xfId="1179" xr:uid="{00000000-0005-0000-0000-00009D040000}"/>
    <cellStyle name="Custom - Style8 3" xfId="1180" xr:uid="{00000000-0005-0000-0000-00009E040000}"/>
    <cellStyle name="Custom - Style8 4" xfId="1181" xr:uid="{00000000-0005-0000-0000-00009F040000}"/>
    <cellStyle name="Custom - Style8 5" xfId="1182" xr:uid="{00000000-0005-0000-0000-0000A0040000}"/>
    <cellStyle name="Custom - Style8 6" xfId="1183" xr:uid="{00000000-0005-0000-0000-0000A1040000}"/>
    <cellStyle name="Custom - Style8 6 2" xfId="1184" xr:uid="{00000000-0005-0000-0000-0000A2040000}"/>
    <cellStyle name="Custom - Style8 7" xfId="1185" xr:uid="{00000000-0005-0000-0000-0000A3040000}"/>
    <cellStyle name="Custom - Style8 8" xfId="1186" xr:uid="{00000000-0005-0000-0000-0000A4040000}"/>
    <cellStyle name="Custom - Style8 9" xfId="1187" xr:uid="{00000000-0005-0000-0000-0000A5040000}"/>
    <cellStyle name="Data   - Style2" xfId="1188" xr:uid="{00000000-0005-0000-0000-0000A6040000}"/>
    <cellStyle name="Data   - Style2 10" xfId="1189" xr:uid="{00000000-0005-0000-0000-0000A7040000}"/>
    <cellStyle name="Data   - Style2 11" xfId="1190" xr:uid="{00000000-0005-0000-0000-0000A8040000}"/>
    <cellStyle name="Data   - Style2 2" xfId="1191" xr:uid="{00000000-0005-0000-0000-0000A9040000}"/>
    <cellStyle name="Data   - Style2 2 2" xfId="1192" xr:uid="{00000000-0005-0000-0000-0000AA040000}"/>
    <cellStyle name="Data   - Style2 2 2 2" xfId="1193" xr:uid="{00000000-0005-0000-0000-0000AB040000}"/>
    <cellStyle name="Data   - Style2 2 2 2 2" xfId="1194" xr:uid="{00000000-0005-0000-0000-0000AC040000}"/>
    <cellStyle name="Data   - Style2 2 2 3" xfId="1195" xr:uid="{00000000-0005-0000-0000-0000AD040000}"/>
    <cellStyle name="Data   - Style2 2 2 4" xfId="1196" xr:uid="{00000000-0005-0000-0000-0000AE040000}"/>
    <cellStyle name="Data   - Style2 2 2 5" xfId="1197" xr:uid="{00000000-0005-0000-0000-0000AF040000}"/>
    <cellStyle name="Data   - Style2 2 2 6" xfId="1198" xr:uid="{00000000-0005-0000-0000-0000B0040000}"/>
    <cellStyle name="Data   - Style2 2 3" xfId="1199" xr:uid="{00000000-0005-0000-0000-0000B1040000}"/>
    <cellStyle name="Data   - Style2 2 3 2" xfId="1200" xr:uid="{00000000-0005-0000-0000-0000B2040000}"/>
    <cellStyle name="Data   - Style2 2 4" xfId="1201" xr:uid="{00000000-0005-0000-0000-0000B3040000}"/>
    <cellStyle name="Data   - Style2 2 5" xfId="1202" xr:uid="{00000000-0005-0000-0000-0000B4040000}"/>
    <cellStyle name="Data   - Style2 2 6" xfId="1203" xr:uid="{00000000-0005-0000-0000-0000B5040000}"/>
    <cellStyle name="Data   - Style2 3" xfId="1204" xr:uid="{00000000-0005-0000-0000-0000B6040000}"/>
    <cellStyle name="Data   - Style2 4" xfId="1205" xr:uid="{00000000-0005-0000-0000-0000B7040000}"/>
    <cellStyle name="Data   - Style2 5" xfId="1206" xr:uid="{00000000-0005-0000-0000-0000B8040000}"/>
    <cellStyle name="Data   - Style2 6" xfId="1207" xr:uid="{00000000-0005-0000-0000-0000B9040000}"/>
    <cellStyle name="Data   - Style2 6 2" xfId="1208" xr:uid="{00000000-0005-0000-0000-0000BA040000}"/>
    <cellStyle name="Data   - Style2 7" xfId="1209" xr:uid="{00000000-0005-0000-0000-0000BB040000}"/>
    <cellStyle name="Data   - Style2 8" xfId="1210" xr:uid="{00000000-0005-0000-0000-0000BC040000}"/>
    <cellStyle name="Data   - Style2 9" xfId="1211" xr:uid="{00000000-0005-0000-0000-0000BD040000}"/>
    <cellStyle name="Date" xfId="1212" xr:uid="{00000000-0005-0000-0000-0000BE040000}"/>
    <cellStyle name="Dezimal [0]_Sheet1" xfId="1213" xr:uid="{00000000-0005-0000-0000-0000BF040000}"/>
    <cellStyle name="Dezimal_Sheet1" xfId="1214" xr:uid="{00000000-0005-0000-0000-0000C0040000}"/>
    <cellStyle name="Emphasis 1" xfId="1215" xr:uid="{00000000-0005-0000-0000-0000C1040000}"/>
    <cellStyle name="Emphasis 1 2" xfId="1216" xr:uid="{00000000-0005-0000-0000-0000C2040000}"/>
    <cellStyle name="Emphasis 2" xfId="1217" xr:uid="{00000000-0005-0000-0000-0000C3040000}"/>
    <cellStyle name="Emphasis 2 2" xfId="1218" xr:uid="{00000000-0005-0000-0000-0000C4040000}"/>
    <cellStyle name="Emphasis 3" xfId="1219" xr:uid="{00000000-0005-0000-0000-0000C5040000}"/>
    <cellStyle name="Emphasis 3 2" xfId="1220" xr:uid="{00000000-0005-0000-0000-0000C6040000}"/>
    <cellStyle name="Entrée" xfId="1221" xr:uid="{00000000-0005-0000-0000-0000C7040000}"/>
    <cellStyle name="Euro" xfId="1222" xr:uid="{00000000-0005-0000-0000-0000C8040000}"/>
    <cellStyle name="Euro 2" xfId="1223" xr:uid="{00000000-0005-0000-0000-0000C9040000}"/>
    <cellStyle name="Euro 3" xfId="1224" xr:uid="{00000000-0005-0000-0000-0000CA040000}"/>
    <cellStyle name="Excel Built-in Normal" xfId="1225" xr:uid="{00000000-0005-0000-0000-0000CB040000}"/>
    <cellStyle name="Excel Built-in Normal 1" xfId="1226" xr:uid="{00000000-0005-0000-0000-0000CC040000}"/>
    <cellStyle name="Excel Built-in Normal 2" xfId="1227" xr:uid="{00000000-0005-0000-0000-0000CD040000}"/>
    <cellStyle name="Excel Built-in Normal 3" xfId="1228" xr:uid="{00000000-0005-0000-0000-0000CE040000}"/>
    <cellStyle name="Excel Built-in Normal 4" xfId="1229" xr:uid="{00000000-0005-0000-0000-0000CF040000}"/>
    <cellStyle name="Excel Built-in Normal 5" xfId="1230" xr:uid="{00000000-0005-0000-0000-0000D0040000}"/>
    <cellStyle name="Explanatory Text 2" xfId="1231" xr:uid="{00000000-0005-0000-0000-0000D1040000}"/>
    <cellStyle name="Explanatory Text 2 2" xfId="1232" xr:uid="{00000000-0005-0000-0000-0000D2040000}"/>
    <cellStyle name="Explanatory Text 2 3" xfId="1233" xr:uid="{00000000-0005-0000-0000-0000D3040000}"/>
    <cellStyle name="Explanatory Text 2 4" xfId="1234" xr:uid="{00000000-0005-0000-0000-0000D4040000}"/>
    <cellStyle name="Explanatory Text 2 5" xfId="1235" xr:uid="{00000000-0005-0000-0000-0000D5040000}"/>
    <cellStyle name="Explanatory Text 2 6" xfId="1236" xr:uid="{00000000-0005-0000-0000-0000D6040000}"/>
    <cellStyle name="Explanatory Text 2 7" xfId="1237" xr:uid="{00000000-0005-0000-0000-0000D7040000}"/>
    <cellStyle name="Explanatory Text 2 8" xfId="1238" xr:uid="{00000000-0005-0000-0000-0000D8040000}"/>
    <cellStyle name="Explanatory Text 2 9" xfId="1239" xr:uid="{00000000-0005-0000-0000-0000D9040000}"/>
    <cellStyle name="Explanatory Text 3" xfId="1240" xr:uid="{00000000-0005-0000-0000-0000DA040000}"/>
    <cellStyle name="Explanatory Text 3 2" xfId="1241" xr:uid="{00000000-0005-0000-0000-0000DB040000}"/>
    <cellStyle name="Explanatory Text 4" xfId="1242" xr:uid="{00000000-0005-0000-0000-0000DC040000}"/>
    <cellStyle name="Explanatory Text 4 2" xfId="1243" xr:uid="{00000000-0005-0000-0000-0000DD040000}"/>
    <cellStyle name="Explanatory Text 5" xfId="1244" xr:uid="{00000000-0005-0000-0000-0000DE040000}"/>
    <cellStyle name="Explanatory Text 5 2" xfId="1245" xr:uid="{00000000-0005-0000-0000-0000DF040000}"/>
    <cellStyle name="Explanatory Text 6" xfId="1246" xr:uid="{00000000-0005-0000-0000-0000E0040000}"/>
    <cellStyle name="F2" xfId="1247" xr:uid="{00000000-0005-0000-0000-0000E1040000}"/>
    <cellStyle name="F2 2" xfId="1248" xr:uid="{00000000-0005-0000-0000-0000E2040000}"/>
    <cellStyle name="F3" xfId="1249" xr:uid="{00000000-0005-0000-0000-0000E3040000}"/>
    <cellStyle name="F3 2" xfId="1250" xr:uid="{00000000-0005-0000-0000-0000E4040000}"/>
    <cellStyle name="F4" xfId="1251" xr:uid="{00000000-0005-0000-0000-0000E5040000}"/>
    <cellStyle name="F4 2" xfId="1252" xr:uid="{00000000-0005-0000-0000-0000E6040000}"/>
    <cellStyle name="F5" xfId="1253" xr:uid="{00000000-0005-0000-0000-0000E7040000}"/>
    <cellStyle name="F5 2" xfId="1254" xr:uid="{00000000-0005-0000-0000-0000E8040000}"/>
    <cellStyle name="F6" xfId="1255" xr:uid="{00000000-0005-0000-0000-0000E9040000}"/>
    <cellStyle name="F6 2" xfId="1256" xr:uid="{00000000-0005-0000-0000-0000EA040000}"/>
    <cellStyle name="F7" xfId="1257" xr:uid="{00000000-0005-0000-0000-0000EB040000}"/>
    <cellStyle name="F7 2" xfId="1258" xr:uid="{00000000-0005-0000-0000-0000EC040000}"/>
    <cellStyle name="F8" xfId="1259" xr:uid="{00000000-0005-0000-0000-0000ED040000}"/>
    <cellStyle name="F8 2" xfId="1260" xr:uid="{00000000-0005-0000-0000-0000EE040000}"/>
    <cellStyle name="Fixed" xfId="1261" xr:uid="{00000000-0005-0000-0000-0000EF040000}"/>
    <cellStyle name="FORM" xfId="1262" xr:uid="{00000000-0005-0000-0000-0000F0040000}"/>
    <cellStyle name="FORM 2" xfId="1263" xr:uid="{00000000-0005-0000-0000-0000F1040000}"/>
    <cellStyle name="Formula" xfId="1264" xr:uid="{00000000-0005-0000-0000-0000F2040000}"/>
    <cellStyle name="Good 2" xfId="1265" xr:uid="{00000000-0005-0000-0000-0000F4040000}"/>
    <cellStyle name="Good 2 10" xfId="1266" xr:uid="{00000000-0005-0000-0000-0000F5040000}"/>
    <cellStyle name="Good 2 2" xfId="1267" xr:uid="{00000000-0005-0000-0000-0000F6040000}"/>
    <cellStyle name="Good 2 3" xfId="1268" xr:uid="{00000000-0005-0000-0000-0000F7040000}"/>
    <cellStyle name="Good 2 4" xfId="1269" xr:uid="{00000000-0005-0000-0000-0000F8040000}"/>
    <cellStyle name="Good 2 5" xfId="1270" xr:uid="{00000000-0005-0000-0000-0000F9040000}"/>
    <cellStyle name="Good 2 6" xfId="1271" xr:uid="{00000000-0005-0000-0000-0000FA040000}"/>
    <cellStyle name="Good 2 7" xfId="1272" xr:uid="{00000000-0005-0000-0000-0000FB040000}"/>
    <cellStyle name="Good 2 8" xfId="1273" xr:uid="{00000000-0005-0000-0000-0000FC040000}"/>
    <cellStyle name="Good 2 9" xfId="1274" xr:uid="{00000000-0005-0000-0000-0000FD040000}"/>
    <cellStyle name="Good 3" xfId="1275" xr:uid="{00000000-0005-0000-0000-0000FE040000}"/>
    <cellStyle name="Good 3 2" xfId="1276" xr:uid="{00000000-0005-0000-0000-0000FF040000}"/>
    <cellStyle name="Good 4" xfId="1277" xr:uid="{00000000-0005-0000-0000-000000050000}"/>
    <cellStyle name="Good 4 2" xfId="1278" xr:uid="{00000000-0005-0000-0000-000001050000}"/>
    <cellStyle name="Good 5" xfId="1279" xr:uid="{00000000-0005-0000-0000-000002050000}"/>
    <cellStyle name="Good 5 2" xfId="1280" xr:uid="{00000000-0005-0000-0000-000003050000}"/>
    <cellStyle name="Good 6" xfId="1281" xr:uid="{00000000-0005-0000-0000-000004050000}"/>
    <cellStyle name="Grey" xfId="1282" xr:uid="{00000000-0005-0000-0000-000005050000}"/>
    <cellStyle name="Happy New Year - 2007" xfId="1283" xr:uid="{00000000-0005-0000-0000-000006050000}"/>
    <cellStyle name="Happy New Year - 2007 2" xfId="1284" xr:uid="{00000000-0005-0000-0000-000007050000}"/>
    <cellStyle name="Header1" xfId="1285" xr:uid="{00000000-0005-0000-0000-000008050000}"/>
    <cellStyle name="Header1 2" xfId="1286" xr:uid="{00000000-0005-0000-0000-000009050000}"/>
    <cellStyle name="Header2" xfId="1287" xr:uid="{00000000-0005-0000-0000-00000A050000}"/>
    <cellStyle name="Header2 2" xfId="1288" xr:uid="{00000000-0005-0000-0000-00000B050000}"/>
    <cellStyle name="Heading 1 2" xfId="1289" xr:uid="{00000000-0005-0000-0000-00000C050000}"/>
    <cellStyle name="Heading 1 2 2" xfId="1290" xr:uid="{00000000-0005-0000-0000-00000D050000}"/>
    <cellStyle name="Heading 1 2 3" xfId="1291" xr:uid="{00000000-0005-0000-0000-00000E050000}"/>
    <cellStyle name="Heading 1 2 4" xfId="1292" xr:uid="{00000000-0005-0000-0000-00000F050000}"/>
    <cellStyle name="Heading 1 2 5" xfId="1293" xr:uid="{00000000-0005-0000-0000-000010050000}"/>
    <cellStyle name="Heading 1 2 6" xfId="1294" xr:uid="{00000000-0005-0000-0000-000011050000}"/>
    <cellStyle name="Heading 1 2 7" xfId="1295" xr:uid="{00000000-0005-0000-0000-000012050000}"/>
    <cellStyle name="Heading 1 2 8" xfId="1296" xr:uid="{00000000-0005-0000-0000-000013050000}"/>
    <cellStyle name="Heading 1 2 9" xfId="1297" xr:uid="{00000000-0005-0000-0000-000014050000}"/>
    <cellStyle name="Heading 1 3" xfId="1298" xr:uid="{00000000-0005-0000-0000-000015050000}"/>
    <cellStyle name="Heading 1 3 2" xfId="1299" xr:uid="{00000000-0005-0000-0000-000016050000}"/>
    <cellStyle name="Heading 1 4" xfId="1300" xr:uid="{00000000-0005-0000-0000-000017050000}"/>
    <cellStyle name="Heading 1 4 2" xfId="1301" xr:uid="{00000000-0005-0000-0000-000018050000}"/>
    <cellStyle name="Heading 1 5" xfId="1302" xr:uid="{00000000-0005-0000-0000-000019050000}"/>
    <cellStyle name="Heading 1 5 2" xfId="1303" xr:uid="{00000000-0005-0000-0000-00001A050000}"/>
    <cellStyle name="Heading 1 6" xfId="1304" xr:uid="{00000000-0005-0000-0000-00001B050000}"/>
    <cellStyle name="Heading 2 2" xfId="1305" xr:uid="{00000000-0005-0000-0000-00001C050000}"/>
    <cellStyle name="Heading 2 2 2" xfId="1306" xr:uid="{00000000-0005-0000-0000-00001D050000}"/>
    <cellStyle name="Heading 2 2 3" xfId="1307" xr:uid="{00000000-0005-0000-0000-00001E050000}"/>
    <cellStyle name="Heading 2 2 4" xfId="1308" xr:uid="{00000000-0005-0000-0000-00001F050000}"/>
    <cellStyle name="Heading 2 2 5" xfId="1309" xr:uid="{00000000-0005-0000-0000-000020050000}"/>
    <cellStyle name="Heading 2 2 6" xfId="1310" xr:uid="{00000000-0005-0000-0000-000021050000}"/>
    <cellStyle name="Heading 2 2 7" xfId="1311" xr:uid="{00000000-0005-0000-0000-000022050000}"/>
    <cellStyle name="Heading 2 2 8" xfId="1312" xr:uid="{00000000-0005-0000-0000-000023050000}"/>
    <cellStyle name="Heading 2 2 9" xfId="1313" xr:uid="{00000000-0005-0000-0000-000024050000}"/>
    <cellStyle name="Heading 2 3" xfId="1314" xr:uid="{00000000-0005-0000-0000-000025050000}"/>
    <cellStyle name="Heading 2 3 2" xfId="1315" xr:uid="{00000000-0005-0000-0000-000026050000}"/>
    <cellStyle name="Heading 2 4" xfId="1316" xr:uid="{00000000-0005-0000-0000-000027050000}"/>
    <cellStyle name="Heading 2 4 2" xfId="1317" xr:uid="{00000000-0005-0000-0000-000028050000}"/>
    <cellStyle name="Heading 2 5" xfId="1318" xr:uid="{00000000-0005-0000-0000-000029050000}"/>
    <cellStyle name="Heading 2 5 2" xfId="1319" xr:uid="{00000000-0005-0000-0000-00002A050000}"/>
    <cellStyle name="Heading 2 6" xfId="1320" xr:uid="{00000000-0005-0000-0000-00002B050000}"/>
    <cellStyle name="Heading 3 2" xfId="1321" xr:uid="{00000000-0005-0000-0000-00002C050000}"/>
    <cellStyle name="Heading 3 2 2" xfId="1322" xr:uid="{00000000-0005-0000-0000-00002D050000}"/>
    <cellStyle name="Heading 3 2 3" xfId="1323" xr:uid="{00000000-0005-0000-0000-00002E050000}"/>
    <cellStyle name="Heading 3 2 4" xfId="1324" xr:uid="{00000000-0005-0000-0000-00002F050000}"/>
    <cellStyle name="Heading 3 2 5" xfId="1325" xr:uid="{00000000-0005-0000-0000-000030050000}"/>
    <cellStyle name="Heading 3 2 6" xfId="1326" xr:uid="{00000000-0005-0000-0000-000031050000}"/>
    <cellStyle name="Heading 3 2 7" xfId="1327" xr:uid="{00000000-0005-0000-0000-000032050000}"/>
    <cellStyle name="Heading 3 2 8" xfId="1328" xr:uid="{00000000-0005-0000-0000-000033050000}"/>
    <cellStyle name="Heading 3 2 9" xfId="1329" xr:uid="{00000000-0005-0000-0000-000034050000}"/>
    <cellStyle name="Heading 3 3" xfId="1330" xr:uid="{00000000-0005-0000-0000-000035050000}"/>
    <cellStyle name="Heading 3 3 2" xfId="1331" xr:uid="{00000000-0005-0000-0000-000036050000}"/>
    <cellStyle name="Heading 3 4" xfId="1332" xr:uid="{00000000-0005-0000-0000-000037050000}"/>
    <cellStyle name="Heading 3 4 2" xfId="1333" xr:uid="{00000000-0005-0000-0000-000038050000}"/>
    <cellStyle name="Heading 3 5" xfId="1334" xr:uid="{00000000-0005-0000-0000-000039050000}"/>
    <cellStyle name="Heading 3 5 2" xfId="1335" xr:uid="{00000000-0005-0000-0000-00003A050000}"/>
    <cellStyle name="Heading 3 6" xfId="1336" xr:uid="{00000000-0005-0000-0000-00003B050000}"/>
    <cellStyle name="Heading 4 2" xfId="1337" xr:uid="{00000000-0005-0000-0000-00003C050000}"/>
    <cellStyle name="Heading 4 2 2" xfId="1338" xr:uid="{00000000-0005-0000-0000-00003D050000}"/>
    <cellStyle name="Heading 4 2 3" xfId="1339" xr:uid="{00000000-0005-0000-0000-00003E050000}"/>
    <cellStyle name="Heading 4 2 4" xfId="1340" xr:uid="{00000000-0005-0000-0000-00003F050000}"/>
    <cellStyle name="Heading 4 2 5" xfId="1341" xr:uid="{00000000-0005-0000-0000-000040050000}"/>
    <cellStyle name="Heading 4 2 6" xfId="1342" xr:uid="{00000000-0005-0000-0000-000041050000}"/>
    <cellStyle name="Heading 4 2 7" xfId="1343" xr:uid="{00000000-0005-0000-0000-000042050000}"/>
    <cellStyle name="Heading 4 2 8" xfId="1344" xr:uid="{00000000-0005-0000-0000-000043050000}"/>
    <cellStyle name="Heading 4 2 9" xfId="1345" xr:uid="{00000000-0005-0000-0000-000044050000}"/>
    <cellStyle name="Heading 4 3" xfId="1346" xr:uid="{00000000-0005-0000-0000-000045050000}"/>
    <cellStyle name="Heading 4 3 2" xfId="1347" xr:uid="{00000000-0005-0000-0000-000046050000}"/>
    <cellStyle name="Heading 4 4" xfId="1348" xr:uid="{00000000-0005-0000-0000-000047050000}"/>
    <cellStyle name="Heading 4 4 2" xfId="1349" xr:uid="{00000000-0005-0000-0000-000048050000}"/>
    <cellStyle name="Heading 4 5" xfId="1350" xr:uid="{00000000-0005-0000-0000-000049050000}"/>
    <cellStyle name="Heading 4 5 2" xfId="1351" xr:uid="{00000000-0005-0000-0000-00004A050000}"/>
    <cellStyle name="Heading 4 6" xfId="1352" xr:uid="{00000000-0005-0000-0000-00004B050000}"/>
    <cellStyle name="helv" xfId="1353" xr:uid="{00000000-0005-0000-0000-00004C050000}"/>
    <cellStyle name="helv 2" xfId="1354" xr:uid="{00000000-0005-0000-0000-00004D050000}"/>
    <cellStyle name="Hyperlink 2" xfId="1355" xr:uid="{00000000-0005-0000-0000-00004E050000}"/>
    <cellStyle name="Hyperlink 2 2" xfId="1356" xr:uid="{00000000-0005-0000-0000-00004F050000}"/>
    <cellStyle name="Hyperlink 2 3" xfId="1357" xr:uid="{00000000-0005-0000-0000-000050050000}"/>
    <cellStyle name="Hyperlink 2 4" xfId="1358" xr:uid="{00000000-0005-0000-0000-000051050000}"/>
    <cellStyle name="Hyperlink 3" xfId="1359" xr:uid="{00000000-0005-0000-0000-000052050000}"/>
    <cellStyle name="Hypertextový odkaz" xfId="1360" xr:uid="{00000000-0005-0000-0000-000053050000}"/>
    <cellStyle name="INCHES" xfId="1361" xr:uid="{00000000-0005-0000-0000-000054050000}"/>
    <cellStyle name="INCHES 10" xfId="1362" xr:uid="{00000000-0005-0000-0000-000055050000}"/>
    <cellStyle name="INCHES 11" xfId="1363" xr:uid="{00000000-0005-0000-0000-000056050000}"/>
    <cellStyle name="INCHES 12" xfId="1364" xr:uid="{00000000-0005-0000-0000-000057050000}"/>
    <cellStyle name="INCHES 13" xfId="1365" xr:uid="{00000000-0005-0000-0000-000058050000}"/>
    <cellStyle name="INCHES 14" xfId="1366" xr:uid="{00000000-0005-0000-0000-000059050000}"/>
    <cellStyle name="INCHES 15" xfId="1367" xr:uid="{00000000-0005-0000-0000-00005A050000}"/>
    <cellStyle name="INCHES 16" xfId="1368" xr:uid="{00000000-0005-0000-0000-00005B050000}"/>
    <cellStyle name="INCHES 17" xfId="1369" xr:uid="{00000000-0005-0000-0000-00005C050000}"/>
    <cellStyle name="INCHES 18" xfId="1370" xr:uid="{00000000-0005-0000-0000-00005D050000}"/>
    <cellStyle name="INCHES 19" xfId="1371" xr:uid="{00000000-0005-0000-0000-00005E050000}"/>
    <cellStyle name="INCHES 2" xfId="1372" xr:uid="{00000000-0005-0000-0000-00005F050000}"/>
    <cellStyle name="INCHES 20" xfId="1373" xr:uid="{00000000-0005-0000-0000-000060050000}"/>
    <cellStyle name="INCHES 21" xfId="1374" xr:uid="{00000000-0005-0000-0000-000061050000}"/>
    <cellStyle name="INCHES 22" xfId="1375" xr:uid="{00000000-0005-0000-0000-000062050000}"/>
    <cellStyle name="INCHES 3" xfId="1376" xr:uid="{00000000-0005-0000-0000-000063050000}"/>
    <cellStyle name="INCHES 4" xfId="1377" xr:uid="{00000000-0005-0000-0000-000064050000}"/>
    <cellStyle name="INCHES 5" xfId="1378" xr:uid="{00000000-0005-0000-0000-000065050000}"/>
    <cellStyle name="INCHES 6" xfId="1379" xr:uid="{00000000-0005-0000-0000-000066050000}"/>
    <cellStyle name="INCHES 7" xfId="1380" xr:uid="{00000000-0005-0000-0000-000067050000}"/>
    <cellStyle name="INCHES 8" xfId="1381" xr:uid="{00000000-0005-0000-0000-000068050000}"/>
    <cellStyle name="INCHES 9" xfId="1382" xr:uid="{00000000-0005-0000-0000-000069050000}"/>
    <cellStyle name="Input [yellow]" xfId="1383" xr:uid="{00000000-0005-0000-0000-00006A050000}"/>
    <cellStyle name="Input 2" xfId="1384" xr:uid="{00000000-0005-0000-0000-00006B050000}"/>
    <cellStyle name="Input 2 10" xfId="1385" xr:uid="{00000000-0005-0000-0000-00006C050000}"/>
    <cellStyle name="Input 2 2" xfId="1386" xr:uid="{00000000-0005-0000-0000-00006D050000}"/>
    <cellStyle name="Input 2 3" xfId="1387" xr:uid="{00000000-0005-0000-0000-00006E050000}"/>
    <cellStyle name="Input 2 4" xfId="1388" xr:uid="{00000000-0005-0000-0000-00006F050000}"/>
    <cellStyle name="Input 2 5" xfId="1389" xr:uid="{00000000-0005-0000-0000-000070050000}"/>
    <cellStyle name="Input 2 6" xfId="1390" xr:uid="{00000000-0005-0000-0000-000071050000}"/>
    <cellStyle name="Input 2 7" xfId="1391" xr:uid="{00000000-0005-0000-0000-000072050000}"/>
    <cellStyle name="Input 2 8" xfId="1392" xr:uid="{00000000-0005-0000-0000-000073050000}"/>
    <cellStyle name="Input 2 9" xfId="1393" xr:uid="{00000000-0005-0000-0000-000074050000}"/>
    <cellStyle name="Input 3" xfId="1394" xr:uid="{00000000-0005-0000-0000-000075050000}"/>
    <cellStyle name="Input 3 2" xfId="1395" xr:uid="{00000000-0005-0000-0000-000076050000}"/>
    <cellStyle name="Input 4" xfId="1396" xr:uid="{00000000-0005-0000-0000-000077050000}"/>
    <cellStyle name="Input 4 2" xfId="1397" xr:uid="{00000000-0005-0000-0000-000078050000}"/>
    <cellStyle name="Input 5" xfId="1398" xr:uid="{00000000-0005-0000-0000-000079050000}"/>
    <cellStyle name="Input 5 2" xfId="1399" xr:uid="{00000000-0005-0000-0000-00007A050000}"/>
    <cellStyle name="Input 6" xfId="1400" xr:uid="{00000000-0005-0000-0000-00007B050000}"/>
    <cellStyle name="Insatisfaisant" xfId="1401" xr:uid="{00000000-0005-0000-0000-00007C050000}"/>
    <cellStyle name="Labels - Style3" xfId="1402" xr:uid="{00000000-0005-0000-0000-00007D050000}"/>
    <cellStyle name="Labels - Style3 10" xfId="1403" xr:uid="{00000000-0005-0000-0000-00007E050000}"/>
    <cellStyle name="Labels - Style3 11" xfId="1404" xr:uid="{00000000-0005-0000-0000-00007F050000}"/>
    <cellStyle name="Labels - Style3 2" xfId="1405" xr:uid="{00000000-0005-0000-0000-000080050000}"/>
    <cellStyle name="Labels - Style3 2 2" xfId="1406" xr:uid="{00000000-0005-0000-0000-000081050000}"/>
    <cellStyle name="Labels - Style3 2 2 2" xfId="1407" xr:uid="{00000000-0005-0000-0000-000082050000}"/>
    <cellStyle name="Labels - Style3 2 2 2 2" xfId="1408" xr:uid="{00000000-0005-0000-0000-000083050000}"/>
    <cellStyle name="Labels - Style3 2 2 3" xfId="1409" xr:uid="{00000000-0005-0000-0000-000084050000}"/>
    <cellStyle name="Labels - Style3 2 2 4" xfId="1410" xr:uid="{00000000-0005-0000-0000-000085050000}"/>
    <cellStyle name="Labels - Style3 2 2 5" xfId="1411" xr:uid="{00000000-0005-0000-0000-000086050000}"/>
    <cellStyle name="Labels - Style3 2 2 6" xfId="1412" xr:uid="{00000000-0005-0000-0000-000087050000}"/>
    <cellStyle name="Labels - Style3 2 3" xfId="1413" xr:uid="{00000000-0005-0000-0000-000088050000}"/>
    <cellStyle name="Labels - Style3 2 3 2" xfId="1414" xr:uid="{00000000-0005-0000-0000-000089050000}"/>
    <cellStyle name="Labels - Style3 2 4" xfId="1415" xr:uid="{00000000-0005-0000-0000-00008A050000}"/>
    <cellStyle name="Labels - Style3 2 5" xfId="1416" xr:uid="{00000000-0005-0000-0000-00008B050000}"/>
    <cellStyle name="Labels - Style3 2 6" xfId="1417" xr:uid="{00000000-0005-0000-0000-00008C050000}"/>
    <cellStyle name="Labels - Style3 3" xfId="1418" xr:uid="{00000000-0005-0000-0000-00008D050000}"/>
    <cellStyle name="Labels - Style3 4" xfId="1419" xr:uid="{00000000-0005-0000-0000-00008E050000}"/>
    <cellStyle name="Labels - Style3 5" xfId="1420" xr:uid="{00000000-0005-0000-0000-00008F050000}"/>
    <cellStyle name="Labels - Style3 6" xfId="1421" xr:uid="{00000000-0005-0000-0000-000090050000}"/>
    <cellStyle name="Labels - Style3 6 2" xfId="1422" xr:uid="{00000000-0005-0000-0000-000091050000}"/>
    <cellStyle name="Labels - Style3 7" xfId="1423" xr:uid="{00000000-0005-0000-0000-000092050000}"/>
    <cellStyle name="Labels - Style3 8" xfId="1424" xr:uid="{00000000-0005-0000-0000-000093050000}"/>
    <cellStyle name="Labels - Style3 9" xfId="1425" xr:uid="{00000000-0005-0000-0000-000094050000}"/>
    <cellStyle name="Linked Cell 2" xfId="1426" xr:uid="{00000000-0005-0000-0000-000095050000}"/>
    <cellStyle name="Linked Cell 2 2" xfId="1427" xr:uid="{00000000-0005-0000-0000-000096050000}"/>
    <cellStyle name="Linked Cell 2 3" xfId="1428" xr:uid="{00000000-0005-0000-0000-000097050000}"/>
    <cellStyle name="Linked Cell 2 4" xfId="1429" xr:uid="{00000000-0005-0000-0000-000098050000}"/>
    <cellStyle name="Linked Cell 2 5" xfId="1430" xr:uid="{00000000-0005-0000-0000-000099050000}"/>
    <cellStyle name="Linked Cell 2 6" xfId="1431" xr:uid="{00000000-0005-0000-0000-00009A050000}"/>
    <cellStyle name="Linked Cell 2 7" xfId="1432" xr:uid="{00000000-0005-0000-0000-00009B050000}"/>
    <cellStyle name="Linked Cell 2 8" xfId="1433" xr:uid="{00000000-0005-0000-0000-00009C050000}"/>
    <cellStyle name="Linked Cell 2 9" xfId="1434" xr:uid="{00000000-0005-0000-0000-00009D050000}"/>
    <cellStyle name="Linked Cell 3" xfId="1435" xr:uid="{00000000-0005-0000-0000-00009E050000}"/>
    <cellStyle name="Linked Cell 3 2" xfId="1436" xr:uid="{00000000-0005-0000-0000-00009F050000}"/>
    <cellStyle name="Linked Cell 4" xfId="1437" xr:uid="{00000000-0005-0000-0000-0000A0050000}"/>
    <cellStyle name="Linked Cell 4 2" xfId="1438" xr:uid="{00000000-0005-0000-0000-0000A1050000}"/>
    <cellStyle name="Linked Cell 5" xfId="1439" xr:uid="{00000000-0005-0000-0000-0000A2050000}"/>
    <cellStyle name="Linked Cell 5 2" xfId="1440" xr:uid="{00000000-0005-0000-0000-0000A3050000}"/>
    <cellStyle name="Linked Cell 6" xfId="1441" xr:uid="{00000000-0005-0000-0000-0000A4050000}"/>
    <cellStyle name="Millares [0]_pldt" xfId="1442" xr:uid="{00000000-0005-0000-0000-0000A5050000}"/>
    <cellStyle name="Millares_pldt" xfId="1443" xr:uid="{00000000-0005-0000-0000-0000A6050000}"/>
    <cellStyle name="Milliers [0]_EDYAN" xfId="1444" xr:uid="{00000000-0005-0000-0000-0000A7050000}"/>
    <cellStyle name="Milliers_EDYAN" xfId="1445" xr:uid="{00000000-0005-0000-0000-0000A8050000}"/>
    <cellStyle name="Moneda [0]_pldt" xfId="1446" xr:uid="{00000000-0005-0000-0000-0000A9050000}"/>
    <cellStyle name="Moneda_pldt" xfId="1447" xr:uid="{00000000-0005-0000-0000-0000AA050000}"/>
    <cellStyle name="Monétaire [0]_EDYAN" xfId="1448" xr:uid="{00000000-0005-0000-0000-0000AB050000}"/>
    <cellStyle name="Monétaire_EDYAN" xfId="1449" xr:uid="{00000000-0005-0000-0000-0000AC050000}"/>
    <cellStyle name="Neutral 2" xfId="1450" xr:uid="{00000000-0005-0000-0000-0000AD050000}"/>
    <cellStyle name="Neutral 2 10" xfId="1451" xr:uid="{00000000-0005-0000-0000-0000AE050000}"/>
    <cellStyle name="Neutral 2 2" xfId="1452" xr:uid="{00000000-0005-0000-0000-0000AF050000}"/>
    <cellStyle name="Neutral 2 3" xfId="1453" xr:uid="{00000000-0005-0000-0000-0000B0050000}"/>
    <cellStyle name="Neutral 2 4" xfId="1454" xr:uid="{00000000-0005-0000-0000-0000B1050000}"/>
    <cellStyle name="Neutral 2 5" xfId="1455" xr:uid="{00000000-0005-0000-0000-0000B2050000}"/>
    <cellStyle name="Neutral 2 6" xfId="1456" xr:uid="{00000000-0005-0000-0000-0000B3050000}"/>
    <cellStyle name="Neutral 2 7" xfId="1457" xr:uid="{00000000-0005-0000-0000-0000B4050000}"/>
    <cellStyle name="Neutral 2 8" xfId="1458" xr:uid="{00000000-0005-0000-0000-0000B5050000}"/>
    <cellStyle name="Neutral 2 9" xfId="1459" xr:uid="{00000000-0005-0000-0000-0000B6050000}"/>
    <cellStyle name="Neutral 3" xfId="1460" xr:uid="{00000000-0005-0000-0000-0000B7050000}"/>
    <cellStyle name="Neutral 3 2" xfId="1461" xr:uid="{00000000-0005-0000-0000-0000B8050000}"/>
    <cellStyle name="Neutral 4" xfId="1462" xr:uid="{00000000-0005-0000-0000-0000B9050000}"/>
    <cellStyle name="Neutral 4 2" xfId="1463" xr:uid="{00000000-0005-0000-0000-0000BA050000}"/>
    <cellStyle name="Neutral 5" xfId="1464" xr:uid="{00000000-0005-0000-0000-0000BB050000}"/>
    <cellStyle name="Neutral 5 2" xfId="1465" xr:uid="{00000000-0005-0000-0000-0000BC050000}"/>
    <cellStyle name="Neutral 6" xfId="1466" xr:uid="{00000000-0005-0000-0000-0000BD050000}"/>
    <cellStyle name="Neutre" xfId="1467" xr:uid="{00000000-0005-0000-0000-0000BE050000}"/>
    <cellStyle name="no dec" xfId="1468" xr:uid="{00000000-0005-0000-0000-0000BF050000}"/>
    <cellStyle name="Normal" xfId="0" builtinId="0"/>
    <cellStyle name="Normal - Style1" xfId="1469" xr:uid="{00000000-0005-0000-0000-0000C1050000}"/>
    <cellStyle name="Normal - Style1 2" xfId="1470" xr:uid="{00000000-0005-0000-0000-0000C2050000}"/>
    <cellStyle name="Normal - Style2" xfId="1471" xr:uid="{00000000-0005-0000-0000-0000C3050000}"/>
    <cellStyle name="Normal - Style3" xfId="1472" xr:uid="{00000000-0005-0000-0000-0000C4050000}"/>
    <cellStyle name="Normal - Style4" xfId="1473" xr:uid="{00000000-0005-0000-0000-0000C5050000}"/>
    <cellStyle name="Normal - Style5" xfId="1474" xr:uid="{00000000-0005-0000-0000-0000C6050000}"/>
    <cellStyle name="Normal - Style6" xfId="1475" xr:uid="{00000000-0005-0000-0000-0000C7050000}"/>
    <cellStyle name="Normal - Style7" xfId="1476" xr:uid="{00000000-0005-0000-0000-0000C8050000}"/>
    <cellStyle name="Normal - Style8" xfId="1477" xr:uid="{00000000-0005-0000-0000-0000C9050000}"/>
    <cellStyle name="Normal 10" xfId="203" xr:uid="{00000000-0005-0000-0000-0000CA050000}"/>
    <cellStyle name="Normal 10 2" xfId="204" xr:uid="{00000000-0005-0000-0000-0000CB050000}"/>
    <cellStyle name="Normal 10 2 2" xfId="1478" xr:uid="{00000000-0005-0000-0000-0000CC050000}"/>
    <cellStyle name="Normal 10 2 3" xfId="1479" xr:uid="{00000000-0005-0000-0000-0000CD050000}"/>
    <cellStyle name="Normal 10 2 4" xfId="1480" xr:uid="{00000000-0005-0000-0000-0000CE050000}"/>
    <cellStyle name="Normal 10 3" xfId="1481" xr:uid="{00000000-0005-0000-0000-0000CF050000}"/>
    <cellStyle name="Normal 10 3 2" xfId="1482" xr:uid="{00000000-0005-0000-0000-0000D0050000}"/>
    <cellStyle name="Normal 10 4" xfId="1483" xr:uid="{00000000-0005-0000-0000-0000D1050000}"/>
    <cellStyle name="Normal 10 4 2" xfId="1484" xr:uid="{00000000-0005-0000-0000-0000D2050000}"/>
    <cellStyle name="Normal 10 5" xfId="1485" xr:uid="{00000000-0005-0000-0000-0000D3050000}"/>
    <cellStyle name="Normal 109" xfId="1486" xr:uid="{00000000-0005-0000-0000-0000D4050000}"/>
    <cellStyle name="Normal 11" xfId="205" xr:uid="{00000000-0005-0000-0000-0000D5050000}"/>
    <cellStyle name="Normal 11 2" xfId="206" xr:uid="{00000000-0005-0000-0000-0000D6050000}"/>
    <cellStyle name="Normal 11 2 2" xfId="1487" xr:uid="{00000000-0005-0000-0000-0000D7050000}"/>
    <cellStyle name="Normal 11 2 3" xfId="1488" xr:uid="{00000000-0005-0000-0000-0000D8050000}"/>
    <cellStyle name="Normal 11 3" xfId="1489" xr:uid="{00000000-0005-0000-0000-0000D9050000}"/>
    <cellStyle name="Normal 11 3 2" xfId="1490" xr:uid="{00000000-0005-0000-0000-0000DA050000}"/>
    <cellStyle name="Normal 11 3 3" xfId="1491" xr:uid="{00000000-0005-0000-0000-0000DB050000}"/>
    <cellStyle name="Normal 11 4" xfId="1492" xr:uid="{00000000-0005-0000-0000-0000DC050000}"/>
    <cellStyle name="Normal 11 4 2" xfId="1493" xr:uid="{00000000-0005-0000-0000-0000DD050000}"/>
    <cellStyle name="Normal 11 4 3" xfId="1494" xr:uid="{00000000-0005-0000-0000-0000DE050000}"/>
    <cellStyle name="Normal 11 5" xfId="1495" xr:uid="{00000000-0005-0000-0000-0000DF050000}"/>
    <cellStyle name="Normal 11 5 2" xfId="1496" xr:uid="{00000000-0005-0000-0000-0000E0050000}"/>
    <cellStyle name="Normal 11 5 3" xfId="1497" xr:uid="{00000000-0005-0000-0000-0000E1050000}"/>
    <cellStyle name="Normal 11 6" xfId="1498" xr:uid="{00000000-0005-0000-0000-0000E2050000}"/>
    <cellStyle name="Normal 11 7" xfId="1499" xr:uid="{00000000-0005-0000-0000-0000E3050000}"/>
    <cellStyle name="Normal 11 8" xfId="1500" xr:uid="{00000000-0005-0000-0000-0000E4050000}"/>
    <cellStyle name="Normal 11 9" xfId="1501" xr:uid="{00000000-0005-0000-0000-0000E5050000}"/>
    <cellStyle name="Normal 112" xfId="207" xr:uid="{00000000-0005-0000-0000-0000E6050000}"/>
    <cellStyle name="Normal 12" xfId="208" xr:uid="{00000000-0005-0000-0000-0000E7050000}"/>
    <cellStyle name="Normal 12 2" xfId="1502" xr:uid="{00000000-0005-0000-0000-0000E8050000}"/>
    <cellStyle name="Normal 12 3" xfId="1503" xr:uid="{00000000-0005-0000-0000-0000E9050000}"/>
    <cellStyle name="Normal 13" xfId="209" xr:uid="{00000000-0005-0000-0000-0000EA050000}"/>
    <cellStyle name="Normal 13 2" xfId="210" xr:uid="{00000000-0005-0000-0000-0000EB050000}"/>
    <cellStyle name="Normal 13 3" xfId="1504" xr:uid="{00000000-0005-0000-0000-0000EC050000}"/>
    <cellStyle name="Normal 14" xfId="211" xr:uid="{00000000-0005-0000-0000-0000ED050000}"/>
    <cellStyle name="Normal 14 2" xfId="1505" xr:uid="{00000000-0005-0000-0000-0000EE050000}"/>
    <cellStyle name="Normal 14 2 2" xfId="1506" xr:uid="{00000000-0005-0000-0000-0000EF050000}"/>
    <cellStyle name="Normal 14 2 3" xfId="1507" xr:uid="{00000000-0005-0000-0000-0000F0050000}"/>
    <cellStyle name="Normal 14 3" xfId="1508" xr:uid="{00000000-0005-0000-0000-0000F1050000}"/>
    <cellStyle name="Normal 14 3 2" xfId="1509" xr:uid="{00000000-0005-0000-0000-0000F2050000}"/>
    <cellStyle name="Normal 14 3 3" xfId="1510" xr:uid="{00000000-0005-0000-0000-0000F3050000}"/>
    <cellStyle name="Normal 14 4" xfId="1511" xr:uid="{00000000-0005-0000-0000-0000F4050000}"/>
    <cellStyle name="Normal 14 4 2" xfId="1512" xr:uid="{00000000-0005-0000-0000-0000F5050000}"/>
    <cellStyle name="Normal 14 4 3" xfId="1513" xr:uid="{00000000-0005-0000-0000-0000F6050000}"/>
    <cellStyle name="Normal 14 5" xfId="1514" xr:uid="{00000000-0005-0000-0000-0000F7050000}"/>
    <cellStyle name="Normal 14 5 2" xfId="1515" xr:uid="{00000000-0005-0000-0000-0000F8050000}"/>
    <cellStyle name="Normal 14 5 3" xfId="1516" xr:uid="{00000000-0005-0000-0000-0000F9050000}"/>
    <cellStyle name="Normal 14 6" xfId="1517" xr:uid="{00000000-0005-0000-0000-0000FA050000}"/>
    <cellStyle name="Normal 14 7" xfId="1518" xr:uid="{00000000-0005-0000-0000-0000FB050000}"/>
    <cellStyle name="Normal 14 8" xfId="1519" xr:uid="{00000000-0005-0000-0000-0000FC050000}"/>
    <cellStyle name="Normal 15" xfId="212" xr:uid="{00000000-0005-0000-0000-0000FD050000}"/>
    <cellStyle name="Normal 15 2" xfId="1520" xr:uid="{00000000-0005-0000-0000-0000FE050000}"/>
    <cellStyle name="Normal 15 3" xfId="1521" xr:uid="{00000000-0005-0000-0000-0000FF050000}"/>
    <cellStyle name="Normal 16" xfId="213" xr:uid="{00000000-0005-0000-0000-000000060000}"/>
    <cellStyle name="Normal 16 2" xfId="1522" xr:uid="{00000000-0005-0000-0000-000001060000}"/>
    <cellStyle name="Normal 16 2 2" xfId="1523" xr:uid="{00000000-0005-0000-0000-000002060000}"/>
    <cellStyle name="Normal 16 2 3" xfId="1524" xr:uid="{00000000-0005-0000-0000-000003060000}"/>
    <cellStyle name="Normal 16 2 4" xfId="1525" xr:uid="{00000000-0005-0000-0000-000004060000}"/>
    <cellStyle name="Normal 16 3" xfId="1526" xr:uid="{00000000-0005-0000-0000-000005060000}"/>
    <cellStyle name="Normal 16 3 2" xfId="1527" xr:uid="{00000000-0005-0000-0000-000006060000}"/>
    <cellStyle name="Normal 16 3 3" xfId="1528" xr:uid="{00000000-0005-0000-0000-000007060000}"/>
    <cellStyle name="Normal 16 3 4" xfId="1529" xr:uid="{00000000-0005-0000-0000-000008060000}"/>
    <cellStyle name="Normal 16 4" xfId="1530" xr:uid="{00000000-0005-0000-0000-000009060000}"/>
    <cellStyle name="Normal 16 4 2" xfId="1531" xr:uid="{00000000-0005-0000-0000-00000A060000}"/>
    <cellStyle name="Normal 16 4 3" xfId="1532" xr:uid="{00000000-0005-0000-0000-00000B060000}"/>
    <cellStyle name="Normal 16 4 4" xfId="1533" xr:uid="{00000000-0005-0000-0000-00000C060000}"/>
    <cellStyle name="Normal 16 5" xfId="1534" xr:uid="{00000000-0005-0000-0000-00000D060000}"/>
    <cellStyle name="Normal 16 5 2" xfId="1535" xr:uid="{00000000-0005-0000-0000-00000E060000}"/>
    <cellStyle name="Normal 16 6" xfId="1536" xr:uid="{00000000-0005-0000-0000-00000F060000}"/>
    <cellStyle name="Normal 16 7" xfId="1537" xr:uid="{00000000-0005-0000-0000-000010060000}"/>
    <cellStyle name="Normal 17" xfId="214" xr:uid="{00000000-0005-0000-0000-000011060000}"/>
    <cellStyle name="Normal 17 2" xfId="1538" xr:uid="{00000000-0005-0000-0000-000012060000}"/>
    <cellStyle name="Normal 17 2 2" xfId="1539" xr:uid="{00000000-0005-0000-0000-000013060000}"/>
    <cellStyle name="Normal 17 2 3" xfId="1540" xr:uid="{00000000-0005-0000-0000-000014060000}"/>
    <cellStyle name="Normal 17 3" xfId="1541" xr:uid="{00000000-0005-0000-0000-000015060000}"/>
    <cellStyle name="Normal 17 3 2" xfId="1542" xr:uid="{00000000-0005-0000-0000-000016060000}"/>
    <cellStyle name="Normal 17 3 3" xfId="1543" xr:uid="{00000000-0005-0000-0000-000017060000}"/>
    <cellStyle name="Normal 17 4" xfId="1544" xr:uid="{00000000-0005-0000-0000-000018060000}"/>
    <cellStyle name="Normal 17 5" xfId="1545" xr:uid="{00000000-0005-0000-0000-000019060000}"/>
    <cellStyle name="Normal 18" xfId="215" xr:uid="{00000000-0005-0000-0000-00001A060000}"/>
    <cellStyle name="Normal 18 2" xfId="1546" xr:uid="{00000000-0005-0000-0000-00001B060000}"/>
    <cellStyle name="Normal 18 2 2" xfId="1547" xr:uid="{00000000-0005-0000-0000-00001C060000}"/>
    <cellStyle name="Normal 18 2 3" xfId="1548" xr:uid="{00000000-0005-0000-0000-00001D060000}"/>
    <cellStyle name="Normal 18 3" xfId="1549" xr:uid="{00000000-0005-0000-0000-00001E060000}"/>
    <cellStyle name="Normal 18 4" xfId="1550" xr:uid="{00000000-0005-0000-0000-00001F060000}"/>
    <cellStyle name="Normal 18 5" xfId="1551" xr:uid="{00000000-0005-0000-0000-000020060000}"/>
    <cellStyle name="Normal 19" xfId="216" xr:uid="{00000000-0005-0000-0000-000021060000}"/>
    <cellStyle name="Normal 19 2" xfId="1552" xr:uid="{00000000-0005-0000-0000-000022060000}"/>
    <cellStyle name="Normal 19 3" xfId="1553" xr:uid="{00000000-0005-0000-0000-000023060000}"/>
    <cellStyle name="Normal 19 4" xfId="1554" xr:uid="{00000000-0005-0000-0000-000024060000}"/>
    <cellStyle name="Normal 2" xfId="217" xr:uid="{00000000-0005-0000-0000-000025060000}"/>
    <cellStyle name="Normal 2 10" xfId="1555" xr:uid="{00000000-0005-0000-0000-000026060000}"/>
    <cellStyle name="Normal 2 10 2" xfId="1556" xr:uid="{00000000-0005-0000-0000-000027060000}"/>
    <cellStyle name="Normal 2 10 2 6" xfId="2422" xr:uid="{9A91EF5E-7C48-4E5F-B99B-4A92D55DD058}"/>
    <cellStyle name="Normal 2 10 3" xfId="1557" xr:uid="{00000000-0005-0000-0000-000028060000}"/>
    <cellStyle name="Normal 2 11" xfId="1558" xr:uid="{00000000-0005-0000-0000-000029060000}"/>
    <cellStyle name="Normal 2 11 2" xfId="1559" xr:uid="{00000000-0005-0000-0000-00002A060000}"/>
    <cellStyle name="Normal 2 12" xfId="1560" xr:uid="{00000000-0005-0000-0000-00002B060000}"/>
    <cellStyle name="Normal 2 12 2" xfId="1561" xr:uid="{00000000-0005-0000-0000-00002C060000}"/>
    <cellStyle name="Normal 2 13" xfId="1562" xr:uid="{00000000-0005-0000-0000-00002D060000}"/>
    <cellStyle name="Normal 2 13 2" xfId="1563" xr:uid="{00000000-0005-0000-0000-00002E060000}"/>
    <cellStyle name="Normal 2 14" xfId="1564" xr:uid="{00000000-0005-0000-0000-00002F060000}"/>
    <cellStyle name="Normal 2 14 2" xfId="1565" xr:uid="{00000000-0005-0000-0000-000030060000}"/>
    <cellStyle name="Normal 2 15" xfId="1566" xr:uid="{00000000-0005-0000-0000-000031060000}"/>
    <cellStyle name="Normal 2 15 2" xfId="1567" xr:uid="{00000000-0005-0000-0000-000032060000}"/>
    <cellStyle name="Normal 2 16" xfId="1568" xr:uid="{00000000-0005-0000-0000-000033060000}"/>
    <cellStyle name="Normal 2 16 2" xfId="1569" xr:uid="{00000000-0005-0000-0000-000034060000}"/>
    <cellStyle name="Normal 2 17" xfId="1570" xr:uid="{00000000-0005-0000-0000-000035060000}"/>
    <cellStyle name="Normal 2 17 2" xfId="1571" xr:uid="{00000000-0005-0000-0000-000036060000}"/>
    <cellStyle name="Normal 2 17 4" xfId="1572" xr:uid="{00000000-0005-0000-0000-000037060000}"/>
    <cellStyle name="Normal 2 17 4 2" xfId="1573" xr:uid="{00000000-0005-0000-0000-000038060000}"/>
    <cellStyle name="Normal 2 18" xfId="1574" xr:uid="{00000000-0005-0000-0000-000039060000}"/>
    <cellStyle name="Normal 2 19" xfId="1575" xr:uid="{00000000-0005-0000-0000-00003A060000}"/>
    <cellStyle name="Normal 2 2" xfId="218" xr:uid="{00000000-0005-0000-0000-00003B060000}"/>
    <cellStyle name="Normal 2 2 10" xfId="1576" xr:uid="{00000000-0005-0000-0000-00003C060000}"/>
    <cellStyle name="Normal 2 2 11" xfId="1577" xr:uid="{00000000-0005-0000-0000-00003D060000}"/>
    <cellStyle name="Normal 2 2 12" xfId="1578" xr:uid="{00000000-0005-0000-0000-00003E060000}"/>
    <cellStyle name="Normal 2 2 13" xfId="1579" xr:uid="{00000000-0005-0000-0000-00003F060000}"/>
    <cellStyle name="Normal 2 2 14" xfId="1580" xr:uid="{00000000-0005-0000-0000-000040060000}"/>
    <cellStyle name="Normal 2 2 15" xfId="1581" xr:uid="{00000000-0005-0000-0000-000041060000}"/>
    <cellStyle name="Normal 2 2 16" xfId="1582" xr:uid="{00000000-0005-0000-0000-000042060000}"/>
    <cellStyle name="Normal 2 2 17" xfId="1583" xr:uid="{00000000-0005-0000-0000-000043060000}"/>
    <cellStyle name="Normal 2 2 18" xfId="1584" xr:uid="{00000000-0005-0000-0000-000044060000}"/>
    <cellStyle name="Normal 2 2 19" xfId="1585" xr:uid="{00000000-0005-0000-0000-000045060000}"/>
    <cellStyle name="Normal 2 2 2" xfId="1586" xr:uid="{00000000-0005-0000-0000-000046060000}"/>
    <cellStyle name="Normal 2 2 2 2" xfId="1587" xr:uid="{00000000-0005-0000-0000-000047060000}"/>
    <cellStyle name="Normal 2 2 2 2 2" xfId="1588" xr:uid="{00000000-0005-0000-0000-000048060000}"/>
    <cellStyle name="Normal 2 2 2 2 2 2" xfId="1589" xr:uid="{00000000-0005-0000-0000-000049060000}"/>
    <cellStyle name="Normal 2 2 2 2 3" xfId="1590" xr:uid="{00000000-0005-0000-0000-00004A060000}"/>
    <cellStyle name="Normal 2 2 2 2 4" xfId="1591" xr:uid="{00000000-0005-0000-0000-00004B060000}"/>
    <cellStyle name="Normal 2 2 2 2 5" xfId="1592" xr:uid="{00000000-0005-0000-0000-00004C060000}"/>
    <cellStyle name="Normal 2 2 2 2 6" xfId="1593" xr:uid="{00000000-0005-0000-0000-00004D060000}"/>
    <cellStyle name="Normal 2 2 2 3" xfId="1594" xr:uid="{00000000-0005-0000-0000-00004E060000}"/>
    <cellStyle name="Normal 2 2 2 3 2" xfId="1595" xr:uid="{00000000-0005-0000-0000-00004F060000}"/>
    <cellStyle name="Normal 2 2 2 4" xfId="1596" xr:uid="{00000000-0005-0000-0000-000050060000}"/>
    <cellStyle name="Normal 2 2 2 4 2" xfId="1597" xr:uid="{00000000-0005-0000-0000-000051060000}"/>
    <cellStyle name="Normal 2 2 2 5" xfId="1598" xr:uid="{00000000-0005-0000-0000-000052060000}"/>
    <cellStyle name="Normal 2 2 2 6" xfId="1599" xr:uid="{00000000-0005-0000-0000-000053060000}"/>
    <cellStyle name="Normal 2 2 20" xfId="1600" xr:uid="{00000000-0005-0000-0000-000054060000}"/>
    <cellStyle name="Normal 2 2 21" xfId="1601" xr:uid="{00000000-0005-0000-0000-000055060000}"/>
    <cellStyle name="Normal 2 2 22" xfId="1602" xr:uid="{00000000-0005-0000-0000-000056060000}"/>
    <cellStyle name="Normal 2 2 23" xfId="1603" xr:uid="{00000000-0005-0000-0000-000057060000}"/>
    <cellStyle name="Normal 2 2 24" xfId="1604" xr:uid="{00000000-0005-0000-0000-000058060000}"/>
    <cellStyle name="Normal 2 2 25" xfId="1605" xr:uid="{00000000-0005-0000-0000-000059060000}"/>
    <cellStyle name="Normal 2 2 26" xfId="1606" xr:uid="{00000000-0005-0000-0000-00005A060000}"/>
    <cellStyle name="Normal 2 2 3" xfId="1607" xr:uid="{00000000-0005-0000-0000-00005B060000}"/>
    <cellStyle name="Normal 2 2 3 2" xfId="1608" xr:uid="{00000000-0005-0000-0000-00005C060000}"/>
    <cellStyle name="Normal 2 2 3 3" xfId="1609" xr:uid="{00000000-0005-0000-0000-00005D060000}"/>
    <cellStyle name="Normal 2 2 4" xfId="1610" xr:uid="{00000000-0005-0000-0000-00005E060000}"/>
    <cellStyle name="Normal 2 2 4 2" xfId="1611" xr:uid="{00000000-0005-0000-0000-00005F060000}"/>
    <cellStyle name="Normal 2 2 4 3" xfId="1612" xr:uid="{00000000-0005-0000-0000-000060060000}"/>
    <cellStyle name="Normal 2 2 5" xfId="1613" xr:uid="{00000000-0005-0000-0000-000061060000}"/>
    <cellStyle name="Normal 2 2 5 2" xfId="1614" xr:uid="{00000000-0005-0000-0000-000062060000}"/>
    <cellStyle name="Normal 2 2 6" xfId="1615" xr:uid="{00000000-0005-0000-0000-000063060000}"/>
    <cellStyle name="Normal 2 2 6 2" xfId="1616" xr:uid="{00000000-0005-0000-0000-000064060000}"/>
    <cellStyle name="Normal 2 2 7" xfId="1617" xr:uid="{00000000-0005-0000-0000-000065060000}"/>
    <cellStyle name="Normal 2 2 8" xfId="1618" xr:uid="{00000000-0005-0000-0000-000066060000}"/>
    <cellStyle name="Normal 2 2 9" xfId="1619" xr:uid="{00000000-0005-0000-0000-000067060000}"/>
    <cellStyle name="Normal 2 2_765KV PROGRESS REGISTER" xfId="1620" xr:uid="{00000000-0005-0000-0000-000068060000}"/>
    <cellStyle name="Normal 2 20" xfId="1621" xr:uid="{00000000-0005-0000-0000-000069060000}"/>
    <cellStyle name="Normal 2 21" xfId="1622" xr:uid="{00000000-0005-0000-0000-00006A060000}"/>
    <cellStyle name="Normal 2 22" xfId="1623" xr:uid="{00000000-0005-0000-0000-00006B060000}"/>
    <cellStyle name="Normal 2 23" xfId="1624" xr:uid="{00000000-0005-0000-0000-00006C060000}"/>
    <cellStyle name="Normal 2 24" xfId="1625" xr:uid="{00000000-0005-0000-0000-00006D060000}"/>
    <cellStyle name="Normal 2 25" xfId="1626" xr:uid="{00000000-0005-0000-0000-00006E060000}"/>
    <cellStyle name="Normal 2 26" xfId="1627" xr:uid="{00000000-0005-0000-0000-00006F060000}"/>
    <cellStyle name="Normal 2 27" xfId="1628" xr:uid="{00000000-0005-0000-0000-000070060000}"/>
    <cellStyle name="Normal 2 28" xfId="1629" xr:uid="{00000000-0005-0000-0000-000071060000}"/>
    <cellStyle name="Normal 2 29" xfId="1630" xr:uid="{00000000-0005-0000-0000-000072060000}"/>
    <cellStyle name="Normal 2 3" xfId="219" xr:uid="{00000000-0005-0000-0000-000073060000}"/>
    <cellStyle name="Normal 2 3 10" xfId="1631" xr:uid="{00000000-0005-0000-0000-000074060000}"/>
    <cellStyle name="Normal 2 3 11" xfId="1632" xr:uid="{00000000-0005-0000-0000-000075060000}"/>
    <cellStyle name="Normal 2 3 12" xfId="1633" xr:uid="{00000000-0005-0000-0000-000076060000}"/>
    <cellStyle name="Normal 2 3 13" xfId="1634" xr:uid="{00000000-0005-0000-0000-000077060000}"/>
    <cellStyle name="Normal 2 3 14" xfId="1635" xr:uid="{00000000-0005-0000-0000-000078060000}"/>
    <cellStyle name="Normal 2 3 15" xfId="1636" xr:uid="{00000000-0005-0000-0000-000079060000}"/>
    <cellStyle name="Normal 2 3 16" xfId="1637" xr:uid="{00000000-0005-0000-0000-00007A060000}"/>
    <cellStyle name="Normal 2 3 17" xfId="1638" xr:uid="{00000000-0005-0000-0000-00007B060000}"/>
    <cellStyle name="Normal 2 3 18" xfId="1639" xr:uid="{00000000-0005-0000-0000-00007C060000}"/>
    <cellStyle name="Normal 2 3 19" xfId="1640" xr:uid="{00000000-0005-0000-0000-00007D060000}"/>
    <cellStyle name="Normal 2 3 2" xfId="1641" xr:uid="{00000000-0005-0000-0000-00007E060000}"/>
    <cellStyle name="Normal 2 3 2 2" xfId="1642" xr:uid="{00000000-0005-0000-0000-00007F060000}"/>
    <cellStyle name="Normal 2 3 2 2 2" xfId="1643" xr:uid="{00000000-0005-0000-0000-000080060000}"/>
    <cellStyle name="Normal 2 3 2 2 3" xfId="1644" xr:uid="{00000000-0005-0000-0000-000081060000}"/>
    <cellStyle name="Normal 2 3 2 3" xfId="1645" xr:uid="{00000000-0005-0000-0000-000082060000}"/>
    <cellStyle name="Normal 2 3 2 4" xfId="1646" xr:uid="{00000000-0005-0000-0000-000083060000}"/>
    <cellStyle name="Normal 2 3 20" xfId="1647" xr:uid="{00000000-0005-0000-0000-000084060000}"/>
    <cellStyle name="Normal 2 3 21" xfId="1648" xr:uid="{00000000-0005-0000-0000-000085060000}"/>
    <cellStyle name="Normal 2 3 22" xfId="1649" xr:uid="{00000000-0005-0000-0000-000086060000}"/>
    <cellStyle name="Normal 2 3 23" xfId="1650" xr:uid="{00000000-0005-0000-0000-000087060000}"/>
    <cellStyle name="Normal 2 3 3" xfId="1651" xr:uid="{00000000-0005-0000-0000-000088060000}"/>
    <cellStyle name="Normal 2 3 3 2" xfId="1652" xr:uid="{00000000-0005-0000-0000-000089060000}"/>
    <cellStyle name="Normal 2 3 4" xfId="1653" xr:uid="{00000000-0005-0000-0000-00008A060000}"/>
    <cellStyle name="Normal 2 3 4 2" xfId="1654" xr:uid="{00000000-0005-0000-0000-00008B060000}"/>
    <cellStyle name="Normal 2 3 5" xfId="1655" xr:uid="{00000000-0005-0000-0000-00008C060000}"/>
    <cellStyle name="Normal 2 3 5 2" xfId="1656" xr:uid="{00000000-0005-0000-0000-00008D060000}"/>
    <cellStyle name="Normal 2 3 6" xfId="1657" xr:uid="{00000000-0005-0000-0000-00008E060000}"/>
    <cellStyle name="Normal 2 3 6 2" xfId="1658" xr:uid="{00000000-0005-0000-0000-00008F060000}"/>
    <cellStyle name="Normal 2 3 7" xfId="1659" xr:uid="{00000000-0005-0000-0000-000090060000}"/>
    <cellStyle name="Normal 2 3 7 2" xfId="1660" xr:uid="{00000000-0005-0000-0000-000091060000}"/>
    <cellStyle name="Normal 2 3 8" xfId="1661" xr:uid="{00000000-0005-0000-0000-000092060000}"/>
    <cellStyle name="Normal 2 3 8 2" xfId="1662" xr:uid="{00000000-0005-0000-0000-000093060000}"/>
    <cellStyle name="Normal 2 3 9" xfId="1663" xr:uid="{00000000-0005-0000-0000-000094060000}"/>
    <cellStyle name="Normal 2 3 9 2" xfId="1664" xr:uid="{00000000-0005-0000-0000-000095060000}"/>
    <cellStyle name="Normal 2 30" xfId="1665" xr:uid="{00000000-0005-0000-0000-000096060000}"/>
    <cellStyle name="Normal 2 31" xfId="1666" xr:uid="{00000000-0005-0000-0000-000097060000}"/>
    <cellStyle name="Normal 2 32" xfId="1667" xr:uid="{00000000-0005-0000-0000-000098060000}"/>
    <cellStyle name="Normal 2 33" xfId="1668" xr:uid="{00000000-0005-0000-0000-000099060000}"/>
    <cellStyle name="Normal 2 34" xfId="1669" xr:uid="{00000000-0005-0000-0000-00009A060000}"/>
    <cellStyle name="Normal 2 35" xfId="1670" xr:uid="{00000000-0005-0000-0000-00009B060000}"/>
    <cellStyle name="Normal 2 36" xfId="1671" xr:uid="{00000000-0005-0000-0000-00009C060000}"/>
    <cellStyle name="Normal 2 37" xfId="1672" xr:uid="{00000000-0005-0000-0000-00009D060000}"/>
    <cellStyle name="Normal 2 38" xfId="1673" xr:uid="{00000000-0005-0000-0000-00009E060000}"/>
    <cellStyle name="Normal 2 39" xfId="1674" xr:uid="{00000000-0005-0000-0000-00009F060000}"/>
    <cellStyle name="Normal 2 4" xfId="220" xr:uid="{00000000-0005-0000-0000-0000A0060000}"/>
    <cellStyle name="Normal 2 4 10" xfId="1675" xr:uid="{00000000-0005-0000-0000-0000A1060000}"/>
    <cellStyle name="Normal 2 4 11" xfId="1676" xr:uid="{00000000-0005-0000-0000-0000A2060000}"/>
    <cellStyle name="Normal 2 4 12" xfId="1677" xr:uid="{00000000-0005-0000-0000-0000A3060000}"/>
    <cellStyle name="Normal 2 4 13" xfId="1678" xr:uid="{00000000-0005-0000-0000-0000A4060000}"/>
    <cellStyle name="Normal 2 4 14" xfId="1679" xr:uid="{00000000-0005-0000-0000-0000A5060000}"/>
    <cellStyle name="Normal 2 4 15" xfId="1680" xr:uid="{00000000-0005-0000-0000-0000A6060000}"/>
    <cellStyle name="Normal 2 4 16" xfId="1681" xr:uid="{00000000-0005-0000-0000-0000A7060000}"/>
    <cellStyle name="Normal 2 4 17" xfId="1682" xr:uid="{00000000-0005-0000-0000-0000A8060000}"/>
    <cellStyle name="Normal 2 4 18" xfId="1683" xr:uid="{00000000-0005-0000-0000-0000A9060000}"/>
    <cellStyle name="Normal 2 4 19" xfId="1684" xr:uid="{00000000-0005-0000-0000-0000AA060000}"/>
    <cellStyle name="Normal 2 4 2" xfId="1685" xr:uid="{00000000-0005-0000-0000-0000AB060000}"/>
    <cellStyle name="Normal 2 4 20" xfId="1686" xr:uid="{00000000-0005-0000-0000-0000AC060000}"/>
    <cellStyle name="Normal 2 4 21" xfId="1687" xr:uid="{00000000-0005-0000-0000-0000AD060000}"/>
    <cellStyle name="Normal 2 4 22" xfId="1688" xr:uid="{00000000-0005-0000-0000-0000AE060000}"/>
    <cellStyle name="Normal 2 4 23" xfId="1689" xr:uid="{00000000-0005-0000-0000-0000AF060000}"/>
    <cellStyle name="Normal 2 4 24" xfId="1690" xr:uid="{00000000-0005-0000-0000-0000B0060000}"/>
    <cellStyle name="Normal 2 4 25" xfId="1691" xr:uid="{00000000-0005-0000-0000-0000B1060000}"/>
    <cellStyle name="Normal 2 4 3" xfId="1692" xr:uid="{00000000-0005-0000-0000-0000B2060000}"/>
    <cellStyle name="Normal 2 4 4" xfId="1693" xr:uid="{00000000-0005-0000-0000-0000B3060000}"/>
    <cellStyle name="Normal 2 4 5" xfId="1694" xr:uid="{00000000-0005-0000-0000-0000B4060000}"/>
    <cellStyle name="Normal 2 4 6" xfId="1695" xr:uid="{00000000-0005-0000-0000-0000B5060000}"/>
    <cellStyle name="Normal 2 4 7" xfId="1696" xr:uid="{00000000-0005-0000-0000-0000B6060000}"/>
    <cellStyle name="Normal 2 4 8" xfId="1697" xr:uid="{00000000-0005-0000-0000-0000B7060000}"/>
    <cellStyle name="Normal 2 4 9" xfId="1698" xr:uid="{00000000-0005-0000-0000-0000B8060000}"/>
    <cellStyle name="Normal 2 40" xfId="1699" xr:uid="{00000000-0005-0000-0000-0000B9060000}"/>
    <cellStyle name="Normal 2 41" xfId="1700" xr:uid="{00000000-0005-0000-0000-0000BA060000}"/>
    <cellStyle name="Normal 2 42" xfId="1701" xr:uid="{00000000-0005-0000-0000-0000BB060000}"/>
    <cellStyle name="Normal 2 43" xfId="1702" xr:uid="{00000000-0005-0000-0000-0000BC060000}"/>
    <cellStyle name="Normal 2 44" xfId="1703" xr:uid="{00000000-0005-0000-0000-0000BD060000}"/>
    <cellStyle name="Normal 2 45" xfId="1704" xr:uid="{00000000-0005-0000-0000-0000BE060000}"/>
    <cellStyle name="Normal 2 46" xfId="1705" xr:uid="{00000000-0005-0000-0000-0000BF060000}"/>
    <cellStyle name="Normal 2 47" xfId="1706" xr:uid="{00000000-0005-0000-0000-0000C0060000}"/>
    <cellStyle name="Normal 2 48" xfId="1707" xr:uid="{00000000-0005-0000-0000-0000C1060000}"/>
    <cellStyle name="Normal 2 49" xfId="1708" xr:uid="{00000000-0005-0000-0000-0000C2060000}"/>
    <cellStyle name="Normal 2 5" xfId="221" xr:uid="{00000000-0005-0000-0000-0000C3060000}"/>
    <cellStyle name="Normal 2 5 10" xfId="1709" xr:uid="{00000000-0005-0000-0000-0000C4060000}"/>
    <cellStyle name="Normal 2 5 11" xfId="1710" xr:uid="{00000000-0005-0000-0000-0000C5060000}"/>
    <cellStyle name="Normal 2 5 12" xfId="1711" xr:uid="{00000000-0005-0000-0000-0000C6060000}"/>
    <cellStyle name="Normal 2 5 13" xfId="1712" xr:uid="{00000000-0005-0000-0000-0000C7060000}"/>
    <cellStyle name="Normal 2 5 14" xfId="1713" xr:uid="{00000000-0005-0000-0000-0000C8060000}"/>
    <cellStyle name="Normal 2 5 15" xfId="1714" xr:uid="{00000000-0005-0000-0000-0000C9060000}"/>
    <cellStyle name="Normal 2 5 16" xfId="1715" xr:uid="{00000000-0005-0000-0000-0000CA060000}"/>
    <cellStyle name="Normal 2 5 17" xfId="1716" xr:uid="{00000000-0005-0000-0000-0000CB060000}"/>
    <cellStyle name="Normal 2 5 18" xfId="1717" xr:uid="{00000000-0005-0000-0000-0000CC060000}"/>
    <cellStyle name="Normal 2 5 19" xfId="1718" xr:uid="{00000000-0005-0000-0000-0000CD060000}"/>
    <cellStyle name="Normal 2 5 2" xfId="1719" xr:uid="{00000000-0005-0000-0000-0000CE060000}"/>
    <cellStyle name="Normal 2 5 20" xfId="1720" xr:uid="{00000000-0005-0000-0000-0000CF060000}"/>
    <cellStyle name="Normal 2 5 21" xfId="1721" xr:uid="{00000000-0005-0000-0000-0000D0060000}"/>
    <cellStyle name="Normal 2 5 22" xfId="1722" xr:uid="{00000000-0005-0000-0000-0000D1060000}"/>
    <cellStyle name="Normal 2 5 23" xfId="1723" xr:uid="{00000000-0005-0000-0000-0000D2060000}"/>
    <cellStyle name="Normal 2 5 3" xfId="1724" xr:uid="{00000000-0005-0000-0000-0000D3060000}"/>
    <cellStyle name="Normal 2 5 4" xfId="1725" xr:uid="{00000000-0005-0000-0000-0000D4060000}"/>
    <cellStyle name="Normal 2 5 5" xfId="1726" xr:uid="{00000000-0005-0000-0000-0000D5060000}"/>
    <cellStyle name="Normal 2 5 6" xfId="1727" xr:uid="{00000000-0005-0000-0000-0000D6060000}"/>
    <cellStyle name="Normal 2 5 7" xfId="1728" xr:uid="{00000000-0005-0000-0000-0000D7060000}"/>
    <cellStyle name="Normal 2 5 8" xfId="1729" xr:uid="{00000000-0005-0000-0000-0000D8060000}"/>
    <cellStyle name="Normal 2 5 9" xfId="1730" xr:uid="{00000000-0005-0000-0000-0000D9060000}"/>
    <cellStyle name="Normal 2 50" xfId="1731" xr:uid="{00000000-0005-0000-0000-0000DA060000}"/>
    <cellStyle name="Normal 2 51" xfId="1732" xr:uid="{00000000-0005-0000-0000-0000DB060000}"/>
    <cellStyle name="Normal 2 52" xfId="1733" xr:uid="{00000000-0005-0000-0000-0000DC060000}"/>
    <cellStyle name="Normal 2 6" xfId="222" xr:uid="{00000000-0005-0000-0000-0000DD060000}"/>
    <cellStyle name="Normal 2 6 10" xfId="1734" xr:uid="{00000000-0005-0000-0000-0000DE060000}"/>
    <cellStyle name="Normal 2 6 11" xfId="1735" xr:uid="{00000000-0005-0000-0000-0000DF060000}"/>
    <cellStyle name="Normal 2 6 12" xfId="1736" xr:uid="{00000000-0005-0000-0000-0000E0060000}"/>
    <cellStyle name="Normal 2 6 13" xfId="1737" xr:uid="{00000000-0005-0000-0000-0000E1060000}"/>
    <cellStyle name="Normal 2 6 14" xfId="1738" xr:uid="{00000000-0005-0000-0000-0000E2060000}"/>
    <cellStyle name="Normal 2 6 15" xfId="1739" xr:uid="{00000000-0005-0000-0000-0000E3060000}"/>
    <cellStyle name="Normal 2 6 16" xfId="1740" xr:uid="{00000000-0005-0000-0000-0000E4060000}"/>
    <cellStyle name="Normal 2 6 17" xfId="1741" xr:uid="{00000000-0005-0000-0000-0000E5060000}"/>
    <cellStyle name="Normal 2 6 18" xfId="1742" xr:uid="{00000000-0005-0000-0000-0000E6060000}"/>
    <cellStyle name="Normal 2 6 19" xfId="1743" xr:uid="{00000000-0005-0000-0000-0000E7060000}"/>
    <cellStyle name="Normal 2 6 2" xfId="1744" xr:uid="{00000000-0005-0000-0000-0000E8060000}"/>
    <cellStyle name="Normal 2 6 2 2" xfId="1745" xr:uid="{00000000-0005-0000-0000-0000E9060000}"/>
    <cellStyle name="Normal 2 6 2 3" xfId="1746" xr:uid="{00000000-0005-0000-0000-0000EA060000}"/>
    <cellStyle name="Normal 2 6 2 4" xfId="1747" xr:uid="{00000000-0005-0000-0000-0000EB060000}"/>
    <cellStyle name="Normal 2 6 20" xfId="1748" xr:uid="{00000000-0005-0000-0000-0000EC060000}"/>
    <cellStyle name="Normal 2 6 21" xfId="1749" xr:uid="{00000000-0005-0000-0000-0000ED060000}"/>
    <cellStyle name="Normal 2 6 22" xfId="1750" xr:uid="{00000000-0005-0000-0000-0000EE060000}"/>
    <cellStyle name="Normal 2 6 23" xfId="1751" xr:uid="{00000000-0005-0000-0000-0000EF060000}"/>
    <cellStyle name="Normal 2 6 3" xfId="1752" xr:uid="{00000000-0005-0000-0000-0000F0060000}"/>
    <cellStyle name="Normal 2 6 3 2" xfId="1753" xr:uid="{00000000-0005-0000-0000-0000F1060000}"/>
    <cellStyle name="Normal 2 6 4" xfId="1754" xr:uid="{00000000-0005-0000-0000-0000F2060000}"/>
    <cellStyle name="Normal 2 6 5" xfId="1755" xr:uid="{00000000-0005-0000-0000-0000F3060000}"/>
    <cellStyle name="Normal 2 6 6" xfId="1756" xr:uid="{00000000-0005-0000-0000-0000F4060000}"/>
    <cellStyle name="Normal 2 6 7" xfId="1757" xr:uid="{00000000-0005-0000-0000-0000F5060000}"/>
    <cellStyle name="Normal 2 6 8" xfId="1758" xr:uid="{00000000-0005-0000-0000-0000F6060000}"/>
    <cellStyle name="Normal 2 6 9" xfId="1759" xr:uid="{00000000-0005-0000-0000-0000F7060000}"/>
    <cellStyle name="Normal 2 7" xfId="223" xr:uid="{00000000-0005-0000-0000-0000F8060000}"/>
    <cellStyle name="Normal 2 7 2" xfId="224" xr:uid="{00000000-0005-0000-0000-0000F9060000}"/>
    <cellStyle name="Normal 2 7 2 2" xfId="1760" xr:uid="{00000000-0005-0000-0000-0000FA060000}"/>
    <cellStyle name="Normal 2 7 3" xfId="1761" xr:uid="{00000000-0005-0000-0000-0000FB060000}"/>
    <cellStyle name="Normal 2 77" xfId="1762" xr:uid="{00000000-0005-0000-0000-0000FC060000}"/>
    <cellStyle name="Normal 2 8" xfId="1763" xr:uid="{00000000-0005-0000-0000-0000FD060000}"/>
    <cellStyle name="Normal 2 8 2" xfId="1764" xr:uid="{00000000-0005-0000-0000-0000FE060000}"/>
    <cellStyle name="Normal 2 8 2 2" xfId="1765" xr:uid="{00000000-0005-0000-0000-0000FF060000}"/>
    <cellStyle name="Normal 2 8 3" xfId="1766" xr:uid="{00000000-0005-0000-0000-000000070000}"/>
    <cellStyle name="Normal 2 9" xfId="1767" xr:uid="{00000000-0005-0000-0000-000001070000}"/>
    <cellStyle name="Normal 2 9 2" xfId="1768" xr:uid="{00000000-0005-0000-0000-000002070000}"/>
    <cellStyle name="Normal 2_765KV Final Tower Schedule 27.05.2013" xfId="1769" xr:uid="{00000000-0005-0000-0000-000003070000}"/>
    <cellStyle name="Normal 20" xfId="225" xr:uid="{00000000-0005-0000-0000-000004070000}"/>
    <cellStyle name="Normal 20 2" xfId="1770" xr:uid="{00000000-0005-0000-0000-000005070000}"/>
    <cellStyle name="Normal 20 2 2" xfId="1771" xr:uid="{00000000-0005-0000-0000-000006070000}"/>
    <cellStyle name="Normal 20 3" xfId="1772" xr:uid="{00000000-0005-0000-0000-000007070000}"/>
    <cellStyle name="Normal 21" xfId="226" xr:uid="{00000000-0005-0000-0000-000008070000}"/>
    <cellStyle name="Normal 22" xfId="227" xr:uid="{00000000-0005-0000-0000-000009070000}"/>
    <cellStyle name="Normal 22 2" xfId="228" xr:uid="{00000000-0005-0000-0000-00000A070000}"/>
    <cellStyle name="Normal 23" xfId="229" xr:uid="{00000000-0005-0000-0000-00000B070000}"/>
    <cellStyle name="Normal 23 2" xfId="230" xr:uid="{00000000-0005-0000-0000-00000C070000}"/>
    <cellStyle name="Normal 24" xfId="231" xr:uid="{00000000-0005-0000-0000-00000D070000}"/>
    <cellStyle name="Normal 25" xfId="232" xr:uid="{00000000-0005-0000-0000-00000E070000}"/>
    <cellStyle name="Normal 25 2" xfId="1773" xr:uid="{00000000-0005-0000-0000-00000F070000}"/>
    <cellStyle name="Normal 26" xfId="233" xr:uid="{00000000-0005-0000-0000-000010070000}"/>
    <cellStyle name="Normal 26 2" xfId="1774" xr:uid="{00000000-0005-0000-0000-000011070000}"/>
    <cellStyle name="Normal 27" xfId="234" xr:uid="{00000000-0005-0000-0000-000012070000}"/>
    <cellStyle name="Normal 28" xfId="235" xr:uid="{00000000-0005-0000-0000-000013070000}"/>
    <cellStyle name="Normal 29" xfId="236" xr:uid="{00000000-0005-0000-0000-000014070000}"/>
    <cellStyle name="Normal 3" xfId="237" xr:uid="{00000000-0005-0000-0000-000015070000}"/>
    <cellStyle name="Normal 3 10" xfId="1775" xr:uid="{00000000-0005-0000-0000-000016070000}"/>
    <cellStyle name="Normal 3 10 2" xfId="1776" xr:uid="{00000000-0005-0000-0000-000017070000}"/>
    <cellStyle name="Normal 3 10 3" xfId="1777" xr:uid="{00000000-0005-0000-0000-000018070000}"/>
    <cellStyle name="Normal 3 10 3 2" xfId="1778" xr:uid="{00000000-0005-0000-0000-000019070000}"/>
    <cellStyle name="Normal 3 11" xfId="1779" xr:uid="{00000000-0005-0000-0000-00001A070000}"/>
    <cellStyle name="Normal 3 11 2" xfId="1780" xr:uid="{00000000-0005-0000-0000-00001B070000}"/>
    <cellStyle name="Normal 3 12" xfId="1781" xr:uid="{00000000-0005-0000-0000-00001C070000}"/>
    <cellStyle name="Normal 3 13" xfId="1782" xr:uid="{00000000-0005-0000-0000-00001D070000}"/>
    <cellStyle name="Normal 3 14" xfId="1783" xr:uid="{00000000-0005-0000-0000-00001E070000}"/>
    <cellStyle name="Normal 3 15" xfId="1784" xr:uid="{00000000-0005-0000-0000-00001F070000}"/>
    <cellStyle name="Normal 3 16" xfId="1785" xr:uid="{00000000-0005-0000-0000-000020070000}"/>
    <cellStyle name="Normal 3 17" xfId="1786" xr:uid="{00000000-0005-0000-0000-000021070000}"/>
    <cellStyle name="Normal 3 2" xfId="238" xr:uid="{00000000-0005-0000-0000-000022070000}"/>
    <cellStyle name="Normal 3 2 2" xfId="1787" xr:uid="{00000000-0005-0000-0000-000023070000}"/>
    <cellStyle name="Normal 3 2 2 2" xfId="1788" xr:uid="{00000000-0005-0000-0000-000024070000}"/>
    <cellStyle name="Normal 3 2 2 3" xfId="1789" xr:uid="{00000000-0005-0000-0000-000025070000}"/>
    <cellStyle name="Normal 3 2 2 4" xfId="1790" xr:uid="{00000000-0005-0000-0000-000026070000}"/>
    <cellStyle name="Normal 3 2 2 4 2 2 2 2 2 2 3 2 2 7 2 4 2 2 2" xfId="1791" xr:uid="{00000000-0005-0000-0000-000027070000}"/>
    <cellStyle name="Normal 3 2 2 4 2 2 2 2 2 2 3 2 2 7 2 4 2 2 2 2" xfId="1792" xr:uid="{00000000-0005-0000-0000-000028070000}"/>
    <cellStyle name="Normal 3 2 2 4 2 2 2 2 2 2 3 2 2 7 2 4 2 2 2 2 2" xfId="1793" xr:uid="{00000000-0005-0000-0000-000029070000}"/>
    <cellStyle name="Normal 3 2 2 4 2 2 2 2 2 2 3 2 2 7 2 4 2 2 2 2 3" xfId="1794" xr:uid="{00000000-0005-0000-0000-00002A070000}"/>
    <cellStyle name="Normal 3 2 2 4 2 2 2 2 2 2 3 2 2 7 2 4 2 2 2 2 3 2" xfId="1795" xr:uid="{00000000-0005-0000-0000-00002B070000}"/>
    <cellStyle name="Normal 3 2 2 4 2 2 2 2 2 2 3 2 2 7 3 4 2 2 2" xfId="1796" xr:uid="{00000000-0005-0000-0000-00002C070000}"/>
    <cellStyle name="Normal 3 2 2 4 2 2 2 2 2 2 3 2 2 7 3 4 2 2 2 2" xfId="1797" xr:uid="{00000000-0005-0000-0000-00002D070000}"/>
    <cellStyle name="Normal 3 2 2 4 2 2 2 2 2 2 3 2 2 7 3 4 2 2 2 2 2" xfId="1798" xr:uid="{00000000-0005-0000-0000-00002E070000}"/>
    <cellStyle name="Normal 3 2 2 4 2 2 2 2 2 2 3 2 2 7 3 4 2 2 2 2 3" xfId="1799" xr:uid="{00000000-0005-0000-0000-00002F070000}"/>
    <cellStyle name="Normal 3 2 2 4 2 2 2 2 2 2 3 2 2 7 3 4 2 2 2 2 3 2" xfId="1800" xr:uid="{00000000-0005-0000-0000-000030070000}"/>
    <cellStyle name="Normal 3 2 2 5" xfId="1801" xr:uid="{00000000-0005-0000-0000-000031070000}"/>
    <cellStyle name="Normal 3 2 3" xfId="1802" xr:uid="{00000000-0005-0000-0000-000032070000}"/>
    <cellStyle name="Normal 3 2 3 2" xfId="1803" xr:uid="{00000000-0005-0000-0000-000033070000}"/>
    <cellStyle name="Normal 3 2 4" xfId="1804" xr:uid="{00000000-0005-0000-0000-000034070000}"/>
    <cellStyle name="Normal 3 2 5" xfId="1805" xr:uid="{00000000-0005-0000-0000-000035070000}"/>
    <cellStyle name="Normal 3 2 6" xfId="1806" xr:uid="{00000000-0005-0000-0000-000036070000}"/>
    <cellStyle name="Normal 3 2 7" xfId="1807" xr:uid="{00000000-0005-0000-0000-000037070000}"/>
    <cellStyle name="Normal 3 2_765KV Final Tower Schedule 27.05.2013" xfId="1808" xr:uid="{00000000-0005-0000-0000-000038070000}"/>
    <cellStyle name="Normal 3 3" xfId="1809" xr:uid="{00000000-0005-0000-0000-000039070000}"/>
    <cellStyle name="Normal 3 3 2" xfId="1810" xr:uid="{00000000-0005-0000-0000-00003A070000}"/>
    <cellStyle name="Normal 3 4" xfId="1811" xr:uid="{00000000-0005-0000-0000-00003B070000}"/>
    <cellStyle name="Normal 3 4 2" xfId="1812" xr:uid="{00000000-0005-0000-0000-00003C070000}"/>
    <cellStyle name="Normal 3 4 3" xfId="1813" xr:uid="{00000000-0005-0000-0000-00003D070000}"/>
    <cellStyle name="Normal 3 5" xfId="1814" xr:uid="{00000000-0005-0000-0000-00003E070000}"/>
    <cellStyle name="Normal 3 5 2" xfId="1815" xr:uid="{00000000-0005-0000-0000-00003F070000}"/>
    <cellStyle name="Normal 3 6" xfId="1816" xr:uid="{00000000-0005-0000-0000-000040070000}"/>
    <cellStyle name="Normal 3 6 2" xfId="1817" xr:uid="{00000000-0005-0000-0000-000041070000}"/>
    <cellStyle name="Normal 3 7" xfId="1818" xr:uid="{00000000-0005-0000-0000-000042070000}"/>
    <cellStyle name="Normal 3 7 2" xfId="1819" xr:uid="{00000000-0005-0000-0000-000043070000}"/>
    <cellStyle name="Normal 3 8" xfId="1820" xr:uid="{00000000-0005-0000-0000-000044070000}"/>
    <cellStyle name="Normal 3 8 2" xfId="1821" xr:uid="{00000000-0005-0000-0000-000045070000}"/>
    <cellStyle name="Normal 3 9" xfId="1822" xr:uid="{00000000-0005-0000-0000-000046070000}"/>
    <cellStyle name="Normal 3 9 2" xfId="1823" xr:uid="{00000000-0005-0000-0000-000047070000}"/>
    <cellStyle name="Normal 3_765KV Final Tower Schedule 27.05.2013" xfId="1824" xr:uid="{00000000-0005-0000-0000-000048070000}"/>
    <cellStyle name="Normal 30" xfId="239" xr:uid="{00000000-0005-0000-0000-000049070000}"/>
    <cellStyle name="Normal 30 2" xfId="240" xr:uid="{00000000-0005-0000-0000-00004A070000}"/>
    <cellStyle name="Normal 31" xfId="241" xr:uid="{00000000-0005-0000-0000-00004B070000}"/>
    <cellStyle name="Normal 32" xfId="242" xr:uid="{00000000-0005-0000-0000-00004C070000}"/>
    <cellStyle name="Normal 33" xfId="243" xr:uid="{00000000-0005-0000-0000-00004D070000}"/>
    <cellStyle name="Normal 34" xfId="244" xr:uid="{00000000-0005-0000-0000-00004E070000}"/>
    <cellStyle name="Normal 35" xfId="245" xr:uid="{00000000-0005-0000-0000-00004F070000}"/>
    <cellStyle name="Normal 36" xfId="246" xr:uid="{00000000-0005-0000-0000-000050070000}"/>
    <cellStyle name="Normal 37" xfId="1825" xr:uid="{00000000-0005-0000-0000-000051070000}"/>
    <cellStyle name="Normal 37 2" xfId="1826" xr:uid="{00000000-0005-0000-0000-000052070000}"/>
    <cellStyle name="Normal 38" xfId="1827" xr:uid="{00000000-0005-0000-0000-000053070000}"/>
    <cellStyle name="Normal 39" xfId="1828" xr:uid="{00000000-0005-0000-0000-000054070000}"/>
    <cellStyle name="Normal 4" xfId="247" xr:uid="{00000000-0005-0000-0000-000055070000}"/>
    <cellStyle name="Normal 4 10" xfId="1829" xr:uid="{00000000-0005-0000-0000-000056070000}"/>
    <cellStyle name="Normal 4 11" xfId="1830" xr:uid="{00000000-0005-0000-0000-000057070000}"/>
    <cellStyle name="Normal 4 12" xfId="1831" xr:uid="{00000000-0005-0000-0000-000058070000}"/>
    <cellStyle name="Normal 4 13" xfId="1832" xr:uid="{00000000-0005-0000-0000-000059070000}"/>
    <cellStyle name="Normal 4 14" xfId="1833" xr:uid="{00000000-0005-0000-0000-00005A070000}"/>
    <cellStyle name="Normal 4 15" xfId="1834" xr:uid="{00000000-0005-0000-0000-00005B070000}"/>
    <cellStyle name="Normal 4 16" xfId="1835" xr:uid="{00000000-0005-0000-0000-00005C070000}"/>
    <cellStyle name="Normal 4 2" xfId="1836" xr:uid="{00000000-0005-0000-0000-00005D070000}"/>
    <cellStyle name="Normal 4 2 10" xfId="1837" xr:uid="{00000000-0005-0000-0000-00005E070000}"/>
    <cellStyle name="Normal 4 2 11" xfId="1838" xr:uid="{00000000-0005-0000-0000-00005F070000}"/>
    <cellStyle name="Normal 4 2 12" xfId="1839" xr:uid="{00000000-0005-0000-0000-000060070000}"/>
    <cellStyle name="Normal 4 2 13" xfId="1840" xr:uid="{00000000-0005-0000-0000-000061070000}"/>
    <cellStyle name="Normal 4 2 14" xfId="1841" xr:uid="{00000000-0005-0000-0000-000062070000}"/>
    <cellStyle name="Normal 4 2 15" xfId="1842" xr:uid="{00000000-0005-0000-0000-000063070000}"/>
    <cellStyle name="Normal 4 2 16" xfId="1843" xr:uid="{00000000-0005-0000-0000-000064070000}"/>
    <cellStyle name="Normal 4 2 17" xfId="1844" xr:uid="{00000000-0005-0000-0000-000065070000}"/>
    <cellStyle name="Normal 4 2 18" xfId="1845" xr:uid="{00000000-0005-0000-0000-000066070000}"/>
    <cellStyle name="Normal 4 2 19" xfId="1846" xr:uid="{00000000-0005-0000-0000-000067070000}"/>
    <cellStyle name="Normal 4 2 2" xfId="248" xr:uid="{00000000-0005-0000-0000-000068070000}"/>
    <cellStyle name="Normal 4 2 20" xfId="1847" xr:uid="{00000000-0005-0000-0000-000069070000}"/>
    <cellStyle name="Normal 4 2 21" xfId="1848" xr:uid="{00000000-0005-0000-0000-00006A070000}"/>
    <cellStyle name="Normal 4 2 22" xfId="1849" xr:uid="{00000000-0005-0000-0000-00006B070000}"/>
    <cellStyle name="Normal 4 2 23" xfId="1850" xr:uid="{00000000-0005-0000-0000-00006C070000}"/>
    <cellStyle name="Normal 4 2 3" xfId="1851" xr:uid="{00000000-0005-0000-0000-00006D070000}"/>
    <cellStyle name="Normal 4 2 4" xfId="1852" xr:uid="{00000000-0005-0000-0000-00006E070000}"/>
    <cellStyle name="Normal 4 2 5" xfId="1853" xr:uid="{00000000-0005-0000-0000-00006F070000}"/>
    <cellStyle name="Normal 4 2 6" xfId="1854" xr:uid="{00000000-0005-0000-0000-000070070000}"/>
    <cellStyle name="Normal 4 2 7" xfId="1855" xr:uid="{00000000-0005-0000-0000-000071070000}"/>
    <cellStyle name="Normal 4 2 8" xfId="1856" xr:uid="{00000000-0005-0000-0000-000072070000}"/>
    <cellStyle name="Normal 4 2 9" xfId="1857" xr:uid="{00000000-0005-0000-0000-000073070000}"/>
    <cellStyle name="Normal 4 3" xfId="1858" xr:uid="{00000000-0005-0000-0000-000074070000}"/>
    <cellStyle name="Normal 4 3 2" xfId="1859" xr:uid="{00000000-0005-0000-0000-000075070000}"/>
    <cellStyle name="Normal 4 3 3" xfId="1860" xr:uid="{00000000-0005-0000-0000-000076070000}"/>
    <cellStyle name="Normal 4 4" xfId="1861" xr:uid="{00000000-0005-0000-0000-000077070000}"/>
    <cellStyle name="Normal 4 4 2" xfId="1862" xr:uid="{00000000-0005-0000-0000-000078070000}"/>
    <cellStyle name="Normal 4 4 3" xfId="1863" xr:uid="{00000000-0005-0000-0000-000079070000}"/>
    <cellStyle name="Normal 4 4 4" xfId="1864" xr:uid="{00000000-0005-0000-0000-00007A070000}"/>
    <cellStyle name="Normal 4 5" xfId="1865" xr:uid="{00000000-0005-0000-0000-00007B070000}"/>
    <cellStyle name="Normal 4 5 2" xfId="1866" xr:uid="{00000000-0005-0000-0000-00007C070000}"/>
    <cellStyle name="Normal 4 5 3" xfId="1867" xr:uid="{00000000-0005-0000-0000-00007D070000}"/>
    <cellStyle name="Normal 4 6" xfId="1868" xr:uid="{00000000-0005-0000-0000-00007E070000}"/>
    <cellStyle name="Normal 4 6 2" xfId="1869" xr:uid="{00000000-0005-0000-0000-00007F070000}"/>
    <cellStyle name="Normal 4 7" xfId="1870" xr:uid="{00000000-0005-0000-0000-000080070000}"/>
    <cellStyle name="Normal 4 7 2" xfId="1871" xr:uid="{00000000-0005-0000-0000-000081070000}"/>
    <cellStyle name="Normal 4 8" xfId="1872" xr:uid="{00000000-0005-0000-0000-000082070000}"/>
    <cellStyle name="Normal 4 8 2" xfId="1873" xr:uid="{00000000-0005-0000-0000-000083070000}"/>
    <cellStyle name="Normal 4 9" xfId="1874" xr:uid="{00000000-0005-0000-0000-000084070000}"/>
    <cellStyle name="Normal 4 9 2" xfId="1875" xr:uid="{00000000-0005-0000-0000-000085070000}"/>
    <cellStyle name="Normal 4_DATE WISE PROGRAMME" xfId="1876" xr:uid="{00000000-0005-0000-0000-000086070000}"/>
    <cellStyle name="Normal 40" xfId="1877" xr:uid="{00000000-0005-0000-0000-000087070000}"/>
    <cellStyle name="Normal 40 2" xfId="1878" xr:uid="{00000000-0005-0000-0000-000088070000}"/>
    <cellStyle name="Normal 41" xfId="249" xr:uid="{00000000-0005-0000-0000-000089070000}"/>
    <cellStyle name="Normal 41 3" xfId="250" xr:uid="{00000000-0005-0000-0000-00008A070000}"/>
    <cellStyle name="Normal 42" xfId="1879" xr:uid="{00000000-0005-0000-0000-00008B070000}"/>
    <cellStyle name="Normal 43" xfId="1880" xr:uid="{00000000-0005-0000-0000-00008C070000}"/>
    <cellStyle name="Normal 44" xfId="1881" xr:uid="{00000000-0005-0000-0000-00008D070000}"/>
    <cellStyle name="Normal 45" xfId="1882" xr:uid="{00000000-0005-0000-0000-00008E070000}"/>
    <cellStyle name="Normal 46" xfId="1883" xr:uid="{00000000-0005-0000-0000-00008F070000}"/>
    <cellStyle name="Normal 46 4 2 2 2 2 2 2" xfId="251" xr:uid="{00000000-0005-0000-0000-000090070000}"/>
    <cellStyle name="Normal 47" xfId="1884" xr:uid="{00000000-0005-0000-0000-000091070000}"/>
    <cellStyle name="Normal 48" xfId="1885" xr:uid="{00000000-0005-0000-0000-000092070000}"/>
    <cellStyle name="Normal 49" xfId="1886" xr:uid="{00000000-0005-0000-0000-000093070000}"/>
    <cellStyle name="Normal 5" xfId="1" xr:uid="{00000000-0005-0000-0000-000094070000}"/>
    <cellStyle name="Normal 5 10" xfId="1887" xr:uid="{00000000-0005-0000-0000-000095070000}"/>
    <cellStyle name="Normal 5 11" xfId="1888" xr:uid="{00000000-0005-0000-0000-000096070000}"/>
    <cellStyle name="Normal 5 12" xfId="1889" xr:uid="{00000000-0005-0000-0000-000097070000}"/>
    <cellStyle name="Normal 5 13" xfId="1890" xr:uid="{00000000-0005-0000-0000-000098070000}"/>
    <cellStyle name="Normal 5 14" xfId="1891" xr:uid="{00000000-0005-0000-0000-000099070000}"/>
    <cellStyle name="Normal 5 15" xfId="1892" xr:uid="{00000000-0005-0000-0000-00009A070000}"/>
    <cellStyle name="Normal 5 16" xfId="1893" xr:uid="{00000000-0005-0000-0000-00009B070000}"/>
    <cellStyle name="Normal 5 17" xfId="1894" xr:uid="{00000000-0005-0000-0000-00009C070000}"/>
    <cellStyle name="Normal 5 18" xfId="1895" xr:uid="{00000000-0005-0000-0000-00009D070000}"/>
    <cellStyle name="Normal 5 19" xfId="1896" xr:uid="{00000000-0005-0000-0000-00009E070000}"/>
    <cellStyle name="Normal 5 2" xfId="252" xr:uid="{00000000-0005-0000-0000-00009F070000}"/>
    <cellStyle name="Normal 5 2 2" xfId="1897" xr:uid="{00000000-0005-0000-0000-0000A0070000}"/>
    <cellStyle name="Normal 5 2 3" xfId="1898" xr:uid="{00000000-0005-0000-0000-0000A1070000}"/>
    <cellStyle name="Normal 5 20" xfId="1899" xr:uid="{00000000-0005-0000-0000-0000A2070000}"/>
    <cellStyle name="Normal 5 21" xfId="1900" xr:uid="{00000000-0005-0000-0000-0000A3070000}"/>
    <cellStyle name="Normal 5 22" xfId="1901" xr:uid="{00000000-0005-0000-0000-0000A4070000}"/>
    <cellStyle name="Normal 5 23" xfId="1902" xr:uid="{00000000-0005-0000-0000-0000A5070000}"/>
    <cellStyle name="Normal 5 24" xfId="1903" xr:uid="{00000000-0005-0000-0000-0000A6070000}"/>
    <cellStyle name="Normal 5 3" xfId="253" xr:uid="{00000000-0005-0000-0000-0000A7070000}"/>
    <cellStyle name="Normal 5 3 2" xfId="1904" xr:uid="{00000000-0005-0000-0000-0000A8070000}"/>
    <cellStyle name="Normal 5 4" xfId="1905" xr:uid="{00000000-0005-0000-0000-0000A9070000}"/>
    <cellStyle name="Normal 5 4 2" xfId="1906" xr:uid="{00000000-0005-0000-0000-0000AA070000}"/>
    <cellStyle name="Normal 5 5" xfId="1907" xr:uid="{00000000-0005-0000-0000-0000AB070000}"/>
    <cellStyle name="Normal 5 5 2" xfId="1908" xr:uid="{00000000-0005-0000-0000-0000AC070000}"/>
    <cellStyle name="Normal 5 6" xfId="1909" xr:uid="{00000000-0005-0000-0000-0000AD070000}"/>
    <cellStyle name="Normal 5 7" xfId="1910" xr:uid="{00000000-0005-0000-0000-0000AE070000}"/>
    <cellStyle name="Normal 5 8" xfId="1911" xr:uid="{00000000-0005-0000-0000-0000AF070000}"/>
    <cellStyle name="Normal 5 9" xfId="1912" xr:uid="{00000000-0005-0000-0000-0000B0070000}"/>
    <cellStyle name="Normal 5_MPR_Feb-11" xfId="1913" xr:uid="{00000000-0005-0000-0000-0000B1070000}"/>
    <cellStyle name="Normal 50" xfId="1914" xr:uid="{00000000-0005-0000-0000-0000B2070000}"/>
    <cellStyle name="Normal 6" xfId="254" xr:uid="{00000000-0005-0000-0000-0000B3070000}"/>
    <cellStyle name="Normal 6 10" xfId="1915" xr:uid="{00000000-0005-0000-0000-0000B4070000}"/>
    <cellStyle name="Normal 6 11" xfId="1916" xr:uid="{00000000-0005-0000-0000-0000B5070000}"/>
    <cellStyle name="Normal 6 12" xfId="1917" xr:uid="{00000000-0005-0000-0000-0000B6070000}"/>
    <cellStyle name="Normal 6 13" xfId="1918" xr:uid="{00000000-0005-0000-0000-0000B7070000}"/>
    <cellStyle name="Normal 6 14" xfId="1919" xr:uid="{00000000-0005-0000-0000-0000B8070000}"/>
    <cellStyle name="Normal 6 15" xfId="1920" xr:uid="{00000000-0005-0000-0000-0000B9070000}"/>
    <cellStyle name="Normal 6 16" xfId="1921" xr:uid="{00000000-0005-0000-0000-0000BA070000}"/>
    <cellStyle name="Normal 6 17" xfId="1922" xr:uid="{00000000-0005-0000-0000-0000BB070000}"/>
    <cellStyle name="Normal 6 18" xfId="1923" xr:uid="{00000000-0005-0000-0000-0000BC070000}"/>
    <cellStyle name="Normal 6 19" xfId="1924" xr:uid="{00000000-0005-0000-0000-0000BD070000}"/>
    <cellStyle name="Normal 6 2" xfId="255" xr:uid="{00000000-0005-0000-0000-0000BE070000}"/>
    <cellStyle name="Normal 6 2 2" xfId="1925" xr:uid="{00000000-0005-0000-0000-0000BF070000}"/>
    <cellStyle name="Normal 6 20" xfId="1926" xr:uid="{00000000-0005-0000-0000-0000C0070000}"/>
    <cellStyle name="Normal 6 21" xfId="1927" xr:uid="{00000000-0005-0000-0000-0000C1070000}"/>
    <cellStyle name="Normal 6 22" xfId="1928" xr:uid="{00000000-0005-0000-0000-0000C2070000}"/>
    <cellStyle name="Normal 6 22 2" xfId="1929" xr:uid="{00000000-0005-0000-0000-0000C3070000}"/>
    <cellStyle name="Normal 6 22 3" xfId="1930" xr:uid="{00000000-0005-0000-0000-0000C4070000}"/>
    <cellStyle name="Normal 6 23" xfId="1931" xr:uid="{00000000-0005-0000-0000-0000C5070000}"/>
    <cellStyle name="Normal 6 24" xfId="1932" xr:uid="{00000000-0005-0000-0000-0000C6070000}"/>
    <cellStyle name="Normal 6 25" xfId="1933" xr:uid="{00000000-0005-0000-0000-0000C7070000}"/>
    <cellStyle name="Normal 6 3" xfId="1934" xr:uid="{00000000-0005-0000-0000-0000C8070000}"/>
    <cellStyle name="Normal 6 4" xfId="1935" xr:uid="{00000000-0005-0000-0000-0000C9070000}"/>
    <cellStyle name="Normal 6 5" xfId="1936" xr:uid="{00000000-0005-0000-0000-0000CA070000}"/>
    <cellStyle name="Normal 6 6" xfId="1937" xr:uid="{00000000-0005-0000-0000-0000CB070000}"/>
    <cellStyle name="Normal 6 7" xfId="1938" xr:uid="{00000000-0005-0000-0000-0000CC070000}"/>
    <cellStyle name="Normal 6 8" xfId="1939" xr:uid="{00000000-0005-0000-0000-0000CD070000}"/>
    <cellStyle name="Normal 6 9" xfId="1940" xr:uid="{00000000-0005-0000-0000-0000CE070000}"/>
    <cellStyle name="Normal 7" xfId="256" xr:uid="{00000000-0005-0000-0000-0000CF070000}"/>
    <cellStyle name="Normal 7 10" xfId="1941" xr:uid="{00000000-0005-0000-0000-0000D0070000}"/>
    <cellStyle name="Normal 7 11" xfId="1942" xr:uid="{00000000-0005-0000-0000-0000D1070000}"/>
    <cellStyle name="Normal 7 12" xfId="1943" xr:uid="{00000000-0005-0000-0000-0000D2070000}"/>
    <cellStyle name="Normal 7 13" xfId="1944" xr:uid="{00000000-0005-0000-0000-0000D3070000}"/>
    <cellStyle name="Normal 7 14" xfId="1945" xr:uid="{00000000-0005-0000-0000-0000D4070000}"/>
    <cellStyle name="Normal 7 15" xfId="1946" xr:uid="{00000000-0005-0000-0000-0000D5070000}"/>
    <cellStyle name="Normal 7 16" xfId="1947" xr:uid="{00000000-0005-0000-0000-0000D6070000}"/>
    <cellStyle name="Normal 7 17" xfId="1948" xr:uid="{00000000-0005-0000-0000-0000D7070000}"/>
    <cellStyle name="Normal 7 18" xfId="1949" xr:uid="{00000000-0005-0000-0000-0000D8070000}"/>
    <cellStyle name="Normal 7 19" xfId="1950" xr:uid="{00000000-0005-0000-0000-0000D9070000}"/>
    <cellStyle name="Normal 7 2" xfId="257" xr:uid="{00000000-0005-0000-0000-0000DA070000}"/>
    <cellStyle name="Normal 7 2 2" xfId="1951" xr:uid="{00000000-0005-0000-0000-0000DB070000}"/>
    <cellStyle name="Normal 7 20" xfId="1952" xr:uid="{00000000-0005-0000-0000-0000DC070000}"/>
    <cellStyle name="Normal 7 21" xfId="1953" xr:uid="{00000000-0005-0000-0000-0000DD070000}"/>
    <cellStyle name="Normal 7 22" xfId="1954" xr:uid="{00000000-0005-0000-0000-0000DE070000}"/>
    <cellStyle name="Normal 7 23" xfId="1955" xr:uid="{00000000-0005-0000-0000-0000DF070000}"/>
    <cellStyle name="Normal 7 24" xfId="1956" xr:uid="{00000000-0005-0000-0000-0000E0070000}"/>
    <cellStyle name="Normal 7 25" xfId="1957" xr:uid="{00000000-0005-0000-0000-0000E1070000}"/>
    <cellStyle name="Normal 7 3" xfId="1958" xr:uid="{00000000-0005-0000-0000-0000E2070000}"/>
    <cellStyle name="Normal 7 3 2" xfId="1959" xr:uid="{00000000-0005-0000-0000-0000E3070000}"/>
    <cellStyle name="Normal 7 4" xfId="1960" xr:uid="{00000000-0005-0000-0000-0000E4070000}"/>
    <cellStyle name="Normal 7 4 2" xfId="1961" xr:uid="{00000000-0005-0000-0000-0000E5070000}"/>
    <cellStyle name="Normal 7 5" xfId="1962" xr:uid="{00000000-0005-0000-0000-0000E6070000}"/>
    <cellStyle name="Normal 7 5 2" xfId="1963" xr:uid="{00000000-0005-0000-0000-0000E7070000}"/>
    <cellStyle name="Normal 7 6" xfId="1964" xr:uid="{00000000-0005-0000-0000-0000E8070000}"/>
    <cellStyle name="Normal 7 6 2" xfId="1965" xr:uid="{00000000-0005-0000-0000-0000E9070000}"/>
    <cellStyle name="Normal 7 7" xfId="1966" xr:uid="{00000000-0005-0000-0000-0000EA070000}"/>
    <cellStyle name="Normal 7 8" xfId="1967" xr:uid="{00000000-0005-0000-0000-0000EB070000}"/>
    <cellStyle name="Normal 7 9" xfId="1968" xr:uid="{00000000-0005-0000-0000-0000EC070000}"/>
    <cellStyle name="Normal 8" xfId="258" xr:uid="{00000000-0005-0000-0000-0000ED070000}"/>
    <cellStyle name="Normal 8 10" xfId="1969" xr:uid="{00000000-0005-0000-0000-0000EE070000}"/>
    <cellStyle name="Normal 8 11" xfId="1970" xr:uid="{00000000-0005-0000-0000-0000EF070000}"/>
    <cellStyle name="Normal 8 12" xfId="1971" xr:uid="{00000000-0005-0000-0000-0000F0070000}"/>
    <cellStyle name="Normal 8 13" xfId="1972" xr:uid="{00000000-0005-0000-0000-0000F1070000}"/>
    <cellStyle name="Normal 8 14" xfId="1973" xr:uid="{00000000-0005-0000-0000-0000F2070000}"/>
    <cellStyle name="Normal 8 15" xfId="1974" xr:uid="{00000000-0005-0000-0000-0000F3070000}"/>
    <cellStyle name="Normal 8 16" xfId="1975" xr:uid="{00000000-0005-0000-0000-0000F4070000}"/>
    <cellStyle name="Normal 8 17" xfId="1976" xr:uid="{00000000-0005-0000-0000-0000F5070000}"/>
    <cellStyle name="Normal 8 18" xfId="1977" xr:uid="{00000000-0005-0000-0000-0000F6070000}"/>
    <cellStyle name="Normal 8 19" xfId="1978" xr:uid="{00000000-0005-0000-0000-0000F7070000}"/>
    <cellStyle name="Normal 8 2" xfId="259" xr:uid="{00000000-0005-0000-0000-0000F8070000}"/>
    <cellStyle name="Normal 8 2 2" xfId="1979" xr:uid="{00000000-0005-0000-0000-0000F9070000}"/>
    <cellStyle name="Normal 8 20" xfId="1980" xr:uid="{00000000-0005-0000-0000-0000FA070000}"/>
    <cellStyle name="Normal 8 21" xfId="1981" xr:uid="{00000000-0005-0000-0000-0000FB070000}"/>
    <cellStyle name="Normal 8 22" xfId="1982" xr:uid="{00000000-0005-0000-0000-0000FC070000}"/>
    <cellStyle name="Normal 8 3" xfId="1983" xr:uid="{00000000-0005-0000-0000-0000FD070000}"/>
    <cellStyle name="Normal 8 4" xfId="1984" xr:uid="{00000000-0005-0000-0000-0000FE070000}"/>
    <cellStyle name="Normal 8 5" xfId="1985" xr:uid="{00000000-0005-0000-0000-0000FF070000}"/>
    <cellStyle name="Normal 8 6" xfId="1986" xr:uid="{00000000-0005-0000-0000-000000080000}"/>
    <cellStyle name="Normal 8 7" xfId="1987" xr:uid="{00000000-0005-0000-0000-000001080000}"/>
    <cellStyle name="Normal 8 8" xfId="1988" xr:uid="{00000000-0005-0000-0000-000002080000}"/>
    <cellStyle name="Normal 8 9" xfId="1989" xr:uid="{00000000-0005-0000-0000-000003080000}"/>
    <cellStyle name="Normal 87" xfId="1990" xr:uid="{00000000-0005-0000-0000-000004080000}"/>
    <cellStyle name="Normal 87 2" xfId="1991" xr:uid="{00000000-0005-0000-0000-000005080000}"/>
    <cellStyle name="Normal 9" xfId="260" xr:uid="{00000000-0005-0000-0000-000006080000}"/>
    <cellStyle name="Normal 9 10" xfId="1992" xr:uid="{00000000-0005-0000-0000-000007080000}"/>
    <cellStyle name="Normal 9 11" xfId="1993" xr:uid="{00000000-0005-0000-0000-000008080000}"/>
    <cellStyle name="Normal 9 12" xfId="1994" xr:uid="{00000000-0005-0000-0000-000009080000}"/>
    <cellStyle name="Normal 9 13" xfId="1995" xr:uid="{00000000-0005-0000-0000-00000A080000}"/>
    <cellStyle name="Normal 9 14" xfId="1996" xr:uid="{00000000-0005-0000-0000-00000B080000}"/>
    <cellStyle name="Normal 9 15" xfId="1997" xr:uid="{00000000-0005-0000-0000-00000C080000}"/>
    <cellStyle name="Normal 9 16" xfId="1998" xr:uid="{00000000-0005-0000-0000-00000D080000}"/>
    <cellStyle name="Normal 9 17" xfId="1999" xr:uid="{00000000-0005-0000-0000-00000E080000}"/>
    <cellStyle name="Normal 9 18" xfId="2000" xr:uid="{00000000-0005-0000-0000-00000F080000}"/>
    <cellStyle name="Normal 9 19" xfId="2001" xr:uid="{00000000-0005-0000-0000-000010080000}"/>
    <cellStyle name="Normal 9 2" xfId="261" xr:uid="{00000000-0005-0000-0000-000011080000}"/>
    <cellStyle name="Normal 9 2 2" xfId="2002" xr:uid="{00000000-0005-0000-0000-000012080000}"/>
    <cellStyle name="Normal 9 20" xfId="2003" xr:uid="{00000000-0005-0000-0000-000013080000}"/>
    <cellStyle name="Normal 9 21" xfId="2004" xr:uid="{00000000-0005-0000-0000-000014080000}"/>
    <cellStyle name="Normal 9 22" xfId="2005" xr:uid="{00000000-0005-0000-0000-000015080000}"/>
    <cellStyle name="Normal 9 3" xfId="2006" xr:uid="{00000000-0005-0000-0000-000016080000}"/>
    <cellStyle name="Normal 9 4" xfId="2007" xr:uid="{00000000-0005-0000-0000-000017080000}"/>
    <cellStyle name="Normal 9 5" xfId="2008" xr:uid="{00000000-0005-0000-0000-000018080000}"/>
    <cellStyle name="Normal 9 6" xfId="2009" xr:uid="{00000000-0005-0000-0000-000019080000}"/>
    <cellStyle name="Normal 9 7" xfId="2010" xr:uid="{00000000-0005-0000-0000-00001A080000}"/>
    <cellStyle name="Normal 9 8" xfId="2011" xr:uid="{00000000-0005-0000-0000-00001B080000}"/>
    <cellStyle name="Normal 9 9" xfId="2012" xr:uid="{00000000-0005-0000-0000-00001C080000}"/>
    <cellStyle name="Normal 90 2" xfId="2013" xr:uid="{00000000-0005-0000-0000-00001D080000}"/>
    <cellStyle name="normální_laroux" xfId="2014" xr:uid="{00000000-0005-0000-0000-00001E080000}"/>
    <cellStyle name="Note 10" xfId="262" xr:uid="{00000000-0005-0000-0000-00001F080000}"/>
    <cellStyle name="Note 11" xfId="263" xr:uid="{00000000-0005-0000-0000-000020080000}"/>
    <cellStyle name="Note 12" xfId="264" xr:uid="{00000000-0005-0000-0000-000021080000}"/>
    <cellStyle name="Note 13" xfId="265" xr:uid="{00000000-0005-0000-0000-000022080000}"/>
    <cellStyle name="Note 14" xfId="266" xr:uid="{00000000-0005-0000-0000-000023080000}"/>
    <cellStyle name="Note 15" xfId="267" xr:uid="{00000000-0005-0000-0000-000024080000}"/>
    <cellStyle name="Note 16" xfId="268" xr:uid="{00000000-0005-0000-0000-000025080000}"/>
    <cellStyle name="Note 17" xfId="269" xr:uid="{00000000-0005-0000-0000-000026080000}"/>
    <cellStyle name="Note 18" xfId="270" xr:uid="{00000000-0005-0000-0000-000027080000}"/>
    <cellStyle name="Note 19" xfId="271" xr:uid="{00000000-0005-0000-0000-000028080000}"/>
    <cellStyle name="Note 2" xfId="272" xr:uid="{00000000-0005-0000-0000-000029080000}"/>
    <cellStyle name="Note 2 10" xfId="2015" xr:uid="{00000000-0005-0000-0000-00002A080000}"/>
    <cellStyle name="Note 2 2" xfId="2016" xr:uid="{00000000-0005-0000-0000-00002B080000}"/>
    <cellStyle name="Note 2 3" xfId="2017" xr:uid="{00000000-0005-0000-0000-00002C080000}"/>
    <cellStyle name="Note 2 4" xfId="2018" xr:uid="{00000000-0005-0000-0000-00002D080000}"/>
    <cellStyle name="Note 2 5" xfId="2019" xr:uid="{00000000-0005-0000-0000-00002E080000}"/>
    <cellStyle name="Note 2 6" xfId="2020" xr:uid="{00000000-0005-0000-0000-00002F080000}"/>
    <cellStyle name="Note 2 7" xfId="2021" xr:uid="{00000000-0005-0000-0000-000030080000}"/>
    <cellStyle name="Note 2 8" xfId="2022" xr:uid="{00000000-0005-0000-0000-000031080000}"/>
    <cellStyle name="Note 2 9" xfId="2023" xr:uid="{00000000-0005-0000-0000-000032080000}"/>
    <cellStyle name="Note 20" xfId="2024" xr:uid="{00000000-0005-0000-0000-000033080000}"/>
    <cellStyle name="Note 21" xfId="2025" xr:uid="{00000000-0005-0000-0000-000034080000}"/>
    <cellStyle name="Note 22" xfId="2026" xr:uid="{00000000-0005-0000-0000-000035080000}"/>
    <cellStyle name="Note 23" xfId="2027" xr:uid="{00000000-0005-0000-0000-000036080000}"/>
    <cellStyle name="Note 24" xfId="2028" xr:uid="{00000000-0005-0000-0000-000037080000}"/>
    <cellStyle name="Note 25" xfId="2029" xr:uid="{00000000-0005-0000-0000-000038080000}"/>
    <cellStyle name="Note 26" xfId="2030" xr:uid="{00000000-0005-0000-0000-000039080000}"/>
    <cellStyle name="Note 27" xfId="2031" xr:uid="{00000000-0005-0000-0000-00003A080000}"/>
    <cellStyle name="Note 28" xfId="2032" xr:uid="{00000000-0005-0000-0000-00003B080000}"/>
    <cellStyle name="Note 29" xfId="2033" xr:uid="{00000000-0005-0000-0000-00003C080000}"/>
    <cellStyle name="Note 3" xfId="273" xr:uid="{00000000-0005-0000-0000-00003D080000}"/>
    <cellStyle name="Note 3 2" xfId="2034" xr:uid="{00000000-0005-0000-0000-00003E080000}"/>
    <cellStyle name="Note 3 3" xfId="2035" xr:uid="{00000000-0005-0000-0000-00003F080000}"/>
    <cellStyle name="Note 30" xfId="2036" xr:uid="{00000000-0005-0000-0000-000040080000}"/>
    <cellStyle name="Note 31" xfId="2037" xr:uid="{00000000-0005-0000-0000-000041080000}"/>
    <cellStyle name="Note 32" xfId="2038" xr:uid="{00000000-0005-0000-0000-000042080000}"/>
    <cellStyle name="Note 33" xfId="2039" xr:uid="{00000000-0005-0000-0000-000043080000}"/>
    <cellStyle name="Note 34" xfId="2040" xr:uid="{00000000-0005-0000-0000-000044080000}"/>
    <cellStyle name="Note 35" xfId="2041" xr:uid="{00000000-0005-0000-0000-000045080000}"/>
    <cellStyle name="Note 36" xfId="2042" xr:uid="{00000000-0005-0000-0000-000046080000}"/>
    <cellStyle name="Note 37" xfId="2043" xr:uid="{00000000-0005-0000-0000-000047080000}"/>
    <cellStyle name="Note 38" xfId="2044" xr:uid="{00000000-0005-0000-0000-000048080000}"/>
    <cellStyle name="Note 39" xfId="2045" xr:uid="{00000000-0005-0000-0000-000049080000}"/>
    <cellStyle name="Note 4" xfId="274" xr:uid="{00000000-0005-0000-0000-00004A080000}"/>
    <cellStyle name="Note 4 2" xfId="2046" xr:uid="{00000000-0005-0000-0000-00004B080000}"/>
    <cellStyle name="Note 4 3" xfId="2047" xr:uid="{00000000-0005-0000-0000-00004C080000}"/>
    <cellStyle name="Note 40" xfId="2048" xr:uid="{00000000-0005-0000-0000-00004D080000}"/>
    <cellStyle name="Note 41" xfId="2049" xr:uid="{00000000-0005-0000-0000-00004E080000}"/>
    <cellStyle name="Note 42" xfId="2050" xr:uid="{00000000-0005-0000-0000-00004F080000}"/>
    <cellStyle name="Note 43" xfId="2051" xr:uid="{00000000-0005-0000-0000-000050080000}"/>
    <cellStyle name="Note 44" xfId="2052" xr:uid="{00000000-0005-0000-0000-000051080000}"/>
    <cellStyle name="Note 45" xfId="2053" xr:uid="{00000000-0005-0000-0000-000052080000}"/>
    <cellStyle name="Note 46" xfId="2054" xr:uid="{00000000-0005-0000-0000-000053080000}"/>
    <cellStyle name="Note 47" xfId="2055" xr:uid="{00000000-0005-0000-0000-000054080000}"/>
    <cellStyle name="Note 48" xfId="2056" xr:uid="{00000000-0005-0000-0000-000055080000}"/>
    <cellStyle name="Note 49" xfId="2057" xr:uid="{00000000-0005-0000-0000-000056080000}"/>
    <cellStyle name="Note 5" xfId="275" xr:uid="{00000000-0005-0000-0000-000057080000}"/>
    <cellStyle name="Note 5 2" xfId="2058" xr:uid="{00000000-0005-0000-0000-000058080000}"/>
    <cellStyle name="Note 5 3" xfId="2059" xr:uid="{00000000-0005-0000-0000-000059080000}"/>
    <cellStyle name="Note 50" xfId="2060" xr:uid="{00000000-0005-0000-0000-00005A080000}"/>
    <cellStyle name="Note 51" xfId="2061" xr:uid="{00000000-0005-0000-0000-00005B080000}"/>
    <cellStyle name="Note 52" xfId="2062" xr:uid="{00000000-0005-0000-0000-00005C080000}"/>
    <cellStyle name="Note 53" xfId="2063" xr:uid="{00000000-0005-0000-0000-00005D080000}"/>
    <cellStyle name="Note 54" xfId="2064" xr:uid="{00000000-0005-0000-0000-00005E080000}"/>
    <cellStyle name="Note 55" xfId="2065" xr:uid="{00000000-0005-0000-0000-00005F080000}"/>
    <cellStyle name="Note 56" xfId="2066" xr:uid="{00000000-0005-0000-0000-000060080000}"/>
    <cellStyle name="Note 57" xfId="2067" xr:uid="{00000000-0005-0000-0000-000061080000}"/>
    <cellStyle name="Note 58" xfId="2068" xr:uid="{00000000-0005-0000-0000-000062080000}"/>
    <cellStyle name="Note 6" xfId="276" xr:uid="{00000000-0005-0000-0000-000063080000}"/>
    <cellStyle name="Note 6 2" xfId="2069" xr:uid="{00000000-0005-0000-0000-000064080000}"/>
    <cellStyle name="Note 7" xfId="277" xr:uid="{00000000-0005-0000-0000-000065080000}"/>
    <cellStyle name="Note 8" xfId="278" xr:uid="{00000000-0005-0000-0000-000066080000}"/>
    <cellStyle name="Note 9" xfId="279" xr:uid="{00000000-0005-0000-0000-000067080000}"/>
    <cellStyle name="Output 2" xfId="2070" xr:uid="{00000000-0005-0000-0000-000068080000}"/>
    <cellStyle name="Output 2 10" xfId="2071" xr:uid="{00000000-0005-0000-0000-000069080000}"/>
    <cellStyle name="Output 2 2" xfId="2072" xr:uid="{00000000-0005-0000-0000-00006A080000}"/>
    <cellStyle name="Output 2 3" xfId="2073" xr:uid="{00000000-0005-0000-0000-00006B080000}"/>
    <cellStyle name="Output 2 4" xfId="2074" xr:uid="{00000000-0005-0000-0000-00006C080000}"/>
    <cellStyle name="Output 2 5" xfId="2075" xr:uid="{00000000-0005-0000-0000-00006D080000}"/>
    <cellStyle name="Output 2 6" xfId="2076" xr:uid="{00000000-0005-0000-0000-00006E080000}"/>
    <cellStyle name="Output 2 7" xfId="2077" xr:uid="{00000000-0005-0000-0000-00006F080000}"/>
    <cellStyle name="Output 2 8" xfId="2078" xr:uid="{00000000-0005-0000-0000-000070080000}"/>
    <cellStyle name="Output 2 9" xfId="2079" xr:uid="{00000000-0005-0000-0000-000071080000}"/>
    <cellStyle name="Output 3" xfId="2080" xr:uid="{00000000-0005-0000-0000-000072080000}"/>
    <cellStyle name="Output 3 2" xfId="2081" xr:uid="{00000000-0005-0000-0000-000073080000}"/>
    <cellStyle name="Output 4" xfId="2082" xr:uid="{00000000-0005-0000-0000-000074080000}"/>
    <cellStyle name="Output 4 2" xfId="2083" xr:uid="{00000000-0005-0000-0000-000075080000}"/>
    <cellStyle name="Output 5" xfId="2084" xr:uid="{00000000-0005-0000-0000-000076080000}"/>
    <cellStyle name="Output 5 2" xfId="2085" xr:uid="{00000000-0005-0000-0000-000077080000}"/>
    <cellStyle name="Output 6" xfId="2086" xr:uid="{00000000-0005-0000-0000-000078080000}"/>
    <cellStyle name="Percent [2]" xfId="2087" xr:uid="{00000000-0005-0000-0000-000079080000}"/>
    <cellStyle name="Percent [2] 10" xfId="2088" xr:uid="{00000000-0005-0000-0000-00007A080000}"/>
    <cellStyle name="Percent [2] 11" xfId="2089" xr:uid="{00000000-0005-0000-0000-00007B080000}"/>
    <cellStyle name="Percent [2] 12" xfId="2090" xr:uid="{00000000-0005-0000-0000-00007C080000}"/>
    <cellStyle name="Percent [2] 13" xfId="2091" xr:uid="{00000000-0005-0000-0000-00007D080000}"/>
    <cellStyle name="Percent [2] 14" xfId="2092" xr:uid="{00000000-0005-0000-0000-00007E080000}"/>
    <cellStyle name="Percent [2] 15" xfId="2093" xr:uid="{00000000-0005-0000-0000-00007F080000}"/>
    <cellStyle name="Percent [2] 16" xfId="2094" xr:uid="{00000000-0005-0000-0000-000080080000}"/>
    <cellStyle name="Percent [2] 17" xfId="2095" xr:uid="{00000000-0005-0000-0000-000081080000}"/>
    <cellStyle name="Percent [2] 18" xfId="2096" xr:uid="{00000000-0005-0000-0000-000082080000}"/>
    <cellStyle name="Percent [2] 19" xfId="2097" xr:uid="{00000000-0005-0000-0000-000083080000}"/>
    <cellStyle name="Percent [2] 2" xfId="2098" xr:uid="{00000000-0005-0000-0000-000084080000}"/>
    <cellStyle name="Percent [2] 20" xfId="2099" xr:uid="{00000000-0005-0000-0000-000085080000}"/>
    <cellStyle name="Percent [2] 21" xfId="2100" xr:uid="{00000000-0005-0000-0000-000086080000}"/>
    <cellStyle name="Percent [2] 22" xfId="2101" xr:uid="{00000000-0005-0000-0000-000087080000}"/>
    <cellStyle name="Percent [2] 3" xfId="2102" xr:uid="{00000000-0005-0000-0000-000088080000}"/>
    <cellStyle name="Percent [2] 4" xfId="2103" xr:uid="{00000000-0005-0000-0000-000089080000}"/>
    <cellStyle name="Percent [2] 5" xfId="2104" xr:uid="{00000000-0005-0000-0000-00008A080000}"/>
    <cellStyle name="Percent [2] 6" xfId="2105" xr:uid="{00000000-0005-0000-0000-00008B080000}"/>
    <cellStyle name="Percent [2] 7" xfId="2106" xr:uid="{00000000-0005-0000-0000-00008C080000}"/>
    <cellStyle name="Percent [2] 8" xfId="2107" xr:uid="{00000000-0005-0000-0000-00008D080000}"/>
    <cellStyle name="Percent [2] 9" xfId="2108" xr:uid="{00000000-0005-0000-0000-00008E080000}"/>
    <cellStyle name="Percent 2" xfId="280" xr:uid="{00000000-0005-0000-0000-00008F080000}"/>
    <cellStyle name="Percent 2 2" xfId="2109" xr:uid="{00000000-0005-0000-0000-000090080000}"/>
    <cellStyle name="Percent 2 2 2" xfId="2110" xr:uid="{00000000-0005-0000-0000-000091080000}"/>
    <cellStyle name="Percent 2 2 3" xfId="2111" xr:uid="{00000000-0005-0000-0000-000092080000}"/>
    <cellStyle name="Percent 3" xfId="2112" xr:uid="{00000000-0005-0000-0000-000093080000}"/>
    <cellStyle name="Percent 3 2" xfId="2113" xr:uid="{00000000-0005-0000-0000-000094080000}"/>
    <cellStyle name="Percent 3 2 2" xfId="2114" xr:uid="{00000000-0005-0000-0000-000095080000}"/>
    <cellStyle name="Percent 3 2 3" xfId="2115" xr:uid="{00000000-0005-0000-0000-000096080000}"/>
    <cellStyle name="Percent 3 2 4" xfId="2116" xr:uid="{00000000-0005-0000-0000-000097080000}"/>
    <cellStyle name="Percent 3 3" xfId="2117" xr:uid="{00000000-0005-0000-0000-000098080000}"/>
    <cellStyle name="Percent 4" xfId="2118" xr:uid="{00000000-0005-0000-0000-000099080000}"/>
    <cellStyle name="Percent 4 2" xfId="2119" xr:uid="{00000000-0005-0000-0000-00009A080000}"/>
    <cellStyle name="Percent 5" xfId="2120" xr:uid="{00000000-0005-0000-0000-00009B080000}"/>
    <cellStyle name="Percent 5 2" xfId="2121" xr:uid="{00000000-0005-0000-0000-00009C080000}"/>
    <cellStyle name="Percent 6" xfId="2122" xr:uid="{00000000-0005-0000-0000-00009D080000}"/>
    <cellStyle name="Percent 7" xfId="2123" xr:uid="{00000000-0005-0000-0000-00009E080000}"/>
    <cellStyle name="Percent 8" xfId="2124" xr:uid="{00000000-0005-0000-0000-00009F080000}"/>
    <cellStyle name="Percent 9" xfId="2125" xr:uid="{00000000-0005-0000-0000-0000A0080000}"/>
    <cellStyle name="Popis" xfId="2126" xr:uid="{00000000-0005-0000-0000-0000A1080000}"/>
    <cellStyle name="Popis 2" xfId="2127" xr:uid="{00000000-0005-0000-0000-0000A2080000}"/>
    <cellStyle name="Prosent_Ark1" xfId="2128" xr:uid="{00000000-0005-0000-0000-0000A3080000}"/>
    <cellStyle name="Reset  - Style7" xfId="2129" xr:uid="{00000000-0005-0000-0000-0000A4080000}"/>
    <cellStyle name="Reset  - Style7 10" xfId="2130" xr:uid="{00000000-0005-0000-0000-0000A5080000}"/>
    <cellStyle name="Reset  - Style7 11" xfId="2131" xr:uid="{00000000-0005-0000-0000-0000A6080000}"/>
    <cellStyle name="Reset  - Style7 2" xfId="2132" xr:uid="{00000000-0005-0000-0000-0000A7080000}"/>
    <cellStyle name="Reset  - Style7 2 2" xfId="2133" xr:uid="{00000000-0005-0000-0000-0000A8080000}"/>
    <cellStyle name="Reset  - Style7 2 2 2" xfId="2134" xr:uid="{00000000-0005-0000-0000-0000A9080000}"/>
    <cellStyle name="Reset  - Style7 2 2 2 2" xfId="2135" xr:uid="{00000000-0005-0000-0000-0000AA080000}"/>
    <cellStyle name="Reset  - Style7 2 2 3" xfId="2136" xr:uid="{00000000-0005-0000-0000-0000AB080000}"/>
    <cellStyle name="Reset  - Style7 2 2 4" xfId="2137" xr:uid="{00000000-0005-0000-0000-0000AC080000}"/>
    <cellStyle name="Reset  - Style7 2 2 5" xfId="2138" xr:uid="{00000000-0005-0000-0000-0000AD080000}"/>
    <cellStyle name="Reset  - Style7 2 2 6" xfId="2139" xr:uid="{00000000-0005-0000-0000-0000AE080000}"/>
    <cellStyle name="Reset  - Style7 2 3" xfId="2140" xr:uid="{00000000-0005-0000-0000-0000AF080000}"/>
    <cellStyle name="Reset  - Style7 2 3 2" xfId="2141" xr:uid="{00000000-0005-0000-0000-0000B0080000}"/>
    <cellStyle name="Reset  - Style7 2 4" xfId="2142" xr:uid="{00000000-0005-0000-0000-0000B1080000}"/>
    <cellStyle name="Reset  - Style7 2 5" xfId="2143" xr:uid="{00000000-0005-0000-0000-0000B2080000}"/>
    <cellStyle name="Reset  - Style7 2 6" xfId="2144" xr:uid="{00000000-0005-0000-0000-0000B3080000}"/>
    <cellStyle name="Reset  - Style7 3" xfId="2145" xr:uid="{00000000-0005-0000-0000-0000B4080000}"/>
    <cellStyle name="Reset  - Style7 4" xfId="2146" xr:uid="{00000000-0005-0000-0000-0000B5080000}"/>
    <cellStyle name="Reset  - Style7 5" xfId="2147" xr:uid="{00000000-0005-0000-0000-0000B6080000}"/>
    <cellStyle name="Reset  - Style7 6" xfId="2148" xr:uid="{00000000-0005-0000-0000-0000B7080000}"/>
    <cellStyle name="Reset  - Style7 6 2" xfId="2149" xr:uid="{00000000-0005-0000-0000-0000B8080000}"/>
    <cellStyle name="Reset  - Style7 7" xfId="2150" xr:uid="{00000000-0005-0000-0000-0000B9080000}"/>
    <cellStyle name="Reset  - Style7 8" xfId="2151" xr:uid="{00000000-0005-0000-0000-0000BA080000}"/>
    <cellStyle name="Reset  - Style7 9" xfId="2152" xr:uid="{00000000-0005-0000-0000-0000BB080000}"/>
    <cellStyle name="Satisfaisant" xfId="2153" xr:uid="{00000000-0005-0000-0000-0000BC080000}"/>
    <cellStyle name="Sheet Title" xfId="2154" xr:uid="{00000000-0005-0000-0000-0000BD080000}"/>
    <cellStyle name="Sheet Title 2" xfId="2155" xr:uid="{00000000-0005-0000-0000-0000BE080000}"/>
    <cellStyle name="Sheet Title 3" xfId="2156" xr:uid="{00000000-0005-0000-0000-0000BF080000}"/>
    <cellStyle name="Sledovaný hypertextový odkaz" xfId="2157" xr:uid="{00000000-0005-0000-0000-0000C0080000}"/>
    <cellStyle name="Sortie" xfId="2158" xr:uid="{00000000-0005-0000-0000-0000C1080000}"/>
    <cellStyle name="Standard_BS14" xfId="2159" xr:uid="{00000000-0005-0000-0000-0000C2080000}"/>
    <cellStyle name="Style 1" xfId="2160" xr:uid="{00000000-0005-0000-0000-0000C3080000}"/>
    <cellStyle name="Style 1 2" xfId="2161" xr:uid="{00000000-0005-0000-0000-0000C4080000}"/>
    <cellStyle name="Style 1 3" xfId="2162" xr:uid="{00000000-0005-0000-0000-0000C5080000}"/>
    <cellStyle name="sub-total" xfId="2163" xr:uid="{00000000-0005-0000-0000-0000C6080000}"/>
    <cellStyle name="T" xfId="2164" xr:uid="{00000000-0005-0000-0000-0000C7080000}"/>
    <cellStyle name="T_Copy of 5B-FR-SET-B1" xfId="2165" xr:uid="{00000000-0005-0000-0000-0000C8080000}"/>
    <cellStyle name="T_Copy of 5B-FR-SET-B1_Copy of RCE-WRSS-II-A-S-S-18.02.10" xfId="2166" xr:uid="{00000000-0005-0000-0000-0000C9080000}"/>
    <cellStyle name="T_Copy of 5B-FR-SET-B1_RCE-WRSS-II-B-21.11.09-1 - ak utwal on 09.01.10" xfId="2167" xr:uid="{00000000-0005-0000-0000-0000CA080000}"/>
    <cellStyle name="T_RCE(SET-A-TL)05.01.10" xfId="2168" xr:uid="{00000000-0005-0000-0000-0000CB080000}"/>
    <cellStyle name="T_RCE-WRSS-II-A" xfId="2169" xr:uid="{00000000-0005-0000-0000-0000CC080000}"/>
    <cellStyle name="T_RCE-WRSS-II-B-21.11.09-1" xfId="2170" xr:uid="{00000000-0005-0000-0000-0000CD080000}"/>
    <cellStyle name="T_RCE-WRSS-II-B-21.11.09-1 - ak utwal on 09.01.10" xfId="2171" xr:uid="{00000000-0005-0000-0000-0000CE080000}"/>
    <cellStyle name="Table  - Style6" xfId="2172" xr:uid="{00000000-0005-0000-0000-0000CF080000}"/>
    <cellStyle name="Table  - Style6 10" xfId="2173" xr:uid="{00000000-0005-0000-0000-0000D0080000}"/>
    <cellStyle name="Table  - Style6 11" xfId="2174" xr:uid="{00000000-0005-0000-0000-0000D1080000}"/>
    <cellStyle name="Table  - Style6 2" xfId="2175" xr:uid="{00000000-0005-0000-0000-0000D2080000}"/>
    <cellStyle name="Table  - Style6 2 2" xfId="2176" xr:uid="{00000000-0005-0000-0000-0000D3080000}"/>
    <cellStyle name="Table  - Style6 2 2 2" xfId="2177" xr:uid="{00000000-0005-0000-0000-0000D4080000}"/>
    <cellStyle name="Table  - Style6 2 2 2 2" xfId="2178" xr:uid="{00000000-0005-0000-0000-0000D5080000}"/>
    <cellStyle name="Table  - Style6 2 2 3" xfId="2179" xr:uid="{00000000-0005-0000-0000-0000D6080000}"/>
    <cellStyle name="Table  - Style6 2 2 4" xfId="2180" xr:uid="{00000000-0005-0000-0000-0000D7080000}"/>
    <cellStyle name="Table  - Style6 2 2 5" xfId="2181" xr:uid="{00000000-0005-0000-0000-0000D8080000}"/>
    <cellStyle name="Table  - Style6 2 2 6" xfId="2182" xr:uid="{00000000-0005-0000-0000-0000D9080000}"/>
    <cellStyle name="Table  - Style6 2 3" xfId="2183" xr:uid="{00000000-0005-0000-0000-0000DA080000}"/>
    <cellStyle name="Table  - Style6 2 3 2" xfId="2184" xr:uid="{00000000-0005-0000-0000-0000DB080000}"/>
    <cellStyle name="Table  - Style6 2 4" xfId="2185" xr:uid="{00000000-0005-0000-0000-0000DC080000}"/>
    <cellStyle name="Table  - Style6 2 5" xfId="2186" xr:uid="{00000000-0005-0000-0000-0000DD080000}"/>
    <cellStyle name="Table  - Style6 2 6" xfId="2187" xr:uid="{00000000-0005-0000-0000-0000DE080000}"/>
    <cellStyle name="Table  - Style6 3" xfId="2188" xr:uid="{00000000-0005-0000-0000-0000DF080000}"/>
    <cellStyle name="Table  - Style6 4" xfId="2189" xr:uid="{00000000-0005-0000-0000-0000E0080000}"/>
    <cellStyle name="Table  - Style6 5" xfId="2190" xr:uid="{00000000-0005-0000-0000-0000E1080000}"/>
    <cellStyle name="Table  - Style6 6" xfId="2191" xr:uid="{00000000-0005-0000-0000-0000E2080000}"/>
    <cellStyle name="Table  - Style6 6 2" xfId="2192" xr:uid="{00000000-0005-0000-0000-0000E3080000}"/>
    <cellStyle name="Table  - Style6 7" xfId="2193" xr:uid="{00000000-0005-0000-0000-0000E4080000}"/>
    <cellStyle name="Table  - Style6 8" xfId="2194" xr:uid="{00000000-0005-0000-0000-0000E5080000}"/>
    <cellStyle name="Table  - Style6 9" xfId="2195" xr:uid="{00000000-0005-0000-0000-0000E6080000}"/>
    <cellStyle name="Texte explicatif" xfId="2196" xr:uid="{00000000-0005-0000-0000-0000E7080000}"/>
    <cellStyle name="Times New Roman" xfId="2197" xr:uid="{00000000-0005-0000-0000-0000E8080000}"/>
    <cellStyle name="Title  - Style1" xfId="2198" xr:uid="{00000000-0005-0000-0000-0000E9080000}"/>
    <cellStyle name="Title  - Style1 10" xfId="2199" xr:uid="{00000000-0005-0000-0000-0000EA080000}"/>
    <cellStyle name="Title  - Style1 11" xfId="2200" xr:uid="{00000000-0005-0000-0000-0000EB080000}"/>
    <cellStyle name="Title  - Style1 2" xfId="2201" xr:uid="{00000000-0005-0000-0000-0000EC080000}"/>
    <cellStyle name="Title  - Style1 2 2" xfId="2202" xr:uid="{00000000-0005-0000-0000-0000ED080000}"/>
    <cellStyle name="Title  - Style1 2 2 2" xfId="2203" xr:uid="{00000000-0005-0000-0000-0000EE080000}"/>
    <cellStyle name="Title  - Style1 2 2 2 2" xfId="2204" xr:uid="{00000000-0005-0000-0000-0000EF080000}"/>
    <cellStyle name="Title  - Style1 2 2 3" xfId="2205" xr:uid="{00000000-0005-0000-0000-0000F0080000}"/>
    <cellStyle name="Title  - Style1 2 2 4" xfId="2206" xr:uid="{00000000-0005-0000-0000-0000F1080000}"/>
    <cellStyle name="Title  - Style1 2 2 5" xfId="2207" xr:uid="{00000000-0005-0000-0000-0000F2080000}"/>
    <cellStyle name="Title  - Style1 2 2 6" xfId="2208" xr:uid="{00000000-0005-0000-0000-0000F3080000}"/>
    <cellStyle name="Title  - Style1 2 3" xfId="2209" xr:uid="{00000000-0005-0000-0000-0000F4080000}"/>
    <cellStyle name="Title  - Style1 2 3 2" xfId="2210" xr:uid="{00000000-0005-0000-0000-0000F5080000}"/>
    <cellStyle name="Title  - Style1 2 4" xfId="2211" xr:uid="{00000000-0005-0000-0000-0000F6080000}"/>
    <cellStyle name="Title  - Style1 2 5" xfId="2212" xr:uid="{00000000-0005-0000-0000-0000F7080000}"/>
    <cellStyle name="Title  - Style1 2 6" xfId="2213" xr:uid="{00000000-0005-0000-0000-0000F8080000}"/>
    <cellStyle name="Title  - Style1 3" xfId="2214" xr:uid="{00000000-0005-0000-0000-0000F9080000}"/>
    <cellStyle name="Title  - Style1 4" xfId="2215" xr:uid="{00000000-0005-0000-0000-0000FA080000}"/>
    <cellStyle name="Title  - Style1 5" xfId="2216" xr:uid="{00000000-0005-0000-0000-0000FB080000}"/>
    <cellStyle name="Title  - Style1 6" xfId="2217" xr:uid="{00000000-0005-0000-0000-0000FC080000}"/>
    <cellStyle name="Title  - Style1 6 2" xfId="2218" xr:uid="{00000000-0005-0000-0000-0000FD080000}"/>
    <cellStyle name="Title  - Style1 7" xfId="2219" xr:uid="{00000000-0005-0000-0000-0000FE080000}"/>
    <cellStyle name="Title  - Style1 8" xfId="2220" xr:uid="{00000000-0005-0000-0000-0000FF080000}"/>
    <cellStyle name="Title  - Style1 9" xfId="2221" xr:uid="{00000000-0005-0000-0000-000000090000}"/>
    <cellStyle name="Title 2" xfId="2222" xr:uid="{00000000-0005-0000-0000-000001090000}"/>
    <cellStyle name="Title 2 10" xfId="2223" xr:uid="{00000000-0005-0000-0000-000002090000}"/>
    <cellStyle name="Title 2 2" xfId="2224" xr:uid="{00000000-0005-0000-0000-000003090000}"/>
    <cellStyle name="Title 2 3" xfId="2225" xr:uid="{00000000-0005-0000-0000-000004090000}"/>
    <cellStyle name="Title 2 4" xfId="2226" xr:uid="{00000000-0005-0000-0000-000005090000}"/>
    <cellStyle name="Title 2 5" xfId="2227" xr:uid="{00000000-0005-0000-0000-000006090000}"/>
    <cellStyle name="Title 2 6" xfId="2228" xr:uid="{00000000-0005-0000-0000-000007090000}"/>
    <cellStyle name="Title 2 7" xfId="2229" xr:uid="{00000000-0005-0000-0000-000008090000}"/>
    <cellStyle name="Title 2 8" xfId="2230" xr:uid="{00000000-0005-0000-0000-000009090000}"/>
    <cellStyle name="Title 2 9" xfId="2231" xr:uid="{00000000-0005-0000-0000-00000A090000}"/>
    <cellStyle name="Title 3" xfId="2232" xr:uid="{00000000-0005-0000-0000-00000B090000}"/>
    <cellStyle name="Title 3 2" xfId="2233" xr:uid="{00000000-0005-0000-0000-00000C090000}"/>
    <cellStyle name="Title 4" xfId="2234" xr:uid="{00000000-0005-0000-0000-00000D090000}"/>
    <cellStyle name="Title 4 2" xfId="2235" xr:uid="{00000000-0005-0000-0000-00000E090000}"/>
    <cellStyle name="Title 5" xfId="2236" xr:uid="{00000000-0005-0000-0000-00000F090000}"/>
    <cellStyle name="Title 5 2" xfId="2237" xr:uid="{00000000-0005-0000-0000-000010090000}"/>
    <cellStyle name="Title 6" xfId="2238" xr:uid="{00000000-0005-0000-0000-000011090000}"/>
    <cellStyle name="Titre" xfId="2239" xr:uid="{00000000-0005-0000-0000-000012090000}"/>
    <cellStyle name="Titre 1" xfId="2240" xr:uid="{00000000-0005-0000-0000-000013090000}"/>
    <cellStyle name="Titre 2" xfId="2241" xr:uid="{00000000-0005-0000-0000-000014090000}"/>
    <cellStyle name="Titre 3" xfId="2242" xr:uid="{00000000-0005-0000-0000-000015090000}"/>
    <cellStyle name="Titre 4" xfId="2243" xr:uid="{00000000-0005-0000-0000-000016090000}"/>
    <cellStyle name="Total 2" xfId="2244" xr:uid="{00000000-0005-0000-0000-000017090000}"/>
    <cellStyle name="Total 2 2" xfId="2245" xr:uid="{00000000-0005-0000-0000-000018090000}"/>
    <cellStyle name="Total 2 3" xfId="2246" xr:uid="{00000000-0005-0000-0000-000019090000}"/>
    <cellStyle name="Total 2 4" xfId="2247" xr:uid="{00000000-0005-0000-0000-00001A090000}"/>
    <cellStyle name="Total 2 5" xfId="2248" xr:uid="{00000000-0005-0000-0000-00001B090000}"/>
    <cellStyle name="Total 2 6" xfId="2249" xr:uid="{00000000-0005-0000-0000-00001C090000}"/>
    <cellStyle name="Total 2 7" xfId="2250" xr:uid="{00000000-0005-0000-0000-00001D090000}"/>
    <cellStyle name="Total 2 8" xfId="2251" xr:uid="{00000000-0005-0000-0000-00001E090000}"/>
    <cellStyle name="Total 2 9" xfId="2252" xr:uid="{00000000-0005-0000-0000-00001F090000}"/>
    <cellStyle name="Total 3" xfId="2253" xr:uid="{00000000-0005-0000-0000-000020090000}"/>
    <cellStyle name="Total 3 2" xfId="2254" xr:uid="{00000000-0005-0000-0000-000021090000}"/>
    <cellStyle name="Total 4" xfId="2255" xr:uid="{00000000-0005-0000-0000-000022090000}"/>
    <cellStyle name="Total 4 2" xfId="2256" xr:uid="{00000000-0005-0000-0000-000023090000}"/>
    <cellStyle name="Total 5" xfId="2257" xr:uid="{00000000-0005-0000-0000-000024090000}"/>
    <cellStyle name="Total 5 2" xfId="2258" xr:uid="{00000000-0005-0000-0000-000025090000}"/>
    <cellStyle name="Total 6" xfId="2259" xr:uid="{00000000-0005-0000-0000-000026090000}"/>
    <cellStyle name="TotCol - Style5" xfId="2260" xr:uid="{00000000-0005-0000-0000-000027090000}"/>
    <cellStyle name="TotCol - Style5 10" xfId="2261" xr:uid="{00000000-0005-0000-0000-000028090000}"/>
    <cellStyle name="TotCol - Style5 11" xfId="2262" xr:uid="{00000000-0005-0000-0000-000029090000}"/>
    <cellStyle name="TotCol - Style5 2" xfId="2263" xr:uid="{00000000-0005-0000-0000-00002A090000}"/>
    <cellStyle name="TotCol - Style5 2 2" xfId="2264" xr:uid="{00000000-0005-0000-0000-00002B090000}"/>
    <cellStyle name="TotCol - Style5 2 2 2" xfId="2265" xr:uid="{00000000-0005-0000-0000-00002C090000}"/>
    <cellStyle name="TotCol - Style5 2 2 2 2" xfId="2266" xr:uid="{00000000-0005-0000-0000-00002D090000}"/>
    <cellStyle name="TotCol - Style5 2 2 3" xfId="2267" xr:uid="{00000000-0005-0000-0000-00002E090000}"/>
    <cellStyle name="TotCol - Style5 2 2 4" xfId="2268" xr:uid="{00000000-0005-0000-0000-00002F090000}"/>
    <cellStyle name="TotCol - Style5 2 2 5" xfId="2269" xr:uid="{00000000-0005-0000-0000-000030090000}"/>
    <cellStyle name="TotCol - Style5 2 2 6" xfId="2270" xr:uid="{00000000-0005-0000-0000-000031090000}"/>
    <cellStyle name="TotCol - Style5 2 3" xfId="2271" xr:uid="{00000000-0005-0000-0000-000032090000}"/>
    <cellStyle name="TotCol - Style5 2 3 2" xfId="2272" xr:uid="{00000000-0005-0000-0000-000033090000}"/>
    <cellStyle name="TotCol - Style5 2 4" xfId="2273" xr:uid="{00000000-0005-0000-0000-000034090000}"/>
    <cellStyle name="TotCol - Style5 2 5" xfId="2274" xr:uid="{00000000-0005-0000-0000-000035090000}"/>
    <cellStyle name="TotCol - Style5 2 6" xfId="2275" xr:uid="{00000000-0005-0000-0000-000036090000}"/>
    <cellStyle name="TotCol - Style5 3" xfId="2276" xr:uid="{00000000-0005-0000-0000-000037090000}"/>
    <cellStyle name="TotCol - Style5 4" xfId="2277" xr:uid="{00000000-0005-0000-0000-000038090000}"/>
    <cellStyle name="TotCol - Style5 5" xfId="2278" xr:uid="{00000000-0005-0000-0000-000039090000}"/>
    <cellStyle name="TotCol - Style5 6" xfId="2279" xr:uid="{00000000-0005-0000-0000-00003A090000}"/>
    <cellStyle name="TotCol - Style5 6 2" xfId="2280" xr:uid="{00000000-0005-0000-0000-00003B090000}"/>
    <cellStyle name="TotCol - Style5 7" xfId="2281" xr:uid="{00000000-0005-0000-0000-00003C090000}"/>
    <cellStyle name="TotCol - Style5 8" xfId="2282" xr:uid="{00000000-0005-0000-0000-00003D090000}"/>
    <cellStyle name="TotCol - Style5 9" xfId="2283" xr:uid="{00000000-0005-0000-0000-00003E090000}"/>
    <cellStyle name="TotRow - Style4" xfId="2284" xr:uid="{00000000-0005-0000-0000-00003F090000}"/>
    <cellStyle name="TotRow - Style4 10" xfId="2285" xr:uid="{00000000-0005-0000-0000-000040090000}"/>
    <cellStyle name="TotRow - Style4 11" xfId="2286" xr:uid="{00000000-0005-0000-0000-000041090000}"/>
    <cellStyle name="TotRow - Style4 2" xfId="2287" xr:uid="{00000000-0005-0000-0000-000042090000}"/>
    <cellStyle name="TotRow - Style4 2 2" xfId="2288" xr:uid="{00000000-0005-0000-0000-000043090000}"/>
    <cellStyle name="TotRow - Style4 2 2 2" xfId="2289" xr:uid="{00000000-0005-0000-0000-000044090000}"/>
    <cellStyle name="TotRow - Style4 2 2 2 2" xfId="2290" xr:uid="{00000000-0005-0000-0000-000045090000}"/>
    <cellStyle name="TotRow - Style4 2 2 3" xfId="2291" xr:uid="{00000000-0005-0000-0000-000046090000}"/>
    <cellStyle name="TotRow - Style4 2 2 4" xfId="2292" xr:uid="{00000000-0005-0000-0000-000047090000}"/>
    <cellStyle name="TotRow - Style4 2 2 5" xfId="2293" xr:uid="{00000000-0005-0000-0000-000048090000}"/>
    <cellStyle name="TotRow - Style4 2 2 6" xfId="2294" xr:uid="{00000000-0005-0000-0000-000049090000}"/>
    <cellStyle name="TotRow - Style4 2 3" xfId="2295" xr:uid="{00000000-0005-0000-0000-00004A090000}"/>
    <cellStyle name="TotRow - Style4 2 3 2" xfId="2296" xr:uid="{00000000-0005-0000-0000-00004B090000}"/>
    <cellStyle name="TotRow - Style4 2 4" xfId="2297" xr:uid="{00000000-0005-0000-0000-00004C090000}"/>
    <cellStyle name="TotRow - Style4 2 5" xfId="2298" xr:uid="{00000000-0005-0000-0000-00004D090000}"/>
    <cellStyle name="TotRow - Style4 2 6" xfId="2299" xr:uid="{00000000-0005-0000-0000-00004E090000}"/>
    <cellStyle name="TotRow - Style4 3" xfId="2300" xr:uid="{00000000-0005-0000-0000-00004F090000}"/>
    <cellStyle name="TotRow - Style4 4" xfId="2301" xr:uid="{00000000-0005-0000-0000-000050090000}"/>
    <cellStyle name="TotRow - Style4 5" xfId="2302" xr:uid="{00000000-0005-0000-0000-000051090000}"/>
    <cellStyle name="TotRow - Style4 6" xfId="2303" xr:uid="{00000000-0005-0000-0000-000052090000}"/>
    <cellStyle name="TotRow - Style4 6 2" xfId="2304" xr:uid="{00000000-0005-0000-0000-000053090000}"/>
    <cellStyle name="TotRow - Style4 7" xfId="2305" xr:uid="{00000000-0005-0000-0000-000054090000}"/>
    <cellStyle name="TotRow - Style4 8" xfId="2306" xr:uid="{00000000-0005-0000-0000-000055090000}"/>
    <cellStyle name="TotRow - Style4 9" xfId="2307" xr:uid="{00000000-0005-0000-0000-000056090000}"/>
    <cellStyle name="Tusenskille [0]_Ark1" xfId="2308" xr:uid="{00000000-0005-0000-0000-000057090000}"/>
    <cellStyle name="Tusenskille_Ark1" xfId="2309" xr:uid="{00000000-0005-0000-0000-000058090000}"/>
    <cellStyle name="Tusental (0)_Appx 2 Action plan" xfId="2310" xr:uid="{00000000-0005-0000-0000-000059090000}"/>
    <cellStyle name="Tusental_Appx 2 Action plan" xfId="2311" xr:uid="{00000000-0005-0000-0000-00005A090000}"/>
    <cellStyle name="Valuta (0)_Appx 2 Action plan" xfId="2312" xr:uid="{00000000-0005-0000-0000-00005B090000}"/>
    <cellStyle name="Valuta [0]_Ark1" xfId="2313" xr:uid="{00000000-0005-0000-0000-00005C090000}"/>
    <cellStyle name="Valuta_Appx 2 Action plan" xfId="2314" xr:uid="{00000000-0005-0000-0000-00005D090000}"/>
    <cellStyle name="Vérification" xfId="2315" xr:uid="{00000000-0005-0000-0000-00005E090000}"/>
    <cellStyle name="Währung [0]_Sheet1" xfId="2316" xr:uid="{00000000-0005-0000-0000-00005F090000}"/>
    <cellStyle name="Währung_Sheet1" xfId="2317" xr:uid="{00000000-0005-0000-0000-000060090000}"/>
    <cellStyle name="Warning Text 2" xfId="2318" xr:uid="{00000000-0005-0000-0000-000061090000}"/>
    <cellStyle name="Warning Text 2 2" xfId="2319" xr:uid="{00000000-0005-0000-0000-000062090000}"/>
    <cellStyle name="Warning Text 2 3" xfId="2320" xr:uid="{00000000-0005-0000-0000-000063090000}"/>
    <cellStyle name="Warning Text 2 4" xfId="2321" xr:uid="{00000000-0005-0000-0000-000064090000}"/>
    <cellStyle name="Warning Text 2 5" xfId="2322" xr:uid="{00000000-0005-0000-0000-000065090000}"/>
    <cellStyle name="Warning Text 2 6" xfId="2323" xr:uid="{00000000-0005-0000-0000-000066090000}"/>
    <cellStyle name="Warning Text 2 7" xfId="2324" xr:uid="{00000000-0005-0000-0000-000067090000}"/>
    <cellStyle name="Warning Text 2 8" xfId="2325" xr:uid="{00000000-0005-0000-0000-000068090000}"/>
    <cellStyle name="Warning Text 2 9" xfId="2326" xr:uid="{00000000-0005-0000-0000-000069090000}"/>
    <cellStyle name="Warning Text 3" xfId="2327" xr:uid="{00000000-0005-0000-0000-00006A090000}"/>
    <cellStyle name="Warning Text 3 2" xfId="2328" xr:uid="{00000000-0005-0000-0000-00006B090000}"/>
    <cellStyle name="Warning Text 4" xfId="2329" xr:uid="{00000000-0005-0000-0000-00006C090000}"/>
    <cellStyle name="Warning Text 4 2" xfId="2330" xr:uid="{00000000-0005-0000-0000-00006D090000}"/>
    <cellStyle name="Warning Text 5" xfId="2331" xr:uid="{00000000-0005-0000-0000-00006E090000}"/>
    <cellStyle name="Warning Text 5 2" xfId="2332" xr:uid="{00000000-0005-0000-0000-00006F090000}"/>
    <cellStyle name="Warning Text 6" xfId="2333" xr:uid="{00000000-0005-0000-0000-000070090000}"/>
    <cellStyle name="백분율_95" xfId="2334" xr:uid="{00000000-0005-0000-0000-000071090000}"/>
    <cellStyle name="콤마 [0]_95" xfId="2335" xr:uid="{00000000-0005-0000-0000-000072090000}"/>
    <cellStyle name="콤마_95" xfId="2336" xr:uid="{00000000-0005-0000-0000-000073090000}"/>
    <cellStyle name="통화 [0]_95" xfId="2337" xr:uid="{00000000-0005-0000-0000-000074090000}"/>
    <cellStyle name="통화_95" xfId="2338" xr:uid="{00000000-0005-0000-0000-000075090000}"/>
    <cellStyle name="표준_2차(A4)-잔여물량정리" xfId="2339" xr:uid="{00000000-0005-0000-0000-000076090000}"/>
  </cellStyles>
  <dxfs count="675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60"/>
      </font>
      <fill>
        <patternFill>
          <bgColor indexed="43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17"/>
      </font>
      <fill>
        <patternFill>
          <bgColor indexed="42"/>
        </patternFill>
      </fill>
    </dxf>
    <dxf>
      <font>
        <color indexed="20"/>
      </font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  <color rgb="FFFF5399"/>
      <color rgb="FFFF0066"/>
      <color rgb="FFFF9900"/>
      <color rgb="FFFF7A5B"/>
      <color rgb="FFAE85FF"/>
      <color rgb="FF9966FF"/>
      <color rgb="FF000000"/>
      <color rgb="FFFFFF66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externalLink" Target="externalLinks/externalLink14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1</xdr:row>
      <xdr:rowOff>38100</xdr:rowOff>
    </xdr:from>
    <xdr:to>
      <xdr:col>0</xdr:col>
      <xdr:colOff>1097280</xdr:colOff>
      <xdr:row>2</xdr:row>
      <xdr:rowOff>297180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431800"/>
          <a:ext cx="1051560" cy="652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BB861A5-FE39-45B5-B8F0-447D1C8819A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9FE1B6CF-A016-424E-AB5A-82484613EF3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8A25DB3-A021-4FFB-BEA4-25431CCE64C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22B1F3C2-59C8-43CD-B3CD-863AB7D60C7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0ED3E5B-D0EF-4316-B087-BCE4E50EDC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5C2A2CD8-345B-47FE-B866-BB5E5BD2172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3532893-84DD-41E6-9952-B24F8FD8DD4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8DECB620-C9F9-49FF-B8D0-424F2E337BD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1FE584C-D79D-447C-9F7E-9E3C0744E46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ECC34E76-20AA-43DE-9AC1-6E414BADF8D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FF73919-F53B-4FEA-9DAD-A47FA6368B0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8BBE6168-D5D5-45CE-BEDA-6C7A9A09F82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A05C50E5-9DFF-4470-83E4-42E93F9334C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0EB92BC1-CF59-49EC-A304-CBA30044C50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6A6FA0BA-F287-4DA8-83CD-4AA669D4571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A36CC197-CF75-4DB4-8CA1-AED9941F8FD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59349D22-F5CE-4702-BD34-BB67A1146EE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2FB52325-8506-4F27-98E7-3A2806AEC83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33D95E0-D084-4A9D-AA8A-6D7B33EA0E4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D9C7D6B-3D68-4C1E-A37C-6B42B68D5A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9677F099-16BA-4CDC-84AF-6BB471E9FC6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936F8088-A994-4C02-A949-2364CB97A46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D7F3F68-47B5-43B9-9873-D283E5958F3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087A4F51-1955-4898-B34C-D01F1CE5046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5216B511-B497-4D4F-9C70-1695B30F0E5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2799BE6D-40D8-4C39-AC12-584359CAF30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3D39D183-6150-45A0-915B-EDA59A8140C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3E61CE14-B57C-4DF6-8EF5-54D735A01BC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D434DDD8-1F80-49E5-9B94-574E6CA538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99B6733E-EE58-40F4-B9E4-E2CABF9FE78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2B111B7E-034A-444B-8ACE-39BED72BBBB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CA9538C7-A2F1-4CA7-A7D6-247E05D4DB4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8FB33747-A3A6-4786-A567-2FC76DACA32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667E7CDA-01C0-41F7-9C11-F07705C7F96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BB122422-23D9-4526-AB4B-52C27BC7C5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F93CC6CB-1A9A-4366-94D7-E9F939019C6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3C305C82-D341-43FA-A87C-0B3FD7EF974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B4290388-4269-406F-9AFF-297D1F0BF01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EA852F01-55E4-4D08-A09B-02E4C47BF01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D880A9D1-BCE7-46D7-A767-8A1D47D2D9A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997005E9-869E-4376-831D-E93887C2B2F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8E15650B-A9BD-47EE-9C64-5E9F4664EEA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DC9BE5B-13F6-41E8-874E-F974BA42CA9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9F5E6D1B-8389-496B-AEFF-C084A8DEDC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9E829B20-CA01-41D2-8E68-B7D86503FA6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B259F1F7-17DC-4DA4-8940-8CB1D80A30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101D2C02-0678-43CE-8A10-2251B099DC7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A2C59D46-23AF-409C-BCCA-483D1D24A1D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4B2CB375-E494-4032-85E9-17CF7AE8473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B60A96A4-1EF7-49D0-B633-079CC2019E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23431A61-AFA9-4DC9-AB4A-52EB0531684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1B180000-5936-420D-B6A1-5DA6DA1ECE6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DCF050B3-1B37-48C2-9CE4-2A010AC2DE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127DEC46-E49E-4FB7-99C7-1E17B2C3EF8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9236A6E-1568-4331-9CC7-A5A241D3ABE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3A7E2CFB-9641-48E3-B0EE-534EDC0B164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17311FEE-B37B-4958-A5E3-441D57E8650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1E07FCBB-4EB6-41E3-94BC-63E065AC2F7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1D8C5DE-F1DF-4D8D-804D-0ED6FE4F197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6DA00553-374C-4C5C-B188-E91C463FFF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4F415B51-C84E-4510-9044-92AC46C619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23C07CF0-5512-4003-A439-CA079BC031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5DDD139C-C6A9-4432-9994-50EBA96E22D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9009914B-2DD8-4215-B531-3679A72884D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AA15DAB6-CCC2-475A-8D88-8F68BA59DA9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77CF320E-F715-4D88-8523-122BABAD540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E4650CE3-394B-4DEF-B476-1F5B8F6136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D0AB8E3C-5E9B-4964-8A69-E02524187C1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2833572-022A-4637-A757-7C930C2853D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77F43E27-54B7-4B28-9739-F6E6653E82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A08ADC7F-8C15-450E-A781-0AA3286F532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F0696F56-8F0D-4D87-86D7-8C8B0565FD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369601E8-3799-4EB0-9A04-44B583B6DB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ACB5510D-02E9-4277-983D-AEEED65D16F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98F1BA3E-C62A-46EF-B2FE-7AF2617A55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51348C8F-5337-4C8E-8B16-D64CB8BE9C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75463497-9FD8-44E9-BDDB-7E169C904C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7055D6B7-431F-4B89-8F02-FE903077FE0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CA032C6-620F-4D39-9EF2-07E1A5F9275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AC5A6EE7-CF86-4E06-9AA3-F78874623AC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76473C5-A828-4C08-B6AD-42814BF266B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13A092B-132A-4F35-8D59-142156803C7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E1DA3690-D020-47AF-894E-AAE9605CF9D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15EF39C6-5D83-44D6-9AA1-F35C3E6E87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A1CDE821-CB2D-4C94-85DB-31F88F55A3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F52BA762-FD66-4670-8179-59E2A407BBE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64F61100-CFD5-49C9-9B63-A34E183B95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9790AD81-D726-434C-9A6D-F182FDD640D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343343FC-4231-4BD5-8E7E-4C82E20F47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7510FC4D-E534-4B6E-BF1C-BF4BE1F35FB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D341DEF3-0B8E-4D78-9038-D3E2D7A9364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11E34484-77AB-46C3-AFB4-CD505D790C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8912946B-F93B-4EAB-B17A-C966C5B2A78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56840B95-F73D-4DAF-B3C4-129AB9A5055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B17823A0-7D56-4FDF-B6D8-61BE38ECF07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D7C81A54-B405-4704-A8AF-6391A85ADA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7171D0FD-106A-49E6-97C7-BF4FA1A19F9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F43547CA-F2BC-4B66-8C67-806AB205A1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8F5F50F9-D102-4902-96B5-F15EB55819C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FB55415C-40CB-4375-97A8-DFF7F173CCE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20FA9E53-8E23-4F59-8E3B-10BE4E4AD60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40AE72D2-F47A-4DFD-B10F-611077DE4C4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9A1BB3F1-22E0-496C-AA1C-2EF6DD33F1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0DBE82FA-8A86-456F-A740-0AF5B71E7D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CC0ADA4F-BBB6-4898-A7BC-B048464D9FF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4E097D73-4583-417D-A769-4C6F3E3AEC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1B57AFD3-DC64-4E47-AF86-04C2D8F1985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ACA5CF0C-C436-4E47-ACF7-1E117DDC7D6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9A860234-3826-4C77-83B5-2923296DB05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3A383036-0D5E-4115-90A9-0B50C7445CC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B3B137B7-7573-41D4-B420-D96BC60A3D2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60837025-2AE7-4BE7-89BD-C4CF8DCFDD2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1F14259A-CDCF-40BA-9E76-6C237040F8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BF881CE4-BEF1-454B-BA07-ABF54036F7F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647450C4-BFFB-4495-91E9-BC1C189DECC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4C76A9FB-16E8-4BD2-ABF8-997AE224B7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CADFC70B-586F-44E8-9C5F-39208F2C951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1DFBD272-7F4E-4108-97C0-6316FA71B40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5CC3FCD9-5796-47B2-A284-6DA8A9AD61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CEFB17A9-CCD6-472A-AED3-C5EFF176AE2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93DAD933-1756-4B66-B818-90FDC5C9A21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C34D45B5-4387-4F1A-8486-FD8E6EACD90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BB6DA347-AB6C-4C75-9897-B72FCB8D3A3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33F86769-7010-4A4D-A48C-916BF392F2B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3E0F1CE1-FDD3-4DC5-B7C0-C4B52B01486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D9AD4F61-EE33-4B4E-BB0F-13D63A43F9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B1AC3195-0D95-48D5-B313-B4257AAFFEA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6B56424D-886C-4A1A-8D49-60C2271128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3DDC8494-854D-4095-9CC0-6972E58645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B8F6BF55-7BBD-4568-8A76-B93F6359FA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C50DD9E6-881D-4EC8-B36F-9A55DF1463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B7F64003-99F2-4C8C-8CF2-57562CFB49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DCF2E6C-5CBF-4D14-8EA6-D852B427E55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132D7513-0BB8-4D6E-A147-8BC71FAD9C7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0A75954-533D-4505-9A43-DED3A92640D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DCA8D5D5-EA3B-4EA2-935B-070A6FEC10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F387BD30-9A0E-40E3-92FE-7C3A5C6B74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38D2FF84-8F41-46B8-B0A2-4FEAB152031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C78EAFAD-4EF0-4B8C-B62D-88BC2F922C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DAFD61E1-640C-4562-AC4D-C6A87894D9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28A724AE-0C4C-4F0F-888C-73EF62182E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7E5F7E59-ACEF-41CC-8C97-B75DF6F6CF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19B00E9C-B9D4-4ADD-B95F-E79D145BB4F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4E2699E9-E899-4CAF-B646-F6C90C8E9D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23A6AB39-B623-414D-84D3-F8115CE98D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AF1BB010-5755-4EF0-A35F-42A190D80A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8E861D5-D10C-4EF4-829C-8CEF074F12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4618F6EF-BAC7-4809-BD02-79C707E205E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B6D1E841-C1F4-4559-AC33-3439988A00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D1A0C2B2-EFB1-4B27-B1B4-B7EB1E00D02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53FBCB0A-3912-47F3-9985-F830E979D5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4CA5D2BE-F66D-441E-8065-C6A413F2729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DB4E8C47-37A5-49BA-9EDB-2F9787AB969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D90F8B72-06F2-46A9-A21E-761D0C20E1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5087E34E-C706-4604-BE6F-A800B9450C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44F031EA-F48A-4A6D-9AE1-A1D1F61D79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47EB7F62-02C3-462D-AD44-B0A1475A3AC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3B0453FA-1741-41A7-A165-0891E0FE8D2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45ADDCE5-104B-46B4-B080-E5214039020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D1076BB3-2FBA-4834-A9DF-D55DDCF01A7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403D12F3-CF15-49C8-AAF8-ACD1497F37E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56AE865B-EEDA-4393-A99B-C06D05F4A4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D02E6354-FDF2-426F-9C3F-12E0CE3DF65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5F44BB21-1CAB-4041-89E5-BD973566F8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2423B13B-1623-4667-B16E-DCC58E6295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F3FB9A92-D406-4D6D-837A-FE6023B70A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AABD3B65-C070-4B68-B26E-35722DA8742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496E2D02-9B3F-475B-8122-02DC7A88E9D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40F22E28-D5B6-431B-847C-89AD0F6A99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45CDC02A-6EBA-4C39-82B8-C6E0BD7083F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31406D6A-672E-4E98-831D-C5FA2F916C6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8230F672-25E5-4E37-8C2C-F4CD5D51E19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538A42A2-0FB2-4BBA-8C9F-D831810940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7260FDA4-4825-4146-95DD-52D82369F2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5E04A474-7B09-489D-9000-BB48B6982E3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9375A804-4E9A-4CA3-888C-72EF6844509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959BF6C2-7151-4EB1-9D1C-ADF3FCA148D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F51C4302-8130-4584-8C4F-DA92AAE121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DBFD881F-5DCA-4837-9978-12FA2FD2210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BC294C5F-010A-4DBF-BF11-1CA41FD83B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BFDD6E2B-5699-4FBB-A419-5C678A888C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9D085A95-2229-41C7-9393-872D5BDA93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7B4EA635-260B-4324-864F-F5E198E792C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51D25EED-0BC4-443D-A1B1-F2DCA3B9CB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8DE59F9A-1BA2-4969-B9F1-56D82806ABA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4863B698-D646-4667-9C8B-7E7F5E5524C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4EEB15C3-0D35-494B-A53E-5401CD127B5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D7B45C59-B1B9-4D18-AAC6-86077F18E46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B9D3138F-5139-4220-A6C0-7EDD07C7AD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B32091BB-D155-4E90-9373-B404C26B04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E289F8F6-5994-42E6-9D64-DE0B750BED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90037778-5725-4EF9-B95D-1EDB3C2FC87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424955B3-1579-4550-B2F9-5222BAC21D2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69CA0037-6003-47D9-A46C-15B7B49FE6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3B57CA9D-C599-4B59-96F6-649788F20A3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07C9B852-537D-4628-AE4E-B20EF6A45A4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8F4D0EFA-D658-46F2-A5C4-946C76DE3C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3301B102-6C42-4264-9F8F-B8FFCDD2DE5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84AFCC11-5C41-45CE-85DA-ECA910ED8B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83970068-A473-4A8C-8890-8C3A4A8BD1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8058CC36-7357-45D9-980B-F7D7B9768BC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4D939EBB-96D3-4CA1-889A-F0DFA1995FD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D2D317B3-D0BE-4042-95D9-5956E8AFC05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BA81CCDA-26F9-4CA7-B600-C6D974C8591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C42AB203-7BF8-4B31-8B3B-52EB7D1CEDF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07D3BB34-1993-46B7-8677-B0D536C521F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DEF0D594-E31F-462F-9841-D26B2E9EF28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4AAE1201-7423-498E-8CDD-508E98A1FAA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C7BF9290-BFEF-4DD9-910E-1EA40E64A7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5129AF76-FE75-4D5B-AA37-F26FB931EE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CA2AC4BA-753E-45CE-8258-B890B6BAE43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92F08A24-0D3D-4F13-AA03-71BAAC979BA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E7DFE5AB-8252-499F-BDC1-4FE8EDB919C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CB3BB254-8F05-4035-8D3E-E30CB1E8D93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92553D2F-3ABC-4CD7-B7A2-ED947D1D5D0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369CCFEA-FF67-4129-934E-FD7550BA5F4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11A78321-0716-4F19-9F5E-C65CD8797CD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F5E74961-274C-4176-8CEC-2DFD6F8F5F5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9BE4CF18-9C9E-4467-AB8C-2713BF4A07F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E9AFC9C8-8911-4C04-85F0-FE6069955E2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39AA79CF-FFA6-490A-BDF0-9CA9A8CB754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D3BDB929-CE39-4156-8D31-69B26F39521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25C674D3-03ED-4CB1-87A2-F2086AF80A0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8DCF1AFB-4EEA-4587-B420-EC4E37850D8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8A49529C-5422-43C1-9570-3BC7B5538B0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5A98FF3D-CEE6-47E7-B2F3-AAC45F7814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6984B168-E419-4370-B5C5-6247F9F1BB7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89A00E8F-7483-4228-8558-5273F1492C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169D2E54-D2EC-47ED-83A4-B267CCCEBC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DE130E7B-3F4B-4DE8-BF75-44C20212117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2B3FC426-D017-4F9B-ACAD-9B277EF6AC0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E28DF935-1E64-4168-83D7-83DB59418FA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282A8C13-D2C6-47DD-B4D3-8235708DA71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763ED7E3-9A6F-4F36-A45E-5FA0B64DB17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5FDB1BF9-B6E9-4BEF-9009-B9FC96CCE46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38568930-1B35-4BF0-ACD8-947434B614E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248B0CF6-C977-4A4C-A9A7-792713307EC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FA384635-5DB0-47AA-81A6-35548849685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BB9156EC-23F8-4CB7-B9B4-F7D3AABA3E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77C2A9F6-29EE-46E7-9E61-ECAEA1D69AA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263350D4-8E89-4CCA-AD39-13B2C67C321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D50B1585-21E7-40B8-8406-0E3F7660F66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B586BE7C-2577-490E-B683-7B8171AB4BB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FBC98C3B-40A5-43F9-8846-BD6392405D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250608D8-8C46-4482-8B32-AA098DED660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246435E9-7623-41B8-B274-7EF7416C56A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26B8822E-EA09-4D7B-9215-46EC2316C74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FBBAD686-0601-4F5B-87B8-E0FE52A53D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91DB6FA5-85E4-4C1E-A8F0-717CD1139F1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7A2DC76A-C265-48BA-A935-360AF98F1E1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58F52CE2-86F7-4EBF-95DE-DF5BA3064F6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2D715F6B-8FF0-4305-BFFF-A692AAC8773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4C2DB8E6-A3A3-4F8E-8BFB-89B05C3ABF8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1BFA163D-5A5E-4F26-9C4B-504302B5FE3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EFC33305-5426-4185-9733-419DEE3C6DC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3D20DB98-42EF-49CF-869D-A42B16FC47B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CDB6D43E-994D-45F0-8891-D7B814B8830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AA6C79EC-4551-4454-ADBF-055B8636562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63567253-C22A-40FA-BD3E-E86419E2D2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4E5F3D2A-E8F0-452D-83F5-90AAA5B6BC4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051A33EE-8E17-44FA-B8C8-03AF0ABC80A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141758D3-D8BF-4B11-B68B-CFFF2469580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2E09DB1E-B0BC-40BF-8D23-F446903C4BC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9AA3273E-6119-494D-98D2-053A4A8A6F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9DA5B318-2209-4637-A01C-14FDF2EEA12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EA8A4DF3-4DF7-490C-A5C1-EF54E5CCA0A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105DBE8-B615-486C-9E5D-CC55445D7B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65ABCB6F-F84B-496F-815C-7B3A1CF4E46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044CDA51-B2C1-4F36-AA22-0AC6B552620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C358C8DD-559A-44BF-A8FC-356F302A151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3833074B-780D-4749-AB87-4A39A7BEE4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852CD88E-74AE-464E-8B6D-2420D33B015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8C0D378D-E07D-4A89-BD2E-793B026C492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998FCF9-104C-460B-A910-FF67C985FF4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54A3A21A-6D80-474C-AACE-98C1859026B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EEF890D5-B8D2-4AF5-819E-2C7E909B69B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68E3CA44-97DD-4661-864E-F3413EC2D0B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92D1DEB3-73A7-421A-94DD-973E3789D8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0AE88F32-68EA-43FE-97DB-D41EDED90A3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F6E2692B-7D27-40A5-AACF-7887333AD27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FF0C1D05-78DC-4E5F-93D3-8654AAD040B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382765FB-A9E1-4E17-8BEA-A4BB71AECA6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75C034BD-3150-476A-B3E9-D42694D1162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C8D9F32F-BE1E-42D1-90ED-66CA4F4426E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CCC03CEF-41A4-4C41-8D87-00BDE7A25CE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CFCBCF2D-DACE-4BC7-A8F9-99B40CF04F9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CDE3A05A-3911-44E4-91DE-52B6BC334DF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B1249A7F-897D-4BBC-9CFD-AACC6A97ED5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E9BDABB1-0DC4-47DF-9664-DC5D4DD1132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BC6FD34C-A0A7-48AA-9F30-6A87D344626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03DF9C54-EF36-4A28-B694-758489A7C71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EEC04790-E0E5-49FA-B9B9-6CAC27B99AA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5EB7CB47-E39B-4F1F-B60D-7118B701B8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DBC40D87-297D-45C9-A093-009C634873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382781D3-A30E-4BEF-929E-60BE0963A4E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2A6816AF-5AFB-4220-AE4D-8E819571D0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5C71D9B2-F7F8-4CAE-9778-393A38A0AA0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120C542F-9530-4382-AA83-A9F1449D2B7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368F8481-9254-4427-A36E-4624F0951B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9AFA6BB6-EE25-41D8-903F-552336BD8D7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BE7017E0-68BA-4EEA-9874-19BC9836096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FDA1D1EB-E9CA-4F91-BD1B-7CBC4823DA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1E1ED19A-0A82-4490-A81B-276E35180D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363DEC43-A355-47FF-B524-5F276E4ED3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5F6D5D8A-E7C8-4F3D-A2B4-05A28A9019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A03DF89-FBE9-46E6-8D85-A431727177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DA131F68-29B1-4D93-A5C6-76C39FA93B2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150AE2DC-52CF-4A22-AC84-F2822BEC8F9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AD91E007-0942-4867-8239-90AA183C9BA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41308270-6943-4DF1-A6A0-DB47A52107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90B2B4F2-7065-4B8C-9EBA-49A709A27B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9B6A24B1-59E1-4A6A-B675-E69FFDDCD7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121DC801-07B9-4294-BF03-188F173F4D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C95EC732-596E-41B0-AFC5-792408F192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CE6C8A0A-A882-4CA9-82BE-6643A96F792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4219A174-3C2C-46E9-B2A3-66DD519C2C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AC942ACD-C140-40A9-88FB-1F22E02EDD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59120C01-1B11-4293-A516-B45A8BB2010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B73A731D-B9C9-4E6B-9A29-11CD30C643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B5742871-297D-470B-8688-B8E920B2BD0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DD82C121-89D3-4CD5-8F38-3C7777C54A0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6FF1976D-F964-47F4-A5D7-E5DAA10C30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14A486FA-7DE8-4B31-8789-614F2A93395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5FCB101F-A4CC-4A0F-B030-E3CC676BB38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C3C81124-C544-401B-A02C-67947B6BAE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A1639F3B-2AD2-42B7-BF05-FEA59803AFE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B13A135E-38D5-4FD4-B1BE-71D0BB5F0AB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2542A7C1-8CAE-49CE-8D04-19558904FE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D722F31F-5179-440C-A37E-7FA6B4C7080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E55D996C-170F-4948-AB8F-1107EE1249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705BB2FC-7BEE-45D9-89BA-EFD9A6D1E98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91C86AC2-5C13-4AC2-B2DF-274BE8B4347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D3DB3397-80CC-4489-ABCD-AB312F78804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98BB4737-5B86-41F7-91CE-58B679960B1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EE9FE56D-3BD6-4E98-9C89-9192C24B836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00740086-10EE-4494-917D-C4C3CDAF995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E4068956-485E-4DCD-BCC2-51928DBD34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D51DB1ED-FB72-4CA3-A973-548EBB63E2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7CE9B2A7-4E5E-4F9B-A6AC-F8A427D8A14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1F090AB6-9BDF-45B4-9780-3ACB179FC1D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6B2B1CCB-9E04-47F0-8990-C6CDE9A3815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0155BD1B-11D7-44A1-A7DF-23501257932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4858B329-D284-46C1-A2F7-5F36F7300A9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39285E64-394C-4DA5-935D-AE899E3453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67F61862-E796-438E-BC98-8154F145D6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6E346759-A0C2-4793-A16B-55CABEFC3C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57076E68-8D02-4669-818E-4B528C890E1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56EC9EC8-5FE1-4C5D-9579-AD2273DACB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ED51DB4B-FB38-4317-A115-615DEE3207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AAC90DE7-8253-4229-85DD-C02AAFD6256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23C45FA6-49BA-40E8-A647-7197EB2F21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E64BD404-4EF3-45C7-BE2E-F9E18576A6C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A8D7F0CE-B321-400C-B372-D0FB49F0AB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10EC0D8C-F786-42B8-AF1F-E8522CD285B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86DECD10-B757-4D63-80CA-6B91374C39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1F24B002-96B2-4366-987B-4F1E00FEB9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358DEE39-CB18-490E-BF0B-B5E08E7DC5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C7349254-6BCB-4C5B-BD32-84C18F3554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18E6CD4F-A253-414B-8AA3-493BCBEF2AB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AD282EB2-E6B5-4BFA-9E12-C078C6C1EE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E7C1E47D-D58C-40D9-9B3A-3E4714E9C19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A7068FD4-5F34-48FA-B19A-A9818B114AD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5F72DC51-4B7B-4AE9-96A4-5609C081BF3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27C5B613-27AB-4A71-9967-9974DF9070B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E5EFC20E-D57E-426A-AAF8-7ED76D3535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7F4D6F04-1199-422A-AC67-CBB262E04EA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AD3A7F20-7F3F-47BA-990C-FA64BE4047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93F2DC71-8965-404C-B1BD-2D79460D166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17A5EBCD-A286-4A34-A5F8-F2BD7DE352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586909E9-7C50-473A-A8CC-D05D583C17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9BB0913-7745-463B-88AF-D5AFE644E3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A8CF8912-BF10-44AB-9468-49F6C06D35A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8CC4E789-570D-4F4D-8289-D01F82D40D3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F97769CE-9BC1-43DB-A7B1-391B6BD483B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48372E62-96DF-4666-B6D4-5F277B11EF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03BE91BC-AC7A-4EFD-BB9F-2714C1D8AFE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0F788896-DACE-4276-B147-89B06A7CAC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0DCC78E3-55C0-4885-9DEE-66B36AA3B3F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A28977EA-1FE4-4446-945B-0626496585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71761709-8CF1-488D-9202-A31A79DC55D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1DD06E0F-0FCF-4E82-86F7-0050672FB6A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655A8DF7-F64B-4289-94FA-39FFA82AD9F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CCE9F14C-F2A1-404F-9B72-C88191A3FA3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CC91822C-6868-4287-AD3E-9A800BC876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28E233CA-27F6-4A89-BBD8-21BD69E484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2F2BF4E9-FB25-4A1E-9B86-9B075EA3BF3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E3E22D24-807B-4E5D-B82F-192AD5B736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3671A770-45E0-4277-BA34-AA9DE4D70E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62C9C7BB-241F-4E4A-A59E-84D2A069096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68AE6066-C366-4606-83E8-5826718A80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C1010613-4805-4602-8695-029A6210787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069D67E6-7D20-4C93-AFF3-554536A6318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C44E95AE-C167-4A6A-A695-CF30C8F1405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CC53AF5A-34EA-48E5-A4EB-CDD85BCB6C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E79D6089-80A4-4A3B-B113-AC33B74ED9C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CD470877-611D-4A71-895C-419E814C0F6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FB43EE37-BC75-46A7-A235-E549CBB238D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5DE02A8-F5B8-4202-B75D-263405C33B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46E1C5CE-5E33-4FEA-BD2A-D9681EB505A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CAECB129-0C91-4E81-A930-987E1AE27E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30DECF23-FC28-4F9B-B019-3EF19C029A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4859E335-E1A9-41C6-A250-B36704D86A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C1041158-222C-4D0A-A1D6-A269F297B85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F9EBA7E5-0DE8-42B8-A624-B12C5B7A50B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B5B2886F-0BE6-47EE-8BE3-0D440C1E1C4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A00D6A9D-AE6D-41BB-A225-A4D97080C94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83332D62-7C9C-4128-B8AB-0C1D5A8A12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2FD50B65-7D6B-410F-916D-7B2BE39474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3F0B2446-17D1-484C-B448-C21AC736873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8BC1B4FE-978C-4267-88B8-4D82D1028B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C7FEED6F-31FC-4E32-9963-86DB5C372BE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56F710D2-1DF9-4E74-B294-5D4B1F6248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71D43CA0-765F-435C-A502-6B308779B9E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E15C0C9-EA85-4A85-8F80-CF7EFD5CF10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315EDA17-ED97-4D75-9FED-F7350109D29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300533C6-750B-4671-A812-BE8B8E7CE7E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CDDFE213-F6C6-464C-B1D9-A88FFB3611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08716DA1-94B7-4847-B2DB-9FC56B32023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F1FC353-4A4B-4945-911F-E55CB0090C7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34A48367-336A-45D3-BD13-C3AE6D1D1E2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BB678CC-2E40-487E-9346-16B10C3050B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BA3B1A62-34C7-4247-8137-60546F7238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C3FF32A-8617-4200-8B9C-D92A1CDC289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BD843D06-1C2F-4693-A033-CFCAD4B004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481A52EF-C985-48E3-A80B-44C1518A10E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E824856F-B522-4514-AAAF-54E8E70A878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18CE301F-E774-4FD5-9FF8-DAED3F057B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53165F2E-BA41-4C22-AB04-BD3F1CBE5AA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61081419-490B-4BB6-8B86-79DE7F3A21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DDF04E21-AC75-423A-BC67-DA948EDDD81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1A5A69F6-C2F8-4430-AEE5-03B17C3E3D2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931365F8-3696-4592-9709-FF865B0508B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107BDAF2-E6AA-4E85-AB7A-962CAA0F4D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9F01FA20-2BCE-45B2-B2D3-52139CB6A9F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04899654-4A37-4F66-B59A-3E3DBC1A45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DB5787B1-C9A6-4B2D-B1D6-3B7C4F52E29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ACBCE519-C6B9-4910-A8EB-2BFBCD686EC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252E6F48-FFD2-413A-B8FC-19A2586647D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4709F5C3-1955-46D0-8761-C673F1EC66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AB283A09-B567-4FBE-851A-96D13956100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9D0250B8-7A45-40FA-A5E5-01F605A1BF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1CB4BDC2-4957-40C2-83E1-51B8C803C2B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74AD63BB-B4BA-4751-B698-7C72ECC5A52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5549183E-F642-45A3-9368-AEAB67305B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18F60BA0-9441-4E0C-84EC-CB2A843966B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F1D0A1E8-22A2-4EF4-8072-16808A69838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9FF15BCF-48B1-464D-987A-E227A0FB61E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E3439F62-8ADA-459F-8613-CA090B0F46C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2FBC7B84-92FE-481C-8B32-4277496BB86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19B653C6-B0D2-49DD-865C-42556B3C1F3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B200E41A-E6FA-4F81-826E-507FBD5D553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26BBB986-DF15-4EF2-8F15-705D092F6A5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DDCAE104-C779-41AA-A67F-73EBACE47C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AD9A41BF-3D5B-485C-B232-F0BA8623258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DE56BD10-DE43-42CB-BFD0-A790F737876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F3495F44-2CDD-46F1-A30B-D4FC9CDB4FE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13553F0A-9A84-47B0-BD4D-9090846B496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A094CAD6-2697-4098-8DCE-DFFF28D53D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9C4EEF69-D9A5-4425-8820-AEF7A44988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0A309D29-3864-4EBB-8B3B-1DA8D3EA38C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B36B296B-20B5-4A43-B2D4-FF6ADEC2092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1229CFC4-3D69-4E48-AC37-62868FE0946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95A17760-DFBD-4E81-B019-6DE8CFBDF8E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C73BF840-06D5-491E-8405-3B64AA2E19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2792514D-4369-446D-B59C-4D48794D3DE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25CB6B49-040C-4FC1-8D9A-5111BEB73B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4E212243-534F-456E-A5BB-E85A7A9C4A8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690547E9-5130-4F82-9B07-CE781312FB2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899AF3B0-8C13-46CC-AFFA-A0940B72747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4CBA8E6F-C0E7-4309-AF82-E87B5E99584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D58C472A-5376-4F76-AFC6-373FEDA68F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B310D7E2-731D-4B2A-B1A5-13FF19F04FD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FFF76DDB-3ECD-4032-A7DD-44BA9AEF6C0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9A6913D1-7AB0-4101-8146-56AFE16AC64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4A63307A-D058-4F33-B5BC-260B928DDBA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F0DB4787-BC6B-4BA0-89B9-8DCDD5B5D10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D68EC688-B6A9-40CB-A1B5-7633B714D34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5257348E-F9FD-425C-AB0C-7107B0D02A6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2C04B823-8423-40FD-A8CA-7443070E001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40A5930C-CE57-40DE-95D7-F6FD6D27C18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57461112-CEAA-4417-A44B-5D696633F4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8794A7AD-14BB-479B-BBC3-10B62BEA137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C5D4BEFD-BD52-4E44-B452-17ECA6EF89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44D6958C-B6AD-42C2-BAD5-58E0E0CE3D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9CD69606-0261-4AF5-84A2-C23D90B57B3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5309AD42-7A67-44F4-8088-FD7C38A85D1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C415BB47-D587-4F7D-B5F3-610C609F80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B3FF9765-FBB2-4B8E-B291-E6746A421B4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D71A2EA7-934D-4E81-B32B-65653928C5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FAA1B03C-6670-46F5-A161-CB618FD72F5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B9DC335A-83D2-4F2D-B7FC-A288CA0C343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813181B5-D959-4E15-B23B-94C84E1032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0CBB749-D84C-40C2-88D4-68B44621B5C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2F20C3FD-E117-4E36-A41B-E4252198140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6CCCB6D5-D881-40F8-A1BA-AC01339E9D5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3B82DB30-3E99-4B8A-94A7-9E5F21B1CCE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3907A89-D9E2-46C7-AAE3-EBF4B1BEB70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6810AC6-B6B4-4C00-8C6F-CF2D657C92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8206ED79-AFE3-42EE-97AC-26AB9314C7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46703423-0309-4A60-9AAE-03CC78E5B5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1AB77979-E7B5-491B-B04D-4BBECCB6151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F0A78F52-E7E9-4318-8287-3B7B0C691BF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860773BF-612A-4B99-8E18-AF3F8DABA9B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8B0C1DFC-1FFD-4146-BFA1-D8803E74AA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36E1F4D4-10DC-4D59-8445-9C37ABF412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9DD0CE4B-1D67-4EB0-8FF9-1611291A75B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D1AB6206-7C66-4A9D-8459-CF787055617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FE8B77B3-E9D5-4CBA-A11D-1F7F7977D0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8070DBB3-A293-4A0C-BFEB-9DAC7B3727F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8E2A73F5-8BFF-4ADE-BA64-A6C78CC6469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F9B4D3E2-2F74-44CD-8AFB-3C8176E37AA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A823FED1-CDD7-4DBB-82E5-1A720E9993D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34C9BA8A-6788-4EBE-ADC5-8274F1064B0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1A336EDE-8E6E-410A-AF99-8BFC4BF5C7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F243A6C3-B255-43EE-AFB3-B1065C572E9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8E69D54D-1B29-4850-B73D-7EDC60FF00E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C04CF68E-B68A-4833-AF96-AD9B71417E9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E6E287FB-BF99-4B79-AC41-BAAB424DDC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EF0F42DE-BCDC-44EF-A090-E5B61A497D8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DC169DCB-9052-4EC5-B5E9-BCA5FC5E6A9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03873858-9A09-49E7-A946-444E88C7AF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621AF10D-B554-4B27-BF98-82E9581D14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5C8175EE-BCDD-44C4-84DC-FC3D05F89E7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E2632644-6746-418F-A281-5571C981EAC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F9FB98E-A3BD-4AA9-906C-C1EAB284E76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18560F78-22FE-4ECC-94FF-27C3C89B3E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0AFCC3BE-EFCD-4929-98A6-59318E51714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CD0447DF-3051-4CA8-B4E2-189AF75DA6F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D01EBAD9-9C37-4214-ACFE-58B4C7CC24F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DF052533-BFD4-4C6C-BCB9-E731D2D26AB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5CE15B3D-36E2-407F-A17D-4B63B9F8CF8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8B848EE3-CD8E-4BBC-8349-978BAAE05E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20183AC6-BE66-40F2-BB18-025FEBA9770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DB015756-D145-4BE8-93EB-50BFDAABDA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CDF2D6F6-793A-49A4-9AB2-A9256D5B35B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C0E851F1-BE2B-4DD2-9A58-FD75833B23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C71A3AAC-CEE9-4B01-8D35-D64994CF19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BB7E7D9F-3235-4179-BDC9-10DDBEC68D1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BA4D6D8C-A8CA-49E7-9E3E-DCB4D28E92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6BEE885B-CD0D-4588-A6E9-12BAD56F2BB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C0196895-292E-4708-B96E-2E28EEB143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36D60271-EA68-4AC0-89D2-43309B27B93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07DAD3C3-5747-4ECC-A463-F3160C95C03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555A11F9-5175-430F-A7F3-B8B8BA56A3D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55CA718D-8429-4BBA-9FC5-04ABD655E8C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DA8F26DB-1A18-4F1C-A004-7B0E06B2991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9BBA8F95-E120-459F-BDE7-1BC54B2A84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EB92CD74-1FE8-4DE2-880D-BBFFCDEC892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90C1D47D-9FA0-470A-A081-2D0F432041F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D294DD8C-E415-4DF0-B712-2DD39562DC3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A9550285-0358-43AB-8DB1-4E0C1C1266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4E9E58B6-8236-485B-B67F-BE92DB0A19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86B2BEF1-10A2-4DC0-9FD0-352E15199D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C8DA6D06-5FA1-43A2-BB1D-7D23F5DF75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76984BBA-1291-4B49-BA43-1ADE0C32001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2F47989D-3BA0-4753-85AD-DB175EECA5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A68B2226-BC83-4D49-B431-96D12E995A8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48E61114-B025-450A-96B5-B5ACA4E2974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1EB6E422-5CDE-45DD-B76A-45D961803E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4E038658-D865-4FF6-8853-14C8AC8F67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BD3E5BFF-0150-461B-8C50-CA2A960409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109E044E-F973-4E34-AEFB-BD3150220B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7C421EF1-2884-418F-BF9C-67E07A2E00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6C54D963-BE3F-4249-9564-D24B028FAD4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821EDC18-1185-462B-94C2-4256FA497B1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503F1D2B-5DF0-4275-B5BD-7D39798F1C1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572D5FBA-FE2C-41FB-BE27-80E834356B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A326AFB8-3404-4C95-9481-6778D9077B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C1E530C9-24E6-4D9C-9AB6-3A1FC76A1B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1775C58B-07B2-4E15-A4B3-CB442E43AC3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1703A679-E817-460D-957B-7C0E9CF1C39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817C5126-0D7F-43A3-9CB1-3716CCB469A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68986274-E741-4933-A1D2-C5ACDC64B9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410E00D0-B631-4704-B359-D21057D6E17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8059CF6-C914-43B4-A23A-959E77D1F1F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ADCC56F6-C598-46EC-A365-E4197E3007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31F2FE27-CF24-4D60-A676-CA867420507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700E4CB3-A6C7-409A-930B-43CCBB86BB2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E6362A06-3013-46F7-A0CB-7BDDBEF161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5CBF04C1-454D-48CA-91E8-82C0582BD11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22BA2301-D4C2-4C13-899C-F9ADBAE98CE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D716CF30-5B05-4A13-9D81-A6EF56403B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026FC136-5AF2-4667-9F73-5A7D0D26FA4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04C2A0AB-1841-45F1-B325-6134B1592BB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55E94ED-38A3-4071-8F63-D9C2AA134E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3A356191-ADC1-4AC7-8EF0-0B92C9173C8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270B2AA5-8875-454F-A9E3-C114C8A8E85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D3BBED36-3871-44FA-82F1-06FD4CA9395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193E22F1-FED5-47E7-A62F-E2710F348B4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0DC7D16B-15A4-42B3-AA73-8494F415A3A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C544D505-9665-4195-9A4A-211F94C155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2F7FE3B-97B3-440F-8F49-C92B5D01601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F7DC7AF9-3B43-45BF-93A2-3460A76C9C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27B09A7B-4923-4784-8FCD-21ABA4FDAC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9715E1FE-0E98-441B-B6D7-6864B3B965F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84712331-78B8-498B-A5A5-A33D3EDA648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F870DFF6-6082-4F49-823B-231DD5B024B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12E3FC27-5E74-4BA3-BED2-C0EBEFABECC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A766843E-4EA0-42FC-8EFA-76A853EA3EF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DDD01928-6727-491F-919B-3612E6862F0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9ABDE368-ADF4-442E-A5C9-A337EC07E35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206B6834-6608-4F06-98F8-0FFF508797C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9A99EB91-B946-4E01-AE2D-3F4F77BE2AC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D2C4CEA3-2BA3-46D3-B587-06FB2CED87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E69C0959-3AF4-4EDE-ABA5-B82BCB940BA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060ADE04-E679-4364-995F-90E7F13A37E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5097A634-593C-4F0B-B194-E0CB3B7BF97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5C7E8BA7-8115-4AD1-AC29-ACA04FDC02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2E77D471-E94A-463F-9C63-CAB594A957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79890E26-4D59-4F8D-B31B-369C0BD5B40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B7D25AF7-9217-413C-8F74-1CC824C48F1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06F64622-AC22-4817-A7AE-E114AF2A195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6D1CE84C-E8C7-4193-BE0E-87223E1128A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38738C99-203D-4372-8DAA-9A250238875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36669BD8-AB14-405B-A855-804F002FB87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2BEE571C-3C25-4E4A-9A08-FE0C9C98813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B9E00094-2425-41EE-A5B0-AD226EC3926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553F1ACE-1B2F-4E15-9354-BE04BDFA721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730526B1-AD13-4604-87BF-667D4A433F1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42689FF9-4DB5-4E63-896C-0C297B2DCE4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9A44EA95-CD30-4646-97BE-6F67A209C6F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374F1542-8952-4CCE-8715-1209F93646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56B5FC9B-4337-45B3-97EF-83BE53581AB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6FEE3EB0-6BB4-4B41-8C6D-FFF4CE2316A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407BE207-02E2-4284-9EAD-07AD6141B1A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A743D64A-C479-404B-B902-5036428771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C8A5F074-8CC9-4387-A881-217C34B53CE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E80E8563-57AF-4089-928A-08B11271434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5F454387-91AD-47C5-ACB8-8AB801E9980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84A65CAD-EEB0-4342-92D5-CA2A15D06BB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338EA09B-5741-47B4-A972-BB9A68C69D7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6CEA075E-C698-465C-94E1-2C68FD3E292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D4131753-89B1-4AD8-BAC8-7FD04011DA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3EEEF551-3AF8-4080-A612-FFFEB471FFB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E4C236B6-8E1B-4E92-A8E4-8E7DADAD32E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3F409AB-A52C-4C4A-81F4-8CE8648C715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DAC59E4D-DF46-44BA-9447-6326D7BAC47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DE052DF3-FCCB-4B78-B763-740FAD11A53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39D2E816-274C-4FD1-B334-BEADE693219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DEB5D4EB-D356-4826-BC63-DFAC36D5F4D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4A8EE7E7-587E-462B-97ED-32D0D5EA7C2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35B5F972-D560-413F-868B-6BBAEF2CE50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F47070C9-7F2A-46E3-9FEA-427EEED048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B62C7ABE-8495-4547-88B3-ECF3B5480BD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536E6581-36AF-466E-A8D3-26C8C5D9C43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CC8B1A96-E0DA-4B1A-A4EC-51F2FC564CF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0D32A4C2-A9F2-48BC-B84E-DEF88A7D7DC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E9B7CA57-AC83-41BE-B6C9-330662C19C7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C1A2BC92-6EC5-4E15-91A0-659D1BD6E58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E41C2709-88B3-4513-8B59-E5FAD73D039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2F739872-EC84-41F0-B74D-05CC69E175F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DFC80796-C70C-4039-8EAC-58376ED276F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5B5EFEBD-D2B6-4597-9B77-D2D9AF9CF02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6ADFDC23-FA5E-4E70-81B5-3F61D662C8C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B5B9666E-2CB6-4823-82B9-CE68AE60A7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176CBFC1-AB30-40C3-8B10-C2526FC865D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C22CA1A8-0195-4D77-8C51-0A22D965BC2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2FDC4050-1277-45BF-BBE4-A91994CE266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C3E433FA-C78A-4A92-93BA-BB3570E2456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5ACA1269-180D-4003-9CCA-7049D84DB97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4F3A2054-CBD0-48C3-B126-6BC5650E299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A1CF5100-2168-4CBA-AEFA-DD2AA4B9F87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12E9197F-7CC2-4979-8039-139A89D0620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631A8805-7C1F-4D31-87BC-8CC8159F68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0D51DFF0-9ED1-488F-94C0-287F7317559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D19FAF55-E074-4E2A-950E-86E4142BF2B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C3787A89-CF68-44BB-BF57-2AAA17BA052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5B938E7E-E21F-470C-B238-942417F9517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BA863998-80B1-488D-AAD6-C79223E7FD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3EA1A4D2-8D36-42F7-A094-CCB056EFF09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00328B81-2B53-4B80-A0FE-20B90A1A25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70D39811-6498-461A-B759-294ED1DC7F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ED2087BC-ED6C-4CCC-AD1D-C5D0462981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E282A9F6-E5EF-48FC-BBCB-79665DF399F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5212310-49D3-43EF-893E-82A3F1484A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2BD689FA-034F-4A34-B96D-F87FB0647B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55D3AB32-AFFE-457E-93BF-8E51AB58E73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12524ACA-8282-4B44-B52E-7B35910D661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275DF827-6DB8-4F94-8D42-8B4AE384329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7480EFF5-941F-4782-8429-9AF9655CE65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8941814C-649C-4703-B264-5BB630A6AEE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56155DED-3B15-40FE-9040-81561F3D4A0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C1D796F1-2002-43FE-B6B4-9B6DB36BBF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DB56B037-3B13-46B9-AED5-D9FC4CC7E94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668F2356-194C-41EC-AE46-D20ED93D06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3C81D3BB-9B15-46BF-8473-412137395C6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CA1B2604-0101-4E26-B525-C41353E1447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6F8D892A-12F5-4B48-80F7-140ED5703FD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8CBCFB84-AB27-4C49-9088-82C5846DE4F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13C9E645-D484-4AE3-A3B3-E1D5217197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52FE4286-F835-4C47-9FD6-4F68BCA3C16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1B4032F5-9F80-456E-B0F0-16C1E3D6CD1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7E014010-59B6-4A54-BB3D-C12D5112E6B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26891CDC-1D83-4818-AF8E-80F3B355EA6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CD25AE1B-CC83-4D45-B862-44F975582E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F5AFF00B-957B-47C0-9397-606EEC6291F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8E631BA8-A70C-4D4F-A8A0-A20860695ED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57F359DA-DBA6-4F2D-BBFC-E026645452C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2396C3D8-5CC1-454E-9753-78947C21BE6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2FCCFA71-7684-423F-94EE-EED1D965229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834847FD-6E28-4BAF-B370-3052753B4D0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DDA3072C-D33B-4E05-9360-927AB92C61D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27B487E3-336E-4742-8AAB-0D7157BA040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456C93B-5214-4C8A-A477-2CE96730EF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83B9CF7B-CA8A-4523-8B2C-E2E0B909451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E69EA2F1-AD71-4442-B75C-7F91A1D2175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D3C25623-AA4C-46E0-BBC0-41C0F4646B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63804BCC-FEC2-47C4-A63E-EC93C3510AF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71D75E18-56F6-46D1-906E-CA4DD6563EC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FE708C4F-838E-4B27-94FD-3C1FBABB74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5E7B7CE2-8E21-4B81-BCF9-88405C15D4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33404B9E-B4D8-4872-99B8-08D19E219E4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D969297C-12F8-45C1-A6A7-FB63A7D97D2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8FAF2BCC-21F0-49A0-82B2-7BD0B464973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E90EBD94-0961-48CA-AE2F-4BF3CB6B450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981160FF-69D1-40B1-8390-39D616000B7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522F3B11-9CF3-4767-B5F9-11BA8A11BC0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17EACFB7-8EC7-4F92-8102-917C3F3137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D3E2B464-2EFB-424E-B2A0-A170396311A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7895E0CC-1582-4BC1-A3A1-995D6D9E29C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E5CEF2B6-EAB2-4801-889C-00EAF3B36F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5C8BB6EB-C68C-4B7E-B29D-529DBFD1F38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9B8EE009-E1E2-4F16-9FE3-00B9D4726EF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23458C27-E67E-4618-935D-48F16571E36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9EDFF414-ADB4-4B6F-B17B-93F7E8EAF8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1932A91C-DECF-43A3-B7D9-5B5C8FDE00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789FBF61-D802-4E3C-BA35-023135F6F8D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5E95C469-7952-4DD7-9A8D-EDBD35D535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8142CBA9-E495-4AF0-87FE-9C6DF400B4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FE19B74E-417A-4DAB-8ACF-3DA98BF0B1F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0F3315D9-B3E7-4A3F-B0D6-29B73D2005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7F11F4E9-FF5D-46F0-A44D-510D8F1842C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31B54D2A-A74A-4226-AB13-63364B1B61D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EFCD0BA3-E874-4C40-BD73-B8ABBA768A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DFB4410D-0E91-4036-A838-EC3109E6E7C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0297C079-D84C-4CBC-8347-E4BDF844BD1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7C7BC8F1-CD61-4A7C-BBE5-838688DF6D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A7969762-E6E3-4225-A5BF-D0DE8A01DF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CF59F105-8FE1-4F41-A22E-7F0282C1FE7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AF3BC240-1FE1-4E52-89EF-E37D755718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A4CA1B63-5095-46DC-A3E5-B8A3EFA425F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7BBBA973-E167-41A5-9CB9-748D1DBD0A3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57A82F56-1764-482F-A77F-D5F92FD3EE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A84CD48A-B72F-4AF8-BC12-E5376BA0BE7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426BC0FF-23D8-4518-9AE0-9A91AEEDE6E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BE39BA31-CA89-46C3-BC67-657D2048C82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BA2CAC69-A9CC-4F57-B34F-2C372CE10E2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E35D63C4-7AD5-45D0-9430-ECF71F8A2DB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035BE96C-9021-4AB6-BE8E-C3783B6E12C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6E0F715C-F979-4E04-9009-B8551281650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1072DB18-039E-482A-A0E7-14DEEAB8E0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4F8B8DDE-388D-4C51-BD93-1ABF0FABBE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AB740F92-2FA4-44D7-AD87-F0C1F65952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33C3DDC3-E772-4CEA-871F-8197CCFE0D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DC8FAF87-0FF7-4A76-BEC3-B819A03D651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81D2AB9A-6B1D-462A-9B36-C6A6AEF2BC9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E6383830-4C39-4431-8917-8447EBC486C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7C639C68-A95B-4007-B01F-D4543F44CF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8CFD074A-F4B6-4026-BD9D-12C20B536C3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0918817D-018C-43B0-961A-E03CDBCB3B3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EFFA127F-95F0-4535-8F32-3C03AD9116F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5948AE7D-C7BF-4102-9186-199E04D983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45EAF914-5CC9-4BC1-A786-C9D13A2E43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0B68EDF6-4B11-4BE2-849D-DE1096AD863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C2ABC9A9-81BE-417F-A55A-8089DF3CBD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51D16D43-B594-4ABD-B709-1EB0D808FA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D95EC649-C550-42FF-A8C1-E2A29AE6B0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91D3895B-8F35-4877-8E59-B685D5353F3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3BC6542F-06C3-4E08-ABEE-252757136D8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1A95FD1B-B167-4433-9CB6-CD214A77A0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1C15CF28-E74E-46EC-AA21-39D6B2C2275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91ABE244-233B-484B-86F3-3EBCF25174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F016C15F-E7F9-45C2-9FA6-0AA4B9AE8E5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3778FB27-EF8B-492C-8A15-1342BF5BE91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7A6B2732-FA23-4C72-BB81-446FF2DA5C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153D530C-A273-4F8E-A864-DDC63B7F67B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1B886E3A-81F9-4D43-82A0-3ABC4FBE39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7D7C4093-AD11-4C27-90DB-53CC18DFCD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FE88ABAB-4881-4341-8884-CCAE1808B8E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1677D67D-20BC-4DFB-8BC4-6E825B771B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0B2F1AD0-FC08-4979-AE8B-13975AF7D3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A44E2956-E802-441E-9478-577F2D2DB60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F3D704D4-1A52-4696-919E-037E544FF7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03210748-6442-487D-A710-CFAFC883056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F83F63EB-7044-4313-82C9-B0FCD6782CE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0FC0A6C3-F525-48FF-9076-EE56733541E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6F108447-C0C2-47BF-B940-887899DA29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1FA404A8-4D0B-4B49-940C-A9BB9FED86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437DC6B8-4092-4F8D-83F7-1A5A199BD5B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F58F17C1-04F7-4FA5-99FB-A178789EB7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8803D2D6-D80A-46CB-9C6E-98A279CBD79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3C6721DD-9B0A-4F5A-8743-8946FB102F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BA489EA6-B020-47E1-B9A6-0AE22797B0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AE413EAB-4276-42B0-A489-A2B0E83B54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75082C39-037F-48BF-B103-3A533CF10E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AAB7F101-91F8-45F6-9608-61A360B864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BDAF36B4-3C64-4407-9D76-B52841D2D4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661B9E0C-BD89-4079-9238-216731CA01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15239C47-6694-41DE-AEC3-AA198568031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FD0A472B-A362-4B35-8FC1-91063C8BB3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85A8F772-E65B-4D71-B6CA-276960FBCD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9E921262-3B26-4B36-928C-9592655635C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5BD8A443-7731-458C-A4BD-F4F5BF00CC0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EEDC8227-2A4A-4823-B67D-8B42BF0A7A7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B36D9ADB-5C99-4D28-930D-B40DEB4DF4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CBE1CB9C-2A38-4122-B437-7DD80086FD5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6F88AF9E-B847-48E1-8848-35B34BD7AEB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031027D1-54D5-43A6-996A-F6B389D237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BD630E2A-4A63-4A4C-BE13-77D538FA3A4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76640529-F063-4A55-B8CB-5048223332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CA696643-6E0E-4634-9844-FC6D0ECEC1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F167DD39-899E-41E4-A72A-5AB8D037D90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95C7D31A-B795-4296-92D8-D12D77DA6EA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04C3DDD2-4347-4794-9A09-60058D9DAA6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86D67991-B6E4-4EF5-8D50-71EA2F54051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10940525-BCCD-4CAF-AE1A-D153705696F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ABDFE8C2-3261-4EFC-8D5D-C43EE7E1D0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BD3E0F7-CC00-4E57-864D-7B92E383F9B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94C2D2ED-9E91-494D-B3A5-57E29435EB1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D3F4B790-A2AE-4BE4-AB02-EBC524A67EC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109B35BE-A313-4C03-9326-4E44124E688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D4CA3647-30FE-4E75-9969-58F540DE189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D25F795E-D277-4627-AD5F-48F38CB740C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FD16166C-8AFD-46C0-924B-916DC0B62A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07534946-2BB9-4807-A200-30ADC5A3CE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A6DFA572-FA0B-42A1-B359-9CEC149B8D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97CCDE59-B8F0-4E98-AEF9-E935C9A1A6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72B18633-7F16-4224-9A1E-9B3BB2EB36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0996A9EB-11B7-4DD0-B921-52B023EAD2C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BA15D0B9-DCA5-4DB2-AE54-68FAC88B7DA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9731F090-3805-47C2-BC53-4C638BB2AAB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0E47B01A-5DBC-4CAD-9024-6B158B3A32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C8167F51-6AEA-460A-8E44-5EF62418201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6F0535E7-C6AB-47D4-9878-B85A271C47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353A2A80-8EB9-4324-BAD8-BF326245563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4FB980AB-3F7C-4565-A240-CE38FBE2207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64746137-B042-4E99-87A5-255679E0257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E292E32D-A1B8-44A0-AFC6-458FA525949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E2EA4763-557C-4385-A9D1-97027CB336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691208F9-66CC-45F4-9D2C-CF08B63CCD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6AB82EB3-E124-49A5-9E09-BDB2D6F9DF9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1A1BC6CE-0761-4781-8699-A39F2D802F8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3AA0B3C2-25C4-4224-B503-A75D1662926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4A71628E-C77E-4463-88AB-5976B930A28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2BDC61ED-3113-4C5E-8205-39177CE905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54018980-6D6F-44F0-A450-40555BF3E2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6DBFCAA2-E859-4322-9E22-CBBFDEBDA89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B5454C7F-7DBD-4BEF-93E5-18D7A3758E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982BAEF7-0DA9-47D7-A0F4-D8F6A6E3E0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E140C472-1DD9-4C4C-A5B3-9B9E61DE0E7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E406D22A-0178-4A54-A32F-C86DC416AC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9B3A4496-B29B-452B-BAB7-92E2AC45101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4427AF3D-3AA9-4F01-98DB-01E2F1EADE7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951A04EA-DBBE-41FB-AE4E-E8846D5B616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910FCC6D-115E-4A42-B5A3-1F7EBB947C2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F355E4EE-4998-4A2B-89AF-2EB8E75F664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0C201828-E691-4DC2-A7A3-0097B4CB49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6516A183-D844-483A-A9C6-B51E12B130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7EC1094C-ABE2-4856-AA51-A361B61C66C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30F256A5-ECC6-4C6B-A28A-6A30BD1CDE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E7E43DCB-C16A-4882-9493-8634A967E11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008F3ED5-DF23-46CE-9DA5-8893B414221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698BD07B-75F7-40BC-8FD8-406BFC86172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105E24E1-B346-4C23-90BD-98D1BDA82E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8C1C0E14-D169-49D0-837F-F32206BF351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0B04822D-2193-4D37-99C3-8248D869225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63D524B1-B747-4335-A4F0-5B0D1FF35FF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225A5E47-9AFB-491F-B883-4701010E2CF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D7D7FEC2-C395-4332-9727-CD0165CE745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D6CB6D3D-7BCB-4E22-9F27-737CE0752B4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F59F537C-D6F1-426F-B337-D6420CEB367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1341A359-E6E1-474B-B1A8-6068FDA134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4BD354FE-298B-4891-A4FD-9D930B2904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BC7E7BBB-4281-4B23-B57B-39992EEB947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D8CC5B49-5325-4279-8AA7-77F3DC0D07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FACC41AD-9567-4206-83AA-5212C95BF2D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703C0B91-D1E4-4240-8DB8-7456F33C9C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41F47B9B-635D-4C3C-B5AE-34EA50D9EC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13D4615A-3F59-4BEF-826F-E48DBD5CC7E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29AAE5F1-2473-4899-BE44-F3DA22C0C3D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2D5FEA21-7FC2-4D12-B92A-F2A04E87D6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45E35D8E-5676-45AC-85AF-5E13A714585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3F560988-6A0D-4DEC-8E54-F61EB8AE4B4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0E89B217-209F-4713-B8DB-ADAF6860B3E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B2F18F59-D8F4-4443-9CDC-137D7A7D6B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E58DFEFA-EA14-4322-8F66-6ED0F3E4E40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3FF9B6A8-DFD3-4949-B6E0-255ABC3A5CE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1011621C-F583-4D13-996E-DE086EE23F7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19F43DEC-38C2-48D6-B39D-AF791A95009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427F48D3-12BD-46FB-989C-A3FA04C7CAD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3318F8C5-9698-4CAC-A583-C4A6EAE55E6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C29C48C3-7A8B-4F99-A1AC-E700E9D94EA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183EA977-CD45-4FE6-BA22-D26E8EFFC8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D7A02782-AF2D-4679-80F5-B292703FD4A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80D37B65-D450-4A86-9843-267D3C59AB2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7D2EEFB7-F616-4804-B3AB-EBD88949719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BA1F08A5-F6AA-48FF-9287-E2F11C2D0F1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B5A9CFAB-25DF-464D-B655-74F47CB9A5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F02B6A04-CA06-480D-89F7-9A03B841AE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5C2F42D2-2B62-4B02-BF85-B992811280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A5C0FE93-0641-4EDF-A5B9-C514B9BAEA0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D8CC3058-6F4C-4BAC-BCAB-EE54D75C9CF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EAE02DAC-21BE-4DBD-B2A0-C0D13D42E9F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8F5AADF5-C971-405C-AE46-C57007EB33D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BC91822B-280F-4A45-A2A4-A97CABA0BC1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3CA6AD4B-E634-4C84-BACB-738441E5CD6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878D610F-A3B7-4858-81A6-92F2A2D975E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0269FD94-256B-4605-A74E-67A1B857A5F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166A5F9F-FA96-421F-91EA-7BACD0851EC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872941E3-0A6D-4F7F-8217-9CBF64EBD48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0B8ECAC9-8679-436E-9AAD-E952946AA16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375E4B68-0077-4A3B-B881-5D6ABE875DE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DD9315C3-BD56-4C70-BC99-B5910E71365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A44A08A4-B7E8-4A7F-BC80-87A4AFA7A49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7FC75C67-6BDB-4437-9677-1D3DFA9BCC0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32D2F49A-0414-4C32-BA92-E0E0E5ED496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59364291-CE2B-401E-8AD4-A517CE4B602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78702B32-502B-47C5-B337-EC3C5BB542D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557D6920-8C65-4F5B-8781-28E23ADEF69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DFB4C105-9BEA-4692-B3CE-7B4873BB298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32FD449C-E03C-4C7B-A5E0-BDE6D3C6D14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D7A6CADF-E6FA-489F-B6E3-99C7DE8F3B5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2053ACFF-B739-44D4-A59A-02753691F35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C2AF06D8-6611-4939-93AD-03FB2C5011C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BB32843B-8BB8-4AA9-B1C9-AA556770CA1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86FD3663-BD8E-4C24-A3B7-51A6E673F27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C358D607-3C50-4A44-B8FF-81DC8A5CD62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18752524-D9A3-4E33-AFB6-9815A252A39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01C17E14-293C-45BE-8951-3A324949DA6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10DD4A67-5FB0-4082-A05D-218AD1ED193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A4FF957D-9F34-4D18-BA21-8AFD750139E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6DE32D88-246B-43DD-9FC9-865333FCD5E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253C034A-0E54-472E-9DB1-3F4827EE18A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99588339-74EB-4DDE-832C-4DE7B92D173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99306B1B-A6D4-41CB-BEFB-AA43CF8C963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60C5AFF6-EADD-41E7-AD58-D2967AA13C4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EE5538AC-DA85-45F2-A218-5BA60887DF5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58625E03-A67A-401C-B439-0EECE62A97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CC2F09E9-7447-45E6-9FC6-FFB6F48AECC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5F7AEDEC-DD8C-438D-8A29-754682E9D8F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A09C52CB-B3C8-46B2-B42F-D3CB028062E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C41F0EAD-B116-433C-BD9A-10A0419C6BE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3E7CB4EA-B2F9-4ABC-AC13-BD7D9B62766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A54F1300-B233-4A70-ABC6-E82FAAD988E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81E0345F-3551-4A30-9FB9-423E9A3093A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C95F336B-B05D-4FF6-9098-4F27BEA98EC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CE1EF5C2-27F2-4FB7-AAA0-79E4DB86BFD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D71EB004-1244-4AA7-891C-58267F97560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C40042C7-9385-468C-AFAF-24756846962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DE76504A-C224-4181-9908-6776E6EBCA7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06AB2034-1F62-4628-BFA0-79F7BFA90D3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BB8D3828-19BD-43B4-B208-CC2B94C5EBB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F7F1B849-25BB-41F4-9372-20B254F6FC7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842D1541-0666-4C9D-94E3-687576E5CAF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07D39439-BCD0-4856-9757-DD81125D6E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E2C6869C-EBD1-4FF5-AABD-123036BF101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3A8E9705-B45A-48E8-94E5-F5FEDF174DC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E7F3CE97-4D45-42CB-B31B-0F5DF41D01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76F97F13-E6C5-4169-9EBC-EB25D17A33C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02109BE2-988E-4944-8FBF-091BB443BFB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C5B95118-42EA-4D0B-BB48-DD9AD1AEA5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77F11B37-3012-4B1E-B57F-2C8EDEEA06F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D2FABC91-F4D6-4677-AADC-19D2B67F78F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1041F14E-67AB-45D9-88AA-03A19B0B09D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FFDC50AE-B4FD-42F7-9E1A-0EF6B8CA491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BADE63B4-BCE4-41DA-96B4-D2409B3A74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57733250-8475-46ED-BD5F-B477E34517A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FBD57A12-1F57-434B-A995-6F3CD72F042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5D31903B-04C3-4856-AE72-811A4D42C1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F98EE16D-6D88-4DF3-9806-24C268A434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CEA9DDE9-FAC1-49C7-A3EF-1268E805B6E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2BB6497D-4CE4-4DCE-823F-1B60ECF4AF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8FC23BBB-BE9F-4784-AA24-D39AF9C54BE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2DF5EAA9-B99D-4981-8854-472779DE7C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F26A1788-5DD4-48A0-A2BF-B73EB1059E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CE857623-68C8-4083-9DCC-1F164BC3F61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4F2B52D-6F8A-43D3-ACDB-D10618A61F1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7BA0543C-D092-485B-87BA-DCFB237BB7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BB55233C-F37E-447B-AA22-0BD179AD10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5D919E31-55C2-4E1D-8F54-4CDE0BC17E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7F8B02EF-8690-47AA-A7B2-EC05C2C2934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9F85D1A2-16F5-4E33-BFEB-042772A8D39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65EBF633-C74C-4B45-A2C4-782FEB9172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36FDC0ED-02F7-45F8-8464-CAF8C16EC7F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E917D509-B895-45CB-9AE7-5725D75EACB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9B38D579-7241-4FB1-8D1A-9550439F9C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7F8BB785-FD79-4D7F-BF5B-0E632D23F09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DF6C2EAE-C2B4-454A-9795-4BD0A7F02B8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2941C332-C73F-4061-822C-83107BB8CE9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E122FAB4-78D7-45EB-A979-215C3A92043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A1C9ADDA-093B-4DAE-A244-D70108AF33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57A67E20-FE2C-412F-AC85-31F4BFBD43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49818B4B-1FB7-4529-93A0-5C2CF771AD1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40A39427-0371-4052-A37C-3DDA01A2640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72C5CC4A-EC83-4873-BE2F-357896094FF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D00A4955-B420-498E-8AB1-ACECA24B9E9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34428D69-5F14-4424-AC1C-D8A10A27833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038F1181-9AB1-4F6C-9D9A-9E8E39A1D39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186842A5-7AC4-4A3B-BC31-9AE102CF720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A710C160-3F66-4E47-A30A-62EDCB9326F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E8C9EBE6-8F2F-49A3-B201-B4E9E029715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E2EA59FE-CE0E-4E7D-BBD9-D7AC73D4F8C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351E0DB9-3457-4213-9265-AEADE1DF0D0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31D72B5D-40EF-44BB-9B7B-3CF55302C7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DF9CEC67-90EF-4097-BF5A-6BF037B97F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39E8DE7F-3212-46D3-861F-96D0816D2D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92CBFDBC-7B87-4F8A-9047-B08718ADCB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B4DF21CB-9710-481F-A7CE-A3B919AF31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FAA55FA0-5ACB-4F81-BC8A-4EE3EEDBB78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7DEA9ADD-3F4F-46CA-9E5A-F997AFAD3F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02558FAD-544D-495F-B298-2FDE099B03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52AA6B79-5ECD-41D8-9E1B-923EF39C31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AACED5A7-EED5-48B7-83CB-DA628D3F3F9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B6538C0C-EB18-4241-A0AC-194661BF3F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33DB0678-03D2-48C3-A57A-31ED45DA53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7297F773-3376-45D9-A69F-67011F17FA6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F7B3148D-4D60-4713-BF73-50CE8DDED20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4F77061D-C165-4921-B3FD-074884ABCE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04355C07-8DFB-47ED-A6C5-244651CEA5E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7621FA8E-8226-4B25-BB25-79A45B822F3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3BC1405B-DB2C-48DB-8845-85D7F7A88D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A7B5B520-64B7-4142-9F41-D99E0B424CB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D15239FC-F803-4309-AF8B-4C9DD487E9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AA52F4C9-B4BE-4239-B51D-BB179DCBC6A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306E4783-465A-4C86-83BC-229C43B1FC5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BA47C9A8-D18C-41CB-AB6B-DFD1AD93631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60AA619A-2BBF-4E30-AFF9-765B61A1B5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7843DF9B-0C03-4CF2-AB34-F20C7A9559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169BAB0E-8206-4F27-AAF2-5CC5B748670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532EF57A-2FBB-429C-B8B7-CA723DC694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554CE110-11F7-4FB5-A3E8-C51ACF4142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604EE705-CA6E-4A64-BDA2-F1E2A4490B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CCC34F39-63C5-47D5-9188-0F37F49A19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977A3203-BD67-4FA4-B528-7B15DD9F338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ABC94B69-22C0-4B20-8834-E9DE0828ECA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FDBAE729-76E2-4A80-A3E4-458B6E166F9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3151A080-F3F4-4977-B149-48021DED102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925BE83F-2930-4CF9-97BD-3EECB4FC36B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5AFC5C77-D900-42EC-BBDC-E3395961EA9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B487B438-573C-4F3A-920F-BB3B99A17D2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9D2D1EB4-3848-4039-B165-81B2588666D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BDA3A2C7-8A21-4707-A6CF-7A7715519C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0EF85C72-B876-497E-8002-903B030B49A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892CD63A-7903-4BD0-B1C9-DF7B48044AD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7EFD083E-2364-4B75-A022-99952F90179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6CA1AB40-8120-4301-994C-4899D4F73DB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20C66A4C-EC13-487E-AE1C-F761FCE931C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1DCBD60A-C208-4DB4-9983-24C20924928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70E11453-5331-4F92-9038-82D8DF533B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B6081D64-60A2-4E5C-B7E6-DB0FD7450FA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3C9B76ED-CAEA-4279-8534-D1DEEE01A10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C29D1B71-45CD-44B4-B299-48A58DBF3CA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E40920F4-86D2-4F5A-B36A-CA4ECEC1DB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07EF542F-A209-4A77-860B-00A8283B499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03769920-83EE-4C99-A03D-BCD6B0C0715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2981E3B6-0312-4FE5-8035-8B9649E038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903F32DA-49C2-415F-9331-53B231CC4F5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63F796D0-8FC9-44F0-A753-0062F41F843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B4EF057D-47C5-4668-B910-0972F481C1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C35E8951-D291-477D-9254-045D42E5CF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842CA4AF-D8E0-4C27-A008-8A8FFF53348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42D34454-65A7-44DA-A01C-04642179390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1FBB9C3C-9BC7-4286-85AB-77D62D8A5F8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7428219A-41C5-4432-8851-972B59CA2AF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8E814188-64C0-431A-A261-36D5CDF490D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B29939E4-9D62-4DC3-8411-652E4E170F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7F4BD33C-278E-42F8-A736-A172196BD6D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DE8AC317-0D33-463D-8F6E-A163EACDBD3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C167FDFA-5E42-44A5-A31A-F7F731C904B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44FD8DE8-6161-4B47-B5FB-AE1F7A20418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1F15765D-C0D1-450D-B408-F9A2C9A3B1E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034770F5-0F57-4810-82E7-45E146F7AC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57A73760-157C-4F2A-96DA-50A7F12FAA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409AAF1D-523E-472E-BE50-487BF4ABA73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21368E71-B386-4023-AA91-36A4D5DDD52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CFDDB07D-457D-4F30-9D0C-86FA510E27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AB6F5B7A-88B8-46B0-82EE-7376E8E78B1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5A57539F-0210-4FF6-A808-4F51B2123D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143E91F-01DD-4A99-8ECB-D8A2DADC01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2FDEC32C-FD84-4795-9DBF-09A887D52D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A108FCE5-C540-48DF-90F5-5B9D6130371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949139B4-E86A-4A3B-98FE-8980393A5D1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ADE31B11-707D-4B54-84AA-87A41ABEF74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7B95366F-65DE-4A55-9BB9-62DDB62F24E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368C3E40-A24F-45DC-8940-1EA1AC78F3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9551FB2A-1D17-4FFA-B6FC-E06E18197E1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8B50BD6D-1A0E-4F23-8AE2-800A2B933A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BA9FE776-5E90-430C-99BB-B8942B6B9D5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BB275D5B-5884-48FB-A8A1-A9F17EA4386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AF6FEA19-D775-4519-B896-25A971D0555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6D31D5D6-3203-49BF-A0DB-30DA4E59CC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7D43CE73-3C79-445E-B58A-141A2C4A0C3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B2C746D9-30FB-485F-986B-B4BD85EE19E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A00A58B3-29D6-4515-B5C9-ECB290988D6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018C9318-8D2E-46B2-BA6B-C808AF297C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2CF5B3B0-B834-4360-9BBF-6D916C46E9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FD49796B-9502-4BFF-9981-D9E3C8EEB4D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E14F924C-1CD3-4FFF-B39A-A5AF734A672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E607E91C-17B3-451C-AC4A-826773F66C6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E00CD2EE-E092-460C-8D7F-3C97E691B9D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0B391F0F-A6F2-47CF-A291-58AD14B0322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59FD970E-1790-4A09-A51A-F6B2B10A1D5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79BF371D-9997-4B1B-B5EB-8825825A6FC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CFD6A3A3-4105-415F-A9D4-48F47CC408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0EBA7ED0-80AF-4D61-8394-34FFA319073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E0739118-EBF0-4635-937B-A75B9558BF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F06ABA9C-9DB1-40F7-8A7C-BA7F6AB2ED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567A7FF1-A8C6-47CE-B3C6-9910E24306C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AF89381C-9E1C-4A07-B766-E2206B40C4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0243319C-7DFC-4E66-B551-8B56674CEB3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83AB15A0-6F5D-4973-A77C-1610B423F1B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18C78C60-6F27-4372-84C2-7BAE137A303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EFAF0088-78EE-4B2F-9405-C74FEB6903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423CC0C5-DE71-4433-A0E8-E93EE4BE00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640C8589-159D-46F1-8E32-B57F620D9C1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3CDD186-6327-4EE0-9DFD-2DBEACDC06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D207EE3D-71E1-4C4F-B130-B59A5FF54FD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5C173619-09B1-4CB3-9F94-9E8435186AF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A23D6940-0AD8-4C8E-9FE1-B6D25D3DA15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4FB53B0F-17AB-42EE-A18D-73C635B68CD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D4958DF3-414E-4AA6-A208-8ABF6C5B03A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B2EACBC1-563C-47BE-8C65-9993C7C024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765FACAD-3CE7-416E-B1C9-21FF7E32E3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F7575688-9206-46C5-8354-3752DF2D9EE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4AF2F203-FCC6-48A1-9D10-0BEB54FEE1D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DAB7DF2E-F075-4435-B94B-ECDB0D6274B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D5AC2BE8-39A5-46E5-977A-2147FCF973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B6613906-C292-480C-82AE-C5FEFFDDBCB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535F5890-C1C9-4022-98A6-C9D5471848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0F667546-4F3A-4CDA-BD22-E9F9380953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6DAFDDD5-24B2-49D5-AC7A-CBE806C47A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F51DAB8A-CC0E-4C01-835A-E313EB244B5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F4B61F86-655E-4213-BEFC-FC758104068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07113014-DC4C-4F3C-9AB5-78558AB031F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7DBA021C-9A85-48DF-929C-722BF2C3A04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9D1DEB8D-05BB-4D22-AEC7-E31B051E08C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229F5A5E-D04D-4CAF-BB07-95BC28CF28A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AF2C0301-988C-4331-A34D-97462F2FFD1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82831B61-4361-4F2C-A56F-B48ABA6890E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B624F62A-4FCC-4813-B023-39C8E699F1C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1045311D-04B5-44F8-B282-9AF210FAC9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EFF3A534-80F5-445F-968B-15C2F8E455A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9CCAC4D-0F3A-4ED2-8166-B3A9B4DC505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3046E69E-73F4-401B-8A7C-92CD8B5BE6A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CE17576F-8872-43B2-AEF9-1C4372453D4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E7F3CB97-635B-4C65-B22D-858233D284E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F3B4920E-44B7-4656-80D8-590A920874B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834A5F5B-5535-4A57-930B-AA09F773DBE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00D3F5BE-815F-49A5-978B-C45FA273BC6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0B1516EF-A38B-4EDD-8C16-417B6466314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BABC94E3-64FD-48EC-8630-A09032B9BC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2A097D76-FDEF-4618-92FD-8EBB8446C1D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F4B0821A-83A0-4D46-B70C-5C1D58500E4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21FD7E6E-74E2-48AC-A79E-18131B61C7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CA60D0CD-8099-415A-8F41-EFA811DC12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E658049F-9AEB-46E1-B134-9C6402671BA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BADA9131-CB7E-471C-AAFC-7FF8B4893D2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A471F7DE-DFC4-4CFD-81EC-3A7AB327C5A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35006CBB-1E6B-4B1D-BA2A-E76D493E0E4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BDA0B3EE-B20F-4E28-99D9-16EA6BBB6A8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67576553-F736-4F00-B681-3522C9997B9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A60D464B-67BD-4889-9E4B-666AAF1ABC0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F066EAF6-70A1-4F6B-B5BC-0530CC20DC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45E0B126-8C21-4900-9992-397305B265E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41B8501F-A25E-455D-9027-AC772FE52BF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851C6A9B-6655-4FFE-8083-6F2D62D74A2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2C87EEA5-FA07-4062-BCDC-083F066BF32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4158E002-9F00-4850-ADD7-130FB3F8484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40FCE2A4-2F68-4773-B8C9-7376E3594F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6643B7AE-3A11-4C7E-92DD-2405F0B7139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55566505-8686-40FE-B3C6-4DE0524E176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D38D0A90-18AE-44E0-ABDA-097E163520C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7C9D8E3D-5E02-478E-93DE-BF52B337A3D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3125C731-4238-4FA1-AE13-478A48FE1C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32D54B2A-2E82-468E-90BB-9B40ECFEFD7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C9B47158-52A2-4FB3-BB9C-1D00E4D038C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2B08BD0E-85D5-4B52-89A4-4D7A8922C6A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9B744740-18E4-4207-AEFC-8C5990637A0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60C3CE49-0987-4425-9637-985755200BC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D54383E3-CAD1-4279-813A-46A08176D10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669AB82B-5D23-4639-B516-F233DB882D4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A4DAA7E4-6AE9-4353-9443-2CFAB1FABC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F68B0F0E-5FF1-4801-A783-398D708DC5D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8B024819-0936-4CA0-9A39-4129FF2B93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CEA98DFF-F679-4608-975E-4F481906713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0477C464-281D-4D20-BD88-55075C7A36A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12796F6F-5A5F-46E4-896C-1BBF2BCA70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643A76C8-38F6-44D7-934F-CC0BDAADE4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F9F12652-2E4A-42BA-AFED-C35C8CD5CC3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86BC3386-1495-47EA-B6FF-0A947E354F5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52DACDBF-6D9A-4E8B-B7D8-B4A57543FE8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DE464577-48FD-40A7-AE9A-EA7E04787C8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BC142C6B-4396-4991-A19C-ADC5EA0DD1A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BA113986-3019-49AD-AE91-31AA93A1CB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7BAD3D10-E44E-4CE7-A5AA-1698027E644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508CAF27-FFEB-4B26-9197-F1C4212F895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8376C5D8-36FB-4FFD-9F8D-57D273E2B5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D439A4A4-8D82-4467-8C2E-FFD26388464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9423C20A-AEA7-4EBF-B165-4EC69A153AE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68311A74-A8E4-4019-8C22-76A8AA026F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F0A0263F-6702-4873-806A-3C5BD00D783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6B754C66-3394-4FF3-8E19-60EBE3B1BF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AB5D1624-1369-472E-8D10-6A85AD69EFF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F05CC562-303D-462A-B0CD-1F14EF46A7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B3E0AD10-1AD7-4922-B315-E1B8AB00BFD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8B400402-9092-42BC-A652-4339CC1DD74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D80CA517-7988-44FF-917E-BE3CCD74F9C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49D4093E-14D5-41BC-A7F4-953128DD5E6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E28F73C1-3C21-4920-8176-D4C9700D4E4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4B0F67BA-8E60-4A81-8B8D-AC82FFE8FBF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B729A490-38EE-4DAC-BC29-DB18FD3DF38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727B69F5-A2C6-4C0A-8B88-A2A4587843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FB08AFF2-B8E8-4C84-AEE8-A62972C24F6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B3B45675-BF31-41BB-99AE-8E072DEA55F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1342A247-D24C-4B3C-8D7D-F6666A4C636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90AEB6FF-FBE6-4F2C-8BAE-567D362A7DE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3434A9A9-2A82-4F63-A271-B66E18A1CD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6C464D76-72C2-4987-8485-8653FE8C98F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040F7694-A955-4526-BD3C-31D7C9D0C65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534F2DEB-EF9D-4E1B-A143-2202550C9C7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00A10B7D-552A-4C80-B73A-E8C11D3535C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B9E67426-4393-4F71-832A-0D9A0FC9039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21FD6CD9-223A-45C8-A261-C4A5A80DE70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DFBB71B7-372F-42D5-995E-B066199555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EE1426FA-0B0B-4EAF-A56C-DB6319B6F63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63EAFCB3-6EE0-48B9-BCD9-C943303B08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9ABB3D76-471B-415B-9905-A0D09879CDC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7130DC27-8772-4E2B-9C8B-B9D93F178FE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9E14D3B-976F-4E75-B69C-3EF3F925219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30BD6734-8F32-4807-9A30-BE85246EB4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39FC5FD8-5E67-496B-A7E8-2740C22F5A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DF79373A-105E-4286-8376-D811AC79CE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47A9F663-649C-4932-9320-1293317942A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5EF50694-AC45-49B1-A8A2-A995294F951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D2C03745-3957-41AC-AA98-2A7D66B900B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7F4FE8A4-1FF9-4AB1-AF33-004838A8BCA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6B92F2DC-910E-490A-ACBE-FD9E4A41916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1DB4B6A7-BCC5-40D2-BECD-B49618FD795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82F07FD2-FC83-49C6-9694-7DBCC01033F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B9F3E425-0CAB-4946-83A5-5C75A6CF54A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81805576-CF1E-476C-AC8C-099C98E8CE4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F3D1A314-15A7-432F-AA8D-3A01F1FD576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6831BB79-34CE-452B-B33E-5F2E325BE35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EFA07BF0-29B2-4F5A-80DA-136FBA2D00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6E8B5837-22A1-4561-9EB3-2407BD55FE7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19874337-E28B-40E3-BF5D-230E9ADA8FD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E750C9BA-4A4D-400E-8D47-D7EB61DD139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25856F90-C7BD-4050-A07F-B8F5EBA0068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AA1D0FE9-DE7D-4F1B-ABE2-14983F64E7B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2AA5CE2A-D16E-4927-BC3D-357C713F4F2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2DE77314-FA2B-4CE4-8104-C349CB6B97D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A8D77E05-2591-4609-B9D8-03AA2A97806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BB26E30B-ED0D-401E-9050-550CBA863A7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3EC9C8F3-0BEC-4C24-B0E4-F2A46371FE4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4E6A7964-87A4-4E18-A710-7E68E808AA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A5FF90B5-B8A4-4CE9-AE35-AB05E791A9E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DED5DA72-1720-4BE1-B545-AF058AB7E90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8E9C5D4E-A8EB-4426-8574-679E9F570B0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B29E5C89-A675-494A-B258-8DE576657F2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629A8E68-E254-4BBE-B2C9-FE5D08A1D86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2AAB639A-3F16-4714-9DCB-4156718C37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D59DF3E5-1AC0-40DF-8BD8-C81A7F38BEB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7C4233FD-4D42-4F7E-9563-AC42C7AE0A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92554CE1-D836-4153-ACBE-E4B2DB8EC56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902B9F8B-785E-417A-83ED-F7E77840D3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186B0B0-C2EC-4827-B7B1-F250ADDEA66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6D5565B8-FB2A-4051-BE1F-3FBF0A66909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2118526F-B927-4456-A78D-1DB004B150A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84FA2926-A985-4B63-8AE5-721F760FC5A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9D8012CD-5D89-4C73-AED2-6649CD4F2D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6C53E395-03B5-4BE2-825E-A334D337805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65CA0EFF-86C3-4BFE-BCAA-A64FCAC84E4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7C6B7409-3CB6-41F9-968B-D2004BD3599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BCB68C07-23BD-483C-B572-C6013319BA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3F886C8F-A7AE-4DCD-A516-2B3EF336295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9CE1441-43A2-4A02-AD59-5BC5B74758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8570A82B-2B2F-4518-8604-950A27BC31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6FAA8EF3-5FB0-4785-8C46-8DCADA321F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2F94DDB0-38FC-400C-901B-695D0C5BB8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C7732215-118E-4888-9419-092BD44966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2466403D-853B-4AFF-8190-7053710C9F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9C45E49F-A0F2-48AF-9790-A35F537B1F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0A1E4F42-543B-47D4-9B38-049262658B0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2A721E3B-B1D4-4536-BD17-5FFAC80BB0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2AF2B241-72EA-47A9-85AC-A8EF4CF9A73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47CE5B1B-5B89-4C38-BF5D-46F3956A334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BC167DFD-56D9-4A07-AF13-A5255F1559E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CFFF21AF-3206-4303-8E66-9834D5EB454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01CA9B33-0726-427C-850A-B6736B0C2F5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43F9521D-0DB0-48E6-AC5A-D0E0980D1A0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FDB25C1B-6A03-453C-A328-73105B81470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AEC6B223-837C-4360-829D-4A1BDA8D22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75465A44-42F0-406F-B9AD-4EE01F9F5C5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FD662CF7-A3ED-450B-B964-B7609436E25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8EB7DA56-7B02-45C3-9BF1-B2BE5AC9673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EC53BA49-D677-44C1-A3C3-1790FB064C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597E90F2-A89A-44EB-9954-FDF38AFB50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B341956D-AC31-4F70-A064-E9D56FB982D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FACA9155-9929-4652-8467-B3B8854E64A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C58A9E42-C15D-412D-B813-F6885CF421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B6F6D891-0115-49F8-A5AC-D15E522C1BE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DBC0F917-C836-4617-8608-D62CF0116DF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24F89944-798A-4C0A-8571-5063CA6AB9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4F95041B-9B9E-486B-A5B8-0867FAD800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A3CB8B8B-E9AA-45FE-A5C7-2B4B37888BC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A0B33925-A02D-4ABB-B29D-9414002BEF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A8F19E5B-1543-4A92-94E5-0396C6057F3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9C763083-484D-428F-B57F-4CE5C2A3BD5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B95B58DD-D5B3-4908-BCEB-3C8D7C01819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390BA319-4F06-481B-BC82-E2680129AAC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8BDDD763-8A96-4FD6-BF94-0FFEC300F1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7D2B1EA3-1F40-4589-81A0-D903E8E5B9F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2EFCFB73-FD5F-47DB-B808-4359D3F1A81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A3AF0FC3-E453-41D3-B196-9D2078A6C3D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99B073C0-C238-4D34-87B5-5FCFBCCF30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70256A4F-52E8-4028-BAE4-7B4AD29F3F2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7B56F822-F3F3-40D8-A756-9BDC0063698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90763EB2-7013-4DCA-8CB2-68EAB6D9F1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FC01B7F0-A83B-4EC9-8C66-4916FAFFFB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02437CD4-D942-49A7-AD81-9AEE03C076B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C3B555BB-A065-4257-809C-BDD2DF447A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4025B203-BAC5-4812-9DCB-7B29051A3A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43BD08C2-0C34-420E-98A4-44CB53A0071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62324E7F-5705-4B3C-A494-8302721CCB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CE2A1E9D-B059-452B-AF72-DC9703F0BB3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2ED0128-6F04-4DC7-91F4-3D10200E89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51E88130-954D-4745-B14C-C54EFC9124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DA1607EB-4AE6-4A4A-9FF7-CFDAD7C0D2C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00C678F2-5244-44A0-95F9-3D916E88A7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F75B72BD-9DBF-4F61-A634-15E899FF08C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04C3109B-D93A-44E6-A4B6-7A98B827C00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9320CE55-2780-4E09-A8B6-2535B3022FC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B46514EE-8C65-48AA-9C1D-9EF4428ACCB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7FA76C93-F7B7-4725-80DF-82C49AB7679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2ABCB698-70AE-427D-A1C9-EF709141CDE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8F740811-7ABB-49F7-A718-43EA518A23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36C14B46-CB7D-4A61-9558-E6A7C419C42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0AC05334-639B-4BD2-83E3-0E3D0FEA6D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5E4211E6-B7A0-4DAF-B41E-6F56F4C7C9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08AB914C-345B-4D54-BD98-43EED933C3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EFFEA186-97EA-4812-B1BF-BFBAD795B52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117C8D01-1BE9-4BA4-A2AA-B8B6E598F81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4284CA0C-E7CB-4428-A6D8-1BE6787F40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5AACDA7A-49AD-4ABA-B3AB-4EAD482386C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9F09A793-D896-4BED-94BD-BE847869CB2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17084BE6-91D3-4122-ABF3-43371B1CCB4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27FAB288-6CC5-4E1C-A088-C546E0DAFF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84DEDDC0-F2A9-4591-9DF1-B0F53FFD1F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36840AFE-FE8C-4B53-8B1E-3FBF8CFA305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A22C1199-F3F9-4DCF-930E-9BF84B1217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27F111AB-0808-4396-88A6-017655ABA4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D6559CB1-77C8-487B-B059-B79143B770F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3E1CA691-3772-4F77-8C73-3F5BCEAC20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DB3E6BFC-4002-4C4B-B8EB-3C05D59DC9D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2BDA3A64-65B0-445B-BEBA-688B0B0D51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688463CD-FE5A-4BE8-969D-01C6C41FD11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9C9223CB-B74E-403E-A699-A2A2B0FAC4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528BA30B-AEBA-4C5B-A159-ED1AB487911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3B2C9282-95C0-4B8F-A258-74657A5867C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7F334F20-8D77-4B89-B443-46D0F7C146D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0A1462A1-59FE-49CA-8A4E-F7760235098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6DDECB3C-0B89-482B-ABB5-5BA73B38731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6C761E5A-AECF-43D2-9CB4-F9063B42AC4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1A31074C-CC14-4E49-8D2D-CC325BB8262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4BB6E702-542B-4753-94C7-8FDABDEC576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741EF7D0-5474-42BE-8C9D-06FA2482754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9890E848-DDA4-4D9A-A6DA-C21545E4732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178D26D6-14D7-43A4-A2DC-F527F29EADB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ADCCB2FF-DB5B-4BED-BD40-9A292BA92E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E4E6D5E7-AA91-4B0E-AC07-439F6562BE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140E20B9-4C4B-4F30-894C-1E272094D0D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C98048EE-C4F5-4BCA-92DC-D19CF990A3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6EDF9FBF-5644-4D4B-8AAE-96D2B1297C7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9E632480-4289-446C-870B-407D443F88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8580D316-86F1-4558-8355-A1506C91ED7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5661AB9C-F6FB-4419-BBC6-523856070CB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47C9D0E4-6D84-4870-BA5D-848188A787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23B2C036-DE03-43AF-97CB-CE0E4956F0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97764682-9DB1-4838-814B-15D165D299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63FE9C81-115A-4F9F-9AE4-5BDB9A97E31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274EBADE-6453-468E-9F9E-E7BD754BB10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F2D2C449-00A0-4784-9B3D-B737BD72323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AE6588D8-A7BD-4B56-B6CC-7C61AD72B8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15DE0761-7A79-41E3-B2F5-684DE4A43FC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BB3B8A39-1D19-476D-BA9B-63A7ECE871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F78174F8-4781-4F69-8D17-C6AF1732724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9A5F4E3C-BF6A-4E4E-A69F-EE80C7F72F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907CF099-BFF6-44E1-8351-651BB694FD0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400A790C-9D2E-4021-8DF5-E20A94437C6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E02074AB-959E-4CE6-BB76-960087368D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D02823A3-FDD1-4B61-B624-8CD5B55A36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4E539778-91F4-43F3-831C-19264749F9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CF851BE-2F28-4B4C-B7E4-AEE0266304E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79F31035-5455-4FD3-BBB2-CBC0EBCA90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6DCA150F-1200-49C8-9D13-164A786EF84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6D0C0BC3-FB67-49E8-AD54-92177F92F7E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AD00B645-1AB8-46F6-904A-881803FC4B3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E15A8859-2F90-4A3C-90FB-F3C8A31ABCE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B630774D-9534-46EC-B339-74710E1AAC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B2957AAD-0EDF-4E86-8521-A0AE19EAF89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4922F91D-4091-4265-9D84-04E0FD0FE25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443CB411-5EEA-4658-8F6E-6826F3C073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EAACEAFC-3B2F-4490-9E93-4D147094833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73A54030-9880-4070-8B7A-CCADF0EB32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CC0B13CE-70BD-4244-88B3-060C94FA89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82A7275C-F771-40E1-84CD-609E9E5CC32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1607A1FA-7F4A-47B2-8DC4-F562097B7F9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04082A85-1DD0-4017-9E1B-1E3CE116491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340B3DEB-6AA0-480B-803C-0CF39AC260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BFBF2AEE-2E52-4284-80C0-CB76CF2E75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3F1C2E1E-7618-4819-B83E-992835F4AF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D1A13102-A99A-49ED-AA8D-5211A1DD44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85A2E0B4-78F0-4F7B-9A70-4EA1D22E426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C5279B65-C9F0-4FEE-8F4E-D86F38F58DD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418D646D-9295-4CDC-9081-C079E683E1B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0A5BDF11-65A7-411A-9C57-33D4495AD6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6E9B9E80-992E-4BA4-8C18-530A4D537AA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8FC8CEBC-6696-4AB8-B03B-BC630C1F7F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5B40D0EA-922E-46AE-AF3A-6DC1D4DAAEF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BFF2166F-3D7D-4C83-9FF7-BB1F46C53E8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657AE372-1813-4B0F-96A7-C2458757A9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267CA7B2-84FC-46CB-8153-76BC89834FA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41EBF459-5D02-42B8-9290-DAE227B3680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136B1F15-4B32-45D2-B585-A2AC0E41D4B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0465649D-7317-4934-8CB3-83EF2DF9D65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A5D9EFEF-8729-4C76-9591-B1C44346E35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732D4DE2-B690-4FEB-AA18-2081867872A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D4E98C59-70C4-4DAE-8ACD-E029AD5FEF7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49DA526F-7CA3-44E9-8278-75BB6F9CDD0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0DAC6340-6A24-4002-B1B1-6DEE6763A5C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34B1B702-0D9C-43E8-AD18-B81E18C392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8CA80660-918E-4ADF-9AA9-94635A70751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C5C40C29-7257-48B9-BADE-4ADCF000D7E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89E21913-7724-42D4-9AC0-46FC34E988F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324BC94F-B520-461C-B7C7-E5B458944E1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3554AF2F-B947-4189-8161-63E2119746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30167BB9-EEA4-41D1-8801-A0C8B941614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E6C9E469-172E-47E9-8522-46E1B04A6BB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FB7B2671-197E-404C-A2DE-30BAF1F104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248F5A0E-B3F6-4B16-9BF2-878A4C32D46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24</xdr:row>
      <xdr:rowOff>171450</xdr:rowOff>
    </xdr:from>
    <xdr:to>
      <xdr:col>7</xdr:col>
      <xdr:colOff>0</xdr:colOff>
      <xdr:row>27</xdr:row>
      <xdr:rowOff>0</xdr:rowOff>
    </xdr:to>
    <xdr:sp macro="" textlink="">
      <xdr:nvSpPr>
        <xdr:cNvPr id="2" name="0/0">
          <a:extLst>
            <a:ext uri="{FF2B5EF4-FFF2-40B4-BE49-F238E27FC236}">
              <a16:creationId xmlns:a16="http://schemas.microsoft.com/office/drawing/2014/main" id="{B43FAFDA-4E8F-4243-9A7C-7D02C6108AA2}"/>
            </a:ext>
          </a:extLst>
        </xdr:cNvPr>
        <xdr:cNvSpPr>
          <a:spLocks noChangeArrowheads="1"/>
        </xdr:cNvSpPr>
      </xdr:nvSpPr>
      <xdr:spPr bwMode="auto">
        <a:xfrm>
          <a:off x="12382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24</xdr:row>
      <xdr:rowOff>142875</xdr:rowOff>
    </xdr:from>
    <xdr:to>
      <xdr:col>10</xdr:col>
      <xdr:colOff>9525</xdr:colOff>
      <xdr:row>25</xdr:row>
      <xdr:rowOff>104775</xdr:rowOff>
    </xdr:to>
    <xdr:sp macro="" textlink="">
      <xdr:nvSpPr>
        <xdr:cNvPr id="3" name="Freeform 10695">
          <a:extLst>
            <a:ext uri="{FF2B5EF4-FFF2-40B4-BE49-F238E27FC236}">
              <a16:creationId xmlns:a16="http://schemas.microsoft.com/office/drawing/2014/main" id="{CC694AFF-2EBE-41DD-A46F-942A632B8C56}"/>
            </a:ext>
          </a:extLst>
        </xdr:cNvPr>
        <xdr:cNvSpPr>
          <a:spLocks/>
        </xdr:cNvSpPr>
      </xdr:nvSpPr>
      <xdr:spPr bwMode="auto">
        <a:xfrm>
          <a:off x="1485899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24</xdr:row>
      <xdr:rowOff>171450</xdr:rowOff>
    </xdr:from>
    <xdr:to>
      <xdr:col>11</xdr:col>
      <xdr:colOff>0</xdr:colOff>
      <xdr:row>27</xdr:row>
      <xdr:rowOff>0</xdr:rowOff>
    </xdr:to>
    <xdr:sp macro="" textlink="">
      <xdr:nvSpPr>
        <xdr:cNvPr id="4" name="0/0">
          <a:extLst>
            <a:ext uri="{FF2B5EF4-FFF2-40B4-BE49-F238E27FC236}">
              <a16:creationId xmlns:a16="http://schemas.microsoft.com/office/drawing/2014/main" id="{761DD308-2FD8-4934-8DF1-CB539BB05A20}"/>
            </a:ext>
          </a:extLst>
        </xdr:cNvPr>
        <xdr:cNvSpPr>
          <a:spLocks noChangeArrowheads="1"/>
        </xdr:cNvSpPr>
      </xdr:nvSpPr>
      <xdr:spPr bwMode="auto">
        <a:xfrm>
          <a:off x="22288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24</xdr:row>
      <xdr:rowOff>142875</xdr:rowOff>
    </xdr:from>
    <xdr:to>
      <xdr:col>14</xdr:col>
      <xdr:colOff>1</xdr:colOff>
      <xdr:row>25</xdr:row>
      <xdr:rowOff>104775</xdr:rowOff>
    </xdr:to>
    <xdr:sp macro="" textlink="">
      <xdr:nvSpPr>
        <xdr:cNvPr id="5" name="Freeform 10695">
          <a:extLst>
            <a:ext uri="{FF2B5EF4-FFF2-40B4-BE49-F238E27FC236}">
              <a16:creationId xmlns:a16="http://schemas.microsoft.com/office/drawing/2014/main" id="{870970CD-66BD-479B-97E1-5C066655B56F}"/>
            </a:ext>
          </a:extLst>
        </xdr:cNvPr>
        <xdr:cNvSpPr>
          <a:spLocks/>
        </xdr:cNvSpPr>
      </xdr:nvSpPr>
      <xdr:spPr bwMode="auto">
        <a:xfrm>
          <a:off x="24669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24</xdr:row>
      <xdr:rowOff>171450</xdr:rowOff>
    </xdr:from>
    <xdr:to>
      <xdr:col>15</xdr:col>
      <xdr:colOff>0</xdr:colOff>
      <xdr:row>27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950619DA-51FF-4937-90A8-2C0208C2988C}"/>
            </a:ext>
          </a:extLst>
        </xdr:cNvPr>
        <xdr:cNvSpPr>
          <a:spLocks noChangeArrowheads="1"/>
        </xdr:cNvSpPr>
      </xdr:nvSpPr>
      <xdr:spPr bwMode="auto">
        <a:xfrm>
          <a:off x="32194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24</xdr:row>
      <xdr:rowOff>142875</xdr:rowOff>
    </xdr:from>
    <xdr:to>
      <xdr:col>18</xdr:col>
      <xdr:colOff>1</xdr:colOff>
      <xdr:row>25</xdr:row>
      <xdr:rowOff>104775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65679EF6-41B2-4AC3-AC56-F1B0BB835419}"/>
            </a:ext>
          </a:extLst>
        </xdr:cNvPr>
        <xdr:cNvSpPr>
          <a:spLocks/>
        </xdr:cNvSpPr>
      </xdr:nvSpPr>
      <xdr:spPr bwMode="auto">
        <a:xfrm>
          <a:off x="34575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24</xdr:row>
      <xdr:rowOff>171450</xdr:rowOff>
    </xdr:from>
    <xdr:to>
      <xdr:col>19</xdr:col>
      <xdr:colOff>0</xdr:colOff>
      <xdr:row>27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CAC16115-D79C-44FA-97F1-7388C7AEB4B2}"/>
            </a:ext>
          </a:extLst>
        </xdr:cNvPr>
        <xdr:cNvSpPr>
          <a:spLocks noChangeArrowheads="1"/>
        </xdr:cNvSpPr>
      </xdr:nvSpPr>
      <xdr:spPr bwMode="auto">
        <a:xfrm>
          <a:off x="42100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24</xdr:row>
      <xdr:rowOff>142875</xdr:rowOff>
    </xdr:from>
    <xdr:to>
      <xdr:col>22</xdr:col>
      <xdr:colOff>1</xdr:colOff>
      <xdr:row>25</xdr:row>
      <xdr:rowOff>104775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2F8EA4B9-7EF0-41BF-BDC2-1A3E7FF78A20}"/>
            </a:ext>
          </a:extLst>
        </xdr:cNvPr>
        <xdr:cNvSpPr>
          <a:spLocks/>
        </xdr:cNvSpPr>
      </xdr:nvSpPr>
      <xdr:spPr bwMode="auto">
        <a:xfrm>
          <a:off x="44481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24</xdr:row>
      <xdr:rowOff>171450</xdr:rowOff>
    </xdr:from>
    <xdr:to>
      <xdr:col>23</xdr:col>
      <xdr:colOff>0</xdr:colOff>
      <xdr:row>27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C1D3A8EE-0E8F-4248-AE2F-841BCAB36055}"/>
            </a:ext>
          </a:extLst>
        </xdr:cNvPr>
        <xdr:cNvSpPr>
          <a:spLocks noChangeArrowheads="1"/>
        </xdr:cNvSpPr>
      </xdr:nvSpPr>
      <xdr:spPr bwMode="auto">
        <a:xfrm>
          <a:off x="52006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24</xdr:row>
      <xdr:rowOff>142875</xdr:rowOff>
    </xdr:from>
    <xdr:to>
      <xdr:col>26</xdr:col>
      <xdr:colOff>1</xdr:colOff>
      <xdr:row>25</xdr:row>
      <xdr:rowOff>104775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7714169F-5CA8-4490-83CF-22F923A20C14}"/>
            </a:ext>
          </a:extLst>
        </xdr:cNvPr>
        <xdr:cNvSpPr>
          <a:spLocks/>
        </xdr:cNvSpPr>
      </xdr:nvSpPr>
      <xdr:spPr bwMode="auto">
        <a:xfrm>
          <a:off x="54387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24</xdr:row>
      <xdr:rowOff>171450</xdr:rowOff>
    </xdr:from>
    <xdr:to>
      <xdr:col>27</xdr:col>
      <xdr:colOff>0</xdr:colOff>
      <xdr:row>27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130826E6-6909-40D8-9D0E-771846A6F42E}"/>
            </a:ext>
          </a:extLst>
        </xdr:cNvPr>
        <xdr:cNvSpPr>
          <a:spLocks noChangeArrowheads="1"/>
        </xdr:cNvSpPr>
      </xdr:nvSpPr>
      <xdr:spPr bwMode="auto">
        <a:xfrm>
          <a:off x="61912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24</xdr:row>
      <xdr:rowOff>142875</xdr:rowOff>
    </xdr:from>
    <xdr:to>
      <xdr:col>30</xdr:col>
      <xdr:colOff>1</xdr:colOff>
      <xdr:row>25</xdr:row>
      <xdr:rowOff>104775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B2C2E875-7882-4890-B44D-98A00F8BB5D7}"/>
            </a:ext>
          </a:extLst>
        </xdr:cNvPr>
        <xdr:cNvSpPr>
          <a:spLocks/>
        </xdr:cNvSpPr>
      </xdr:nvSpPr>
      <xdr:spPr bwMode="auto">
        <a:xfrm>
          <a:off x="64293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24</xdr:row>
      <xdr:rowOff>171450</xdr:rowOff>
    </xdr:from>
    <xdr:to>
      <xdr:col>31</xdr:col>
      <xdr:colOff>0</xdr:colOff>
      <xdr:row>27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E236FF62-66FB-4F02-9090-D29FCD0F775F}"/>
            </a:ext>
          </a:extLst>
        </xdr:cNvPr>
        <xdr:cNvSpPr>
          <a:spLocks noChangeArrowheads="1"/>
        </xdr:cNvSpPr>
      </xdr:nvSpPr>
      <xdr:spPr bwMode="auto">
        <a:xfrm>
          <a:off x="71818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24</xdr:row>
      <xdr:rowOff>142875</xdr:rowOff>
    </xdr:from>
    <xdr:to>
      <xdr:col>34</xdr:col>
      <xdr:colOff>1</xdr:colOff>
      <xdr:row>25</xdr:row>
      <xdr:rowOff>104775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C880058B-07DD-4667-B2D8-86466CFAE3C5}"/>
            </a:ext>
          </a:extLst>
        </xdr:cNvPr>
        <xdr:cNvSpPr>
          <a:spLocks/>
        </xdr:cNvSpPr>
      </xdr:nvSpPr>
      <xdr:spPr bwMode="auto">
        <a:xfrm>
          <a:off x="74199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24</xdr:row>
      <xdr:rowOff>171450</xdr:rowOff>
    </xdr:from>
    <xdr:to>
      <xdr:col>35</xdr:col>
      <xdr:colOff>0</xdr:colOff>
      <xdr:row>27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3B6540DC-006E-46A0-9257-A4B34135FE66}"/>
            </a:ext>
          </a:extLst>
        </xdr:cNvPr>
        <xdr:cNvSpPr>
          <a:spLocks noChangeArrowheads="1"/>
        </xdr:cNvSpPr>
      </xdr:nvSpPr>
      <xdr:spPr bwMode="auto">
        <a:xfrm>
          <a:off x="8172450" y="50101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24</xdr:row>
      <xdr:rowOff>142875</xdr:rowOff>
    </xdr:from>
    <xdr:to>
      <xdr:col>38</xdr:col>
      <xdr:colOff>1</xdr:colOff>
      <xdr:row>25</xdr:row>
      <xdr:rowOff>104775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4F1DD606-4FDF-45B0-B835-1D0EA93AC774}"/>
            </a:ext>
          </a:extLst>
        </xdr:cNvPr>
        <xdr:cNvSpPr>
          <a:spLocks/>
        </xdr:cNvSpPr>
      </xdr:nvSpPr>
      <xdr:spPr bwMode="auto">
        <a:xfrm>
          <a:off x="84105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24</xdr:row>
      <xdr:rowOff>171450</xdr:rowOff>
    </xdr:from>
    <xdr:to>
      <xdr:col>3</xdr:col>
      <xdr:colOff>0</xdr:colOff>
      <xdr:row>27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866FCF62-2AB0-465F-B813-7429F8638B67}"/>
            </a:ext>
          </a:extLst>
        </xdr:cNvPr>
        <xdr:cNvSpPr>
          <a:spLocks noChangeArrowheads="1"/>
        </xdr:cNvSpPr>
      </xdr:nvSpPr>
      <xdr:spPr bwMode="auto">
        <a:xfrm>
          <a:off x="2476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24</xdr:row>
      <xdr:rowOff>142875</xdr:rowOff>
    </xdr:from>
    <xdr:to>
      <xdr:col>6</xdr:col>
      <xdr:colOff>9526</xdr:colOff>
      <xdr:row>25</xdr:row>
      <xdr:rowOff>104775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FC609213-F05D-49DB-AA3E-706BFFB5FC96}"/>
            </a:ext>
          </a:extLst>
        </xdr:cNvPr>
        <xdr:cNvSpPr>
          <a:spLocks/>
        </xdr:cNvSpPr>
      </xdr:nvSpPr>
      <xdr:spPr bwMode="auto">
        <a:xfrm>
          <a:off x="495300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24</xdr:row>
      <xdr:rowOff>171450</xdr:rowOff>
    </xdr:from>
    <xdr:to>
      <xdr:col>39</xdr:col>
      <xdr:colOff>0</xdr:colOff>
      <xdr:row>27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69B72E9F-AC59-419E-8149-760E1EE8CFBE}"/>
            </a:ext>
          </a:extLst>
        </xdr:cNvPr>
        <xdr:cNvSpPr>
          <a:spLocks noChangeArrowheads="1"/>
        </xdr:cNvSpPr>
      </xdr:nvSpPr>
      <xdr:spPr bwMode="auto">
        <a:xfrm>
          <a:off x="91630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24</xdr:row>
      <xdr:rowOff>142875</xdr:rowOff>
    </xdr:from>
    <xdr:to>
      <xdr:col>42</xdr:col>
      <xdr:colOff>1</xdr:colOff>
      <xdr:row>25</xdr:row>
      <xdr:rowOff>104775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B127AF75-21CF-4605-B62D-EAE18A2A2CCF}"/>
            </a:ext>
          </a:extLst>
        </xdr:cNvPr>
        <xdr:cNvSpPr>
          <a:spLocks/>
        </xdr:cNvSpPr>
      </xdr:nvSpPr>
      <xdr:spPr bwMode="auto">
        <a:xfrm>
          <a:off x="94011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24</xdr:row>
      <xdr:rowOff>171450</xdr:rowOff>
    </xdr:from>
    <xdr:to>
      <xdr:col>43</xdr:col>
      <xdr:colOff>0</xdr:colOff>
      <xdr:row>27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F1A6F18B-32CA-4418-B525-D4AFAD513BAF}"/>
            </a:ext>
          </a:extLst>
        </xdr:cNvPr>
        <xdr:cNvSpPr>
          <a:spLocks noChangeArrowheads="1"/>
        </xdr:cNvSpPr>
      </xdr:nvSpPr>
      <xdr:spPr bwMode="auto">
        <a:xfrm>
          <a:off x="101536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228600</xdr:colOff>
      <xdr:row>24</xdr:row>
      <xdr:rowOff>152399</xdr:rowOff>
    </xdr:from>
    <xdr:to>
      <xdr:col>46</xdr:col>
      <xdr:colOff>9525</xdr:colOff>
      <xdr:row>25</xdr:row>
      <xdr:rowOff>104774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782827A2-9F5C-4DB0-BEDD-BCADC23018AB}"/>
            </a:ext>
          </a:extLst>
        </xdr:cNvPr>
        <xdr:cNvSpPr>
          <a:spLocks/>
        </xdr:cNvSpPr>
      </xdr:nvSpPr>
      <xdr:spPr bwMode="auto">
        <a:xfrm>
          <a:off x="10382250" y="4991099"/>
          <a:ext cx="101917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34</xdr:row>
      <xdr:rowOff>171450</xdr:rowOff>
    </xdr:from>
    <xdr:to>
      <xdr:col>7</xdr:col>
      <xdr:colOff>0</xdr:colOff>
      <xdr:row>37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4C16627D-33A8-4CCF-9A02-3F23B2CC6A90}"/>
            </a:ext>
          </a:extLst>
        </xdr:cNvPr>
        <xdr:cNvSpPr>
          <a:spLocks noChangeArrowheads="1"/>
        </xdr:cNvSpPr>
      </xdr:nvSpPr>
      <xdr:spPr bwMode="auto">
        <a:xfrm>
          <a:off x="12382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34</xdr:row>
      <xdr:rowOff>142875</xdr:rowOff>
    </xdr:from>
    <xdr:to>
      <xdr:col>10</xdr:col>
      <xdr:colOff>9525</xdr:colOff>
      <xdr:row>35</xdr:row>
      <xdr:rowOff>104775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BFD97C97-5E36-4D3E-8639-0E5EA6BB53FE}"/>
            </a:ext>
          </a:extLst>
        </xdr:cNvPr>
        <xdr:cNvSpPr>
          <a:spLocks/>
        </xdr:cNvSpPr>
      </xdr:nvSpPr>
      <xdr:spPr bwMode="auto">
        <a:xfrm>
          <a:off x="1485899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34</xdr:row>
      <xdr:rowOff>171450</xdr:rowOff>
    </xdr:from>
    <xdr:to>
      <xdr:col>11</xdr:col>
      <xdr:colOff>0</xdr:colOff>
      <xdr:row>37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D401AD4B-E814-4A85-971B-B6770AE31ACC}"/>
            </a:ext>
          </a:extLst>
        </xdr:cNvPr>
        <xdr:cNvSpPr>
          <a:spLocks noChangeArrowheads="1"/>
        </xdr:cNvSpPr>
      </xdr:nvSpPr>
      <xdr:spPr bwMode="auto">
        <a:xfrm>
          <a:off x="22288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34</xdr:row>
      <xdr:rowOff>142875</xdr:rowOff>
    </xdr:from>
    <xdr:to>
      <xdr:col>14</xdr:col>
      <xdr:colOff>1</xdr:colOff>
      <xdr:row>35</xdr:row>
      <xdr:rowOff>104775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65C86C69-9735-45E4-BC73-8251EDDF0ED2}"/>
            </a:ext>
          </a:extLst>
        </xdr:cNvPr>
        <xdr:cNvSpPr>
          <a:spLocks/>
        </xdr:cNvSpPr>
      </xdr:nvSpPr>
      <xdr:spPr bwMode="auto">
        <a:xfrm>
          <a:off x="24669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34</xdr:row>
      <xdr:rowOff>171450</xdr:rowOff>
    </xdr:from>
    <xdr:to>
      <xdr:col>15</xdr:col>
      <xdr:colOff>0</xdr:colOff>
      <xdr:row>37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C939A198-1ABE-4B67-8BEB-A1592DB6535C}"/>
            </a:ext>
          </a:extLst>
        </xdr:cNvPr>
        <xdr:cNvSpPr>
          <a:spLocks noChangeArrowheads="1"/>
        </xdr:cNvSpPr>
      </xdr:nvSpPr>
      <xdr:spPr bwMode="auto">
        <a:xfrm>
          <a:off x="32194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34</xdr:row>
      <xdr:rowOff>142875</xdr:rowOff>
    </xdr:from>
    <xdr:to>
      <xdr:col>18</xdr:col>
      <xdr:colOff>1</xdr:colOff>
      <xdr:row>35</xdr:row>
      <xdr:rowOff>104775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F8EFD8BC-DCA3-4F99-84C3-33C5795FC72D}"/>
            </a:ext>
          </a:extLst>
        </xdr:cNvPr>
        <xdr:cNvSpPr>
          <a:spLocks/>
        </xdr:cNvSpPr>
      </xdr:nvSpPr>
      <xdr:spPr bwMode="auto">
        <a:xfrm>
          <a:off x="34575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34</xdr:row>
      <xdr:rowOff>171450</xdr:rowOff>
    </xdr:from>
    <xdr:to>
      <xdr:col>19</xdr:col>
      <xdr:colOff>0</xdr:colOff>
      <xdr:row>37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6C0294A1-C56C-4D33-A5BD-9C477B5BB513}"/>
            </a:ext>
          </a:extLst>
        </xdr:cNvPr>
        <xdr:cNvSpPr>
          <a:spLocks noChangeArrowheads="1"/>
        </xdr:cNvSpPr>
      </xdr:nvSpPr>
      <xdr:spPr bwMode="auto">
        <a:xfrm>
          <a:off x="42100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34</xdr:row>
      <xdr:rowOff>142875</xdr:rowOff>
    </xdr:from>
    <xdr:to>
      <xdr:col>22</xdr:col>
      <xdr:colOff>1</xdr:colOff>
      <xdr:row>35</xdr:row>
      <xdr:rowOff>104775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6EE9CB77-E3A7-4F82-9668-FA9B43A6DE42}"/>
            </a:ext>
          </a:extLst>
        </xdr:cNvPr>
        <xdr:cNvSpPr>
          <a:spLocks/>
        </xdr:cNvSpPr>
      </xdr:nvSpPr>
      <xdr:spPr bwMode="auto">
        <a:xfrm>
          <a:off x="44481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34</xdr:row>
      <xdr:rowOff>171450</xdr:rowOff>
    </xdr:from>
    <xdr:to>
      <xdr:col>23</xdr:col>
      <xdr:colOff>0</xdr:colOff>
      <xdr:row>37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8DB5432F-728D-4D52-B38E-8F0B48D5CB4E}"/>
            </a:ext>
          </a:extLst>
        </xdr:cNvPr>
        <xdr:cNvSpPr>
          <a:spLocks noChangeArrowheads="1"/>
        </xdr:cNvSpPr>
      </xdr:nvSpPr>
      <xdr:spPr bwMode="auto">
        <a:xfrm>
          <a:off x="52006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34</xdr:row>
      <xdr:rowOff>142875</xdr:rowOff>
    </xdr:from>
    <xdr:to>
      <xdr:col>26</xdr:col>
      <xdr:colOff>1</xdr:colOff>
      <xdr:row>35</xdr:row>
      <xdr:rowOff>104775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C5D401BC-31D2-4050-B22F-0C99F28AE14E}"/>
            </a:ext>
          </a:extLst>
        </xdr:cNvPr>
        <xdr:cNvSpPr>
          <a:spLocks/>
        </xdr:cNvSpPr>
      </xdr:nvSpPr>
      <xdr:spPr bwMode="auto">
        <a:xfrm>
          <a:off x="54387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34</xdr:row>
      <xdr:rowOff>171450</xdr:rowOff>
    </xdr:from>
    <xdr:to>
      <xdr:col>27</xdr:col>
      <xdr:colOff>0</xdr:colOff>
      <xdr:row>37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1F021785-FFE5-4C60-AF75-C45C723AF59E}"/>
            </a:ext>
          </a:extLst>
        </xdr:cNvPr>
        <xdr:cNvSpPr>
          <a:spLocks noChangeArrowheads="1"/>
        </xdr:cNvSpPr>
      </xdr:nvSpPr>
      <xdr:spPr bwMode="auto">
        <a:xfrm>
          <a:off x="61912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34</xdr:row>
      <xdr:rowOff>142875</xdr:rowOff>
    </xdr:from>
    <xdr:to>
      <xdr:col>30</xdr:col>
      <xdr:colOff>1</xdr:colOff>
      <xdr:row>35</xdr:row>
      <xdr:rowOff>104775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23F002E4-C767-4831-991C-0E18C5712CBB}"/>
            </a:ext>
          </a:extLst>
        </xdr:cNvPr>
        <xdr:cNvSpPr>
          <a:spLocks/>
        </xdr:cNvSpPr>
      </xdr:nvSpPr>
      <xdr:spPr bwMode="auto">
        <a:xfrm>
          <a:off x="64293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34</xdr:row>
      <xdr:rowOff>171450</xdr:rowOff>
    </xdr:from>
    <xdr:to>
      <xdr:col>31</xdr:col>
      <xdr:colOff>0</xdr:colOff>
      <xdr:row>37</xdr:row>
      <xdr:rowOff>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B9DA36BE-809B-4EA4-9E9C-A53785F88EC0}"/>
            </a:ext>
          </a:extLst>
        </xdr:cNvPr>
        <xdr:cNvSpPr>
          <a:spLocks noChangeArrowheads="1"/>
        </xdr:cNvSpPr>
      </xdr:nvSpPr>
      <xdr:spPr bwMode="auto">
        <a:xfrm>
          <a:off x="71818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34</xdr:row>
      <xdr:rowOff>142875</xdr:rowOff>
    </xdr:from>
    <xdr:to>
      <xdr:col>34</xdr:col>
      <xdr:colOff>1</xdr:colOff>
      <xdr:row>35</xdr:row>
      <xdr:rowOff>104775</xdr:rowOff>
    </xdr:to>
    <xdr:sp macro="" textlink="">
      <xdr:nvSpPr>
        <xdr:cNvPr id="37" name="Freeform 10695">
          <a:extLst>
            <a:ext uri="{FF2B5EF4-FFF2-40B4-BE49-F238E27FC236}">
              <a16:creationId xmlns:a16="http://schemas.microsoft.com/office/drawing/2014/main" id="{9D3CC5BC-42D9-4ACC-A7D9-9A00BED98FD1}"/>
            </a:ext>
          </a:extLst>
        </xdr:cNvPr>
        <xdr:cNvSpPr>
          <a:spLocks/>
        </xdr:cNvSpPr>
      </xdr:nvSpPr>
      <xdr:spPr bwMode="auto">
        <a:xfrm>
          <a:off x="74199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34</xdr:row>
      <xdr:rowOff>171450</xdr:rowOff>
    </xdr:from>
    <xdr:to>
      <xdr:col>35</xdr:col>
      <xdr:colOff>0</xdr:colOff>
      <xdr:row>37</xdr:row>
      <xdr:rowOff>0</xdr:rowOff>
    </xdr:to>
    <xdr:sp macro="" textlink="">
      <xdr:nvSpPr>
        <xdr:cNvPr id="38" name="0/0">
          <a:extLst>
            <a:ext uri="{FF2B5EF4-FFF2-40B4-BE49-F238E27FC236}">
              <a16:creationId xmlns:a16="http://schemas.microsoft.com/office/drawing/2014/main" id="{5AEE25B7-AD59-4EAD-9C44-9A9D70C04C1E}"/>
            </a:ext>
          </a:extLst>
        </xdr:cNvPr>
        <xdr:cNvSpPr>
          <a:spLocks noChangeArrowheads="1"/>
        </xdr:cNvSpPr>
      </xdr:nvSpPr>
      <xdr:spPr bwMode="auto">
        <a:xfrm>
          <a:off x="81724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34</xdr:row>
      <xdr:rowOff>142875</xdr:rowOff>
    </xdr:from>
    <xdr:to>
      <xdr:col>38</xdr:col>
      <xdr:colOff>1</xdr:colOff>
      <xdr:row>35</xdr:row>
      <xdr:rowOff>104775</xdr:rowOff>
    </xdr:to>
    <xdr:sp macro="" textlink="">
      <xdr:nvSpPr>
        <xdr:cNvPr id="39" name="Freeform 10695">
          <a:extLst>
            <a:ext uri="{FF2B5EF4-FFF2-40B4-BE49-F238E27FC236}">
              <a16:creationId xmlns:a16="http://schemas.microsoft.com/office/drawing/2014/main" id="{926ABCD2-7A74-4222-BACB-DEECF540DAE3}"/>
            </a:ext>
          </a:extLst>
        </xdr:cNvPr>
        <xdr:cNvSpPr>
          <a:spLocks/>
        </xdr:cNvSpPr>
      </xdr:nvSpPr>
      <xdr:spPr bwMode="auto">
        <a:xfrm>
          <a:off x="84105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34</xdr:row>
      <xdr:rowOff>171450</xdr:rowOff>
    </xdr:from>
    <xdr:to>
      <xdr:col>3</xdr:col>
      <xdr:colOff>0</xdr:colOff>
      <xdr:row>37</xdr:row>
      <xdr:rowOff>0</xdr:rowOff>
    </xdr:to>
    <xdr:sp macro="" textlink="">
      <xdr:nvSpPr>
        <xdr:cNvPr id="40" name="0/0">
          <a:extLst>
            <a:ext uri="{FF2B5EF4-FFF2-40B4-BE49-F238E27FC236}">
              <a16:creationId xmlns:a16="http://schemas.microsoft.com/office/drawing/2014/main" id="{B8F0D76E-F965-4F97-A05A-3409C0FE7445}"/>
            </a:ext>
          </a:extLst>
        </xdr:cNvPr>
        <xdr:cNvSpPr>
          <a:spLocks noChangeArrowheads="1"/>
        </xdr:cNvSpPr>
      </xdr:nvSpPr>
      <xdr:spPr bwMode="auto">
        <a:xfrm>
          <a:off x="2476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34</xdr:row>
      <xdr:rowOff>142875</xdr:rowOff>
    </xdr:from>
    <xdr:to>
      <xdr:col>6</xdr:col>
      <xdr:colOff>9526</xdr:colOff>
      <xdr:row>35</xdr:row>
      <xdr:rowOff>104775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068A0DC4-1A2E-4668-A55A-E66F196748AD}"/>
            </a:ext>
          </a:extLst>
        </xdr:cNvPr>
        <xdr:cNvSpPr>
          <a:spLocks/>
        </xdr:cNvSpPr>
      </xdr:nvSpPr>
      <xdr:spPr bwMode="auto">
        <a:xfrm>
          <a:off x="495300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34</xdr:row>
      <xdr:rowOff>171450</xdr:rowOff>
    </xdr:from>
    <xdr:to>
      <xdr:col>39</xdr:col>
      <xdr:colOff>0</xdr:colOff>
      <xdr:row>37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5967EA37-AA26-48F1-B7EA-63CA24BCB201}"/>
            </a:ext>
          </a:extLst>
        </xdr:cNvPr>
        <xdr:cNvSpPr>
          <a:spLocks noChangeArrowheads="1"/>
        </xdr:cNvSpPr>
      </xdr:nvSpPr>
      <xdr:spPr bwMode="auto">
        <a:xfrm>
          <a:off x="91630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34</xdr:row>
      <xdr:rowOff>142875</xdr:rowOff>
    </xdr:from>
    <xdr:to>
      <xdr:col>42</xdr:col>
      <xdr:colOff>1</xdr:colOff>
      <xdr:row>35</xdr:row>
      <xdr:rowOff>104775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CBB9A9F7-D330-4D15-98B2-3ED91242DBDD}"/>
            </a:ext>
          </a:extLst>
        </xdr:cNvPr>
        <xdr:cNvSpPr>
          <a:spLocks/>
        </xdr:cNvSpPr>
      </xdr:nvSpPr>
      <xdr:spPr bwMode="auto">
        <a:xfrm>
          <a:off x="94011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34</xdr:row>
      <xdr:rowOff>171450</xdr:rowOff>
    </xdr:from>
    <xdr:to>
      <xdr:col>43</xdr:col>
      <xdr:colOff>0</xdr:colOff>
      <xdr:row>37</xdr:row>
      <xdr:rowOff>0</xdr:rowOff>
    </xdr:to>
    <xdr:sp macro="" textlink="">
      <xdr:nvSpPr>
        <xdr:cNvPr id="44" name="0/0">
          <a:extLst>
            <a:ext uri="{FF2B5EF4-FFF2-40B4-BE49-F238E27FC236}">
              <a16:creationId xmlns:a16="http://schemas.microsoft.com/office/drawing/2014/main" id="{80B2889B-2BB4-4843-8CAB-C25E3F1ED0A5}"/>
            </a:ext>
          </a:extLst>
        </xdr:cNvPr>
        <xdr:cNvSpPr>
          <a:spLocks noChangeArrowheads="1"/>
        </xdr:cNvSpPr>
      </xdr:nvSpPr>
      <xdr:spPr bwMode="auto">
        <a:xfrm>
          <a:off x="101536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34</xdr:row>
      <xdr:rowOff>142875</xdr:rowOff>
    </xdr:from>
    <xdr:to>
      <xdr:col>45</xdr:col>
      <xdr:colOff>238125</xdr:colOff>
      <xdr:row>35</xdr:row>
      <xdr:rowOff>76200</xdr:rowOff>
    </xdr:to>
    <xdr:sp macro="" textlink="">
      <xdr:nvSpPr>
        <xdr:cNvPr id="45" name="Freeform 10695">
          <a:extLst>
            <a:ext uri="{FF2B5EF4-FFF2-40B4-BE49-F238E27FC236}">
              <a16:creationId xmlns:a16="http://schemas.microsoft.com/office/drawing/2014/main" id="{5A412E68-F333-48FF-8428-F9F515FAD497}"/>
            </a:ext>
          </a:extLst>
        </xdr:cNvPr>
        <xdr:cNvSpPr>
          <a:spLocks/>
        </xdr:cNvSpPr>
      </xdr:nvSpPr>
      <xdr:spPr bwMode="auto">
        <a:xfrm>
          <a:off x="10391775" y="6829425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44</xdr:row>
      <xdr:rowOff>171450</xdr:rowOff>
    </xdr:from>
    <xdr:to>
      <xdr:col>7</xdr:col>
      <xdr:colOff>0</xdr:colOff>
      <xdr:row>47</xdr:row>
      <xdr:rowOff>0</xdr:rowOff>
    </xdr:to>
    <xdr:sp macro="" textlink="">
      <xdr:nvSpPr>
        <xdr:cNvPr id="46" name="0/0">
          <a:extLst>
            <a:ext uri="{FF2B5EF4-FFF2-40B4-BE49-F238E27FC236}">
              <a16:creationId xmlns:a16="http://schemas.microsoft.com/office/drawing/2014/main" id="{CA31FDEE-7CAF-465D-8B44-EEBBDBE0488C}"/>
            </a:ext>
          </a:extLst>
        </xdr:cNvPr>
        <xdr:cNvSpPr>
          <a:spLocks noChangeArrowheads="1"/>
        </xdr:cNvSpPr>
      </xdr:nvSpPr>
      <xdr:spPr bwMode="auto">
        <a:xfrm>
          <a:off x="12382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44</xdr:row>
      <xdr:rowOff>142875</xdr:rowOff>
    </xdr:from>
    <xdr:to>
      <xdr:col>10</xdr:col>
      <xdr:colOff>9525</xdr:colOff>
      <xdr:row>45</xdr:row>
      <xdr:rowOff>104775</xdr:rowOff>
    </xdr:to>
    <xdr:sp macro="" textlink="">
      <xdr:nvSpPr>
        <xdr:cNvPr id="47" name="Freeform 10695">
          <a:extLst>
            <a:ext uri="{FF2B5EF4-FFF2-40B4-BE49-F238E27FC236}">
              <a16:creationId xmlns:a16="http://schemas.microsoft.com/office/drawing/2014/main" id="{36C3E568-DE61-4BDF-BA11-AC726FCA9FA5}"/>
            </a:ext>
          </a:extLst>
        </xdr:cNvPr>
        <xdr:cNvSpPr>
          <a:spLocks/>
        </xdr:cNvSpPr>
      </xdr:nvSpPr>
      <xdr:spPr bwMode="auto">
        <a:xfrm>
          <a:off x="1485899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44</xdr:row>
      <xdr:rowOff>171450</xdr:rowOff>
    </xdr:from>
    <xdr:to>
      <xdr:col>11</xdr:col>
      <xdr:colOff>0</xdr:colOff>
      <xdr:row>47</xdr:row>
      <xdr:rowOff>0</xdr:rowOff>
    </xdr:to>
    <xdr:sp macro="" textlink="">
      <xdr:nvSpPr>
        <xdr:cNvPr id="48" name="0/0">
          <a:extLst>
            <a:ext uri="{FF2B5EF4-FFF2-40B4-BE49-F238E27FC236}">
              <a16:creationId xmlns:a16="http://schemas.microsoft.com/office/drawing/2014/main" id="{139448D8-F287-41AD-BCB2-2EF20B05D487}"/>
            </a:ext>
          </a:extLst>
        </xdr:cNvPr>
        <xdr:cNvSpPr>
          <a:spLocks noChangeArrowheads="1"/>
        </xdr:cNvSpPr>
      </xdr:nvSpPr>
      <xdr:spPr bwMode="auto">
        <a:xfrm>
          <a:off x="22288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44</xdr:row>
      <xdr:rowOff>142875</xdr:rowOff>
    </xdr:from>
    <xdr:to>
      <xdr:col>14</xdr:col>
      <xdr:colOff>1</xdr:colOff>
      <xdr:row>45</xdr:row>
      <xdr:rowOff>104775</xdr:rowOff>
    </xdr:to>
    <xdr:sp macro="" textlink="">
      <xdr:nvSpPr>
        <xdr:cNvPr id="49" name="Freeform 10695">
          <a:extLst>
            <a:ext uri="{FF2B5EF4-FFF2-40B4-BE49-F238E27FC236}">
              <a16:creationId xmlns:a16="http://schemas.microsoft.com/office/drawing/2014/main" id="{C639B7CD-E73C-4F57-BD01-3293C0C84889}"/>
            </a:ext>
          </a:extLst>
        </xdr:cNvPr>
        <xdr:cNvSpPr>
          <a:spLocks/>
        </xdr:cNvSpPr>
      </xdr:nvSpPr>
      <xdr:spPr bwMode="auto">
        <a:xfrm>
          <a:off x="24669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44</xdr:row>
      <xdr:rowOff>171450</xdr:rowOff>
    </xdr:from>
    <xdr:to>
      <xdr:col>15</xdr:col>
      <xdr:colOff>0</xdr:colOff>
      <xdr:row>47</xdr:row>
      <xdr:rowOff>0</xdr:rowOff>
    </xdr:to>
    <xdr:sp macro="" textlink="">
      <xdr:nvSpPr>
        <xdr:cNvPr id="50" name="0/0">
          <a:extLst>
            <a:ext uri="{FF2B5EF4-FFF2-40B4-BE49-F238E27FC236}">
              <a16:creationId xmlns:a16="http://schemas.microsoft.com/office/drawing/2014/main" id="{034F1D7A-DE1B-4E7F-9616-83C2023B9198}"/>
            </a:ext>
          </a:extLst>
        </xdr:cNvPr>
        <xdr:cNvSpPr>
          <a:spLocks noChangeArrowheads="1"/>
        </xdr:cNvSpPr>
      </xdr:nvSpPr>
      <xdr:spPr bwMode="auto">
        <a:xfrm>
          <a:off x="32194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44</xdr:row>
      <xdr:rowOff>142875</xdr:rowOff>
    </xdr:from>
    <xdr:to>
      <xdr:col>18</xdr:col>
      <xdr:colOff>1</xdr:colOff>
      <xdr:row>45</xdr:row>
      <xdr:rowOff>104775</xdr:rowOff>
    </xdr:to>
    <xdr:sp macro="" textlink="">
      <xdr:nvSpPr>
        <xdr:cNvPr id="51" name="Freeform 10695">
          <a:extLst>
            <a:ext uri="{FF2B5EF4-FFF2-40B4-BE49-F238E27FC236}">
              <a16:creationId xmlns:a16="http://schemas.microsoft.com/office/drawing/2014/main" id="{03074E9C-A26E-460D-9308-C9F3EDB39624}"/>
            </a:ext>
          </a:extLst>
        </xdr:cNvPr>
        <xdr:cNvSpPr>
          <a:spLocks/>
        </xdr:cNvSpPr>
      </xdr:nvSpPr>
      <xdr:spPr bwMode="auto">
        <a:xfrm>
          <a:off x="34575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44</xdr:row>
      <xdr:rowOff>171450</xdr:rowOff>
    </xdr:from>
    <xdr:to>
      <xdr:col>19</xdr:col>
      <xdr:colOff>0</xdr:colOff>
      <xdr:row>47</xdr:row>
      <xdr:rowOff>0</xdr:rowOff>
    </xdr:to>
    <xdr:sp macro="" textlink="">
      <xdr:nvSpPr>
        <xdr:cNvPr id="52" name="0/0">
          <a:extLst>
            <a:ext uri="{FF2B5EF4-FFF2-40B4-BE49-F238E27FC236}">
              <a16:creationId xmlns:a16="http://schemas.microsoft.com/office/drawing/2014/main" id="{94CC88CB-4575-48C5-A229-5C7243D6A5E9}"/>
            </a:ext>
          </a:extLst>
        </xdr:cNvPr>
        <xdr:cNvSpPr>
          <a:spLocks noChangeArrowheads="1"/>
        </xdr:cNvSpPr>
      </xdr:nvSpPr>
      <xdr:spPr bwMode="auto">
        <a:xfrm>
          <a:off x="42100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44</xdr:row>
      <xdr:rowOff>142875</xdr:rowOff>
    </xdr:from>
    <xdr:to>
      <xdr:col>22</xdr:col>
      <xdr:colOff>1</xdr:colOff>
      <xdr:row>45</xdr:row>
      <xdr:rowOff>104775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654D0BB9-F039-4E9E-A106-D51950054331}"/>
            </a:ext>
          </a:extLst>
        </xdr:cNvPr>
        <xdr:cNvSpPr>
          <a:spLocks/>
        </xdr:cNvSpPr>
      </xdr:nvSpPr>
      <xdr:spPr bwMode="auto">
        <a:xfrm>
          <a:off x="44481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44</xdr:row>
      <xdr:rowOff>171450</xdr:rowOff>
    </xdr:from>
    <xdr:to>
      <xdr:col>23</xdr:col>
      <xdr:colOff>0</xdr:colOff>
      <xdr:row>47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3984E690-8742-48DA-80C0-8D4A210D9718}"/>
            </a:ext>
          </a:extLst>
        </xdr:cNvPr>
        <xdr:cNvSpPr>
          <a:spLocks noChangeArrowheads="1"/>
        </xdr:cNvSpPr>
      </xdr:nvSpPr>
      <xdr:spPr bwMode="auto">
        <a:xfrm>
          <a:off x="52006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44</xdr:row>
      <xdr:rowOff>142875</xdr:rowOff>
    </xdr:from>
    <xdr:to>
      <xdr:col>26</xdr:col>
      <xdr:colOff>1</xdr:colOff>
      <xdr:row>45</xdr:row>
      <xdr:rowOff>104775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1938969B-15AC-407B-AFE8-320E8468C038}"/>
            </a:ext>
          </a:extLst>
        </xdr:cNvPr>
        <xdr:cNvSpPr>
          <a:spLocks/>
        </xdr:cNvSpPr>
      </xdr:nvSpPr>
      <xdr:spPr bwMode="auto">
        <a:xfrm>
          <a:off x="54387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44</xdr:row>
      <xdr:rowOff>171450</xdr:rowOff>
    </xdr:from>
    <xdr:to>
      <xdr:col>27</xdr:col>
      <xdr:colOff>0</xdr:colOff>
      <xdr:row>47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57A24C3C-08D2-4575-AC34-E77E13BD6F32}"/>
            </a:ext>
          </a:extLst>
        </xdr:cNvPr>
        <xdr:cNvSpPr>
          <a:spLocks noChangeArrowheads="1"/>
        </xdr:cNvSpPr>
      </xdr:nvSpPr>
      <xdr:spPr bwMode="auto">
        <a:xfrm>
          <a:off x="61912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44</xdr:row>
      <xdr:rowOff>142875</xdr:rowOff>
    </xdr:from>
    <xdr:to>
      <xdr:col>30</xdr:col>
      <xdr:colOff>1</xdr:colOff>
      <xdr:row>45</xdr:row>
      <xdr:rowOff>104775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AB85357F-5DD8-4EB0-B09B-33430EF1A186}"/>
            </a:ext>
          </a:extLst>
        </xdr:cNvPr>
        <xdr:cNvSpPr>
          <a:spLocks/>
        </xdr:cNvSpPr>
      </xdr:nvSpPr>
      <xdr:spPr bwMode="auto">
        <a:xfrm>
          <a:off x="64293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44</xdr:row>
      <xdr:rowOff>171450</xdr:rowOff>
    </xdr:from>
    <xdr:to>
      <xdr:col>31</xdr:col>
      <xdr:colOff>0</xdr:colOff>
      <xdr:row>47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41B7C02E-5624-4007-B1F7-2C8D6BD712A8}"/>
            </a:ext>
          </a:extLst>
        </xdr:cNvPr>
        <xdr:cNvSpPr>
          <a:spLocks noChangeArrowheads="1"/>
        </xdr:cNvSpPr>
      </xdr:nvSpPr>
      <xdr:spPr bwMode="auto">
        <a:xfrm>
          <a:off x="71818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44</xdr:row>
      <xdr:rowOff>142875</xdr:rowOff>
    </xdr:from>
    <xdr:to>
      <xdr:col>34</xdr:col>
      <xdr:colOff>1</xdr:colOff>
      <xdr:row>45</xdr:row>
      <xdr:rowOff>104775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F49C99DC-D8D0-47A5-BEF9-E3A8F5DAFCE3}"/>
            </a:ext>
          </a:extLst>
        </xdr:cNvPr>
        <xdr:cNvSpPr>
          <a:spLocks/>
        </xdr:cNvSpPr>
      </xdr:nvSpPr>
      <xdr:spPr bwMode="auto">
        <a:xfrm>
          <a:off x="74199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44</xdr:row>
      <xdr:rowOff>171450</xdr:rowOff>
    </xdr:from>
    <xdr:to>
      <xdr:col>35</xdr:col>
      <xdr:colOff>0</xdr:colOff>
      <xdr:row>47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CA1F131A-9004-43FB-BF97-70D55B028B15}"/>
            </a:ext>
          </a:extLst>
        </xdr:cNvPr>
        <xdr:cNvSpPr>
          <a:spLocks noChangeArrowheads="1"/>
        </xdr:cNvSpPr>
      </xdr:nvSpPr>
      <xdr:spPr bwMode="auto">
        <a:xfrm>
          <a:off x="81724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44</xdr:row>
      <xdr:rowOff>142875</xdr:rowOff>
    </xdr:from>
    <xdr:to>
      <xdr:col>38</xdr:col>
      <xdr:colOff>1</xdr:colOff>
      <xdr:row>45</xdr:row>
      <xdr:rowOff>104775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FCB2AACC-616A-4353-8FDD-BBF16219CF1C}"/>
            </a:ext>
          </a:extLst>
        </xdr:cNvPr>
        <xdr:cNvSpPr>
          <a:spLocks/>
        </xdr:cNvSpPr>
      </xdr:nvSpPr>
      <xdr:spPr bwMode="auto">
        <a:xfrm>
          <a:off x="84105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44</xdr:row>
      <xdr:rowOff>171450</xdr:rowOff>
    </xdr:from>
    <xdr:to>
      <xdr:col>3</xdr:col>
      <xdr:colOff>0</xdr:colOff>
      <xdr:row>47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BB110F9C-E247-4118-822F-63884CF74550}"/>
            </a:ext>
          </a:extLst>
        </xdr:cNvPr>
        <xdr:cNvSpPr>
          <a:spLocks noChangeArrowheads="1"/>
        </xdr:cNvSpPr>
      </xdr:nvSpPr>
      <xdr:spPr bwMode="auto">
        <a:xfrm>
          <a:off x="2476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44</xdr:row>
      <xdr:rowOff>142875</xdr:rowOff>
    </xdr:from>
    <xdr:to>
      <xdr:col>6</xdr:col>
      <xdr:colOff>9526</xdr:colOff>
      <xdr:row>45</xdr:row>
      <xdr:rowOff>104775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A4A9F968-0805-4944-8596-58364A56E4F9}"/>
            </a:ext>
          </a:extLst>
        </xdr:cNvPr>
        <xdr:cNvSpPr>
          <a:spLocks/>
        </xdr:cNvSpPr>
      </xdr:nvSpPr>
      <xdr:spPr bwMode="auto">
        <a:xfrm>
          <a:off x="495300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44</xdr:row>
      <xdr:rowOff>171450</xdr:rowOff>
    </xdr:from>
    <xdr:to>
      <xdr:col>39</xdr:col>
      <xdr:colOff>0</xdr:colOff>
      <xdr:row>47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E541B92B-FEF5-4C11-848E-A72D7B1CEA6B}"/>
            </a:ext>
          </a:extLst>
        </xdr:cNvPr>
        <xdr:cNvSpPr>
          <a:spLocks noChangeArrowheads="1"/>
        </xdr:cNvSpPr>
      </xdr:nvSpPr>
      <xdr:spPr bwMode="auto">
        <a:xfrm>
          <a:off x="91630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44</xdr:row>
      <xdr:rowOff>142875</xdr:rowOff>
    </xdr:from>
    <xdr:to>
      <xdr:col>42</xdr:col>
      <xdr:colOff>1</xdr:colOff>
      <xdr:row>45</xdr:row>
      <xdr:rowOff>104775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AC1D3750-943A-4000-AF15-C1486886D48C}"/>
            </a:ext>
          </a:extLst>
        </xdr:cNvPr>
        <xdr:cNvSpPr>
          <a:spLocks/>
        </xdr:cNvSpPr>
      </xdr:nvSpPr>
      <xdr:spPr bwMode="auto">
        <a:xfrm>
          <a:off x="94011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44</xdr:row>
      <xdr:rowOff>171450</xdr:rowOff>
    </xdr:from>
    <xdr:to>
      <xdr:col>43</xdr:col>
      <xdr:colOff>0</xdr:colOff>
      <xdr:row>47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6A30AA5B-D232-49B9-B03A-8209175D6667}"/>
            </a:ext>
          </a:extLst>
        </xdr:cNvPr>
        <xdr:cNvSpPr>
          <a:spLocks noChangeArrowheads="1"/>
        </xdr:cNvSpPr>
      </xdr:nvSpPr>
      <xdr:spPr bwMode="auto">
        <a:xfrm>
          <a:off x="101536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44</xdr:row>
      <xdr:rowOff>142875</xdr:rowOff>
    </xdr:from>
    <xdr:to>
      <xdr:col>46</xdr:col>
      <xdr:colOff>0</xdr:colOff>
      <xdr:row>45</xdr:row>
      <xdr:rowOff>95250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873026CC-8382-4087-A19D-44F3BF3CF6E0}"/>
            </a:ext>
          </a:extLst>
        </xdr:cNvPr>
        <xdr:cNvSpPr>
          <a:spLocks/>
        </xdr:cNvSpPr>
      </xdr:nvSpPr>
      <xdr:spPr bwMode="auto">
        <a:xfrm>
          <a:off x="10391775" y="8677275"/>
          <a:ext cx="100012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54</xdr:row>
      <xdr:rowOff>171450</xdr:rowOff>
    </xdr:from>
    <xdr:to>
      <xdr:col>7</xdr:col>
      <xdr:colOff>0</xdr:colOff>
      <xdr:row>57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282C3691-B9E0-4F5B-B56E-4889E65EE83A}"/>
            </a:ext>
          </a:extLst>
        </xdr:cNvPr>
        <xdr:cNvSpPr>
          <a:spLocks noChangeArrowheads="1"/>
        </xdr:cNvSpPr>
      </xdr:nvSpPr>
      <xdr:spPr bwMode="auto">
        <a:xfrm>
          <a:off x="12382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54</xdr:row>
      <xdr:rowOff>142875</xdr:rowOff>
    </xdr:from>
    <xdr:to>
      <xdr:col>10</xdr:col>
      <xdr:colOff>9525</xdr:colOff>
      <xdr:row>55</xdr:row>
      <xdr:rowOff>104775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C3B39301-41D6-4D77-8ECB-1870F96ABADA}"/>
            </a:ext>
          </a:extLst>
        </xdr:cNvPr>
        <xdr:cNvSpPr>
          <a:spLocks/>
        </xdr:cNvSpPr>
      </xdr:nvSpPr>
      <xdr:spPr bwMode="auto">
        <a:xfrm>
          <a:off x="1485899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54</xdr:row>
      <xdr:rowOff>171450</xdr:rowOff>
    </xdr:from>
    <xdr:to>
      <xdr:col>11</xdr:col>
      <xdr:colOff>0</xdr:colOff>
      <xdr:row>57</xdr:row>
      <xdr:rowOff>0</xdr:rowOff>
    </xdr:to>
    <xdr:sp macro="" textlink="">
      <xdr:nvSpPr>
        <xdr:cNvPr id="70" name="0/0">
          <a:extLst>
            <a:ext uri="{FF2B5EF4-FFF2-40B4-BE49-F238E27FC236}">
              <a16:creationId xmlns:a16="http://schemas.microsoft.com/office/drawing/2014/main" id="{EFC8062B-F4BD-4DA9-BFF4-8A150B3401D4}"/>
            </a:ext>
          </a:extLst>
        </xdr:cNvPr>
        <xdr:cNvSpPr>
          <a:spLocks noChangeArrowheads="1"/>
        </xdr:cNvSpPr>
      </xdr:nvSpPr>
      <xdr:spPr bwMode="auto">
        <a:xfrm>
          <a:off x="22288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54</xdr:row>
      <xdr:rowOff>142875</xdr:rowOff>
    </xdr:from>
    <xdr:to>
      <xdr:col>14</xdr:col>
      <xdr:colOff>1</xdr:colOff>
      <xdr:row>55</xdr:row>
      <xdr:rowOff>104775</xdr:rowOff>
    </xdr:to>
    <xdr:sp macro="" textlink="">
      <xdr:nvSpPr>
        <xdr:cNvPr id="71" name="Freeform 10695">
          <a:extLst>
            <a:ext uri="{FF2B5EF4-FFF2-40B4-BE49-F238E27FC236}">
              <a16:creationId xmlns:a16="http://schemas.microsoft.com/office/drawing/2014/main" id="{46C2576B-CD5F-4B17-B5E7-FFC25A3AB743}"/>
            </a:ext>
          </a:extLst>
        </xdr:cNvPr>
        <xdr:cNvSpPr>
          <a:spLocks/>
        </xdr:cNvSpPr>
      </xdr:nvSpPr>
      <xdr:spPr bwMode="auto">
        <a:xfrm>
          <a:off x="24669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54</xdr:row>
      <xdr:rowOff>171450</xdr:rowOff>
    </xdr:from>
    <xdr:to>
      <xdr:col>15</xdr:col>
      <xdr:colOff>0</xdr:colOff>
      <xdr:row>57</xdr:row>
      <xdr:rowOff>0</xdr:rowOff>
    </xdr:to>
    <xdr:sp macro="" textlink="">
      <xdr:nvSpPr>
        <xdr:cNvPr id="72" name="0/0">
          <a:extLst>
            <a:ext uri="{FF2B5EF4-FFF2-40B4-BE49-F238E27FC236}">
              <a16:creationId xmlns:a16="http://schemas.microsoft.com/office/drawing/2014/main" id="{19540067-ED4C-4517-86BE-2C2800EEE5DA}"/>
            </a:ext>
          </a:extLst>
        </xdr:cNvPr>
        <xdr:cNvSpPr>
          <a:spLocks noChangeArrowheads="1"/>
        </xdr:cNvSpPr>
      </xdr:nvSpPr>
      <xdr:spPr bwMode="auto">
        <a:xfrm>
          <a:off x="32194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54</xdr:row>
      <xdr:rowOff>142875</xdr:rowOff>
    </xdr:from>
    <xdr:to>
      <xdr:col>18</xdr:col>
      <xdr:colOff>1</xdr:colOff>
      <xdr:row>55</xdr:row>
      <xdr:rowOff>104775</xdr:rowOff>
    </xdr:to>
    <xdr:sp macro="" textlink="">
      <xdr:nvSpPr>
        <xdr:cNvPr id="73" name="Freeform 10695">
          <a:extLst>
            <a:ext uri="{FF2B5EF4-FFF2-40B4-BE49-F238E27FC236}">
              <a16:creationId xmlns:a16="http://schemas.microsoft.com/office/drawing/2014/main" id="{215786C1-B5DB-422F-8369-E490EE88A007}"/>
            </a:ext>
          </a:extLst>
        </xdr:cNvPr>
        <xdr:cNvSpPr>
          <a:spLocks/>
        </xdr:cNvSpPr>
      </xdr:nvSpPr>
      <xdr:spPr bwMode="auto">
        <a:xfrm>
          <a:off x="34575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54</xdr:row>
      <xdr:rowOff>171450</xdr:rowOff>
    </xdr:from>
    <xdr:to>
      <xdr:col>19</xdr:col>
      <xdr:colOff>0</xdr:colOff>
      <xdr:row>57</xdr:row>
      <xdr:rowOff>0</xdr:rowOff>
    </xdr:to>
    <xdr:sp macro="" textlink="">
      <xdr:nvSpPr>
        <xdr:cNvPr id="74" name="0/0">
          <a:extLst>
            <a:ext uri="{FF2B5EF4-FFF2-40B4-BE49-F238E27FC236}">
              <a16:creationId xmlns:a16="http://schemas.microsoft.com/office/drawing/2014/main" id="{4B59A613-57E5-4F7A-B17D-592E1900C936}"/>
            </a:ext>
          </a:extLst>
        </xdr:cNvPr>
        <xdr:cNvSpPr>
          <a:spLocks noChangeArrowheads="1"/>
        </xdr:cNvSpPr>
      </xdr:nvSpPr>
      <xdr:spPr bwMode="auto">
        <a:xfrm>
          <a:off x="42100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54</xdr:row>
      <xdr:rowOff>142875</xdr:rowOff>
    </xdr:from>
    <xdr:to>
      <xdr:col>22</xdr:col>
      <xdr:colOff>1</xdr:colOff>
      <xdr:row>55</xdr:row>
      <xdr:rowOff>104775</xdr:rowOff>
    </xdr:to>
    <xdr:sp macro="" textlink="">
      <xdr:nvSpPr>
        <xdr:cNvPr id="75" name="Freeform 10695">
          <a:extLst>
            <a:ext uri="{FF2B5EF4-FFF2-40B4-BE49-F238E27FC236}">
              <a16:creationId xmlns:a16="http://schemas.microsoft.com/office/drawing/2014/main" id="{65D3C73D-C2D4-434B-ADB0-F97623EDF019}"/>
            </a:ext>
          </a:extLst>
        </xdr:cNvPr>
        <xdr:cNvSpPr>
          <a:spLocks/>
        </xdr:cNvSpPr>
      </xdr:nvSpPr>
      <xdr:spPr bwMode="auto">
        <a:xfrm>
          <a:off x="44481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54</xdr:row>
      <xdr:rowOff>171450</xdr:rowOff>
    </xdr:from>
    <xdr:to>
      <xdr:col>23</xdr:col>
      <xdr:colOff>0</xdr:colOff>
      <xdr:row>57</xdr:row>
      <xdr:rowOff>0</xdr:rowOff>
    </xdr:to>
    <xdr:sp macro="" textlink="">
      <xdr:nvSpPr>
        <xdr:cNvPr id="76" name="0/0">
          <a:extLst>
            <a:ext uri="{FF2B5EF4-FFF2-40B4-BE49-F238E27FC236}">
              <a16:creationId xmlns:a16="http://schemas.microsoft.com/office/drawing/2014/main" id="{9DE7A9E7-6B72-43ED-8CFE-C1841EEDF468}"/>
            </a:ext>
          </a:extLst>
        </xdr:cNvPr>
        <xdr:cNvSpPr>
          <a:spLocks noChangeArrowheads="1"/>
        </xdr:cNvSpPr>
      </xdr:nvSpPr>
      <xdr:spPr bwMode="auto">
        <a:xfrm>
          <a:off x="52006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54</xdr:row>
      <xdr:rowOff>142875</xdr:rowOff>
    </xdr:from>
    <xdr:to>
      <xdr:col>26</xdr:col>
      <xdr:colOff>1</xdr:colOff>
      <xdr:row>55</xdr:row>
      <xdr:rowOff>104775</xdr:rowOff>
    </xdr:to>
    <xdr:sp macro="" textlink="">
      <xdr:nvSpPr>
        <xdr:cNvPr id="77" name="Freeform 10695">
          <a:extLst>
            <a:ext uri="{FF2B5EF4-FFF2-40B4-BE49-F238E27FC236}">
              <a16:creationId xmlns:a16="http://schemas.microsoft.com/office/drawing/2014/main" id="{C3E6C740-D9D0-4B89-B591-284AF85AF255}"/>
            </a:ext>
          </a:extLst>
        </xdr:cNvPr>
        <xdr:cNvSpPr>
          <a:spLocks/>
        </xdr:cNvSpPr>
      </xdr:nvSpPr>
      <xdr:spPr bwMode="auto">
        <a:xfrm>
          <a:off x="54387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54</xdr:row>
      <xdr:rowOff>171450</xdr:rowOff>
    </xdr:from>
    <xdr:to>
      <xdr:col>27</xdr:col>
      <xdr:colOff>0</xdr:colOff>
      <xdr:row>57</xdr:row>
      <xdr:rowOff>0</xdr:rowOff>
    </xdr:to>
    <xdr:sp macro="" textlink="">
      <xdr:nvSpPr>
        <xdr:cNvPr id="78" name="0/0">
          <a:extLst>
            <a:ext uri="{FF2B5EF4-FFF2-40B4-BE49-F238E27FC236}">
              <a16:creationId xmlns:a16="http://schemas.microsoft.com/office/drawing/2014/main" id="{3685886C-0C90-48A4-B9A2-0F8D294D118A}"/>
            </a:ext>
          </a:extLst>
        </xdr:cNvPr>
        <xdr:cNvSpPr>
          <a:spLocks noChangeArrowheads="1"/>
        </xdr:cNvSpPr>
      </xdr:nvSpPr>
      <xdr:spPr bwMode="auto">
        <a:xfrm>
          <a:off x="61912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54</xdr:row>
      <xdr:rowOff>142875</xdr:rowOff>
    </xdr:from>
    <xdr:to>
      <xdr:col>30</xdr:col>
      <xdr:colOff>1</xdr:colOff>
      <xdr:row>55</xdr:row>
      <xdr:rowOff>104775</xdr:rowOff>
    </xdr:to>
    <xdr:sp macro="" textlink="">
      <xdr:nvSpPr>
        <xdr:cNvPr id="79" name="Freeform 10695">
          <a:extLst>
            <a:ext uri="{FF2B5EF4-FFF2-40B4-BE49-F238E27FC236}">
              <a16:creationId xmlns:a16="http://schemas.microsoft.com/office/drawing/2014/main" id="{7A54FB57-C1E2-4754-9775-4571A7B7B6E9}"/>
            </a:ext>
          </a:extLst>
        </xdr:cNvPr>
        <xdr:cNvSpPr>
          <a:spLocks/>
        </xdr:cNvSpPr>
      </xdr:nvSpPr>
      <xdr:spPr bwMode="auto">
        <a:xfrm>
          <a:off x="64293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54</xdr:row>
      <xdr:rowOff>171450</xdr:rowOff>
    </xdr:from>
    <xdr:to>
      <xdr:col>31</xdr:col>
      <xdr:colOff>0</xdr:colOff>
      <xdr:row>57</xdr:row>
      <xdr:rowOff>0</xdr:rowOff>
    </xdr:to>
    <xdr:sp macro="" textlink="">
      <xdr:nvSpPr>
        <xdr:cNvPr id="80" name="0/0">
          <a:extLst>
            <a:ext uri="{FF2B5EF4-FFF2-40B4-BE49-F238E27FC236}">
              <a16:creationId xmlns:a16="http://schemas.microsoft.com/office/drawing/2014/main" id="{836C66BD-1BA7-4302-9EE9-1318CE809A4D}"/>
            </a:ext>
          </a:extLst>
        </xdr:cNvPr>
        <xdr:cNvSpPr>
          <a:spLocks noChangeArrowheads="1"/>
        </xdr:cNvSpPr>
      </xdr:nvSpPr>
      <xdr:spPr bwMode="auto">
        <a:xfrm>
          <a:off x="71818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54</xdr:row>
      <xdr:rowOff>142875</xdr:rowOff>
    </xdr:from>
    <xdr:to>
      <xdr:col>34</xdr:col>
      <xdr:colOff>1</xdr:colOff>
      <xdr:row>55</xdr:row>
      <xdr:rowOff>104775</xdr:rowOff>
    </xdr:to>
    <xdr:sp macro="" textlink="">
      <xdr:nvSpPr>
        <xdr:cNvPr id="81" name="Freeform 10695">
          <a:extLst>
            <a:ext uri="{FF2B5EF4-FFF2-40B4-BE49-F238E27FC236}">
              <a16:creationId xmlns:a16="http://schemas.microsoft.com/office/drawing/2014/main" id="{1567572F-F3FA-4912-9A7E-5A60604ED94C}"/>
            </a:ext>
          </a:extLst>
        </xdr:cNvPr>
        <xdr:cNvSpPr>
          <a:spLocks/>
        </xdr:cNvSpPr>
      </xdr:nvSpPr>
      <xdr:spPr bwMode="auto">
        <a:xfrm>
          <a:off x="74199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54</xdr:row>
      <xdr:rowOff>171450</xdr:rowOff>
    </xdr:from>
    <xdr:to>
      <xdr:col>35</xdr:col>
      <xdr:colOff>0</xdr:colOff>
      <xdr:row>57</xdr:row>
      <xdr:rowOff>0</xdr:rowOff>
    </xdr:to>
    <xdr:sp macro="" textlink="">
      <xdr:nvSpPr>
        <xdr:cNvPr id="82" name="0/0">
          <a:extLst>
            <a:ext uri="{FF2B5EF4-FFF2-40B4-BE49-F238E27FC236}">
              <a16:creationId xmlns:a16="http://schemas.microsoft.com/office/drawing/2014/main" id="{E8A9D4AC-7BB4-4C45-ACC1-6E1F50537663}"/>
            </a:ext>
          </a:extLst>
        </xdr:cNvPr>
        <xdr:cNvSpPr>
          <a:spLocks noChangeArrowheads="1"/>
        </xdr:cNvSpPr>
      </xdr:nvSpPr>
      <xdr:spPr bwMode="auto">
        <a:xfrm>
          <a:off x="81724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54</xdr:row>
      <xdr:rowOff>142875</xdr:rowOff>
    </xdr:from>
    <xdr:to>
      <xdr:col>38</xdr:col>
      <xdr:colOff>1</xdr:colOff>
      <xdr:row>55</xdr:row>
      <xdr:rowOff>104775</xdr:rowOff>
    </xdr:to>
    <xdr:sp macro="" textlink="">
      <xdr:nvSpPr>
        <xdr:cNvPr id="83" name="Freeform 10695">
          <a:extLst>
            <a:ext uri="{FF2B5EF4-FFF2-40B4-BE49-F238E27FC236}">
              <a16:creationId xmlns:a16="http://schemas.microsoft.com/office/drawing/2014/main" id="{EC0F3564-01CA-46BD-8CBD-D5ADCA326F72}"/>
            </a:ext>
          </a:extLst>
        </xdr:cNvPr>
        <xdr:cNvSpPr>
          <a:spLocks/>
        </xdr:cNvSpPr>
      </xdr:nvSpPr>
      <xdr:spPr bwMode="auto">
        <a:xfrm>
          <a:off x="84105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54</xdr:row>
      <xdr:rowOff>171450</xdr:rowOff>
    </xdr:from>
    <xdr:to>
      <xdr:col>3</xdr:col>
      <xdr:colOff>0</xdr:colOff>
      <xdr:row>57</xdr:row>
      <xdr:rowOff>0</xdr:rowOff>
    </xdr:to>
    <xdr:sp macro="" textlink="">
      <xdr:nvSpPr>
        <xdr:cNvPr id="84" name="0/0">
          <a:extLst>
            <a:ext uri="{FF2B5EF4-FFF2-40B4-BE49-F238E27FC236}">
              <a16:creationId xmlns:a16="http://schemas.microsoft.com/office/drawing/2014/main" id="{D1CB9B4B-BBCE-4C2D-95D9-B47B98B9A1CB}"/>
            </a:ext>
          </a:extLst>
        </xdr:cNvPr>
        <xdr:cNvSpPr>
          <a:spLocks noChangeArrowheads="1"/>
        </xdr:cNvSpPr>
      </xdr:nvSpPr>
      <xdr:spPr bwMode="auto">
        <a:xfrm>
          <a:off x="2476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54</xdr:row>
      <xdr:rowOff>142875</xdr:rowOff>
    </xdr:from>
    <xdr:to>
      <xdr:col>6</xdr:col>
      <xdr:colOff>9526</xdr:colOff>
      <xdr:row>55</xdr:row>
      <xdr:rowOff>104775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4F984F87-EBE5-4DB1-8D4C-BCD8E822E1B1}"/>
            </a:ext>
          </a:extLst>
        </xdr:cNvPr>
        <xdr:cNvSpPr>
          <a:spLocks/>
        </xdr:cNvSpPr>
      </xdr:nvSpPr>
      <xdr:spPr bwMode="auto">
        <a:xfrm>
          <a:off x="495300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54</xdr:row>
      <xdr:rowOff>171450</xdr:rowOff>
    </xdr:from>
    <xdr:to>
      <xdr:col>39</xdr:col>
      <xdr:colOff>0</xdr:colOff>
      <xdr:row>57</xdr:row>
      <xdr:rowOff>0</xdr:rowOff>
    </xdr:to>
    <xdr:sp macro="" textlink="">
      <xdr:nvSpPr>
        <xdr:cNvPr id="86" name="0/0">
          <a:extLst>
            <a:ext uri="{FF2B5EF4-FFF2-40B4-BE49-F238E27FC236}">
              <a16:creationId xmlns:a16="http://schemas.microsoft.com/office/drawing/2014/main" id="{C76A66D5-3F41-4341-A9BF-26B2F1E1A445}"/>
            </a:ext>
          </a:extLst>
        </xdr:cNvPr>
        <xdr:cNvSpPr>
          <a:spLocks noChangeArrowheads="1"/>
        </xdr:cNvSpPr>
      </xdr:nvSpPr>
      <xdr:spPr bwMode="auto">
        <a:xfrm>
          <a:off x="91630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54</xdr:row>
      <xdr:rowOff>142875</xdr:rowOff>
    </xdr:from>
    <xdr:to>
      <xdr:col>42</xdr:col>
      <xdr:colOff>1</xdr:colOff>
      <xdr:row>55</xdr:row>
      <xdr:rowOff>104775</xdr:rowOff>
    </xdr:to>
    <xdr:sp macro="" textlink="">
      <xdr:nvSpPr>
        <xdr:cNvPr id="87" name="Freeform 10695">
          <a:extLst>
            <a:ext uri="{FF2B5EF4-FFF2-40B4-BE49-F238E27FC236}">
              <a16:creationId xmlns:a16="http://schemas.microsoft.com/office/drawing/2014/main" id="{982DBEE7-00A8-4B2F-A3B8-38A85A43CD8F}"/>
            </a:ext>
          </a:extLst>
        </xdr:cNvPr>
        <xdr:cNvSpPr>
          <a:spLocks/>
        </xdr:cNvSpPr>
      </xdr:nvSpPr>
      <xdr:spPr bwMode="auto">
        <a:xfrm>
          <a:off x="94011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54</xdr:row>
      <xdr:rowOff>171450</xdr:rowOff>
    </xdr:from>
    <xdr:to>
      <xdr:col>43</xdr:col>
      <xdr:colOff>0</xdr:colOff>
      <xdr:row>57</xdr:row>
      <xdr:rowOff>0</xdr:rowOff>
    </xdr:to>
    <xdr:sp macro="" textlink="">
      <xdr:nvSpPr>
        <xdr:cNvPr id="88" name="0/0">
          <a:extLst>
            <a:ext uri="{FF2B5EF4-FFF2-40B4-BE49-F238E27FC236}">
              <a16:creationId xmlns:a16="http://schemas.microsoft.com/office/drawing/2014/main" id="{D0F05BCB-18E8-4BE2-BD03-FC99661ABB13}"/>
            </a:ext>
          </a:extLst>
        </xdr:cNvPr>
        <xdr:cNvSpPr>
          <a:spLocks noChangeArrowheads="1"/>
        </xdr:cNvSpPr>
      </xdr:nvSpPr>
      <xdr:spPr bwMode="auto">
        <a:xfrm>
          <a:off x="101536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54</xdr:row>
      <xdr:rowOff>161925</xdr:rowOff>
    </xdr:from>
    <xdr:to>
      <xdr:col>45</xdr:col>
      <xdr:colOff>228600</xdr:colOff>
      <xdr:row>55</xdr:row>
      <xdr:rowOff>104775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2C1946AA-33FD-42CD-9857-E1B131956F6F}"/>
            </a:ext>
          </a:extLst>
        </xdr:cNvPr>
        <xdr:cNvSpPr>
          <a:spLocks/>
        </xdr:cNvSpPr>
      </xdr:nvSpPr>
      <xdr:spPr bwMode="auto">
        <a:xfrm>
          <a:off x="10391775" y="10544175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64</xdr:row>
      <xdr:rowOff>171450</xdr:rowOff>
    </xdr:from>
    <xdr:to>
      <xdr:col>7</xdr:col>
      <xdr:colOff>0</xdr:colOff>
      <xdr:row>67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3D91876C-43C7-4A3B-86CC-F73AE64DFB4A}"/>
            </a:ext>
          </a:extLst>
        </xdr:cNvPr>
        <xdr:cNvSpPr>
          <a:spLocks noChangeArrowheads="1"/>
        </xdr:cNvSpPr>
      </xdr:nvSpPr>
      <xdr:spPr bwMode="auto">
        <a:xfrm>
          <a:off x="12382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64</xdr:row>
      <xdr:rowOff>142875</xdr:rowOff>
    </xdr:from>
    <xdr:to>
      <xdr:col>10</xdr:col>
      <xdr:colOff>9525</xdr:colOff>
      <xdr:row>65</xdr:row>
      <xdr:rowOff>104775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09D68240-C199-46F6-9DB4-428FC57B53DF}"/>
            </a:ext>
          </a:extLst>
        </xdr:cNvPr>
        <xdr:cNvSpPr>
          <a:spLocks/>
        </xdr:cNvSpPr>
      </xdr:nvSpPr>
      <xdr:spPr bwMode="auto">
        <a:xfrm>
          <a:off x="1485899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64</xdr:row>
      <xdr:rowOff>171450</xdr:rowOff>
    </xdr:from>
    <xdr:to>
      <xdr:col>11</xdr:col>
      <xdr:colOff>0</xdr:colOff>
      <xdr:row>67</xdr:row>
      <xdr:rowOff>0</xdr:rowOff>
    </xdr:to>
    <xdr:sp macro="" textlink="">
      <xdr:nvSpPr>
        <xdr:cNvPr id="92" name="0/0">
          <a:extLst>
            <a:ext uri="{FF2B5EF4-FFF2-40B4-BE49-F238E27FC236}">
              <a16:creationId xmlns:a16="http://schemas.microsoft.com/office/drawing/2014/main" id="{EE087CCF-0F8B-4D88-A916-E1909B577DC6}"/>
            </a:ext>
          </a:extLst>
        </xdr:cNvPr>
        <xdr:cNvSpPr>
          <a:spLocks noChangeArrowheads="1"/>
        </xdr:cNvSpPr>
      </xdr:nvSpPr>
      <xdr:spPr bwMode="auto">
        <a:xfrm>
          <a:off x="22288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64</xdr:row>
      <xdr:rowOff>142875</xdr:rowOff>
    </xdr:from>
    <xdr:to>
      <xdr:col>14</xdr:col>
      <xdr:colOff>1</xdr:colOff>
      <xdr:row>65</xdr:row>
      <xdr:rowOff>104775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F8531712-488D-4626-822F-D71CE6222070}"/>
            </a:ext>
          </a:extLst>
        </xdr:cNvPr>
        <xdr:cNvSpPr>
          <a:spLocks/>
        </xdr:cNvSpPr>
      </xdr:nvSpPr>
      <xdr:spPr bwMode="auto">
        <a:xfrm>
          <a:off x="24669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64</xdr:row>
      <xdr:rowOff>171450</xdr:rowOff>
    </xdr:from>
    <xdr:to>
      <xdr:col>15</xdr:col>
      <xdr:colOff>0</xdr:colOff>
      <xdr:row>67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3E80FC2D-2F27-43A1-9882-ADBB52C25E76}"/>
            </a:ext>
          </a:extLst>
        </xdr:cNvPr>
        <xdr:cNvSpPr>
          <a:spLocks noChangeArrowheads="1"/>
        </xdr:cNvSpPr>
      </xdr:nvSpPr>
      <xdr:spPr bwMode="auto">
        <a:xfrm>
          <a:off x="32194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64</xdr:row>
      <xdr:rowOff>142875</xdr:rowOff>
    </xdr:from>
    <xdr:to>
      <xdr:col>18</xdr:col>
      <xdr:colOff>1</xdr:colOff>
      <xdr:row>65</xdr:row>
      <xdr:rowOff>104775</xdr:rowOff>
    </xdr:to>
    <xdr:sp macro="" textlink="">
      <xdr:nvSpPr>
        <xdr:cNvPr id="95" name="Freeform 10695">
          <a:extLst>
            <a:ext uri="{FF2B5EF4-FFF2-40B4-BE49-F238E27FC236}">
              <a16:creationId xmlns:a16="http://schemas.microsoft.com/office/drawing/2014/main" id="{FA76A1A2-B2BF-4901-A2C1-2637F2E7C471}"/>
            </a:ext>
          </a:extLst>
        </xdr:cNvPr>
        <xdr:cNvSpPr>
          <a:spLocks/>
        </xdr:cNvSpPr>
      </xdr:nvSpPr>
      <xdr:spPr bwMode="auto">
        <a:xfrm>
          <a:off x="34575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64</xdr:row>
      <xdr:rowOff>171450</xdr:rowOff>
    </xdr:from>
    <xdr:to>
      <xdr:col>19</xdr:col>
      <xdr:colOff>0</xdr:colOff>
      <xdr:row>67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ACF428ED-0871-44AF-9DC2-5A0582788ED9}"/>
            </a:ext>
          </a:extLst>
        </xdr:cNvPr>
        <xdr:cNvSpPr>
          <a:spLocks noChangeArrowheads="1"/>
        </xdr:cNvSpPr>
      </xdr:nvSpPr>
      <xdr:spPr bwMode="auto">
        <a:xfrm>
          <a:off x="42100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64</xdr:row>
      <xdr:rowOff>142875</xdr:rowOff>
    </xdr:from>
    <xdr:to>
      <xdr:col>22</xdr:col>
      <xdr:colOff>1</xdr:colOff>
      <xdr:row>65</xdr:row>
      <xdr:rowOff>104775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E2971794-48D3-482F-AEE7-DA9FA41FE3EB}"/>
            </a:ext>
          </a:extLst>
        </xdr:cNvPr>
        <xdr:cNvSpPr>
          <a:spLocks/>
        </xdr:cNvSpPr>
      </xdr:nvSpPr>
      <xdr:spPr bwMode="auto">
        <a:xfrm>
          <a:off x="44481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64</xdr:row>
      <xdr:rowOff>171450</xdr:rowOff>
    </xdr:from>
    <xdr:to>
      <xdr:col>23</xdr:col>
      <xdr:colOff>0</xdr:colOff>
      <xdr:row>67</xdr:row>
      <xdr:rowOff>0</xdr:rowOff>
    </xdr:to>
    <xdr:sp macro="" textlink="">
      <xdr:nvSpPr>
        <xdr:cNvPr id="98" name="0/0">
          <a:extLst>
            <a:ext uri="{FF2B5EF4-FFF2-40B4-BE49-F238E27FC236}">
              <a16:creationId xmlns:a16="http://schemas.microsoft.com/office/drawing/2014/main" id="{5ED834B8-0164-410E-BC1E-E51F00F84C96}"/>
            </a:ext>
          </a:extLst>
        </xdr:cNvPr>
        <xdr:cNvSpPr>
          <a:spLocks noChangeArrowheads="1"/>
        </xdr:cNvSpPr>
      </xdr:nvSpPr>
      <xdr:spPr bwMode="auto">
        <a:xfrm>
          <a:off x="52006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64</xdr:row>
      <xdr:rowOff>171450</xdr:rowOff>
    </xdr:from>
    <xdr:to>
      <xdr:col>27</xdr:col>
      <xdr:colOff>0</xdr:colOff>
      <xdr:row>67</xdr:row>
      <xdr:rowOff>0</xdr:rowOff>
    </xdr:to>
    <xdr:sp macro="" textlink="">
      <xdr:nvSpPr>
        <xdr:cNvPr id="99" name="0/0">
          <a:extLst>
            <a:ext uri="{FF2B5EF4-FFF2-40B4-BE49-F238E27FC236}">
              <a16:creationId xmlns:a16="http://schemas.microsoft.com/office/drawing/2014/main" id="{27761933-D4F4-4988-96ED-12A99D7C311E}"/>
            </a:ext>
          </a:extLst>
        </xdr:cNvPr>
        <xdr:cNvSpPr>
          <a:spLocks noChangeArrowheads="1"/>
        </xdr:cNvSpPr>
      </xdr:nvSpPr>
      <xdr:spPr bwMode="auto">
        <a:xfrm>
          <a:off x="61912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64</xdr:row>
      <xdr:rowOff>142875</xdr:rowOff>
    </xdr:from>
    <xdr:to>
      <xdr:col>30</xdr:col>
      <xdr:colOff>1</xdr:colOff>
      <xdr:row>65</xdr:row>
      <xdr:rowOff>104775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C1BF80CD-50FE-4BBA-81C9-1D54BE9A423E}"/>
            </a:ext>
          </a:extLst>
        </xdr:cNvPr>
        <xdr:cNvSpPr>
          <a:spLocks/>
        </xdr:cNvSpPr>
      </xdr:nvSpPr>
      <xdr:spPr bwMode="auto">
        <a:xfrm>
          <a:off x="64293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64</xdr:row>
      <xdr:rowOff>171450</xdr:rowOff>
    </xdr:from>
    <xdr:to>
      <xdr:col>31</xdr:col>
      <xdr:colOff>0</xdr:colOff>
      <xdr:row>67</xdr:row>
      <xdr:rowOff>0</xdr:rowOff>
    </xdr:to>
    <xdr:sp macro="" textlink="">
      <xdr:nvSpPr>
        <xdr:cNvPr id="101" name="0/0">
          <a:extLst>
            <a:ext uri="{FF2B5EF4-FFF2-40B4-BE49-F238E27FC236}">
              <a16:creationId xmlns:a16="http://schemas.microsoft.com/office/drawing/2014/main" id="{5139FE1F-C70A-4121-8E19-BBB8A08671F5}"/>
            </a:ext>
          </a:extLst>
        </xdr:cNvPr>
        <xdr:cNvSpPr>
          <a:spLocks noChangeArrowheads="1"/>
        </xdr:cNvSpPr>
      </xdr:nvSpPr>
      <xdr:spPr bwMode="auto">
        <a:xfrm>
          <a:off x="71818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64</xdr:row>
      <xdr:rowOff>142875</xdr:rowOff>
    </xdr:from>
    <xdr:to>
      <xdr:col>34</xdr:col>
      <xdr:colOff>1</xdr:colOff>
      <xdr:row>65</xdr:row>
      <xdr:rowOff>104775</xdr:rowOff>
    </xdr:to>
    <xdr:sp macro="" textlink="">
      <xdr:nvSpPr>
        <xdr:cNvPr id="102" name="Freeform 10695">
          <a:extLst>
            <a:ext uri="{FF2B5EF4-FFF2-40B4-BE49-F238E27FC236}">
              <a16:creationId xmlns:a16="http://schemas.microsoft.com/office/drawing/2014/main" id="{B083C4C8-4A49-4E31-A647-EBA75FFE9DA0}"/>
            </a:ext>
          </a:extLst>
        </xdr:cNvPr>
        <xdr:cNvSpPr>
          <a:spLocks/>
        </xdr:cNvSpPr>
      </xdr:nvSpPr>
      <xdr:spPr bwMode="auto">
        <a:xfrm>
          <a:off x="74199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64</xdr:row>
      <xdr:rowOff>171450</xdr:rowOff>
    </xdr:from>
    <xdr:to>
      <xdr:col>35</xdr:col>
      <xdr:colOff>0</xdr:colOff>
      <xdr:row>67</xdr:row>
      <xdr:rowOff>0</xdr:rowOff>
    </xdr:to>
    <xdr:sp macro="" textlink="">
      <xdr:nvSpPr>
        <xdr:cNvPr id="103" name="0/0">
          <a:extLst>
            <a:ext uri="{FF2B5EF4-FFF2-40B4-BE49-F238E27FC236}">
              <a16:creationId xmlns:a16="http://schemas.microsoft.com/office/drawing/2014/main" id="{539A827A-F666-4C38-9E58-73110ABD37AC}"/>
            </a:ext>
          </a:extLst>
        </xdr:cNvPr>
        <xdr:cNvSpPr>
          <a:spLocks noChangeArrowheads="1"/>
        </xdr:cNvSpPr>
      </xdr:nvSpPr>
      <xdr:spPr bwMode="auto">
        <a:xfrm>
          <a:off x="81724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64</xdr:row>
      <xdr:rowOff>142875</xdr:rowOff>
    </xdr:from>
    <xdr:to>
      <xdr:col>38</xdr:col>
      <xdr:colOff>1</xdr:colOff>
      <xdr:row>65</xdr:row>
      <xdr:rowOff>104775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0C8E5A05-7BC4-4E3E-B936-9C960D2311D8}"/>
            </a:ext>
          </a:extLst>
        </xdr:cNvPr>
        <xdr:cNvSpPr>
          <a:spLocks/>
        </xdr:cNvSpPr>
      </xdr:nvSpPr>
      <xdr:spPr bwMode="auto">
        <a:xfrm>
          <a:off x="84105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64</xdr:row>
      <xdr:rowOff>171450</xdr:rowOff>
    </xdr:from>
    <xdr:to>
      <xdr:col>3</xdr:col>
      <xdr:colOff>0</xdr:colOff>
      <xdr:row>67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119400D3-1D1B-4DE9-8266-882B186D9C95}"/>
            </a:ext>
          </a:extLst>
        </xdr:cNvPr>
        <xdr:cNvSpPr>
          <a:spLocks noChangeArrowheads="1"/>
        </xdr:cNvSpPr>
      </xdr:nvSpPr>
      <xdr:spPr bwMode="auto">
        <a:xfrm>
          <a:off x="2476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64</xdr:row>
      <xdr:rowOff>142875</xdr:rowOff>
    </xdr:from>
    <xdr:to>
      <xdr:col>6</xdr:col>
      <xdr:colOff>9526</xdr:colOff>
      <xdr:row>65</xdr:row>
      <xdr:rowOff>104775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2BC3CA60-CE88-4EDA-B584-CA7DEF7AE3B9}"/>
            </a:ext>
          </a:extLst>
        </xdr:cNvPr>
        <xdr:cNvSpPr>
          <a:spLocks/>
        </xdr:cNvSpPr>
      </xdr:nvSpPr>
      <xdr:spPr bwMode="auto">
        <a:xfrm>
          <a:off x="495300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64</xdr:row>
      <xdr:rowOff>171450</xdr:rowOff>
    </xdr:from>
    <xdr:to>
      <xdr:col>39</xdr:col>
      <xdr:colOff>0</xdr:colOff>
      <xdr:row>67</xdr:row>
      <xdr:rowOff>0</xdr:rowOff>
    </xdr:to>
    <xdr:sp macro="" textlink="">
      <xdr:nvSpPr>
        <xdr:cNvPr id="107" name="0/0">
          <a:extLst>
            <a:ext uri="{FF2B5EF4-FFF2-40B4-BE49-F238E27FC236}">
              <a16:creationId xmlns:a16="http://schemas.microsoft.com/office/drawing/2014/main" id="{2D4C4835-894E-472C-A5A4-95C42E0268CD}"/>
            </a:ext>
          </a:extLst>
        </xdr:cNvPr>
        <xdr:cNvSpPr>
          <a:spLocks noChangeArrowheads="1"/>
        </xdr:cNvSpPr>
      </xdr:nvSpPr>
      <xdr:spPr bwMode="auto">
        <a:xfrm>
          <a:off x="91630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64</xdr:row>
      <xdr:rowOff>142875</xdr:rowOff>
    </xdr:from>
    <xdr:to>
      <xdr:col>42</xdr:col>
      <xdr:colOff>1</xdr:colOff>
      <xdr:row>65</xdr:row>
      <xdr:rowOff>104775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3E47C73C-2B89-4B5C-AAC0-B09BD03B69C5}"/>
            </a:ext>
          </a:extLst>
        </xdr:cNvPr>
        <xdr:cNvSpPr>
          <a:spLocks/>
        </xdr:cNvSpPr>
      </xdr:nvSpPr>
      <xdr:spPr bwMode="auto">
        <a:xfrm>
          <a:off x="94011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64</xdr:row>
      <xdr:rowOff>171450</xdr:rowOff>
    </xdr:from>
    <xdr:to>
      <xdr:col>43</xdr:col>
      <xdr:colOff>0</xdr:colOff>
      <xdr:row>67</xdr:row>
      <xdr:rowOff>0</xdr:rowOff>
    </xdr:to>
    <xdr:sp macro="" textlink="">
      <xdr:nvSpPr>
        <xdr:cNvPr id="109" name="0/0">
          <a:extLst>
            <a:ext uri="{FF2B5EF4-FFF2-40B4-BE49-F238E27FC236}">
              <a16:creationId xmlns:a16="http://schemas.microsoft.com/office/drawing/2014/main" id="{C967E690-DDC5-48AB-B284-5BDDBB8783AE}"/>
            </a:ext>
          </a:extLst>
        </xdr:cNvPr>
        <xdr:cNvSpPr>
          <a:spLocks noChangeArrowheads="1"/>
        </xdr:cNvSpPr>
      </xdr:nvSpPr>
      <xdr:spPr bwMode="auto">
        <a:xfrm>
          <a:off x="101536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64</xdr:row>
      <xdr:rowOff>161925</xdr:rowOff>
    </xdr:from>
    <xdr:to>
      <xdr:col>46</xdr:col>
      <xdr:colOff>0</xdr:colOff>
      <xdr:row>65</xdr:row>
      <xdr:rowOff>104775</xdr:rowOff>
    </xdr:to>
    <xdr:sp macro="" textlink="">
      <xdr:nvSpPr>
        <xdr:cNvPr id="110" name="Freeform 10695">
          <a:extLst>
            <a:ext uri="{FF2B5EF4-FFF2-40B4-BE49-F238E27FC236}">
              <a16:creationId xmlns:a16="http://schemas.microsoft.com/office/drawing/2014/main" id="{95E82171-101B-4C91-9CD1-45A5E0D8C758}"/>
            </a:ext>
          </a:extLst>
        </xdr:cNvPr>
        <xdr:cNvSpPr>
          <a:spLocks/>
        </xdr:cNvSpPr>
      </xdr:nvSpPr>
      <xdr:spPr bwMode="auto">
        <a:xfrm>
          <a:off x="10391775" y="12392025"/>
          <a:ext cx="100012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111" name="0/0">
          <a:extLst>
            <a:ext uri="{FF2B5EF4-FFF2-40B4-BE49-F238E27FC236}">
              <a16:creationId xmlns:a16="http://schemas.microsoft.com/office/drawing/2014/main" id="{DE7FE0A9-774D-4365-8B12-8114B0C5B1D3}"/>
            </a:ext>
          </a:extLst>
        </xdr:cNvPr>
        <xdr:cNvSpPr>
          <a:spLocks noChangeArrowheads="1"/>
        </xdr:cNvSpPr>
      </xdr:nvSpPr>
      <xdr:spPr bwMode="auto">
        <a:xfrm>
          <a:off x="12382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74</xdr:row>
      <xdr:rowOff>142875</xdr:rowOff>
    </xdr:from>
    <xdr:to>
      <xdr:col>10</xdr:col>
      <xdr:colOff>9525</xdr:colOff>
      <xdr:row>75</xdr:row>
      <xdr:rowOff>104775</xdr:rowOff>
    </xdr:to>
    <xdr:sp macro="" textlink="">
      <xdr:nvSpPr>
        <xdr:cNvPr id="112" name="Freeform 10695">
          <a:extLst>
            <a:ext uri="{FF2B5EF4-FFF2-40B4-BE49-F238E27FC236}">
              <a16:creationId xmlns:a16="http://schemas.microsoft.com/office/drawing/2014/main" id="{82923340-662B-4915-82B4-78813C0CE07E}"/>
            </a:ext>
          </a:extLst>
        </xdr:cNvPr>
        <xdr:cNvSpPr>
          <a:spLocks/>
        </xdr:cNvSpPr>
      </xdr:nvSpPr>
      <xdr:spPr bwMode="auto">
        <a:xfrm>
          <a:off x="1485899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113" name="0/0">
          <a:extLst>
            <a:ext uri="{FF2B5EF4-FFF2-40B4-BE49-F238E27FC236}">
              <a16:creationId xmlns:a16="http://schemas.microsoft.com/office/drawing/2014/main" id="{7604226D-ED36-4A85-B51E-FDA180F53246}"/>
            </a:ext>
          </a:extLst>
        </xdr:cNvPr>
        <xdr:cNvSpPr>
          <a:spLocks noChangeArrowheads="1"/>
        </xdr:cNvSpPr>
      </xdr:nvSpPr>
      <xdr:spPr bwMode="auto">
        <a:xfrm>
          <a:off x="22288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74</xdr:row>
      <xdr:rowOff>142875</xdr:rowOff>
    </xdr:from>
    <xdr:to>
      <xdr:col>14</xdr:col>
      <xdr:colOff>1</xdr:colOff>
      <xdr:row>75</xdr:row>
      <xdr:rowOff>104775</xdr:rowOff>
    </xdr:to>
    <xdr:sp macro="" textlink="">
      <xdr:nvSpPr>
        <xdr:cNvPr id="114" name="Freeform 10695">
          <a:extLst>
            <a:ext uri="{FF2B5EF4-FFF2-40B4-BE49-F238E27FC236}">
              <a16:creationId xmlns:a16="http://schemas.microsoft.com/office/drawing/2014/main" id="{AA923F8B-8DA5-4D61-A2E8-D097FC200874}"/>
            </a:ext>
          </a:extLst>
        </xdr:cNvPr>
        <xdr:cNvSpPr>
          <a:spLocks/>
        </xdr:cNvSpPr>
      </xdr:nvSpPr>
      <xdr:spPr bwMode="auto">
        <a:xfrm>
          <a:off x="24669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115" name="0/0">
          <a:extLst>
            <a:ext uri="{FF2B5EF4-FFF2-40B4-BE49-F238E27FC236}">
              <a16:creationId xmlns:a16="http://schemas.microsoft.com/office/drawing/2014/main" id="{CE5B852D-6998-4B87-BA46-4932CB617B72}"/>
            </a:ext>
          </a:extLst>
        </xdr:cNvPr>
        <xdr:cNvSpPr>
          <a:spLocks noChangeArrowheads="1"/>
        </xdr:cNvSpPr>
      </xdr:nvSpPr>
      <xdr:spPr bwMode="auto">
        <a:xfrm>
          <a:off x="32194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74</xdr:row>
      <xdr:rowOff>142875</xdr:rowOff>
    </xdr:from>
    <xdr:to>
      <xdr:col>18</xdr:col>
      <xdr:colOff>1</xdr:colOff>
      <xdr:row>75</xdr:row>
      <xdr:rowOff>104775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7FE514F2-91DB-496D-B56D-A5043BE1BCA9}"/>
            </a:ext>
          </a:extLst>
        </xdr:cNvPr>
        <xdr:cNvSpPr>
          <a:spLocks/>
        </xdr:cNvSpPr>
      </xdr:nvSpPr>
      <xdr:spPr bwMode="auto">
        <a:xfrm>
          <a:off x="34575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117" name="0/0">
          <a:extLst>
            <a:ext uri="{FF2B5EF4-FFF2-40B4-BE49-F238E27FC236}">
              <a16:creationId xmlns:a16="http://schemas.microsoft.com/office/drawing/2014/main" id="{E92AFE9E-42A2-47FF-8F96-6B0283448103}"/>
            </a:ext>
          </a:extLst>
        </xdr:cNvPr>
        <xdr:cNvSpPr>
          <a:spLocks noChangeArrowheads="1"/>
        </xdr:cNvSpPr>
      </xdr:nvSpPr>
      <xdr:spPr bwMode="auto">
        <a:xfrm>
          <a:off x="42100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74</xdr:row>
      <xdr:rowOff>142875</xdr:rowOff>
    </xdr:from>
    <xdr:to>
      <xdr:col>22</xdr:col>
      <xdr:colOff>1</xdr:colOff>
      <xdr:row>75</xdr:row>
      <xdr:rowOff>104775</xdr:rowOff>
    </xdr:to>
    <xdr:sp macro="" textlink="">
      <xdr:nvSpPr>
        <xdr:cNvPr id="118" name="Freeform 10695">
          <a:extLst>
            <a:ext uri="{FF2B5EF4-FFF2-40B4-BE49-F238E27FC236}">
              <a16:creationId xmlns:a16="http://schemas.microsoft.com/office/drawing/2014/main" id="{5587D267-6347-48F8-B2B3-A7870731B21B}"/>
            </a:ext>
          </a:extLst>
        </xdr:cNvPr>
        <xdr:cNvSpPr>
          <a:spLocks/>
        </xdr:cNvSpPr>
      </xdr:nvSpPr>
      <xdr:spPr bwMode="auto">
        <a:xfrm>
          <a:off x="44481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119" name="0/0">
          <a:extLst>
            <a:ext uri="{FF2B5EF4-FFF2-40B4-BE49-F238E27FC236}">
              <a16:creationId xmlns:a16="http://schemas.microsoft.com/office/drawing/2014/main" id="{2CCEA87C-81F1-46E3-B1A2-D873D32B81CA}"/>
            </a:ext>
          </a:extLst>
        </xdr:cNvPr>
        <xdr:cNvSpPr>
          <a:spLocks noChangeArrowheads="1"/>
        </xdr:cNvSpPr>
      </xdr:nvSpPr>
      <xdr:spPr bwMode="auto">
        <a:xfrm>
          <a:off x="52006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74</xdr:row>
      <xdr:rowOff>142875</xdr:rowOff>
    </xdr:from>
    <xdr:to>
      <xdr:col>26</xdr:col>
      <xdr:colOff>1</xdr:colOff>
      <xdr:row>75</xdr:row>
      <xdr:rowOff>104775</xdr:rowOff>
    </xdr:to>
    <xdr:sp macro="" textlink="">
      <xdr:nvSpPr>
        <xdr:cNvPr id="120" name="Freeform 10695">
          <a:extLst>
            <a:ext uri="{FF2B5EF4-FFF2-40B4-BE49-F238E27FC236}">
              <a16:creationId xmlns:a16="http://schemas.microsoft.com/office/drawing/2014/main" id="{43CA4FEE-68BC-4587-97EF-5EC045EFCE39}"/>
            </a:ext>
          </a:extLst>
        </xdr:cNvPr>
        <xdr:cNvSpPr>
          <a:spLocks/>
        </xdr:cNvSpPr>
      </xdr:nvSpPr>
      <xdr:spPr bwMode="auto">
        <a:xfrm>
          <a:off x="54387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121" name="0/0">
          <a:extLst>
            <a:ext uri="{FF2B5EF4-FFF2-40B4-BE49-F238E27FC236}">
              <a16:creationId xmlns:a16="http://schemas.microsoft.com/office/drawing/2014/main" id="{168F7EB0-D9D0-4CE8-AE1E-6BF12A4DE0E9}"/>
            </a:ext>
          </a:extLst>
        </xdr:cNvPr>
        <xdr:cNvSpPr>
          <a:spLocks noChangeArrowheads="1"/>
        </xdr:cNvSpPr>
      </xdr:nvSpPr>
      <xdr:spPr bwMode="auto">
        <a:xfrm>
          <a:off x="61912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74</xdr:row>
      <xdr:rowOff>142875</xdr:rowOff>
    </xdr:from>
    <xdr:to>
      <xdr:col>30</xdr:col>
      <xdr:colOff>1</xdr:colOff>
      <xdr:row>75</xdr:row>
      <xdr:rowOff>104775</xdr:rowOff>
    </xdr:to>
    <xdr:sp macro="" textlink="">
      <xdr:nvSpPr>
        <xdr:cNvPr id="122" name="Freeform 10695">
          <a:extLst>
            <a:ext uri="{FF2B5EF4-FFF2-40B4-BE49-F238E27FC236}">
              <a16:creationId xmlns:a16="http://schemas.microsoft.com/office/drawing/2014/main" id="{23AD8336-96BB-43AD-848A-8E53F0800942}"/>
            </a:ext>
          </a:extLst>
        </xdr:cNvPr>
        <xdr:cNvSpPr>
          <a:spLocks/>
        </xdr:cNvSpPr>
      </xdr:nvSpPr>
      <xdr:spPr bwMode="auto">
        <a:xfrm>
          <a:off x="64293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123" name="0/0">
          <a:extLst>
            <a:ext uri="{FF2B5EF4-FFF2-40B4-BE49-F238E27FC236}">
              <a16:creationId xmlns:a16="http://schemas.microsoft.com/office/drawing/2014/main" id="{E113293E-1E74-428C-BDD1-28A5C9F7C718}"/>
            </a:ext>
          </a:extLst>
        </xdr:cNvPr>
        <xdr:cNvSpPr>
          <a:spLocks noChangeArrowheads="1"/>
        </xdr:cNvSpPr>
      </xdr:nvSpPr>
      <xdr:spPr bwMode="auto">
        <a:xfrm>
          <a:off x="71818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74</xdr:row>
      <xdr:rowOff>142875</xdr:rowOff>
    </xdr:from>
    <xdr:to>
      <xdr:col>34</xdr:col>
      <xdr:colOff>1</xdr:colOff>
      <xdr:row>75</xdr:row>
      <xdr:rowOff>104775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3A00BE0A-C626-4F4E-A2B2-7A1B23372A7A}"/>
            </a:ext>
          </a:extLst>
        </xdr:cNvPr>
        <xdr:cNvSpPr>
          <a:spLocks/>
        </xdr:cNvSpPr>
      </xdr:nvSpPr>
      <xdr:spPr bwMode="auto">
        <a:xfrm>
          <a:off x="74199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71503A89-28F9-47FF-8001-430CCE35FBCE}"/>
            </a:ext>
          </a:extLst>
        </xdr:cNvPr>
        <xdr:cNvSpPr>
          <a:spLocks noChangeArrowheads="1"/>
        </xdr:cNvSpPr>
      </xdr:nvSpPr>
      <xdr:spPr bwMode="auto">
        <a:xfrm>
          <a:off x="81724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74</xdr:row>
      <xdr:rowOff>142875</xdr:rowOff>
    </xdr:from>
    <xdr:to>
      <xdr:col>38</xdr:col>
      <xdr:colOff>1</xdr:colOff>
      <xdr:row>75</xdr:row>
      <xdr:rowOff>104775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AA2B66F1-9B00-4EEF-A8A5-C2C9830B03BD}"/>
            </a:ext>
          </a:extLst>
        </xdr:cNvPr>
        <xdr:cNvSpPr>
          <a:spLocks/>
        </xdr:cNvSpPr>
      </xdr:nvSpPr>
      <xdr:spPr bwMode="auto">
        <a:xfrm>
          <a:off x="84105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243037FC-22F2-483B-8A28-1058016A2135}"/>
            </a:ext>
          </a:extLst>
        </xdr:cNvPr>
        <xdr:cNvSpPr>
          <a:spLocks noChangeArrowheads="1"/>
        </xdr:cNvSpPr>
      </xdr:nvSpPr>
      <xdr:spPr bwMode="auto">
        <a:xfrm>
          <a:off x="2476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74</xdr:row>
      <xdr:rowOff>142875</xdr:rowOff>
    </xdr:from>
    <xdr:to>
      <xdr:col>6</xdr:col>
      <xdr:colOff>9526</xdr:colOff>
      <xdr:row>75</xdr:row>
      <xdr:rowOff>104775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FE7D09C4-F947-47BF-B259-51E56DAB5B81}"/>
            </a:ext>
          </a:extLst>
        </xdr:cNvPr>
        <xdr:cNvSpPr>
          <a:spLocks/>
        </xdr:cNvSpPr>
      </xdr:nvSpPr>
      <xdr:spPr bwMode="auto">
        <a:xfrm>
          <a:off x="495300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129" name="0/0">
          <a:extLst>
            <a:ext uri="{FF2B5EF4-FFF2-40B4-BE49-F238E27FC236}">
              <a16:creationId xmlns:a16="http://schemas.microsoft.com/office/drawing/2014/main" id="{94D92A1E-8333-4A68-9C09-58AD3D545A55}"/>
            </a:ext>
          </a:extLst>
        </xdr:cNvPr>
        <xdr:cNvSpPr>
          <a:spLocks noChangeArrowheads="1"/>
        </xdr:cNvSpPr>
      </xdr:nvSpPr>
      <xdr:spPr bwMode="auto">
        <a:xfrm>
          <a:off x="91630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74</xdr:row>
      <xdr:rowOff>142875</xdr:rowOff>
    </xdr:from>
    <xdr:to>
      <xdr:col>42</xdr:col>
      <xdr:colOff>1</xdr:colOff>
      <xdr:row>75</xdr:row>
      <xdr:rowOff>104775</xdr:rowOff>
    </xdr:to>
    <xdr:sp macro="" textlink="">
      <xdr:nvSpPr>
        <xdr:cNvPr id="130" name="Freeform 10695">
          <a:extLst>
            <a:ext uri="{FF2B5EF4-FFF2-40B4-BE49-F238E27FC236}">
              <a16:creationId xmlns:a16="http://schemas.microsoft.com/office/drawing/2014/main" id="{F1C73163-AF75-4CE6-A13C-6115521F4C12}"/>
            </a:ext>
          </a:extLst>
        </xdr:cNvPr>
        <xdr:cNvSpPr>
          <a:spLocks/>
        </xdr:cNvSpPr>
      </xdr:nvSpPr>
      <xdr:spPr bwMode="auto">
        <a:xfrm>
          <a:off x="94011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131" name="0/0">
          <a:extLst>
            <a:ext uri="{FF2B5EF4-FFF2-40B4-BE49-F238E27FC236}">
              <a16:creationId xmlns:a16="http://schemas.microsoft.com/office/drawing/2014/main" id="{ED15F94C-6CF5-48E4-B6B5-D16772CB0DC8}"/>
            </a:ext>
          </a:extLst>
        </xdr:cNvPr>
        <xdr:cNvSpPr>
          <a:spLocks noChangeArrowheads="1"/>
        </xdr:cNvSpPr>
      </xdr:nvSpPr>
      <xdr:spPr bwMode="auto">
        <a:xfrm>
          <a:off x="101536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238124</xdr:colOff>
      <xdr:row>74</xdr:row>
      <xdr:rowOff>152399</xdr:rowOff>
    </xdr:from>
    <xdr:to>
      <xdr:col>45</xdr:col>
      <xdr:colOff>238125</xdr:colOff>
      <xdr:row>75</xdr:row>
      <xdr:rowOff>104774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427B4589-9784-4EDD-9A96-41F23F430948}"/>
            </a:ext>
          </a:extLst>
        </xdr:cNvPr>
        <xdr:cNvSpPr>
          <a:spLocks/>
        </xdr:cNvSpPr>
      </xdr:nvSpPr>
      <xdr:spPr bwMode="auto">
        <a:xfrm>
          <a:off x="10391774" y="14230349"/>
          <a:ext cx="990601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84</xdr:row>
      <xdr:rowOff>171450</xdr:rowOff>
    </xdr:from>
    <xdr:to>
      <xdr:col>7</xdr:col>
      <xdr:colOff>0</xdr:colOff>
      <xdr:row>87</xdr:row>
      <xdr:rowOff>0</xdr:rowOff>
    </xdr:to>
    <xdr:sp macro="" textlink="">
      <xdr:nvSpPr>
        <xdr:cNvPr id="133" name="0/0">
          <a:extLst>
            <a:ext uri="{FF2B5EF4-FFF2-40B4-BE49-F238E27FC236}">
              <a16:creationId xmlns:a16="http://schemas.microsoft.com/office/drawing/2014/main" id="{7C30978A-CAA2-49C2-A79A-8AD960CEDAAA}"/>
            </a:ext>
          </a:extLst>
        </xdr:cNvPr>
        <xdr:cNvSpPr>
          <a:spLocks noChangeArrowheads="1"/>
        </xdr:cNvSpPr>
      </xdr:nvSpPr>
      <xdr:spPr bwMode="auto">
        <a:xfrm>
          <a:off x="12382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84</xdr:row>
      <xdr:rowOff>142875</xdr:rowOff>
    </xdr:from>
    <xdr:to>
      <xdr:col>10</xdr:col>
      <xdr:colOff>9525</xdr:colOff>
      <xdr:row>85</xdr:row>
      <xdr:rowOff>104775</xdr:rowOff>
    </xdr:to>
    <xdr:sp macro="" textlink="">
      <xdr:nvSpPr>
        <xdr:cNvPr id="134" name="Freeform 10695">
          <a:extLst>
            <a:ext uri="{FF2B5EF4-FFF2-40B4-BE49-F238E27FC236}">
              <a16:creationId xmlns:a16="http://schemas.microsoft.com/office/drawing/2014/main" id="{D01DE9A6-9282-4CA7-828F-77329E0B2704}"/>
            </a:ext>
          </a:extLst>
        </xdr:cNvPr>
        <xdr:cNvSpPr>
          <a:spLocks/>
        </xdr:cNvSpPr>
      </xdr:nvSpPr>
      <xdr:spPr bwMode="auto">
        <a:xfrm>
          <a:off x="1485899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84</xdr:row>
      <xdr:rowOff>171450</xdr:rowOff>
    </xdr:from>
    <xdr:to>
      <xdr:col>11</xdr:col>
      <xdr:colOff>0</xdr:colOff>
      <xdr:row>87</xdr:row>
      <xdr:rowOff>0</xdr:rowOff>
    </xdr:to>
    <xdr:sp macro="" textlink="">
      <xdr:nvSpPr>
        <xdr:cNvPr id="135" name="0/0">
          <a:extLst>
            <a:ext uri="{FF2B5EF4-FFF2-40B4-BE49-F238E27FC236}">
              <a16:creationId xmlns:a16="http://schemas.microsoft.com/office/drawing/2014/main" id="{8942A424-F3D5-4252-A40B-716BCB0AF04E}"/>
            </a:ext>
          </a:extLst>
        </xdr:cNvPr>
        <xdr:cNvSpPr>
          <a:spLocks noChangeArrowheads="1"/>
        </xdr:cNvSpPr>
      </xdr:nvSpPr>
      <xdr:spPr bwMode="auto">
        <a:xfrm>
          <a:off x="22288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84</xdr:row>
      <xdr:rowOff>142875</xdr:rowOff>
    </xdr:from>
    <xdr:to>
      <xdr:col>14</xdr:col>
      <xdr:colOff>1</xdr:colOff>
      <xdr:row>85</xdr:row>
      <xdr:rowOff>104775</xdr:rowOff>
    </xdr:to>
    <xdr:sp macro="" textlink="">
      <xdr:nvSpPr>
        <xdr:cNvPr id="136" name="Freeform 10695">
          <a:extLst>
            <a:ext uri="{FF2B5EF4-FFF2-40B4-BE49-F238E27FC236}">
              <a16:creationId xmlns:a16="http://schemas.microsoft.com/office/drawing/2014/main" id="{D4685406-3A35-4000-8FD7-D72606DC91C1}"/>
            </a:ext>
          </a:extLst>
        </xdr:cNvPr>
        <xdr:cNvSpPr>
          <a:spLocks/>
        </xdr:cNvSpPr>
      </xdr:nvSpPr>
      <xdr:spPr bwMode="auto">
        <a:xfrm>
          <a:off x="24669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84</xdr:row>
      <xdr:rowOff>171450</xdr:rowOff>
    </xdr:from>
    <xdr:to>
      <xdr:col>15</xdr:col>
      <xdr:colOff>0</xdr:colOff>
      <xdr:row>87</xdr:row>
      <xdr:rowOff>0</xdr:rowOff>
    </xdr:to>
    <xdr:sp macro="" textlink="">
      <xdr:nvSpPr>
        <xdr:cNvPr id="137" name="0/0">
          <a:extLst>
            <a:ext uri="{FF2B5EF4-FFF2-40B4-BE49-F238E27FC236}">
              <a16:creationId xmlns:a16="http://schemas.microsoft.com/office/drawing/2014/main" id="{A1A16E4E-0627-490A-BA57-95A1BFD2E5E5}"/>
            </a:ext>
          </a:extLst>
        </xdr:cNvPr>
        <xdr:cNvSpPr>
          <a:spLocks noChangeArrowheads="1"/>
        </xdr:cNvSpPr>
      </xdr:nvSpPr>
      <xdr:spPr bwMode="auto">
        <a:xfrm>
          <a:off x="32194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84</xdr:row>
      <xdr:rowOff>142875</xdr:rowOff>
    </xdr:from>
    <xdr:to>
      <xdr:col>18</xdr:col>
      <xdr:colOff>1</xdr:colOff>
      <xdr:row>85</xdr:row>
      <xdr:rowOff>104775</xdr:rowOff>
    </xdr:to>
    <xdr:sp macro="" textlink="">
      <xdr:nvSpPr>
        <xdr:cNvPr id="138" name="Freeform 10695">
          <a:extLst>
            <a:ext uri="{FF2B5EF4-FFF2-40B4-BE49-F238E27FC236}">
              <a16:creationId xmlns:a16="http://schemas.microsoft.com/office/drawing/2014/main" id="{7B0B51C6-7BE8-4F2E-A67C-082D040DAC09}"/>
            </a:ext>
          </a:extLst>
        </xdr:cNvPr>
        <xdr:cNvSpPr>
          <a:spLocks/>
        </xdr:cNvSpPr>
      </xdr:nvSpPr>
      <xdr:spPr bwMode="auto">
        <a:xfrm>
          <a:off x="34575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84</xdr:row>
      <xdr:rowOff>171450</xdr:rowOff>
    </xdr:from>
    <xdr:to>
      <xdr:col>19</xdr:col>
      <xdr:colOff>0</xdr:colOff>
      <xdr:row>87</xdr:row>
      <xdr:rowOff>0</xdr:rowOff>
    </xdr:to>
    <xdr:sp macro="" textlink="">
      <xdr:nvSpPr>
        <xdr:cNvPr id="139" name="0/0">
          <a:extLst>
            <a:ext uri="{FF2B5EF4-FFF2-40B4-BE49-F238E27FC236}">
              <a16:creationId xmlns:a16="http://schemas.microsoft.com/office/drawing/2014/main" id="{BEB62A3B-8521-4D67-86D9-87B13FF204CA}"/>
            </a:ext>
          </a:extLst>
        </xdr:cNvPr>
        <xdr:cNvSpPr>
          <a:spLocks noChangeArrowheads="1"/>
        </xdr:cNvSpPr>
      </xdr:nvSpPr>
      <xdr:spPr bwMode="auto">
        <a:xfrm>
          <a:off x="42100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84</xdr:row>
      <xdr:rowOff>142875</xdr:rowOff>
    </xdr:from>
    <xdr:to>
      <xdr:col>22</xdr:col>
      <xdr:colOff>1</xdr:colOff>
      <xdr:row>85</xdr:row>
      <xdr:rowOff>104775</xdr:rowOff>
    </xdr:to>
    <xdr:sp macro="" textlink="">
      <xdr:nvSpPr>
        <xdr:cNvPr id="140" name="Freeform 10695">
          <a:extLst>
            <a:ext uri="{FF2B5EF4-FFF2-40B4-BE49-F238E27FC236}">
              <a16:creationId xmlns:a16="http://schemas.microsoft.com/office/drawing/2014/main" id="{9EDE866E-712B-460E-9FC3-830096CD8FBD}"/>
            </a:ext>
          </a:extLst>
        </xdr:cNvPr>
        <xdr:cNvSpPr>
          <a:spLocks/>
        </xdr:cNvSpPr>
      </xdr:nvSpPr>
      <xdr:spPr bwMode="auto">
        <a:xfrm>
          <a:off x="44481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84</xdr:row>
      <xdr:rowOff>171450</xdr:rowOff>
    </xdr:from>
    <xdr:to>
      <xdr:col>23</xdr:col>
      <xdr:colOff>0</xdr:colOff>
      <xdr:row>87</xdr:row>
      <xdr:rowOff>0</xdr:rowOff>
    </xdr:to>
    <xdr:sp macro="" textlink="">
      <xdr:nvSpPr>
        <xdr:cNvPr id="141" name="0/0">
          <a:extLst>
            <a:ext uri="{FF2B5EF4-FFF2-40B4-BE49-F238E27FC236}">
              <a16:creationId xmlns:a16="http://schemas.microsoft.com/office/drawing/2014/main" id="{BFD9E40E-1F57-414C-A14D-5B05E78F53C5}"/>
            </a:ext>
          </a:extLst>
        </xdr:cNvPr>
        <xdr:cNvSpPr>
          <a:spLocks noChangeArrowheads="1"/>
        </xdr:cNvSpPr>
      </xdr:nvSpPr>
      <xdr:spPr bwMode="auto">
        <a:xfrm>
          <a:off x="52006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84</xdr:row>
      <xdr:rowOff>142875</xdr:rowOff>
    </xdr:from>
    <xdr:to>
      <xdr:col>26</xdr:col>
      <xdr:colOff>1</xdr:colOff>
      <xdr:row>85</xdr:row>
      <xdr:rowOff>104775</xdr:rowOff>
    </xdr:to>
    <xdr:sp macro="" textlink="">
      <xdr:nvSpPr>
        <xdr:cNvPr id="142" name="Freeform 10695">
          <a:extLst>
            <a:ext uri="{FF2B5EF4-FFF2-40B4-BE49-F238E27FC236}">
              <a16:creationId xmlns:a16="http://schemas.microsoft.com/office/drawing/2014/main" id="{456E4A15-7C9C-415A-9BA4-0EF5C29C478B}"/>
            </a:ext>
          </a:extLst>
        </xdr:cNvPr>
        <xdr:cNvSpPr>
          <a:spLocks/>
        </xdr:cNvSpPr>
      </xdr:nvSpPr>
      <xdr:spPr bwMode="auto">
        <a:xfrm>
          <a:off x="54387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84</xdr:row>
      <xdr:rowOff>171450</xdr:rowOff>
    </xdr:from>
    <xdr:to>
      <xdr:col>27</xdr:col>
      <xdr:colOff>0</xdr:colOff>
      <xdr:row>87</xdr:row>
      <xdr:rowOff>0</xdr:rowOff>
    </xdr:to>
    <xdr:sp macro="" textlink="">
      <xdr:nvSpPr>
        <xdr:cNvPr id="143" name="0/0">
          <a:extLst>
            <a:ext uri="{FF2B5EF4-FFF2-40B4-BE49-F238E27FC236}">
              <a16:creationId xmlns:a16="http://schemas.microsoft.com/office/drawing/2014/main" id="{CBC23097-13F9-40BE-9227-7BB6B11C26DC}"/>
            </a:ext>
          </a:extLst>
        </xdr:cNvPr>
        <xdr:cNvSpPr>
          <a:spLocks noChangeArrowheads="1"/>
        </xdr:cNvSpPr>
      </xdr:nvSpPr>
      <xdr:spPr bwMode="auto">
        <a:xfrm>
          <a:off x="61912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84</xdr:row>
      <xdr:rowOff>142875</xdr:rowOff>
    </xdr:from>
    <xdr:to>
      <xdr:col>30</xdr:col>
      <xdr:colOff>1</xdr:colOff>
      <xdr:row>85</xdr:row>
      <xdr:rowOff>104775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D8E96F4A-DE37-4C5E-AC73-6DAF9EF562F1}"/>
            </a:ext>
          </a:extLst>
        </xdr:cNvPr>
        <xdr:cNvSpPr>
          <a:spLocks/>
        </xdr:cNvSpPr>
      </xdr:nvSpPr>
      <xdr:spPr bwMode="auto">
        <a:xfrm>
          <a:off x="64293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84</xdr:row>
      <xdr:rowOff>171450</xdr:rowOff>
    </xdr:from>
    <xdr:to>
      <xdr:col>31</xdr:col>
      <xdr:colOff>0</xdr:colOff>
      <xdr:row>87</xdr:row>
      <xdr:rowOff>0</xdr:rowOff>
    </xdr:to>
    <xdr:sp macro="" textlink="">
      <xdr:nvSpPr>
        <xdr:cNvPr id="145" name="0/0">
          <a:extLst>
            <a:ext uri="{FF2B5EF4-FFF2-40B4-BE49-F238E27FC236}">
              <a16:creationId xmlns:a16="http://schemas.microsoft.com/office/drawing/2014/main" id="{2F210B70-983B-4172-9AF4-A796B6D5A715}"/>
            </a:ext>
          </a:extLst>
        </xdr:cNvPr>
        <xdr:cNvSpPr>
          <a:spLocks noChangeArrowheads="1"/>
        </xdr:cNvSpPr>
      </xdr:nvSpPr>
      <xdr:spPr bwMode="auto">
        <a:xfrm>
          <a:off x="71818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84</xdr:row>
      <xdr:rowOff>142875</xdr:rowOff>
    </xdr:from>
    <xdr:to>
      <xdr:col>34</xdr:col>
      <xdr:colOff>1</xdr:colOff>
      <xdr:row>85</xdr:row>
      <xdr:rowOff>104775</xdr:rowOff>
    </xdr:to>
    <xdr:sp macro="" textlink="">
      <xdr:nvSpPr>
        <xdr:cNvPr id="146" name="Freeform 10695">
          <a:extLst>
            <a:ext uri="{FF2B5EF4-FFF2-40B4-BE49-F238E27FC236}">
              <a16:creationId xmlns:a16="http://schemas.microsoft.com/office/drawing/2014/main" id="{6A0BD9EC-3AD0-4FBF-9C86-C3856BCA9553}"/>
            </a:ext>
          </a:extLst>
        </xdr:cNvPr>
        <xdr:cNvSpPr>
          <a:spLocks/>
        </xdr:cNvSpPr>
      </xdr:nvSpPr>
      <xdr:spPr bwMode="auto">
        <a:xfrm>
          <a:off x="74199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84</xdr:row>
      <xdr:rowOff>171450</xdr:rowOff>
    </xdr:from>
    <xdr:to>
      <xdr:col>35</xdr:col>
      <xdr:colOff>0</xdr:colOff>
      <xdr:row>87</xdr:row>
      <xdr:rowOff>0</xdr:rowOff>
    </xdr:to>
    <xdr:sp macro="" textlink="">
      <xdr:nvSpPr>
        <xdr:cNvPr id="147" name="0/0">
          <a:extLst>
            <a:ext uri="{FF2B5EF4-FFF2-40B4-BE49-F238E27FC236}">
              <a16:creationId xmlns:a16="http://schemas.microsoft.com/office/drawing/2014/main" id="{7D8023D2-25C1-455D-B958-F71E473FAF90}"/>
            </a:ext>
          </a:extLst>
        </xdr:cNvPr>
        <xdr:cNvSpPr>
          <a:spLocks noChangeArrowheads="1"/>
        </xdr:cNvSpPr>
      </xdr:nvSpPr>
      <xdr:spPr bwMode="auto">
        <a:xfrm>
          <a:off x="81724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84</xdr:row>
      <xdr:rowOff>142875</xdr:rowOff>
    </xdr:from>
    <xdr:to>
      <xdr:col>38</xdr:col>
      <xdr:colOff>1</xdr:colOff>
      <xdr:row>85</xdr:row>
      <xdr:rowOff>104775</xdr:rowOff>
    </xdr:to>
    <xdr:sp macro="" textlink="">
      <xdr:nvSpPr>
        <xdr:cNvPr id="148" name="Freeform 10695">
          <a:extLst>
            <a:ext uri="{FF2B5EF4-FFF2-40B4-BE49-F238E27FC236}">
              <a16:creationId xmlns:a16="http://schemas.microsoft.com/office/drawing/2014/main" id="{7B27D4AB-EA08-4C4C-BBAB-8B50A6527BFC}"/>
            </a:ext>
          </a:extLst>
        </xdr:cNvPr>
        <xdr:cNvSpPr>
          <a:spLocks/>
        </xdr:cNvSpPr>
      </xdr:nvSpPr>
      <xdr:spPr bwMode="auto">
        <a:xfrm>
          <a:off x="84105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84</xdr:row>
      <xdr:rowOff>171450</xdr:rowOff>
    </xdr:from>
    <xdr:to>
      <xdr:col>3</xdr:col>
      <xdr:colOff>0</xdr:colOff>
      <xdr:row>87</xdr:row>
      <xdr:rowOff>0</xdr:rowOff>
    </xdr:to>
    <xdr:sp macro="" textlink="">
      <xdr:nvSpPr>
        <xdr:cNvPr id="149" name="0/0">
          <a:extLst>
            <a:ext uri="{FF2B5EF4-FFF2-40B4-BE49-F238E27FC236}">
              <a16:creationId xmlns:a16="http://schemas.microsoft.com/office/drawing/2014/main" id="{2111A3A3-135A-4F0D-B975-2C81053D62EA}"/>
            </a:ext>
          </a:extLst>
        </xdr:cNvPr>
        <xdr:cNvSpPr>
          <a:spLocks noChangeArrowheads="1"/>
        </xdr:cNvSpPr>
      </xdr:nvSpPr>
      <xdr:spPr bwMode="auto">
        <a:xfrm>
          <a:off x="2476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84</xdr:row>
      <xdr:rowOff>142875</xdr:rowOff>
    </xdr:from>
    <xdr:to>
      <xdr:col>6</xdr:col>
      <xdr:colOff>9526</xdr:colOff>
      <xdr:row>85</xdr:row>
      <xdr:rowOff>104775</xdr:rowOff>
    </xdr:to>
    <xdr:sp macro="" textlink="">
      <xdr:nvSpPr>
        <xdr:cNvPr id="150" name="Freeform 10695">
          <a:extLst>
            <a:ext uri="{FF2B5EF4-FFF2-40B4-BE49-F238E27FC236}">
              <a16:creationId xmlns:a16="http://schemas.microsoft.com/office/drawing/2014/main" id="{77AEC379-DB00-46D3-8480-13E7D048334C}"/>
            </a:ext>
          </a:extLst>
        </xdr:cNvPr>
        <xdr:cNvSpPr>
          <a:spLocks/>
        </xdr:cNvSpPr>
      </xdr:nvSpPr>
      <xdr:spPr bwMode="auto">
        <a:xfrm>
          <a:off x="495300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84</xdr:row>
      <xdr:rowOff>171450</xdr:rowOff>
    </xdr:from>
    <xdr:to>
      <xdr:col>39</xdr:col>
      <xdr:colOff>0</xdr:colOff>
      <xdr:row>87</xdr:row>
      <xdr:rowOff>0</xdr:rowOff>
    </xdr:to>
    <xdr:sp macro="" textlink="">
      <xdr:nvSpPr>
        <xdr:cNvPr id="151" name="0/0">
          <a:extLst>
            <a:ext uri="{FF2B5EF4-FFF2-40B4-BE49-F238E27FC236}">
              <a16:creationId xmlns:a16="http://schemas.microsoft.com/office/drawing/2014/main" id="{E46B8BBE-8372-4A11-8CAA-DBDF95F679F8}"/>
            </a:ext>
          </a:extLst>
        </xdr:cNvPr>
        <xdr:cNvSpPr>
          <a:spLocks noChangeArrowheads="1"/>
        </xdr:cNvSpPr>
      </xdr:nvSpPr>
      <xdr:spPr bwMode="auto">
        <a:xfrm>
          <a:off x="91630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84</xdr:row>
      <xdr:rowOff>142875</xdr:rowOff>
    </xdr:from>
    <xdr:to>
      <xdr:col>42</xdr:col>
      <xdr:colOff>1</xdr:colOff>
      <xdr:row>85</xdr:row>
      <xdr:rowOff>104775</xdr:rowOff>
    </xdr:to>
    <xdr:sp macro="" textlink="">
      <xdr:nvSpPr>
        <xdr:cNvPr id="152" name="Freeform 10695">
          <a:extLst>
            <a:ext uri="{FF2B5EF4-FFF2-40B4-BE49-F238E27FC236}">
              <a16:creationId xmlns:a16="http://schemas.microsoft.com/office/drawing/2014/main" id="{7409775D-0DF2-4529-82FF-78030B3E5249}"/>
            </a:ext>
          </a:extLst>
        </xdr:cNvPr>
        <xdr:cNvSpPr>
          <a:spLocks/>
        </xdr:cNvSpPr>
      </xdr:nvSpPr>
      <xdr:spPr bwMode="auto">
        <a:xfrm>
          <a:off x="94011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84</xdr:row>
      <xdr:rowOff>171450</xdr:rowOff>
    </xdr:from>
    <xdr:to>
      <xdr:col>43</xdr:col>
      <xdr:colOff>0</xdr:colOff>
      <xdr:row>87</xdr:row>
      <xdr:rowOff>0</xdr:rowOff>
    </xdr:to>
    <xdr:sp macro="" textlink="">
      <xdr:nvSpPr>
        <xdr:cNvPr id="153" name="0/0">
          <a:extLst>
            <a:ext uri="{FF2B5EF4-FFF2-40B4-BE49-F238E27FC236}">
              <a16:creationId xmlns:a16="http://schemas.microsoft.com/office/drawing/2014/main" id="{820B2937-55F7-47B6-BCA0-8E341A8FD127}"/>
            </a:ext>
          </a:extLst>
        </xdr:cNvPr>
        <xdr:cNvSpPr>
          <a:spLocks noChangeArrowheads="1"/>
        </xdr:cNvSpPr>
      </xdr:nvSpPr>
      <xdr:spPr bwMode="auto">
        <a:xfrm>
          <a:off x="101536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84</xdr:row>
      <xdr:rowOff>161925</xdr:rowOff>
    </xdr:from>
    <xdr:to>
      <xdr:col>45</xdr:col>
      <xdr:colOff>238125</xdr:colOff>
      <xdr:row>85</xdr:row>
      <xdr:rowOff>104775</xdr:rowOff>
    </xdr:to>
    <xdr:sp macro="" textlink="">
      <xdr:nvSpPr>
        <xdr:cNvPr id="154" name="Freeform 10695">
          <a:extLst>
            <a:ext uri="{FF2B5EF4-FFF2-40B4-BE49-F238E27FC236}">
              <a16:creationId xmlns:a16="http://schemas.microsoft.com/office/drawing/2014/main" id="{E95E2BE8-A1B5-4BF4-B443-AEEC2F4FAC7E}"/>
            </a:ext>
          </a:extLst>
        </xdr:cNvPr>
        <xdr:cNvSpPr>
          <a:spLocks/>
        </xdr:cNvSpPr>
      </xdr:nvSpPr>
      <xdr:spPr bwMode="auto">
        <a:xfrm>
          <a:off x="10391775" y="16087725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94</xdr:row>
      <xdr:rowOff>171450</xdr:rowOff>
    </xdr:from>
    <xdr:to>
      <xdr:col>7</xdr:col>
      <xdr:colOff>0</xdr:colOff>
      <xdr:row>97</xdr:row>
      <xdr:rowOff>0</xdr:rowOff>
    </xdr:to>
    <xdr:sp macro="" textlink="">
      <xdr:nvSpPr>
        <xdr:cNvPr id="155" name="0/0">
          <a:extLst>
            <a:ext uri="{FF2B5EF4-FFF2-40B4-BE49-F238E27FC236}">
              <a16:creationId xmlns:a16="http://schemas.microsoft.com/office/drawing/2014/main" id="{FCF986F0-24EE-46B9-A11D-819E0781AFD0}"/>
            </a:ext>
          </a:extLst>
        </xdr:cNvPr>
        <xdr:cNvSpPr>
          <a:spLocks noChangeArrowheads="1"/>
        </xdr:cNvSpPr>
      </xdr:nvSpPr>
      <xdr:spPr bwMode="auto">
        <a:xfrm>
          <a:off x="12382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94</xdr:row>
      <xdr:rowOff>142875</xdr:rowOff>
    </xdr:from>
    <xdr:to>
      <xdr:col>10</xdr:col>
      <xdr:colOff>9525</xdr:colOff>
      <xdr:row>95</xdr:row>
      <xdr:rowOff>104775</xdr:rowOff>
    </xdr:to>
    <xdr:sp macro="" textlink="">
      <xdr:nvSpPr>
        <xdr:cNvPr id="156" name="Freeform 10695">
          <a:extLst>
            <a:ext uri="{FF2B5EF4-FFF2-40B4-BE49-F238E27FC236}">
              <a16:creationId xmlns:a16="http://schemas.microsoft.com/office/drawing/2014/main" id="{DC078EF1-9DC1-4F7E-97EA-E7D3D454AEF2}"/>
            </a:ext>
          </a:extLst>
        </xdr:cNvPr>
        <xdr:cNvSpPr>
          <a:spLocks/>
        </xdr:cNvSpPr>
      </xdr:nvSpPr>
      <xdr:spPr bwMode="auto">
        <a:xfrm>
          <a:off x="1485899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94</xdr:row>
      <xdr:rowOff>171450</xdr:rowOff>
    </xdr:from>
    <xdr:to>
      <xdr:col>11</xdr:col>
      <xdr:colOff>0</xdr:colOff>
      <xdr:row>97</xdr:row>
      <xdr:rowOff>0</xdr:rowOff>
    </xdr:to>
    <xdr:sp macro="" textlink="">
      <xdr:nvSpPr>
        <xdr:cNvPr id="157" name="0/0">
          <a:extLst>
            <a:ext uri="{FF2B5EF4-FFF2-40B4-BE49-F238E27FC236}">
              <a16:creationId xmlns:a16="http://schemas.microsoft.com/office/drawing/2014/main" id="{4EC11313-8C52-46A3-834D-C26F226D087D}"/>
            </a:ext>
          </a:extLst>
        </xdr:cNvPr>
        <xdr:cNvSpPr>
          <a:spLocks noChangeArrowheads="1"/>
        </xdr:cNvSpPr>
      </xdr:nvSpPr>
      <xdr:spPr bwMode="auto">
        <a:xfrm>
          <a:off x="22288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94</xdr:row>
      <xdr:rowOff>142875</xdr:rowOff>
    </xdr:from>
    <xdr:to>
      <xdr:col>14</xdr:col>
      <xdr:colOff>1</xdr:colOff>
      <xdr:row>95</xdr:row>
      <xdr:rowOff>104775</xdr:rowOff>
    </xdr:to>
    <xdr:sp macro="" textlink="">
      <xdr:nvSpPr>
        <xdr:cNvPr id="158" name="Freeform 10695">
          <a:extLst>
            <a:ext uri="{FF2B5EF4-FFF2-40B4-BE49-F238E27FC236}">
              <a16:creationId xmlns:a16="http://schemas.microsoft.com/office/drawing/2014/main" id="{81F9DDA8-6527-4691-BBC3-0341CEFB9BB3}"/>
            </a:ext>
          </a:extLst>
        </xdr:cNvPr>
        <xdr:cNvSpPr>
          <a:spLocks/>
        </xdr:cNvSpPr>
      </xdr:nvSpPr>
      <xdr:spPr bwMode="auto">
        <a:xfrm>
          <a:off x="24669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94</xdr:row>
      <xdr:rowOff>171450</xdr:rowOff>
    </xdr:from>
    <xdr:to>
      <xdr:col>15</xdr:col>
      <xdr:colOff>0</xdr:colOff>
      <xdr:row>97</xdr:row>
      <xdr:rowOff>0</xdr:rowOff>
    </xdr:to>
    <xdr:sp macro="" textlink="">
      <xdr:nvSpPr>
        <xdr:cNvPr id="159" name="0/0">
          <a:extLst>
            <a:ext uri="{FF2B5EF4-FFF2-40B4-BE49-F238E27FC236}">
              <a16:creationId xmlns:a16="http://schemas.microsoft.com/office/drawing/2014/main" id="{22519E08-586D-4606-81FB-09B97E7529FC}"/>
            </a:ext>
          </a:extLst>
        </xdr:cNvPr>
        <xdr:cNvSpPr>
          <a:spLocks noChangeArrowheads="1"/>
        </xdr:cNvSpPr>
      </xdr:nvSpPr>
      <xdr:spPr bwMode="auto">
        <a:xfrm>
          <a:off x="32194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94</xdr:row>
      <xdr:rowOff>171450</xdr:rowOff>
    </xdr:from>
    <xdr:to>
      <xdr:col>19</xdr:col>
      <xdr:colOff>0</xdr:colOff>
      <xdr:row>97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41196DD7-B776-4341-A66A-0F75F481CCD0}"/>
            </a:ext>
          </a:extLst>
        </xdr:cNvPr>
        <xdr:cNvSpPr>
          <a:spLocks noChangeArrowheads="1"/>
        </xdr:cNvSpPr>
      </xdr:nvSpPr>
      <xdr:spPr bwMode="auto">
        <a:xfrm>
          <a:off x="42100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94</xdr:row>
      <xdr:rowOff>142875</xdr:rowOff>
    </xdr:from>
    <xdr:to>
      <xdr:col>22</xdr:col>
      <xdr:colOff>1</xdr:colOff>
      <xdr:row>95</xdr:row>
      <xdr:rowOff>104775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D4FBDD39-A755-4529-87ED-F8C3E6C33BDE}"/>
            </a:ext>
          </a:extLst>
        </xdr:cNvPr>
        <xdr:cNvSpPr>
          <a:spLocks/>
        </xdr:cNvSpPr>
      </xdr:nvSpPr>
      <xdr:spPr bwMode="auto">
        <a:xfrm>
          <a:off x="44481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94</xdr:row>
      <xdr:rowOff>171450</xdr:rowOff>
    </xdr:from>
    <xdr:to>
      <xdr:col>23</xdr:col>
      <xdr:colOff>0</xdr:colOff>
      <xdr:row>97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2CD86F84-8525-4897-B011-89B78AC32DAA}"/>
            </a:ext>
          </a:extLst>
        </xdr:cNvPr>
        <xdr:cNvSpPr>
          <a:spLocks noChangeArrowheads="1"/>
        </xdr:cNvSpPr>
      </xdr:nvSpPr>
      <xdr:spPr bwMode="auto">
        <a:xfrm>
          <a:off x="52006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94</xdr:row>
      <xdr:rowOff>142875</xdr:rowOff>
    </xdr:from>
    <xdr:to>
      <xdr:col>26</xdr:col>
      <xdr:colOff>1</xdr:colOff>
      <xdr:row>95</xdr:row>
      <xdr:rowOff>104775</xdr:rowOff>
    </xdr:to>
    <xdr:sp macro="" textlink="">
      <xdr:nvSpPr>
        <xdr:cNvPr id="163" name="Freeform 10695">
          <a:extLst>
            <a:ext uri="{FF2B5EF4-FFF2-40B4-BE49-F238E27FC236}">
              <a16:creationId xmlns:a16="http://schemas.microsoft.com/office/drawing/2014/main" id="{7513521D-70F0-46B7-9B77-474457824B93}"/>
            </a:ext>
          </a:extLst>
        </xdr:cNvPr>
        <xdr:cNvSpPr>
          <a:spLocks/>
        </xdr:cNvSpPr>
      </xdr:nvSpPr>
      <xdr:spPr bwMode="auto">
        <a:xfrm>
          <a:off x="54387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94</xdr:row>
      <xdr:rowOff>171450</xdr:rowOff>
    </xdr:from>
    <xdr:to>
      <xdr:col>27</xdr:col>
      <xdr:colOff>0</xdr:colOff>
      <xdr:row>97</xdr:row>
      <xdr:rowOff>0</xdr:rowOff>
    </xdr:to>
    <xdr:sp macro="" textlink="">
      <xdr:nvSpPr>
        <xdr:cNvPr id="164" name="0/0">
          <a:extLst>
            <a:ext uri="{FF2B5EF4-FFF2-40B4-BE49-F238E27FC236}">
              <a16:creationId xmlns:a16="http://schemas.microsoft.com/office/drawing/2014/main" id="{2601BDBE-8E84-48E0-BC2A-652F8D890592}"/>
            </a:ext>
          </a:extLst>
        </xdr:cNvPr>
        <xdr:cNvSpPr>
          <a:spLocks noChangeArrowheads="1"/>
        </xdr:cNvSpPr>
      </xdr:nvSpPr>
      <xdr:spPr bwMode="auto">
        <a:xfrm>
          <a:off x="61912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94</xdr:row>
      <xdr:rowOff>142875</xdr:rowOff>
    </xdr:from>
    <xdr:to>
      <xdr:col>30</xdr:col>
      <xdr:colOff>1</xdr:colOff>
      <xdr:row>95</xdr:row>
      <xdr:rowOff>104775</xdr:rowOff>
    </xdr:to>
    <xdr:sp macro="" textlink="">
      <xdr:nvSpPr>
        <xdr:cNvPr id="165" name="Freeform 10695">
          <a:extLst>
            <a:ext uri="{FF2B5EF4-FFF2-40B4-BE49-F238E27FC236}">
              <a16:creationId xmlns:a16="http://schemas.microsoft.com/office/drawing/2014/main" id="{65D06C61-5D62-4F63-84FB-B351BAEDC676}"/>
            </a:ext>
          </a:extLst>
        </xdr:cNvPr>
        <xdr:cNvSpPr>
          <a:spLocks/>
        </xdr:cNvSpPr>
      </xdr:nvSpPr>
      <xdr:spPr bwMode="auto">
        <a:xfrm>
          <a:off x="64293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94</xdr:row>
      <xdr:rowOff>171450</xdr:rowOff>
    </xdr:from>
    <xdr:to>
      <xdr:col>31</xdr:col>
      <xdr:colOff>0</xdr:colOff>
      <xdr:row>97</xdr:row>
      <xdr:rowOff>0</xdr:rowOff>
    </xdr:to>
    <xdr:sp macro="" textlink="">
      <xdr:nvSpPr>
        <xdr:cNvPr id="166" name="0/0">
          <a:extLst>
            <a:ext uri="{FF2B5EF4-FFF2-40B4-BE49-F238E27FC236}">
              <a16:creationId xmlns:a16="http://schemas.microsoft.com/office/drawing/2014/main" id="{90392B44-60C4-4036-A56B-E46D2733F389}"/>
            </a:ext>
          </a:extLst>
        </xdr:cNvPr>
        <xdr:cNvSpPr>
          <a:spLocks noChangeArrowheads="1"/>
        </xdr:cNvSpPr>
      </xdr:nvSpPr>
      <xdr:spPr bwMode="auto">
        <a:xfrm>
          <a:off x="71818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94</xdr:row>
      <xdr:rowOff>142875</xdr:rowOff>
    </xdr:from>
    <xdr:to>
      <xdr:col>34</xdr:col>
      <xdr:colOff>1</xdr:colOff>
      <xdr:row>95</xdr:row>
      <xdr:rowOff>104775</xdr:rowOff>
    </xdr:to>
    <xdr:sp macro="" textlink="">
      <xdr:nvSpPr>
        <xdr:cNvPr id="167" name="Freeform 10695">
          <a:extLst>
            <a:ext uri="{FF2B5EF4-FFF2-40B4-BE49-F238E27FC236}">
              <a16:creationId xmlns:a16="http://schemas.microsoft.com/office/drawing/2014/main" id="{9B125C47-62C9-4BBA-A030-266170ADFE0E}"/>
            </a:ext>
          </a:extLst>
        </xdr:cNvPr>
        <xdr:cNvSpPr>
          <a:spLocks/>
        </xdr:cNvSpPr>
      </xdr:nvSpPr>
      <xdr:spPr bwMode="auto">
        <a:xfrm>
          <a:off x="74199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94</xdr:row>
      <xdr:rowOff>171450</xdr:rowOff>
    </xdr:from>
    <xdr:to>
      <xdr:col>35</xdr:col>
      <xdr:colOff>0</xdr:colOff>
      <xdr:row>97</xdr:row>
      <xdr:rowOff>0</xdr:rowOff>
    </xdr:to>
    <xdr:sp macro="" textlink="">
      <xdr:nvSpPr>
        <xdr:cNvPr id="168" name="0/0">
          <a:extLst>
            <a:ext uri="{FF2B5EF4-FFF2-40B4-BE49-F238E27FC236}">
              <a16:creationId xmlns:a16="http://schemas.microsoft.com/office/drawing/2014/main" id="{AB9362F9-4D0C-4A6E-AB54-9E75DFA0116D}"/>
            </a:ext>
          </a:extLst>
        </xdr:cNvPr>
        <xdr:cNvSpPr>
          <a:spLocks noChangeArrowheads="1"/>
        </xdr:cNvSpPr>
      </xdr:nvSpPr>
      <xdr:spPr bwMode="auto">
        <a:xfrm>
          <a:off x="81724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94</xdr:row>
      <xdr:rowOff>142875</xdr:rowOff>
    </xdr:from>
    <xdr:to>
      <xdr:col>38</xdr:col>
      <xdr:colOff>1</xdr:colOff>
      <xdr:row>95</xdr:row>
      <xdr:rowOff>104775</xdr:rowOff>
    </xdr:to>
    <xdr:sp macro="" textlink="">
      <xdr:nvSpPr>
        <xdr:cNvPr id="169" name="Freeform 10695">
          <a:extLst>
            <a:ext uri="{FF2B5EF4-FFF2-40B4-BE49-F238E27FC236}">
              <a16:creationId xmlns:a16="http://schemas.microsoft.com/office/drawing/2014/main" id="{BD278915-06AC-4B9F-B03B-F8BF8BA48662}"/>
            </a:ext>
          </a:extLst>
        </xdr:cNvPr>
        <xdr:cNvSpPr>
          <a:spLocks/>
        </xdr:cNvSpPr>
      </xdr:nvSpPr>
      <xdr:spPr bwMode="auto">
        <a:xfrm>
          <a:off x="84105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94</xdr:row>
      <xdr:rowOff>171450</xdr:rowOff>
    </xdr:from>
    <xdr:to>
      <xdr:col>3</xdr:col>
      <xdr:colOff>0</xdr:colOff>
      <xdr:row>97</xdr:row>
      <xdr:rowOff>0</xdr:rowOff>
    </xdr:to>
    <xdr:sp macro="" textlink="">
      <xdr:nvSpPr>
        <xdr:cNvPr id="170" name="0/0">
          <a:extLst>
            <a:ext uri="{FF2B5EF4-FFF2-40B4-BE49-F238E27FC236}">
              <a16:creationId xmlns:a16="http://schemas.microsoft.com/office/drawing/2014/main" id="{5BC1C4E6-0894-4D25-8E53-2A0862045893}"/>
            </a:ext>
          </a:extLst>
        </xdr:cNvPr>
        <xdr:cNvSpPr>
          <a:spLocks noChangeArrowheads="1"/>
        </xdr:cNvSpPr>
      </xdr:nvSpPr>
      <xdr:spPr bwMode="auto">
        <a:xfrm>
          <a:off x="2476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94</xdr:row>
      <xdr:rowOff>142875</xdr:rowOff>
    </xdr:from>
    <xdr:to>
      <xdr:col>6</xdr:col>
      <xdr:colOff>9526</xdr:colOff>
      <xdr:row>95</xdr:row>
      <xdr:rowOff>104775</xdr:rowOff>
    </xdr:to>
    <xdr:sp macro="" textlink="">
      <xdr:nvSpPr>
        <xdr:cNvPr id="171" name="Freeform 10695">
          <a:extLst>
            <a:ext uri="{FF2B5EF4-FFF2-40B4-BE49-F238E27FC236}">
              <a16:creationId xmlns:a16="http://schemas.microsoft.com/office/drawing/2014/main" id="{F8CED07E-A25D-4B6A-A1C3-DA658E5956D6}"/>
            </a:ext>
          </a:extLst>
        </xdr:cNvPr>
        <xdr:cNvSpPr>
          <a:spLocks/>
        </xdr:cNvSpPr>
      </xdr:nvSpPr>
      <xdr:spPr bwMode="auto">
        <a:xfrm>
          <a:off x="495300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94</xdr:row>
      <xdr:rowOff>171450</xdr:rowOff>
    </xdr:from>
    <xdr:to>
      <xdr:col>39</xdr:col>
      <xdr:colOff>0</xdr:colOff>
      <xdr:row>97</xdr:row>
      <xdr:rowOff>0</xdr:rowOff>
    </xdr:to>
    <xdr:sp macro="" textlink="">
      <xdr:nvSpPr>
        <xdr:cNvPr id="172" name="0/0">
          <a:extLst>
            <a:ext uri="{FF2B5EF4-FFF2-40B4-BE49-F238E27FC236}">
              <a16:creationId xmlns:a16="http://schemas.microsoft.com/office/drawing/2014/main" id="{6FA8FE1F-D0FA-4D7D-A29B-C6B1CF038D01}"/>
            </a:ext>
          </a:extLst>
        </xdr:cNvPr>
        <xdr:cNvSpPr>
          <a:spLocks noChangeArrowheads="1"/>
        </xdr:cNvSpPr>
      </xdr:nvSpPr>
      <xdr:spPr bwMode="auto">
        <a:xfrm>
          <a:off x="91630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94</xdr:row>
      <xdr:rowOff>142875</xdr:rowOff>
    </xdr:from>
    <xdr:to>
      <xdr:col>42</xdr:col>
      <xdr:colOff>1</xdr:colOff>
      <xdr:row>95</xdr:row>
      <xdr:rowOff>104775</xdr:rowOff>
    </xdr:to>
    <xdr:sp macro="" textlink="">
      <xdr:nvSpPr>
        <xdr:cNvPr id="173" name="Freeform 10695">
          <a:extLst>
            <a:ext uri="{FF2B5EF4-FFF2-40B4-BE49-F238E27FC236}">
              <a16:creationId xmlns:a16="http://schemas.microsoft.com/office/drawing/2014/main" id="{2B4E59CC-EA17-4784-8EC8-918FD77BAD03}"/>
            </a:ext>
          </a:extLst>
        </xdr:cNvPr>
        <xdr:cNvSpPr>
          <a:spLocks/>
        </xdr:cNvSpPr>
      </xdr:nvSpPr>
      <xdr:spPr bwMode="auto">
        <a:xfrm>
          <a:off x="94011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94</xdr:row>
      <xdr:rowOff>171450</xdr:rowOff>
    </xdr:from>
    <xdr:to>
      <xdr:col>43</xdr:col>
      <xdr:colOff>0</xdr:colOff>
      <xdr:row>97</xdr:row>
      <xdr:rowOff>0</xdr:rowOff>
    </xdr:to>
    <xdr:sp macro="" textlink="">
      <xdr:nvSpPr>
        <xdr:cNvPr id="174" name="0/0">
          <a:extLst>
            <a:ext uri="{FF2B5EF4-FFF2-40B4-BE49-F238E27FC236}">
              <a16:creationId xmlns:a16="http://schemas.microsoft.com/office/drawing/2014/main" id="{A93534AA-6D27-4A74-92F5-F8581AB84344}"/>
            </a:ext>
          </a:extLst>
        </xdr:cNvPr>
        <xdr:cNvSpPr>
          <a:spLocks noChangeArrowheads="1"/>
        </xdr:cNvSpPr>
      </xdr:nvSpPr>
      <xdr:spPr bwMode="auto">
        <a:xfrm>
          <a:off x="101536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94</xdr:row>
      <xdr:rowOff>152399</xdr:rowOff>
    </xdr:from>
    <xdr:to>
      <xdr:col>46</xdr:col>
      <xdr:colOff>0</xdr:colOff>
      <xdr:row>95</xdr:row>
      <xdr:rowOff>104774</xdr:rowOff>
    </xdr:to>
    <xdr:sp macro="" textlink="">
      <xdr:nvSpPr>
        <xdr:cNvPr id="175" name="Freeform 10695">
          <a:extLst>
            <a:ext uri="{FF2B5EF4-FFF2-40B4-BE49-F238E27FC236}">
              <a16:creationId xmlns:a16="http://schemas.microsoft.com/office/drawing/2014/main" id="{51AC7140-5E26-4960-927F-460F184F43D8}"/>
            </a:ext>
          </a:extLst>
        </xdr:cNvPr>
        <xdr:cNvSpPr>
          <a:spLocks/>
        </xdr:cNvSpPr>
      </xdr:nvSpPr>
      <xdr:spPr bwMode="auto">
        <a:xfrm>
          <a:off x="10391775" y="17926049"/>
          <a:ext cx="100012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104</xdr:row>
      <xdr:rowOff>171450</xdr:rowOff>
    </xdr:from>
    <xdr:to>
      <xdr:col>7</xdr:col>
      <xdr:colOff>0</xdr:colOff>
      <xdr:row>107</xdr:row>
      <xdr:rowOff>0</xdr:rowOff>
    </xdr:to>
    <xdr:sp macro="" textlink="">
      <xdr:nvSpPr>
        <xdr:cNvPr id="176" name="0/0">
          <a:extLst>
            <a:ext uri="{FF2B5EF4-FFF2-40B4-BE49-F238E27FC236}">
              <a16:creationId xmlns:a16="http://schemas.microsoft.com/office/drawing/2014/main" id="{23394DFE-E489-46ED-9B99-1B45B2E03157}"/>
            </a:ext>
          </a:extLst>
        </xdr:cNvPr>
        <xdr:cNvSpPr>
          <a:spLocks noChangeArrowheads="1"/>
        </xdr:cNvSpPr>
      </xdr:nvSpPr>
      <xdr:spPr bwMode="auto">
        <a:xfrm>
          <a:off x="12382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104</xdr:row>
      <xdr:rowOff>142875</xdr:rowOff>
    </xdr:from>
    <xdr:to>
      <xdr:col>10</xdr:col>
      <xdr:colOff>9525</xdr:colOff>
      <xdr:row>105</xdr:row>
      <xdr:rowOff>104775</xdr:rowOff>
    </xdr:to>
    <xdr:sp macro="" textlink="">
      <xdr:nvSpPr>
        <xdr:cNvPr id="177" name="Freeform 10695">
          <a:extLst>
            <a:ext uri="{FF2B5EF4-FFF2-40B4-BE49-F238E27FC236}">
              <a16:creationId xmlns:a16="http://schemas.microsoft.com/office/drawing/2014/main" id="{CD093D63-23D5-4B2D-AA81-640EB2221A1D}"/>
            </a:ext>
          </a:extLst>
        </xdr:cNvPr>
        <xdr:cNvSpPr>
          <a:spLocks/>
        </xdr:cNvSpPr>
      </xdr:nvSpPr>
      <xdr:spPr bwMode="auto">
        <a:xfrm>
          <a:off x="1485899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104</xdr:row>
      <xdr:rowOff>171450</xdr:rowOff>
    </xdr:from>
    <xdr:to>
      <xdr:col>11</xdr:col>
      <xdr:colOff>0</xdr:colOff>
      <xdr:row>107</xdr:row>
      <xdr:rowOff>0</xdr:rowOff>
    </xdr:to>
    <xdr:sp macro="" textlink="">
      <xdr:nvSpPr>
        <xdr:cNvPr id="178" name="0/0">
          <a:extLst>
            <a:ext uri="{FF2B5EF4-FFF2-40B4-BE49-F238E27FC236}">
              <a16:creationId xmlns:a16="http://schemas.microsoft.com/office/drawing/2014/main" id="{F432FA09-C856-4E05-80B2-25616E982D66}"/>
            </a:ext>
          </a:extLst>
        </xdr:cNvPr>
        <xdr:cNvSpPr>
          <a:spLocks noChangeArrowheads="1"/>
        </xdr:cNvSpPr>
      </xdr:nvSpPr>
      <xdr:spPr bwMode="auto">
        <a:xfrm>
          <a:off x="22288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104</xdr:row>
      <xdr:rowOff>142875</xdr:rowOff>
    </xdr:from>
    <xdr:to>
      <xdr:col>14</xdr:col>
      <xdr:colOff>1</xdr:colOff>
      <xdr:row>105</xdr:row>
      <xdr:rowOff>104775</xdr:rowOff>
    </xdr:to>
    <xdr:sp macro="" textlink="">
      <xdr:nvSpPr>
        <xdr:cNvPr id="179" name="Freeform 10695">
          <a:extLst>
            <a:ext uri="{FF2B5EF4-FFF2-40B4-BE49-F238E27FC236}">
              <a16:creationId xmlns:a16="http://schemas.microsoft.com/office/drawing/2014/main" id="{C095B65B-C958-47D9-9985-D4AA4B37262F}"/>
            </a:ext>
          </a:extLst>
        </xdr:cNvPr>
        <xdr:cNvSpPr>
          <a:spLocks/>
        </xdr:cNvSpPr>
      </xdr:nvSpPr>
      <xdr:spPr bwMode="auto">
        <a:xfrm>
          <a:off x="24669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104</xdr:row>
      <xdr:rowOff>171450</xdr:rowOff>
    </xdr:from>
    <xdr:to>
      <xdr:col>15</xdr:col>
      <xdr:colOff>0</xdr:colOff>
      <xdr:row>107</xdr:row>
      <xdr:rowOff>0</xdr:rowOff>
    </xdr:to>
    <xdr:sp macro="" textlink="">
      <xdr:nvSpPr>
        <xdr:cNvPr id="180" name="0/0">
          <a:extLst>
            <a:ext uri="{FF2B5EF4-FFF2-40B4-BE49-F238E27FC236}">
              <a16:creationId xmlns:a16="http://schemas.microsoft.com/office/drawing/2014/main" id="{CA5627FD-841B-49C5-9A67-BC1E8A4EE7A0}"/>
            </a:ext>
          </a:extLst>
        </xdr:cNvPr>
        <xdr:cNvSpPr>
          <a:spLocks noChangeArrowheads="1"/>
        </xdr:cNvSpPr>
      </xdr:nvSpPr>
      <xdr:spPr bwMode="auto">
        <a:xfrm>
          <a:off x="32194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104</xdr:row>
      <xdr:rowOff>142875</xdr:rowOff>
    </xdr:from>
    <xdr:to>
      <xdr:col>18</xdr:col>
      <xdr:colOff>1</xdr:colOff>
      <xdr:row>105</xdr:row>
      <xdr:rowOff>104775</xdr:rowOff>
    </xdr:to>
    <xdr:sp macro="" textlink="">
      <xdr:nvSpPr>
        <xdr:cNvPr id="181" name="Freeform 10695">
          <a:extLst>
            <a:ext uri="{FF2B5EF4-FFF2-40B4-BE49-F238E27FC236}">
              <a16:creationId xmlns:a16="http://schemas.microsoft.com/office/drawing/2014/main" id="{7129E394-64F4-49C8-9CEC-6269B0ACBC14}"/>
            </a:ext>
          </a:extLst>
        </xdr:cNvPr>
        <xdr:cNvSpPr>
          <a:spLocks/>
        </xdr:cNvSpPr>
      </xdr:nvSpPr>
      <xdr:spPr bwMode="auto">
        <a:xfrm>
          <a:off x="34575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104</xdr:row>
      <xdr:rowOff>171450</xdr:rowOff>
    </xdr:from>
    <xdr:to>
      <xdr:col>19</xdr:col>
      <xdr:colOff>0</xdr:colOff>
      <xdr:row>107</xdr:row>
      <xdr:rowOff>0</xdr:rowOff>
    </xdr:to>
    <xdr:sp macro="" textlink="">
      <xdr:nvSpPr>
        <xdr:cNvPr id="182" name="0/0">
          <a:extLst>
            <a:ext uri="{FF2B5EF4-FFF2-40B4-BE49-F238E27FC236}">
              <a16:creationId xmlns:a16="http://schemas.microsoft.com/office/drawing/2014/main" id="{6DB6BA10-DD0C-4A30-8F61-5D535C53FE77}"/>
            </a:ext>
          </a:extLst>
        </xdr:cNvPr>
        <xdr:cNvSpPr>
          <a:spLocks noChangeArrowheads="1"/>
        </xdr:cNvSpPr>
      </xdr:nvSpPr>
      <xdr:spPr bwMode="auto">
        <a:xfrm>
          <a:off x="42100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104</xdr:row>
      <xdr:rowOff>142875</xdr:rowOff>
    </xdr:from>
    <xdr:to>
      <xdr:col>22</xdr:col>
      <xdr:colOff>1</xdr:colOff>
      <xdr:row>105</xdr:row>
      <xdr:rowOff>104775</xdr:rowOff>
    </xdr:to>
    <xdr:sp macro="" textlink="">
      <xdr:nvSpPr>
        <xdr:cNvPr id="183" name="Freeform 10695">
          <a:extLst>
            <a:ext uri="{FF2B5EF4-FFF2-40B4-BE49-F238E27FC236}">
              <a16:creationId xmlns:a16="http://schemas.microsoft.com/office/drawing/2014/main" id="{3C574D84-8293-43AC-8590-CEE1F7FC50E6}"/>
            </a:ext>
          </a:extLst>
        </xdr:cNvPr>
        <xdr:cNvSpPr>
          <a:spLocks/>
        </xdr:cNvSpPr>
      </xdr:nvSpPr>
      <xdr:spPr bwMode="auto">
        <a:xfrm>
          <a:off x="44481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104</xdr:row>
      <xdr:rowOff>171450</xdr:rowOff>
    </xdr:from>
    <xdr:to>
      <xdr:col>23</xdr:col>
      <xdr:colOff>0</xdr:colOff>
      <xdr:row>107</xdr:row>
      <xdr:rowOff>0</xdr:rowOff>
    </xdr:to>
    <xdr:sp macro="" textlink="">
      <xdr:nvSpPr>
        <xdr:cNvPr id="184" name="0/0">
          <a:extLst>
            <a:ext uri="{FF2B5EF4-FFF2-40B4-BE49-F238E27FC236}">
              <a16:creationId xmlns:a16="http://schemas.microsoft.com/office/drawing/2014/main" id="{266CD6A1-31F3-4C55-A744-AF4C2E2102F0}"/>
            </a:ext>
          </a:extLst>
        </xdr:cNvPr>
        <xdr:cNvSpPr>
          <a:spLocks noChangeArrowheads="1"/>
        </xdr:cNvSpPr>
      </xdr:nvSpPr>
      <xdr:spPr bwMode="auto">
        <a:xfrm>
          <a:off x="52006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104</xdr:row>
      <xdr:rowOff>142875</xdr:rowOff>
    </xdr:from>
    <xdr:to>
      <xdr:col>26</xdr:col>
      <xdr:colOff>1</xdr:colOff>
      <xdr:row>105</xdr:row>
      <xdr:rowOff>104775</xdr:rowOff>
    </xdr:to>
    <xdr:sp macro="" textlink="">
      <xdr:nvSpPr>
        <xdr:cNvPr id="185" name="Freeform 10695">
          <a:extLst>
            <a:ext uri="{FF2B5EF4-FFF2-40B4-BE49-F238E27FC236}">
              <a16:creationId xmlns:a16="http://schemas.microsoft.com/office/drawing/2014/main" id="{A56F0035-FE04-43D1-867A-0D8915167C84}"/>
            </a:ext>
          </a:extLst>
        </xdr:cNvPr>
        <xdr:cNvSpPr>
          <a:spLocks/>
        </xdr:cNvSpPr>
      </xdr:nvSpPr>
      <xdr:spPr bwMode="auto">
        <a:xfrm>
          <a:off x="54387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186" name="0/0">
          <a:extLst>
            <a:ext uri="{FF2B5EF4-FFF2-40B4-BE49-F238E27FC236}">
              <a16:creationId xmlns:a16="http://schemas.microsoft.com/office/drawing/2014/main" id="{2E6FD46D-56A8-460C-B1AE-DD53F15EDF2C}"/>
            </a:ext>
          </a:extLst>
        </xdr:cNvPr>
        <xdr:cNvSpPr>
          <a:spLocks noChangeArrowheads="1"/>
        </xdr:cNvSpPr>
      </xdr:nvSpPr>
      <xdr:spPr bwMode="auto">
        <a:xfrm>
          <a:off x="61912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104</xdr:row>
      <xdr:rowOff>142875</xdr:rowOff>
    </xdr:from>
    <xdr:to>
      <xdr:col>30</xdr:col>
      <xdr:colOff>1</xdr:colOff>
      <xdr:row>105</xdr:row>
      <xdr:rowOff>104775</xdr:rowOff>
    </xdr:to>
    <xdr:sp macro="" textlink="">
      <xdr:nvSpPr>
        <xdr:cNvPr id="187" name="Freeform 10695">
          <a:extLst>
            <a:ext uri="{FF2B5EF4-FFF2-40B4-BE49-F238E27FC236}">
              <a16:creationId xmlns:a16="http://schemas.microsoft.com/office/drawing/2014/main" id="{F142BEB5-279B-4E70-9E5E-6C0D95C32093}"/>
            </a:ext>
          </a:extLst>
        </xdr:cNvPr>
        <xdr:cNvSpPr>
          <a:spLocks/>
        </xdr:cNvSpPr>
      </xdr:nvSpPr>
      <xdr:spPr bwMode="auto">
        <a:xfrm>
          <a:off x="64293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188" name="0/0">
          <a:extLst>
            <a:ext uri="{FF2B5EF4-FFF2-40B4-BE49-F238E27FC236}">
              <a16:creationId xmlns:a16="http://schemas.microsoft.com/office/drawing/2014/main" id="{5E89DA96-48A4-45BF-B119-48E4DCB9BEC1}"/>
            </a:ext>
          </a:extLst>
        </xdr:cNvPr>
        <xdr:cNvSpPr>
          <a:spLocks noChangeArrowheads="1"/>
        </xdr:cNvSpPr>
      </xdr:nvSpPr>
      <xdr:spPr bwMode="auto">
        <a:xfrm>
          <a:off x="71818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104</xdr:row>
      <xdr:rowOff>142875</xdr:rowOff>
    </xdr:from>
    <xdr:to>
      <xdr:col>34</xdr:col>
      <xdr:colOff>1</xdr:colOff>
      <xdr:row>105</xdr:row>
      <xdr:rowOff>104775</xdr:rowOff>
    </xdr:to>
    <xdr:sp macro="" textlink="">
      <xdr:nvSpPr>
        <xdr:cNvPr id="189" name="Freeform 10695">
          <a:extLst>
            <a:ext uri="{FF2B5EF4-FFF2-40B4-BE49-F238E27FC236}">
              <a16:creationId xmlns:a16="http://schemas.microsoft.com/office/drawing/2014/main" id="{7F02BBA1-6BFD-408C-AA98-114300E65A7C}"/>
            </a:ext>
          </a:extLst>
        </xdr:cNvPr>
        <xdr:cNvSpPr>
          <a:spLocks/>
        </xdr:cNvSpPr>
      </xdr:nvSpPr>
      <xdr:spPr bwMode="auto">
        <a:xfrm>
          <a:off x="74199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190" name="0/0">
          <a:extLst>
            <a:ext uri="{FF2B5EF4-FFF2-40B4-BE49-F238E27FC236}">
              <a16:creationId xmlns:a16="http://schemas.microsoft.com/office/drawing/2014/main" id="{F46366A6-4C55-45F3-A469-08138EDFA758}"/>
            </a:ext>
          </a:extLst>
        </xdr:cNvPr>
        <xdr:cNvSpPr>
          <a:spLocks noChangeArrowheads="1"/>
        </xdr:cNvSpPr>
      </xdr:nvSpPr>
      <xdr:spPr bwMode="auto">
        <a:xfrm>
          <a:off x="81724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104</xdr:row>
      <xdr:rowOff>142875</xdr:rowOff>
    </xdr:from>
    <xdr:to>
      <xdr:col>38</xdr:col>
      <xdr:colOff>1</xdr:colOff>
      <xdr:row>105</xdr:row>
      <xdr:rowOff>104775</xdr:rowOff>
    </xdr:to>
    <xdr:sp macro="" textlink="">
      <xdr:nvSpPr>
        <xdr:cNvPr id="191" name="Freeform 10695">
          <a:extLst>
            <a:ext uri="{FF2B5EF4-FFF2-40B4-BE49-F238E27FC236}">
              <a16:creationId xmlns:a16="http://schemas.microsoft.com/office/drawing/2014/main" id="{E1E2B264-BBA4-49C5-BF22-23868E8CF288}"/>
            </a:ext>
          </a:extLst>
        </xdr:cNvPr>
        <xdr:cNvSpPr>
          <a:spLocks/>
        </xdr:cNvSpPr>
      </xdr:nvSpPr>
      <xdr:spPr bwMode="auto">
        <a:xfrm>
          <a:off x="84105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104</xdr:row>
      <xdr:rowOff>171450</xdr:rowOff>
    </xdr:from>
    <xdr:to>
      <xdr:col>3</xdr:col>
      <xdr:colOff>0</xdr:colOff>
      <xdr:row>107</xdr:row>
      <xdr:rowOff>0</xdr:rowOff>
    </xdr:to>
    <xdr:sp macro="" textlink="">
      <xdr:nvSpPr>
        <xdr:cNvPr id="192" name="0/0">
          <a:extLst>
            <a:ext uri="{FF2B5EF4-FFF2-40B4-BE49-F238E27FC236}">
              <a16:creationId xmlns:a16="http://schemas.microsoft.com/office/drawing/2014/main" id="{F86E7F3B-2B33-4227-BFC2-490BFBDEED78}"/>
            </a:ext>
          </a:extLst>
        </xdr:cNvPr>
        <xdr:cNvSpPr>
          <a:spLocks noChangeArrowheads="1"/>
        </xdr:cNvSpPr>
      </xdr:nvSpPr>
      <xdr:spPr bwMode="auto">
        <a:xfrm>
          <a:off x="2476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104</xdr:row>
      <xdr:rowOff>142875</xdr:rowOff>
    </xdr:from>
    <xdr:to>
      <xdr:col>6</xdr:col>
      <xdr:colOff>9526</xdr:colOff>
      <xdr:row>105</xdr:row>
      <xdr:rowOff>104775</xdr:rowOff>
    </xdr:to>
    <xdr:sp macro="" textlink="">
      <xdr:nvSpPr>
        <xdr:cNvPr id="193" name="Freeform 10695">
          <a:extLst>
            <a:ext uri="{FF2B5EF4-FFF2-40B4-BE49-F238E27FC236}">
              <a16:creationId xmlns:a16="http://schemas.microsoft.com/office/drawing/2014/main" id="{ABE4705F-FF27-4218-A739-42E6FFF29F80}"/>
            </a:ext>
          </a:extLst>
        </xdr:cNvPr>
        <xdr:cNvSpPr>
          <a:spLocks/>
        </xdr:cNvSpPr>
      </xdr:nvSpPr>
      <xdr:spPr bwMode="auto">
        <a:xfrm>
          <a:off x="495300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194" name="0/0">
          <a:extLst>
            <a:ext uri="{FF2B5EF4-FFF2-40B4-BE49-F238E27FC236}">
              <a16:creationId xmlns:a16="http://schemas.microsoft.com/office/drawing/2014/main" id="{C78E9EEE-419E-4942-9F40-0AFC278E92D6}"/>
            </a:ext>
          </a:extLst>
        </xdr:cNvPr>
        <xdr:cNvSpPr>
          <a:spLocks noChangeArrowheads="1"/>
        </xdr:cNvSpPr>
      </xdr:nvSpPr>
      <xdr:spPr bwMode="auto">
        <a:xfrm>
          <a:off x="91630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104</xdr:row>
      <xdr:rowOff>142875</xdr:rowOff>
    </xdr:from>
    <xdr:to>
      <xdr:col>42</xdr:col>
      <xdr:colOff>1</xdr:colOff>
      <xdr:row>105</xdr:row>
      <xdr:rowOff>104775</xdr:rowOff>
    </xdr:to>
    <xdr:sp macro="" textlink="">
      <xdr:nvSpPr>
        <xdr:cNvPr id="195" name="Freeform 10695">
          <a:extLst>
            <a:ext uri="{FF2B5EF4-FFF2-40B4-BE49-F238E27FC236}">
              <a16:creationId xmlns:a16="http://schemas.microsoft.com/office/drawing/2014/main" id="{0C76F992-BE9E-4C1F-A0D2-A6F86C774645}"/>
            </a:ext>
          </a:extLst>
        </xdr:cNvPr>
        <xdr:cNvSpPr>
          <a:spLocks/>
        </xdr:cNvSpPr>
      </xdr:nvSpPr>
      <xdr:spPr bwMode="auto">
        <a:xfrm>
          <a:off x="94011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196" name="0/0">
          <a:extLst>
            <a:ext uri="{FF2B5EF4-FFF2-40B4-BE49-F238E27FC236}">
              <a16:creationId xmlns:a16="http://schemas.microsoft.com/office/drawing/2014/main" id="{B83FC9C6-15D9-45E4-BE71-D6B178718EFA}"/>
            </a:ext>
          </a:extLst>
        </xdr:cNvPr>
        <xdr:cNvSpPr>
          <a:spLocks noChangeArrowheads="1"/>
        </xdr:cNvSpPr>
      </xdr:nvSpPr>
      <xdr:spPr bwMode="auto">
        <a:xfrm>
          <a:off x="101536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104</xdr:row>
      <xdr:rowOff>142875</xdr:rowOff>
    </xdr:from>
    <xdr:to>
      <xdr:col>46</xdr:col>
      <xdr:colOff>0</xdr:colOff>
      <xdr:row>105</xdr:row>
      <xdr:rowOff>104775</xdr:rowOff>
    </xdr:to>
    <xdr:sp macro="" textlink="">
      <xdr:nvSpPr>
        <xdr:cNvPr id="197" name="Freeform 10695">
          <a:extLst>
            <a:ext uri="{FF2B5EF4-FFF2-40B4-BE49-F238E27FC236}">
              <a16:creationId xmlns:a16="http://schemas.microsoft.com/office/drawing/2014/main" id="{1A24C4D9-3775-46B9-8CC8-F1279D565154}"/>
            </a:ext>
          </a:extLst>
        </xdr:cNvPr>
        <xdr:cNvSpPr>
          <a:spLocks/>
        </xdr:cNvSpPr>
      </xdr:nvSpPr>
      <xdr:spPr bwMode="auto">
        <a:xfrm>
          <a:off x="10391775" y="19764375"/>
          <a:ext cx="1000125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198" name="0/0">
          <a:extLst>
            <a:ext uri="{FF2B5EF4-FFF2-40B4-BE49-F238E27FC236}">
              <a16:creationId xmlns:a16="http://schemas.microsoft.com/office/drawing/2014/main" id="{1AD8764A-49AA-4040-8954-2032C10DF7A8}"/>
            </a:ext>
          </a:extLst>
        </xdr:cNvPr>
        <xdr:cNvSpPr>
          <a:spLocks noChangeArrowheads="1"/>
        </xdr:cNvSpPr>
      </xdr:nvSpPr>
      <xdr:spPr bwMode="auto">
        <a:xfrm>
          <a:off x="12382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114</xdr:row>
      <xdr:rowOff>142875</xdr:rowOff>
    </xdr:from>
    <xdr:to>
      <xdr:col>10</xdr:col>
      <xdr:colOff>9525</xdr:colOff>
      <xdr:row>115</xdr:row>
      <xdr:rowOff>104775</xdr:rowOff>
    </xdr:to>
    <xdr:sp macro="" textlink="">
      <xdr:nvSpPr>
        <xdr:cNvPr id="199" name="Freeform 10695">
          <a:extLst>
            <a:ext uri="{FF2B5EF4-FFF2-40B4-BE49-F238E27FC236}">
              <a16:creationId xmlns:a16="http://schemas.microsoft.com/office/drawing/2014/main" id="{3D836240-88AB-4564-A78E-897ED482F3D8}"/>
            </a:ext>
          </a:extLst>
        </xdr:cNvPr>
        <xdr:cNvSpPr>
          <a:spLocks/>
        </xdr:cNvSpPr>
      </xdr:nvSpPr>
      <xdr:spPr bwMode="auto">
        <a:xfrm>
          <a:off x="1485899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114</xdr:row>
      <xdr:rowOff>171450</xdr:rowOff>
    </xdr:from>
    <xdr:to>
      <xdr:col>11</xdr:col>
      <xdr:colOff>0</xdr:colOff>
      <xdr:row>117</xdr:row>
      <xdr:rowOff>0</xdr:rowOff>
    </xdr:to>
    <xdr:sp macro="" textlink="">
      <xdr:nvSpPr>
        <xdr:cNvPr id="200" name="0/0">
          <a:extLst>
            <a:ext uri="{FF2B5EF4-FFF2-40B4-BE49-F238E27FC236}">
              <a16:creationId xmlns:a16="http://schemas.microsoft.com/office/drawing/2014/main" id="{D3C3FD24-183B-4A55-9809-DCC906B8717D}"/>
            </a:ext>
          </a:extLst>
        </xdr:cNvPr>
        <xdr:cNvSpPr>
          <a:spLocks noChangeArrowheads="1"/>
        </xdr:cNvSpPr>
      </xdr:nvSpPr>
      <xdr:spPr bwMode="auto">
        <a:xfrm>
          <a:off x="22288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114</xdr:row>
      <xdr:rowOff>142875</xdr:rowOff>
    </xdr:from>
    <xdr:to>
      <xdr:col>14</xdr:col>
      <xdr:colOff>1</xdr:colOff>
      <xdr:row>115</xdr:row>
      <xdr:rowOff>104775</xdr:rowOff>
    </xdr:to>
    <xdr:sp macro="" textlink="">
      <xdr:nvSpPr>
        <xdr:cNvPr id="201" name="Freeform 10695">
          <a:extLst>
            <a:ext uri="{FF2B5EF4-FFF2-40B4-BE49-F238E27FC236}">
              <a16:creationId xmlns:a16="http://schemas.microsoft.com/office/drawing/2014/main" id="{2AB3491F-75EB-4467-9945-40AB2A3116FC}"/>
            </a:ext>
          </a:extLst>
        </xdr:cNvPr>
        <xdr:cNvSpPr>
          <a:spLocks/>
        </xdr:cNvSpPr>
      </xdr:nvSpPr>
      <xdr:spPr bwMode="auto">
        <a:xfrm>
          <a:off x="24669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114</xdr:row>
      <xdr:rowOff>171450</xdr:rowOff>
    </xdr:from>
    <xdr:to>
      <xdr:col>15</xdr:col>
      <xdr:colOff>0</xdr:colOff>
      <xdr:row>117</xdr:row>
      <xdr:rowOff>0</xdr:rowOff>
    </xdr:to>
    <xdr:sp macro="" textlink="">
      <xdr:nvSpPr>
        <xdr:cNvPr id="202" name="0/0">
          <a:extLst>
            <a:ext uri="{FF2B5EF4-FFF2-40B4-BE49-F238E27FC236}">
              <a16:creationId xmlns:a16="http://schemas.microsoft.com/office/drawing/2014/main" id="{E2442DE8-B9D1-40C9-A65F-11CC17F37B5D}"/>
            </a:ext>
          </a:extLst>
        </xdr:cNvPr>
        <xdr:cNvSpPr>
          <a:spLocks noChangeArrowheads="1"/>
        </xdr:cNvSpPr>
      </xdr:nvSpPr>
      <xdr:spPr bwMode="auto">
        <a:xfrm>
          <a:off x="32194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114</xdr:row>
      <xdr:rowOff>142875</xdr:rowOff>
    </xdr:from>
    <xdr:to>
      <xdr:col>18</xdr:col>
      <xdr:colOff>1</xdr:colOff>
      <xdr:row>115</xdr:row>
      <xdr:rowOff>104775</xdr:rowOff>
    </xdr:to>
    <xdr:sp macro="" textlink="">
      <xdr:nvSpPr>
        <xdr:cNvPr id="203" name="Freeform 10695">
          <a:extLst>
            <a:ext uri="{FF2B5EF4-FFF2-40B4-BE49-F238E27FC236}">
              <a16:creationId xmlns:a16="http://schemas.microsoft.com/office/drawing/2014/main" id="{3DDC9AB1-D67C-4517-8158-5E555370B62E}"/>
            </a:ext>
          </a:extLst>
        </xdr:cNvPr>
        <xdr:cNvSpPr>
          <a:spLocks/>
        </xdr:cNvSpPr>
      </xdr:nvSpPr>
      <xdr:spPr bwMode="auto">
        <a:xfrm>
          <a:off x="34575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114</xdr:row>
      <xdr:rowOff>171450</xdr:rowOff>
    </xdr:from>
    <xdr:to>
      <xdr:col>19</xdr:col>
      <xdr:colOff>0</xdr:colOff>
      <xdr:row>117</xdr:row>
      <xdr:rowOff>0</xdr:rowOff>
    </xdr:to>
    <xdr:sp macro="" textlink="">
      <xdr:nvSpPr>
        <xdr:cNvPr id="204" name="0/0">
          <a:extLst>
            <a:ext uri="{FF2B5EF4-FFF2-40B4-BE49-F238E27FC236}">
              <a16:creationId xmlns:a16="http://schemas.microsoft.com/office/drawing/2014/main" id="{936BD40C-5D2C-413C-950D-AE04434C2F1D}"/>
            </a:ext>
          </a:extLst>
        </xdr:cNvPr>
        <xdr:cNvSpPr>
          <a:spLocks noChangeArrowheads="1"/>
        </xdr:cNvSpPr>
      </xdr:nvSpPr>
      <xdr:spPr bwMode="auto">
        <a:xfrm>
          <a:off x="42100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114</xdr:row>
      <xdr:rowOff>142875</xdr:rowOff>
    </xdr:from>
    <xdr:to>
      <xdr:col>22</xdr:col>
      <xdr:colOff>1</xdr:colOff>
      <xdr:row>115</xdr:row>
      <xdr:rowOff>104775</xdr:rowOff>
    </xdr:to>
    <xdr:sp macro="" textlink="">
      <xdr:nvSpPr>
        <xdr:cNvPr id="205" name="Freeform 10695">
          <a:extLst>
            <a:ext uri="{FF2B5EF4-FFF2-40B4-BE49-F238E27FC236}">
              <a16:creationId xmlns:a16="http://schemas.microsoft.com/office/drawing/2014/main" id="{25A3A8ED-B3D1-4D21-AD61-8B5BBB471AA6}"/>
            </a:ext>
          </a:extLst>
        </xdr:cNvPr>
        <xdr:cNvSpPr>
          <a:spLocks/>
        </xdr:cNvSpPr>
      </xdr:nvSpPr>
      <xdr:spPr bwMode="auto">
        <a:xfrm>
          <a:off x="44481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206" name="0/0">
          <a:extLst>
            <a:ext uri="{FF2B5EF4-FFF2-40B4-BE49-F238E27FC236}">
              <a16:creationId xmlns:a16="http://schemas.microsoft.com/office/drawing/2014/main" id="{644DC12C-3277-46AE-8F09-63ED6DF3144F}"/>
            </a:ext>
          </a:extLst>
        </xdr:cNvPr>
        <xdr:cNvSpPr>
          <a:spLocks noChangeArrowheads="1"/>
        </xdr:cNvSpPr>
      </xdr:nvSpPr>
      <xdr:spPr bwMode="auto">
        <a:xfrm>
          <a:off x="52006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114</xdr:row>
      <xdr:rowOff>142875</xdr:rowOff>
    </xdr:from>
    <xdr:to>
      <xdr:col>26</xdr:col>
      <xdr:colOff>1</xdr:colOff>
      <xdr:row>115</xdr:row>
      <xdr:rowOff>104775</xdr:rowOff>
    </xdr:to>
    <xdr:sp macro="" textlink="">
      <xdr:nvSpPr>
        <xdr:cNvPr id="207" name="Freeform 10695">
          <a:extLst>
            <a:ext uri="{FF2B5EF4-FFF2-40B4-BE49-F238E27FC236}">
              <a16:creationId xmlns:a16="http://schemas.microsoft.com/office/drawing/2014/main" id="{B3F47803-AC8E-4602-885B-ED0D1765EA32}"/>
            </a:ext>
          </a:extLst>
        </xdr:cNvPr>
        <xdr:cNvSpPr>
          <a:spLocks/>
        </xdr:cNvSpPr>
      </xdr:nvSpPr>
      <xdr:spPr bwMode="auto">
        <a:xfrm>
          <a:off x="54387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114</xdr:row>
      <xdr:rowOff>171450</xdr:rowOff>
    </xdr:from>
    <xdr:to>
      <xdr:col>27</xdr:col>
      <xdr:colOff>0</xdr:colOff>
      <xdr:row>117</xdr:row>
      <xdr:rowOff>0</xdr:rowOff>
    </xdr:to>
    <xdr:sp macro="" textlink="">
      <xdr:nvSpPr>
        <xdr:cNvPr id="208" name="0/0">
          <a:extLst>
            <a:ext uri="{FF2B5EF4-FFF2-40B4-BE49-F238E27FC236}">
              <a16:creationId xmlns:a16="http://schemas.microsoft.com/office/drawing/2014/main" id="{FA75A211-034B-422C-838C-C0DC48E0D701}"/>
            </a:ext>
          </a:extLst>
        </xdr:cNvPr>
        <xdr:cNvSpPr>
          <a:spLocks noChangeArrowheads="1"/>
        </xdr:cNvSpPr>
      </xdr:nvSpPr>
      <xdr:spPr bwMode="auto">
        <a:xfrm>
          <a:off x="61912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114</xdr:row>
      <xdr:rowOff>142875</xdr:rowOff>
    </xdr:from>
    <xdr:to>
      <xdr:col>30</xdr:col>
      <xdr:colOff>1</xdr:colOff>
      <xdr:row>115</xdr:row>
      <xdr:rowOff>104775</xdr:rowOff>
    </xdr:to>
    <xdr:sp macro="" textlink="">
      <xdr:nvSpPr>
        <xdr:cNvPr id="209" name="Freeform 10695">
          <a:extLst>
            <a:ext uri="{FF2B5EF4-FFF2-40B4-BE49-F238E27FC236}">
              <a16:creationId xmlns:a16="http://schemas.microsoft.com/office/drawing/2014/main" id="{D01B932F-0608-4EC0-8337-461A09DFF76C}"/>
            </a:ext>
          </a:extLst>
        </xdr:cNvPr>
        <xdr:cNvSpPr>
          <a:spLocks/>
        </xdr:cNvSpPr>
      </xdr:nvSpPr>
      <xdr:spPr bwMode="auto">
        <a:xfrm>
          <a:off x="64293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114</xdr:row>
      <xdr:rowOff>171450</xdr:rowOff>
    </xdr:from>
    <xdr:to>
      <xdr:col>31</xdr:col>
      <xdr:colOff>0</xdr:colOff>
      <xdr:row>117</xdr:row>
      <xdr:rowOff>0</xdr:rowOff>
    </xdr:to>
    <xdr:sp macro="" textlink="">
      <xdr:nvSpPr>
        <xdr:cNvPr id="210" name="0/0">
          <a:extLst>
            <a:ext uri="{FF2B5EF4-FFF2-40B4-BE49-F238E27FC236}">
              <a16:creationId xmlns:a16="http://schemas.microsoft.com/office/drawing/2014/main" id="{806713EC-48A0-4B10-81C8-EEE1032704DB}"/>
            </a:ext>
          </a:extLst>
        </xdr:cNvPr>
        <xdr:cNvSpPr>
          <a:spLocks noChangeArrowheads="1"/>
        </xdr:cNvSpPr>
      </xdr:nvSpPr>
      <xdr:spPr bwMode="auto">
        <a:xfrm>
          <a:off x="71818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114</xdr:row>
      <xdr:rowOff>142875</xdr:rowOff>
    </xdr:from>
    <xdr:to>
      <xdr:col>34</xdr:col>
      <xdr:colOff>1</xdr:colOff>
      <xdr:row>115</xdr:row>
      <xdr:rowOff>104775</xdr:rowOff>
    </xdr:to>
    <xdr:sp macro="" textlink="">
      <xdr:nvSpPr>
        <xdr:cNvPr id="211" name="Freeform 10695">
          <a:extLst>
            <a:ext uri="{FF2B5EF4-FFF2-40B4-BE49-F238E27FC236}">
              <a16:creationId xmlns:a16="http://schemas.microsoft.com/office/drawing/2014/main" id="{10D258DE-9C26-4088-AB7E-1E2404696642}"/>
            </a:ext>
          </a:extLst>
        </xdr:cNvPr>
        <xdr:cNvSpPr>
          <a:spLocks/>
        </xdr:cNvSpPr>
      </xdr:nvSpPr>
      <xdr:spPr bwMode="auto">
        <a:xfrm>
          <a:off x="74199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212" name="0/0">
          <a:extLst>
            <a:ext uri="{FF2B5EF4-FFF2-40B4-BE49-F238E27FC236}">
              <a16:creationId xmlns:a16="http://schemas.microsoft.com/office/drawing/2014/main" id="{9A7EF160-FCC7-4ADF-B4AB-45AEC1702B3E}"/>
            </a:ext>
          </a:extLst>
        </xdr:cNvPr>
        <xdr:cNvSpPr>
          <a:spLocks noChangeArrowheads="1"/>
        </xdr:cNvSpPr>
      </xdr:nvSpPr>
      <xdr:spPr bwMode="auto">
        <a:xfrm>
          <a:off x="81724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114</xdr:row>
      <xdr:rowOff>142875</xdr:rowOff>
    </xdr:from>
    <xdr:to>
      <xdr:col>38</xdr:col>
      <xdr:colOff>1</xdr:colOff>
      <xdr:row>115</xdr:row>
      <xdr:rowOff>104775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793F5972-41D6-4745-AA19-A3FC6245FD39}"/>
            </a:ext>
          </a:extLst>
        </xdr:cNvPr>
        <xdr:cNvSpPr>
          <a:spLocks/>
        </xdr:cNvSpPr>
      </xdr:nvSpPr>
      <xdr:spPr bwMode="auto">
        <a:xfrm>
          <a:off x="84105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114</xdr:row>
      <xdr:rowOff>171450</xdr:rowOff>
    </xdr:from>
    <xdr:to>
      <xdr:col>3</xdr:col>
      <xdr:colOff>0</xdr:colOff>
      <xdr:row>117</xdr:row>
      <xdr:rowOff>0</xdr:rowOff>
    </xdr:to>
    <xdr:sp macro="" textlink="">
      <xdr:nvSpPr>
        <xdr:cNvPr id="214" name="0/0">
          <a:extLst>
            <a:ext uri="{FF2B5EF4-FFF2-40B4-BE49-F238E27FC236}">
              <a16:creationId xmlns:a16="http://schemas.microsoft.com/office/drawing/2014/main" id="{A6A1EB83-0531-477B-B204-C9398EF5112E}"/>
            </a:ext>
          </a:extLst>
        </xdr:cNvPr>
        <xdr:cNvSpPr>
          <a:spLocks noChangeArrowheads="1"/>
        </xdr:cNvSpPr>
      </xdr:nvSpPr>
      <xdr:spPr bwMode="auto">
        <a:xfrm>
          <a:off x="2476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114</xdr:row>
      <xdr:rowOff>142875</xdr:rowOff>
    </xdr:from>
    <xdr:to>
      <xdr:col>6</xdr:col>
      <xdr:colOff>9526</xdr:colOff>
      <xdr:row>115</xdr:row>
      <xdr:rowOff>104775</xdr:rowOff>
    </xdr:to>
    <xdr:sp macro="" textlink="">
      <xdr:nvSpPr>
        <xdr:cNvPr id="215" name="Freeform 10695">
          <a:extLst>
            <a:ext uri="{FF2B5EF4-FFF2-40B4-BE49-F238E27FC236}">
              <a16:creationId xmlns:a16="http://schemas.microsoft.com/office/drawing/2014/main" id="{F6FA2F3A-5AC3-4892-B956-12A4D5936539}"/>
            </a:ext>
          </a:extLst>
        </xdr:cNvPr>
        <xdr:cNvSpPr>
          <a:spLocks/>
        </xdr:cNvSpPr>
      </xdr:nvSpPr>
      <xdr:spPr bwMode="auto">
        <a:xfrm>
          <a:off x="495300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114</xdr:row>
      <xdr:rowOff>171450</xdr:rowOff>
    </xdr:from>
    <xdr:to>
      <xdr:col>39</xdr:col>
      <xdr:colOff>0</xdr:colOff>
      <xdr:row>117</xdr:row>
      <xdr:rowOff>0</xdr:rowOff>
    </xdr:to>
    <xdr:sp macro="" textlink="">
      <xdr:nvSpPr>
        <xdr:cNvPr id="216" name="0/0">
          <a:extLst>
            <a:ext uri="{FF2B5EF4-FFF2-40B4-BE49-F238E27FC236}">
              <a16:creationId xmlns:a16="http://schemas.microsoft.com/office/drawing/2014/main" id="{472CD707-F02F-4EBF-B48A-498C7879C34C}"/>
            </a:ext>
          </a:extLst>
        </xdr:cNvPr>
        <xdr:cNvSpPr>
          <a:spLocks noChangeArrowheads="1"/>
        </xdr:cNvSpPr>
      </xdr:nvSpPr>
      <xdr:spPr bwMode="auto">
        <a:xfrm>
          <a:off x="91630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114</xdr:row>
      <xdr:rowOff>142875</xdr:rowOff>
    </xdr:from>
    <xdr:to>
      <xdr:col>42</xdr:col>
      <xdr:colOff>1</xdr:colOff>
      <xdr:row>115</xdr:row>
      <xdr:rowOff>104775</xdr:rowOff>
    </xdr:to>
    <xdr:sp macro="" textlink="">
      <xdr:nvSpPr>
        <xdr:cNvPr id="217" name="Freeform 10695">
          <a:extLst>
            <a:ext uri="{FF2B5EF4-FFF2-40B4-BE49-F238E27FC236}">
              <a16:creationId xmlns:a16="http://schemas.microsoft.com/office/drawing/2014/main" id="{7BC58AE9-25F3-4DDD-A292-619CE12D4C1D}"/>
            </a:ext>
          </a:extLst>
        </xdr:cNvPr>
        <xdr:cNvSpPr>
          <a:spLocks/>
        </xdr:cNvSpPr>
      </xdr:nvSpPr>
      <xdr:spPr bwMode="auto">
        <a:xfrm>
          <a:off x="94011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114</xdr:row>
      <xdr:rowOff>171450</xdr:rowOff>
    </xdr:from>
    <xdr:to>
      <xdr:col>43</xdr:col>
      <xdr:colOff>0</xdr:colOff>
      <xdr:row>117</xdr:row>
      <xdr:rowOff>0</xdr:rowOff>
    </xdr:to>
    <xdr:sp macro="" textlink="">
      <xdr:nvSpPr>
        <xdr:cNvPr id="218" name="0/0">
          <a:extLst>
            <a:ext uri="{FF2B5EF4-FFF2-40B4-BE49-F238E27FC236}">
              <a16:creationId xmlns:a16="http://schemas.microsoft.com/office/drawing/2014/main" id="{2D52A981-66FF-452D-8DB3-63C1EAF20324}"/>
            </a:ext>
          </a:extLst>
        </xdr:cNvPr>
        <xdr:cNvSpPr>
          <a:spLocks noChangeArrowheads="1"/>
        </xdr:cNvSpPr>
      </xdr:nvSpPr>
      <xdr:spPr bwMode="auto">
        <a:xfrm>
          <a:off x="101536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114</xdr:row>
      <xdr:rowOff>161925</xdr:rowOff>
    </xdr:from>
    <xdr:to>
      <xdr:col>45</xdr:col>
      <xdr:colOff>238125</xdr:colOff>
      <xdr:row>115</xdr:row>
      <xdr:rowOff>104775</xdr:rowOff>
    </xdr:to>
    <xdr:sp macro="" textlink="">
      <xdr:nvSpPr>
        <xdr:cNvPr id="219" name="Freeform 10695">
          <a:extLst>
            <a:ext uri="{FF2B5EF4-FFF2-40B4-BE49-F238E27FC236}">
              <a16:creationId xmlns:a16="http://schemas.microsoft.com/office/drawing/2014/main" id="{7617FFEF-1F9F-40EE-BF03-44CFC8ABC921}"/>
            </a:ext>
          </a:extLst>
        </xdr:cNvPr>
        <xdr:cNvSpPr>
          <a:spLocks/>
        </xdr:cNvSpPr>
      </xdr:nvSpPr>
      <xdr:spPr bwMode="auto">
        <a:xfrm>
          <a:off x="10391775" y="21631275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220" name="0/0">
          <a:extLst>
            <a:ext uri="{FF2B5EF4-FFF2-40B4-BE49-F238E27FC236}">
              <a16:creationId xmlns:a16="http://schemas.microsoft.com/office/drawing/2014/main" id="{E125E96C-4D1D-4E4C-A5CD-6A3757830300}"/>
            </a:ext>
          </a:extLst>
        </xdr:cNvPr>
        <xdr:cNvSpPr>
          <a:spLocks noChangeArrowheads="1"/>
        </xdr:cNvSpPr>
      </xdr:nvSpPr>
      <xdr:spPr bwMode="auto">
        <a:xfrm>
          <a:off x="12382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124</xdr:row>
      <xdr:rowOff>142875</xdr:rowOff>
    </xdr:from>
    <xdr:to>
      <xdr:col>10</xdr:col>
      <xdr:colOff>9525</xdr:colOff>
      <xdr:row>125</xdr:row>
      <xdr:rowOff>104775</xdr:rowOff>
    </xdr:to>
    <xdr:sp macro="" textlink="">
      <xdr:nvSpPr>
        <xdr:cNvPr id="221" name="Freeform 10695">
          <a:extLst>
            <a:ext uri="{FF2B5EF4-FFF2-40B4-BE49-F238E27FC236}">
              <a16:creationId xmlns:a16="http://schemas.microsoft.com/office/drawing/2014/main" id="{F0CB1991-1163-4A8F-9AD0-4675F7FCDFB2}"/>
            </a:ext>
          </a:extLst>
        </xdr:cNvPr>
        <xdr:cNvSpPr>
          <a:spLocks/>
        </xdr:cNvSpPr>
      </xdr:nvSpPr>
      <xdr:spPr bwMode="auto">
        <a:xfrm>
          <a:off x="1485899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22" name="0/0">
          <a:extLst>
            <a:ext uri="{FF2B5EF4-FFF2-40B4-BE49-F238E27FC236}">
              <a16:creationId xmlns:a16="http://schemas.microsoft.com/office/drawing/2014/main" id="{DEAED3A5-23E9-4603-9468-60C568335A9E}"/>
            </a:ext>
          </a:extLst>
        </xdr:cNvPr>
        <xdr:cNvSpPr>
          <a:spLocks noChangeArrowheads="1"/>
        </xdr:cNvSpPr>
      </xdr:nvSpPr>
      <xdr:spPr bwMode="auto">
        <a:xfrm>
          <a:off x="22288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124</xdr:row>
      <xdr:rowOff>142875</xdr:rowOff>
    </xdr:from>
    <xdr:to>
      <xdr:col>14</xdr:col>
      <xdr:colOff>1</xdr:colOff>
      <xdr:row>125</xdr:row>
      <xdr:rowOff>104775</xdr:rowOff>
    </xdr:to>
    <xdr:sp macro="" textlink="">
      <xdr:nvSpPr>
        <xdr:cNvPr id="223" name="Freeform 10695">
          <a:extLst>
            <a:ext uri="{FF2B5EF4-FFF2-40B4-BE49-F238E27FC236}">
              <a16:creationId xmlns:a16="http://schemas.microsoft.com/office/drawing/2014/main" id="{9ECE4161-9232-4617-89B8-A7B4C2B241F1}"/>
            </a:ext>
          </a:extLst>
        </xdr:cNvPr>
        <xdr:cNvSpPr>
          <a:spLocks/>
        </xdr:cNvSpPr>
      </xdr:nvSpPr>
      <xdr:spPr bwMode="auto">
        <a:xfrm>
          <a:off x="24669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224" name="0/0">
          <a:extLst>
            <a:ext uri="{FF2B5EF4-FFF2-40B4-BE49-F238E27FC236}">
              <a16:creationId xmlns:a16="http://schemas.microsoft.com/office/drawing/2014/main" id="{0B7E1C79-3D79-42A1-B8FE-577F1E5589F7}"/>
            </a:ext>
          </a:extLst>
        </xdr:cNvPr>
        <xdr:cNvSpPr>
          <a:spLocks noChangeArrowheads="1"/>
        </xdr:cNvSpPr>
      </xdr:nvSpPr>
      <xdr:spPr bwMode="auto">
        <a:xfrm>
          <a:off x="32194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124</xdr:row>
      <xdr:rowOff>142875</xdr:rowOff>
    </xdr:from>
    <xdr:to>
      <xdr:col>18</xdr:col>
      <xdr:colOff>1</xdr:colOff>
      <xdr:row>125</xdr:row>
      <xdr:rowOff>104775</xdr:rowOff>
    </xdr:to>
    <xdr:sp macro="" textlink="">
      <xdr:nvSpPr>
        <xdr:cNvPr id="225" name="Freeform 10695">
          <a:extLst>
            <a:ext uri="{FF2B5EF4-FFF2-40B4-BE49-F238E27FC236}">
              <a16:creationId xmlns:a16="http://schemas.microsoft.com/office/drawing/2014/main" id="{331BFB19-FE59-4A68-8227-3FA5784303B0}"/>
            </a:ext>
          </a:extLst>
        </xdr:cNvPr>
        <xdr:cNvSpPr>
          <a:spLocks/>
        </xdr:cNvSpPr>
      </xdr:nvSpPr>
      <xdr:spPr bwMode="auto">
        <a:xfrm>
          <a:off x="34575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124</xdr:row>
      <xdr:rowOff>171450</xdr:rowOff>
    </xdr:from>
    <xdr:to>
      <xdr:col>19</xdr:col>
      <xdr:colOff>0</xdr:colOff>
      <xdr:row>127</xdr:row>
      <xdr:rowOff>0</xdr:rowOff>
    </xdr:to>
    <xdr:sp macro="" textlink="">
      <xdr:nvSpPr>
        <xdr:cNvPr id="226" name="0/0">
          <a:extLst>
            <a:ext uri="{FF2B5EF4-FFF2-40B4-BE49-F238E27FC236}">
              <a16:creationId xmlns:a16="http://schemas.microsoft.com/office/drawing/2014/main" id="{416799F8-77D3-410B-8CFA-F219643EFC56}"/>
            </a:ext>
          </a:extLst>
        </xdr:cNvPr>
        <xdr:cNvSpPr>
          <a:spLocks noChangeArrowheads="1"/>
        </xdr:cNvSpPr>
      </xdr:nvSpPr>
      <xdr:spPr bwMode="auto">
        <a:xfrm>
          <a:off x="42100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124</xdr:row>
      <xdr:rowOff>142875</xdr:rowOff>
    </xdr:from>
    <xdr:to>
      <xdr:col>22</xdr:col>
      <xdr:colOff>1</xdr:colOff>
      <xdr:row>125</xdr:row>
      <xdr:rowOff>104775</xdr:rowOff>
    </xdr:to>
    <xdr:sp macro="" textlink="">
      <xdr:nvSpPr>
        <xdr:cNvPr id="227" name="Freeform 10695">
          <a:extLst>
            <a:ext uri="{FF2B5EF4-FFF2-40B4-BE49-F238E27FC236}">
              <a16:creationId xmlns:a16="http://schemas.microsoft.com/office/drawing/2014/main" id="{E49093D0-6A10-44AA-92D9-3F40CB14755D}"/>
            </a:ext>
          </a:extLst>
        </xdr:cNvPr>
        <xdr:cNvSpPr>
          <a:spLocks/>
        </xdr:cNvSpPr>
      </xdr:nvSpPr>
      <xdr:spPr bwMode="auto">
        <a:xfrm>
          <a:off x="44481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28" name="0/0">
          <a:extLst>
            <a:ext uri="{FF2B5EF4-FFF2-40B4-BE49-F238E27FC236}">
              <a16:creationId xmlns:a16="http://schemas.microsoft.com/office/drawing/2014/main" id="{E4396E7E-411B-4F4B-8726-3A6A0FE7E5F8}"/>
            </a:ext>
          </a:extLst>
        </xdr:cNvPr>
        <xdr:cNvSpPr>
          <a:spLocks noChangeArrowheads="1"/>
        </xdr:cNvSpPr>
      </xdr:nvSpPr>
      <xdr:spPr bwMode="auto">
        <a:xfrm>
          <a:off x="52006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124</xdr:row>
      <xdr:rowOff>142875</xdr:rowOff>
    </xdr:from>
    <xdr:to>
      <xdr:col>26</xdr:col>
      <xdr:colOff>1</xdr:colOff>
      <xdr:row>125</xdr:row>
      <xdr:rowOff>104775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0F45AE84-9067-4086-895C-89A261AA6484}"/>
            </a:ext>
          </a:extLst>
        </xdr:cNvPr>
        <xdr:cNvSpPr>
          <a:spLocks/>
        </xdr:cNvSpPr>
      </xdr:nvSpPr>
      <xdr:spPr bwMode="auto">
        <a:xfrm>
          <a:off x="54387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DC0BEF7F-2719-4B36-A6C3-A00293B71EF4}"/>
            </a:ext>
          </a:extLst>
        </xdr:cNvPr>
        <xdr:cNvSpPr>
          <a:spLocks noChangeArrowheads="1"/>
        </xdr:cNvSpPr>
      </xdr:nvSpPr>
      <xdr:spPr bwMode="auto">
        <a:xfrm>
          <a:off x="61912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124</xdr:row>
      <xdr:rowOff>142875</xdr:rowOff>
    </xdr:from>
    <xdr:to>
      <xdr:col>30</xdr:col>
      <xdr:colOff>1</xdr:colOff>
      <xdr:row>125</xdr:row>
      <xdr:rowOff>104775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6699799B-889F-4C24-A86F-2BF9593E8878}"/>
            </a:ext>
          </a:extLst>
        </xdr:cNvPr>
        <xdr:cNvSpPr>
          <a:spLocks/>
        </xdr:cNvSpPr>
      </xdr:nvSpPr>
      <xdr:spPr bwMode="auto">
        <a:xfrm>
          <a:off x="64293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66801D44-61BD-4A03-8839-30766184CDA1}"/>
            </a:ext>
          </a:extLst>
        </xdr:cNvPr>
        <xdr:cNvSpPr>
          <a:spLocks noChangeArrowheads="1"/>
        </xdr:cNvSpPr>
      </xdr:nvSpPr>
      <xdr:spPr bwMode="auto">
        <a:xfrm>
          <a:off x="71818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124</xdr:row>
      <xdr:rowOff>142875</xdr:rowOff>
    </xdr:from>
    <xdr:to>
      <xdr:col>34</xdr:col>
      <xdr:colOff>1</xdr:colOff>
      <xdr:row>125</xdr:row>
      <xdr:rowOff>104775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0FD6A9A2-4CF9-456A-BAA5-08B54FC95207}"/>
            </a:ext>
          </a:extLst>
        </xdr:cNvPr>
        <xdr:cNvSpPr>
          <a:spLocks/>
        </xdr:cNvSpPr>
      </xdr:nvSpPr>
      <xdr:spPr bwMode="auto">
        <a:xfrm>
          <a:off x="74199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B41D6BF5-4203-416A-BA70-E806FEEDA24A}"/>
            </a:ext>
          </a:extLst>
        </xdr:cNvPr>
        <xdr:cNvSpPr>
          <a:spLocks noChangeArrowheads="1"/>
        </xdr:cNvSpPr>
      </xdr:nvSpPr>
      <xdr:spPr bwMode="auto">
        <a:xfrm>
          <a:off x="81724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124</xdr:row>
      <xdr:rowOff>142875</xdr:rowOff>
    </xdr:from>
    <xdr:to>
      <xdr:col>38</xdr:col>
      <xdr:colOff>1</xdr:colOff>
      <xdr:row>125</xdr:row>
      <xdr:rowOff>104775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3590D648-67F4-408C-A4CC-90C9EF088D63}"/>
            </a:ext>
          </a:extLst>
        </xdr:cNvPr>
        <xdr:cNvSpPr>
          <a:spLocks/>
        </xdr:cNvSpPr>
      </xdr:nvSpPr>
      <xdr:spPr bwMode="auto">
        <a:xfrm>
          <a:off x="84105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21D24DAD-F754-4EFA-8397-03BB3B8B2EE7}"/>
            </a:ext>
          </a:extLst>
        </xdr:cNvPr>
        <xdr:cNvSpPr>
          <a:spLocks noChangeArrowheads="1"/>
        </xdr:cNvSpPr>
      </xdr:nvSpPr>
      <xdr:spPr bwMode="auto">
        <a:xfrm>
          <a:off x="2476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142875</xdr:rowOff>
    </xdr:from>
    <xdr:to>
      <xdr:col>6</xdr:col>
      <xdr:colOff>9526</xdr:colOff>
      <xdr:row>125</xdr:row>
      <xdr:rowOff>104775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636E248A-2159-4238-BC4F-247B61C9D2A8}"/>
            </a:ext>
          </a:extLst>
        </xdr:cNvPr>
        <xdr:cNvSpPr>
          <a:spLocks/>
        </xdr:cNvSpPr>
      </xdr:nvSpPr>
      <xdr:spPr bwMode="auto">
        <a:xfrm>
          <a:off x="495300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CD69855A-CCB4-4966-B46F-7137D1FACC10}"/>
            </a:ext>
          </a:extLst>
        </xdr:cNvPr>
        <xdr:cNvSpPr>
          <a:spLocks noChangeArrowheads="1"/>
        </xdr:cNvSpPr>
      </xdr:nvSpPr>
      <xdr:spPr bwMode="auto">
        <a:xfrm>
          <a:off x="91630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124</xdr:row>
      <xdr:rowOff>142875</xdr:rowOff>
    </xdr:from>
    <xdr:to>
      <xdr:col>42</xdr:col>
      <xdr:colOff>1</xdr:colOff>
      <xdr:row>125</xdr:row>
      <xdr:rowOff>104775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0B07F1B7-9F67-47AF-9678-552CB0E0EC67}"/>
            </a:ext>
          </a:extLst>
        </xdr:cNvPr>
        <xdr:cNvSpPr>
          <a:spLocks/>
        </xdr:cNvSpPr>
      </xdr:nvSpPr>
      <xdr:spPr bwMode="auto">
        <a:xfrm>
          <a:off x="94011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A609A390-6CC4-4BB9-B02E-84546119CF14}"/>
            </a:ext>
          </a:extLst>
        </xdr:cNvPr>
        <xdr:cNvSpPr>
          <a:spLocks noChangeArrowheads="1"/>
        </xdr:cNvSpPr>
      </xdr:nvSpPr>
      <xdr:spPr bwMode="auto">
        <a:xfrm>
          <a:off x="101536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124</xdr:row>
      <xdr:rowOff>152399</xdr:rowOff>
    </xdr:from>
    <xdr:to>
      <xdr:col>45</xdr:col>
      <xdr:colOff>228600</xdr:colOff>
      <xdr:row>125</xdr:row>
      <xdr:rowOff>104774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D1A266B4-254D-4213-87DC-BD38EB95E29C}"/>
            </a:ext>
          </a:extLst>
        </xdr:cNvPr>
        <xdr:cNvSpPr>
          <a:spLocks/>
        </xdr:cNvSpPr>
      </xdr:nvSpPr>
      <xdr:spPr bwMode="auto">
        <a:xfrm>
          <a:off x="10391775" y="23469599"/>
          <a:ext cx="98107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66AECE08-01F1-4986-9845-B8D18D9D414B}"/>
            </a:ext>
          </a:extLst>
        </xdr:cNvPr>
        <xdr:cNvSpPr>
          <a:spLocks noChangeArrowheads="1"/>
        </xdr:cNvSpPr>
      </xdr:nvSpPr>
      <xdr:spPr bwMode="auto">
        <a:xfrm>
          <a:off x="12382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134</xdr:row>
      <xdr:rowOff>142875</xdr:rowOff>
    </xdr:from>
    <xdr:to>
      <xdr:col>10</xdr:col>
      <xdr:colOff>9525</xdr:colOff>
      <xdr:row>135</xdr:row>
      <xdr:rowOff>104775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78F16272-2C11-4986-BA98-4B3554415746}"/>
            </a:ext>
          </a:extLst>
        </xdr:cNvPr>
        <xdr:cNvSpPr>
          <a:spLocks/>
        </xdr:cNvSpPr>
      </xdr:nvSpPr>
      <xdr:spPr bwMode="auto">
        <a:xfrm>
          <a:off x="1485899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244" name="0/0">
          <a:extLst>
            <a:ext uri="{FF2B5EF4-FFF2-40B4-BE49-F238E27FC236}">
              <a16:creationId xmlns:a16="http://schemas.microsoft.com/office/drawing/2014/main" id="{B4D17A33-047A-4148-9F18-875205A26DF4}"/>
            </a:ext>
          </a:extLst>
        </xdr:cNvPr>
        <xdr:cNvSpPr>
          <a:spLocks noChangeArrowheads="1"/>
        </xdr:cNvSpPr>
      </xdr:nvSpPr>
      <xdr:spPr bwMode="auto">
        <a:xfrm>
          <a:off x="2228850" y="253365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134</xdr:row>
      <xdr:rowOff>142875</xdr:rowOff>
    </xdr:from>
    <xdr:to>
      <xdr:col>14</xdr:col>
      <xdr:colOff>1</xdr:colOff>
      <xdr:row>135</xdr:row>
      <xdr:rowOff>104775</xdr:rowOff>
    </xdr:to>
    <xdr:sp macro="" textlink="">
      <xdr:nvSpPr>
        <xdr:cNvPr id="245" name="Freeform 10695">
          <a:extLst>
            <a:ext uri="{FF2B5EF4-FFF2-40B4-BE49-F238E27FC236}">
              <a16:creationId xmlns:a16="http://schemas.microsoft.com/office/drawing/2014/main" id="{C512945B-94F7-4701-8EC7-8798B724355F}"/>
            </a:ext>
          </a:extLst>
        </xdr:cNvPr>
        <xdr:cNvSpPr>
          <a:spLocks/>
        </xdr:cNvSpPr>
      </xdr:nvSpPr>
      <xdr:spPr bwMode="auto">
        <a:xfrm>
          <a:off x="24669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246" name="0/0">
          <a:extLst>
            <a:ext uri="{FF2B5EF4-FFF2-40B4-BE49-F238E27FC236}">
              <a16:creationId xmlns:a16="http://schemas.microsoft.com/office/drawing/2014/main" id="{2E5245F1-C9F5-42B2-9F05-905BD05FADBF}"/>
            </a:ext>
          </a:extLst>
        </xdr:cNvPr>
        <xdr:cNvSpPr>
          <a:spLocks noChangeArrowheads="1"/>
        </xdr:cNvSpPr>
      </xdr:nvSpPr>
      <xdr:spPr bwMode="auto">
        <a:xfrm>
          <a:off x="3219450" y="253365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134</xdr:row>
      <xdr:rowOff>142875</xdr:rowOff>
    </xdr:from>
    <xdr:to>
      <xdr:col>18</xdr:col>
      <xdr:colOff>1</xdr:colOff>
      <xdr:row>135</xdr:row>
      <xdr:rowOff>104775</xdr:rowOff>
    </xdr:to>
    <xdr:sp macro="" textlink="">
      <xdr:nvSpPr>
        <xdr:cNvPr id="247" name="Freeform 10695">
          <a:extLst>
            <a:ext uri="{FF2B5EF4-FFF2-40B4-BE49-F238E27FC236}">
              <a16:creationId xmlns:a16="http://schemas.microsoft.com/office/drawing/2014/main" id="{6E7CFCE9-9631-4343-9611-513898E58FF4}"/>
            </a:ext>
          </a:extLst>
        </xdr:cNvPr>
        <xdr:cNvSpPr>
          <a:spLocks/>
        </xdr:cNvSpPr>
      </xdr:nvSpPr>
      <xdr:spPr bwMode="auto">
        <a:xfrm>
          <a:off x="34575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248" name="0/0">
          <a:extLst>
            <a:ext uri="{FF2B5EF4-FFF2-40B4-BE49-F238E27FC236}">
              <a16:creationId xmlns:a16="http://schemas.microsoft.com/office/drawing/2014/main" id="{2279A00D-F1C2-4594-99A5-EAF12B23907F}"/>
            </a:ext>
          </a:extLst>
        </xdr:cNvPr>
        <xdr:cNvSpPr>
          <a:spLocks noChangeArrowheads="1"/>
        </xdr:cNvSpPr>
      </xdr:nvSpPr>
      <xdr:spPr bwMode="auto">
        <a:xfrm>
          <a:off x="42100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134</xdr:row>
      <xdr:rowOff>142875</xdr:rowOff>
    </xdr:from>
    <xdr:to>
      <xdr:col>22</xdr:col>
      <xdr:colOff>1</xdr:colOff>
      <xdr:row>135</xdr:row>
      <xdr:rowOff>104775</xdr:rowOff>
    </xdr:to>
    <xdr:sp macro="" textlink="">
      <xdr:nvSpPr>
        <xdr:cNvPr id="249" name="Freeform 10695">
          <a:extLst>
            <a:ext uri="{FF2B5EF4-FFF2-40B4-BE49-F238E27FC236}">
              <a16:creationId xmlns:a16="http://schemas.microsoft.com/office/drawing/2014/main" id="{A25A136D-2FFC-44C0-A5FA-F7852C1CB3C6}"/>
            </a:ext>
          </a:extLst>
        </xdr:cNvPr>
        <xdr:cNvSpPr>
          <a:spLocks/>
        </xdr:cNvSpPr>
      </xdr:nvSpPr>
      <xdr:spPr bwMode="auto">
        <a:xfrm>
          <a:off x="44481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250" name="0/0">
          <a:extLst>
            <a:ext uri="{FF2B5EF4-FFF2-40B4-BE49-F238E27FC236}">
              <a16:creationId xmlns:a16="http://schemas.microsoft.com/office/drawing/2014/main" id="{3D26B1B0-5EAA-4C60-A998-87F72E66C0A5}"/>
            </a:ext>
          </a:extLst>
        </xdr:cNvPr>
        <xdr:cNvSpPr>
          <a:spLocks noChangeArrowheads="1"/>
        </xdr:cNvSpPr>
      </xdr:nvSpPr>
      <xdr:spPr bwMode="auto">
        <a:xfrm>
          <a:off x="52006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134</xdr:row>
      <xdr:rowOff>142875</xdr:rowOff>
    </xdr:from>
    <xdr:to>
      <xdr:col>26</xdr:col>
      <xdr:colOff>1</xdr:colOff>
      <xdr:row>135</xdr:row>
      <xdr:rowOff>104775</xdr:rowOff>
    </xdr:to>
    <xdr:sp macro="" textlink="">
      <xdr:nvSpPr>
        <xdr:cNvPr id="251" name="Freeform 10695">
          <a:extLst>
            <a:ext uri="{FF2B5EF4-FFF2-40B4-BE49-F238E27FC236}">
              <a16:creationId xmlns:a16="http://schemas.microsoft.com/office/drawing/2014/main" id="{D38C0700-FD3C-4EFA-BA14-15C4C05E99C0}"/>
            </a:ext>
          </a:extLst>
        </xdr:cNvPr>
        <xdr:cNvSpPr>
          <a:spLocks/>
        </xdr:cNvSpPr>
      </xdr:nvSpPr>
      <xdr:spPr bwMode="auto">
        <a:xfrm>
          <a:off x="54387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252" name="0/0">
          <a:extLst>
            <a:ext uri="{FF2B5EF4-FFF2-40B4-BE49-F238E27FC236}">
              <a16:creationId xmlns:a16="http://schemas.microsoft.com/office/drawing/2014/main" id="{075866D6-9061-467B-BB9E-F03A3B7EE9E8}"/>
            </a:ext>
          </a:extLst>
        </xdr:cNvPr>
        <xdr:cNvSpPr>
          <a:spLocks noChangeArrowheads="1"/>
        </xdr:cNvSpPr>
      </xdr:nvSpPr>
      <xdr:spPr bwMode="auto">
        <a:xfrm>
          <a:off x="61912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134</xdr:row>
      <xdr:rowOff>142875</xdr:rowOff>
    </xdr:from>
    <xdr:to>
      <xdr:col>30</xdr:col>
      <xdr:colOff>1</xdr:colOff>
      <xdr:row>135</xdr:row>
      <xdr:rowOff>104775</xdr:rowOff>
    </xdr:to>
    <xdr:sp macro="" textlink="">
      <xdr:nvSpPr>
        <xdr:cNvPr id="253" name="Freeform 10695">
          <a:extLst>
            <a:ext uri="{FF2B5EF4-FFF2-40B4-BE49-F238E27FC236}">
              <a16:creationId xmlns:a16="http://schemas.microsoft.com/office/drawing/2014/main" id="{42526CE0-3B39-452F-8599-F45BA6D1A607}"/>
            </a:ext>
          </a:extLst>
        </xdr:cNvPr>
        <xdr:cNvSpPr>
          <a:spLocks/>
        </xdr:cNvSpPr>
      </xdr:nvSpPr>
      <xdr:spPr bwMode="auto">
        <a:xfrm>
          <a:off x="64293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254" name="0/0">
          <a:extLst>
            <a:ext uri="{FF2B5EF4-FFF2-40B4-BE49-F238E27FC236}">
              <a16:creationId xmlns:a16="http://schemas.microsoft.com/office/drawing/2014/main" id="{2C6DB0EB-44A8-4272-A1E3-95F4E75C7FE3}"/>
            </a:ext>
          </a:extLst>
        </xdr:cNvPr>
        <xdr:cNvSpPr>
          <a:spLocks noChangeArrowheads="1"/>
        </xdr:cNvSpPr>
      </xdr:nvSpPr>
      <xdr:spPr bwMode="auto">
        <a:xfrm>
          <a:off x="71818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134</xdr:row>
      <xdr:rowOff>142875</xdr:rowOff>
    </xdr:from>
    <xdr:to>
      <xdr:col>34</xdr:col>
      <xdr:colOff>1</xdr:colOff>
      <xdr:row>135</xdr:row>
      <xdr:rowOff>104775</xdr:rowOff>
    </xdr:to>
    <xdr:sp macro="" textlink="">
      <xdr:nvSpPr>
        <xdr:cNvPr id="255" name="Freeform 10695">
          <a:extLst>
            <a:ext uri="{FF2B5EF4-FFF2-40B4-BE49-F238E27FC236}">
              <a16:creationId xmlns:a16="http://schemas.microsoft.com/office/drawing/2014/main" id="{F184B464-7AEF-4F04-AE15-987B55E7BA33}"/>
            </a:ext>
          </a:extLst>
        </xdr:cNvPr>
        <xdr:cNvSpPr>
          <a:spLocks/>
        </xdr:cNvSpPr>
      </xdr:nvSpPr>
      <xdr:spPr bwMode="auto">
        <a:xfrm>
          <a:off x="74199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256" name="0/0">
          <a:extLst>
            <a:ext uri="{FF2B5EF4-FFF2-40B4-BE49-F238E27FC236}">
              <a16:creationId xmlns:a16="http://schemas.microsoft.com/office/drawing/2014/main" id="{450F2EE0-C2A8-486D-ACC3-8119E3D3707A}"/>
            </a:ext>
          </a:extLst>
        </xdr:cNvPr>
        <xdr:cNvSpPr>
          <a:spLocks noChangeArrowheads="1"/>
        </xdr:cNvSpPr>
      </xdr:nvSpPr>
      <xdr:spPr bwMode="auto">
        <a:xfrm>
          <a:off x="81724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134</xdr:row>
      <xdr:rowOff>142875</xdr:rowOff>
    </xdr:from>
    <xdr:to>
      <xdr:col>38</xdr:col>
      <xdr:colOff>1</xdr:colOff>
      <xdr:row>135</xdr:row>
      <xdr:rowOff>104775</xdr:rowOff>
    </xdr:to>
    <xdr:sp macro="" textlink="">
      <xdr:nvSpPr>
        <xdr:cNvPr id="257" name="Freeform 10695">
          <a:extLst>
            <a:ext uri="{FF2B5EF4-FFF2-40B4-BE49-F238E27FC236}">
              <a16:creationId xmlns:a16="http://schemas.microsoft.com/office/drawing/2014/main" id="{80DC0763-0E80-4702-A883-26033DB3424E}"/>
            </a:ext>
          </a:extLst>
        </xdr:cNvPr>
        <xdr:cNvSpPr>
          <a:spLocks/>
        </xdr:cNvSpPr>
      </xdr:nvSpPr>
      <xdr:spPr bwMode="auto">
        <a:xfrm>
          <a:off x="84105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258" name="0/0">
          <a:extLst>
            <a:ext uri="{FF2B5EF4-FFF2-40B4-BE49-F238E27FC236}">
              <a16:creationId xmlns:a16="http://schemas.microsoft.com/office/drawing/2014/main" id="{529537D5-7049-4E31-8F02-ECC64C11CEFE}"/>
            </a:ext>
          </a:extLst>
        </xdr:cNvPr>
        <xdr:cNvSpPr>
          <a:spLocks noChangeArrowheads="1"/>
        </xdr:cNvSpPr>
      </xdr:nvSpPr>
      <xdr:spPr bwMode="auto">
        <a:xfrm>
          <a:off x="2476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134</xdr:row>
      <xdr:rowOff>142875</xdr:rowOff>
    </xdr:from>
    <xdr:to>
      <xdr:col>6</xdr:col>
      <xdr:colOff>9526</xdr:colOff>
      <xdr:row>135</xdr:row>
      <xdr:rowOff>104775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AF2202AE-4E3C-4DB5-BEAB-5BE9137A522A}"/>
            </a:ext>
          </a:extLst>
        </xdr:cNvPr>
        <xdr:cNvSpPr>
          <a:spLocks/>
        </xdr:cNvSpPr>
      </xdr:nvSpPr>
      <xdr:spPr bwMode="auto">
        <a:xfrm>
          <a:off x="495300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62414A09-444D-4002-A3A2-3A1B69F1EDC8}"/>
            </a:ext>
          </a:extLst>
        </xdr:cNvPr>
        <xdr:cNvSpPr>
          <a:spLocks noChangeArrowheads="1"/>
        </xdr:cNvSpPr>
      </xdr:nvSpPr>
      <xdr:spPr bwMode="auto">
        <a:xfrm>
          <a:off x="91630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134</xdr:row>
      <xdr:rowOff>142875</xdr:rowOff>
    </xdr:from>
    <xdr:to>
      <xdr:col>42</xdr:col>
      <xdr:colOff>1</xdr:colOff>
      <xdr:row>135</xdr:row>
      <xdr:rowOff>104775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B2C86194-36C4-4F32-B677-68E53FB7C995}"/>
            </a:ext>
          </a:extLst>
        </xdr:cNvPr>
        <xdr:cNvSpPr>
          <a:spLocks/>
        </xdr:cNvSpPr>
      </xdr:nvSpPr>
      <xdr:spPr bwMode="auto">
        <a:xfrm>
          <a:off x="94011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F12F6E40-5E33-4C2C-B9D6-C70A4840CE6C}"/>
            </a:ext>
          </a:extLst>
        </xdr:cNvPr>
        <xdr:cNvSpPr>
          <a:spLocks noChangeArrowheads="1"/>
        </xdr:cNvSpPr>
      </xdr:nvSpPr>
      <xdr:spPr bwMode="auto">
        <a:xfrm>
          <a:off x="101536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134</xdr:row>
      <xdr:rowOff>142875</xdr:rowOff>
    </xdr:from>
    <xdr:to>
      <xdr:col>46</xdr:col>
      <xdr:colOff>0</xdr:colOff>
      <xdr:row>135</xdr:row>
      <xdr:rowOff>76200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F456069A-DA32-44F9-8E69-FAA410432172}"/>
            </a:ext>
          </a:extLst>
        </xdr:cNvPr>
        <xdr:cNvSpPr>
          <a:spLocks/>
        </xdr:cNvSpPr>
      </xdr:nvSpPr>
      <xdr:spPr bwMode="auto">
        <a:xfrm>
          <a:off x="10391775" y="25307925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144</xdr:row>
      <xdr:rowOff>171450</xdr:rowOff>
    </xdr:from>
    <xdr:to>
      <xdr:col>7</xdr:col>
      <xdr:colOff>0</xdr:colOff>
      <xdr:row>147</xdr:row>
      <xdr:rowOff>0</xdr:rowOff>
    </xdr:to>
    <xdr:sp macro="" textlink="">
      <xdr:nvSpPr>
        <xdr:cNvPr id="264" name="0/0">
          <a:extLst>
            <a:ext uri="{FF2B5EF4-FFF2-40B4-BE49-F238E27FC236}">
              <a16:creationId xmlns:a16="http://schemas.microsoft.com/office/drawing/2014/main" id="{8DCC0F39-1A73-4147-A01B-09576EF02A24}"/>
            </a:ext>
          </a:extLst>
        </xdr:cNvPr>
        <xdr:cNvSpPr>
          <a:spLocks noChangeArrowheads="1"/>
        </xdr:cNvSpPr>
      </xdr:nvSpPr>
      <xdr:spPr bwMode="auto">
        <a:xfrm>
          <a:off x="12382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144</xdr:row>
      <xdr:rowOff>142875</xdr:rowOff>
    </xdr:from>
    <xdr:to>
      <xdr:col>10</xdr:col>
      <xdr:colOff>9525</xdr:colOff>
      <xdr:row>145</xdr:row>
      <xdr:rowOff>104775</xdr:rowOff>
    </xdr:to>
    <xdr:sp macro="" textlink="">
      <xdr:nvSpPr>
        <xdr:cNvPr id="265" name="Freeform 10695">
          <a:extLst>
            <a:ext uri="{FF2B5EF4-FFF2-40B4-BE49-F238E27FC236}">
              <a16:creationId xmlns:a16="http://schemas.microsoft.com/office/drawing/2014/main" id="{1D4BC1BD-BB99-495B-B552-50A70BD9AC6A}"/>
            </a:ext>
          </a:extLst>
        </xdr:cNvPr>
        <xdr:cNvSpPr>
          <a:spLocks/>
        </xdr:cNvSpPr>
      </xdr:nvSpPr>
      <xdr:spPr bwMode="auto">
        <a:xfrm>
          <a:off x="1485899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144</xdr:row>
      <xdr:rowOff>171450</xdr:rowOff>
    </xdr:from>
    <xdr:to>
      <xdr:col>11</xdr:col>
      <xdr:colOff>0</xdr:colOff>
      <xdr:row>147</xdr:row>
      <xdr:rowOff>0</xdr:rowOff>
    </xdr:to>
    <xdr:sp macro="" textlink="">
      <xdr:nvSpPr>
        <xdr:cNvPr id="266" name="0/0">
          <a:extLst>
            <a:ext uri="{FF2B5EF4-FFF2-40B4-BE49-F238E27FC236}">
              <a16:creationId xmlns:a16="http://schemas.microsoft.com/office/drawing/2014/main" id="{382E445E-0F3D-4CDD-812B-5EDEF7DA75DE}"/>
            </a:ext>
          </a:extLst>
        </xdr:cNvPr>
        <xdr:cNvSpPr>
          <a:spLocks noChangeArrowheads="1"/>
        </xdr:cNvSpPr>
      </xdr:nvSpPr>
      <xdr:spPr bwMode="auto">
        <a:xfrm>
          <a:off x="22288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144</xdr:row>
      <xdr:rowOff>142875</xdr:rowOff>
    </xdr:from>
    <xdr:to>
      <xdr:col>14</xdr:col>
      <xdr:colOff>1</xdr:colOff>
      <xdr:row>145</xdr:row>
      <xdr:rowOff>104775</xdr:rowOff>
    </xdr:to>
    <xdr:sp macro="" textlink="">
      <xdr:nvSpPr>
        <xdr:cNvPr id="267" name="Freeform 10695">
          <a:extLst>
            <a:ext uri="{FF2B5EF4-FFF2-40B4-BE49-F238E27FC236}">
              <a16:creationId xmlns:a16="http://schemas.microsoft.com/office/drawing/2014/main" id="{DDA45F04-C1F1-4857-8398-ED6D1E8CEAFE}"/>
            </a:ext>
          </a:extLst>
        </xdr:cNvPr>
        <xdr:cNvSpPr>
          <a:spLocks/>
        </xdr:cNvSpPr>
      </xdr:nvSpPr>
      <xdr:spPr bwMode="auto">
        <a:xfrm>
          <a:off x="24669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144</xdr:row>
      <xdr:rowOff>171450</xdr:rowOff>
    </xdr:from>
    <xdr:to>
      <xdr:col>15</xdr:col>
      <xdr:colOff>0</xdr:colOff>
      <xdr:row>147</xdr:row>
      <xdr:rowOff>0</xdr:rowOff>
    </xdr:to>
    <xdr:sp macro="" textlink="">
      <xdr:nvSpPr>
        <xdr:cNvPr id="268" name="0/0">
          <a:extLst>
            <a:ext uri="{FF2B5EF4-FFF2-40B4-BE49-F238E27FC236}">
              <a16:creationId xmlns:a16="http://schemas.microsoft.com/office/drawing/2014/main" id="{6A7264F6-DA92-4AE9-949D-535998769257}"/>
            </a:ext>
          </a:extLst>
        </xdr:cNvPr>
        <xdr:cNvSpPr>
          <a:spLocks noChangeArrowheads="1"/>
        </xdr:cNvSpPr>
      </xdr:nvSpPr>
      <xdr:spPr bwMode="auto">
        <a:xfrm>
          <a:off x="32194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144</xdr:row>
      <xdr:rowOff>142875</xdr:rowOff>
    </xdr:from>
    <xdr:to>
      <xdr:col>18</xdr:col>
      <xdr:colOff>1</xdr:colOff>
      <xdr:row>145</xdr:row>
      <xdr:rowOff>104775</xdr:rowOff>
    </xdr:to>
    <xdr:sp macro="" textlink="">
      <xdr:nvSpPr>
        <xdr:cNvPr id="269" name="Freeform 10695">
          <a:extLst>
            <a:ext uri="{FF2B5EF4-FFF2-40B4-BE49-F238E27FC236}">
              <a16:creationId xmlns:a16="http://schemas.microsoft.com/office/drawing/2014/main" id="{256A06B9-7D10-4CB1-9005-F05211C70E6C}"/>
            </a:ext>
          </a:extLst>
        </xdr:cNvPr>
        <xdr:cNvSpPr>
          <a:spLocks/>
        </xdr:cNvSpPr>
      </xdr:nvSpPr>
      <xdr:spPr bwMode="auto">
        <a:xfrm>
          <a:off x="34575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144</xdr:row>
      <xdr:rowOff>171450</xdr:rowOff>
    </xdr:from>
    <xdr:to>
      <xdr:col>19</xdr:col>
      <xdr:colOff>0</xdr:colOff>
      <xdr:row>147</xdr:row>
      <xdr:rowOff>0</xdr:rowOff>
    </xdr:to>
    <xdr:sp macro="" textlink="">
      <xdr:nvSpPr>
        <xdr:cNvPr id="270" name="0/0">
          <a:extLst>
            <a:ext uri="{FF2B5EF4-FFF2-40B4-BE49-F238E27FC236}">
              <a16:creationId xmlns:a16="http://schemas.microsoft.com/office/drawing/2014/main" id="{F3D44AEB-FF43-4FE6-846A-B84E715AD1BF}"/>
            </a:ext>
          </a:extLst>
        </xdr:cNvPr>
        <xdr:cNvSpPr>
          <a:spLocks noChangeArrowheads="1"/>
        </xdr:cNvSpPr>
      </xdr:nvSpPr>
      <xdr:spPr bwMode="auto">
        <a:xfrm>
          <a:off x="42100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144</xdr:row>
      <xdr:rowOff>142875</xdr:rowOff>
    </xdr:from>
    <xdr:to>
      <xdr:col>22</xdr:col>
      <xdr:colOff>1</xdr:colOff>
      <xdr:row>145</xdr:row>
      <xdr:rowOff>104775</xdr:rowOff>
    </xdr:to>
    <xdr:sp macro="" textlink="">
      <xdr:nvSpPr>
        <xdr:cNvPr id="271" name="Freeform 10695">
          <a:extLst>
            <a:ext uri="{FF2B5EF4-FFF2-40B4-BE49-F238E27FC236}">
              <a16:creationId xmlns:a16="http://schemas.microsoft.com/office/drawing/2014/main" id="{666752BD-2F99-4245-815C-DDBB3CD6D27B}"/>
            </a:ext>
          </a:extLst>
        </xdr:cNvPr>
        <xdr:cNvSpPr>
          <a:spLocks/>
        </xdr:cNvSpPr>
      </xdr:nvSpPr>
      <xdr:spPr bwMode="auto">
        <a:xfrm>
          <a:off x="44481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144</xdr:row>
      <xdr:rowOff>171450</xdr:rowOff>
    </xdr:from>
    <xdr:to>
      <xdr:col>23</xdr:col>
      <xdr:colOff>0</xdr:colOff>
      <xdr:row>147</xdr:row>
      <xdr:rowOff>0</xdr:rowOff>
    </xdr:to>
    <xdr:sp macro="" textlink="">
      <xdr:nvSpPr>
        <xdr:cNvPr id="272" name="0/0">
          <a:extLst>
            <a:ext uri="{FF2B5EF4-FFF2-40B4-BE49-F238E27FC236}">
              <a16:creationId xmlns:a16="http://schemas.microsoft.com/office/drawing/2014/main" id="{2D824BF3-DDCA-4841-A11E-E2BA58DF8E0A}"/>
            </a:ext>
          </a:extLst>
        </xdr:cNvPr>
        <xdr:cNvSpPr>
          <a:spLocks noChangeArrowheads="1"/>
        </xdr:cNvSpPr>
      </xdr:nvSpPr>
      <xdr:spPr bwMode="auto">
        <a:xfrm>
          <a:off x="52006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144</xdr:row>
      <xdr:rowOff>142875</xdr:rowOff>
    </xdr:from>
    <xdr:to>
      <xdr:col>26</xdr:col>
      <xdr:colOff>1</xdr:colOff>
      <xdr:row>145</xdr:row>
      <xdr:rowOff>104775</xdr:rowOff>
    </xdr:to>
    <xdr:sp macro="" textlink="">
      <xdr:nvSpPr>
        <xdr:cNvPr id="273" name="Freeform 10695">
          <a:extLst>
            <a:ext uri="{FF2B5EF4-FFF2-40B4-BE49-F238E27FC236}">
              <a16:creationId xmlns:a16="http://schemas.microsoft.com/office/drawing/2014/main" id="{CEDFC178-4A59-4F03-A80C-5CFA8EA30C90}"/>
            </a:ext>
          </a:extLst>
        </xdr:cNvPr>
        <xdr:cNvSpPr>
          <a:spLocks/>
        </xdr:cNvSpPr>
      </xdr:nvSpPr>
      <xdr:spPr bwMode="auto">
        <a:xfrm>
          <a:off x="54387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144</xdr:row>
      <xdr:rowOff>171450</xdr:rowOff>
    </xdr:from>
    <xdr:to>
      <xdr:col>27</xdr:col>
      <xdr:colOff>0</xdr:colOff>
      <xdr:row>147</xdr:row>
      <xdr:rowOff>0</xdr:rowOff>
    </xdr:to>
    <xdr:sp macro="" textlink="">
      <xdr:nvSpPr>
        <xdr:cNvPr id="274" name="0/0">
          <a:extLst>
            <a:ext uri="{FF2B5EF4-FFF2-40B4-BE49-F238E27FC236}">
              <a16:creationId xmlns:a16="http://schemas.microsoft.com/office/drawing/2014/main" id="{C789DA82-598D-4E77-B410-4B02724902F2}"/>
            </a:ext>
          </a:extLst>
        </xdr:cNvPr>
        <xdr:cNvSpPr>
          <a:spLocks noChangeArrowheads="1"/>
        </xdr:cNvSpPr>
      </xdr:nvSpPr>
      <xdr:spPr bwMode="auto">
        <a:xfrm>
          <a:off x="61912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144</xdr:row>
      <xdr:rowOff>142875</xdr:rowOff>
    </xdr:from>
    <xdr:to>
      <xdr:col>30</xdr:col>
      <xdr:colOff>1</xdr:colOff>
      <xdr:row>145</xdr:row>
      <xdr:rowOff>104775</xdr:rowOff>
    </xdr:to>
    <xdr:sp macro="" textlink="">
      <xdr:nvSpPr>
        <xdr:cNvPr id="275" name="Freeform 10695">
          <a:extLst>
            <a:ext uri="{FF2B5EF4-FFF2-40B4-BE49-F238E27FC236}">
              <a16:creationId xmlns:a16="http://schemas.microsoft.com/office/drawing/2014/main" id="{F41FCE87-9508-498C-947D-1A8E6B5035EE}"/>
            </a:ext>
          </a:extLst>
        </xdr:cNvPr>
        <xdr:cNvSpPr>
          <a:spLocks/>
        </xdr:cNvSpPr>
      </xdr:nvSpPr>
      <xdr:spPr bwMode="auto">
        <a:xfrm>
          <a:off x="64293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144</xdr:row>
      <xdr:rowOff>171450</xdr:rowOff>
    </xdr:from>
    <xdr:to>
      <xdr:col>31</xdr:col>
      <xdr:colOff>0</xdr:colOff>
      <xdr:row>147</xdr:row>
      <xdr:rowOff>0</xdr:rowOff>
    </xdr:to>
    <xdr:sp macro="" textlink="">
      <xdr:nvSpPr>
        <xdr:cNvPr id="276" name="0/0">
          <a:extLst>
            <a:ext uri="{FF2B5EF4-FFF2-40B4-BE49-F238E27FC236}">
              <a16:creationId xmlns:a16="http://schemas.microsoft.com/office/drawing/2014/main" id="{4F3C5E68-36FC-4184-A895-B79133916F21}"/>
            </a:ext>
          </a:extLst>
        </xdr:cNvPr>
        <xdr:cNvSpPr>
          <a:spLocks noChangeArrowheads="1"/>
        </xdr:cNvSpPr>
      </xdr:nvSpPr>
      <xdr:spPr bwMode="auto">
        <a:xfrm>
          <a:off x="71818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144</xdr:row>
      <xdr:rowOff>142875</xdr:rowOff>
    </xdr:from>
    <xdr:to>
      <xdr:col>34</xdr:col>
      <xdr:colOff>1</xdr:colOff>
      <xdr:row>145</xdr:row>
      <xdr:rowOff>104775</xdr:rowOff>
    </xdr:to>
    <xdr:sp macro="" textlink="">
      <xdr:nvSpPr>
        <xdr:cNvPr id="277" name="Freeform 10695">
          <a:extLst>
            <a:ext uri="{FF2B5EF4-FFF2-40B4-BE49-F238E27FC236}">
              <a16:creationId xmlns:a16="http://schemas.microsoft.com/office/drawing/2014/main" id="{7F5FECF5-4810-4FE3-99B3-5AB5098BBE78}"/>
            </a:ext>
          </a:extLst>
        </xdr:cNvPr>
        <xdr:cNvSpPr>
          <a:spLocks/>
        </xdr:cNvSpPr>
      </xdr:nvSpPr>
      <xdr:spPr bwMode="auto">
        <a:xfrm>
          <a:off x="74199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144</xdr:row>
      <xdr:rowOff>171450</xdr:rowOff>
    </xdr:from>
    <xdr:to>
      <xdr:col>35</xdr:col>
      <xdr:colOff>0</xdr:colOff>
      <xdr:row>147</xdr:row>
      <xdr:rowOff>0</xdr:rowOff>
    </xdr:to>
    <xdr:sp macro="" textlink="">
      <xdr:nvSpPr>
        <xdr:cNvPr id="278" name="0/0">
          <a:extLst>
            <a:ext uri="{FF2B5EF4-FFF2-40B4-BE49-F238E27FC236}">
              <a16:creationId xmlns:a16="http://schemas.microsoft.com/office/drawing/2014/main" id="{680F529C-0640-4A93-AB2A-B8609ACCBD70}"/>
            </a:ext>
          </a:extLst>
        </xdr:cNvPr>
        <xdr:cNvSpPr>
          <a:spLocks noChangeArrowheads="1"/>
        </xdr:cNvSpPr>
      </xdr:nvSpPr>
      <xdr:spPr bwMode="auto">
        <a:xfrm>
          <a:off x="81724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144</xdr:row>
      <xdr:rowOff>142875</xdr:rowOff>
    </xdr:from>
    <xdr:to>
      <xdr:col>38</xdr:col>
      <xdr:colOff>1</xdr:colOff>
      <xdr:row>145</xdr:row>
      <xdr:rowOff>104775</xdr:rowOff>
    </xdr:to>
    <xdr:sp macro="" textlink="">
      <xdr:nvSpPr>
        <xdr:cNvPr id="279" name="Freeform 10695">
          <a:extLst>
            <a:ext uri="{FF2B5EF4-FFF2-40B4-BE49-F238E27FC236}">
              <a16:creationId xmlns:a16="http://schemas.microsoft.com/office/drawing/2014/main" id="{AE3560C4-4E8B-4A19-B374-2730B23D812B}"/>
            </a:ext>
          </a:extLst>
        </xdr:cNvPr>
        <xdr:cNvSpPr>
          <a:spLocks/>
        </xdr:cNvSpPr>
      </xdr:nvSpPr>
      <xdr:spPr bwMode="auto">
        <a:xfrm>
          <a:off x="84105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144</xdr:row>
      <xdr:rowOff>171450</xdr:rowOff>
    </xdr:from>
    <xdr:to>
      <xdr:col>3</xdr:col>
      <xdr:colOff>0</xdr:colOff>
      <xdr:row>147</xdr:row>
      <xdr:rowOff>0</xdr:rowOff>
    </xdr:to>
    <xdr:sp macro="" textlink="">
      <xdr:nvSpPr>
        <xdr:cNvPr id="280" name="0/0">
          <a:extLst>
            <a:ext uri="{FF2B5EF4-FFF2-40B4-BE49-F238E27FC236}">
              <a16:creationId xmlns:a16="http://schemas.microsoft.com/office/drawing/2014/main" id="{2821EB58-92A7-4CD8-B25B-2E12BBBD16B4}"/>
            </a:ext>
          </a:extLst>
        </xdr:cNvPr>
        <xdr:cNvSpPr>
          <a:spLocks noChangeArrowheads="1"/>
        </xdr:cNvSpPr>
      </xdr:nvSpPr>
      <xdr:spPr bwMode="auto">
        <a:xfrm>
          <a:off x="2476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144</xdr:row>
      <xdr:rowOff>142875</xdr:rowOff>
    </xdr:from>
    <xdr:to>
      <xdr:col>6</xdr:col>
      <xdr:colOff>9526</xdr:colOff>
      <xdr:row>145</xdr:row>
      <xdr:rowOff>104775</xdr:rowOff>
    </xdr:to>
    <xdr:sp macro="" textlink="">
      <xdr:nvSpPr>
        <xdr:cNvPr id="281" name="Freeform 10695">
          <a:extLst>
            <a:ext uri="{FF2B5EF4-FFF2-40B4-BE49-F238E27FC236}">
              <a16:creationId xmlns:a16="http://schemas.microsoft.com/office/drawing/2014/main" id="{632A1F44-379B-4928-9E67-36C88211D244}"/>
            </a:ext>
          </a:extLst>
        </xdr:cNvPr>
        <xdr:cNvSpPr>
          <a:spLocks/>
        </xdr:cNvSpPr>
      </xdr:nvSpPr>
      <xdr:spPr bwMode="auto">
        <a:xfrm>
          <a:off x="495300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144</xdr:row>
      <xdr:rowOff>171450</xdr:rowOff>
    </xdr:from>
    <xdr:to>
      <xdr:col>39</xdr:col>
      <xdr:colOff>0</xdr:colOff>
      <xdr:row>147</xdr:row>
      <xdr:rowOff>0</xdr:rowOff>
    </xdr:to>
    <xdr:sp macro="" textlink="">
      <xdr:nvSpPr>
        <xdr:cNvPr id="282" name="0/0">
          <a:extLst>
            <a:ext uri="{FF2B5EF4-FFF2-40B4-BE49-F238E27FC236}">
              <a16:creationId xmlns:a16="http://schemas.microsoft.com/office/drawing/2014/main" id="{3CFDA1DF-C348-4980-A1C7-787BFE31EC10}"/>
            </a:ext>
          </a:extLst>
        </xdr:cNvPr>
        <xdr:cNvSpPr>
          <a:spLocks noChangeArrowheads="1"/>
        </xdr:cNvSpPr>
      </xdr:nvSpPr>
      <xdr:spPr bwMode="auto">
        <a:xfrm>
          <a:off x="91630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144</xdr:row>
      <xdr:rowOff>142875</xdr:rowOff>
    </xdr:from>
    <xdr:to>
      <xdr:col>42</xdr:col>
      <xdr:colOff>1</xdr:colOff>
      <xdr:row>145</xdr:row>
      <xdr:rowOff>104775</xdr:rowOff>
    </xdr:to>
    <xdr:sp macro="" textlink="">
      <xdr:nvSpPr>
        <xdr:cNvPr id="283" name="Freeform 10695">
          <a:extLst>
            <a:ext uri="{FF2B5EF4-FFF2-40B4-BE49-F238E27FC236}">
              <a16:creationId xmlns:a16="http://schemas.microsoft.com/office/drawing/2014/main" id="{81A73BBE-53FB-4CA4-957C-9C00CC56EFC5}"/>
            </a:ext>
          </a:extLst>
        </xdr:cNvPr>
        <xdr:cNvSpPr>
          <a:spLocks/>
        </xdr:cNvSpPr>
      </xdr:nvSpPr>
      <xdr:spPr bwMode="auto">
        <a:xfrm>
          <a:off x="94011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144</xdr:row>
      <xdr:rowOff>171450</xdr:rowOff>
    </xdr:from>
    <xdr:to>
      <xdr:col>43</xdr:col>
      <xdr:colOff>0</xdr:colOff>
      <xdr:row>147</xdr:row>
      <xdr:rowOff>0</xdr:rowOff>
    </xdr:to>
    <xdr:sp macro="" textlink="">
      <xdr:nvSpPr>
        <xdr:cNvPr id="284" name="0/0">
          <a:extLst>
            <a:ext uri="{FF2B5EF4-FFF2-40B4-BE49-F238E27FC236}">
              <a16:creationId xmlns:a16="http://schemas.microsoft.com/office/drawing/2014/main" id="{E6AFAA98-9C71-407A-ADC4-6FABC8F10381}"/>
            </a:ext>
          </a:extLst>
        </xdr:cNvPr>
        <xdr:cNvSpPr>
          <a:spLocks noChangeArrowheads="1"/>
        </xdr:cNvSpPr>
      </xdr:nvSpPr>
      <xdr:spPr bwMode="auto">
        <a:xfrm>
          <a:off x="101536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144</xdr:row>
      <xdr:rowOff>171449</xdr:rowOff>
    </xdr:from>
    <xdr:to>
      <xdr:col>45</xdr:col>
      <xdr:colOff>238125</xdr:colOff>
      <xdr:row>145</xdr:row>
      <xdr:rowOff>104774</xdr:rowOff>
    </xdr:to>
    <xdr:sp macro="" textlink="">
      <xdr:nvSpPr>
        <xdr:cNvPr id="285" name="Freeform 10695">
          <a:extLst>
            <a:ext uri="{FF2B5EF4-FFF2-40B4-BE49-F238E27FC236}">
              <a16:creationId xmlns:a16="http://schemas.microsoft.com/office/drawing/2014/main" id="{DBF3837B-2400-4A52-95ED-CE595607D85D}"/>
            </a:ext>
          </a:extLst>
        </xdr:cNvPr>
        <xdr:cNvSpPr>
          <a:spLocks/>
        </xdr:cNvSpPr>
      </xdr:nvSpPr>
      <xdr:spPr bwMode="auto">
        <a:xfrm>
          <a:off x="10391775" y="27184349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154</xdr:row>
      <xdr:rowOff>171450</xdr:rowOff>
    </xdr:from>
    <xdr:to>
      <xdr:col>7</xdr:col>
      <xdr:colOff>0</xdr:colOff>
      <xdr:row>157</xdr:row>
      <xdr:rowOff>0</xdr:rowOff>
    </xdr:to>
    <xdr:sp macro="" textlink="">
      <xdr:nvSpPr>
        <xdr:cNvPr id="286" name="0/0">
          <a:extLst>
            <a:ext uri="{FF2B5EF4-FFF2-40B4-BE49-F238E27FC236}">
              <a16:creationId xmlns:a16="http://schemas.microsoft.com/office/drawing/2014/main" id="{43589794-B855-4C4D-85DF-7B492F9C62FC}"/>
            </a:ext>
          </a:extLst>
        </xdr:cNvPr>
        <xdr:cNvSpPr>
          <a:spLocks noChangeArrowheads="1"/>
        </xdr:cNvSpPr>
      </xdr:nvSpPr>
      <xdr:spPr bwMode="auto">
        <a:xfrm>
          <a:off x="12382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154</xdr:row>
      <xdr:rowOff>142875</xdr:rowOff>
    </xdr:from>
    <xdr:to>
      <xdr:col>10</xdr:col>
      <xdr:colOff>9525</xdr:colOff>
      <xdr:row>155</xdr:row>
      <xdr:rowOff>104775</xdr:rowOff>
    </xdr:to>
    <xdr:sp macro="" textlink="">
      <xdr:nvSpPr>
        <xdr:cNvPr id="287" name="Freeform 10695">
          <a:extLst>
            <a:ext uri="{FF2B5EF4-FFF2-40B4-BE49-F238E27FC236}">
              <a16:creationId xmlns:a16="http://schemas.microsoft.com/office/drawing/2014/main" id="{A0116CC2-3CA3-45DD-8413-E6292F86D966}"/>
            </a:ext>
          </a:extLst>
        </xdr:cNvPr>
        <xdr:cNvSpPr>
          <a:spLocks/>
        </xdr:cNvSpPr>
      </xdr:nvSpPr>
      <xdr:spPr bwMode="auto">
        <a:xfrm>
          <a:off x="1485899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154</xdr:row>
      <xdr:rowOff>171450</xdr:rowOff>
    </xdr:from>
    <xdr:to>
      <xdr:col>11</xdr:col>
      <xdr:colOff>0</xdr:colOff>
      <xdr:row>157</xdr:row>
      <xdr:rowOff>0</xdr:rowOff>
    </xdr:to>
    <xdr:sp macro="" textlink="">
      <xdr:nvSpPr>
        <xdr:cNvPr id="288" name="0/0">
          <a:extLst>
            <a:ext uri="{FF2B5EF4-FFF2-40B4-BE49-F238E27FC236}">
              <a16:creationId xmlns:a16="http://schemas.microsoft.com/office/drawing/2014/main" id="{8395DC5E-1D18-434A-AB64-F23E2BA4A849}"/>
            </a:ext>
          </a:extLst>
        </xdr:cNvPr>
        <xdr:cNvSpPr>
          <a:spLocks noChangeArrowheads="1"/>
        </xdr:cNvSpPr>
      </xdr:nvSpPr>
      <xdr:spPr bwMode="auto">
        <a:xfrm>
          <a:off x="22288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154</xdr:row>
      <xdr:rowOff>142875</xdr:rowOff>
    </xdr:from>
    <xdr:to>
      <xdr:col>14</xdr:col>
      <xdr:colOff>1</xdr:colOff>
      <xdr:row>155</xdr:row>
      <xdr:rowOff>104775</xdr:rowOff>
    </xdr:to>
    <xdr:sp macro="" textlink="">
      <xdr:nvSpPr>
        <xdr:cNvPr id="289" name="Freeform 10695">
          <a:extLst>
            <a:ext uri="{FF2B5EF4-FFF2-40B4-BE49-F238E27FC236}">
              <a16:creationId xmlns:a16="http://schemas.microsoft.com/office/drawing/2014/main" id="{B20D0B40-74A1-4FE2-830D-FDB016F62E0A}"/>
            </a:ext>
          </a:extLst>
        </xdr:cNvPr>
        <xdr:cNvSpPr>
          <a:spLocks/>
        </xdr:cNvSpPr>
      </xdr:nvSpPr>
      <xdr:spPr bwMode="auto">
        <a:xfrm>
          <a:off x="24669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154</xdr:row>
      <xdr:rowOff>171450</xdr:rowOff>
    </xdr:from>
    <xdr:to>
      <xdr:col>15</xdr:col>
      <xdr:colOff>0</xdr:colOff>
      <xdr:row>157</xdr:row>
      <xdr:rowOff>0</xdr:rowOff>
    </xdr:to>
    <xdr:sp macro="" textlink="">
      <xdr:nvSpPr>
        <xdr:cNvPr id="290" name="0/0">
          <a:extLst>
            <a:ext uri="{FF2B5EF4-FFF2-40B4-BE49-F238E27FC236}">
              <a16:creationId xmlns:a16="http://schemas.microsoft.com/office/drawing/2014/main" id="{73148E4A-500A-44D6-88EC-17BBA702055F}"/>
            </a:ext>
          </a:extLst>
        </xdr:cNvPr>
        <xdr:cNvSpPr>
          <a:spLocks noChangeArrowheads="1"/>
        </xdr:cNvSpPr>
      </xdr:nvSpPr>
      <xdr:spPr bwMode="auto">
        <a:xfrm>
          <a:off x="32194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154</xdr:row>
      <xdr:rowOff>142875</xdr:rowOff>
    </xdr:from>
    <xdr:to>
      <xdr:col>18</xdr:col>
      <xdr:colOff>1</xdr:colOff>
      <xdr:row>155</xdr:row>
      <xdr:rowOff>104775</xdr:rowOff>
    </xdr:to>
    <xdr:sp macro="" textlink="">
      <xdr:nvSpPr>
        <xdr:cNvPr id="291" name="Freeform 10695">
          <a:extLst>
            <a:ext uri="{FF2B5EF4-FFF2-40B4-BE49-F238E27FC236}">
              <a16:creationId xmlns:a16="http://schemas.microsoft.com/office/drawing/2014/main" id="{E635ADB5-8ED9-41F5-B34E-9CEF68EBCA44}"/>
            </a:ext>
          </a:extLst>
        </xdr:cNvPr>
        <xdr:cNvSpPr>
          <a:spLocks/>
        </xdr:cNvSpPr>
      </xdr:nvSpPr>
      <xdr:spPr bwMode="auto">
        <a:xfrm>
          <a:off x="34575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154</xdr:row>
      <xdr:rowOff>171450</xdr:rowOff>
    </xdr:from>
    <xdr:to>
      <xdr:col>19</xdr:col>
      <xdr:colOff>0</xdr:colOff>
      <xdr:row>157</xdr:row>
      <xdr:rowOff>0</xdr:rowOff>
    </xdr:to>
    <xdr:sp macro="" textlink="">
      <xdr:nvSpPr>
        <xdr:cNvPr id="292" name="0/0">
          <a:extLst>
            <a:ext uri="{FF2B5EF4-FFF2-40B4-BE49-F238E27FC236}">
              <a16:creationId xmlns:a16="http://schemas.microsoft.com/office/drawing/2014/main" id="{42F78612-62BB-460F-98E3-4EF3CD2F01A2}"/>
            </a:ext>
          </a:extLst>
        </xdr:cNvPr>
        <xdr:cNvSpPr>
          <a:spLocks noChangeArrowheads="1"/>
        </xdr:cNvSpPr>
      </xdr:nvSpPr>
      <xdr:spPr bwMode="auto">
        <a:xfrm>
          <a:off x="42100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154</xdr:row>
      <xdr:rowOff>142875</xdr:rowOff>
    </xdr:from>
    <xdr:to>
      <xdr:col>22</xdr:col>
      <xdr:colOff>1</xdr:colOff>
      <xdr:row>155</xdr:row>
      <xdr:rowOff>104775</xdr:rowOff>
    </xdr:to>
    <xdr:sp macro="" textlink="">
      <xdr:nvSpPr>
        <xdr:cNvPr id="293" name="Freeform 10695">
          <a:extLst>
            <a:ext uri="{FF2B5EF4-FFF2-40B4-BE49-F238E27FC236}">
              <a16:creationId xmlns:a16="http://schemas.microsoft.com/office/drawing/2014/main" id="{C76A8910-7EE9-40CF-AF03-804CAA3EE167}"/>
            </a:ext>
          </a:extLst>
        </xdr:cNvPr>
        <xdr:cNvSpPr>
          <a:spLocks/>
        </xdr:cNvSpPr>
      </xdr:nvSpPr>
      <xdr:spPr bwMode="auto">
        <a:xfrm>
          <a:off x="44481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154</xdr:row>
      <xdr:rowOff>171450</xdr:rowOff>
    </xdr:from>
    <xdr:to>
      <xdr:col>23</xdr:col>
      <xdr:colOff>0</xdr:colOff>
      <xdr:row>157</xdr:row>
      <xdr:rowOff>0</xdr:rowOff>
    </xdr:to>
    <xdr:sp macro="" textlink="">
      <xdr:nvSpPr>
        <xdr:cNvPr id="294" name="0/0">
          <a:extLst>
            <a:ext uri="{FF2B5EF4-FFF2-40B4-BE49-F238E27FC236}">
              <a16:creationId xmlns:a16="http://schemas.microsoft.com/office/drawing/2014/main" id="{884227FE-BC72-40F5-BD2D-08759396381F}"/>
            </a:ext>
          </a:extLst>
        </xdr:cNvPr>
        <xdr:cNvSpPr>
          <a:spLocks noChangeArrowheads="1"/>
        </xdr:cNvSpPr>
      </xdr:nvSpPr>
      <xdr:spPr bwMode="auto">
        <a:xfrm>
          <a:off x="52006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154</xdr:row>
      <xdr:rowOff>142875</xdr:rowOff>
    </xdr:from>
    <xdr:to>
      <xdr:col>26</xdr:col>
      <xdr:colOff>1</xdr:colOff>
      <xdr:row>155</xdr:row>
      <xdr:rowOff>104775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70344291-49F0-44BB-A47C-C2ADEEB15DCC}"/>
            </a:ext>
          </a:extLst>
        </xdr:cNvPr>
        <xdr:cNvSpPr>
          <a:spLocks/>
        </xdr:cNvSpPr>
      </xdr:nvSpPr>
      <xdr:spPr bwMode="auto">
        <a:xfrm>
          <a:off x="54387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154</xdr:row>
      <xdr:rowOff>171450</xdr:rowOff>
    </xdr:from>
    <xdr:to>
      <xdr:col>27</xdr:col>
      <xdr:colOff>0</xdr:colOff>
      <xdr:row>157</xdr:row>
      <xdr:rowOff>0</xdr:rowOff>
    </xdr:to>
    <xdr:sp macro="" textlink="">
      <xdr:nvSpPr>
        <xdr:cNvPr id="296" name="0/0">
          <a:extLst>
            <a:ext uri="{FF2B5EF4-FFF2-40B4-BE49-F238E27FC236}">
              <a16:creationId xmlns:a16="http://schemas.microsoft.com/office/drawing/2014/main" id="{D7700A29-D6D9-47FF-9CCA-888B15298A17}"/>
            </a:ext>
          </a:extLst>
        </xdr:cNvPr>
        <xdr:cNvSpPr>
          <a:spLocks noChangeArrowheads="1"/>
        </xdr:cNvSpPr>
      </xdr:nvSpPr>
      <xdr:spPr bwMode="auto">
        <a:xfrm>
          <a:off x="61912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154</xdr:row>
      <xdr:rowOff>142875</xdr:rowOff>
    </xdr:from>
    <xdr:to>
      <xdr:col>30</xdr:col>
      <xdr:colOff>1</xdr:colOff>
      <xdr:row>155</xdr:row>
      <xdr:rowOff>104775</xdr:rowOff>
    </xdr:to>
    <xdr:sp macro="" textlink="">
      <xdr:nvSpPr>
        <xdr:cNvPr id="297" name="Freeform 10695">
          <a:extLst>
            <a:ext uri="{FF2B5EF4-FFF2-40B4-BE49-F238E27FC236}">
              <a16:creationId xmlns:a16="http://schemas.microsoft.com/office/drawing/2014/main" id="{577CFAB6-26DA-462A-B9D1-B49FB998E542}"/>
            </a:ext>
          </a:extLst>
        </xdr:cNvPr>
        <xdr:cNvSpPr>
          <a:spLocks/>
        </xdr:cNvSpPr>
      </xdr:nvSpPr>
      <xdr:spPr bwMode="auto">
        <a:xfrm>
          <a:off x="64293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154</xdr:row>
      <xdr:rowOff>171450</xdr:rowOff>
    </xdr:from>
    <xdr:to>
      <xdr:col>31</xdr:col>
      <xdr:colOff>0</xdr:colOff>
      <xdr:row>157</xdr:row>
      <xdr:rowOff>0</xdr:rowOff>
    </xdr:to>
    <xdr:sp macro="" textlink="">
      <xdr:nvSpPr>
        <xdr:cNvPr id="298" name="0/0">
          <a:extLst>
            <a:ext uri="{FF2B5EF4-FFF2-40B4-BE49-F238E27FC236}">
              <a16:creationId xmlns:a16="http://schemas.microsoft.com/office/drawing/2014/main" id="{79F1C816-2632-4558-B6F0-F1889E149409}"/>
            </a:ext>
          </a:extLst>
        </xdr:cNvPr>
        <xdr:cNvSpPr>
          <a:spLocks noChangeArrowheads="1"/>
        </xdr:cNvSpPr>
      </xdr:nvSpPr>
      <xdr:spPr bwMode="auto">
        <a:xfrm>
          <a:off x="71818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154</xdr:row>
      <xdr:rowOff>142875</xdr:rowOff>
    </xdr:from>
    <xdr:to>
      <xdr:col>34</xdr:col>
      <xdr:colOff>1</xdr:colOff>
      <xdr:row>155</xdr:row>
      <xdr:rowOff>104775</xdr:rowOff>
    </xdr:to>
    <xdr:sp macro="" textlink="">
      <xdr:nvSpPr>
        <xdr:cNvPr id="299" name="Freeform 10695">
          <a:extLst>
            <a:ext uri="{FF2B5EF4-FFF2-40B4-BE49-F238E27FC236}">
              <a16:creationId xmlns:a16="http://schemas.microsoft.com/office/drawing/2014/main" id="{7E3F5775-AD2F-4251-9308-6711C94F1575}"/>
            </a:ext>
          </a:extLst>
        </xdr:cNvPr>
        <xdr:cNvSpPr>
          <a:spLocks/>
        </xdr:cNvSpPr>
      </xdr:nvSpPr>
      <xdr:spPr bwMode="auto">
        <a:xfrm>
          <a:off x="74199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154</xdr:row>
      <xdr:rowOff>171450</xdr:rowOff>
    </xdr:from>
    <xdr:to>
      <xdr:col>35</xdr:col>
      <xdr:colOff>0</xdr:colOff>
      <xdr:row>157</xdr:row>
      <xdr:rowOff>0</xdr:rowOff>
    </xdr:to>
    <xdr:sp macro="" textlink="">
      <xdr:nvSpPr>
        <xdr:cNvPr id="300" name="0/0">
          <a:extLst>
            <a:ext uri="{FF2B5EF4-FFF2-40B4-BE49-F238E27FC236}">
              <a16:creationId xmlns:a16="http://schemas.microsoft.com/office/drawing/2014/main" id="{1B4C26B1-B3F0-47F5-B21F-02BFB39EBDD3}"/>
            </a:ext>
          </a:extLst>
        </xdr:cNvPr>
        <xdr:cNvSpPr>
          <a:spLocks noChangeArrowheads="1"/>
        </xdr:cNvSpPr>
      </xdr:nvSpPr>
      <xdr:spPr bwMode="auto">
        <a:xfrm>
          <a:off x="81724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154</xdr:row>
      <xdr:rowOff>142875</xdr:rowOff>
    </xdr:from>
    <xdr:to>
      <xdr:col>38</xdr:col>
      <xdr:colOff>1</xdr:colOff>
      <xdr:row>155</xdr:row>
      <xdr:rowOff>104775</xdr:rowOff>
    </xdr:to>
    <xdr:sp macro="" textlink="">
      <xdr:nvSpPr>
        <xdr:cNvPr id="301" name="Freeform 10695">
          <a:extLst>
            <a:ext uri="{FF2B5EF4-FFF2-40B4-BE49-F238E27FC236}">
              <a16:creationId xmlns:a16="http://schemas.microsoft.com/office/drawing/2014/main" id="{0DBFF382-CE66-499E-B5C3-B1BEAE78FFAD}"/>
            </a:ext>
          </a:extLst>
        </xdr:cNvPr>
        <xdr:cNvSpPr>
          <a:spLocks/>
        </xdr:cNvSpPr>
      </xdr:nvSpPr>
      <xdr:spPr bwMode="auto">
        <a:xfrm>
          <a:off x="84105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154</xdr:row>
      <xdr:rowOff>171450</xdr:rowOff>
    </xdr:from>
    <xdr:to>
      <xdr:col>3</xdr:col>
      <xdr:colOff>0</xdr:colOff>
      <xdr:row>157</xdr:row>
      <xdr:rowOff>0</xdr:rowOff>
    </xdr:to>
    <xdr:sp macro="" textlink="">
      <xdr:nvSpPr>
        <xdr:cNvPr id="302" name="0/0">
          <a:extLst>
            <a:ext uri="{FF2B5EF4-FFF2-40B4-BE49-F238E27FC236}">
              <a16:creationId xmlns:a16="http://schemas.microsoft.com/office/drawing/2014/main" id="{BAA7CD17-B2AA-4BDD-AF43-D9824E7A6047}"/>
            </a:ext>
          </a:extLst>
        </xdr:cNvPr>
        <xdr:cNvSpPr>
          <a:spLocks noChangeArrowheads="1"/>
        </xdr:cNvSpPr>
      </xdr:nvSpPr>
      <xdr:spPr bwMode="auto">
        <a:xfrm>
          <a:off x="2476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154</xdr:row>
      <xdr:rowOff>142875</xdr:rowOff>
    </xdr:from>
    <xdr:to>
      <xdr:col>6</xdr:col>
      <xdr:colOff>9526</xdr:colOff>
      <xdr:row>155</xdr:row>
      <xdr:rowOff>104775</xdr:rowOff>
    </xdr:to>
    <xdr:sp macro="" textlink="">
      <xdr:nvSpPr>
        <xdr:cNvPr id="303" name="Freeform 10695">
          <a:extLst>
            <a:ext uri="{FF2B5EF4-FFF2-40B4-BE49-F238E27FC236}">
              <a16:creationId xmlns:a16="http://schemas.microsoft.com/office/drawing/2014/main" id="{FF3ED2EE-AFDE-472D-9C2D-713851393068}"/>
            </a:ext>
          </a:extLst>
        </xdr:cNvPr>
        <xdr:cNvSpPr>
          <a:spLocks/>
        </xdr:cNvSpPr>
      </xdr:nvSpPr>
      <xdr:spPr bwMode="auto">
        <a:xfrm>
          <a:off x="495300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154</xdr:row>
      <xdr:rowOff>171450</xdr:rowOff>
    </xdr:from>
    <xdr:to>
      <xdr:col>39</xdr:col>
      <xdr:colOff>0</xdr:colOff>
      <xdr:row>157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D14F0E0F-7937-47E6-BDBD-C83DC7F902ED}"/>
            </a:ext>
          </a:extLst>
        </xdr:cNvPr>
        <xdr:cNvSpPr>
          <a:spLocks noChangeArrowheads="1"/>
        </xdr:cNvSpPr>
      </xdr:nvSpPr>
      <xdr:spPr bwMode="auto">
        <a:xfrm>
          <a:off x="91630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154</xdr:row>
      <xdr:rowOff>142875</xdr:rowOff>
    </xdr:from>
    <xdr:to>
      <xdr:col>42</xdr:col>
      <xdr:colOff>1</xdr:colOff>
      <xdr:row>155</xdr:row>
      <xdr:rowOff>104775</xdr:rowOff>
    </xdr:to>
    <xdr:sp macro="" textlink="">
      <xdr:nvSpPr>
        <xdr:cNvPr id="305" name="Freeform 10695">
          <a:extLst>
            <a:ext uri="{FF2B5EF4-FFF2-40B4-BE49-F238E27FC236}">
              <a16:creationId xmlns:a16="http://schemas.microsoft.com/office/drawing/2014/main" id="{0EB73DD4-1A64-4E01-90E8-C0108B516886}"/>
            </a:ext>
          </a:extLst>
        </xdr:cNvPr>
        <xdr:cNvSpPr>
          <a:spLocks/>
        </xdr:cNvSpPr>
      </xdr:nvSpPr>
      <xdr:spPr bwMode="auto">
        <a:xfrm>
          <a:off x="94011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154</xdr:row>
      <xdr:rowOff>171450</xdr:rowOff>
    </xdr:from>
    <xdr:to>
      <xdr:col>43</xdr:col>
      <xdr:colOff>0</xdr:colOff>
      <xdr:row>157</xdr:row>
      <xdr:rowOff>0</xdr:rowOff>
    </xdr:to>
    <xdr:sp macro="" textlink="">
      <xdr:nvSpPr>
        <xdr:cNvPr id="306" name="0/0">
          <a:extLst>
            <a:ext uri="{FF2B5EF4-FFF2-40B4-BE49-F238E27FC236}">
              <a16:creationId xmlns:a16="http://schemas.microsoft.com/office/drawing/2014/main" id="{A5E0D17C-02F8-4E25-976C-AA10423E7C1A}"/>
            </a:ext>
          </a:extLst>
        </xdr:cNvPr>
        <xdr:cNvSpPr>
          <a:spLocks noChangeArrowheads="1"/>
        </xdr:cNvSpPr>
      </xdr:nvSpPr>
      <xdr:spPr bwMode="auto">
        <a:xfrm>
          <a:off x="101536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154</xdr:row>
      <xdr:rowOff>142875</xdr:rowOff>
    </xdr:from>
    <xdr:to>
      <xdr:col>45</xdr:col>
      <xdr:colOff>238125</xdr:colOff>
      <xdr:row>155</xdr:row>
      <xdr:rowOff>123825</xdr:rowOff>
    </xdr:to>
    <xdr:sp macro="" textlink="">
      <xdr:nvSpPr>
        <xdr:cNvPr id="307" name="Freeform 10695">
          <a:extLst>
            <a:ext uri="{FF2B5EF4-FFF2-40B4-BE49-F238E27FC236}">
              <a16:creationId xmlns:a16="http://schemas.microsoft.com/office/drawing/2014/main" id="{9F3B711D-5485-40D8-99E3-693933E919D3}"/>
            </a:ext>
          </a:extLst>
        </xdr:cNvPr>
        <xdr:cNvSpPr>
          <a:spLocks/>
        </xdr:cNvSpPr>
      </xdr:nvSpPr>
      <xdr:spPr bwMode="auto">
        <a:xfrm>
          <a:off x="10391775" y="29003625"/>
          <a:ext cx="990600" cy="1714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164</xdr:row>
      <xdr:rowOff>171450</xdr:rowOff>
    </xdr:from>
    <xdr:to>
      <xdr:col>7</xdr:col>
      <xdr:colOff>0</xdr:colOff>
      <xdr:row>167</xdr:row>
      <xdr:rowOff>0</xdr:rowOff>
    </xdr:to>
    <xdr:sp macro="" textlink="">
      <xdr:nvSpPr>
        <xdr:cNvPr id="308" name="0/0">
          <a:extLst>
            <a:ext uri="{FF2B5EF4-FFF2-40B4-BE49-F238E27FC236}">
              <a16:creationId xmlns:a16="http://schemas.microsoft.com/office/drawing/2014/main" id="{9B06AEBF-CE8A-4A70-B592-2977783DFCAA}"/>
            </a:ext>
          </a:extLst>
        </xdr:cNvPr>
        <xdr:cNvSpPr>
          <a:spLocks noChangeArrowheads="1"/>
        </xdr:cNvSpPr>
      </xdr:nvSpPr>
      <xdr:spPr bwMode="auto">
        <a:xfrm>
          <a:off x="12382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164</xdr:row>
      <xdr:rowOff>142875</xdr:rowOff>
    </xdr:from>
    <xdr:to>
      <xdr:col>10</xdr:col>
      <xdr:colOff>9525</xdr:colOff>
      <xdr:row>165</xdr:row>
      <xdr:rowOff>104775</xdr:rowOff>
    </xdr:to>
    <xdr:sp macro="" textlink="">
      <xdr:nvSpPr>
        <xdr:cNvPr id="309" name="Freeform 10695">
          <a:extLst>
            <a:ext uri="{FF2B5EF4-FFF2-40B4-BE49-F238E27FC236}">
              <a16:creationId xmlns:a16="http://schemas.microsoft.com/office/drawing/2014/main" id="{209DE8B5-E1FB-47C4-9883-081E2B26A253}"/>
            </a:ext>
          </a:extLst>
        </xdr:cNvPr>
        <xdr:cNvSpPr>
          <a:spLocks/>
        </xdr:cNvSpPr>
      </xdr:nvSpPr>
      <xdr:spPr bwMode="auto">
        <a:xfrm>
          <a:off x="1485899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164</xdr:row>
      <xdr:rowOff>171450</xdr:rowOff>
    </xdr:from>
    <xdr:to>
      <xdr:col>11</xdr:col>
      <xdr:colOff>0</xdr:colOff>
      <xdr:row>167</xdr:row>
      <xdr:rowOff>0</xdr:rowOff>
    </xdr:to>
    <xdr:sp macro="" textlink="">
      <xdr:nvSpPr>
        <xdr:cNvPr id="310" name="0/0">
          <a:extLst>
            <a:ext uri="{FF2B5EF4-FFF2-40B4-BE49-F238E27FC236}">
              <a16:creationId xmlns:a16="http://schemas.microsoft.com/office/drawing/2014/main" id="{D4395828-5083-4220-A915-3462F0E1657F}"/>
            </a:ext>
          </a:extLst>
        </xdr:cNvPr>
        <xdr:cNvSpPr>
          <a:spLocks noChangeArrowheads="1"/>
        </xdr:cNvSpPr>
      </xdr:nvSpPr>
      <xdr:spPr bwMode="auto">
        <a:xfrm>
          <a:off x="22288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164</xdr:row>
      <xdr:rowOff>142875</xdr:rowOff>
    </xdr:from>
    <xdr:to>
      <xdr:col>14</xdr:col>
      <xdr:colOff>1</xdr:colOff>
      <xdr:row>165</xdr:row>
      <xdr:rowOff>104775</xdr:rowOff>
    </xdr:to>
    <xdr:sp macro="" textlink="">
      <xdr:nvSpPr>
        <xdr:cNvPr id="311" name="Freeform 10695">
          <a:extLst>
            <a:ext uri="{FF2B5EF4-FFF2-40B4-BE49-F238E27FC236}">
              <a16:creationId xmlns:a16="http://schemas.microsoft.com/office/drawing/2014/main" id="{57A56573-787E-41B9-9687-41B684C5519A}"/>
            </a:ext>
          </a:extLst>
        </xdr:cNvPr>
        <xdr:cNvSpPr>
          <a:spLocks/>
        </xdr:cNvSpPr>
      </xdr:nvSpPr>
      <xdr:spPr bwMode="auto">
        <a:xfrm>
          <a:off x="24669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164</xdr:row>
      <xdr:rowOff>171450</xdr:rowOff>
    </xdr:from>
    <xdr:to>
      <xdr:col>15</xdr:col>
      <xdr:colOff>0</xdr:colOff>
      <xdr:row>167</xdr:row>
      <xdr:rowOff>0</xdr:rowOff>
    </xdr:to>
    <xdr:sp macro="" textlink="">
      <xdr:nvSpPr>
        <xdr:cNvPr id="312" name="0/0">
          <a:extLst>
            <a:ext uri="{FF2B5EF4-FFF2-40B4-BE49-F238E27FC236}">
              <a16:creationId xmlns:a16="http://schemas.microsoft.com/office/drawing/2014/main" id="{602255E9-7D34-4988-90AD-80FD9AB42916}"/>
            </a:ext>
          </a:extLst>
        </xdr:cNvPr>
        <xdr:cNvSpPr>
          <a:spLocks noChangeArrowheads="1"/>
        </xdr:cNvSpPr>
      </xdr:nvSpPr>
      <xdr:spPr bwMode="auto">
        <a:xfrm>
          <a:off x="32194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164</xdr:row>
      <xdr:rowOff>142875</xdr:rowOff>
    </xdr:from>
    <xdr:to>
      <xdr:col>18</xdr:col>
      <xdr:colOff>1</xdr:colOff>
      <xdr:row>165</xdr:row>
      <xdr:rowOff>104775</xdr:rowOff>
    </xdr:to>
    <xdr:sp macro="" textlink="">
      <xdr:nvSpPr>
        <xdr:cNvPr id="313" name="Freeform 10695">
          <a:extLst>
            <a:ext uri="{FF2B5EF4-FFF2-40B4-BE49-F238E27FC236}">
              <a16:creationId xmlns:a16="http://schemas.microsoft.com/office/drawing/2014/main" id="{E4088562-69CA-4CB5-8440-6D2979DF17F8}"/>
            </a:ext>
          </a:extLst>
        </xdr:cNvPr>
        <xdr:cNvSpPr>
          <a:spLocks/>
        </xdr:cNvSpPr>
      </xdr:nvSpPr>
      <xdr:spPr bwMode="auto">
        <a:xfrm>
          <a:off x="34575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164</xdr:row>
      <xdr:rowOff>171450</xdr:rowOff>
    </xdr:from>
    <xdr:to>
      <xdr:col>19</xdr:col>
      <xdr:colOff>0</xdr:colOff>
      <xdr:row>167</xdr:row>
      <xdr:rowOff>0</xdr:rowOff>
    </xdr:to>
    <xdr:sp macro="" textlink="">
      <xdr:nvSpPr>
        <xdr:cNvPr id="314" name="0/0">
          <a:extLst>
            <a:ext uri="{FF2B5EF4-FFF2-40B4-BE49-F238E27FC236}">
              <a16:creationId xmlns:a16="http://schemas.microsoft.com/office/drawing/2014/main" id="{42340CF9-314A-4966-8BF4-AFAA8F1B523F}"/>
            </a:ext>
          </a:extLst>
        </xdr:cNvPr>
        <xdr:cNvSpPr>
          <a:spLocks noChangeArrowheads="1"/>
        </xdr:cNvSpPr>
      </xdr:nvSpPr>
      <xdr:spPr bwMode="auto">
        <a:xfrm>
          <a:off x="42100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164</xdr:row>
      <xdr:rowOff>142875</xdr:rowOff>
    </xdr:from>
    <xdr:to>
      <xdr:col>22</xdr:col>
      <xdr:colOff>1</xdr:colOff>
      <xdr:row>165</xdr:row>
      <xdr:rowOff>104775</xdr:rowOff>
    </xdr:to>
    <xdr:sp macro="" textlink="">
      <xdr:nvSpPr>
        <xdr:cNvPr id="315" name="Freeform 10695">
          <a:extLst>
            <a:ext uri="{FF2B5EF4-FFF2-40B4-BE49-F238E27FC236}">
              <a16:creationId xmlns:a16="http://schemas.microsoft.com/office/drawing/2014/main" id="{36ADFA2E-2326-4791-97C5-26288B38EA9E}"/>
            </a:ext>
          </a:extLst>
        </xdr:cNvPr>
        <xdr:cNvSpPr>
          <a:spLocks/>
        </xdr:cNvSpPr>
      </xdr:nvSpPr>
      <xdr:spPr bwMode="auto">
        <a:xfrm>
          <a:off x="44481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164</xdr:row>
      <xdr:rowOff>171450</xdr:rowOff>
    </xdr:from>
    <xdr:to>
      <xdr:col>23</xdr:col>
      <xdr:colOff>0</xdr:colOff>
      <xdr:row>167</xdr:row>
      <xdr:rowOff>0</xdr:rowOff>
    </xdr:to>
    <xdr:sp macro="" textlink="">
      <xdr:nvSpPr>
        <xdr:cNvPr id="316" name="0/0">
          <a:extLst>
            <a:ext uri="{FF2B5EF4-FFF2-40B4-BE49-F238E27FC236}">
              <a16:creationId xmlns:a16="http://schemas.microsoft.com/office/drawing/2014/main" id="{37BFB317-C6D6-46E4-9F51-A5D88B1910B5}"/>
            </a:ext>
          </a:extLst>
        </xdr:cNvPr>
        <xdr:cNvSpPr>
          <a:spLocks noChangeArrowheads="1"/>
        </xdr:cNvSpPr>
      </xdr:nvSpPr>
      <xdr:spPr bwMode="auto">
        <a:xfrm>
          <a:off x="52006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164</xdr:row>
      <xdr:rowOff>142875</xdr:rowOff>
    </xdr:from>
    <xdr:to>
      <xdr:col>26</xdr:col>
      <xdr:colOff>1</xdr:colOff>
      <xdr:row>165</xdr:row>
      <xdr:rowOff>104775</xdr:rowOff>
    </xdr:to>
    <xdr:sp macro="" textlink="">
      <xdr:nvSpPr>
        <xdr:cNvPr id="317" name="Freeform 10695">
          <a:extLst>
            <a:ext uri="{FF2B5EF4-FFF2-40B4-BE49-F238E27FC236}">
              <a16:creationId xmlns:a16="http://schemas.microsoft.com/office/drawing/2014/main" id="{14B15F6D-17C4-4C05-866D-B8713C6AD232}"/>
            </a:ext>
          </a:extLst>
        </xdr:cNvPr>
        <xdr:cNvSpPr>
          <a:spLocks/>
        </xdr:cNvSpPr>
      </xdr:nvSpPr>
      <xdr:spPr bwMode="auto">
        <a:xfrm>
          <a:off x="54387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164</xdr:row>
      <xdr:rowOff>171450</xdr:rowOff>
    </xdr:from>
    <xdr:to>
      <xdr:col>27</xdr:col>
      <xdr:colOff>0</xdr:colOff>
      <xdr:row>167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38680F21-65AD-4F3B-AAF6-502DD719BCCC}"/>
            </a:ext>
          </a:extLst>
        </xdr:cNvPr>
        <xdr:cNvSpPr>
          <a:spLocks noChangeArrowheads="1"/>
        </xdr:cNvSpPr>
      </xdr:nvSpPr>
      <xdr:spPr bwMode="auto">
        <a:xfrm>
          <a:off x="61912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164</xdr:row>
      <xdr:rowOff>142875</xdr:rowOff>
    </xdr:from>
    <xdr:to>
      <xdr:col>30</xdr:col>
      <xdr:colOff>1</xdr:colOff>
      <xdr:row>165</xdr:row>
      <xdr:rowOff>104775</xdr:rowOff>
    </xdr:to>
    <xdr:sp macro="" textlink="">
      <xdr:nvSpPr>
        <xdr:cNvPr id="319" name="Freeform 10695">
          <a:extLst>
            <a:ext uri="{FF2B5EF4-FFF2-40B4-BE49-F238E27FC236}">
              <a16:creationId xmlns:a16="http://schemas.microsoft.com/office/drawing/2014/main" id="{35365CAB-31D6-404F-BBDB-631609AD0DF5}"/>
            </a:ext>
          </a:extLst>
        </xdr:cNvPr>
        <xdr:cNvSpPr>
          <a:spLocks/>
        </xdr:cNvSpPr>
      </xdr:nvSpPr>
      <xdr:spPr bwMode="auto">
        <a:xfrm>
          <a:off x="64293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164</xdr:row>
      <xdr:rowOff>171450</xdr:rowOff>
    </xdr:from>
    <xdr:to>
      <xdr:col>31</xdr:col>
      <xdr:colOff>0</xdr:colOff>
      <xdr:row>167</xdr:row>
      <xdr:rowOff>0</xdr:rowOff>
    </xdr:to>
    <xdr:sp macro="" textlink="">
      <xdr:nvSpPr>
        <xdr:cNvPr id="320" name="0/0">
          <a:extLst>
            <a:ext uri="{FF2B5EF4-FFF2-40B4-BE49-F238E27FC236}">
              <a16:creationId xmlns:a16="http://schemas.microsoft.com/office/drawing/2014/main" id="{F63CDD9B-17DB-47F5-B6F1-DDDF2DBEFF0D}"/>
            </a:ext>
          </a:extLst>
        </xdr:cNvPr>
        <xdr:cNvSpPr>
          <a:spLocks noChangeArrowheads="1"/>
        </xdr:cNvSpPr>
      </xdr:nvSpPr>
      <xdr:spPr bwMode="auto">
        <a:xfrm>
          <a:off x="71818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164</xdr:row>
      <xdr:rowOff>142875</xdr:rowOff>
    </xdr:from>
    <xdr:to>
      <xdr:col>34</xdr:col>
      <xdr:colOff>1</xdr:colOff>
      <xdr:row>165</xdr:row>
      <xdr:rowOff>104775</xdr:rowOff>
    </xdr:to>
    <xdr:sp macro="" textlink="">
      <xdr:nvSpPr>
        <xdr:cNvPr id="321" name="Freeform 10695">
          <a:extLst>
            <a:ext uri="{FF2B5EF4-FFF2-40B4-BE49-F238E27FC236}">
              <a16:creationId xmlns:a16="http://schemas.microsoft.com/office/drawing/2014/main" id="{1625633A-4A4F-4D36-8944-317AF558310B}"/>
            </a:ext>
          </a:extLst>
        </xdr:cNvPr>
        <xdr:cNvSpPr>
          <a:spLocks/>
        </xdr:cNvSpPr>
      </xdr:nvSpPr>
      <xdr:spPr bwMode="auto">
        <a:xfrm>
          <a:off x="74199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164</xdr:row>
      <xdr:rowOff>171450</xdr:rowOff>
    </xdr:from>
    <xdr:to>
      <xdr:col>35</xdr:col>
      <xdr:colOff>0</xdr:colOff>
      <xdr:row>167</xdr:row>
      <xdr:rowOff>0</xdr:rowOff>
    </xdr:to>
    <xdr:sp macro="" textlink="">
      <xdr:nvSpPr>
        <xdr:cNvPr id="322" name="0/0">
          <a:extLst>
            <a:ext uri="{FF2B5EF4-FFF2-40B4-BE49-F238E27FC236}">
              <a16:creationId xmlns:a16="http://schemas.microsoft.com/office/drawing/2014/main" id="{894C6086-58F9-4085-8CF2-2112792D8CF5}"/>
            </a:ext>
          </a:extLst>
        </xdr:cNvPr>
        <xdr:cNvSpPr>
          <a:spLocks noChangeArrowheads="1"/>
        </xdr:cNvSpPr>
      </xdr:nvSpPr>
      <xdr:spPr bwMode="auto">
        <a:xfrm>
          <a:off x="81724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164</xdr:row>
      <xdr:rowOff>142875</xdr:rowOff>
    </xdr:from>
    <xdr:to>
      <xdr:col>38</xdr:col>
      <xdr:colOff>1</xdr:colOff>
      <xdr:row>165</xdr:row>
      <xdr:rowOff>104775</xdr:rowOff>
    </xdr:to>
    <xdr:sp macro="" textlink="">
      <xdr:nvSpPr>
        <xdr:cNvPr id="323" name="Freeform 10695">
          <a:extLst>
            <a:ext uri="{FF2B5EF4-FFF2-40B4-BE49-F238E27FC236}">
              <a16:creationId xmlns:a16="http://schemas.microsoft.com/office/drawing/2014/main" id="{B55185C6-39AA-4DEB-B5A9-8B6978E9F8A5}"/>
            </a:ext>
          </a:extLst>
        </xdr:cNvPr>
        <xdr:cNvSpPr>
          <a:spLocks/>
        </xdr:cNvSpPr>
      </xdr:nvSpPr>
      <xdr:spPr bwMode="auto">
        <a:xfrm>
          <a:off x="84105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164</xdr:row>
      <xdr:rowOff>171450</xdr:rowOff>
    </xdr:from>
    <xdr:to>
      <xdr:col>3</xdr:col>
      <xdr:colOff>0</xdr:colOff>
      <xdr:row>167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3E8DA59E-FC85-4066-96AC-8BE2EFBCC919}"/>
            </a:ext>
          </a:extLst>
        </xdr:cNvPr>
        <xdr:cNvSpPr>
          <a:spLocks noChangeArrowheads="1"/>
        </xdr:cNvSpPr>
      </xdr:nvSpPr>
      <xdr:spPr bwMode="auto">
        <a:xfrm>
          <a:off x="2476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164</xdr:row>
      <xdr:rowOff>142875</xdr:rowOff>
    </xdr:from>
    <xdr:to>
      <xdr:col>6</xdr:col>
      <xdr:colOff>9526</xdr:colOff>
      <xdr:row>165</xdr:row>
      <xdr:rowOff>104775</xdr:rowOff>
    </xdr:to>
    <xdr:sp macro="" textlink="">
      <xdr:nvSpPr>
        <xdr:cNvPr id="325" name="Freeform 10695">
          <a:extLst>
            <a:ext uri="{FF2B5EF4-FFF2-40B4-BE49-F238E27FC236}">
              <a16:creationId xmlns:a16="http://schemas.microsoft.com/office/drawing/2014/main" id="{299F0DEB-2DEA-4BE5-8041-9D3C0EC90436}"/>
            </a:ext>
          </a:extLst>
        </xdr:cNvPr>
        <xdr:cNvSpPr>
          <a:spLocks/>
        </xdr:cNvSpPr>
      </xdr:nvSpPr>
      <xdr:spPr bwMode="auto">
        <a:xfrm>
          <a:off x="495300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164</xdr:row>
      <xdr:rowOff>171450</xdr:rowOff>
    </xdr:from>
    <xdr:to>
      <xdr:col>39</xdr:col>
      <xdr:colOff>0</xdr:colOff>
      <xdr:row>167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8C86F0DB-270F-4348-856F-7C8B56EE88A6}"/>
            </a:ext>
          </a:extLst>
        </xdr:cNvPr>
        <xdr:cNvSpPr>
          <a:spLocks noChangeArrowheads="1"/>
        </xdr:cNvSpPr>
      </xdr:nvSpPr>
      <xdr:spPr bwMode="auto">
        <a:xfrm>
          <a:off x="91630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164</xdr:row>
      <xdr:rowOff>142875</xdr:rowOff>
    </xdr:from>
    <xdr:to>
      <xdr:col>42</xdr:col>
      <xdr:colOff>1</xdr:colOff>
      <xdr:row>165</xdr:row>
      <xdr:rowOff>104775</xdr:rowOff>
    </xdr:to>
    <xdr:sp macro="" textlink="">
      <xdr:nvSpPr>
        <xdr:cNvPr id="327" name="Freeform 10695">
          <a:extLst>
            <a:ext uri="{FF2B5EF4-FFF2-40B4-BE49-F238E27FC236}">
              <a16:creationId xmlns:a16="http://schemas.microsoft.com/office/drawing/2014/main" id="{80030277-4C9B-4521-B231-C350FCFC9593}"/>
            </a:ext>
          </a:extLst>
        </xdr:cNvPr>
        <xdr:cNvSpPr>
          <a:spLocks/>
        </xdr:cNvSpPr>
      </xdr:nvSpPr>
      <xdr:spPr bwMode="auto">
        <a:xfrm>
          <a:off x="94011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164</xdr:row>
      <xdr:rowOff>171450</xdr:rowOff>
    </xdr:from>
    <xdr:to>
      <xdr:col>43</xdr:col>
      <xdr:colOff>0</xdr:colOff>
      <xdr:row>167</xdr:row>
      <xdr:rowOff>0</xdr:rowOff>
    </xdr:to>
    <xdr:sp macro="" textlink="">
      <xdr:nvSpPr>
        <xdr:cNvPr id="328" name="0/0">
          <a:extLst>
            <a:ext uri="{FF2B5EF4-FFF2-40B4-BE49-F238E27FC236}">
              <a16:creationId xmlns:a16="http://schemas.microsoft.com/office/drawing/2014/main" id="{77C51880-FA0B-4FCF-817C-B28ACE3446B9}"/>
            </a:ext>
          </a:extLst>
        </xdr:cNvPr>
        <xdr:cNvSpPr>
          <a:spLocks noChangeArrowheads="1"/>
        </xdr:cNvSpPr>
      </xdr:nvSpPr>
      <xdr:spPr bwMode="auto">
        <a:xfrm>
          <a:off x="101536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174</xdr:row>
      <xdr:rowOff>171450</xdr:rowOff>
    </xdr:from>
    <xdr:to>
      <xdr:col>7</xdr:col>
      <xdr:colOff>0</xdr:colOff>
      <xdr:row>177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9C1773ED-3802-4B4C-9E5B-9B4B9967413D}"/>
            </a:ext>
          </a:extLst>
        </xdr:cNvPr>
        <xdr:cNvSpPr>
          <a:spLocks noChangeArrowheads="1"/>
        </xdr:cNvSpPr>
      </xdr:nvSpPr>
      <xdr:spPr bwMode="auto">
        <a:xfrm>
          <a:off x="12382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174</xdr:row>
      <xdr:rowOff>142875</xdr:rowOff>
    </xdr:from>
    <xdr:to>
      <xdr:col>10</xdr:col>
      <xdr:colOff>9525</xdr:colOff>
      <xdr:row>175</xdr:row>
      <xdr:rowOff>104775</xdr:rowOff>
    </xdr:to>
    <xdr:sp macro="" textlink="">
      <xdr:nvSpPr>
        <xdr:cNvPr id="330" name="Freeform 10695">
          <a:extLst>
            <a:ext uri="{FF2B5EF4-FFF2-40B4-BE49-F238E27FC236}">
              <a16:creationId xmlns:a16="http://schemas.microsoft.com/office/drawing/2014/main" id="{A3FE1AC7-001C-475B-88B4-5BBA92DB4321}"/>
            </a:ext>
          </a:extLst>
        </xdr:cNvPr>
        <xdr:cNvSpPr>
          <a:spLocks/>
        </xdr:cNvSpPr>
      </xdr:nvSpPr>
      <xdr:spPr bwMode="auto">
        <a:xfrm>
          <a:off x="1485899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174</xdr:row>
      <xdr:rowOff>171450</xdr:rowOff>
    </xdr:from>
    <xdr:to>
      <xdr:col>11</xdr:col>
      <xdr:colOff>0</xdr:colOff>
      <xdr:row>177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0255625B-49DA-446B-8F5A-858FB6549C9A}"/>
            </a:ext>
          </a:extLst>
        </xdr:cNvPr>
        <xdr:cNvSpPr>
          <a:spLocks noChangeArrowheads="1"/>
        </xdr:cNvSpPr>
      </xdr:nvSpPr>
      <xdr:spPr bwMode="auto">
        <a:xfrm>
          <a:off x="22288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174</xdr:row>
      <xdr:rowOff>142875</xdr:rowOff>
    </xdr:from>
    <xdr:to>
      <xdr:col>14</xdr:col>
      <xdr:colOff>1</xdr:colOff>
      <xdr:row>175</xdr:row>
      <xdr:rowOff>104775</xdr:rowOff>
    </xdr:to>
    <xdr:sp macro="" textlink="">
      <xdr:nvSpPr>
        <xdr:cNvPr id="332" name="Freeform 10695">
          <a:extLst>
            <a:ext uri="{FF2B5EF4-FFF2-40B4-BE49-F238E27FC236}">
              <a16:creationId xmlns:a16="http://schemas.microsoft.com/office/drawing/2014/main" id="{700DEE66-16B3-4092-889F-EC5C79273978}"/>
            </a:ext>
          </a:extLst>
        </xdr:cNvPr>
        <xdr:cNvSpPr>
          <a:spLocks/>
        </xdr:cNvSpPr>
      </xdr:nvSpPr>
      <xdr:spPr bwMode="auto">
        <a:xfrm>
          <a:off x="24669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174</xdr:row>
      <xdr:rowOff>171450</xdr:rowOff>
    </xdr:from>
    <xdr:to>
      <xdr:col>15</xdr:col>
      <xdr:colOff>0</xdr:colOff>
      <xdr:row>177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36EF417F-E9BD-40F9-B4F6-F3B90A568CFA}"/>
            </a:ext>
          </a:extLst>
        </xdr:cNvPr>
        <xdr:cNvSpPr>
          <a:spLocks noChangeArrowheads="1"/>
        </xdr:cNvSpPr>
      </xdr:nvSpPr>
      <xdr:spPr bwMode="auto">
        <a:xfrm>
          <a:off x="32194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174</xdr:row>
      <xdr:rowOff>142875</xdr:rowOff>
    </xdr:from>
    <xdr:to>
      <xdr:col>18</xdr:col>
      <xdr:colOff>1</xdr:colOff>
      <xdr:row>175</xdr:row>
      <xdr:rowOff>104775</xdr:rowOff>
    </xdr:to>
    <xdr:sp macro="" textlink="">
      <xdr:nvSpPr>
        <xdr:cNvPr id="334" name="Freeform 10695">
          <a:extLst>
            <a:ext uri="{FF2B5EF4-FFF2-40B4-BE49-F238E27FC236}">
              <a16:creationId xmlns:a16="http://schemas.microsoft.com/office/drawing/2014/main" id="{05EC0094-A400-414B-AA76-E5F3C7A14CB0}"/>
            </a:ext>
          </a:extLst>
        </xdr:cNvPr>
        <xdr:cNvSpPr>
          <a:spLocks/>
        </xdr:cNvSpPr>
      </xdr:nvSpPr>
      <xdr:spPr bwMode="auto">
        <a:xfrm>
          <a:off x="34575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174</xdr:row>
      <xdr:rowOff>171450</xdr:rowOff>
    </xdr:from>
    <xdr:to>
      <xdr:col>19</xdr:col>
      <xdr:colOff>0</xdr:colOff>
      <xdr:row>177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10E294A5-AE93-4272-936E-F7472BCF87A8}"/>
            </a:ext>
          </a:extLst>
        </xdr:cNvPr>
        <xdr:cNvSpPr>
          <a:spLocks noChangeArrowheads="1"/>
        </xdr:cNvSpPr>
      </xdr:nvSpPr>
      <xdr:spPr bwMode="auto">
        <a:xfrm>
          <a:off x="42100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174</xdr:row>
      <xdr:rowOff>142875</xdr:rowOff>
    </xdr:from>
    <xdr:to>
      <xdr:col>22</xdr:col>
      <xdr:colOff>1</xdr:colOff>
      <xdr:row>175</xdr:row>
      <xdr:rowOff>104775</xdr:rowOff>
    </xdr:to>
    <xdr:sp macro="" textlink="">
      <xdr:nvSpPr>
        <xdr:cNvPr id="336" name="Freeform 10695">
          <a:extLst>
            <a:ext uri="{FF2B5EF4-FFF2-40B4-BE49-F238E27FC236}">
              <a16:creationId xmlns:a16="http://schemas.microsoft.com/office/drawing/2014/main" id="{7ACCFCCA-0F41-42CB-9B63-A01BCA6ECF8E}"/>
            </a:ext>
          </a:extLst>
        </xdr:cNvPr>
        <xdr:cNvSpPr>
          <a:spLocks/>
        </xdr:cNvSpPr>
      </xdr:nvSpPr>
      <xdr:spPr bwMode="auto">
        <a:xfrm>
          <a:off x="44481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174</xdr:row>
      <xdr:rowOff>171450</xdr:rowOff>
    </xdr:from>
    <xdr:to>
      <xdr:col>23</xdr:col>
      <xdr:colOff>0</xdr:colOff>
      <xdr:row>177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0E0117A4-7AB0-487C-A7CF-EEA564DC027A}"/>
            </a:ext>
          </a:extLst>
        </xdr:cNvPr>
        <xdr:cNvSpPr>
          <a:spLocks noChangeArrowheads="1"/>
        </xdr:cNvSpPr>
      </xdr:nvSpPr>
      <xdr:spPr bwMode="auto">
        <a:xfrm>
          <a:off x="52006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174</xdr:row>
      <xdr:rowOff>142875</xdr:rowOff>
    </xdr:from>
    <xdr:to>
      <xdr:col>26</xdr:col>
      <xdr:colOff>1</xdr:colOff>
      <xdr:row>175</xdr:row>
      <xdr:rowOff>104775</xdr:rowOff>
    </xdr:to>
    <xdr:sp macro="" textlink="">
      <xdr:nvSpPr>
        <xdr:cNvPr id="338" name="Freeform 10695">
          <a:extLst>
            <a:ext uri="{FF2B5EF4-FFF2-40B4-BE49-F238E27FC236}">
              <a16:creationId xmlns:a16="http://schemas.microsoft.com/office/drawing/2014/main" id="{5172EA70-C10A-45EF-B703-3BE78B6837A4}"/>
            </a:ext>
          </a:extLst>
        </xdr:cNvPr>
        <xdr:cNvSpPr>
          <a:spLocks/>
        </xdr:cNvSpPr>
      </xdr:nvSpPr>
      <xdr:spPr bwMode="auto">
        <a:xfrm>
          <a:off x="54387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174</xdr:row>
      <xdr:rowOff>171450</xdr:rowOff>
    </xdr:from>
    <xdr:to>
      <xdr:col>27</xdr:col>
      <xdr:colOff>0</xdr:colOff>
      <xdr:row>177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EEC6537E-BB83-45EE-96D3-B4C4F22AC98E}"/>
            </a:ext>
          </a:extLst>
        </xdr:cNvPr>
        <xdr:cNvSpPr>
          <a:spLocks noChangeArrowheads="1"/>
        </xdr:cNvSpPr>
      </xdr:nvSpPr>
      <xdr:spPr bwMode="auto">
        <a:xfrm>
          <a:off x="61912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174</xdr:row>
      <xdr:rowOff>142875</xdr:rowOff>
    </xdr:from>
    <xdr:to>
      <xdr:col>30</xdr:col>
      <xdr:colOff>1</xdr:colOff>
      <xdr:row>175</xdr:row>
      <xdr:rowOff>104775</xdr:rowOff>
    </xdr:to>
    <xdr:sp macro="" textlink="">
      <xdr:nvSpPr>
        <xdr:cNvPr id="340" name="Freeform 10695">
          <a:extLst>
            <a:ext uri="{FF2B5EF4-FFF2-40B4-BE49-F238E27FC236}">
              <a16:creationId xmlns:a16="http://schemas.microsoft.com/office/drawing/2014/main" id="{CE1E7411-A6DE-486B-B4C9-B12E54D31E3C}"/>
            </a:ext>
          </a:extLst>
        </xdr:cNvPr>
        <xdr:cNvSpPr>
          <a:spLocks/>
        </xdr:cNvSpPr>
      </xdr:nvSpPr>
      <xdr:spPr bwMode="auto">
        <a:xfrm>
          <a:off x="64293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174</xdr:row>
      <xdr:rowOff>171450</xdr:rowOff>
    </xdr:from>
    <xdr:to>
      <xdr:col>31</xdr:col>
      <xdr:colOff>0</xdr:colOff>
      <xdr:row>177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79D2771A-0C0C-4FF8-A02A-5EB9035329CA}"/>
            </a:ext>
          </a:extLst>
        </xdr:cNvPr>
        <xdr:cNvSpPr>
          <a:spLocks noChangeArrowheads="1"/>
        </xdr:cNvSpPr>
      </xdr:nvSpPr>
      <xdr:spPr bwMode="auto">
        <a:xfrm>
          <a:off x="71818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174</xdr:row>
      <xdr:rowOff>142875</xdr:rowOff>
    </xdr:from>
    <xdr:to>
      <xdr:col>34</xdr:col>
      <xdr:colOff>1</xdr:colOff>
      <xdr:row>175</xdr:row>
      <xdr:rowOff>104775</xdr:rowOff>
    </xdr:to>
    <xdr:sp macro="" textlink="">
      <xdr:nvSpPr>
        <xdr:cNvPr id="342" name="Freeform 10695">
          <a:extLst>
            <a:ext uri="{FF2B5EF4-FFF2-40B4-BE49-F238E27FC236}">
              <a16:creationId xmlns:a16="http://schemas.microsoft.com/office/drawing/2014/main" id="{2289D5C1-0591-49F0-BD2C-B0B43B3A177A}"/>
            </a:ext>
          </a:extLst>
        </xdr:cNvPr>
        <xdr:cNvSpPr>
          <a:spLocks/>
        </xdr:cNvSpPr>
      </xdr:nvSpPr>
      <xdr:spPr bwMode="auto">
        <a:xfrm>
          <a:off x="74199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174</xdr:row>
      <xdr:rowOff>171450</xdr:rowOff>
    </xdr:from>
    <xdr:to>
      <xdr:col>35</xdr:col>
      <xdr:colOff>0</xdr:colOff>
      <xdr:row>177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73F5C0A2-4882-4F4D-B9AE-3876452B40FB}"/>
            </a:ext>
          </a:extLst>
        </xdr:cNvPr>
        <xdr:cNvSpPr>
          <a:spLocks noChangeArrowheads="1"/>
        </xdr:cNvSpPr>
      </xdr:nvSpPr>
      <xdr:spPr bwMode="auto">
        <a:xfrm>
          <a:off x="81724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174</xdr:row>
      <xdr:rowOff>142875</xdr:rowOff>
    </xdr:from>
    <xdr:to>
      <xdr:col>38</xdr:col>
      <xdr:colOff>1</xdr:colOff>
      <xdr:row>175</xdr:row>
      <xdr:rowOff>104775</xdr:rowOff>
    </xdr:to>
    <xdr:sp macro="" textlink="">
      <xdr:nvSpPr>
        <xdr:cNvPr id="344" name="Freeform 10695">
          <a:extLst>
            <a:ext uri="{FF2B5EF4-FFF2-40B4-BE49-F238E27FC236}">
              <a16:creationId xmlns:a16="http://schemas.microsoft.com/office/drawing/2014/main" id="{C47EED86-0717-4C31-8B65-20A04699564A}"/>
            </a:ext>
          </a:extLst>
        </xdr:cNvPr>
        <xdr:cNvSpPr>
          <a:spLocks/>
        </xdr:cNvSpPr>
      </xdr:nvSpPr>
      <xdr:spPr bwMode="auto">
        <a:xfrm>
          <a:off x="84105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174</xdr:row>
      <xdr:rowOff>171450</xdr:rowOff>
    </xdr:from>
    <xdr:to>
      <xdr:col>3</xdr:col>
      <xdr:colOff>0</xdr:colOff>
      <xdr:row>177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63E9B808-01AC-4708-9C85-6EF36F3ABCCF}"/>
            </a:ext>
          </a:extLst>
        </xdr:cNvPr>
        <xdr:cNvSpPr>
          <a:spLocks noChangeArrowheads="1"/>
        </xdr:cNvSpPr>
      </xdr:nvSpPr>
      <xdr:spPr bwMode="auto">
        <a:xfrm>
          <a:off x="2476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174</xdr:row>
      <xdr:rowOff>142875</xdr:rowOff>
    </xdr:from>
    <xdr:to>
      <xdr:col>6</xdr:col>
      <xdr:colOff>9526</xdr:colOff>
      <xdr:row>175</xdr:row>
      <xdr:rowOff>104775</xdr:rowOff>
    </xdr:to>
    <xdr:sp macro="" textlink="">
      <xdr:nvSpPr>
        <xdr:cNvPr id="346" name="Freeform 10695">
          <a:extLst>
            <a:ext uri="{FF2B5EF4-FFF2-40B4-BE49-F238E27FC236}">
              <a16:creationId xmlns:a16="http://schemas.microsoft.com/office/drawing/2014/main" id="{2A19BB92-50D3-4ABA-9ADB-BF4C27B3796A}"/>
            </a:ext>
          </a:extLst>
        </xdr:cNvPr>
        <xdr:cNvSpPr>
          <a:spLocks/>
        </xdr:cNvSpPr>
      </xdr:nvSpPr>
      <xdr:spPr bwMode="auto">
        <a:xfrm>
          <a:off x="495300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174</xdr:row>
      <xdr:rowOff>171450</xdr:rowOff>
    </xdr:from>
    <xdr:to>
      <xdr:col>39</xdr:col>
      <xdr:colOff>0</xdr:colOff>
      <xdr:row>177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F202A967-4E5C-42D8-A38B-E667357F7B7D}"/>
            </a:ext>
          </a:extLst>
        </xdr:cNvPr>
        <xdr:cNvSpPr>
          <a:spLocks noChangeArrowheads="1"/>
        </xdr:cNvSpPr>
      </xdr:nvSpPr>
      <xdr:spPr bwMode="auto">
        <a:xfrm>
          <a:off x="91630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174</xdr:row>
      <xdr:rowOff>142875</xdr:rowOff>
    </xdr:from>
    <xdr:to>
      <xdr:col>42</xdr:col>
      <xdr:colOff>1</xdr:colOff>
      <xdr:row>175</xdr:row>
      <xdr:rowOff>104775</xdr:rowOff>
    </xdr:to>
    <xdr:sp macro="" textlink="">
      <xdr:nvSpPr>
        <xdr:cNvPr id="348" name="Freeform 10695">
          <a:extLst>
            <a:ext uri="{FF2B5EF4-FFF2-40B4-BE49-F238E27FC236}">
              <a16:creationId xmlns:a16="http://schemas.microsoft.com/office/drawing/2014/main" id="{1699BB4D-706C-4E16-B9FF-0376E5502B0A}"/>
            </a:ext>
          </a:extLst>
        </xdr:cNvPr>
        <xdr:cNvSpPr>
          <a:spLocks/>
        </xdr:cNvSpPr>
      </xdr:nvSpPr>
      <xdr:spPr bwMode="auto">
        <a:xfrm>
          <a:off x="94011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174</xdr:row>
      <xdr:rowOff>171450</xdr:rowOff>
    </xdr:from>
    <xdr:to>
      <xdr:col>43</xdr:col>
      <xdr:colOff>0</xdr:colOff>
      <xdr:row>177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45ACD3B4-5013-4158-991B-DD459F3897ED}"/>
            </a:ext>
          </a:extLst>
        </xdr:cNvPr>
        <xdr:cNvSpPr>
          <a:spLocks noChangeArrowheads="1"/>
        </xdr:cNvSpPr>
      </xdr:nvSpPr>
      <xdr:spPr bwMode="auto">
        <a:xfrm>
          <a:off x="101536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184</xdr:row>
      <xdr:rowOff>171450</xdr:rowOff>
    </xdr:from>
    <xdr:to>
      <xdr:col>7</xdr:col>
      <xdr:colOff>0</xdr:colOff>
      <xdr:row>187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6EEEA67A-DB6B-4D91-8C4B-6FBD110E3F32}"/>
            </a:ext>
          </a:extLst>
        </xdr:cNvPr>
        <xdr:cNvSpPr>
          <a:spLocks noChangeArrowheads="1"/>
        </xdr:cNvSpPr>
      </xdr:nvSpPr>
      <xdr:spPr bwMode="auto">
        <a:xfrm>
          <a:off x="12382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184</xdr:row>
      <xdr:rowOff>142875</xdr:rowOff>
    </xdr:from>
    <xdr:to>
      <xdr:col>10</xdr:col>
      <xdr:colOff>9525</xdr:colOff>
      <xdr:row>185</xdr:row>
      <xdr:rowOff>104775</xdr:rowOff>
    </xdr:to>
    <xdr:sp macro="" textlink="">
      <xdr:nvSpPr>
        <xdr:cNvPr id="351" name="Freeform 10695">
          <a:extLst>
            <a:ext uri="{FF2B5EF4-FFF2-40B4-BE49-F238E27FC236}">
              <a16:creationId xmlns:a16="http://schemas.microsoft.com/office/drawing/2014/main" id="{CF6DC1A7-0A94-4DC2-ABFC-E1EC64928471}"/>
            </a:ext>
          </a:extLst>
        </xdr:cNvPr>
        <xdr:cNvSpPr>
          <a:spLocks/>
        </xdr:cNvSpPr>
      </xdr:nvSpPr>
      <xdr:spPr bwMode="auto">
        <a:xfrm>
          <a:off x="1485899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184</xdr:row>
      <xdr:rowOff>171450</xdr:rowOff>
    </xdr:from>
    <xdr:to>
      <xdr:col>11</xdr:col>
      <xdr:colOff>0</xdr:colOff>
      <xdr:row>187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7DAEAD09-1552-46EF-92E5-7A012E6D67D6}"/>
            </a:ext>
          </a:extLst>
        </xdr:cNvPr>
        <xdr:cNvSpPr>
          <a:spLocks noChangeArrowheads="1"/>
        </xdr:cNvSpPr>
      </xdr:nvSpPr>
      <xdr:spPr bwMode="auto">
        <a:xfrm>
          <a:off x="22288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184</xdr:row>
      <xdr:rowOff>142875</xdr:rowOff>
    </xdr:from>
    <xdr:to>
      <xdr:col>14</xdr:col>
      <xdr:colOff>1</xdr:colOff>
      <xdr:row>185</xdr:row>
      <xdr:rowOff>104775</xdr:rowOff>
    </xdr:to>
    <xdr:sp macro="" textlink="">
      <xdr:nvSpPr>
        <xdr:cNvPr id="353" name="Freeform 10695">
          <a:extLst>
            <a:ext uri="{FF2B5EF4-FFF2-40B4-BE49-F238E27FC236}">
              <a16:creationId xmlns:a16="http://schemas.microsoft.com/office/drawing/2014/main" id="{FA7DA54B-A227-4F66-9CCA-E93BF393D9B8}"/>
            </a:ext>
          </a:extLst>
        </xdr:cNvPr>
        <xdr:cNvSpPr>
          <a:spLocks/>
        </xdr:cNvSpPr>
      </xdr:nvSpPr>
      <xdr:spPr bwMode="auto">
        <a:xfrm>
          <a:off x="24669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184</xdr:row>
      <xdr:rowOff>171450</xdr:rowOff>
    </xdr:from>
    <xdr:to>
      <xdr:col>15</xdr:col>
      <xdr:colOff>0</xdr:colOff>
      <xdr:row>187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C9AD734D-7750-4A3F-B159-F76F21615884}"/>
            </a:ext>
          </a:extLst>
        </xdr:cNvPr>
        <xdr:cNvSpPr>
          <a:spLocks noChangeArrowheads="1"/>
        </xdr:cNvSpPr>
      </xdr:nvSpPr>
      <xdr:spPr bwMode="auto">
        <a:xfrm>
          <a:off x="32194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184</xdr:row>
      <xdr:rowOff>142875</xdr:rowOff>
    </xdr:from>
    <xdr:to>
      <xdr:col>18</xdr:col>
      <xdr:colOff>1</xdr:colOff>
      <xdr:row>185</xdr:row>
      <xdr:rowOff>104775</xdr:rowOff>
    </xdr:to>
    <xdr:sp macro="" textlink="">
      <xdr:nvSpPr>
        <xdr:cNvPr id="355" name="Freeform 10695">
          <a:extLst>
            <a:ext uri="{FF2B5EF4-FFF2-40B4-BE49-F238E27FC236}">
              <a16:creationId xmlns:a16="http://schemas.microsoft.com/office/drawing/2014/main" id="{2D7AD0DF-5C59-4C43-92B5-81527B1DE9B1}"/>
            </a:ext>
          </a:extLst>
        </xdr:cNvPr>
        <xdr:cNvSpPr>
          <a:spLocks/>
        </xdr:cNvSpPr>
      </xdr:nvSpPr>
      <xdr:spPr bwMode="auto">
        <a:xfrm>
          <a:off x="34575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184</xdr:row>
      <xdr:rowOff>171450</xdr:rowOff>
    </xdr:from>
    <xdr:to>
      <xdr:col>19</xdr:col>
      <xdr:colOff>0</xdr:colOff>
      <xdr:row>187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AF42B699-A91A-4C16-8A0D-8FB1B7CBD757}"/>
            </a:ext>
          </a:extLst>
        </xdr:cNvPr>
        <xdr:cNvSpPr>
          <a:spLocks noChangeArrowheads="1"/>
        </xdr:cNvSpPr>
      </xdr:nvSpPr>
      <xdr:spPr bwMode="auto">
        <a:xfrm>
          <a:off x="42100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184</xdr:row>
      <xdr:rowOff>142875</xdr:rowOff>
    </xdr:from>
    <xdr:to>
      <xdr:col>22</xdr:col>
      <xdr:colOff>1</xdr:colOff>
      <xdr:row>185</xdr:row>
      <xdr:rowOff>104775</xdr:rowOff>
    </xdr:to>
    <xdr:sp macro="" textlink="">
      <xdr:nvSpPr>
        <xdr:cNvPr id="357" name="Freeform 10695">
          <a:extLst>
            <a:ext uri="{FF2B5EF4-FFF2-40B4-BE49-F238E27FC236}">
              <a16:creationId xmlns:a16="http://schemas.microsoft.com/office/drawing/2014/main" id="{A748B25B-8E2B-410F-900E-7409B1F70B8D}"/>
            </a:ext>
          </a:extLst>
        </xdr:cNvPr>
        <xdr:cNvSpPr>
          <a:spLocks/>
        </xdr:cNvSpPr>
      </xdr:nvSpPr>
      <xdr:spPr bwMode="auto">
        <a:xfrm>
          <a:off x="44481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184</xdr:row>
      <xdr:rowOff>171450</xdr:rowOff>
    </xdr:from>
    <xdr:to>
      <xdr:col>23</xdr:col>
      <xdr:colOff>0</xdr:colOff>
      <xdr:row>187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805A4C83-2E72-4955-AB14-8E25658AC2AF}"/>
            </a:ext>
          </a:extLst>
        </xdr:cNvPr>
        <xdr:cNvSpPr>
          <a:spLocks noChangeArrowheads="1"/>
        </xdr:cNvSpPr>
      </xdr:nvSpPr>
      <xdr:spPr bwMode="auto">
        <a:xfrm>
          <a:off x="52006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184</xdr:row>
      <xdr:rowOff>142875</xdr:rowOff>
    </xdr:from>
    <xdr:to>
      <xdr:col>26</xdr:col>
      <xdr:colOff>1</xdr:colOff>
      <xdr:row>185</xdr:row>
      <xdr:rowOff>104775</xdr:rowOff>
    </xdr:to>
    <xdr:sp macro="" textlink="">
      <xdr:nvSpPr>
        <xdr:cNvPr id="359" name="Freeform 10695">
          <a:extLst>
            <a:ext uri="{FF2B5EF4-FFF2-40B4-BE49-F238E27FC236}">
              <a16:creationId xmlns:a16="http://schemas.microsoft.com/office/drawing/2014/main" id="{87CB14C7-E82A-426F-AC9C-7B66F6231CA6}"/>
            </a:ext>
          </a:extLst>
        </xdr:cNvPr>
        <xdr:cNvSpPr>
          <a:spLocks/>
        </xdr:cNvSpPr>
      </xdr:nvSpPr>
      <xdr:spPr bwMode="auto">
        <a:xfrm>
          <a:off x="54387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184</xdr:row>
      <xdr:rowOff>171450</xdr:rowOff>
    </xdr:from>
    <xdr:to>
      <xdr:col>27</xdr:col>
      <xdr:colOff>0</xdr:colOff>
      <xdr:row>187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D50326D7-4961-4748-A0F8-08AC1681858E}"/>
            </a:ext>
          </a:extLst>
        </xdr:cNvPr>
        <xdr:cNvSpPr>
          <a:spLocks noChangeArrowheads="1"/>
        </xdr:cNvSpPr>
      </xdr:nvSpPr>
      <xdr:spPr bwMode="auto">
        <a:xfrm>
          <a:off x="61912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184</xdr:row>
      <xdr:rowOff>142875</xdr:rowOff>
    </xdr:from>
    <xdr:to>
      <xdr:col>30</xdr:col>
      <xdr:colOff>1</xdr:colOff>
      <xdr:row>185</xdr:row>
      <xdr:rowOff>104775</xdr:rowOff>
    </xdr:to>
    <xdr:sp macro="" textlink="">
      <xdr:nvSpPr>
        <xdr:cNvPr id="361" name="Freeform 10695">
          <a:extLst>
            <a:ext uri="{FF2B5EF4-FFF2-40B4-BE49-F238E27FC236}">
              <a16:creationId xmlns:a16="http://schemas.microsoft.com/office/drawing/2014/main" id="{52302AEB-95B4-45A8-98B1-14C2CA14F75F}"/>
            </a:ext>
          </a:extLst>
        </xdr:cNvPr>
        <xdr:cNvSpPr>
          <a:spLocks/>
        </xdr:cNvSpPr>
      </xdr:nvSpPr>
      <xdr:spPr bwMode="auto">
        <a:xfrm>
          <a:off x="64293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184</xdr:row>
      <xdr:rowOff>171450</xdr:rowOff>
    </xdr:from>
    <xdr:to>
      <xdr:col>31</xdr:col>
      <xdr:colOff>0</xdr:colOff>
      <xdr:row>187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6C001E66-29C0-4BA4-AE18-D24D712F85B6}"/>
            </a:ext>
          </a:extLst>
        </xdr:cNvPr>
        <xdr:cNvSpPr>
          <a:spLocks noChangeArrowheads="1"/>
        </xdr:cNvSpPr>
      </xdr:nvSpPr>
      <xdr:spPr bwMode="auto">
        <a:xfrm>
          <a:off x="71818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184</xdr:row>
      <xdr:rowOff>142875</xdr:rowOff>
    </xdr:from>
    <xdr:to>
      <xdr:col>34</xdr:col>
      <xdr:colOff>1</xdr:colOff>
      <xdr:row>185</xdr:row>
      <xdr:rowOff>104775</xdr:rowOff>
    </xdr:to>
    <xdr:sp macro="" textlink="">
      <xdr:nvSpPr>
        <xdr:cNvPr id="363" name="Freeform 10695">
          <a:extLst>
            <a:ext uri="{FF2B5EF4-FFF2-40B4-BE49-F238E27FC236}">
              <a16:creationId xmlns:a16="http://schemas.microsoft.com/office/drawing/2014/main" id="{2456D65C-D4CD-4C95-B7EE-18EDA15E34EB}"/>
            </a:ext>
          </a:extLst>
        </xdr:cNvPr>
        <xdr:cNvSpPr>
          <a:spLocks/>
        </xdr:cNvSpPr>
      </xdr:nvSpPr>
      <xdr:spPr bwMode="auto">
        <a:xfrm>
          <a:off x="74199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184</xdr:row>
      <xdr:rowOff>171450</xdr:rowOff>
    </xdr:from>
    <xdr:to>
      <xdr:col>35</xdr:col>
      <xdr:colOff>0</xdr:colOff>
      <xdr:row>187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C18F7AC3-BBAA-4E5A-BAF2-9032696D020D}"/>
            </a:ext>
          </a:extLst>
        </xdr:cNvPr>
        <xdr:cNvSpPr>
          <a:spLocks noChangeArrowheads="1"/>
        </xdr:cNvSpPr>
      </xdr:nvSpPr>
      <xdr:spPr bwMode="auto">
        <a:xfrm>
          <a:off x="81724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184</xdr:row>
      <xdr:rowOff>142875</xdr:rowOff>
    </xdr:from>
    <xdr:to>
      <xdr:col>38</xdr:col>
      <xdr:colOff>1</xdr:colOff>
      <xdr:row>185</xdr:row>
      <xdr:rowOff>104775</xdr:rowOff>
    </xdr:to>
    <xdr:sp macro="" textlink="">
      <xdr:nvSpPr>
        <xdr:cNvPr id="365" name="Freeform 10695">
          <a:extLst>
            <a:ext uri="{FF2B5EF4-FFF2-40B4-BE49-F238E27FC236}">
              <a16:creationId xmlns:a16="http://schemas.microsoft.com/office/drawing/2014/main" id="{E31096EF-C390-4604-8D61-D8276674C4D6}"/>
            </a:ext>
          </a:extLst>
        </xdr:cNvPr>
        <xdr:cNvSpPr>
          <a:spLocks/>
        </xdr:cNvSpPr>
      </xdr:nvSpPr>
      <xdr:spPr bwMode="auto">
        <a:xfrm>
          <a:off x="84105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184</xdr:row>
      <xdr:rowOff>171450</xdr:rowOff>
    </xdr:from>
    <xdr:to>
      <xdr:col>3</xdr:col>
      <xdr:colOff>0</xdr:colOff>
      <xdr:row>187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BBBB3A70-D72C-4043-9353-53CEA8A9E777}"/>
            </a:ext>
          </a:extLst>
        </xdr:cNvPr>
        <xdr:cNvSpPr>
          <a:spLocks noChangeArrowheads="1"/>
        </xdr:cNvSpPr>
      </xdr:nvSpPr>
      <xdr:spPr bwMode="auto">
        <a:xfrm>
          <a:off x="2476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184</xdr:row>
      <xdr:rowOff>142875</xdr:rowOff>
    </xdr:from>
    <xdr:to>
      <xdr:col>6</xdr:col>
      <xdr:colOff>9526</xdr:colOff>
      <xdr:row>185</xdr:row>
      <xdr:rowOff>104775</xdr:rowOff>
    </xdr:to>
    <xdr:sp macro="" textlink="">
      <xdr:nvSpPr>
        <xdr:cNvPr id="367" name="Freeform 10695">
          <a:extLst>
            <a:ext uri="{FF2B5EF4-FFF2-40B4-BE49-F238E27FC236}">
              <a16:creationId xmlns:a16="http://schemas.microsoft.com/office/drawing/2014/main" id="{B1D4F622-980E-484A-AB4D-BED7FB6532BE}"/>
            </a:ext>
          </a:extLst>
        </xdr:cNvPr>
        <xdr:cNvSpPr>
          <a:spLocks/>
        </xdr:cNvSpPr>
      </xdr:nvSpPr>
      <xdr:spPr bwMode="auto">
        <a:xfrm>
          <a:off x="495300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184</xdr:row>
      <xdr:rowOff>171450</xdr:rowOff>
    </xdr:from>
    <xdr:to>
      <xdr:col>39</xdr:col>
      <xdr:colOff>0</xdr:colOff>
      <xdr:row>187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738F3A50-3F8C-4CBD-9063-69511DBD89DC}"/>
            </a:ext>
          </a:extLst>
        </xdr:cNvPr>
        <xdr:cNvSpPr>
          <a:spLocks noChangeArrowheads="1"/>
        </xdr:cNvSpPr>
      </xdr:nvSpPr>
      <xdr:spPr bwMode="auto">
        <a:xfrm>
          <a:off x="91630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184</xdr:row>
      <xdr:rowOff>142875</xdr:rowOff>
    </xdr:from>
    <xdr:to>
      <xdr:col>42</xdr:col>
      <xdr:colOff>1</xdr:colOff>
      <xdr:row>185</xdr:row>
      <xdr:rowOff>104775</xdr:rowOff>
    </xdr:to>
    <xdr:sp macro="" textlink="">
      <xdr:nvSpPr>
        <xdr:cNvPr id="369" name="Freeform 10695">
          <a:extLst>
            <a:ext uri="{FF2B5EF4-FFF2-40B4-BE49-F238E27FC236}">
              <a16:creationId xmlns:a16="http://schemas.microsoft.com/office/drawing/2014/main" id="{B769CAEA-3B8D-474C-BB5A-E472EE288776}"/>
            </a:ext>
          </a:extLst>
        </xdr:cNvPr>
        <xdr:cNvSpPr>
          <a:spLocks/>
        </xdr:cNvSpPr>
      </xdr:nvSpPr>
      <xdr:spPr bwMode="auto">
        <a:xfrm>
          <a:off x="94011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184</xdr:row>
      <xdr:rowOff>171450</xdr:rowOff>
    </xdr:from>
    <xdr:to>
      <xdr:col>43</xdr:col>
      <xdr:colOff>0</xdr:colOff>
      <xdr:row>187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46F96EBA-E787-49B2-AA56-B84E0A60E777}"/>
            </a:ext>
          </a:extLst>
        </xdr:cNvPr>
        <xdr:cNvSpPr>
          <a:spLocks noChangeArrowheads="1"/>
        </xdr:cNvSpPr>
      </xdr:nvSpPr>
      <xdr:spPr bwMode="auto">
        <a:xfrm>
          <a:off x="101536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194</xdr:row>
      <xdr:rowOff>171450</xdr:rowOff>
    </xdr:from>
    <xdr:to>
      <xdr:col>7</xdr:col>
      <xdr:colOff>0</xdr:colOff>
      <xdr:row>197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87611338-4F57-4143-A213-A10F67C7EE9C}"/>
            </a:ext>
          </a:extLst>
        </xdr:cNvPr>
        <xdr:cNvSpPr>
          <a:spLocks noChangeArrowheads="1"/>
        </xdr:cNvSpPr>
      </xdr:nvSpPr>
      <xdr:spPr bwMode="auto">
        <a:xfrm>
          <a:off x="12382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194</xdr:row>
      <xdr:rowOff>142875</xdr:rowOff>
    </xdr:from>
    <xdr:to>
      <xdr:col>10</xdr:col>
      <xdr:colOff>9525</xdr:colOff>
      <xdr:row>195</xdr:row>
      <xdr:rowOff>104775</xdr:rowOff>
    </xdr:to>
    <xdr:sp macro="" textlink="">
      <xdr:nvSpPr>
        <xdr:cNvPr id="372" name="Freeform 10695">
          <a:extLst>
            <a:ext uri="{FF2B5EF4-FFF2-40B4-BE49-F238E27FC236}">
              <a16:creationId xmlns:a16="http://schemas.microsoft.com/office/drawing/2014/main" id="{72E0C32F-506E-4D40-9DCB-F8BD39570E63}"/>
            </a:ext>
          </a:extLst>
        </xdr:cNvPr>
        <xdr:cNvSpPr>
          <a:spLocks/>
        </xdr:cNvSpPr>
      </xdr:nvSpPr>
      <xdr:spPr bwMode="auto">
        <a:xfrm>
          <a:off x="1485899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194</xdr:row>
      <xdr:rowOff>171450</xdr:rowOff>
    </xdr:from>
    <xdr:to>
      <xdr:col>11</xdr:col>
      <xdr:colOff>0</xdr:colOff>
      <xdr:row>197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A123D680-8519-4D6D-AA22-4AA5DB7E0C5C}"/>
            </a:ext>
          </a:extLst>
        </xdr:cNvPr>
        <xdr:cNvSpPr>
          <a:spLocks noChangeArrowheads="1"/>
        </xdr:cNvSpPr>
      </xdr:nvSpPr>
      <xdr:spPr bwMode="auto">
        <a:xfrm>
          <a:off x="22288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194</xdr:row>
      <xdr:rowOff>142875</xdr:rowOff>
    </xdr:from>
    <xdr:to>
      <xdr:col>14</xdr:col>
      <xdr:colOff>1</xdr:colOff>
      <xdr:row>195</xdr:row>
      <xdr:rowOff>104775</xdr:rowOff>
    </xdr:to>
    <xdr:sp macro="" textlink="">
      <xdr:nvSpPr>
        <xdr:cNvPr id="374" name="Freeform 10695">
          <a:extLst>
            <a:ext uri="{FF2B5EF4-FFF2-40B4-BE49-F238E27FC236}">
              <a16:creationId xmlns:a16="http://schemas.microsoft.com/office/drawing/2014/main" id="{08691072-60F3-4C7E-B747-02E5D6203F37}"/>
            </a:ext>
          </a:extLst>
        </xdr:cNvPr>
        <xdr:cNvSpPr>
          <a:spLocks/>
        </xdr:cNvSpPr>
      </xdr:nvSpPr>
      <xdr:spPr bwMode="auto">
        <a:xfrm>
          <a:off x="24669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194</xdr:row>
      <xdr:rowOff>171450</xdr:rowOff>
    </xdr:from>
    <xdr:to>
      <xdr:col>15</xdr:col>
      <xdr:colOff>0</xdr:colOff>
      <xdr:row>197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28A54588-9547-4486-9F8A-C0135988CB0E}"/>
            </a:ext>
          </a:extLst>
        </xdr:cNvPr>
        <xdr:cNvSpPr>
          <a:spLocks noChangeArrowheads="1"/>
        </xdr:cNvSpPr>
      </xdr:nvSpPr>
      <xdr:spPr bwMode="auto">
        <a:xfrm>
          <a:off x="32194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194</xdr:row>
      <xdr:rowOff>142875</xdr:rowOff>
    </xdr:from>
    <xdr:to>
      <xdr:col>18</xdr:col>
      <xdr:colOff>1</xdr:colOff>
      <xdr:row>195</xdr:row>
      <xdr:rowOff>104775</xdr:rowOff>
    </xdr:to>
    <xdr:sp macro="" textlink="">
      <xdr:nvSpPr>
        <xdr:cNvPr id="376" name="Freeform 10695">
          <a:extLst>
            <a:ext uri="{FF2B5EF4-FFF2-40B4-BE49-F238E27FC236}">
              <a16:creationId xmlns:a16="http://schemas.microsoft.com/office/drawing/2014/main" id="{45A42F56-6966-43DF-A99E-A39CE29A47DA}"/>
            </a:ext>
          </a:extLst>
        </xdr:cNvPr>
        <xdr:cNvSpPr>
          <a:spLocks/>
        </xdr:cNvSpPr>
      </xdr:nvSpPr>
      <xdr:spPr bwMode="auto">
        <a:xfrm>
          <a:off x="34575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194</xdr:row>
      <xdr:rowOff>171450</xdr:rowOff>
    </xdr:from>
    <xdr:to>
      <xdr:col>19</xdr:col>
      <xdr:colOff>0</xdr:colOff>
      <xdr:row>197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4EE5077C-6E56-4E10-A6FB-62E4B121285E}"/>
            </a:ext>
          </a:extLst>
        </xdr:cNvPr>
        <xdr:cNvSpPr>
          <a:spLocks noChangeArrowheads="1"/>
        </xdr:cNvSpPr>
      </xdr:nvSpPr>
      <xdr:spPr bwMode="auto">
        <a:xfrm>
          <a:off x="42100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194</xdr:row>
      <xdr:rowOff>142875</xdr:rowOff>
    </xdr:from>
    <xdr:to>
      <xdr:col>22</xdr:col>
      <xdr:colOff>1</xdr:colOff>
      <xdr:row>195</xdr:row>
      <xdr:rowOff>104775</xdr:rowOff>
    </xdr:to>
    <xdr:sp macro="" textlink="">
      <xdr:nvSpPr>
        <xdr:cNvPr id="378" name="Freeform 10695">
          <a:extLst>
            <a:ext uri="{FF2B5EF4-FFF2-40B4-BE49-F238E27FC236}">
              <a16:creationId xmlns:a16="http://schemas.microsoft.com/office/drawing/2014/main" id="{ED97C147-DB84-457C-BFC2-28EA3E2B8195}"/>
            </a:ext>
          </a:extLst>
        </xdr:cNvPr>
        <xdr:cNvSpPr>
          <a:spLocks/>
        </xdr:cNvSpPr>
      </xdr:nvSpPr>
      <xdr:spPr bwMode="auto">
        <a:xfrm>
          <a:off x="44481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194</xdr:row>
      <xdr:rowOff>171450</xdr:rowOff>
    </xdr:from>
    <xdr:to>
      <xdr:col>23</xdr:col>
      <xdr:colOff>0</xdr:colOff>
      <xdr:row>197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7F3513C1-201F-4972-AC03-65069B201664}"/>
            </a:ext>
          </a:extLst>
        </xdr:cNvPr>
        <xdr:cNvSpPr>
          <a:spLocks noChangeArrowheads="1"/>
        </xdr:cNvSpPr>
      </xdr:nvSpPr>
      <xdr:spPr bwMode="auto">
        <a:xfrm>
          <a:off x="52006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194</xdr:row>
      <xdr:rowOff>142875</xdr:rowOff>
    </xdr:from>
    <xdr:to>
      <xdr:col>26</xdr:col>
      <xdr:colOff>1</xdr:colOff>
      <xdr:row>195</xdr:row>
      <xdr:rowOff>104775</xdr:rowOff>
    </xdr:to>
    <xdr:sp macro="" textlink="">
      <xdr:nvSpPr>
        <xdr:cNvPr id="380" name="Freeform 10695">
          <a:extLst>
            <a:ext uri="{FF2B5EF4-FFF2-40B4-BE49-F238E27FC236}">
              <a16:creationId xmlns:a16="http://schemas.microsoft.com/office/drawing/2014/main" id="{64D51CD3-AA88-48E6-BE9E-CD7F5E603703}"/>
            </a:ext>
          </a:extLst>
        </xdr:cNvPr>
        <xdr:cNvSpPr>
          <a:spLocks/>
        </xdr:cNvSpPr>
      </xdr:nvSpPr>
      <xdr:spPr bwMode="auto">
        <a:xfrm>
          <a:off x="54387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194</xdr:row>
      <xdr:rowOff>171450</xdr:rowOff>
    </xdr:from>
    <xdr:to>
      <xdr:col>27</xdr:col>
      <xdr:colOff>0</xdr:colOff>
      <xdr:row>197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54275EBF-2EF7-4073-9DC4-2AD309E60607}"/>
            </a:ext>
          </a:extLst>
        </xdr:cNvPr>
        <xdr:cNvSpPr>
          <a:spLocks noChangeArrowheads="1"/>
        </xdr:cNvSpPr>
      </xdr:nvSpPr>
      <xdr:spPr bwMode="auto">
        <a:xfrm>
          <a:off x="61912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194</xdr:row>
      <xdr:rowOff>142875</xdr:rowOff>
    </xdr:from>
    <xdr:to>
      <xdr:col>30</xdr:col>
      <xdr:colOff>1</xdr:colOff>
      <xdr:row>195</xdr:row>
      <xdr:rowOff>104775</xdr:rowOff>
    </xdr:to>
    <xdr:sp macro="" textlink="">
      <xdr:nvSpPr>
        <xdr:cNvPr id="382" name="Freeform 10695">
          <a:extLst>
            <a:ext uri="{FF2B5EF4-FFF2-40B4-BE49-F238E27FC236}">
              <a16:creationId xmlns:a16="http://schemas.microsoft.com/office/drawing/2014/main" id="{04011C36-6348-49A0-8A5D-4435D28C99C0}"/>
            </a:ext>
          </a:extLst>
        </xdr:cNvPr>
        <xdr:cNvSpPr>
          <a:spLocks/>
        </xdr:cNvSpPr>
      </xdr:nvSpPr>
      <xdr:spPr bwMode="auto">
        <a:xfrm>
          <a:off x="64293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194</xdr:row>
      <xdr:rowOff>171450</xdr:rowOff>
    </xdr:from>
    <xdr:to>
      <xdr:col>31</xdr:col>
      <xdr:colOff>0</xdr:colOff>
      <xdr:row>197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63685158-49F3-42B1-B293-AED4544FA919}"/>
            </a:ext>
          </a:extLst>
        </xdr:cNvPr>
        <xdr:cNvSpPr>
          <a:spLocks noChangeArrowheads="1"/>
        </xdr:cNvSpPr>
      </xdr:nvSpPr>
      <xdr:spPr bwMode="auto">
        <a:xfrm>
          <a:off x="71818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194</xdr:row>
      <xdr:rowOff>142875</xdr:rowOff>
    </xdr:from>
    <xdr:to>
      <xdr:col>34</xdr:col>
      <xdr:colOff>1</xdr:colOff>
      <xdr:row>195</xdr:row>
      <xdr:rowOff>104775</xdr:rowOff>
    </xdr:to>
    <xdr:sp macro="" textlink="">
      <xdr:nvSpPr>
        <xdr:cNvPr id="384" name="Freeform 10695">
          <a:extLst>
            <a:ext uri="{FF2B5EF4-FFF2-40B4-BE49-F238E27FC236}">
              <a16:creationId xmlns:a16="http://schemas.microsoft.com/office/drawing/2014/main" id="{D28196CD-1ADE-4470-B5EE-7B346AEC5633}"/>
            </a:ext>
          </a:extLst>
        </xdr:cNvPr>
        <xdr:cNvSpPr>
          <a:spLocks/>
        </xdr:cNvSpPr>
      </xdr:nvSpPr>
      <xdr:spPr bwMode="auto">
        <a:xfrm>
          <a:off x="74199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194</xdr:row>
      <xdr:rowOff>171450</xdr:rowOff>
    </xdr:from>
    <xdr:to>
      <xdr:col>35</xdr:col>
      <xdr:colOff>0</xdr:colOff>
      <xdr:row>197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87E6E367-DA62-4133-9C74-A0908BC7ABC0}"/>
            </a:ext>
          </a:extLst>
        </xdr:cNvPr>
        <xdr:cNvSpPr>
          <a:spLocks noChangeArrowheads="1"/>
        </xdr:cNvSpPr>
      </xdr:nvSpPr>
      <xdr:spPr bwMode="auto">
        <a:xfrm>
          <a:off x="81724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194</xdr:row>
      <xdr:rowOff>142875</xdr:rowOff>
    </xdr:from>
    <xdr:to>
      <xdr:col>38</xdr:col>
      <xdr:colOff>1</xdr:colOff>
      <xdr:row>195</xdr:row>
      <xdr:rowOff>104775</xdr:rowOff>
    </xdr:to>
    <xdr:sp macro="" textlink="">
      <xdr:nvSpPr>
        <xdr:cNvPr id="386" name="Freeform 10695">
          <a:extLst>
            <a:ext uri="{FF2B5EF4-FFF2-40B4-BE49-F238E27FC236}">
              <a16:creationId xmlns:a16="http://schemas.microsoft.com/office/drawing/2014/main" id="{F0A7F402-DB6F-469C-B4A9-161A985C59FE}"/>
            </a:ext>
          </a:extLst>
        </xdr:cNvPr>
        <xdr:cNvSpPr>
          <a:spLocks/>
        </xdr:cNvSpPr>
      </xdr:nvSpPr>
      <xdr:spPr bwMode="auto">
        <a:xfrm>
          <a:off x="84105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194</xdr:row>
      <xdr:rowOff>171450</xdr:rowOff>
    </xdr:from>
    <xdr:to>
      <xdr:col>3</xdr:col>
      <xdr:colOff>0</xdr:colOff>
      <xdr:row>197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99205FF1-354F-4F03-A05C-2B97A00E61B6}"/>
            </a:ext>
          </a:extLst>
        </xdr:cNvPr>
        <xdr:cNvSpPr>
          <a:spLocks noChangeArrowheads="1"/>
        </xdr:cNvSpPr>
      </xdr:nvSpPr>
      <xdr:spPr bwMode="auto">
        <a:xfrm>
          <a:off x="2476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194</xdr:row>
      <xdr:rowOff>142875</xdr:rowOff>
    </xdr:from>
    <xdr:to>
      <xdr:col>6</xdr:col>
      <xdr:colOff>9526</xdr:colOff>
      <xdr:row>195</xdr:row>
      <xdr:rowOff>104775</xdr:rowOff>
    </xdr:to>
    <xdr:sp macro="" textlink="">
      <xdr:nvSpPr>
        <xdr:cNvPr id="388" name="Freeform 10695">
          <a:extLst>
            <a:ext uri="{FF2B5EF4-FFF2-40B4-BE49-F238E27FC236}">
              <a16:creationId xmlns:a16="http://schemas.microsoft.com/office/drawing/2014/main" id="{7E2CBA17-EA1B-4624-B96D-81056D4E0BB0}"/>
            </a:ext>
          </a:extLst>
        </xdr:cNvPr>
        <xdr:cNvSpPr>
          <a:spLocks/>
        </xdr:cNvSpPr>
      </xdr:nvSpPr>
      <xdr:spPr bwMode="auto">
        <a:xfrm>
          <a:off x="495300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194</xdr:row>
      <xdr:rowOff>171450</xdr:rowOff>
    </xdr:from>
    <xdr:to>
      <xdr:col>39</xdr:col>
      <xdr:colOff>0</xdr:colOff>
      <xdr:row>197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76992E0F-DABF-40BA-A59D-3337CE886EEE}"/>
            </a:ext>
          </a:extLst>
        </xdr:cNvPr>
        <xdr:cNvSpPr>
          <a:spLocks noChangeArrowheads="1"/>
        </xdr:cNvSpPr>
      </xdr:nvSpPr>
      <xdr:spPr bwMode="auto">
        <a:xfrm>
          <a:off x="91630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194</xdr:row>
      <xdr:rowOff>142875</xdr:rowOff>
    </xdr:from>
    <xdr:to>
      <xdr:col>42</xdr:col>
      <xdr:colOff>1</xdr:colOff>
      <xdr:row>195</xdr:row>
      <xdr:rowOff>104775</xdr:rowOff>
    </xdr:to>
    <xdr:sp macro="" textlink="">
      <xdr:nvSpPr>
        <xdr:cNvPr id="390" name="Freeform 10695">
          <a:extLst>
            <a:ext uri="{FF2B5EF4-FFF2-40B4-BE49-F238E27FC236}">
              <a16:creationId xmlns:a16="http://schemas.microsoft.com/office/drawing/2014/main" id="{83EDADDF-02B0-4BC7-B832-AB46FB2D630F}"/>
            </a:ext>
          </a:extLst>
        </xdr:cNvPr>
        <xdr:cNvSpPr>
          <a:spLocks/>
        </xdr:cNvSpPr>
      </xdr:nvSpPr>
      <xdr:spPr bwMode="auto">
        <a:xfrm>
          <a:off x="94011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194</xdr:row>
      <xdr:rowOff>171450</xdr:rowOff>
    </xdr:from>
    <xdr:to>
      <xdr:col>43</xdr:col>
      <xdr:colOff>0</xdr:colOff>
      <xdr:row>197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765491DF-40BB-4853-B551-5D45AEAA9A54}"/>
            </a:ext>
          </a:extLst>
        </xdr:cNvPr>
        <xdr:cNvSpPr>
          <a:spLocks noChangeArrowheads="1"/>
        </xdr:cNvSpPr>
      </xdr:nvSpPr>
      <xdr:spPr bwMode="auto">
        <a:xfrm>
          <a:off x="101536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204</xdr:row>
      <xdr:rowOff>171450</xdr:rowOff>
    </xdr:from>
    <xdr:to>
      <xdr:col>7</xdr:col>
      <xdr:colOff>0</xdr:colOff>
      <xdr:row>207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9F525260-0A78-4F0E-A9AD-A755EF443F53}"/>
            </a:ext>
          </a:extLst>
        </xdr:cNvPr>
        <xdr:cNvSpPr>
          <a:spLocks noChangeArrowheads="1"/>
        </xdr:cNvSpPr>
      </xdr:nvSpPr>
      <xdr:spPr bwMode="auto">
        <a:xfrm>
          <a:off x="12382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204</xdr:row>
      <xdr:rowOff>142875</xdr:rowOff>
    </xdr:from>
    <xdr:to>
      <xdr:col>10</xdr:col>
      <xdr:colOff>9525</xdr:colOff>
      <xdr:row>205</xdr:row>
      <xdr:rowOff>104775</xdr:rowOff>
    </xdr:to>
    <xdr:sp macro="" textlink="">
      <xdr:nvSpPr>
        <xdr:cNvPr id="393" name="Freeform 10695">
          <a:extLst>
            <a:ext uri="{FF2B5EF4-FFF2-40B4-BE49-F238E27FC236}">
              <a16:creationId xmlns:a16="http://schemas.microsoft.com/office/drawing/2014/main" id="{FCD69698-1238-45B0-8378-D612757EA63F}"/>
            </a:ext>
          </a:extLst>
        </xdr:cNvPr>
        <xdr:cNvSpPr>
          <a:spLocks/>
        </xdr:cNvSpPr>
      </xdr:nvSpPr>
      <xdr:spPr bwMode="auto">
        <a:xfrm>
          <a:off x="1485899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204</xdr:row>
      <xdr:rowOff>171450</xdr:rowOff>
    </xdr:from>
    <xdr:to>
      <xdr:col>11</xdr:col>
      <xdr:colOff>0</xdr:colOff>
      <xdr:row>207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EA66B3F5-1F2C-4234-8DEE-E4698BC374B8}"/>
            </a:ext>
          </a:extLst>
        </xdr:cNvPr>
        <xdr:cNvSpPr>
          <a:spLocks noChangeArrowheads="1"/>
        </xdr:cNvSpPr>
      </xdr:nvSpPr>
      <xdr:spPr bwMode="auto">
        <a:xfrm>
          <a:off x="22288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204</xdr:row>
      <xdr:rowOff>142875</xdr:rowOff>
    </xdr:from>
    <xdr:to>
      <xdr:col>14</xdr:col>
      <xdr:colOff>1</xdr:colOff>
      <xdr:row>205</xdr:row>
      <xdr:rowOff>104775</xdr:rowOff>
    </xdr:to>
    <xdr:sp macro="" textlink="">
      <xdr:nvSpPr>
        <xdr:cNvPr id="395" name="Freeform 10695">
          <a:extLst>
            <a:ext uri="{FF2B5EF4-FFF2-40B4-BE49-F238E27FC236}">
              <a16:creationId xmlns:a16="http://schemas.microsoft.com/office/drawing/2014/main" id="{7DB3FFC0-BBFE-4AD8-A337-64A257224164}"/>
            </a:ext>
          </a:extLst>
        </xdr:cNvPr>
        <xdr:cNvSpPr>
          <a:spLocks/>
        </xdr:cNvSpPr>
      </xdr:nvSpPr>
      <xdr:spPr bwMode="auto">
        <a:xfrm>
          <a:off x="24669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204</xdr:row>
      <xdr:rowOff>171450</xdr:rowOff>
    </xdr:from>
    <xdr:to>
      <xdr:col>15</xdr:col>
      <xdr:colOff>0</xdr:colOff>
      <xdr:row>207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E91FBAB1-1C04-4B4C-9DA9-591D70EDD4FF}"/>
            </a:ext>
          </a:extLst>
        </xdr:cNvPr>
        <xdr:cNvSpPr>
          <a:spLocks noChangeArrowheads="1"/>
        </xdr:cNvSpPr>
      </xdr:nvSpPr>
      <xdr:spPr bwMode="auto">
        <a:xfrm>
          <a:off x="32194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204</xdr:row>
      <xdr:rowOff>142875</xdr:rowOff>
    </xdr:from>
    <xdr:to>
      <xdr:col>18</xdr:col>
      <xdr:colOff>1</xdr:colOff>
      <xdr:row>205</xdr:row>
      <xdr:rowOff>104775</xdr:rowOff>
    </xdr:to>
    <xdr:sp macro="" textlink="">
      <xdr:nvSpPr>
        <xdr:cNvPr id="397" name="Freeform 10695">
          <a:extLst>
            <a:ext uri="{FF2B5EF4-FFF2-40B4-BE49-F238E27FC236}">
              <a16:creationId xmlns:a16="http://schemas.microsoft.com/office/drawing/2014/main" id="{8472FF44-683E-49FA-8196-89385F761FB9}"/>
            </a:ext>
          </a:extLst>
        </xdr:cNvPr>
        <xdr:cNvSpPr>
          <a:spLocks/>
        </xdr:cNvSpPr>
      </xdr:nvSpPr>
      <xdr:spPr bwMode="auto">
        <a:xfrm>
          <a:off x="34575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204</xdr:row>
      <xdr:rowOff>171450</xdr:rowOff>
    </xdr:from>
    <xdr:to>
      <xdr:col>19</xdr:col>
      <xdr:colOff>0</xdr:colOff>
      <xdr:row>207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0A5F9FAA-391E-495A-AC2F-178795926918}"/>
            </a:ext>
          </a:extLst>
        </xdr:cNvPr>
        <xdr:cNvSpPr>
          <a:spLocks noChangeArrowheads="1"/>
        </xdr:cNvSpPr>
      </xdr:nvSpPr>
      <xdr:spPr bwMode="auto">
        <a:xfrm>
          <a:off x="42100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204</xdr:row>
      <xdr:rowOff>142875</xdr:rowOff>
    </xdr:from>
    <xdr:to>
      <xdr:col>22</xdr:col>
      <xdr:colOff>1</xdr:colOff>
      <xdr:row>205</xdr:row>
      <xdr:rowOff>104775</xdr:rowOff>
    </xdr:to>
    <xdr:sp macro="" textlink="">
      <xdr:nvSpPr>
        <xdr:cNvPr id="399" name="Freeform 10695">
          <a:extLst>
            <a:ext uri="{FF2B5EF4-FFF2-40B4-BE49-F238E27FC236}">
              <a16:creationId xmlns:a16="http://schemas.microsoft.com/office/drawing/2014/main" id="{BAF4ADF9-5A93-488E-A30A-BD57BADAC20A}"/>
            </a:ext>
          </a:extLst>
        </xdr:cNvPr>
        <xdr:cNvSpPr>
          <a:spLocks/>
        </xdr:cNvSpPr>
      </xdr:nvSpPr>
      <xdr:spPr bwMode="auto">
        <a:xfrm>
          <a:off x="44481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204</xdr:row>
      <xdr:rowOff>171450</xdr:rowOff>
    </xdr:from>
    <xdr:to>
      <xdr:col>23</xdr:col>
      <xdr:colOff>0</xdr:colOff>
      <xdr:row>207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70A8695E-60E6-4820-9FA9-A2B8B200A965}"/>
            </a:ext>
          </a:extLst>
        </xdr:cNvPr>
        <xdr:cNvSpPr>
          <a:spLocks noChangeArrowheads="1"/>
        </xdr:cNvSpPr>
      </xdr:nvSpPr>
      <xdr:spPr bwMode="auto">
        <a:xfrm>
          <a:off x="52006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204</xdr:row>
      <xdr:rowOff>142875</xdr:rowOff>
    </xdr:from>
    <xdr:to>
      <xdr:col>26</xdr:col>
      <xdr:colOff>1</xdr:colOff>
      <xdr:row>205</xdr:row>
      <xdr:rowOff>104775</xdr:rowOff>
    </xdr:to>
    <xdr:sp macro="" textlink="">
      <xdr:nvSpPr>
        <xdr:cNvPr id="401" name="Freeform 10695">
          <a:extLst>
            <a:ext uri="{FF2B5EF4-FFF2-40B4-BE49-F238E27FC236}">
              <a16:creationId xmlns:a16="http://schemas.microsoft.com/office/drawing/2014/main" id="{EB844378-55FA-45DA-93B8-A3B3471AF927}"/>
            </a:ext>
          </a:extLst>
        </xdr:cNvPr>
        <xdr:cNvSpPr>
          <a:spLocks/>
        </xdr:cNvSpPr>
      </xdr:nvSpPr>
      <xdr:spPr bwMode="auto">
        <a:xfrm>
          <a:off x="54387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204</xdr:row>
      <xdr:rowOff>171450</xdr:rowOff>
    </xdr:from>
    <xdr:to>
      <xdr:col>27</xdr:col>
      <xdr:colOff>0</xdr:colOff>
      <xdr:row>207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E7D55502-BA2E-424F-9217-EFF7EE2B4770}"/>
            </a:ext>
          </a:extLst>
        </xdr:cNvPr>
        <xdr:cNvSpPr>
          <a:spLocks noChangeArrowheads="1"/>
        </xdr:cNvSpPr>
      </xdr:nvSpPr>
      <xdr:spPr bwMode="auto">
        <a:xfrm>
          <a:off x="61912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204</xdr:row>
      <xdr:rowOff>142875</xdr:rowOff>
    </xdr:from>
    <xdr:to>
      <xdr:col>30</xdr:col>
      <xdr:colOff>1</xdr:colOff>
      <xdr:row>205</xdr:row>
      <xdr:rowOff>104775</xdr:rowOff>
    </xdr:to>
    <xdr:sp macro="" textlink="">
      <xdr:nvSpPr>
        <xdr:cNvPr id="403" name="Freeform 10695">
          <a:extLst>
            <a:ext uri="{FF2B5EF4-FFF2-40B4-BE49-F238E27FC236}">
              <a16:creationId xmlns:a16="http://schemas.microsoft.com/office/drawing/2014/main" id="{BBEA6BB8-37BC-44B6-AAAA-1E2E222210B6}"/>
            </a:ext>
          </a:extLst>
        </xdr:cNvPr>
        <xdr:cNvSpPr>
          <a:spLocks/>
        </xdr:cNvSpPr>
      </xdr:nvSpPr>
      <xdr:spPr bwMode="auto">
        <a:xfrm>
          <a:off x="64293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204</xdr:row>
      <xdr:rowOff>171450</xdr:rowOff>
    </xdr:from>
    <xdr:to>
      <xdr:col>31</xdr:col>
      <xdr:colOff>0</xdr:colOff>
      <xdr:row>207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A2E976B1-52AD-489B-8C40-AEA51FE9572F}"/>
            </a:ext>
          </a:extLst>
        </xdr:cNvPr>
        <xdr:cNvSpPr>
          <a:spLocks noChangeArrowheads="1"/>
        </xdr:cNvSpPr>
      </xdr:nvSpPr>
      <xdr:spPr bwMode="auto">
        <a:xfrm>
          <a:off x="71818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204</xdr:row>
      <xdr:rowOff>142875</xdr:rowOff>
    </xdr:from>
    <xdr:to>
      <xdr:col>34</xdr:col>
      <xdr:colOff>1</xdr:colOff>
      <xdr:row>205</xdr:row>
      <xdr:rowOff>104775</xdr:rowOff>
    </xdr:to>
    <xdr:sp macro="" textlink="">
      <xdr:nvSpPr>
        <xdr:cNvPr id="405" name="Freeform 10695">
          <a:extLst>
            <a:ext uri="{FF2B5EF4-FFF2-40B4-BE49-F238E27FC236}">
              <a16:creationId xmlns:a16="http://schemas.microsoft.com/office/drawing/2014/main" id="{ED0F41F4-F726-4613-BC3E-C0A0DF2A5AF0}"/>
            </a:ext>
          </a:extLst>
        </xdr:cNvPr>
        <xdr:cNvSpPr>
          <a:spLocks/>
        </xdr:cNvSpPr>
      </xdr:nvSpPr>
      <xdr:spPr bwMode="auto">
        <a:xfrm>
          <a:off x="74199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204</xdr:row>
      <xdr:rowOff>171450</xdr:rowOff>
    </xdr:from>
    <xdr:to>
      <xdr:col>35</xdr:col>
      <xdr:colOff>0</xdr:colOff>
      <xdr:row>207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20D330A5-E8BE-47F5-8272-5D451D1D6740}"/>
            </a:ext>
          </a:extLst>
        </xdr:cNvPr>
        <xdr:cNvSpPr>
          <a:spLocks noChangeArrowheads="1"/>
        </xdr:cNvSpPr>
      </xdr:nvSpPr>
      <xdr:spPr bwMode="auto">
        <a:xfrm>
          <a:off x="81724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204</xdr:row>
      <xdr:rowOff>142875</xdr:rowOff>
    </xdr:from>
    <xdr:to>
      <xdr:col>38</xdr:col>
      <xdr:colOff>1</xdr:colOff>
      <xdr:row>205</xdr:row>
      <xdr:rowOff>104775</xdr:rowOff>
    </xdr:to>
    <xdr:sp macro="" textlink="">
      <xdr:nvSpPr>
        <xdr:cNvPr id="407" name="Freeform 10695">
          <a:extLst>
            <a:ext uri="{FF2B5EF4-FFF2-40B4-BE49-F238E27FC236}">
              <a16:creationId xmlns:a16="http://schemas.microsoft.com/office/drawing/2014/main" id="{03A81CC9-FF97-4A2C-BF6A-2B82BFECDE4B}"/>
            </a:ext>
          </a:extLst>
        </xdr:cNvPr>
        <xdr:cNvSpPr>
          <a:spLocks/>
        </xdr:cNvSpPr>
      </xdr:nvSpPr>
      <xdr:spPr bwMode="auto">
        <a:xfrm>
          <a:off x="84105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204</xdr:row>
      <xdr:rowOff>171450</xdr:rowOff>
    </xdr:from>
    <xdr:to>
      <xdr:col>3</xdr:col>
      <xdr:colOff>0</xdr:colOff>
      <xdr:row>207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57418B4C-A3E7-45A7-8617-9C7443B5B2C4}"/>
            </a:ext>
          </a:extLst>
        </xdr:cNvPr>
        <xdr:cNvSpPr>
          <a:spLocks noChangeArrowheads="1"/>
        </xdr:cNvSpPr>
      </xdr:nvSpPr>
      <xdr:spPr bwMode="auto">
        <a:xfrm>
          <a:off x="2476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204</xdr:row>
      <xdr:rowOff>142875</xdr:rowOff>
    </xdr:from>
    <xdr:to>
      <xdr:col>6</xdr:col>
      <xdr:colOff>9526</xdr:colOff>
      <xdr:row>205</xdr:row>
      <xdr:rowOff>104775</xdr:rowOff>
    </xdr:to>
    <xdr:sp macro="" textlink="">
      <xdr:nvSpPr>
        <xdr:cNvPr id="409" name="Freeform 10695">
          <a:extLst>
            <a:ext uri="{FF2B5EF4-FFF2-40B4-BE49-F238E27FC236}">
              <a16:creationId xmlns:a16="http://schemas.microsoft.com/office/drawing/2014/main" id="{98CD148F-CF6E-4D6D-B82C-6F07CF395B13}"/>
            </a:ext>
          </a:extLst>
        </xdr:cNvPr>
        <xdr:cNvSpPr>
          <a:spLocks/>
        </xdr:cNvSpPr>
      </xdr:nvSpPr>
      <xdr:spPr bwMode="auto">
        <a:xfrm>
          <a:off x="495300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204</xdr:row>
      <xdr:rowOff>171450</xdr:rowOff>
    </xdr:from>
    <xdr:to>
      <xdr:col>39</xdr:col>
      <xdr:colOff>0</xdr:colOff>
      <xdr:row>207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508A3DA7-A6CA-4F1E-A5B2-1EFC0390C62B}"/>
            </a:ext>
          </a:extLst>
        </xdr:cNvPr>
        <xdr:cNvSpPr>
          <a:spLocks noChangeArrowheads="1"/>
        </xdr:cNvSpPr>
      </xdr:nvSpPr>
      <xdr:spPr bwMode="auto">
        <a:xfrm>
          <a:off x="91630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204</xdr:row>
      <xdr:rowOff>152400</xdr:rowOff>
    </xdr:from>
    <xdr:to>
      <xdr:col>42</xdr:col>
      <xdr:colOff>1</xdr:colOff>
      <xdr:row>205</xdr:row>
      <xdr:rowOff>114300</xdr:rowOff>
    </xdr:to>
    <xdr:sp macro="" textlink="">
      <xdr:nvSpPr>
        <xdr:cNvPr id="411" name="Freeform 10695">
          <a:extLst>
            <a:ext uri="{FF2B5EF4-FFF2-40B4-BE49-F238E27FC236}">
              <a16:creationId xmlns:a16="http://schemas.microsoft.com/office/drawing/2014/main" id="{F85D3D0F-7D85-40CC-A5BB-B14746409DFD}"/>
            </a:ext>
          </a:extLst>
        </xdr:cNvPr>
        <xdr:cNvSpPr>
          <a:spLocks/>
        </xdr:cNvSpPr>
      </xdr:nvSpPr>
      <xdr:spPr bwMode="auto">
        <a:xfrm>
          <a:off x="94011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204</xdr:row>
      <xdr:rowOff>171450</xdr:rowOff>
    </xdr:from>
    <xdr:to>
      <xdr:col>43</xdr:col>
      <xdr:colOff>0</xdr:colOff>
      <xdr:row>207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2985BC50-A00C-4045-B66D-E04BBE596E3B}"/>
            </a:ext>
          </a:extLst>
        </xdr:cNvPr>
        <xdr:cNvSpPr>
          <a:spLocks noChangeArrowheads="1"/>
        </xdr:cNvSpPr>
      </xdr:nvSpPr>
      <xdr:spPr bwMode="auto">
        <a:xfrm>
          <a:off x="101536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214</xdr:row>
      <xdr:rowOff>171450</xdr:rowOff>
    </xdr:from>
    <xdr:to>
      <xdr:col>7</xdr:col>
      <xdr:colOff>0</xdr:colOff>
      <xdr:row>217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C90594E9-6806-41A7-B00C-FDC197CD29D6}"/>
            </a:ext>
          </a:extLst>
        </xdr:cNvPr>
        <xdr:cNvSpPr>
          <a:spLocks noChangeArrowheads="1"/>
        </xdr:cNvSpPr>
      </xdr:nvSpPr>
      <xdr:spPr bwMode="auto">
        <a:xfrm>
          <a:off x="12382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214</xdr:row>
      <xdr:rowOff>142875</xdr:rowOff>
    </xdr:from>
    <xdr:to>
      <xdr:col>10</xdr:col>
      <xdr:colOff>9525</xdr:colOff>
      <xdr:row>215</xdr:row>
      <xdr:rowOff>104775</xdr:rowOff>
    </xdr:to>
    <xdr:sp macro="" textlink="">
      <xdr:nvSpPr>
        <xdr:cNvPr id="414" name="Freeform 10695">
          <a:extLst>
            <a:ext uri="{FF2B5EF4-FFF2-40B4-BE49-F238E27FC236}">
              <a16:creationId xmlns:a16="http://schemas.microsoft.com/office/drawing/2014/main" id="{7DAC6614-1527-4C1E-A347-3AC0624360B0}"/>
            </a:ext>
          </a:extLst>
        </xdr:cNvPr>
        <xdr:cNvSpPr>
          <a:spLocks/>
        </xdr:cNvSpPr>
      </xdr:nvSpPr>
      <xdr:spPr bwMode="auto">
        <a:xfrm>
          <a:off x="1485899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214</xdr:row>
      <xdr:rowOff>171450</xdr:rowOff>
    </xdr:from>
    <xdr:to>
      <xdr:col>11</xdr:col>
      <xdr:colOff>0</xdr:colOff>
      <xdr:row>217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08D5D48D-7C47-4E12-99A0-47A09335B84A}"/>
            </a:ext>
          </a:extLst>
        </xdr:cNvPr>
        <xdr:cNvSpPr>
          <a:spLocks noChangeArrowheads="1"/>
        </xdr:cNvSpPr>
      </xdr:nvSpPr>
      <xdr:spPr bwMode="auto">
        <a:xfrm>
          <a:off x="22288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214</xdr:row>
      <xdr:rowOff>142875</xdr:rowOff>
    </xdr:from>
    <xdr:to>
      <xdr:col>14</xdr:col>
      <xdr:colOff>1</xdr:colOff>
      <xdr:row>215</xdr:row>
      <xdr:rowOff>104775</xdr:rowOff>
    </xdr:to>
    <xdr:sp macro="" textlink="">
      <xdr:nvSpPr>
        <xdr:cNvPr id="416" name="Freeform 10695">
          <a:extLst>
            <a:ext uri="{FF2B5EF4-FFF2-40B4-BE49-F238E27FC236}">
              <a16:creationId xmlns:a16="http://schemas.microsoft.com/office/drawing/2014/main" id="{39E8D8EE-70CD-45B6-9318-CC7CEAE053F0}"/>
            </a:ext>
          </a:extLst>
        </xdr:cNvPr>
        <xdr:cNvSpPr>
          <a:spLocks/>
        </xdr:cNvSpPr>
      </xdr:nvSpPr>
      <xdr:spPr bwMode="auto">
        <a:xfrm>
          <a:off x="24669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214</xdr:row>
      <xdr:rowOff>171450</xdr:rowOff>
    </xdr:from>
    <xdr:to>
      <xdr:col>15</xdr:col>
      <xdr:colOff>0</xdr:colOff>
      <xdr:row>217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2AEC698A-363F-4F8A-969B-41A51232E5D2}"/>
            </a:ext>
          </a:extLst>
        </xdr:cNvPr>
        <xdr:cNvSpPr>
          <a:spLocks noChangeArrowheads="1"/>
        </xdr:cNvSpPr>
      </xdr:nvSpPr>
      <xdr:spPr bwMode="auto">
        <a:xfrm>
          <a:off x="32194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214</xdr:row>
      <xdr:rowOff>142875</xdr:rowOff>
    </xdr:from>
    <xdr:to>
      <xdr:col>18</xdr:col>
      <xdr:colOff>1</xdr:colOff>
      <xdr:row>215</xdr:row>
      <xdr:rowOff>104775</xdr:rowOff>
    </xdr:to>
    <xdr:sp macro="" textlink="">
      <xdr:nvSpPr>
        <xdr:cNvPr id="418" name="Freeform 10695">
          <a:extLst>
            <a:ext uri="{FF2B5EF4-FFF2-40B4-BE49-F238E27FC236}">
              <a16:creationId xmlns:a16="http://schemas.microsoft.com/office/drawing/2014/main" id="{245EBDF4-7145-430F-BCF5-6A67BFD7A78D}"/>
            </a:ext>
          </a:extLst>
        </xdr:cNvPr>
        <xdr:cNvSpPr>
          <a:spLocks/>
        </xdr:cNvSpPr>
      </xdr:nvSpPr>
      <xdr:spPr bwMode="auto">
        <a:xfrm>
          <a:off x="34575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214</xdr:row>
      <xdr:rowOff>171450</xdr:rowOff>
    </xdr:from>
    <xdr:to>
      <xdr:col>19</xdr:col>
      <xdr:colOff>0</xdr:colOff>
      <xdr:row>217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679A10AB-0429-4AA0-910A-C669D0BEA6F1}"/>
            </a:ext>
          </a:extLst>
        </xdr:cNvPr>
        <xdr:cNvSpPr>
          <a:spLocks noChangeArrowheads="1"/>
        </xdr:cNvSpPr>
      </xdr:nvSpPr>
      <xdr:spPr bwMode="auto">
        <a:xfrm>
          <a:off x="42100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214</xdr:row>
      <xdr:rowOff>142875</xdr:rowOff>
    </xdr:from>
    <xdr:to>
      <xdr:col>22</xdr:col>
      <xdr:colOff>1</xdr:colOff>
      <xdr:row>215</xdr:row>
      <xdr:rowOff>104775</xdr:rowOff>
    </xdr:to>
    <xdr:sp macro="" textlink="">
      <xdr:nvSpPr>
        <xdr:cNvPr id="420" name="Freeform 10695">
          <a:extLst>
            <a:ext uri="{FF2B5EF4-FFF2-40B4-BE49-F238E27FC236}">
              <a16:creationId xmlns:a16="http://schemas.microsoft.com/office/drawing/2014/main" id="{53BEB47D-B28C-4940-9A4F-E920A6E7EFEF}"/>
            </a:ext>
          </a:extLst>
        </xdr:cNvPr>
        <xdr:cNvSpPr>
          <a:spLocks/>
        </xdr:cNvSpPr>
      </xdr:nvSpPr>
      <xdr:spPr bwMode="auto">
        <a:xfrm>
          <a:off x="44481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214</xdr:row>
      <xdr:rowOff>171450</xdr:rowOff>
    </xdr:from>
    <xdr:to>
      <xdr:col>23</xdr:col>
      <xdr:colOff>0</xdr:colOff>
      <xdr:row>217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E031DFF3-03A8-458B-B89A-1517DB282E78}"/>
            </a:ext>
          </a:extLst>
        </xdr:cNvPr>
        <xdr:cNvSpPr>
          <a:spLocks noChangeArrowheads="1"/>
        </xdr:cNvSpPr>
      </xdr:nvSpPr>
      <xdr:spPr bwMode="auto">
        <a:xfrm>
          <a:off x="52006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214</xdr:row>
      <xdr:rowOff>142875</xdr:rowOff>
    </xdr:from>
    <xdr:to>
      <xdr:col>26</xdr:col>
      <xdr:colOff>1</xdr:colOff>
      <xdr:row>215</xdr:row>
      <xdr:rowOff>104775</xdr:rowOff>
    </xdr:to>
    <xdr:sp macro="" textlink="">
      <xdr:nvSpPr>
        <xdr:cNvPr id="422" name="Freeform 10695">
          <a:extLst>
            <a:ext uri="{FF2B5EF4-FFF2-40B4-BE49-F238E27FC236}">
              <a16:creationId xmlns:a16="http://schemas.microsoft.com/office/drawing/2014/main" id="{2AC2D924-92B0-4FC8-864D-E41EFC680485}"/>
            </a:ext>
          </a:extLst>
        </xdr:cNvPr>
        <xdr:cNvSpPr>
          <a:spLocks/>
        </xdr:cNvSpPr>
      </xdr:nvSpPr>
      <xdr:spPr bwMode="auto">
        <a:xfrm>
          <a:off x="54387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214</xdr:row>
      <xdr:rowOff>171450</xdr:rowOff>
    </xdr:from>
    <xdr:to>
      <xdr:col>27</xdr:col>
      <xdr:colOff>0</xdr:colOff>
      <xdr:row>217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E46CD63E-B072-40D3-BDAC-9538A26F6628}"/>
            </a:ext>
          </a:extLst>
        </xdr:cNvPr>
        <xdr:cNvSpPr>
          <a:spLocks noChangeArrowheads="1"/>
        </xdr:cNvSpPr>
      </xdr:nvSpPr>
      <xdr:spPr bwMode="auto">
        <a:xfrm>
          <a:off x="61912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214</xdr:row>
      <xdr:rowOff>142875</xdr:rowOff>
    </xdr:from>
    <xdr:to>
      <xdr:col>30</xdr:col>
      <xdr:colOff>1</xdr:colOff>
      <xdr:row>215</xdr:row>
      <xdr:rowOff>104775</xdr:rowOff>
    </xdr:to>
    <xdr:sp macro="" textlink="">
      <xdr:nvSpPr>
        <xdr:cNvPr id="424" name="Freeform 10695">
          <a:extLst>
            <a:ext uri="{FF2B5EF4-FFF2-40B4-BE49-F238E27FC236}">
              <a16:creationId xmlns:a16="http://schemas.microsoft.com/office/drawing/2014/main" id="{27BE423B-BEF7-480E-9C0A-F05879437A96}"/>
            </a:ext>
          </a:extLst>
        </xdr:cNvPr>
        <xdr:cNvSpPr>
          <a:spLocks/>
        </xdr:cNvSpPr>
      </xdr:nvSpPr>
      <xdr:spPr bwMode="auto">
        <a:xfrm>
          <a:off x="64293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214</xdr:row>
      <xdr:rowOff>171450</xdr:rowOff>
    </xdr:from>
    <xdr:to>
      <xdr:col>31</xdr:col>
      <xdr:colOff>0</xdr:colOff>
      <xdr:row>217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8A4A9ACF-4C55-4A3B-882F-B135EC95D116}"/>
            </a:ext>
          </a:extLst>
        </xdr:cNvPr>
        <xdr:cNvSpPr>
          <a:spLocks noChangeArrowheads="1"/>
        </xdr:cNvSpPr>
      </xdr:nvSpPr>
      <xdr:spPr bwMode="auto">
        <a:xfrm>
          <a:off x="71818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214</xdr:row>
      <xdr:rowOff>142875</xdr:rowOff>
    </xdr:from>
    <xdr:to>
      <xdr:col>34</xdr:col>
      <xdr:colOff>1</xdr:colOff>
      <xdr:row>215</xdr:row>
      <xdr:rowOff>104775</xdr:rowOff>
    </xdr:to>
    <xdr:sp macro="" textlink="">
      <xdr:nvSpPr>
        <xdr:cNvPr id="426" name="Freeform 10695">
          <a:extLst>
            <a:ext uri="{FF2B5EF4-FFF2-40B4-BE49-F238E27FC236}">
              <a16:creationId xmlns:a16="http://schemas.microsoft.com/office/drawing/2014/main" id="{ED10CCC0-2615-485C-8F41-0CA13BC0FD85}"/>
            </a:ext>
          </a:extLst>
        </xdr:cNvPr>
        <xdr:cNvSpPr>
          <a:spLocks/>
        </xdr:cNvSpPr>
      </xdr:nvSpPr>
      <xdr:spPr bwMode="auto">
        <a:xfrm>
          <a:off x="74199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214</xdr:row>
      <xdr:rowOff>171450</xdr:rowOff>
    </xdr:from>
    <xdr:to>
      <xdr:col>35</xdr:col>
      <xdr:colOff>0</xdr:colOff>
      <xdr:row>217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1EB68EEE-3413-4B3B-B3CC-0B8A0F618AB9}"/>
            </a:ext>
          </a:extLst>
        </xdr:cNvPr>
        <xdr:cNvSpPr>
          <a:spLocks noChangeArrowheads="1"/>
        </xdr:cNvSpPr>
      </xdr:nvSpPr>
      <xdr:spPr bwMode="auto">
        <a:xfrm>
          <a:off x="81724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214</xdr:row>
      <xdr:rowOff>142875</xdr:rowOff>
    </xdr:from>
    <xdr:to>
      <xdr:col>38</xdr:col>
      <xdr:colOff>1</xdr:colOff>
      <xdr:row>215</xdr:row>
      <xdr:rowOff>104775</xdr:rowOff>
    </xdr:to>
    <xdr:sp macro="" textlink="">
      <xdr:nvSpPr>
        <xdr:cNvPr id="428" name="Freeform 10695">
          <a:extLst>
            <a:ext uri="{FF2B5EF4-FFF2-40B4-BE49-F238E27FC236}">
              <a16:creationId xmlns:a16="http://schemas.microsoft.com/office/drawing/2014/main" id="{C375CE78-AC59-4EA7-A881-4BE00E37A7FD}"/>
            </a:ext>
          </a:extLst>
        </xdr:cNvPr>
        <xdr:cNvSpPr>
          <a:spLocks/>
        </xdr:cNvSpPr>
      </xdr:nvSpPr>
      <xdr:spPr bwMode="auto">
        <a:xfrm>
          <a:off x="84105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214</xdr:row>
      <xdr:rowOff>171450</xdr:rowOff>
    </xdr:from>
    <xdr:to>
      <xdr:col>3</xdr:col>
      <xdr:colOff>0</xdr:colOff>
      <xdr:row>217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BDAA9985-0A95-4D4D-AC83-8D41C398900A}"/>
            </a:ext>
          </a:extLst>
        </xdr:cNvPr>
        <xdr:cNvSpPr>
          <a:spLocks noChangeArrowheads="1"/>
        </xdr:cNvSpPr>
      </xdr:nvSpPr>
      <xdr:spPr bwMode="auto">
        <a:xfrm>
          <a:off x="2476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214</xdr:row>
      <xdr:rowOff>142875</xdr:rowOff>
    </xdr:from>
    <xdr:to>
      <xdr:col>6</xdr:col>
      <xdr:colOff>9526</xdr:colOff>
      <xdr:row>215</xdr:row>
      <xdr:rowOff>104775</xdr:rowOff>
    </xdr:to>
    <xdr:sp macro="" textlink="">
      <xdr:nvSpPr>
        <xdr:cNvPr id="430" name="Freeform 10695">
          <a:extLst>
            <a:ext uri="{FF2B5EF4-FFF2-40B4-BE49-F238E27FC236}">
              <a16:creationId xmlns:a16="http://schemas.microsoft.com/office/drawing/2014/main" id="{E39360C0-72D4-4F07-BFFC-733EB6964ED8}"/>
            </a:ext>
          </a:extLst>
        </xdr:cNvPr>
        <xdr:cNvSpPr>
          <a:spLocks/>
        </xdr:cNvSpPr>
      </xdr:nvSpPr>
      <xdr:spPr bwMode="auto">
        <a:xfrm>
          <a:off x="495300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214</xdr:row>
      <xdr:rowOff>171450</xdr:rowOff>
    </xdr:from>
    <xdr:to>
      <xdr:col>39</xdr:col>
      <xdr:colOff>0</xdr:colOff>
      <xdr:row>217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E5F024B8-ACC2-43E9-91F6-A41B81C86031}"/>
            </a:ext>
          </a:extLst>
        </xdr:cNvPr>
        <xdr:cNvSpPr>
          <a:spLocks noChangeArrowheads="1"/>
        </xdr:cNvSpPr>
      </xdr:nvSpPr>
      <xdr:spPr bwMode="auto">
        <a:xfrm>
          <a:off x="91630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214</xdr:row>
      <xdr:rowOff>152400</xdr:rowOff>
    </xdr:from>
    <xdr:to>
      <xdr:col>42</xdr:col>
      <xdr:colOff>1</xdr:colOff>
      <xdr:row>215</xdr:row>
      <xdr:rowOff>114300</xdr:rowOff>
    </xdr:to>
    <xdr:sp macro="" textlink="">
      <xdr:nvSpPr>
        <xdr:cNvPr id="432" name="Freeform 10695">
          <a:extLst>
            <a:ext uri="{FF2B5EF4-FFF2-40B4-BE49-F238E27FC236}">
              <a16:creationId xmlns:a16="http://schemas.microsoft.com/office/drawing/2014/main" id="{8749ACC4-B411-443C-8BB8-BF0F6D66BCF3}"/>
            </a:ext>
          </a:extLst>
        </xdr:cNvPr>
        <xdr:cNvSpPr>
          <a:spLocks/>
        </xdr:cNvSpPr>
      </xdr:nvSpPr>
      <xdr:spPr bwMode="auto">
        <a:xfrm>
          <a:off x="94011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214</xdr:row>
      <xdr:rowOff>171450</xdr:rowOff>
    </xdr:from>
    <xdr:to>
      <xdr:col>43</xdr:col>
      <xdr:colOff>0</xdr:colOff>
      <xdr:row>217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AD01D5E5-B1E5-4480-B377-4A52745E403A}"/>
            </a:ext>
          </a:extLst>
        </xdr:cNvPr>
        <xdr:cNvSpPr>
          <a:spLocks noChangeArrowheads="1"/>
        </xdr:cNvSpPr>
      </xdr:nvSpPr>
      <xdr:spPr bwMode="auto">
        <a:xfrm>
          <a:off x="101536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214</xdr:row>
      <xdr:rowOff>161925</xdr:rowOff>
    </xdr:from>
    <xdr:to>
      <xdr:col>45</xdr:col>
      <xdr:colOff>238125</xdr:colOff>
      <xdr:row>215</xdr:row>
      <xdr:rowOff>104775</xdr:rowOff>
    </xdr:to>
    <xdr:sp macro="" textlink="">
      <xdr:nvSpPr>
        <xdr:cNvPr id="434" name="Freeform 10695">
          <a:extLst>
            <a:ext uri="{FF2B5EF4-FFF2-40B4-BE49-F238E27FC236}">
              <a16:creationId xmlns:a16="http://schemas.microsoft.com/office/drawing/2014/main" id="{4BC80613-1CBC-47A9-B720-880A1B94AE4B}"/>
            </a:ext>
          </a:extLst>
        </xdr:cNvPr>
        <xdr:cNvSpPr>
          <a:spLocks/>
        </xdr:cNvSpPr>
      </xdr:nvSpPr>
      <xdr:spPr bwMode="auto">
        <a:xfrm>
          <a:off x="10391775" y="40109775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224</xdr:row>
      <xdr:rowOff>171450</xdr:rowOff>
    </xdr:from>
    <xdr:to>
      <xdr:col>7</xdr:col>
      <xdr:colOff>0</xdr:colOff>
      <xdr:row>227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5A3A7E78-0C6A-4541-B4C6-8E6D7268568B}"/>
            </a:ext>
          </a:extLst>
        </xdr:cNvPr>
        <xdr:cNvSpPr>
          <a:spLocks noChangeArrowheads="1"/>
        </xdr:cNvSpPr>
      </xdr:nvSpPr>
      <xdr:spPr bwMode="auto">
        <a:xfrm>
          <a:off x="12382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224</xdr:row>
      <xdr:rowOff>142875</xdr:rowOff>
    </xdr:from>
    <xdr:to>
      <xdr:col>10</xdr:col>
      <xdr:colOff>9525</xdr:colOff>
      <xdr:row>225</xdr:row>
      <xdr:rowOff>104775</xdr:rowOff>
    </xdr:to>
    <xdr:sp macro="" textlink="">
      <xdr:nvSpPr>
        <xdr:cNvPr id="436" name="Freeform 10695">
          <a:extLst>
            <a:ext uri="{FF2B5EF4-FFF2-40B4-BE49-F238E27FC236}">
              <a16:creationId xmlns:a16="http://schemas.microsoft.com/office/drawing/2014/main" id="{D9F6EFAD-7968-45CE-AD3E-94FD53C72868}"/>
            </a:ext>
          </a:extLst>
        </xdr:cNvPr>
        <xdr:cNvSpPr>
          <a:spLocks/>
        </xdr:cNvSpPr>
      </xdr:nvSpPr>
      <xdr:spPr bwMode="auto">
        <a:xfrm>
          <a:off x="1485899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224</xdr:row>
      <xdr:rowOff>171450</xdr:rowOff>
    </xdr:from>
    <xdr:to>
      <xdr:col>11</xdr:col>
      <xdr:colOff>0</xdr:colOff>
      <xdr:row>227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0DC643AA-F17E-4527-8EF7-BE8203E8C211}"/>
            </a:ext>
          </a:extLst>
        </xdr:cNvPr>
        <xdr:cNvSpPr>
          <a:spLocks noChangeArrowheads="1"/>
        </xdr:cNvSpPr>
      </xdr:nvSpPr>
      <xdr:spPr bwMode="auto">
        <a:xfrm>
          <a:off x="22288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224</xdr:row>
      <xdr:rowOff>142875</xdr:rowOff>
    </xdr:from>
    <xdr:to>
      <xdr:col>14</xdr:col>
      <xdr:colOff>1</xdr:colOff>
      <xdr:row>225</xdr:row>
      <xdr:rowOff>104775</xdr:rowOff>
    </xdr:to>
    <xdr:sp macro="" textlink="">
      <xdr:nvSpPr>
        <xdr:cNvPr id="438" name="Freeform 10695">
          <a:extLst>
            <a:ext uri="{FF2B5EF4-FFF2-40B4-BE49-F238E27FC236}">
              <a16:creationId xmlns:a16="http://schemas.microsoft.com/office/drawing/2014/main" id="{1C1B271A-EAB6-4BA3-9879-C83001302695}"/>
            </a:ext>
          </a:extLst>
        </xdr:cNvPr>
        <xdr:cNvSpPr>
          <a:spLocks/>
        </xdr:cNvSpPr>
      </xdr:nvSpPr>
      <xdr:spPr bwMode="auto">
        <a:xfrm>
          <a:off x="24669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224</xdr:row>
      <xdr:rowOff>171450</xdr:rowOff>
    </xdr:from>
    <xdr:to>
      <xdr:col>15</xdr:col>
      <xdr:colOff>0</xdr:colOff>
      <xdr:row>227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9B15BB46-A98C-4F49-82E4-40E1177481B5}"/>
            </a:ext>
          </a:extLst>
        </xdr:cNvPr>
        <xdr:cNvSpPr>
          <a:spLocks noChangeArrowheads="1"/>
        </xdr:cNvSpPr>
      </xdr:nvSpPr>
      <xdr:spPr bwMode="auto">
        <a:xfrm>
          <a:off x="32194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224</xdr:row>
      <xdr:rowOff>142875</xdr:rowOff>
    </xdr:from>
    <xdr:to>
      <xdr:col>18</xdr:col>
      <xdr:colOff>1</xdr:colOff>
      <xdr:row>225</xdr:row>
      <xdr:rowOff>104775</xdr:rowOff>
    </xdr:to>
    <xdr:sp macro="" textlink="">
      <xdr:nvSpPr>
        <xdr:cNvPr id="440" name="Freeform 10695">
          <a:extLst>
            <a:ext uri="{FF2B5EF4-FFF2-40B4-BE49-F238E27FC236}">
              <a16:creationId xmlns:a16="http://schemas.microsoft.com/office/drawing/2014/main" id="{3E846F59-071F-410B-9D24-10E2F2F88893}"/>
            </a:ext>
          </a:extLst>
        </xdr:cNvPr>
        <xdr:cNvSpPr>
          <a:spLocks/>
        </xdr:cNvSpPr>
      </xdr:nvSpPr>
      <xdr:spPr bwMode="auto">
        <a:xfrm>
          <a:off x="34575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224</xdr:row>
      <xdr:rowOff>171450</xdr:rowOff>
    </xdr:from>
    <xdr:to>
      <xdr:col>19</xdr:col>
      <xdr:colOff>0</xdr:colOff>
      <xdr:row>227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0303BD30-8582-42F2-A446-6FE003C30342}"/>
            </a:ext>
          </a:extLst>
        </xdr:cNvPr>
        <xdr:cNvSpPr>
          <a:spLocks noChangeArrowheads="1"/>
        </xdr:cNvSpPr>
      </xdr:nvSpPr>
      <xdr:spPr bwMode="auto">
        <a:xfrm>
          <a:off x="42100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224</xdr:row>
      <xdr:rowOff>142875</xdr:rowOff>
    </xdr:from>
    <xdr:to>
      <xdr:col>22</xdr:col>
      <xdr:colOff>1</xdr:colOff>
      <xdr:row>225</xdr:row>
      <xdr:rowOff>104775</xdr:rowOff>
    </xdr:to>
    <xdr:sp macro="" textlink="">
      <xdr:nvSpPr>
        <xdr:cNvPr id="442" name="Freeform 10695">
          <a:extLst>
            <a:ext uri="{FF2B5EF4-FFF2-40B4-BE49-F238E27FC236}">
              <a16:creationId xmlns:a16="http://schemas.microsoft.com/office/drawing/2014/main" id="{2E933FCC-8D36-4F4E-93E1-25FF2101ED8D}"/>
            </a:ext>
          </a:extLst>
        </xdr:cNvPr>
        <xdr:cNvSpPr>
          <a:spLocks/>
        </xdr:cNvSpPr>
      </xdr:nvSpPr>
      <xdr:spPr bwMode="auto">
        <a:xfrm>
          <a:off x="44481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224</xdr:row>
      <xdr:rowOff>171450</xdr:rowOff>
    </xdr:from>
    <xdr:to>
      <xdr:col>23</xdr:col>
      <xdr:colOff>0</xdr:colOff>
      <xdr:row>227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3A78B264-3DCF-41A3-8E63-DFECE3E0BA82}"/>
            </a:ext>
          </a:extLst>
        </xdr:cNvPr>
        <xdr:cNvSpPr>
          <a:spLocks noChangeArrowheads="1"/>
        </xdr:cNvSpPr>
      </xdr:nvSpPr>
      <xdr:spPr bwMode="auto">
        <a:xfrm>
          <a:off x="52006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224</xdr:row>
      <xdr:rowOff>142875</xdr:rowOff>
    </xdr:from>
    <xdr:to>
      <xdr:col>26</xdr:col>
      <xdr:colOff>1</xdr:colOff>
      <xdr:row>225</xdr:row>
      <xdr:rowOff>104775</xdr:rowOff>
    </xdr:to>
    <xdr:sp macro="" textlink="">
      <xdr:nvSpPr>
        <xdr:cNvPr id="444" name="Freeform 10695">
          <a:extLst>
            <a:ext uri="{FF2B5EF4-FFF2-40B4-BE49-F238E27FC236}">
              <a16:creationId xmlns:a16="http://schemas.microsoft.com/office/drawing/2014/main" id="{C86F5B6A-910C-44BA-8B0C-4DE8D7B242B1}"/>
            </a:ext>
          </a:extLst>
        </xdr:cNvPr>
        <xdr:cNvSpPr>
          <a:spLocks/>
        </xdr:cNvSpPr>
      </xdr:nvSpPr>
      <xdr:spPr bwMode="auto">
        <a:xfrm>
          <a:off x="54387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224</xdr:row>
      <xdr:rowOff>171450</xdr:rowOff>
    </xdr:from>
    <xdr:to>
      <xdr:col>27</xdr:col>
      <xdr:colOff>0</xdr:colOff>
      <xdr:row>227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05BB8E51-9C0E-4458-B355-E66F45E0FFB5}"/>
            </a:ext>
          </a:extLst>
        </xdr:cNvPr>
        <xdr:cNvSpPr>
          <a:spLocks noChangeArrowheads="1"/>
        </xdr:cNvSpPr>
      </xdr:nvSpPr>
      <xdr:spPr bwMode="auto">
        <a:xfrm>
          <a:off x="61912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224</xdr:row>
      <xdr:rowOff>142875</xdr:rowOff>
    </xdr:from>
    <xdr:to>
      <xdr:col>30</xdr:col>
      <xdr:colOff>1</xdr:colOff>
      <xdr:row>225</xdr:row>
      <xdr:rowOff>104775</xdr:rowOff>
    </xdr:to>
    <xdr:sp macro="" textlink="">
      <xdr:nvSpPr>
        <xdr:cNvPr id="446" name="Freeform 10695">
          <a:extLst>
            <a:ext uri="{FF2B5EF4-FFF2-40B4-BE49-F238E27FC236}">
              <a16:creationId xmlns:a16="http://schemas.microsoft.com/office/drawing/2014/main" id="{448452BF-7BE5-451F-A1B3-A89343BEA4FD}"/>
            </a:ext>
          </a:extLst>
        </xdr:cNvPr>
        <xdr:cNvSpPr>
          <a:spLocks/>
        </xdr:cNvSpPr>
      </xdr:nvSpPr>
      <xdr:spPr bwMode="auto">
        <a:xfrm>
          <a:off x="64293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224</xdr:row>
      <xdr:rowOff>171450</xdr:rowOff>
    </xdr:from>
    <xdr:to>
      <xdr:col>31</xdr:col>
      <xdr:colOff>0</xdr:colOff>
      <xdr:row>227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7399FD2F-CBD7-4F0D-8B11-05D15BD9645A}"/>
            </a:ext>
          </a:extLst>
        </xdr:cNvPr>
        <xdr:cNvSpPr>
          <a:spLocks noChangeArrowheads="1"/>
        </xdr:cNvSpPr>
      </xdr:nvSpPr>
      <xdr:spPr bwMode="auto">
        <a:xfrm>
          <a:off x="71818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224</xdr:row>
      <xdr:rowOff>142875</xdr:rowOff>
    </xdr:from>
    <xdr:to>
      <xdr:col>34</xdr:col>
      <xdr:colOff>1</xdr:colOff>
      <xdr:row>225</xdr:row>
      <xdr:rowOff>104775</xdr:rowOff>
    </xdr:to>
    <xdr:sp macro="" textlink="">
      <xdr:nvSpPr>
        <xdr:cNvPr id="448" name="Freeform 10695">
          <a:extLst>
            <a:ext uri="{FF2B5EF4-FFF2-40B4-BE49-F238E27FC236}">
              <a16:creationId xmlns:a16="http://schemas.microsoft.com/office/drawing/2014/main" id="{8CFFB0ED-0909-4829-931F-8F6D276631CA}"/>
            </a:ext>
          </a:extLst>
        </xdr:cNvPr>
        <xdr:cNvSpPr>
          <a:spLocks/>
        </xdr:cNvSpPr>
      </xdr:nvSpPr>
      <xdr:spPr bwMode="auto">
        <a:xfrm>
          <a:off x="74199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224</xdr:row>
      <xdr:rowOff>171450</xdr:rowOff>
    </xdr:from>
    <xdr:to>
      <xdr:col>35</xdr:col>
      <xdr:colOff>0</xdr:colOff>
      <xdr:row>227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C59084EC-CDA4-4369-9D00-19D835C02DB9}"/>
            </a:ext>
          </a:extLst>
        </xdr:cNvPr>
        <xdr:cNvSpPr>
          <a:spLocks noChangeArrowheads="1"/>
        </xdr:cNvSpPr>
      </xdr:nvSpPr>
      <xdr:spPr bwMode="auto">
        <a:xfrm>
          <a:off x="81724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224</xdr:row>
      <xdr:rowOff>142875</xdr:rowOff>
    </xdr:from>
    <xdr:to>
      <xdr:col>38</xdr:col>
      <xdr:colOff>1</xdr:colOff>
      <xdr:row>225</xdr:row>
      <xdr:rowOff>104775</xdr:rowOff>
    </xdr:to>
    <xdr:sp macro="" textlink="">
      <xdr:nvSpPr>
        <xdr:cNvPr id="450" name="Freeform 10695">
          <a:extLst>
            <a:ext uri="{FF2B5EF4-FFF2-40B4-BE49-F238E27FC236}">
              <a16:creationId xmlns:a16="http://schemas.microsoft.com/office/drawing/2014/main" id="{10BF9E19-51B9-460E-B27A-F55EF609C436}"/>
            </a:ext>
          </a:extLst>
        </xdr:cNvPr>
        <xdr:cNvSpPr>
          <a:spLocks/>
        </xdr:cNvSpPr>
      </xdr:nvSpPr>
      <xdr:spPr bwMode="auto">
        <a:xfrm>
          <a:off x="84105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224</xdr:row>
      <xdr:rowOff>171450</xdr:rowOff>
    </xdr:from>
    <xdr:to>
      <xdr:col>3</xdr:col>
      <xdr:colOff>0</xdr:colOff>
      <xdr:row>227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AEC5CB12-9897-4533-B12E-CA40677DE061}"/>
            </a:ext>
          </a:extLst>
        </xdr:cNvPr>
        <xdr:cNvSpPr>
          <a:spLocks noChangeArrowheads="1"/>
        </xdr:cNvSpPr>
      </xdr:nvSpPr>
      <xdr:spPr bwMode="auto">
        <a:xfrm>
          <a:off x="2476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224</xdr:row>
      <xdr:rowOff>142875</xdr:rowOff>
    </xdr:from>
    <xdr:to>
      <xdr:col>6</xdr:col>
      <xdr:colOff>9526</xdr:colOff>
      <xdr:row>225</xdr:row>
      <xdr:rowOff>104775</xdr:rowOff>
    </xdr:to>
    <xdr:sp macro="" textlink="">
      <xdr:nvSpPr>
        <xdr:cNvPr id="452" name="Freeform 10695">
          <a:extLst>
            <a:ext uri="{FF2B5EF4-FFF2-40B4-BE49-F238E27FC236}">
              <a16:creationId xmlns:a16="http://schemas.microsoft.com/office/drawing/2014/main" id="{76A34302-5822-4DAA-BA7B-5B934A46E75E}"/>
            </a:ext>
          </a:extLst>
        </xdr:cNvPr>
        <xdr:cNvSpPr>
          <a:spLocks/>
        </xdr:cNvSpPr>
      </xdr:nvSpPr>
      <xdr:spPr bwMode="auto">
        <a:xfrm>
          <a:off x="495300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224</xdr:row>
      <xdr:rowOff>171450</xdr:rowOff>
    </xdr:from>
    <xdr:to>
      <xdr:col>39</xdr:col>
      <xdr:colOff>0</xdr:colOff>
      <xdr:row>227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D39BB328-A4B8-43CD-B72E-5F68344359C4}"/>
            </a:ext>
          </a:extLst>
        </xdr:cNvPr>
        <xdr:cNvSpPr>
          <a:spLocks noChangeArrowheads="1"/>
        </xdr:cNvSpPr>
      </xdr:nvSpPr>
      <xdr:spPr bwMode="auto">
        <a:xfrm>
          <a:off x="91630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224</xdr:row>
      <xdr:rowOff>152400</xdr:rowOff>
    </xdr:from>
    <xdr:to>
      <xdr:col>42</xdr:col>
      <xdr:colOff>1</xdr:colOff>
      <xdr:row>225</xdr:row>
      <xdr:rowOff>114300</xdr:rowOff>
    </xdr:to>
    <xdr:sp macro="" textlink="">
      <xdr:nvSpPr>
        <xdr:cNvPr id="454" name="Freeform 10695">
          <a:extLst>
            <a:ext uri="{FF2B5EF4-FFF2-40B4-BE49-F238E27FC236}">
              <a16:creationId xmlns:a16="http://schemas.microsoft.com/office/drawing/2014/main" id="{A87A3C99-5C59-4FF0-9F36-A2DB113A27A3}"/>
            </a:ext>
          </a:extLst>
        </xdr:cNvPr>
        <xdr:cNvSpPr>
          <a:spLocks/>
        </xdr:cNvSpPr>
      </xdr:nvSpPr>
      <xdr:spPr bwMode="auto">
        <a:xfrm>
          <a:off x="94011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224</xdr:row>
      <xdr:rowOff>171450</xdr:rowOff>
    </xdr:from>
    <xdr:to>
      <xdr:col>43</xdr:col>
      <xdr:colOff>0</xdr:colOff>
      <xdr:row>227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18F4CD6F-B0AF-45F6-BDA0-D227B71DF2C4}"/>
            </a:ext>
          </a:extLst>
        </xdr:cNvPr>
        <xdr:cNvSpPr>
          <a:spLocks noChangeArrowheads="1"/>
        </xdr:cNvSpPr>
      </xdr:nvSpPr>
      <xdr:spPr bwMode="auto">
        <a:xfrm>
          <a:off x="101536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224</xdr:row>
      <xdr:rowOff>171449</xdr:rowOff>
    </xdr:from>
    <xdr:to>
      <xdr:col>45</xdr:col>
      <xdr:colOff>238125</xdr:colOff>
      <xdr:row>225</xdr:row>
      <xdr:rowOff>104774</xdr:rowOff>
    </xdr:to>
    <xdr:sp macro="" textlink="">
      <xdr:nvSpPr>
        <xdr:cNvPr id="456" name="Freeform 10695">
          <a:extLst>
            <a:ext uri="{FF2B5EF4-FFF2-40B4-BE49-F238E27FC236}">
              <a16:creationId xmlns:a16="http://schemas.microsoft.com/office/drawing/2014/main" id="{D06B59C7-30A2-45A5-8861-545479A53282}"/>
            </a:ext>
          </a:extLst>
        </xdr:cNvPr>
        <xdr:cNvSpPr>
          <a:spLocks/>
        </xdr:cNvSpPr>
      </xdr:nvSpPr>
      <xdr:spPr bwMode="auto">
        <a:xfrm>
          <a:off x="10391775" y="41967149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234</xdr:row>
      <xdr:rowOff>171450</xdr:rowOff>
    </xdr:from>
    <xdr:to>
      <xdr:col>7</xdr:col>
      <xdr:colOff>0</xdr:colOff>
      <xdr:row>237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9349CBD7-C4EB-4082-B128-F39C6F5AB60D}"/>
            </a:ext>
          </a:extLst>
        </xdr:cNvPr>
        <xdr:cNvSpPr>
          <a:spLocks noChangeArrowheads="1"/>
        </xdr:cNvSpPr>
      </xdr:nvSpPr>
      <xdr:spPr bwMode="auto">
        <a:xfrm>
          <a:off x="12382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234</xdr:row>
      <xdr:rowOff>142875</xdr:rowOff>
    </xdr:from>
    <xdr:to>
      <xdr:col>10</xdr:col>
      <xdr:colOff>9525</xdr:colOff>
      <xdr:row>235</xdr:row>
      <xdr:rowOff>104775</xdr:rowOff>
    </xdr:to>
    <xdr:sp macro="" textlink="">
      <xdr:nvSpPr>
        <xdr:cNvPr id="458" name="Freeform 10695">
          <a:extLst>
            <a:ext uri="{FF2B5EF4-FFF2-40B4-BE49-F238E27FC236}">
              <a16:creationId xmlns:a16="http://schemas.microsoft.com/office/drawing/2014/main" id="{F2DC19BD-0F1F-4880-A8A6-C961094D1A84}"/>
            </a:ext>
          </a:extLst>
        </xdr:cNvPr>
        <xdr:cNvSpPr>
          <a:spLocks/>
        </xdr:cNvSpPr>
      </xdr:nvSpPr>
      <xdr:spPr bwMode="auto">
        <a:xfrm>
          <a:off x="1485899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234</xdr:row>
      <xdr:rowOff>171450</xdr:rowOff>
    </xdr:from>
    <xdr:to>
      <xdr:col>11</xdr:col>
      <xdr:colOff>0</xdr:colOff>
      <xdr:row>237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AAC0BC9B-EE9F-416D-BB68-3F13E221AF4B}"/>
            </a:ext>
          </a:extLst>
        </xdr:cNvPr>
        <xdr:cNvSpPr>
          <a:spLocks noChangeArrowheads="1"/>
        </xdr:cNvSpPr>
      </xdr:nvSpPr>
      <xdr:spPr bwMode="auto">
        <a:xfrm>
          <a:off x="22288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234</xdr:row>
      <xdr:rowOff>142875</xdr:rowOff>
    </xdr:from>
    <xdr:to>
      <xdr:col>14</xdr:col>
      <xdr:colOff>1</xdr:colOff>
      <xdr:row>235</xdr:row>
      <xdr:rowOff>104775</xdr:rowOff>
    </xdr:to>
    <xdr:sp macro="" textlink="">
      <xdr:nvSpPr>
        <xdr:cNvPr id="460" name="Freeform 10695">
          <a:extLst>
            <a:ext uri="{FF2B5EF4-FFF2-40B4-BE49-F238E27FC236}">
              <a16:creationId xmlns:a16="http://schemas.microsoft.com/office/drawing/2014/main" id="{53BD2259-616C-4891-A8EF-8E25EE6D9D18}"/>
            </a:ext>
          </a:extLst>
        </xdr:cNvPr>
        <xdr:cNvSpPr>
          <a:spLocks/>
        </xdr:cNvSpPr>
      </xdr:nvSpPr>
      <xdr:spPr bwMode="auto">
        <a:xfrm>
          <a:off x="24669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234</xdr:row>
      <xdr:rowOff>171450</xdr:rowOff>
    </xdr:from>
    <xdr:to>
      <xdr:col>15</xdr:col>
      <xdr:colOff>0</xdr:colOff>
      <xdr:row>237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23A07BF9-F708-482E-81B1-8648F1E00321}"/>
            </a:ext>
          </a:extLst>
        </xdr:cNvPr>
        <xdr:cNvSpPr>
          <a:spLocks noChangeArrowheads="1"/>
        </xdr:cNvSpPr>
      </xdr:nvSpPr>
      <xdr:spPr bwMode="auto">
        <a:xfrm>
          <a:off x="32194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234</xdr:row>
      <xdr:rowOff>142875</xdr:rowOff>
    </xdr:from>
    <xdr:to>
      <xdr:col>18</xdr:col>
      <xdr:colOff>1</xdr:colOff>
      <xdr:row>235</xdr:row>
      <xdr:rowOff>104775</xdr:rowOff>
    </xdr:to>
    <xdr:sp macro="" textlink="">
      <xdr:nvSpPr>
        <xdr:cNvPr id="462" name="Freeform 10695">
          <a:extLst>
            <a:ext uri="{FF2B5EF4-FFF2-40B4-BE49-F238E27FC236}">
              <a16:creationId xmlns:a16="http://schemas.microsoft.com/office/drawing/2014/main" id="{251457E5-A03D-4C29-99D3-055910E127F4}"/>
            </a:ext>
          </a:extLst>
        </xdr:cNvPr>
        <xdr:cNvSpPr>
          <a:spLocks/>
        </xdr:cNvSpPr>
      </xdr:nvSpPr>
      <xdr:spPr bwMode="auto">
        <a:xfrm>
          <a:off x="34575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234</xdr:row>
      <xdr:rowOff>171450</xdr:rowOff>
    </xdr:from>
    <xdr:to>
      <xdr:col>19</xdr:col>
      <xdr:colOff>0</xdr:colOff>
      <xdr:row>237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2B5C491E-B643-4421-A7E1-81147C60D392}"/>
            </a:ext>
          </a:extLst>
        </xdr:cNvPr>
        <xdr:cNvSpPr>
          <a:spLocks noChangeArrowheads="1"/>
        </xdr:cNvSpPr>
      </xdr:nvSpPr>
      <xdr:spPr bwMode="auto">
        <a:xfrm>
          <a:off x="42100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234</xdr:row>
      <xdr:rowOff>142875</xdr:rowOff>
    </xdr:from>
    <xdr:to>
      <xdr:col>22</xdr:col>
      <xdr:colOff>1</xdr:colOff>
      <xdr:row>235</xdr:row>
      <xdr:rowOff>104775</xdr:rowOff>
    </xdr:to>
    <xdr:sp macro="" textlink="">
      <xdr:nvSpPr>
        <xdr:cNvPr id="464" name="Freeform 10695">
          <a:extLst>
            <a:ext uri="{FF2B5EF4-FFF2-40B4-BE49-F238E27FC236}">
              <a16:creationId xmlns:a16="http://schemas.microsoft.com/office/drawing/2014/main" id="{9EBCD030-133D-4AE6-9EED-EFE63C4361B6}"/>
            </a:ext>
          </a:extLst>
        </xdr:cNvPr>
        <xdr:cNvSpPr>
          <a:spLocks/>
        </xdr:cNvSpPr>
      </xdr:nvSpPr>
      <xdr:spPr bwMode="auto">
        <a:xfrm>
          <a:off x="44481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234</xdr:row>
      <xdr:rowOff>171450</xdr:rowOff>
    </xdr:from>
    <xdr:to>
      <xdr:col>23</xdr:col>
      <xdr:colOff>0</xdr:colOff>
      <xdr:row>237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05EFDD14-B0BF-4725-A251-3B5EBEA83F5A}"/>
            </a:ext>
          </a:extLst>
        </xdr:cNvPr>
        <xdr:cNvSpPr>
          <a:spLocks noChangeArrowheads="1"/>
        </xdr:cNvSpPr>
      </xdr:nvSpPr>
      <xdr:spPr bwMode="auto">
        <a:xfrm>
          <a:off x="52006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234</xdr:row>
      <xdr:rowOff>142875</xdr:rowOff>
    </xdr:from>
    <xdr:to>
      <xdr:col>26</xdr:col>
      <xdr:colOff>1</xdr:colOff>
      <xdr:row>235</xdr:row>
      <xdr:rowOff>104775</xdr:rowOff>
    </xdr:to>
    <xdr:sp macro="" textlink="">
      <xdr:nvSpPr>
        <xdr:cNvPr id="466" name="Freeform 10695">
          <a:extLst>
            <a:ext uri="{FF2B5EF4-FFF2-40B4-BE49-F238E27FC236}">
              <a16:creationId xmlns:a16="http://schemas.microsoft.com/office/drawing/2014/main" id="{92949763-C996-4C97-898D-2A16994DB6F8}"/>
            </a:ext>
          </a:extLst>
        </xdr:cNvPr>
        <xdr:cNvSpPr>
          <a:spLocks/>
        </xdr:cNvSpPr>
      </xdr:nvSpPr>
      <xdr:spPr bwMode="auto">
        <a:xfrm>
          <a:off x="54387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234</xdr:row>
      <xdr:rowOff>171450</xdr:rowOff>
    </xdr:from>
    <xdr:to>
      <xdr:col>27</xdr:col>
      <xdr:colOff>0</xdr:colOff>
      <xdr:row>237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66133481-C80C-4657-A6AA-189F2B34C051}"/>
            </a:ext>
          </a:extLst>
        </xdr:cNvPr>
        <xdr:cNvSpPr>
          <a:spLocks noChangeArrowheads="1"/>
        </xdr:cNvSpPr>
      </xdr:nvSpPr>
      <xdr:spPr bwMode="auto">
        <a:xfrm>
          <a:off x="61912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234</xdr:row>
      <xdr:rowOff>142875</xdr:rowOff>
    </xdr:from>
    <xdr:to>
      <xdr:col>30</xdr:col>
      <xdr:colOff>1</xdr:colOff>
      <xdr:row>235</xdr:row>
      <xdr:rowOff>104775</xdr:rowOff>
    </xdr:to>
    <xdr:sp macro="" textlink="">
      <xdr:nvSpPr>
        <xdr:cNvPr id="468" name="Freeform 10695">
          <a:extLst>
            <a:ext uri="{FF2B5EF4-FFF2-40B4-BE49-F238E27FC236}">
              <a16:creationId xmlns:a16="http://schemas.microsoft.com/office/drawing/2014/main" id="{F2231C84-560D-42E1-8544-813B976E285A}"/>
            </a:ext>
          </a:extLst>
        </xdr:cNvPr>
        <xdr:cNvSpPr>
          <a:spLocks/>
        </xdr:cNvSpPr>
      </xdr:nvSpPr>
      <xdr:spPr bwMode="auto">
        <a:xfrm>
          <a:off x="64293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234</xdr:row>
      <xdr:rowOff>171450</xdr:rowOff>
    </xdr:from>
    <xdr:to>
      <xdr:col>31</xdr:col>
      <xdr:colOff>0</xdr:colOff>
      <xdr:row>237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90DAE7C8-9B40-48A2-849D-FA105729E14A}"/>
            </a:ext>
          </a:extLst>
        </xdr:cNvPr>
        <xdr:cNvSpPr>
          <a:spLocks noChangeArrowheads="1"/>
        </xdr:cNvSpPr>
      </xdr:nvSpPr>
      <xdr:spPr bwMode="auto">
        <a:xfrm>
          <a:off x="71818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234</xdr:row>
      <xdr:rowOff>142875</xdr:rowOff>
    </xdr:from>
    <xdr:to>
      <xdr:col>34</xdr:col>
      <xdr:colOff>1</xdr:colOff>
      <xdr:row>235</xdr:row>
      <xdr:rowOff>104775</xdr:rowOff>
    </xdr:to>
    <xdr:sp macro="" textlink="">
      <xdr:nvSpPr>
        <xdr:cNvPr id="470" name="Freeform 10695">
          <a:extLst>
            <a:ext uri="{FF2B5EF4-FFF2-40B4-BE49-F238E27FC236}">
              <a16:creationId xmlns:a16="http://schemas.microsoft.com/office/drawing/2014/main" id="{D2648EB8-E458-4607-98C2-36B697AA5BDD}"/>
            </a:ext>
          </a:extLst>
        </xdr:cNvPr>
        <xdr:cNvSpPr>
          <a:spLocks/>
        </xdr:cNvSpPr>
      </xdr:nvSpPr>
      <xdr:spPr bwMode="auto">
        <a:xfrm>
          <a:off x="74199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234</xdr:row>
      <xdr:rowOff>171450</xdr:rowOff>
    </xdr:from>
    <xdr:to>
      <xdr:col>35</xdr:col>
      <xdr:colOff>0</xdr:colOff>
      <xdr:row>237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37D70AF1-C5F0-477B-8515-F82F52B028D1}"/>
            </a:ext>
          </a:extLst>
        </xdr:cNvPr>
        <xdr:cNvSpPr>
          <a:spLocks noChangeArrowheads="1"/>
        </xdr:cNvSpPr>
      </xdr:nvSpPr>
      <xdr:spPr bwMode="auto">
        <a:xfrm>
          <a:off x="81724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234</xdr:row>
      <xdr:rowOff>142875</xdr:rowOff>
    </xdr:from>
    <xdr:to>
      <xdr:col>38</xdr:col>
      <xdr:colOff>1</xdr:colOff>
      <xdr:row>235</xdr:row>
      <xdr:rowOff>104775</xdr:rowOff>
    </xdr:to>
    <xdr:sp macro="" textlink="">
      <xdr:nvSpPr>
        <xdr:cNvPr id="472" name="Freeform 10695">
          <a:extLst>
            <a:ext uri="{FF2B5EF4-FFF2-40B4-BE49-F238E27FC236}">
              <a16:creationId xmlns:a16="http://schemas.microsoft.com/office/drawing/2014/main" id="{19A9778C-61F0-457D-BE2A-022AF585960E}"/>
            </a:ext>
          </a:extLst>
        </xdr:cNvPr>
        <xdr:cNvSpPr>
          <a:spLocks/>
        </xdr:cNvSpPr>
      </xdr:nvSpPr>
      <xdr:spPr bwMode="auto">
        <a:xfrm>
          <a:off x="84105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234</xdr:row>
      <xdr:rowOff>171450</xdr:rowOff>
    </xdr:from>
    <xdr:to>
      <xdr:col>3</xdr:col>
      <xdr:colOff>0</xdr:colOff>
      <xdr:row>237</xdr:row>
      <xdr:rowOff>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76215894-AD37-4236-8EB2-FB3303F73D3D}"/>
            </a:ext>
          </a:extLst>
        </xdr:cNvPr>
        <xdr:cNvSpPr>
          <a:spLocks noChangeArrowheads="1"/>
        </xdr:cNvSpPr>
      </xdr:nvSpPr>
      <xdr:spPr bwMode="auto">
        <a:xfrm>
          <a:off x="2476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234</xdr:row>
      <xdr:rowOff>142875</xdr:rowOff>
    </xdr:from>
    <xdr:to>
      <xdr:col>6</xdr:col>
      <xdr:colOff>9526</xdr:colOff>
      <xdr:row>235</xdr:row>
      <xdr:rowOff>104775</xdr:rowOff>
    </xdr:to>
    <xdr:sp macro="" textlink="">
      <xdr:nvSpPr>
        <xdr:cNvPr id="474" name="Freeform 10695">
          <a:extLst>
            <a:ext uri="{FF2B5EF4-FFF2-40B4-BE49-F238E27FC236}">
              <a16:creationId xmlns:a16="http://schemas.microsoft.com/office/drawing/2014/main" id="{1372DF9A-4D96-492A-8E72-A5C2ECA4B1F4}"/>
            </a:ext>
          </a:extLst>
        </xdr:cNvPr>
        <xdr:cNvSpPr>
          <a:spLocks/>
        </xdr:cNvSpPr>
      </xdr:nvSpPr>
      <xdr:spPr bwMode="auto">
        <a:xfrm>
          <a:off x="495300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234</xdr:row>
      <xdr:rowOff>171450</xdr:rowOff>
    </xdr:from>
    <xdr:to>
      <xdr:col>39</xdr:col>
      <xdr:colOff>0</xdr:colOff>
      <xdr:row>237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E356A0EF-3A05-462B-89DC-C93BCBEB9589}"/>
            </a:ext>
          </a:extLst>
        </xdr:cNvPr>
        <xdr:cNvSpPr>
          <a:spLocks noChangeArrowheads="1"/>
        </xdr:cNvSpPr>
      </xdr:nvSpPr>
      <xdr:spPr bwMode="auto">
        <a:xfrm>
          <a:off x="91630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234</xdr:row>
      <xdr:rowOff>142875</xdr:rowOff>
    </xdr:from>
    <xdr:to>
      <xdr:col>42</xdr:col>
      <xdr:colOff>1</xdr:colOff>
      <xdr:row>235</xdr:row>
      <xdr:rowOff>104775</xdr:rowOff>
    </xdr:to>
    <xdr:sp macro="" textlink="">
      <xdr:nvSpPr>
        <xdr:cNvPr id="476" name="Freeform 10695">
          <a:extLst>
            <a:ext uri="{FF2B5EF4-FFF2-40B4-BE49-F238E27FC236}">
              <a16:creationId xmlns:a16="http://schemas.microsoft.com/office/drawing/2014/main" id="{D92164FA-78AB-4B8D-B263-D785D770EF92}"/>
            </a:ext>
          </a:extLst>
        </xdr:cNvPr>
        <xdr:cNvSpPr>
          <a:spLocks/>
        </xdr:cNvSpPr>
      </xdr:nvSpPr>
      <xdr:spPr bwMode="auto">
        <a:xfrm>
          <a:off x="94011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234</xdr:row>
      <xdr:rowOff>171450</xdr:rowOff>
    </xdr:from>
    <xdr:to>
      <xdr:col>43</xdr:col>
      <xdr:colOff>0</xdr:colOff>
      <xdr:row>237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B0A49DDC-3D7A-4372-A57E-51AFC4D2BE5C}"/>
            </a:ext>
          </a:extLst>
        </xdr:cNvPr>
        <xdr:cNvSpPr>
          <a:spLocks noChangeArrowheads="1"/>
        </xdr:cNvSpPr>
      </xdr:nvSpPr>
      <xdr:spPr bwMode="auto">
        <a:xfrm>
          <a:off x="101536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244</xdr:row>
      <xdr:rowOff>171450</xdr:rowOff>
    </xdr:from>
    <xdr:to>
      <xdr:col>7</xdr:col>
      <xdr:colOff>0</xdr:colOff>
      <xdr:row>247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5633F1D7-FC0F-45D9-953B-317F361E91BE}"/>
            </a:ext>
          </a:extLst>
        </xdr:cNvPr>
        <xdr:cNvSpPr>
          <a:spLocks noChangeArrowheads="1"/>
        </xdr:cNvSpPr>
      </xdr:nvSpPr>
      <xdr:spPr bwMode="auto">
        <a:xfrm>
          <a:off x="1238250" y="456628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244</xdr:row>
      <xdr:rowOff>142875</xdr:rowOff>
    </xdr:from>
    <xdr:to>
      <xdr:col>10</xdr:col>
      <xdr:colOff>9525</xdr:colOff>
      <xdr:row>245</xdr:row>
      <xdr:rowOff>104775</xdr:rowOff>
    </xdr:to>
    <xdr:sp macro="" textlink="">
      <xdr:nvSpPr>
        <xdr:cNvPr id="479" name="Freeform 10695">
          <a:extLst>
            <a:ext uri="{FF2B5EF4-FFF2-40B4-BE49-F238E27FC236}">
              <a16:creationId xmlns:a16="http://schemas.microsoft.com/office/drawing/2014/main" id="{9B9034BB-71A7-4263-9994-A0F3866B9F89}"/>
            </a:ext>
          </a:extLst>
        </xdr:cNvPr>
        <xdr:cNvSpPr>
          <a:spLocks/>
        </xdr:cNvSpPr>
      </xdr:nvSpPr>
      <xdr:spPr bwMode="auto">
        <a:xfrm>
          <a:off x="1485899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244</xdr:row>
      <xdr:rowOff>171450</xdr:rowOff>
    </xdr:from>
    <xdr:to>
      <xdr:col>11</xdr:col>
      <xdr:colOff>0</xdr:colOff>
      <xdr:row>247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18AFF9CD-A5E0-4CD2-8799-B32A9604D5DB}"/>
            </a:ext>
          </a:extLst>
        </xdr:cNvPr>
        <xdr:cNvSpPr>
          <a:spLocks noChangeArrowheads="1"/>
        </xdr:cNvSpPr>
      </xdr:nvSpPr>
      <xdr:spPr bwMode="auto">
        <a:xfrm>
          <a:off x="22288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244</xdr:row>
      <xdr:rowOff>142875</xdr:rowOff>
    </xdr:from>
    <xdr:to>
      <xdr:col>14</xdr:col>
      <xdr:colOff>1</xdr:colOff>
      <xdr:row>245</xdr:row>
      <xdr:rowOff>104775</xdr:rowOff>
    </xdr:to>
    <xdr:sp macro="" textlink="">
      <xdr:nvSpPr>
        <xdr:cNvPr id="481" name="Freeform 10695">
          <a:extLst>
            <a:ext uri="{FF2B5EF4-FFF2-40B4-BE49-F238E27FC236}">
              <a16:creationId xmlns:a16="http://schemas.microsoft.com/office/drawing/2014/main" id="{42349BB3-B15B-4B79-A615-98689B41BB5D}"/>
            </a:ext>
          </a:extLst>
        </xdr:cNvPr>
        <xdr:cNvSpPr>
          <a:spLocks/>
        </xdr:cNvSpPr>
      </xdr:nvSpPr>
      <xdr:spPr bwMode="auto">
        <a:xfrm>
          <a:off x="24669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244</xdr:row>
      <xdr:rowOff>171450</xdr:rowOff>
    </xdr:from>
    <xdr:to>
      <xdr:col>15</xdr:col>
      <xdr:colOff>0</xdr:colOff>
      <xdr:row>247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6A84A8F8-457C-4695-83E9-F2138F758107}"/>
            </a:ext>
          </a:extLst>
        </xdr:cNvPr>
        <xdr:cNvSpPr>
          <a:spLocks noChangeArrowheads="1"/>
        </xdr:cNvSpPr>
      </xdr:nvSpPr>
      <xdr:spPr bwMode="auto">
        <a:xfrm>
          <a:off x="32194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244</xdr:row>
      <xdr:rowOff>142875</xdr:rowOff>
    </xdr:from>
    <xdr:to>
      <xdr:col>18</xdr:col>
      <xdr:colOff>1</xdr:colOff>
      <xdr:row>245</xdr:row>
      <xdr:rowOff>104775</xdr:rowOff>
    </xdr:to>
    <xdr:sp macro="" textlink="">
      <xdr:nvSpPr>
        <xdr:cNvPr id="483" name="Freeform 10695">
          <a:extLst>
            <a:ext uri="{FF2B5EF4-FFF2-40B4-BE49-F238E27FC236}">
              <a16:creationId xmlns:a16="http://schemas.microsoft.com/office/drawing/2014/main" id="{01A7DDA1-A9EC-4861-A920-4C91A68B2290}"/>
            </a:ext>
          </a:extLst>
        </xdr:cNvPr>
        <xdr:cNvSpPr>
          <a:spLocks/>
        </xdr:cNvSpPr>
      </xdr:nvSpPr>
      <xdr:spPr bwMode="auto">
        <a:xfrm>
          <a:off x="34575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244</xdr:row>
      <xdr:rowOff>171450</xdr:rowOff>
    </xdr:from>
    <xdr:to>
      <xdr:col>19</xdr:col>
      <xdr:colOff>0</xdr:colOff>
      <xdr:row>247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58F4FE96-7AF2-447F-A889-1396730B0659}"/>
            </a:ext>
          </a:extLst>
        </xdr:cNvPr>
        <xdr:cNvSpPr>
          <a:spLocks noChangeArrowheads="1"/>
        </xdr:cNvSpPr>
      </xdr:nvSpPr>
      <xdr:spPr bwMode="auto">
        <a:xfrm>
          <a:off x="42100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244</xdr:row>
      <xdr:rowOff>142875</xdr:rowOff>
    </xdr:from>
    <xdr:to>
      <xdr:col>22</xdr:col>
      <xdr:colOff>1</xdr:colOff>
      <xdr:row>245</xdr:row>
      <xdr:rowOff>104775</xdr:rowOff>
    </xdr:to>
    <xdr:sp macro="" textlink="">
      <xdr:nvSpPr>
        <xdr:cNvPr id="485" name="Freeform 10695">
          <a:extLst>
            <a:ext uri="{FF2B5EF4-FFF2-40B4-BE49-F238E27FC236}">
              <a16:creationId xmlns:a16="http://schemas.microsoft.com/office/drawing/2014/main" id="{19A53C3E-2BC4-4F1C-9DDE-E82D3E1342E8}"/>
            </a:ext>
          </a:extLst>
        </xdr:cNvPr>
        <xdr:cNvSpPr>
          <a:spLocks/>
        </xdr:cNvSpPr>
      </xdr:nvSpPr>
      <xdr:spPr bwMode="auto">
        <a:xfrm>
          <a:off x="44481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244</xdr:row>
      <xdr:rowOff>171450</xdr:rowOff>
    </xdr:from>
    <xdr:to>
      <xdr:col>23</xdr:col>
      <xdr:colOff>0</xdr:colOff>
      <xdr:row>247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6A6252B5-130F-4F39-8501-4F57DCE70F6C}"/>
            </a:ext>
          </a:extLst>
        </xdr:cNvPr>
        <xdr:cNvSpPr>
          <a:spLocks noChangeArrowheads="1"/>
        </xdr:cNvSpPr>
      </xdr:nvSpPr>
      <xdr:spPr bwMode="auto">
        <a:xfrm>
          <a:off x="52006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244</xdr:row>
      <xdr:rowOff>142875</xdr:rowOff>
    </xdr:from>
    <xdr:to>
      <xdr:col>26</xdr:col>
      <xdr:colOff>1</xdr:colOff>
      <xdr:row>245</xdr:row>
      <xdr:rowOff>104775</xdr:rowOff>
    </xdr:to>
    <xdr:sp macro="" textlink="">
      <xdr:nvSpPr>
        <xdr:cNvPr id="487" name="Freeform 10695">
          <a:extLst>
            <a:ext uri="{FF2B5EF4-FFF2-40B4-BE49-F238E27FC236}">
              <a16:creationId xmlns:a16="http://schemas.microsoft.com/office/drawing/2014/main" id="{534A394F-AEBB-4476-8DEA-9E04F835D16D}"/>
            </a:ext>
          </a:extLst>
        </xdr:cNvPr>
        <xdr:cNvSpPr>
          <a:spLocks/>
        </xdr:cNvSpPr>
      </xdr:nvSpPr>
      <xdr:spPr bwMode="auto">
        <a:xfrm>
          <a:off x="54387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244</xdr:row>
      <xdr:rowOff>171450</xdr:rowOff>
    </xdr:from>
    <xdr:to>
      <xdr:col>27</xdr:col>
      <xdr:colOff>0</xdr:colOff>
      <xdr:row>247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FD84132E-BD52-40B0-939B-070B14BF8638}"/>
            </a:ext>
          </a:extLst>
        </xdr:cNvPr>
        <xdr:cNvSpPr>
          <a:spLocks noChangeArrowheads="1"/>
        </xdr:cNvSpPr>
      </xdr:nvSpPr>
      <xdr:spPr bwMode="auto">
        <a:xfrm>
          <a:off x="61912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244</xdr:row>
      <xdr:rowOff>142875</xdr:rowOff>
    </xdr:from>
    <xdr:to>
      <xdr:col>30</xdr:col>
      <xdr:colOff>1</xdr:colOff>
      <xdr:row>245</xdr:row>
      <xdr:rowOff>104775</xdr:rowOff>
    </xdr:to>
    <xdr:sp macro="" textlink="">
      <xdr:nvSpPr>
        <xdr:cNvPr id="489" name="Freeform 10695">
          <a:extLst>
            <a:ext uri="{FF2B5EF4-FFF2-40B4-BE49-F238E27FC236}">
              <a16:creationId xmlns:a16="http://schemas.microsoft.com/office/drawing/2014/main" id="{DBF951EA-759D-430B-ADE4-346DEF3FC1A6}"/>
            </a:ext>
          </a:extLst>
        </xdr:cNvPr>
        <xdr:cNvSpPr>
          <a:spLocks/>
        </xdr:cNvSpPr>
      </xdr:nvSpPr>
      <xdr:spPr bwMode="auto">
        <a:xfrm>
          <a:off x="64293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244</xdr:row>
      <xdr:rowOff>171450</xdr:rowOff>
    </xdr:from>
    <xdr:to>
      <xdr:col>31</xdr:col>
      <xdr:colOff>0</xdr:colOff>
      <xdr:row>247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635C859B-92F8-4DC4-AC66-75851F2345F2}"/>
            </a:ext>
          </a:extLst>
        </xdr:cNvPr>
        <xdr:cNvSpPr>
          <a:spLocks noChangeArrowheads="1"/>
        </xdr:cNvSpPr>
      </xdr:nvSpPr>
      <xdr:spPr bwMode="auto">
        <a:xfrm>
          <a:off x="71818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244</xdr:row>
      <xdr:rowOff>142875</xdr:rowOff>
    </xdr:from>
    <xdr:to>
      <xdr:col>34</xdr:col>
      <xdr:colOff>1</xdr:colOff>
      <xdr:row>245</xdr:row>
      <xdr:rowOff>104775</xdr:rowOff>
    </xdr:to>
    <xdr:sp macro="" textlink="">
      <xdr:nvSpPr>
        <xdr:cNvPr id="491" name="Freeform 10695">
          <a:extLst>
            <a:ext uri="{FF2B5EF4-FFF2-40B4-BE49-F238E27FC236}">
              <a16:creationId xmlns:a16="http://schemas.microsoft.com/office/drawing/2014/main" id="{8E3CA5F0-397C-4D53-92CF-C88A38CA70F3}"/>
            </a:ext>
          </a:extLst>
        </xdr:cNvPr>
        <xdr:cNvSpPr>
          <a:spLocks/>
        </xdr:cNvSpPr>
      </xdr:nvSpPr>
      <xdr:spPr bwMode="auto">
        <a:xfrm>
          <a:off x="74199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244</xdr:row>
      <xdr:rowOff>171450</xdr:rowOff>
    </xdr:from>
    <xdr:to>
      <xdr:col>35</xdr:col>
      <xdr:colOff>0</xdr:colOff>
      <xdr:row>247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F3CBB55D-C5F0-4936-9534-78C6DC173A4E}"/>
            </a:ext>
          </a:extLst>
        </xdr:cNvPr>
        <xdr:cNvSpPr>
          <a:spLocks noChangeArrowheads="1"/>
        </xdr:cNvSpPr>
      </xdr:nvSpPr>
      <xdr:spPr bwMode="auto">
        <a:xfrm>
          <a:off x="81724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244</xdr:row>
      <xdr:rowOff>142875</xdr:rowOff>
    </xdr:from>
    <xdr:to>
      <xdr:col>38</xdr:col>
      <xdr:colOff>1</xdr:colOff>
      <xdr:row>245</xdr:row>
      <xdr:rowOff>104775</xdr:rowOff>
    </xdr:to>
    <xdr:sp macro="" textlink="">
      <xdr:nvSpPr>
        <xdr:cNvPr id="493" name="Freeform 10695">
          <a:extLst>
            <a:ext uri="{FF2B5EF4-FFF2-40B4-BE49-F238E27FC236}">
              <a16:creationId xmlns:a16="http://schemas.microsoft.com/office/drawing/2014/main" id="{6C1725FE-2CED-4179-92C0-0635BC3164E8}"/>
            </a:ext>
          </a:extLst>
        </xdr:cNvPr>
        <xdr:cNvSpPr>
          <a:spLocks/>
        </xdr:cNvSpPr>
      </xdr:nvSpPr>
      <xdr:spPr bwMode="auto">
        <a:xfrm>
          <a:off x="84105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244</xdr:row>
      <xdr:rowOff>171450</xdr:rowOff>
    </xdr:from>
    <xdr:to>
      <xdr:col>3</xdr:col>
      <xdr:colOff>0</xdr:colOff>
      <xdr:row>247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C3128569-3D36-4325-9C3B-C3ADE5E361B9}"/>
            </a:ext>
          </a:extLst>
        </xdr:cNvPr>
        <xdr:cNvSpPr>
          <a:spLocks noChangeArrowheads="1"/>
        </xdr:cNvSpPr>
      </xdr:nvSpPr>
      <xdr:spPr bwMode="auto">
        <a:xfrm>
          <a:off x="2476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244</xdr:row>
      <xdr:rowOff>142875</xdr:rowOff>
    </xdr:from>
    <xdr:to>
      <xdr:col>6</xdr:col>
      <xdr:colOff>9526</xdr:colOff>
      <xdr:row>245</xdr:row>
      <xdr:rowOff>104775</xdr:rowOff>
    </xdr:to>
    <xdr:sp macro="" textlink="">
      <xdr:nvSpPr>
        <xdr:cNvPr id="495" name="Freeform 10695">
          <a:extLst>
            <a:ext uri="{FF2B5EF4-FFF2-40B4-BE49-F238E27FC236}">
              <a16:creationId xmlns:a16="http://schemas.microsoft.com/office/drawing/2014/main" id="{B989FEC4-0F6B-41B4-92DA-CD3707656021}"/>
            </a:ext>
          </a:extLst>
        </xdr:cNvPr>
        <xdr:cNvSpPr>
          <a:spLocks/>
        </xdr:cNvSpPr>
      </xdr:nvSpPr>
      <xdr:spPr bwMode="auto">
        <a:xfrm>
          <a:off x="495300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244</xdr:row>
      <xdr:rowOff>171450</xdr:rowOff>
    </xdr:from>
    <xdr:to>
      <xdr:col>39</xdr:col>
      <xdr:colOff>0</xdr:colOff>
      <xdr:row>247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CE8276F0-5898-49E3-94D9-DCA0639AC7F1}"/>
            </a:ext>
          </a:extLst>
        </xdr:cNvPr>
        <xdr:cNvSpPr>
          <a:spLocks noChangeArrowheads="1"/>
        </xdr:cNvSpPr>
      </xdr:nvSpPr>
      <xdr:spPr bwMode="auto">
        <a:xfrm>
          <a:off x="91630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244</xdr:row>
      <xdr:rowOff>142875</xdr:rowOff>
    </xdr:from>
    <xdr:to>
      <xdr:col>42</xdr:col>
      <xdr:colOff>1</xdr:colOff>
      <xdr:row>245</xdr:row>
      <xdr:rowOff>104775</xdr:rowOff>
    </xdr:to>
    <xdr:sp macro="" textlink="">
      <xdr:nvSpPr>
        <xdr:cNvPr id="497" name="Freeform 10695">
          <a:extLst>
            <a:ext uri="{FF2B5EF4-FFF2-40B4-BE49-F238E27FC236}">
              <a16:creationId xmlns:a16="http://schemas.microsoft.com/office/drawing/2014/main" id="{398ED622-E3F6-4FC6-B2A4-F63FB01C0C6E}"/>
            </a:ext>
          </a:extLst>
        </xdr:cNvPr>
        <xdr:cNvSpPr>
          <a:spLocks/>
        </xdr:cNvSpPr>
      </xdr:nvSpPr>
      <xdr:spPr bwMode="auto">
        <a:xfrm>
          <a:off x="94011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244</xdr:row>
      <xdr:rowOff>171450</xdr:rowOff>
    </xdr:from>
    <xdr:to>
      <xdr:col>43</xdr:col>
      <xdr:colOff>0</xdr:colOff>
      <xdr:row>247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54DF1D25-A333-43CA-98C6-443780285849}"/>
            </a:ext>
          </a:extLst>
        </xdr:cNvPr>
        <xdr:cNvSpPr>
          <a:spLocks noChangeArrowheads="1"/>
        </xdr:cNvSpPr>
      </xdr:nvSpPr>
      <xdr:spPr bwMode="auto">
        <a:xfrm>
          <a:off x="101536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244</xdr:row>
      <xdr:rowOff>142875</xdr:rowOff>
    </xdr:from>
    <xdr:to>
      <xdr:col>45</xdr:col>
      <xdr:colOff>228600</xdr:colOff>
      <xdr:row>245</xdr:row>
      <xdr:rowOff>85725</xdr:rowOff>
    </xdr:to>
    <xdr:sp macro="" textlink="">
      <xdr:nvSpPr>
        <xdr:cNvPr id="499" name="Freeform 10695">
          <a:extLst>
            <a:ext uri="{FF2B5EF4-FFF2-40B4-BE49-F238E27FC236}">
              <a16:creationId xmlns:a16="http://schemas.microsoft.com/office/drawing/2014/main" id="{2A237D59-7975-4A6A-85AC-F7C277EC38BD}"/>
            </a:ext>
          </a:extLst>
        </xdr:cNvPr>
        <xdr:cNvSpPr>
          <a:spLocks/>
        </xdr:cNvSpPr>
      </xdr:nvSpPr>
      <xdr:spPr bwMode="auto">
        <a:xfrm>
          <a:off x="10391775" y="45634275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254</xdr:row>
      <xdr:rowOff>171450</xdr:rowOff>
    </xdr:from>
    <xdr:to>
      <xdr:col>7</xdr:col>
      <xdr:colOff>0</xdr:colOff>
      <xdr:row>257</xdr:row>
      <xdr:rowOff>0</xdr:rowOff>
    </xdr:to>
    <xdr:sp macro="" textlink="">
      <xdr:nvSpPr>
        <xdr:cNvPr id="500" name="0/0">
          <a:extLst>
            <a:ext uri="{FF2B5EF4-FFF2-40B4-BE49-F238E27FC236}">
              <a16:creationId xmlns:a16="http://schemas.microsoft.com/office/drawing/2014/main" id="{1DA9B46D-D68C-46EC-BCAE-35BDECF7EF57}"/>
            </a:ext>
          </a:extLst>
        </xdr:cNvPr>
        <xdr:cNvSpPr>
          <a:spLocks noChangeArrowheads="1"/>
        </xdr:cNvSpPr>
      </xdr:nvSpPr>
      <xdr:spPr bwMode="auto">
        <a:xfrm>
          <a:off x="1238250" y="475107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254</xdr:row>
      <xdr:rowOff>142875</xdr:rowOff>
    </xdr:from>
    <xdr:to>
      <xdr:col>10</xdr:col>
      <xdr:colOff>9525</xdr:colOff>
      <xdr:row>255</xdr:row>
      <xdr:rowOff>104775</xdr:rowOff>
    </xdr:to>
    <xdr:sp macro="" textlink="">
      <xdr:nvSpPr>
        <xdr:cNvPr id="501" name="Freeform 10695">
          <a:extLst>
            <a:ext uri="{FF2B5EF4-FFF2-40B4-BE49-F238E27FC236}">
              <a16:creationId xmlns:a16="http://schemas.microsoft.com/office/drawing/2014/main" id="{C7039A2F-ED4E-4C34-8399-6835A64AF72C}"/>
            </a:ext>
          </a:extLst>
        </xdr:cNvPr>
        <xdr:cNvSpPr>
          <a:spLocks/>
        </xdr:cNvSpPr>
      </xdr:nvSpPr>
      <xdr:spPr bwMode="auto">
        <a:xfrm>
          <a:off x="1485899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254</xdr:row>
      <xdr:rowOff>171450</xdr:rowOff>
    </xdr:from>
    <xdr:to>
      <xdr:col>11</xdr:col>
      <xdr:colOff>0</xdr:colOff>
      <xdr:row>257</xdr:row>
      <xdr:rowOff>0</xdr:rowOff>
    </xdr:to>
    <xdr:sp macro="" textlink="">
      <xdr:nvSpPr>
        <xdr:cNvPr id="502" name="0/0">
          <a:extLst>
            <a:ext uri="{FF2B5EF4-FFF2-40B4-BE49-F238E27FC236}">
              <a16:creationId xmlns:a16="http://schemas.microsoft.com/office/drawing/2014/main" id="{AA79245B-29B4-4135-83EC-B2D327217F34}"/>
            </a:ext>
          </a:extLst>
        </xdr:cNvPr>
        <xdr:cNvSpPr>
          <a:spLocks noChangeArrowheads="1"/>
        </xdr:cNvSpPr>
      </xdr:nvSpPr>
      <xdr:spPr bwMode="auto">
        <a:xfrm>
          <a:off x="22288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254</xdr:row>
      <xdr:rowOff>142875</xdr:rowOff>
    </xdr:from>
    <xdr:to>
      <xdr:col>14</xdr:col>
      <xdr:colOff>1</xdr:colOff>
      <xdr:row>255</xdr:row>
      <xdr:rowOff>104775</xdr:rowOff>
    </xdr:to>
    <xdr:sp macro="" textlink="">
      <xdr:nvSpPr>
        <xdr:cNvPr id="503" name="Freeform 10695">
          <a:extLst>
            <a:ext uri="{FF2B5EF4-FFF2-40B4-BE49-F238E27FC236}">
              <a16:creationId xmlns:a16="http://schemas.microsoft.com/office/drawing/2014/main" id="{F8108317-1025-4E2E-8DF2-CBCFFB3D4FC4}"/>
            </a:ext>
          </a:extLst>
        </xdr:cNvPr>
        <xdr:cNvSpPr>
          <a:spLocks/>
        </xdr:cNvSpPr>
      </xdr:nvSpPr>
      <xdr:spPr bwMode="auto">
        <a:xfrm>
          <a:off x="24669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254</xdr:row>
      <xdr:rowOff>171450</xdr:rowOff>
    </xdr:from>
    <xdr:to>
      <xdr:col>15</xdr:col>
      <xdr:colOff>0</xdr:colOff>
      <xdr:row>257</xdr:row>
      <xdr:rowOff>0</xdr:rowOff>
    </xdr:to>
    <xdr:sp macro="" textlink="">
      <xdr:nvSpPr>
        <xdr:cNvPr id="504" name="0/0">
          <a:extLst>
            <a:ext uri="{FF2B5EF4-FFF2-40B4-BE49-F238E27FC236}">
              <a16:creationId xmlns:a16="http://schemas.microsoft.com/office/drawing/2014/main" id="{7DB722B4-8723-4FAE-B9AA-71248F9D7F3F}"/>
            </a:ext>
          </a:extLst>
        </xdr:cNvPr>
        <xdr:cNvSpPr>
          <a:spLocks noChangeArrowheads="1"/>
        </xdr:cNvSpPr>
      </xdr:nvSpPr>
      <xdr:spPr bwMode="auto">
        <a:xfrm>
          <a:off x="32194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254</xdr:row>
      <xdr:rowOff>142875</xdr:rowOff>
    </xdr:from>
    <xdr:to>
      <xdr:col>18</xdr:col>
      <xdr:colOff>1</xdr:colOff>
      <xdr:row>255</xdr:row>
      <xdr:rowOff>104775</xdr:rowOff>
    </xdr:to>
    <xdr:sp macro="" textlink="">
      <xdr:nvSpPr>
        <xdr:cNvPr id="505" name="Freeform 10695">
          <a:extLst>
            <a:ext uri="{FF2B5EF4-FFF2-40B4-BE49-F238E27FC236}">
              <a16:creationId xmlns:a16="http://schemas.microsoft.com/office/drawing/2014/main" id="{CF08D94B-810E-4D18-80A9-082AC28C3E38}"/>
            </a:ext>
          </a:extLst>
        </xdr:cNvPr>
        <xdr:cNvSpPr>
          <a:spLocks/>
        </xdr:cNvSpPr>
      </xdr:nvSpPr>
      <xdr:spPr bwMode="auto">
        <a:xfrm>
          <a:off x="34575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254</xdr:row>
      <xdr:rowOff>171450</xdr:rowOff>
    </xdr:from>
    <xdr:to>
      <xdr:col>19</xdr:col>
      <xdr:colOff>0</xdr:colOff>
      <xdr:row>257</xdr:row>
      <xdr:rowOff>0</xdr:rowOff>
    </xdr:to>
    <xdr:sp macro="" textlink="">
      <xdr:nvSpPr>
        <xdr:cNvPr id="506" name="0/0">
          <a:extLst>
            <a:ext uri="{FF2B5EF4-FFF2-40B4-BE49-F238E27FC236}">
              <a16:creationId xmlns:a16="http://schemas.microsoft.com/office/drawing/2014/main" id="{62B2D2BB-AA95-4649-9CB2-1E0DA85A88BA}"/>
            </a:ext>
          </a:extLst>
        </xdr:cNvPr>
        <xdr:cNvSpPr>
          <a:spLocks noChangeArrowheads="1"/>
        </xdr:cNvSpPr>
      </xdr:nvSpPr>
      <xdr:spPr bwMode="auto">
        <a:xfrm>
          <a:off x="42100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254</xdr:row>
      <xdr:rowOff>142875</xdr:rowOff>
    </xdr:from>
    <xdr:to>
      <xdr:col>22</xdr:col>
      <xdr:colOff>1</xdr:colOff>
      <xdr:row>255</xdr:row>
      <xdr:rowOff>104775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AD098CB3-BBC1-48CE-9D1B-CAF282B695BC}"/>
            </a:ext>
          </a:extLst>
        </xdr:cNvPr>
        <xdr:cNvSpPr>
          <a:spLocks/>
        </xdr:cNvSpPr>
      </xdr:nvSpPr>
      <xdr:spPr bwMode="auto">
        <a:xfrm>
          <a:off x="44481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254</xdr:row>
      <xdr:rowOff>171450</xdr:rowOff>
    </xdr:from>
    <xdr:to>
      <xdr:col>23</xdr:col>
      <xdr:colOff>0</xdr:colOff>
      <xdr:row>257</xdr:row>
      <xdr:rowOff>0</xdr:rowOff>
    </xdr:to>
    <xdr:sp macro="" textlink="">
      <xdr:nvSpPr>
        <xdr:cNvPr id="508" name="0/0">
          <a:extLst>
            <a:ext uri="{FF2B5EF4-FFF2-40B4-BE49-F238E27FC236}">
              <a16:creationId xmlns:a16="http://schemas.microsoft.com/office/drawing/2014/main" id="{746E68C7-DA47-4DC1-BE65-0E33832C013B}"/>
            </a:ext>
          </a:extLst>
        </xdr:cNvPr>
        <xdr:cNvSpPr>
          <a:spLocks noChangeArrowheads="1"/>
        </xdr:cNvSpPr>
      </xdr:nvSpPr>
      <xdr:spPr bwMode="auto">
        <a:xfrm>
          <a:off x="52006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254</xdr:row>
      <xdr:rowOff>142875</xdr:rowOff>
    </xdr:from>
    <xdr:to>
      <xdr:col>26</xdr:col>
      <xdr:colOff>1</xdr:colOff>
      <xdr:row>255</xdr:row>
      <xdr:rowOff>104775</xdr:rowOff>
    </xdr:to>
    <xdr:sp macro="" textlink="">
      <xdr:nvSpPr>
        <xdr:cNvPr id="509" name="Freeform 10695">
          <a:extLst>
            <a:ext uri="{FF2B5EF4-FFF2-40B4-BE49-F238E27FC236}">
              <a16:creationId xmlns:a16="http://schemas.microsoft.com/office/drawing/2014/main" id="{C21DD661-1DEB-4F2F-AF30-ABDD628A0295}"/>
            </a:ext>
          </a:extLst>
        </xdr:cNvPr>
        <xdr:cNvSpPr>
          <a:spLocks/>
        </xdr:cNvSpPr>
      </xdr:nvSpPr>
      <xdr:spPr bwMode="auto">
        <a:xfrm>
          <a:off x="54387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254</xdr:row>
      <xdr:rowOff>171450</xdr:rowOff>
    </xdr:from>
    <xdr:to>
      <xdr:col>27</xdr:col>
      <xdr:colOff>0</xdr:colOff>
      <xdr:row>257</xdr:row>
      <xdr:rowOff>0</xdr:rowOff>
    </xdr:to>
    <xdr:sp macro="" textlink="">
      <xdr:nvSpPr>
        <xdr:cNvPr id="510" name="0/0">
          <a:extLst>
            <a:ext uri="{FF2B5EF4-FFF2-40B4-BE49-F238E27FC236}">
              <a16:creationId xmlns:a16="http://schemas.microsoft.com/office/drawing/2014/main" id="{EB1070E3-9B8C-47CF-9DEF-FB3629C907F7}"/>
            </a:ext>
          </a:extLst>
        </xdr:cNvPr>
        <xdr:cNvSpPr>
          <a:spLocks noChangeArrowheads="1"/>
        </xdr:cNvSpPr>
      </xdr:nvSpPr>
      <xdr:spPr bwMode="auto">
        <a:xfrm>
          <a:off x="61912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254</xdr:row>
      <xdr:rowOff>142875</xdr:rowOff>
    </xdr:from>
    <xdr:to>
      <xdr:col>30</xdr:col>
      <xdr:colOff>1</xdr:colOff>
      <xdr:row>255</xdr:row>
      <xdr:rowOff>104775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1C3CBB01-9188-42D6-80D3-B2A9A8F45816}"/>
            </a:ext>
          </a:extLst>
        </xdr:cNvPr>
        <xdr:cNvSpPr>
          <a:spLocks/>
        </xdr:cNvSpPr>
      </xdr:nvSpPr>
      <xdr:spPr bwMode="auto">
        <a:xfrm>
          <a:off x="64293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254</xdr:row>
      <xdr:rowOff>171450</xdr:rowOff>
    </xdr:from>
    <xdr:to>
      <xdr:col>31</xdr:col>
      <xdr:colOff>0</xdr:colOff>
      <xdr:row>257</xdr:row>
      <xdr:rowOff>0</xdr:rowOff>
    </xdr:to>
    <xdr:sp macro="" textlink="">
      <xdr:nvSpPr>
        <xdr:cNvPr id="512" name="0/0">
          <a:extLst>
            <a:ext uri="{FF2B5EF4-FFF2-40B4-BE49-F238E27FC236}">
              <a16:creationId xmlns:a16="http://schemas.microsoft.com/office/drawing/2014/main" id="{47997DB8-32FD-4440-B41F-A5211782D49A}"/>
            </a:ext>
          </a:extLst>
        </xdr:cNvPr>
        <xdr:cNvSpPr>
          <a:spLocks noChangeArrowheads="1"/>
        </xdr:cNvSpPr>
      </xdr:nvSpPr>
      <xdr:spPr bwMode="auto">
        <a:xfrm>
          <a:off x="7181850" y="475107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254</xdr:row>
      <xdr:rowOff>142875</xdr:rowOff>
    </xdr:from>
    <xdr:to>
      <xdr:col>34</xdr:col>
      <xdr:colOff>1</xdr:colOff>
      <xdr:row>255</xdr:row>
      <xdr:rowOff>104775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6AB0E74F-0F70-4909-B3FB-B85D074907AC}"/>
            </a:ext>
          </a:extLst>
        </xdr:cNvPr>
        <xdr:cNvSpPr>
          <a:spLocks/>
        </xdr:cNvSpPr>
      </xdr:nvSpPr>
      <xdr:spPr bwMode="auto">
        <a:xfrm>
          <a:off x="74199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254</xdr:row>
      <xdr:rowOff>171450</xdr:rowOff>
    </xdr:from>
    <xdr:to>
      <xdr:col>35</xdr:col>
      <xdr:colOff>0</xdr:colOff>
      <xdr:row>257</xdr:row>
      <xdr:rowOff>0</xdr:rowOff>
    </xdr:to>
    <xdr:sp macro="" textlink="">
      <xdr:nvSpPr>
        <xdr:cNvPr id="514" name="0/0">
          <a:extLst>
            <a:ext uri="{FF2B5EF4-FFF2-40B4-BE49-F238E27FC236}">
              <a16:creationId xmlns:a16="http://schemas.microsoft.com/office/drawing/2014/main" id="{C8416BEB-7180-43FF-A355-A1B40E699A90}"/>
            </a:ext>
          </a:extLst>
        </xdr:cNvPr>
        <xdr:cNvSpPr>
          <a:spLocks noChangeArrowheads="1"/>
        </xdr:cNvSpPr>
      </xdr:nvSpPr>
      <xdr:spPr bwMode="auto">
        <a:xfrm>
          <a:off x="81724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254</xdr:row>
      <xdr:rowOff>142875</xdr:rowOff>
    </xdr:from>
    <xdr:to>
      <xdr:col>38</xdr:col>
      <xdr:colOff>1</xdr:colOff>
      <xdr:row>255</xdr:row>
      <xdr:rowOff>104775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FB6A2702-781C-40C0-A1E8-D46ECD2503A9}"/>
            </a:ext>
          </a:extLst>
        </xdr:cNvPr>
        <xdr:cNvSpPr>
          <a:spLocks/>
        </xdr:cNvSpPr>
      </xdr:nvSpPr>
      <xdr:spPr bwMode="auto">
        <a:xfrm>
          <a:off x="84105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254</xdr:row>
      <xdr:rowOff>171450</xdr:rowOff>
    </xdr:from>
    <xdr:to>
      <xdr:col>3</xdr:col>
      <xdr:colOff>0</xdr:colOff>
      <xdr:row>257</xdr:row>
      <xdr:rowOff>0</xdr:rowOff>
    </xdr:to>
    <xdr:sp macro="" textlink="">
      <xdr:nvSpPr>
        <xdr:cNvPr id="516" name="0/0">
          <a:extLst>
            <a:ext uri="{FF2B5EF4-FFF2-40B4-BE49-F238E27FC236}">
              <a16:creationId xmlns:a16="http://schemas.microsoft.com/office/drawing/2014/main" id="{EEC2F03A-0720-4F1D-B7C5-3B84A5A3287C}"/>
            </a:ext>
          </a:extLst>
        </xdr:cNvPr>
        <xdr:cNvSpPr>
          <a:spLocks noChangeArrowheads="1"/>
        </xdr:cNvSpPr>
      </xdr:nvSpPr>
      <xdr:spPr bwMode="auto">
        <a:xfrm>
          <a:off x="2476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254</xdr:row>
      <xdr:rowOff>142875</xdr:rowOff>
    </xdr:from>
    <xdr:to>
      <xdr:col>6</xdr:col>
      <xdr:colOff>9526</xdr:colOff>
      <xdr:row>255</xdr:row>
      <xdr:rowOff>104775</xdr:rowOff>
    </xdr:to>
    <xdr:sp macro="" textlink="">
      <xdr:nvSpPr>
        <xdr:cNvPr id="517" name="Freeform 10695">
          <a:extLst>
            <a:ext uri="{FF2B5EF4-FFF2-40B4-BE49-F238E27FC236}">
              <a16:creationId xmlns:a16="http://schemas.microsoft.com/office/drawing/2014/main" id="{DC3F801D-12FF-4176-B758-D0CC9A2158B4}"/>
            </a:ext>
          </a:extLst>
        </xdr:cNvPr>
        <xdr:cNvSpPr>
          <a:spLocks/>
        </xdr:cNvSpPr>
      </xdr:nvSpPr>
      <xdr:spPr bwMode="auto">
        <a:xfrm>
          <a:off x="495300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254</xdr:row>
      <xdr:rowOff>171450</xdr:rowOff>
    </xdr:from>
    <xdr:to>
      <xdr:col>39</xdr:col>
      <xdr:colOff>0</xdr:colOff>
      <xdr:row>257</xdr:row>
      <xdr:rowOff>0</xdr:rowOff>
    </xdr:to>
    <xdr:sp macro="" textlink="">
      <xdr:nvSpPr>
        <xdr:cNvPr id="518" name="0/0">
          <a:extLst>
            <a:ext uri="{FF2B5EF4-FFF2-40B4-BE49-F238E27FC236}">
              <a16:creationId xmlns:a16="http://schemas.microsoft.com/office/drawing/2014/main" id="{4ED0FB93-65BE-4410-A230-6F4608497A2F}"/>
            </a:ext>
          </a:extLst>
        </xdr:cNvPr>
        <xdr:cNvSpPr>
          <a:spLocks noChangeArrowheads="1"/>
        </xdr:cNvSpPr>
      </xdr:nvSpPr>
      <xdr:spPr bwMode="auto">
        <a:xfrm>
          <a:off x="91630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254</xdr:row>
      <xdr:rowOff>171450</xdr:rowOff>
    </xdr:from>
    <xdr:to>
      <xdr:col>43</xdr:col>
      <xdr:colOff>0</xdr:colOff>
      <xdr:row>257</xdr:row>
      <xdr:rowOff>0</xdr:rowOff>
    </xdr:to>
    <xdr:sp macro="" textlink="">
      <xdr:nvSpPr>
        <xdr:cNvPr id="519" name="0/0">
          <a:extLst>
            <a:ext uri="{FF2B5EF4-FFF2-40B4-BE49-F238E27FC236}">
              <a16:creationId xmlns:a16="http://schemas.microsoft.com/office/drawing/2014/main" id="{2DCDCCCA-A688-4F34-BE1B-AC7C23BCFDA5}"/>
            </a:ext>
          </a:extLst>
        </xdr:cNvPr>
        <xdr:cNvSpPr>
          <a:spLocks noChangeArrowheads="1"/>
        </xdr:cNvSpPr>
      </xdr:nvSpPr>
      <xdr:spPr bwMode="auto">
        <a:xfrm>
          <a:off x="101536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264</xdr:row>
      <xdr:rowOff>171450</xdr:rowOff>
    </xdr:from>
    <xdr:to>
      <xdr:col>7</xdr:col>
      <xdr:colOff>0</xdr:colOff>
      <xdr:row>267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6992FD7C-5EAD-498D-91CB-13C002628F82}"/>
            </a:ext>
          </a:extLst>
        </xdr:cNvPr>
        <xdr:cNvSpPr>
          <a:spLocks noChangeArrowheads="1"/>
        </xdr:cNvSpPr>
      </xdr:nvSpPr>
      <xdr:spPr bwMode="auto">
        <a:xfrm>
          <a:off x="12382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264</xdr:row>
      <xdr:rowOff>142875</xdr:rowOff>
    </xdr:from>
    <xdr:to>
      <xdr:col>10</xdr:col>
      <xdr:colOff>9525</xdr:colOff>
      <xdr:row>265</xdr:row>
      <xdr:rowOff>104775</xdr:rowOff>
    </xdr:to>
    <xdr:sp macro="" textlink="">
      <xdr:nvSpPr>
        <xdr:cNvPr id="521" name="Freeform 10695">
          <a:extLst>
            <a:ext uri="{FF2B5EF4-FFF2-40B4-BE49-F238E27FC236}">
              <a16:creationId xmlns:a16="http://schemas.microsoft.com/office/drawing/2014/main" id="{0645AEC4-8726-4695-B59A-532E741E5B3E}"/>
            </a:ext>
          </a:extLst>
        </xdr:cNvPr>
        <xdr:cNvSpPr>
          <a:spLocks/>
        </xdr:cNvSpPr>
      </xdr:nvSpPr>
      <xdr:spPr bwMode="auto">
        <a:xfrm>
          <a:off x="1485899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264</xdr:row>
      <xdr:rowOff>171450</xdr:rowOff>
    </xdr:from>
    <xdr:to>
      <xdr:col>11</xdr:col>
      <xdr:colOff>0</xdr:colOff>
      <xdr:row>267</xdr:row>
      <xdr:rowOff>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9F6C1D0A-EA4C-4810-B1FF-5DC0BD3BB10F}"/>
            </a:ext>
          </a:extLst>
        </xdr:cNvPr>
        <xdr:cNvSpPr>
          <a:spLocks noChangeArrowheads="1"/>
        </xdr:cNvSpPr>
      </xdr:nvSpPr>
      <xdr:spPr bwMode="auto">
        <a:xfrm>
          <a:off x="22288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264</xdr:row>
      <xdr:rowOff>142875</xdr:rowOff>
    </xdr:from>
    <xdr:to>
      <xdr:col>14</xdr:col>
      <xdr:colOff>1</xdr:colOff>
      <xdr:row>265</xdr:row>
      <xdr:rowOff>104775</xdr:rowOff>
    </xdr:to>
    <xdr:sp macro="" textlink="">
      <xdr:nvSpPr>
        <xdr:cNvPr id="523" name="Freeform 10695">
          <a:extLst>
            <a:ext uri="{FF2B5EF4-FFF2-40B4-BE49-F238E27FC236}">
              <a16:creationId xmlns:a16="http://schemas.microsoft.com/office/drawing/2014/main" id="{9E0F7AE6-7A3D-4D18-A83D-5ED3E11F3AFE}"/>
            </a:ext>
          </a:extLst>
        </xdr:cNvPr>
        <xdr:cNvSpPr>
          <a:spLocks/>
        </xdr:cNvSpPr>
      </xdr:nvSpPr>
      <xdr:spPr bwMode="auto">
        <a:xfrm>
          <a:off x="24669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264</xdr:row>
      <xdr:rowOff>171450</xdr:rowOff>
    </xdr:from>
    <xdr:to>
      <xdr:col>15</xdr:col>
      <xdr:colOff>0</xdr:colOff>
      <xdr:row>267</xdr:row>
      <xdr:rowOff>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B06A92AE-A5D2-45CA-B1F6-642340E26F09}"/>
            </a:ext>
          </a:extLst>
        </xdr:cNvPr>
        <xdr:cNvSpPr>
          <a:spLocks noChangeArrowheads="1"/>
        </xdr:cNvSpPr>
      </xdr:nvSpPr>
      <xdr:spPr bwMode="auto">
        <a:xfrm>
          <a:off x="3219450" y="4935855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238125</xdr:colOff>
      <xdr:row>264</xdr:row>
      <xdr:rowOff>142875</xdr:rowOff>
    </xdr:from>
    <xdr:to>
      <xdr:col>18</xdr:col>
      <xdr:colOff>1</xdr:colOff>
      <xdr:row>265</xdr:row>
      <xdr:rowOff>104775</xdr:rowOff>
    </xdr:to>
    <xdr:sp macro="" textlink="">
      <xdr:nvSpPr>
        <xdr:cNvPr id="525" name="Freeform 10695">
          <a:extLst>
            <a:ext uri="{FF2B5EF4-FFF2-40B4-BE49-F238E27FC236}">
              <a16:creationId xmlns:a16="http://schemas.microsoft.com/office/drawing/2014/main" id="{A932793F-F00C-4403-9E7C-5E014D0914B6}"/>
            </a:ext>
          </a:extLst>
        </xdr:cNvPr>
        <xdr:cNvSpPr>
          <a:spLocks/>
        </xdr:cNvSpPr>
      </xdr:nvSpPr>
      <xdr:spPr bwMode="auto">
        <a:xfrm>
          <a:off x="34575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264</xdr:row>
      <xdr:rowOff>171450</xdr:rowOff>
    </xdr:from>
    <xdr:to>
      <xdr:col>19</xdr:col>
      <xdr:colOff>0</xdr:colOff>
      <xdr:row>267</xdr:row>
      <xdr:rowOff>0</xdr:rowOff>
    </xdr:to>
    <xdr:sp macro="" textlink="">
      <xdr:nvSpPr>
        <xdr:cNvPr id="526" name="0/0">
          <a:extLst>
            <a:ext uri="{FF2B5EF4-FFF2-40B4-BE49-F238E27FC236}">
              <a16:creationId xmlns:a16="http://schemas.microsoft.com/office/drawing/2014/main" id="{37907402-CE4A-423E-8993-A494C3151CE9}"/>
            </a:ext>
          </a:extLst>
        </xdr:cNvPr>
        <xdr:cNvSpPr>
          <a:spLocks noChangeArrowheads="1"/>
        </xdr:cNvSpPr>
      </xdr:nvSpPr>
      <xdr:spPr bwMode="auto">
        <a:xfrm>
          <a:off x="42100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264</xdr:row>
      <xdr:rowOff>142875</xdr:rowOff>
    </xdr:from>
    <xdr:to>
      <xdr:col>22</xdr:col>
      <xdr:colOff>1</xdr:colOff>
      <xdr:row>265</xdr:row>
      <xdr:rowOff>104775</xdr:rowOff>
    </xdr:to>
    <xdr:sp macro="" textlink="">
      <xdr:nvSpPr>
        <xdr:cNvPr id="527" name="Freeform 10695">
          <a:extLst>
            <a:ext uri="{FF2B5EF4-FFF2-40B4-BE49-F238E27FC236}">
              <a16:creationId xmlns:a16="http://schemas.microsoft.com/office/drawing/2014/main" id="{8F1DC6AC-208F-4C7F-B2C6-6C4A5227CDE4}"/>
            </a:ext>
          </a:extLst>
        </xdr:cNvPr>
        <xdr:cNvSpPr>
          <a:spLocks/>
        </xdr:cNvSpPr>
      </xdr:nvSpPr>
      <xdr:spPr bwMode="auto">
        <a:xfrm>
          <a:off x="44481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264</xdr:row>
      <xdr:rowOff>171450</xdr:rowOff>
    </xdr:from>
    <xdr:to>
      <xdr:col>23</xdr:col>
      <xdr:colOff>0</xdr:colOff>
      <xdr:row>267</xdr:row>
      <xdr:rowOff>0</xdr:rowOff>
    </xdr:to>
    <xdr:sp macro="" textlink="">
      <xdr:nvSpPr>
        <xdr:cNvPr id="528" name="0/0">
          <a:extLst>
            <a:ext uri="{FF2B5EF4-FFF2-40B4-BE49-F238E27FC236}">
              <a16:creationId xmlns:a16="http://schemas.microsoft.com/office/drawing/2014/main" id="{F401400B-9B73-4F92-9713-29CF2F1F2DF9}"/>
            </a:ext>
          </a:extLst>
        </xdr:cNvPr>
        <xdr:cNvSpPr>
          <a:spLocks noChangeArrowheads="1"/>
        </xdr:cNvSpPr>
      </xdr:nvSpPr>
      <xdr:spPr bwMode="auto">
        <a:xfrm>
          <a:off x="52006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264</xdr:row>
      <xdr:rowOff>142875</xdr:rowOff>
    </xdr:from>
    <xdr:to>
      <xdr:col>26</xdr:col>
      <xdr:colOff>1</xdr:colOff>
      <xdr:row>265</xdr:row>
      <xdr:rowOff>104775</xdr:rowOff>
    </xdr:to>
    <xdr:sp macro="" textlink="">
      <xdr:nvSpPr>
        <xdr:cNvPr id="529" name="Freeform 10695">
          <a:extLst>
            <a:ext uri="{FF2B5EF4-FFF2-40B4-BE49-F238E27FC236}">
              <a16:creationId xmlns:a16="http://schemas.microsoft.com/office/drawing/2014/main" id="{6C58F9C0-14A7-42CA-B81B-84A7C42C1D66}"/>
            </a:ext>
          </a:extLst>
        </xdr:cNvPr>
        <xdr:cNvSpPr>
          <a:spLocks/>
        </xdr:cNvSpPr>
      </xdr:nvSpPr>
      <xdr:spPr bwMode="auto">
        <a:xfrm>
          <a:off x="54387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264</xdr:row>
      <xdr:rowOff>171450</xdr:rowOff>
    </xdr:from>
    <xdr:to>
      <xdr:col>27</xdr:col>
      <xdr:colOff>0</xdr:colOff>
      <xdr:row>267</xdr:row>
      <xdr:rowOff>0</xdr:rowOff>
    </xdr:to>
    <xdr:sp macro="" textlink="">
      <xdr:nvSpPr>
        <xdr:cNvPr id="530" name="0/0">
          <a:extLst>
            <a:ext uri="{FF2B5EF4-FFF2-40B4-BE49-F238E27FC236}">
              <a16:creationId xmlns:a16="http://schemas.microsoft.com/office/drawing/2014/main" id="{4840678E-715C-4E22-82B1-A712ADC40DB4}"/>
            </a:ext>
          </a:extLst>
        </xdr:cNvPr>
        <xdr:cNvSpPr>
          <a:spLocks noChangeArrowheads="1"/>
        </xdr:cNvSpPr>
      </xdr:nvSpPr>
      <xdr:spPr bwMode="auto">
        <a:xfrm>
          <a:off x="61912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264</xdr:row>
      <xdr:rowOff>142875</xdr:rowOff>
    </xdr:from>
    <xdr:to>
      <xdr:col>30</xdr:col>
      <xdr:colOff>1</xdr:colOff>
      <xdr:row>265</xdr:row>
      <xdr:rowOff>104775</xdr:rowOff>
    </xdr:to>
    <xdr:sp macro="" textlink="">
      <xdr:nvSpPr>
        <xdr:cNvPr id="531" name="Freeform 10695">
          <a:extLst>
            <a:ext uri="{FF2B5EF4-FFF2-40B4-BE49-F238E27FC236}">
              <a16:creationId xmlns:a16="http://schemas.microsoft.com/office/drawing/2014/main" id="{54AB8058-3F28-43E3-A9C4-0890078961DF}"/>
            </a:ext>
          </a:extLst>
        </xdr:cNvPr>
        <xdr:cNvSpPr>
          <a:spLocks/>
        </xdr:cNvSpPr>
      </xdr:nvSpPr>
      <xdr:spPr bwMode="auto">
        <a:xfrm>
          <a:off x="64293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264</xdr:row>
      <xdr:rowOff>171450</xdr:rowOff>
    </xdr:from>
    <xdr:to>
      <xdr:col>31</xdr:col>
      <xdr:colOff>0</xdr:colOff>
      <xdr:row>267</xdr:row>
      <xdr:rowOff>0</xdr:rowOff>
    </xdr:to>
    <xdr:sp macro="" textlink="">
      <xdr:nvSpPr>
        <xdr:cNvPr id="532" name="0/0">
          <a:extLst>
            <a:ext uri="{FF2B5EF4-FFF2-40B4-BE49-F238E27FC236}">
              <a16:creationId xmlns:a16="http://schemas.microsoft.com/office/drawing/2014/main" id="{08327CD9-F21B-4B4E-B853-A1E1B24A66E4}"/>
            </a:ext>
          </a:extLst>
        </xdr:cNvPr>
        <xdr:cNvSpPr>
          <a:spLocks noChangeArrowheads="1"/>
        </xdr:cNvSpPr>
      </xdr:nvSpPr>
      <xdr:spPr bwMode="auto">
        <a:xfrm>
          <a:off x="71818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264</xdr:row>
      <xdr:rowOff>142875</xdr:rowOff>
    </xdr:from>
    <xdr:to>
      <xdr:col>34</xdr:col>
      <xdr:colOff>1</xdr:colOff>
      <xdr:row>265</xdr:row>
      <xdr:rowOff>104775</xdr:rowOff>
    </xdr:to>
    <xdr:sp macro="" textlink="">
      <xdr:nvSpPr>
        <xdr:cNvPr id="533" name="Freeform 10695">
          <a:extLst>
            <a:ext uri="{FF2B5EF4-FFF2-40B4-BE49-F238E27FC236}">
              <a16:creationId xmlns:a16="http://schemas.microsoft.com/office/drawing/2014/main" id="{C04A97E6-78CD-4E90-A148-709C90150A12}"/>
            </a:ext>
          </a:extLst>
        </xdr:cNvPr>
        <xdr:cNvSpPr>
          <a:spLocks/>
        </xdr:cNvSpPr>
      </xdr:nvSpPr>
      <xdr:spPr bwMode="auto">
        <a:xfrm>
          <a:off x="74199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264</xdr:row>
      <xdr:rowOff>171450</xdr:rowOff>
    </xdr:from>
    <xdr:to>
      <xdr:col>35</xdr:col>
      <xdr:colOff>0</xdr:colOff>
      <xdr:row>267</xdr:row>
      <xdr:rowOff>0</xdr:rowOff>
    </xdr:to>
    <xdr:sp macro="" textlink="">
      <xdr:nvSpPr>
        <xdr:cNvPr id="534" name="0/0">
          <a:extLst>
            <a:ext uri="{FF2B5EF4-FFF2-40B4-BE49-F238E27FC236}">
              <a16:creationId xmlns:a16="http://schemas.microsoft.com/office/drawing/2014/main" id="{F99DC030-4F08-437B-935D-0F878C0BCE29}"/>
            </a:ext>
          </a:extLst>
        </xdr:cNvPr>
        <xdr:cNvSpPr>
          <a:spLocks noChangeArrowheads="1"/>
        </xdr:cNvSpPr>
      </xdr:nvSpPr>
      <xdr:spPr bwMode="auto">
        <a:xfrm>
          <a:off x="8172450" y="493585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264</xdr:row>
      <xdr:rowOff>142875</xdr:rowOff>
    </xdr:from>
    <xdr:to>
      <xdr:col>38</xdr:col>
      <xdr:colOff>1</xdr:colOff>
      <xdr:row>265</xdr:row>
      <xdr:rowOff>104775</xdr:rowOff>
    </xdr:to>
    <xdr:sp macro="" textlink="">
      <xdr:nvSpPr>
        <xdr:cNvPr id="535" name="Freeform 10695">
          <a:extLst>
            <a:ext uri="{FF2B5EF4-FFF2-40B4-BE49-F238E27FC236}">
              <a16:creationId xmlns:a16="http://schemas.microsoft.com/office/drawing/2014/main" id="{3AF57B85-1E1C-466F-A970-AC30866BF023}"/>
            </a:ext>
          </a:extLst>
        </xdr:cNvPr>
        <xdr:cNvSpPr>
          <a:spLocks/>
        </xdr:cNvSpPr>
      </xdr:nvSpPr>
      <xdr:spPr bwMode="auto">
        <a:xfrm>
          <a:off x="84105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264</xdr:row>
      <xdr:rowOff>171450</xdr:rowOff>
    </xdr:from>
    <xdr:to>
      <xdr:col>3</xdr:col>
      <xdr:colOff>0</xdr:colOff>
      <xdr:row>267</xdr:row>
      <xdr:rowOff>0</xdr:rowOff>
    </xdr:to>
    <xdr:sp macro="" textlink="">
      <xdr:nvSpPr>
        <xdr:cNvPr id="536" name="0/0">
          <a:extLst>
            <a:ext uri="{FF2B5EF4-FFF2-40B4-BE49-F238E27FC236}">
              <a16:creationId xmlns:a16="http://schemas.microsoft.com/office/drawing/2014/main" id="{9781FB81-ED78-4D94-8BCB-311E816B7D62}"/>
            </a:ext>
          </a:extLst>
        </xdr:cNvPr>
        <xdr:cNvSpPr>
          <a:spLocks noChangeArrowheads="1"/>
        </xdr:cNvSpPr>
      </xdr:nvSpPr>
      <xdr:spPr bwMode="auto">
        <a:xfrm>
          <a:off x="2476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264</xdr:row>
      <xdr:rowOff>142875</xdr:rowOff>
    </xdr:from>
    <xdr:to>
      <xdr:col>6</xdr:col>
      <xdr:colOff>9526</xdr:colOff>
      <xdr:row>265</xdr:row>
      <xdr:rowOff>104775</xdr:rowOff>
    </xdr:to>
    <xdr:sp macro="" textlink="">
      <xdr:nvSpPr>
        <xdr:cNvPr id="537" name="Freeform 10695">
          <a:extLst>
            <a:ext uri="{FF2B5EF4-FFF2-40B4-BE49-F238E27FC236}">
              <a16:creationId xmlns:a16="http://schemas.microsoft.com/office/drawing/2014/main" id="{470846F1-6DAC-40C1-8FB1-897602EB2102}"/>
            </a:ext>
          </a:extLst>
        </xdr:cNvPr>
        <xdr:cNvSpPr>
          <a:spLocks/>
        </xdr:cNvSpPr>
      </xdr:nvSpPr>
      <xdr:spPr bwMode="auto">
        <a:xfrm>
          <a:off x="495300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264</xdr:row>
      <xdr:rowOff>171450</xdr:rowOff>
    </xdr:from>
    <xdr:to>
      <xdr:col>39</xdr:col>
      <xdr:colOff>0</xdr:colOff>
      <xdr:row>267</xdr:row>
      <xdr:rowOff>0</xdr:rowOff>
    </xdr:to>
    <xdr:sp macro="" textlink="">
      <xdr:nvSpPr>
        <xdr:cNvPr id="538" name="0/0">
          <a:extLst>
            <a:ext uri="{FF2B5EF4-FFF2-40B4-BE49-F238E27FC236}">
              <a16:creationId xmlns:a16="http://schemas.microsoft.com/office/drawing/2014/main" id="{9AD484AA-5184-48F6-B1F9-DD10BF75487C}"/>
            </a:ext>
          </a:extLst>
        </xdr:cNvPr>
        <xdr:cNvSpPr>
          <a:spLocks noChangeArrowheads="1"/>
        </xdr:cNvSpPr>
      </xdr:nvSpPr>
      <xdr:spPr bwMode="auto">
        <a:xfrm>
          <a:off x="91630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264</xdr:row>
      <xdr:rowOff>142875</xdr:rowOff>
    </xdr:from>
    <xdr:to>
      <xdr:col>42</xdr:col>
      <xdr:colOff>1</xdr:colOff>
      <xdr:row>265</xdr:row>
      <xdr:rowOff>104775</xdr:rowOff>
    </xdr:to>
    <xdr:sp macro="" textlink="">
      <xdr:nvSpPr>
        <xdr:cNvPr id="539" name="Freeform 10695">
          <a:extLst>
            <a:ext uri="{FF2B5EF4-FFF2-40B4-BE49-F238E27FC236}">
              <a16:creationId xmlns:a16="http://schemas.microsoft.com/office/drawing/2014/main" id="{71CD571C-9D0D-44B5-A7A4-85BD8621AF5F}"/>
            </a:ext>
          </a:extLst>
        </xdr:cNvPr>
        <xdr:cNvSpPr>
          <a:spLocks/>
        </xdr:cNvSpPr>
      </xdr:nvSpPr>
      <xdr:spPr bwMode="auto">
        <a:xfrm>
          <a:off x="94011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264</xdr:row>
      <xdr:rowOff>171450</xdr:rowOff>
    </xdr:from>
    <xdr:to>
      <xdr:col>43</xdr:col>
      <xdr:colOff>0</xdr:colOff>
      <xdr:row>267</xdr:row>
      <xdr:rowOff>0</xdr:rowOff>
    </xdr:to>
    <xdr:sp macro="" textlink="">
      <xdr:nvSpPr>
        <xdr:cNvPr id="540" name="0/0">
          <a:extLst>
            <a:ext uri="{FF2B5EF4-FFF2-40B4-BE49-F238E27FC236}">
              <a16:creationId xmlns:a16="http://schemas.microsoft.com/office/drawing/2014/main" id="{90C3AAE8-0FEB-402C-8697-0065D3C71CC8}"/>
            </a:ext>
          </a:extLst>
        </xdr:cNvPr>
        <xdr:cNvSpPr>
          <a:spLocks noChangeArrowheads="1"/>
        </xdr:cNvSpPr>
      </xdr:nvSpPr>
      <xdr:spPr bwMode="auto">
        <a:xfrm>
          <a:off x="101536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264</xdr:row>
      <xdr:rowOff>171449</xdr:rowOff>
    </xdr:from>
    <xdr:to>
      <xdr:col>46</xdr:col>
      <xdr:colOff>0</xdr:colOff>
      <xdr:row>265</xdr:row>
      <xdr:rowOff>104774</xdr:rowOff>
    </xdr:to>
    <xdr:sp macro="" textlink="">
      <xdr:nvSpPr>
        <xdr:cNvPr id="541" name="Freeform 10695">
          <a:extLst>
            <a:ext uri="{FF2B5EF4-FFF2-40B4-BE49-F238E27FC236}">
              <a16:creationId xmlns:a16="http://schemas.microsoft.com/office/drawing/2014/main" id="{EF82B6FC-46F6-4F03-B1B4-0B4AE73AC2FF}"/>
            </a:ext>
          </a:extLst>
        </xdr:cNvPr>
        <xdr:cNvSpPr>
          <a:spLocks/>
        </xdr:cNvSpPr>
      </xdr:nvSpPr>
      <xdr:spPr bwMode="auto">
        <a:xfrm>
          <a:off x="10391775" y="49358549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284</xdr:row>
      <xdr:rowOff>171450</xdr:rowOff>
    </xdr:from>
    <xdr:to>
      <xdr:col>7</xdr:col>
      <xdr:colOff>0</xdr:colOff>
      <xdr:row>287</xdr:row>
      <xdr:rowOff>0</xdr:rowOff>
    </xdr:to>
    <xdr:sp macro="" textlink="">
      <xdr:nvSpPr>
        <xdr:cNvPr id="542" name="0/0">
          <a:extLst>
            <a:ext uri="{FF2B5EF4-FFF2-40B4-BE49-F238E27FC236}">
              <a16:creationId xmlns:a16="http://schemas.microsoft.com/office/drawing/2014/main" id="{A76A98C7-2087-4056-AE1F-B06C0D5C0DB6}"/>
            </a:ext>
          </a:extLst>
        </xdr:cNvPr>
        <xdr:cNvSpPr>
          <a:spLocks noChangeArrowheads="1"/>
        </xdr:cNvSpPr>
      </xdr:nvSpPr>
      <xdr:spPr bwMode="auto">
        <a:xfrm>
          <a:off x="1238250" y="532066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284</xdr:row>
      <xdr:rowOff>142875</xdr:rowOff>
    </xdr:from>
    <xdr:to>
      <xdr:col>10</xdr:col>
      <xdr:colOff>9525</xdr:colOff>
      <xdr:row>285</xdr:row>
      <xdr:rowOff>104775</xdr:rowOff>
    </xdr:to>
    <xdr:sp macro="" textlink="">
      <xdr:nvSpPr>
        <xdr:cNvPr id="543" name="Freeform 10695">
          <a:extLst>
            <a:ext uri="{FF2B5EF4-FFF2-40B4-BE49-F238E27FC236}">
              <a16:creationId xmlns:a16="http://schemas.microsoft.com/office/drawing/2014/main" id="{9DC04670-57C9-4C31-AED3-0B7F1681FAAE}"/>
            </a:ext>
          </a:extLst>
        </xdr:cNvPr>
        <xdr:cNvSpPr>
          <a:spLocks/>
        </xdr:cNvSpPr>
      </xdr:nvSpPr>
      <xdr:spPr bwMode="auto">
        <a:xfrm>
          <a:off x="1485899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284</xdr:row>
      <xdr:rowOff>171450</xdr:rowOff>
    </xdr:from>
    <xdr:to>
      <xdr:col>11</xdr:col>
      <xdr:colOff>0</xdr:colOff>
      <xdr:row>287</xdr:row>
      <xdr:rowOff>0</xdr:rowOff>
    </xdr:to>
    <xdr:sp macro="" textlink="">
      <xdr:nvSpPr>
        <xdr:cNvPr id="544" name="0/0">
          <a:extLst>
            <a:ext uri="{FF2B5EF4-FFF2-40B4-BE49-F238E27FC236}">
              <a16:creationId xmlns:a16="http://schemas.microsoft.com/office/drawing/2014/main" id="{1CB7BB5F-4DFB-4EA6-BE0F-84D9F7FE461A}"/>
            </a:ext>
          </a:extLst>
        </xdr:cNvPr>
        <xdr:cNvSpPr>
          <a:spLocks noChangeArrowheads="1"/>
        </xdr:cNvSpPr>
      </xdr:nvSpPr>
      <xdr:spPr bwMode="auto">
        <a:xfrm>
          <a:off x="2228850" y="532066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284</xdr:row>
      <xdr:rowOff>142875</xdr:rowOff>
    </xdr:from>
    <xdr:to>
      <xdr:col>14</xdr:col>
      <xdr:colOff>1</xdr:colOff>
      <xdr:row>285</xdr:row>
      <xdr:rowOff>104775</xdr:rowOff>
    </xdr:to>
    <xdr:sp macro="" textlink="">
      <xdr:nvSpPr>
        <xdr:cNvPr id="545" name="Freeform 10695">
          <a:extLst>
            <a:ext uri="{FF2B5EF4-FFF2-40B4-BE49-F238E27FC236}">
              <a16:creationId xmlns:a16="http://schemas.microsoft.com/office/drawing/2014/main" id="{AF3AAC32-564E-42BF-A734-1E08D4FB8FC4}"/>
            </a:ext>
          </a:extLst>
        </xdr:cNvPr>
        <xdr:cNvSpPr>
          <a:spLocks/>
        </xdr:cNvSpPr>
      </xdr:nvSpPr>
      <xdr:spPr bwMode="auto">
        <a:xfrm>
          <a:off x="24669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284</xdr:row>
      <xdr:rowOff>171450</xdr:rowOff>
    </xdr:from>
    <xdr:to>
      <xdr:col>15</xdr:col>
      <xdr:colOff>0</xdr:colOff>
      <xdr:row>287</xdr:row>
      <xdr:rowOff>0</xdr:rowOff>
    </xdr:to>
    <xdr:sp macro="" textlink="">
      <xdr:nvSpPr>
        <xdr:cNvPr id="546" name="0/0">
          <a:extLst>
            <a:ext uri="{FF2B5EF4-FFF2-40B4-BE49-F238E27FC236}">
              <a16:creationId xmlns:a16="http://schemas.microsoft.com/office/drawing/2014/main" id="{3EB5A72A-2D56-4FC8-A12E-071CC628939E}"/>
            </a:ext>
          </a:extLst>
        </xdr:cNvPr>
        <xdr:cNvSpPr>
          <a:spLocks noChangeArrowheads="1"/>
        </xdr:cNvSpPr>
      </xdr:nvSpPr>
      <xdr:spPr bwMode="auto">
        <a:xfrm>
          <a:off x="32194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284</xdr:row>
      <xdr:rowOff>142875</xdr:rowOff>
    </xdr:from>
    <xdr:to>
      <xdr:col>18</xdr:col>
      <xdr:colOff>1</xdr:colOff>
      <xdr:row>285</xdr:row>
      <xdr:rowOff>104775</xdr:rowOff>
    </xdr:to>
    <xdr:sp macro="" textlink="">
      <xdr:nvSpPr>
        <xdr:cNvPr id="547" name="Freeform 10695">
          <a:extLst>
            <a:ext uri="{FF2B5EF4-FFF2-40B4-BE49-F238E27FC236}">
              <a16:creationId xmlns:a16="http://schemas.microsoft.com/office/drawing/2014/main" id="{6E52D8F8-D9F1-4282-AC6C-147B4984B7F6}"/>
            </a:ext>
          </a:extLst>
        </xdr:cNvPr>
        <xdr:cNvSpPr>
          <a:spLocks/>
        </xdr:cNvSpPr>
      </xdr:nvSpPr>
      <xdr:spPr bwMode="auto">
        <a:xfrm>
          <a:off x="34575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284</xdr:row>
      <xdr:rowOff>171450</xdr:rowOff>
    </xdr:from>
    <xdr:to>
      <xdr:col>19</xdr:col>
      <xdr:colOff>0</xdr:colOff>
      <xdr:row>287</xdr:row>
      <xdr:rowOff>0</xdr:rowOff>
    </xdr:to>
    <xdr:sp macro="" textlink="">
      <xdr:nvSpPr>
        <xdr:cNvPr id="548" name="0/0">
          <a:extLst>
            <a:ext uri="{FF2B5EF4-FFF2-40B4-BE49-F238E27FC236}">
              <a16:creationId xmlns:a16="http://schemas.microsoft.com/office/drawing/2014/main" id="{7245F80B-71C4-4252-A486-80705FA78F83}"/>
            </a:ext>
          </a:extLst>
        </xdr:cNvPr>
        <xdr:cNvSpPr>
          <a:spLocks noChangeArrowheads="1"/>
        </xdr:cNvSpPr>
      </xdr:nvSpPr>
      <xdr:spPr bwMode="auto">
        <a:xfrm>
          <a:off x="42100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284</xdr:row>
      <xdr:rowOff>142875</xdr:rowOff>
    </xdr:from>
    <xdr:to>
      <xdr:col>22</xdr:col>
      <xdr:colOff>1</xdr:colOff>
      <xdr:row>285</xdr:row>
      <xdr:rowOff>104775</xdr:rowOff>
    </xdr:to>
    <xdr:sp macro="" textlink="">
      <xdr:nvSpPr>
        <xdr:cNvPr id="549" name="Freeform 10695">
          <a:extLst>
            <a:ext uri="{FF2B5EF4-FFF2-40B4-BE49-F238E27FC236}">
              <a16:creationId xmlns:a16="http://schemas.microsoft.com/office/drawing/2014/main" id="{626C616E-E912-40C4-BA45-DE2EA3160820}"/>
            </a:ext>
          </a:extLst>
        </xdr:cNvPr>
        <xdr:cNvSpPr>
          <a:spLocks/>
        </xdr:cNvSpPr>
      </xdr:nvSpPr>
      <xdr:spPr bwMode="auto">
        <a:xfrm>
          <a:off x="44481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284</xdr:row>
      <xdr:rowOff>171450</xdr:rowOff>
    </xdr:from>
    <xdr:to>
      <xdr:col>23</xdr:col>
      <xdr:colOff>0</xdr:colOff>
      <xdr:row>287</xdr:row>
      <xdr:rowOff>0</xdr:rowOff>
    </xdr:to>
    <xdr:sp macro="" textlink="">
      <xdr:nvSpPr>
        <xdr:cNvPr id="550" name="0/0">
          <a:extLst>
            <a:ext uri="{FF2B5EF4-FFF2-40B4-BE49-F238E27FC236}">
              <a16:creationId xmlns:a16="http://schemas.microsoft.com/office/drawing/2014/main" id="{BA41FC5A-870C-4D4F-B2A0-12255291F141}"/>
            </a:ext>
          </a:extLst>
        </xdr:cNvPr>
        <xdr:cNvSpPr>
          <a:spLocks noChangeArrowheads="1"/>
        </xdr:cNvSpPr>
      </xdr:nvSpPr>
      <xdr:spPr bwMode="auto">
        <a:xfrm>
          <a:off x="5200650" y="5320665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238125</xdr:colOff>
      <xdr:row>284</xdr:row>
      <xdr:rowOff>142875</xdr:rowOff>
    </xdr:from>
    <xdr:to>
      <xdr:col>26</xdr:col>
      <xdr:colOff>1</xdr:colOff>
      <xdr:row>285</xdr:row>
      <xdr:rowOff>104775</xdr:rowOff>
    </xdr:to>
    <xdr:sp macro="" textlink="">
      <xdr:nvSpPr>
        <xdr:cNvPr id="551" name="Freeform 10695">
          <a:extLst>
            <a:ext uri="{FF2B5EF4-FFF2-40B4-BE49-F238E27FC236}">
              <a16:creationId xmlns:a16="http://schemas.microsoft.com/office/drawing/2014/main" id="{3A107132-4BE6-4A7A-A91B-40698B7FA4CE}"/>
            </a:ext>
          </a:extLst>
        </xdr:cNvPr>
        <xdr:cNvSpPr>
          <a:spLocks/>
        </xdr:cNvSpPr>
      </xdr:nvSpPr>
      <xdr:spPr bwMode="auto">
        <a:xfrm>
          <a:off x="54387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284</xdr:row>
      <xdr:rowOff>171450</xdr:rowOff>
    </xdr:from>
    <xdr:to>
      <xdr:col>27</xdr:col>
      <xdr:colOff>0</xdr:colOff>
      <xdr:row>287</xdr:row>
      <xdr:rowOff>0</xdr:rowOff>
    </xdr:to>
    <xdr:sp macro="" textlink="">
      <xdr:nvSpPr>
        <xdr:cNvPr id="552" name="0/0">
          <a:extLst>
            <a:ext uri="{FF2B5EF4-FFF2-40B4-BE49-F238E27FC236}">
              <a16:creationId xmlns:a16="http://schemas.microsoft.com/office/drawing/2014/main" id="{813567F4-E680-447C-AA05-7528C5649E3C}"/>
            </a:ext>
          </a:extLst>
        </xdr:cNvPr>
        <xdr:cNvSpPr>
          <a:spLocks noChangeArrowheads="1"/>
        </xdr:cNvSpPr>
      </xdr:nvSpPr>
      <xdr:spPr bwMode="auto">
        <a:xfrm>
          <a:off x="6191250" y="5320665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238125</xdr:colOff>
      <xdr:row>284</xdr:row>
      <xdr:rowOff>142875</xdr:rowOff>
    </xdr:from>
    <xdr:to>
      <xdr:col>30</xdr:col>
      <xdr:colOff>1</xdr:colOff>
      <xdr:row>285</xdr:row>
      <xdr:rowOff>104775</xdr:rowOff>
    </xdr:to>
    <xdr:sp macro="" textlink="">
      <xdr:nvSpPr>
        <xdr:cNvPr id="553" name="Freeform 10695">
          <a:extLst>
            <a:ext uri="{FF2B5EF4-FFF2-40B4-BE49-F238E27FC236}">
              <a16:creationId xmlns:a16="http://schemas.microsoft.com/office/drawing/2014/main" id="{488C4C3F-4BAD-4AB5-BF4B-C7089F5900D0}"/>
            </a:ext>
          </a:extLst>
        </xdr:cNvPr>
        <xdr:cNvSpPr>
          <a:spLocks/>
        </xdr:cNvSpPr>
      </xdr:nvSpPr>
      <xdr:spPr bwMode="auto">
        <a:xfrm>
          <a:off x="64293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284</xdr:row>
      <xdr:rowOff>171450</xdr:rowOff>
    </xdr:from>
    <xdr:to>
      <xdr:col>31</xdr:col>
      <xdr:colOff>0</xdr:colOff>
      <xdr:row>287</xdr:row>
      <xdr:rowOff>0</xdr:rowOff>
    </xdr:to>
    <xdr:sp macro="" textlink="">
      <xdr:nvSpPr>
        <xdr:cNvPr id="554" name="0/0">
          <a:extLst>
            <a:ext uri="{FF2B5EF4-FFF2-40B4-BE49-F238E27FC236}">
              <a16:creationId xmlns:a16="http://schemas.microsoft.com/office/drawing/2014/main" id="{835BFA81-9377-472C-BF6A-A5395BF87185}"/>
            </a:ext>
          </a:extLst>
        </xdr:cNvPr>
        <xdr:cNvSpPr>
          <a:spLocks noChangeArrowheads="1"/>
        </xdr:cNvSpPr>
      </xdr:nvSpPr>
      <xdr:spPr bwMode="auto">
        <a:xfrm>
          <a:off x="71818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284</xdr:row>
      <xdr:rowOff>142875</xdr:rowOff>
    </xdr:from>
    <xdr:to>
      <xdr:col>34</xdr:col>
      <xdr:colOff>1</xdr:colOff>
      <xdr:row>285</xdr:row>
      <xdr:rowOff>104775</xdr:rowOff>
    </xdr:to>
    <xdr:sp macro="" textlink="">
      <xdr:nvSpPr>
        <xdr:cNvPr id="555" name="Freeform 10695">
          <a:extLst>
            <a:ext uri="{FF2B5EF4-FFF2-40B4-BE49-F238E27FC236}">
              <a16:creationId xmlns:a16="http://schemas.microsoft.com/office/drawing/2014/main" id="{18B30F37-8462-4DC6-9DCF-9CC808DEF088}"/>
            </a:ext>
          </a:extLst>
        </xdr:cNvPr>
        <xdr:cNvSpPr>
          <a:spLocks/>
        </xdr:cNvSpPr>
      </xdr:nvSpPr>
      <xdr:spPr bwMode="auto">
        <a:xfrm>
          <a:off x="74199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284</xdr:row>
      <xdr:rowOff>171450</xdr:rowOff>
    </xdr:from>
    <xdr:to>
      <xdr:col>35</xdr:col>
      <xdr:colOff>0</xdr:colOff>
      <xdr:row>287</xdr:row>
      <xdr:rowOff>0</xdr:rowOff>
    </xdr:to>
    <xdr:sp macro="" textlink="">
      <xdr:nvSpPr>
        <xdr:cNvPr id="556" name="0/0">
          <a:extLst>
            <a:ext uri="{FF2B5EF4-FFF2-40B4-BE49-F238E27FC236}">
              <a16:creationId xmlns:a16="http://schemas.microsoft.com/office/drawing/2014/main" id="{24E16745-9557-4579-A68B-3B98E6039EBF}"/>
            </a:ext>
          </a:extLst>
        </xdr:cNvPr>
        <xdr:cNvSpPr>
          <a:spLocks noChangeArrowheads="1"/>
        </xdr:cNvSpPr>
      </xdr:nvSpPr>
      <xdr:spPr bwMode="auto">
        <a:xfrm>
          <a:off x="81724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284</xdr:row>
      <xdr:rowOff>142875</xdr:rowOff>
    </xdr:from>
    <xdr:to>
      <xdr:col>38</xdr:col>
      <xdr:colOff>1</xdr:colOff>
      <xdr:row>285</xdr:row>
      <xdr:rowOff>104775</xdr:rowOff>
    </xdr:to>
    <xdr:sp macro="" textlink="">
      <xdr:nvSpPr>
        <xdr:cNvPr id="557" name="Freeform 10695">
          <a:extLst>
            <a:ext uri="{FF2B5EF4-FFF2-40B4-BE49-F238E27FC236}">
              <a16:creationId xmlns:a16="http://schemas.microsoft.com/office/drawing/2014/main" id="{F0F525E9-517B-4A14-B959-6D305F543F28}"/>
            </a:ext>
          </a:extLst>
        </xdr:cNvPr>
        <xdr:cNvSpPr>
          <a:spLocks/>
        </xdr:cNvSpPr>
      </xdr:nvSpPr>
      <xdr:spPr bwMode="auto">
        <a:xfrm>
          <a:off x="84105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284</xdr:row>
      <xdr:rowOff>171450</xdr:rowOff>
    </xdr:from>
    <xdr:to>
      <xdr:col>3</xdr:col>
      <xdr:colOff>0</xdr:colOff>
      <xdr:row>287</xdr:row>
      <xdr:rowOff>0</xdr:rowOff>
    </xdr:to>
    <xdr:sp macro="" textlink="">
      <xdr:nvSpPr>
        <xdr:cNvPr id="558" name="0/0">
          <a:extLst>
            <a:ext uri="{FF2B5EF4-FFF2-40B4-BE49-F238E27FC236}">
              <a16:creationId xmlns:a16="http://schemas.microsoft.com/office/drawing/2014/main" id="{1631F55C-12E8-48E6-BBC9-4A0CB8CC955E}"/>
            </a:ext>
          </a:extLst>
        </xdr:cNvPr>
        <xdr:cNvSpPr>
          <a:spLocks noChangeArrowheads="1"/>
        </xdr:cNvSpPr>
      </xdr:nvSpPr>
      <xdr:spPr bwMode="auto">
        <a:xfrm>
          <a:off x="247650" y="532066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284</xdr:row>
      <xdr:rowOff>142875</xdr:rowOff>
    </xdr:from>
    <xdr:to>
      <xdr:col>6</xdr:col>
      <xdr:colOff>9526</xdr:colOff>
      <xdr:row>285</xdr:row>
      <xdr:rowOff>104775</xdr:rowOff>
    </xdr:to>
    <xdr:sp macro="" textlink="">
      <xdr:nvSpPr>
        <xdr:cNvPr id="559" name="Freeform 10695">
          <a:extLst>
            <a:ext uri="{FF2B5EF4-FFF2-40B4-BE49-F238E27FC236}">
              <a16:creationId xmlns:a16="http://schemas.microsoft.com/office/drawing/2014/main" id="{A82202F1-C029-47B8-93D3-8F3CD5F863F4}"/>
            </a:ext>
          </a:extLst>
        </xdr:cNvPr>
        <xdr:cNvSpPr>
          <a:spLocks/>
        </xdr:cNvSpPr>
      </xdr:nvSpPr>
      <xdr:spPr bwMode="auto">
        <a:xfrm>
          <a:off x="495300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284</xdr:row>
      <xdr:rowOff>171450</xdr:rowOff>
    </xdr:from>
    <xdr:to>
      <xdr:col>39</xdr:col>
      <xdr:colOff>0</xdr:colOff>
      <xdr:row>287</xdr:row>
      <xdr:rowOff>0</xdr:rowOff>
    </xdr:to>
    <xdr:sp macro="" textlink="">
      <xdr:nvSpPr>
        <xdr:cNvPr id="560" name="0/0">
          <a:extLst>
            <a:ext uri="{FF2B5EF4-FFF2-40B4-BE49-F238E27FC236}">
              <a16:creationId xmlns:a16="http://schemas.microsoft.com/office/drawing/2014/main" id="{7E6B9577-9219-4BC3-A8CF-504483183D68}"/>
            </a:ext>
          </a:extLst>
        </xdr:cNvPr>
        <xdr:cNvSpPr>
          <a:spLocks noChangeArrowheads="1"/>
        </xdr:cNvSpPr>
      </xdr:nvSpPr>
      <xdr:spPr bwMode="auto">
        <a:xfrm>
          <a:off x="9163050" y="5320665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238125</xdr:colOff>
      <xdr:row>284</xdr:row>
      <xdr:rowOff>142875</xdr:rowOff>
    </xdr:from>
    <xdr:to>
      <xdr:col>42</xdr:col>
      <xdr:colOff>1</xdr:colOff>
      <xdr:row>285</xdr:row>
      <xdr:rowOff>104775</xdr:rowOff>
    </xdr:to>
    <xdr:sp macro="" textlink="">
      <xdr:nvSpPr>
        <xdr:cNvPr id="561" name="Freeform 10695">
          <a:extLst>
            <a:ext uri="{FF2B5EF4-FFF2-40B4-BE49-F238E27FC236}">
              <a16:creationId xmlns:a16="http://schemas.microsoft.com/office/drawing/2014/main" id="{D398D6B4-52A4-443B-B683-5CF56461EAC5}"/>
            </a:ext>
          </a:extLst>
        </xdr:cNvPr>
        <xdr:cNvSpPr>
          <a:spLocks/>
        </xdr:cNvSpPr>
      </xdr:nvSpPr>
      <xdr:spPr bwMode="auto">
        <a:xfrm>
          <a:off x="94011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284</xdr:row>
      <xdr:rowOff>171450</xdr:rowOff>
    </xdr:from>
    <xdr:to>
      <xdr:col>43</xdr:col>
      <xdr:colOff>0</xdr:colOff>
      <xdr:row>287</xdr:row>
      <xdr:rowOff>0</xdr:rowOff>
    </xdr:to>
    <xdr:sp macro="" textlink="">
      <xdr:nvSpPr>
        <xdr:cNvPr id="562" name="0/0">
          <a:extLst>
            <a:ext uri="{FF2B5EF4-FFF2-40B4-BE49-F238E27FC236}">
              <a16:creationId xmlns:a16="http://schemas.microsoft.com/office/drawing/2014/main" id="{D90D38AB-E371-4F42-B41D-A229E3919E81}"/>
            </a:ext>
          </a:extLst>
        </xdr:cNvPr>
        <xdr:cNvSpPr>
          <a:spLocks noChangeArrowheads="1"/>
        </xdr:cNvSpPr>
      </xdr:nvSpPr>
      <xdr:spPr bwMode="auto">
        <a:xfrm>
          <a:off x="10153650" y="5320665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171450</xdr:rowOff>
    </xdr:from>
    <xdr:to>
      <xdr:col>12</xdr:col>
      <xdr:colOff>0</xdr:colOff>
      <xdr:row>11</xdr:row>
      <xdr:rowOff>0</xdr:rowOff>
    </xdr:to>
    <xdr:sp macro="" textlink="">
      <xdr:nvSpPr>
        <xdr:cNvPr id="563" name="0/0">
          <a:extLst>
            <a:ext uri="{FF2B5EF4-FFF2-40B4-BE49-F238E27FC236}">
              <a16:creationId xmlns:a16="http://schemas.microsoft.com/office/drawing/2014/main" id="{B3C2BB45-FDFD-49FE-A89F-36D9B5E1ACD9}"/>
            </a:ext>
          </a:extLst>
        </xdr:cNvPr>
        <xdr:cNvSpPr>
          <a:spLocks noChangeArrowheads="1"/>
        </xdr:cNvSpPr>
      </xdr:nvSpPr>
      <xdr:spPr bwMode="auto">
        <a:xfrm>
          <a:off x="2476500" y="1857375"/>
          <a:ext cx="495300" cy="4476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238125</xdr:colOff>
      <xdr:row>8</xdr:row>
      <xdr:rowOff>142875</xdr:rowOff>
    </xdr:from>
    <xdr:to>
      <xdr:col>15</xdr:col>
      <xdr:colOff>1</xdr:colOff>
      <xdr:row>9</xdr:row>
      <xdr:rowOff>104775</xdr:rowOff>
    </xdr:to>
    <xdr:sp macro="" textlink="">
      <xdr:nvSpPr>
        <xdr:cNvPr id="564" name="Freeform 10695">
          <a:extLst>
            <a:ext uri="{FF2B5EF4-FFF2-40B4-BE49-F238E27FC236}">
              <a16:creationId xmlns:a16="http://schemas.microsoft.com/office/drawing/2014/main" id="{6B294FC6-A9E9-436B-A9DB-8A31665A2F1D}"/>
            </a:ext>
          </a:extLst>
        </xdr:cNvPr>
        <xdr:cNvSpPr>
          <a:spLocks/>
        </xdr:cNvSpPr>
      </xdr:nvSpPr>
      <xdr:spPr bwMode="auto">
        <a:xfrm>
          <a:off x="2714625" y="1828800"/>
          <a:ext cx="1000126" cy="1619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171450</xdr:rowOff>
    </xdr:from>
    <xdr:to>
      <xdr:col>16</xdr:col>
      <xdr:colOff>0</xdr:colOff>
      <xdr:row>11</xdr:row>
      <xdr:rowOff>0</xdr:rowOff>
    </xdr:to>
    <xdr:sp macro="" textlink="">
      <xdr:nvSpPr>
        <xdr:cNvPr id="565" name="0/0">
          <a:extLst>
            <a:ext uri="{FF2B5EF4-FFF2-40B4-BE49-F238E27FC236}">
              <a16:creationId xmlns:a16="http://schemas.microsoft.com/office/drawing/2014/main" id="{C69A677D-0E1D-431A-8E28-B67742684D2C}"/>
            </a:ext>
          </a:extLst>
        </xdr:cNvPr>
        <xdr:cNvSpPr>
          <a:spLocks noChangeArrowheads="1"/>
        </xdr:cNvSpPr>
      </xdr:nvSpPr>
      <xdr:spPr bwMode="auto">
        <a:xfrm>
          <a:off x="3467100" y="1857375"/>
          <a:ext cx="495300" cy="447675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238125</xdr:colOff>
      <xdr:row>8</xdr:row>
      <xdr:rowOff>142875</xdr:rowOff>
    </xdr:from>
    <xdr:to>
      <xdr:col>19</xdr:col>
      <xdr:colOff>1</xdr:colOff>
      <xdr:row>9</xdr:row>
      <xdr:rowOff>104775</xdr:rowOff>
    </xdr:to>
    <xdr:sp macro="" textlink="">
      <xdr:nvSpPr>
        <xdr:cNvPr id="566" name="Freeform 10695">
          <a:extLst>
            <a:ext uri="{FF2B5EF4-FFF2-40B4-BE49-F238E27FC236}">
              <a16:creationId xmlns:a16="http://schemas.microsoft.com/office/drawing/2014/main" id="{CFF65B45-2855-419B-A840-B08E7A7D8E15}"/>
            </a:ext>
          </a:extLst>
        </xdr:cNvPr>
        <xdr:cNvSpPr>
          <a:spLocks/>
        </xdr:cNvSpPr>
      </xdr:nvSpPr>
      <xdr:spPr bwMode="auto">
        <a:xfrm>
          <a:off x="3705225" y="1828800"/>
          <a:ext cx="1000126" cy="1619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180975</xdr:colOff>
      <xdr:row>15</xdr:row>
      <xdr:rowOff>85728</xdr:rowOff>
    </xdr:from>
    <xdr:to>
      <xdr:col>18</xdr:col>
      <xdr:colOff>238124</xdr:colOff>
      <xdr:row>20</xdr:row>
      <xdr:rowOff>152400</xdr:rowOff>
    </xdr:to>
    <xdr:sp macro="" textlink="">
      <xdr:nvSpPr>
        <xdr:cNvPr id="567" name="AutoShape 10732">
          <a:extLst>
            <a:ext uri="{FF2B5EF4-FFF2-40B4-BE49-F238E27FC236}">
              <a16:creationId xmlns:a16="http://schemas.microsoft.com/office/drawing/2014/main" id="{B497715C-1DA2-48AD-9B4B-095117282585}"/>
            </a:ext>
          </a:extLst>
        </xdr:cNvPr>
        <xdr:cNvSpPr>
          <a:spLocks noChangeArrowheads="1"/>
        </xdr:cNvSpPr>
      </xdr:nvSpPr>
      <xdr:spPr bwMode="auto">
        <a:xfrm rot="5400000">
          <a:off x="4157664" y="3681414"/>
          <a:ext cx="1019172" cy="5714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238124</xdr:colOff>
      <xdr:row>16</xdr:row>
      <xdr:rowOff>28579</xdr:rowOff>
    </xdr:from>
    <xdr:to>
      <xdr:col>3</xdr:col>
      <xdr:colOff>36193</xdr:colOff>
      <xdr:row>21</xdr:row>
      <xdr:rowOff>38103</xdr:rowOff>
    </xdr:to>
    <xdr:sp macro="" textlink="">
      <xdr:nvSpPr>
        <xdr:cNvPr id="568" name="AutoShape 10734">
          <a:extLst>
            <a:ext uri="{FF2B5EF4-FFF2-40B4-BE49-F238E27FC236}">
              <a16:creationId xmlns:a16="http://schemas.microsoft.com/office/drawing/2014/main" id="{84200AFB-1909-4885-AFB4-48A45E419D8F}"/>
            </a:ext>
          </a:extLst>
        </xdr:cNvPr>
        <xdr:cNvSpPr>
          <a:spLocks noChangeArrowheads="1"/>
        </xdr:cNvSpPr>
      </xdr:nvSpPr>
      <xdr:spPr bwMode="auto">
        <a:xfrm rot="5400000">
          <a:off x="275272" y="3791906"/>
          <a:ext cx="962024" cy="4571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142874</xdr:colOff>
      <xdr:row>15</xdr:row>
      <xdr:rowOff>171451</xdr:rowOff>
    </xdr:from>
    <xdr:to>
      <xdr:col>7</xdr:col>
      <xdr:colOff>228599</xdr:colOff>
      <xdr:row>20</xdr:row>
      <xdr:rowOff>142875</xdr:rowOff>
    </xdr:to>
    <xdr:sp macro="" textlink="">
      <xdr:nvSpPr>
        <xdr:cNvPr id="569" name="Rectangle 11590" descr="Light horizontal">
          <a:extLst>
            <a:ext uri="{FF2B5EF4-FFF2-40B4-BE49-F238E27FC236}">
              <a16:creationId xmlns:a16="http://schemas.microsoft.com/office/drawing/2014/main" id="{44289F6B-A122-4B68-8FA2-E99A3F5E3BD9}"/>
            </a:ext>
          </a:extLst>
        </xdr:cNvPr>
        <xdr:cNvSpPr>
          <a:spLocks noChangeArrowheads="1"/>
        </xdr:cNvSpPr>
      </xdr:nvSpPr>
      <xdr:spPr bwMode="auto">
        <a:xfrm>
          <a:off x="1876424" y="3286126"/>
          <a:ext cx="85725" cy="923924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228601</xdr:colOff>
      <xdr:row>15</xdr:row>
      <xdr:rowOff>133351</xdr:rowOff>
    </xdr:from>
    <xdr:to>
      <xdr:col>13</xdr:col>
      <xdr:colOff>109187</xdr:colOff>
      <xdr:row>20</xdr:row>
      <xdr:rowOff>110407</xdr:rowOff>
    </xdr:to>
    <xdr:sp macro="" textlink="">
      <xdr:nvSpPr>
        <xdr:cNvPr id="570" name="Lightning Bolt 569">
          <a:extLst>
            <a:ext uri="{FF2B5EF4-FFF2-40B4-BE49-F238E27FC236}">
              <a16:creationId xmlns:a16="http://schemas.microsoft.com/office/drawing/2014/main" id="{571B2033-1A8F-4C7D-B815-8100590F3BC8}"/>
            </a:ext>
          </a:extLst>
        </xdr:cNvPr>
        <xdr:cNvSpPr/>
      </xdr:nvSpPr>
      <xdr:spPr>
        <a:xfrm>
          <a:off x="3200401" y="3248026"/>
          <a:ext cx="128236" cy="92955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9525</xdr:colOff>
      <xdr:row>9</xdr:row>
      <xdr:rowOff>85725</xdr:rowOff>
    </xdr:from>
    <xdr:to>
      <xdr:col>19</xdr:col>
      <xdr:colOff>200025</xdr:colOff>
      <xdr:row>9</xdr:row>
      <xdr:rowOff>104775</xdr:rowOff>
    </xdr:to>
    <xdr:sp macro="" textlink="">
      <xdr:nvSpPr>
        <xdr:cNvPr id="571" name="Line 10711">
          <a:extLst>
            <a:ext uri="{FF2B5EF4-FFF2-40B4-BE49-F238E27FC236}">
              <a16:creationId xmlns:a16="http://schemas.microsoft.com/office/drawing/2014/main" id="{C7784BFB-A15E-4F0C-BC57-2E0D684D082B}"/>
            </a:ext>
          </a:extLst>
        </xdr:cNvPr>
        <xdr:cNvSpPr>
          <a:spLocks noChangeShapeType="1"/>
        </xdr:cNvSpPr>
      </xdr:nvSpPr>
      <xdr:spPr bwMode="auto">
        <a:xfrm flipH="1" flipV="1">
          <a:off x="4467225" y="1971675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247649</xdr:colOff>
      <xdr:row>9</xdr:row>
      <xdr:rowOff>180972</xdr:rowOff>
    </xdr:from>
    <xdr:to>
      <xdr:col>10</xdr:col>
      <xdr:colOff>114300</xdr:colOff>
      <xdr:row>10</xdr:row>
      <xdr:rowOff>9524</xdr:rowOff>
    </xdr:to>
    <xdr:sp macro="" textlink="">
      <xdr:nvSpPr>
        <xdr:cNvPr id="572" name="Line 10711">
          <a:extLst>
            <a:ext uri="{FF2B5EF4-FFF2-40B4-BE49-F238E27FC236}">
              <a16:creationId xmlns:a16="http://schemas.microsoft.com/office/drawing/2014/main" id="{FC2F0805-289D-42BC-A308-82F9435BB1D2}"/>
            </a:ext>
          </a:extLst>
        </xdr:cNvPr>
        <xdr:cNvSpPr>
          <a:spLocks noChangeShapeType="1"/>
        </xdr:cNvSpPr>
      </xdr:nvSpPr>
      <xdr:spPr bwMode="auto">
        <a:xfrm>
          <a:off x="1485899" y="2066922"/>
          <a:ext cx="1104901" cy="1905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123825</xdr:colOff>
      <xdr:row>11</xdr:row>
      <xdr:rowOff>152399</xdr:rowOff>
    </xdr:from>
    <xdr:to>
      <xdr:col>9</xdr:col>
      <xdr:colOff>238125</xdr:colOff>
      <xdr:row>11</xdr:row>
      <xdr:rowOff>161924</xdr:rowOff>
    </xdr:to>
    <xdr:sp macro="" textlink="">
      <xdr:nvSpPr>
        <xdr:cNvPr id="573" name="Line 10711">
          <a:extLst>
            <a:ext uri="{FF2B5EF4-FFF2-40B4-BE49-F238E27FC236}">
              <a16:creationId xmlns:a16="http://schemas.microsoft.com/office/drawing/2014/main" id="{7B72FBB6-04A5-4A46-AEE6-DAF9E12BE24A}"/>
            </a:ext>
          </a:extLst>
        </xdr:cNvPr>
        <xdr:cNvSpPr>
          <a:spLocks noChangeShapeType="1"/>
        </xdr:cNvSpPr>
      </xdr:nvSpPr>
      <xdr:spPr bwMode="auto">
        <a:xfrm>
          <a:off x="1609725" y="2457449"/>
          <a:ext cx="857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57150</xdr:colOff>
      <xdr:row>13</xdr:row>
      <xdr:rowOff>104775</xdr:rowOff>
    </xdr:from>
    <xdr:to>
      <xdr:col>9</xdr:col>
      <xdr:colOff>238125</xdr:colOff>
      <xdr:row>13</xdr:row>
      <xdr:rowOff>114300</xdr:rowOff>
    </xdr:to>
    <xdr:sp macro="" textlink="">
      <xdr:nvSpPr>
        <xdr:cNvPr id="574" name="Line 10711">
          <a:extLst>
            <a:ext uri="{FF2B5EF4-FFF2-40B4-BE49-F238E27FC236}">
              <a16:creationId xmlns:a16="http://schemas.microsoft.com/office/drawing/2014/main" id="{066857D4-5809-47A9-9C9E-87BE5437B6AD}"/>
            </a:ext>
          </a:extLst>
        </xdr:cNvPr>
        <xdr:cNvSpPr>
          <a:spLocks noChangeShapeType="1"/>
        </xdr:cNvSpPr>
      </xdr:nvSpPr>
      <xdr:spPr bwMode="auto">
        <a:xfrm>
          <a:off x="1543050" y="2809875"/>
          <a:ext cx="92392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7</xdr:row>
      <xdr:rowOff>152400</xdr:rowOff>
    </xdr:from>
    <xdr:to>
      <xdr:col>12</xdr:col>
      <xdr:colOff>200024</xdr:colOff>
      <xdr:row>9</xdr:row>
      <xdr:rowOff>19050</xdr:rowOff>
    </xdr:to>
    <xdr:sp macro="" textlink="">
      <xdr:nvSpPr>
        <xdr:cNvPr id="575" name="Line 10711">
          <a:extLst>
            <a:ext uri="{FF2B5EF4-FFF2-40B4-BE49-F238E27FC236}">
              <a16:creationId xmlns:a16="http://schemas.microsoft.com/office/drawing/2014/main" id="{23647755-7F27-4B2F-ACE6-E859B73B05FD}"/>
            </a:ext>
          </a:extLst>
        </xdr:cNvPr>
        <xdr:cNvSpPr>
          <a:spLocks noChangeShapeType="1"/>
        </xdr:cNvSpPr>
      </xdr:nvSpPr>
      <xdr:spPr bwMode="auto">
        <a:xfrm>
          <a:off x="1990725" y="1647825"/>
          <a:ext cx="1181099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114299</xdr:rowOff>
    </xdr:from>
    <xdr:to>
      <xdr:col>9</xdr:col>
      <xdr:colOff>238125</xdr:colOff>
      <xdr:row>15</xdr:row>
      <xdr:rowOff>38099</xdr:rowOff>
    </xdr:to>
    <xdr:sp macro="" textlink="">
      <xdr:nvSpPr>
        <xdr:cNvPr id="576" name="Line 10711">
          <a:extLst>
            <a:ext uri="{FF2B5EF4-FFF2-40B4-BE49-F238E27FC236}">
              <a16:creationId xmlns:a16="http://schemas.microsoft.com/office/drawing/2014/main" id="{67505B5C-332A-4ECF-8C2E-F4A36AF571D2}"/>
            </a:ext>
          </a:extLst>
        </xdr:cNvPr>
        <xdr:cNvSpPr>
          <a:spLocks noChangeShapeType="1"/>
        </xdr:cNvSpPr>
      </xdr:nvSpPr>
      <xdr:spPr bwMode="auto">
        <a:xfrm flipV="1">
          <a:off x="2000250" y="3009899"/>
          <a:ext cx="466725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14</xdr:col>
      <xdr:colOff>238124</xdr:colOff>
      <xdr:row>7</xdr:row>
      <xdr:rowOff>104775</xdr:rowOff>
    </xdr:from>
    <xdr:to>
      <xdr:col>17</xdr:col>
      <xdr:colOff>228598</xdr:colOff>
      <xdr:row>8</xdr:row>
      <xdr:rowOff>95250</xdr:rowOff>
    </xdr:to>
    <xdr:sp macro="" textlink="">
      <xdr:nvSpPr>
        <xdr:cNvPr id="577" name="Line 10711">
          <a:extLst>
            <a:ext uri="{FF2B5EF4-FFF2-40B4-BE49-F238E27FC236}">
              <a16:creationId xmlns:a16="http://schemas.microsoft.com/office/drawing/2014/main" id="{EA2818F3-E603-4B8D-9724-D1997E1CAF0E}"/>
            </a:ext>
          </a:extLst>
        </xdr:cNvPr>
        <xdr:cNvSpPr>
          <a:spLocks noChangeShapeType="1"/>
        </xdr:cNvSpPr>
      </xdr:nvSpPr>
      <xdr:spPr bwMode="auto">
        <a:xfrm flipH="1">
          <a:off x="3705224" y="1600200"/>
          <a:ext cx="733424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238125</xdr:colOff>
      <xdr:row>174</xdr:row>
      <xdr:rowOff>161925</xdr:rowOff>
    </xdr:from>
    <xdr:to>
      <xdr:col>46</xdr:col>
      <xdr:colOff>0</xdr:colOff>
      <xdr:row>175</xdr:row>
      <xdr:rowOff>104775</xdr:rowOff>
    </xdr:to>
    <xdr:sp macro="" textlink="">
      <xdr:nvSpPr>
        <xdr:cNvPr id="578" name="Freeform 10695">
          <a:extLst>
            <a:ext uri="{FF2B5EF4-FFF2-40B4-BE49-F238E27FC236}">
              <a16:creationId xmlns:a16="http://schemas.microsoft.com/office/drawing/2014/main" id="{26D52C1B-D30C-4A12-B636-8CFDA21459C0}"/>
            </a:ext>
          </a:extLst>
        </xdr:cNvPr>
        <xdr:cNvSpPr>
          <a:spLocks/>
        </xdr:cNvSpPr>
      </xdr:nvSpPr>
      <xdr:spPr bwMode="auto">
        <a:xfrm>
          <a:off x="10391775" y="32718375"/>
          <a:ext cx="100012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194</xdr:row>
      <xdr:rowOff>152399</xdr:rowOff>
    </xdr:from>
    <xdr:to>
      <xdr:col>45</xdr:col>
      <xdr:colOff>238125</xdr:colOff>
      <xdr:row>195</xdr:row>
      <xdr:rowOff>104774</xdr:rowOff>
    </xdr:to>
    <xdr:sp macro="" textlink="">
      <xdr:nvSpPr>
        <xdr:cNvPr id="579" name="Freeform 10695">
          <a:extLst>
            <a:ext uri="{FF2B5EF4-FFF2-40B4-BE49-F238E27FC236}">
              <a16:creationId xmlns:a16="http://schemas.microsoft.com/office/drawing/2014/main" id="{6F363B2C-4B50-4F7A-BE10-AE8369177A8E}"/>
            </a:ext>
          </a:extLst>
        </xdr:cNvPr>
        <xdr:cNvSpPr>
          <a:spLocks/>
        </xdr:cNvSpPr>
      </xdr:nvSpPr>
      <xdr:spPr bwMode="auto">
        <a:xfrm>
          <a:off x="10391775" y="36404549"/>
          <a:ext cx="990600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234</xdr:row>
      <xdr:rowOff>142875</xdr:rowOff>
    </xdr:from>
    <xdr:to>
      <xdr:col>45</xdr:col>
      <xdr:colOff>238125</xdr:colOff>
      <xdr:row>235</xdr:row>
      <xdr:rowOff>104775</xdr:rowOff>
    </xdr:to>
    <xdr:sp macro="" textlink="">
      <xdr:nvSpPr>
        <xdr:cNvPr id="580" name="Freeform 10695">
          <a:extLst>
            <a:ext uri="{FF2B5EF4-FFF2-40B4-BE49-F238E27FC236}">
              <a16:creationId xmlns:a16="http://schemas.microsoft.com/office/drawing/2014/main" id="{84BEF899-721C-41E8-94DA-8A81D77DBD4B}"/>
            </a:ext>
          </a:extLst>
        </xdr:cNvPr>
        <xdr:cNvSpPr>
          <a:spLocks/>
        </xdr:cNvSpPr>
      </xdr:nvSpPr>
      <xdr:spPr bwMode="auto">
        <a:xfrm>
          <a:off x="10391775" y="43786425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254</xdr:row>
      <xdr:rowOff>161925</xdr:rowOff>
    </xdr:from>
    <xdr:to>
      <xdr:col>45</xdr:col>
      <xdr:colOff>228600</xdr:colOff>
      <xdr:row>255</xdr:row>
      <xdr:rowOff>104775</xdr:rowOff>
    </xdr:to>
    <xdr:sp macro="" textlink="">
      <xdr:nvSpPr>
        <xdr:cNvPr id="581" name="Freeform 10695">
          <a:extLst>
            <a:ext uri="{FF2B5EF4-FFF2-40B4-BE49-F238E27FC236}">
              <a16:creationId xmlns:a16="http://schemas.microsoft.com/office/drawing/2014/main" id="{D735B156-166F-42B1-9A29-5EFF24FB6C38}"/>
            </a:ext>
          </a:extLst>
        </xdr:cNvPr>
        <xdr:cNvSpPr>
          <a:spLocks/>
        </xdr:cNvSpPr>
      </xdr:nvSpPr>
      <xdr:spPr bwMode="auto">
        <a:xfrm>
          <a:off x="10391775" y="47501175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284</xdr:row>
      <xdr:rowOff>142875</xdr:rowOff>
    </xdr:from>
    <xdr:to>
      <xdr:col>45</xdr:col>
      <xdr:colOff>238125</xdr:colOff>
      <xdr:row>285</xdr:row>
      <xdr:rowOff>123825</xdr:rowOff>
    </xdr:to>
    <xdr:sp macro="" textlink="">
      <xdr:nvSpPr>
        <xdr:cNvPr id="582" name="Freeform 10695">
          <a:extLst>
            <a:ext uri="{FF2B5EF4-FFF2-40B4-BE49-F238E27FC236}">
              <a16:creationId xmlns:a16="http://schemas.microsoft.com/office/drawing/2014/main" id="{D80DDAEF-0CFA-4200-80B9-0A9DF9F7A543}"/>
            </a:ext>
          </a:extLst>
        </xdr:cNvPr>
        <xdr:cNvSpPr>
          <a:spLocks/>
        </xdr:cNvSpPr>
      </xdr:nvSpPr>
      <xdr:spPr bwMode="auto">
        <a:xfrm>
          <a:off x="10391775" y="53178075"/>
          <a:ext cx="990600" cy="1714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274</xdr:row>
      <xdr:rowOff>171450</xdr:rowOff>
    </xdr:from>
    <xdr:to>
      <xdr:col>7</xdr:col>
      <xdr:colOff>0</xdr:colOff>
      <xdr:row>277</xdr:row>
      <xdr:rowOff>0</xdr:rowOff>
    </xdr:to>
    <xdr:sp macro="" textlink="">
      <xdr:nvSpPr>
        <xdr:cNvPr id="583" name="0/0">
          <a:extLst>
            <a:ext uri="{FF2B5EF4-FFF2-40B4-BE49-F238E27FC236}">
              <a16:creationId xmlns:a16="http://schemas.microsoft.com/office/drawing/2014/main" id="{6BF38654-D6FE-4B99-8B09-92E8126B14ED}"/>
            </a:ext>
          </a:extLst>
        </xdr:cNvPr>
        <xdr:cNvSpPr>
          <a:spLocks noChangeArrowheads="1"/>
        </xdr:cNvSpPr>
      </xdr:nvSpPr>
      <xdr:spPr bwMode="auto">
        <a:xfrm>
          <a:off x="12382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274</xdr:row>
      <xdr:rowOff>142875</xdr:rowOff>
    </xdr:from>
    <xdr:to>
      <xdr:col>10</xdr:col>
      <xdr:colOff>9525</xdr:colOff>
      <xdr:row>275</xdr:row>
      <xdr:rowOff>104775</xdr:rowOff>
    </xdr:to>
    <xdr:sp macro="" textlink="">
      <xdr:nvSpPr>
        <xdr:cNvPr id="584" name="Freeform 10695">
          <a:extLst>
            <a:ext uri="{FF2B5EF4-FFF2-40B4-BE49-F238E27FC236}">
              <a16:creationId xmlns:a16="http://schemas.microsoft.com/office/drawing/2014/main" id="{1A5F2310-D40A-4991-9798-F85F0AF61C45}"/>
            </a:ext>
          </a:extLst>
        </xdr:cNvPr>
        <xdr:cNvSpPr>
          <a:spLocks/>
        </xdr:cNvSpPr>
      </xdr:nvSpPr>
      <xdr:spPr bwMode="auto">
        <a:xfrm>
          <a:off x="1485899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274</xdr:row>
      <xdr:rowOff>171450</xdr:rowOff>
    </xdr:from>
    <xdr:to>
      <xdr:col>11</xdr:col>
      <xdr:colOff>0</xdr:colOff>
      <xdr:row>277</xdr:row>
      <xdr:rowOff>0</xdr:rowOff>
    </xdr:to>
    <xdr:sp macro="" textlink="">
      <xdr:nvSpPr>
        <xdr:cNvPr id="585" name="0/0">
          <a:extLst>
            <a:ext uri="{FF2B5EF4-FFF2-40B4-BE49-F238E27FC236}">
              <a16:creationId xmlns:a16="http://schemas.microsoft.com/office/drawing/2014/main" id="{58CF5A07-914F-4481-AF8C-688BF70AC841}"/>
            </a:ext>
          </a:extLst>
        </xdr:cNvPr>
        <xdr:cNvSpPr>
          <a:spLocks noChangeArrowheads="1"/>
        </xdr:cNvSpPr>
      </xdr:nvSpPr>
      <xdr:spPr bwMode="auto">
        <a:xfrm>
          <a:off x="22288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274</xdr:row>
      <xdr:rowOff>142875</xdr:rowOff>
    </xdr:from>
    <xdr:to>
      <xdr:col>14</xdr:col>
      <xdr:colOff>1</xdr:colOff>
      <xdr:row>275</xdr:row>
      <xdr:rowOff>104775</xdr:rowOff>
    </xdr:to>
    <xdr:sp macro="" textlink="">
      <xdr:nvSpPr>
        <xdr:cNvPr id="586" name="Freeform 10695">
          <a:extLst>
            <a:ext uri="{FF2B5EF4-FFF2-40B4-BE49-F238E27FC236}">
              <a16:creationId xmlns:a16="http://schemas.microsoft.com/office/drawing/2014/main" id="{E129C056-F1A3-4F5B-9592-7EF4A2E43609}"/>
            </a:ext>
          </a:extLst>
        </xdr:cNvPr>
        <xdr:cNvSpPr>
          <a:spLocks/>
        </xdr:cNvSpPr>
      </xdr:nvSpPr>
      <xdr:spPr bwMode="auto">
        <a:xfrm>
          <a:off x="24669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274</xdr:row>
      <xdr:rowOff>171450</xdr:rowOff>
    </xdr:from>
    <xdr:to>
      <xdr:col>15</xdr:col>
      <xdr:colOff>0</xdr:colOff>
      <xdr:row>277</xdr:row>
      <xdr:rowOff>0</xdr:rowOff>
    </xdr:to>
    <xdr:sp macro="" textlink="">
      <xdr:nvSpPr>
        <xdr:cNvPr id="587" name="0/0">
          <a:extLst>
            <a:ext uri="{FF2B5EF4-FFF2-40B4-BE49-F238E27FC236}">
              <a16:creationId xmlns:a16="http://schemas.microsoft.com/office/drawing/2014/main" id="{0B8CF939-FBA7-40DB-B515-D3BFCB8028BE}"/>
            </a:ext>
          </a:extLst>
        </xdr:cNvPr>
        <xdr:cNvSpPr>
          <a:spLocks noChangeArrowheads="1"/>
        </xdr:cNvSpPr>
      </xdr:nvSpPr>
      <xdr:spPr bwMode="auto">
        <a:xfrm>
          <a:off x="32194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274</xdr:row>
      <xdr:rowOff>142875</xdr:rowOff>
    </xdr:from>
    <xdr:to>
      <xdr:col>18</xdr:col>
      <xdr:colOff>1</xdr:colOff>
      <xdr:row>275</xdr:row>
      <xdr:rowOff>104775</xdr:rowOff>
    </xdr:to>
    <xdr:sp macro="" textlink="">
      <xdr:nvSpPr>
        <xdr:cNvPr id="588" name="Freeform 10695">
          <a:extLst>
            <a:ext uri="{FF2B5EF4-FFF2-40B4-BE49-F238E27FC236}">
              <a16:creationId xmlns:a16="http://schemas.microsoft.com/office/drawing/2014/main" id="{0C2A43AC-6AC0-4EF6-8421-E5D226F75377}"/>
            </a:ext>
          </a:extLst>
        </xdr:cNvPr>
        <xdr:cNvSpPr>
          <a:spLocks/>
        </xdr:cNvSpPr>
      </xdr:nvSpPr>
      <xdr:spPr bwMode="auto">
        <a:xfrm>
          <a:off x="34575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274</xdr:row>
      <xdr:rowOff>171450</xdr:rowOff>
    </xdr:from>
    <xdr:to>
      <xdr:col>19</xdr:col>
      <xdr:colOff>0</xdr:colOff>
      <xdr:row>277</xdr:row>
      <xdr:rowOff>0</xdr:rowOff>
    </xdr:to>
    <xdr:sp macro="" textlink="">
      <xdr:nvSpPr>
        <xdr:cNvPr id="589" name="0/0">
          <a:extLst>
            <a:ext uri="{FF2B5EF4-FFF2-40B4-BE49-F238E27FC236}">
              <a16:creationId xmlns:a16="http://schemas.microsoft.com/office/drawing/2014/main" id="{914551BA-7A19-4394-9479-E11D41F2E96F}"/>
            </a:ext>
          </a:extLst>
        </xdr:cNvPr>
        <xdr:cNvSpPr>
          <a:spLocks noChangeArrowheads="1"/>
        </xdr:cNvSpPr>
      </xdr:nvSpPr>
      <xdr:spPr bwMode="auto">
        <a:xfrm>
          <a:off x="4210050" y="512064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274</xdr:row>
      <xdr:rowOff>142875</xdr:rowOff>
    </xdr:from>
    <xdr:to>
      <xdr:col>22</xdr:col>
      <xdr:colOff>1</xdr:colOff>
      <xdr:row>275</xdr:row>
      <xdr:rowOff>104775</xdr:rowOff>
    </xdr:to>
    <xdr:sp macro="" textlink="">
      <xdr:nvSpPr>
        <xdr:cNvPr id="590" name="Freeform 10695">
          <a:extLst>
            <a:ext uri="{FF2B5EF4-FFF2-40B4-BE49-F238E27FC236}">
              <a16:creationId xmlns:a16="http://schemas.microsoft.com/office/drawing/2014/main" id="{D6269AAE-E0CB-474B-9BFD-29BF9EB30696}"/>
            </a:ext>
          </a:extLst>
        </xdr:cNvPr>
        <xdr:cNvSpPr>
          <a:spLocks/>
        </xdr:cNvSpPr>
      </xdr:nvSpPr>
      <xdr:spPr bwMode="auto">
        <a:xfrm>
          <a:off x="44481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274</xdr:row>
      <xdr:rowOff>171450</xdr:rowOff>
    </xdr:from>
    <xdr:to>
      <xdr:col>23</xdr:col>
      <xdr:colOff>0</xdr:colOff>
      <xdr:row>277</xdr:row>
      <xdr:rowOff>0</xdr:rowOff>
    </xdr:to>
    <xdr:sp macro="" textlink="">
      <xdr:nvSpPr>
        <xdr:cNvPr id="591" name="0/0">
          <a:extLst>
            <a:ext uri="{FF2B5EF4-FFF2-40B4-BE49-F238E27FC236}">
              <a16:creationId xmlns:a16="http://schemas.microsoft.com/office/drawing/2014/main" id="{AC33E806-3DBA-447C-92D0-788BF9EC7CE1}"/>
            </a:ext>
          </a:extLst>
        </xdr:cNvPr>
        <xdr:cNvSpPr>
          <a:spLocks noChangeArrowheads="1"/>
        </xdr:cNvSpPr>
      </xdr:nvSpPr>
      <xdr:spPr bwMode="auto">
        <a:xfrm>
          <a:off x="52006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274</xdr:row>
      <xdr:rowOff>142875</xdr:rowOff>
    </xdr:from>
    <xdr:to>
      <xdr:col>26</xdr:col>
      <xdr:colOff>1</xdr:colOff>
      <xdr:row>275</xdr:row>
      <xdr:rowOff>104775</xdr:rowOff>
    </xdr:to>
    <xdr:sp macro="" textlink="">
      <xdr:nvSpPr>
        <xdr:cNvPr id="592" name="Freeform 10695">
          <a:extLst>
            <a:ext uri="{FF2B5EF4-FFF2-40B4-BE49-F238E27FC236}">
              <a16:creationId xmlns:a16="http://schemas.microsoft.com/office/drawing/2014/main" id="{1293441A-C6D6-4201-977D-5F61918F1DAA}"/>
            </a:ext>
          </a:extLst>
        </xdr:cNvPr>
        <xdr:cNvSpPr>
          <a:spLocks/>
        </xdr:cNvSpPr>
      </xdr:nvSpPr>
      <xdr:spPr bwMode="auto">
        <a:xfrm>
          <a:off x="54387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274</xdr:row>
      <xdr:rowOff>171450</xdr:rowOff>
    </xdr:from>
    <xdr:to>
      <xdr:col>27</xdr:col>
      <xdr:colOff>0</xdr:colOff>
      <xdr:row>277</xdr:row>
      <xdr:rowOff>0</xdr:rowOff>
    </xdr:to>
    <xdr:sp macro="" textlink="">
      <xdr:nvSpPr>
        <xdr:cNvPr id="593" name="0/0">
          <a:extLst>
            <a:ext uri="{FF2B5EF4-FFF2-40B4-BE49-F238E27FC236}">
              <a16:creationId xmlns:a16="http://schemas.microsoft.com/office/drawing/2014/main" id="{E6365EA3-11AC-4927-819A-3A3A044B5ACB}"/>
            </a:ext>
          </a:extLst>
        </xdr:cNvPr>
        <xdr:cNvSpPr>
          <a:spLocks noChangeArrowheads="1"/>
        </xdr:cNvSpPr>
      </xdr:nvSpPr>
      <xdr:spPr bwMode="auto">
        <a:xfrm>
          <a:off x="61912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274</xdr:row>
      <xdr:rowOff>142875</xdr:rowOff>
    </xdr:from>
    <xdr:to>
      <xdr:col>30</xdr:col>
      <xdr:colOff>1</xdr:colOff>
      <xdr:row>275</xdr:row>
      <xdr:rowOff>104775</xdr:rowOff>
    </xdr:to>
    <xdr:sp macro="" textlink="">
      <xdr:nvSpPr>
        <xdr:cNvPr id="594" name="Freeform 10695">
          <a:extLst>
            <a:ext uri="{FF2B5EF4-FFF2-40B4-BE49-F238E27FC236}">
              <a16:creationId xmlns:a16="http://schemas.microsoft.com/office/drawing/2014/main" id="{8759F238-5789-4858-8B16-06761923CA3B}"/>
            </a:ext>
          </a:extLst>
        </xdr:cNvPr>
        <xdr:cNvSpPr>
          <a:spLocks/>
        </xdr:cNvSpPr>
      </xdr:nvSpPr>
      <xdr:spPr bwMode="auto">
        <a:xfrm>
          <a:off x="64293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274</xdr:row>
      <xdr:rowOff>171450</xdr:rowOff>
    </xdr:from>
    <xdr:to>
      <xdr:col>31</xdr:col>
      <xdr:colOff>0</xdr:colOff>
      <xdr:row>277</xdr:row>
      <xdr:rowOff>0</xdr:rowOff>
    </xdr:to>
    <xdr:sp macro="" textlink="">
      <xdr:nvSpPr>
        <xdr:cNvPr id="595" name="0/0">
          <a:extLst>
            <a:ext uri="{FF2B5EF4-FFF2-40B4-BE49-F238E27FC236}">
              <a16:creationId xmlns:a16="http://schemas.microsoft.com/office/drawing/2014/main" id="{B867FF7A-5296-4667-A512-6F3786BEA2D0}"/>
            </a:ext>
          </a:extLst>
        </xdr:cNvPr>
        <xdr:cNvSpPr>
          <a:spLocks noChangeArrowheads="1"/>
        </xdr:cNvSpPr>
      </xdr:nvSpPr>
      <xdr:spPr bwMode="auto">
        <a:xfrm>
          <a:off x="71818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238125</xdr:colOff>
      <xdr:row>274</xdr:row>
      <xdr:rowOff>142875</xdr:rowOff>
    </xdr:from>
    <xdr:to>
      <xdr:col>34</xdr:col>
      <xdr:colOff>1</xdr:colOff>
      <xdr:row>275</xdr:row>
      <xdr:rowOff>104775</xdr:rowOff>
    </xdr:to>
    <xdr:sp macro="" textlink="">
      <xdr:nvSpPr>
        <xdr:cNvPr id="596" name="Freeform 10695">
          <a:extLst>
            <a:ext uri="{FF2B5EF4-FFF2-40B4-BE49-F238E27FC236}">
              <a16:creationId xmlns:a16="http://schemas.microsoft.com/office/drawing/2014/main" id="{5D0B92B5-E7A7-4475-A2B5-C588763AABB9}"/>
            </a:ext>
          </a:extLst>
        </xdr:cNvPr>
        <xdr:cNvSpPr>
          <a:spLocks/>
        </xdr:cNvSpPr>
      </xdr:nvSpPr>
      <xdr:spPr bwMode="auto">
        <a:xfrm>
          <a:off x="74199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274</xdr:row>
      <xdr:rowOff>171450</xdr:rowOff>
    </xdr:from>
    <xdr:to>
      <xdr:col>35</xdr:col>
      <xdr:colOff>0</xdr:colOff>
      <xdr:row>277</xdr:row>
      <xdr:rowOff>0</xdr:rowOff>
    </xdr:to>
    <xdr:sp macro="" textlink="">
      <xdr:nvSpPr>
        <xdr:cNvPr id="597" name="0/0">
          <a:extLst>
            <a:ext uri="{FF2B5EF4-FFF2-40B4-BE49-F238E27FC236}">
              <a16:creationId xmlns:a16="http://schemas.microsoft.com/office/drawing/2014/main" id="{C4FC76E8-A507-4645-B1EE-8F70AE9E3D25}"/>
            </a:ext>
          </a:extLst>
        </xdr:cNvPr>
        <xdr:cNvSpPr>
          <a:spLocks noChangeArrowheads="1"/>
        </xdr:cNvSpPr>
      </xdr:nvSpPr>
      <xdr:spPr bwMode="auto">
        <a:xfrm>
          <a:off x="81724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238125</xdr:colOff>
      <xdr:row>274</xdr:row>
      <xdr:rowOff>152797</xdr:rowOff>
    </xdr:from>
    <xdr:to>
      <xdr:col>38</xdr:col>
      <xdr:colOff>1</xdr:colOff>
      <xdr:row>275</xdr:row>
      <xdr:rowOff>114697</xdr:rowOff>
    </xdr:to>
    <xdr:sp macro="" textlink="">
      <xdr:nvSpPr>
        <xdr:cNvPr id="598" name="Freeform 10695">
          <a:extLst>
            <a:ext uri="{FF2B5EF4-FFF2-40B4-BE49-F238E27FC236}">
              <a16:creationId xmlns:a16="http://schemas.microsoft.com/office/drawing/2014/main" id="{A283BED9-A38C-4791-BDF4-A2058C1F0216}"/>
            </a:ext>
          </a:extLst>
        </xdr:cNvPr>
        <xdr:cNvSpPr>
          <a:spLocks/>
        </xdr:cNvSpPr>
      </xdr:nvSpPr>
      <xdr:spPr bwMode="auto">
        <a:xfrm>
          <a:off x="8410575" y="51187747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274</xdr:row>
      <xdr:rowOff>171450</xdr:rowOff>
    </xdr:from>
    <xdr:to>
      <xdr:col>3</xdr:col>
      <xdr:colOff>0</xdr:colOff>
      <xdr:row>277</xdr:row>
      <xdr:rowOff>0</xdr:rowOff>
    </xdr:to>
    <xdr:sp macro="" textlink="">
      <xdr:nvSpPr>
        <xdr:cNvPr id="599" name="0/0">
          <a:extLst>
            <a:ext uri="{FF2B5EF4-FFF2-40B4-BE49-F238E27FC236}">
              <a16:creationId xmlns:a16="http://schemas.microsoft.com/office/drawing/2014/main" id="{56C27A1B-7D43-4326-8BAD-90EB7F4D3D03}"/>
            </a:ext>
          </a:extLst>
        </xdr:cNvPr>
        <xdr:cNvSpPr>
          <a:spLocks noChangeArrowheads="1"/>
        </xdr:cNvSpPr>
      </xdr:nvSpPr>
      <xdr:spPr bwMode="auto">
        <a:xfrm>
          <a:off x="2476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274</xdr:row>
      <xdr:rowOff>142875</xdr:rowOff>
    </xdr:from>
    <xdr:to>
      <xdr:col>6</xdr:col>
      <xdr:colOff>9526</xdr:colOff>
      <xdr:row>275</xdr:row>
      <xdr:rowOff>104775</xdr:rowOff>
    </xdr:to>
    <xdr:sp macro="" textlink="">
      <xdr:nvSpPr>
        <xdr:cNvPr id="600" name="Freeform 10695">
          <a:extLst>
            <a:ext uri="{FF2B5EF4-FFF2-40B4-BE49-F238E27FC236}">
              <a16:creationId xmlns:a16="http://schemas.microsoft.com/office/drawing/2014/main" id="{E36778EE-795C-4F43-A78C-094DFA709F04}"/>
            </a:ext>
          </a:extLst>
        </xdr:cNvPr>
        <xdr:cNvSpPr>
          <a:spLocks/>
        </xdr:cNvSpPr>
      </xdr:nvSpPr>
      <xdr:spPr bwMode="auto">
        <a:xfrm>
          <a:off x="495300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274</xdr:row>
      <xdr:rowOff>171450</xdr:rowOff>
    </xdr:from>
    <xdr:to>
      <xdr:col>39</xdr:col>
      <xdr:colOff>0</xdr:colOff>
      <xdr:row>277</xdr:row>
      <xdr:rowOff>0</xdr:rowOff>
    </xdr:to>
    <xdr:sp macro="" textlink="">
      <xdr:nvSpPr>
        <xdr:cNvPr id="601" name="0/0">
          <a:extLst>
            <a:ext uri="{FF2B5EF4-FFF2-40B4-BE49-F238E27FC236}">
              <a16:creationId xmlns:a16="http://schemas.microsoft.com/office/drawing/2014/main" id="{96DCF385-7AED-4565-8CB2-7C5F8769FDAA}"/>
            </a:ext>
          </a:extLst>
        </xdr:cNvPr>
        <xdr:cNvSpPr>
          <a:spLocks noChangeArrowheads="1"/>
        </xdr:cNvSpPr>
      </xdr:nvSpPr>
      <xdr:spPr bwMode="auto">
        <a:xfrm>
          <a:off x="91630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274</xdr:row>
      <xdr:rowOff>171450</xdr:rowOff>
    </xdr:from>
    <xdr:to>
      <xdr:col>43</xdr:col>
      <xdr:colOff>0</xdr:colOff>
      <xdr:row>277</xdr:row>
      <xdr:rowOff>0</xdr:rowOff>
    </xdr:to>
    <xdr:sp macro="" textlink="">
      <xdr:nvSpPr>
        <xdr:cNvPr id="602" name="0/0">
          <a:extLst>
            <a:ext uri="{FF2B5EF4-FFF2-40B4-BE49-F238E27FC236}">
              <a16:creationId xmlns:a16="http://schemas.microsoft.com/office/drawing/2014/main" id="{D74AF765-E814-4C1A-AD64-27717DA428D5}"/>
            </a:ext>
          </a:extLst>
        </xdr:cNvPr>
        <xdr:cNvSpPr>
          <a:spLocks noChangeArrowheads="1"/>
        </xdr:cNvSpPr>
      </xdr:nvSpPr>
      <xdr:spPr bwMode="auto">
        <a:xfrm>
          <a:off x="101536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238125</xdr:colOff>
      <xdr:row>274</xdr:row>
      <xdr:rowOff>171449</xdr:rowOff>
    </xdr:from>
    <xdr:to>
      <xdr:col>46</xdr:col>
      <xdr:colOff>0</xdr:colOff>
      <xdr:row>275</xdr:row>
      <xdr:rowOff>104774</xdr:rowOff>
    </xdr:to>
    <xdr:sp macro="" textlink="">
      <xdr:nvSpPr>
        <xdr:cNvPr id="603" name="Freeform 10695">
          <a:extLst>
            <a:ext uri="{FF2B5EF4-FFF2-40B4-BE49-F238E27FC236}">
              <a16:creationId xmlns:a16="http://schemas.microsoft.com/office/drawing/2014/main" id="{E051D133-0A1A-4756-B630-A56D7391529B}"/>
            </a:ext>
          </a:extLst>
        </xdr:cNvPr>
        <xdr:cNvSpPr>
          <a:spLocks/>
        </xdr:cNvSpPr>
      </xdr:nvSpPr>
      <xdr:spPr bwMode="auto">
        <a:xfrm>
          <a:off x="10391775" y="51206399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19844</xdr:colOff>
      <xdr:row>0</xdr:row>
      <xdr:rowOff>0</xdr:rowOff>
    </xdr:from>
    <xdr:to>
      <xdr:col>6</xdr:col>
      <xdr:colOff>39688</xdr:colOff>
      <xdr:row>4</xdr:row>
      <xdr:rowOff>114839</xdr:rowOff>
    </xdr:to>
    <xdr:pic>
      <xdr:nvPicPr>
        <xdr:cNvPr id="604" name="Graphic 797">
          <a:extLst>
            <a:ext uri="{FF2B5EF4-FFF2-40B4-BE49-F238E27FC236}">
              <a16:creationId xmlns:a16="http://schemas.microsoft.com/office/drawing/2014/main" id="{F087BFF9-8D1D-42AA-80EC-8802312DE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44" y="0"/>
          <a:ext cx="1505744" cy="8768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152400</xdr:colOff>
      <xdr:row>10</xdr:row>
      <xdr:rowOff>85724</xdr:rowOff>
    </xdr:from>
    <xdr:to>
      <xdr:col>17</xdr:col>
      <xdr:colOff>228600</xdr:colOff>
      <xdr:row>10</xdr:row>
      <xdr:rowOff>114299</xdr:rowOff>
    </xdr:to>
    <xdr:sp macro="" textlink="">
      <xdr:nvSpPr>
        <xdr:cNvPr id="605" name="Line 10711">
          <a:extLst>
            <a:ext uri="{FF2B5EF4-FFF2-40B4-BE49-F238E27FC236}">
              <a16:creationId xmlns:a16="http://schemas.microsoft.com/office/drawing/2014/main" id="{7E40E28C-8B4F-4BA8-B70A-F7D971FFA44B}"/>
            </a:ext>
          </a:extLst>
        </xdr:cNvPr>
        <xdr:cNvSpPr>
          <a:spLocks noChangeShapeType="1"/>
        </xdr:cNvSpPr>
      </xdr:nvSpPr>
      <xdr:spPr bwMode="auto">
        <a:xfrm flipH="1" flipV="1">
          <a:off x="3867150" y="2162174"/>
          <a:ext cx="571500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9525</xdr:colOff>
      <xdr:row>12</xdr:row>
      <xdr:rowOff>66674</xdr:rowOff>
    </xdr:from>
    <xdr:to>
      <xdr:col>17</xdr:col>
      <xdr:colOff>200025</xdr:colOff>
      <xdr:row>12</xdr:row>
      <xdr:rowOff>123824</xdr:rowOff>
    </xdr:to>
    <xdr:sp macro="" textlink="">
      <xdr:nvSpPr>
        <xdr:cNvPr id="606" name="Line 10711">
          <a:extLst>
            <a:ext uri="{FF2B5EF4-FFF2-40B4-BE49-F238E27FC236}">
              <a16:creationId xmlns:a16="http://schemas.microsoft.com/office/drawing/2014/main" id="{AE1ABD89-8B96-4D1B-A43E-14DD39212408}"/>
            </a:ext>
          </a:extLst>
        </xdr:cNvPr>
        <xdr:cNvSpPr>
          <a:spLocks noChangeShapeType="1"/>
        </xdr:cNvSpPr>
      </xdr:nvSpPr>
      <xdr:spPr bwMode="auto">
        <a:xfrm flipH="1" flipV="1">
          <a:off x="3971925" y="2562224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35616</xdr:colOff>
      <xdr:row>23</xdr:row>
      <xdr:rowOff>133353</xdr:rowOff>
    </xdr:from>
    <xdr:to>
      <xdr:col>24</xdr:col>
      <xdr:colOff>82163</xdr:colOff>
      <xdr:row>30</xdr:row>
      <xdr:rowOff>95254</xdr:rowOff>
    </xdr:to>
    <xdr:sp macro="" textlink="">
      <xdr:nvSpPr>
        <xdr:cNvPr id="607" name="AutoShape 10734">
          <a:extLst>
            <a:ext uri="{FF2B5EF4-FFF2-40B4-BE49-F238E27FC236}">
              <a16:creationId xmlns:a16="http://schemas.microsoft.com/office/drawing/2014/main" id="{B4C5F805-186C-4C67-BD15-E22C3EA80090}"/>
            </a:ext>
          </a:extLst>
        </xdr:cNvPr>
        <xdr:cNvSpPr>
          <a:spLocks noChangeArrowheads="1"/>
        </xdr:cNvSpPr>
      </xdr:nvSpPr>
      <xdr:spPr bwMode="auto">
        <a:xfrm rot="5400000">
          <a:off x="5378602" y="5372642"/>
          <a:ext cx="1247776" cy="46547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219074</xdr:colOff>
      <xdr:row>33</xdr:row>
      <xdr:rowOff>142875</xdr:rowOff>
    </xdr:from>
    <xdr:to>
      <xdr:col>20</xdr:col>
      <xdr:colOff>57149</xdr:colOff>
      <xdr:row>40</xdr:row>
      <xdr:rowOff>19050</xdr:rowOff>
    </xdr:to>
    <xdr:sp macro="" textlink="">
      <xdr:nvSpPr>
        <xdr:cNvPr id="608" name="Lightning Bolt 607">
          <a:extLst>
            <a:ext uri="{FF2B5EF4-FFF2-40B4-BE49-F238E27FC236}">
              <a16:creationId xmlns:a16="http://schemas.microsoft.com/office/drawing/2014/main" id="{069B98E8-01C3-4195-A546-748AC2904606}"/>
            </a:ext>
          </a:extLst>
        </xdr:cNvPr>
        <xdr:cNvSpPr/>
      </xdr:nvSpPr>
      <xdr:spPr>
        <a:xfrm>
          <a:off x="4924424" y="663892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56322</xdr:colOff>
      <xdr:row>33</xdr:row>
      <xdr:rowOff>152400</xdr:rowOff>
    </xdr:from>
    <xdr:to>
      <xdr:col>20</xdr:col>
      <xdr:colOff>142047</xdr:colOff>
      <xdr:row>40</xdr:row>
      <xdr:rowOff>28575</xdr:rowOff>
    </xdr:to>
    <xdr:sp macro="" textlink="">
      <xdr:nvSpPr>
        <xdr:cNvPr id="609" name="Lightning Bolt 608">
          <a:extLst>
            <a:ext uri="{FF2B5EF4-FFF2-40B4-BE49-F238E27FC236}">
              <a16:creationId xmlns:a16="http://schemas.microsoft.com/office/drawing/2014/main" id="{7F16A2D0-A095-4807-86AF-BF50805BB581}"/>
            </a:ext>
          </a:extLst>
        </xdr:cNvPr>
        <xdr:cNvSpPr/>
      </xdr:nvSpPr>
      <xdr:spPr>
        <a:xfrm>
          <a:off x="5009322" y="66484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14</xdr:col>
      <xdr:colOff>9525</xdr:colOff>
      <xdr:row>6</xdr:row>
      <xdr:rowOff>123825</xdr:rowOff>
    </xdr:from>
    <xdr:to>
      <xdr:col>17</xdr:col>
      <xdr:colOff>28575</xdr:colOff>
      <xdr:row>7</xdr:row>
      <xdr:rowOff>180975</xdr:rowOff>
    </xdr:to>
    <xdr:sp macro="" textlink="">
      <xdr:nvSpPr>
        <xdr:cNvPr id="610" name="Line 10711">
          <a:extLst>
            <a:ext uri="{FF2B5EF4-FFF2-40B4-BE49-F238E27FC236}">
              <a16:creationId xmlns:a16="http://schemas.microsoft.com/office/drawing/2014/main" id="{B1707BA3-5711-4FA0-AD12-C1C676DA05E9}"/>
            </a:ext>
          </a:extLst>
        </xdr:cNvPr>
        <xdr:cNvSpPr>
          <a:spLocks noChangeShapeType="1"/>
        </xdr:cNvSpPr>
      </xdr:nvSpPr>
      <xdr:spPr bwMode="auto">
        <a:xfrm flipH="1">
          <a:off x="3476625" y="1419225"/>
          <a:ext cx="76200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56737</xdr:colOff>
      <xdr:row>73</xdr:row>
      <xdr:rowOff>161925</xdr:rowOff>
    </xdr:from>
    <xdr:to>
      <xdr:col>8</xdr:col>
      <xdr:colOff>143290</xdr:colOff>
      <xdr:row>80</xdr:row>
      <xdr:rowOff>38100</xdr:rowOff>
    </xdr:to>
    <xdr:sp macro="" textlink="">
      <xdr:nvSpPr>
        <xdr:cNvPr id="611" name="Lightning Bolt 610">
          <a:extLst>
            <a:ext uri="{FF2B5EF4-FFF2-40B4-BE49-F238E27FC236}">
              <a16:creationId xmlns:a16="http://schemas.microsoft.com/office/drawing/2014/main" id="{ABA30276-F669-4ABF-A04E-C933E1D2FEF5}"/>
            </a:ext>
          </a:extLst>
        </xdr:cNvPr>
        <xdr:cNvSpPr/>
      </xdr:nvSpPr>
      <xdr:spPr>
        <a:xfrm>
          <a:off x="2037937" y="14049375"/>
          <a:ext cx="86553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9525</xdr:colOff>
      <xdr:row>73</xdr:row>
      <xdr:rowOff>161925</xdr:rowOff>
    </xdr:from>
    <xdr:to>
      <xdr:col>20</xdr:col>
      <xdr:colOff>96078</xdr:colOff>
      <xdr:row>80</xdr:row>
      <xdr:rowOff>38100</xdr:rowOff>
    </xdr:to>
    <xdr:sp macro="" textlink="">
      <xdr:nvSpPr>
        <xdr:cNvPr id="612" name="Lightning Bolt 611">
          <a:extLst>
            <a:ext uri="{FF2B5EF4-FFF2-40B4-BE49-F238E27FC236}">
              <a16:creationId xmlns:a16="http://schemas.microsoft.com/office/drawing/2014/main" id="{B4F6773D-A77D-4C55-A683-8DCA32E3450E}"/>
            </a:ext>
          </a:extLst>
        </xdr:cNvPr>
        <xdr:cNvSpPr/>
      </xdr:nvSpPr>
      <xdr:spPr>
        <a:xfrm>
          <a:off x="4962525" y="14049375"/>
          <a:ext cx="86553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19050</xdr:colOff>
      <xdr:row>83</xdr:row>
      <xdr:rowOff>161925</xdr:rowOff>
    </xdr:from>
    <xdr:to>
      <xdr:col>20</xdr:col>
      <xdr:colOff>104775</xdr:colOff>
      <xdr:row>90</xdr:row>
      <xdr:rowOff>38100</xdr:rowOff>
    </xdr:to>
    <xdr:sp macro="" textlink="">
      <xdr:nvSpPr>
        <xdr:cNvPr id="613" name="Lightning Bolt 612">
          <a:extLst>
            <a:ext uri="{FF2B5EF4-FFF2-40B4-BE49-F238E27FC236}">
              <a16:creationId xmlns:a16="http://schemas.microsoft.com/office/drawing/2014/main" id="{929C9FBB-E839-4041-ABB7-96625639CD36}"/>
            </a:ext>
          </a:extLst>
        </xdr:cNvPr>
        <xdr:cNvSpPr/>
      </xdr:nvSpPr>
      <xdr:spPr>
        <a:xfrm>
          <a:off x="4972050" y="1589722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64</xdr:row>
      <xdr:rowOff>161925</xdr:rowOff>
    </xdr:from>
    <xdr:to>
      <xdr:col>26</xdr:col>
      <xdr:colOff>9526</xdr:colOff>
      <xdr:row>65</xdr:row>
      <xdr:rowOff>123825</xdr:rowOff>
    </xdr:to>
    <xdr:sp macro="" textlink="">
      <xdr:nvSpPr>
        <xdr:cNvPr id="614" name="Freeform 10695">
          <a:extLst>
            <a:ext uri="{FF2B5EF4-FFF2-40B4-BE49-F238E27FC236}">
              <a16:creationId xmlns:a16="http://schemas.microsoft.com/office/drawing/2014/main" id="{52A8C978-012A-4496-AEF9-8AA8CCD45691}"/>
            </a:ext>
          </a:extLst>
        </xdr:cNvPr>
        <xdr:cNvSpPr>
          <a:spLocks/>
        </xdr:cNvSpPr>
      </xdr:nvSpPr>
      <xdr:spPr bwMode="auto">
        <a:xfrm>
          <a:off x="5448300" y="12392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3727</xdr:colOff>
      <xdr:row>94</xdr:row>
      <xdr:rowOff>26508</xdr:rowOff>
    </xdr:from>
    <xdr:to>
      <xdr:col>16</xdr:col>
      <xdr:colOff>80754</xdr:colOff>
      <xdr:row>100</xdr:row>
      <xdr:rowOff>7460</xdr:rowOff>
    </xdr:to>
    <xdr:sp macro="" textlink="">
      <xdr:nvSpPr>
        <xdr:cNvPr id="615" name="AutoShape 10734">
          <a:extLst>
            <a:ext uri="{FF2B5EF4-FFF2-40B4-BE49-F238E27FC236}">
              <a16:creationId xmlns:a16="http://schemas.microsoft.com/office/drawing/2014/main" id="{A744D4D4-F7DB-4762-9230-3370D3A08D92}"/>
            </a:ext>
          </a:extLst>
        </xdr:cNvPr>
        <xdr:cNvSpPr>
          <a:spLocks noChangeArrowheads="1"/>
        </xdr:cNvSpPr>
      </xdr:nvSpPr>
      <xdr:spPr bwMode="auto">
        <a:xfrm rot="5400000">
          <a:off x="3471240" y="18295045"/>
          <a:ext cx="1066802" cy="77027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94</xdr:row>
      <xdr:rowOff>142875</xdr:rowOff>
    </xdr:from>
    <xdr:to>
      <xdr:col>18</xdr:col>
      <xdr:colOff>9526</xdr:colOff>
      <xdr:row>95</xdr:row>
      <xdr:rowOff>104775</xdr:rowOff>
    </xdr:to>
    <xdr:sp macro="" textlink="">
      <xdr:nvSpPr>
        <xdr:cNvPr id="616" name="Freeform 10695">
          <a:extLst>
            <a:ext uri="{FF2B5EF4-FFF2-40B4-BE49-F238E27FC236}">
              <a16:creationId xmlns:a16="http://schemas.microsoft.com/office/drawing/2014/main" id="{2675A7FF-C478-40AF-85DE-140430E7F936}"/>
            </a:ext>
          </a:extLst>
        </xdr:cNvPr>
        <xdr:cNvSpPr>
          <a:spLocks/>
        </xdr:cNvSpPr>
      </xdr:nvSpPr>
      <xdr:spPr bwMode="auto">
        <a:xfrm>
          <a:off x="3467100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238125</xdr:colOff>
      <xdr:row>94</xdr:row>
      <xdr:rowOff>95250</xdr:rowOff>
    </xdr:from>
    <xdr:to>
      <xdr:col>20</xdr:col>
      <xdr:colOff>76200</xdr:colOff>
      <xdr:row>100</xdr:row>
      <xdr:rowOff>161925</xdr:rowOff>
    </xdr:to>
    <xdr:sp macro="" textlink="">
      <xdr:nvSpPr>
        <xdr:cNvPr id="617" name="Lightning Bolt 616">
          <a:extLst>
            <a:ext uri="{FF2B5EF4-FFF2-40B4-BE49-F238E27FC236}">
              <a16:creationId xmlns:a16="http://schemas.microsoft.com/office/drawing/2014/main" id="{BF9E85E9-1823-4BA0-AED4-36BAE01BB89B}"/>
            </a:ext>
          </a:extLst>
        </xdr:cNvPr>
        <xdr:cNvSpPr/>
      </xdr:nvSpPr>
      <xdr:spPr>
        <a:xfrm>
          <a:off x="4943475" y="1786890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16</xdr:col>
      <xdr:colOff>76200</xdr:colOff>
      <xdr:row>104</xdr:row>
      <xdr:rowOff>47627</xdr:rowOff>
    </xdr:from>
    <xdr:to>
      <xdr:col>16</xdr:col>
      <xdr:colOff>152399</xdr:colOff>
      <xdr:row>110</xdr:row>
      <xdr:rowOff>28579</xdr:rowOff>
    </xdr:to>
    <xdr:sp macro="" textlink="">
      <xdr:nvSpPr>
        <xdr:cNvPr id="618" name="AutoShape 10734">
          <a:extLst>
            <a:ext uri="{FF2B5EF4-FFF2-40B4-BE49-F238E27FC236}">
              <a16:creationId xmlns:a16="http://schemas.microsoft.com/office/drawing/2014/main" id="{DFB7AF1E-E2A7-4944-B130-31C55672ED30}"/>
            </a:ext>
          </a:extLst>
        </xdr:cNvPr>
        <xdr:cNvSpPr>
          <a:spLocks noChangeArrowheads="1"/>
        </xdr:cNvSpPr>
      </xdr:nvSpPr>
      <xdr:spPr bwMode="auto">
        <a:xfrm rot="5400000">
          <a:off x="3543299" y="20164428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125894</xdr:colOff>
      <xdr:row>94</xdr:row>
      <xdr:rowOff>57150</xdr:rowOff>
    </xdr:from>
    <xdr:to>
      <xdr:col>16</xdr:col>
      <xdr:colOff>223631</xdr:colOff>
      <xdr:row>100</xdr:row>
      <xdr:rowOff>57150</xdr:rowOff>
    </xdr:to>
    <xdr:sp macro="" textlink="">
      <xdr:nvSpPr>
        <xdr:cNvPr id="619" name="Arrow: U-Turn 618">
          <a:extLst>
            <a:ext uri="{FF2B5EF4-FFF2-40B4-BE49-F238E27FC236}">
              <a16:creationId xmlns:a16="http://schemas.microsoft.com/office/drawing/2014/main" id="{3A46210C-3553-422F-A8FB-E288F582DD08}"/>
            </a:ext>
          </a:extLst>
        </xdr:cNvPr>
        <xdr:cNvSpPr/>
      </xdr:nvSpPr>
      <xdr:spPr>
        <a:xfrm>
          <a:off x="4088294" y="17830800"/>
          <a:ext cx="97737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19050</xdr:colOff>
      <xdr:row>64</xdr:row>
      <xdr:rowOff>95250</xdr:rowOff>
    </xdr:from>
    <xdr:to>
      <xdr:col>24</xdr:col>
      <xdr:colOff>161925</xdr:colOff>
      <xdr:row>70</xdr:row>
      <xdr:rowOff>95250</xdr:rowOff>
    </xdr:to>
    <xdr:sp macro="" textlink="">
      <xdr:nvSpPr>
        <xdr:cNvPr id="620" name="Arrow: U-Turn 619">
          <a:extLst>
            <a:ext uri="{FF2B5EF4-FFF2-40B4-BE49-F238E27FC236}">
              <a16:creationId xmlns:a16="http://schemas.microsoft.com/office/drawing/2014/main" id="{2B4D45D1-1CB7-41F5-AF10-036751D74BEB}"/>
            </a:ext>
          </a:extLst>
        </xdr:cNvPr>
        <xdr:cNvSpPr/>
      </xdr:nvSpPr>
      <xdr:spPr>
        <a:xfrm>
          <a:off x="5962650" y="12325350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180977</xdr:colOff>
      <xdr:row>15</xdr:row>
      <xdr:rowOff>38101</xdr:rowOff>
    </xdr:from>
    <xdr:to>
      <xdr:col>22</xdr:col>
      <xdr:colOff>76202</xdr:colOff>
      <xdr:row>20</xdr:row>
      <xdr:rowOff>171451</xdr:rowOff>
    </xdr:to>
    <xdr:sp macro="" textlink="">
      <xdr:nvSpPr>
        <xdr:cNvPr id="621" name="Arrow: U-Turn 620">
          <a:extLst>
            <a:ext uri="{FF2B5EF4-FFF2-40B4-BE49-F238E27FC236}">
              <a16:creationId xmlns:a16="http://schemas.microsoft.com/office/drawing/2014/main" id="{DE6041CC-A61B-4E99-9B1F-B314E52A72E2}"/>
            </a:ext>
          </a:extLst>
        </xdr:cNvPr>
        <xdr:cNvSpPr/>
      </xdr:nvSpPr>
      <xdr:spPr>
        <a:xfrm>
          <a:off x="5381627" y="3152776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19050</xdr:colOff>
      <xdr:row>124</xdr:row>
      <xdr:rowOff>66675</xdr:rowOff>
    </xdr:from>
    <xdr:to>
      <xdr:col>24</xdr:col>
      <xdr:colOff>161925</xdr:colOff>
      <xdr:row>130</xdr:row>
      <xdr:rowOff>66675</xdr:rowOff>
    </xdr:to>
    <xdr:sp macro="" textlink="">
      <xdr:nvSpPr>
        <xdr:cNvPr id="622" name="Arrow: U-Turn 621">
          <a:extLst>
            <a:ext uri="{FF2B5EF4-FFF2-40B4-BE49-F238E27FC236}">
              <a16:creationId xmlns:a16="http://schemas.microsoft.com/office/drawing/2014/main" id="{BE6C9DAB-677E-4BB4-98F1-61F5FD963465}"/>
            </a:ext>
          </a:extLst>
        </xdr:cNvPr>
        <xdr:cNvSpPr/>
      </xdr:nvSpPr>
      <xdr:spPr>
        <a:xfrm>
          <a:off x="5962650" y="23383875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28575</xdr:colOff>
      <xdr:row>13</xdr:row>
      <xdr:rowOff>76200</xdr:rowOff>
    </xdr:from>
    <xdr:to>
      <xdr:col>21</xdr:col>
      <xdr:colOff>219075</xdr:colOff>
      <xdr:row>13</xdr:row>
      <xdr:rowOff>95250</xdr:rowOff>
    </xdr:to>
    <xdr:sp macro="" textlink="">
      <xdr:nvSpPr>
        <xdr:cNvPr id="623" name="Line 10711">
          <a:extLst>
            <a:ext uri="{FF2B5EF4-FFF2-40B4-BE49-F238E27FC236}">
              <a16:creationId xmlns:a16="http://schemas.microsoft.com/office/drawing/2014/main" id="{3E1B80F8-024F-439F-A541-7E9C6ACF36C8}"/>
            </a:ext>
          </a:extLst>
        </xdr:cNvPr>
        <xdr:cNvSpPr>
          <a:spLocks noChangeShapeType="1"/>
        </xdr:cNvSpPr>
      </xdr:nvSpPr>
      <xdr:spPr bwMode="auto">
        <a:xfrm flipH="1" flipV="1">
          <a:off x="4981575" y="27813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104775</xdr:colOff>
      <xdr:row>134</xdr:row>
      <xdr:rowOff>0</xdr:rowOff>
    </xdr:from>
    <xdr:to>
      <xdr:col>3</xdr:col>
      <xdr:colOff>180974</xdr:colOff>
      <xdr:row>139</xdr:row>
      <xdr:rowOff>114302</xdr:rowOff>
    </xdr:to>
    <xdr:sp macro="" textlink="">
      <xdr:nvSpPr>
        <xdr:cNvPr id="624" name="AutoShape 10734">
          <a:extLst>
            <a:ext uri="{FF2B5EF4-FFF2-40B4-BE49-F238E27FC236}">
              <a16:creationId xmlns:a16="http://schemas.microsoft.com/office/drawing/2014/main" id="{A3A7B08B-C694-43F8-8E25-B8FA97231760}"/>
            </a:ext>
          </a:extLst>
        </xdr:cNvPr>
        <xdr:cNvSpPr>
          <a:spLocks noChangeArrowheads="1"/>
        </xdr:cNvSpPr>
      </xdr:nvSpPr>
      <xdr:spPr bwMode="auto">
        <a:xfrm rot="5400000">
          <a:off x="352424" y="25660351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219075</xdr:colOff>
      <xdr:row>134</xdr:row>
      <xdr:rowOff>28575</xdr:rowOff>
    </xdr:from>
    <xdr:to>
      <xdr:col>8</xdr:col>
      <xdr:colOff>57150</xdr:colOff>
      <xdr:row>140</xdr:row>
      <xdr:rowOff>95250</xdr:rowOff>
    </xdr:to>
    <xdr:sp macro="" textlink="">
      <xdr:nvSpPr>
        <xdr:cNvPr id="625" name="Lightning Bolt 624">
          <a:extLst>
            <a:ext uri="{FF2B5EF4-FFF2-40B4-BE49-F238E27FC236}">
              <a16:creationId xmlns:a16="http://schemas.microsoft.com/office/drawing/2014/main" id="{41D4B9FA-11B2-4E15-9263-2C704AAF70F8}"/>
            </a:ext>
          </a:extLst>
        </xdr:cNvPr>
        <xdr:cNvSpPr/>
      </xdr:nvSpPr>
      <xdr:spPr>
        <a:xfrm>
          <a:off x="1952625" y="2519362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57150</xdr:colOff>
      <xdr:row>134</xdr:row>
      <xdr:rowOff>47625</xdr:rowOff>
    </xdr:from>
    <xdr:to>
      <xdr:col>8</xdr:col>
      <xdr:colOff>142875</xdr:colOff>
      <xdr:row>140</xdr:row>
      <xdr:rowOff>114300</xdr:rowOff>
    </xdr:to>
    <xdr:sp macro="" textlink="">
      <xdr:nvSpPr>
        <xdr:cNvPr id="626" name="Lightning Bolt 625">
          <a:extLst>
            <a:ext uri="{FF2B5EF4-FFF2-40B4-BE49-F238E27FC236}">
              <a16:creationId xmlns:a16="http://schemas.microsoft.com/office/drawing/2014/main" id="{2B5F9E5E-743C-4C16-82AB-E8998B832150}"/>
            </a:ext>
          </a:extLst>
        </xdr:cNvPr>
        <xdr:cNvSpPr/>
      </xdr:nvSpPr>
      <xdr:spPr>
        <a:xfrm>
          <a:off x="2038350" y="2521267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12</xdr:col>
      <xdr:colOff>9525</xdr:colOff>
      <xdr:row>134</xdr:row>
      <xdr:rowOff>85726</xdr:rowOff>
    </xdr:from>
    <xdr:to>
      <xdr:col>12</xdr:col>
      <xdr:colOff>95250</xdr:colOff>
      <xdr:row>140</xdr:row>
      <xdr:rowOff>123826</xdr:rowOff>
    </xdr:to>
    <xdr:sp macro="" textlink="">
      <xdr:nvSpPr>
        <xdr:cNvPr id="627" name="Lightning Bolt 626">
          <a:extLst>
            <a:ext uri="{FF2B5EF4-FFF2-40B4-BE49-F238E27FC236}">
              <a16:creationId xmlns:a16="http://schemas.microsoft.com/office/drawing/2014/main" id="{60B44F73-4265-43B6-8E52-90B93814ECD3}"/>
            </a:ext>
          </a:extLst>
        </xdr:cNvPr>
        <xdr:cNvSpPr/>
      </xdr:nvSpPr>
      <xdr:spPr>
        <a:xfrm>
          <a:off x="2981325" y="25250776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39</xdr:col>
      <xdr:colOff>228600</xdr:colOff>
      <xdr:row>134</xdr:row>
      <xdr:rowOff>0</xdr:rowOff>
    </xdr:from>
    <xdr:to>
      <xdr:col>40</xdr:col>
      <xdr:colOff>66675</xdr:colOff>
      <xdr:row>140</xdr:row>
      <xdr:rowOff>66675</xdr:rowOff>
    </xdr:to>
    <xdr:sp macro="" textlink="">
      <xdr:nvSpPr>
        <xdr:cNvPr id="628" name="Lightning Bolt 627">
          <a:extLst>
            <a:ext uri="{FF2B5EF4-FFF2-40B4-BE49-F238E27FC236}">
              <a16:creationId xmlns:a16="http://schemas.microsoft.com/office/drawing/2014/main" id="{995E6970-E892-4D89-9674-F7B5277841F6}"/>
            </a:ext>
          </a:extLst>
        </xdr:cNvPr>
        <xdr:cNvSpPr/>
      </xdr:nvSpPr>
      <xdr:spPr>
        <a:xfrm>
          <a:off x="9886950" y="251650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41</xdr:col>
      <xdr:colOff>238125</xdr:colOff>
      <xdr:row>164</xdr:row>
      <xdr:rowOff>142875</xdr:rowOff>
    </xdr:from>
    <xdr:to>
      <xdr:col>45</xdr:col>
      <xdr:colOff>238125</xdr:colOff>
      <xdr:row>165</xdr:row>
      <xdr:rowOff>104775</xdr:rowOff>
    </xdr:to>
    <xdr:sp macro="" textlink="">
      <xdr:nvSpPr>
        <xdr:cNvPr id="629" name="Freeform 10695">
          <a:extLst>
            <a:ext uri="{FF2B5EF4-FFF2-40B4-BE49-F238E27FC236}">
              <a16:creationId xmlns:a16="http://schemas.microsoft.com/office/drawing/2014/main" id="{FC0B7B42-DA45-4F10-9BC8-2EC9AB00FFE3}"/>
            </a:ext>
          </a:extLst>
        </xdr:cNvPr>
        <xdr:cNvSpPr>
          <a:spLocks/>
        </xdr:cNvSpPr>
      </xdr:nvSpPr>
      <xdr:spPr bwMode="auto">
        <a:xfrm>
          <a:off x="10391775" y="30851475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184</xdr:row>
      <xdr:rowOff>142875</xdr:rowOff>
    </xdr:from>
    <xdr:to>
      <xdr:col>45</xdr:col>
      <xdr:colOff>238125</xdr:colOff>
      <xdr:row>185</xdr:row>
      <xdr:rowOff>104775</xdr:rowOff>
    </xdr:to>
    <xdr:sp macro="" textlink="">
      <xdr:nvSpPr>
        <xdr:cNvPr id="630" name="Freeform 10695">
          <a:extLst>
            <a:ext uri="{FF2B5EF4-FFF2-40B4-BE49-F238E27FC236}">
              <a16:creationId xmlns:a16="http://schemas.microsoft.com/office/drawing/2014/main" id="{A65D9021-D431-41C4-8C38-8FB10A3A9341}"/>
            </a:ext>
          </a:extLst>
        </xdr:cNvPr>
        <xdr:cNvSpPr>
          <a:spLocks/>
        </xdr:cNvSpPr>
      </xdr:nvSpPr>
      <xdr:spPr bwMode="auto">
        <a:xfrm>
          <a:off x="10391775" y="34547175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204</xdr:row>
      <xdr:rowOff>142875</xdr:rowOff>
    </xdr:from>
    <xdr:to>
      <xdr:col>30</xdr:col>
      <xdr:colOff>1</xdr:colOff>
      <xdr:row>205</xdr:row>
      <xdr:rowOff>104775</xdr:rowOff>
    </xdr:to>
    <xdr:sp macro="" textlink="">
      <xdr:nvSpPr>
        <xdr:cNvPr id="631" name="Freeform 10695">
          <a:extLst>
            <a:ext uri="{FF2B5EF4-FFF2-40B4-BE49-F238E27FC236}">
              <a16:creationId xmlns:a16="http://schemas.microsoft.com/office/drawing/2014/main" id="{621C9763-2F37-499A-896F-D5E7CBFEFE71}"/>
            </a:ext>
          </a:extLst>
        </xdr:cNvPr>
        <xdr:cNvSpPr>
          <a:spLocks/>
        </xdr:cNvSpPr>
      </xdr:nvSpPr>
      <xdr:spPr bwMode="auto">
        <a:xfrm>
          <a:off x="64293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204</xdr:row>
      <xdr:rowOff>142875</xdr:rowOff>
    </xdr:from>
    <xdr:to>
      <xdr:col>45</xdr:col>
      <xdr:colOff>238125</xdr:colOff>
      <xdr:row>205</xdr:row>
      <xdr:rowOff>104775</xdr:rowOff>
    </xdr:to>
    <xdr:sp macro="" textlink="">
      <xdr:nvSpPr>
        <xdr:cNvPr id="632" name="Freeform 10695">
          <a:extLst>
            <a:ext uri="{FF2B5EF4-FFF2-40B4-BE49-F238E27FC236}">
              <a16:creationId xmlns:a16="http://schemas.microsoft.com/office/drawing/2014/main" id="{B26411E9-934D-41FA-90D8-434ED0397587}"/>
            </a:ext>
          </a:extLst>
        </xdr:cNvPr>
        <xdr:cNvSpPr>
          <a:spLocks/>
        </xdr:cNvSpPr>
      </xdr:nvSpPr>
      <xdr:spPr bwMode="auto">
        <a:xfrm>
          <a:off x="10391775" y="38242875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224</xdr:row>
      <xdr:rowOff>142875</xdr:rowOff>
    </xdr:from>
    <xdr:to>
      <xdr:col>30</xdr:col>
      <xdr:colOff>1</xdr:colOff>
      <xdr:row>225</xdr:row>
      <xdr:rowOff>104775</xdr:rowOff>
    </xdr:to>
    <xdr:sp macro="" textlink="">
      <xdr:nvSpPr>
        <xdr:cNvPr id="633" name="Freeform 10695">
          <a:extLst>
            <a:ext uri="{FF2B5EF4-FFF2-40B4-BE49-F238E27FC236}">
              <a16:creationId xmlns:a16="http://schemas.microsoft.com/office/drawing/2014/main" id="{98E926E9-07AD-46D4-B548-8FA818118DA0}"/>
            </a:ext>
          </a:extLst>
        </xdr:cNvPr>
        <xdr:cNvSpPr>
          <a:spLocks/>
        </xdr:cNvSpPr>
      </xdr:nvSpPr>
      <xdr:spPr bwMode="auto">
        <a:xfrm>
          <a:off x="64293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244</xdr:row>
      <xdr:rowOff>142875</xdr:rowOff>
    </xdr:from>
    <xdr:to>
      <xdr:col>30</xdr:col>
      <xdr:colOff>1</xdr:colOff>
      <xdr:row>245</xdr:row>
      <xdr:rowOff>104775</xdr:rowOff>
    </xdr:to>
    <xdr:sp macro="" textlink="">
      <xdr:nvSpPr>
        <xdr:cNvPr id="634" name="Freeform 10695">
          <a:extLst>
            <a:ext uri="{FF2B5EF4-FFF2-40B4-BE49-F238E27FC236}">
              <a16:creationId xmlns:a16="http://schemas.microsoft.com/office/drawing/2014/main" id="{B8A41C36-6E2C-47C1-B427-01D283C22B8B}"/>
            </a:ext>
          </a:extLst>
        </xdr:cNvPr>
        <xdr:cNvSpPr>
          <a:spLocks/>
        </xdr:cNvSpPr>
      </xdr:nvSpPr>
      <xdr:spPr bwMode="auto">
        <a:xfrm>
          <a:off x="64293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254</xdr:row>
      <xdr:rowOff>142875</xdr:rowOff>
    </xdr:from>
    <xdr:to>
      <xdr:col>30</xdr:col>
      <xdr:colOff>1</xdr:colOff>
      <xdr:row>255</xdr:row>
      <xdr:rowOff>104775</xdr:rowOff>
    </xdr:to>
    <xdr:sp macro="" textlink="">
      <xdr:nvSpPr>
        <xdr:cNvPr id="635" name="Freeform 10695">
          <a:extLst>
            <a:ext uri="{FF2B5EF4-FFF2-40B4-BE49-F238E27FC236}">
              <a16:creationId xmlns:a16="http://schemas.microsoft.com/office/drawing/2014/main" id="{62B7573A-FA33-4A14-8BA8-9EDE6E856B12}"/>
            </a:ext>
          </a:extLst>
        </xdr:cNvPr>
        <xdr:cNvSpPr>
          <a:spLocks/>
        </xdr:cNvSpPr>
      </xdr:nvSpPr>
      <xdr:spPr bwMode="auto">
        <a:xfrm>
          <a:off x="64293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264</xdr:row>
      <xdr:rowOff>142875</xdr:rowOff>
    </xdr:from>
    <xdr:to>
      <xdr:col>30</xdr:col>
      <xdr:colOff>1</xdr:colOff>
      <xdr:row>265</xdr:row>
      <xdr:rowOff>104775</xdr:rowOff>
    </xdr:to>
    <xdr:sp macro="" textlink="">
      <xdr:nvSpPr>
        <xdr:cNvPr id="636" name="Freeform 10695">
          <a:extLst>
            <a:ext uri="{FF2B5EF4-FFF2-40B4-BE49-F238E27FC236}">
              <a16:creationId xmlns:a16="http://schemas.microsoft.com/office/drawing/2014/main" id="{0502E609-A580-4CE0-BADE-3821873D6C50}"/>
            </a:ext>
          </a:extLst>
        </xdr:cNvPr>
        <xdr:cNvSpPr>
          <a:spLocks/>
        </xdr:cNvSpPr>
      </xdr:nvSpPr>
      <xdr:spPr bwMode="auto">
        <a:xfrm>
          <a:off x="64293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274</xdr:row>
      <xdr:rowOff>142875</xdr:rowOff>
    </xdr:from>
    <xdr:to>
      <xdr:col>30</xdr:col>
      <xdr:colOff>1</xdr:colOff>
      <xdr:row>275</xdr:row>
      <xdr:rowOff>104775</xdr:rowOff>
    </xdr:to>
    <xdr:sp macro="" textlink="">
      <xdr:nvSpPr>
        <xdr:cNvPr id="637" name="Freeform 10695">
          <a:extLst>
            <a:ext uri="{FF2B5EF4-FFF2-40B4-BE49-F238E27FC236}">
              <a16:creationId xmlns:a16="http://schemas.microsoft.com/office/drawing/2014/main" id="{098236DD-1B06-4A27-BCD1-D2D0977E3909}"/>
            </a:ext>
          </a:extLst>
        </xdr:cNvPr>
        <xdr:cNvSpPr>
          <a:spLocks/>
        </xdr:cNvSpPr>
      </xdr:nvSpPr>
      <xdr:spPr bwMode="auto">
        <a:xfrm>
          <a:off x="64293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238125</xdr:colOff>
      <xdr:row>274</xdr:row>
      <xdr:rowOff>142875</xdr:rowOff>
    </xdr:from>
    <xdr:to>
      <xdr:col>42</xdr:col>
      <xdr:colOff>1</xdr:colOff>
      <xdr:row>275</xdr:row>
      <xdr:rowOff>104775</xdr:rowOff>
    </xdr:to>
    <xdr:sp macro="" textlink="">
      <xdr:nvSpPr>
        <xdr:cNvPr id="638" name="Freeform 10695">
          <a:extLst>
            <a:ext uri="{FF2B5EF4-FFF2-40B4-BE49-F238E27FC236}">
              <a16:creationId xmlns:a16="http://schemas.microsoft.com/office/drawing/2014/main" id="{51013A13-1F98-49DD-9F1A-43873641DD8E}"/>
            </a:ext>
          </a:extLst>
        </xdr:cNvPr>
        <xdr:cNvSpPr>
          <a:spLocks/>
        </xdr:cNvSpPr>
      </xdr:nvSpPr>
      <xdr:spPr bwMode="auto">
        <a:xfrm>
          <a:off x="94011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238125</xdr:colOff>
      <xdr:row>284</xdr:row>
      <xdr:rowOff>142875</xdr:rowOff>
    </xdr:from>
    <xdr:to>
      <xdr:col>18</xdr:col>
      <xdr:colOff>1</xdr:colOff>
      <xdr:row>285</xdr:row>
      <xdr:rowOff>104775</xdr:rowOff>
    </xdr:to>
    <xdr:sp macro="" textlink="">
      <xdr:nvSpPr>
        <xdr:cNvPr id="639" name="Freeform 10695">
          <a:extLst>
            <a:ext uri="{FF2B5EF4-FFF2-40B4-BE49-F238E27FC236}">
              <a16:creationId xmlns:a16="http://schemas.microsoft.com/office/drawing/2014/main" id="{9FD2FEB4-F7AC-4E27-9BBC-B7467DC33BD5}"/>
            </a:ext>
          </a:extLst>
        </xdr:cNvPr>
        <xdr:cNvSpPr>
          <a:spLocks/>
        </xdr:cNvSpPr>
      </xdr:nvSpPr>
      <xdr:spPr bwMode="auto">
        <a:xfrm>
          <a:off x="34575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284</xdr:row>
      <xdr:rowOff>142875</xdr:rowOff>
    </xdr:from>
    <xdr:to>
      <xdr:col>30</xdr:col>
      <xdr:colOff>1</xdr:colOff>
      <xdr:row>285</xdr:row>
      <xdr:rowOff>104775</xdr:rowOff>
    </xdr:to>
    <xdr:sp macro="" textlink="">
      <xdr:nvSpPr>
        <xdr:cNvPr id="640" name="Freeform 10695">
          <a:extLst>
            <a:ext uri="{FF2B5EF4-FFF2-40B4-BE49-F238E27FC236}">
              <a16:creationId xmlns:a16="http://schemas.microsoft.com/office/drawing/2014/main" id="{170C0641-801E-4842-B018-42555D3275E6}"/>
            </a:ext>
          </a:extLst>
        </xdr:cNvPr>
        <xdr:cNvSpPr>
          <a:spLocks/>
        </xdr:cNvSpPr>
      </xdr:nvSpPr>
      <xdr:spPr bwMode="auto">
        <a:xfrm>
          <a:off x="64293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238125</xdr:colOff>
      <xdr:row>284</xdr:row>
      <xdr:rowOff>142875</xdr:rowOff>
    </xdr:from>
    <xdr:to>
      <xdr:col>38</xdr:col>
      <xdr:colOff>1</xdr:colOff>
      <xdr:row>285</xdr:row>
      <xdr:rowOff>104775</xdr:rowOff>
    </xdr:to>
    <xdr:sp macro="" textlink="">
      <xdr:nvSpPr>
        <xdr:cNvPr id="641" name="Freeform 10695">
          <a:extLst>
            <a:ext uri="{FF2B5EF4-FFF2-40B4-BE49-F238E27FC236}">
              <a16:creationId xmlns:a16="http://schemas.microsoft.com/office/drawing/2014/main" id="{B4700150-7564-43D4-8010-915DD65EEF73}"/>
            </a:ext>
          </a:extLst>
        </xdr:cNvPr>
        <xdr:cNvSpPr>
          <a:spLocks/>
        </xdr:cNvSpPr>
      </xdr:nvSpPr>
      <xdr:spPr bwMode="auto">
        <a:xfrm>
          <a:off x="84105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214</xdr:row>
      <xdr:rowOff>142875</xdr:rowOff>
    </xdr:from>
    <xdr:to>
      <xdr:col>30</xdr:col>
      <xdr:colOff>1</xdr:colOff>
      <xdr:row>215</xdr:row>
      <xdr:rowOff>104775</xdr:rowOff>
    </xdr:to>
    <xdr:sp macro="" textlink="">
      <xdr:nvSpPr>
        <xdr:cNvPr id="642" name="Freeform 10695">
          <a:extLst>
            <a:ext uri="{FF2B5EF4-FFF2-40B4-BE49-F238E27FC236}">
              <a16:creationId xmlns:a16="http://schemas.microsoft.com/office/drawing/2014/main" id="{DA6765B4-C8E4-492F-B4F2-6E163F2FA85A}"/>
            </a:ext>
          </a:extLst>
        </xdr:cNvPr>
        <xdr:cNvSpPr>
          <a:spLocks/>
        </xdr:cNvSpPr>
      </xdr:nvSpPr>
      <xdr:spPr bwMode="auto">
        <a:xfrm>
          <a:off x="64293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234</xdr:row>
      <xdr:rowOff>142875</xdr:rowOff>
    </xdr:from>
    <xdr:to>
      <xdr:col>30</xdr:col>
      <xdr:colOff>1</xdr:colOff>
      <xdr:row>235</xdr:row>
      <xdr:rowOff>104775</xdr:rowOff>
    </xdr:to>
    <xdr:sp macro="" textlink="">
      <xdr:nvSpPr>
        <xdr:cNvPr id="643" name="Freeform 10695">
          <a:extLst>
            <a:ext uri="{FF2B5EF4-FFF2-40B4-BE49-F238E27FC236}">
              <a16:creationId xmlns:a16="http://schemas.microsoft.com/office/drawing/2014/main" id="{FF95B1D8-0AE8-484D-AAE2-767BFB671F0E}"/>
            </a:ext>
          </a:extLst>
        </xdr:cNvPr>
        <xdr:cNvSpPr>
          <a:spLocks/>
        </xdr:cNvSpPr>
      </xdr:nvSpPr>
      <xdr:spPr bwMode="auto">
        <a:xfrm>
          <a:off x="64293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238125</xdr:colOff>
      <xdr:row>254</xdr:row>
      <xdr:rowOff>152400</xdr:rowOff>
    </xdr:from>
    <xdr:to>
      <xdr:col>42</xdr:col>
      <xdr:colOff>1</xdr:colOff>
      <xdr:row>255</xdr:row>
      <xdr:rowOff>114300</xdr:rowOff>
    </xdr:to>
    <xdr:sp macro="" textlink="">
      <xdr:nvSpPr>
        <xdr:cNvPr id="644" name="Freeform 10695">
          <a:extLst>
            <a:ext uri="{FF2B5EF4-FFF2-40B4-BE49-F238E27FC236}">
              <a16:creationId xmlns:a16="http://schemas.microsoft.com/office/drawing/2014/main" id="{22312F7D-3666-4046-8116-D7A8EF0100E7}"/>
            </a:ext>
          </a:extLst>
        </xdr:cNvPr>
        <xdr:cNvSpPr>
          <a:spLocks/>
        </xdr:cNvSpPr>
      </xdr:nvSpPr>
      <xdr:spPr bwMode="auto">
        <a:xfrm>
          <a:off x="94011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47625</xdr:colOff>
      <xdr:row>144</xdr:row>
      <xdr:rowOff>47624</xdr:rowOff>
    </xdr:from>
    <xdr:to>
      <xdr:col>20</xdr:col>
      <xdr:colOff>93344</xdr:colOff>
      <xdr:row>150</xdr:row>
      <xdr:rowOff>95249</xdr:rowOff>
    </xdr:to>
    <xdr:sp macro="" textlink="">
      <xdr:nvSpPr>
        <xdr:cNvPr id="645" name="Rectangle 11590" descr="Light horizontal">
          <a:extLst>
            <a:ext uri="{FF2B5EF4-FFF2-40B4-BE49-F238E27FC236}">
              <a16:creationId xmlns:a16="http://schemas.microsoft.com/office/drawing/2014/main" id="{3C9B712C-9D87-452E-9397-272D6A87C760}"/>
            </a:ext>
          </a:extLst>
        </xdr:cNvPr>
        <xdr:cNvSpPr>
          <a:spLocks noChangeArrowheads="1"/>
        </xdr:cNvSpPr>
      </xdr:nvSpPr>
      <xdr:spPr bwMode="auto">
        <a:xfrm>
          <a:off x="5000625" y="27060524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57150</xdr:colOff>
      <xdr:row>144</xdr:row>
      <xdr:rowOff>0</xdr:rowOff>
    </xdr:from>
    <xdr:to>
      <xdr:col>31</xdr:col>
      <xdr:colOff>142875</xdr:colOff>
      <xdr:row>150</xdr:row>
      <xdr:rowOff>38100</xdr:rowOff>
    </xdr:to>
    <xdr:sp macro="" textlink="">
      <xdr:nvSpPr>
        <xdr:cNvPr id="646" name="Lightning Bolt 645">
          <a:extLst>
            <a:ext uri="{FF2B5EF4-FFF2-40B4-BE49-F238E27FC236}">
              <a16:creationId xmlns:a16="http://schemas.microsoft.com/office/drawing/2014/main" id="{3189586C-5A71-4515-990E-5219ABEFFF1D}"/>
            </a:ext>
          </a:extLst>
        </xdr:cNvPr>
        <xdr:cNvSpPr/>
      </xdr:nvSpPr>
      <xdr:spPr>
        <a:xfrm>
          <a:off x="7734300" y="270129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228600</xdr:colOff>
      <xdr:row>139</xdr:row>
      <xdr:rowOff>19050</xdr:rowOff>
    </xdr:from>
    <xdr:to>
      <xdr:col>12</xdr:col>
      <xdr:colOff>57150</xdr:colOff>
      <xdr:row>143</xdr:row>
      <xdr:rowOff>47625</xdr:rowOff>
    </xdr:to>
    <xdr:sp macro="" textlink="">
      <xdr:nvSpPr>
        <xdr:cNvPr id="647" name="Line 10711">
          <a:extLst>
            <a:ext uri="{FF2B5EF4-FFF2-40B4-BE49-F238E27FC236}">
              <a16:creationId xmlns:a16="http://schemas.microsoft.com/office/drawing/2014/main" id="{08D0ADE4-51E3-44CD-9C56-03709C864910}"/>
            </a:ext>
          </a:extLst>
        </xdr:cNvPr>
        <xdr:cNvSpPr>
          <a:spLocks noChangeShapeType="1"/>
        </xdr:cNvSpPr>
      </xdr:nvSpPr>
      <xdr:spPr bwMode="auto">
        <a:xfrm flipH="1">
          <a:off x="2952750" y="26136600"/>
          <a:ext cx="7620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294</xdr:row>
      <xdr:rowOff>171450</xdr:rowOff>
    </xdr:from>
    <xdr:to>
      <xdr:col>7</xdr:col>
      <xdr:colOff>0</xdr:colOff>
      <xdr:row>297</xdr:row>
      <xdr:rowOff>0</xdr:rowOff>
    </xdr:to>
    <xdr:sp macro="" textlink="">
      <xdr:nvSpPr>
        <xdr:cNvPr id="648" name="0/0">
          <a:extLst>
            <a:ext uri="{FF2B5EF4-FFF2-40B4-BE49-F238E27FC236}">
              <a16:creationId xmlns:a16="http://schemas.microsoft.com/office/drawing/2014/main" id="{74A6BBD5-DDFC-433D-BAF8-42EF0DAAC406}"/>
            </a:ext>
          </a:extLst>
        </xdr:cNvPr>
        <xdr:cNvSpPr>
          <a:spLocks noChangeArrowheads="1"/>
        </xdr:cNvSpPr>
      </xdr:nvSpPr>
      <xdr:spPr bwMode="auto">
        <a:xfrm>
          <a:off x="12382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247649</xdr:colOff>
      <xdr:row>294</xdr:row>
      <xdr:rowOff>142875</xdr:rowOff>
    </xdr:from>
    <xdr:to>
      <xdr:col>10</xdr:col>
      <xdr:colOff>9525</xdr:colOff>
      <xdr:row>295</xdr:row>
      <xdr:rowOff>104775</xdr:rowOff>
    </xdr:to>
    <xdr:sp macro="" textlink="">
      <xdr:nvSpPr>
        <xdr:cNvPr id="649" name="Freeform 10695">
          <a:extLst>
            <a:ext uri="{FF2B5EF4-FFF2-40B4-BE49-F238E27FC236}">
              <a16:creationId xmlns:a16="http://schemas.microsoft.com/office/drawing/2014/main" id="{3C93F23E-C995-46AF-BF69-ED77BF060AC9}"/>
            </a:ext>
          </a:extLst>
        </xdr:cNvPr>
        <xdr:cNvSpPr>
          <a:spLocks/>
        </xdr:cNvSpPr>
      </xdr:nvSpPr>
      <xdr:spPr bwMode="auto">
        <a:xfrm>
          <a:off x="1485899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294</xdr:row>
      <xdr:rowOff>171450</xdr:rowOff>
    </xdr:from>
    <xdr:to>
      <xdr:col>11</xdr:col>
      <xdr:colOff>0</xdr:colOff>
      <xdr:row>297</xdr:row>
      <xdr:rowOff>0</xdr:rowOff>
    </xdr:to>
    <xdr:sp macro="" textlink="">
      <xdr:nvSpPr>
        <xdr:cNvPr id="650" name="0/0">
          <a:extLst>
            <a:ext uri="{FF2B5EF4-FFF2-40B4-BE49-F238E27FC236}">
              <a16:creationId xmlns:a16="http://schemas.microsoft.com/office/drawing/2014/main" id="{41A28ECA-25CD-416F-B743-64A31F768B9B}"/>
            </a:ext>
          </a:extLst>
        </xdr:cNvPr>
        <xdr:cNvSpPr>
          <a:spLocks noChangeArrowheads="1"/>
        </xdr:cNvSpPr>
      </xdr:nvSpPr>
      <xdr:spPr bwMode="auto">
        <a:xfrm>
          <a:off x="22288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238125</xdr:colOff>
      <xdr:row>294</xdr:row>
      <xdr:rowOff>142875</xdr:rowOff>
    </xdr:from>
    <xdr:to>
      <xdr:col>14</xdr:col>
      <xdr:colOff>1</xdr:colOff>
      <xdr:row>295</xdr:row>
      <xdr:rowOff>104775</xdr:rowOff>
    </xdr:to>
    <xdr:sp macro="" textlink="">
      <xdr:nvSpPr>
        <xdr:cNvPr id="651" name="Freeform 10695">
          <a:extLst>
            <a:ext uri="{FF2B5EF4-FFF2-40B4-BE49-F238E27FC236}">
              <a16:creationId xmlns:a16="http://schemas.microsoft.com/office/drawing/2014/main" id="{ABBDFA8C-5588-4E42-AF30-56D99A91AD33}"/>
            </a:ext>
          </a:extLst>
        </xdr:cNvPr>
        <xdr:cNvSpPr>
          <a:spLocks/>
        </xdr:cNvSpPr>
      </xdr:nvSpPr>
      <xdr:spPr bwMode="auto">
        <a:xfrm>
          <a:off x="2466975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294</xdr:row>
      <xdr:rowOff>171450</xdr:rowOff>
    </xdr:from>
    <xdr:to>
      <xdr:col>15</xdr:col>
      <xdr:colOff>0</xdr:colOff>
      <xdr:row>297</xdr:row>
      <xdr:rowOff>0</xdr:rowOff>
    </xdr:to>
    <xdr:sp macro="" textlink="">
      <xdr:nvSpPr>
        <xdr:cNvPr id="652" name="0/0">
          <a:extLst>
            <a:ext uri="{FF2B5EF4-FFF2-40B4-BE49-F238E27FC236}">
              <a16:creationId xmlns:a16="http://schemas.microsoft.com/office/drawing/2014/main" id="{C6485438-35C7-4372-A9E7-7FCED1E09CC5}"/>
            </a:ext>
          </a:extLst>
        </xdr:cNvPr>
        <xdr:cNvSpPr>
          <a:spLocks noChangeArrowheads="1"/>
        </xdr:cNvSpPr>
      </xdr:nvSpPr>
      <xdr:spPr bwMode="auto">
        <a:xfrm>
          <a:off x="3219450" y="550545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294</xdr:row>
      <xdr:rowOff>142875</xdr:rowOff>
    </xdr:from>
    <xdr:to>
      <xdr:col>18</xdr:col>
      <xdr:colOff>1</xdr:colOff>
      <xdr:row>295</xdr:row>
      <xdr:rowOff>104775</xdr:rowOff>
    </xdr:to>
    <xdr:sp macro="" textlink="">
      <xdr:nvSpPr>
        <xdr:cNvPr id="653" name="Freeform 10695">
          <a:extLst>
            <a:ext uri="{FF2B5EF4-FFF2-40B4-BE49-F238E27FC236}">
              <a16:creationId xmlns:a16="http://schemas.microsoft.com/office/drawing/2014/main" id="{158D7D3A-31C6-430A-9FA7-0B6512BD9E49}"/>
            </a:ext>
          </a:extLst>
        </xdr:cNvPr>
        <xdr:cNvSpPr>
          <a:spLocks/>
        </xdr:cNvSpPr>
      </xdr:nvSpPr>
      <xdr:spPr bwMode="auto">
        <a:xfrm>
          <a:off x="3457575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294</xdr:row>
      <xdr:rowOff>171450</xdr:rowOff>
    </xdr:from>
    <xdr:to>
      <xdr:col>19</xdr:col>
      <xdr:colOff>0</xdr:colOff>
      <xdr:row>297</xdr:row>
      <xdr:rowOff>0</xdr:rowOff>
    </xdr:to>
    <xdr:sp macro="" textlink="">
      <xdr:nvSpPr>
        <xdr:cNvPr id="654" name="0/0">
          <a:extLst>
            <a:ext uri="{FF2B5EF4-FFF2-40B4-BE49-F238E27FC236}">
              <a16:creationId xmlns:a16="http://schemas.microsoft.com/office/drawing/2014/main" id="{E860ECE0-EB9D-4D85-BF78-2CD9BD719A6F}"/>
            </a:ext>
          </a:extLst>
        </xdr:cNvPr>
        <xdr:cNvSpPr>
          <a:spLocks noChangeArrowheads="1"/>
        </xdr:cNvSpPr>
      </xdr:nvSpPr>
      <xdr:spPr bwMode="auto">
        <a:xfrm>
          <a:off x="42100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294</xdr:row>
      <xdr:rowOff>171450</xdr:rowOff>
    </xdr:from>
    <xdr:to>
      <xdr:col>3</xdr:col>
      <xdr:colOff>0</xdr:colOff>
      <xdr:row>297</xdr:row>
      <xdr:rowOff>0</xdr:rowOff>
    </xdr:to>
    <xdr:sp macro="" textlink="">
      <xdr:nvSpPr>
        <xdr:cNvPr id="655" name="0/0">
          <a:extLst>
            <a:ext uri="{FF2B5EF4-FFF2-40B4-BE49-F238E27FC236}">
              <a16:creationId xmlns:a16="http://schemas.microsoft.com/office/drawing/2014/main" id="{1FC0B95F-F944-4069-B2B8-D5389715CDD1}"/>
            </a:ext>
          </a:extLst>
        </xdr:cNvPr>
        <xdr:cNvSpPr>
          <a:spLocks noChangeArrowheads="1"/>
        </xdr:cNvSpPr>
      </xdr:nvSpPr>
      <xdr:spPr bwMode="auto">
        <a:xfrm>
          <a:off x="2476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294</xdr:row>
      <xdr:rowOff>142875</xdr:rowOff>
    </xdr:from>
    <xdr:to>
      <xdr:col>6</xdr:col>
      <xdr:colOff>9526</xdr:colOff>
      <xdr:row>295</xdr:row>
      <xdr:rowOff>104775</xdr:rowOff>
    </xdr:to>
    <xdr:sp macro="" textlink="">
      <xdr:nvSpPr>
        <xdr:cNvPr id="656" name="Freeform 10695">
          <a:extLst>
            <a:ext uri="{FF2B5EF4-FFF2-40B4-BE49-F238E27FC236}">
              <a16:creationId xmlns:a16="http://schemas.microsoft.com/office/drawing/2014/main" id="{BD764113-7913-4D04-BA54-8C29044749B0}"/>
            </a:ext>
          </a:extLst>
        </xdr:cNvPr>
        <xdr:cNvSpPr>
          <a:spLocks/>
        </xdr:cNvSpPr>
      </xdr:nvSpPr>
      <xdr:spPr bwMode="auto">
        <a:xfrm>
          <a:off x="495300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238125</xdr:colOff>
      <xdr:row>294</xdr:row>
      <xdr:rowOff>142875</xdr:rowOff>
    </xdr:from>
    <xdr:to>
      <xdr:col>18</xdr:col>
      <xdr:colOff>1</xdr:colOff>
      <xdr:row>295</xdr:row>
      <xdr:rowOff>104775</xdr:rowOff>
    </xdr:to>
    <xdr:sp macro="" textlink="">
      <xdr:nvSpPr>
        <xdr:cNvPr id="657" name="Freeform 10695">
          <a:extLst>
            <a:ext uri="{FF2B5EF4-FFF2-40B4-BE49-F238E27FC236}">
              <a16:creationId xmlns:a16="http://schemas.microsoft.com/office/drawing/2014/main" id="{69E91749-FADC-45DE-AE34-A36D27419AB3}"/>
            </a:ext>
          </a:extLst>
        </xdr:cNvPr>
        <xdr:cNvSpPr>
          <a:spLocks/>
        </xdr:cNvSpPr>
      </xdr:nvSpPr>
      <xdr:spPr bwMode="auto">
        <a:xfrm>
          <a:off x="3457575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9525</xdr:colOff>
      <xdr:row>183</xdr:row>
      <xdr:rowOff>152401</xdr:rowOff>
    </xdr:from>
    <xdr:to>
      <xdr:col>28</xdr:col>
      <xdr:colOff>85724</xdr:colOff>
      <xdr:row>189</xdr:row>
      <xdr:rowOff>76203</xdr:rowOff>
    </xdr:to>
    <xdr:sp macro="" textlink="">
      <xdr:nvSpPr>
        <xdr:cNvPr id="658" name="AutoShape 10734">
          <a:extLst>
            <a:ext uri="{FF2B5EF4-FFF2-40B4-BE49-F238E27FC236}">
              <a16:creationId xmlns:a16="http://schemas.microsoft.com/office/drawing/2014/main" id="{549F277D-874C-4E27-B0E3-1E3C51065089}"/>
            </a:ext>
          </a:extLst>
        </xdr:cNvPr>
        <xdr:cNvSpPr>
          <a:spLocks noChangeArrowheads="1"/>
        </xdr:cNvSpPr>
      </xdr:nvSpPr>
      <xdr:spPr bwMode="auto">
        <a:xfrm rot="5400000">
          <a:off x="6448424" y="34861502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57150</xdr:colOff>
      <xdr:row>204</xdr:row>
      <xdr:rowOff>66676</xdr:rowOff>
    </xdr:from>
    <xdr:to>
      <xdr:col>20</xdr:col>
      <xdr:colOff>114299</xdr:colOff>
      <xdr:row>209</xdr:row>
      <xdr:rowOff>133348</xdr:rowOff>
    </xdr:to>
    <xdr:sp macro="" textlink="">
      <xdr:nvSpPr>
        <xdr:cNvPr id="659" name="AutoShape 10732">
          <a:extLst>
            <a:ext uri="{FF2B5EF4-FFF2-40B4-BE49-F238E27FC236}">
              <a16:creationId xmlns:a16="http://schemas.microsoft.com/office/drawing/2014/main" id="{F27518A5-7EBE-4C3F-8CD5-67F9F84FB130}"/>
            </a:ext>
          </a:extLst>
        </xdr:cNvPr>
        <xdr:cNvSpPr>
          <a:spLocks noChangeArrowheads="1"/>
        </xdr:cNvSpPr>
      </xdr:nvSpPr>
      <xdr:spPr bwMode="auto">
        <a:xfrm rot="5400000">
          <a:off x="4529139" y="38647687"/>
          <a:ext cx="1019172" cy="5714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50006</xdr:colOff>
      <xdr:row>223</xdr:row>
      <xdr:rowOff>171450</xdr:rowOff>
    </xdr:from>
    <xdr:to>
      <xdr:col>27</xdr:col>
      <xdr:colOff>135731</xdr:colOff>
      <xdr:row>230</xdr:row>
      <xdr:rowOff>19050</xdr:rowOff>
    </xdr:to>
    <xdr:sp macro="" textlink="">
      <xdr:nvSpPr>
        <xdr:cNvPr id="660" name="Lightning Bolt 659">
          <a:extLst>
            <a:ext uri="{FF2B5EF4-FFF2-40B4-BE49-F238E27FC236}">
              <a16:creationId xmlns:a16="http://schemas.microsoft.com/office/drawing/2014/main" id="{365F9DCF-7009-4BE6-95F4-3894D5DE63B4}"/>
            </a:ext>
          </a:extLst>
        </xdr:cNvPr>
        <xdr:cNvSpPr/>
      </xdr:nvSpPr>
      <xdr:spPr>
        <a:xfrm>
          <a:off x="6736556" y="417766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95250</xdr:colOff>
      <xdr:row>224</xdr:row>
      <xdr:rowOff>28575</xdr:rowOff>
    </xdr:from>
    <xdr:to>
      <xdr:col>44</xdr:col>
      <xdr:colOff>180975</xdr:colOff>
      <xdr:row>230</xdr:row>
      <xdr:rowOff>66675</xdr:rowOff>
    </xdr:to>
    <xdr:sp macro="" textlink="">
      <xdr:nvSpPr>
        <xdr:cNvPr id="661" name="Lightning Bolt 660">
          <a:extLst>
            <a:ext uri="{FF2B5EF4-FFF2-40B4-BE49-F238E27FC236}">
              <a16:creationId xmlns:a16="http://schemas.microsoft.com/office/drawing/2014/main" id="{73A6CD9B-F2A0-4958-82DE-EDF716E3D37E}"/>
            </a:ext>
          </a:extLst>
        </xdr:cNvPr>
        <xdr:cNvSpPr/>
      </xdr:nvSpPr>
      <xdr:spPr>
        <a:xfrm>
          <a:off x="10991850" y="418242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9525</xdr:colOff>
      <xdr:row>224</xdr:row>
      <xdr:rowOff>47625</xdr:rowOff>
    </xdr:from>
    <xdr:to>
      <xdr:col>44</xdr:col>
      <xdr:colOff>95250</xdr:colOff>
      <xdr:row>230</xdr:row>
      <xdr:rowOff>85725</xdr:rowOff>
    </xdr:to>
    <xdr:sp macro="" textlink="">
      <xdr:nvSpPr>
        <xdr:cNvPr id="662" name="Lightning Bolt 661">
          <a:extLst>
            <a:ext uri="{FF2B5EF4-FFF2-40B4-BE49-F238E27FC236}">
              <a16:creationId xmlns:a16="http://schemas.microsoft.com/office/drawing/2014/main" id="{95E998EF-0497-420A-A720-0D971DCF33A4}"/>
            </a:ext>
          </a:extLst>
        </xdr:cNvPr>
        <xdr:cNvSpPr/>
      </xdr:nvSpPr>
      <xdr:spPr>
        <a:xfrm>
          <a:off x="10906125" y="4184332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7</xdr:col>
      <xdr:colOff>228600</xdr:colOff>
      <xdr:row>234</xdr:row>
      <xdr:rowOff>57151</xdr:rowOff>
    </xdr:from>
    <xdr:to>
      <xdr:col>8</xdr:col>
      <xdr:colOff>57149</xdr:colOff>
      <xdr:row>240</xdr:row>
      <xdr:rowOff>38103</xdr:rowOff>
    </xdr:to>
    <xdr:sp macro="" textlink="">
      <xdr:nvSpPr>
        <xdr:cNvPr id="663" name="AutoShape 10734">
          <a:extLst>
            <a:ext uri="{FF2B5EF4-FFF2-40B4-BE49-F238E27FC236}">
              <a16:creationId xmlns:a16="http://schemas.microsoft.com/office/drawing/2014/main" id="{850BB027-7194-4502-8BDF-2E712054EB2F}"/>
            </a:ext>
          </a:extLst>
        </xdr:cNvPr>
        <xdr:cNvSpPr>
          <a:spLocks noChangeArrowheads="1"/>
        </xdr:cNvSpPr>
      </xdr:nvSpPr>
      <xdr:spPr bwMode="auto">
        <a:xfrm rot="5400000">
          <a:off x="1466849" y="44196002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95250</xdr:colOff>
      <xdr:row>234</xdr:row>
      <xdr:rowOff>38100</xdr:rowOff>
    </xdr:from>
    <xdr:to>
      <xdr:col>8</xdr:col>
      <xdr:colOff>140969</xdr:colOff>
      <xdr:row>240</xdr:row>
      <xdr:rowOff>85725</xdr:rowOff>
    </xdr:to>
    <xdr:sp macro="" textlink="">
      <xdr:nvSpPr>
        <xdr:cNvPr id="664" name="Rectangle 11590" descr="Light horizontal">
          <a:extLst>
            <a:ext uri="{FF2B5EF4-FFF2-40B4-BE49-F238E27FC236}">
              <a16:creationId xmlns:a16="http://schemas.microsoft.com/office/drawing/2014/main" id="{500D53B5-E4FD-494F-8795-C400093B7C1A}"/>
            </a:ext>
          </a:extLst>
        </xdr:cNvPr>
        <xdr:cNvSpPr>
          <a:spLocks noChangeArrowheads="1"/>
        </xdr:cNvSpPr>
      </xdr:nvSpPr>
      <xdr:spPr bwMode="auto">
        <a:xfrm>
          <a:off x="2076450" y="43681650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39</xdr:col>
      <xdr:colOff>238125</xdr:colOff>
      <xdr:row>234</xdr:row>
      <xdr:rowOff>76200</xdr:rowOff>
    </xdr:from>
    <xdr:to>
      <xdr:col>40</xdr:col>
      <xdr:colOff>76200</xdr:colOff>
      <xdr:row>240</xdr:row>
      <xdr:rowOff>114300</xdr:rowOff>
    </xdr:to>
    <xdr:sp macro="" textlink="">
      <xdr:nvSpPr>
        <xdr:cNvPr id="665" name="Lightning Bolt 664">
          <a:extLst>
            <a:ext uri="{FF2B5EF4-FFF2-40B4-BE49-F238E27FC236}">
              <a16:creationId xmlns:a16="http://schemas.microsoft.com/office/drawing/2014/main" id="{232873DA-466A-430B-A5B7-E53118C4FDBE}"/>
            </a:ext>
          </a:extLst>
        </xdr:cNvPr>
        <xdr:cNvSpPr/>
      </xdr:nvSpPr>
      <xdr:spPr>
        <a:xfrm>
          <a:off x="9896475" y="437197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9525</xdr:colOff>
      <xdr:row>244</xdr:row>
      <xdr:rowOff>28575</xdr:rowOff>
    </xdr:from>
    <xdr:to>
      <xdr:col>8</xdr:col>
      <xdr:colOff>95250</xdr:colOff>
      <xdr:row>250</xdr:row>
      <xdr:rowOff>66675</xdr:rowOff>
    </xdr:to>
    <xdr:sp macro="" textlink="">
      <xdr:nvSpPr>
        <xdr:cNvPr id="666" name="Lightning Bolt 665">
          <a:extLst>
            <a:ext uri="{FF2B5EF4-FFF2-40B4-BE49-F238E27FC236}">
              <a16:creationId xmlns:a16="http://schemas.microsoft.com/office/drawing/2014/main" id="{2D03112B-4E7A-432E-8EEA-F3B433D59E39}"/>
            </a:ext>
          </a:extLst>
        </xdr:cNvPr>
        <xdr:cNvSpPr/>
      </xdr:nvSpPr>
      <xdr:spPr>
        <a:xfrm>
          <a:off x="1990725" y="455199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209550</xdr:colOff>
      <xdr:row>244</xdr:row>
      <xdr:rowOff>19050</xdr:rowOff>
    </xdr:from>
    <xdr:to>
      <xdr:col>20</xdr:col>
      <xdr:colOff>47625</xdr:colOff>
      <xdr:row>250</xdr:row>
      <xdr:rowOff>57150</xdr:rowOff>
    </xdr:to>
    <xdr:sp macro="" textlink="">
      <xdr:nvSpPr>
        <xdr:cNvPr id="667" name="Lightning Bolt 666">
          <a:extLst>
            <a:ext uri="{FF2B5EF4-FFF2-40B4-BE49-F238E27FC236}">
              <a16:creationId xmlns:a16="http://schemas.microsoft.com/office/drawing/2014/main" id="{CF7EC6D4-9DAE-4411-BC81-83E9C707C528}"/>
            </a:ext>
          </a:extLst>
        </xdr:cNvPr>
        <xdr:cNvSpPr/>
      </xdr:nvSpPr>
      <xdr:spPr>
        <a:xfrm>
          <a:off x="4914900" y="455104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35</xdr:col>
      <xdr:colOff>219075</xdr:colOff>
      <xdr:row>284</xdr:row>
      <xdr:rowOff>28576</xdr:rowOff>
    </xdr:from>
    <xdr:to>
      <xdr:col>36</xdr:col>
      <xdr:colOff>47624</xdr:colOff>
      <xdr:row>290</xdr:row>
      <xdr:rowOff>9528</xdr:rowOff>
    </xdr:to>
    <xdr:sp macro="" textlink="">
      <xdr:nvSpPr>
        <xdr:cNvPr id="668" name="AutoShape 10734">
          <a:extLst>
            <a:ext uri="{FF2B5EF4-FFF2-40B4-BE49-F238E27FC236}">
              <a16:creationId xmlns:a16="http://schemas.microsoft.com/office/drawing/2014/main" id="{8204118C-68EE-4DBF-A27B-4B318E2CE33F}"/>
            </a:ext>
          </a:extLst>
        </xdr:cNvPr>
        <xdr:cNvSpPr>
          <a:spLocks noChangeArrowheads="1"/>
        </xdr:cNvSpPr>
      </xdr:nvSpPr>
      <xdr:spPr bwMode="auto">
        <a:xfrm rot="5400000">
          <a:off x="8391524" y="53559077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85725</xdr:colOff>
      <xdr:row>284</xdr:row>
      <xdr:rowOff>9525</xdr:rowOff>
    </xdr:from>
    <xdr:to>
      <xdr:col>36</xdr:col>
      <xdr:colOff>131444</xdr:colOff>
      <xdr:row>290</xdr:row>
      <xdr:rowOff>57150</xdr:rowOff>
    </xdr:to>
    <xdr:sp macro="" textlink="">
      <xdr:nvSpPr>
        <xdr:cNvPr id="669" name="Rectangle 11590" descr="Light horizontal">
          <a:extLst>
            <a:ext uri="{FF2B5EF4-FFF2-40B4-BE49-F238E27FC236}">
              <a16:creationId xmlns:a16="http://schemas.microsoft.com/office/drawing/2014/main" id="{EABCFFDF-403F-420C-91E1-316E3E0A2285}"/>
            </a:ext>
          </a:extLst>
        </xdr:cNvPr>
        <xdr:cNvSpPr>
          <a:spLocks noChangeArrowheads="1"/>
        </xdr:cNvSpPr>
      </xdr:nvSpPr>
      <xdr:spPr bwMode="auto">
        <a:xfrm>
          <a:off x="9001125" y="53044725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9525</xdr:colOff>
      <xdr:row>294</xdr:row>
      <xdr:rowOff>85725</xdr:rowOff>
    </xdr:from>
    <xdr:to>
      <xdr:col>4</xdr:col>
      <xdr:colOff>95250</xdr:colOff>
      <xdr:row>300</xdr:row>
      <xdr:rowOff>123825</xdr:rowOff>
    </xdr:to>
    <xdr:sp macro="" textlink="">
      <xdr:nvSpPr>
        <xdr:cNvPr id="670" name="Lightning Bolt 669">
          <a:extLst>
            <a:ext uri="{FF2B5EF4-FFF2-40B4-BE49-F238E27FC236}">
              <a16:creationId xmlns:a16="http://schemas.microsoft.com/office/drawing/2014/main" id="{68616E7C-0A1C-48FD-BDF5-F8BF401985CF}"/>
            </a:ext>
          </a:extLst>
        </xdr:cNvPr>
        <xdr:cNvSpPr/>
      </xdr:nvSpPr>
      <xdr:spPr>
        <a:xfrm>
          <a:off x="1000125" y="549687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0</xdr:colOff>
      <xdr:row>284</xdr:row>
      <xdr:rowOff>47625</xdr:rowOff>
    </xdr:from>
    <xdr:to>
      <xdr:col>8</xdr:col>
      <xdr:colOff>85725</xdr:colOff>
      <xdr:row>290</xdr:row>
      <xdr:rowOff>85725</xdr:rowOff>
    </xdr:to>
    <xdr:sp macro="" textlink="">
      <xdr:nvSpPr>
        <xdr:cNvPr id="671" name="Lightning Bolt 670">
          <a:extLst>
            <a:ext uri="{FF2B5EF4-FFF2-40B4-BE49-F238E27FC236}">
              <a16:creationId xmlns:a16="http://schemas.microsoft.com/office/drawing/2014/main" id="{A7F495E9-CDDB-4AEB-A103-AF03EE01FB1C}"/>
            </a:ext>
          </a:extLst>
        </xdr:cNvPr>
        <xdr:cNvSpPr/>
      </xdr:nvSpPr>
      <xdr:spPr>
        <a:xfrm>
          <a:off x="1981200" y="5308282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12</xdr:col>
      <xdr:colOff>0</xdr:colOff>
      <xdr:row>284</xdr:row>
      <xdr:rowOff>66675</xdr:rowOff>
    </xdr:from>
    <xdr:to>
      <xdr:col>12</xdr:col>
      <xdr:colOff>85725</xdr:colOff>
      <xdr:row>290</xdr:row>
      <xdr:rowOff>104775</xdr:rowOff>
    </xdr:to>
    <xdr:sp macro="" textlink="">
      <xdr:nvSpPr>
        <xdr:cNvPr id="672" name="Lightning Bolt 671">
          <a:extLst>
            <a:ext uri="{FF2B5EF4-FFF2-40B4-BE49-F238E27FC236}">
              <a16:creationId xmlns:a16="http://schemas.microsoft.com/office/drawing/2014/main" id="{AEDBE357-8A06-462C-BC74-B3DEDDA1712E}"/>
            </a:ext>
          </a:extLst>
        </xdr:cNvPr>
        <xdr:cNvSpPr/>
      </xdr:nvSpPr>
      <xdr:spPr>
        <a:xfrm>
          <a:off x="2971800" y="531018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7</xdr:col>
      <xdr:colOff>85724</xdr:colOff>
      <xdr:row>289</xdr:row>
      <xdr:rowOff>28575</xdr:rowOff>
    </xdr:from>
    <xdr:to>
      <xdr:col>8</xdr:col>
      <xdr:colOff>38099</xdr:colOff>
      <xdr:row>291</xdr:row>
      <xdr:rowOff>57150</xdr:rowOff>
    </xdr:to>
    <xdr:sp macro="" textlink="">
      <xdr:nvSpPr>
        <xdr:cNvPr id="673" name="Line 10711">
          <a:extLst>
            <a:ext uri="{FF2B5EF4-FFF2-40B4-BE49-F238E27FC236}">
              <a16:creationId xmlns:a16="http://schemas.microsoft.com/office/drawing/2014/main" id="{3497643D-4530-4B0E-B65C-CB96D5ED208F}"/>
            </a:ext>
          </a:extLst>
        </xdr:cNvPr>
        <xdr:cNvSpPr>
          <a:spLocks noChangeShapeType="1"/>
        </xdr:cNvSpPr>
      </xdr:nvSpPr>
      <xdr:spPr bwMode="auto">
        <a:xfrm flipH="1">
          <a:off x="1819274" y="54016275"/>
          <a:ext cx="200025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</xdr:colOff>
      <xdr:row>226</xdr:row>
      <xdr:rowOff>0</xdr:rowOff>
    </xdr:from>
    <xdr:to>
      <xdr:col>11</xdr:col>
      <xdr:colOff>190501</xdr:colOff>
      <xdr:row>227</xdr:row>
      <xdr:rowOff>114299</xdr:rowOff>
    </xdr:to>
    <xdr:sp macro="" textlink="">
      <xdr:nvSpPr>
        <xdr:cNvPr id="674" name="Minus 382">
          <a:extLst>
            <a:ext uri="{FF2B5EF4-FFF2-40B4-BE49-F238E27FC236}">
              <a16:creationId xmlns:a16="http://schemas.microsoft.com/office/drawing/2014/main" id="{4B19BC11-AF60-4D30-9DA8-09A399EDE6AA}"/>
            </a:ext>
          </a:extLst>
        </xdr:cNvPr>
        <xdr:cNvSpPr/>
      </xdr:nvSpPr>
      <xdr:spPr>
        <a:xfrm>
          <a:off x="2724151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226</xdr:row>
      <xdr:rowOff>0</xdr:rowOff>
    </xdr:from>
    <xdr:to>
      <xdr:col>15</xdr:col>
      <xdr:colOff>190500</xdr:colOff>
      <xdr:row>227</xdr:row>
      <xdr:rowOff>114299</xdr:rowOff>
    </xdr:to>
    <xdr:sp macro="" textlink="">
      <xdr:nvSpPr>
        <xdr:cNvPr id="675" name="Minus 382">
          <a:extLst>
            <a:ext uri="{FF2B5EF4-FFF2-40B4-BE49-F238E27FC236}">
              <a16:creationId xmlns:a16="http://schemas.microsoft.com/office/drawing/2014/main" id="{4C92FD0B-698C-45AC-9B63-944B1B9BA444}"/>
            </a:ext>
          </a:extLst>
        </xdr:cNvPr>
        <xdr:cNvSpPr/>
      </xdr:nvSpPr>
      <xdr:spPr>
        <a:xfrm>
          <a:off x="37147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10</xdr:row>
      <xdr:rowOff>0</xdr:rowOff>
    </xdr:from>
    <xdr:to>
      <xdr:col>12</xdr:col>
      <xdr:colOff>190500</xdr:colOff>
      <xdr:row>11</xdr:row>
      <xdr:rowOff>78580</xdr:rowOff>
    </xdr:to>
    <xdr:sp macro="" textlink="">
      <xdr:nvSpPr>
        <xdr:cNvPr id="676" name="Minus 382">
          <a:extLst>
            <a:ext uri="{FF2B5EF4-FFF2-40B4-BE49-F238E27FC236}">
              <a16:creationId xmlns:a16="http://schemas.microsoft.com/office/drawing/2014/main" id="{0E386540-B904-40D3-B9AB-087CFDE605BA}"/>
            </a:ext>
          </a:extLst>
        </xdr:cNvPr>
        <xdr:cNvSpPr/>
      </xdr:nvSpPr>
      <xdr:spPr>
        <a:xfrm>
          <a:off x="2971800" y="2076450"/>
          <a:ext cx="190500" cy="307180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TW</a:t>
          </a:r>
        </a:p>
      </xdr:txBody>
    </xdr:sp>
    <xdr:clientData/>
  </xdr:twoCellAnchor>
  <xdr:twoCellAnchor>
    <xdr:from>
      <xdr:col>3</xdr:col>
      <xdr:colOff>0</xdr:colOff>
      <xdr:row>26</xdr:row>
      <xdr:rowOff>0</xdr:rowOff>
    </xdr:from>
    <xdr:to>
      <xdr:col>3</xdr:col>
      <xdr:colOff>190500</xdr:colOff>
      <xdr:row>27</xdr:row>
      <xdr:rowOff>114299</xdr:rowOff>
    </xdr:to>
    <xdr:sp macro="" textlink="">
      <xdr:nvSpPr>
        <xdr:cNvPr id="677" name="Minus 382">
          <a:extLst>
            <a:ext uri="{FF2B5EF4-FFF2-40B4-BE49-F238E27FC236}">
              <a16:creationId xmlns:a16="http://schemas.microsoft.com/office/drawing/2014/main" id="{4A065381-26F4-41A5-B393-58059079199F}"/>
            </a:ext>
          </a:extLst>
        </xdr:cNvPr>
        <xdr:cNvSpPr/>
      </xdr:nvSpPr>
      <xdr:spPr>
        <a:xfrm>
          <a:off x="7429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7</xdr:col>
      <xdr:colOff>190500</xdr:colOff>
      <xdr:row>27</xdr:row>
      <xdr:rowOff>114299</xdr:rowOff>
    </xdr:to>
    <xdr:sp macro="" textlink="">
      <xdr:nvSpPr>
        <xdr:cNvPr id="678" name="Minus 382">
          <a:extLst>
            <a:ext uri="{FF2B5EF4-FFF2-40B4-BE49-F238E27FC236}">
              <a16:creationId xmlns:a16="http://schemas.microsoft.com/office/drawing/2014/main" id="{086C03A9-4040-43BD-9BA0-11FF023824BD}"/>
            </a:ext>
          </a:extLst>
        </xdr:cNvPr>
        <xdr:cNvSpPr/>
      </xdr:nvSpPr>
      <xdr:spPr>
        <a:xfrm>
          <a:off x="17335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26</xdr:row>
      <xdr:rowOff>0</xdr:rowOff>
    </xdr:from>
    <xdr:to>
      <xdr:col>11</xdr:col>
      <xdr:colOff>190500</xdr:colOff>
      <xdr:row>27</xdr:row>
      <xdr:rowOff>114299</xdr:rowOff>
    </xdr:to>
    <xdr:sp macro="" textlink="">
      <xdr:nvSpPr>
        <xdr:cNvPr id="679" name="Minus 382">
          <a:extLst>
            <a:ext uri="{FF2B5EF4-FFF2-40B4-BE49-F238E27FC236}">
              <a16:creationId xmlns:a16="http://schemas.microsoft.com/office/drawing/2014/main" id="{4F1594F7-42C3-456B-BD9E-C6D70438F82C}"/>
            </a:ext>
          </a:extLst>
        </xdr:cNvPr>
        <xdr:cNvSpPr/>
      </xdr:nvSpPr>
      <xdr:spPr>
        <a:xfrm>
          <a:off x="27241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26</xdr:row>
      <xdr:rowOff>0</xdr:rowOff>
    </xdr:from>
    <xdr:to>
      <xdr:col>15</xdr:col>
      <xdr:colOff>190500</xdr:colOff>
      <xdr:row>27</xdr:row>
      <xdr:rowOff>114299</xdr:rowOff>
    </xdr:to>
    <xdr:sp macro="" textlink="">
      <xdr:nvSpPr>
        <xdr:cNvPr id="680" name="Minus 382">
          <a:extLst>
            <a:ext uri="{FF2B5EF4-FFF2-40B4-BE49-F238E27FC236}">
              <a16:creationId xmlns:a16="http://schemas.microsoft.com/office/drawing/2014/main" id="{12F28D3B-82C0-44B6-8809-C1F4448CF079}"/>
            </a:ext>
          </a:extLst>
        </xdr:cNvPr>
        <xdr:cNvSpPr/>
      </xdr:nvSpPr>
      <xdr:spPr>
        <a:xfrm>
          <a:off x="37147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19</xdr:col>
      <xdr:colOff>190500</xdr:colOff>
      <xdr:row>27</xdr:row>
      <xdr:rowOff>114299</xdr:rowOff>
    </xdr:to>
    <xdr:sp macro="" textlink="">
      <xdr:nvSpPr>
        <xdr:cNvPr id="681" name="Minus 382">
          <a:extLst>
            <a:ext uri="{FF2B5EF4-FFF2-40B4-BE49-F238E27FC236}">
              <a16:creationId xmlns:a16="http://schemas.microsoft.com/office/drawing/2014/main" id="{3F6B020A-10F5-468A-9C36-A29851AD63E1}"/>
            </a:ext>
          </a:extLst>
        </xdr:cNvPr>
        <xdr:cNvSpPr/>
      </xdr:nvSpPr>
      <xdr:spPr>
        <a:xfrm>
          <a:off x="47053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26</xdr:row>
      <xdr:rowOff>0</xdr:rowOff>
    </xdr:from>
    <xdr:to>
      <xdr:col>23</xdr:col>
      <xdr:colOff>190500</xdr:colOff>
      <xdr:row>27</xdr:row>
      <xdr:rowOff>114299</xdr:rowOff>
    </xdr:to>
    <xdr:sp macro="" textlink="">
      <xdr:nvSpPr>
        <xdr:cNvPr id="682" name="Minus 382">
          <a:extLst>
            <a:ext uri="{FF2B5EF4-FFF2-40B4-BE49-F238E27FC236}">
              <a16:creationId xmlns:a16="http://schemas.microsoft.com/office/drawing/2014/main" id="{BDBE5F1A-CC36-4982-B3EF-0467A926C669}"/>
            </a:ext>
          </a:extLst>
        </xdr:cNvPr>
        <xdr:cNvSpPr/>
      </xdr:nvSpPr>
      <xdr:spPr>
        <a:xfrm>
          <a:off x="56959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26</xdr:row>
      <xdr:rowOff>0</xdr:rowOff>
    </xdr:from>
    <xdr:to>
      <xdr:col>27</xdr:col>
      <xdr:colOff>190500</xdr:colOff>
      <xdr:row>27</xdr:row>
      <xdr:rowOff>114299</xdr:rowOff>
    </xdr:to>
    <xdr:sp macro="" textlink="">
      <xdr:nvSpPr>
        <xdr:cNvPr id="683" name="Minus 382">
          <a:extLst>
            <a:ext uri="{FF2B5EF4-FFF2-40B4-BE49-F238E27FC236}">
              <a16:creationId xmlns:a16="http://schemas.microsoft.com/office/drawing/2014/main" id="{DD902548-9EE5-4A84-A6D9-BC0143781DE7}"/>
            </a:ext>
          </a:extLst>
        </xdr:cNvPr>
        <xdr:cNvSpPr/>
      </xdr:nvSpPr>
      <xdr:spPr>
        <a:xfrm>
          <a:off x="66865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26</xdr:row>
      <xdr:rowOff>0</xdr:rowOff>
    </xdr:from>
    <xdr:to>
      <xdr:col>31</xdr:col>
      <xdr:colOff>190500</xdr:colOff>
      <xdr:row>27</xdr:row>
      <xdr:rowOff>114299</xdr:rowOff>
    </xdr:to>
    <xdr:sp macro="" textlink="">
      <xdr:nvSpPr>
        <xdr:cNvPr id="684" name="Minus 382">
          <a:extLst>
            <a:ext uri="{FF2B5EF4-FFF2-40B4-BE49-F238E27FC236}">
              <a16:creationId xmlns:a16="http://schemas.microsoft.com/office/drawing/2014/main" id="{DE628B3D-4C92-4263-8603-B6E1B3457BA6}"/>
            </a:ext>
          </a:extLst>
        </xdr:cNvPr>
        <xdr:cNvSpPr/>
      </xdr:nvSpPr>
      <xdr:spPr>
        <a:xfrm>
          <a:off x="76771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26</xdr:row>
      <xdr:rowOff>0</xdr:rowOff>
    </xdr:from>
    <xdr:to>
      <xdr:col>35</xdr:col>
      <xdr:colOff>190500</xdr:colOff>
      <xdr:row>27</xdr:row>
      <xdr:rowOff>114299</xdr:rowOff>
    </xdr:to>
    <xdr:sp macro="" textlink="">
      <xdr:nvSpPr>
        <xdr:cNvPr id="685" name="Minus 382">
          <a:extLst>
            <a:ext uri="{FF2B5EF4-FFF2-40B4-BE49-F238E27FC236}">
              <a16:creationId xmlns:a16="http://schemas.microsoft.com/office/drawing/2014/main" id="{0BA1D282-59DA-4A5B-9E7D-5BD5BC6F1AFE}"/>
            </a:ext>
          </a:extLst>
        </xdr:cNvPr>
        <xdr:cNvSpPr/>
      </xdr:nvSpPr>
      <xdr:spPr>
        <a:xfrm>
          <a:off x="86677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26</xdr:row>
      <xdr:rowOff>0</xdr:rowOff>
    </xdr:from>
    <xdr:to>
      <xdr:col>39</xdr:col>
      <xdr:colOff>190500</xdr:colOff>
      <xdr:row>27</xdr:row>
      <xdr:rowOff>114299</xdr:rowOff>
    </xdr:to>
    <xdr:sp macro="" textlink="">
      <xdr:nvSpPr>
        <xdr:cNvPr id="686" name="Minus 382">
          <a:extLst>
            <a:ext uri="{FF2B5EF4-FFF2-40B4-BE49-F238E27FC236}">
              <a16:creationId xmlns:a16="http://schemas.microsoft.com/office/drawing/2014/main" id="{9C9C6034-746D-4E8C-9B40-CA904028BB12}"/>
            </a:ext>
          </a:extLst>
        </xdr:cNvPr>
        <xdr:cNvSpPr/>
      </xdr:nvSpPr>
      <xdr:spPr>
        <a:xfrm>
          <a:off x="9658350" y="5219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26</xdr:row>
      <xdr:rowOff>0</xdr:rowOff>
    </xdr:from>
    <xdr:to>
      <xdr:col>43</xdr:col>
      <xdr:colOff>190500</xdr:colOff>
      <xdr:row>27</xdr:row>
      <xdr:rowOff>114299</xdr:rowOff>
    </xdr:to>
    <xdr:sp macro="" textlink="">
      <xdr:nvSpPr>
        <xdr:cNvPr id="687" name="Minus 382">
          <a:extLst>
            <a:ext uri="{FF2B5EF4-FFF2-40B4-BE49-F238E27FC236}">
              <a16:creationId xmlns:a16="http://schemas.microsoft.com/office/drawing/2014/main" id="{F0D1B7BF-70A0-4BB8-B310-2D1CF7CECBB4}"/>
            </a:ext>
          </a:extLst>
        </xdr:cNvPr>
        <xdr:cNvSpPr/>
      </xdr:nvSpPr>
      <xdr:spPr>
        <a:xfrm>
          <a:off x="10648950" y="5219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190500</xdr:colOff>
      <xdr:row>37</xdr:row>
      <xdr:rowOff>114299</xdr:rowOff>
    </xdr:to>
    <xdr:sp macro="" textlink="">
      <xdr:nvSpPr>
        <xdr:cNvPr id="688" name="Minus 382">
          <a:extLst>
            <a:ext uri="{FF2B5EF4-FFF2-40B4-BE49-F238E27FC236}">
              <a16:creationId xmlns:a16="http://schemas.microsoft.com/office/drawing/2014/main" id="{3152497F-A11F-4758-A903-CC84DBAF3657}"/>
            </a:ext>
          </a:extLst>
        </xdr:cNvPr>
        <xdr:cNvSpPr/>
      </xdr:nvSpPr>
      <xdr:spPr>
        <a:xfrm>
          <a:off x="7429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36</xdr:row>
      <xdr:rowOff>0</xdr:rowOff>
    </xdr:from>
    <xdr:to>
      <xdr:col>7</xdr:col>
      <xdr:colOff>190500</xdr:colOff>
      <xdr:row>37</xdr:row>
      <xdr:rowOff>114299</xdr:rowOff>
    </xdr:to>
    <xdr:sp macro="" textlink="">
      <xdr:nvSpPr>
        <xdr:cNvPr id="689" name="Minus 382">
          <a:extLst>
            <a:ext uri="{FF2B5EF4-FFF2-40B4-BE49-F238E27FC236}">
              <a16:creationId xmlns:a16="http://schemas.microsoft.com/office/drawing/2014/main" id="{210CB8B3-BC86-48FF-B2D6-EA56CF49C015}"/>
            </a:ext>
          </a:extLst>
        </xdr:cNvPr>
        <xdr:cNvSpPr/>
      </xdr:nvSpPr>
      <xdr:spPr>
        <a:xfrm>
          <a:off x="17335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36</xdr:row>
      <xdr:rowOff>0</xdr:rowOff>
    </xdr:from>
    <xdr:to>
      <xdr:col>11</xdr:col>
      <xdr:colOff>190500</xdr:colOff>
      <xdr:row>37</xdr:row>
      <xdr:rowOff>114299</xdr:rowOff>
    </xdr:to>
    <xdr:sp macro="" textlink="">
      <xdr:nvSpPr>
        <xdr:cNvPr id="690" name="Minus 382">
          <a:extLst>
            <a:ext uri="{FF2B5EF4-FFF2-40B4-BE49-F238E27FC236}">
              <a16:creationId xmlns:a16="http://schemas.microsoft.com/office/drawing/2014/main" id="{2111AC44-90DC-4B41-BB39-396E68BFA117}"/>
            </a:ext>
          </a:extLst>
        </xdr:cNvPr>
        <xdr:cNvSpPr/>
      </xdr:nvSpPr>
      <xdr:spPr>
        <a:xfrm>
          <a:off x="27241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36</xdr:row>
      <xdr:rowOff>0</xdr:rowOff>
    </xdr:from>
    <xdr:to>
      <xdr:col>15</xdr:col>
      <xdr:colOff>190500</xdr:colOff>
      <xdr:row>37</xdr:row>
      <xdr:rowOff>114299</xdr:rowOff>
    </xdr:to>
    <xdr:sp macro="" textlink="">
      <xdr:nvSpPr>
        <xdr:cNvPr id="691" name="Minus 382">
          <a:extLst>
            <a:ext uri="{FF2B5EF4-FFF2-40B4-BE49-F238E27FC236}">
              <a16:creationId xmlns:a16="http://schemas.microsoft.com/office/drawing/2014/main" id="{82E1E0EA-F49E-4AE2-A020-6BAF6A89685C}"/>
            </a:ext>
          </a:extLst>
        </xdr:cNvPr>
        <xdr:cNvSpPr/>
      </xdr:nvSpPr>
      <xdr:spPr>
        <a:xfrm>
          <a:off x="37147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36</xdr:row>
      <xdr:rowOff>0</xdr:rowOff>
    </xdr:from>
    <xdr:to>
      <xdr:col>19</xdr:col>
      <xdr:colOff>190500</xdr:colOff>
      <xdr:row>37</xdr:row>
      <xdr:rowOff>114299</xdr:rowOff>
    </xdr:to>
    <xdr:sp macro="" textlink="">
      <xdr:nvSpPr>
        <xdr:cNvPr id="692" name="Minus 382">
          <a:extLst>
            <a:ext uri="{FF2B5EF4-FFF2-40B4-BE49-F238E27FC236}">
              <a16:creationId xmlns:a16="http://schemas.microsoft.com/office/drawing/2014/main" id="{7CF71178-21D2-48FA-B2EE-3FCB61CCE350}"/>
            </a:ext>
          </a:extLst>
        </xdr:cNvPr>
        <xdr:cNvSpPr/>
      </xdr:nvSpPr>
      <xdr:spPr>
        <a:xfrm>
          <a:off x="47053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36</xdr:row>
      <xdr:rowOff>0</xdr:rowOff>
    </xdr:from>
    <xdr:to>
      <xdr:col>23</xdr:col>
      <xdr:colOff>190500</xdr:colOff>
      <xdr:row>37</xdr:row>
      <xdr:rowOff>114299</xdr:rowOff>
    </xdr:to>
    <xdr:sp macro="" textlink="">
      <xdr:nvSpPr>
        <xdr:cNvPr id="693" name="Minus 382">
          <a:extLst>
            <a:ext uri="{FF2B5EF4-FFF2-40B4-BE49-F238E27FC236}">
              <a16:creationId xmlns:a16="http://schemas.microsoft.com/office/drawing/2014/main" id="{CE3B1F26-D600-47FC-83FA-A6F3460AD948}"/>
            </a:ext>
          </a:extLst>
        </xdr:cNvPr>
        <xdr:cNvSpPr/>
      </xdr:nvSpPr>
      <xdr:spPr>
        <a:xfrm>
          <a:off x="5695950" y="7067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36</xdr:row>
      <xdr:rowOff>0</xdr:rowOff>
    </xdr:from>
    <xdr:to>
      <xdr:col>27</xdr:col>
      <xdr:colOff>190500</xdr:colOff>
      <xdr:row>37</xdr:row>
      <xdr:rowOff>114299</xdr:rowOff>
    </xdr:to>
    <xdr:sp macro="" textlink="">
      <xdr:nvSpPr>
        <xdr:cNvPr id="694" name="Minus 382">
          <a:extLst>
            <a:ext uri="{FF2B5EF4-FFF2-40B4-BE49-F238E27FC236}">
              <a16:creationId xmlns:a16="http://schemas.microsoft.com/office/drawing/2014/main" id="{2D5D4674-AED4-4649-B779-562C9636E852}"/>
            </a:ext>
          </a:extLst>
        </xdr:cNvPr>
        <xdr:cNvSpPr/>
      </xdr:nvSpPr>
      <xdr:spPr>
        <a:xfrm>
          <a:off x="66865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36</xdr:row>
      <xdr:rowOff>0</xdr:rowOff>
    </xdr:from>
    <xdr:to>
      <xdr:col>31</xdr:col>
      <xdr:colOff>190500</xdr:colOff>
      <xdr:row>37</xdr:row>
      <xdr:rowOff>114299</xdr:rowOff>
    </xdr:to>
    <xdr:sp macro="" textlink="">
      <xdr:nvSpPr>
        <xdr:cNvPr id="695" name="Minus 382">
          <a:extLst>
            <a:ext uri="{FF2B5EF4-FFF2-40B4-BE49-F238E27FC236}">
              <a16:creationId xmlns:a16="http://schemas.microsoft.com/office/drawing/2014/main" id="{7C2ED069-E235-4DA5-97FD-9DC0C0700695}"/>
            </a:ext>
          </a:extLst>
        </xdr:cNvPr>
        <xdr:cNvSpPr/>
      </xdr:nvSpPr>
      <xdr:spPr>
        <a:xfrm>
          <a:off x="76771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36</xdr:row>
      <xdr:rowOff>0</xdr:rowOff>
    </xdr:from>
    <xdr:to>
      <xdr:col>35</xdr:col>
      <xdr:colOff>190500</xdr:colOff>
      <xdr:row>37</xdr:row>
      <xdr:rowOff>114299</xdr:rowOff>
    </xdr:to>
    <xdr:sp macro="" textlink="">
      <xdr:nvSpPr>
        <xdr:cNvPr id="696" name="Minus 382">
          <a:extLst>
            <a:ext uri="{FF2B5EF4-FFF2-40B4-BE49-F238E27FC236}">
              <a16:creationId xmlns:a16="http://schemas.microsoft.com/office/drawing/2014/main" id="{40AA4F77-8CDC-42A1-89B9-6ABB912A132E}"/>
            </a:ext>
          </a:extLst>
        </xdr:cNvPr>
        <xdr:cNvSpPr/>
      </xdr:nvSpPr>
      <xdr:spPr>
        <a:xfrm>
          <a:off x="86677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36</xdr:row>
      <xdr:rowOff>0</xdr:rowOff>
    </xdr:from>
    <xdr:to>
      <xdr:col>39</xdr:col>
      <xdr:colOff>190500</xdr:colOff>
      <xdr:row>37</xdr:row>
      <xdr:rowOff>114299</xdr:rowOff>
    </xdr:to>
    <xdr:sp macro="" textlink="">
      <xdr:nvSpPr>
        <xdr:cNvPr id="697" name="Minus 382">
          <a:extLst>
            <a:ext uri="{FF2B5EF4-FFF2-40B4-BE49-F238E27FC236}">
              <a16:creationId xmlns:a16="http://schemas.microsoft.com/office/drawing/2014/main" id="{43988F91-7F25-45A8-9D59-39D3199BA23E}"/>
            </a:ext>
          </a:extLst>
        </xdr:cNvPr>
        <xdr:cNvSpPr/>
      </xdr:nvSpPr>
      <xdr:spPr>
        <a:xfrm>
          <a:off x="96583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36</xdr:row>
      <xdr:rowOff>0</xdr:rowOff>
    </xdr:from>
    <xdr:to>
      <xdr:col>43</xdr:col>
      <xdr:colOff>190500</xdr:colOff>
      <xdr:row>37</xdr:row>
      <xdr:rowOff>114299</xdr:rowOff>
    </xdr:to>
    <xdr:sp macro="" textlink="">
      <xdr:nvSpPr>
        <xdr:cNvPr id="698" name="Minus 382">
          <a:extLst>
            <a:ext uri="{FF2B5EF4-FFF2-40B4-BE49-F238E27FC236}">
              <a16:creationId xmlns:a16="http://schemas.microsoft.com/office/drawing/2014/main" id="{422B7B6E-2170-48F5-9B56-01E0C6521116}"/>
            </a:ext>
          </a:extLst>
        </xdr:cNvPr>
        <xdr:cNvSpPr/>
      </xdr:nvSpPr>
      <xdr:spPr>
        <a:xfrm>
          <a:off x="106489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46</xdr:row>
      <xdr:rowOff>0</xdr:rowOff>
    </xdr:from>
    <xdr:to>
      <xdr:col>3</xdr:col>
      <xdr:colOff>190500</xdr:colOff>
      <xdr:row>47</xdr:row>
      <xdr:rowOff>114299</xdr:rowOff>
    </xdr:to>
    <xdr:sp macro="" textlink="">
      <xdr:nvSpPr>
        <xdr:cNvPr id="699" name="Minus 382">
          <a:extLst>
            <a:ext uri="{FF2B5EF4-FFF2-40B4-BE49-F238E27FC236}">
              <a16:creationId xmlns:a16="http://schemas.microsoft.com/office/drawing/2014/main" id="{AB9C01EB-E052-47E6-90B7-1A9330BBCB52}"/>
            </a:ext>
          </a:extLst>
        </xdr:cNvPr>
        <xdr:cNvSpPr/>
      </xdr:nvSpPr>
      <xdr:spPr>
        <a:xfrm>
          <a:off x="742950" y="8915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46</xdr:row>
      <xdr:rowOff>0</xdr:rowOff>
    </xdr:from>
    <xdr:to>
      <xdr:col>7</xdr:col>
      <xdr:colOff>190500</xdr:colOff>
      <xdr:row>47</xdr:row>
      <xdr:rowOff>114299</xdr:rowOff>
    </xdr:to>
    <xdr:sp macro="" textlink="">
      <xdr:nvSpPr>
        <xdr:cNvPr id="700" name="Minus 382">
          <a:extLst>
            <a:ext uri="{FF2B5EF4-FFF2-40B4-BE49-F238E27FC236}">
              <a16:creationId xmlns:a16="http://schemas.microsoft.com/office/drawing/2014/main" id="{50EF0477-049A-41C8-9EA4-4766374DDF6E}"/>
            </a:ext>
          </a:extLst>
        </xdr:cNvPr>
        <xdr:cNvSpPr/>
      </xdr:nvSpPr>
      <xdr:spPr>
        <a:xfrm>
          <a:off x="17335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190500</xdr:colOff>
      <xdr:row>47</xdr:row>
      <xdr:rowOff>114299</xdr:rowOff>
    </xdr:to>
    <xdr:sp macro="" textlink="">
      <xdr:nvSpPr>
        <xdr:cNvPr id="701" name="Minus 382">
          <a:extLst>
            <a:ext uri="{FF2B5EF4-FFF2-40B4-BE49-F238E27FC236}">
              <a16:creationId xmlns:a16="http://schemas.microsoft.com/office/drawing/2014/main" id="{E85C1701-7F0A-4553-93B0-DF79665E3697}"/>
            </a:ext>
          </a:extLst>
        </xdr:cNvPr>
        <xdr:cNvSpPr/>
      </xdr:nvSpPr>
      <xdr:spPr>
        <a:xfrm>
          <a:off x="27241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46</xdr:row>
      <xdr:rowOff>0</xdr:rowOff>
    </xdr:from>
    <xdr:to>
      <xdr:col>15</xdr:col>
      <xdr:colOff>190500</xdr:colOff>
      <xdr:row>47</xdr:row>
      <xdr:rowOff>114299</xdr:rowOff>
    </xdr:to>
    <xdr:sp macro="" textlink="">
      <xdr:nvSpPr>
        <xdr:cNvPr id="702" name="Minus 382">
          <a:extLst>
            <a:ext uri="{FF2B5EF4-FFF2-40B4-BE49-F238E27FC236}">
              <a16:creationId xmlns:a16="http://schemas.microsoft.com/office/drawing/2014/main" id="{26C26579-5F44-4DE2-B770-3A286BABBE92}"/>
            </a:ext>
          </a:extLst>
        </xdr:cNvPr>
        <xdr:cNvSpPr/>
      </xdr:nvSpPr>
      <xdr:spPr>
        <a:xfrm>
          <a:off x="37147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46</xdr:row>
      <xdr:rowOff>0</xdr:rowOff>
    </xdr:from>
    <xdr:to>
      <xdr:col>19</xdr:col>
      <xdr:colOff>190500</xdr:colOff>
      <xdr:row>47</xdr:row>
      <xdr:rowOff>114299</xdr:rowOff>
    </xdr:to>
    <xdr:sp macro="" textlink="">
      <xdr:nvSpPr>
        <xdr:cNvPr id="703" name="Minus 382">
          <a:extLst>
            <a:ext uri="{FF2B5EF4-FFF2-40B4-BE49-F238E27FC236}">
              <a16:creationId xmlns:a16="http://schemas.microsoft.com/office/drawing/2014/main" id="{59CD5C36-1A43-4FC7-9D4F-EC53704C7045}"/>
            </a:ext>
          </a:extLst>
        </xdr:cNvPr>
        <xdr:cNvSpPr/>
      </xdr:nvSpPr>
      <xdr:spPr>
        <a:xfrm>
          <a:off x="47053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46</xdr:row>
      <xdr:rowOff>0</xdr:rowOff>
    </xdr:from>
    <xdr:to>
      <xdr:col>23</xdr:col>
      <xdr:colOff>190500</xdr:colOff>
      <xdr:row>47</xdr:row>
      <xdr:rowOff>114299</xdr:rowOff>
    </xdr:to>
    <xdr:sp macro="" textlink="">
      <xdr:nvSpPr>
        <xdr:cNvPr id="704" name="Minus 382">
          <a:extLst>
            <a:ext uri="{FF2B5EF4-FFF2-40B4-BE49-F238E27FC236}">
              <a16:creationId xmlns:a16="http://schemas.microsoft.com/office/drawing/2014/main" id="{EE34CB95-C41A-4253-9B2A-F4889744ABFD}"/>
            </a:ext>
          </a:extLst>
        </xdr:cNvPr>
        <xdr:cNvSpPr/>
      </xdr:nvSpPr>
      <xdr:spPr>
        <a:xfrm>
          <a:off x="56959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46</xdr:row>
      <xdr:rowOff>0</xdr:rowOff>
    </xdr:from>
    <xdr:to>
      <xdr:col>27</xdr:col>
      <xdr:colOff>190500</xdr:colOff>
      <xdr:row>47</xdr:row>
      <xdr:rowOff>114299</xdr:rowOff>
    </xdr:to>
    <xdr:sp macro="" textlink="">
      <xdr:nvSpPr>
        <xdr:cNvPr id="705" name="Minus 382">
          <a:extLst>
            <a:ext uri="{FF2B5EF4-FFF2-40B4-BE49-F238E27FC236}">
              <a16:creationId xmlns:a16="http://schemas.microsoft.com/office/drawing/2014/main" id="{FB5C65DE-A944-46AD-A668-B8E63DAE0024}"/>
            </a:ext>
          </a:extLst>
        </xdr:cNvPr>
        <xdr:cNvSpPr/>
      </xdr:nvSpPr>
      <xdr:spPr>
        <a:xfrm>
          <a:off x="66865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46</xdr:row>
      <xdr:rowOff>0</xdr:rowOff>
    </xdr:from>
    <xdr:to>
      <xdr:col>31</xdr:col>
      <xdr:colOff>190500</xdr:colOff>
      <xdr:row>47</xdr:row>
      <xdr:rowOff>114299</xdr:rowOff>
    </xdr:to>
    <xdr:sp macro="" textlink="">
      <xdr:nvSpPr>
        <xdr:cNvPr id="706" name="Minus 382">
          <a:extLst>
            <a:ext uri="{FF2B5EF4-FFF2-40B4-BE49-F238E27FC236}">
              <a16:creationId xmlns:a16="http://schemas.microsoft.com/office/drawing/2014/main" id="{12BD7B7B-173A-4526-8C9E-A5E289F9B6DF}"/>
            </a:ext>
          </a:extLst>
        </xdr:cNvPr>
        <xdr:cNvSpPr/>
      </xdr:nvSpPr>
      <xdr:spPr>
        <a:xfrm>
          <a:off x="76771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46</xdr:row>
      <xdr:rowOff>0</xdr:rowOff>
    </xdr:from>
    <xdr:to>
      <xdr:col>35</xdr:col>
      <xdr:colOff>190500</xdr:colOff>
      <xdr:row>47</xdr:row>
      <xdr:rowOff>114299</xdr:rowOff>
    </xdr:to>
    <xdr:sp macro="" textlink="">
      <xdr:nvSpPr>
        <xdr:cNvPr id="707" name="Minus 382">
          <a:extLst>
            <a:ext uri="{FF2B5EF4-FFF2-40B4-BE49-F238E27FC236}">
              <a16:creationId xmlns:a16="http://schemas.microsoft.com/office/drawing/2014/main" id="{7577FDCC-F60D-493E-B4DB-1DD3B0415D93}"/>
            </a:ext>
          </a:extLst>
        </xdr:cNvPr>
        <xdr:cNvSpPr/>
      </xdr:nvSpPr>
      <xdr:spPr>
        <a:xfrm>
          <a:off x="86677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46</xdr:row>
      <xdr:rowOff>0</xdr:rowOff>
    </xdr:from>
    <xdr:to>
      <xdr:col>39</xdr:col>
      <xdr:colOff>190500</xdr:colOff>
      <xdr:row>47</xdr:row>
      <xdr:rowOff>114299</xdr:rowOff>
    </xdr:to>
    <xdr:sp macro="" textlink="">
      <xdr:nvSpPr>
        <xdr:cNvPr id="708" name="Minus 382">
          <a:extLst>
            <a:ext uri="{FF2B5EF4-FFF2-40B4-BE49-F238E27FC236}">
              <a16:creationId xmlns:a16="http://schemas.microsoft.com/office/drawing/2014/main" id="{B96C80B5-A13A-4387-BDD0-4B8F4C8E3AD7}"/>
            </a:ext>
          </a:extLst>
        </xdr:cNvPr>
        <xdr:cNvSpPr/>
      </xdr:nvSpPr>
      <xdr:spPr>
        <a:xfrm>
          <a:off x="96583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46</xdr:row>
      <xdr:rowOff>0</xdr:rowOff>
    </xdr:from>
    <xdr:to>
      <xdr:col>43</xdr:col>
      <xdr:colOff>190500</xdr:colOff>
      <xdr:row>47</xdr:row>
      <xdr:rowOff>114299</xdr:rowOff>
    </xdr:to>
    <xdr:sp macro="" textlink="">
      <xdr:nvSpPr>
        <xdr:cNvPr id="709" name="Minus 382">
          <a:extLst>
            <a:ext uri="{FF2B5EF4-FFF2-40B4-BE49-F238E27FC236}">
              <a16:creationId xmlns:a16="http://schemas.microsoft.com/office/drawing/2014/main" id="{E278F793-3BF4-44B3-A1BB-7747FA49D634}"/>
            </a:ext>
          </a:extLst>
        </xdr:cNvPr>
        <xdr:cNvSpPr/>
      </xdr:nvSpPr>
      <xdr:spPr>
        <a:xfrm>
          <a:off x="106489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56</xdr:row>
      <xdr:rowOff>0</xdr:rowOff>
    </xdr:from>
    <xdr:to>
      <xdr:col>3</xdr:col>
      <xdr:colOff>190500</xdr:colOff>
      <xdr:row>57</xdr:row>
      <xdr:rowOff>114299</xdr:rowOff>
    </xdr:to>
    <xdr:sp macro="" textlink="">
      <xdr:nvSpPr>
        <xdr:cNvPr id="710" name="Minus 382">
          <a:extLst>
            <a:ext uri="{FF2B5EF4-FFF2-40B4-BE49-F238E27FC236}">
              <a16:creationId xmlns:a16="http://schemas.microsoft.com/office/drawing/2014/main" id="{F94A849A-1324-46BA-B215-A15B9409B047}"/>
            </a:ext>
          </a:extLst>
        </xdr:cNvPr>
        <xdr:cNvSpPr/>
      </xdr:nvSpPr>
      <xdr:spPr>
        <a:xfrm>
          <a:off x="7429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7</xdr:col>
      <xdr:colOff>190500</xdr:colOff>
      <xdr:row>57</xdr:row>
      <xdr:rowOff>114299</xdr:rowOff>
    </xdr:to>
    <xdr:sp macro="" textlink="">
      <xdr:nvSpPr>
        <xdr:cNvPr id="711" name="Minus 382">
          <a:extLst>
            <a:ext uri="{FF2B5EF4-FFF2-40B4-BE49-F238E27FC236}">
              <a16:creationId xmlns:a16="http://schemas.microsoft.com/office/drawing/2014/main" id="{6B7894B0-9EBA-412D-8DDE-EFD6C47B88E3}"/>
            </a:ext>
          </a:extLst>
        </xdr:cNvPr>
        <xdr:cNvSpPr/>
      </xdr:nvSpPr>
      <xdr:spPr>
        <a:xfrm>
          <a:off x="17335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56</xdr:row>
      <xdr:rowOff>0</xdr:rowOff>
    </xdr:from>
    <xdr:to>
      <xdr:col>11</xdr:col>
      <xdr:colOff>190500</xdr:colOff>
      <xdr:row>57</xdr:row>
      <xdr:rowOff>114299</xdr:rowOff>
    </xdr:to>
    <xdr:sp macro="" textlink="">
      <xdr:nvSpPr>
        <xdr:cNvPr id="712" name="Minus 382">
          <a:extLst>
            <a:ext uri="{FF2B5EF4-FFF2-40B4-BE49-F238E27FC236}">
              <a16:creationId xmlns:a16="http://schemas.microsoft.com/office/drawing/2014/main" id="{A1278DC2-6B6D-4151-8B4B-11D4699FC991}"/>
            </a:ext>
          </a:extLst>
        </xdr:cNvPr>
        <xdr:cNvSpPr/>
      </xdr:nvSpPr>
      <xdr:spPr>
        <a:xfrm>
          <a:off x="27241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56</xdr:row>
      <xdr:rowOff>0</xdr:rowOff>
    </xdr:from>
    <xdr:to>
      <xdr:col>15</xdr:col>
      <xdr:colOff>190500</xdr:colOff>
      <xdr:row>57</xdr:row>
      <xdr:rowOff>114299</xdr:rowOff>
    </xdr:to>
    <xdr:sp macro="" textlink="">
      <xdr:nvSpPr>
        <xdr:cNvPr id="713" name="Minus 382">
          <a:extLst>
            <a:ext uri="{FF2B5EF4-FFF2-40B4-BE49-F238E27FC236}">
              <a16:creationId xmlns:a16="http://schemas.microsoft.com/office/drawing/2014/main" id="{A9432CF9-F4C1-484E-B02C-BB08E824AB7C}"/>
            </a:ext>
          </a:extLst>
        </xdr:cNvPr>
        <xdr:cNvSpPr/>
      </xdr:nvSpPr>
      <xdr:spPr>
        <a:xfrm>
          <a:off x="37147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19</xdr:col>
      <xdr:colOff>190500</xdr:colOff>
      <xdr:row>57</xdr:row>
      <xdr:rowOff>114299</xdr:rowOff>
    </xdr:to>
    <xdr:sp macro="" textlink="">
      <xdr:nvSpPr>
        <xdr:cNvPr id="714" name="Minus 382">
          <a:extLst>
            <a:ext uri="{FF2B5EF4-FFF2-40B4-BE49-F238E27FC236}">
              <a16:creationId xmlns:a16="http://schemas.microsoft.com/office/drawing/2014/main" id="{F294C5FB-B4E6-44BE-A54C-D893091BFBB5}"/>
            </a:ext>
          </a:extLst>
        </xdr:cNvPr>
        <xdr:cNvSpPr/>
      </xdr:nvSpPr>
      <xdr:spPr>
        <a:xfrm>
          <a:off x="47053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56</xdr:row>
      <xdr:rowOff>0</xdr:rowOff>
    </xdr:from>
    <xdr:to>
      <xdr:col>23</xdr:col>
      <xdr:colOff>190500</xdr:colOff>
      <xdr:row>57</xdr:row>
      <xdr:rowOff>114299</xdr:rowOff>
    </xdr:to>
    <xdr:sp macro="" textlink="">
      <xdr:nvSpPr>
        <xdr:cNvPr id="715" name="Minus 382">
          <a:extLst>
            <a:ext uri="{FF2B5EF4-FFF2-40B4-BE49-F238E27FC236}">
              <a16:creationId xmlns:a16="http://schemas.microsoft.com/office/drawing/2014/main" id="{E25BFA32-B61A-4283-A137-6EA53959112F}"/>
            </a:ext>
          </a:extLst>
        </xdr:cNvPr>
        <xdr:cNvSpPr/>
      </xdr:nvSpPr>
      <xdr:spPr>
        <a:xfrm>
          <a:off x="56959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56</xdr:row>
      <xdr:rowOff>0</xdr:rowOff>
    </xdr:from>
    <xdr:to>
      <xdr:col>27</xdr:col>
      <xdr:colOff>190500</xdr:colOff>
      <xdr:row>57</xdr:row>
      <xdr:rowOff>114299</xdr:rowOff>
    </xdr:to>
    <xdr:sp macro="" textlink="">
      <xdr:nvSpPr>
        <xdr:cNvPr id="716" name="Minus 382">
          <a:extLst>
            <a:ext uri="{FF2B5EF4-FFF2-40B4-BE49-F238E27FC236}">
              <a16:creationId xmlns:a16="http://schemas.microsoft.com/office/drawing/2014/main" id="{F57B6E17-1D7F-475D-AA4C-03AE1328A1B2}"/>
            </a:ext>
          </a:extLst>
        </xdr:cNvPr>
        <xdr:cNvSpPr/>
      </xdr:nvSpPr>
      <xdr:spPr>
        <a:xfrm>
          <a:off x="66865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31</xdr:col>
      <xdr:colOff>190500</xdr:colOff>
      <xdr:row>57</xdr:row>
      <xdr:rowOff>114299</xdr:rowOff>
    </xdr:to>
    <xdr:sp macro="" textlink="">
      <xdr:nvSpPr>
        <xdr:cNvPr id="717" name="Minus 382">
          <a:extLst>
            <a:ext uri="{FF2B5EF4-FFF2-40B4-BE49-F238E27FC236}">
              <a16:creationId xmlns:a16="http://schemas.microsoft.com/office/drawing/2014/main" id="{E7C6F4AB-6AAC-4B38-A008-03D5559C2432}"/>
            </a:ext>
          </a:extLst>
        </xdr:cNvPr>
        <xdr:cNvSpPr/>
      </xdr:nvSpPr>
      <xdr:spPr>
        <a:xfrm>
          <a:off x="76771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56</xdr:row>
      <xdr:rowOff>0</xdr:rowOff>
    </xdr:from>
    <xdr:to>
      <xdr:col>35</xdr:col>
      <xdr:colOff>190500</xdr:colOff>
      <xdr:row>57</xdr:row>
      <xdr:rowOff>114299</xdr:rowOff>
    </xdr:to>
    <xdr:sp macro="" textlink="">
      <xdr:nvSpPr>
        <xdr:cNvPr id="718" name="Minus 382">
          <a:extLst>
            <a:ext uri="{FF2B5EF4-FFF2-40B4-BE49-F238E27FC236}">
              <a16:creationId xmlns:a16="http://schemas.microsoft.com/office/drawing/2014/main" id="{7DCC3374-228E-46E0-B54B-1613AAD4B90A}"/>
            </a:ext>
          </a:extLst>
        </xdr:cNvPr>
        <xdr:cNvSpPr/>
      </xdr:nvSpPr>
      <xdr:spPr>
        <a:xfrm>
          <a:off x="86677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56</xdr:row>
      <xdr:rowOff>0</xdr:rowOff>
    </xdr:from>
    <xdr:to>
      <xdr:col>39</xdr:col>
      <xdr:colOff>190500</xdr:colOff>
      <xdr:row>57</xdr:row>
      <xdr:rowOff>114299</xdr:rowOff>
    </xdr:to>
    <xdr:sp macro="" textlink="">
      <xdr:nvSpPr>
        <xdr:cNvPr id="719" name="Minus 382">
          <a:extLst>
            <a:ext uri="{FF2B5EF4-FFF2-40B4-BE49-F238E27FC236}">
              <a16:creationId xmlns:a16="http://schemas.microsoft.com/office/drawing/2014/main" id="{62BB3A33-CB38-4854-BFBD-0CCB8BCAD965}"/>
            </a:ext>
          </a:extLst>
        </xdr:cNvPr>
        <xdr:cNvSpPr/>
      </xdr:nvSpPr>
      <xdr:spPr>
        <a:xfrm>
          <a:off x="96583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56</xdr:row>
      <xdr:rowOff>0</xdr:rowOff>
    </xdr:from>
    <xdr:to>
      <xdr:col>43</xdr:col>
      <xdr:colOff>190500</xdr:colOff>
      <xdr:row>57</xdr:row>
      <xdr:rowOff>114299</xdr:rowOff>
    </xdr:to>
    <xdr:sp macro="" textlink="">
      <xdr:nvSpPr>
        <xdr:cNvPr id="720" name="Minus 382">
          <a:extLst>
            <a:ext uri="{FF2B5EF4-FFF2-40B4-BE49-F238E27FC236}">
              <a16:creationId xmlns:a16="http://schemas.microsoft.com/office/drawing/2014/main" id="{788CAC5A-06BA-44BA-8D0E-5A6BDDCB337E}"/>
            </a:ext>
          </a:extLst>
        </xdr:cNvPr>
        <xdr:cNvSpPr/>
      </xdr:nvSpPr>
      <xdr:spPr>
        <a:xfrm>
          <a:off x="106489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190500</xdr:colOff>
      <xdr:row>67</xdr:row>
      <xdr:rowOff>114299</xdr:rowOff>
    </xdr:to>
    <xdr:sp macro="" textlink="">
      <xdr:nvSpPr>
        <xdr:cNvPr id="721" name="Minus 382">
          <a:extLst>
            <a:ext uri="{FF2B5EF4-FFF2-40B4-BE49-F238E27FC236}">
              <a16:creationId xmlns:a16="http://schemas.microsoft.com/office/drawing/2014/main" id="{882FB648-67FA-4F8A-A0E1-C74997B53683}"/>
            </a:ext>
          </a:extLst>
        </xdr:cNvPr>
        <xdr:cNvSpPr/>
      </xdr:nvSpPr>
      <xdr:spPr>
        <a:xfrm>
          <a:off x="7429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190500</xdr:colOff>
      <xdr:row>67</xdr:row>
      <xdr:rowOff>114299</xdr:rowOff>
    </xdr:to>
    <xdr:sp macro="" textlink="">
      <xdr:nvSpPr>
        <xdr:cNvPr id="722" name="Minus 382">
          <a:extLst>
            <a:ext uri="{FF2B5EF4-FFF2-40B4-BE49-F238E27FC236}">
              <a16:creationId xmlns:a16="http://schemas.microsoft.com/office/drawing/2014/main" id="{CE8ACBD6-375B-4072-892C-2B20686C5541}"/>
            </a:ext>
          </a:extLst>
        </xdr:cNvPr>
        <xdr:cNvSpPr/>
      </xdr:nvSpPr>
      <xdr:spPr>
        <a:xfrm>
          <a:off x="17335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66</xdr:row>
      <xdr:rowOff>0</xdr:rowOff>
    </xdr:from>
    <xdr:to>
      <xdr:col>11</xdr:col>
      <xdr:colOff>190500</xdr:colOff>
      <xdr:row>67</xdr:row>
      <xdr:rowOff>114299</xdr:rowOff>
    </xdr:to>
    <xdr:sp macro="" textlink="">
      <xdr:nvSpPr>
        <xdr:cNvPr id="723" name="Minus 382">
          <a:extLst>
            <a:ext uri="{FF2B5EF4-FFF2-40B4-BE49-F238E27FC236}">
              <a16:creationId xmlns:a16="http://schemas.microsoft.com/office/drawing/2014/main" id="{7E543F26-C553-41D3-9751-48AEEA95543F}"/>
            </a:ext>
          </a:extLst>
        </xdr:cNvPr>
        <xdr:cNvSpPr/>
      </xdr:nvSpPr>
      <xdr:spPr>
        <a:xfrm>
          <a:off x="27241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66</xdr:row>
      <xdr:rowOff>0</xdr:rowOff>
    </xdr:from>
    <xdr:to>
      <xdr:col>15</xdr:col>
      <xdr:colOff>190500</xdr:colOff>
      <xdr:row>67</xdr:row>
      <xdr:rowOff>114299</xdr:rowOff>
    </xdr:to>
    <xdr:sp macro="" textlink="">
      <xdr:nvSpPr>
        <xdr:cNvPr id="724" name="Minus 382">
          <a:extLst>
            <a:ext uri="{FF2B5EF4-FFF2-40B4-BE49-F238E27FC236}">
              <a16:creationId xmlns:a16="http://schemas.microsoft.com/office/drawing/2014/main" id="{6D88E09A-55DA-4F9A-AB88-6FBAEB5F81FE}"/>
            </a:ext>
          </a:extLst>
        </xdr:cNvPr>
        <xdr:cNvSpPr/>
      </xdr:nvSpPr>
      <xdr:spPr>
        <a:xfrm>
          <a:off x="37147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19</xdr:col>
      <xdr:colOff>190500</xdr:colOff>
      <xdr:row>67</xdr:row>
      <xdr:rowOff>114299</xdr:rowOff>
    </xdr:to>
    <xdr:sp macro="" textlink="">
      <xdr:nvSpPr>
        <xdr:cNvPr id="725" name="Minus 382">
          <a:extLst>
            <a:ext uri="{FF2B5EF4-FFF2-40B4-BE49-F238E27FC236}">
              <a16:creationId xmlns:a16="http://schemas.microsoft.com/office/drawing/2014/main" id="{DCE386C9-C4F4-499E-A78A-CEE27F1DE9EB}"/>
            </a:ext>
          </a:extLst>
        </xdr:cNvPr>
        <xdr:cNvSpPr/>
      </xdr:nvSpPr>
      <xdr:spPr>
        <a:xfrm>
          <a:off x="47053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66</xdr:row>
      <xdr:rowOff>0</xdr:rowOff>
    </xdr:from>
    <xdr:to>
      <xdr:col>23</xdr:col>
      <xdr:colOff>190500</xdr:colOff>
      <xdr:row>67</xdr:row>
      <xdr:rowOff>114299</xdr:rowOff>
    </xdr:to>
    <xdr:sp macro="" textlink="">
      <xdr:nvSpPr>
        <xdr:cNvPr id="726" name="Minus 382">
          <a:extLst>
            <a:ext uri="{FF2B5EF4-FFF2-40B4-BE49-F238E27FC236}">
              <a16:creationId xmlns:a16="http://schemas.microsoft.com/office/drawing/2014/main" id="{48586039-B4E7-40BB-8EB6-62388CB55F6B}"/>
            </a:ext>
          </a:extLst>
        </xdr:cNvPr>
        <xdr:cNvSpPr/>
      </xdr:nvSpPr>
      <xdr:spPr>
        <a:xfrm>
          <a:off x="56959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66</xdr:row>
      <xdr:rowOff>0</xdr:rowOff>
    </xdr:from>
    <xdr:to>
      <xdr:col>27</xdr:col>
      <xdr:colOff>190500</xdr:colOff>
      <xdr:row>67</xdr:row>
      <xdr:rowOff>114299</xdr:rowOff>
    </xdr:to>
    <xdr:sp macro="" textlink="">
      <xdr:nvSpPr>
        <xdr:cNvPr id="727" name="Minus 382">
          <a:extLst>
            <a:ext uri="{FF2B5EF4-FFF2-40B4-BE49-F238E27FC236}">
              <a16:creationId xmlns:a16="http://schemas.microsoft.com/office/drawing/2014/main" id="{32031BC3-16DD-49F1-8FF9-3F89884B84CB}"/>
            </a:ext>
          </a:extLst>
        </xdr:cNvPr>
        <xdr:cNvSpPr/>
      </xdr:nvSpPr>
      <xdr:spPr>
        <a:xfrm>
          <a:off x="66865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31</xdr:col>
      <xdr:colOff>190500</xdr:colOff>
      <xdr:row>67</xdr:row>
      <xdr:rowOff>114299</xdr:rowOff>
    </xdr:to>
    <xdr:sp macro="" textlink="">
      <xdr:nvSpPr>
        <xdr:cNvPr id="728" name="Minus 382">
          <a:extLst>
            <a:ext uri="{FF2B5EF4-FFF2-40B4-BE49-F238E27FC236}">
              <a16:creationId xmlns:a16="http://schemas.microsoft.com/office/drawing/2014/main" id="{D3BDE620-0CB7-4759-AA95-BA7333FF31D8}"/>
            </a:ext>
          </a:extLst>
        </xdr:cNvPr>
        <xdr:cNvSpPr/>
      </xdr:nvSpPr>
      <xdr:spPr>
        <a:xfrm>
          <a:off x="76771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66</xdr:row>
      <xdr:rowOff>0</xdr:rowOff>
    </xdr:from>
    <xdr:to>
      <xdr:col>35</xdr:col>
      <xdr:colOff>190500</xdr:colOff>
      <xdr:row>67</xdr:row>
      <xdr:rowOff>114299</xdr:rowOff>
    </xdr:to>
    <xdr:sp macro="" textlink="">
      <xdr:nvSpPr>
        <xdr:cNvPr id="729" name="Minus 382">
          <a:extLst>
            <a:ext uri="{FF2B5EF4-FFF2-40B4-BE49-F238E27FC236}">
              <a16:creationId xmlns:a16="http://schemas.microsoft.com/office/drawing/2014/main" id="{D6AF4597-1899-4CA8-8D5A-5B77EF1BF9B6}"/>
            </a:ext>
          </a:extLst>
        </xdr:cNvPr>
        <xdr:cNvSpPr/>
      </xdr:nvSpPr>
      <xdr:spPr>
        <a:xfrm>
          <a:off x="86677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66</xdr:row>
      <xdr:rowOff>0</xdr:rowOff>
    </xdr:from>
    <xdr:to>
      <xdr:col>39</xdr:col>
      <xdr:colOff>190500</xdr:colOff>
      <xdr:row>67</xdr:row>
      <xdr:rowOff>114299</xdr:rowOff>
    </xdr:to>
    <xdr:sp macro="" textlink="">
      <xdr:nvSpPr>
        <xdr:cNvPr id="730" name="Minus 382">
          <a:extLst>
            <a:ext uri="{FF2B5EF4-FFF2-40B4-BE49-F238E27FC236}">
              <a16:creationId xmlns:a16="http://schemas.microsoft.com/office/drawing/2014/main" id="{962ADFAC-FB3B-4DDD-B972-B49996EE45C1}"/>
            </a:ext>
          </a:extLst>
        </xdr:cNvPr>
        <xdr:cNvSpPr/>
      </xdr:nvSpPr>
      <xdr:spPr>
        <a:xfrm>
          <a:off x="96583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66</xdr:row>
      <xdr:rowOff>0</xdr:rowOff>
    </xdr:from>
    <xdr:to>
      <xdr:col>43</xdr:col>
      <xdr:colOff>190500</xdr:colOff>
      <xdr:row>67</xdr:row>
      <xdr:rowOff>114299</xdr:rowOff>
    </xdr:to>
    <xdr:sp macro="" textlink="">
      <xdr:nvSpPr>
        <xdr:cNvPr id="731" name="Minus 382">
          <a:extLst>
            <a:ext uri="{FF2B5EF4-FFF2-40B4-BE49-F238E27FC236}">
              <a16:creationId xmlns:a16="http://schemas.microsoft.com/office/drawing/2014/main" id="{E98689BA-2217-4CBB-A040-42A58EB65DC7}"/>
            </a:ext>
          </a:extLst>
        </xdr:cNvPr>
        <xdr:cNvSpPr/>
      </xdr:nvSpPr>
      <xdr:spPr>
        <a:xfrm>
          <a:off x="106489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76</xdr:row>
      <xdr:rowOff>0</xdr:rowOff>
    </xdr:from>
    <xdr:to>
      <xdr:col>3</xdr:col>
      <xdr:colOff>190500</xdr:colOff>
      <xdr:row>77</xdr:row>
      <xdr:rowOff>114299</xdr:rowOff>
    </xdr:to>
    <xdr:sp macro="" textlink="">
      <xdr:nvSpPr>
        <xdr:cNvPr id="732" name="Minus 382">
          <a:extLst>
            <a:ext uri="{FF2B5EF4-FFF2-40B4-BE49-F238E27FC236}">
              <a16:creationId xmlns:a16="http://schemas.microsoft.com/office/drawing/2014/main" id="{508B75AD-F19E-43CA-89BB-2B1DF23FBE73}"/>
            </a:ext>
          </a:extLst>
        </xdr:cNvPr>
        <xdr:cNvSpPr/>
      </xdr:nvSpPr>
      <xdr:spPr>
        <a:xfrm>
          <a:off x="7429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76</xdr:row>
      <xdr:rowOff>0</xdr:rowOff>
    </xdr:from>
    <xdr:to>
      <xdr:col>7</xdr:col>
      <xdr:colOff>190500</xdr:colOff>
      <xdr:row>77</xdr:row>
      <xdr:rowOff>114299</xdr:rowOff>
    </xdr:to>
    <xdr:sp macro="" textlink="">
      <xdr:nvSpPr>
        <xdr:cNvPr id="733" name="Minus 382">
          <a:extLst>
            <a:ext uri="{FF2B5EF4-FFF2-40B4-BE49-F238E27FC236}">
              <a16:creationId xmlns:a16="http://schemas.microsoft.com/office/drawing/2014/main" id="{362F6CF2-2001-4671-90B1-42C72028F0EB}"/>
            </a:ext>
          </a:extLst>
        </xdr:cNvPr>
        <xdr:cNvSpPr/>
      </xdr:nvSpPr>
      <xdr:spPr>
        <a:xfrm>
          <a:off x="17335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76</xdr:row>
      <xdr:rowOff>0</xdr:rowOff>
    </xdr:from>
    <xdr:to>
      <xdr:col>11</xdr:col>
      <xdr:colOff>190500</xdr:colOff>
      <xdr:row>77</xdr:row>
      <xdr:rowOff>114299</xdr:rowOff>
    </xdr:to>
    <xdr:sp macro="" textlink="">
      <xdr:nvSpPr>
        <xdr:cNvPr id="734" name="Minus 382">
          <a:extLst>
            <a:ext uri="{FF2B5EF4-FFF2-40B4-BE49-F238E27FC236}">
              <a16:creationId xmlns:a16="http://schemas.microsoft.com/office/drawing/2014/main" id="{52D09879-3B7B-40AA-876D-365A477E190B}"/>
            </a:ext>
          </a:extLst>
        </xdr:cNvPr>
        <xdr:cNvSpPr/>
      </xdr:nvSpPr>
      <xdr:spPr>
        <a:xfrm>
          <a:off x="27241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76</xdr:row>
      <xdr:rowOff>0</xdr:rowOff>
    </xdr:from>
    <xdr:to>
      <xdr:col>15</xdr:col>
      <xdr:colOff>190500</xdr:colOff>
      <xdr:row>77</xdr:row>
      <xdr:rowOff>114299</xdr:rowOff>
    </xdr:to>
    <xdr:sp macro="" textlink="">
      <xdr:nvSpPr>
        <xdr:cNvPr id="735" name="Minus 382">
          <a:extLst>
            <a:ext uri="{FF2B5EF4-FFF2-40B4-BE49-F238E27FC236}">
              <a16:creationId xmlns:a16="http://schemas.microsoft.com/office/drawing/2014/main" id="{567CB61C-5FFA-4F64-B052-990074DC0FE3}"/>
            </a:ext>
          </a:extLst>
        </xdr:cNvPr>
        <xdr:cNvSpPr/>
      </xdr:nvSpPr>
      <xdr:spPr>
        <a:xfrm>
          <a:off x="37147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76</xdr:row>
      <xdr:rowOff>0</xdr:rowOff>
    </xdr:from>
    <xdr:to>
      <xdr:col>19</xdr:col>
      <xdr:colOff>190500</xdr:colOff>
      <xdr:row>77</xdr:row>
      <xdr:rowOff>114299</xdr:rowOff>
    </xdr:to>
    <xdr:sp macro="" textlink="">
      <xdr:nvSpPr>
        <xdr:cNvPr id="736" name="Minus 382">
          <a:extLst>
            <a:ext uri="{FF2B5EF4-FFF2-40B4-BE49-F238E27FC236}">
              <a16:creationId xmlns:a16="http://schemas.microsoft.com/office/drawing/2014/main" id="{B00DE2A4-892B-4A77-A2BC-A688BAE40901}"/>
            </a:ext>
          </a:extLst>
        </xdr:cNvPr>
        <xdr:cNvSpPr/>
      </xdr:nvSpPr>
      <xdr:spPr>
        <a:xfrm>
          <a:off x="47053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76</xdr:row>
      <xdr:rowOff>0</xdr:rowOff>
    </xdr:from>
    <xdr:to>
      <xdr:col>23</xdr:col>
      <xdr:colOff>190500</xdr:colOff>
      <xdr:row>77</xdr:row>
      <xdr:rowOff>114299</xdr:rowOff>
    </xdr:to>
    <xdr:sp macro="" textlink="">
      <xdr:nvSpPr>
        <xdr:cNvPr id="737" name="Minus 382">
          <a:extLst>
            <a:ext uri="{FF2B5EF4-FFF2-40B4-BE49-F238E27FC236}">
              <a16:creationId xmlns:a16="http://schemas.microsoft.com/office/drawing/2014/main" id="{1B485AC5-1578-4156-91E9-990AAFA46173}"/>
            </a:ext>
          </a:extLst>
        </xdr:cNvPr>
        <xdr:cNvSpPr/>
      </xdr:nvSpPr>
      <xdr:spPr>
        <a:xfrm>
          <a:off x="56959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76</xdr:row>
      <xdr:rowOff>0</xdr:rowOff>
    </xdr:from>
    <xdr:to>
      <xdr:col>27</xdr:col>
      <xdr:colOff>190500</xdr:colOff>
      <xdr:row>77</xdr:row>
      <xdr:rowOff>114299</xdr:rowOff>
    </xdr:to>
    <xdr:sp macro="" textlink="">
      <xdr:nvSpPr>
        <xdr:cNvPr id="738" name="Minus 382">
          <a:extLst>
            <a:ext uri="{FF2B5EF4-FFF2-40B4-BE49-F238E27FC236}">
              <a16:creationId xmlns:a16="http://schemas.microsoft.com/office/drawing/2014/main" id="{F0B15563-5529-4763-BA25-BD8354523F92}"/>
            </a:ext>
          </a:extLst>
        </xdr:cNvPr>
        <xdr:cNvSpPr/>
      </xdr:nvSpPr>
      <xdr:spPr>
        <a:xfrm>
          <a:off x="66865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76</xdr:row>
      <xdr:rowOff>0</xdr:rowOff>
    </xdr:from>
    <xdr:to>
      <xdr:col>31</xdr:col>
      <xdr:colOff>190500</xdr:colOff>
      <xdr:row>77</xdr:row>
      <xdr:rowOff>114299</xdr:rowOff>
    </xdr:to>
    <xdr:sp macro="" textlink="">
      <xdr:nvSpPr>
        <xdr:cNvPr id="739" name="Minus 382">
          <a:extLst>
            <a:ext uri="{FF2B5EF4-FFF2-40B4-BE49-F238E27FC236}">
              <a16:creationId xmlns:a16="http://schemas.microsoft.com/office/drawing/2014/main" id="{FDAD79B8-D1FA-4D90-8CAA-BD8B064BE78A}"/>
            </a:ext>
          </a:extLst>
        </xdr:cNvPr>
        <xdr:cNvSpPr/>
      </xdr:nvSpPr>
      <xdr:spPr>
        <a:xfrm>
          <a:off x="76771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76</xdr:row>
      <xdr:rowOff>0</xdr:rowOff>
    </xdr:from>
    <xdr:to>
      <xdr:col>35</xdr:col>
      <xdr:colOff>190500</xdr:colOff>
      <xdr:row>77</xdr:row>
      <xdr:rowOff>114299</xdr:rowOff>
    </xdr:to>
    <xdr:sp macro="" textlink="">
      <xdr:nvSpPr>
        <xdr:cNvPr id="740" name="Minus 382">
          <a:extLst>
            <a:ext uri="{FF2B5EF4-FFF2-40B4-BE49-F238E27FC236}">
              <a16:creationId xmlns:a16="http://schemas.microsoft.com/office/drawing/2014/main" id="{B48F64E6-ACA9-4199-89EB-005AB42343E3}"/>
            </a:ext>
          </a:extLst>
        </xdr:cNvPr>
        <xdr:cNvSpPr/>
      </xdr:nvSpPr>
      <xdr:spPr>
        <a:xfrm>
          <a:off x="86677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76</xdr:row>
      <xdr:rowOff>0</xdr:rowOff>
    </xdr:from>
    <xdr:to>
      <xdr:col>39</xdr:col>
      <xdr:colOff>190500</xdr:colOff>
      <xdr:row>77</xdr:row>
      <xdr:rowOff>114299</xdr:rowOff>
    </xdr:to>
    <xdr:sp macro="" textlink="">
      <xdr:nvSpPr>
        <xdr:cNvPr id="741" name="Minus 382">
          <a:extLst>
            <a:ext uri="{FF2B5EF4-FFF2-40B4-BE49-F238E27FC236}">
              <a16:creationId xmlns:a16="http://schemas.microsoft.com/office/drawing/2014/main" id="{2A08B219-E191-494F-A614-29E3780FE9B5}"/>
            </a:ext>
          </a:extLst>
        </xdr:cNvPr>
        <xdr:cNvSpPr/>
      </xdr:nvSpPr>
      <xdr:spPr>
        <a:xfrm>
          <a:off x="96583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76</xdr:row>
      <xdr:rowOff>0</xdr:rowOff>
    </xdr:from>
    <xdr:to>
      <xdr:col>43</xdr:col>
      <xdr:colOff>190500</xdr:colOff>
      <xdr:row>77</xdr:row>
      <xdr:rowOff>114299</xdr:rowOff>
    </xdr:to>
    <xdr:sp macro="" textlink="">
      <xdr:nvSpPr>
        <xdr:cNvPr id="742" name="Minus 382">
          <a:extLst>
            <a:ext uri="{FF2B5EF4-FFF2-40B4-BE49-F238E27FC236}">
              <a16:creationId xmlns:a16="http://schemas.microsoft.com/office/drawing/2014/main" id="{E35B6CC3-220C-48BD-B3EF-BB96056EFD05}"/>
            </a:ext>
          </a:extLst>
        </xdr:cNvPr>
        <xdr:cNvSpPr/>
      </xdr:nvSpPr>
      <xdr:spPr>
        <a:xfrm>
          <a:off x="106489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86</xdr:row>
      <xdr:rowOff>0</xdr:rowOff>
    </xdr:from>
    <xdr:to>
      <xdr:col>3</xdr:col>
      <xdr:colOff>190500</xdr:colOff>
      <xdr:row>87</xdr:row>
      <xdr:rowOff>114299</xdr:rowOff>
    </xdr:to>
    <xdr:sp macro="" textlink="">
      <xdr:nvSpPr>
        <xdr:cNvPr id="743" name="Minus 382">
          <a:extLst>
            <a:ext uri="{FF2B5EF4-FFF2-40B4-BE49-F238E27FC236}">
              <a16:creationId xmlns:a16="http://schemas.microsoft.com/office/drawing/2014/main" id="{91F2CFB7-4C7D-4C3F-B8B3-27D9C7C2E74B}"/>
            </a:ext>
          </a:extLst>
        </xdr:cNvPr>
        <xdr:cNvSpPr/>
      </xdr:nvSpPr>
      <xdr:spPr>
        <a:xfrm>
          <a:off x="742950" y="163068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86</xdr:row>
      <xdr:rowOff>0</xdr:rowOff>
    </xdr:from>
    <xdr:to>
      <xdr:col>7</xdr:col>
      <xdr:colOff>190500</xdr:colOff>
      <xdr:row>87</xdr:row>
      <xdr:rowOff>114299</xdr:rowOff>
    </xdr:to>
    <xdr:sp macro="" textlink="">
      <xdr:nvSpPr>
        <xdr:cNvPr id="744" name="Minus 382">
          <a:extLst>
            <a:ext uri="{FF2B5EF4-FFF2-40B4-BE49-F238E27FC236}">
              <a16:creationId xmlns:a16="http://schemas.microsoft.com/office/drawing/2014/main" id="{DA7BA7BE-1F9B-4A7E-B81A-A97EA0172392}"/>
            </a:ext>
          </a:extLst>
        </xdr:cNvPr>
        <xdr:cNvSpPr/>
      </xdr:nvSpPr>
      <xdr:spPr>
        <a:xfrm>
          <a:off x="1733550" y="163068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86</xdr:row>
      <xdr:rowOff>0</xdr:rowOff>
    </xdr:from>
    <xdr:to>
      <xdr:col>11</xdr:col>
      <xdr:colOff>190500</xdr:colOff>
      <xdr:row>87</xdr:row>
      <xdr:rowOff>114299</xdr:rowOff>
    </xdr:to>
    <xdr:sp macro="" textlink="">
      <xdr:nvSpPr>
        <xdr:cNvPr id="745" name="Minus 382">
          <a:extLst>
            <a:ext uri="{FF2B5EF4-FFF2-40B4-BE49-F238E27FC236}">
              <a16:creationId xmlns:a16="http://schemas.microsoft.com/office/drawing/2014/main" id="{6805E81F-43AF-4AEE-BD59-9785C80BE373}"/>
            </a:ext>
          </a:extLst>
        </xdr:cNvPr>
        <xdr:cNvSpPr/>
      </xdr:nvSpPr>
      <xdr:spPr>
        <a:xfrm>
          <a:off x="2724150" y="163068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86</xdr:row>
      <xdr:rowOff>0</xdr:rowOff>
    </xdr:from>
    <xdr:to>
      <xdr:col>15</xdr:col>
      <xdr:colOff>190500</xdr:colOff>
      <xdr:row>87</xdr:row>
      <xdr:rowOff>114299</xdr:rowOff>
    </xdr:to>
    <xdr:sp macro="" textlink="">
      <xdr:nvSpPr>
        <xdr:cNvPr id="746" name="Minus 382">
          <a:extLst>
            <a:ext uri="{FF2B5EF4-FFF2-40B4-BE49-F238E27FC236}">
              <a16:creationId xmlns:a16="http://schemas.microsoft.com/office/drawing/2014/main" id="{4F67BB91-9012-49ED-8A2D-293AC916D79D}"/>
            </a:ext>
          </a:extLst>
        </xdr:cNvPr>
        <xdr:cNvSpPr/>
      </xdr:nvSpPr>
      <xdr:spPr>
        <a:xfrm>
          <a:off x="37147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86</xdr:row>
      <xdr:rowOff>0</xdr:rowOff>
    </xdr:from>
    <xdr:to>
      <xdr:col>19</xdr:col>
      <xdr:colOff>190500</xdr:colOff>
      <xdr:row>87</xdr:row>
      <xdr:rowOff>114299</xdr:rowOff>
    </xdr:to>
    <xdr:sp macro="" textlink="">
      <xdr:nvSpPr>
        <xdr:cNvPr id="747" name="Minus 382">
          <a:extLst>
            <a:ext uri="{FF2B5EF4-FFF2-40B4-BE49-F238E27FC236}">
              <a16:creationId xmlns:a16="http://schemas.microsoft.com/office/drawing/2014/main" id="{E24876E2-624F-4E2C-8386-1E0161E4BDDB}"/>
            </a:ext>
          </a:extLst>
        </xdr:cNvPr>
        <xdr:cNvSpPr/>
      </xdr:nvSpPr>
      <xdr:spPr>
        <a:xfrm>
          <a:off x="4705350" y="163068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86</xdr:row>
      <xdr:rowOff>0</xdr:rowOff>
    </xdr:from>
    <xdr:to>
      <xdr:col>23</xdr:col>
      <xdr:colOff>190500</xdr:colOff>
      <xdr:row>87</xdr:row>
      <xdr:rowOff>114299</xdr:rowOff>
    </xdr:to>
    <xdr:sp macro="" textlink="">
      <xdr:nvSpPr>
        <xdr:cNvPr id="748" name="Minus 382">
          <a:extLst>
            <a:ext uri="{FF2B5EF4-FFF2-40B4-BE49-F238E27FC236}">
              <a16:creationId xmlns:a16="http://schemas.microsoft.com/office/drawing/2014/main" id="{9DEB39C0-21D4-4FE3-BD70-8CAB86A17333}"/>
            </a:ext>
          </a:extLst>
        </xdr:cNvPr>
        <xdr:cNvSpPr/>
      </xdr:nvSpPr>
      <xdr:spPr>
        <a:xfrm>
          <a:off x="56959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86</xdr:row>
      <xdr:rowOff>0</xdr:rowOff>
    </xdr:from>
    <xdr:to>
      <xdr:col>27</xdr:col>
      <xdr:colOff>190500</xdr:colOff>
      <xdr:row>87</xdr:row>
      <xdr:rowOff>114299</xdr:rowOff>
    </xdr:to>
    <xdr:sp macro="" textlink="">
      <xdr:nvSpPr>
        <xdr:cNvPr id="749" name="Minus 382">
          <a:extLst>
            <a:ext uri="{FF2B5EF4-FFF2-40B4-BE49-F238E27FC236}">
              <a16:creationId xmlns:a16="http://schemas.microsoft.com/office/drawing/2014/main" id="{DBDE2BBD-01F1-466C-A1B8-66C4440A30AC}"/>
            </a:ext>
          </a:extLst>
        </xdr:cNvPr>
        <xdr:cNvSpPr/>
      </xdr:nvSpPr>
      <xdr:spPr>
        <a:xfrm>
          <a:off x="66865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86</xdr:row>
      <xdr:rowOff>0</xdr:rowOff>
    </xdr:from>
    <xdr:to>
      <xdr:col>31</xdr:col>
      <xdr:colOff>190500</xdr:colOff>
      <xdr:row>87</xdr:row>
      <xdr:rowOff>114299</xdr:rowOff>
    </xdr:to>
    <xdr:sp macro="" textlink="">
      <xdr:nvSpPr>
        <xdr:cNvPr id="750" name="Minus 382">
          <a:extLst>
            <a:ext uri="{FF2B5EF4-FFF2-40B4-BE49-F238E27FC236}">
              <a16:creationId xmlns:a16="http://schemas.microsoft.com/office/drawing/2014/main" id="{B31FC6B2-E10F-4D2F-8AC6-0C33DE0643C6}"/>
            </a:ext>
          </a:extLst>
        </xdr:cNvPr>
        <xdr:cNvSpPr/>
      </xdr:nvSpPr>
      <xdr:spPr>
        <a:xfrm>
          <a:off x="76771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86</xdr:row>
      <xdr:rowOff>0</xdr:rowOff>
    </xdr:from>
    <xdr:to>
      <xdr:col>35</xdr:col>
      <xdr:colOff>190500</xdr:colOff>
      <xdr:row>87</xdr:row>
      <xdr:rowOff>114299</xdr:rowOff>
    </xdr:to>
    <xdr:sp macro="" textlink="">
      <xdr:nvSpPr>
        <xdr:cNvPr id="751" name="Minus 382">
          <a:extLst>
            <a:ext uri="{FF2B5EF4-FFF2-40B4-BE49-F238E27FC236}">
              <a16:creationId xmlns:a16="http://schemas.microsoft.com/office/drawing/2014/main" id="{5D8A0684-489E-42D8-939E-17A5BA5C6DB6}"/>
            </a:ext>
          </a:extLst>
        </xdr:cNvPr>
        <xdr:cNvSpPr/>
      </xdr:nvSpPr>
      <xdr:spPr>
        <a:xfrm>
          <a:off x="86677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86</xdr:row>
      <xdr:rowOff>0</xdr:rowOff>
    </xdr:from>
    <xdr:to>
      <xdr:col>39</xdr:col>
      <xdr:colOff>190500</xdr:colOff>
      <xdr:row>87</xdr:row>
      <xdr:rowOff>114299</xdr:rowOff>
    </xdr:to>
    <xdr:sp macro="" textlink="">
      <xdr:nvSpPr>
        <xdr:cNvPr id="752" name="Minus 382">
          <a:extLst>
            <a:ext uri="{FF2B5EF4-FFF2-40B4-BE49-F238E27FC236}">
              <a16:creationId xmlns:a16="http://schemas.microsoft.com/office/drawing/2014/main" id="{CE5EBEA1-B95B-45FF-96E9-1A8E79467957}"/>
            </a:ext>
          </a:extLst>
        </xdr:cNvPr>
        <xdr:cNvSpPr/>
      </xdr:nvSpPr>
      <xdr:spPr>
        <a:xfrm>
          <a:off x="96583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86</xdr:row>
      <xdr:rowOff>0</xdr:rowOff>
    </xdr:from>
    <xdr:to>
      <xdr:col>43</xdr:col>
      <xdr:colOff>190500</xdr:colOff>
      <xdr:row>87</xdr:row>
      <xdr:rowOff>114299</xdr:rowOff>
    </xdr:to>
    <xdr:sp macro="" textlink="">
      <xdr:nvSpPr>
        <xdr:cNvPr id="753" name="Minus 382">
          <a:extLst>
            <a:ext uri="{FF2B5EF4-FFF2-40B4-BE49-F238E27FC236}">
              <a16:creationId xmlns:a16="http://schemas.microsoft.com/office/drawing/2014/main" id="{0E84CA6F-D080-453B-865F-9194A2AF14DB}"/>
            </a:ext>
          </a:extLst>
        </xdr:cNvPr>
        <xdr:cNvSpPr/>
      </xdr:nvSpPr>
      <xdr:spPr>
        <a:xfrm>
          <a:off x="106489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96</xdr:row>
      <xdr:rowOff>0</xdr:rowOff>
    </xdr:from>
    <xdr:to>
      <xdr:col>43</xdr:col>
      <xdr:colOff>190500</xdr:colOff>
      <xdr:row>97</xdr:row>
      <xdr:rowOff>114299</xdr:rowOff>
    </xdr:to>
    <xdr:sp macro="" textlink="">
      <xdr:nvSpPr>
        <xdr:cNvPr id="754" name="Minus 382">
          <a:extLst>
            <a:ext uri="{FF2B5EF4-FFF2-40B4-BE49-F238E27FC236}">
              <a16:creationId xmlns:a16="http://schemas.microsoft.com/office/drawing/2014/main" id="{FBD50F1E-5E6A-48E4-9BED-3C344428D943}"/>
            </a:ext>
          </a:extLst>
        </xdr:cNvPr>
        <xdr:cNvSpPr/>
      </xdr:nvSpPr>
      <xdr:spPr>
        <a:xfrm>
          <a:off x="106489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96</xdr:row>
      <xdr:rowOff>0</xdr:rowOff>
    </xdr:from>
    <xdr:to>
      <xdr:col>3</xdr:col>
      <xdr:colOff>190500</xdr:colOff>
      <xdr:row>97</xdr:row>
      <xdr:rowOff>114299</xdr:rowOff>
    </xdr:to>
    <xdr:sp macro="" textlink="">
      <xdr:nvSpPr>
        <xdr:cNvPr id="755" name="Minus 382">
          <a:extLst>
            <a:ext uri="{FF2B5EF4-FFF2-40B4-BE49-F238E27FC236}">
              <a16:creationId xmlns:a16="http://schemas.microsoft.com/office/drawing/2014/main" id="{61BD66A3-3E04-4EEF-A290-D9049F134D67}"/>
            </a:ext>
          </a:extLst>
        </xdr:cNvPr>
        <xdr:cNvSpPr/>
      </xdr:nvSpPr>
      <xdr:spPr>
        <a:xfrm>
          <a:off x="7429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96</xdr:row>
      <xdr:rowOff>0</xdr:rowOff>
    </xdr:from>
    <xdr:to>
      <xdr:col>7</xdr:col>
      <xdr:colOff>190500</xdr:colOff>
      <xdr:row>97</xdr:row>
      <xdr:rowOff>114299</xdr:rowOff>
    </xdr:to>
    <xdr:sp macro="" textlink="">
      <xdr:nvSpPr>
        <xdr:cNvPr id="756" name="Minus 382">
          <a:extLst>
            <a:ext uri="{FF2B5EF4-FFF2-40B4-BE49-F238E27FC236}">
              <a16:creationId xmlns:a16="http://schemas.microsoft.com/office/drawing/2014/main" id="{E2DD6BE0-2E15-425A-9DDA-62D55AAB7943}"/>
            </a:ext>
          </a:extLst>
        </xdr:cNvPr>
        <xdr:cNvSpPr/>
      </xdr:nvSpPr>
      <xdr:spPr>
        <a:xfrm>
          <a:off x="17335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96</xdr:row>
      <xdr:rowOff>0</xdr:rowOff>
    </xdr:from>
    <xdr:to>
      <xdr:col>11</xdr:col>
      <xdr:colOff>190500</xdr:colOff>
      <xdr:row>97</xdr:row>
      <xdr:rowOff>114299</xdr:rowOff>
    </xdr:to>
    <xdr:sp macro="" textlink="">
      <xdr:nvSpPr>
        <xdr:cNvPr id="757" name="Minus 382">
          <a:extLst>
            <a:ext uri="{FF2B5EF4-FFF2-40B4-BE49-F238E27FC236}">
              <a16:creationId xmlns:a16="http://schemas.microsoft.com/office/drawing/2014/main" id="{31B6A84A-B023-46C4-9E3E-938F6EEA1157}"/>
            </a:ext>
          </a:extLst>
        </xdr:cNvPr>
        <xdr:cNvSpPr/>
      </xdr:nvSpPr>
      <xdr:spPr>
        <a:xfrm>
          <a:off x="27241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96</xdr:row>
      <xdr:rowOff>0</xdr:rowOff>
    </xdr:from>
    <xdr:to>
      <xdr:col>15</xdr:col>
      <xdr:colOff>190500</xdr:colOff>
      <xdr:row>97</xdr:row>
      <xdr:rowOff>114299</xdr:rowOff>
    </xdr:to>
    <xdr:sp macro="" textlink="">
      <xdr:nvSpPr>
        <xdr:cNvPr id="758" name="Minus 382">
          <a:extLst>
            <a:ext uri="{FF2B5EF4-FFF2-40B4-BE49-F238E27FC236}">
              <a16:creationId xmlns:a16="http://schemas.microsoft.com/office/drawing/2014/main" id="{CE952CB7-0C91-4822-A2BC-B0F85B0948C3}"/>
            </a:ext>
          </a:extLst>
        </xdr:cNvPr>
        <xdr:cNvSpPr/>
      </xdr:nvSpPr>
      <xdr:spPr>
        <a:xfrm>
          <a:off x="3714750" y="181546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96</xdr:row>
      <xdr:rowOff>0</xdr:rowOff>
    </xdr:from>
    <xdr:to>
      <xdr:col>19</xdr:col>
      <xdr:colOff>190500</xdr:colOff>
      <xdr:row>97</xdr:row>
      <xdr:rowOff>114299</xdr:rowOff>
    </xdr:to>
    <xdr:sp macro="" textlink="">
      <xdr:nvSpPr>
        <xdr:cNvPr id="759" name="Minus 382">
          <a:extLst>
            <a:ext uri="{FF2B5EF4-FFF2-40B4-BE49-F238E27FC236}">
              <a16:creationId xmlns:a16="http://schemas.microsoft.com/office/drawing/2014/main" id="{078B1AFB-419C-4B0C-BB5C-875303D21238}"/>
            </a:ext>
          </a:extLst>
        </xdr:cNvPr>
        <xdr:cNvSpPr/>
      </xdr:nvSpPr>
      <xdr:spPr>
        <a:xfrm>
          <a:off x="4705350" y="181546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96</xdr:row>
      <xdr:rowOff>0</xdr:rowOff>
    </xdr:from>
    <xdr:to>
      <xdr:col>23</xdr:col>
      <xdr:colOff>190500</xdr:colOff>
      <xdr:row>97</xdr:row>
      <xdr:rowOff>114299</xdr:rowOff>
    </xdr:to>
    <xdr:sp macro="" textlink="">
      <xdr:nvSpPr>
        <xdr:cNvPr id="760" name="Minus 382">
          <a:extLst>
            <a:ext uri="{FF2B5EF4-FFF2-40B4-BE49-F238E27FC236}">
              <a16:creationId xmlns:a16="http://schemas.microsoft.com/office/drawing/2014/main" id="{2FD43252-37E4-46BD-8129-0F43C9D0D8BB}"/>
            </a:ext>
          </a:extLst>
        </xdr:cNvPr>
        <xdr:cNvSpPr/>
      </xdr:nvSpPr>
      <xdr:spPr>
        <a:xfrm>
          <a:off x="5695950" y="181546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96</xdr:row>
      <xdr:rowOff>0</xdr:rowOff>
    </xdr:from>
    <xdr:to>
      <xdr:col>27</xdr:col>
      <xdr:colOff>190500</xdr:colOff>
      <xdr:row>97</xdr:row>
      <xdr:rowOff>114299</xdr:rowOff>
    </xdr:to>
    <xdr:sp macro="" textlink="">
      <xdr:nvSpPr>
        <xdr:cNvPr id="761" name="Minus 382">
          <a:extLst>
            <a:ext uri="{FF2B5EF4-FFF2-40B4-BE49-F238E27FC236}">
              <a16:creationId xmlns:a16="http://schemas.microsoft.com/office/drawing/2014/main" id="{F8F2CBCE-D2E6-449B-B5DA-B56B601A96F5}"/>
            </a:ext>
          </a:extLst>
        </xdr:cNvPr>
        <xdr:cNvSpPr/>
      </xdr:nvSpPr>
      <xdr:spPr>
        <a:xfrm>
          <a:off x="66865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96</xdr:row>
      <xdr:rowOff>0</xdr:rowOff>
    </xdr:from>
    <xdr:to>
      <xdr:col>31</xdr:col>
      <xdr:colOff>190500</xdr:colOff>
      <xdr:row>97</xdr:row>
      <xdr:rowOff>114299</xdr:rowOff>
    </xdr:to>
    <xdr:sp macro="" textlink="">
      <xdr:nvSpPr>
        <xdr:cNvPr id="762" name="Minus 382">
          <a:extLst>
            <a:ext uri="{FF2B5EF4-FFF2-40B4-BE49-F238E27FC236}">
              <a16:creationId xmlns:a16="http://schemas.microsoft.com/office/drawing/2014/main" id="{554393A0-BA24-44FD-9BFC-8346D8C6AC5D}"/>
            </a:ext>
          </a:extLst>
        </xdr:cNvPr>
        <xdr:cNvSpPr/>
      </xdr:nvSpPr>
      <xdr:spPr>
        <a:xfrm>
          <a:off x="76771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96</xdr:row>
      <xdr:rowOff>0</xdr:rowOff>
    </xdr:from>
    <xdr:to>
      <xdr:col>35</xdr:col>
      <xdr:colOff>190500</xdr:colOff>
      <xdr:row>97</xdr:row>
      <xdr:rowOff>114299</xdr:rowOff>
    </xdr:to>
    <xdr:sp macro="" textlink="">
      <xdr:nvSpPr>
        <xdr:cNvPr id="763" name="Minus 382">
          <a:extLst>
            <a:ext uri="{FF2B5EF4-FFF2-40B4-BE49-F238E27FC236}">
              <a16:creationId xmlns:a16="http://schemas.microsoft.com/office/drawing/2014/main" id="{CED2E7E8-3E40-47BC-9E41-EFE542F52841}"/>
            </a:ext>
          </a:extLst>
        </xdr:cNvPr>
        <xdr:cNvSpPr/>
      </xdr:nvSpPr>
      <xdr:spPr>
        <a:xfrm>
          <a:off x="86677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96</xdr:row>
      <xdr:rowOff>0</xdr:rowOff>
    </xdr:from>
    <xdr:to>
      <xdr:col>39</xdr:col>
      <xdr:colOff>190500</xdr:colOff>
      <xdr:row>97</xdr:row>
      <xdr:rowOff>114299</xdr:rowOff>
    </xdr:to>
    <xdr:sp macro="" textlink="">
      <xdr:nvSpPr>
        <xdr:cNvPr id="764" name="Minus 382">
          <a:extLst>
            <a:ext uri="{FF2B5EF4-FFF2-40B4-BE49-F238E27FC236}">
              <a16:creationId xmlns:a16="http://schemas.microsoft.com/office/drawing/2014/main" id="{F8F2824C-8EED-4681-A25E-393FEAD92281}"/>
            </a:ext>
          </a:extLst>
        </xdr:cNvPr>
        <xdr:cNvSpPr/>
      </xdr:nvSpPr>
      <xdr:spPr>
        <a:xfrm>
          <a:off x="96583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106</xdr:row>
      <xdr:rowOff>0</xdr:rowOff>
    </xdr:from>
    <xdr:to>
      <xdr:col>3</xdr:col>
      <xdr:colOff>190500</xdr:colOff>
      <xdr:row>107</xdr:row>
      <xdr:rowOff>114299</xdr:rowOff>
    </xdr:to>
    <xdr:sp macro="" textlink="">
      <xdr:nvSpPr>
        <xdr:cNvPr id="765" name="Minus 382">
          <a:extLst>
            <a:ext uri="{FF2B5EF4-FFF2-40B4-BE49-F238E27FC236}">
              <a16:creationId xmlns:a16="http://schemas.microsoft.com/office/drawing/2014/main" id="{FCF46C6E-51F7-4D57-AC69-F3E691BB6627}"/>
            </a:ext>
          </a:extLst>
        </xdr:cNvPr>
        <xdr:cNvSpPr/>
      </xdr:nvSpPr>
      <xdr:spPr>
        <a:xfrm>
          <a:off x="742950" y="200025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7</xdr:col>
      <xdr:colOff>190500</xdr:colOff>
      <xdr:row>107</xdr:row>
      <xdr:rowOff>114299</xdr:rowOff>
    </xdr:to>
    <xdr:sp macro="" textlink="">
      <xdr:nvSpPr>
        <xdr:cNvPr id="766" name="Minus 382">
          <a:extLst>
            <a:ext uri="{FF2B5EF4-FFF2-40B4-BE49-F238E27FC236}">
              <a16:creationId xmlns:a16="http://schemas.microsoft.com/office/drawing/2014/main" id="{760187F4-7B8C-4481-BA47-09C289CC7E32}"/>
            </a:ext>
          </a:extLst>
        </xdr:cNvPr>
        <xdr:cNvSpPr/>
      </xdr:nvSpPr>
      <xdr:spPr>
        <a:xfrm>
          <a:off x="17335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106</xdr:row>
      <xdr:rowOff>0</xdr:rowOff>
    </xdr:from>
    <xdr:to>
      <xdr:col>11</xdr:col>
      <xdr:colOff>190500</xdr:colOff>
      <xdr:row>107</xdr:row>
      <xdr:rowOff>114299</xdr:rowOff>
    </xdr:to>
    <xdr:sp macro="" textlink="">
      <xdr:nvSpPr>
        <xdr:cNvPr id="767" name="Minus 382">
          <a:extLst>
            <a:ext uri="{FF2B5EF4-FFF2-40B4-BE49-F238E27FC236}">
              <a16:creationId xmlns:a16="http://schemas.microsoft.com/office/drawing/2014/main" id="{9859E049-A6AD-4AAC-9AB2-D10807F9683B}"/>
            </a:ext>
          </a:extLst>
        </xdr:cNvPr>
        <xdr:cNvSpPr/>
      </xdr:nvSpPr>
      <xdr:spPr>
        <a:xfrm>
          <a:off x="2724150" y="200025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106</xdr:row>
      <xdr:rowOff>0</xdr:rowOff>
    </xdr:from>
    <xdr:to>
      <xdr:col>15</xdr:col>
      <xdr:colOff>190500</xdr:colOff>
      <xdr:row>107</xdr:row>
      <xdr:rowOff>114299</xdr:rowOff>
    </xdr:to>
    <xdr:sp macro="" textlink="">
      <xdr:nvSpPr>
        <xdr:cNvPr id="768" name="Minus 382">
          <a:extLst>
            <a:ext uri="{FF2B5EF4-FFF2-40B4-BE49-F238E27FC236}">
              <a16:creationId xmlns:a16="http://schemas.microsoft.com/office/drawing/2014/main" id="{14860407-128B-4AF7-A147-CC84EF457796}"/>
            </a:ext>
          </a:extLst>
        </xdr:cNvPr>
        <xdr:cNvSpPr/>
      </xdr:nvSpPr>
      <xdr:spPr>
        <a:xfrm>
          <a:off x="3714750" y="200025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19</xdr:col>
      <xdr:colOff>190500</xdr:colOff>
      <xdr:row>107</xdr:row>
      <xdr:rowOff>114299</xdr:rowOff>
    </xdr:to>
    <xdr:sp macro="" textlink="">
      <xdr:nvSpPr>
        <xdr:cNvPr id="769" name="Minus 382">
          <a:extLst>
            <a:ext uri="{FF2B5EF4-FFF2-40B4-BE49-F238E27FC236}">
              <a16:creationId xmlns:a16="http://schemas.microsoft.com/office/drawing/2014/main" id="{193FF684-3375-4C66-B775-66CB79D53A6F}"/>
            </a:ext>
          </a:extLst>
        </xdr:cNvPr>
        <xdr:cNvSpPr/>
      </xdr:nvSpPr>
      <xdr:spPr>
        <a:xfrm>
          <a:off x="4705350" y="200025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106</xdr:row>
      <xdr:rowOff>0</xdr:rowOff>
    </xdr:from>
    <xdr:to>
      <xdr:col>23</xdr:col>
      <xdr:colOff>190500</xdr:colOff>
      <xdr:row>107</xdr:row>
      <xdr:rowOff>114299</xdr:rowOff>
    </xdr:to>
    <xdr:sp macro="" textlink="">
      <xdr:nvSpPr>
        <xdr:cNvPr id="770" name="Minus 382">
          <a:extLst>
            <a:ext uri="{FF2B5EF4-FFF2-40B4-BE49-F238E27FC236}">
              <a16:creationId xmlns:a16="http://schemas.microsoft.com/office/drawing/2014/main" id="{C84FFE46-4717-4EF7-8866-191D6270FC18}"/>
            </a:ext>
          </a:extLst>
        </xdr:cNvPr>
        <xdr:cNvSpPr/>
      </xdr:nvSpPr>
      <xdr:spPr>
        <a:xfrm>
          <a:off x="56959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106</xdr:row>
      <xdr:rowOff>0</xdr:rowOff>
    </xdr:from>
    <xdr:to>
      <xdr:col>27</xdr:col>
      <xdr:colOff>190500</xdr:colOff>
      <xdr:row>107</xdr:row>
      <xdr:rowOff>114299</xdr:rowOff>
    </xdr:to>
    <xdr:sp macro="" textlink="">
      <xdr:nvSpPr>
        <xdr:cNvPr id="771" name="Minus 382">
          <a:extLst>
            <a:ext uri="{FF2B5EF4-FFF2-40B4-BE49-F238E27FC236}">
              <a16:creationId xmlns:a16="http://schemas.microsoft.com/office/drawing/2014/main" id="{24D82D10-6F18-4F43-9AC8-F31252E57130}"/>
            </a:ext>
          </a:extLst>
        </xdr:cNvPr>
        <xdr:cNvSpPr/>
      </xdr:nvSpPr>
      <xdr:spPr>
        <a:xfrm>
          <a:off x="66865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31</xdr:col>
      <xdr:colOff>190500</xdr:colOff>
      <xdr:row>107</xdr:row>
      <xdr:rowOff>114299</xdr:rowOff>
    </xdr:to>
    <xdr:sp macro="" textlink="">
      <xdr:nvSpPr>
        <xdr:cNvPr id="772" name="Minus 382">
          <a:extLst>
            <a:ext uri="{FF2B5EF4-FFF2-40B4-BE49-F238E27FC236}">
              <a16:creationId xmlns:a16="http://schemas.microsoft.com/office/drawing/2014/main" id="{0CBC188E-B638-4168-AFEB-EC26A19E93B3}"/>
            </a:ext>
          </a:extLst>
        </xdr:cNvPr>
        <xdr:cNvSpPr/>
      </xdr:nvSpPr>
      <xdr:spPr>
        <a:xfrm>
          <a:off x="76771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106</xdr:row>
      <xdr:rowOff>0</xdr:rowOff>
    </xdr:from>
    <xdr:to>
      <xdr:col>35</xdr:col>
      <xdr:colOff>190500</xdr:colOff>
      <xdr:row>107</xdr:row>
      <xdr:rowOff>114299</xdr:rowOff>
    </xdr:to>
    <xdr:sp macro="" textlink="">
      <xdr:nvSpPr>
        <xdr:cNvPr id="773" name="Minus 382">
          <a:extLst>
            <a:ext uri="{FF2B5EF4-FFF2-40B4-BE49-F238E27FC236}">
              <a16:creationId xmlns:a16="http://schemas.microsoft.com/office/drawing/2014/main" id="{5188819A-7116-49C3-860B-4769EA90B199}"/>
            </a:ext>
          </a:extLst>
        </xdr:cNvPr>
        <xdr:cNvSpPr/>
      </xdr:nvSpPr>
      <xdr:spPr>
        <a:xfrm>
          <a:off x="86677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106</xdr:row>
      <xdr:rowOff>0</xdr:rowOff>
    </xdr:from>
    <xdr:to>
      <xdr:col>39</xdr:col>
      <xdr:colOff>190500</xdr:colOff>
      <xdr:row>107</xdr:row>
      <xdr:rowOff>114299</xdr:rowOff>
    </xdr:to>
    <xdr:sp macro="" textlink="">
      <xdr:nvSpPr>
        <xdr:cNvPr id="774" name="Minus 382">
          <a:extLst>
            <a:ext uri="{FF2B5EF4-FFF2-40B4-BE49-F238E27FC236}">
              <a16:creationId xmlns:a16="http://schemas.microsoft.com/office/drawing/2014/main" id="{EB4F000A-65C0-4ECA-A1B8-422802C1C89E}"/>
            </a:ext>
          </a:extLst>
        </xdr:cNvPr>
        <xdr:cNvSpPr/>
      </xdr:nvSpPr>
      <xdr:spPr>
        <a:xfrm>
          <a:off x="96583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106</xdr:row>
      <xdr:rowOff>0</xdr:rowOff>
    </xdr:from>
    <xdr:to>
      <xdr:col>43</xdr:col>
      <xdr:colOff>190500</xdr:colOff>
      <xdr:row>107</xdr:row>
      <xdr:rowOff>114299</xdr:rowOff>
    </xdr:to>
    <xdr:sp macro="" textlink="">
      <xdr:nvSpPr>
        <xdr:cNvPr id="775" name="Minus 382">
          <a:extLst>
            <a:ext uri="{FF2B5EF4-FFF2-40B4-BE49-F238E27FC236}">
              <a16:creationId xmlns:a16="http://schemas.microsoft.com/office/drawing/2014/main" id="{DC5104E8-F5BB-4383-A02F-FA115EF70EB8}"/>
            </a:ext>
          </a:extLst>
        </xdr:cNvPr>
        <xdr:cNvSpPr/>
      </xdr:nvSpPr>
      <xdr:spPr>
        <a:xfrm>
          <a:off x="106489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116</xdr:row>
      <xdr:rowOff>0</xdr:rowOff>
    </xdr:from>
    <xdr:to>
      <xdr:col>3</xdr:col>
      <xdr:colOff>190500</xdr:colOff>
      <xdr:row>117</xdr:row>
      <xdr:rowOff>114299</xdr:rowOff>
    </xdr:to>
    <xdr:sp macro="" textlink="">
      <xdr:nvSpPr>
        <xdr:cNvPr id="776" name="Minus 382">
          <a:extLst>
            <a:ext uri="{FF2B5EF4-FFF2-40B4-BE49-F238E27FC236}">
              <a16:creationId xmlns:a16="http://schemas.microsoft.com/office/drawing/2014/main" id="{B931E236-5B10-40A5-9B31-1B84ABA56918}"/>
            </a:ext>
          </a:extLst>
        </xdr:cNvPr>
        <xdr:cNvSpPr/>
      </xdr:nvSpPr>
      <xdr:spPr>
        <a:xfrm>
          <a:off x="742950" y="218503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190500</xdr:colOff>
      <xdr:row>117</xdr:row>
      <xdr:rowOff>114299</xdr:rowOff>
    </xdr:to>
    <xdr:sp macro="" textlink="">
      <xdr:nvSpPr>
        <xdr:cNvPr id="777" name="Minus 382">
          <a:extLst>
            <a:ext uri="{FF2B5EF4-FFF2-40B4-BE49-F238E27FC236}">
              <a16:creationId xmlns:a16="http://schemas.microsoft.com/office/drawing/2014/main" id="{4432D266-837F-4BD1-9347-4B337F78E372}"/>
            </a:ext>
          </a:extLst>
        </xdr:cNvPr>
        <xdr:cNvSpPr/>
      </xdr:nvSpPr>
      <xdr:spPr>
        <a:xfrm>
          <a:off x="17335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116</xdr:row>
      <xdr:rowOff>0</xdr:rowOff>
    </xdr:from>
    <xdr:to>
      <xdr:col>11</xdr:col>
      <xdr:colOff>190500</xdr:colOff>
      <xdr:row>117</xdr:row>
      <xdr:rowOff>114299</xdr:rowOff>
    </xdr:to>
    <xdr:sp macro="" textlink="">
      <xdr:nvSpPr>
        <xdr:cNvPr id="778" name="Minus 382">
          <a:extLst>
            <a:ext uri="{FF2B5EF4-FFF2-40B4-BE49-F238E27FC236}">
              <a16:creationId xmlns:a16="http://schemas.microsoft.com/office/drawing/2014/main" id="{4A8156EC-D5A0-42DA-88D3-29BD1720C017}"/>
            </a:ext>
          </a:extLst>
        </xdr:cNvPr>
        <xdr:cNvSpPr/>
      </xdr:nvSpPr>
      <xdr:spPr>
        <a:xfrm>
          <a:off x="2724150" y="218503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116</xdr:row>
      <xdr:rowOff>0</xdr:rowOff>
    </xdr:from>
    <xdr:to>
      <xdr:col>15</xdr:col>
      <xdr:colOff>190500</xdr:colOff>
      <xdr:row>117</xdr:row>
      <xdr:rowOff>114299</xdr:rowOff>
    </xdr:to>
    <xdr:sp macro="" textlink="">
      <xdr:nvSpPr>
        <xdr:cNvPr id="779" name="Minus 382">
          <a:extLst>
            <a:ext uri="{FF2B5EF4-FFF2-40B4-BE49-F238E27FC236}">
              <a16:creationId xmlns:a16="http://schemas.microsoft.com/office/drawing/2014/main" id="{3B1BEE74-5F70-4C86-A50C-6CA5DED3F5FB}"/>
            </a:ext>
          </a:extLst>
        </xdr:cNvPr>
        <xdr:cNvSpPr/>
      </xdr:nvSpPr>
      <xdr:spPr>
        <a:xfrm>
          <a:off x="37147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116</xdr:row>
      <xdr:rowOff>0</xdr:rowOff>
    </xdr:from>
    <xdr:to>
      <xdr:col>19</xdr:col>
      <xdr:colOff>190500</xdr:colOff>
      <xdr:row>117</xdr:row>
      <xdr:rowOff>114299</xdr:rowOff>
    </xdr:to>
    <xdr:sp macro="" textlink="">
      <xdr:nvSpPr>
        <xdr:cNvPr id="780" name="Minus 382">
          <a:extLst>
            <a:ext uri="{FF2B5EF4-FFF2-40B4-BE49-F238E27FC236}">
              <a16:creationId xmlns:a16="http://schemas.microsoft.com/office/drawing/2014/main" id="{06C61E73-563F-4245-AA40-0EA79259F2A5}"/>
            </a:ext>
          </a:extLst>
        </xdr:cNvPr>
        <xdr:cNvSpPr/>
      </xdr:nvSpPr>
      <xdr:spPr>
        <a:xfrm>
          <a:off x="47053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116</xdr:row>
      <xdr:rowOff>0</xdr:rowOff>
    </xdr:from>
    <xdr:to>
      <xdr:col>23</xdr:col>
      <xdr:colOff>190500</xdr:colOff>
      <xdr:row>117</xdr:row>
      <xdr:rowOff>114299</xdr:rowOff>
    </xdr:to>
    <xdr:sp macro="" textlink="">
      <xdr:nvSpPr>
        <xdr:cNvPr id="781" name="Minus 382">
          <a:extLst>
            <a:ext uri="{FF2B5EF4-FFF2-40B4-BE49-F238E27FC236}">
              <a16:creationId xmlns:a16="http://schemas.microsoft.com/office/drawing/2014/main" id="{52277E48-4C68-40CE-8339-5C57B63F579D}"/>
            </a:ext>
          </a:extLst>
        </xdr:cNvPr>
        <xdr:cNvSpPr/>
      </xdr:nvSpPr>
      <xdr:spPr>
        <a:xfrm>
          <a:off x="56959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116</xdr:row>
      <xdr:rowOff>0</xdr:rowOff>
    </xdr:from>
    <xdr:to>
      <xdr:col>27</xdr:col>
      <xdr:colOff>190500</xdr:colOff>
      <xdr:row>117</xdr:row>
      <xdr:rowOff>114299</xdr:rowOff>
    </xdr:to>
    <xdr:sp macro="" textlink="">
      <xdr:nvSpPr>
        <xdr:cNvPr id="782" name="Minus 382">
          <a:extLst>
            <a:ext uri="{FF2B5EF4-FFF2-40B4-BE49-F238E27FC236}">
              <a16:creationId xmlns:a16="http://schemas.microsoft.com/office/drawing/2014/main" id="{69B71F8A-0E35-48BC-88D8-608FEC8EBB22}"/>
            </a:ext>
          </a:extLst>
        </xdr:cNvPr>
        <xdr:cNvSpPr/>
      </xdr:nvSpPr>
      <xdr:spPr>
        <a:xfrm>
          <a:off x="66865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116</xdr:row>
      <xdr:rowOff>0</xdr:rowOff>
    </xdr:from>
    <xdr:to>
      <xdr:col>31</xdr:col>
      <xdr:colOff>190500</xdr:colOff>
      <xdr:row>117</xdr:row>
      <xdr:rowOff>114299</xdr:rowOff>
    </xdr:to>
    <xdr:sp macro="" textlink="">
      <xdr:nvSpPr>
        <xdr:cNvPr id="783" name="Minus 382">
          <a:extLst>
            <a:ext uri="{FF2B5EF4-FFF2-40B4-BE49-F238E27FC236}">
              <a16:creationId xmlns:a16="http://schemas.microsoft.com/office/drawing/2014/main" id="{178D9FF6-8C9F-4F16-97BD-26456DF06EF8}"/>
            </a:ext>
          </a:extLst>
        </xdr:cNvPr>
        <xdr:cNvSpPr/>
      </xdr:nvSpPr>
      <xdr:spPr>
        <a:xfrm>
          <a:off x="76771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116</xdr:row>
      <xdr:rowOff>0</xdr:rowOff>
    </xdr:from>
    <xdr:to>
      <xdr:col>35</xdr:col>
      <xdr:colOff>190500</xdr:colOff>
      <xdr:row>117</xdr:row>
      <xdr:rowOff>114299</xdr:rowOff>
    </xdr:to>
    <xdr:sp macro="" textlink="">
      <xdr:nvSpPr>
        <xdr:cNvPr id="784" name="Minus 382">
          <a:extLst>
            <a:ext uri="{FF2B5EF4-FFF2-40B4-BE49-F238E27FC236}">
              <a16:creationId xmlns:a16="http://schemas.microsoft.com/office/drawing/2014/main" id="{64EC0935-FC7B-4282-919E-EB953CB62B9F}"/>
            </a:ext>
          </a:extLst>
        </xdr:cNvPr>
        <xdr:cNvSpPr/>
      </xdr:nvSpPr>
      <xdr:spPr>
        <a:xfrm>
          <a:off x="86677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116</xdr:row>
      <xdr:rowOff>0</xdr:rowOff>
    </xdr:from>
    <xdr:to>
      <xdr:col>39</xdr:col>
      <xdr:colOff>190500</xdr:colOff>
      <xdr:row>117</xdr:row>
      <xdr:rowOff>114299</xdr:rowOff>
    </xdr:to>
    <xdr:sp macro="" textlink="">
      <xdr:nvSpPr>
        <xdr:cNvPr id="785" name="Minus 382">
          <a:extLst>
            <a:ext uri="{FF2B5EF4-FFF2-40B4-BE49-F238E27FC236}">
              <a16:creationId xmlns:a16="http://schemas.microsoft.com/office/drawing/2014/main" id="{F16E43F2-4AFB-46F4-9EF9-7E7055F3ECA3}"/>
            </a:ext>
          </a:extLst>
        </xdr:cNvPr>
        <xdr:cNvSpPr/>
      </xdr:nvSpPr>
      <xdr:spPr>
        <a:xfrm>
          <a:off x="96583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116</xdr:row>
      <xdr:rowOff>0</xdr:rowOff>
    </xdr:from>
    <xdr:to>
      <xdr:col>43</xdr:col>
      <xdr:colOff>190500</xdr:colOff>
      <xdr:row>117</xdr:row>
      <xdr:rowOff>114299</xdr:rowOff>
    </xdr:to>
    <xdr:sp macro="" textlink="">
      <xdr:nvSpPr>
        <xdr:cNvPr id="786" name="Minus 382">
          <a:extLst>
            <a:ext uri="{FF2B5EF4-FFF2-40B4-BE49-F238E27FC236}">
              <a16:creationId xmlns:a16="http://schemas.microsoft.com/office/drawing/2014/main" id="{1EFDB617-94F8-4C7B-B6DA-418B1A829F8E}"/>
            </a:ext>
          </a:extLst>
        </xdr:cNvPr>
        <xdr:cNvSpPr/>
      </xdr:nvSpPr>
      <xdr:spPr>
        <a:xfrm>
          <a:off x="106489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126</xdr:row>
      <xdr:rowOff>0</xdr:rowOff>
    </xdr:from>
    <xdr:to>
      <xdr:col>3</xdr:col>
      <xdr:colOff>190500</xdr:colOff>
      <xdr:row>127</xdr:row>
      <xdr:rowOff>114299</xdr:rowOff>
    </xdr:to>
    <xdr:sp macro="" textlink="">
      <xdr:nvSpPr>
        <xdr:cNvPr id="787" name="Minus 382">
          <a:extLst>
            <a:ext uri="{FF2B5EF4-FFF2-40B4-BE49-F238E27FC236}">
              <a16:creationId xmlns:a16="http://schemas.microsoft.com/office/drawing/2014/main" id="{CF98B4E1-4BE9-404D-A90B-EA5BDA175295}"/>
            </a:ext>
          </a:extLst>
        </xdr:cNvPr>
        <xdr:cNvSpPr/>
      </xdr:nvSpPr>
      <xdr:spPr>
        <a:xfrm>
          <a:off x="7429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126</xdr:row>
      <xdr:rowOff>0</xdr:rowOff>
    </xdr:from>
    <xdr:to>
      <xdr:col>7</xdr:col>
      <xdr:colOff>190500</xdr:colOff>
      <xdr:row>127</xdr:row>
      <xdr:rowOff>114299</xdr:rowOff>
    </xdr:to>
    <xdr:sp macro="" textlink="">
      <xdr:nvSpPr>
        <xdr:cNvPr id="788" name="Minus 382">
          <a:extLst>
            <a:ext uri="{FF2B5EF4-FFF2-40B4-BE49-F238E27FC236}">
              <a16:creationId xmlns:a16="http://schemas.microsoft.com/office/drawing/2014/main" id="{CA43A2AE-1320-4710-9C95-4B8D82635D78}"/>
            </a:ext>
          </a:extLst>
        </xdr:cNvPr>
        <xdr:cNvSpPr/>
      </xdr:nvSpPr>
      <xdr:spPr>
        <a:xfrm>
          <a:off x="1733550" y="236982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126</xdr:row>
      <xdr:rowOff>0</xdr:rowOff>
    </xdr:from>
    <xdr:to>
      <xdr:col>11</xdr:col>
      <xdr:colOff>190500</xdr:colOff>
      <xdr:row>127</xdr:row>
      <xdr:rowOff>114299</xdr:rowOff>
    </xdr:to>
    <xdr:sp macro="" textlink="">
      <xdr:nvSpPr>
        <xdr:cNvPr id="789" name="Minus 382">
          <a:extLst>
            <a:ext uri="{FF2B5EF4-FFF2-40B4-BE49-F238E27FC236}">
              <a16:creationId xmlns:a16="http://schemas.microsoft.com/office/drawing/2014/main" id="{BA48C895-E4F3-4A46-A7FE-09093C25676B}"/>
            </a:ext>
          </a:extLst>
        </xdr:cNvPr>
        <xdr:cNvSpPr/>
      </xdr:nvSpPr>
      <xdr:spPr>
        <a:xfrm>
          <a:off x="2724150" y="236982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126</xdr:row>
      <xdr:rowOff>0</xdr:rowOff>
    </xdr:from>
    <xdr:to>
      <xdr:col>15</xdr:col>
      <xdr:colOff>190500</xdr:colOff>
      <xdr:row>127</xdr:row>
      <xdr:rowOff>114299</xdr:rowOff>
    </xdr:to>
    <xdr:sp macro="" textlink="">
      <xdr:nvSpPr>
        <xdr:cNvPr id="790" name="Minus 382">
          <a:extLst>
            <a:ext uri="{FF2B5EF4-FFF2-40B4-BE49-F238E27FC236}">
              <a16:creationId xmlns:a16="http://schemas.microsoft.com/office/drawing/2014/main" id="{85E6EAD4-EA0F-40AF-AA46-31E2239236F7}"/>
            </a:ext>
          </a:extLst>
        </xdr:cNvPr>
        <xdr:cNvSpPr/>
      </xdr:nvSpPr>
      <xdr:spPr>
        <a:xfrm>
          <a:off x="3714750" y="236982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126</xdr:row>
      <xdr:rowOff>0</xdr:rowOff>
    </xdr:from>
    <xdr:to>
      <xdr:col>19</xdr:col>
      <xdr:colOff>190500</xdr:colOff>
      <xdr:row>127</xdr:row>
      <xdr:rowOff>114299</xdr:rowOff>
    </xdr:to>
    <xdr:sp macro="" textlink="">
      <xdr:nvSpPr>
        <xdr:cNvPr id="791" name="Minus 382">
          <a:extLst>
            <a:ext uri="{FF2B5EF4-FFF2-40B4-BE49-F238E27FC236}">
              <a16:creationId xmlns:a16="http://schemas.microsoft.com/office/drawing/2014/main" id="{707AEFA2-D034-41E2-B1DC-141C8E83C643}"/>
            </a:ext>
          </a:extLst>
        </xdr:cNvPr>
        <xdr:cNvSpPr/>
      </xdr:nvSpPr>
      <xdr:spPr>
        <a:xfrm>
          <a:off x="47053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126</xdr:row>
      <xdr:rowOff>0</xdr:rowOff>
    </xdr:from>
    <xdr:to>
      <xdr:col>23</xdr:col>
      <xdr:colOff>190500</xdr:colOff>
      <xdr:row>127</xdr:row>
      <xdr:rowOff>114299</xdr:rowOff>
    </xdr:to>
    <xdr:sp macro="" textlink="">
      <xdr:nvSpPr>
        <xdr:cNvPr id="792" name="Minus 382">
          <a:extLst>
            <a:ext uri="{FF2B5EF4-FFF2-40B4-BE49-F238E27FC236}">
              <a16:creationId xmlns:a16="http://schemas.microsoft.com/office/drawing/2014/main" id="{1496F357-7DDE-4057-8267-6519F8765D37}"/>
            </a:ext>
          </a:extLst>
        </xdr:cNvPr>
        <xdr:cNvSpPr/>
      </xdr:nvSpPr>
      <xdr:spPr>
        <a:xfrm>
          <a:off x="56959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126</xdr:row>
      <xdr:rowOff>0</xdr:rowOff>
    </xdr:from>
    <xdr:to>
      <xdr:col>27</xdr:col>
      <xdr:colOff>190500</xdr:colOff>
      <xdr:row>127</xdr:row>
      <xdr:rowOff>114299</xdr:rowOff>
    </xdr:to>
    <xdr:sp macro="" textlink="">
      <xdr:nvSpPr>
        <xdr:cNvPr id="793" name="Minus 382">
          <a:extLst>
            <a:ext uri="{FF2B5EF4-FFF2-40B4-BE49-F238E27FC236}">
              <a16:creationId xmlns:a16="http://schemas.microsoft.com/office/drawing/2014/main" id="{AA631590-7734-4D44-96B7-C7A4BC6EBA76}"/>
            </a:ext>
          </a:extLst>
        </xdr:cNvPr>
        <xdr:cNvSpPr/>
      </xdr:nvSpPr>
      <xdr:spPr>
        <a:xfrm>
          <a:off x="66865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126</xdr:row>
      <xdr:rowOff>0</xdr:rowOff>
    </xdr:from>
    <xdr:to>
      <xdr:col>31</xdr:col>
      <xdr:colOff>190500</xdr:colOff>
      <xdr:row>127</xdr:row>
      <xdr:rowOff>114299</xdr:rowOff>
    </xdr:to>
    <xdr:sp macro="" textlink="">
      <xdr:nvSpPr>
        <xdr:cNvPr id="794" name="Minus 382">
          <a:extLst>
            <a:ext uri="{FF2B5EF4-FFF2-40B4-BE49-F238E27FC236}">
              <a16:creationId xmlns:a16="http://schemas.microsoft.com/office/drawing/2014/main" id="{0106ED8A-D537-44A3-8F00-0DDADF68608D}"/>
            </a:ext>
          </a:extLst>
        </xdr:cNvPr>
        <xdr:cNvSpPr/>
      </xdr:nvSpPr>
      <xdr:spPr>
        <a:xfrm>
          <a:off x="7677150" y="236982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126</xdr:row>
      <xdr:rowOff>0</xdr:rowOff>
    </xdr:from>
    <xdr:to>
      <xdr:col>35</xdr:col>
      <xdr:colOff>190500</xdr:colOff>
      <xdr:row>127</xdr:row>
      <xdr:rowOff>114299</xdr:rowOff>
    </xdr:to>
    <xdr:sp macro="" textlink="">
      <xdr:nvSpPr>
        <xdr:cNvPr id="795" name="Minus 382">
          <a:extLst>
            <a:ext uri="{FF2B5EF4-FFF2-40B4-BE49-F238E27FC236}">
              <a16:creationId xmlns:a16="http://schemas.microsoft.com/office/drawing/2014/main" id="{9FC94C10-8C3D-495C-B01D-5B57BCF9CD52}"/>
            </a:ext>
          </a:extLst>
        </xdr:cNvPr>
        <xdr:cNvSpPr/>
      </xdr:nvSpPr>
      <xdr:spPr>
        <a:xfrm>
          <a:off x="86677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126</xdr:row>
      <xdr:rowOff>0</xdr:rowOff>
    </xdr:from>
    <xdr:to>
      <xdr:col>39</xdr:col>
      <xdr:colOff>190500</xdr:colOff>
      <xdr:row>127</xdr:row>
      <xdr:rowOff>114299</xdr:rowOff>
    </xdr:to>
    <xdr:sp macro="" textlink="">
      <xdr:nvSpPr>
        <xdr:cNvPr id="796" name="Minus 382">
          <a:extLst>
            <a:ext uri="{FF2B5EF4-FFF2-40B4-BE49-F238E27FC236}">
              <a16:creationId xmlns:a16="http://schemas.microsoft.com/office/drawing/2014/main" id="{CB319C77-FD4F-4B34-9B1E-BD0DB27F98BA}"/>
            </a:ext>
          </a:extLst>
        </xdr:cNvPr>
        <xdr:cNvSpPr/>
      </xdr:nvSpPr>
      <xdr:spPr>
        <a:xfrm>
          <a:off x="96583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126</xdr:row>
      <xdr:rowOff>0</xdr:rowOff>
    </xdr:from>
    <xdr:to>
      <xdr:col>43</xdr:col>
      <xdr:colOff>190500</xdr:colOff>
      <xdr:row>127</xdr:row>
      <xdr:rowOff>114299</xdr:rowOff>
    </xdr:to>
    <xdr:sp macro="" textlink="">
      <xdr:nvSpPr>
        <xdr:cNvPr id="797" name="Minus 382">
          <a:extLst>
            <a:ext uri="{FF2B5EF4-FFF2-40B4-BE49-F238E27FC236}">
              <a16:creationId xmlns:a16="http://schemas.microsoft.com/office/drawing/2014/main" id="{18CAADBF-8C32-496E-999A-0200D10C5E0B}"/>
            </a:ext>
          </a:extLst>
        </xdr:cNvPr>
        <xdr:cNvSpPr/>
      </xdr:nvSpPr>
      <xdr:spPr>
        <a:xfrm>
          <a:off x="106489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136</xdr:row>
      <xdr:rowOff>0</xdr:rowOff>
    </xdr:from>
    <xdr:to>
      <xdr:col>3</xdr:col>
      <xdr:colOff>190500</xdr:colOff>
      <xdr:row>137</xdr:row>
      <xdr:rowOff>114299</xdr:rowOff>
    </xdr:to>
    <xdr:sp macro="" textlink="">
      <xdr:nvSpPr>
        <xdr:cNvPr id="798" name="Minus 382">
          <a:extLst>
            <a:ext uri="{FF2B5EF4-FFF2-40B4-BE49-F238E27FC236}">
              <a16:creationId xmlns:a16="http://schemas.microsoft.com/office/drawing/2014/main" id="{DE596EED-72D2-4176-B406-752C82095A76}"/>
            </a:ext>
          </a:extLst>
        </xdr:cNvPr>
        <xdr:cNvSpPr/>
      </xdr:nvSpPr>
      <xdr:spPr>
        <a:xfrm>
          <a:off x="7429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136</xdr:row>
      <xdr:rowOff>0</xdr:rowOff>
    </xdr:from>
    <xdr:to>
      <xdr:col>7</xdr:col>
      <xdr:colOff>190500</xdr:colOff>
      <xdr:row>137</xdr:row>
      <xdr:rowOff>114299</xdr:rowOff>
    </xdr:to>
    <xdr:sp macro="" textlink="">
      <xdr:nvSpPr>
        <xdr:cNvPr id="799" name="Minus 382">
          <a:extLst>
            <a:ext uri="{FF2B5EF4-FFF2-40B4-BE49-F238E27FC236}">
              <a16:creationId xmlns:a16="http://schemas.microsoft.com/office/drawing/2014/main" id="{2632F7C1-3E19-429A-A78D-16012F02BDE6}"/>
            </a:ext>
          </a:extLst>
        </xdr:cNvPr>
        <xdr:cNvSpPr/>
      </xdr:nvSpPr>
      <xdr:spPr>
        <a:xfrm>
          <a:off x="17335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136</xdr:row>
      <xdr:rowOff>0</xdr:rowOff>
    </xdr:from>
    <xdr:to>
      <xdr:col>11</xdr:col>
      <xdr:colOff>190500</xdr:colOff>
      <xdr:row>137</xdr:row>
      <xdr:rowOff>114299</xdr:rowOff>
    </xdr:to>
    <xdr:sp macro="" textlink="">
      <xdr:nvSpPr>
        <xdr:cNvPr id="800" name="Minus 382">
          <a:extLst>
            <a:ext uri="{FF2B5EF4-FFF2-40B4-BE49-F238E27FC236}">
              <a16:creationId xmlns:a16="http://schemas.microsoft.com/office/drawing/2014/main" id="{F7F99A26-61D3-42AD-8B96-6E5BFF3F2CFB}"/>
            </a:ext>
          </a:extLst>
        </xdr:cNvPr>
        <xdr:cNvSpPr/>
      </xdr:nvSpPr>
      <xdr:spPr>
        <a:xfrm>
          <a:off x="27241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136</xdr:row>
      <xdr:rowOff>0</xdr:rowOff>
    </xdr:from>
    <xdr:to>
      <xdr:col>15</xdr:col>
      <xdr:colOff>190500</xdr:colOff>
      <xdr:row>137</xdr:row>
      <xdr:rowOff>114299</xdr:rowOff>
    </xdr:to>
    <xdr:sp macro="" textlink="">
      <xdr:nvSpPr>
        <xdr:cNvPr id="801" name="Minus 382">
          <a:extLst>
            <a:ext uri="{FF2B5EF4-FFF2-40B4-BE49-F238E27FC236}">
              <a16:creationId xmlns:a16="http://schemas.microsoft.com/office/drawing/2014/main" id="{241C2AED-C98C-49F0-A2B2-DD36A3E1E4A6}"/>
            </a:ext>
          </a:extLst>
        </xdr:cNvPr>
        <xdr:cNvSpPr/>
      </xdr:nvSpPr>
      <xdr:spPr>
        <a:xfrm>
          <a:off x="37147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136</xdr:row>
      <xdr:rowOff>0</xdr:rowOff>
    </xdr:from>
    <xdr:to>
      <xdr:col>19</xdr:col>
      <xdr:colOff>190500</xdr:colOff>
      <xdr:row>137</xdr:row>
      <xdr:rowOff>114299</xdr:rowOff>
    </xdr:to>
    <xdr:sp macro="" textlink="">
      <xdr:nvSpPr>
        <xdr:cNvPr id="802" name="Minus 382">
          <a:extLst>
            <a:ext uri="{FF2B5EF4-FFF2-40B4-BE49-F238E27FC236}">
              <a16:creationId xmlns:a16="http://schemas.microsoft.com/office/drawing/2014/main" id="{CE1D8D1B-5728-4597-A90A-D93A7EB4EAC6}"/>
            </a:ext>
          </a:extLst>
        </xdr:cNvPr>
        <xdr:cNvSpPr/>
      </xdr:nvSpPr>
      <xdr:spPr>
        <a:xfrm>
          <a:off x="47053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136</xdr:row>
      <xdr:rowOff>0</xdr:rowOff>
    </xdr:from>
    <xdr:to>
      <xdr:col>23</xdr:col>
      <xdr:colOff>190500</xdr:colOff>
      <xdr:row>137</xdr:row>
      <xdr:rowOff>114299</xdr:rowOff>
    </xdr:to>
    <xdr:sp macro="" textlink="">
      <xdr:nvSpPr>
        <xdr:cNvPr id="803" name="Minus 382">
          <a:extLst>
            <a:ext uri="{FF2B5EF4-FFF2-40B4-BE49-F238E27FC236}">
              <a16:creationId xmlns:a16="http://schemas.microsoft.com/office/drawing/2014/main" id="{20BCB968-236B-46A8-BA89-CFD830287827}"/>
            </a:ext>
          </a:extLst>
        </xdr:cNvPr>
        <xdr:cNvSpPr/>
      </xdr:nvSpPr>
      <xdr:spPr>
        <a:xfrm>
          <a:off x="56959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136</xdr:row>
      <xdr:rowOff>0</xdr:rowOff>
    </xdr:from>
    <xdr:to>
      <xdr:col>27</xdr:col>
      <xdr:colOff>190500</xdr:colOff>
      <xdr:row>137</xdr:row>
      <xdr:rowOff>114299</xdr:rowOff>
    </xdr:to>
    <xdr:sp macro="" textlink="">
      <xdr:nvSpPr>
        <xdr:cNvPr id="804" name="Minus 382">
          <a:extLst>
            <a:ext uri="{FF2B5EF4-FFF2-40B4-BE49-F238E27FC236}">
              <a16:creationId xmlns:a16="http://schemas.microsoft.com/office/drawing/2014/main" id="{C9E07BE1-A61C-4FBE-84A8-7CACE567C34D}"/>
            </a:ext>
          </a:extLst>
        </xdr:cNvPr>
        <xdr:cNvSpPr/>
      </xdr:nvSpPr>
      <xdr:spPr>
        <a:xfrm>
          <a:off x="66865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136</xdr:row>
      <xdr:rowOff>0</xdr:rowOff>
    </xdr:from>
    <xdr:to>
      <xdr:col>31</xdr:col>
      <xdr:colOff>190500</xdr:colOff>
      <xdr:row>137</xdr:row>
      <xdr:rowOff>114299</xdr:rowOff>
    </xdr:to>
    <xdr:sp macro="" textlink="">
      <xdr:nvSpPr>
        <xdr:cNvPr id="805" name="Minus 382">
          <a:extLst>
            <a:ext uri="{FF2B5EF4-FFF2-40B4-BE49-F238E27FC236}">
              <a16:creationId xmlns:a16="http://schemas.microsoft.com/office/drawing/2014/main" id="{101A296E-692D-47F2-A36C-8F9DBD11FCA8}"/>
            </a:ext>
          </a:extLst>
        </xdr:cNvPr>
        <xdr:cNvSpPr/>
      </xdr:nvSpPr>
      <xdr:spPr>
        <a:xfrm>
          <a:off x="76771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136</xdr:row>
      <xdr:rowOff>0</xdr:rowOff>
    </xdr:from>
    <xdr:to>
      <xdr:col>35</xdr:col>
      <xdr:colOff>190500</xdr:colOff>
      <xdr:row>137</xdr:row>
      <xdr:rowOff>114299</xdr:rowOff>
    </xdr:to>
    <xdr:sp macro="" textlink="">
      <xdr:nvSpPr>
        <xdr:cNvPr id="806" name="Minus 382">
          <a:extLst>
            <a:ext uri="{FF2B5EF4-FFF2-40B4-BE49-F238E27FC236}">
              <a16:creationId xmlns:a16="http://schemas.microsoft.com/office/drawing/2014/main" id="{AC626788-2965-4461-8B00-A808801595B5}"/>
            </a:ext>
          </a:extLst>
        </xdr:cNvPr>
        <xdr:cNvSpPr/>
      </xdr:nvSpPr>
      <xdr:spPr>
        <a:xfrm>
          <a:off x="86677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136</xdr:row>
      <xdr:rowOff>0</xdr:rowOff>
    </xdr:from>
    <xdr:to>
      <xdr:col>39</xdr:col>
      <xdr:colOff>190500</xdr:colOff>
      <xdr:row>137</xdr:row>
      <xdr:rowOff>114299</xdr:rowOff>
    </xdr:to>
    <xdr:sp macro="" textlink="">
      <xdr:nvSpPr>
        <xdr:cNvPr id="807" name="Minus 382">
          <a:extLst>
            <a:ext uri="{FF2B5EF4-FFF2-40B4-BE49-F238E27FC236}">
              <a16:creationId xmlns:a16="http://schemas.microsoft.com/office/drawing/2014/main" id="{61F8EA80-D82D-46B4-8913-E96BA592F1CB}"/>
            </a:ext>
          </a:extLst>
        </xdr:cNvPr>
        <xdr:cNvSpPr/>
      </xdr:nvSpPr>
      <xdr:spPr>
        <a:xfrm>
          <a:off x="96583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136</xdr:row>
      <xdr:rowOff>0</xdr:rowOff>
    </xdr:from>
    <xdr:to>
      <xdr:col>43</xdr:col>
      <xdr:colOff>190500</xdr:colOff>
      <xdr:row>137</xdr:row>
      <xdr:rowOff>114299</xdr:rowOff>
    </xdr:to>
    <xdr:sp macro="" textlink="">
      <xdr:nvSpPr>
        <xdr:cNvPr id="808" name="Minus 382">
          <a:extLst>
            <a:ext uri="{FF2B5EF4-FFF2-40B4-BE49-F238E27FC236}">
              <a16:creationId xmlns:a16="http://schemas.microsoft.com/office/drawing/2014/main" id="{241BD9B1-10C5-41E2-A6EA-4ECEABF4B3C5}"/>
            </a:ext>
          </a:extLst>
        </xdr:cNvPr>
        <xdr:cNvSpPr/>
      </xdr:nvSpPr>
      <xdr:spPr>
        <a:xfrm>
          <a:off x="106489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146</xdr:row>
      <xdr:rowOff>0</xdr:rowOff>
    </xdr:from>
    <xdr:to>
      <xdr:col>3</xdr:col>
      <xdr:colOff>190500</xdr:colOff>
      <xdr:row>147</xdr:row>
      <xdr:rowOff>114299</xdr:rowOff>
    </xdr:to>
    <xdr:sp macro="" textlink="">
      <xdr:nvSpPr>
        <xdr:cNvPr id="809" name="Minus 382">
          <a:extLst>
            <a:ext uri="{FF2B5EF4-FFF2-40B4-BE49-F238E27FC236}">
              <a16:creationId xmlns:a16="http://schemas.microsoft.com/office/drawing/2014/main" id="{84A25399-8800-495E-9719-6C55A7E7077D}"/>
            </a:ext>
          </a:extLst>
        </xdr:cNvPr>
        <xdr:cNvSpPr/>
      </xdr:nvSpPr>
      <xdr:spPr>
        <a:xfrm>
          <a:off x="7429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7</xdr:col>
      <xdr:colOff>190500</xdr:colOff>
      <xdr:row>147</xdr:row>
      <xdr:rowOff>114299</xdr:rowOff>
    </xdr:to>
    <xdr:sp macro="" textlink="">
      <xdr:nvSpPr>
        <xdr:cNvPr id="810" name="Minus 382">
          <a:extLst>
            <a:ext uri="{FF2B5EF4-FFF2-40B4-BE49-F238E27FC236}">
              <a16:creationId xmlns:a16="http://schemas.microsoft.com/office/drawing/2014/main" id="{81CFB752-7749-436C-9E71-820A220A1689}"/>
            </a:ext>
          </a:extLst>
        </xdr:cNvPr>
        <xdr:cNvSpPr/>
      </xdr:nvSpPr>
      <xdr:spPr>
        <a:xfrm>
          <a:off x="17335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146</xdr:row>
      <xdr:rowOff>0</xdr:rowOff>
    </xdr:from>
    <xdr:to>
      <xdr:col>11</xdr:col>
      <xdr:colOff>190500</xdr:colOff>
      <xdr:row>147</xdr:row>
      <xdr:rowOff>114299</xdr:rowOff>
    </xdr:to>
    <xdr:sp macro="" textlink="">
      <xdr:nvSpPr>
        <xdr:cNvPr id="811" name="Minus 382">
          <a:extLst>
            <a:ext uri="{FF2B5EF4-FFF2-40B4-BE49-F238E27FC236}">
              <a16:creationId xmlns:a16="http://schemas.microsoft.com/office/drawing/2014/main" id="{7465927B-D811-410E-97E5-8E8371B0DABA}"/>
            </a:ext>
          </a:extLst>
        </xdr:cNvPr>
        <xdr:cNvSpPr/>
      </xdr:nvSpPr>
      <xdr:spPr>
        <a:xfrm>
          <a:off x="27241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146</xdr:row>
      <xdr:rowOff>0</xdr:rowOff>
    </xdr:from>
    <xdr:to>
      <xdr:col>15</xdr:col>
      <xdr:colOff>190500</xdr:colOff>
      <xdr:row>147</xdr:row>
      <xdr:rowOff>114299</xdr:rowOff>
    </xdr:to>
    <xdr:sp macro="" textlink="">
      <xdr:nvSpPr>
        <xdr:cNvPr id="812" name="Minus 382">
          <a:extLst>
            <a:ext uri="{FF2B5EF4-FFF2-40B4-BE49-F238E27FC236}">
              <a16:creationId xmlns:a16="http://schemas.microsoft.com/office/drawing/2014/main" id="{7C310589-EAA5-4A9C-B195-AF693CD3670B}"/>
            </a:ext>
          </a:extLst>
        </xdr:cNvPr>
        <xdr:cNvSpPr/>
      </xdr:nvSpPr>
      <xdr:spPr>
        <a:xfrm>
          <a:off x="37147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19</xdr:col>
      <xdr:colOff>190500</xdr:colOff>
      <xdr:row>147</xdr:row>
      <xdr:rowOff>114299</xdr:rowOff>
    </xdr:to>
    <xdr:sp macro="" textlink="">
      <xdr:nvSpPr>
        <xdr:cNvPr id="813" name="Minus 382">
          <a:extLst>
            <a:ext uri="{FF2B5EF4-FFF2-40B4-BE49-F238E27FC236}">
              <a16:creationId xmlns:a16="http://schemas.microsoft.com/office/drawing/2014/main" id="{3557396E-DEA7-43A3-8128-28A1E9CB21C9}"/>
            </a:ext>
          </a:extLst>
        </xdr:cNvPr>
        <xdr:cNvSpPr/>
      </xdr:nvSpPr>
      <xdr:spPr>
        <a:xfrm>
          <a:off x="47053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146</xdr:row>
      <xdr:rowOff>0</xdr:rowOff>
    </xdr:from>
    <xdr:to>
      <xdr:col>23</xdr:col>
      <xdr:colOff>190500</xdr:colOff>
      <xdr:row>147</xdr:row>
      <xdr:rowOff>114299</xdr:rowOff>
    </xdr:to>
    <xdr:sp macro="" textlink="">
      <xdr:nvSpPr>
        <xdr:cNvPr id="814" name="Minus 382">
          <a:extLst>
            <a:ext uri="{FF2B5EF4-FFF2-40B4-BE49-F238E27FC236}">
              <a16:creationId xmlns:a16="http://schemas.microsoft.com/office/drawing/2014/main" id="{D4F0F016-EB95-4E9B-B28B-D323E2403F96}"/>
            </a:ext>
          </a:extLst>
        </xdr:cNvPr>
        <xdr:cNvSpPr/>
      </xdr:nvSpPr>
      <xdr:spPr>
        <a:xfrm>
          <a:off x="56959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146</xdr:row>
      <xdr:rowOff>0</xdr:rowOff>
    </xdr:from>
    <xdr:to>
      <xdr:col>27</xdr:col>
      <xdr:colOff>190500</xdr:colOff>
      <xdr:row>147</xdr:row>
      <xdr:rowOff>114299</xdr:rowOff>
    </xdr:to>
    <xdr:sp macro="" textlink="">
      <xdr:nvSpPr>
        <xdr:cNvPr id="815" name="Minus 382">
          <a:extLst>
            <a:ext uri="{FF2B5EF4-FFF2-40B4-BE49-F238E27FC236}">
              <a16:creationId xmlns:a16="http://schemas.microsoft.com/office/drawing/2014/main" id="{6A36EBC1-5524-48FB-A848-56FA1EA1F5E0}"/>
            </a:ext>
          </a:extLst>
        </xdr:cNvPr>
        <xdr:cNvSpPr/>
      </xdr:nvSpPr>
      <xdr:spPr>
        <a:xfrm>
          <a:off x="66865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31</xdr:col>
      <xdr:colOff>190500</xdr:colOff>
      <xdr:row>147</xdr:row>
      <xdr:rowOff>114299</xdr:rowOff>
    </xdr:to>
    <xdr:sp macro="" textlink="">
      <xdr:nvSpPr>
        <xdr:cNvPr id="816" name="Minus 382">
          <a:extLst>
            <a:ext uri="{FF2B5EF4-FFF2-40B4-BE49-F238E27FC236}">
              <a16:creationId xmlns:a16="http://schemas.microsoft.com/office/drawing/2014/main" id="{667CABAF-16E8-40AF-B6E8-3818227C78C9}"/>
            </a:ext>
          </a:extLst>
        </xdr:cNvPr>
        <xdr:cNvSpPr/>
      </xdr:nvSpPr>
      <xdr:spPr>
        <a:xfrm>
          <a:off x="76771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146</xdr:row>
      <xdr:rowOff>0</xdr:rowOff>
    </xdr:from>
    <xdr:to>
      <xdr:col>35</xdr:col>
      <xdr:colOff>190500</xdr:colOff>
      <xdr:row>147</xdr:row>
      <xdr:rowOff>114299</xdr:rowOff>
    </xdr:to>
    <xdr:sp macro="" textlink="">
      <xdr:nvSpPr>
        <xdr:cNvPr id="817" name="Minus 382">
          <a:extLst>
            <a:ext uri="{FF2B5EF4-FFF2-40B4-BE49-F238E27FC236}">
              <a16:creationId xmlns:a16="http://schemas.microsoft.com/office/drawing/2014/main" id="{089657EE-8A89-4B15-9E9A-94F594C0B203}"/>
            </a:ext>
          </a:extLst>
        </xdr:cNvPr>
        <xdr:cNvSpPr/>
      </xdr:nvSpPr>
      <xdr:spPr>
        <a:xfrm>
          <a:off x="86677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146</xdr:row>
      <xdr:rowOff>0</xdr:rowOff>
    </xdr:from>
    <xdr:to>
      <xdr:col>39</xdr:col>
      <xdr:colOff>190500</xdr:colOff>
      <xdr:row>147</xdr:row>
      <xdr:rowOff>114299</xdr:rowOff>
    </xdr:to>
    <xdr:sp macro="" textlink="">
      <xdr:nvSpPr>
        <xdr:cNvPr id="818" name="Minus 382">
          <a:extLst>
            <a:ext uri="{FF2B5EF4-FFF2-40B4-BE49-F238E27FC236}">
              <a16:creationId xmlns:a16="http://schemas.microsoft.com/office/drawing/2014/main" id="{9D91AFB8-0AAE-469C-B853-AE080C17487F}"/>
            </a:ext>
          </a:extLst>
        </xdr:cNvPr>
        <xdr:cNvSpPr/>
      </xdr:nvSpPr>
      <xdr:spPr>
        <a:xfrm>
          <a:off x="96583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146</xdr:row>
      <xdr:rowOff>0</xdr:rowOff>
    </xdr:from>
    <xdr:to>
      <xdr:col>43</xdr:col>
      <xdr:colOff>190500</xdr:colOff>
      <xdr:row>147</xdr:row>
      <xdr:rowOff>114299</xdr:rowOff>
    </xdr:to>
    <xdr:sp macro="" textlink="">
      <xdr:nvSpPr>
        <xdr:cNvPr id="819" name="Minus 382">
          <a:extLst>
            <a:ext uri="{FF2B5EF4-FFF2-40B4-BE49-F238E27FC236}">
              <a16:creationId xmlns:a16="http://schemas.microsoft.com/office/drawing/2014/main" id="{C5010883-5EF3-4782-92BA-A0910BAD4EE7}"/>
            </a:ext>
          </a:extLst>
        </xdr:cNvPr>
        <xdr:cNvSpPr/>
      </xdr:nvSpPr>
      <xdr:spPr>
        <a:xfrm>
          <a:off x="106489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156</xdr:row>
      <xdr:rowOff>0</xdr:rowOff>
    </xdr:from>
    <xdr:to>
      <xdr:col>3</xdr:col>
      <xdr:colOff>190500</xdr:colOff>
      <xdr:row>157</xdr:row>
      <xdr:rowOff>114299</xdr:rowOff>
    </xdr:to>
    <xdr:sp macro="" textlink="">
      <xdr:nvSpPr>
        <xdr:cNvPr id="820" name="Minus 382">
          <a:extLst>
            <a:ext uri="{FF2B5EF4-FFF2-40B4-BE49-F238E27FC236}">
              <a16:creationId xmlns:a16="http://schemas.microsoft.com/office/drawing/2014/main" id="{867E7E06-40E8-4792-8A80-19A879CD2930}"/>
            </a:ext>
          </a:extLst>
        </xdr:cNvPr>
        <xdr:cNvSpPr/>
      </xdr:nvSpPr>
      <xdr:spPr>
        <a:xfrm>
          <a:off x="742950" y="292417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156</xdr:row>
      <xdr:rowOff>0</xdr:rowOff>
    </xdr:from>
    <xdr:to>
      <xdr:col>7</xdr:col>
      <xdr:colOff>190500</xdr:colOff>
      <xdr:row>157</xdr:row>
      <xdr:rowOff>114299</xdr:rowOff>
    </xdr:to>
    <xdr:sp macro="" textlink="">
      <xdr:nvSpPr>
        <xdr:cNvPr id="821" name="Minus 382">
          <a:extLst>
            <a:ext uri="{FF2B5EF4-FFF2-40B4-BE49-F238E27FC236}">
              <a16:creationId xmlns:a16="http://schemas.microsoft.com/office/drawing/2014/main" id="{F79D3EB8-5F35-478B-BE9D-911B04D3B043}"/>
            </a:ext>
          </a:extLst>
        </xdr:cNvPr>
        <xdr:cNvSpPr/>
      </xdr:nvSpPr>
      <xdr:spPr>
        <a:xfrm>
          <a:off x="1733550" y="292417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156</xdr:row>
      <xdr:rowOff>0</xdr:rowOff>
    </xdr:from>
    <xdr:to>
      <xdr:col>11</xdr:col>
      <xdr:colOff>190500</xdr:colOff>
      <xdr:row>157</xdr:row>
      <xdr:rowOff>114299</xdr:rowOff>
    </xdr:to>
    <xdr:sp macro="" textlink="">
      <xdr:nvSpPr>
        <xdr:cNvPr id="822" name="Minus 382">
          <a:extLst>
            <a:ext uri="{FF2B5EF4-FFF2-40B4-BE49-F238E27FC236}">
              <a16:creationId xmlns:a16="http://schemas.microsoft.com/office/drawing/2014/main" id="{C5B08C96-8120-457F-8F33-69F1D1716BF6}"/>
            </a:ext>
          </a:extLst>
        </xdr:cNvPr>
        <xdr:cNvSpPr/>
      </xdr:nvSpPr>
      <xdr:spPr>
        <a:xfrm>
          <a:off x="2724150" y="292417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156</xdr:row>
      <xdr:rowOff>0</xdr:rowOff>
    </xdr:from>
    <xdr:to>
      <xdr:col>15</xdr:col>
      <xdr:colOff>190500</xdr:colOff>
      <xdr:row>157</xdr:row>
      <xdr:rowOff>114299</xdr:rowOff>
    </xdr:to>
    <xdr:sp macro="" textlink="">
      <xdr:nvSpPr>
        <xdr:cNvPr id="823" name="Minus 382">
          <a:extLst>
            <a:ext uri="{FF2B5EF4-FFF2-40B4-BE49-F238E27FC236}">
              <a16:creationId xmlns:a16="http://schemas.microsoft.com/office/drawing/2014/main" id="{DFF6DA08-E411-439B-803D-1DAAD70E2A7C}"/>
            </a:ext>
          </a:extLst>
        </xdr:cNvPr>
        <xdr:cNvSpPr/>
      </xdr:nvSpPr>
      <xdr:spPr>
        <a:xfrm>
          <a:off x="3714750" y="292417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156</xdr:row>
      <xdr:rowOff>0</xdr:rowOff>
    </xdr:from>
    <xdr:to>
      <xdr:col>19</xdr:col>
      <xdr:colOff>190500</xdr:colOff>
      <xdr:row>157</xdr:row>
      <xdr:rowOff>114299</xdr:rowOff>
    </xdr:to>
    <xdr:sp macro="" textlink="">
      <xdr:nvSpPr>
        <xdr:cNvPr id="824" name="Minus 382">
          <a:extLst>
            <a:ext uri="{FF2B5EF4-FFF2-40B4-BE49-F238E27FC236}">
              <a16:creationId xmlns:a16="http://schemas.microsoft.com/office/drawing/2014/main" id="{D9558750-1937-497A-AD92-7D88BC8689FF}"/>
            </a:ext>
          </a:extLst>
        </xdr:cNvPr>
        <xdr:cNvSpPr/>
      </xdr:nvSpPr>
      <xdr:spPr>
        <a:xfrm>
          <a:off x="47053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156</xdr:row>
      <xdr:rowOff>0</xdr:rowOff>
    </xdr:from>
    <xdr:to>
      <xdr:col>23</xdr:col>
      <xdr:colOff>190500</xdr:colOff>
      <xdr:row>157</xdr:row>
      <xdr:rowOff>114299</xdr:rowOff>
    </xdr:to>
    <xdr:sp macro="" textlink="">
      <xdr:nvSpPr>
        <xdr:cNvPr id="825" name="Minus 382">
          <a:extLst>
            <a:ext uri="{FF2B5EF4-FFF2-40B4-BE49-F238E27FC236}">
              <a16:creationId xmlns:a16="http://schemas.microsoft.com/office/drawing/2014/main" id="{9987B721-CA2E-4976-ABE3-7F6C191E5CF6}"/>
            </a:ext>
          </a:extLst>
        </xdr:cNvPr>
        <xdr:cNvSpPr/>
      </xdr:nvSpPr>
      <xdr:spPr>
        <a:xfrm>
          <a:off x="56959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156</xdr:row>
      <xdr:rowOff>0</xdr:rowOff>
    </xdr:from>
    <xdr:to>
      <xdr:col>27</xdr:col>
      <xdr:colOff>190500</xdr:colOff>
      <xdr:row>157</xdr:row>
      <xdr:rowOff>114299</xdr:rowOff>
    </xdr:to>
    <xdr:sp macro="" textlink="">
      <xdr:nvSpPr>
        <xdr:cNvPr id="826" name="Minus 382">
          <a:extLst>
            <a:ext uri="{FF2B5EF4-FFF2-40B4-BE49-F238E27FC236}">
              <a16:creationId xmlns:a16="http://schemas.microsoft.com/office/drawing/2014/main" id="{D776D00B-7D16-478D-A3C9-E850D98ABACB}"/>
            </a:ext>
          </a:extLst>
        </xdr:cNvPr>
        <xdr:cNvSpPr/>
      </xdr:nvSpPr>
      <xdr:spPr>
        <a:xfrm>
          <a:off x="66865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156</xdr:row>
      <xdr:rowOff>0</xdr:rowOff>
    </xdr:from>
    <xdr:to>
      <xdr:col>31</xdr:col>
      <xdr:colOff>190500</xdr:colOff>
      <xdr:row>157</xdr:row>
      <xdr:rowOff>114299</xdr:rowOff>
    </xdr:to>
    <xdr:sp macro="" textlink="">
      <xdr:nvSpPr>
        <xdr:cNvPr id="827" name="Minus 382">
          <a:extLst>
            <a:ext uri="{FF2B5EF4-FFF2-40B4-BE49-F238E27FC236}">
              <a16:creationId xmlns:a16="http://schemas.microsoft.com/office/drawing/2014/main" id="{E974C908-3664-4A78-9764-2E1507DE3027}"/>
            </a:ext>
          </a:extLst>
        </xdr:cNvPr>
        <xdr:cNvSpPr/>
      </xdr:nvSpPr>
      <xdr:spPr>
        <a:xfrm>
          <a:off x="76771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156</xdr:row>
      <xdr:rowOff>0</xdr:rowOff>
    </xdr:from>
    <xdr:to>
      <xdr:col>35</xdr:col>
      <xdr:colOff>190500</xdr:colOff>
      <xdr:row>157</xdr:row>
      <xdr:rowOff>114299</xdr:rowOff>
    </xdr:to>
    <xdr:sp macro="" textlink="">
      <xdr:nvSpPr>
        <xdr:cNvPr id="828" name="Minus 382">
          <a:extLst>
            <a:ext uri="{FF2B5EF4-FFF2-40B4-BE49-F238E27FC236}">
              <a16:creationId xmlns:a16="http://schemas.microsoft.com/office/drawing/2014/main" id="{FE55D173-1169-42B0-9923-FCC6F3971582}"/>
            </a:ext>
          </a:extLst>
        </xdr:cNvPr>
        <xdr:cNvSpPr/>
      </xdr:nvSpPr>
      <xdr:spPr>
        <a:xfrm>
          <a:off x="86677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156</xdr:row>
      <xdr:rowOff>0</xdr:rowOff>
    </xdr:from>
    <xdr:to>
      <xdr:col>39</xdr:col>
      <xdr:colOff>190500</xdr:colOff>
      <xdr:row>157</xdr:row>
      <xdr:rowOff>114299</xdr:rowOff>
    </xdr:to>
    <xdr:sp macro="" textlink="">
      <xdr:nvSpPr>
        <xdr:cNvPr id="829" name="Minus 382">
          <a:extLst>
            <a:ext uri="{FF2B5EF4-FFF2-40B4-BE49-F238E27FC236}">
              <a16:creationId xmlns:a16="http://schemas.microsoft.com/office/drawing/2014/main" id="{BC826786-C6FF-45E2-9F3D-88A80991BC57}"/>
            </a:ext>
          </a:extLst>
        </xdr:cNvPr>
        <xdr:cNvSpPr/>
      </xdr:nvSpPr>
      <xdr:spPr>
        <a:xfrm>
          <a:off x="96583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156</xdr:row>
      <xdr:rowOff>0</xdr:rowOff>
    </xdr:from>
    <xdr:to>
      <xdr:col>43</xdr:col>
      <xdr:colOff>190500</xdr:colOff>
      <xdr:row>157</xdr:row>
      <xdr:rowOff>114299</xdr:rowOff>
    </xdr:to>
    <xdr:sp macro="" textlink="">
      <xdr:nvSpPr>
        <xdr:cNvPr id="830" name="Minus 382">
          <a:extLst>
            <a:ext uri="{FF2B5EF4-FFF2-40B4-BE49-F238E27FC236}">
              <a16:creationId xmlns:a16="http://schemas.microsoft.com/office/drawing/2014/main" id="{319486A8-1054-4998-9E26-C29B4F06A5E7}"/>
            </a:ext>
          </a:extLst>
        </xdr:cNvPr>
        <xdr:cNvSpPr/>
      </xdr:nvSpPr>
      <xdr:spPr>
        <a:xfrm>
          <a:off x="106489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166</xdr:row>
      <xdr:rowOff>0</xdr:rowOff>
    </xdr:from>
    <xdr:to>
      <xdr:col>3</xdr:col>
      <xdr:colOff>190500</xdr:colOff>
      <xdr:row>167</xdr:row>
      <xdr:rowOff>114299</xdr:rowOff>
    </xdr:to>
    <xdr:sp macro="" textlink="">
      <xdr:nvSpPr>
        <xdr:cNvPr id="831" name="Minus 382">
          <a:extLst>
            <a:ext uri="{FF2B5EF4-FFF2-40B4-BE49-F238E27FC236}">
              <a16:creationId xmlns:a16="http://schemas.microsoft.com/office/drawing/2014/main" id="{6620D343-C616-4F79-8FFA-82AF54D5693A}"/>
            </a:ext>
          </a:extLst>
        </xdr:cNvPr>
        <xdr:cNvSpPr/>
      </xdr:nvSpPr>
      <xdr:spPr>
        <a:xfrm>
          <a:off x="7429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166</xdr:row>
      <xdr:rowOff>0</xdr:rowOff>
    </xdr:from>
    <xdr:to>
      <xdr:col>7</xdr:col>
      <xdr:colOff>190500</xdr:colOff>
      <xdr:row>167</xdr:row>
      <xdr:rowOff>114299</xdr:rowOff>
    </xdr:to>
    <xdr:sp macro="" textlink="">
      <xdr:nvSpPr>
        <xdr:cNvPr id="832" name="Minus 382">
          <a:extLst>
            <a:ext uri="{FF2B5EF4-FFF2-40B4-BE49-F238E27FC236}">
              <a16:creationId xmlns:a16="http://schemas.microsoft.com/office/drawing/2014/main" id="{C480F623-1E24-47A1-8424-CF9477124050}"/>
            </a:ext>
          </a:extLst>
        </xdr:cNvPr>
        <xdr:cNvSpPr/>
      </xdr:nvSpPr>
      <xdr:spPr>
        <a:xfrm>
          <a:off x="17335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166</xdr:row>
      <xdr:rowOff>0</xdr:rowOff>
    </xdr:from>
    <xdr:to>
      <xdr:col>11</xdr:col>
      <xdr:colOff>190500</xdr:colOff>
      <xdr:row>167</xdr:row>
      <xdr:rowOff>114299</xdr:rowOff>
    </xdr:to>
    <xdr:sp macro="" textlink="">
      <xdr:nvSpPr>
        <xdr:cNvPr id="833" name="Minus 382">
          <a:extLst>
            <a:ext uri="{FF2B5EF4-FFF2-40B4-BE49-F238E27FC236}">
              <a16:creationId xmlns:a16="http://schemas.microsoft.com/office/drawing/2014/main" id="{0E3A2244-CE5A-4DD0-8636-34182DA4CB75}"/>
            </a:ext>
          </a:extLst>
        </xdr:cNvPr>
        <xdr:cNvSpPr/>
      </xdr:nvSpPr>
      <xdr:spPr>
        <a:xfrm>
          <a:off x="27241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166</xdr:row>
      <xdr:rowOff>0</xdr:rowOff>
    </xdr:from>
    <xdr:to>
      <xdr:col>15</xdr:col>
      <xdr:colOff>190500</xdr:colOff>
      <xdr:row>167</xdr:row>
      <xdr:rowOff>114299</xdr:rowOff>
    </xdr:to>
    <xdr:sp macro="" textlink="">
      <xdr:nvSpPr>
        <xdr:cNvPr id="834" name="Minus 382">
          <a:extLst>
            <a:ext uri="{FF2B5EF4-FFF2-40B4-BE49-F238E27FC236}">
              <a16:creationId xmlns:a16="http://schemas.microsoft.com/office/drawing/2014/main" id="{77D6EF15-0173-490F-98A6-2B0F94640BF9}"/>
            </a:ext>
          </a:extLst>
        </xdr:cNvPr>
        <xdr:cNvSpPr/>
      </xdr:nvSpPr>
      <xdr:spPr>
        <a:xfrm>
          <a:off x="37147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166</xdr:row>
      <xdr:rowOff>0</xdr:rowOff>
    </xdr:from>
    <xdr:to>
      <xdr:col>19</xdr:col>
      <xdr:colOff>190500</xdr:colOff>
      <xdr:row>167</xdr:row>
      <xdr:rowOff>114299</xdr:rowOff>
    </xdr:to>
    <xdr:sp macro="" textlink="">
      <xdr:nvSpPr>
        <xdr:cNvPr id="835" name="Minus 382">
          <a:extLst>
            <a:ext uri="{FF2B5EF4-FFF2-40B4-BE49-F238E27FC236}">
              <a16:creationId xmlns:a16="http://schemas.microsoft.com/office/drawing/2014/main" id="{FD63C887-4BAC-4A18-AC51-5BBD7E142099}"/>
            </a:ext>
          </a:extLst>
        </xdr:cNvPr>
        <xdr:cNvSpPr/>
      </xdr:nvSpPr>
      <xdr:spPr>
        <a:xfrm>
          <a:off x="47053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166</xdr:row>
      <xdr:rowOff>0</xdr:rowOff>
    </xdr:from>
    <xdr:to>
      <xdr:col>23</xdr:col>
      <xdr:colOff>190500</xdr:colOff>
      <xdr:row>167</xdr:row>
      <xdr:rowOff>114299</xdr:rowOff>
    </xdr:to>
    <xdr:sp macro="" textlink="">
      <xdr:nvSpPr>
        <xdr:cNvPr id="836" name="Minus 382">
          <a:extLst>
            <a:ext uri="{FF2B5EF4-FFF2-40B4-BE49-F238E27FC236}">
              <a16:creationId xmlns:a16="http://schemas.microsoft.com/office/drawing/2014/main" id="{DB78EB9C-CBDD-4E66-A09D-FED50987B9D8}"/>
            </a:ext>
          </a:extLst>
        </xdr:cNvPr>
        <xdr:cNvSpPr/>
      </xdr:nvSpPr>
      <xdr:spPr>
        <a:xfrm>
          <a:off x="56959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166</xdr:row>
      <xdr:rowOff>0</xdr:rowOff>
    </xdr:from>
    <xdr:to>
      <xdr:col>27</xdr:col>
      <xdr:colOff>190500</xdr:colOff>
      <xdr:row>167</xdr:row>
      <xdr:rowOff>114299</xdr:rowOff>
    </xdr:to>
    <xdr:sp macro="" textlink="">
      <xdr:nvSpPr>
        <xdr:cNvPr id="837" name="Minus 382">
          <a:extLst>
            <a:ext uri="{FF2B5EF4-FFF2-40B4-BE49-F238E27FC236}">
              <a16:creationId xmlns:a16="http://schemas.microsoft.com/office/drawing/2014/main" id="{EA8D0D48-EF6A-4552-ADAA-F3E852DCC3F0}"/>
            </a:ext>
          </a:extLst>
        </xdr:cNvPr>
        <xdr:cNvSpPr/>
      </xdr:nvSpPr>
      <xdr:spPr>
        <a:xfrm>
          <a:off x="66865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166</xdr:row>
      <xdr:rowOff>0</xdr:rowOff>
    </xdr:from>
    <xdr:to>
      <xdr:col>31</xdr:col>
      <xdr:colOff>190500</xdr:colOff>
      <xdr:row>167</xdr:row>
      <xdr:rowOff>114299</xdr:rowOff>
    </xdr:to>
    <xdr:sp macro="" textlink="">
      <xdr:nvSpPr>
        <xdr:cNvPr id="838" name="Minus 382">
          <a:extLst>
            <a:ext uri="{FF2B5EF4-FFF2-40B4-BE49-F238E27FC236}">
              <a16:creationId xmlns:a16="http://schemas.microsoft.com/office/drawing/2014/main" id="{AB7B7006-9F3F-478D-88AA-8E035AE3906C}"/>
            </a:ext>
          </a:extLst>
        </xdr:cNvPr>
        <xdr:cNvSpPr/>
      </xdr:nvSpPr>
      <xdr:spPr>
        <a:xfrm>
          <a:off x="76771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166</xdr:row>
      <xdr:rowOff>0</xdr:rowOff>
    </xdr:from>
    <xdr:to>
      <xdr:col>35</xdr:col>
      <xdr:colOff>190500</xdr:colOff>
      <xdr:row>167</xdr:row>
      <xdr:rowOff>114299</xdr:rowOff>
    </xdr:to>
    <xdr:sp macro="" textlink="">
      <xdr:nvSpPr>
        <xdr:cNvPr id="839" name="Minus 382">
          <a:extLst>
            <a:ext uri="{FF2B5EF4-FFF2-40B4-BE49-F238E27FC236}">
              <a16:creationId xmlns:a16="http://schemas.microsoft.com/office/drawing/2014/main" id="{25E5D38F-9E03-4DDF-AFB4-E5011BB46017}"/>
            </a:ext>
          </a:extLst>
        </xdr:cNvPr>
        <xdr:cNvSpPr/>
      </xdr:nvSpPr>
      <xdr:spPr>
        <a:xfrm>
          <a:off x="86677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166</xdr:row>
      <xdr:rowOff>0</xdr:rowOff>
    </xdr:from>
    <xdr:to>
      <xdr:col>39</xdr:col>
      <xdr:colOff>190500</xdr:colOff>
      <xdr:row>167</xdr:row>
      <xdr:rowOff>114299</xdr:rowOff>
    </xdr:to>
    <xdr:sp macro="" textlink="">
      <xdr:nvSpPr>
        <xdr:cNvPr id="840" name="Minus 382">
          <a:extLst>
            <a:ext uri="{FF2B5EF4-FFF2-40B4-BE49-F238E27FC236}">
              <a16:creationId xmlns:a16="http://schemas.microsoft.com/office/drawing/2014/main" id="{753A5058-50C2-4EB3-86BD-94BB3864D354}"/>
            </a:ext>
          </a:extLst>
        </xdr:cNvPr>
        <xdr:cNvSpPr/>
      </xdr:nvSpPr>
      <xdr:spPr>
        <a:xfrm>
          <a:off x="96583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166</xdr:row>
      <xdr:rowOff>0</xdr:rowOff>
    </xdr:from>
    <xdr:to>
      <xdr:col>43</xdr:col>
      <xdr:colOff>190500</xdr:colOff>
      <xdr:row>167</xdr:row>
      <xdr:rowOff>114299</xdr:rowOff>
    </xdr:to>
    <xdr:sp macro="" textlink="">
      <xdr:nvSpPr>
        <xdr:cNvPr id="841" name="Minus 382">
          <a:extLst>
            <a:ext uri="{FF2B5EF4-FFF2-40B4-BE49-F238E27FC236}">
              <a16:creationId xmlns:a16="http://schemas.microsoft.com/office/drawing/2014/main" id="{ABF164DD-399D-4602-8D3B-DE3B23DBFC1F}"/>
            </a:ext>
          </a:extLst>
        </xdr:cNvPr>
        <xdr:cNvSpPr/>
      </xdr:nvSpPr>
      <xdr:spPr>
        <a:xfrm>
          <a:off x="106489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176</xdr:row>
      <xdr:rowOff>0</xdr:rowOff>
    </xdr:from>
    <xdr:to>
      <xdr:col>3</xdr:col>
      <xdr:colOff>190500</xdr:colOff>
      <xdr:row>177</xdr:row>
      <xdr:rowOff>114299</xdr:rowOff>
    </xdr:to>
    <xdr:sp macro="" textlink="">
      <xdr:nvSpPr>
        <xdr:cNvPr id="842" name="Minus 382">
          <a:extLst>
            <a:ext uri="{FF2B5EF4-FFF2-40B4-BE49-F238E27FC236}">
              <a16:creationId xmlns:a16="http://schemas.microsoft.com/office/drawing/2014/main" id="{BC8D971B-2AFB-496C-A615-CF71739B5775}"/>
            </a:ext>
          </a:extLst>
        </xdr:cNvPr>
        <xdr:cNvSpPr/>
      </xdr:nvSpPr>
      <xdr:spPr>
        <a:xfrm>
          <a:off x="7429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176</xdr:row>
      <xdr:rowOff>0</xdr:rowOff>
    </xdr:from>
    <xdr:to>
      <xdr:col>7</xdr:col>
      <xdr:colOff>190500</xdr:colOff>
      <xdr:row>177</xdr:row>
      <xdr:rowOff>114299</xdr:rowOff>
    </xdr:to>
    <xdr:sp macro="" textlink="">
      <xdr:nvSpPr>
        <xdr:cNvPr id="843" name="Minus 382">
          <a:extLst>
            <a:ext uri="{FF2B5EF4-FFF2-40B4-BE49-F238E27FC236}">
              <a16:creationId xmlns:a16="http://schemas.microsoft.com/office/drawing/2014/main" id="{922B52F1-F092-4E7E-98EE-A68672C75C91}"/>
            </a:ext>
          </a:extLst>
        </xdr:cNvPr>
        <xdr:cNvSpPr/>
      </xdr:nvSpPr>
      <xdr:spPr>
        <a:xfrm>
          <a:off x="17335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176</xdr:row>
      <xdr:rowOff>0</xdr:rowOff>
    </xdr:from>
    <xdr:to>
      <xdr:col>11</xdr:col>
      <xdr:colOff>190500</xdr:colOff>
      <xdr:row>177</xdr:row>
      <xdr:rowOff>114299</xdr:rowOff>
    </xdr:to>
    <xdr:sp macro="" textlink="">
      <xdr:nvSpPr>
        <xdr:cNvPr id="844" name="Minus 382">
          <a:extLst>
            <a:ext uri="{FF2B5EF4-FFF2-40B4-BE49-F238E27FC236}">
              <a16:creationId xmlns:a16="http://schemas.microsoft.com/office/drawing/2014/main" id="{5365FE72-815E-423B-BAB7-A2DCA5F9266D}"/>
            </a:ext>
          </a:extLst>
        </xdr:cNvPr>
        <xdr:cNvSpPr/>
      </xdr:nvSpPr>
      <xdr:spPr>
        <a:xfrm>
          <a:off x="27241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176</xdr:row>
      <xdr:rowOff>0</xdr:rowOff>
    </xdr:from>
    <xdr:to>
      <xdr:col>15</xdr:col>
      <xdr:colOff>190500</xdr:colOff>
      <xdr:row>177</xdr:row>
      <xdr:rowOff>114299</xdr:rowOff>
    </xdr:to>
    <xdr:sp macro="" textlink="">
      <xdr:nvSpPr>
        <xdr:cNvPr id="845" name="Minus 382">
          <a:extLst>
            <a:ext uri="{FF2B5EF4-FFF2-40B4-BE49-F238E27FC236}">
              <a16:creationId xmlns:a16="http://schemas.microsoft.com/office/drawing/2014/main" id="{7A23D415-EB4A-442D-9558-ECF45F7D0C3C}"/>
            </a:ext>
          </a:extLst>
        </xdr:cNvPr>
        <xdr:cNvSpPr/>
      </xdr:nvSpPr>
      <xdr:spPr>
        <a:xfrm>
          <a:off x="37147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176</xdr:row>
      <xdr:rowOff>0</xdr:rowOff>
    </xdr:from>
    <xdr:to>
      <xdr:col>19</xdr:col>
      <xdr:colOff>190500</xdr:colOff>
      <xdr:row>177</xdr:row>
      <xdr:rowOff>114299</xdr:rowOff>
    </xdr:to>
    <xdr:sp macro="" textlink="">
      <xdr:nvSpPr>
        <xdr:cNvPr id="846" name="Minus 382">
          <a:extLst>
            <a:ext uri="{FF2B5EF4-FFF2-40B4-BE49-F238E27FC236}">
              <a16:creationId xmlns:a16="http://schemas.microsoft.com/office/drawing/2014/main" id="{0B5C37AD-950B-4EA1-8C31-3058ECDCDA0C}"/>
            </a:ext>
          </a:extLst>
        </xdr:cNvPr>
        <xdr:cNvSpPr/>
      </xdr:nvSpPr>
      <xdr:spPr>
        <a:xfrm>
          <a:off x="47053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176</xdr:row>
      <xdr:rowOff>0</xdr:rowOff>
    </xdr:from>
    <xdr:to>
      <xdr:col>23</xdr:col>
      <xdr:colOff>190500</xdr:colOff>
      <xdr:row>177</xdr:row>
      <xdr:rowOff>114299</xdr:rowOff>
    </xdr:to>
    <xdr:sp macro="" textlink="">
      <xdr:nvSpPr>
        <xdr:cNvPr id="847" name="Minus 382">
          <a:extLst>
            <a:ext uri="{FF2B5EF4-FFF2-40B4-BE49-F238E27FC236}">
              <a16:creationId xmlns:a16="http://schemas.microsoft.com/office/drawing/2014/main" id="{09B5F4AE-1716-46A9-87F6-C12428F593DD}"/>
            </a:ext>
          </a:extLst>
        </xdr:cNvPr>
        <xdr:cNvSpPr/>
      </xdr:nvSpPr>
      <xdr:spPr>
        <a:xfrm>
          <a:off x="56959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176</xdr:row>
      <xdr:rowOff>0</xdr:rowOff>
    </xdr:from>
    <xdr:to>
      <xdr:col>27</xdr:col>
      <xdr:colOff>190500</xdr:colOff>
      <xdr:row>177</xdr:row>
      <xdr:rowOff>114299</xdr:rowOff>
    </xdr:to>
    <xdr:sp macro="" textlink="">
      <xdr:nvSpPr>
        <xdr:cNvPr id="848" name="Minus 382">
          <a:extLst>
            <a:ext uri="{FF2B5EF4-FFF2-40B4-BE49-F238E27FC236}">
              <a16:creationId xmlns:a16="http://schemas.microsoft.com/office/drawing/2014/main" id="{F0D6666A-9093-4CB4-BA67-AEF704B2BE89}"/>
            </a:ext>
          </a:extLst>
        </xdr:cNvPr>
        <xdr:cNvSpPr/>
      </xdr:nvSpPr>
      <xdr:spPr>
        <a:xfrm>
          <a:off x="66865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176</xdr:row>
      <xdr:rowOff>0</xdr:rowOff>
    </xdr:from>
    <xdr:to>
      <xdr:col>31</xdr:col>
      <xdr:colOff>190500</xdr:colOff>
      <xdr:row>177</xdr:row>
      <xdr:rowOff>114299</xdr:rowOff>
    </xdr:to>
    <xdr:sp macro="" textlink="">
      <xdr:nvSpPr>
        <xdr:cNvPr id="849" name="Minus 382">
          <a:extLst>
            <a:ext uri="{FF2B5EF4-FFF2-40B4-BE49-F238E27FC236}">
              <a16:creationId xmlns:a16="http://schemas.microsoft.com/office/drawing/2014/main" id="{135B09BC-7A8C-4325-AF84-412568D5FA41}"/>
            </a:ext>
          </a:extLst>
        </xdr:cNvPr>
        <xdr:cNvSpPr/>
      </xdr:nvSpPr>
      <xdr:spPr>
        <a:xfrm>
          <a:off x="76771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176</xdr:row>
      <xdr:rowOff>0</xdr:rowOff>
    </xdr:from>
    <xdr:to>
      <xdr:col>35</xdr:col>
      <xdr:colOff>190500</xdr:colOff>
      <xdr:row>177</xdr:row>
      <xdr:rowOff>114299</xdr:rowOff>
    </xdr:to>
    <xdr:sp macro="" textlink="">
      <xdr:nvSpPr>
        <xdr:cNvPr id="850" name="Minus 382">
          <a:extLst>
            <a:ext uri="{FF2B5EF4-FFF2-40B4-BE49-F238E27FC236}">
              <a16:creationId xmlns:a16="http://schemas.microsoft.com/office/drawing/2014/main" id="{48DB99AC-D73E-48A2-BFAA-9EBCEF3B7784}"/>
            </a:ext>
          </a:extLst>
        </xdr:cNvPr>
        <xdr:cNvSpPr/>
      </xdr:nvSpPr>
      <xdr:spPr>
        <a:xfrm>
          <a:off x="86677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176</xdr:row>
      <xdr:rowOff>0</xdr:rowOff>
    </xdr:from>
    <xdr:to>
      <xdr:col>39</xdr:col>
      <xdr:colOff>190500</xdr:colOff>
      <xdr:row>177</xdr:row>
      <xdr:rowOff>114299</xdr:rowOff>
    </xdr:to>
    <xdr:sp macro="" textlink="">
      <xdr:nvSpPr>
        <xdr:cNvPr id="851" name="Minus 382">
          <a:extLst>
            <a:ext uri="{FF2B5EF4-FFF2-40B4-BE49-F238E27FC236}">
              <a16:creationId xmlns:a16="http://schemas.microsoft.com/office/drawing/2014/main" id="{E1BDEF46-ED20-4B78-AFE8-A98147B95C5D}"/>
            </a:ext>
          </a:extLst>
        </xdr:cNvPr>
        <xdr:cNvSpPr/>
      </xdr:nvSpPr>
      <xdr:spPr>
        <a:xfrm>
          <a:off x="96583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176</xdr:row>
      <xdr:rowOff>0</xdr:rowOff>
    </xdr:from>
    <xdr:to>
      <xdr:col>43</xdr:col>
      <xdr:colOff>190500</xdr:colOff>
      <xdr:row>177</xdr:row>
      <xdr:rowOff>114299</xdr:rowOff>
    </xdr:to>
    <xdr:sp macro="" textlink="">
      <xdr:nvSpPr>
        <xdr:cNvPr id="852" name="Minus 382">
          <a:extLst>
            <a:ext uri="{FF2B5EF4-FFF2-40B4-BE49-F238E27FC236}">
              <a16:creationId xmlns:a16="http://schemas.microsoft.com/office/drawing/2014/main" id="{F7EA7F0D-5FA8-4F0F-B748-580C4354E082}"/>
            </a:ext>
          </a:extLst>
        </xdr:cNvPr>
        <xdr:cNvSpPr/>
      </xdr:nvSpPr>
      <xdr:spPr>
        <a:xfrm>
          <a:off x="106489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186</xdr:row>
      <xdr:rowOff>0</xdr:rowOff>
    </xdr:from>
    <xdr:to>
      <xdr:col>3</xdr:col>
      <xdr:colOff>190500</xdr:colOff>
      <xdr:row>187</xdr:row>
      <xdr:rowOff>114299</xdr:rowOff>
    </xdr:to>
    <xdr:sp macro="" textlink="">
      <xdr:nvSpPr>
        <xdr:cNvPr id="853" name="Minus 382">
          <a:extLst>
            <a:ext uri="{FF2B5EF4-FFF2-40B4-BE49-F238E27FC236}">
              <a16:creationId xmlns:a16="http://schemas.microsoft.com/office/drawing/2014/main" id="{0ADEC577-8933-451E-A8A2-C5FFC532DD6E}"/>
            </a:ext>
          </a:extLst>
        </xdr:cNvPr>
        <xdr:cNvSpPr/>
      </xdr:nvSpPr>
      <xdr:spPr>
        <a:xfrm>
          <a:off x="7429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186</xdr:row>
      <xdr:rowOff>0</xdr:rowOff>
    </xdr:from>
    <xdr:to>
      <xdr:col>7</xdr:col>
      <xdr:colOff>190500</xdr:colOff>
      <xdr:row>187</xdr:row>
      <xdr:rowOff>114299</xdr:rowOff>
    </xdr:to>
    <xdr:sp macro="" textlink="">
      <xdr:nvSpPr>
        <xdr:cNvPr id="854" name="Minus 382">
          <a:extLst>
            <a:ext uri="{FF2B5EF4-FFF2-40B4-BE49-F238E27FC236}">
              <a16:creationId xmlns:a16="http://schemas.microsoft.com/office/drawing/2014/main" id="{F01BE3A1-3E6D-49D1-A04A-AA76700D9315}"/>
            </a:ext>
          </a:extLst>
        </xdr:cNvPr>
        <xdr:cNvSpPr/>
      </xdr:nvSpPr>
      <xdr:spPr>
        <a:xfrm>
          <a:off x="17335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186</xdr:row>
      <xdr:rowOff>0</xdr:rowOff>
    </xdr:from>
    <xdr:to>
      <xdr:col>11</xdr:col>
      <xdr:colOff>190500</xdr:colOff>
      <xdr:row>187</xdr:row>
      <xdr:rowOff>114299</xdr:rowOff>
    </xdr:to>
    <xdr:sp macro="" textlink="">
      <xdr:nvSpPr>
        <xdr:cNvPr id="855" name="Minus 382">
          <a:extLst>
            <a:ext uri="{FF2B5EF4-FFF2-40B4-BE49-F238E27FC236}">
              <a16:creationId xmlns:a16="http://schemas.microsoft.com/office/drawing/2014/main" id="{A4E66471-DDDA-4585-B2CF-5742B36A17AD}"/>
            </a:ext>
          </a:extLst>
        </xdr:cNvPr>
        <xdr:cNvSpPr/>
      </xdr:nvSpPr>
      <xdr:spPr>
        <a:xfrm>
          <a:off x="27241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186</xdr:row>
      <xdr:rowOff>0</xdr:rowOff>
    </xdr:from>
    <xdr:to>
      <xdr:col>15</xdr:col>
      <xdr:colOff>190500</xdr:colOff>
      <xdr:row>187</xdr:row>
      <xdr:rowOff>114299</xdr:rowOff>
    </xdr:to>
    <xdr:sp macro="" textlink="">
      <xdr:nvSpPr>
        <xdr:cNvPr id="856" name="Minus 382">
          <a:extLst>
            <a:ext uri="{FF2B5EF4-FFF2-40B4-BE49-F238E27FC236}">
              <a16:creationId xmlns:a16="http://schemas.microsoft.com/office/drawing/2014/main" id="{6367F366-47CB-46C5-847F-008EA67AECBE}"/>
            </a:ext>
          </a:extLst>
        </xdr:cNvPr>
        <xdr:cNvSpPr/>
      </xdr:nvSpPr>
      <xdr:spPr>
        <a:xfrm>
          <a:off x="37147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186</xdr:row>
      <xdr:rowOff>0</xdr:rowOff>
    </xdr:from>
    <xdr:to>
      <xdr:col>19</xdr:col>
      <xdr:colOff>190500</xdr:colOff>
      <xdr:row>187</xdr:row>
      <xdr:rowOff>114299</xdr:rowOff>
    </xdr:to>
    <xdr:sp macro="" textlink="">
      <xdr:nvSpPr>
        <xdr:cNvPr id="857" name="Minus 382">
          <a:extLst>
            <a:ext uri="{FF2B5EF4-FFF2-40B4-BE49-F238E27FC236}">
              <a16:creationId xmlns:a16="http://schemas.microsoft.com/office/drawing/2014/main" id="{20BDD301-C358-4553-9E60-C196045FE817}"/>
            </a:ext>
          </a:extLst>
        </xdr:cNvPr>
        <xdr:cNvSpPr/>
      </xdr:nvSpPr>
      <xdr:spPr>
        <a:xfrm>
          <a:off x="47053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186</xdr:row>
      <xdr:rowOff>0</xdr:rowOff>
    </xdr:from>
    <xdr:to>
      <xdr:col>23</xdr:col>
      <xdr:colOff>190500</xdr:colOff>
      <xdr:row>187</xdr:row>
      <xdr:rowOff>114299</xdr:rowOff>
    </xdr:to>
    <xdr:sp macro="" textlink="">
      <xdr:nvSpPr>
        <xdr:cNvPr id="858" name="Minus 382">
          <a:extLst>
            <a:ext uri="{FF2B5EF4-FFF2-40B4-BE49-F238E27FC236}">
              <a16:creationId xmlns:a16="http://schemas.microsoft.com/office/drawing/2014/main" id="{2BE211D0-05D6-4969-9BBE-1D2BD5FD2936}"/>
            </a:ext>
          </a:extLst>
        </xdr:cNvPr>
        <xdr:cNvSpPr/>
      </xdr:nvSpPr>
      <xdr:spPr>
        <a:xfrm>
          <a:off x="56959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186</xdr:row>
      <xdr:rowOff>0</xdr:rowOff>
    </xdr:from>
    <xdr:to>
      <xdr:col>27</xdr:col>
      <xdr:colOff>190500</xdr:colOff>
      <xdr:row>187</xdr:row>
      <xdr:rowOff>114299</xdr:rowOff>
    </xdr:to>
    <xdr:sp macro="" textlink="">
      <xdr:nvSpPr>
        <xdr:cNvPr id="859" name="Minus 382">
          <a:extLst>
            <a:ext uri="{FF2B5EF4-FFF2-40B4-BE49-F238E27FC236}">
              <a16:creationId xmlns:a16="http://schemas.microsoft.com/office/drawing/2014/main" id="{9B341374-F2E9-4D2F-8BD8-E958B8C96562}"/>
            </a:ext>
          </a:extLst>
        </xdr:cNvPr>
        <xdr:cNvSpPr/>
      </xdr:nvSpPr>
      <xdr:spPr>
        <a:xfrm>
          <a:off x="66865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186</xdr:row>
      <xdr:rowOff>0</xdr:rowOff>
    </xdr:from>
    <xdr:to>
      <xdr:col>31</xdr:col>
      <xdr:colOff>190500</xdr:colOff>
      <xdr:row>187</xdr:row>
      <xdr:rowOff>114299</xdr:rowOff>
    </xdr:to>
    <xdr:sp macro="" textlink="">
      <xdr:nvSpPr>
        <xdr:cNvPr id="860" name="Minus 382">
          <a:extLst>
            <a:ext uri="{FF2B5EF4-FFF2-40B4-BE49-F238E27FC236}">
              <a16:creationId xmlns:a16="http://schemas.microsoft.com/office/drawing/2014/main" id="{DC0F1BF5-0FC7-4F56-A7C7-651E6D4FA6AE}"/>
            </a:ext>
          </a:extLst>
        </xdr:cNvPr>
        <xdr:cNvSpPr/>
      </xdr:nvSpPr>
      <xdr:spPr>
        <a:xfrm>
          <a:off x="76771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186</xdr:row>
      <xdr:rowOff>0</xdr:rowOff>
    </xdr:from>
    <xdr:to>
      <xdr:col>35</xdr:col>
      <xdr:colOff>190500</xdr:colOff>
      <xdr:row>187</xdr:row>
      <xdr:rowOff>114299</xdr:rowOff>
    </xdr:to>
    <xdr:sp macro="" textlink="">
      <xdr:nvSpPr>
        <xdr:cNvPr id="861" name="Minus 382">
          <a:extLst>
            <a:ext uri="{FF2B5EF4-FFF2-40B4-BE49-F238E27FC236}">
              <a16:creationId xmlns:a16="http://schemas.microsoft.com/office/drawing/2014/main" id="{2C459B87-57E8-410E-B956-71065E0DD974}"/>
            </a:ext>
          </a:extLst>
        </xdr:cNvPr>
        <xdr:cNvSpPr/>
      </xdr:nvSpPr>
      <xdr:spPr>
        <a:xfrm>
          <a:off x="86677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186</xdr:row>
      <xdr:rowOff>0</xdr:rowOff>
    </xdr:from>
    <xdr:to>
      <xdr:col>39</xdr:col>
      <xdr:colOff>190500</xdr:colOff>
      <xdr:row>187</xdr:row>
      <xdr:rowOff>114299</xdr:rowOff>
    </xdr:to>
    <xdr:sp macro="" textlink="">
      <xdr:nvSpPr>
        <xdr:cNvPr id="862" name="Minus 382">
          <a:extLst>
            <a:ext uri="{FF2B5EF4-FFF2-40B4-BE49-F238E27FC236}">
              <a16:creationId xmlns:a16="http://schemas.microsoft.com/office/drawing/2014/main" id="{8F9E3F19-6B30-48AC-9A2F-B4DDD0B43DA0}"/>
            </a:ext>
          </a:extLst>
        </xdr:cNvPr>
        <xdr:cNvSpPr/>
      </xdr:nvSpPr>
      <xdr:spPr>
        <a:xfrm>
          <a:off x="96583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186</xdr:row>
      <xdr:rowOff>0</xdr:rowOff>
    </xdr:from>
    <xdr:to>
      <xdr:col>43</xdr:col>
      <xdr:colOff>190500</xdr:colOff>
      <xdr:row>187</xdr:row>
      <xdr:rowOff>114299</xdr:rowOff>
    </xdr:to>
    <xdr:sp macro="" textlink="">
      <xdr:nvSpPr>
        <xdr:cNvPr id="863" name="Minus 382">
          <a:extLst>
            <a:ext uri="{FF2B5EF4-FFF2-40B4-BE49-F238E27FC236}">
              <a16:creationId xmlns:a16="http://schemas.microsoft.com/office/drawing/2014/main" id="{4536EE8E-8BC2-40DC-B33D-5460958D4E31}"/>
            </a:ext>
          </a:extLst>
        </xdr:cNvPr>
        <xdr:cNvSpPr/>
      </xdr:nvSpPr>
      <xdr:spPr>
        <a:xfrm>
          <a:off x="106489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196</xdr:row>
      <xdr:rowOff>0</xdr:rowOff>
    </xdr:from>
    <xdr:to>
      <xdr:col>3</xdr:col>
      <xdr:colOff>190500</xdr:colOff>
      <xdr:row>197</xdr:row>
      <xdr:rowOff>114299</xdr:rowOff>
    </xdr:to>
    <xdr:sp macro="" textlink="">
      <xdr:nvSpPr>
        <xdr:cNvPr id="864" name="Minus 382">
          <a:extLst>
            <a:ext uri="{FF2B5EF4-FFF2-40B4-BE49-F238E27FC236}">
              <a16:creationId xmlns:a16="http://schemas.microsoft.com/office/drawing/2014/main" id="{89BF6618-6472-4C39-8B2F-C7C135E40DEB}"/>
            </a:ext>
          </a:extLst>
        </xdr:cNvPr>
        <xdr:cNvSpPr/>
      </xdr:nvSpPr>
      <xdr:spPr>
        <a:xfrm>
          <a:off x="7429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196</xdr:row>
      <xdr:rowOff>0</xdr:rowOff>
    </xdr:from>
    <xdr:to>
      <xdr:col>7</xdr:col>
      <xdr:colOff>190500</xdr:colOff>
      <xdr:row>197</xdr:row>
      <xdr:rowOff>114299</xdr:rowOff>
    </xdr:to>
    <xdr:sp macro="" textlink="">
      <xdr:nvSpPr>
        <xdr:cNvPr id="865" name="Minus 382">
          <a:extLst>
            <a:ext uri="{FF2B5EF4-FFF2-40B4-BE49-F238E27FC236}">
              <a16:creationId xmlns:a16="http://schemas.microsoft.com/office/drawing/2014/main" id="{5FBBD9AD-582B-4635-B8DE-A5BAE6C30B78}"/>
            </a:ext>
          </a:extLst>
        </xdr:cNvPr>
        <xdr:cNvSpPr/>
      </xdr:nvSpPr>
      <xdr:spPr>
        <a:xfrm>
          <a:off x="17335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196</xdr:row>
      <xdr:rowOff>0</xdr:rowOff>
    </xdr:from>
    <xdr:to>
      <xdr:col>11</xdr:col>
      <xdr:colOff>190500</xdr:colOff>
      <xdr:row>197</xdr:row>
      <xdr:rowOff>114299</xdr:rowOff>
    </xdr:to>
    <xdr:sp macro="" textlink="">
      <xdr:nvSpPr>
        <xdr:cNvPr id="866" name="Minus 382">
          <a:extLst>
            <a:ext uri="{FF2B5EF4-FFF2-40B4-BE49-F238E27FC236}">
              <a16:creationId xmlns:a16="http://schemas.microsoft.com/office/drawing/2014/main" id="{0A98F883-8BD2-490C-A094-AE4205D2FDE2}"/>
            </a:ext>
          </a:extLst>
        </xdr:cNvPr>
        <xdr:cNvSpPr/>
      </xdr:nvSpPr>
      <xdr:spPr>
        <a:xfrm>
          <a:off x="27241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196</xdr:row>
      <xdr:rowOff>0</xdr:rowOff>
    </xdr:from>
    <xdr:to>
      <xdr:col>15</xdr:col>
      <xdr:colOff>190500</xdr:colOff>
      <xdr:row>197</xdr:row>
      <xdr:rowOff>114299</xdr:rowOff>
    </xdr:to>
    <xdr:sp macro="" textlink="">
      <xdr:nvSpPr>
        <xdr:cNvPr id="867" name="Minus 382">
          <a:extLst>
            <a:ext uri="{FF2B5EF4-FFF2-40B4-BE49-F238E27FC236}">
              <a16:creationId xmlns:a16="http://schemas.microsoft.com/office/drawing/2014/main" id="{0EF284E1-9042-4FF8-A1DB-84FD64F04379}"/>
            </a:ext>
          </a:extLst>
        </xdr:cNvPr>
        <xdr:cNvSpPr/>
      </xdr:nvSpPr>
      <xdr:spPr>
        <a:xfrm>
          <a:off x="37147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196</xdr:row>
      <xdr:rowOff>0</xdr:rowOff>
    </xdr:from>
    <xdr:to>
      <xdr:col>19</xdr:col>
      <xdr:colOff>190500</xdr:colOff>
      <xdr:row>197</xdr:row>
      <xdr:rowOff>114299</xdr:rowOff>
    </xdr:to>
    <xdr:sp macro="" textlink="">
      <xdr:nvSpPr>
        <xdr:cNvPr id="868" name="Minus 382">
          <a:extLst>
            <a:ext uri="{FF2B5EF4-FFF2-40B4-BE49-F238E27FC236}">
              <a16:creationId xmlns:a16="http://schemas.microsoft.com/office/drawing/2014/main" id="{89672F29-8E7B-437A-9BEA-ADF3C71AA736}"/>
            </a:ext>
          </a:extLst>
        </xdr:cNvPr>
        <xdr:cNvSpPr/>
      </xdr:nvSpPr>
      <xdr:spPr>
        <a:xfrm>
          <a:off x="47053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196</xdr:row>
      <xdr:rowOff>0</xdr:rowOff>
    </xdr:from>
    <xdr:to>
      <xdr:col>23</xdr:col>
      <xdr:colOff>190500</xdr:colOff>
      <xdr:row>197</xdr:row>
      <xdr:rowOff>114299</xdr:rowOff>
    </xdr:to>
    <xdr:sp macro="" textlink="">
      <xdr:nvSpPr>
        <xdr:cNvPr id="869" name="Minus 382">
          <a:extLst>
            <a:ext uri="{FF2B5EF4-FFF2-40B4-BE49-F238E27FC236}">
              <a16:creationId xmlns:a16="http://schemas.microsoft.com/office/drawing/2014/main" id="{BBFC81F3-F963-4536-ADFC-2504333D2541}"/>
            </a:ext>
          </a:extLst>
        </xdr:cNvPr>
        <xdr:cNvSpPr/>
      </xdr:nvSpPr>
      <xdr:spPr>
        <a:xfrm>
          <a:off x="56959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196</xdr:row>
      <xdr:rowOff>0</xdr:rowOff>
    </xdr:from>
    <xdr:to>
      <xdr:col>27</xdr:col>
      <xdr:colOff>190500</xdr:colOff>
      <xdr:row>197</xdr:row>
      <xdr:rowOff>114299</xdr:rowOff>
    </xdr:to>
    <xdr:sp macro="" textlink="">
      <xdr:nvSpPr>
        <xdr:cNvPr id="870" name="Minus 382">
          <a:extLst>
            <a:ext uri="{FF2B5EF4-FFF2-40B4-BE49-F238E27FC236}">
              <a16:creationId xmlns:a16="http://schemas.microsoft.com/office/drawing/2014/main" id="{036D4352-E666-42D7-8873-BDA32BFBF877}"/>
            </a:ext>
          </a:extLst>
        </xdr:cNvPr>
        <xdr:cNvSpPr/>
      </xdr:nvSpPr>
      <xdr:spPr>
        <a:xfrm>
          <a:off x="66865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196</xdr:row>
      <xdr:rowOff>0</xdr:rowOff>
    </xdr:from>
    <xdr:to>
      <xdr:col>31</xdr:col>
      <xdr:colOff>190500</xdr:colOff>
      <xdr:row>197</xdr:row>
      <xdr:rowOff>114299</xdr:rowOff>
    </xdr:to>
    <xdr:sp macro="" textlink="">
      <xdr:nvSpPr>
        <xdr:cNvPr id="871" name="Minus 382">
          <a:extLst>
            <a:ext uri="{FF2B5EF4-FFF2-40B4-BE49-F238E27FC236}">
              <a16:creationId xmlns:a16="http://schemas.microsoft.com/office/drawing/2014/main" id="{274EB24A-1CF5-481C-AC6C-0818BD58844A}"/>
            </a:ext>
          </a:extLst>
        </xdr:cNvPr>
        <xdr:cNvSpPr/>
      </xdr:nvSpPr>
      <xdr:spPr>
        <a:xfrm>
          <a:off x="76771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196</xdr:row>
      <xdr:rowOff>0</xdr:rowOff>
    </xdr:from>
    <xdr:to>
      <xdr:col>35</xdr:col>
      <xdr:colOff>190500</xdr:colOff>
      <xdr:row>197</xdr:row>
      <xdr:rowOff>114299</xdr:rowOff>
    </xdr:to>
    <xdr:sp macro="" textlink="">
      <xdr:nvSpPr>
        <xdr:cNvPr id="872" name="Minus 382">
          <a:extLst>
            <a:ext uri="{FF2B5EF4-FFF2-40B4-BE49-F238E27FC236}">
              <a16:creationId xmlns:a16="http://schemas.microsoft.com/office/drawing/2014/main" id="{91281455-4235-4A00-9B50-B9679A444710}"/>
            </a:ext>
          </a:extLst>
        </xdr:cNvPr>
        <xdr:cNvSpPr/>
      </xdr:nvSpPr>
      <xdr:spPr>
        <a:xfrm>
          <a:off x="86677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196</xdr:row>
      <xdr:rowOff>0</xdr:rowOff>
    </xdr:from>
    <xdr:to>
      <xdr:col>39</xdr:col>
      <xdr:colOff>190500</xdr:colOff>
      <xdr:row>197</xdr:row>
      <xdr:rowOff>114299</xdr:rowOff>
    </xdr:to>
    <xdr:sp macro="" textlink="">
      <xdr:nvSpPr>
        <xdr:cNvPr id="873" name="Minus 382">
          <a:extLst>
            <a:ext uri="{FF2B5EF4-FFF2-40B4-BE49-F238E27FC236}">
              <a16:creationId xmlns:a16="http://schemas.microsoft.com/office/drawing/2014/main" id="{633FC463-0C17-4E6F-8078-BCB1DD77BAFD}"/>
            </a:ext>
          </a:extLst>
        </xdr:cNvPr>
        <xdr:cNvSpPr/>
      </xdr:nvSpPr>
      <xdr:spPr>
        <a:xfrm>
          <a:off x="96583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196</xdr:row>
      <xdr:rowOff>0</xdr:rowOff>
    </xdr:from>
    <xdr:to>
      <xdr:col>43</xdr:col>
      <xdr:colOff>190500</xdr:colOff>
      <xdr:row>197</xdr:row>
      <xdr:rowOff>114299</xdr:rowOff>
    </xdr:to>
    <xdr:sp macro="" textlink="">
      <xdr:nvSpPr>
        <xdr:cNvPr id="874" name="Minus 382">
          <a:extLst>
            <a:ext uri="{FF2B5EF4-FFF2-40B4-BE49-F238E27FC236}">
              <a16:creationId xmlns:a16="http://schemas.microsoft.com/office/drawing/2014/main" id="{879479CB-9377-4F6F-A13F-A2B99955477E}"/>
            </a:ext>
          </a:extLst>
        </xdr:cNvPr>
        <xdr:cNvSpPr/>
      </xdr:nvSpPr>
      <xdr:spPr>
        <a:xfrm>
          <a:off x="10648950" y="366331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206</xdr:row>
      <xdr:rowOff>0</xdr:rowOff>
    </xdr:from>
    <xdr:to>
      <xdr:col>3</xdr:col>
      <xdr:colOff>190500</xdr:colOff>
      <xdr:row>207</xdr:row>
      <xdr:rowOff>114299</xdr:rowOff>
    </xdr:to>
    <xdr:sp macro="" textlink="">
      <xdr:nvSpPr>
        <xdr:cNvPr id="875" name="Minus 382">
          <a:extLst>
            <a:ext uri="{FF2B5EF4-FFF2-40B4-BE49-F238E27FC236}">
              <a16:creationId xmlns:a16="http://schemas.microsoft.com/office/drawing/2014/main" id="{55DDE486-3E39-4A97-B001-F3E2E41011B4}"/>
            </a:ext>
          </a:extLst>
        </xdr:cNvPr>
        <xdr:cNvSpPr/>
      </xdr:nvSpPr>
      <xdr:spPr>
        <a:xfrm>
          <a:off x="742950" y="384810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206</xdr:row>
      <xdr:rowOff>0</xdr:rowOff>
    </xdr:from>
    <xdr:to>
      <xdr:col>7</xdr:col>
      <xdr:colOff>190500</xdr:colOff>
      <xdr:row>207</xdr:row>
      <xdr:rowOff>114299</xdr:rowOff>
    </xdr:to>
    <xdr:sp macro="" textlink="">
      <xdr:nvSpPr>
        <xdr:cNvPr id="876" name="Minus 382">
          <a:extLst>
            <a:ext uri="{FF2B5EF4-FFF2-40B4-BE49-F238E27FC236}">
              <a16:creationId xmlns:a16="http://schemas.microsoft.com/office/drawing/2014/main" id="{1B7D6B4B-828A-4DD3-AF99-02812EBC6A54}"/>
            </a:ext>
          </a:extLst>
        </xdr:cNvPr>
        <xdr:cNvSpPr/>
      </xdr:nvSpPr>
      <xdr:spPr>
        <a:xfrm>
          <a:off x="17335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206</xdr:row>
      <xdr:rowOff>0</xdr:rowOff>
    </xdr:from>
    <xdr:to>
      <xdr:col>11</xdr:col>
      <xdr:colOff>190500</xdr:colOff>
      <xdr:row>207</xdr:row>
      <xdr:rowOff>114299</xdr:rowOff>
    </xdr:to>
    <xdr:sp macro="" textlink="">
      <xdr:nvSpPr>
        <xdr:cNvPr id="877" name="Minus 382">
          <a:extLst>
            <a:ext uri="{FF2B5EF4-FFF2-40B4-BE49-F238E27FC236}">
              <a16:creationId xmlns:a16="http://schemas.microsoft.com/office/drawing/2014/main" id="{B1F2A81A-F7BE-4996-BE2D-178FBCD894C8}"/>
            </a:ext>
          </a:extLst>
        </xdr:cNvPr>
        <xdr:cNvSpPr/>
      </xdr:nvSpPr>
      <xdr:spPr>
        <a:xfrm>
          <a:off x="27241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206</xdr:row>
      <xdr:rowOff>0</xdr:rowOff>
    </xdr:from>
    <xdr:to>
      <xdr:col>15</xdr:col>
      <xdr:colOff>190500</xdr:colOff>
      <xdr:row>207</xdr:row>
      <xdr:rowOff>114299</xdr:rowOff>
    </xdr:to>
    <xdr:sp macro="" textlink="">
      <xdr:nvSpPr>
        <xdr:cNvPr id="878" name="Minus 382">
          <a:extLst>
            <a:ext uri="{FF2B5EF4-FFF2-40B4-BE49-F238E27FC236}">
              <a16:creationId xmlns:a16="http://schemas.microsoft.com/office/drawing/2014/main" id="{F2AA1B3C-E0C0-494F-B85A-610A3399F13E}"/>
            </a:ext>
          </a:extLst>
        </xdr:cNvPr>
        <xdr:cNvSpPr/>
      </xdr:nvSpPr>
      <xdr:spPr>
        <a:xfrm>
          <a:off x="37147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206</xdr:row>
      <xdr:rowOff>0</xdr:rowOff>
    </xdr:from>
    <xdr:to>
      <xdr:col>19</xdr:col>
      <xdr:colOff>190500</xdr:colOff>
      <xdr:row>207</xdr:row>
      <xdr:rowOff>114299</xdr:rowOff>
    </xdr:to>
    <xdr:sp macro="" textlink="">
      <xdr:nvSpPr>
        <xdr:cNvPr id="879" name="Minus 382">
          <a:extLst>
            <a:ext uri="{FF2B5EF4-FFF2-40B4-BE49-F238E27FC236}">
              <a16:creationId xmlns:a16="http://schemas.microsoft.com/office/drawing/2014/main" id="{F6BA7E0F-2930-4C2F-86B9-5BBA5DAFE64F}"/>
            </a:ext>
          </a:extLst>
        </xdr:cNvPr>
        <xdr:cNvSpPr/>
      </xdr:nvSpPr>
      <xdr:spPr>
        <a:xfrm>
          <a:off x="4705350" y="384810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206</xdr:row>
      <xdr:rowOff>0</xdr:rowOff>
    </xdr:from>
    <xdr:to>
      <xdr:col>23</xdr:col>
      <xdr:colOff>190500</xdr:colOff>
      <xdr:row>207</xdr:row>
      <xdr:rowOff>114299</xdr:rowOff>
    </xdr:to>
    <xdr:sp macro="" textlink="">
      <xdr:nvSpPr>
        <xdr:cNvPr id="880" name="Minus 382">
          <a:extLst>
            <a:ext uri="{FF2B5EF4-FFF2-40B4-BE49-F238E27FC236}">
              <a16:creationId xmlns:a16="http://schemas.microsoft.com/office/drawing/2014/main" id="{304E5752-5D23-4275-8738-1D0C98DE5959}"/>
            </a:ext>
          </a:extLst>
        </xdr:cNvPr>
        <xdr:cNvSpPr/>
      </xdr:nvSpPr>
      <xdr:spPr>
        <a:xfrm>
          <a:off x="5695950" y="384810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206</xdr:row>
      <xdr:rowOff>0</xdr:rowOff>
    </xdr:from>
    <xdr:to>
      <xdr:col>27</xdr:col>
      <xdr:colOff>190500</xdr:colOff>
      <xdr:row>207</xdr:row>
      <xdr:rowOff>114299</xdr:rowOff>
    </xdr:to>
    <xdr:sp macro="" textlink="">
      <xdr:nvSpPr>
        <xdr:cNvPr id="881" name="Minus 382">
          <a:extLst>
            <a:ext uri="{FF2B5EF4-FFF2-40B4-BE49-F238E27FC236}">
              <a16:creationId xmlns:a16="http://schemas.microsoft.com/office/drawing/2014/main" id="{DBBEE170-49A5-4D60-9755-C0E81086C598}"/>
            </a:ext>
          </a:extLst>
        </xdr:cNvPr>
        <xdr:cNvSpPr/>
      </xdr:nvSpPr>
      <xdr:spPr>
        <a:xfrm>
          <a:off x="66865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206</xdr:row>
      <xdr:rowOff>0</xdr:rowOff>
    </xdr:from>
    <xdr:to>
      <xdr:col>31</xdr:col>
      <xdr:colOff>190500</xdr:colOff>
      <xdr:row>207</xdr:row>
      <xdr:rowOff>114299</xdr:rowOff>
    </xdr:to>
    <xdr:sp macro="" textlink="">
      <xdr:nvSpPr>
        <xdr:cNvPr id="882" name="Minus 382">
          <a:extLst>
            <a:ext uri="{FF2B5EF4-FFF2-40B4-BE49-F238E27FC236}">
              <a16:creationId xmlns:a16="http://schemas.microsoft.com/office/drawing/2014/main" id="{F0117BFD-94CA-45D0-BB36-26880AB7A6CE}"/>
            </a:ext>
          </a:extLst>
        </xdr:cNvPr>
        <xdr:cNvSpPr/>
      </xdr:nvSpPr>
      <xdr:spPr>
        <a:xfrm>
          <a:off x="76771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206</xdr:row>
      <xdr:rowOff>0</xdr:rowOff>
    </xdr:from>
    <xdr:to>
      <xdr:col>35</xdr:col>
      <xdr:colOff>190500</xdr:colOff>
      <xdr:row>207</xdr:row>
      <xdr:rowOff>114299</xdr:rowOff>
    </xdr:to>
    <xdr:sp macro="" textlink="">
      <xdr:nvSpPr>
        <xdr:cNvPr id="883" name="Minus 382">
          <a:extLst>
            <a:ext uri="{FF2B5EF4-FFF2-40B4-BE49-F238E27FC236}">
              <a16:creationId xmlns:a16="http://schemas.microsoft.com/office/drawing/2014/main" id="{04164374-6DEB-4999-8311-4C33C985BDE9}"/>
            </a:ext>
          </a:extLst>
        </xdr:cNvPr>
        <xdr:cNvSpPr/>
      </xdr:nvSpPr>
      <xdr:spPr>
        <a:xfrm>
          <a:off x="86677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206</xdr:row>
      <xdr:rowOff>0</xdr:rowOff>
    </xdr:from>
    <xdr:to>
      <xdr:col>39</xdr:col>
      <xdr:colOff>190500</xdr:colOff>
      <xdr:row>207</xdr:row>
      <xdr:rowOff>114299</xdr:rowOff>
    </xdr:to>
    <xdr:sp macro="" textlink="">
      <xdr:nvSpPr>
        <xdr:cNvPr id="884" name="Minus 382">
          <a:extLst>
            <a:ext uri="{FF2B5EF4-FFF2-40B4-BE49-F238E27FC236}">
              <a16:creationId xmlns:a16="http://schemas.microsoft.com/office/drawing/2014/main" id="{197AC37F-EAB9-45EA-BF27-68B60F7C91D2}"/>
            </a:ext>
          </a:extLst>
        </xdr:cNvPr>
        <xdr:cNvSpPr/>
      </xdr:nvSpPr>
      <xdr:spPr>
        <a:xfrm>
          <a:off x="96583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206</xdr:row>
      <xdr:rowOff>0</xdr:rowOff>
    </xdr:from>
    <xdr:to>
      <xdr:col>43</xdr:col>
      <xdr:colOff>190500</xdr:colOff>
      <xdr:row>207</xdr:row>
      <xdr:rowOff>114299</xdr:rowOff>
    </xdr:to>
    <xdr:sp macro="" textlink="">
      <xdr:nvSpPr>
        <xdr:cNvPr id="885" name="Minus 382">
          <a:extLst>
            <a:ext uri="{FF2B5EF4-FFF2-40B4-BE49-F238E27FC236}">
              <a16:creationId xmlns:a16="http://schemas.microsoft.com/office/drawing/2014/main" id="{33B6848A-6082-476B-BF52-068F35569AA7}"/>
            </a:ext>
          </a:extLst>
        </xdr:cNvPr>
        <xdr:cNvSpPr/>
      </xdr:nvSpPr>
      <xdr:spPr>
        <a:xfrm>
          <a:off x="10648950" y="384810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216</xdr:row>
      <xdr:rowOff>0</xdr:rowOff>
    </xdr:from>
    <xdr:to>
      <xdr:col>3</xdr:col>
      <xdr:colOff>190500</xdr:colOff>
      <xdr:row>217</xdr:row>
      <xdr:rowOff>114299</xdr:rowOff>
    </xdr:to>
    <xdr:sp macro="" textlink="">
      <xdr:nvSpPr>
        <xdr:cNvPr id="886" name="Minus 382">
          <a:extLst>
            <a:ext uri="{FF2B5EF4-FFF2-40B4-BE49-F238E27FC236}">
              <a16:creationId xmlns:a16="http://schemas.microsoft.com/office/drawing/2014/main" id="{64FF3227-9140-48A1-B988-1D583DB2C46E}"/>
            </a:ext>
          </a:extLst>
        </xdr:cNvPr>
        <xdr:cNvSpPr/>
      </xdr:nvSpPr>
      <xdr:spPr>
        <a:xfrm>
          <a:off x="742950" y="403288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216</xdr:row>
      <xdr:rowOff>0</xdr:rowOff>
    </xdr:from>
    <xdr:to>
      <xdr:col>7</xdr:col>
      <xdr:colOff>190500</xdr:colOff>
      <xdr:row>217</xdr:row>
      <xdr:rowOff>114299</xdr:rowOff>
    </xdr:to>
    <xdr:sp macro="" textlink="">
      <xdr:nvSpPr>
        <xdr:cNvPr id="887" name="Minus 382">
          <a:extLst>
            <a:ext uri="{FF2B5EF4-FFF2-40B4-BE49-F238E27FC236}">
              <a16:creationId xmlns:a16="http://schemas.microsoft.com/office/drawing/2014/main" id="{DCBC9193-939B-448A-A966-46E0DDF1B147}"/>
            </a:ext>
          </a:extLst>
        </xdr:cNvPr>
        <xdr:cNvSpPr/>
      </xdr:nvSpPr>
      <xdr:spPr>
        <a:xfrm>
          <a:off x="1733550" y="403288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216</xdr:row>
      <xdr:rowOff>0</xdr:rowOff>
    </xdr:from>
    <xdr:to>
      <xdr:col>11</xdr:col>
      <xdr:colOff>190500</xdr:colOff>
      <xdr:row>217</xdr:row>
      <xdr:rowOff>114299</xdr:rowOff>
    </xdr:to>
    <xdr:sp macro="" textlink="">
      <xdr:nvSpPr>
        <xdr:cNvPr id="888" name="Minus 382">
          <a:extLst>
            <a:ext uri="{FF2B5EF4-FFF2-40B4-BE49-F238E27FC236}">
              <a16:creationId xmlns:a16="http://schemas.microsoft.com/office/drawing/2014/main" id="{145BCC01-5385-4050-BFCD-DC1ECBF2B78C}"/>
            </a:ext>
          </a:extLst>
        </xdr:cNvPr>
        <xdr:cNvSpPr/>
      </xdr:nvSpPr>
      <xdr:spPr>
        <a:xfrm>
          <a:off x="2724150" y="403288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216</xdr:row>
      <xdr:rowOff>0</xdr:rowOff>
    </xdr:from>
    <xdr:to>
      <xdr:col>15</xdr:col>
      <xdr:colOff>190500</xdr:colOff>
      <xdr:row>217</xdr:row>
      <xdr:rowOff>114299</xdr:rowOff>
    </xdr:to>
    <xdr:sp macro="" textlink="">
      <xdr:nvSpPr>
        <xdr:cNvPr id="889" name="Minus 382">
          <a:extLst>
            <a:ext uri="{FF2B5EF4-FFF2-40B4-BE49-F238E27FC236}">
              <a16:creationId xmlns:a16="http://schemas.microsoft.com/office/drawing/2014/main" id="{16B0A92A-B9CB-46DD-8A1E-B5E1CDE5D4CA}"/>
            </a:ext>
          </a:extLst>
        </xdr:cNvPr>
        <xdr:cNvSpPr/>
      </xdr:nvSpPr>
      <xdr:spPr>
        <a:xfrm>
          <a:off x="3714750" y="403288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216</xdr:row>
      <xdr:rowOff>0</xdr:rowOff>
    </xdr:from>
    <xdr:to>
      <xdr:col>19</xdr:col>
      <xdr:colOff>190500</xdr:colOff>
      <xdr:row>217</xdr:row>
      <xdr:rowOff>114299</xdr:rowOff>
    </xdr:to>
    <xdr:sp macro="" textlink="">
      <xdr:nvSpPr>
        <xdr:cNvPr id="890" name="Minus 382">
          <a:extLst>
            <a:ext uri="{FF2B5EF4-FFF2-40B4-BE49-F238E27FC236}">
              <a16:creationId xmlns:a16="http://schemas.microsoft.com/office/drawing/2014/main" id="{867CEE36-A0A7-48AC-9992-115BC915B941}"/>
            </a:ext>
          </a:extLst>
        </xdr:cNvPr>
        <xdr:cNvSpPr/>
      </xdr:nvSpPr>
      <xdr:spPr>
        <a:xfrm>
          <a:off x="47053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216</xdr:row>
      <xdr:rowOff>0</xdr:rowOff>
    </xdr:from>
    <xdr:to>
      <xdr:col>23</xdr:col>
      <xdr:colOff>190500</xdr:colOff>
      <xdr:row>217</xdr:row>
      <xdr:rowOff>114299</xdr:rowOff>
    </xdr:to>
    <xdr:sp macro="" textlink="">
      <xdr:nvSpPr>
        <xdr:cNvPr id="891" name="Minus 382">
          <a:extLst>
            <a:ext uri="{FF2B5EF4-FFF2-40B4-BE49-F238E27FC236}">
              <a16:creationId xmlns:a16="http://schemas.microsoft.com/office/drawing/2014/main" id="{C6A46914-895D-4462-BFDC-6806F9A20EE8}"/>
            </a:ext>
          </a:extLst>
        </xdr:cNvPr>
        <xdr:cNvSpPr/>
      </xdr:nvSpPr>
      <xdr:spPr>
        <a:xfrm>
          <a:off x="56959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216</xdr:row>
      <xdr:rowOff>0</xdr:rowOff>
    </xdr:from>
    <xdr:to>
      <xdr:col>27</xdr:col>
      <xdr:colOff>190500</xdr:colOff>
      <xdr:row>217</xdr:row>
      <xdr:rowOff>114299</xdr:rowOff>
    </xdr:to>
    <xdr:sp macro="" textlink="">
      <xdr:nvSpPr>
        <xdr:cNvPr id="892" name="Minus 382">
          <a:extLst>
            <a:ext uri="{FF2B5EF4-FFF2-40B4-BE49-F238E27FC236}">
              <a16:creationId xmlns:a16="http://schemas.microsoft.com/office/drawing/2014/main" id="{2B5431F3-884E-4FAF-B570-44E4FFCDCAA9}"/>
            </a:ext>
          </a:extLst>
        </xdr:cNvPr>
        <xdr:cNvSpPr/>
      </xdr:nvSpPr>
      <xdr:spPr>
        <a:xfrm>
          <a:off x="66865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216</xdr:row>
      <xdr:rowOff>0</xdr:rowOff>
    </xdr:from>
    <xdr:to>
      <xdr:col>31</xdr:col>
      <xdr:colOff>190500</xdr:colOff>
      <xdr:row>217</xdr:row>
      <xdr:rowOff>114299</xdr:rowOff>
    </xdr:to>
    <xdr:sp macro="" textlink="">
      <xdr:nvSpPr>
        <xdr:cNvPr id="893" name="Minus 382">
          <a:extLst>
            <a:ext uri="{FF2B5EF4-FFF2-40B4-BE49-F238E27FC236}">
              <a16:creationId xmlns:a16="http://schemas.microsoft.com/office/drawing/2014/main" id="{714F05AF-A53D-4CF2-B522-7C37535C1D9C}"/>
            </a:ext>
          </a:extLst>
        </xdr:cNvPr>
        <xdr:cNvSpPr/>
      </xdr:nvSpPr>
      <xdr:spPr>
        <a:xfrm>
          <a:off x="76771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216</xdr:row>
      <xdr:rowOff>0</xdr:rowOff>
    </xdr:from>
    <xdr:to>
      <xdr:col>35</xdr:col>
      <xdr:colOff>190500</xdr:colOff>
      <xdr:row>217</xdr:row>
      <xdr:rowOff>114299</xdr:rowOff>
    </xdr:to>
    <xdr:sp macro="" textlink="">
      <xdr:nvSpPr>
        <xdr:cNvPr id="894" name="Minus 382">
          <a:extLst>
            <a:ext uri="{FF2B5EF4-FFF2-40B4-BE49-F238E27FC236}">
              <a16:creationId xmlns:a16="http://schemas.microsoft.com/office/drawing/2014/main" id="{C6164414-C636-4F8B-ACB5-9DADEB63418D}"/>
            </a:ext>
          </a:extLst>
        </xdr:cNvPr>
        <xdr:cNvSpPr/>
      </xdr:nvSpPr>
      <xdr:spPr>
        <a:xfrm>
          <a:off x="86677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216</xdr:row>
      <xdr:rowOff>0</xdr:rowOff>
    </xdr:from>
    <xdr:to>
      <xdr:col>39</xdr:col>
      <xdr:colOff>190500</xdr:colOff>
      <xdr:row>217</xdr:row>
      <xdr:rowOff>114299</xdr:rowOff>
    </xdr:to>
    <xdr:sp macro="" textlink="">
      <xdr:nvSpPr>
        <xdr:cNvPr id="895" name="Minus 382">
          <a:extLst>
            <a:ext uri="{FF2B5EF4-FFF2-40B4-BE49-F238E27FC236}">
              <a16:creationId xmlns:a16="http://schemas.microsoft.com/office/drawing/2014/main" id="{A813F9B1-80D7-499E-91E6-BFE3F3AD19C3}"/>
            </a:ext>
          </a:extLst>
        </xdr:cNvPr>
        <xdr:cNvSpPr/>
      </xdr:nvSpPr>
      <xdr:spPr>
        <a:xfrm>
          <a:off x="96583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216</xdr:row>
      <xdr:rowOff>0</xdr:rowOff>
    </xdr:from>
    <xdr:to>
      <xdr:col>43</xdr:col>
      <xdr:colOff>190500</xdr:colOff>
      <xdr:row>217</xdr:row>
      <xdr:rowOff>114299</xdr:rowOff>
    </xdr:to>
    <xdr:sp macro="" textlink="">
      <xdr:nvSpPr>
        <xdr:cNvPr id="896" name="Minus 382">
          <a:extLst>
            <a:ext uri="{FF2B5EF4-FFF2-40B4-BE49-F238E27FC236}">
              <a16:creationId xmlns:a16="http://schemas.microsoft.com/office/drawing/2014/main" id="{F2FC37A1-935D-4987-93F1-57FD267CF9C0}"/>
            </a:ext>
          </a:extLst>
        </xdr:cNvPr>
        <xdr:cNvSpPr/>
      </xdr:nvSpPr>
      <xdr:spPr>
        <a:xfrm>
          <a:off x="106489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226</xdr:row>
      <xdr:rowOff>0</xdr:rowOff>
    </xdr:from>
    <xdr:to>
      <xdr:col>3</xdr:col>
      <xdr:colOff>190500</xdr:colOff>
      <xdr:row>227</xdr:row>
      <xdr:rowOff>114299</xdr:rowOff>
    </xdr:to>
    <xdr:sp macro="" textlink="">
      <xdr:nvSpPr>
        <xdr:cNvPr id="897" name="Minus 382">
          <a:extLst>
            <a:ext uri="{FF2B5EF4-FFF2-40B4-BE49-F238E27FC236}">
              <a16:creationId xmlns:a16="http://schemas.microsoft.com/office/drawing/2014/main" id="{7605A927-6B8E-4865-A357-72E44702454C}"/>
            </a:ext>
          </a:extLst>
        </xdr:cNvPr>
        <xdr:cNvSpPr/>
      </xdr:nvSpPr>
      <xdr:spPr>
        <a:xfrm>
          <a:off x="7429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226</xdr:row>
      <xdr:rowOff>0</xdr:rowOff>
    </xdr:from>
    <xdr:to>
      <xdr:col>7</xdr:col>
      <xdr:colOff>190500</xdr:colOff>
      <xdr:row>227</xdr:row>
      <xdr:rowOff>114299</xdr:rowOff>
    </xdr:to>
    <xdr:sp macro="" textlink="">
      <xdr:nvSpPr>
        <xdr:cNvPr id="898" name="Minus 382">
          <a:extLst>
            <a:ext uri="{FF2B5EF4-FFF2-40B4-BE49-F238E27FC236}">
              <a16:creationId xmlns:a16="http://schemas.microsoft.com/office/drawing/2014/main" id="{C64BD584-CA0E-46FA-9EBE-52D7B3A8D3DC}"/>
            </a:ext>
          </a:extLst>
        </xdr:cNvPr>
        <xdr:cNvSpPr/>
      </xdr:nvSpPr>
      <xdr:spPr>
        <a:xfrm>
          <a:off x="17335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226</xdr:row>
      <xdr:rowOff>0</xdr:rowOff>
    </xdr:from>
    <xdr:to>
      <xdr:col>19</xdr:col>
      <xdr:colOff>190500</xdr:colOff>
      <xdr:row>227</xdr:row>
      <xdr:rowOff>114299</xdr:rowOff>
    </xdr:to>
    <xdr:sp macro="" textlink="">
      <xdr:nvSpPr>
        <xdr:cNvPr id="899" name="Minus 382">
          <a:extLst>
            <a:ext uri="{FF2B5EF4-FFF2-40B4-BE49-F238E27FC236}">
              <a16:creationId xmlns:a16="http://schemas.microsoft.com/office/drawing/2014/main" id="{60C7F7D0-F7B2-4792-9967-E5826B825EE5}"/>
            </a:ext>
          </a:extLst>
        </xdr:cNvPr>
        <xdr:cNvSpPr/>
      </xdr:nvSpPr>
      <xdr:spPr>
        <a:xfrm>
          <a:off x="47053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226</xdr:row>
      <xdr:rowOff>0</xdr:rowOff>
    </xdr:from>
    <xdr:to>
      <xdr:col>23</xdr:col>
      <xdr:colOff>190500</xdr:colOff>
      <xdr:row>227</xdr:row>
      <xdr:rowOff>114299</xdr:rowOff>
    </xdr:to>
    <xdr:sp macro="" textlink="">
      <xdr:nvSpPr>
        <xdr:cNvPr id="900" name="Minus 382">
          <a:extLst>
            <a:ext uri="{FF2B5EF4-FFF2-40B4-BE49-F238E27FC236}">
              <a16:creationId xmlns:a16="http://schemas.microsoft.com/office/drawing/2014/main" id="{828C07EE-B78D-47A1-92F9-9398B29EF428}"/>
            </a:ext>
          </a:extLst>
        </xdr:cNvPr>
        <xdr:cNvSpPr/>
      </xdr:nvSpPr>
      <xdr:spPr>
        <a:xfrm>
          <a:off x="56959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226</xdr:row>
      <xdr:rowOff>0</xdr:rowOff>
    </xdr:from>
    <xdr:to>
      <xdr:col>27</xdr:col>
      <xdr:colOff>190500</xdr:colOff>
      <xdr:row>227</xdr:row>
      <xdr:rowOff>114299</xdr:rowOff>
    </xdr:to>
    <xdr:sp macro="" textlink="">
      <xdr:nvSpPr>
        <xdr:cNvPr id="901" name="Minus 382">
          <a:extLst>
            <a:ext uri="{FF2B5EF4-FFF2-40B4-BE49-F238E27FC236}">
              <a16:creationId xmlns:a16="http://schemas.microsoft.com/office/drawing/2014/main" id="{3B84EBAA-5570-410F-91A6-BF60B58DF06F}"/>
            </a:ext>
          </a:extLst>
        </xdr:cNvPr>
        <xdr:cNvSpPr/>
      </xdr:nvSpPr>
      <xdr:spPr>
        <a:xfrm>
          <a:off x="6686550" y="42176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226</xdr:row>
      <xdr:rowOff>0</xdr:rowOff>
    </xdr:from>
    <xdr:to>
      <xdr:col>31</xdr:col>
      <xdr:colOff>190500</xdr:colOff>
      <xdr:row>227</xdr:row>
      <xdr:rowOff>114299</xdr:rowOff>
    </xdr:to>
    <xdr:sp macro="" textlink="">
      <xdr:nvSpPr>
        <xdr:cNvPr id="902" name="Minus 382">
          <a:extLst>
            <a:ext uri="{FF2B5EF4-FFF2-40B4-BE49-F238E27FC236}">
              <a16:creationId xmlns:a16="http://schemas.microsoft.com/office/drawing/2014/main" id="{3BD8B00D-659C-457F-89D0-C939D2823D64}"/>
            </a:ext>
          </a:extLst>
        </xdr:cNvPr>
        <xdr:cNvSpPr/>
      </xdr:nvSpPr>
      <xdr:spPr>
        <a:xfrm>
          <a:off x="7677150" y="42176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226</xdr:row>
      <xdr:rowOff>0</xdr:rowOff>
    </xdr:from>
    <xdr:to>
      <xdr:col>35</xdr:col>
      <xdr:colOff>190500</xdr:colOff>
      <xdr:row>227</xdr:row>
      <xdr:rowOff>114299</xdr:rowOff>
    </xdr:to>
    <xdr:sp macro="" textlink="">
      <xdr:nvSpPr>
        <xdr:cNvPr id="903" name="Minus 382">
          <a:extLst>
            <a:ext uri="{FF2B5EF4-FFF2-40B4-BE49-F238E27FC236}">
              <a16:creationId xmlns:a16="http://schemas.microsoft.com/office/drawing/2014/main" id="{124FDAC6-6643-49E6-9886-99829940DCD6}"/>
            </a:ext>
          </a:extLst>
        </xdr:cNvPr>
        <xdr:cNvSpPr/>
      </xdr:nvSpPr>
      <xdr:spPr>
        <a:xfrm>
          <a:off x="86677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226</xdr:row>
      <xdr:rowOff>0</xdr:rowOff>
    </xdr:from>
    <xdr:to>
      <xdr:col>39</xdr:col>
      <xdr:colOff>190500</xdr:colOff>
      <xdr:row>227</xdr:row>
      <xdr:rowOff>114299</xdr:rowOff>
    </xdr:to>
    <xdr:sp macro="" textlink="">
      <xdr:nvSpPr>
        <xdr:cNvPr id="904" name="Minus 382">
          <a:extLst>
            <a:ext uri="{FF2B5EF4-FFF2-40B4-BE49-F238E27FC236}">
              <a16:creationId xmlns:a16="http://schemas.microsoft.com/office/drawing/2014/main" id="{92F67F81-2036-4A5B-A77B-EA7DA97D662E}"/>
            </a:ext>
          </a:extLst>
        </xdr:cNvPr>
        <xdr:cNvSpPr/>
      </xdr:nvSpPr>
      <xdr:spPr>
        <a:xfrm>
          <a:off x="96583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226</xdr:row>
      <xdr:rowOff>0</xdr:rowOff>
    </xdr:from>
    <xdr:to>
      <xdr:col>43</xdr:col>
      <xdr:colOff>190500</xdr:colOff>
      <xdr:row>227</xdr:row>
      <xdr:rowOff>114299</xdr:rowOff>
    </xdr:to>
    <xdr:sp macro="" textlink="">
      <xdr:nvSpPr>
        <xdr:cNvPr id="905" name="Minus 382">
          <a:extLst>
            <a:ext uri="{FF2B5EF4-FFF2-40B4-BE49-F238E27FC236}">
              <a16:creationId xmlns:a16="http://schemas.microsoft.com/office/drawing/2014/main" id="{D871CD46-D6AE-4AC0-9F56-E862FE4E7294}"/>
            </a:ext>
          </a:extLst>
        </xdr:cNvPr>
        <xdr:cNvSpPr/>
      </xdr:nvSpPr>
      <xdr:spPr>
        <a:xfrm>
          <a:off x="10648950" y="42176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236</xdr:row>
      <xdr:rowOff>0</xdr:rowOff>
    </xdr:from>
    <xdr:to>
      <xdr:col>3</xdr:col>
      <xdr:colOff>190500</xdr:colOff>
      <xdr:row>237</xdr:row>
      <xdr:rowOff>114299</xdr:rowOff>
    </xdr:to>
    <xdr:sp macro="" textlink="">
      <xdr:nvSpPr>
        <xdr:cNvPr id="906" name="Minus 382">
          <a:extLst>
            <a:ext uri="{FF2B5EF4-FFF2-40B4-BE49-F238E27FC236}">
              <a16:creationId xmlns:a16="http://schemas.microsoft.com/office/drawing/2014/main" id="{E23849A1-CA5D-46E7-9C2F-C7D32AA5FF79}"/>
            </a:ext>
          </a:extLst>
        </xdr:cNvPr>
        <xdr:cNvSpPr/>
      </xdr:nvSpPr>
      <xdr:spPr>
        <a:xfrm>
          <a:off x="7429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236</xdr:row>
      <xdr:rowOff>0</xdr:rowOff>
    </xdr:from>
    <xdr:to>
      <xdr:col>7</xdr:col>
      <xdr:colOff>190500</xdr:colOff>
      <xdr:row>237</xdr:row>
      <xdr:rowOff>114299</xdr:rowOff>
    </xdr:to>
    <xdr:sp macro="" textlink="">
      <xdr:nvSpPr>
        <xdr:cNvPr id="907" name="Minus 382">
          <a:extLst>
            <a:ext uri="{FF2B5EF4-FFF2-40B4-BE49-F238E27FC236}">
              <a16:creationId xmlns:a16="http://schemas.microsoft.com/office/drawing/2014/main" id="{DBD331F3-F706-4D12-8E2C-61711A373750}"/>
            </a:ext>
          </a:extLst>
        </xdr:cNvPr>
        <xdr:cNvSpPr/>
      </xdr:nvSpPr>
      <xdr:spPr>
        <a:xfrm>
          <a:off x="17335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236</xdr:row>
      <xdr:rowOff>0</xdr:rowOff>
    </xdr:from>
    <xdr:to>
      <xdr:col>11</xdr:col>
      <xdr:colOff>190500</xdr:colOff>
      <xdr:row>237</xdr:row>
      <xdr:rowOff>114299</xdr:rowOff>
    </xdr:to>
    <xdr:sp macro="" textlink="">
      <xdr:nvSpPr>
        <xdr:cNvPr id="908" name="Minus 382">
          <a:extLst>
            <a:ext uri="{FF2B5EF4-FFF2-40B4-BE49-F238E27FC236}">
              <a16:creationId xmlns:a16="http://schemas.microsoft.com/office/drawing/2014/main" id="{D98EBBC8-4909-44AB-B28F-D68C33639BEF}"/>
            </a:ext>
          </a:extLst>
        </xdr:cNvPr>
        <xdr:cNvSpPr/>
      </xdr:nvSpPr>
      <xdr:spPr>
        <a:xfrm>
          <a:off x="27241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236</xdr:row>
      <xdr:rowOff>0</xdr:rowOff>
    </xdr:from>
    <xdr:to>
      <xdr:col>15</xdr:col>
      <xdr:colOff>190500</xdr:colOff>
      <xdr:row>237</xdr:row>
      <xdr:rowOff>114299</xdr:rowOff>
    </xdr:to>
    <xdr:sp macro="" textlink="">
      <xdr:nvSpPr>
        <xdr:cNvPr id="909" name="Minus 382">
          <a:extLst>
            <a:ext uri="{FF2B5EF4-FFF2-40B4-BE49-F238E27FC236}">
              <a16:creationId xmlns:a16="http://schemas.microsoft.com/office/drawing/2014/main" id="{4A63D847-7B24-4E4A-8CBD-764A980DC924}"/>
            </a:ext>
          </a:extLst>
        </xdr:cNvPr>
        <xdr:cNvSpPr/>
      </xdr:nvSpPr>
      <xdr:spPr>
        <a:xfrm>
          <a:off x="37147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236</xdr:row>
      <xdr:rowOff>0</xdr:rowOff>
    </xdr:from>
    <xdr:to>
      <xdr:col>19</xdr:col>
      <xdr:colOff>190500</xdr:colOff>
      <xdr:row>237</xdr:row>
      <xdr:rowOff>114299</xdr:rowOff>
    </xdr:to>
    <xdr:sp macro="" textlink="">
      <xdr:nvSpPr>
        <xdr:cNvPr id="910" name="Minus 382">
          <a:extLst>
            <a:ext uri="{FF2B5EF4-FFF2-40B4-BE49-F238E27FC236}">
              <a16:creationId xmlns:a16="http://schemas.microsoft.com/office/drawing/2014/main" id="{E62C01DB-6C81-4ED1-A2FA-5DCECFEB59E9}"/>
            </a:ext>
          </a:extLst>
        </xdr:cNvPr>
        <xdr:cNvSpPr/>
      </xdr:nvSpPr>
      <xdr:spPr>
        <a:xfrm>
          <a:off x="4705350" y="44024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236</xdr:row>
      <xdr:rowOff>0</xdr:rowOff>
    </xdr:from>
    <xdr:to>
      <xdr:col>23</xdr:col>
      <xdr:colOff>190500</xdr:colOff>
      <xdr:row>237</xdr:row>
      <xdr:rowOff>114299</xdr:rowOff>
    </xdr:to>
    <xdr:sp macro="" textlink="">
      <xdr:nvSpPr>
        <xdr:cNvPr id="911" name="Minus 382">
          <a:extLst>
            <a:ext uri="{FF2B5EF4-FFF2-40B4-BE49-F238E27FC236}">
              <a16:creationId xmlns:a16="http://schemas.microsoft.com/office/drawing/2014/main" id="{CD4DD8DA-F603-4791-86BF-920C4E87929B}"/>
            </a:ext>
          </a:extLst>
        </xdr:cNvPr>
        <xdr:cNvSpPr/>
      </xdr:nvSpPr>
      <xdr:spPr>
        <a:xfrm>
          <a:off x="5695950" y="44024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236</xdr:row>
      <xdr:rowOff>0</xdr:rowOff>
    </xdr:from>
    <xdr:to>
      <xdr:col>27</xdr:col>
      <xdr:colOff>190500</xdr:colOff>
      <xdr:row>237</xdr:row>
      <xdr:rowOff>114299</xdr:rowOff>
    </xdr:to>
    <xdr:sp macro="" textlink="">
      <xdr:nvSpPr>
        <xdr:cNvPr id="912" name="Minus 382">
          <a:extLst>
            <a:ext uri="{FF2B5EF4-FFF2-40B4-BE49-F238E27FC236}">
              <a16:creationId xmlns:a16="http://schemas.microsoft.com/office/drawing/2014/main" id="{6F7EF3D5-FBF9-4AC4-92C1-DFA95F7535B0}"/>
            </a:ext>
          </a:extLst>
        </xdr:cNvPr>
        <xdr:cNvSpPr/>
      </xdr:nvSpPr>
      <xdr:spPr>
        <a:xfrm>
          <a:off x="66865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236</xdr:row>
      <xdr:rowOff>0</xdr:rowOff>
    </xdr:from>
    <xdr:to>
      <xdr:col>31</xdr:col>
      <xdr:colOff>190500</xdr:colOff>
      <xdr:row>237</xdr:row>
      <xdr:rowOff>114299</xdr:rowOff>
    </xdr:to>
    <xdr:sp macro="" textlink="">
      <xdr:nvSpPr>
        <xdr:cNvPr id="913" name="Minus 382">
          <a:extLst>
            <a:ext uri="{FF2B5EF4-FFF2-40B4-BE49-F238E27FC236}">
              <a16:creationId xmlns:a16="http://schemas.microsoft.com/office/drawing/2014/main" id="{A2A13F8F-DDE4-4B20-A766-BA9E506F04E0}"/>
            </a:ext>
          </a:extLst>
        </xdr:cNvPr>
        <xdr:cNvSpPr/>
      </xdr:nvSpPr>
      <xdr:spPr>
        <a:xfrm>
          <a:off x="7677150" y="44024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236</xdr:row>
      <xdr:rowOff>0</xdr:rowOff>
    </xdr:from>
    <xdr:to>
      <xdr:col>35</xdr:col>
      <xdr:colOff>190500</xdr:colOff>
      <xdr:row>237</xdr:row>
      <xdr:rowOff>114299</xdr:rowOff>
    </xdr:to>
    <xdr:sp macro="" textlink="">
      <xdr:nvSpPr>
        <xdr:cNvPr id="914" name="Minus 382">
          <a:extLst>
            <a:ext uri="{FF2B5EF4-FFF2-40B4-BE49-F238E27FC236}">
              <a16:creationId xmlns:a16="http://schemas.microsoft.com/office/drawing/2014/main" id="{F45B2E63-DE45-4E7C-BC71-5C6A8721FED9}"/>
            </a:ext>
          </a:extLst>
        </xdr:cNvPr>
        <xdr:cNvSpPr/>
      </xdr:nvSpPr>
      <xdr:spPr>
        <a:xfrm>
          <a:off x="86677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236</xdr:row>
      <xdr:rowOff>0</xdr:rowOff>
    </xdr:from>
    <xdr:to>
      <xdr:col>39</xdr:col>
      <xdr:colOff>190500</xdr:colOff>
      <xdr:row>237</xdr:row>
      <xdr:rowOff>114299</xdr:rowOff>
    </xdr:to>
    <xdr:sp macro="" textlink="">
      <xdr:nvSpPr>
        <xdr:cNvPr id="915" name="Minus 382">
          <a:extLst>
            <a:ext uri="{FF2B5EF4-FFF2-40B4-BE49-F238E27FC236}">
              <a16:creationId xmlns:a16="http://schemas.microsoft.com/office/drawing/2014/main" id="{16566B0A-D2A2-49E1-919A-4B28A8D248F5}"/>
            </a:ext>
          </a:extLst>
        </xdr:cNvPr>
        <xdr:cNvSpPr/>
      </xdr:nvSpPr>
      <xdr:spPr>
        <a:xfrm>
          <a:off x="96583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236</xdr:row>
      <xdr:rowOff>0</xdr:rowOff>
    </xdr:from>
    <xdr:to>
      <xdr:col>43</xdr:col>
      <xdr:colOff>190500</xdr:colOff>
      <xdr:row>237</xdr:row>
      <xdr:rowOff>114299</xdr:rowOff>
    </xdr:to>
    <xdr:sp macro="" textlink="">
      <xdr:nvSpPr>
        <xdr:cNvPr id="916" name="Minus 382">
          <a:extLst>
            <a:ext uri="{FF2B5EF4-FFF2-40B4-BE49-F238E27FC236}">
              <a16:creationId xmlns:a16="http://schemas.microsoft.com/office/drawing/2014/main" id="{79F50B03-C053-45E8-A1CD-68527734443D}"/>
            </a:ext>
          </a:extLst>
        </xdr:cNvPr>
        <xdr:cNvSpPr/>
      </xdr:nvSpPr>
      <xdr:spPr>
        <a:xfrm>
          <a:off x="106489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246</xdr:row>
      <xdr:rowOff>0</xdr:rowOff>
    </xdr:from>
    <xdr:to>
      <xdr:col>3</xdr:col>
      <xdr:colOff>190500</xdr:colOff>
      <xdr:row>247</xdr:row>
      <xdr:rowOff>114299</xdr:rowOff>
    </xdr:to>
    <xdr:sp macro="" textlink="">
      <xdr:nvSpPr>
        <xdr:cNvPr id="917" name="Minus 382">
          <a:extLst>
            <a:ext uri="{FF2B5EF4-FFF2-40B4-BE49-F238E27FC236}">
              <a16:creationId xmlns:a16="http://schemas.microsoft.com/office/drawing/2014/main" id="{6E7978F7-E526-411B-84E4-1178DEE2E638}"/>
            </a:ext>
          </a:extLst>
        </xdr:cNvPr>
        <xdr:cNvSpPr/>
      </xdr:nvSpPr>
      <xdr:spPr>
        <a:xfrm>
          <a:off x="7429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246</xdr:row>
      <xdr:rowOff>0</xdr:rowOff>
    </xdr:from>
    <xdr:to>
      <xdr:col>7</xdr:col>
      <xdr:colOff>190500</xdr:colOff>
      <xdr:row>247</xdr:row>
      <xdr:rowOff>114299</xdr:rowOff>
    </xdr:to>
    <xdr:sp macro="" textlink="">
      <xdr:nvSpPr>
        <xdr:cNvPr id="918" name="Minus 382">
          <a:extLst>
            <a:ext uri="{FF2B5EF4-FFF2-40B4-BE49-F238E27FC236}">
              <a16:creationId xmlns:a16="http://schemas.microsoft.com/office/drawing/2014/main" id="{0B02F88E-9B7C-4FC6-A3B0-9A0A5132D186}"/>
            </a:ext>
          </a:extLst>
        </xdr:cNvPr>
        <xdr:cNvSpPr/>
      </xdr:nvSpPr>
      <xdr:spPr>
        <a:xfrm>
          <a:off x="17335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246</xdr:row>
      <xdr:rowOff>0</xdr:rowOff>
    </xdr:from>
    <xdr:to>
      <xdr:col>11</xdr:col>
      <xdr:colOff>190500</xdr:colOff>
      <xdr:row>247</xdr:row>
      <xdr:rowOff>114299</xdr:rowOff>
    </xdr:to>
    <xdr:sp macro="" textlink="">
      <xdr:nvSpPr>
        <xdr:cNvPr id="919" name="Minus 382">
          <a:extLst>
            <a:ext uri="{FF2B5EF4-FFF2-40B4-BE49-F238E27FC236}">
              <a16:creationId xmlns:a16="http://schemas.microsoft.com/office/drawing/2014/main" id="{34C4BADD-624B-48BE-8AFF-01226C92CD41}"/>
            </a:ext>
          </a:extLst>
        </xdr:cNvPr>
        <xdr:cNvSpPr/>
      </xdr:nvSpPr>
      <xdr:spPr>
        <a:xfrm>
          <a:off x="27241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246</xdr:row>
      <xdr:rowOff>0</xdr:rowOff>
    </xdr:from>
    <xdr:to>
      <xdr:col>15</xdr:col>
      <xdr:colOff>190500</xdr:colOff>
      <xdr:row>247</xdr:row>
      <xdr:rowOff>114299</xdr:rowOff>
    </xdr:to>
    <xdr:sp macro="" textlink="">
      <xdr:nvSpPr>
        <xdr:cNvPr id="920" name="Minus 382">
          <a:extLst>
            <a:ext uri="{FF2B5EF4-FFF2-40B4-BE49-F238E27FC236}">
              <a16:creationId xmlns:a16="http://schemas.microsoft.com/office/drawing/2014/main" id="{0479A8AD-7EFE-4DAC-A396-5EF38174A8EF}"/>
            </a:ext>
          </a:extLst>
        </xdr:cNvPr>
        <xdr:cNvSpPr/>
      </xdr:nvSpPr>
      <xdr:spPr>
        <a:xfrm>
          <a:off x="37147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246</xdr:row>
      <xdr:rowOff>0</xdr:rowOff>
    </xdr:from>
    <xdr:to>
      <xdr:col>19</xdr:col>
      <xdr:colOff>190500</xdr:colOff>
      <xdr:row>247</xdr:row>
      <xdr:rowOff>114299</xdr:rowOff>
    </xdr:to>
    <xdr:sp macro="" textlink="">
      <xdr:nvSpPr>
        <xdr:cNvPr id="921" name="Minus 382">
          <a:extLst>
            <a:ext uri="{FF2B5EF4-FFF2-40B4-BE49-F238E27FC236}">
              <a16:creationId xmlns:a16="http://schemas.microsoft.com/office/drawing/2014/main" id="{9A31D79D-C73E-43CC-BE38-F2B225A5EB57}"/>
            </a:ext>
          </a:extLst>
        </xdr:cNvPr>
        <xdr:cNvSpPr/>
      </xdr:nvSpPr>
      <xdr:spPr>
        <a:xfrm>
          <a:off x="47053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246</xdr:row>
      <xdr:rowOff>0</xdr:rowOff>
    </xdr:from>
    <xdr:to>
      <xdr:col>23</xdr:col>
      <xdr:colOff>190500</xdr:colOff>
      <xdr:row>247</xdr:row>
      <xdr:rowOff>114299</xdr:rowOff>
    </xdr:to>
    <xdr:sp macro="" textlink="">
      <xdr:nvSpPr>
        <xdr:cNvPr id="922" name="Minus 382">
          <a:extLst>
            <a:ext uri="{FF2B5EF4-FFF2-40B4-BE49-F238E27FC236}">
              <a16:creationId xmlns:a16="http://schemas.microsoft.com/office/drawing/2014/main" id="{801628C9-E248-4003-B28A-B680706C0239}"/>
            </a:ext>
          </a:extLst>
        </xdr:cNvPr>
        <xdr:cNvSpPr/>
      </xdr:nvSpPr>
      <xdr:spPr>
        <a:xfrm>
          <a:off x="56959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246</xdr:row>
      <xdr:rowOff>0</xdr:rowOff>
    </xdr:from>
    <xdr:to>
      <xdr:col>27</xdr:col>
      <xdr:colOff>190500</xdr:colOff>
      <xdr:row>247</xdr:row>
      <xdr:rowOff>114299</xdr:rowOff>
    </xdr:to>
    <xdr:sp macro="" textlink="">
      <xdr:nvSpPr>
        <xdr:cNvPr id="923" name="Minus 382">
          <a:extLst>
            <a:ext uri="{FF2B5EF4-FFF2-40B4-BE49-F238E27FC236}">
              <a16:creationId xmlns:a16="http://schemas.microsoft.com/office/drawing/2014/main" id="{62772D83-5351-4DAB-BC7C-347E85094A6D}"/>
            </a:ext>
          </a:extLst>
        </xdr:cNvPr>
        <xdr:cNvSpPr/>
      </xdr:nvSpPr>
      <xdr:spPr>
        <a:xfrm>
          <a:off x="66865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246</xdr:row>
      <xdr:rowOff>0</xdr:rowOff>
    </xdr:from>
    <xdr:to>
      <xdr:col>31</xdr:col>
      <xdr:colOff>190500</xdr:colOff>
      <xdr:row>247</xdr:row>
      <xdr:rowOff>114299</xdr:rowOff>
    </xdr:to>
    <xdr:sp macro="" textlink="">
      <xdr:nvSpPr>
        <xdr:cNvPr id="924" name="Minus 382">
          <a:extLst>
            <a:ext uri="{FF2B5EF4-FFF2-40B4-BE49-F238E27FC236}">
              <a16:creationId xmlns:a16="http://schemas.microsoft.com/office/drawing/2014/main" id="{23A85352-93E5-4498-8060-7C383EBC6B5E}"/>
            </a:ext>
          </a:extLst>
        </xdr:cNvPr>
        <xdr:cNvSpPr/>
      </xdr:nvSpPr>
      <xdr:spPr>
        <a:xfrm>
          <a:off x="76771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246</xdr:row>
      <xdr:rowOff>0</xdr:rowOff>
    </xdr:from>
    <xdr:to>
      <xdr:col>35</xdr:col>
      <xdr:colOff>190500</xdr:colOff>
      <xdr:row>247</xdr:row>
      <xdr:rowOff>114299</xdr:rowOff>
    </xdr:to>
    <xdr:sp macro="" textlink="">
      <xdr:nvSpPr>
        <xdr:cNvPr id="925" name="Minus 382">
          <a:extLst>
            <a:ext uri="{FF2B5EF4-FFF2-40B4-BE49-F238E27FC236}">
              <a16:creationId xmlns:a16="http://schemas.microsoft.com/office/drawing/2014/main" id="{1241E411-990F-41D9-9800-DA7C83DAB3D8}"/>
            </a:ext>
          </a:extLst>
        </xdr:cNvPr>
        <xdr:cNvSpPr/>
      </xdr:nvSpPr>
      <xdr:spPr>
        <a:xfrm>
          <a:off x="86677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246</xdr:row>
      <xdr:rowOff>0</xdr:rowOff>
    </xdr:from>
    <xdr:to>
      <xdr:col>39</xdr:col>
      <xdr:colOff>190500</xdr:colOff>
      <xdr:row>247</xdr:row>
      <xdr:rowOff>114299</xdr:rowOff>
    </xdr:to>
    <xdr:sp macro="" textlink="">
      <xdr:nvSpPr>
        <xdr:cNvPr id="926" name="Minus 382">
          <a:extLst>
            <a:ext uri="{FF2B5EF4-FFF2-40B4-BE49-F238E27FC236}">
              <a16:creationId xmlns:a16="http://schemas.microsoft.com/office/drawing/2014/main" id="{9A6E02E7-2E02-4BDE-B404-2AA70C50854E}"/>
            </a:ext>
          </a:extLst>
        </xdr:cNvPr>
        <xdr:cNvSpPr/>
      </xdr:nvSpPr>
      <xdr:spPr>
        <a:xfrm>
          <a:off x="96583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246</xdr:row>
      <xdr:rowOff>0</xdr:rowOff>
    </xdr:from>
    <xdr:to>
      <xdr:col>43</xdr:col>
      <xdr:colOff>190500</xdr:colOff>
      <xdr:row>247</xdr:row>
      <xdr:rowOff>114299</xdr:rowOff>
    </xdr:to>
    <xdr:sp macro="" textlink="">
      <xdr:nvSpPr>
        <xdr:cNvPr id="927" name="Minus 382">
          <a:extLst>
            <a:ext uri="{FF2B5EF4-FFF2-40B4-BE49-F238E27FC236}">
              <a16:creationId xmlns:a16="http://schemas.microsoft.com/office/drawing/2014/main" id="{4CA9F2A4-B82A-44B5-B85B-371DA596E93B}"/>
            </a:ext>
          </a:extLst>
        </xdr:cNvPr>
        <xdr:cNvSpPr/>
      </xdr:nvSpPr>
      <xdr:spPr>
        <a:xfrm>
          <a:off x="106489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256</xdr:row>
      <xdr:rowOff>0</xdr:rowOff>
    </xdr:from>
    <xdr:to>
      <xdr:col>3</xdr:col>
      <xdr:colOff>190500</xdr:colOff>
      <xdr:row>257</xdr:row>
      <xdr:rowOff>114299</xdr:rowOff>
    </xdr:to>
    <xdr:sp macro="" textlink="">
      <xdr:nvSpPr>
        <xdr:cNvPr id="928" name="Minus 382">
          <a:extLst>
            <a:ext uri="{FF2B5EF4-FFF2-40B4-BE49-F238E27FC236}">
              <a16:creationId xmlns:a16="http://schemas.microsoft.com/office/drawing/2014/main" id="{5C752F9B-AF8A-4764-88DD-5E58F8619BAF}"/>
            </a:ext>
          </a:extLst>
        </xdr:cNvPr>
        <xdr:cNvSpPr/>
      </xdr:nvSpPr>
      <xdr:spPr>
        <a:xfrm>
          <a:off x="7429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256</xdr:row>
      <xdr:rowOff>0</xdr:rowOff>
    </xdr:from>
    <xdr:to>
      <xdr:col>7</xdr:col>
      <xdr:colOff>190500</xdr:colOff>
      <xdr:row>257</xdr:row>
      <xdr:rowOff>114299</xdr:rowOff>
    </xdr:to>
    <xdr:sp macro="" textlink="">
      <xdr:nvSpPr>
        <xdr:cNvPr id="929" name="Minus 382">
          <a:extLst>
            <a:ext uri="{FF2B5EF4-FFF2-40B4-BE49-F238E27FC236}">
              <a16:creationId xmlns:a16="http://schemas.microsoft.com/office/drawing/2014/main" id="{C46CFAE1-28DE-44CE-BFF5-1066C84137C1}"/>
            </a:ext>
          </a:extLst>
        </xdr:cNvPr>
        <xdr:cNvSpPr/>
      </xdr:nvSpPr>
      <xdr:spPr>
        <a:xfrm>
          <a:off x="17335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256</xdr:row>
      <xdr:rowOff>0</xdr:rowOff>
    </xdr:from>
    <xdr:to>
      <xdr:col>11</xdr:col>
      <xdr:colOff>190500</xdr:colOff>
      <xdr:row>257</xdr:row>
      <xdr:rowOff>114299</xdr:rowOff>
    </xdr:to>
    <xdr:sp macro="" textlink="">
      <xdr:nvSpPr>
        <xdr:cNvPr id="930" name="Minus 382">
          <a:extLst>
            <a:ext uri="{FF2B5EF4-FFF2-40B4-BE49-F238E27FC236}">
              <a16:creationId xmlns:a16="http://schemas.microsoft.com/office/drawing/2014/main" id="{FFE80134-42FA-4D79-AD82-9E858F5F09F6}"/>
            </a:ext>
          </a:extLst>
        </xdr:cNvPr>
        <xdr:cNvSpPr/>
      </xdr:nvSpPr>
      <xdr:spPr>
        <a:xfrm>
          <a:off x="27241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256</xdr:row>
      <xdr:rowOff>0</xdr:rowOff>
    </xdr:from>
    <xdr:to>
      <xdr:col>15</xdr:col>
      <xdr:colOff>190500</xdr:colOff>
      <xdr:row>257</xdr:row>
      <xdr:rowOff>114299</xdr:rowOff>
    </xdr:to>
    <xdr:sp macro="" textlink="">
      <xdr:nvSpPr>
        <xdr:cNvPr id="931" name="Minus 382">
          <a:extLst>
            <a:ext uri="{FF2B5EF4-FFF2-40B4-BE49-F238E27FC236}">
              <a16:creationId xmlns:a16="http://schemas.microsoft.com/office/drawing/2014/main" id="{04D1E3EB-A0A0-44CE-AECD-B43C7C3C0D03}"/>
            </a:ext>
          </a:extLst>
        </xdr:cNvPr>
        <xdr:cNvSpPr/>
      </xdr:nvSpPr>
      <xdr:spPr>
        <a:xfrm>
          <a:off x="37147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256</xdr:row>
      <xdr:rowOff>0</xdr:rowOff>
    </xdr:from>
    <xdr:to>
      <xdr:col>19</xdr:col>
      <xdr:colOff>190500</xdr:colOff>
      <xdr:row>257</xdr:row>
      <xdr:rowOff>114299</xdr:rowOff>
    </xdr:to>
    <xdr:sp macro="" textlink="">
      <xdr:nvSpPr>
        <xdr:cNvPr id="932" name="Minus 382">
          <a:extLst>
            <a:ext uri="{FF2B5EF4-FFF2-40B4-BE49-F238E27FC236}">
              <a16:creationId xmlns:a16="http://schemas.microsoft.com/office/drawing/2014/main" id="{19C298CF-56F2-47ED-95C0-B5CE7D6F5A18}"/>
            </a:ext>
          </a:extLst>
        </xdr:cNvPr>
        <xdr:cNvSpPr/>
      </xdr:nvSpPr>
      <xdr:spPr>
        <a:xfrm>
          <a:off x="47053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256</xdr:row>
      <xdr:rowOff>0</xdr:rowOff>
    </xdr:from>
    <xdr:to>
      <xdr:col>23</xdr:col>
      <xdr:colOff>190500</xdr:colOff>
      <xdr:row>257</xdr:row>
      <xdr:rowOff>114299</xdr:rowOff>
    </xdr:to>
    <xdr:sp macro="" textlink="">
      <xdr:nvSpPr>
        <xdr:cNvPr id="933" name="Minus 382">
          <a:extLst>
            <a:ext uri="{FF2B5EF4-FFF2-40B4-BE49-F238E27FC236}">
              <a16:creationId xmlns:a16="http://schemas.microsoft.com/office/drawing/2014/main" id="{B3DB3BEF-6DD1-4343-A2CC-E8D0672FA649}"/>
            </a:ext>
          </a:extLst>
        </xdr:cNvPr>
        <xdr:cNvSpPr/>
      </xdr:nvSpPr>
      <xdr:spPr>
        <a:xfrm>
          <a:off x="56959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256</xdr:row>
      <xdr:rowOff>0</xdr:rowOff>
    </xdr:from>
    <xdr:to>
      <xdr:col>27</xdr:col>
      <xdr:colOff>190500</xdr:colOff>
      <xdr:row>257</xdr:row>
      <xdr:rowOff>114299</xdr:rowOff>
    </xdr:to>
    <xdr:sp macro="" textlink="">
      <xdr:nvSpPr>
        <xdr:cNvPr id="934" name="Minus 382">
          <a:extLst>
            <a:ext uri="{FF2B5EF4-FFF2-40B4-BE49-F238E27FC236}">
              <a16:creationId xmlns:a16="http://schemas.microsoft.com/office/drawing/2014/main" id="{7138384C-0D25-41C8-A376-58681E1D665B}"/>
            </a:ext>
          </a:extLst>
        </xdr:cNvPr>
        <xdr:cNvSpPr/>
      </xdr:nvSpPr>
      <xdr:spPr>
        <a:xfrm>
          <a:off x="66865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256</xdr:row>
      <xdr:rowOff>0</xdr:rowOff>
    </xdr:from>
    <xdr:to>
      <xdr:col>31</xdr:col>
      <xdr:colOff>190500</xdr:colOff>
      <xdr:row>257</xdr:row>
      <xdr:rowOff>114299</xdr:rowOff>
    </xdr:to>
    <xdr:sp macro="" textlink="">
      <xdr:nvSpPr>
        <xdr:cNvPr id="935" name="Minus 382">
          <a:extLst>
            <a:ext uri="{FF2B5EF4-FFF2-40B4-BE49-F238E27FC236}">
              <a16:creationId xmlns:a16="http://schemas.microsoft.com/office/drawing/2014/main" id="{5A604E8B-1CE2-4AB0-BDDA-966A6B6CC595}"/>
            </a:ext>
          </a:extLst>
        </xdr:cNvPr>
        <xdr:cNvSpPr/>
      </xdr:nvSpPr>
      <xdr:spPr>
        <a:xfrm>
          <a:off x="76771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256</xdr:row>
      <xdr:rowOff>0</xdr:rowOff>
    </xdr:from>
    <xdr:to>
      <xdr:col>35</xdr:col>
      <xdr:colOff>190500</xdr:colOff>
      <xdr:row>257</xdr:row>
      <xdr:rowOff>114299</xdr:rowOff>
    </xdr:to>
    <xdr:sp macro="" textlink="">
      <xdr:nvSpPr>
        <xdr:cNvPr id="936" name="Minus 382">
          <a:extLst>
            <a:ext uri="{FF2B5EF4-FFF2-40B4-BE49-F238E27FC236}">
              <a16:creationId xmlns:a16="http://schemas.microsoft.com/office/drawing/2014/main" id="{EB23F5C5-BE59-4960-BED4-1DB45F6E1996}"/>
            </a:ext>
          </a:extLst>
        </xdr:cNvPr>
        <xdr:cNvSpPr/>
      </xdr:nvSpPr>
      <xdr:spPr>
        <a:xfrm>
          <a:off x="86677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256</xdr:row>
      <xdr:rowOff>0</xdr:rowOff>
    </xdr:from>
    <xdr:to>
      <xdr:col>39</xdr:col>
      <xdr:colOff>190500</xdr:colOff>
      <xdr:row>257</xdr:row>
      <xdr:rowOff>114299</xdr:rowOff>
    </xdr:to>
    <xdr:sp macro="" textlink="">
      <xdr:nvSpPr>
        <xdr:cNvPr id="937" name="Minus 382">
          <a:extLst>
            <a:ext uri="{FF2B5EF4-FFF2-40B4-BE49-F238E27FC236}">
              <a16:creationId xmlns:a16="http://schemas.microsoft.com/office/drawing/2014/main" id="{CB7C5DA9-3BB9-4F24-B046-466EA5D96119}"/>
            </a:ext>
          </a:extLst>
        </xdr:cNvPr>
        <xdr:cNvSpPr/>
      </xdr:nvSpPr>
      <xdr:spPr>
        <a:xfrm>
          <a:off x="96583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256</xdr:row>
      <xdr:rowOff>0</xdr:rowOff>
    </xdr:from>
    <xdr:to>
      <xdr:col>43</xdr:col>
      <xdr:colOff>190500</xdr:colOff>
      <xdr:row>257</xdr:row>
      <xdr:rowOff>114299</xdr:rowOff>
    </xdr:to>
    <xdr:sp macro="" textlink="">
      <xdr:nvSpPr>
        <xdr:cNvPr id="938" name="Minus 382">
          <a:extLst>
            <a:ext uri="{FF2B5EF4-FFF2-40B4-BE49-F238E27FC236}">
              <a16:creationId xmlns:a16="http://schemas.microsoft.com/office/drawing/2014/main" id="{277ECA39-A8B7-4660-85EB-BAC67A0BEA8A}"/>
            </a:ext>
          </a:extLst>
        </xdr:cNvPr>
        <xdr:cNvSpPr/>
      </xdr:nvSpPr>
      <xdr:spPr>
        <a:xfrm>
          <a:off x="106489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266</xdr:row>
      <xdr:rowOff>0</xdr:rowOff>
    </xdr:from>
    <xdr:to>
      <xdr:col>3</xdr:col>
      <xdr:colOff>190500</xdr:colOff>
      <xdr:row>267</xdr:row>
      <xdr:rowOff>114299</xdr:rowOff>
    </xdr:to>
    <xdr:sp macro="" textlink="">
      <xdr:nvSpPr>
        <xdr:cNvPr id="939" name="Minus 382">
          <a:extLst>
            <a:ext uri="{FF2B5EF4-FFF2-40B4-BE49-F238E27FC236}">
              <a16:creationId xmlns:a16="http://schemas.microsoft.com/office/drawing/2014/main" id="{F3EBAD41-221A-4503-8C05-9E3C2186C664}"/>
            </a:ext>
          </a:extLst>
        </xdr:cNvPr>
        <xdr:cNvSpPr/>
      </xdr:nvSpPr>
      <xdr:spPr>
        <a:xfrm>
          <a:off x="742950" y="49568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266</xdr:row>
      <xdr:rowOff>0</xdr:rowOff>
    </xdr:from>
    <xdr:to>
      <xdr:col>7</xdr:col>
      <xdr:colOff>190500</xdr:colOff>
      <xdr:row>267</xdr:row>
      <xdr:rowOff>114299</xdr:rowOff>
    </xdr:to>
    <xdr:sp macro="" textlink="">
      <xdr:nvSpPr>
        <xdr:cNvPr id="940" name="Minus 382">
          <a:extLst>
            <a:ext uri="{FF2B5EF4-FFF2-40B4-BE49-F238E27FC236}">
              <a16:creationId xmlns:a16="http://schemas.microsoft.com/office/drawing/2014/main" id="{DC7731F1-8013-452C-8821-6F364F6D417C}"/>
            </a:ext>
          </a:extLst>
        </xdr:cNvPr>
        <xdr:cNvSpPr/>
      </xdr:nvSpPr>
      <xdr:spPr>
        <a:xfrm>
          <a:off x="17335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266</xdr:row>
      <xdr:rowOff>0</xdr:rowOff>
    </xdr:from>
    <xdr:to>
      <xdr:col>11</xdr:col>
      <xdr:colOff>190500</xdr:colOff>
      <xdr:row>267</xdr:row>
      <xdr:rowOff>114299</xdr:rowOff>
    </xdr:to>
    <xdr:sp macro="" textlink="">
      <xdr:nvSpPr>
        <xdr:cNvPr id="941" name="Minus 382">
          <a:extLst>
            <a:ext uri="{FF2B5EF4-FFF2-40B4-BE49-F238E27FC236}">
              <a16:creationId xmlns:a16="http://schemas.microsoft.com/office/drawing/2014/main" id="{FF144312-32B0-4E0B-8D79-CB0ED2CCE5CC}"/>
            </a:ext>
          </a:extLst>
        </xdr:cNvPr>
        <xdr:cNvSpPr/>
      </xdr:nvSpPr>
      <xdr:spPr>
        <a:xfrm>
          <a:off x="27241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266</xdr:row>
      <xdr:rowOff>0</xdr:rowOff>
    </xdr:from>
    <xdr:to>
      <xdr:col>15</xdr:col>
      <xdr:colOff>190500</xdr:colOff>
      <xdr:row>267</xdr:row>
      <xdr:rowOff>114299</xdr:rowOff>
    </xdr:to>
    <xdr:sp macro="" textlink="">
      <xdr:nvSpPr>
        <xdr:cNvPr id="942" name="Minus 382">
          <a:extLst>
            <a:ext uri="{FF2B5EF4-FFF2-40B4-BE49-F238E27FC236}">
              <a16:creationId xmlns:a16="http://schemas.microsoft.com/office/drawing/2014/main" id="{66A5D2D7-CA76-4D03-9D96-9B22D3DB5C0B}"/>
            </a:ext>
          </a:extLst>
        </xdr:cNvPr>
        <xdr:cNvSpPr/>
      </xdr:nvSpPr>
      <xdr:spPr>
        <a:xfrm>
          <a:off x="37147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266</xdr:row>
      <xdr:rowOff>0</xdr:rowOff>
    </xdr:from>
    <xdr:to>
      <xdr:col>19</xdr:col>
      <xdr:colOff>190500</xdr:colOff>
      <xdr:row>267</xdr:row>
      <xdr:rowOff>114299</xdr:rowOff>
    </xdr:to>
    <xdr:sp macro="" textlink="">
      <xdr:nvSpPr>
        <xdr:cNvPr id="943" name="Minus 382">
          <a:extLst>
            <a:ext uri="{FF2B5EF4-FFF2-40B4-BE49-F238E27FC236}">
              <a16:creationId xmlns:a16="http://schemas.microsoft.com/office/drawing/2014/main" id="{8ED3377A-C88D-4D2C-8062-A52A051F7A03}"/>
            </a:ext>
          </a:extLst>
        </xdr:cNvPr>
        <xdr:cNvSpPr/>
      </xdr:nvSpPr>
      <xdr:spPr>
        <a:xfrm>
          <a:off x="47053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266</xdr:row>
      <xdr:rowOff>0</xdr:rowOff>
    </xdr:from>
    <xdr:to>
      <xdr:col>23</xdr:col>
      <xdr:colOff>190500</xdr:colOff>
      <xdr:row>267</xdr:row>
      <xdr:rowOff>114299</xdr:rowOff>
    </xdr:to>
    <xdr:sp macro="" textlink="">
      <xdr:nvSpPr>
        <xdr:cNvPr id="944" name="Minus 382">
          <a:extLst>
            <a:ext uri="{FF2B5EF4-FFF2-40B4-BE49-F238E27FC236}">
              <a16:creationId xmlns:a16="http://schemas.microsoft.com/office/drawing/2014/main" id="{F29B0931-D48F-47BF-82BC-41B0077FD747}"/>
            </a:ext>
          </a:extLst>
        </xdr:cNvPr>
        <xdr:cNvSpPr/>
      </xdr:nvSpPr>
      <xdr:spPr>
        <a:xfrm>
          <a:off x="56959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266</xdr:row>
      <xdr:rowOff>0</xdr:rowOff>
    </xdr:from>
    <xdr:to>
      <xdr:col>27</xdr:col>
      <xdr:colOff>190500</xdr:colOff>
      <xdr:row>267</xdr:row>
      <xdr:rowOff>114299</xdr:rowOff>
    </xdr:to>
    <xdr:sp macro="" textlink="">
      <xdr:nvSpPr>
        <xdr:cNvPr id="945" name="Minus 382">
          <a:extLst>
            <a:ext uri="{FF2B5EF4-FFF2-40B4-BE49-F238E27FC236}">
              <a16:creationId xmlns:a16="http://schemas.microsoft.com/office/drawing/2014/main" id="{349ACAA8-03ED-4ED3-A8F7-CA4932BC7ACB}"/>
            </a:ext>
          </a:extLst>
        </xdr:cNvPr>
        <xdr:cNvSpPr/>
      </xdr:nvSpPr>
      <xdr:spPr>
        <a:xfrm>
          <a:off x="66865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266</xdr:row>
      <xdr:rowOff>0</xdr:rowOff>
    </xdr:from>
    <xdr:to>
      <xdr:col>31</xdr:col>
      <xdr:colOff>190500</xdr:colOff>
      <xdr:row>267</xdr:row>
      <xdr:rowOff>114299</xdr:rowOff>
    </xdr:to>
    <xdr:sp macro="" textlink="">
      <xdr:nvSpPr>
        <xdr:cNvPr id="946" name="Minus 382">
          <a:extLst>
            <a:ext uri="{FF2B5EF4-FFF2-40B4-BE49-F238E27FC236}">
              <a16:creationId xmlns:a16="http://schemas.microsoft.com/office/drawing/2014/main" id="{7D74587E-BCE0-43AB-A8DA-82121AED2968}"/>
            </a:ext>
          </a:extLst>
        </xdr:cNvPr>
        <xdr:cNvSpPr/>
      </xdr:nvSpPr>
      <xdr:spPr>
        <a:xfrm>
          <a:off x="76771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266</xdr:row>
      <xdr:rowOff>0</xdr:rowOff>
    </xdr:from>
    <xdr:to>
      <xdr:col>35</xdr:col>
      <xdr:colOff>190500</xdr:colOff>
      <xdr:row>267</xdr:row>
      <xdr:rowOff>114299</xdr:rowOff>
    </xdr:to>
    <xdr:sp macro="" textlink="">
      <xdr:nvSpPr>
        <xdr:cNvPr id="947" name="Minus 382">
          <a:extLst>
            <a:ext uri="{FF2B5EF4-FFF2-40B4-BE49-F238E27FC236}">
              <a16:creationId xmlns:a16="http://schemas.microsoft.com/office/drawing/2014/main" id="{69FC1FC5-6BE6-4AFB-8364-71F5F7E680FD}"/>
            </a:ext>
          </a:extLst>
        </xdr:cNvPr>
        <xdr:cNvSpPr/>
      </xdr:nvSpPr>
      <xdr:spPr>
        <a:xfrm>
          <a:off x="86677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266</xdr:row>
      <xdr:rowOff>0</xdr:rowOff>
    </xdr:from>
    <xdr:to>
      <xdr:col>39</xdr:col>
      <xdr:colOff>190500</xdr:colOff>
      <xdr:row>267</xdr:row>
      <xdr:rowOff>114299</xdr:rowOff>
    </xdr:to>
    <xdr:sp macro="" textlink="">
      <xdr:nvSpPr>
        <xdr:cNvPr id="948" name="Minus 382">
          <a:extLst>
            <a:ext uri="{FF2B5EF4-FFF2-40B4-BE49-F238E27FC236}">
              <a16:creationId xmlns:a16="http://schemas.microsoft.com/office/drawing/2014/main" id="{3DD25EBA-EE54-4AB6-B7EE-6A04BFAD3AE7}"/>
            </a:ext>
          </a:extLst>
        </xdr:cNvPr>
        <xdr:cNvSpPr/>
      </xdr:nvSpPr>
      <xdr:spPr>
        <a:xfrm>
          <a:off x="96583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266</xdr:row>
      <xdr:rowOff>0</xdr:rowOff>
    </xdr:from>
    <xdr:to>
      <xdr:col>43</xdr:col>
      <xdr:colOff>190500</xdr:colOff>
      <xdr:row>267</xdr:row>
      <xdr:rowOff>114299</xdr:rowOff>
    </xdr:to>
    <xdr:sp macro="" textlink="">
      <xdr:nvSpPr>
        <xdr:cNvPr id="949" name="Minus 382">
          <a:extLst>
            <a:ext uri="{FF2B5EF4-FFF2-40B4-BE49-F238E27FC236}">
              <a16:creationId xmlns:a16="http://schemas.microsoft.com/office/drawing/2014/main" id="{FF7AD375-B188-41CC-B307-52294458AD28}"/>
            </a:ext>
          </a:extLst>
        </xdr:cNvPr>
        <xdr:cNvSpPr/>
      </xdr:nvSpPr>
      <xdr:spPr>
        <a:xfrm>
          <a:off x="106489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276</xdr:row>
      <xdr:rowOff>0</xdr:rowOff>
    </xdr:from>
    <xdr:to>
      <xdr:col>3</xdr:col>
      <xdr:colOff>190500</xdr:colOff>
      <xdr:row>277</xdr:row>
      <xdr:rowOff>114299</xdr:rowOff>
    </xdr:to>
    <xdr:sp macro="" textlink="">
      <xdr:nvSpPr>
        <xdr:cNvPr id="950" name="Minus 382">
          <a:extLst>
            <a:ext uri="{FF2B5EF4-FFF2-40B4-BE49-F238E27FC236}">
              <a16:creationId xmlns:a16="http://schemas.microsoft.com/office/drawing/2014/main" id="{20CA2004-9EF8-4A22-A6D7-C88D0208E9CD}"/>
            </a:ext>
          </a:extLst>
        </xdr:cNvPr>
        <xdr:cNvSpPr/>
      </xdr:nvSpPr>
      <xdr:spPr>
        <a:xfrm>
          <a:off x="742950" y="51415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276</xdr:row>
      <xdr:rowOff>0</xdr:rowOff>
    </xdr:from>
    <xdr:to>
      <xdr:col>7</xdr:col>
      <xdr:colOff>190500</xdr:colOff>
      <xdr:row>277</xdr:row>
      <xdr:rowOff>114299</xdr:rowOff>
    </xdr:to>
    <xdr:sp macro="" textlink="">
      <xdr:nvSpPr>
        <xdr:cNvPr id="951" name="Minus 382">
          <a:extLst>
            <a:ext uri="{FF2B5EF4-FFF2-40B4-BE49-F238E27FC236}">
              <a16:creationId xmlns:a16="http://schemas.microsoft.com/office/drawing/2014/main" id="{EB062DC7-587B-4341-8980-EAD5D482A936}"/>
            </a:ext>
          </a:extLst>
        </xdr:cNvPr>
        <xdr:cNvSpPr/>
      </xdr:nvSpPr>
      <xdr:spPr>
        <a:xfrm>
          <a:off x="1733550" y="51415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276</xdr:row>
      <xdr:rowOff>0</xdr:rowOff>
    </xdr:from>
    <xdr:to>
      <xdr:col>11</xdr:col>
      <xdr:colOff>190500</xdr:colOff>
      <xdr:row>277</xdr:row>
      <xdr:rowOff>114299</xdr:rowOff>
    </xdr:to>
    <xdr:sp macro="" textlink="">
      <xdr:nvSpPr>
        <xdr:cNvPr id="952" name="Minus 382">
          <a:extLst>
            <a:ext uri="{FF2B5EF4-FFF2-40B4-BE49-F238E27FC236}">
              <a16:creationId xmlns:a16="http://schemas.microsoft.com/office/drawing/2014/main" id="{EB51505A-3CD1-4F51-B78B-4C4F4B4D5223}"/>
            </a:ext>
          </a:extLst>
        </xdr:cNvPr>
        <xdr:cNvSpPr/>
      </xdr:nvSpPr>
      <xdr:spPr>
        <a:xfrm>
          <a:off x="27241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276</xdr:row>
      <xdr:rowOff>0</xdr:rowOff>
    </xdr:from>
    <xdr:to>
      <xdr:col>15</xdr:col>
      <xdr:colOff>190500</xdr:colOff>
      <xdr:row>277</xdr:row>
      <xdr:rowOff>114299</xdr:rowOff>
    </xdr:to>
    <xdr:sp macro="" textlink="">
      <xdr:nvSpPr>
        <xdr:cNvPr id="953" name="Minus 382">
          <a:extLst>
            <a:ext uri="{FF2B5EF4-FFF2-40B4-BE49-F238E27FC236}">
              <a16:creationId xmlns:a16="http://schemas.microsoft.com/office/drawing/2014/main" id="{6BDF6A46-115D-41E4-AC02-F73334AC6BFF}"/>
            </a:ext>
          </a:extLst>
        </xdr:cNvPr>
        <xdr:cNvSpPr/>
      </xdr:nvSpPr>
      <xdr:spPr>
        <a:xfrm>
          <a:off x="37147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276</xdr:row>
      <xdr:rowOff>0</xdr:rowOff>
    </xdr:from>
    <xdr:to>
      <xdr:col>19</xdr:col>
      <xdr:colOff>190500</xdr:colOff>
      <xdr:row>277</xdr:row>
      <xdr:rowOff>114299</xdr:rowOff>
    </xdr:to>
    <xdr:sp macro="" textlink="">
      <xdr:nvSpPr>
        <xdr:cNvPr id="954" name="Minus 382">
          <a:extLst>
            <a:ext uri="{FF2B5EF4-FFF2-40B4-BE49-F238E27FC236}">
              <a16:creationId xmlns:a16="http://schemas.microsoft.com/office/drawing/2014/main" id="{ECB07A1A-9F5B-4D2D-A39E-2936CC46F925}"/>
            </a:ext>
          </a:extLst>
        </xdr:cNvPr>
        <xdr:cNvSpPr/>
      </xdr:nvSpPr>
      <xdr:spPr>
        <a:xfrm>
          <a:off x="47053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276</xdr:row>
      <xdr:rowOff>0</xdr:rowOff>
    </xdr:from>
    <xdr:to>
      <xdr:col>23</xdr:col>
      <xdr:colOff>190500</xdr:colOff>
      <xdr:row>277</xdr:row>
      <xdr:rowOff>114299</xdr:rowOff>
    </xdr:to>
    <xdr:sp macro="" textlink="">
      <xdr:nvSpPr>
        <xdr:cNvPr id="955" name="Minus 382">
          <a:extLst>
            <a:ext uri="{FF2B5EF4-FFF2-40B4-BE49-F238E27FC236}">
              <a16:creationId xmlns:a16="http://schemas.microsoft.com/office/drawing/2014/main" id="{D75B3C41-3436-48A9-BAC4-AC7EC4CEDBF5}"/>
            </a:ext>
          </a:extLst>
        </xdr:cNvPr>
        <xdr:cNvSpPr/>
      </xdr:nvSpPr>
      <xdr:spPr>
        <a:xfrm>
          <a:off x="56959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276</xdr:row>
      <xdr:rowOff>0</xdr:rowOff>
    </xdr:from>
    <xdr:to>
      <xdr:col>27</xdr:col>
      <xdr:colOff>190500</xdr:colOff>
      <xdr:row>277</xdr:row>
      <xdr:rowOff>114299</xdr:rowOff>
    </xdr:to>
    <xdr:sp macro="" textlink="">
      <xdr:nvSpPr>
        <xdr:cNvPr id="956" name="Minus 382">
          <a:extLst>
            <a:ext uri="{FF2B5EF4-FFF2-40B4-BE49-F238E27FC236}">
              <a16:creationId xmlns:a16="http://schemas.microsoft.com/office/drawing/2014/main" id="{7D410C58-A9C1-45B4-B745-3DB5AE52D69A}"/>
            </a:ext>
          </a:extLst>
        </xdr:cNvPr>
        <xdr:cNvSpPr/>
      </xdr:nvSpPr>
      <xdr:spPr>
        <a:xfrm>
          <a:off x="66865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276</xdr:row>
      <xdr:rowOff>0</xdr:rowOff>
    </xdr:from>
    <xdr:to>
      <xdr:col>31</xdr:col>
      <xdr:colOff>190500</xdr:colOff>
      <xdr:row>277</xdr:row>
      <xdr:rowOff>114299</xdr:rowOff>
    </xdr:to>
    <xdr:sp macro="" textlink="">
      <xdr:nvSpPr>
        <xdr:cNvPr id="957" name="Minus 382">
          <a:extLst>
            <a:ext uri="{FF2B5EF4-FFF2-40B4-BE49-F238E27FC236}">
              <a16:creationId xmlns:a16="http://schemas.microsoft.com/office/drawing/2014/main" id="{322E9546-B360-4425-AC48-9681119C1702}"/>
            </a:ext>
          </a:extLst>
        </xdr:cNvPr>
        <xdr:cNvSpPr/>
      </xdr:nvSpPr>
      <xdr:spPr>
        <a:xfrm>
          <a:off x="76771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276</xdr:row>
      <xdr:rowOff>0</xdr:rowOff>
    </xdr:from>
    <xdr:to>
      <xdr:col>35</xdr:col>
      <xdr:colOff>190500</xdr:colOff>
      <xdr:row>277</xdr:row>
      <xdr:rowOff>114299</xdr:rowOff>
    </xdr:to>
    <xdr:sp macro="" textlink="">
      <xdr:nvSpPr>
        <xdr:cNvPr id="958" name="Minus 382">
          <a:extLst>
            <a:ext uri="{FF2B5EF4-FFF2-40B4-BE49-F238E27FC236}">
              <a16:creationId xmlns:a16="http://schemas.microsoft.com/office/drawing/2014/main" id="{6AAC9696-FB45-40BC-85E8-CC304A09E37F}"/>
            </a:ext>
          </a:extLst>
        </xdr:cNvPr>
        <xdr:cNvSpPr/>
      </xdr:nvSpPr>
      <xdr:spPr>
        <a:xfrm>
          <a:off x="86677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276</xdr:row>
      <xdr:rowOff>0</xdr:rowOff>
    </xdr:from>
    <xdr:to>
      <xdr:col>39</xdr:col>
      <xdr:colOff>190500</xdr:colOff>
      <xdr:row>277</xdr:row>
      <xdr:rowOff>114299</xdr:rowOff>
    </xdr:to>
    <xdr:sp macro="" textlink="">
      <xdr:nvSpPr>
        <xdr:cNvPr id="959" name="Minus 382">
          <a:extLst>
            <a:ext uri="{FF2B5EF4-FFF2-40B4-BE49-F238E27FC236}">
              <a16:creationId xmlns:a16="http://schemas.microsoft.com/office/drawing/2014/main" id="{FA29885B-5109-49FD-ACB9-09A9CA9287AD}"/>
            </a:ext>
          </a:extLst>
        </xdr:cNvPr>
        <xdr:cNvSpPr/>
      </xdr:nvSpPr>
      <xdr:spPr>
        <a:xfrm>
          <a:off x="96583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276</xdr:row>
      <xdr:rowOff>0</xdr:rowOff>
    </xdr:from>
    <xdr:to>
      <xdr:col>43</xdr:col>
      <xdr:colOff>190500</xdr:colOff>
      <xdr:row>277</xdr:row>
      <xdr:rowOff>114299</xdr:rowOff>
    </xdr:to>
    <xdr:sp macro="" textlink="">
      <xdr:nvSpPr>
        <xdr:cNvPr id="960" name="Minus 382">
          <a:extLst>
            <a:ext uri="{FF2B5EF4-FFF2-40B4-BE49-F238E27FC236}">
              <a16:creationId xmlns:a16="http://schemas.microsoft.com/office/drawing/2014/main" id="{8191F603-F046-4CE2-A4E4-AB83EA2D13CE}"/>
            </a:ext>
          </a:extLst>
        </xdr:cNvPr>
        <xdr:cNvSpPr/>
      </xdr:nvSpPr>
      <xdr:spPr>
        <a:xfrm>
          <a:off x="106489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286</xdr:row>
      <xdr:rowOff>0</xdr:rowOff>
    </xdr:from>
    <xdr:to>
      <xdr:col>3</xdr:col>
      <xdr:colOff>190500</xdr:colOff>
      <xdr:row>287</xdr:row>
      <xdr:rowOff>114299</xdr:rowOff>
    </xdr:to>
    <xdr:sp macro="" textlink="">
      <xdr:nvSpPr>
        <xdr:cNvPr id="961" name="Minus 382">
          <a:extLst>
            <a:ext uri="{FF2B5EF4-FFF2-40B4-BE49-F238E27FC236}">
              <a16:creationId xmlns:a16="http://schemas.microsoft.com/office/drawing/2014/main" id="{3DA4AF74-A32D-4DDA-BC26-5D310899CEB6}"/>
            </a:ext>
          </a:extLst>
        </xdr:cNvPr>
        <xdr:cNvSpPr/>
      </xdr:nvSpPr>
      <xdr:spPr>
        <a:xfrm>
          <a:off x="7429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286</xdr:row>
      <xdr:rowOff>0</xdr:rowOff>
    </xdr:from>
    <xdr:to>
      <xdr:col>7</xdr:col>
      <xdr:colOff>190500</xdr:colOff>
      <xdr:row>287</xdr:row>
      <xdr:rowOff>114299</xdr:rowOff>
    </xdr:to>
    <xdr:sp macro="" textlink="">
      <xdr:nvSpPr>
        <xdr:cNvPr id="962" name="Minus 382">
          <a:extLst>
            <a:ext uri="{FF2B5EF4-FFF2-40B4-BE49-F238E27FC236}">
              <a16:creationId xmlns:a16="http://schemas.microsoft.com/office/drawing/2014/main" id="{5696C5C3-AA27-4403-BEBD-1D1C4799B464}"/>
            </a:ext>
          </a:extLst>
        </xdr:cNvPr>
        <xdr:cNvSpPr/>
      </xdr:nvSpPr>
      <xdr:spPr>
        <a:xfrm>
          <a:off x="17335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286</xdr:row>
      <xdr:rowOff>0</xdr:rowOff>
    </xdr:from>
    <xdr:to>
      <xdr:col>11</xdr:col>
      <xdr:colOff>190500</xdr:colOff>
      <xdr:row>287</xdr:row>
      <xdr:rowOff>114299</xdr:rowOff>
    </xdr:to>
    <xdr:sp macro="" textlink="">
      <xdr:nvSpPr>
        <xdr:cNvPr id="963" name="Minus 382">
          <a:extLst>
            <a:ext uri="{FF2B5EF4-FFF2-40B4-BE49-F238E27FC236}">
              <a16:creationId xmlns:a16="http://schemas.microsoft.com/office/drawing/2014/main" id="{8AEB69B2-9BE4-40BB-8F1C-B02656350995}"/>
            </a:ext>
          </a:extLst>
        </xdr:cNvPr>
        <xdr:cNvSpPr/>
      </xdr:nvSpPr>
      <xdr:spPr>
        <a:xfrm>
          <a:off x="27241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286</xdr:row>
      <xdr:rowOff>0</xdr:rowOff>
    </xdr:from>
    <xdr:to>
      <xdr:col>15</xdr:col>
      <xdr:colOff>190500</xdr:colOff>
      <xdr:row>287</xdr:row>
      <xdr:rowOff>114299</xdr:rowOff>
    </xdr:to>
    <xdr:sp macro="" textlink="">
      <xdr:nvSpPr>
        <xdr:cNvPr id="964" name="Minus 382">
          <a:extLst>
            <a:ext uri="{FF2B5EF4-FFF2-40B4-BE49-F238E27FC236}">
              <a16:creationId xmlns:a16="http://schemas.microsoft.com/office/drawing/2014/main" id="{5F15F83C-A58E-44BC-A651-C0220B8E037F}"/>
            </a:ext>
          </a:extLst>
        </xdr:cNvPr>
        <xdr:cNvSpPr/>
      </xdr:nvSpPr>
      <xdr:spPr>
        <a:xfrm>
          <a:off x="37147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286</xdr:row>
      <xdr:rowOff>0</xdr:rowOff>
    </xdr:from>
    <xdr:to>
      <xdr:col>19</xdr:col>
      <xdr:colOff>190500</xdr:colOff>
      <xdr:row>287</xdr:row>
      <xdr:rowOff>114299</xdr:rowOff>
    </xdr:to>
    <xdr:sp macro="" textlink="">
      <xdr:nvSpPr>
        <xdr:cNvPr id="965" name="Minus 382">
          <a:extLst>
            <a:ext uri="{FF2B5EF4-FFF2-40B4-BE49-F238E27FC236}">
              <a16:creationId xmlns:a16="http://schemas.microsoft.com/office/drawing/2014/main" id="{85473935-0AF4-434F-930C-141F17D4FB61}"/>
            </a:ext>
          </a:extLst>
        </xdr:cNvPr>
        <xdr:cNvSpPr/>
      </xdr:nvSpPr>
      <xdr:spPr>
        <a:xfrm>
          <a:off x="47053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286</xdr:row>
      <xdr:rowOff>0</xdr:rowOff>
    </xdr:from>
    <xdr:to>
      <xdr:col>23</xdr:col>
      <xdr:colOff>190500</xdr:colOff>
      <xdr:row>287</xdr:row>
      <xdr:rowOff>114299</xdr:rowOff>
    </xdr:to>
    <xdr:sp macro="" textlink="">
      <xdr:nvSpPr>
        <xdr:cNvPr id="966" name="Minus 382">
          <a:extLst>
            <a:ext uri="{FF2B5EF4-FFF2-40B4-BE49-F238E27FC236}">
              <a16:creationId xmlns:a16="http://schemas.microsoft.com/office/drawing/2014/main" id="{553A8C3D-5705-47C3-A3BB-0D4325080F6A}"/>
            </a:ext>
          </a:extLst>
        </xdr:cNvPr>
        <xdr:cNvSpPr/>
      </xdr:nvSpPr>
      <xdr:spPr>
        <a:xfrm>
          <a:off x="56959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286</xdr:row>
      <xdr:rowOff>0</xdr:rowOff>
    </xdr:from>
    <xdr:to>
      <xdr:col>27</xdr:col>
      <xdr:colOff>190500</xdr:colOff>
      <xdr:row>287</xdr:row>
      <xdr:rowOff>114299</xdr:rowOff>
    </xdr:to>
    <xdr:sp macro="" textlink="">
      <xdr:nvSpPr>
        <xdr:cNvPr id="967" name="Minus 382">
          <a:extLst>
            <a:ext uri="{FF2B5EF4-FFF2-40B4-BE49-F238E27FC236}">
              <a16:creationId xmlns:a16="http://schemas.microsoft.com/office/drawing/2014/main" id="{1111A968-4669-4AC7-ADFB-93991D2C8481}"/>
            </a:ext>
          </a:extLst>
        </xdr:cNvPr>
        <xdr:cNvSpPr/>
      </xdr:nvSpPr>
      <xdr:spPr>
        <a:xfrm>
          <a:off x="66865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286</xdr:row>
      <xdr:rowOff>0</xdr:rowOff>
    </xdr:from>
    <xdr:to>
      <xdr:col>31</xdr:col>
      <xdr:colOff>190500</xdr:colOff>
      <xdr:row>287</xdr:row>
      <xdr:rowOff>114299</xdr:rowOff>
    </xdr:to>
    <xdr:sp macro="" textlink="">
      <xdr:nvSpPr>
        <xdr:cNvPr id="968" name="Minus 382">
          <a:extLst>
            <a:ext uri="{FF2B5EF4-FFF2-40B4-BE49-F238E27FC236}">
              <a16:creationId xmlns:a16="http://schemas.microsoft.com/office/drawing/2014/main" id="{8E77ECF6-AAB8-450B-803C-93D6E3FFE4B9}"/>
            </a:ext>
          </a:extLst>
        </xdr:cNvPr>
        <xdr:cNvSpPr/>
      </xdr:nvSpPr>
      <xdr:spPr>
        <a:xfrm>
          <a:off x="76771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286</xdr:row>
      <xdr:rowOff>0</xdr:rowOff>
    </xdr:from>
    <xdr:to>
      <xdr:col>35</xdr:col>
      <xdr:colOff>190500</xdr:colOff>
      <xdr:row>287</xdr:row>
      <xdr:rowOff>114299</xdr:rowOff>
    </xdr:to>
    <xdr:sp macro="" textlink="">
      <xdr:nvSpPr>
        <xdr:cNvPr id="969" name="Minus 382">
          <a:extLst>
            <a:ext uri="{FF2B5EF4-FFF2-40B4-BE49-F238E27FC236}">
              <a16:creationId xmlns:a16="http://schemas.microsoft.com/office/drawing/2014/main" id="{DC379422-1480-4014-AA66-2E61D5C7C16F}"/>
            </a:ext>
          </a:extLst>
        </xdr:cNvPr>
        <xdr:cNvSpPr/>
      </xdr:nvSpPr>
      <xdr:spPr>
        <a:xfrm>
          <a:off x="86677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286</xdr:row>
      <xdr:rowOff>0</xdr:rowOff>
    </xdr:from>
    <xdr:to>
      <xdr:col>39</xdr:col>
      <xdr:colOff>190500</xdr:colOff>
      <xdr:row>287</xdr:row>
      <xdr:rowOff>114299</xdr:rowOff>
    </xdr:to>
    <xdr:sp macro="" textlink="">
      <xdr:nvSpPr>
        <xdr:cNvPr id="970" name="Minus 382">
          <a:extLst>
            <a:ext uri="{FF2B5EF4-FFF2-40B4-BE49-F238E27FC236}">
              <a16:creationId xmlns:a16="http://schemas.microsoft.com/office/drawing/2014/main" id="{BBD04E45-3FC8-4B21-B24F-0005ED899A76}"/>
            </a:ext>
          </a:extLst>
        </xdr:cNvPr>
        <xdr:cNvSpPr/>
      </xdr:nvSpPr>
      <xdr:spPr>
        <a:xfrm>
          <a:off x="96583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286</xdr:row>
      <xdr:rowOff>0</xdr:rowOff>
    </xdr:from>
    <xdr:to>
      <xdr:col>43</xdr:col>
      <xdr:colOff>190500</xdr:colOff>
      <xdr:row>287</xdr:row>
      <xdr:rowOff>114299</xdr:rowOff>
    </xdr:to>
    <xdr:sp macro="" textlink="">
      <xdr:nvSpPr>
        <xdr:cNvPr id="971" name="Minus 382">
          <a:extLst>
            <a:ext uri="{FF2B5EF4-FFF2-40B4-BE49-F238E27FC236}">
              <a16:creationId xmlns:a16="http://schemas.microsoft.com/office/drawing/2014/main" id="{DFF83B30-6B27-4DEA-ABD6-9596488EF0B4}"/>
            </a:ext>
          </a:extLst>
        </xdr:cNvPr>
        <xdr:cNvSpPr/>
      </xdr:nvSpPr>
      <xdr:spPr>
        <a:xfrm>
          <a:off x="106489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296</xdr:row>
      <xdr:rowOff>0</xdr:rowOff>
    </xdr:from>
    <xdr:to>
      <xdr:col>3</xdr:col>
      <xdr:colOff>190500</xdr:colOff>
      <xdr:row>297</xdr:row>
      <xdr:rowOff>114299</xdr:rowOff>
    </xdr:to>
    <xdr:sp macro="" textlink="">
      <xdr:nvSpPr>
        <xdr:cNvPr id="972" name="Minus 382">
          <a:extLst>
            <a:ext uri="{FF2B5EF4-FFF2-40B4-BE49-F238E27FC236}">
              <a16:creationId xmlns:a16="http://schemas.microsoft.com/office/drawing/2014/main" id="{2D04186B-FBF9-461A-874C-C6243326AC31}"/>
            </a:ext>
          </a:extLst>
        </xdr:cNvPr>
        <xdr:cNvSpPr/>
      </xdr:nvSpPr>
      <xdr:spPr>
        <a:xfrm>
          <a:off x="7429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296</xdr:row>
      <xdr:rowOff>0</xdr:rowOff>
    </xdr:from>
    <xdr:to>
      <xdr:col>7</xdr:col>
      <xdr:colOff>190500</xdr:colOff>
      <xdr:row>297</xdr:row>
      <xdr:rowOff>114299</xdr:rowOff>
    </xdr:to>
    <xdr:sp macro="" textlink="">
      <xdr:nvSpPr>
        <xdr:cNvPr id="973" name="Minus 382">
          <a:extLst>
            <a:ext uri="{FF2B5EF4-FFF2-40B4-BE49-F238E27FC236}">
              <a16:creationId xmlns:a16="http://schemas.microsoft.com/office/drawing/2014/main" id="{CB664BCB-B661-4C2D-9D15-E224E0E937A6}"/>
            </a:ext>
          </a:extLst>
        </xdr:cNvPr>
        <xdr:cNvSpPr/>
      </xdr:nvSpPr>
      <xdr:spPr>
        <a:xfrm>
          <a:off x="17335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296</xdr:row>
      <xdr:rowOff>0</xdr:rowOff>
    </xdr:from>
    <xdr:to>
      <xdr:col>11</xdr:col>
      <xdr:colOff>190500</xdr:colOff>
      <xdr:row>297</xdr:row>
      <xdr:rowOff>114299</xdr:rowOff>
    </xdr:to>
    <xdr:sp macro="" textlink="">
      <xdr:nvSpPr>
        <xdr:cNvPr id="974" name="Minus 382">
          <a:extLst>
            <a:ext uri="{FF2B5EF4-FFF2-40B4-BE49-F238E27FC236}">
              <a16:creationId xmlns:a16="http://schemas.microsoft.com/office/drawing/2014/main" id="{EC61BC89-FE69-4A00-BFF0-8850F419A9CC}"/>
            </a:ext>
          </a:extLst>
        </xdr:cNvPr>
        <xdr:cNvSpPr/>
      </xdr:nvSpPr>
      <xdr:spPr>
        <a:xfrm>
          <a:off x="27241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296</xdr:row>
      <xdr:rowOff>0</xdr:rowOff>
    </xdr:from>
    <xdr:to>
      <xdr:col>15</xdr:col>
      <xdr:colOff>190500</xdr:colOff>
      <xdr:row>297</xdr:row>
      <xdr:rowOff>114299</xdr:rowOff>
    </xdr:to>
    <xdr:sp macro="" textlink="">
      <xdr:nvSpPr>
        <xdr:cNvPr id="975" name="Minus 382">
          <a:extLst>
            <a:ext uri="{FF2B5EF4-FFF2-40B4-BE49-F238E27FC236}">
              <a16:creationId xmlns:a16="http://schemas.microsoft.com/office/drawing/2014/main" id="{28E4DB15-7E40-4678-9366-E1263E8BD525}"/>
            </a:ext>
          </a:extLst>
        </xdr:cNvPr>
        <xdr:cNvSpPr/>
      </xdr:nvSpPr>
      <xdr:spPr>
        <a:xfrm>
          <a:off x="37147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294</xdr:row>
      <xdr:rowOff>171450</xdr:rowOff>
    </xdr:from>
    <xdr:to>
      <xdr:col>23</xdr:col>
      <xdr:colOff>0</xdr:colOff>
      <xdr:row>297</xdr:row>
      <xdr:rowOff>0</xdr:rowOff>
    </xdr:to>
    <xdr:sp macro="" textlink="">
      <xdr:nvSpPr>
        <xdr:cNvPr id="976" name="0/0">
          <a:extLst>
            <a:ext uri="{FF2B5EF4-FFF2-40B4-BE49-F238E27FC236}">
              <a16:creationId xmlns:a16="http://schemas.microsoft.com/office/drawing/2014/main" id="{9ADBC0BB-D462-48D0-BF36-C3DFCF346BDA}"/>
            </a:ext>
          </a:extLst>
        </xdr:cNvPr>
        <xdr:cNvSpPr>
          <a:spLocks noChangeArrowheads="1"/>
        </xdr:cNvSpPr>
      </xdr:nvSpPr>
      <xdr:spPr bwMode="auto">
        <a:xfrm>
          <a:off x="52006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0</xdr:colOff>
      <xdr:row>296</xdr:row>
      <xdr:rowOff>0</xdr:rowOff>
    </xdr:from>
    <xdr:to>
      <xdr:col>19</xdr:col>
      <xdr:colOff>190500</xdr:colOff>
      <xdr:row>297</xdr:row>
      <xdr:rowOff>114299</xdr:rowOff>
    </xdr:to>
    <xdr:sp macro="" textlink="">
      <xdr:nvSpPr>
        <xdr:cNvPr id="977" name="Minus 382">
          <a:extLst>
            <a:ext uri="{FF2B5EF4-FFF2-40B4-BE49-F238E27FC236}">
              <a16:creationId xmlns:a16="http://schemas.microsoft.com/office/drawing/2014/main" id="{7B503D89-9B65-4A48-B95C-550C63D51FD2}"/>
            </a:ext>
          </a:extLst>
        </xdr:cNvPr>
        <xdr:cNvSpPr/>
      </xdr:nvSpPr>
      <xdr:spPr>
        <a:xfrm>
          <a:off x="47053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</xdr:colOff>
      <xdr:row>294</xdr:row>
      <xdr:rowOff>154781</xdr:rowOff>
    </xdr:from>
    <xdr:to>
      <xdr:col>22</xdr:col>
      <xdr:colOff>23814</xdr:colOff>
      <xdr:row>295</xdr:row>
      <xdr:rowOff>116681</xdr:rowOff>
    </xdr:to>
    <xdr:sp macro="" textlink="">
      <xdr:nvSpPr>
        <xdr:cNvPr id="978" name="Freeform 10695">
          <a:extLst>
            <a:ext uri="{FF2B5EF4-FFF2-40B4-BE49-F238E27FC236}">
              <a16:creationId xmlns:a16="http://schemas.microsoft.com/office/drawing/2014/main" id="{B770C803-EA54-429F-B9A4-F7B2804B3548}"/>
            </a:ext>
          </a:extLst>
        </xdr:cNvPr>
        <xdr:cNvSpPr>
          <a:spLocks/>
        </xdr:cNvSpPr>
      </xdr:nvSpPr>
      <xdr:spPr bwMode="auto">
        <a:xfrm>
          <a:off x="4469606" y="55037831"/>
          <a:ext cx="1002508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62204</xdr:colOff>
      <xdr:row>0</xdr:row>
      <xdr:rowOff>0</xdr:rowOff>
    </xdr:from>
    <xdr:to>
      <xdr:col>1</xdr:col>
      <xdr:colOff>450980</xdr:colOff>
      <xdr:row>1</xdr:row>
      <xdr:rowOff>7776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l="33322" t="32950" r="34463" b="39795"/>
        <a:stretch/>
      </xdr:blipFill>
      <xdr:spPr>
        <a:xfrm>
          <a:off x="62204" y="0"/>
          <a:ext cx="816429" cy="3187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22860</xdr:rowOff>
    </xdr:from>
    <xdr:to>
      <xdr:col>1</xdr:col>
      <xdr:colOff>205896</xdr:colOff>
      <xdr:row>2</xdr:row>
      <xdr:rowOff>160176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l="33322" t="32950" r="34463" b="39795"/>
        <a:stretch/>
      </xdr:blipFill>
      <xdr:spPr>
        <a:xfrm>
          <a:off x="0" y="205740"/>
          <a:ext cx="815496" cy="32019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mantaraysk\Downloads\VISUAL%20CHART%20TA416,%20PNBTL%20(2).xlsx" TargetMode="External"/><Relationship Id="rId1" Type="http://schemas.openxmlformats.org/officeDocument/2006/relationships/externalLinkPath" Target="/Users/samantaraysk/Downloads/VISUAL%20CHART%20TA416,%20PNBTL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july-I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Staff_Acco_"/>
      <sheetName val="Vind_-_BtB"/>
      <sheetName val="220_11__BS_"/>
      <sheetName val="Cover_sheet"/>
      <sheetName val="DETAILED__BOQ"/>
      <sheetName val="Load Details(B2)"/>
      <sheetName val="BTB"/>
      <sheetName val="cf"/>
      <sheetName val="orders"/>
      <sheetName val="trafo-size"/>
      <sheetName val="General"/>
      <sheetName val="Conversion"/>
      <sheetName val="synthesis"/>
      <sheetName val="COA-17"/>
      <sheetName val="C-18"/>
      <sheetName val="PBS"/>
      <sheetName val="PRECAST lightconc-II"/>
      <sheetName val="Top sheet"/>
      <sheetName val="S1BOQ"/>
      <sheetName val="Labour"/>
      <sheetName val="Material"/>
      <sheetName val="Plant &amp;  Machinery"/>
      <sheetName val="Cable data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  <sheetName val="PRICE BID"/>
      <sheetName val="Schedule No.1"/>
      <sheetName val="CFL-KIM"/>
      <sheetName val="CASH-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CFL-KIM"/>
      <sheetName val="dBase"/>
      <sheetName val="Staff Acco."/>
      <sheetName val="DATA"/>
      <sheetName val="As per PCA"/>
      <sheetName val="PRECAST lightconc-II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wr Schedule"/>
      <sheetName val="Sheet1"/>
      <sheetName val="VC"/>
      <sheetName val="Progress"/>
      <sheetName val="Status of location"/>
    </sheetNames>
    <sheetDataSet>
      <sheetData sheetId="0">
        <row r="9">
          <cell r="B9" t="str">
            <v>0/0</v>
          </cell>
          <cell r="C9" t="str">
            <v>TPT+0</v>
          </cell>
        </row>
        <row r="11">
          <cell r="B11" t="str">
            <v>0/1</v>
          </cell>
          <cell r="C11" t="str">
            <v>DA-3</v>
          </cell>
        </row>
        <row r="13">
          <cell r="B13" t="str">
            <v>0/2</v>
          </cell>
          <cell r="C13" t="str">
            <v>DA-3</v>
          </cell>
        </row>
        <row r="15">
          <cell r="B15" t="str">
            <v>0/3</v>
          </cell>
          <cell r="C15" t="str">
            <v>DA-3</v>
          </cell>
        </row>
        <row r="17">
          <cell r="B17" t="str">
            <v>0/4</v>
          </cell>
          <cell r="C17" t="str">
            <v>DA+9</v>
          </cell>
        </row>
        <row r="19">
          <cell r="B19" t="str">
            <v>1/0</v>
          </cell>
          <cell r="C19" t="str">
            <v>DC1+3</v>
          </cell>
        </row>
        <row r="21">
          <cell r="B21" t="str">
            <v>2/0</v>
          </cell>
          <cell r="C21" t="str">
            <v>DD45+3</v>
          </cell>
        </row>
        <row r="23">
          <cell r="B23" t="str">
            <v>2/1</v>
          </cell>
          <cell r="C23" t="str">
            <v>DA+3</v>
          </cell>
        </row>
        <row r="25">
          <cell r="B25" t="str">
            <v>2/2</v>
          </cell>
          <cell r="C25" t="str">
            <v>DA+0</v>
          </cell>
        </row>
        <row r="27">
          <cell r="B27" t="str">
            <v>2/3</v>
          </cell>
          <cell r="C27" t="str">
            <v>DA+3</v>
          </cell>
        </row>
        <row r="29">
          <cell r="B29" t="str">
            <v>2/4</v>
          </cell>
          <cell r="C29" t="str">
            <v>DA+0</v>
          </cell>
        </row>
        <row r="31">
          <cell r="B31" t="str">
            <v>2/5</v>
          </cell>
          <cell r="C31" t="str">
            <v>DA+3</v>
          </cell>
        </row>
        <row r="33">
          <cell r="B33" t="str">
            <v>2/6</v>
          </cell>
          <cell r="C33" t="str">
            <v>DA+0</v>
          </cell>
        </row>
        <row r="35">
          <cell r="B35" t="str">
            <v>2/7</v>
          </cell>
          <cell r="C35" t="str">
            <v>DA+3</v>
          </cell>
        </row>
        <row r="37">
          <cell r="B37" t="str">
            <v>2/8</v>
          </cell>
          <cell r="C37" t="str">
            <v>DA+0</v>
          </cell>
        </row>
        <row r="39">
          <cell r="B39" t="str">
            <v>3/0</v>
          </cell>
          <cell r="C39" t="str">
            <v>DC2+0</v>
          </cell>
        </row>
        <row r="41">
          <cell r="B41" t="str">
            <v>4/0</v>
          </cell>
          <cell r="C41" t="str">
            <v>DD45+0</v>
          </cell>
        </row>
        <row r="43">
          <cell r="B43" t="str">
            <v>4/1</v>
          </cell>
          <cell r="C43" t="str">
            <v>DA+3</v>
          </cell>
        </row>
        <row r="45">
          <cell r="B45" t="str">
            <v>4/2</v>
          </cell>
          <cell r="C45" t="str">
            <v>DA-3</v>
          </cell>
        </row>
        <row r="47">
          <cell r="B47" t="str">
            <v>4/3</v>
          </cell>
          <cell r="C47" t="str">
            <v>DA+3</v>
          </cell>
        </row>
        <row r="49">
          <cell r="B49" t="str">
            <v>4/4</v>
          </cell>
          <cell r="C49" t="str">
            <v>DA+0</v>
          </cell>
        </row>
        <row r="51">
          <cell r="B51" t="str">
            <v>4/5</v>
          </cell>
          <cell r="C51" t="str">
            <v>DA+3</v>
          </cell>
        </row>
        <row r="53">
          <cell r="B53" t="str">
            <v>4/6</v>
          </cell>
          <cell r="C53" t="str">
            <v>DA+0</v>
          </cell>
        </row>
        <row r="55">
          <cell r="B55" t="str">
            <v>4/7</v>
          </cell>
          <cell r="C55" t="str">
            <v>DA+3</v>
          </cell>
        </row>
        <row r="57">
          <cell r="B57" t="str">
            <v>4/8</v>
          </cell>
          <cell r="C57" t="str">
            <v>DA+0</v>
          </cell>
        </row>
        <row r="59">
          <cell r="B59" t="str">
            <v>4/9</v>
          </cell>
          <cell r="C59" t="str">
            <v>DA-3</v>
          </cell>
        </row>
        <row r="61">
          <cell r="B61" t="str">
            <v>4/10</v>
          </cell>
          <cell r="C61" t="str">
            <v>DA+3</v>
          </cell>
        </row>
        <row r="63">
          <cell r="B63" t="str">
            <v>5/0</v>
          </cell>
          <cell r="C63" t="str">
            <v>DB1+0</v>
          </cell>
        </row>
        <row r="65">
          <cell r="B65" t="str">
            <v>5/1</v>
          </cell>
          <cell r="C65" t="str">
            <v>DA+3</v>
          </cell>
        </row>
        <row r="67">
          <cell r="B67" t="str">
            <v>6/0</v>
          </cell>
          <cell r="C67" t="str">
            <v>DB1+0</v>
          </cell>
        </row>
        <row r="69">
          <cell r="B69" t="str">
            <v>6/1</v>
          </cell>
          <cell r="C69" t="str">
            <v>DA+3</v>
          </cell>
        </row>
        <row r="71">
          <cell r="B71" t="str">
            <v>6/2</v>
          </cell>
          <cell r="C71" t="str">
            <v>DA+3</v>
          </cell>
        </row>
        <row r="73">
          <cell r="B73" t="str">
            <v>7/0</v>
          </cell>
          <cell r="C73" t="str">
            <v>DB2+0</v>
          </cell>
        </row>
        <row r="75">
          <cell r="B75" t="str">
            <v>7/1</v>
          </cell>
          <cell r="C75" t="str">
            <v>DA+0</v>
          </cell>
        </row>
        <row r="77">
          <cell r="B77" t="str">
            <v>7/2</v>
          </cell>
          <cell r="C77" t="str">
            <v>DA+3</v>
          </cell>
        </row>
        <row r="79">
          <cell r="B79" t="str">
            <v>7/3</v>
          </cell>
          <cell r="C79" t="str">
            <v>DA-3</v>
          </cell>
        </row>
        <row r="81">
          <cell r="B81" t="str">
            <v>7/4</v>
          </cell>
          <cell r="C81" t="str">
            <v>DA+0</v>
          </cell>
        </row>
        <row r="83">
          <cell r="B83" t="str">
            <v>7/5</v>
          </cell>
          <cell r="C83" t="str">
            <v>DA+3</v>
          </cell>
        </row>
        <row r="85">
          <cell r="B85" t="str">
            <v>7/6</v>
          </cell>
          <cell r="C85" t="str">
            <v>DA+0</v>
          </cell>
        </row>
        <row r="87">
          <cell r="B87" t="str">
            <v>7/7</v>
          </cell>
          <cell r="C87" t="str">
            <v>DA+0</v>
          </cell>
        </row>
        <row r="89">
          <cell r="B89" t="str">
            <v>7/8</v>
          </cell>
          <cell r="C89" t="str">
            <v>DA+3</v>
          </cell>
        </row>
        <row r="91">
          <cell r="B91" t="str">
            <v>7/9</v>
          </cell>
          <cell r="C91" t="str">
            <v>DA+0</v>
          </cell>
        </row>
        <row r="93">
          <cell r="B93" t="str">
            <v>7/10</v>
          </cell>
          <cell r="C93" t="str">
            <v>DA+3</v>
          </cell>
        </row>
        <row r="95">
          <cell r="B95" t="str">
            <v>7/11</v>
          </cell>
          <cell r="C95" t="str">
            <v>DA+0</v>
          </cell>
        </row>
        <row r="97">
          <cell r="B97" t="str">
            <v>8/0</v>
          </cell>
          <cell r="C97" t="str">
            <v>DB2+0</v>
          </cell>
        </row>
        <row r="99">
          <cell r="B99" t="str">
            <v>8/1</v>
          </cell>
          <cell r="C99" t="str">
            <v>DA+3</v>
          </cell>
        </row>
        <row r="101">
          <cell r="B101" t="str">
            <v>8/2</v>
          </cell>
          <cell r="C101" t="str">
            <v>DA+0</v>
          </cell>
        </row>
        <row r="103">
          <cell r="B103" t="str">
            <v>8/3</v>
          </cell>
          <cell r="C103" t="str">
            <v>DA-3</v>
          </cell>
        </row>
        <row r="105">
          <cell r="B105" t="str">
            <v>8/4</v>
          </cell>
          <cell r="C105" t="str">
            <v>DA+9</v>
          </cell>
        </row>
        <row r="107">
          <cell r="B107" t="str">
            <v>8A/0</v>
          </cell>
          <cell r="C107" t="str">
            <v>DD60+0</v>
          </cell>
        </row>
        <row r="109">
          <cell r="B109" t="str">
            <v>8B/0</v>
          </cell>
          <cell r="C109" t="str">
            <v>DD60+0</v>
          </cell>
        </row>
        <row r="111">
          <cell r="B111" t="str">
            <v>8B/1</v>
          </cell>
          <cell r="C111" t="str">
            <v>DA-3</v>
          </cell>
        </row>
        <row r="113">
          <cell r="B113" t="str">
            <v>8B/2</v>
          </cell>
          <cell r="C113" t="str">
            <v>DA-3</v>
          </cell>
        </row>
        <row r="115">
          <cell r="B115" t="str">
            <v>8B/3</v>
          </cell>
          <cell r="C115" t="str">
            <v>DA+3</v>
          </cell>
        </row>
        <row r="117">
          <cell r="B117" t="str">
            <v>8B/4</v>
          </cell>
          <cell r="C117" t="str">
            <v>DA+6</v>
          </cell>
        </row>
        <row r="119">
          <cell r="B119" t="str">
            <v>8B/5</v>
          </cell>
          <cell r="C119" t="str">
            <v>DA+6</v>
          </cell>
        </row>
        <row r="121">
          <cell r="B121" t="str">
            <v>9/0</v>
          </cell>
          <cell r="C121" t="str">
            <v>DB2+6</v>
          </cell>
        </row>
        <row r="123">
          <cell r="B123" t="str">
            <v>10/0</v>
          </cell>
          <cell r="C123" t="str">
            <v>DB1+9</v>
          </cell>
        </row>
        <row r="125">
          <cell r="B125" t="str">
            <v>10/1</v>
          </cell>
          <cell r="C125" t="str">
            <v>DA-3</v>
          </cell>
        </row>
        <row r="127">
          <cell r="B127" t="str">
            <v>11/0</v>
          </cell>
          <cell r="C127" t="str">
            <v>DB1+18</v>
          </cell>
        </row>
        <row r="129">
          <cell r="B129" t="str">
            <v>12/0</v>
          </cell>
          <cell r="C129" t="str">
            <v>DB2+18</v>
          </cell>
        </row>
        <row r="131">
          <cell r="B131" t="str">
            <v>12/1</v>
          </cell>
          <cell r="C131" t="str">
            <v>DA-3</v>
          </cell>
        </row>
        <row r="133">
          <cell r="B133" t="str">
            <v>12/2</v>
          </cell>
          <cell r="C133" t="str">
            <v>DA+3</v>
          </cell>
        </row>
        <row r="135">
          <cell r="B135" t="str">
            <v>12/3</v>
          </cell>
          <cell r="C135" t="str">
            <v>DA+3</v>
          </cell>
        </row>
        <row r="137">
          <cell r="B137" t="str">
            <v>12/4</v>
          </cell>
          <cell r="C137" t="str">
            <v>DA+3</v>
          </cell>
        </row>
        <row r="139">
          <cell r="B139" t="str">
            <v>12/5</v>
          </cell>
          <cell r="C139" t="str">
            <v>DA+3</v>
          </cell>
        </row>
        <row r="141">
          <cell r="B141" t="str">
            <v>12/6</v>
          </cell>
          <cell r="C141" t="str">
            <v>DA-3</v>
          </cell>
        </row>
        <row r="143">
          <cell r="B143" t="str">
            <v>12/7</v>
          </cell>
          <cell r="C143" t="str">
            <v>DA-3</v>
          </cell>
        </row>
        <row r="145">
          <cell r="B145" t="str">
            <v>12/8</v>
          </cell>
          <cell r="C145" t="str">
            <v>DA-3</v>
          </cell>
        </row>
        <row r="147">
          <cell r="B147" t="str">
            <v>12/9</v>
          </cell>
          <cell r="C147" t="str">
            <v>DA+3</v>
          </cell>
        </row>
        <row r="149">
          <cell r="B149" t="str">
            <v>13/0</v>
          </cell>
          <cell r="C149" t="str">
            <v>DD60+30</v>
          </cell>
        </row>
        <row r="151">
          <cell r="B151" t="str">
            <v>14/0</v>
          </cell>
          <cell r="C151" t="str">
            <v>DD60+30</v>
          </cell>
        </row>
        <row r="153">
          <cell r="B153" t="str">
            <v>14/1</v>
          </cell>
          <cell r="C153" t="str">
            <v>DA+0</v>
          </cell>
        </row>
        <row r="155">
          <cell r="B155" t="str">
            <v>14/2</v>
          </cell>
          <cell r="C155" t="str">
            <v>DA+0</v>
          </cell>
        </row>
        <row r="157">
          <cell r="B157" t="str">
            <v>14/3</v>
          </cell>
          <cell r="C157" t="str">
            <v>DA+0</v>
          </cell>
        </row>
        <row r="159">
          <cell r="B159" t="str">
            <v>14/4</v>
          </cell>
          <cell r="C159" t="str">
            <v>DA+3</v>
          </cell>
        </row>
        <row r="161">
          <cell r="B161" t="str">
            <v>14/5</v>
          </cell>
          <cell r="C161" t="str">
            <v>DA+3</v>
          </cell>
        </row>
        <row r="163">
          <cell r="B163" t="str">
            <v>14/6</v>
          </cell>
          <cell r="C163" t="str">
            <v>DA+3</v>
          </cell>
        </row>
        <row r="165">
          <cell r="B165" t="str">
            <v>14/7</v>
          </cell>
          <cell r="C165" t="str">
            <v>DA+0</v>
          </cell>
        </row>
        <row r="167">
          <cell r="B167" t="str">
            <v>14/8</v>
          </cell>
          <cell r="C167" t="str">
            <v>DA+3</v>
          </cell>
        </row>
        <row r="169">
          <cell r="B169" t="str">
            <v>15/0</v>
          </cell>
          <cell r="C169" t="str">
            <v>DC2+3</v>
          </cell>
        </row>
        <row r="171">
          <cell r="B171" t="str">
            <v>16/0</v>
          </cell>
          <cell r="C171" t="str">
            <v>DB2+25</v>
          </cell>
        </row>
        <row r="173">
          <cell r="B173" t="str">
            <v>17/0</v>
          </cell>
          <cell r="C173" t="str">
            <v>DB2+6</v>
          </cell>
        </row>
        <row r="175">
          <cell r="B175" t="str">
            <v>17/1</v>
          </cell>
          <cell r="C175" t="str">
            <v>DA-3</v>
          </cell>
        </row>
        <row r="177">
          <cell r="B177" t="str">
            <v>17/2</v>
          </cell>
          <cell r="C177" t="str">
            <v>DA+0</v>
          </cell>
        </row>
        <row r="179">
          <cell r="B179" t="str">
            <v>17/3</v>
          </cell>
          <cell r="C179" t="str">
            <v>DA+0</v>
          </cell>
        </row>
        <row r="181">
          <cell r="B181" t="str">
            <v>17/4</v>
          </cell>
          <cell r="C181" t="str">
            <v>DA+3</v>
          </cell>
        </row>
        <row r="183">
          <cell r="B183" t="str">
            <v>17/5</v>
          </cell>
          <cell r="C183" t="str">
            <v>DA+3</v>
          </cell>
        </row>
        <row r="185">
          <cell r="B185" t="str">
            <v>17/6</v>
          </cell>
          <cell r="C185" t="str">
            <v>DA-3</v>
          </cell>
        </row>
        <row r="187">
          <cell r="B187" t="str">
            <v>17/7</v>
          </cell>
          <cell r="C187" t="str">
            <v>DA+3</v>
          </cell>
        </row>
        <row r="189">
          <cell r="B189" t="str">
            <v>17/8</v>
          </cell>
          <cell r="C189" t="str">
            <v>DA-3</v>
          </cell>
        </row>
        <row r="191">
          <cell r="B191" t="str">
            <v>18/0</v>
          </cell>
          <cell r="C191" t="str">
            <v>DB1+6</v>
          </cell>
        </row>
        <row r="193">
          <cell r="B193" t="str">
            <v>19/0</v>
          </cell>
          <cell r="C193" t="str">
            <v>DC2+6</v>
          </cell>
        </row>
        <row r="195">
          <cell r="B195" t="str">
            <v>19/1</v>
          </cell>
          <cell r="C195" t="str">
            <v>DA+0</v>
          </cell>
        </row>
        <row r="197">
          <cell r="B197" t="str">
            <v>19/2</v>
          </cell>
          <cell r="C197" t="str">
            <v>DA+0</v>
          </cell>
        </row>
        <row r="199">
          <cell r="B199" t="str">
            <v>19/3</v>
          </cell>
          <cell r="C199" t="str">
            <v>DA+3</v>
          </cell>
        </row>
        <row r="201">
          <cell r="B201" t="str">
            <v>19/4</v>
          </cell>
          <cell r="C201" t="str">
            <v>DA+0</v>
          </cell>
        </row>
        <row r="203">
          <cell r="B203" t="str">
            <v>19/5</v>
          </cell>
          <cell r="C203" t="str">
            <v>DA-3</v>
          </cell>
        </row>
        <row r="205">
          <cell r="B205" t="str">
            <v>19/6</v>
          </cell>
          <cell r="C205" t="str">
            <v>DA+0</v>
          </cell>
        </row>
        <row r="207">
          <cell r="B207" t="str">
            <v>19/7</v>
          </cell>
          <cell r="C207" t="str">
            <v>DA+3</v>
          </cell>
        </row>
        <row r="209">
          <cell r="B209" t="str">
            <v>19/8</v>
          </cell>
          <cell r="C209" t="str">
            <v>DA-3</v>
          </cell>
        </row>
        <row r="211">
          <cell r="B211" t="str">
            <v>19/9</v>
          </cell>
          <cell r="C211" t="str">
            <v>DA+3</v>
          </cell>
        </row>
        <row r="213">
          <cell r="B213" t="str">
            <v>19/10</v>
          </cell>
          <cell r="C213" t="str">
            <v>DA+3</v>
          </cell>
        </row>
        <row r="215">
          <cell r="B215" t="str">
            <v>19/11</v>
          </cell>
          <cell r="C215" t="str">
            <v>DA-3</v>
          </cell>
        </row>
        <row r="217">
          <cell r="B217" t="str">
            <v>19/12</v>
          </cell>
          <cell r="C217" t="str">
            <v>DA-3</v>
          </cell>
        </row>
        <row r="219">
          <cell r="B219" t="str">
            <v>20/0</v>
          </cell>
          <cell r="C219" t="str">
            <v>DB1+0</v>
          </cell>
        </row>
        <row r="221">
          <cell r="B221" t="str">
            <v>20/1</v>
          </cell>
          <cell r="C221" t="str">
            <v>DA+6</v>
          </cell>
        </row>
        <row r="223">
          <cell r="B223" t="str">
            <v>20/2</v>
          </cell>
          <cell r="C223" t="str">
            <v>DA+0</v>
          </cell>
        </row>
        <row r="225">
          <cell r="B225" t="str">
            <v>20/3</v>
          </cell>
          <cell r="C225" t="str">
            <v>DA+0</v>
          </cell>
        </row>
        <row r="227">
          <cell r="B227" t="str">
            <v>20/4</v>
          </cell>
          <cell r="C227" t="str">
            <v>DA-3</v>
          </cell>
        </row>
        <row r="229">
          <cell r="B229" t="str">
            <v>20/5</v>
          </cell>
          <cell r="C229" t="str">
            <v>DA+3</v>
          </cell>
        </row>
        <row r="231">
          <cell r="B231" t="str">
            <v>20/6</v>
          </cell>
          <cell r="C231" t="str">
            <v>DA+0</v>
          </cell>
        </row>
        <row r="233">
          <cell r="B233" t="str">
            <v>20/7</v>
          </cell>
          <cell r="C233" t="str">
            <v>DA-3</v>
          </cell>
        </row>
        <row r="235">
          <cell r="B235" t="str">
            <v>20/8</v>
          </cell>
          <cell r="C235" t="str">
            <v>DA+0</v>
          </cell>
        </row>
        <row r="237">
          <cell r="B237" t="str">
            <v>20/9</v>
          </cell>
          <cell r="C237" t="str">
            <v>DA+3</v>
          </cell>
        </row>
        <row r="239">
          <cell r="B239" t="str">
            <v>20/10</v>
          </cell>
          <cell r="C239" t="str">
            <v>DA+3</v>
          </cell>
        </row>
        <row r="241">
          <cell r="B241" t="str">
            <v>20/11</v>
          </cell>
          <cell r="C241" t="str">
            <v>DA-3</v>
          </cell>
        </row>
        <row r="243">
          <cell r="B243" t="str">
            <v>20/12</v>
          </cell>
          <cell r="C243" t="str">
            <v>DA-3</v>
          </cell>
        </row>
        <row r="245">
          <cell r="B245" t="str">
            <v>21/0</v>
          </cell>
          <cell r="C245" t="str">
            <v>DB1+0</v>
          </cell>
        </row>
        <row r="247">
          <cell r="B247" t="str">
            <v>21/1</v>
          </cell>
          <cell r="C247" t="str">
            <v>DA-3</v>
          </cell>
        </row>
        <row r="249">
          <cell r="B249" t="str">
            <v>21/2</v>
          </cell>
          <cell r="C249" t="str">
            <v>DA+3</v>
          </cell>
        </row>
        <row r="251">
          <cell r="B251" t="str">
            <v>21/3</v>
          </cell>
          <cell r="C251" t="str">
            <v>DA+3</v>
          </cell>
        </row>
        <row r="253">
          <cell r="B253" t="str">
            <v>22/0</v>
          </cell>
          <cell r="C253" t="str">
            <v>DB2+3</v>
          </cell>
        </row>
        <row r="255">
          <cell r="B255" t="str">
            <v>22A/0</v>
          </cell>
          <cell r="C255" t="str">
            <v>DB1+25</v>
          </cell>
        </row>
        <row r="257">
          <cell r="B257" t="str">
            <v>23/0</v>
          </cell>
          <cell r="C257" t="str">
            <v>DC2+18</v>
          </cell>
        </row>
        <row r="259">
          <cell r="B259" t="str">
            <v>23/1</v>
          </cell>
          <cell r="C259" t="str">
            <v>DA+9</v>
          </cell>
        </row>
        <row r="261">
          <cell r="B261" t="str">
            <v>23/2</v>
          </cell>
          <cell r="C261" t="str">
            <v>DA+0</v>
          </cell>
        </row>
        <row r="263">
          <cell r="B263" t="str">
            <v>23/3</v>
          </cell>
          <cell r="C263" t="str">
            <v>DA-3</v>
          </cell>
        </row>
        <row r="265">
          <cell r="B265" t="str">
            <v>23/4</v>
          </cell>
          <cell r="C265" t="str">
            <v>DA-3</v>
          </cell>
        </row>
        <row r="267">
          <cell r="B267" t="str">
            <v>23/5</v>
          </cell>
          <cell r="C267" t="str">
            <v>DA-3</v>
          </cell>
        </row>
        <row r="269">
          <cell r="B269" t="str">
            <v>24/0</v>
          </cell>
          <cell r="C269" t="str">
            <v>DD60+25</v>
          </cell>
        </row>
        <row r="271">
          <cell r="B271" t="str">
            <v>25/0</v>
          </cell>
          <cell r="C271" t="str">
            <v>DD60+25</v>
          </cell>
        </row>
        <row r="273">
          <cell r="B273" t="str">
            <v>25/1</v>
          </cell>
          <cell r="C273" t="str">
            <v>DA+9</v>
          </cell>
        </row>
        <row r="275">
          <cell r="B275" t="str">
            <v>25/2</v>
          </cell>
          <cell r="C275" t="str">
            <v>DA+0</v>
          </cell>
        </row>
        <row r="277">
          <cell r="B277" t="str">
            <v>25/3</v>
          </cell>
          <cell r="C277" t="str">
            <v>DA+3</v>
          </cell>
        </row>
        <row r="279">
          <cell r="B279" t="str">
            <v>26/0</v>
          </cell>
          <cell r="C279" t="str">
            <v>DB2+9</v>
          </cell>
        </row>
        <row r="281">
          <cell r="B281" t="str">
            <v>27/0</v>
          </cell>
          <cell r="C281" t="str">
            <v>DD60+3</v>
          </cell>
        </row>
        <row r="283">
          <cell r="B283" t="str">
            <v>28/0</v>
          </cell>
          <cell r="C283" t="str">
            <v>DD60+0</v>
          </cell>
        </row>
        <row r="285">
          <cell r="B285" t="str">
            <v>28/1</v>
          </cell>
          <cell r="C285" t="str">
            <v>DA+3</v>
          </cell>
        </row>
        <row r="287">
          <cell r="B287" t="str">
            <v>29/0</v>
          </cell>
          <cell r="C287" t="str">
            <v>DD60+25</v>
          </cell>
        </row>
        <row r="289">
          <cell r="B289" t="str">
            <v>30/0</v>
          </cell>
          <cell r="C289" t="str">
            <v>DD60+18</v>
          </cell>
        </row>
        <row r="291">
          <cell r="B291" t="str">
            <v>30/1</v>
          </cell>
          <cell r="C291" t="str">
            <v>DA-3</v>
          </cell>
        </row>
        <row r="293">
          <cell r="B293" t="str">
            <v>30/2</v>
          </cell>
          <cell r="C293" t="str">
            <v>DA-3</v>
          </cell>
        </row>
        <row r="295">
          <cell r="B295" t="str">
            <v>30/3</v>
          </cell>
          <cell r="C295" t="str">
            <v>DA+0</v>
          </cell>
        </row>
        <row r="297">
          <cell r="B297" t="str">
            <v>30/4</v>
          </cell>
          <cell r="C297" t="str">
            <v>DA+3</v>
          </cell>
        </row>
        <row r="299">
          <cell r="B299" t="str">
            <v>30/5</v>
          </cell>
          <cell r="C299" t="str">
            <v>DA+0</v>
          </cell>
        </row>
        <row r="301">
          <cell r="B301" t="str">
            <v>30/6</v>
          </cell>
          <cell r="C301" t="str">
            <v>DA-3</v>
          </cell>
        </row>
        <row r="303">
          <cell r="B303" t="str">
            <v>31/0</v>
          </cell>
          <cell r="C303" t="str">
            <v>DB2+0</v>
          </cell>
        </row>
        <row r="305">
          <cell r="B305" t="str">
            <v>31/1</v>
          </cell>
          <cell r="C305" t="str">
            <v>DA+0</v>
          </cell>
        </row>
        <row r="307">
          <cell r="B307" t="str">
            <v>31/2</v>
          </cell>
          <cell r="C307" t="str">
            <v>DA+0</v>
          </cell>
        </row>
        <row r="309">
          <cell r="B309" t="str">
            <v>31/3</v>
          </cell>
          <cell r="C309" t="str">
            <v>DA+3</v>
          </cell>
        </row>
        <row r="311">
          <cell r="B311" t="str">
            <v>31/4</v>
          </cell>
          <cell r="C311" t="str">
            <v>DA-3</v>
          </cell>
        </row>
        <row r="313">
          <cell r="B313" t="str">
            <v>31/5</v>
          </cell>
          <cell r="C313" t="str">
            <v>DA-3</v>
          </cell>
        </row>
        <row r="315">
          <cell r="B315" t="str">
            <v>31/6</v>
          </cell>
          <cell r="C315" t="str">
            <v>DA+3</v>
          </cell>
        </row>
        <row r="317">
          <cell r="B317" t="str">
            <v>31/7</v>
          </cell>
          <cell r="C317" t="str">
            <v>DA+0</v>
          </cell>
        </row>
        <row r="319">
          <cell r="B319" t="str">
            <v>31/8</v>
          </cell>
          <cell r="C319" t="str">
            <v>DA-3</v>
          </cell>
        </row>
        <row r="321">
          <cell r="B321" t="str">
            <v>31/9</v>
          </cell>
          <cell r="C321" t="str">
            <v>DA+3</v>
          </cell>
        </row>
        <row r="323">
          <cell r="B323" t="str">
            <v>31/10</v>
          </cell>
          <cell r="C323" t="str">
            <v>DA-3</v>
          </cell>
        </row>
        <row r="325">
          <cell r="B325" t="str">
            <v>32/0</v>
          </cell>
          <cell r="C325" t="str">
            <v>DC1+6</v>
          </cell>
        </row>
        <row r="327">
          <cell r="B327" t="str">
            <v>33/0</v>
          </cell>
          <cell r="C327" t="str">
            <v>DC2+6</v>
          </cell>
        </row>
        <row r="329">
          <cell r="B329" t="str">
            <v>33/1</v>
          </cell>
          <cell r="C329" t="str">
            <v>DA-3</v>
          </cell>
        </row>
        <row r="331">
          <cell r="B331" t="str">
            <v>33/2</v>
          </cell>
          <cell r="C331" t="str">
            <v>DA-3</v>
          </cell>
        </row>
        <row r="333">
          <cell r="B333" t="str">
            <v>33/3</v>
          </cell>
          <cell r="C333" t="str">
            <v>DA+3</v>
          </cell>
        </row>
        <row r="335">
          <cell r="B335" t="str">
            <v>33/4</v>
          </cell>
          <cell r="C335" t="str">
            <v>DA-3</v>
          </cell>
        </row>
        <row r="337">
          <cell r="B337" t="str">
            <v>33/5</v>
          </cell>
          <cell r="C337" t="str">
            <v>DA+3</v>
          </cell>
        </row>
        <row r="339">
          <cell r="B339" t="str">
            <v>33/6</v>
          </cell>
          <cell r="C339" t="str">
            <v>DA+3</v>
          </cell>
        </row>
        <row r="341">
          <cell r="B341" t="str">
            <v>33/7</v>
          </cell>
          <cell r="C341" t="str">
            <v>DA+3</v>
          </cell>
        </row>
        <row r="343">
          <cell r="B343" t="str">
            <v>33/8</v>
          </cell>
          <cell r="C343" t="str">
            <v>DA+3</v>
          </cell>
        </row>
        <row r="345">
          <cell r="B345" t="str">
            <v>33/9</v>
          </cell>
          <cell r="C345" t="str">
            <v>DA+0</v>
          </cell>
        </row>
        <row r="347">
          <cell r="B347" t="str">
            <v>33/10</v>
          </cell>
          <cell r="C347" t="str">
            <v>DA+3</v>
          </cell>
        </row>
        <row r="349">
          <cell r="B349" t="str">
            <v>33/11</v>
          </cell>
          <cell r="C349" t="str">
            <v>DA+3</v>
          </cell>
        </row>
        <row r="351">
          <cell r="B351" t="str">
            <v>34/0</v>
          </cell>
          <cell r="C351" t="str">
            <v>DB1+0</v>
          </cell>
        </row>
        <row r="353">
          <cell r="B353" t="str">
            <v>34/1</v>
          </cell>
          <cell r="C353" t="str">
            <v>DA+3</v>
          </cell>
        </row>
        <row r="355">
          <cell r="B355" t="str">
            <v>34/2</v>
          </cell>
          <cell r="C355" t="str">
            <v>DA+3</v>
          </cell>
        </row>
        <row r="357">
          <cell r="B357" t="str">
            <v>34/3</v>
          </cell>
          <cell r="C357" t="str">
            <v>DA+3</v>
          </cell>
        </row>
        <row r="359">
          <cell r="B359" t="str">
            <v>34/4</v>
          </cell>
          <cell r="C359" t="str">
            <v>DA-3</v>
          </cell>
        </row>
        <row r="361">
          <cell r="B361" t="str">
            <v>34/5</v>
          </cell>
          <cell r="C361" t="str">
            <v>DA+0</v>
          </cell>
        </row>
        <row r="363">
          <cell r="B363" t="str">
            <v>34/6</v>
          </cell>
          <cell r="C363" t="str">
            <v>DA+0</v>
          </cell>
        </row>
        <row r="365">
          <cell r="B365" t="str">
            <v>34/7</v>
          </cell>
          <cell r="C365" t="str">
            <v>DA+3</v>
          </cell>
        </row>
        <row r="367">
          <cell r="B367" t="str">
            <v>35/0</v>
          </cell>
          <cell r="C367" t="str">
            <v>DC1+0</v>
          </cell>
        </row>
        <row r="369">
          <cell r="B369" t="str">
            <v>35/1</v>
          </cell>
          <cell r="C369" t="str">
            <v>DA+3</v>
          </cell>
        </row>
        <row r="371">
          <cell r="B371" t="str">
            <v>35/2</v>
          </cell>
          <cell r="C371" t="str">
            <v>DA-3</v>
          </cell>
        </row>
        <row r="373">
          <cell r="B373" t="str">
            <v>35/3</v>
          </cell>
          <cell r="C373" t="str">
            <v>DA+0</v>
          </cell>
        </row>
        <row r="375">
          <cell r="B375" t="str">
            <v>35/4</v>
          </cell>
          <cell r="C375" t="str">
            <v>DA+0</v>
          </cell>
        </row>
        <row r="377">
          <cell r="B377" t="str">
            <v>35/5</v>
          </cell>
          <cell r="C377" t="str">
            <v>DA+3</v>
          </cell>
        </row>
        <row r="379">
          <cell r="B379" t="str">
            <v>35/6</v>
          </cell>
          <cell r="C379" t="str">
            <v>DA+0</v>
          </cell>
        </row>
        <row r="381">
          <cell r="B381" t="str">
            <v>35/7</v>
          </cell>
          <cell r="C381" t="str">
            <v>DA+3</v>
          </cell>
        </row>
        <row r="383">
          <cell r="B383" t="str">
            <v>35/8</v>
          </cell>
          <cell r="C383" t="str">
            <v>DA-3</v>
          </cell>
        </row>
        <row r="385">
          <cell r="B385" t="str">
            <v>35/9</v>
          </cell>
          <cell r="C385" t="str">
            <v>DA+3</v>
          </cell>
        </row>
        <row r="387">
          <cell r="B387" t="str">
            <v>36/0</v>
          </cell>
          <cell r="C387" t="str">
            <v>DB2+0</v>
          </cell>
        </row>
        <row r="389">
          <cell r="B389" t="str">
            <v>36/1</v>
          </cell>
          <cell r="C389" t="str">
            <v>DA+3</v>
          </cell>
        </row>
        <row r="391">
          <cell r="B391" t="str">
            <v>36/2</v>
          </cell>
          <cell r="C391" t="str">
            <v>DA+0</v>
          </cell>
        </row>
        <row r="393">
          <cell r="B393" t="str">
            <v>36/3</v>
          </cell>
          <cell r="C393" t="str">
            <v>DA+3</v>
          </cell>
        </row>
        <row r="395">
          <cell r="B395" t="str">
            <v>36/4</v>
          </cell>
          <cell r="C395" t="str">
            <v>DA+0</v>
          </cell>
        </row>
        <row r="397">
          <cell r="B397" t="str">
            <v>36/5</v>
          </cell>
          <cell r="C397" t="str">
            <v>DA+0</v>
          </cell>
        </row>
        <row r="399">
          <cell r="B399" t="str">
            <v>36/6</v>
          </cell>
          <cell r="C399" t="str">
            <v>DA+3</v>
          </cell>
        </row>
        <row r="401">
          <cell r="B401" t="str">
            <v>36/7</v>
          </cell>
          <cell r="C401" t="str">
            <v>DA+3</v>
          </cell>
        </row>
        <row r="403">
          <cell r="B403" t="str">
            <v>36/8</v>
          </cell>
          <cell r="C403" t="str">
            <v>DA-3</v>
          </cell>
        </row>
        <row r="405">
          <cell r="B405" t="str">
            <v>36/9</v>
          </cell>
          <cell r="C405" t="str">
            <v>DA-3</v>
          </cell>
        </row>
        <row r="407">
          <cell r="B407" t="str">
            <v>36/10</v>
          </cell>
          <cell r="C407" t="str">
            <v>DA-3</v>
          </cell>
        </row>
        <row r="409">
          <cell r="B409" t="str">
            <v>36/11</v>
          </cell>
          <cell r="C409" t="str">
            <v>DA-3</v>
          </cell>
        </row>
        <row r="411">
          <cell r="B411" t="str">
            <v>36/12</v>
          </cell>
          <cell r="C411" t="str">
            <v>DA+0</v>
          </cell>
        </row>
        <row r="413">
          <cell r="B413" t="str">
            <v>37/0</v>
          </cell>
          <cell r="C413" t="str">
            <v>DC2+18</v>
          </cell>
        </row>
        <row r="415">
          <cell r="B415" t="str">
            <v>38/0</v>
          </cell>
          <cell r="C415" t="str">
            <v>DC2+18</v>
          </cell>
        </row>
        <row r="417">
          <cell r="B417" t="str">
            <v>38/1</v>
          </cell>
          <cell r="C417" t="str">
            <v>DA+3</v>
          </cell>
        </row>
        <row r="419">
          <cell r="B419" t="str">
            <v>38/2</v>
          </cell>
          <cell r="C419" t="str">
            <v>DA+3</v>
          </cell>
        </row>
        <row r="421">
          <cell r="B421" t="str">
            <v>38/3</v>
          </cell>
          <cell r="C421" t="str">
            <v>DA+3</v>
          </cell>
        </row>
        <row r="423">
          <cell r="B423" t="str">
            <v>38/4</v>
          </cell>
          <cell r="C423" t="str">
            <v>DA+3</v>
          </cell>
        </row>
        <row r="425">
          <cell r="B425" t="str">
            <v>38/5</v>
          </cell>
          <cell r="C425" t="str">
            <v>DA+3</v>
          </cell>
        </row>
        <row r="427">
          <cell r="B427" t="str">
            <v>38/6</v>
          </cell>
          <cell r="C427" t="str">
            <v>DA+3</v>
          </cell>
        </row>
        <row r="429">
          <cell r="B429" t="str">
            <v>38/7</v>
          </cell>
          <cell r="C429" t="str">
            <v>DA-3</v>
          </cell>
        </row>
        <row r="431">
          <cell r="B431" t="str">
            <v>38/8</v>
          </cell>
          <cell r="C431" t="str">
            <v>DA+3</v>
          </cell>
        </row>
        <row r="433">
          <cell r="B433" t="str">
            <v>38/9</v>
          </cell>
          <cell r="C433" t="str">
            <v>DA-3</v>
          </cell>
        </row>
        <row r="435">
          <cell r="B435" t="str">
            <v>38/10</v>
          </cell>
          <cell r="C435" t="str">
            <v>DA-3</v>
          </cell>
        </row>
        <row r="437">
          <cell r="B437" t="str">
            <v>38/11</v>
          </cell>
          <cell r="C437" t="str">
            <v>DA+3</v>
          </cell>
        </row>
        <row r="439">
          <cell r="B439" t="str">
            <v>39/0</v>
          </cell>
          <cell r="C439" t="str">
            <v>DB2+0</v>
          </cell>
        </row>
        <row r="441">
          <cell r="B441" t="str">
            <v>39/1</v>
          </cell>
          <cell r="C441" t="str">
            <v>DA+3</v>
          </cell>
        </row>
        <row r="443">
          <cell r="B443" t="str">
            <v>39/2</v>
          </cell>
          <cell r="C443" t="str">
            <v>DA-3</v>
          </cell>
        </row>
        <row r="445">
          <cell r="B445" t="str">
            <v>39/3</v>
          </cell>
          <cell r="C445" t="str">
            <v>DA+3</v>
          </cell>
        </row>
        <row r="447">
          <cell r="B447" t="str">
            <v>39/4</v>
          </cell>
          <cell r="C447" t="str">
            <v>DA+3</v>
          </cell>
        </row>
        <row r="449">
          <cell r="B449" t="str">
            <v>39/5</v>
          </cell>
          <cell r="C449" t="str">
            <v>DA-3</v>
          </cell>
        </row>
        <row r="451">
          <cell r="B451" t="str">
            <v>39/6</v>
          </cell>
          <cell r="C451" t="str">
            <v>DA+3</v>
          </cell>
        </row>
        <row r="453">
          <cell r="B453" t="str">
            <v>39/7</v>
          </cell>
          <cell r="C453" t="str">
            <v>DA+3</v>
          </cell>
        </row>
        <row r="455">
          <cell r="B455" t="str">
            <v>39/8</v>
          </cell>
          <cell r="C455" t="str">
            <v>DA+0</v>
          </cell>
        </row>
        <row r="457">
          <cell r="B457" t="str">
            <v>39/9</v>
          </cell>
          <cell r="C457" t="str">
            <v>DA+3</v>
          </cell>
        </row>
        <row r="459">
          <cell r="B459" t="str">
            <v>39/10</v>
          </cell>
          <cell r="C459" t="str">
            <v>DA+0</v>
          </cell>
        </row>
        <row r="461">
          <cell r="B461" t="str">
            <v>40/0</v>
          </cell>
          <cell r="C461" t="str">
            <v>DD60+25</v>
          </cell>
        </row>
        <row r="463">
          <cell r="B463" t="str">
            <v>41/0</v>
          </cell>
          <cell r="C463" t="str">
            <v>DD60+18</v>
          </cell>
        </row>
        <row r="465">
          <cell r="B465" t="str">
            <v>41/1</v>
          </cell>
          <cell r="C465" t="str">
            <v>DA+0</v>
          </cell>
        </row>
        <row r="467">
          <cell r="B467" t="str">
            <v>41/2</v>
          </cell>
          <cell r="C467" t="str">
            <v>DA+3</v>
          </cell>
        </row>
        <row r="469">
          <cell r="B469" t="str">
            <v>42/0</v>
          </cell>
          <cell r="C469" t="str">
            <v>DD60+18</v>
          </cell>
        </row>
        <row r="471">
          <cell r="B471" t="str">
            <v>43/0</v>
          </cell>
          <cell r="C471" t="str">
            <v>DD60+9</v>
          </cell>
        </row>
        <row r="473">
          <cell r="B473" t="str">
            <v>44/0</v>
          </cell>
          <cell r="C473" t="str">
            <v>DD60+3</v>
          </cell>
        </row>
        <row r="475">
          <cell r="B475" t="str">
            <v>45/0</v>
          </cell>
          <cell r="C475" t="str">
            <v>DD60+0</v>
          </cell>
        </row>
        <row r="477">
          <cell r="B477" t="str">
            <v>45/1</v>
          </cell>
          <cell r="C477" t="str">
            <v>DA+3</v>
          </cell>
        </row>
        <row r="479">
          <cell r="B479" t="str">
            <v>45/2</v>
          </cell>
          <cell r="C479" t="str">
            <v>DA+3</v>
          </cell>
        </row>
        <row r="481">
          <cell r="B481" t="str">
            <v>45/3</v>
          </cell>
          <cell r="C481" t="str">
            <v>DA-3</v>
          </cell>
        </row>
        <row r="483">
          <cell r="B483" t="str">
            <v>46/0</v>
          </cell>
          <cell r="C483" t="str">
            <v>DB2+0</v>
          </cell>
        </row>
        <row r="485">
          <cell r="B485" t="str">
            <v>46/1</v>
          </cell>
          <cell r="C485" t="str">
            <v>DA+0</v>
          </cell>
        </row>
        <row r="487">
          <cell r="B487" t="str">
            <v>46/2</v>
          </cell>
          <cell r="C487" t="str">
            <v>DA+3</v>
          </cell>
        </row>
        <row r="489">
          <cell r="B489" t="str">
            <v>47/0</v>
          </cell>
          <cell r="C489" t="str">
            <v>DC2+9</v>
          </cell>
        </row>
        <row r="491">
          <cell r="B491" t="str">
            <v>48/0</v>
          </cell>
          <cell r="C491" t="str">
            <v>DD45+9</v>
          </cell>
        </row>
        <row r="493">
          <cell r="B493" t="str">
            <v>48/1</v>
          </cell>
          <cell r="C493" t="str">
            <v>DA-3</v>
          </cell>
        </row>
        <row r="495">
          <cell r="B495" t="str">
            <v>49/0</v>
          </cell>
          <cell r="C495" t="str">
            <v>DC2+9</v>
          </cell>
        </row>
        <row r="497">
          <cell r="B497" t="str">
            <v>50/0</v>
          </cell>
          <cell r="C497" t="str">
            <v>DC1+18</v>
          </cell>
        </row>
        <row r="499">
          <cell r="B499" t="str">
            <v>50/1</v>
          </cell>
          <cell r="C499" t="str">
            <v>DA+0</v>
          </cell>
        </row>
        <row r="501">
          <cell r="B501" t="str">
            <v>51/0</v>
          </cell>
          <cell r="C501" t="str">
            <v>DD60+0</v>
          </cell>
        </row>
        <row r="503">
          <cell r="B503" t="str">
            <v>52/0</v>
          </cell>
          <cell r="C503" t="str">
            <v>DC2+9</v>
          </cell>
        </row>
        <row r="505">
          <cell r="B505" t="str">
            <v>52/1</v>
          </cell>
          <cell r="C505" t="str">
            <v>DB1+6</v>
          </cell>
        </row>
        <row r="507">
          <cell r="B507" t="str">
            <v>52/2</v>
          </cell>
          <cell r="C507" t="str">
            <v>DA+3</v>
          </cell>
        </row>
        <row r="509">
          <cell r="B509" t="str">
            <v>52/3</v>
          </cell>
          <cell r="C509" t="str">
            <v>DA-3</v>
          </cell>
        </row>
        <row r="511">
          <cell r="B511" t="str">
            <v>52/4</v>
          </cell>
          <cell r="C511" t="str">
            <v>DA-3</v>
          </cell>
        </row>
        <row r="513">
          <cell r="B513" t="str">
            <v>52/5</v>
          </cell>
          <cell r="C513" t="str">
            <v>DA-3</v>
          </cell>
        </row>
        <row r="515">
          <cell r="B515" t="str">
            <v>52/6</v>
          </cell>
          <cell r="C515" t="str">
            <v>DA+3</v>
          </cell>
        </row>
        <row r="517">
          <cell r="B517" t="str">
            <v>52/7</v>
          </cell>
          <cell r="C517" t="str">
            <v>DA+6</v>
          </cell>
        </row>
        <row r="519">
          <cell r="B519" t="str">
            <v>52/8</v>
          </cell>
          <cell r="C519" t="str">
            <v>DA-3</v>
          </cell>
        </row>
        <row r="521">
          <cell r="B521" t="str">
            <v>52/9</v>
          </cell>
          <cell r="C521" t="str">
            <v>DA-3</v>
          </cell>
        </row>
        <row r="523">
          <cell r="B523" t="str">
            <v>52/10</v>
          </cell>
          <cell r="C523" t="str">
            <v>DA+3</v>
          </cell>
        </row>
        <row r="525">
          <cell r="B525" t="str">
            <v>53/0</v>
          </cell>
          <cell r="C525" t="str">
            <v>DC1+0</v>
          </cell>
        </row>
        <row r="527">
          <cell r="B527" t="str">
            <v>53/1</v>
          </cell>
          <cell r="C527" t="str">
            <v>DA+6</v>
          </cell>
        </row>
        <row r="529">
          <cell r="B529" t="str">
            <v>53A/0</v>
          </cell>
          <cell r="C529" t="str">
            <v>DB2+0</v>
          </cell>
        </row>
        <row r="531">
          <cell r="B531" t="str">
            <v>53A/1</v>
          </cell>
          <cell r="C531" t="str">
            <v>DA+6</v>
          </cell>
        </row>
        <row r="533">
          <cell r="B533" t="str">
            <v>53A/2</v>
          </cell>
          <cell r="C533" t="str">
            <v>DA+3</v>
          </cell>
        </row>
        <row r="535">
          <cell r="B535" t="str">
            <v>53A/3</v>
          </cell>
          <cell r="C535" t="str">
            <v>DA-3</v>
          </cell>
        </row>
        <row r="537">
          <cell r="B537" t="str">
            <v>53A/4</v>
          </cell>
          <cell r="C537" t="str">
            <v>DA+3</v>
          </cell>
        </row>
        <row r="539">
          <cell r="B539" t="str">
            <v>53A/5</v>
          </cell>
          <cell r="C539" t="str">
            <v>DA-3</v>
          </cell>
        </row>
        <row r="541">
          <cell r="B541" t="str">
            <v>53A/6</v>
          </cell>
          <cell r="C541" t="str">
            <v>DA+3</v>
          </cell>
        </row>
        <row r="543">
          <cell r="B543" t="str">
            <v>53A/7</v>
          </cell>
          <cell r="C543" t="str">
            <v>DA+0</v>
          </cell>
        </row>
        <row r="545">
          <cell r="B545" t="str">
            <v>54/0</v>
          </cell>
          <cell r="C545" t="str">
            <v>DB1+3</v>
          </cell>
        </row>
        <row r="547">
          <cell r="B547" t="str">
            <v>54/1</v>
          </cell>
          <cell r="C547" t="str">
            <v>DA+9</v>
          </cell>
        </row>
        <row r="549">
          <cell r="B549" t="str">
            <v>54/2</v>
          </cell>
          <cell r="C549" t="str">
            <v>DA-3</v>
          </cell>
        </row>
        <row r="551">
          <cell r="B551" t="str">
            <v>55/0</v>
          </cell>
          <cell r="C551" t="str">
            <v>DC1+0</v>
          </cell>
        </row>
        <row r="553">
          <cell r="B553" t="str">
            <v>55/1</v>
          </cell>
          <cell r="C553" t="str">
            <v>DA-3</v>
          </cell>
        </row>
        <row r="555">
          <cell r="B555" t="str">
            <v>56/0</v>
          </cell>
          <cell r="C555" t="str">
            <v>DD45+0</v>
          </cell>
        </row>
        <row r="557">
          <cell r="B557" t="str">
            <v>56/1</v>
          </cell>
          <cell r="C557" t="str">
            <v>DA+0</v>
          </cell>
        </row>
        <row r="559">
          <cell r="B559" t="str">
            <v>56/2</v>
          </cell>
          <cell r="C559" t="str">
            <v>DA+3</v>
          </cell>
        </row>
        <row r="561">
          <cell r="B561" t="str">
            <v>56/3</v>
          </cell>
          <cell r="C561" t="str">
            <v>DA-3</v>
          </cell>
        </row>
        <row r="563">
          <cell r="B563" t="str">
            <v>56/4</v>
          </cell>
          <cell r="C563" t="str">
            <v>DA-3</v>
          </cell>
        </row>
        <row r="565">
          <cell r="B565" t="str">
            <v>56/5</v>
          </cell>
          <cell r="C565" t="str">
            <v>DA-3</v>
          </cell>
        </row>
        <row r="567">
          <cell r="B567" t="str">
            <v>56/6</v>
          </cell>
          <cell r="C567" t="str">
            <v>DA+0</v>
          </cell>
        </row>
        <row r="569">
          <cell r="B569" t="str">
            <v>56/7</v>
          </cell>
          <cell r="C569" t="str">
            <v>DA+6</v>
          </cell>
        </row>
        <row r="571">
          <cell r="B571" t="str">
            <v>56/8</v>
          </cell>
          <cell r="C571" t="str">
            <v>DA-3</v>
          </cell>
        </row>
        <row r="573">
          <cell r="B573" t="str">
            <v>57/0</v>
          </cell>
          <cell r="C573" t="str">
            <v>DB2+0</v>
          </cell>
        </row>
        <row r="575">
          <cell r="B575" t="str">
            <v>57/1</v>
          </cell>
          <cell r="C575" t="str">
            <v>DA-3</v>
          </cell>
        </row>
        <row r="577">
          <cell r="B577" t="str">
            <v>58/0</v>
          </cell>
          <cell r="C577" t="str">
            <v>DD60+18</v>
          </cell>
        </row>
        <row r="579">
          <cell r="B579" t="str">
            <v>59/0</v>
          </cell>
          <cell r="C579" t="str">
            <v>DD60+6</v>
          </cell>
        </row>
        <row r="581">
          <cell r="B581" t="str">
            <v>60/0</v>
          </cell>
          <cell r="C581" t="str">
            <v>DD45+6</v>
          </cell>
        </row>
        <row r="583">
          <cell r="B583" t="str">
            <v>61/0</v>
          </cell>
          <cell r="C583" t="str">
            <v>DD60+30</v>
          </cell>
        </row>
        <row r="585">
          <cell r="B585" t="str">
            <v>62/0</v>
          </cell>
          <cell r="C585" t="str">
            <v>DC1+25</v>
          </cell>
        </row>
        <row r="587">
          <cell r="B587" t="str">
            <v>63/0</v>
          </cell>
          <cell r="C587" t="str">
            <v>DC1+3</v>
          </cell>
        </row>
        <row r="589">
          <cell r="B589" t="str">
            <v>64/0</v>
          </cell>
          <cell r="C589" t="str">
            <v>DC1+0</v>
          </cell>
        </row>
        <row r="591">
          <cell r="B591" t="str">
            <v>64/1</v>
          </cell>
          <cell r="C591" t="str">
            <v>DA+0</v>
          </cell>
        </row>
        <row r="593">
          <cell r="B593" t="str">
            <v>64/2</v>
          </cell>
          <cell r="C593" t="str">
            <v>DA+3</v>
          </cell>
        </row>
        <row r="595">
          <cell r="B595" t="str">
            <v>64/3</v>
          </cell>
          <cell r="C595" t="str">
            <v>DA-3</v>
          </cell>
        </row>
        <row r="597">
          <cell r="B597" t="str">
            <v>65/0</v>
          </cell>
          <cell r="C597" t="str">
            <v>DD60+0</v>
          </cell>
        </row>
        <row r="599">
          <cell r="B599" t="str">
            <v>66/0</v>
          </cell>
          <cell r="C599" t="str">
            <v>DD60+0</v>
          </cell>
        </row>
        <row r="601">
          <cell r="B601" t="str">
            <v>66/1</v>
          </cell>
          <cell r="C601" t="str">
            <v>DA+0</v>
          </cell>
        </row>
        <row r="603">
          <cell r="B603" t="str">
            <v>67/0</v>
          </cell>
          <cell r="C603" t="str">
            <v>DD60+30</v>
          </cell>
        </row>
        <row r="605">
          <cell r="B605" t="str">
            <v>68/0</v>
          </cell>
          <cell r="C605" t="str">
            <v>DD60+30</v>
          </cell>
        </row>
        <row r="607">
          <cell r="B607" t="str">
            <v>69/0</v>
          </cell>
          <cell r="C607" t="str">
            <v>DC2+0</v>
          </cell>
        </row>
        <row r="609">
          <cell r="B609" t="str">
            <v>69A/0</v>
          </cell>
          <cell r="C609" t="str">
            <v>DD60+0</v>
          </cell>
        </row>
        <row r="611">
          <cell r="B611" t="str">
            <v>70/0</v>
          </cell>
          <cell r="C611" t="str">
            <v>DD60+0</v>
          </cell>
        </row>
        <row r="613">
          <cell r="B613" t="str">
            <v>Gantry</v>
          </cell>
        </row>
      </sheetData>
      <sheetData sheetId="1"/>
      <sheetData sheetId="2"/>
      <sheetData sheetId="3">
        <row r="2">
          <cell r="J2">
            <v>302</v>
          </cell>
          <cell r="K2">
            <v>0</v>
          </cell>
          <cell r="L2">
            <v>302</v>
          </cell>
          <cell r="N2">
            <v>276</v>
          </cell>
          <cell r="Q2">
            <v>168</v>
          </cell>
          <cell r="S2">
            <v>64.714991000000012</v>
          </cell>
          <cell r="T2">
            <v>54.468887000000009</v>
          </cell>
        </row>
        <row r="9">
          <cell r="B9" t="str">
            <v>0/0</v>
          </cell>
          <cell r="C9" t="str">
            <v>TPT+0</v>
          </cell>
          <cell r="D9">
            <v>369</v>
          </cell>
        </row>
        <row r="10">
          <cell r="B10" t="str">
            <v>0/1</v>
          </cell>
          <cell r="C10" t="str">
            <v>DA-3</v>
          </cell>
          <cell r="D10">
            <v>367</v>
          </cell>
        </row>
        <row r="11">
          <cell r="B11" t="str">
            <v>0/2</v>
          </cell>
          <cell r="C11" t="str">
            <v>DA-3</v>
          </cell>
          <cell r="D11">
            <v>354</v>
          </cell>
        </row>
        <row r="12">
          <cell r="B12" t="str">
            <v>0/3</v>
          </cell>
          <cell r="C12" t="str">
            <v>DA-3</v>
          </cell>
          <cell r="D12">
            <v>381</v>
          </cell>
        </row>
        <row r="13">
          <cell r="B13" t="str">
            <v>0/4</v>
          </cell>
          <cell r="C13" t="str">
            <v>DA+9</v>
          </cell>
          <cell r="D13">
            <v>450.56299999999999</v>
          </cell>
        </row>
        <row r="14">
          <cell r="B14" t="str">
            <v>1/0</v>
          </cell>
          <cell r="C14" t="str">
            <v>DC1+3</v>
          </cell>
          <cell r="D14">
            <v>245.982</v>
          </cell>
        </row>
        <row r="15">
          <cell r="B15" t="str">
            <v>2/0</v>
          </cell>
          <cell r="C15" t="str">
            <v>DD45+3</v>
          </cell>
          <cell r="D15">
            <v>420</v>
          </cell>
        </row>
        <row r="16">
          <cell r="B16" t="str">
            <v>2/1</v>
          </cell>
          <cell r="C16" t="str">
            <v>DA+3</v>
          </cell>
          <cell r="D16">
            <v>412</v>
          </cell>
        </row>
        <row r="17">
          <cell r="B17" t="str">
            <v>2/2</v>
          </cell>
          <cell r="C17" t="str">
            <v>DA+0</v>
          </cell>
          <cell r="D17">
            <v>413</v>
          </cell>
        </row>
        <row r="18">
          <cell r="B18" t="str">
            <v>2/3</v>
          </cell>
          <cell r="C18" t="str">
            <v>DA+3</v>
          </cell>
          <cell r="D18">
            <v>415</v>
          </cell>
        </row>
        <row r="19">
          <cell r="B19" t="str">
            <v>2/4</v>
          </cell>
          <cell r="C19" t="str">
            <v>DA+0</v>
          </cell>
          <cell r="D19">
            <v>414</v>
          </cell>
        </row>
        <row r="20">
          <cell r="B20" t="str">
            <v>2/5</v>
          </cell>
          <cell r="C20" t="str">
            <v>DA+3</v>
          </cell>
          <cell r="D20">
            <v>410</v>
          </cell>
        </row>
        <row r="21">
          <cell r="B21" t="str">
            <v>2/6</v>
          </cell>
          <cell r="C21" t="str">
            <v>DA+0</v>
          </cell>
          <cell r="D21">
            <v>378</v>
          </cell>
        </row>
        <row r="22">
          <cell r="B22" t="str">
            <v>2/7</v>
          </cell>
          <cell r="C22" t="str">
            <v>DA+3</v>
          </cell>
          <cell r="D22">
            <v>420</v>
          </cell>
        </row>
        <row r="23">
          <cell r="B23" t="str">
            <v>2/8</v>
          </cell>
          <cell r="C23" t="str">
            <v>DA+0</v>
          </cell>
          <cell r="D23">
            <v>401.69499999999999</v>
          </cell>
        </row>
        <row r="24">
          <cell r="B24" t="str">
            <v>3/0</v>
          </cell>
          <cell r="C24" t="str">
            <v>DC2+0</v>
          </cell>
          <cell r="D24">
            <v>279.99700000000001</v>
          </cell>
        </row>
        <row r="25">
          <cell r="B25" t="str">
            <v>4/0</v>
          </cell>
          <cell r="C25" t="str">
            <v>DD45+0</v>
          </cell>
          <cell r="D25">
            <v>383.06400000000002</v>
          </cell>
        </row>
        <row r="26">
          <cell r="B26" t="str">
            <v>4/1</v>
          </cell>
          <cell r="C26" t="str">
            <v>DA+3</v>
          </cell>
          <cell r="D26">
            <v>400.00400000000002</v>
          </cell>
        </row>
        <row r="27">
          <cell r="B27" t="str">
            <v>4/2</v>
          </cell>
          <cell r="C27" t="str">
            <v>DA-3</v>
          </cell>
          <cell r="D27">
            <v>397.00200000000001</v>
          </cell>
        </row>
        <row r="28">
          <cell r="B28" t="str">
            <v>4/3</v>
          </cell>
          <cell r="C28" t="str">
            <v>DA+3</v>
          </cell>
          <cell r="D28">
            <v>414</v>
          </cell>
        </row>
        <row r="29">
          <cell r="B29" t="str">
            <v>4/4</v>
          </cell>
          <cell r="C29" t="str">
            <v>DA+0</v>
          </cell>
          <cell r="D29">
            <v>415</v>
          </cell>
        </row>
        <row r="30">
          <cell r="B30" t="str">
            <v>4/5</v>
          </cell>
          <cell r="C30" t="str">
            <v>DA+3</v>
          </cell>
          <cell r="D30">
            <v>411</v>
          </cell>
        </row>
        <row r="31">
          <cell r="B31" t="str">
            <v>4/6</v>
          </cell>
          <cell r="C31" t="str">
            <v>DA+0</v>
          </cell>
          <cell r="D31">
            <v>416</v>
          </cell>
        </row>
        <row r="32">
          <cell r="B32" t="str">
            <v>4/7</v>
          </cell>
          <cell r="C32" t="str">
            <v>DA+3</v>
          </cell>
          <cell r="D32">
            <v>409.23099999999999</v>
          </cell>
        </row>
        <row r="33">
          <cell r="B33" t="str">
            <v>4/8</v>
          </cell>
          <cell r="C33" t="str">
            <v>DA+0</v>
          </cell>
          <cell r="D33">
            <v>378.00099999999998</v>
          </cell>
        </row>
        <row r="34">
          <cell r="B34" t="str">
            <v>4/9</v>
          </cell>
          <cell r="C34" t="str">
            <v>DA-3</v>
          </cell>
          <cell r="D34">
            <v>391</v>
          </cell>
        </row>
        <row r="35">
          <cell r="B35" t="str">
            <v>4/10</v>
          </cell>
          <cell r="C35" t="str">
            <v>DA+3</v>
          </cell>
          <cell r="D35">
            <v>401.44299999999998</v>
          </cell>
        </row>
        <row r="36">
          <cell r="B36" t="str">
            <v>5/0</v>
          </cell>
          <cell r="C36" t="str">
            <v>DB1+0</v>
          </cell>
          <cell r="D36">
            <v>321</v>
          </cell>
        </row>
        <row r="37">
          <cell r="B37" t="str">
            <v>5/1</v>
          </cell>
          <cell r="C37" t="str">
            <v>DA+3</v>
          </cell>
          <cell r="D37">
            <v>402.56900000000002</v>
          </cell>
        </row>
        <row r="38">
          <cell r="B38" t="str">
            <v>6/0</v>
          </cell>
          <cell r="C38" t="str">
            <v>DB1+0</v>
          </cell>
          <cell r="D38">
            <v>408</v>
          </cell>
        </row>
        <row r="39">
          <cell r="B39" t="str">
            <v>6/1</v>
          </cell>
          <cell r="C39" t="str">
            <v>DA+3</v>
          </cell>
          <cell r="D39">
            <v>419</v>
          </cell>
        </row>
        <row r="40">
          <cell r="B40" t="str">
            <v>6/2</v>
          </cell>
          <cell r="C40" t="str">
            <v>DA+3</v>
          </cell>
          <cell r="D40">
            <v>407.27499999999998</v>
          </cell>
        </row>
        <row r="41">
          <cell r="B41" t="str">
            <v>7/0</v>
          </cell>
          <cell r="C41" t="str">
            <v>DB2+0</v>
          </cell>
          <cell r="D41">
            <v>414</v>
          </cell>
        </row>
        <row r="42">
          <cell r="B42" t="str">
            <v>7/1</v>
          </cell>
          <cell r="C42" t="str">
            <v>DA+0</v>
          </cell>
          <cell r="D42">
            <v>419</v>
          </cell>
        </row>
        <row r="43">
          <cell r="B43" t="str">
            <v>7/2</v>
          </cell>
          <cell r="C43" t="str">
            <v>DA+3</v>
          </cell>
          <cell r="D43">
            <v>361.09699999999998</v>
          </cell>
        </row>
        <row r="44">
          <cell r="B44" t="str">
            <v>7/3</v>
          </cell>
          <cell r="C44" t="str">
            <v>DA-3</v>
          </cell>
          <cell r="D44">
            <v>361</v>
          </cell>
        </row>
        <row r="45">
          <cell r="B45" t="str">
            <v>7/4</v>
          </cell>
          <cell r="C45" t="str">
            <v>DA+0</v>
          </cell>
          <cell r="D45">
            <v>404</v>
          </cell>
        </row>
        <row r="46">
          <cell r="B46" t="str">
            <v>7/5</v>
          </cell>
          <cell r="C46" t="str">
            <v>DA+3</v>
          </cell>
          <cell r="D46">
            <v>424</v>
          </cell>
        </row>
        <row r="47">
          <cell r="B47" t="str">
            <v>7/6</v>
          </cell>
          <cell r="C47" t="str">
            <v>DA+0</v>
          </cell>
          <cell r="D47">
            <v>406</v>
          </cell>
        </row>
        <row r="48">
          <cell r="B48" t="str">
            <v>7/7</v>
          </cell>
          <cell r="C48" t="str">
            <v>DA+0</v>
          </cell>
          <cell r="D48">
            <v>410</v>
          </cell>
        </row>
        <row r="49">
          <cell r="B49" t="str">
            <v>7/8</v>
          </cell>
          <cell r="C49" t="str">
            <v>DA+3</v>
          </cell>
          <cell r="D49">
            <v>423</v>
          </cell>
        </row>
        <row r="50">
          <cell r="B50" t="str">
            <v>7/9</v>
          </cell>
          <cell r="C50" t="str">
            <v>DA+0</v>
          </cell>
          <cell r="D50">
            <v>409</v>
          </cell>
        </row>
        <row r="51">
          <cell r="B51" t="str">
            <v>7/10</v>
          </cell>
          <cell r="C51" t="str">
            <v>DA+3</v>
          </cell>
          <cell r="D51">
            <v>425</v>
          </cell>
        </row>
        <row r="52">
          <cell r="B52" t="str">
            <v>7/11</v>
          </cell>
          <cell r="C52" t="str">
            <v>DA+0</v>
          </cell>
          <cell r="D52">
            <v>362.65</v>
          </cell>
        </row>
        <row r="53">
          <cell r="B53" t="str">
            <v>8/0</v>
          </cell>
          <cell r="C53" t="str">
            <v>DB2+0</v>
          </cell>
          <cell r="D53">
            <v>416</v>
          </cell>
        </row>
        <row r="54">
          <cell r="B54" t="str">
            <v>8/1</v>
          </cell>
          <cell r="C54" t="str">
            <v>DA+3</v>
          </cell>
          <cell r="D54">
            <v>400</v>
          </cell>
        </row>
        <row r="55">
          <cell r="B55" t="str">
            <v>8/2</v>
          </cell>
          <cell r="C55" t="str">
            <v>DA+0</v>
          </cell>
          <cell r="D55">
            <v>367</v>
          </cell>
        </row>
        <row r="56">
          <cell r="B56" t="str">
            <v>8/3</v>
          </cell>
          <cell r="C56" t="str">
            <v>DA-3</v>
          </cell>
          <cell r="D56">
            <v>420</v>
          </cell>
        </row>
        <row r="57">
          <cell r="B57" t="str">
            <v>8/4</v>
          </cell>
          <cell r="C57" t="str">
            <v>DA+9</v>
          </cell>
          <cell r="D57">
            <v>413.71600000000001</v>
          </cell>
        </row>
        <row r="58">
          <cell r="B58" t="str">
            <v>8A/0</v>
          </cell>
          <cell r="C58" t="str">
            <v>DD60+0</v>
          </cell>
          <cell r="D58">
            <v>223.61</v>
          </cell>
        </row>
        <row r="59">
          <cell r="B59" t="str">
            <v>8B/0</v>
          </cell>
          <cell r="C59" t="str">
            <v>DD60+0</v>
          </cell>
          <cell r="D59">
            <v>341</v>
          </cell>
        </row>
        <row r="60">
          <cell r="B60" t="str">
            <v>8B/1</v>
          </cell>
          <cell r="C60" t="str">
            <v>DA-3</v>
          </cell>
          <cell r="D60">
            <v>332</v>
          </cell>
        </row>
        <row r="61">
          <cell r="B61" t="str">
            <v>8B/2</v>
          </cell>
          <cell r="C61" t="str">
            <v>DA-3</v>
          </cell>
          <cell r="D61">
            <v>292.52600000000001</v>
          </cell>
        </row>
        <row r="62">
          <cell r="B62" t="str">
            <v>8B/3</v>
          </cell>
          <cell r="C62" t="str">
            <v>DA+3</v>
          </cell>
          <cell r="D62">
            <v>426.18599999999998</v>
          </cell>
        </row>
        <row r="63">
          <cell r="B63" t="str">
            <v>8B/4</v>
          </cell>
          <cell r="C63" t="str">
            <v>DA+6</v>
          </cell>
          <cell r="D63">
            <v>373</v>
          </cell>
        </row>
        <row r="64">
          <cell r="B64" t="str">
            <v>8B/5</v>
          </cell>
          <cell r="C64" t="str">
            <v>DA+6</v>
          </cell>
          <cell r="D64">
            <v>461.51</v>
          </cell>
        </row>
        <row r="65">
          <cell r="B65" t="str">
            <v>9/0</v>
          </cell>
          <cell r="C65" t="str">
            <v>DB2+6</v>
          </cell>
          <cell r="D65">
            <v>283.43099999999998</v>
          </cell>
        </row>
        <row r="66">
          <cell r="B66" t="str">
            <v>10/0</v>
          </cell>
          <cell r="C66" t="str">
            <v>DB1+9</v>
          </cell>
          <cell r="D66">
            <v>426</v>
          </cell>
        </row>
        <row r="67">
          <cell r="B67" t="str">
            <v>10/1</v>
          </cell>
          <cell r="C67" t="str">
            <v>DA-3</v>
          </cell>
          <cell r="D67">
            <v>396.09199999999998</v>
          </cell>
        </row>
        <row r="68">
          <cell r="B68" t="str">
            <v>11/0</v>
          </cell>
          <cell r="C68" t="str">
            <v>DB1+18</v>
          </cell>
          <cell r="D68">
            <v>312.87900000000002</v>
          </cell>
        </row>
        <row r="69">
          <cell r="B69" t="str">
            <v>12/0</v>
          </cell>
          <cell r="C69" t="str">
            <v>DB2+18</v>
          </cell>
          <cell r="D69">
            <v>418.99900000000002</v>
          </cell>
        </row>
        <row r="70">
          <cell r="B70" t="str">
            <v>12/1</v>
          </cell>
          <cell r="C70" t="str">
            <v>DA-3</v>
          </cell>
          <cell r="D70">
            <v>370.19900000000001</v>
          </cell>
        </row>
        <row r="71">
          <cell r="B71" t="str">
            <v>12/2</v>
          </cell>
          <cell r="C71" t="str">
            <v>DA+3</v>
          </cell>
          <cell r="D71">
            <v>424.99599999999998</v>
          </cell>
        </row>
        <row r="72">
          <cell r="B72" t="str">
            <v>12/3</v>
          </cell>
          <cell r="C72" t="str">
            <v>DA+3</v>
          </cell>
          <cell r="D72">
            <v>404</v>
          </cell>
        </row>
        <row r="73">
          <cell r="B73" t="str">
            <v>12/4</v>
          </cell>
          <cell r="C73" t="str">
            <v>DA+3</v>
          </cell>
          <cell r="D73">
            <v>428</v>
          </cell>
        </row>
        <row r="74">
          <cell r="B74" t="str">
            <v>12/5</v>
          </cell>
          <cell r="C74" t="str">
            <v>DA+3</v>
          </cell>
          <cell r="D74">
            <v>395</v>
          </cell>
        </row>
        <row r="75">
          <cell r="B75" t="str">
            <v>12/6</v>
          </cell>
          <cell r="C75" t="str">
            <v>DA-3</v>
          </cell>
          <cell r="D75">
            <v>318</v>
          </cell>
        </row>
        <row r="76">
          <cell r="B76" t="str">
            <v>12/7</v>
          </cell>
          <cell r="C76" t="str">
            <v>DA-3</v>
          </cell>
          <cell r="D76">
            <v>357</v>
          </cell>
        </row>
        <row r="77">
          <cell r="B77" t="str">
            <v>12/8</v>
          </cell>
          <cell r="C77" t="str">
            <v>DA-3</v>
          </cell>
          <cell r="D77">
            <v>385</v>
          </cell>
        </row>
        <row r="78">
          <cell r="B78" t="str">
            <v>12/9</v>
          </cell>
          <cell r="C78" t="str">
            <v>DA+3</v>
          </cell>
          <cell r="D78">
            <v>418.77600000000001</v>
          </cell>
        </row>
        <row r="79">
          <cell r="B79" t="str">
            <v>13/0</v>
          </cell>
          <cell r="C79" t="str">
            <v>DD60+30</v>
          </cell>
          <cell r="D79">
            <v>319.13299999999998</v>
          </cell>
        </row>
        <row r="80">
          <cell r="B80" t="str">
            <v>14/0</v>
          </cell>
          <cell r="C80" t="str">
            <v>DD60+30</v>
          </cell>
          <cell r="D80">
            <v>436</v>
          </cell>
        </row>
        <row r="81">
          <cell r="B81" t="str">
            <v>14/1</v>
          </cell>
          <cell r="C81" t="str">
            <v>DA+0</v>
          </cell>
          <cell r="D81">
            <v>395</v>
          </cell>
        </row>
        <row r="82">
          <cell r="B82" t="str">
            <v>14/2</v>
          </cell>
          <cell r="C82" t="str">
            <v>DA+0</v>
          </cell>
          <cell r="D82">
            <v>306</v>
          </cell>
        </row>
        <row r="83">
          <cell r="B83" t="str">
            <v>14/3</v>
          </cell>
          <cell r="C83" t="str">
            <v>DA+0</v>
          </cell>
          <cell r="D83">
            <v>412</v>
          </cell>
        </row>
        <row r="84">
          <cell r="B84" t="str">
            <v>14/4</v>
          </cell>
          <cell r="C84" t="str">
            <v>DA+3</v>
          </cell>
          <cell r="D84">
            <v>414</v>
          </cell>
        </row>
        <row r="85">
          <cell r="B85" t="str">
            <v>14/5</v>
          </cell>
          <cell r="C85" t="str">
            <v>DA+3</v>
          </cell>
          <cell r="D85">
            <v>420</v>
          </cell>
        </row>
        <row r="86">
          <cell r="B86" t="str">
            <v>14/6</v>
          </cell>
          <cell r="C86" t="str">
            <v>DA+3</v>
          </cell>
          <cell r="D86">
            <v>410</v>
          </cell>
        </row>
        <row r="87">
          <cell r="B87" t="str">
            <v>14/7</v>
          </cell>
          <cell r="C87" t="str">
            <v>DA+0</v>
          </cell>
          <cell r="D87">
            <v>410</v>
          </cell>
        </row>
        <row r="88">
          <cell r="B88" t="str">
            <v>14/8</v>
          </cell>
          <cell r="C88" t="str">
            <v>DA+3</v>
          </cell>
          <cell r="D88">
            <v>407.995</v>
          </cell>
        </row>
        <row r="89">
          <cell r="B89" t="str">
            <v>15/0</v>
          </cell>
          <cell r="C89" t="str">
            <v>DC2+3</v>
          </cell>
          <cell r="D89">
            <v>464.74200000000002</v>
          </cell>
        </row>
        <row r="90">
          <cell r="B90" t="str">
            <v>16/0</v>
          </cell>
          <cell r="C90" t="str">
            <v>DB2+25</v>
          </cell>
          <cell r="D90">
            <v>264.68700000000001</v>
          </cell>
        </row>
        <row r="91">
          <cell r="B91" t="str">
            <v>17/0</v>
          </cell>
          <cell r="C91" t="str">
            <v>DB2+6</v>
          </cell>
          <cell r="D91">
            <v>400</v>
          </cell>
        </row>
        <row r="92">
          <cell r="B92" t="str">
            <v>17/1</v>
          </cell>
          <cell r="C92" t="str">
            <v>DA-3</v>
          </cell>
          <cell r="D92">
            <v>310</v>
          </cell>
        </row>
        <row r="93">
          <cell r="B93" t="str">
            <v>17/2</v>
          </cell>
          <cell r="C93" t="str">
            <v>DA+0</v>
          </cell>
          <cell r="D93">
            <v>361.49700000000001</v>
          </cell>
        </row>
        <row r="94">
          <cell r="B94" t="str">
            <v>17/3</v>
          </cell>
          <cell r="C94" t="str">
            <v>DA+0</v>
          </cell>
          <cell r="D94">
            <v>366.00200000000001</v>
          </cell>
        </row>
        <row r="95">
          <cell r="B95" t="str">
            <v>17/4</v>
          </cell>
          <cell r="C95" t="str">
            <v>DA+3</v>
          </cell>
          <cell r="D95">
            <v>436.99900000000002</v>
          </cell>
        </row>
        <row r="96">
          <cell r="B96" t="str">
            <v>17/5</v>
          </cell>
          <cell r="C96" t="str">
            <v>DA+3</v>
          </cell>
          <cell r="D96">
            <v>389.99900000000002</v>
          </cell>
        </row>
        <row r="97">
          <cell r="B97" t="str">
            <v>17/6</v>
          </cell>
          <cell r="C97" t="str">
            <v>DA-3</v>
          </cell>
          <cell r="D97">
            <v>400.99900000000002</v>
          </cell>
        </row>
        <row r="98">
          <cell r="B98" t="str">
            <v>17/7</v>
          </cell>
          <cell r="C98" t="str">
            <v>DA+3</v>
          </cell>
          <cell r="D98">
            <v>391.99900000000002</v>
          </cell>
        </row>
        <row r="99">
          <cell r="B99" t="str">
            <v>17/8</v>
          </cell>
          <cell r="C99" t="str">
            <v>DA-3</v>
          </cell>
          <cell r="D99">
            <v>374.07</v>
          </cell>
        </row>
        <row r="100">
          <cell r="B100" t="str">
            <v>18/0</v>
          </cell>
          <cell r="C100" t="str">
            <v>DB1+6</v>
          </cell>
          <cell r="D100">
            <v>323.02999999999997</v>
          </cell>
        </row>
        <row r="101">
          <cell r="B101" t="str">
            <v>19/0</v>
          </cell>
          <cell r="C101" t="str">
            <v>DC2+6</v>
          </cell>
          <cell r="D101">
            <v>343.13</v>
          </cell>
        </row>
        <row r="102">
          <cell r="B102" t="str">
            <v>19/1</v>
          </cell>
          <cell r="C102" t="str">
            <v>DA+0</v>
          </cell>
          <cell r="D102">
            <v>392</v>
          </cell>
        </row>
        <row r="103">
          <cell r="B103" t="str">
            <v>19/2</v>
          </cell>
          <cell r="C103" t="str">
            <v>DA+0</v>
          </cell>
          <cell r="D103">
            <v>407</v>
          </cell>
        </row>
        <row r="104">
          <cell r="B104" t="str">
            <v>19/3</v>
          </cell>
          <cell r="C104" t="str">
            <v>DA+3</v>
          </cell>
          <cell r="D104">
            <v>412</v>
          </cell>
        </row>
        <row r="105">
          <cell r="B105" t="str">
            <v>19/4</v>
          </cell>
          <cell r="C105" t="str">
            <v>DA+0</v>
          </cell>
          <cell r="D105">
            <v>371</v>
          </cell>
        </row>
        <row r="106">
          <cell r="B106" t="str">
            <v>19/5</v>
          </cell>
          <cell r="C106" t="str">
            <v>DA-3</v>
          </cell>
          <cell r="D106">
            <v>376</v>
          </cell>
        </row>
        <row r="107">
          <cell r="B107" t="str">
            <v>19/6</v>
          </cell>
          <cell r="C107" t="str">
            <v>DA+0</v>
          </cell>
          <cell r="D107">
            <v>421</v>
          </cell>
        </row>
        <row r="108">
          <cell r="B108" t="str">
            <v>19/7</v>
          </cell>
          <cell r="C108" t="str">
            <v>DA+3</v>
          </cell>
          <cell r="D108">
            <v>387</v>
          </cell>
        </row>
        <row r="109">
          <cell r="B109" t="str">
            <v>19/8</v>
          </cell>
          <cell r="C109" t="str">
            <v>DA-3</v>
          </cell>
          <cell r="D109">
            <v>364</v>
          </cell>
        </row>
        <row r="110">
          <cell r="B110" t="str">
            <v>19/9</v>
          </cell>
          <cell r="C110" t="str">
            <v>DA+3</v>
          </cell>
          <cell r="D110">
            <v>423</v>
          </cell>
        </row>
        <row r="111">
          <cell r="B111" t="str">
            <v>19/10</v>
          </cell>
          <cell r="C111" t="str">
            <v>DA+3</v>
          </cell>
          <cell r="D111">
            <v>335</v>
          </cell>
        </row>
        <row r="112">
          <cell r="B112" t="str">
            <v>19/11</v>
          </cell>
          <cell r="C112" t="str">
            <v>DA-3</v>
          </cell>
          <cell r="D112">
            <v>343</v>
          </cell>
        </row>
        <row r="113">
          <cell r="B113" t="str">
            <v>19/12</v>
          </cell>
          <cell r="C113" t="str">
            <v>DA-3</v>
          </cell>
          <cell r="D113">
            <v>362.45299999999997</v>
          </cell>
        </row>
        <row r="114">
          <cell r="B114" t="str">
            <v>20/0</v>
          </cell>
          <cell r="C114" t="str">
            <v>DB1+0</v>
          </cell>
          <cell r="D114">
            <v>433</v>
          </cell>
        </row>
        <row r="115">
          <cell r="B115" t="str">
            <v>20/1</v>
          </cell>
          <cell r="C115" t="str">
            <v>DA+6</v>
          </cell>
          <cell r="D115">
            <v>393</v>
          </cell>
        </row>
        <row r="116">
          <cell r="B116" t="str">
            <v>20/2</v>
          </cell>
          <cell r="C116" t="str">
            <v>DA+0</v>
          </cell>
          <cell r="D116">
            <v>400</v>
          </cell>
        </row>
        <row r="117">
          <cell r="B117" t="str">
            <v>20/3</v>
          </cell>
          <cell r="C117" t="str">
            <v>DA+0</v>
          </cell>
          <cell r="D117">
            <v>375.65899999999999</v>
          </cell>
        </row>
        <row r="118">
          <cell r="B118" t="str">
            <v>20/4</v>
          </cell>
          <cell r="C118" t="str">
            <v>DA-3</v>
          </cell>
          <cell r="D118">
            <v>366.46600000000001</v>
          </cell>
        </row>
        <row r="119">
          <cell r="B119" t="str">
            <v>20/5</v>
          </cell>
          <cell r="C119" t="str">
            <v>DA+3</v>
          </cell>
          <cell r="D119">
            <v>408</v>
          </cell>
        </row>
        <row r="120">
          <cell r="B120" t="str">
            <v>20/6</v>
          </cell>
          <cell r="C120" t="str">
            <v>DA+0</v>
          </cell>
          <cell r="D120">
            <v>372</v>
          </cell>
        </row>
        <row r="121">
          <cell r="B121" t="str">
            <v>20/7</v>
          </cell>
          <cell r="C121" t="str">
            <v>DA-3</v>
          </cell>
          <cell r="D121">
            <v>370</v>
          </cell>
        </row>
        <row r="122">
          <cell r="B122" t="str">
            <v>20/8</v>
          </cell>
          <cell r="C122" t="str">
            <v>DA+0</v>
          </cell>
          <cell r="D122">
            <v>400</v>
          </cell>
        </row>
        <row r="123">
          <cell r="B123" t="str">
            <v>20/9</v>
          </cell>
          <cell r="C123" t="str">
            <v>DA+3</v>
          </cell>
          <cell r="D123">
            <v>426</v>
          </cell>
        </row>
        <row r="124">
          <cell r="B124" t="str">
            <v>20/10</v>
          </cell>
          <cell r="C124" t="str">
            <v>DA+3</v>
          </cell>
          <cell r="D124">
            <v>399</v>
          </cell>
        </row>
        <row r="125">
          <cell r="B125" t="str">
            <v>20/11</v>
          </cell>
          <cell r="C125" t="str">
            <v>DA-3</v>
          </cell>
          <cell r="D125">
            <v>358</v>
          </cell>
        </row>
        <row r="126">
          <cell r="B126" t="str">
            <v>20/12</v>
          </cell>
          <cell r="C126" t="str">
            <v>DA-3</v>
          </cell>
          <cell r="D126">
            <v>256.85700000000003</v>
          </cell>
        </row>
        <row r="127">
          <cell r="B127" t="str">
            <v>21/0</v>
          </cell>
          <cell r="C127" t="str">
            <v>DB1+0</v>
          </cell>
          <cell r="D127">
            <v>388</v>
          </cell>
        </row>
        <row r="128">
          <cell r="B128" t="str">
            <v>21/1</v>
          </cell>
          <cell r="C128" t="str">
            <v>DA-3</v>
          </cell>
          <cell r="D128">
            <v>391</v>
          </cell>
        </row>
        <row r="129">
          <cell r="B129" t="str">
            <v>21/2</v>
          </cell>
          <cell r="C129" t="str">
            <v>DA+3</v>
          </cell>
          <cell r="D129">
            <v>394</v>
          </cell>
        </row>
        <row r="130">
          <cell r="B130" t="str">
            <v>21/3</v>
          </cell>
          <cell r="C130" t="str">
            <v>DA+3</v>
          </cell>
          <cell r="D130">
            <v>432.89800000000002</v>
          </cell>
        </row>
        <row r="131">
          <cell r="B131" t="str">
            <v>22/0</v>
          </cell>
          <cell r="C131" t="str">
            <v>DB2+3</v>
          </cell>
          <cell r="D131">
            <v>190.94800000000001</v>
          </cell>
        </row>
        <row r="132">
          <cell r="B132" t="str">
            <v>22A/0</v>
          </cell>
          <cell r="C132" t="str">
            <v>DB1+25</v>
          </cell>
          <cell r="D132">
            <v>267.423</v>
          </cell>
        </row>
        <row r="133">
          <cell r="B133" t="str">
            <v>23/0</v>
          </cell>
          <cell r="C133" t="str">
            <v>DC2+18</v>
          </cell>
          <cell r="D133">
            <v>371</v>
          </cell>
        </row>
        <row r="134">
          <cell r="B134" t="str">
            <v>23/1</v>
          </cell>
          <cell r="C134" t="str">
            <v>DA+9</v>
          </cell>
          <cell r="D134">
            <v>438.91199999999998</v>
          </cell>
        </row>
        <row r="135">
          <cell r="B135" t="str">
            <v>23/2</v>
          </cell>
          <cell r="C135" t="str">
            <v>DA+0</v>
          </cell>
          <cell r="D135">
            <v>340.13200000000001</v>
          </cell>
        </row>
        <row r="136">
          <cell r="B136" t="str">
            <v>23/3</v>
          </cell>
          <cell r="C136" t="str">
            <v>DA-3</v>
          </cell>
          <cell r="D136">
            <v>283.99599999999998</v>
          </cell>
        </row>
        <row r="137">
          <cell r="B137" t="str">
            <v>23/4</v>
          </cell>
          <cell r="C137" t="str">
            <v>DA-3</v>
          </cell>
          <cell r="D137">
            <v>323</v>
          </cell>
        </row>
        <row r="138">
          <cell r="B138" t="str">
            <v>23/5</v>
          </cell>
          <cell r="C138" t="str">
            <v>DA-3</v>
          </cell>
          <cell r="D138">
            <v>470.22699999999998</v>
          </cell>
        </row>
        <row r="139">
          <cell r="B139" t="str">
            <v>24/0</v>
          </cell>
          <cell r="C139" t="str">
            <v>DD60+25</v>
          </cell>
          <cell r="D139">
            <v>231.53299999999999</v>
          </cell>
        </row>
        <row r="140">
          <cell r="B140" t="str">
            <v>25/0</v>
          </cell>
          <cell r="C140" t="str">
            <v>DD60+25</v>
          </cell>
          <cell r="D140">
            <v>386</v>
          </cell>
        </row>
        <row r="141">
          <cell r="B141" t="str">
            <v>25/1</v>
          </cell>
          <cell r="C141" t="str">
            <v>DA+9</v>
          </cell>
          <cell r="D141">
            <v>446</v>
          </cell>
        </row>
        <row r="142">
          <cell r="B142" t="str">
            <v>25/2</v>
          </cell>
          <cell r="C142" t="str">
            <v>DA+0</v>
          </cell>
          <cell r="D142">
            <v>368</v>
          </cell>
        </row>
        <row r="143">
          <cell r="B143" t="str">
            <v>25/3</v>
          </cell>
          <cell r="C143" t="str">
            <v>DA+3</v>
          </cell>
          <cell r="D143">
            <v>466.43099999999998</v>
          </cell>
        </row>
        <row r="144">
          <cell r="B144" t="str">
            <v>26/0</v>
          </cell>
          <cell r="C144" t="str">
            <v>DB2+9</v>
          </cell>
          <cell r="D144">
            <v>440.83600000000001</v>
          </cell>
        </row>
        <row r="145">
          <cell r="B145" t="str">
            <v>27/0</v>
          </cell>
          <cell r="C145" t="str">
            <v>DD60+3</v>
          </cell>
          <cell r="D145">
            <v>299.47300000000001</v>
          </cell>
        </row>
        <row r="146">
          <cell r="B146" t="str">
            <v>28/0</v>
          </cell>
          <cell r="C146" t="str">
            <v>DD60+0</v>
          </cell>
          <cell r="D146">
            <v>233</v>
          </cell>
        </row>
        <row r="147">
          <cell r="B147" t="str">
            <v>28/1</v>
          </cell>
          <cell r="C147" t="str">
            <v>DA+3</v>
          </cell>
          <cell r="D147">
            <v>454.66899999999998</v>
          </cell>
        </row>
        <row r="148">
          <cell r="B148" t="str">
            <v>29/0</v>
          </cell>
          <cell r="C148" t="str">
            <v>DD60+25</v>
          </cell>
          <cell r="D148">
            <v>270.08</v>
          </cell>
        </row>
        <row r="149">
          <cell r="B149" t="str">
            <v>30/0</v>
          </cell>
          <cell r="C149" t="str">
            <v>DD60+18</v>
          </cell>
          <cell r="D149">
            <v>435</v>
          </cell>
        </row>
        <row r="150">
          <cell r="B150" t="str">
            <v>30/1</v>
          </cell>
          <cell r="C150" t="str">
            <v>DA-3</v>
          </cell>
          <cell r="D150">
            <v>347</v>
          </cell>
        </row>
        <row r="151">
          <cell r="B151" t="str">
            <v>30/2</v>
          </cell>
          <cell r="C151" t="str">
            <v>DA-3</v>
          </cell>
          <cell r="D151">
            <v>396</v>
          </cell>
        </row>
        <row r="152">
          <cell r="B152" t="str">
            <v>30/3</v>
          </cell>
          <cell r="C152" t="str">
            <v>DA+0</v>
          </cell>
          <cell r="D152">
            <v>410</v>
          </cell>
        </row>
        <row r="153">
          <cell r="B153" t="str">
            <v>30/4</v>
          </cell>
          <cell r="C153" t="str">
            <v>DA+3</v>
          </cell>
          <cell r="D153">
            <v>424</v>
          </cell>
        </row>
        <row r="154">
          <cell r="B154" t="str">
            <v>30/5</v>
          </cell>
          <cell r="C154" t="str">
            <v>DA+0</v>
          </cell>
          <cell r="D154">
            <v>373</v>
          </cell>
        </row>
        <row r="155">
          <cell r="B155" t="str">
            <v>30/6</v>
          </cell>
          <cell r="C155" t="str">
            <v>DA-3</v>
          </cell>
          <cell r="D155">
            <v>365.46100000000001</v>
          </cell>
        </row>
        <row r="156">
          <cell r="B156" t="str">
            <v>31/0</v>
          </cell>
          <cell r="C156" t="str">
            <v>DB2+0</v>
          </cell>
          <cell r="D156">
            <v>376</v>
          </cell>
        </row>
        <row r="157">
          <cell r="B157" t="str">
            <v>31/1</v>
          </cell>
          <cell r="C157" t="str">
            <v>DA+0</v>
          </cell>
          <cell r="D157">
            <v>403</v>
          </cell>
        </row>
        <row r="158">
          <cell r="B158" t="str">
            <v>31/2</v>
          </cell>
          <cell r="C158" t="str">
            <v>DA+0</v>
          </cell>
          <cell r="D158">
            <v>399</v>
          </cell>
        </row>
        <row r="159">
          <cell r="B159" t="str">
            <v>31/3</v>
          </cell>
          <cell r="C159" t="str">
            <v>DA+3</v>
          </cell>
          <cell r="D159">
            <v>404</v>
          </cell>
        </row>
        <row r="160">
          <cell r="B160" t="str">
            <v>31/4</v>
          </cell>
          <cell r="C160" t="str">
            <v>DA-3</v>
          </cell>
          <cell r="D160">
            <v>358</v>
          </cell>
        </row>
        <row r="161">
          <cell r="B161" t="str">
            <v>31/5</v>
          </cell>
          <cell r="C161" t="str">
            <v>DA-3</v>
          </cell>
          <cell r="D161">
            <v>363</v>
          </cell>
        </row>
        <row r="162">
          <cell r="B162" t="str">
            <v>31/6</v>
          </cell>
          <cell r="C162" t="str">
            <v>DA+3</v>
          </cell>
          <cell r="D162">
            <v>407</v>
          </cell>
        </row>
        <row r="163">
          <cell r="B163" t="str">
            <v>31/7</v>
          </cell>
          <cell r="C163" t="str">
            <v>DA+0</v>
          </cell>
          <cell r="D163">
            <v>384</v>
          </cell>
        </row>
        <row r="164">
          <cell r="B164" t="str">
            <v>31/8</v>
          </cell>
          <cell r="C164" t="str">
            <v>DA-3</v>
          </cell>
          <cell r="D164">
            <v>386</v>
          </cell>
        </row>
        <row r="165">
          <cell r="B165" t="str">
            <v>31/9</v>
          </cell>
          <cell r="C165" t="str">
            <v>DA+3</v>
          </cell>
          <cell r="D165">
            <v>394</v>
          </cell>
        </row>
        <row r="166">
          <cell r="B166" t="str">
            <v>31/10</v>
          </cell>
          <cell r="C166" t="str">
            <v>DA-3</v>
          </cell>
          <cell r="D166">
            <v>409.666</v>
          </cell>
        </row>
        <row r="167">
          <cell r="B167" t="str">
            <v>32/0</v>
          </cell>
          <cell r="C167" t="str">
            <v>DC1+6</v>
          </cell>
          <cell r="D167">
            <v>407.17</v>
          </cell>
        </row>
        <row r="168">
          <cell r="B168" t="str">
            <v>33/0</v>
          </cell>
          <cell r="C168" t="str">
            <v>DC2+6</v>
          </cell>
          <cell r="D168">
            <v>365</v>
          </cell>
        </row>
        <row r="169">
          <cell r="B169" t="str">
            <v>33/1</v>
          </cell>
          <cell r="C169" t="str">
            <v>DA-3</v>
          </cell>
          <cell r="D169">
            <v>365</v>
          </cell>
        </row>
        <row r="170">
          <cell r="B170" t="str">
            <v>33/2</v>
          </cell>
          <cell r="C170" t="str">
            <v>DA-3</v>
          </cell>
          <cell r="D170">
            <v>406</v>
          </cell>
        </row>
        <row r="171">
          <cell r="B171" t="str">
            <v>33/3</v>
          </cell>
          <cell r="C171" t="str">
            <v>DA+3</v>
          </cell>
          <cell r="D171">
            <v>389</v>
          </cell>
        </row>
        <row r="172">
          <cell r="B172" t="str">
            <v>33/4</v>
          </cell>
          <cell r="C172" t="str">
            <v>DA-3</v>
          </cell>
          <cell r="D172">
            <v>395</v>
          </cell>
        </row>
        <row r="173">
          <cell r="B173" t="str">
            <v>33/5</v>
          </cell>
          <cell r="C173" t="str">
            <v>DA+3</v>
          </cell>
          <cell r="D173">
            <v>430</v>
          </cell>
        </row>
        <row r="174">
          <cell r="B174" t="str">
            <v>33/6</v>
          </cell>
          <cell r="C174" t="str">
            <v>DA+3</v>
          </cell>
          <cell r="D174">
            <v>394</v>
          </cell>
        </row>
        <row r="175">
          <cell r="B175" t="str">
            <v>33/7</v>
          </cell>
          <cell r="C175" t="str">
            <v>DA+3</v>
          </cell>
          <cell r="D175">
            <v>439.95</v>
          </cell>
        </row>
        <row r="176">
          <cell r="B176" t="str">
            <v>33/8</v>
          </cell>
          <cell r="C176" t="str">
            <v>DA+3</v>
          </cell>
          <cell r="D176">
            <v>355.05</v>
          </cell>
        </row>
        <row r="177">
          <cell r="B177" t="str">
            <v>33/9</v>
          </cell>
          <cell r="C177" t="str">
            <v>DA+0</v>
          </cell>
          <cell r="D177">
            <v>410</v>
          </cell>
        </row>
        <row r="178">
          <cell r="B178" t="str">
            <v>33/10</v>
          </cell>
          <cell r="C178" t="str">
            <v>DA+3</v>
          </cell>
          <cell r="D178">
            <v>410</v>
          </cell>
        </row>
        <row r="179">
          <cell r="B179" t="str">
            <v>33/11</v>
          </cell>
          <cell r="C179" t="str">
            <v>DA+3</v>
          </cell>
          <cell r="D179">
            <v>421.49599999999998</v>
          </cell>
        </row>
        <row r="180">
          <cell r="B180" t="str">
            <v>34/0</v>
          </cell>
          <cell r="C180" t="str">
            <v>DB1+0</v>
          </cell>
          <cell r="D180">
            <v>418</v>
          </cell>
        </row>
        <row r="181">
          <cell r="B181" t="str">
            <v>34/1</v>
          </cell>
          <cell r="C181" t="str">
            <v>DA+3</v>
          </cell>
          <cell r="D181">
            <v>378</v>
          </cell>
        </row>
        <row r="182">
          <cell r="B182" t="str">
            <v>34/2</v>
          </cell>
          <cell r="C182" t="str">
            <v>DA+3</v>
          </cell>
          <cell r="D182">
            <v>417</v>
          </cell>
        </row>
        <row r="183">
          <cell r="B183" t="str">
            <v>34/3</v>
          </cell>
          <cell r="C183" t="str">
            <v>DA+3</v>
          </cell>
          <cell r="D183">
            <v>395</v>
          </cell>
        </row>
        <row r="184">
          <cell r="B184" t="str">
            <v>34/4</v>
          </cell>
          <cell r="C184" t="str">
            <v>DA-3</v>
          </cell>
          <cell r="D184">
            <v>364</v>
          </cell>
        </row>
        <row r="185">
          <cell r="B185" t="str">
            <v>34/5</v>
          </cell>
          <cell r="C185" t="str">
            <v>DA+0</v>
          </cell>
          <cell r="D185">
            <v>397</v>
          </cell>
        </row>
        <row r="186">
          <cell r="B186" t="str">
            <v>34/6</v>
          </cell>
          <cell r="C186" t="str">
            <v>DA+0</v>
          </cell>
          <cell r="D186">
            <v>419</v>
          </cell>
        </row>
        <row r="187">
          <cell r="B187" t="str">
            <v>34/7</v>
          </cell>
          <cell r="C187" t="str">
            <v>DA+3</v>
          </cell>
          <cell r="D187">
            <v>405.22800000000001</v>
          </cell>
        </row>
        <row r="188">
          <cell r="B188" t="str">
            <v>35/0</v>
          </cell>
          <cell r="C188" t="str">
            <v>DC1+0</v>
          </cell>
          <cell r="D188">
            <v>383</v>
          </cell>
        </row>
        <row r="189">
          <cell r="B189" t="str">
            <v>35/1</v>
          </cell>
          <cell r="C189" t="str">
            <v>DA+3</v>
          </cell>
          <cell r="D189">
            <v>397</v>
          </cell>
        </row>
        <row r="190">
          <cell r="B190" t="str">
            <v>35/2</v>
          </cell>
          <cell r="C190" t="str">
            <v>DA-3</v>
          </cell>
          <cell r="D190">
            <v>345</v>
          </cell>
        </row>
        <row r="191">
          <cell r="B191" t="str">
            <v>35/3</v>
          </cell>
          <cell r="C191" t="str">
            <v>DA+0</v>
          </cell>
          <cell r="D191">
            <v>389</v>
          </cell>
        </row>
        <row r="192">
          <cell r="B192" t="str">
            <v>35/4</v>
          </cell>
          <cell r="C192" t="str">
            <v>DA+0</v>
          </cell>
          <cell r="D192">
            <v>416</v>
          </cell>
        </row>
        <row r="193">
          <cell r="B193" t="str">
            <v>35/5</v>
          </cell>
          <cell r="C193" t="str">
            <v>DA+3</v>
          </cell>
          <cell r="D193">
            <v>414</v>
          </cell>
        </row>
        <row r="194">
          <cell r="B194" t="str">
            <v>35/6</v>
          </cell>
          <cell r="C194" t="str">
            <v>DA+0</v>
          </cell>
          <cell r="D194">
            <v>415</v>
          </cell>
        </row>
        <row r="195">
          <cell r="B195" t="str">
            <v>35/7</v>
          </cell>
          <cell r="C195" t="str">
            <v>DA+3</v>
          </cell>
          <cell r="D195">
            <v>404</v>
          </cell>
        </row>
        <row r="196">
          <cell r="B196" t="str">
            <v>35/8</v>
          </cell>
          <cell r="C196" t="str">
            <v>DA-3</v>
          </cell>
          <cell r="D196">
            <v>373</v>
          </cell>
        </row>
        <row r="197">
          <cell r="B197" t="str">
            <v>35/9</v>
          </cell>
          <cell r="C197" t="str">
            <v>DA+3</v>
          </cell>
          <cell r="D197">
            <v>421.04899999999998</v>
          </cell>
        </row>
        <row r="198">
          <cell r="B198" t="str">
            <v>36/0</v>
          </cell>
          <cell r="C198" t="str">
            <v>DB2+0</v>
          </cell>
          <cell r="D198">
            <v>401</v>
          </cell>
        </row>
        <row r="199">
          <cell r="B199" t="str">
            <v>36/1</v>
          </cell>
          <cell r="C199" t="str">
            <v>DA+3</v>
          </cell>
          <cell r="D199">
            <v>412</v>
          </cell>
        </row>
        <row r="200">
          <cell r="B200" t="str">
            <v>36/2</v>
          </cell>
          <cell r="C200" t="str">
            <v>DA+0</v>
          </cell>
          <cell r="D200">
            <v>415</v>
          </cell>
        </row>
        <row r="201">
          <cell r="B201" t="str">
            <v>36/3</v>
          </cell>
          <cell r="C201" t="str">
            <v>DA+3</v>
          </cell>
          <cell r="D201">
            <v>411</v>
          </cell>
        </row>
        <row r="202">
          <cell r="B202" t="str">
            <v>36/4</v>
          </cell>
          <cell r="C202" t="str">
            <v>DA+0</v>
          </cell>
          <cell r="D202">
            <v>395</v>
          </cell>
        </row>
        <row r="203">
          <cell r="B203" t="str">
            <v>36/5</v>
          </cell>
          <cell r="C203" t="str">
            <v>DA+0</v>
          </cell>
          <cell r="D203">
            <v>402</v>
          </cell>
        </row>
        <row r="204">
          <cell r="B204" t="str">
            <v>36/6</v>
          </cell>
          <cell r="C204" t="str">
            <v>DA+3</v>
          </cell>
          <cell r="D204">
            <v>432</v>
          </cell>
        </row>
        <row r="205">
          <cell r="B205" t="str">
            <v>36/7</v>
          </cell>
          <cell r="C205" t="str">
            <v>DA+3</v>
          </cell>
          <cell r="D205">
            <v>392.01100000000002</v>
          </cell>
        </row>
        <row r="206">
          <cell r="B206" t="str">
            <v>36/8</v>
          </cell>
          <cell r="C206" t="str">
            <v>DA-3</v>
          </cell>
          <cell r="D206">
            <v>352.98899999999998</v>
          </cell>
        </row>
        <row r="207">
          <cell r="B207" t="str">
            <v>36/9</v>
          </cell>
          <cell r="C207" t="str">
            <v>DA-3</v>
          </cell>
          <cell r="D207">
            <v>361</v>
          </cell>
        </row>
        <row r="208">
          <cell r="B208" t="str">
            <v>36/10</v>
          </cell>
          <cell r="C208" t="str">
            <v>DA-3</v>
          </cell>
          <cell r="D208">
            <v>302</v>
          </cell>
        </row>
        <row r="209">
          <cell r="B209" t="str">
            <v>36/11</v>
          </cell>
          <cell r="C209" t="str">
            <v>DA-3</v>
          </cell>
          <cell r="D209">
            <v>310</v>
          </cell>
        </row>
        <row r="210">
          <cell r="B210" t="str">
            <v>36/12</v>
          </cell>
          <cell r="C210" t="str">
            <v>DA+0</v>
          </cell>
          <cell r="D210">
            <v>361.31</v>
          </cell>
        </row>
        <row r="211">
          <cell r="B211" t="str">
            <v>37/0</v>
          </cell>
          <cell r="C211" t="str">
            <v>DC2+18</v>
          </cell>
          <cell r="D211">
            <v>475.95100000000002</v>
          </cell>
        </row>
        <row r="212">
          <cell r="B212" t="str">
            <v>38/0</v>
          </cell>
          <cell r="C212" t="str">
            <v>DC2+18</v>
          </cell>
          <cell r="D212">
            <v>399</v>
          </cell>
        </row>
        <row r="213">
          <cell r="B213" t="str">
            <v>38/1</v>
          </cell>
          <cell r="C213" t="str">
            <v>DA+3</v>
          </cell>
          <cell r="D213">
            <v>426</v>
          </cell>
        </row>
        <row r="214">
          <cell r="B214" t="str">
            <v>38/2</v>
          </cell>
          <cell r="C214" t="str">
            <v>DA+3</v>
          </cell>
          <cell r="D214">
            <v>408</v>
          </cell>
        </row>
        <row r="215">
          <cell r="B215" t="str">
            <v>38/3</v>
          </cell>
          <cell r="C215" t="str">
            <v>DA+3</v>
          </cell>
          <cell r="D215">
            <v>419</v>
          </cell>
        </row>
        <row r="216">
          <cell r="B216" t="str">
            <v>38/4</v>
          </cell>
          <cell r="C216" t="str">
            <v>DA+3</v>
          </cell>
          <cell r="D216">
            <v>415</v>
          </cell>
        </row>
        <row r="217">
          <cell r="B217" t="str">
            <v>38/5</v>
          </cell>
          <cell r="C217" t="str">
            <v>DA+3</v>
          </cell>
          <cell r="D217">
            <v>415.11799999999999</v>
          </cell>
        </row>
        <row r="218">
          <cell r="B218" t="str">
            <v>38/6</v>
          </cell>
          <cell r="C218" t="str">
            <v>DA+3</v>
          </cell>
          <cell r="D218">
            <v>400</v>
          </cell>
        </row>
        <row r="219">
          <cell r="B219" t="str">
            <v>38/7</v>
          </cell>
          <cell r="C219" t="str">
            <v>DA-3</v>
          </cell>
          <cell r="D219">
            <v>408.00200000000001</v>
          </cell>
        </row>
        <row r="220">
          <cell r="B220" t="str">
            <v>38/8</v>
          </cell>
          <cell r="C220" t="str">
            <v>DA+3</v>
          </cell>
          <cell r="D220">
            <v>393</v>
          </cell>
        </row>
        <row r="221">
          <cell r="B221" t="str">
            <v>38/9</v>
          </cell>
          <cell r="C221" t="str">
            <v>DA-3</v>
          </cell>
          <cell r="D221">
            <v>353</v>
          </cell>
        </row>
        <row r="222">
          <cell r="B222" t="str">
            <v>38/10</v>
          </cell>
          <cell r="C222" t="str">
            <v>DA-3</v>
          </cell>
          <cell r="D222">
            <v>383</v>
          </cell>
        </row>
        <row r="223">
          <cell r="B223" t="str">
            <v>38/11</v>
          </cell>
          <cell r="C223" t="str">
            <v>DA+3</v>
          </cell>
          <cell r="D223">
            <v>403.72300000000001</v>
          </cell>
        </row>
        <row r="224">
          <cell r="B224" t="str">
            <v>39/0</v>
          </cell>
          <cell r="C224" t="str">
            <v>DB2+0</v>
          </cell>
          <cell r="D224">
            <v>398</v>
          </cell>
        </row>
        <row r="225">
          <cell r="B225" t="str">
            <v>39/1</v>
          </cell>
          <cell r="C225" t="str">
            <v>DA+3</v>
          </cell>
          <cell r="D225">
            <v>402</v>
          </cell>
        </row>
        <row r="226">
          <cell r="B226" t="str">
            <v>39/2</v>
          </cell>
          <cell r="C226" t="str">
            <v>DA-3</v>
          </cell>
          <cell r="D226">
            <v>393.00299999999999</v>
          </cell>
        </row>
        <row r="227">
          <cell r="B227" t="str">
            <v>39/3</v>
          </cell>
          <cell r="C227" t="str">
            <v>DA+3</v>
          </cell>
          <cell r="D227">
            <v>436.59699999999998</v>
          </cell>
        </row>
        <row r="228">
          <cell r="B228" t="str">
            <v>39/4</v>
          </cell>
          <cell r="C228" t="str">
            <v>DA+3</v>
          </cell>
          <cell r="D228">
            <v>376.01100000000002</v>
          </cell>
        </row>
        <row r="229">
          <cell r="B229" t="str">
            <v>39/5</v>
          </cell>
          <cell r="C229" t="str">
            <v>DA-3</v>
          </cell>
          <cell r="D229">
            <v>374.38900000000001</v>
          </cell>
        </row>
        <row r="230">
          <cell r="B230" t="str">
            <v>39/6</v>
          </cell>
          <cell r="C230" t="str">
            <v>DA+3</v>
          </cell>
          <cell r="D230">
            <v>420.39800000000002</v>
          </cell>
        </row>
        <row r="231">
          <cell r="B231" t="str">
            <v>39/7</v>
          </cell>
          <cell r="C231" t="str">
            <v>DA+3</v>
          </cell>
          <cell r="D231">
            <v>414.00200000000001</v>
          </cell>
        </row>
        <row r="232">
          <cell r="B232" t="str">
            <v>39/8</v>
          </cell>
          <cell r="C232" t="str">
            <v>DA+0</v>
          </cell>
          <cell r="D232">
            <v>416.00099999999998</v>
          </cell>
        </row>
        <row r="233">
          <cell r="B233" t="str">
            <v>39/9</v>
          </cell>
          <cell r="C233" t="str">
            <v>DA+3</v>
          </cell>
          <cell r="D233">
            <v>408.00200000000001</v>
          </cell>
        </row>
        <row r="234">
          <cell r="B234" t="str">
            <v>39/10</v>
          </cell>
          <cell r="C234" t="str">
            <v>DA+0</v>
          </cell>
          <cell r="D234">
            <v>422.12400000000002</v>
          </cell>
        </row>
        <row r="235">
          <cell r="B235" t="str">
            <v>40/0</v>
          </cell>
          <cell r="C235" t="str">
            <v>DD60+25</v>
          </cell>
          <cell r="D235">
            <v>239.30199999999999</v>
          </cell>
        </row>
        <row r="236">
          <cell r="B236" t="str">
            <v>41/0</v>
          </cell>
          <cell r="C236" t="str">
            <v>DD60+18</v>
          </cell>
          <cell r="D236">
            <v>425</v>
          </cell>
        </row>
        <row r="237">
          <cell r="B237" t="str">
            <v>41/1</v>
          </cell>
          <cell r="C237" t="str">
            <v>DA+0</v>
          </cell>
          <cell r="D237">
            <v>370</v>
          </cell>
        </row>
        <row r="238">
          <cell r="B238" t="str">
            <v>41/2</v>
          </cell>
          <cell r="C238" t="str">
            <v>DA+3</v>
          </cell>
          <cell r="D238">
            <v>346.55599999999998</v>
          </cell>
        </row>
        <row r="239">
          <cell r="B239" t="str">
            <v>42/0</v>
          </cell>
          <cell r="C239" t="str">
            <v>DD60+18</v>
          </cell>
          <cell r="D239">
            <v>309.23</v>
          </cell>
        </row>
        <row r="240">
          <cell r="B240" t="str">
            <v>43/0</v>
          </cell>
          <cell r="C240" t="str">
            <v>DD60+9</v>
          </cell>
          <cell r="D240">
            <v>459.66899999999998</v>
          </cell>
        </row>
        <row r="241">
          <cell r="B241" t="str">
            <v>44/0</v>
          </cell>
          <cell r="C241" t="str">
            <v>DD60+3</v>
          </cell>
          <cell r="D241">
            <v>300.00099999999998</v>
          </cell>
        </row>
        <row r="242">
          <cell r="B242" t="str">
            <v>45/0</v>
          </cell>
          <cell r="C242" t="str">
            <v>DD60+0</v>
          </cell>
          <cell r="D242">
            <v>331</v>
          </cell>
        </row>
        <row r="243">
          <cell r="B243" t="str">
            <v>45/1</v>
          </cell>
          <cell r="C243" t="str">
            <v>DA+3</v>
          </cell>
          <cell r="D243">
            <v>422</v>
          </cell>
        </row>
        <row r="244">
          <cell r="B244" t="str">
            <v>45/2</v>
          </cell>
          <cell r="C244" t="str">
            <v>DA+3</v>
          </cell>
          <cell r="D244">
            <v>395</v>
          </cell>
        </row>
        <row r="245">
          <cell r="B245" t="str">
            <v>45/3</v>
          </cell>
          <cell r="C245" t="str">
            <v>DA-3</v>
          </cell>
          <cell r="D245">
            <v>309.88099999999997</v>
          </cell>
        </row>
        <row r="246">
          <cell r="B246" t="str">
            <v>46/0</v>
          </cell>
          <cell r="C246" t="str">
            <v>DB2+0</v>
          </cell>
          <cell r="D246">
            <v>331</v>
          </cell>
        </row>
        <row r="247">
          <cell r="B247" t="str">
            <v>46/1</v>
          </cell>
          <cell r="C247" t="str">
            <v>DA+0</v>
          </cell>
          <cell r="D247">
            <v>421</v>
          </cell>
        </row>
        <row r="248">
          <cell r="B248" t="str">
            <v>46/2</v>
          </cell>
          <cell r="C248" t="str">
            <v>DA+3</v>
          </cell>
          <cell r="D248">
            <v>403.60599999999999</v>
          </cell>
        </row>
        <row r="249">
          <cell r="B249" t="str">
            <v>47/0</v>
          </cell>
          <cell r="C249" t="str">
            <v>DC2+9</v>
          </cell>
          <cell r="D249">
            <v>358.62599999999998</v>
          </cell>
        </row>
        <row r="250">
          <cell r="B250" t="str">
            <v>48/0</v>
          </cell>
          <cell r="C250" t="str">
            <v>DD45+9</v>
          </cell>
          <cell r="D250">
            <v>388</v>
          </cell>
        </row>
        <row r="251">
          <cell r="B251" t="str">
            <v>48/1</v>
          </cell>
          <cell r="C251" t="str">
            <v>DA-3</v>
          </cell>
          <cell r="D251">
            <v>387.94299999999998</v>
          </cell>
        </row>
        <row r="252">
          <cell r="B252" t="str">
            <v>49/0</v>
          </cell>
          <cell r="C252" t="str">
            <v>DC2+9</v>
          </cell>
          <cell r="D252">
            <v>372.02600000000001</v>
          </cell>
        </row>
        <row r="253">
          <cell r="B253" t="str">
            <v>50/0</v>
          </cell>
          <cell r="C253" t="str">
            <v>DC1+18</v>
          </cell>
          <cell r="D253">
            <v>435</v>
          </cell>
        </row>
        <row r="254">
          <cell r="B254" t="str">
            <v>50/1</v>
          </cell>
          <cell r="C254" t="str">
            <v>DA+0</v>
          </cell>
          <cell r="D254">
            <v>242.99600000000001</v>
          </cell>
        </row>
        <row r="255">
          <cell r="B255" t="str">
            <v>51/0</v>
          </cell>
          <cell r="C255" t="str">
            <v>DD60+0</v>
          </cell>
          <cell r="D255">
            <v>238.92599999999999</v>
          </cell>
        </row>
        <row r="256">
          <cell r="B256" t="str">
            <v>52/0</v>
          </cell>
          <cell r="C256" t="str">
            <v>DC2+9</v>
          </cell>
          <cell r="D256">
            <v>461</v>
          </cell>
        </row>
        <row r="257">
          <cell r="B257" t="str">
            <v>52/1</v>
          </cell>
          <cell r="C257" t="str">
            <v>DB1+6</v>
          </cell>
          <cell r="D257">
            <v>421</v>
          </cell>
        </row>
        <row r="258">
          <cell r="B258" t="str">
            <v>52/2</v>
          </cell>
          <cell r="C258" t="str">
            <v>DA+3</v>
          </cell>
          <cell r="D258">
            <v>375</v>
          </cell>
        </row>
        <row r="259">
          <cell r="B259" t="str">
            <v>52/3</v>
          </cell>
          <cell r="C259" t="str">
            <v>DA-3</v>
          </cell>
          <cell r="D259">
            <v>346</v>
          </cell>
        </row>
        <row r="260">
          <cell r="B260" t="str">
            <v>52/4</v>
          </cell>
          <cell r="C260" t="str">
            <v>DA-3</v>
          </cell>
          <cell r="D260">
            <v>348</v>
          </cell>
        </row>
        <row r="261">
          <cell r="B261" t="str">
            <v>52/5</v>
          </cell>
          <cell r="C261" t="str">
            <v>DA-3</v>
          </cell>
          <cell r="D261">
            <v>357</v>
          </cell>
        </row>
        <row r="262">
          <cell r="B262" t="str">
            <v>52/6</v>
          </cell>
          <cell r="C262" t="str">
            <v>DA+3</v>
          </cell>
          <cell r="D262">
            <v>439</v>
          </cell>
        </row>
        <row r="263">
          <cell r="B263" t="str">
            <v>52/7</v>
          </cell>
          <cell r="C263" t="str">
            <v>DA+6</v>
          </cell>
          <cell r="D263">
            <v>378</v>
          </cell>
        </row>
        <row r="264">
          <cell r="B264" t="str">
            <v>52/8</v>
          </cell>
          <cell r="C264" t="str">
            <v>DA-3</v>
          </cell>
          <cell r="D264">
            <v>349</v>
          </cell>
        </row>
        <row r="265">
          <cell r="B265" t="str">
            <v>52/9</v>
          </cell>
          <cell r="C265" t="str">
            <v>DA-3</v>
          </cell>
          <cell r="D265">
            <v>392</v>
          </cell>
        </row>
        <row r="266">
          <cell r="B266" t="str">
            <v>52/10</v>
          </cell>
          <cell r="C266" t="str">
            <v>DA+3</v>
          </cell>
          <cell r="D266">
            <v>409.43</v>
          </cell>
        </row>
        <row r="267">
          <cell r="B267" t="str">
            <v>53/0</v>
          </cell>
          <cell r="C267" t="str">
            <v>DC1+0</v>
          </cell>
          <cell r="D267">
            <v>428</v>
          </cell>
        </row>
        <row r="268">
          <cell r="B268" t="str">
            <v>53/1</v>
          </cell>
          <cell r="C268" t="str">
            <v>DA+6</v>
          </cell>
          <cell r="D268">
            <v>403.77800000000002</v>
          </cell>
        </row>
        <row r="269">
          <cell r="B269" t="str">
            <v>53A/0</v>
          </cell>
          <cell r="C269" t="str">
            <v>DB2+0</v>
          </cell>
          <cell r="D269">
            <v>370</v>
          </cell>
        </row>
        <row r="270">
          <cell r="B270" t="str">
            <v>53A/1</v>
          </cell>
          <cell r="C270" t="str">
            <v>DA+6</v>
          </cell>
          <cell r="D270">
            <v>441</v>
          </cell>
        </row>
        <row r="271">
          <cell r="B271" t="str">
            <v>53A/2</v>
          </cell>
          <cell r="C271" t="str">
            <v>DA+3</v>
          </cell>
          <cell r="D271">
            <v>375</v>
          </cell>
        </row>
        <row r="272">
          <cell r="B272" t="str">
            <v>53A/3</v>
          </cell>
          <cell r="C272" t="str">
            <v>DA-3</v>
          </cell>
          <cell r="D272">
            <v>399</v>
          </cell>
        </row>
        <row r="273">
          <cell r="B273" t="str">
            <v>53A/4</v>
          </cell>
          <cell r="C273" t="str">
            <v>DA+3</v>
          </cell>
          <cell r="D273">
            <v>391</v>
          </cell>
        </row>
        <row r="274">
          <cell r="B274" t="str">
            <v>53A/5</v>
          </cell>
          <cell r="C274" t="str">
            <v>DA-3</v>
          </cell>
          <cell r="D274">
            <v>392</v>
          </cell>
        </row>
        <row r="275">
          <cell r="B275" t="str">
            <v>53A/6</v>
          </cell>
          <cell r="C275" t="str">
            <v>DA+3</v>
          </cell>
          <cell r="D275">
            <v>412</v>
          </cell>
        </row>
        <row r="276">
          <cell r="B276" t="str">
            <v>53A/7</v>
          </cell>
          <cell r="C276" t="str">
            <v>DA+0</v>
          </cell>
          <cell r="D276">
            <v>385.995</v>
          </cell>
        </row>
        <row r="277">
          <cell r="B277" t="str">
            <v>54/0</v>
          </cell>
          <cell r="C277" t="str">
            <v>DB1+3</v>
          </cell>
          <cell r="D277">
            <v>460</v>
          </cell>
        </row>
        <row r="278">
          <cell r="B278" t="str">
            <v>54/1</v>
          </cell>
          <cell r="C278" t="str">
            <v>DA+9</v>
          </cell>
          <cell r="D278">
            <v>360</v>
          </cell>
        </row>
        <row r="279">
          <cell r="B279" t="str">
            <v>54/2</v>
          </cell>
          <cell r="C279" t="str">
            <v>DA-3</v>
          </cell>
          <cell r="D279">
            <v>366.15699999999998</v>
          </cell>
        </row>
        <row r="280">
          <cell r="B280" t="str">
            <v>55/0</v>
          </cell>
          <cell r="C280" t="str">
            <v>DC1+0</v>
          </cell>
          <cell r="D280">
            <v>300</v>
          </cell>
        </row>
        <row r="281">
          <cell r="B281" t="str">
            <v>55/1</v>
          </cell>
          <cell r="C281" t="str">
            <v>DA-3</v>
          </cell>
          <cell r="D281">
            <v>307.20499999999998</v>
          </cell>
        </row>
        <row r="282">
          <cell r="B282" t="str">
            <v>56/0</v>
          </cell>
          <cell r="C282" t="str">
            <v>DD45+0</v>
          </cell>
          <cell r="D282">
            <v>336</v>
          </cell>
        </row>
        <row r="283">
          <cell r="B283" t="str">
            <v>56/1</v>
          </cell>
          <cell r="C283" t="str">
            <v>DA+0</v>
          </cell>
          <cell r="D283">
            <v>409</v>
          </cell>
        </row>
        <row r="284">
          <cell r="B284" t="str">
            <v>56/2</v>
          </cell>
          <cell r="C284" t="str">
            <v>DA+3</v>
          </cell>
          <cell r="D284">
            <v>374</v>
          </cell>
        </row>
        <row r="285">
          <cell r="B285" t="str">
            <v>56/3</v>
          </cell>
          <cell r="C285" t="str">
            <v>DA-3</v>
          </cell>
          <cell r="D285">
            <v>351</v>
          </cell>
        </row>
        <row r="286">
          <cell r="B286" t="str">
            <v>56/4</v>
          </cell>
          <cell r="C286" t="str">
            <v>DA-3</v>
          </cell>
          <cell r="D286">
            <v>345</v>
          </cell>
        </row>
        <row r="287">
          <cell r="B287" t="str">
            <v>56/5</v>
          </cell>
          <cell r="C287" t="str">
            <v>DA-3</v>
          </cell>
          <cell r="D287">
            <v>380.05799999999999</v>
          </cell>
        </row>
        <row r="288">
          <cell r="B288" t="str">
            <v>56/6</v>
          </cell>
          <cell r="C288" t="str">
            <v>DA+0</v>
          </cell>
          <cell r="D288">
            <v>422</v>
          </cell>
        </row>
        <row r="289">
          <cell r="B289" t="str">
            <v>56/7</v>
          </cell>
          <cell r="C289" t="str">
            <v>DA+6</v>
          </cell>
          <cell r="D289">
            <v>387.54</v>
          </cell>
        </row>
        <row r="290">
          <cell r="B290" t="str">
            <v>56/8</v>
          </cell>
          <cell r="C290" t="str">
            <v>DA-3</v>
          </cell>
          <cell r="D290">
            <v>369</v>
          </cell>
        </row>
        <row r="291">
          <cell r="B291" t="str">
            <v>57/0</v>
          </cell>
          <cell r="C291" t="str">
            <v>DB2+0</v>
          </cell>
          <cell r="D291">
            <v>291</v>
          </cell>
        </row>
        <row r="292">
          <cell r="B292" t="str">
            <v>57/1</v>
          </cell>
          <cell r="C292" t="str">
            <v>DA-3</v>
          </cell>
          <cell r="D292">
            <v>386.28</v>
          </cell>
        </row>
        <row r="293">
          <cell r="B293" t="str">
            <v>58/0</v>
          </cell>
          <cell r="C293" t="str">
            <v>DD60+18</v>
          </cell>
          <cell r="D293">
            <v>281.56099999999998</v>
          </cell>
        </row>
        <row r="294">
          <cell r="B294" t="str">
            <v>59/0</v>
          </cell>
          <cell r="C294" t="str">
            <v>DD60+6</v>
          </cell>
          <cell r="D294">
            <v>418.00099999999998</v>
          </cell>
        </row>
        <row r="295">
          <cell r="B295" t="str">
            <v>60/0</v>
          </cell>
          <cell r="C295" t="str">
            <v>DD45+6</v>
          </cell>
          <cell r="D295">
            <v>467.85700000000003</v>
          </cell>
        </row>
        <row r="296">
          <cell r="B296" t="str">
            <v>61/0</v>
          </cell>
          <cell r="C296" t="str">
            <v>DD60+30</v>
          </cell>
          <cell r="D296">
            <v>478.06700000000001</v>
          </cell>
        </row>
        <row r="297">
          <cell r="B297" t="str">
            <v>62/0</v>
          </cell>
          <cell r="C297" t="str">
            <v>DC1+25</v>
          </cell>
          <cell r="D297">
            <v>349.18900000000002</v>
          </cell>
        </row>
        <row r="298">
          <cell r="B298" t="str">
            <v>63/0</v>
          </cell>
          <cell r="C298" t="str">
            <v>DC1+3</v>
          </cell>
          <cell r="D298">
            <v>285.97800000000001</v>
          </cell>
        </row>
        <row r="299">
          <cell r="B299" t="str">
            <v>64/0</v>
          </cell>
          <cell r="C299" t="str">
            <v>DC1+0</v>
          </cell>
          <cell r="D299">
            <v>395</v>
          </cell>
        </row>
        <row r="300">
          <cell r="B300" t="str">
            <v>64/1</v>
          </cell>
          <cell r="C300" t="str">
            <v>DA+0</v>
          </cell>
          <cell r="D300">
            <v>384</v>
          </cell>
        </row>
        <row r="301">
          <cell r="B301" t="str">
            <v>64/2</v>
          </cell>
          <cell r="C301" t="str">
            <v>DA+3</v>
          </cell>
          <cell r="D301">
            <v>409</v>
          </cell>
        </row>
        <row r="302">
          <cell r="B302" t="str">
            <v>64/3</v>
          </cell>
          <cell r="C302" t="str">
            <v>DA-3</v>
          </cell>
          <cell r="D302">
            <v>363.017</v>
          </cell>
        </row>
        <row r="303">
          <cell r="B303" t="str">
            <v>65/0</v>
          </cell>
          <cell r="C303" t="str">
            <v>DD60+0</v>
          </cell>
          <cell r="D303">
            <v>298.04199999999997</v>
          </cell>
        </row>
        <row r="304">
          <cell r="B304" t="str">
            <v>66/0</v>
          </cell>
          <cell r="C304" t="str">
            <v>DD60+0</v>
          </cell>
          <cell r="D304">
            <v>387</v>
          </cell>
        </row>
        <row r="305">
          <cell r="B305" t="str">
            <v>66/1</v>
          </cell>
          <cell r="C305" t="str">
            <v>DA+0</v>
          </cell>
          <cell r="D305">
            <v>425.35899999999998</v>
          </cell>
        </row>
        <row r="306">
          <cell r="B306" t="str">
            <v>67/0</v>
          </cell>
          <cell r="C306" t="str">
            <v>DD60+30</v>
          </cell>
          <cell r="D306">
            <v>318.40499999999997</v>
          </cell>
        </row>
        <row r="307">
          <cell r="B307" t="str">
            <v>68/0</v>
          </cell>
          <cell r="C307" t="str">
            <v>DD60+30</v>
          </cell>
          <cell r="D307">
            <v>303.77</v>
          </cell>
        </row>
        <row r="308">
          <cell r="B308" t="str">
            <v>69/0</v>
          </cell>
          <cell r="C308" t="str">
            <v>DC2+0</v>
          </cell>
          <cell r="D308">
            <v>232.6</v>
          </cell>
        </row>
        <row r="309">
          <cell r="B309" t="str">
            <v>69A/0</v>
          </cell>
          <cell r="C309" t="str">
            <v>DD60+0</v>
          </cell>
          <cell r="D309">
            <v>202.46</v>
          </cell>
        </row>
        <row r="310">
          <cell r="B310" t="str">
            <v>70/0</v>
          </cell>
          <cell r="C310" t="str">
            <v>DD60+0</v>
          </cell>
          <cell r="D310">
            <v>127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0000"/>
        </a:solidFill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E1502-DE03-45FE-A19A-A1D17C036C9D}">
  <dimension ref="A1:K12"/>
  <sheetViews>
    <sheetView workbookViewId="0">
      <selection activeCell="H2" sqref="H2"/>
    </sheetView>
  </sheetViews>
  <sheetFormatPr defaultRowHeight="14.5"/>
  <cols>
    <col min="1" max="1" width="11.26953125" bestFit="1" customWidth="1"/>
    <col min="2" max="2" width="46.453125" bestFit="1" customWidth="1"/>
    <col min="3" max="3" width="10.81640625" bestFit="1" customWidth="1"/>
    <col min="4" max="4" width="13.453125" bestFit="1" customWidth="1"/>
    <col min="5" max="5" width="12.1796875" bestFit="1" customWidth="1"/>
    <col min="6" max="6" width="23.54296875" bestFit="1" customWidth="1"/>
    <col min="7" max="7" width="14.26953125" bestFit="1" customWidth="1"/>
    <col min="8" max="8" width="15.81640625" bestFit="1" customWidth="1"/>
    <col min="9" max="9" width="15.1796875" bestFit="1" customWidth="1"/>
    <col min="10" max="10" width="14.54296875" bestFit="1" customWidth="1"/>
    <col min="11" max="11" width="11.81640625" bestFit="1" customWidth="1"/>
  </cols>
  <sheetData>
    <row r="1" spans="1:11">
      <c r="A1" s="178" t="s">
        <v>200</v>
      </c>
      <c r="B1" s="178" t="s">
        <v>204</v>
      </c>
      <c r="C1" s="178" t="s">
        <v>206</v>
      </c>
      <c r="D1" s="178" t="s">
        <v>249</v>
      </c>
      <c r="E1" s="178" t="s">
        <v>387</v>
      </c>
      <c r="F1" s="178" t="s">
        <v>403</v>
      </c>
      <c r="G1" s="178" t="s">
        <v>205</v>
      </c>
      <c r="H1" s="178" t="s">
        <v>208</v>
      </c>
      <c r="I1" s="178" t="s">
        <v>209</v>
      </c>
      <c r="J1" s="178" t="s">
        <v>388</v>
      </c>
      <c r="K1" s="178" t="s">
        <v>389</v>
      </c>
    </row>
    <row r="2" spans="1:11" ht="16.5" customHeight="1">
      <c r="A2" s="173" t="s">
        <v>1036</v>
      </c>
      <c r="B2" s="416" t="s">
        <v>401</v>
      </c>
      <c r="C2" s="417" t="s">
        <v>402</v>
      </c>
      <c r="D2" s="418">
        <v>45329</v>
      </c>
      <c r="E2" s="418">
        <v>45967</v>
      </c>
      <c r="F2" s="417" t="s">
        <v>404</v>
      </c>
      <c r="G2" s="417" t="s">
        <v>405</v>
      </c>
      <c r="H2" s="417" t="s">
        <v>406</v>
      </c>
      <c r="I2" s="417" t="s">
        <v>407</v>
      </c>
      <c r="J2" s="417" t="s">
        <v>390</v>
      </c>
      <c r="K2" s="417" t="s">
        <v>391</v>
      </c>
    </row>
    <row r="3" spans="1:11">
      <c r="A3" s="173"/>
      <c r="B3" s="173"/>
      <c r="C3" s="173"/>
      <c r="D3" s="173"/>
      <c r="E3" s="173"/>
      <c r="F3" s="173"/>
      <c r="G3" s="173"/>
      <c r="H3" s="173"/>
      <c r="I3" s="173"/>
      <c r="J3" s="173" t="s">
        <v>1021</v>
      </c>
      <c r="K3" s="173" t="s">
        <v>392</v>
      </c>
    </row>
    <row r="4" spans="1:11">
      <c r="A4" s="173"/>
      <c r="B4" s="173"/>
      <c r="C4" s="173"/>
      <c r="D4" s="173"/>
      <c r="E4" s="174"/>
      <c r="F4" s="173"/>
      <c r="G4" s="173"/>
      <c r="H4" s="173"/>
      <c r="I4" s="173"/>
      <c r="J4" s="173"/>
      <c r="K4" s="173" t="s">
        <v>393</v>
      </c>
    </row>
    <row r="5" spans="1:11">
      <c r="A5" s="173"/>
      <c r="B5" s="173"/>
      <c r="C5" s="173"/>
      <c r="D5" s="173"/>
      <c r="E5" s="173"/>
      <c r="F5" s="173"/>
      <c r="G5" s="173"/>
      <c r="H5" s="173"/>
      <c r="I5" s="173"/>
      <c r="J5" s="173"/>
      <c r="K5" s="173" t="s">
        <v>394</v>
      </c>
    </row>
    <row r="6" spans="1:11">
      <c r="A6" s="173"/>
      <c r="B6" s="173"/>
      <c r="C6" s="173"/>
      <c r="D6" s="173"/>
      <c r="E6" s="173"/>
      <c r="F6" s="173"/>
      <c r="G6" s="173"/>
      <c r="H6" s="173"/>
      <c r="I6" s="173"/>
      <c r="J6" s="173"/>
      <c r="K6" s="173" t="s">
        <v>395</v>
      </c>
    </row>
    <row r="7" spans="1:11">
      <c r="A7" s="173"/>
      <c r="B7" s="174"/>
      <c r="C7" s="173"/>
      <c r="D7" s="173"/>
      <c r="E7" s="173"/>
      <c r="F7" s="173"/>
      <c r="G7" s="173"/>
      <c r="H7" s="173"/>
      <c r="I7" s="173"/>
      <c r="J7" s="173"/>
      <c r="K7" s="173" t="s">
        <v>408</v>
      </c>
    </row>
    <row r="8" spans="1:11">
      <c r="A8" s="173"/>
      <c r="B8" s="173"/>
      <c r="C8" s="173"/>
      <c r="D8" s="173"/>
      <c r="E8" s="173"/>
      <c r="F8" s="173"/>
      <c r="G8" s="173"/>
      <c r="H8" s="173"/>
      <c r="I8" s="173"/>
      <c r="J8" s="173"/>
      <c r="K8" s="173" t="s">
        <v>396</v>
      </c>
    </row>
    <row r="9" spans="1:11">
      <c r="A9" s="173"/>
      <c r="B9" s="173"/>
      <c r="C9" s="173"/>
      <c r="D9" s="173"/>
      <c r="E9" s="173"/>
      <c r="F9" s="173"/>
      <c r="G9" s="173"/>
      <c r="H9" s="173"/>
      <c r="I9" s="173"/>
      <c r="J9" s="173"/>
      <c r="K9" s="173" t="s">
        <v>397</v>
      </c>
    </row>
    <row r="10" spans="1:11">
      <c r="A10" s="173"/>
      <c r="B10" s="173"/>
      <c r="C10" s="173"/>
      <c r="D10" s="173"/>
      <c r="E10" s="173"/>
      <c r="F10" s="173"/>
      <c r="G10" s="173"/>
      <c r="H10" s="173"/>
      <c r="I10" s="173"/>
      <c r="J10" s="173"/>
      <c r="K10" s="173" t="s">
        <v>398</v>
      </c>
    </row>
    <row r="11" spans="1:11">
      <c r="A11" s="173"/>
      <c r="B11" s="173"/>
      <c r="C11" s="173"/>
      <c r="D11" s="173"/>
      <c r="E11" s="173"/>
      <c r="F11" s="173"/>
      <c r="G11" s="173"/>
      <c r="H11" s="173"/>
      <c r="I11" s="173"/>
      <c r="J11" s="173"/>
      <c r="K11" s="173" t="s">
        <v>399</v>
      </c>
    </row>
    <row r="12" spans="1:11">
      <c r="A12" s="173"/>
      <c r="B12" s="173"/>
      <c r="C12" s="173"/>
      <c r="D12" s="173"/>
      <c r="E12" s="173"/>
      <c r="F12" s="173"/>
      <c r="G12" s="173"/>
      <c r="H12" s="173"/>
      <c r="I12" s="173"/>
      <c r="J12" s="173"/>
      <c r="K12" s="173" t="s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77"/>
  <sheetViews>
    <sheetView topLeftCell="D17" zoomScale="70" zoomScaleNormal="70" workbookViewId="0">
      <selection activeCell="J22" sqref="J22"/>
    </sheetView>
  </sheetViews>
  <sheetFormatPr defaultColWidth="9.1796875" defaultRowHeight="14.5"/>
  <cols>
    <col min="1" max="1" width="18.81640625" style="31" customWidth="1"/>
    <col min="2" max="2" width="18.1796875" style="31" customWidth="1"/>
    <col min="3" max="3" width="24.453125" style="31" customWidth="1"/>
    <col min="4" max="4" width="14.54296875" style="31" customWidth="1"/>
    <col min="5" max="5" width="16.81640625" style="31" customWidth="1"/>
    <col min="6" max="6" width="14.1796875" style="31" customWidth="1"/>
    <col min="7" max="7" width="15.54296875" style="31" customWidth="1"/>
    <col min="8" max="8" width="14.81640625" style="31" customWidth="1"/>
    <col min="9" max="9" width="20.453125" style="31" customWidth="1"/>
    <col min="10" max="11" width="24.1796875" style="31" customWidth="1"/>
    <col min="12" max="12" width="34.453125" style="31" customWidth="1"/>
    <col min="13" max="13" width="35.81640625" style="31" customWidth="1"/>
    <col min="14" max="14" width="11.81640625" style="31" customWidth="1"/>
    <col min="15" max="15" width="42.54296875" style="31" customWidth="1"/>
    <col min="16" max="16" width="27.453125" style="31" customWidth="1"/>
    <col min="17" max="256" width="9.1796875" style="31"/>
    <col min="257" max="257" width="17.453125" style="31" customWidth="1"/>
    <col min="258" max="258" width="13.81640625" style="31" customWidth="1"/>
    <col min="259" max="259" width="16.1796875" style="31" customWidth="1"/>
    <col min="260" max="260" width="13" style="31" customWidth="1"/>
    <col min="261" max="261" width="11.1796875" style="31" customWidth="1"/>
    <col min="262" max="262" width="11.81640625" style="31" customWidth="1"/>
    <col min="263" max="263" width="14.81640625" style="31" customWidth="1"/>
    <col min="264" max="264" width="11.81640625" style="31" customWidth="1"/>
    <col min="265" max="265" width="20.54296875" style="31" customWidth="1"/>
    <col min="266" max="266" width="12.54296875" style="31" customWidth="1"/>
    <col min="267" max="267" width="14.54296875" style="31" customWidth="1"/>
    <col min="268" max="268" width="34.453125" style="31" customWidth="1"/>
    <col min="269" max="269" width="10.54296875" style="31" customWidth="1"/>
    <col min="270" max="270" width="9.1796875" style="31"/>
    <col min="271" max="271" width="26.453125" style="31" customWidth="1"/>
    <col min="272" max="272" width="27.453125" style="31" customWidth="1"/>
    <col min="273" max="512" width="9.1796875" style="31"/>
    <col min="513" max="513" width="17.453125" style="31" customWidth="1"/>
    <col min="514" max="514" width="13.81640625" style="31" customWidth="1"/>
    <col min="515" max="515" width="16.1796875" style="31" customWidth="1"/>
    <col min="516" max="516" width="13" style="31" customWidth="1"/>
    <col min="517" max="517" width="11.1796875" style="31" customWidth="1"/>
    <col min="518" max="518" width="11.81640625" style="31" customWidth="1"/>
    <col min="519" max="519" width="14.81640625" style="31" customWidth="1"/>
    <col min="520" max="520" width="11.81640625" style="31" customWidth="1"/>
    <col min="521" max="521" width="20.54296875" style="31" customWidth="1"/>
    <col min="522" max="522" width="12.54296875" style="31" customWidth="1"/>
    <col min="523" max="523" width="14.54296875" style="31" customWidth="1"/>
    <col min="524" max="524" width="34.453125" style="31" customWidth="1"/>
    <col min="525" max="525" width="10.54296875" style="31" customWidth="1"/>
    <col min="526" max="526" width="9.1796875" style="31"/>
    <col min="527" max="527" width="26.453125" style="31" customWidth="1"/>
    <col min="528" max="528" width="27.453125" style="31" customWidth="1"/>
    <col min="529" max="768" width="9.1796875" style="31"/>
    <col min="769" max="769" width="17.453125" style="31" customWidth="1"/>
    <col min="770" max="770" width="13.81640625" style="31" customWidth="1"/>
    <col min="771" max="771" width="16.1796875" style="31" customWidth="1"/>
    <col min="772" max="772" width="13" style="31" customWidth="1"/>
    <col min="773" max="773" width="11.1796875" style="31" customWidth="1"/>
    <col min="774" max="774" width="11.81640625" style="31" customWidth="1"/>
    <col min="775" max="775" width="14.81640625" style="31" customWidth="1"/>
    <col min="776" max="776" width="11.81640625" style="31" customWidth="1"/>
    <col min="777" max="777" width="20.54296875" style="31" customWidth="1"/>
    <col min="778" max="778" width="12.54296875" style="31" customWidth="1"/>
    <col min="779" max="779" width="14.54296875" style="31" customWidth="1"/>
    <col min="780" max="780" width="34.453125" style="31" customWidth="1"/>
    <col min="781" max="781" width="10.54296875" style="31" customWidth="1"/>
    <col min="782" max="782" width="9.1796875" style="31"/>
    <col min="783" max="783" width="26.453125" style="31" customWidth="1"/>
    <col min="784" max="784" width="27.453125" style="31" customWidth="1"/>
    <col min="785" max="1024" width="9.1796875" style="31"/>
    <col min="1025" max="1025" width="17.453125" style="31" customWidth="1"/>
    <col min="1026" max="1026" width="13.81640625" style="31" customWidth="1"/>
    <col min="1027" max="1027" width="16.1796875" style="31" customWidth="1"/>
    <col min="1028" max="1028" width="13" style="31" customWidth="1"/>
    <col min="1029" max="1029" width="11.1796875" style="31" customWidth="1"/>
    <col min="1030" max="1030" width="11.81640625" style="31" customWidth="1"/>
    <col min="1031" max="1031" width="14.81640625" style="31" customWidth="1"/>
    <col min="1032" max="1032" width="11.81640625" style="31" customWidth="1"/>
    <col min="1033" max="1033" width="20.54296875" style="31" customWidth="1"/>
    <col min="1034" max="1034" width="12.54296875" style="31" customWidth="1"/>
    <col min="1035" max="1035" width="14.54296875" style="31" customWidth="1"/>
    <col min="1036" max="1036" width="34.453125" style="31" customWidth="1"/>
    <col min="1037" max="1037" width="10.54296875" style="31" customWidth="1"/>
    <col min="1038" max="1038" width="9.1796875" style="31"/>
    <col min="1039" max="1039" width="26.453125" style="31" customWidth="1"/>
    <col min="1040" max="1040" width="27.453125" style="31" customWidth="1"/>
    <col min="1041" max="1280" width="9.1796875" style="31"/>
    <col min="1281" max="1281" width="17.453125" style="31" customWidth="1"/>
    <col min="1282" max="1282" width="13.81640625" style="31" customWidth="1"/>
    <col min="1283" max="1283" width="16.1796875" style="31" customWidth="1"/>
    <col min="1284" max="1284" width="13" style="31" customWidth="1"/>
    <col min="1285" max="1285" width="11.1796875" style="31" customWidth="1"/>
    <col min="1286" max="1286" width="11.81640625" style="31" customWidth="1"/>
    <col min="1287" max="1287" width="14.81640625" style="31" customWidth="1"/>
    <col min="1288" max="1288" width="11.81640625" style="31" customWidth="1"/>
    <col min="1289" max="1289" width="20.54296875" style="31" customWidth="1"/>
    <col min="1290" max="1290" width="12.54296875" style="31" customWidth="1"/>
    <col min="1291" max="1291" width="14.54296875" style="31" customWidth="1"/>
    <col min="1292" max="1292" width="34.453125" style="31" customWidth="1"/>
    <col min="1293" max="1293" width="10.54296875" style="31" customWidth="1"/>
    <col min="1294" max="1294" width="9.1796875" style="31"/>
    <col min="1295" max="1295" width="26.453125" style="31" customWidth="1"/>
    <col min="1296" max="1296" width="27.453125" style="31" customWidth="1"/>
    <col min="1297" max="1536" width="9.1796875" style="31"/>
    <col min="1537" max="1537" width="17.453125" style="31" customWidth="1"/>
    <col min="1538" max="1538" width="13.81640625" style="31" customWidth="1"/>
    <col min="1539" max="1539" width="16.1796875" style="31" customWidth="1"/>
    <col min="1540" max="1540" width="13" style="31" customWidth="1"/>
    <col min="1541" max="1541" width="11.1796875" style="31" customWidth="1"/>
    <col min="1542" max="1542" width="11.81640625" style="31" customWidth="1"/>
    <col min="1543" max="1543" width="14.81640625" style="31" customWidth="1"/>
    <col min="1544" max="1544" width="11.81640625" style="31" customWidth="1"/>
    <col min="1545" max="1545" width="20.54296875" style="31" customWidth="1"/>
    <col min="1546" max="1546" width="12.54296875" style="31" customWidth="1"/>
    <col min="1547" max="1547" width="14.54296875" style="31" customWidth="1"/>
    <col min="1548" max="1548" width="34.453125" style="31" customWidth="1"/>
    <col min="1549" max="1549" width="10.54296875" style="31" customWidth="1"/>
    <col min="1550" max="1550" width="9.1796875" style="31"/>
    <col min="1551" max="1551" width="26.453125" style="31" customWidth="1"/>
    <col min="1552" max="1552" width="27.453125" style="31" customWidth="1"/>
    <col min="1553" max="1792" width="9.1796875" style="31"/>
    <col min="1793" max="1793" width="17.453125" style="31" customWidth="1"/>
    <col min="1794" max="1794" width="13.81640625" style="31" customWidth="1"/>
    <col min="1795" max="1795" width="16.1796875" style="31" customWidth="1"/>
    <col min="1796" max="1796" width="13" style="31" customWidth="1"/>
    <col min="1797" max="1797" width="11.1796875" style="31" customWidth="1"/>
    <col min="1798" max="1798" width="11.81640625" style="31" customWidth="1"/>
    <col min="1799" max="1799" width="14.81640625" style="31" customWidth="1"/>
    <col min="1800" max="1800" width="11.81640625" style="31" customWidth="1"/>
    <col min="1801" max="1801" width="20.54296875" style="31" customWidth="1"/>
    <col min="1802" max="1802" width="12.54296875" style="31" customWidth="1"/>
    <col min="1803" max="1803" width="14.54296875" style="31" customWidth="1"/>
    <col min="1804" max="1804" width="34.453125" style="31" customWidth="1"/>
    <col min="1805" max="1805" width="10.54296875" style="31" customWidth="1"/>
    <col min="1806" max="1806" width="9.1796875" style="31"/>
    <col min="1807" max="1807" width="26.453125" style="31" customWidth="1"/>
    <col min="1808" max="1808" width="27.453125" style="31" customWidth="1"/>
    <col min="1809" max="2048" width="9.1796875" style="31"/>
    <col min="2049" max="2049" width="17.453125" style="31" customWidth="1"/>
    <col min="2050" max="2050" width="13.81640625" style="31" customWidth="1"/>
    <col min="2051" max="2051" width="16.1796875" style="31" customWidth="1"/>
    <col min="2052" max="2052" width="13" style="31" customWidth="1"/>
    <col min="2053" max="2053" width="11.1796875" style="31" customWidth="1"/>
    <col min="2054" max="2054" width="11.81640625" style="31" customWidth="1"/>
    <col min="2055" max="2055" width="14.81640625" style="31" customWidth="1"/>
    <col min="2056" max="2056" width="11.81640625" style="31" customWidth="1"/>
    <col min="2057" max="2057" width="20.54296875" style="31" customWidth="1"/>
    <col min="2058" max="2058" width="12.54296875" style="31" customWidth="1"/>
    <col min="2059" max="2059" width="14.54296875" style="31" customWidth="1"/>
    <col min="2060" max="2060" width="34.453125" style="31" customWidth="1"/>
    <col min="2061" max="2061" width="10.54296875" style="31" customWidth="1"/>
    <col min="2062" max="2062" width="9.1796875" style="31"/>
    <col min="2063" max="2063" width="26.453125" style="31" customWidth="1"/>
    <col min="2064" max="2064" width="27.453125" style="31" customWidth="1"/>
    <col min="2065" max="2304" width="9.1796875" style="31"/>
    <col min="2305" max="2305" width="17.453125" style="31" customWidth="1"/>
    <col min="2306" max="2306" width="13.81640625" style="31" customWidth="1"/>
    <col min="2307" max="2307" width="16.1796875" style="31" customWidth="1"/>
    <col min="2308" max="2308" width="13" style="31" customWidth="1"/>
    <col min="2309" max="2309" width="11.1796875" style="31" customWidth="1"/>
    <col min="2310" max="2310" width="11.81640625" style="31" customWidth="1"/>
    <col min="2311" max="2311" width="14.81640625" style="31" customWidth="1"/>
    <col min="2312" max="2312" width="11.81640625" style="31" customWidth="1"/>
    <col min="2313" max="2313" width="20.54296875" style="31" customWidth="1"/>
    <col min="2314" max="2314" width="12.54296875" style="31" customWidth="1"/>
    <col min="2315" max="2315" width="14.54296875" style="31" customWidth="1"/>
    <col min="2316" max="2316" width="34.453125" style="31" customWidth="1"/>
    <col min="2317" max="2317" width="10.54296875" style="31" customWidth="1"/>
    <col min="2318" max="2318" width="9.1796875" style="31"/>
    <col min="2319" max="2319" width="26.453125" style="31" customWidth="1"/>
    <col min="2320" max="2320" width="27.453125" style="31" customWidth="1"/>
    <col min="2321" max="2560" width="9.1796875" style="31"/>
    <col min="2561" max="2561" width="17.453125" style="31" customWidth="1"/>
    <col min="2562" max="2562" width="13.81640625" style="31" customWidth="1"/>
    <col min="2563" max="2563" width="16.1796875" style="31" customWidth="1"/>
    <col min="2564" max="2564" width="13" style="31" customWidth="1"/>
    <col min="2565" max="2565" width="11.1796875" style="31" customWidth="1"/>
    <col min="2566" max="2566" width="11.81640625" style="31" customWidth="1"/>
    <col min="2567" max="2567" width="14.81640625" style="31" customWidth="1"/>
    <col min="2568" max="2568" width="11.81640625" style="31" customWidth="1"/>
    <col min="2569" max="2569" width="20.54296875" style="31" customWidth="1"/>
    <col min="2570" max="2570" width="12.54296875" style="31" customWidth="1"/>
    <col min="2571" max="2571" width="14.54296875" style="31" customWidth="1"/>
    <col min="2572" max="2572" width="34.453125" style="31" customWidth="1"/>
    <col min="2573" max="2573" width="10.54296875" style="31" customWidth="1"/>
    <col min="2574" max="2574" width="9.1796875" style="31"/>
    <col min="2575" max="2575" width="26.453125" style="31" customWidth="1"/>
    <col min="2576" max="2576" width="27.453125" style="31" customWidth="1"/>
    <col min="2577" max="2816" width="9.1796875" style="31"/>
    <col min="2817" max="2817" width="17.453125" style="31" customWidth="1"/>
    <col min="2818" max="2818" width="13.81640625" style="31" customWidth="1"/>
    <col min="2819" max="2819" width="16.1796875" style="31" customWidth="1"/>
    <col min="2820" max="2820" width="13" style="31" customWidth="1"/>
    <col min="2821" max="2821" width="11.1796875" style="31" customWidth="1"/>
    <col min="2822" max="2822" width="11.81640625" style="31" customWidth="1"/>
    <col min="2823" max="2823" width="14.81640625" style="31" customWidth="1"/>
    <col min="2824" max="2824" width="11.81640625" style="31" customWidth="1"/>
    <col min="2825" max="2825" width="20.54296875" style="31" customWidth="1"/>
    <col min="2826" max="2826" width="12.54296875" style="31" customWidth="1"/>
    <col min="2827" max="2827" width="14.54296875" style="31" customWidth="1"/>
    <col min="2828" max="2828" width="34.453125" style="31" customWidth="1"/>
    <col min="2829" max="2829" width="10.54296875" style="31" customWidth="1"/>
    <col min="2830" max="2830" width="9.1796875" style="31"/>
    <col min="2831" max="2831" width="26.453125" style="31" customWidth="1"/>
    <col min="2832" max="2832" width="27.453125" style="31" customWidth="1"/>
    <col min="2833" max="3072" width="9.1796875" style="31"/>
    <col min="3073" max="3073" width="17.453125" style="31" customWidth="1"/>
    <col min="3074" max="3074" width="13.81640625" style="31" customWidth="1"/>
    <col min="3075" max="3075" width="16.1796875" style="31" customWidth="1"/>
    <col min="3076" max="3076" width="13" style="31" customWidth="1"/>
    <col min="3077" max="3077" width="11.1796875" style="31" customWidth="1"/>
    <col min="3078" max="3078" width="11.81640625" style="31" customWidth="1"/>
    <col min="3079" max="3079" width="14.81640625" style="31" customWidth="1"/>
    <col min="3080" max="3080" width="11.81640625" style="31" customWidth="1"/>
    <col min="3081" max="3081" width="20.54296875" style="31" customWidth="1"/>
    <col min="3082" max="3082" width="12.54296875" style="31" customWidth="1"/>
    <col min="3083" max="3083" width="14.54296875" style="31" customWidth="1"/>
    <col min="3084" max="3084" width="34.453125" style="31" customWidth="1"/>
    <col min="3085" max="3085" width="10.54296875" style="31" customWidth="1"/>
    <col min="3086" max="3086" width="9.1796875" style="31"/>
    <col min="3087" max="3087" width="26.453125" style="31" customWidth="1"/>
    <col min="3088" max="3088" width="27.453125" style="31" customWidth="1"/>
    <col min="3089" max="3328" width="9.1796875" style="31"/>
    <col min="3329" max="3329" width="17.453125" style="31" customWidth="1"/>
    <col min="3330" max="3330" width="13.81640625" style="31" customWidth="1"/>
    <col min="3331" max="3331" width="16.1796875" style="31" customWidth="1"/>
    <col min="3332" max="3332" width="13" style="31" customWidth="1"/>
    <col min="3333" max="3333" width="11.1796875" style="31" customWidth="1"/>
    <col min="3334" max="3334" width="11.81640625" style="31" customWidth="1"/>
    <col min="3335" max="3335" width="14.81640625" style="31" customWidth="1"/>
    <col min="3336" max="3336" width="11.81640625" style="31" customWidth="1"/>
    <col min="3337" max="3337" width="20.54296875" style="31" customWidth="1"/>
    <col min="3338" max="3338" width="12.54296875" style="31" customWidth="1"/>
    <col min="3339" max="3339" width="14.54296875" style="31" customWidth="1"/>
    <col min="3340" max="3340" width="34.453125" style="31" customWidth="1"/>
    <col min="3341" max="3341" width="10.54296875" style="31" customWidth="1"/>
    <col min="3342" max="3342" width="9.1796875" style="31"/>
    <col min="3343" max="3343" width="26.453125" style="31" customWidth="1"/>
    <col min="3344" max="3344" width="27.453125" style="31" customWidth="1"/>
    <col min="3345" max="3584" width="9.1796875" style="31"/>
    <col min="3585" max="3585" width="17.453125" style="31" customWidth="1"/>
    <col min="3586" max="3586" width="13.81640625" style="31" customWidth="1"/>
    <col min="3587" max="3587" width="16.1796875" style="31" customWidth="1"/>
    <col min="3588" max="3588" width="13" style="31" customWidth="1"/>
    <col min="3589" max="3589" width="11.1796875" style="31" customWidth="1"/>
    <col min="3590" max="3590" width="11.81640625" style="31" customWidth="1"/>
    <col min="3591" max="3591" width="14.81640625" style="31" customWidth="1"/>
    <col min="3592" max="3592" width="11.81640625" style="31" customWidth="1"/>
    <col min="3593" max="3593" width="20.54296875" style="31" customWidth="1"/>
    <col min="3594" max="3594" width="12.54296875" style="31" customWidth="1"/>
    <col min="3595" max="3595" width="14.54296875" style="31" customWidth="1"/>
    <col min="3596" max="3596" width="34.453125" style="31" customWidth="1"/>
    <col min="3597" max="3597" width="10.54296875" style="31" customWidth="1"/>
    <col min="3598" max="3598" width="9.1796875" style="31"/>
    <col min="3599" max="3599" width="26.453125" style="31" customWidth="1"/>
    <col min="3600" max="3600" width="27.453125" style="31" customWidth="1"/>
    <col min="3601" max="3840" width="9.1796875" style="31"/>
    <col min="3841" max="3841" width="17.453125" style="31" customWidth="1"/>
    <col min="3842" max="3842" width="13.81640625" style="31" customWidth="1"/>
    <col min="3843" max="3843" width="16.1796875" style="31" customWidth="1"/>
    <col min="3844" max="3844" width="13" style="31" customWidth="1"/>
    <col min="3845" max="3845" width="11.1796875" style="31" customWidth="1"/>
    <col min="3846" max="3846" width="11.81640625" style="31" customWidth="1"/>
    <col min="3847" max="3847" width="14.81640625" style="31" customWidth="1"/>
    <col min="3848" max="3848" width="11.81640625" style="31" customWidth="1"/>
    <col min="3849" max="3849" width="20.54296875" style="31" customWidth="1"/>
    <col min="3850" max="3850" width="12.54296875" style="31" customWidth="1"/>
    <col min="3851" max="3851" width="14.54296875" style="31" customWidth="1"/>
    <col min="3852" max="3852" width="34.453125" style="31" customWidth="1"/>
    <col min="3853" max="3853" width="10.54296875" style="31" customWidth="1"/>
    <col min="3854" max="3854" width="9.1796875" style="31"/>
    <col min="3855" max="3855" width="26.453125" style="31" customWidth="1"/>
    <col min="3856" max="3856" width="27.453125" style="31" customWidth="1"/>
    <col min="3857" max="4096" width="9.1796875" style="31"/>
    <col min="4097" max="4097" width="17.453125" style="31" customWidth="1"/>
    <col min="4098" max="4098" width="13.81640625" style="31" customWidth="1"/>
    <col min="4099" max="4099" width="16.1796875" style="31" customWidth="1"/>
    <col min="4100" max="4100" width="13" style="31" customWidth="1"/>
    <col min="4101" max="4101" width="11.1796875" style="31" customWidth="1"/>
    <col min="4102" max="4102" width="11.81640625" style="31" customWidth="1"/>
    <col min="4103" max="4103" width="14.81640625" style="31" customWidth="1"/>
    <col min="4104" max="4104" width="11.81640625" style="31" customWidth="1"/>
    <col min="4105" max="4105" width="20.54296875" style="31" customWidth="1"/>
    <col min="4106" max="4106" width="12.54296875" style="31" customWidth="1"/>
    <col min="4107" max="4107" width="14.54296875" style="31" customWidth="1"/>
    <col min="4108" max="4108" width="34.453125" style="31" customWidth="1"/>
    <col min="4109" max="4109" width="10.54296875" style="31" customWidth="1"/>
    <col min="4110" max="4110" width="9.1796875" style="31"/>
    <col min="4111" max="4111" width="26.453125" style="31" customWidth="1"/>
    <col min="4112" max="4112" width="27.453125" style="31" customWidth="1"/>
    <col min="4113" max="4352" width="9.1796875" style="31"/>
    <col min="4353" max="4353" width="17.453125" style="31" customWidth="1"/>
    <col min="4354" max="4354" width="13.81640625" style="31" customWidth="1"/>
    <col min="4355" max="4355" width="16.1796875" style="31" customWidth="1"/>
    <col min="4356" max="4356" width="13" style="31" customWidth="1"/>
    <col min="4357" max="4357" width="11.1796875" style="31" customWidth="1"/>
    <col min="4358" max="4358" width="11.81640625" style="31" customWidth="1"/>
    <col min="4359" max="4359" width="14.81640625" style="31" customWidth="1"/>
    <col min="4360" max="4360" width="11.81640625" style="31" customWidth="1"/>
    <col min="4361" max="4361" width="20.54296875" style="31" customWidth="1"/>
    <col min="4362" max="4362" width="12.54296875" style="31" customWidth="1"/>
    <col min="4363" max="4363" width="14.54296875" style="31" customWidth="1"/>
    <col min="4364" max="4364" width="34.453125" style="31" customWidth="1"/>
    <col min="4365" max="4365" width="10.54296875" style="31" customWidth="1"/>
    <col min="4366" max="4366" width="9.1796875" style="31"/>
    <col min="4367" max="4367" width="26.453125" style="31" customWidth="1"/>
    <col min="4368" max="4368" width="27.453125" style="31" customWidth="1"/>
    <col min="4369" max="4608" width="9.1796875" style="31"/>
    <col min="4609" max="4609" width="17.453125" style="31" customWidth="1"/>
    <col min="4610" max="4610" width="13.81640625" style="31" customWidth="1"/>
    <col min="4611" max="4611" width="16.1796875" style="31" customWidth="1"/>
    <col min="4612" max="4612" width="13" style="31" customWidth="1"/>
    <col min="4613" max="4613" width="11.1796875" style="31" customWidth="1"/>
    <col min="4614" max="4614" width="11.81640625" style="31" customWidth="1"/>
    <col min="4615" max="4615" width="14.81640625" style="31" customWidth="1"/>
    <col min="4616" max="4616" width="11.81640625" style="31" customWidth="1"/>
    <col min="4617" max="4617" width="20.54296875" style="31" customWidth="1"/>
    <col min="4618" max="4618" width="12.54296875" style="31" customWidth="1"/>
    <col min="4619" max="4619" width="14.54296875" style="31" customWidth="1"/>
    <col min="4620" max="4620" width="34.453125" style="31" customWidth="1"/>
    <col min="4621" max="4621" width="10.54296875" style="31" customWidth="1"/>
    <col min="4622" max="4622" width="9.1796875" style="31"/>
    <col min="4623" max="4623" width="26.453125" style="31" customWidth="1"/>
    <col min="4624" max="4624" width="27.453125" style="31" customWidth="1"/>
    <col min="4625" max="4864" width="9.1796875" style="31"/>
    <col min="4865" max="4865" width="17.453125" style="31" customWidth="1"/>
    <col min="4866" max="4866" width="13.81640625" style="31" customWidth="1"/>
    <col min="4867" max="4867" width="16.1796875" style="31" customWidth="1"/>
    <col min="4868" max="4868" width="13" style="31" customWidth="1"/>
    <col min="4869" max="4869" width="11.1796875" style="31" customWidth="1"/>
    <col min="4870" max="4870" width="11.81640625" style="31" customWidth="1"/>
    <col min="4871" max="4871" width="14.81640625" style="31" customWidth="1"/>
    <col min="4872" max="4872" width="11.81640625" style="31" customWidth="1"/>
    <col min="4873" max="4873" width="20.54296875" style="31" customWidth="1"/>
    <col min="4874" max="4874" width="12.54296875" style="31" customWidth="1"/>
    <col min="4875" max="4875" width="14.54296875" style="31" customWidth="1"/>
    <col min="4876" max="4876" width="34.453125" style="31" customWidth="1"/>
    <col min="4877" max="4877" width="10.54296875" style="31" customWidth="1"/>
    <col min="4878" max="4878" width="9.1796875" style="31"/>
    <col min="4879" max="4879" width="26.453125" style="31" customWidth="1"/>
    <col min="4880" max="4880" width="27.453125" style="31" customWidth="1"/>
    <col min="4881" max="5120" width="9.1796875" style="31"/>
    <col min="5121" max="5121" width="17.453125" style="31" customWidth="1"/>
    <col min="5122" max="5122" width="13.81640625" style="31" customWidth="1"/>
    <col min="5123" max="5123" width="16.1796875" style="31" customWidth="1"/>
    <col min="5124" max="5124" width="13" style="31" customWidth="1"/>
    <col min="5125" max="5125" width="11.1796875" style="31" customWidth="1"/>
    <col min="5126" max="5126" width="11.81640625" style="31" customWidth="1"/>
    <col min="5127" max="5127" width="14.81640625" style="31" customWidth="1"/>
    <col min="5128" max="5128" width="11.81640625" style="31" customWidth="1"/>
    <col min="5129" max="5129" width="20.54296875" style="31" customWidth="1"/>
    <col min="5130" max="5130" width="12.54296875" style="31" customWidth="1"/>
    <col min="5131" max="5131" width="14.54296875" style="31" customWidth="1"/>
    <col min="5132" max="5132" width="34.453125" style="31" customWidth="1"/>
    <col min="5133" max="5133" width="10.54296875" style="31" customWidth="1"/>
    <col min="5134" max="5134" width="9.1796875" style="31"/>
    <col min="5135" max="5135" width="26.453125" style="31" customWidth="1"/>
    <col min="5136" max="5136" width="27.453125" style="31" customWidth="1"/>
    <col min="5137" max="5376" width="9.1796875" style="31"/>
    <col min="5377" max="5377" width="17.453125" style="31" customWidth="1"/>
    <col min="5378" max="5378" width="13.81640625" style="31" customWidth="1"/>
    <col min="5379" max="5379" width="16.1796875" style="31" customWidth="1"/>
    <col min="5380" max="5380" width="13" style="31" customWidth="1"/>
    <col min="5381" max="5381" width="11.1796875" style="31" customWidth="1"/>
    <col min="5382" max="5382" width="11.81640625" style="31" customWidth="1"/>
    <col min="5383" max="5383" width="14.81640625" style="31" customWidth="1"/>
    <col min="5384" max="5384" width="11.81640625" style="31" customWidth="1"/>
    <col min="5385" max="5385" width="20.54296875" style="31" customWidth="1"/>
    <col min="5386" max="5386" width="12.54296875" style="31" customWidth="1"/>
    <col min="5387" max="5387" width="14.54296875" style="31" customWidth="1"/>
    <col min="5388" max="5388" width="34.453125" style="31" customWidth="1"/>
    <col min="5389" max="5389" width="10.54296875" style="31" customWidth="1"/>
    <col min="5390" max="5390" width="9.1796875" style="31"/>
    <col min="5391" max="5391" width="26.453125" style="31" customWidth="1"/>
    <col min="5392" max="5392" width="27.453125" style="31" customWidth="1"/>
    <col min="5393" max="5632" width="9.1796875" style="31"/>
    <col min="5633" max="5633" width="17.453125" style="31" customWidth="1"/>
    <col min="5634" max="5634" width="13.81640625" style="31" customWidth="1"/>
    <col min="5635" max="5635" width="16.1796875" style="31" customWidth="1"/>
    <col min="5636" max="5636" width="13" style="31" customWidth="1"/>
    <col min="5637" max="5637" width="11.1796875" style="31" customWidth="1"/>
    <col min="5638" max="5638" width="11.81640625" style="31" customWidth="1"/>
    <col min="5639" max="5639" width="14.81640625" style="31" customWidth="1"/>
    <col min="5640" max="5640" width="11.81640625" style="31" customWidth="1"/>
    <col min="5641" max="5641" width="20.54296875" style="31" customWidth="1"/>
    <col min="5642" max="5642" width="12.54296875" style="31" customWidth="1"/>
    <col min="5643" max="5643" width="14.54296875" style="31" customWidth="1"/>
    <col min="5644" max="5644" width="34.453125" style="31" customWidth="1"/>
    <col min="5645" max="5645" width="10.54296875" style="31" customWidth="1"/>
    <col min="5646" max="5646" width="9.1796875" style="31"/>
    <col min="5647" max="5647" width="26.453125" style="31" customWidth="1"/>
    <col min="5648" max="5648" width="27.453125" style="31" customWidth="1"/>
    <col min="5649" max="5888" width="9.1796875" style="31"/>
    <col min="5889" max="5889" width="17.453125" style="31" customWidth="1"/>
    <col min="5890" max="5890" width="13.81640625" style="31" customWidth="1"/>
    <col min="5891" max="5891" width="16.1796875" style="31" customWidth="1"/>
    <col min="5892" max="5892" width="13" style="31" customWidth="1"/>
    <col min="5893" max="5893" width="11.1796875" style="31" customWidth="1"/>
    <col min="5894" max="5894" width="11.81640625" style="31" customWidth="1"/>
    <col min="5895" max="5895" width="14.81640625" style="31" customWidth="1"/>
    <col min="5896" max="5896" width="11.81640625" style="31" customWidth="1"/>
    <col min="5897" max="5897" width="20.54296875" style="31" customWidth="1"/>
    <col min="5898" max="5898" width="12.54296875" style="31" customWidth="1"/>
    <col min="5899" max="5899" width="14.54296875" style="31" customWidth="1"/>
    <col min="5900" max="5900" width="34.453125" style="31" customWidth="1"/>
    <col min="5901" max="5901" width="10.54296875" style="31" customWidth="1"/>
    <col min="5902" max="5902" width="9.1796875" style="31"/>
    <col min="5903" max="5903" width="26.453125" style="31" customWidth="1"/>
    <col min="5904" max="5904" width="27.453125" style="31" customWidth="1"/>
    <col min="5905" max="6144" width="9.1796875" style="31"/>
    <col min="6145" max="6145" width="17.453125" style="31" customWidth="1"/>
    <col min="6146" max="6146" width="13.81640625" style="31" customWidth="1"/>
    <col min="6147" max="6147" width="16.1796875" style="31" customWidth="1"/>
    <col min="6148" max="6148" width="13" style="31" customWidth="1"/>
    <col min="6149" max="6149" width="11.1796875" style="31" customWidth="1"/>
    <col min="6150" max="6150" width="11.81640625" style="31" customWidth="1"/>
    <col min="6151" max="6151" width="14.81640625" style="31" customWidth="1"/>
    <col min="6152" max="6152" width="11.81640625" style="31" customWidth="1"/>
    <col min="6153" max="6153" width="20.54296875" style="31" customWidth="1"/>
    <col min="6154" max="6154" width="12.54296875" style="31" customWidth="1"/>
    <col min="6155" max="6155" width="14.54296875" style="31" customWidth="1"/>
    <col min="6156" max="6156" width="34.453125" style="31" customWidth="1"/>
    <col min="6157" max="6157" width="10.54296875" style="31" customWidth="1"/>
    <col min="6158" max="6158" width="9.1796875" style="31"/>
    <col min="6159" max="6159" width="26.453125" style="31" customWidth="1"/>
    <col min="6160" max="6160" width="27.453125" style="31" customWidth="1"/>
    <col min="6161" max="6400" width="9.1796875" style="31"/>
    <col min="6401" max="6401" width="17.453125" style="31" customWidth="1"/>
    <col min="6402" max="6402" width="13.81640625" style="31" customWidth="1"/>
    <col min="6403" max="6403" width="16.1796875" style="31" customWidth="1"/>
    <col min="6404" max="6404" width="13" style="31" customWidth="1"/>
    <col min="6405" max="6405" width="11.1796875" style="31" customWidth="1"/>
    <col min="6406" max="6406" width="11.81640625" style="31" customWidth="1"/>
    <col min="6407" max="6407" width="14.81640625" style="31" customWidth="1"/>
    <col min="6408" max="6408" width="11.81640625" style="31" customWidth="1"/>
    <col min="6409" max="6409" width="20.54296875" style="31" customWidth="1"/>
    <col min="6410" max="6410" width="12.54296875" style="31" customWidth="1"/>
    <col min="6411" max="6411" width="14.54296875" style="31" customWidth="1"/>
    <col min="6412" max="6412" width="34.453125" style="31" customWidth="1"/>
    <col min="6413" max="6413" width="10.54296875" style="31" customWidth="1"/>
    <col min="6414" max="6414" width="9.1796875" style="31"/>
    <col min="6415" max="6415" width="26.453125" style="31" customWidth="1"/>
    <col min="6416" max="6416" width="27.453125" style="31" customWidth="1"/>
    <col min="6417" max="6656" width="9.1796875" style="31"/>
    <col min="6657" max="6657" width="17.453125" style="31" customWidth="1"/>
    <col min="6658" max="6658" width="13.81640625" style="31" customWidth="1"/>
    <col min="6659" max="6659" width="16.1796875" style="31" customWidth="1"/>
    <col min="6660" max="6660" width="13" style="31" customWidth="1"/>
    <col min="6661" max="6661" width="11.1796875" style="31" customWidth="1"/>
    <col min="6662" max="6662" width="11.81640625" style="31" customWidth="1"/>
    <col min="6663" max="6663" width="14.81640625" style="31" customWidth="1"/>
    <col min="6664" max="6664" width="11.81640625" style="31" customWidth="1"/>
    <col min="6665" max="6665" width="20.54296875" style="31" customWidth="1"/>
    <col min="6666" max="6666" width="12.54296875" style="31" customWidth="1"/>
    <col min="6667" max="6667" width="14.54296875" style="31" customWidth="1"/>
    <col min="6668" max="6668" width="34.453125" style="31" customWidth="1"/>
    <col min="6669" max="6669" width="10.54296875" style="31" customWidth="1"/>
    <col min="6670" max="6670" width="9.1796875" style="31"/>
    <col min="6671" max="6671" width="26.453125" style="31" customWidth="1"/>
    <col min="6672" max="6672" width="27.453125" style="31" customWidth="1"/>
    <col min="6673" max="6912" width="9.1796875" style="31"/>
    <col min="6913" max="6913" width="17.453125" style="31" customWidth="1"/>
    <col min="6914" max="6914" width="13.81640625" style="31" customWidth="1"/>
    <col min="6915" max="6915" width="16.1796875" style="31" customWidth="1"/>
    <col min="6916" max="6916" width="13" style="31" customWidth="1"/>
    <col min="6917" max="6917" width="11.1796875" style="31" customWidth="1"/>
    <col min="6918" max="6918" width="11.81640625" style="31" customWidth="1"/>
    <col min="6919" max="6919" width="14.81640625" style="31" customWidth="1"/>
    <col min="6920" max="6920" width="11.81640625" style="31" customWidth="1"/>
    <col min="6921" max="6921" width="20.54296875" style="31" customWidth="1"/>
    <col min="6922" max="6922" width="12.54296875" style="31" customWidth="1"/>
    <col min="6923" max="6923" width="14.54296875" style="31" customWidth="1"/>
    <col min="6924" max="6924" width="34.453125" style="31" customWidth="1"/>
    <col min="6925" max="6925" width="10.54296875" style="31" customWidth="1"/>
    <col min="6926" max="6926" width="9.1796875" style="31"/>
    <col min="6927" max="6927" width="26.453125" style="31" customWidth="1"/>
    <col min="6928" max="6928" width="27.453125" style="31" customWidth="1"/>
    <col min="6929" max="7168" width="9.1796875" style="31"/>
    <col min="7169" max="7169" width="17.453125" style="31" customWidth="1"/>
    <col min="7170" max="7170" width="13.81640625" style="31" customWidth="1"/>
    <col min="7171" max="7171" width="16.1796875" style="31" customWidth="1"/>
    <col min="7172" max="7172" width="13" style="31" customWidth="1"/>
    <col min="7173" max="7173" width="11.1796875" style="31" customWidth="1"/>
    <col min="7174" max="7174" width="11.81640625" style="31" customWidth="1"/>
    <col min="7175" max="7175" width="14.81640625" style="31" customWidth="1"/>
    <col min="7176" max="7176" width="11.81640625" style="31" customWidth="1"/>
    <col min="7177" max="7177" width="20.54296875" style="31" customWidth="1"/>
    <col min="7178" max="7178" width="12.54296875" style="31" customWidth="1"/>
    <col min="7179" max="7179" width="14.54296875" style="31" customWidth="1"/>
    <col min="7180" max="7180" width="34.453125" style="31" customWidth="1"/>
    <col min="7181" max="7181" width="10.54296875" style="31" customWidth="1"/>
    <col min="7182" max="7182" width="9.1796875" style="31"/>
    <col min="7183" max="7183" width="26.453125" style="31" customWidth="1"/>
    <col min="7184" max="7184" width="27.453125" style="31" customWidth="1"/>
    <col min="7185" max="7424" width="9.1796875" style="31"/>
    <col min="7425" max="7425" width="17.453125" style="31" customWidth="1"/>
    <col min="7426" max="7426" width="13.81640625" style="31" customWidth="1"/>
    <col min="7427" max="7427" width="16.1796875" style="31" customWidth="1"/>
    <col min="7428" max="7428" width="13" style="31" customWidth="1"/>
    <col min="7429" max="7429" width="11.1796875" style="31" customWidth="1"/>
    <col min="7430" max="7430" width="11.81640625" style="31" customWidth="1"/>
    <col min="7431" max="7431" width="14.81640625" style="31" customWidth="1"/>
    <col min="7432" max="7432" width="11.81640625" style="31" customWidth="1"/>
    <col min="7433" max="7433" width="20.54296875" style="31" customWidth="1"/>
    <col min="7434" max="7434" width="12.54296875" style="31" customWidth="1"/>
    <col min="7435" max="7435" width="14.54296875" style="31" customWidth="1"/>
    <col min="7436" max="7436" width="34.453125" style="31" customWidth="1"/>
    <col min="7437" max="7437" width="10.54296875" style="31" customWidth="1"/>
    <col min="7438" max="7438" width="9.1796875" style="31"/>
    <col min="7439" max="7439" width="26.453125" style="31" customWidth="1"/>
    <col min="7440" max="7440" width="27.453125" style="31" customWidth="1"/>
    <col min="7441" max="7680" width="9.1796875" style="31"/>
    <col min="7681" max="7681" width="17.453125" style="31" customWidth="1"/>
    <col min="7682" max="7682" width="13.81640625" style="31" customWidth="1"/>
    <col min="7683" max="7683" width="16.1796875" style="31" customWidth="1"/>
    <col min="7684" max="7684" width="13" style="31" customWidth="1"/>
    <col min="7685" max="7685" width="11.1796875" style="31" customWidth="1"/>
    <col min="7686" max="7686" width="11.81640625" style="31" customWidth="1"/>
    <col min="7687" max="7687" width="14.81640625" style="31" customWidth="1"/>
    <col min="7688" max="7688" width="11.81640625" style="31" customWidth="1"/>
    <col min="7689" max="7689" width="20.54296875" style="31" customWidth="1"/>
    <col min="7690" max="7690" width="12.54296875" style="31" customWidth="1"/>
    <col min="7691" max="7691" width="14.54296875" style="31" customWidth="1"/>
    <col min="7692" max="7692" width="34.453125" style="31" customWidth="1"/>
    <col min="7693" max="7693" width="10.54296875" style="31" customWidth="1"/>
    <col min="7694" max="7694" width="9.1796875" style="31"/>
    <col min="7695" max="7695" width="26.453125" style="31" customWidth="1"/>
    <col min="7696" max="7696" width="27.453125" style="31" customWidth="1"/>
    <col min="7697" max="7936" width="9.1796875" style="31"/>
    <col min="7937" max="7937" width="17.453125" style="31" customWidth="1"/>
    <col min="7938" max="7938" width="13.81640625" style="31" customWidth="1"/>
    <col min="7939" max="7939" width="16.1796875" style="31" customWidth="1"/>
    <col min="7940" max="7940" width="13" style="31" customWidth="1"/>
    <col min="7941" max="7941" width="11.1796875" style="31" customWidth="1"/>
    <col min="7942" max="7942" width="11.81640625" style="31" customWidth="1"/>
    <col min="7943" max="7943" width="14.81640625" style="31" customWidth="1"/>
    <col min="7944" max="7944" width="11.81640625" style="31" customWidth="1"/>
    <col min="7945" max="7945" width="20.54296875" style="31" customWidth="1"/>
    <col min="7946" max="7946" width="12.54296875" style="31" customWidth="1"/>
    <col min="7947" max="7947" width="14.54296875" style="31" customWidth="1"/>
    <col min="7948" max="7948" width="34.453125" style="31" customWidth="1"/>
    <col min="7949" max="7949" width="10.54296875" style="31" customWidth="1"/>
    <col min="7950" max="7950" width="9.1796875" style="31"/>
    <col min="7951" max="7951" width="26.453125" style="31" customWidth="1"/>
    <col min="7952" max="7952" width="27.453125" style="31" customWidth="1"/>
    <col min="7953" max="8192" width="9.1796875" style="31"/>
    <col min="8193" max="8193" width="17.453125" style="31" customWidth="1"/>
    <col min="8194" max="8194" width="13.81640625" style="31" customWidth="1"/>
    <col min="8195" max="8195" width="16.1796875" style="31" customWidth="1"/>
    <col min="8196" max="8196" width="13" style="31" customWidth="1"/>
    <col min="8197" max="8197" width="11.1796875" style="31" customWidth="1"/>
    <col min="8198" max="8198" width="11.81640625" style="31" customWidth="1"/>
    <col min="8199" max="8199" width="14.81640625" style="31" customWidth="1"/>
    <col min="8200" max="8200" width="11.81640625" style="31" customWidth="1"/>
    <col min="8201" max="8201" width="20.54296875" style="31" customWidth="1"/>
    <col min="8202" max="8202" width="12.54296875" style="31" customWidth="1"/>
    <col min="8203" max="8203" width="14.54296875" style="31" customWidth="1"/>
    <col min="8204" max="8204" width="34.453125" style="31" customWidth="1"/>
    <col min="8205" max="8205" width="10.54296875" style="31" customWidth="1"/>
    <col min="8206" max="8206" width="9.1796875" style="31"/>
    <col min="8207" max="8207" width="26.453125" style="31" customWidth="1"/>
    <col min="8208" max="8208" width="27.453125" style="31" customWidth="1"/>
    <col min="8209" max="8448" width="9.1796875" style="31"/>
    <col min="8449" max="8449" width="17.453125" style="31" customWidth="1"/>
    <col min="8450" max="8450" width="13.81640625" style="31" customWidth="1"/>
    <col min="8451" max="8451" width="16.1796875" style="31" customWidth="1"/>
    <col min="8452" max="8452" width="13" style="31" customWidth="1"/>
    <col min="8453" max="8453" width="11.1796875" style="31" customWidth="1"/>
    <col min="8454" max="8454" width="11.81640625" style="31" customWidth="1"/>
    <col min="8455" max="8455" width="14.81640625" style="31" customWidth="1"/>
    <col min="8456" max="8456" width="11.81640625" style="31" customWidth="1"/>
    <col min="8457" max="8457" width="20.54296875" style="31" customWidth="1"/>
    <col min="8458" max="8458" width="12.54296875" style="31" customWidth="1"/>
    <col min="8459" max="8459" width="14.54296875" style="31" customWidth="1"/>
    <col min="8460" max="8460" width="34.453125" style="31" customWidth="1"/>
    <col min="8461" max="8461" width="10.54296875" style="31" customWidth="1"/>
    <col min="8462" max="8462" width="9.1796875" style="31"/>
    <col min="8463" max="8463" width="26.453125" style="31" customWidth="1"/>
    <col min="8464" max="8464" width="27.453125" style="31" customWidth="1"/>
    <col min="8465" max="8704" width="9.1796875" style="31"/>
    <col min="8705" max="8705" width="17.453125" style="31" customWidth="1"/>
    <col min="8706" max="8706" width="13.81640625" style="31" customWidth="1"/>
    <col min="8707" max="8707" width="16.1796875" style="31" customWidth="1"/>
    <col min="8708" max="8708" width="13" style="31" customWidth="1"/>
    <col min="8709" max="8709" width="11.1796875" style="31" customWidth="1"/>
    <col min="8710" max="8710" width="11.81640625" style="31" customWidth="1"/>
    <col min="8711" max="8711" width="14.81640625" style="31" customWidth="1"/>
    <col min="8712" max="8712" width="11.81640625" style="31" customWidth="1"/>
    <col min="8713" max="8713" width="20.54296875" style="31" customWidth="1"/>
    <col min="8714" max="8714" width="12.54296875" style="31" customWidth="1"/>
    <col min="8715" max="8715" width="14.54296875" style="31" customWidth="1"/>
    <col min="8716" max="8716" width="34.453125" style="31" customWidth="1"/>
    <col min="8717" max="8717" width="10.54296875" style="31" customWidth="1"/>
    <col min="8718" max="8718" width="9.1796875" style="31"/>
    <col min="8719" max="8719" width="26.453125" style="31" customWidth="1"/>
    <col min="8720" max="8720" width="27.453125" style="31" customWidth="1"/>
    <col min="8721" max="8960" width="9.1796875" style="31"/>
    <col min="8961" max="8961" width="17.453125" style="31" customWidth="1"/>
    <col min="8962" max="8962" width="13.81640625" style="31" customWidth="1"/>
    <col min="8963" max="8963" width="16.1796875" style="31" customWidth="1"/>
    <col min="8964" max="8964" width="13" style="31" customWidth="1"/>
    <col min="8965" max="8965" width="11.1796875" style="31" customWidth="1"/>
    <col min="8966" max="8966" width="11.81640625" style="31" customWidth="1"/>
    <col min="8967" max="8967" width="14.81640625" style="31" customWidth="1"/>
    <col min="8968" max="8968" width="11.81640625" style="31" customWidth="1"/>
    <col min="8969" max="8969" width="20.54296875" style="31" customWidth="1"/>
    <col min="8970" max="8970" width="12.54296875" style="31" customWidth="1"/>
    <col min="8971" max="8971" width="14.54296875" style="31" customWidth="1"/>
    <col min="8972" max="8972" width="34.453125" style="31" customWidth="1"/>
    <col min="8973" max="8973" width="10.54296875" style="31" customWidth="1"/>
    <col min="8974" max="8974" width="9.1796875" style="31"/>
    <col min="8975" max="8975" width="26.453125" style="31" customWidth="1"/>
    <col min="8976" max="8976" width="27.453125" style="31" customWidth="1"/>
    <col min="8977" max="9216" width="9.1796875" style="31"/>
    <col min="9217" max="9217" width="17.453125" style="31" customWidth="1"/>
    <col min="9218" max="9218" width="13.81640625" style="31" customWidth="1"/>
    <col min="9219" max="9219" width="16.1796875" style="31" customWidth="1"/>
    <col min="9220" max="9220" width="13" style="31" customWidth="1"/>
    <col min="9221" max="9221" width="11.1796875" style="31" customWidth="1"/>
    <col min="9222" max="9222" width="11.81640625" style="31" customWidth="1"/>
    <col min="9223" max="9223" width="14.81640625" style="31" customWidth="1"/>
    <col min="9224" max="9224" width="11.81640625" style="31" customWidth="1"/>
    <col min="9225" max="9225" width="20.54296875" style="31" customWidth="1"/>
    <col min="9226" max="9226" width="12.54296875" style="31" customWidth="1"/>
    <col min="9227" max="9227" width="14.54296875" style="31" customWidth="1"/>
    <col min="9228" max="9228" width="34.453125" style="31" customWidth="1"/>
    <col min="9229" max="9229" width="10.54296875" style="31" customWidth="1"/>
    <col min="9230" max="9230" width="9.1796875" style="31"/>
    <col min="9231" max="9231" width="26.453125" style="31" customWidth="1"/>
    <col min="9232" max="9232" width="27.453125" style="31" customWidth="1"/>
    <col min="9233" max="9472" width="9.1796875" style="31"/>
    <col min="9473" max="9473" width="17.453125" style="31" customWidth="1"/>
    <col min="9474" max="9474" width="13.81640625" style="31" customWidth="1"/>
    <col min="9475" max="9475" width="16.1796875" style="31" customWidth="1"/>
    <col min="9476" max="9476" width="13" style="31" customWidth="1"/>
    <col min="9477" max="9477" width="11.1796875" style="31" customWidth="1"/>
    <col min="9478" max="9478" width="11.81640625" style="31" customWidth="1"/>
    <col min="9479" max="9479" width="14.81640625" style="31" customWidth="1"/>
    <col min="9480" max="9480" width="11.81640625" style="31" customWidth="1"/>
    <col min="9481" max="9481" width="20.54296875" style="31" customWidth="1"/>
    <col min="9482" max="9482" width="12.54296875" style="31" customWidth="1"/>
    <col min="9483" max="9483" width="14.54296875" style="31" customWidth="1"/>
    <col min="9484" max="9484" width="34.453125" style="31" customWidth="1"/>
    <col min="9485" max="9485" width="10.54296875" style="31" customWidth="1"/>
    <col min="9486" max="9486" width="9.1796875" style="31"/>
    <col min="9487" max="9487" width="26.453125" style="31" customWidth="1"/>
    <col min="9488" max="9488" width="27.453125" style="31" customWidth="1"/>
    <col min="9489" max="9728" width="9.1796875" style="31"/>
    <col min="9729" max="9729" width="17.453125" style="31" customWidth="1"/>
    <col min="9730" max="9730" width="13.81640625" style="31" customWidth="1"/>
    <col min="9731" max="9731" width="16.1796875" style="31" customWidth="1"/>
    <col min="9732" max="9732" width="13" style="31" customWidth="1"/>
    <col min="9733" max="9733" width="11.1796875" style="31" customWidth="1"/>
    <col min="9734" max="9734" width="11.81640625" style="31" customWidth="1"/>
    <col min="9735" max="9735" width="14.81640625" style="31" customWidth="1"/>
    <col min="9736" max="9736" width="11.81640625" style="31" customWidth="1"/>
    <col min="9737" max="9737" width="20.54296875" style="31" customWidth="1"/>
    <col min="9738" max="9738" width="12.54296875" style="31" customWidth="1"/>
    <col min="9739" max="9739" width="14.54296875" style="31" customWidth="1"/>
    <col min="9740" max="9740" width="34.453125" style="31" customWidth="1"/>
    <col min="9741" max="9741" width="10.54296875" style="31" customWidth="1"/>
    <col min="9742" max="9742" width="9.1796875" style="31"/>
    <col min="9743" max="9743" width="26.453125" style="31" customWidth="1"/>
    <col min="9744" max="9744" width="27.453125" style="31" customWidth="1"/>
    <col min="9745" max="9984" width="9.1796875" style="31"/>
    <col min="9985" max="9985" width="17.453125" style="31" customWidth="1"/>
    <col min="9986" max="9986" width="13.81640625" style="31" customWidth="1"/>
    <col min="9987" max="9987" width="16.1796875" style="31" customWidth="1"/>
    <col min="9988" max="9988" width="13" style="31" customWidth="1"/>
    <col min="9989" max="9989" width="11.1796875" style="31" customWidth="1"/>
    <col min="9990" max="9990" width="11.81640625" style="31" customWidth="1"/>
    <col min="9991" max="9991" width="14.81640625" style="31" customWidth="1"/>
    <col min="9992" max="9992" width="11.81640625" style="31" customWidth="1"/>
    <col min="9993" max="9993" width="20.54296875" style="31" customWidth="1"/>
    <col min="9994" max="9994" width="12.54296875" style="31" customWidth="1"/>
    <col min="9995" max="9995" width="14.54296875" style="31" customWidth="1"/>
    <col min="9996" max="9996" width="34.453125" style="31" customWidth="1"/>
    <col min="9997" max="9997" width="10.54296875" style="31" customWidth="1"/>
    <col min="9998" max="9998" width="9.1796875" style="31"/>
    <col min="9999" max="9999" width="26.453125" style="31" customWidth="1"/>
    <col min="10000" max="10000" width="27.453125" style="31" customWidth="1"/>
    <col min="10001" max="10240" width="9.1796875" style="31"/>
    <col min="10241" max="10241" width="17.453125" style="31" customWidth="1"/>
    <col min="10242" max="10242" width="13.81640625" style="31" customWidth="1"/>
    <col min="10243" max="10243" width="16.1796875" style="31" customWidth="1"/>
    <col min="10244" max="10244" width="13" style="31" customWidth="1"/>
    <col min="10245" max="10245" width="11.1796875" style="31" customWidth="1"/>
    <col min="10246" max="10246" width="11.81640625" style="31" customWidth="1"/>
    <col min="10247" max="10247" width="14.81640625" style="31" customWidth="1"/>
    <col min="10248" max="10248" width="11.81640625" style="31" customWidth="1"/>
    <col min="10249" max="10249" width="20.54296875" style="31" customWidth="1"/>
    <col min="10250" max="10250" width="12.54296875" style="31" customWidth="1"/>
    <col min="10251" max="10251" width="14.54296875" style="31" customWidth="1"/>
    <col min="10252" max="10252" width="34.453125" style="31" customWidth="1"/>
    <col min="10253" max="10253" width="10.54296875" style="31" customWidth="1"/>
    <col min="10254" max="10254" width="9.1796875" style="31"/>
    <col min="10255" max="10255" width="26.453125" style="31" customWidth="1"/>
    <col min="10256" max="10256" width="27.453125" style="31" customWidth="1"/>
    <col min="10257" max="10496" width="9.1796875" style="31"/>
    <col min="10497" max="10497" width="17.453125" style="31" customWidth="1"/>
    <col min="10498" max="10498" width="13.81640625" style="31" customWidth="1"/>
    <col min="10499" max="10499" width="16.1796875" style="31" customWidth="1"/>
    <col min="10500" max="10500" width="13" style="31" customWidth="1"/>
    <col min="10501" max="10501" width="11.1796875" style="31" customWidth="1"/>
    <col min="10502" max="10502" width="11.81640625" style="31" customWidth="1"/>
    <col min="10503" max="10503" width="14.81640625" style="31" customWidth="1"/>
    <col min="10504" max="10504" width="11.81640625" style="31" customWidth="1"/>
    <col min="10505" max="10505" width="20.54296875" style="31" customWidth="1"/>
    <col min="10506" max="10506" width="12.54296875" style="31" customWidth="1"/>
    <col min="10507" max="10507" width="14.54296875" style="31" customWidth="1"/>
    <col min="10508" max="10508" width="34.453125" style="31" customWidth="1"/>
    <col min="10509" max="10509" width="10.54296875" style="31" customWidth="1"/>
    <col min="10510" max="10510" width="9.1796875" style="31"/>
    <col min="10511" max="10511" width="26.453125" style="31" customWidth="1"/>
    <col min="10512" max="10512" width="27.453125" style="31" customWidth="1"/>
    <col min="10513" max="10752" width="9.1796875" style="31"/>
    <col min="10753" max="10753" width="17.453125" style="31" customWidth="1"/>
    <col min="10754" max="10754" width="13.81640625" style="31" customWidth="1"/>
    <col min="10755" max="10755" width="16.1796875" style="31" customWidth="1"/>
    <col min="10756" max="10756" width="13" style="31" customWidth="1"/>
    <col min="10757" max="10757" width="11.1796875" style="31" customWidth="1"/>
    <col min="10758" max="10758" width="11.81640625" style="31" customWidth="1"/>
    <col min="10759" max="10759" width="14.81640625" style="31" customWidth="1"/>
    <col min="10760" max="10760" width="11.81640625" style="31" customWidth="1"/>
    <col min="10761" max="10761" width="20.54296875" style="31" customWidth="1"/>
    <col min="10762" max="10762" width="12.54296875" style="31" customWidth="1"/>
    <col min="10763" max="10763" width="14.54296875" style="31" customWidth="1"/>
    <col min="10764" max="10764" width="34.453125" style="31" customWidth="1"/>
    <col min="10765" max="10765" width="10.54296875" style="31" customWidth="1"/>
    <col min="10766" max="10766" width="9.1796875" style="31"/>
    <col min="10767" max="10767" width="26.453125" style="31" customWidth="1"/>
    <col min="10768" max="10768" width="27.453125" style="31" customWidth="1"/>
    <col min="10769" max="11008" width="9.1796875" style="31"/>
    <col min="11009" max="11009" width="17.453125" style="31" customWidth="1"/>
    <col min="11010" max="11010" width="13.81640625" style="31" customWidth="1"/>
    <col min="11011" max="11011" width="16.1796875" style="31" customWidth="1"/>
    <col min="11012" max="11012" width="13" style="31" customWidth="1"/>
    <col min="11013" max="11013" width="11.1796875" style="31" customWidth="1"/>
    <col min="11014" max="11014" width="11.81640625" style="31" customWidth="1"/>
    <col min="11015" max="11015" width="14.81640625" style="31" customWidth="1"/>
    <col min="11016" max="11016" width="11.81640625" style="31" customWidth="1"/>
    <col min="11017" max="11017" width="20.54296875" style="31" customWidth="1"/>
    <col min="11018" max="11018" width="12.54296875" style="31" customWidth="1"/>
    <col min="11019" max="11019" width="14.54296875" style="31" customWidth="1"/>
    <col min="11020" max="11020" width="34.453125" style="31" customWidth="1"/>
    <col min="11021" max="11021" width="10.54296875" style="31" customWidth="1"/>
    <col min="11022" max="11022" width="9.1796875" style="31"/>
    <col min="11023" max="11023" width="26.453125" style="31" customWidth="1"/>
    <col min="11024" max="11024" width="27.453125" style="31" customWidth="1"/>
    <col min="11025" max="11264" width="9.1796875" style="31"/>
    <col min="11265" max="11265" width="17.453125" style="31" customWidth="1"/>
    <col min="11266" max="11266" width="13.81640625" style="31" customWidth="1"/>
    <col min="11267" max="11267" width="16.1796875" style="31" customWidth="1"/>
    <col min="11268" max="11268" width="13" style="31" customWidth="1"/>
    <col min="11269" max="11269" width="11.1796875" style="31" customWidth="1"/>
    <col min="11270" max="11270" width="11.81640625" style="31" customWidth="1"/>
    <col min="11271" max="11271" width="14.81640625" style="31" customWidth="1"/>
    <col min="11272" max="11272" width="11.81640625" style="31" customWidth="1"/>
    <col min="11273" max="11273" width="20.54296875" style="31" customWidth="1"/>
    <col min="11274" max="11274" width="12.54296875" style="31" customWidth="1"/>
    <col min="11275" max="11275" width="14.54296875" style="31" customWidth="1"/>
    <col min="11276" max="11276" width="34.453125" style="31" customWidth="1"/>
    <col min="11277" max="11277" width="10.54296875" style="31" customWidth="1"/>
    <col min="11278" max="11278" width="9.1796875" style="31"/>
    <col min="11279" max="11279" width="26.453125" style="31" customWidth="1"/>
    <col min="11280" max="11280" width="27.453125" style="31" customWidth="1"/>
    <col min="11281" max="11520" width="9.1796875" style="31"/>
    <col min="11521" max="11521" width="17.453125" style="31" customWidth="1"/>
    <col min="11522" max="11522" width="13.81640625" style="31" customWidth="1"/>
    <col min="11523" max="11523" width="16.1796875" style="31" customWidth="1"/>
    <col min="11524" max="11524" width="13" style="31" customWidth="1"/>
    <col min="11525" max="11525" width="11.1796875" style="31" customWidth="1"/>
    <col min="11526" max="11526" width="11.81640625" style="31" customWidth="1"/>
    <col min="11527" max="11527" width="14.81640625" style="31" customWidth="1"/>
    <col min="11528" max="11528" width="11.81640625" style="31" customWidth="1"/>
    <col min="11529" max="11529" width="20.54296875" style="31" customWidth="1"/>
    <col min="11530" max="11530" width="12.54296875" style="31" customWidth="1"/>
    <col min="11531" max="11531" width="14.54296875" style="31" customWidth="1"/>
    <col min="11532" max="11532" width="34.453125" style="31" customWidth="1"/>
    <col min="11533" max="11533" width="10.54296875" style="31" customWidth="1"/>
    <col min="11534" max="11534" width="9.1796875" style="31"/>
    <col min="11535" max="11535" width="26.453125" style="31" customWidth="1"/>
    <col min="11536" max="11536" width="27.453125" style="31" customWidth="1"/>
    <col min="11537" max="11776" width="9.1796875" style="31"/>
    <col min="11777" max="11777" width="17.453125" style="31" customWidth="1"/>
    <col min="11778" max="11778" width="13.81640625" style="31" customWidth="1"/>
    <col min="11779" max="11779" width="16.1796875" style="31" customWidth="1"/>
    <col min="11780" max="11780" width="13" style="31" customWidth="1"/>
    <col min="11781" max="11781" width="11.1796875" style="31" customWidth="1"/>
    <col min="11782" max="11782" width="11.81640625" style="31" customWidth="1"/>
    <col min="11783" max="11783" width="14.81640625" style="31" customWidth="1"/>
    <col min="11784" max="11784" width="11.81640625" style="31" customWidth="1"/>
    <col min="11785" max="11785" width="20.54296875" style="31" customWidth="1"/>
    <col min="11786" max="11786" width="12.54296875" style="31" customWidth="1"/>
    <col min="11787" max="11787" width="14.54296875" style="31" customWidth="1"/>
    <col min="11788" max="11788" width="34.453125" style="31" customWidth="1"/>
    <col min="11789" max="11789" width="10.54296875" style="31" customWidth="1"/>
    <col min="11790" max="11790" width="9.1796875" style="31"/>
    <col min="11791" max="11791" width="26.453125" style="31" customWidth="1"/>
    <col min="11792" max="11792" width="27.453125" style="31" customWidth="1"/>
    <col min="11793" max="12032" width="9.1796875" style="31"/>
    <col min="12033" max="12033" width="17.453125" style="31" customWidth="1"/>
    <col min="12034" max="12034" width="13.81640625" style="31" customWidth="1"/>
    <col min="12035" max="12035" width="16.1796875" style="31" customWidth="1"/>
    <col min="12036" max="12036" width="13" style="31" customWidth="1"/>
    <col min="12037" max="12037" width="11.1796875" style="31" customWidth="1"/>
    <col min="12038" max="12038" width="11.81640625" style="31" customWidth="1"/>
    <col min="12039" max="12039" width="14.81640625" style="31" customWidth="1"/>
    <col min="12040" max="12040" width="11.81640625" style="31" customWidth="1"/>
    <col min="12041" max="12041" width="20.54296875" style="31" customWidth="1"/>
    <col min="12042" max="12042" width="12.54296875" style="31" customWidth="1"/>
    <col min="12043" max="12043" width="14.54296875" style="31" customWidth="1"/>
    <col min="12044" max="12044" width="34.453125" style="31" customWidth="1"/>
    <col min="12045" max="12045" width="10.54296875" style="31" customWidth="1"/>
    <col min="12046" max="12046" width="9.1796875" style="31"/>
    <col min="12047" max="12047" width="26.453125" style="31" customWidth="1"/>
    <col min="12048" max="12048" width="27.453125" style="31" customWidth="1"/>
    <col min="12049" max="12288" width="9.1796875" style="31"/>
    <col min="12289" max="12289" width="17.453125" style="31" customWidth="1"/>
    <col min="12290" max="12290" width="13.81640625" style="31" customWidth="1"/>
    <col min="12291" max="12291" width="16.1796875" style="31" customWidth="1"/>
    <col min="12292" max="12292" width="13" style="31" customWidth="1"/>
    <col min="12293" max="12293" width="11.1796875" style="31" customWidth="1"/>
    <col min="12294" max="12294" width="11.81640625" style="31" customWidth="1"/>
    <col min="12295" max="12295" width="14.81640625" style="31" customWidth="1"/>
    <col min="12296" max="12296" width="11.81640625" style="31" customWidth="1"/>
    <col min="12297" max="12297" width="20.54296875" style="31" customWidth="1"/>
    <col min="12298" max="12298" width="12.54296875" style="31" customWidth="1"/>
    <col min="12299" max="12299" width="14.54296875" style="31" customWidth="1"/>
    <col min="12300" max="12300" width="34.453125" style="31" customWidth="1"/>
    <col min="12301" max="12301" width="10.54296875" style="31" customWidth="1"/>
    <col min="12302" max="12302" width="9.1796875" style="31"/>
    <col min="12303" max="12303" width="26.453125" style="31" customWidth="1"/>
    <col min="12304" max="12304" width="27.453125" style="31" customWidth="1"/>
    <col min="12305" max="12544" width="9.1796875" style="31"/>
    <col min="12545" max="12545" width="17.453125" style="31" customWidth="1"/>
    <col min="12546" max="12546" width="13.81640625" style="31" customWidth="1"/>
    <col min="12547" max="12547" width="16.1796875" style="31" customWidth="1"/>
    <col min="12548" max="12548" width="13" style="31" customWidth="1"/>
    <col min="12549" max="12549" width="11.1796875" style="31" customWidth="1"/>
    <col min="12550" max="12550" width="11.81640625" style="31" customWidth="1"/>
    <col min="12551" max="12551" width="14.81640625" style="31" customWidth="1"/>
    <col min="12552" max="12552" width="11.81640625" style="31" customWidth="1"/>
    <col min="12553" max="12553" width="20.54296875" style="31" customWidth="1"/>
    <col min="12554" max="12554" width="12.54296875" style="31" customWidth="1"/>
    <col min="12555" max="12555" width="14.54296875" style="31" customWidth="1"/>
    <col min="12556" max="12556" width="34.453125" style="31" customWidth="1"/>
    <col min="12557" max="12557" width="10.54296875" style="31" customWidth="1"/>
    <col min="12558" max="12558" width="9.1796875" style="31"/>
    <col min="12559" max="12559" width="26.453125" style="31" customWidth="1"/>
    <col min="12560" max="12560" width="27.453125" style="31" customWidth="1"/>
    <col min="12561" max="12800" width="9.1796875" style="31"/>
    <col min="12801" max="12801" width="17.453125" style="31" customWidth="1"/>
    <col min="12802" max="12802" width="13.81640625" style="31" customWidth="1"/>
    <col min="12803" max="12803" width="16.1796875" style="31" customWidth="1"/>
    <col min="12804" max="12804" width="13" style="31" customWidth="1"/>
    <col min="12805" max="12805" width="11.1796875" style="31" customWidth="1"/>
    <col min="12806" max="12806" width="11.81640625" style="31" customWidth="1"/>
    <col min="12807" max="12807" width="14.81640625" style="31" customWidth="1"/>
    <col min="12808" max="12808" width="11.81640625" style="31" customWidth="1"/>
    <col min="12809" max="12809" width="20.54296875" style="31" customWidth="1"/>
    <col min="12810" max="12810" width="12.54296875" style="31" customWidth="1"/>
    <col min="12811" max="12811" width="14.54296875" style="31" customWidth="1"/>
    <col min="12812" max="12812" width="34.453125" style="31" customWidth="1"/>
    <col min="12813" max="12813" width="10.54296875" style="31" customWidth="1"/>
    <col min="12814" max="12814" width="9.1796875" style="31"/>
    <col min="12815" max="12815" width="26.453125" style="31" customWidth="1"/>
    <col min="12816" max="12816" width="27.453125" style="31" customWidth="1"/>
    <col min="12817" max="13056" width="9.1796875" style="31"/>
    <col min="13057" max="13057" width="17.453125" style="31" customWidth="1"/>
    <col min="13058" max="13058" width="13.81640625" style="31" customWidth="1"/>
    <col min="13059" max="13059" width="16.1796875" style="31" customWidth="1"/>
    <col min="13060" max="13060" width="13" style="31" customWidth="1"/>
    <col min="13061" max="13061" width="11.1796875" style="31" customWidth="1"/>
    <col min="13062" max="13062" width="11.81640625" style="31" customWidth="1"/>
    <col min="13063" max="13063" width="14.81640625" style="31" customWidth="1"/>
    <col min="13064" max="13064" width="11.81640625" style="31" customWidth="1"/>
    <col min="13065" max="13065" width="20.54296875" style="31" customWidth="1"/>
    <col min="13066" max="13066" width="12.54296875" style="31" customWidth="1"/>
    <col min="13067" max="13067" width="14.54296875" style="31" customWidth="1"/>
    <col min="13068" max="13068" width="34.453125" style="31" customWidth="1"/>
    <col min="13069" max="13069" width="10.54296875" style="31" customWidth="1"/>
    <col min="13070" max="13070" width="9.1796875" style="31"/>
    <col min="13071" max="13071" width="26.453125" style="31" customWidth="1"/>
    <col min="13072" max="13072" width="27.453125" style="31" customWidth="1"/>
    <col min="13073" max="13312" width="9.1796875" style="31"/>
    <col min="13313" max="13313" width="17.453125" style="31" customWidth="1"/>
    <col min="13314" max="13314" width="13.81640625" style="31" customWidth="1"/>
    <col min="13315" max="13315" width="16.1796875" style="31" customWidth="1"/>
    <col min="13316" max="13316" width="13" style="31" customWidth="1"/>
    <col min="13317" max="13317" width="11.1796875" style="31" customWidth="1"/>
    <col min="13318" max="13318" width="11.81640625" style="31" customWidth="1"/>
    <col min="13319" max="13319" width="14.81640625" style="31" customWidth="1"/>
    <col min="13320" max="13320" width="11.81640625" style="31" customWidth="1"/>
    <col min="13321" max="13321" width="20.54296875" style="31" customWidth="1"/>
    <col min="13322" max="13322" width="12.54296875" style="31" customWidth="1"/>
    <col min="13323" max="13323" width="14.54296875" style="31" customWidth="1"/>
    <col min="13324" max="13324" width="34.453125" style="31" customWidth="1"/>
    <col min="13325" max="13325" width="10.54296875" style="31" customWidth="1"/>
    <col min="13326" max="13326" width="9.1796875" style="31"/>
    <col min="13327" max="13327" width="26.453125" style="31" customWidth="1"/>
    <col min="13328" max="13328" width="27.453125" style="31" customWidth="1"/>
    <col min="13329" max="13568" width="9.1796875" style="31"/>
    <col min="13569" max="13569" width="17.453125" style="31" customWidth="1"/>
    <col min="13570" max="13570" width="13.81640625" style="31" customWidth="1"/>
    <col min="13571" max="13571" width="16.1796875" style="31" customWidth="1"/>
    <col min="13572" max="13572" width="13" style="31" customWidth="1"/>
    <col min="13573" max="13573" width="11.1796875" style="31" customWidth="1"/>
    <col min="13574" max="13574" width="11.81640625" style="31" customWidth="1"/>
    <col min="13575" max="13575" width="14.81640625" style="31" customWidth="1"/>
    <col min="13576" max="13576" width="11.81640625" style="31" customWidth="1"/>
    <col min="13577" max="13577" width="20.54296875" style="31" customWidth="1"/>
    <col min="13578" max="13578" width="12.54296875" style="31" customWidth="1"/>
    <col min="13579" max="13579" width="14.54296875" style="31" customWidth="1"/>
    <col min="13580" max="13580" width="34.453125" style="31" customWidth="1"/>
    <col min="13581" max="13581" width="10.54296875" style="31" customWidth="1"/>
    <col min="13582" max="13582" width="9.1796875" style="31"/>
    <col min="13583" max="13583" width="26.453125" style="31" customWidth="1"/>
    <col min="13584" max="13584" width="27.453125" style="31" customWidth="1"/>
    <col min="13585" max="13824" width="9.1796875" style="31"/>
    <col min="13825" max="13825" width="17.453125" style="31" customWidth="1"/>
    <col min="13826" max="13826" width="13.81640625" style="31" customWidth="1"/>
    <col min="13827" max="13827" width="16.1796875" style="31" customWidth="1"/>
    <col min="13828" max="13828" width="13" style="31" customWidth="1"/>
    <col min="13829" max="13829" width="11.1796875" style="31" customWidth="1"/>
    <col min="13830" max="13830" width="11.81640625" style="31" customWidth="1"/>
    <col min="13831" max="13831" width="14.81640625" style="31" customWidth="1"/>
    <col min="13832" max="13832" width="11.81640625" style="31" customWidth="1"/>
    <col min="13833" max="13833" width="20.54296875" style="31" customWidth="1"/>
    <col min="13834" max="13834" width="12.54296875" style="31" customWidth="1"/>
    <col min="13835" max="13835" width="14.54296875" style="31" customWidth="1"/>
    <col min="13836" max="13836" width="34.453125" style="31" customWidth="1"/>
    <col min="13837" max="13837" width="10.54296875" style="31" customWidth="1"/>
    <col min="13838" max="13838" width="9.1796875" style="31"/>
    <col min="13839" max="13839" width="26.453125" style="31" customWidth="1"/>
    <col min="13840" max="13840" width="27.453125" style="31" customWidth="1"/>
    <col min="13841" max="14080" width="9.1796875" style="31"/>
    <col min="14081" max="14081" width="17.453125" style="31" customWidth="1"/>
    <col min="14082" max="14082" width="13.81640625" style="31" customWidth="1"/>
    <col min="14083" max="14083" width="16.1796875" style="31" customWidth="1"/>
    <col min="14084" max="14084" width="13" style="31" customWidth="1"/>
    <col min="14085" max="14085" width="11.1796875" style="31" customWidth="1"/>
    <col min="14086" max="14086" width="11.81640625" style="31" customWidth="1"/>
    <col min="14087" max="14087" width="14.81640625" style="31" customWidth="1"/>
    <col min="14088" max="14088" width="11.81640625" style="31" customWidth="1"/>
    <col min="14089" max="14089" width="20.54296875" style="31" customWidth="1"/>
    <col min="14090" max="14090" width="12.54296875" style="31" customWidth="1"/>
    <col min="14091" max="14091" width="14.54296875" style="31" customWidth="1"/>
    <col min="14092" max="14092" width="34.453125" style="31" customWidth="1"/>
    <col min="14093" max="14093" width="10.54296875" style="31" customWidth="1"/>
    <col min="14094" max="14094" width="9.1796875" style="31"/>
    <col min="14095" max="14095" width="26.453125" style="31" customWidth="1"/>
    <col min="14096" max="14096" width="27.453125" style="31" customWidth="1"/>
    <col min="14097" max="14336" width="9.1796875" style="31"/>
    <col min="14337" max="14337" width="17.453125" style="31" customWidth="1"/>
    <col min="14338" max="14338" width="13.81640625" style="31" customWidth="1"/>
    <col min="14339" max="14339" width="16.1796875" style="31" customWidth="1"/>
    <col min="14340" max="14340" width="13" style="31" customWidth="1"/>
    <col min="14341" max="14341" width="11.1796875" style="31" customWidth="1"/>
    <col min="14342" max="14342" width="11.81640625" style="31" customWidth="1"/>
    <col min="14343" max="14343" width="14.81640625" style="31" customWidth="1"/>
    <col min="14344" max="14344" width="11.81640625" style="31" customWidth="1"/>
    <col min="14345" max="14345" width="20.54296875" style="31" customWidth="1"/>
    <col min="14346" max="14346" width="12.54296875" style="31" customWidth="1"/>
    <col min="14347" max="14347" width="14.54296875" style="31" customWidth="1"/>
    <col min="14348" max="14348" width="34.453125" style="31" customWidth="1"/>
    <col min="14349" max="14349" width="10.54296875" style="31" customWidth="1"/>
    <col min="14350" max="14350" width="9.1796875" style="31"/>
    <col min="14351" max="14351" width="26.453125" style="31" customWidth="1"/>
    <col min="14352" max="14352" width="27.453125" style="31" customWidth="1"/>
    <col min="14353" max="14592" width="9.1796875" style="31"/>
    <col min="14593" max="14593" width="17.453125" style="31" customWidth="1"/>
    <col min="14594" max="14594" width="13.81640625" style="31" customWidth="1"/>
    <col min="14595" max="14595" width="16.1796875" style="31" customWidth="1"/>
    <col min="14596" max="14596" width="13" style="31" customWidth="1"/>
    <col min="14597" max="14597" width="11.1796875" style="31" customWidth="1"/>
    <col min="14598" max="14598" width="11.81640625" style="31" customWidth="1"/>
    <col min="14599" max="14599" width="14.81640625" style="31" customWidth="1"/>
    <col min="14600" max="14600" width="11.81640625" style="31" customWidth="1"/>
    <col min="14601" max="14601" width="20.54296875" style="31" customWidth="1"/>
    <col min="14602" max="14602" width="12.54296875" style="31" customWidth="1"/>
    <col min="14603" max="14603" width="14.54296875" style="31" customWidth="1"/>
    <col min="14604" max="14604" width="34.453125" style="31" customWidth="1"/>
    <col min="14605" max="14605" width="10.54296875" style="31" customWidth="1"/>
    <col min="14606" max="14606" width="9.1796875" style="31"/>
    <col min="14607" max="14607" width="26.453125" style="31" customWidth="1"/>
    <col min="14608" max="14608" width="27.453125" style="31" customWidth="1"/>
    <col min="14609" max="14848" width="9.1796875" style="31"/>
    <col min="14849" max="14849" width="17.453125" style="31" customWidth="1"/>
    <col min="14850" max="14850" width="13.81640625" style="31" customWidth="1"/>
    <col min="14851" max="14851" width="16.1796875" style="31" customWidth="1"/>
    <col min="14852" max="14852" width="13" style="31" customWidth="1"/>
    <col min="14853" max="14853" width="11.1796875" style="31" customWidth="1"/>
    <col min="14854" max="14854" width="11.81640625" style="31" customWidth="1"/>
    <col min="14855" max="14855" width="14.81640625" style="31" customWidth="1"/>
    <col min="14856" max="14856" width="11.81640625" style="31" customWidth="1"/>
    <col min="14857" max="14857" width="20.54296875" style="31" customWidth="1"/>
    <col min="14858" max="14858" width="12.54296875" style="31" customWidth="1"/>
    <col min="14859" max="14859" width="14.54296875" style="31" customWidth="1"/>
    <col min="14860" max="14860" width="34.453125" style="31" customWidth="1"/>
    <col min="14861" max="14861" width="10.54296875" style="31" customWidth="1"/>
    <col min="14862" max="14862" width="9.1796875" style="31"/>
    <col min="14863" max="14863" width="26.453125" style="31" customWidth="1"/>
    <col min="14864" max="14864" width="27.453125" style="31" customWidth="1"/>
    <col min="14865" max="15104" width="9.1796875" style="31"/>
    <col min="15105" max="15105" width="17.453125" style="31" customWidth="1"/>
    <col min="15106" max="15106" width="13.81640625" style="31" customWidth="1"/>
    <col min="15107" max="15107" width="16.1796875" style="31" customWidth="1"/>
    <col min="15108" max="15108" width="13" style="31" customWidth="1"/>
    <col min="15109" max="15109" width="11.1796875" style="31" customWidth="1"/>
    <col min="15110" max="15110" width="11.81640625" style="31" customWidth="1"/>
    <col min="15111" max="15111" width="14.81640625" style="31" customWidth="1"/>
    <col min="15112" max="15112" width="11.81640625" style="31" customWidth="1"/>
    <col min="15113" max="15113" width="20.54296875" style="31" customWidth="1"/>
    <col min="15114" max="15114" width="12.54296875" style="31" customWidth="1"/>
    <col min="15115" max="15115" width="14.54296875" style="31" customWidth="1"/>
    <col min="15116" max="15116" width="34.453125" style="31" customWidth="1"/>
    <col min="15117" max="15117" width="10.54296875" style="31" customWidth="1"/>
    <col min="15118" max="15118" width="9.1796875" style="31"/>
    <col min="15119" max="15119" width="26.453125" style="31" customWidth="1"/>
    <col min="15120" max="15120" width="27.453125" style="31" customWidth="1"/>
    <col min="15121" max="15360" width="9.1796875" style="31"/>
    <col min="15361" max="15361" width="17.453125" style="31" customWidth="1"/>
    <col min="15362" max="15362" width="13.81640625" style="31" customWidth="1"/>
    <col min="15363" max="15363" width="16.1796875" style="31" customWidth="1"/>
    <col min="15364" max="15364" width="13" style="31" customWidth="1"/>
    <col min="15365" max="15365" width="11.1796875" style="31" customWidth="1"/>
    <col min="15366" max="15366" width="11.81640625" style="31" customWidth="1"/>
    <col min="15367" max="15367" width="14.81640625" style="31" customWidth="1"/>
    <col min="15368" max="15368" width="11.81640625" style="31" customWidth="1"/>
    <col min="15369" max="15369" width="20.54296875" style="31" customWidth="1"/>
    <col min="15370" max="15370" width="12.54296875" style="31" customWidth="1"/>
    <col min="15371" max="15371" width="14.54296875" style="31" customWidth="1"/>
    <col min="15372" max="15372" width="34.453125" style="31" customWidth="1"/>
    <col min="15373" max="15373" width="10.54296875" style="31" customWidth="1"/>
    <col min="15374" max="15374" width="9.1796875" style="31"/>
    <col min="15375" max="15375" width="26.453125" style="31" customWidth="1"/>
    <col min="15376" max="15376" width="27.453125" style="31" customWidth="1"/>
    <col min="15377" max="15616" width="9.1796875" style="31"/>
    <col min="15617" max="15617" width="17.453125" style="31" customWidth="1"/>
    <col min="15618" max="15618" width="13.81640625" style="31" customWidth="1"/>
    <col min="15619" max="15619" width="16.1796875" style="31" customWidth="1"/>
    <col min="15620" max="15620" width="13" style="31" customWidth="1"/>
    <col min="15621" max="15621" width="11.1796875" style="31" customWidth="1"/>
    <col min="15622" max="15622" width="11.81640625" style="31" customWidth="1"/>
    <col min="15623" max="15623" width="14.81640625" style="31" customWidth="1"/>
    <col min="15624" max="15624" width="11.81640625" style="31" customWidth="1"/>
    <col min="15625" max="15625" width="20.54296875" style="31" customWidth="1"/>
    <col min="15626" max="15626" width="12.54296875" style="31" customWidth="1"/>
    <col min="15627" max="15627" width="14.54296875" style="31" customWidth="1"/>
    <col min="15628" max="15628" width="34.453125" style="31" customWidth="1"/>
    <col min="15629" max="15629" width="10.54296875" style="31" customWidth="1"/>
    <col min="15630" max="15630" width="9.1796875" style="31"/>
    <col min="15631" max="15631" width="26.453125" style="31" customWidth="1"/>
    <col min="15632" max="15632" width="27.453125" style="31" customWidth="1"/>
    <col min="15633" max="15872" width="9.1796875" style="31"/>
    <col min="15873" max="15873" width="17.453125" style="31" customWidth="1"/>
    <col min="15874" max="15874" width="13.81640625" style="31" customWidth="1"/>
    <col min="15875" max="15875" width="16.1796875" style="31" customWidth="1"/>
    <col min="15876" max="15876" width="13" style="31" customWidth="1"/>
    <col min="15877" max="15877" width="11.1796875" style="31" customWidth="1"/>
    <col min="15878" max="15878" width="11.81640625" style="31" customWidth="1"/>
    <col min="15879" max="15879" width="14.81640625" style="31" customWidth="1"/>
    <col min="15880" max="15880" width="11.81640625" style="31" customWidth="1"/>
    <col min="15881" max="15881" width="20.54296875" style="31" customWidth="1"/>
    <col min="15882" max="15882" width="12.54296875" style="31" customWidth="1"/>
    <col min="15883" max="15883" width="14.54296875" style="31" customWidth="1"/>
    <col min="15884" max="15884" width="34.453125" style="31" customWidth="1"/>
    <col min="15885" max="15885" width="10.54296875" style="31" customWidth="1"/>
    <col min="15886" max="15886" width="9.1796875" style="31"/>
    <col min="15887" max="15887" width="26.453125" style="31" customWidth="1"/>
    <col min="15888" max="15888" width="27.453125" style="31" customWidth="1"/>
    <col min="15889" max="16128" width="9.1796875" style="31"/>
    <col min="16129" max="16129" width="17.453125" style="31" customWidth="1"/>
    <col min="16130" max="16130" width="13.81640625" style="31" customWidth="1"/>
    <col min="16131" max="16131" width="16.1796875" style="31" customWidth="1"/>
    <col min="16132" max="16132" width="13" style="31" customWidth="1"/>
    <col min="16133" max="16133" width="11.1796875" style="31" customWidth="1"/>
    <col min="16134" max="16134" width="11.81640625" style="31" customWidth="1"/>
    <col min="16135" max="16135" width="14.81640625" style="31" customWidth="1"/>
    <col min="16136" max="16136" width="11.81640625" style="31" customWidth="1"/>
    <col min="16137" max="16137" width="20.54296875" style="31" customWidth="1"/>
    <col min="16138" max="16138" width="12.54296875" style="31" customWidth="1"/>
    <col min="16139" max="16139" width="14.54296875" style="31" customWidth="1"/>
    <col min="16140" max="16140" width="34.453125" style="31" customWidth="1"/>
    <col min="16141" max="16141" width="10.54296875" style="31" customWidth="1"/>
    <col min="16142" max="16142" width="9.1796875" style="31"/>
    <col min="16143" max="16143" width="26.453125" style="31" customWidth="1"/>
    <col min="16144" max="16144" width="27.453125" style="31" customWidth="1"/>
    <col min="16145" max="16384" width="9.1796875" style="31"/>
  </cols>
  <sheetData>
    <row r="1" spans="1:16" ht="30.65" customHeight="1" thickTop="1" thickBot="1">
      <c r="A1" s="516" t="s">
        <v>266</v>
      </c>
      <c r="B1" s="40" t="s">
        <v>200</v>
      </c>
      <c r="C1" s="41" t="s">
        <v>410</v>
      </c>
      <c r="D1" s="42" t="s">
        <v>201</v>
      </c>
      <c r="E1" s="43">
        <v>45962</v>
      </c>
      <c r="F1" s="40"/>
      <c r="G1" s="39"/>
      <c r="H1" s="40" t="s">
        <v>202</v>
      </c>
      <c r="I1" s="44" t="s">
        <v>203</v>
      </c>
    </row>
    <row r="2" spans="1:16" ht="30.65" customHeight="1" thickTop="1" thickBot="1">
      <c r="A2" s="517"/>
      <c r="B2" s="40" t="s">
        <v>204</v>
      </c>
      <c r="C2" s="519" t="s">
        <v>409</v>
      </c>
      <c r="D2" s="520"/>
      <c r="E2" s="521"/>
      <c r="F2" s="40" t="s">
        <v>249</v>
      </c>
      <c r="G2" s="44" t="s">
        <v>411</v>
      </c>
      <c r="H2" s="40" t="s">
        <v>205</v>
      </c>
      <c r="I2" s="44" t="s">
        <v>413</v>
      </c>
      <c r="M2" s="32"/>
      <c r="N2" s="32"/>
      <c r="O2" s="32"/>
    </row>
    <row r="3" spans="1:16" ht="32.15" customHeight="1" thickTop="1" thickBot="1">
      <c r="A3" s="517"/>
      <c r="B3" s="40" t="s">
        <v>206</v>
      </c>
      <c r="C3" s="519" t="s">
        <v>207</v>
      </c>
      <c r="D3" s="520"/>
      <c r="E3" s="521"/>
      <c r="F3" s="40" t="s">
        <v>250</v>
      </c>
      <c r="G3" s="44" t="s">
        <v>412</v>
      </c>
      <c r="H3" s="40" t="s">
        <v>208</v>
      </c>
      <c r="I3" s="44" t="s">
        <v>414</v>
      </c>
      <c r="M3" s="32"/>
      <c r="N3" s="32"/>
      <c r="O3" s="32"/>
    </row>
    <row r="4" spans="1:16" ht="32" thickTop="1" thickBot="1">
      <c r="A4" s="518"/>
      <c r="B4" s="40" t="s">
        <v>191</v>
      </c>
      <c r="C4" s="522" t="s">
        <v>412</v>
      </c>
      <c r="D4" s="523"/>
      <c r="E4" s="524"/>
      <c r="F4" s="40" t="s">
        <v>415</v>
      </c>
      <c r="G4" s="44" t="s">
        <v>404</v>
      </c>
      <c r="H4" s="40" t="s">
        <v>209</v>
      </c>
      <c r="I4" s="44" t="s">
        <v>407</v>
      </c>
      <c r="K4" s="33"/>
      <c r="M4" s="32"/>
      <c r="N4" s="32"/>
      <c r="O4" s="32"/>
    </row>
    <row r="5" spans="1:16" ht="15" thickTop="1">
      <c r="M5" s="45"/>
      <c r="O5" s="34"/>
      <c r="P5" s="34"/>
    </row>
    <row r="6" spans="1:16" ht="21">
      <c r="A6" s="155"/>
      <c r="B6" s="154"/>
      <c r="M6" s="45"/>
      <c r="O6" s="34"/>
      <c r="P6" s="34"/>
    </row>
    <row r="7" spans="1:16" ht="15" thickBot="1">
      <c r="O7" s="34"/>
      <c r="P7" s="34"/>
    </row>
    <row r="8" spans="1:16" ht="22.4" customHeight="1" thickTop="1" thickBot="1">
      <c r="A8" s="528" t="s">
        <v>164</v>
      </c>
      <c r="B8" s="529"/>
      <c r="C8" s="529"/>
      <c r="D8" s="529"/>
      <c r="E8" s="529"/>
      <c r="F8" s="529"/>
      <c r="G8" s="529"/>
      <c r="H8" s="529"/>
      <c r="I8" s="529"/>
      <c r="J8" s="529"/>
      <c r="K8" s="529"/>
      <c r="L8" s="530"/>
      <c r="O8" s="34"/>
      <c r="P8" s="34"/>
    </row>
    <row r="9" spans="1:16" ht="50.25" customHeight="1" thickTop="1" thickBot="1">
      <c r="A9" s="40" t="s">
        <v>165</v>
      </c>
      <c r="B9" s="40" t="s">
        <v>166</v>
      </c>
      <c r="C9" s="40" t="s">
        <v>167</v>
      </c>
      <c r="D9" s="40" t="s">
        <v>168</v>
      </c>
      <c r="E9" s="40" t="s">
        <v>169</v>
      </c>
      <c r="F9" s="40" t="s">
        <v>272</v>
      </c>
      <c r="G9" s="40" t="s">
        <v>170</v>
      </c>
      <c r="H9" s="40" t="s">
        <v>171</v>
      </c>
      <c r="I9" s="40" t="s">
        <v>172</v>
      </c>
      <c r="J9" s="40" t="s">
        <v>173</v>
      </c>
      <c r="K9" s="40" t="s">
        <v>174</v>
      </c>
      <c r="L9" s="40" t="s">
        <v>73</v>
      </c>
      <c r="O9" s="97"/>
      <c r="P9" s="34"/>
    </row>
    <row r="10" spans="1:16" ht="33" customHeight="1" thickTop="1" thickBot="1">
      <c r="A10" s="95" t="s">
        <v>175</v>
      </c>
      <c r="B10" s="95" t="s">
        <v>176</v>
      </c>
      <c r="C10" s="179">
        <v>302</v>
      </c>
      <c r="D10" s="179">
        <v>302</v>
      </c>
      <c r="E10" s="179">
        <v>302</v>
      </c>
      <c r="F10" s="179">
        <f>C10-D10</f>
        <v>0</v>
      </c>
      <c r="G10" s="179">
        <v>0</v>
      </c>
      <c r="H10" s="179">
        <v>0</v>
      </c>
      <c r="I10" s="179">
        <v>0</v>
      </c>
      <c r="J10" s="179">
        <f>E10+I10</f>
        <v>302</v>
      </c>
      <c r="K10" s="179">
        <f>D10+G10-J10</f>
        <v>0</v>
      </c>
      <c r="L10" s="140"/>
      <c r="M10" s="45"/>
      <c r="O10" s="34"/>
      <c r="P10" s="34"/>
    </row>
    <row r="11" spans="1:16" ht="45.65" customHeight="1" thickTop="1" thickBot="1">
      <c r="A11" s="95" t="s">
        <v>10</v>
      </c>
      <c r="B11" s="95" t="s">
        <v>176</v>
      </c>
      <c r="C11" s="179">
        <v>302</v>
      </c>
      <c r="D11" s="179">
        <v>302</v>
      </c>
      <c r="E11" s="179">
        <v>302</v>
      </c>
      <c r="F11" s="179">
        <f>C11-D11</f>
        <v>0</v>
      </c>
      <c r="G11" s="179">
        <v>0</v>
      </c>
      <c r="H11" s="179">
        <v>0</v>
      </c>
      <c r="I11" s="179">
        <v>0</v>
      </c>
      <c r="J11" s="179">
        <v>302</v>
      </c>
      <c r="K11" s="179">
        <f>D11+G11-J11</f>
        <v>0</v>
      </c>
      <c r="L11" s="140"/>
      <c r="M11" s="45"/>
      <c r="O11" s="34"/>
      <c r="P11" s="34"/>
    </row>
    <row r="12" spans="1:16" ht="15" thickTop="1">
      <c r="M12" s="45"/>
      <c r="O12" s="34"/>
      <c r="P12" s="34"/>
    </row>
    <row r="13" spans="1:16" ht="15" thickBot="1">
      <c r="O13" s="34"/>
      <c r="P13" s="34"/>
    </row>
    <row r="14" spans="1:16" ht="22.4" customHeight="1" thickBot="1">
      <c r="A14" s="525" t="s">
        <v>177</v>
      </c>
      <c r="B14" s="526"/>
      <c r="C14" s="526"/>
      <c r="D14" s="526"/>
      <c r="E14" s="526"/>
      <c r="F14" s="526"/>
      <c r="G14" s="526"/>
      <c r="H14" s="526"/>
      <c r="I14" s="526"/>
      <c r="J14" s="526"/>
      <c r="K14" s="526"/>
      <c r="L14" s="526"/>
      <c r="M14" s="526"/>
      <c r="N14" s="527"/>
      <c r="O14" s="34"/>
      <c r="P14" s="34"/>
    </row>
    <row r="15" spans="1:16" ht="47.5" customHeight="1" thickBot="1">
      <c r="A15" s="146" t="s">
        <v>165</v>
      </c>
      <c r="B15" s="147" t="s">
        <v>166</v>
      </c>
      <c r="C15" s="147" t="s">
        <v>167</v>
      </c>
      <c r="D15" s="147" t="s">
        <v>168</v>
      </c>
      <c r="E15" s="147" t="s">
        <v>178</v>
      </c>
      <c r="F15" s="147" t="s">
        <v>179</v>
      </c>
      <c r="G15" s="147" t="s">
        <v>180</v>
      </c>
      <c r="H15" s="147" t="s">
        <v>181</v>
      </c>
      <c r="I15" s="147" t="s">
        <v>182</v>
      </c>
      <c r="J15" s="147" t="s">
        <v>183</v>
      </c>
      <c r="K15" s="147" t="s">
        <v>184</v>
      </c>
      <c r="L15" s="148" t="s">
        <v>185</v>
      </c>
      <c r="M15" s="537" t="s">
        <v>73</v>
      </c>
      <c r="N15" s="538"/>
      <c r="O15" s="34"/>
      <c r="P15" s="34"/>
    </row>
    <row r="16" spans="1:16" ht="66.650000000000006" customHeight="1" thickBot="1">
      <c r="A16" s="142" t="s">
        <v>186</v>
      </c>
      <c r="B16" s="142" t="s">
        <v>187</v>
      </c>
      <c r="C16" s="143">
        <v>115.134</v>
      </c>
      <c r="D16" s="143">
        <v>115.134</v>
      </c>
      <c r="E16" s="143">
        <v>115.134</v>
      </c>
      <c r="F16" s="143">
        <v>115.134</v>
      </c>
      <c r="G16" s="143">
        <v>0</v>
      </c>
      <c r="H16" s="143">
        <v>0</v>
      </c>
      <c r="I16" s="143">
        <v>0</v>
      </c>
      <c r="J16" s="144">
        <v>0</v>
      </c>
      <c r="K16" s="145">
        <v>0</v>
      </c>
      <c r="L16" s="145">
        <f>E16+K16</f>
        <v>115.134</v>
      </c>
      <c r="M16" s="541"/>
      <c r="N16" s="542"/>
      <c r="O16" s="33"/>
    </row>
    <row r="17" spans="1:16" ht="39.65" customHeight="1" thickTop="1" thickBot="1">
      <c r="A17" s="91" t="s">
        <v>161</v>
      </c>
      <c r="B17" s="91" t="s">
        <v>187</v>
      </c>
      <c r="C17" s="92">
        <v>115.134</v>
      </c>
      <c r="D17" s="92">
        <v>115.134</v>
      </c>
      <c r="E17" s="92">
        <v>115.134</v>
      </c>
      <c r="F17" s="92">
        <v>115.134</v>
      </c>
      <c r="G17" s="92">
        <v>0</v>
      </c>
      <c r="H17" s="92">
        <v>0</v>
      </c>
      <c r="I17" s="92">
        <v>0</v>
      </c>
      <c r="J17" s="93">
        <v>0</v>
      </c>
      <c r="K17" s="94">
        <v>0</v>
      </c>
      <c r="L17" s="94">
        <f>E17+K17</f>
        <v>115.134</v>
      </c>
      <c r="M17" s="543"/>
      <c r="N17" s="544"/>
    </row>
    <row r="18" spans="1:16" ht="15.5" thickTop="1" thickBot="1">
      <c r="P18" s="35"/>
    </row>
    <row r="19" spans="1:16" s="36" customFormat="1" ht="22.4" customHeight="1" thickTop="1" thickBot="1">
      <c r="A19" s="531" t="s">
        <v>210</v>
      </c>
      <c r="B19" s="532"/>
      <c r="C19" s="532"/>
      <c r="D19" s="532"/>
      <c r="E19" s="532"/>
      <c r="F19" s="532"/>
      <c r="G19" s="532"/>
      <c r="H19" s="532"/>
      <c r="I19" s="532"/>
      <c r="J19" s="532"/>
      <c r="K19" s="532"/>
      <c r="L19" s="532"/>
      <c r="M19" s="532"/>
      <c r="N19" s="532"/>
      <c r="O19" s="533"/>
    </row>
    <row r="20" spans="1:16" s="36" customFormat="1" ht="40" thickTop="1" thickBot="1">
      <c r="A20" s="40" t="s">
        <v>165</v>
      </c>
      <c r="B20" s="40" t="s">
        <v>166</v>
      </c>
      <c r="C20" s="40" t="s">
        <v>211</v>
      </c>
      <c r="D20" s="40" t="s">
        <v>212</v>
      </c>
      <c r="E20" s="40" t="s">
        <v>213</v>
      </c>
      <c r="F20" s="40" t="s">
        <v>214</v>
      </c>
      <c r="G20" s="40" t="s">
        <v>215</v>
      </c>
      <c r="H20" s="40" t="s">
        <v>160</v>
      </c>
      <c r="I20" s="40" t="s">
        <v>216</v>
      </c>
      <c r="J20" s="40" t="s">
        <v>217</v>
      </c>
      <c r="K20" s="40" t="s">
        <v>218</v>
      </c>
      <c r="L20" s="40" t="s">
        <v>219</v>
      </c>
      <c r="M20" s="40" t="s">
        <v>220</v>
      </c>
      <c r="N20" s="40" t="s">
        <v>221</v>
      </c>
      <c r="O20" s="40" t="s">
        <v>73</v>
      </c>
      <c r="P20" s="31"/>
    </row>
    <row r="21" spans="1:16" s="89" customFormat="1" ht="37.4" customHeight="1" thickTop="1" thickBot="1">
      <c r="A21" s="85" t="s">
        <v>62</v>
      </c>
      <c r="B21" s="85" t="s">
        <v>68</v>
      </c>
      <c r="C21" s="85">
        <v>302</v>
      </c>
      <c r="D21" s="85">
        <v>302</v>
      </c>
      <c r="E21" s="86">
        <v>302</v>
      </c>
      <c r="F21" s="85">
        <v>0</v>
      </c>
      <c r="G21" s="85">
        <v>0</v>
      </c>
      <c r="H21" s="87">
        <v>0</v>
      </c>
      <c r="I21" s="87">
        <v>0</v>
      </c>
      <c r="J21" s="85">
        <f>D21+F21</f>
        <v>302</v>
      </c>
      <c r="K21" s="86">
        <f>E21+I21</f>
        <v>302</v>
      </c>
      <c r="L21" s="85">
        <f>+C21-K21</f>
        <v>0</v>
      </c>
      <c r="M21" s="85">
        <v>0</v>
      </c>
      <c r="N21" s="85">
        <v>0</v>
      </c>
      <c r="O21" s="131" t="s">
        <v>382</v>
      </c>
      <c r="P21" s="88"/>
    </row>
    <row r="22" spans="1:16" s="88" customFormat="1" ht="37.4" customHeight="1" thickTop="1" thickBot="1">
      <c r="A22" s="85" t="s">
        <v>63</v>
      </c>
      <c r="B22" s="85" t="s">
        <v>68</v>
      </c>
      <c r="C22" s="85">
        <v>302</v>
      </c>
      <c r="D22" s="85">
        <v>302</v>
      </c>
      <c r="E22" s="86">
        <v>302</v>
      </c>
      <c r="F22" s="85">
        <v>0</v>
      </c>
      <c r="G22" s="85">
        <v>0</v>
      </c>
      <c r="H22" s="87">
        <v>0</v>
      </c>
      <c r="I22" s="87">
        <v>0</v>
      </c>
      <c r="J22" s="85">
        <f>D22+F22</f>
        <v>302</v>
      </c>
      <c r="K22" s="86">
        <f>E22+I22</f>
        <v>302</v>
      </c>
      <c r="L22" s="85">
        <f t="shared" ref="L22:L23" si="0">+C22-K22</f>
        <v>0</v>
      </c>
      <c r="M22" s="85">
        <v>0</v>
      </c>
      <c r="N22" s="85">
        <v>0</v>
      </c>
      <c r="O22" s="90"/>
    </row>
    <row r="23" spans="1:16" s="88" customFormat="1" ht="45.65" customHeight="1" thickTop="1" thickBot="1">
      <c r="A23" s="85" t="s">
        <v>66</v>
      </c>
      <c r="B23" s="85" t="s">
        <v>68</v>
      </c>
      <c r="C23" s="85">
        <v>302</v>
      </c>
      <c r="D23" s="85">
        <v>302</v>
      </c>
      <c r="E23" s="86">
        <v>273</v>
      </c>
      <c r="F23" s="85">
        <v>0</v>
      </c>
      <c r="G23" s="85">
        <v>25</v>
      </c>
      <c r="H23" s="87">
        <v>0</v>
      </c>
      <c r="I23" s="87">
        <v>3</v>
      </c>
      <c r="J23" s="85">
        <v>302</v>
      </c>
      <c r="K23" s="86">
        <v>276</v>
      </c>
      <c r="L23" s="85">
        <f t="shared" si="0"/>
        <v>26</v>
      </c>
      <c r="M23" s="85">
        <v>9</v>
      </c>
      <c r="N23" s="85">
        <v>9</v>
      </c>
      <c r="O23" s="172"/>
    </row>
    <row r="24" spans="1:16" s="88" customFormat="1" ht="42" customHeight="1" thickTop="1" thickBot="1">
      <c r="A24" s="85" t="s">
        <v>65</v>
      </c>
      <c r="B24" s="85" t="s">
        <v>269</v>
      </c>
      <c r="C24" s="85">
        <v>115.134</v>
      </c>
      <c r="D24" s="85">
        <v>107</v>
      </c>
      <c r="E24" s="86">
        <v>49</v>
      </c>
      <c r="F24" s="85">
        <v>8</v>
      </c>
      <c r="G24" s="85">
        <v>30</v>
      </c>
      <c r="H24" s="87">
        <v>4.8230000000000004</v>
      </c>
      <c r="I24" s="87">
        <f>0.319+4.823</f>
        <v>5.1420000000000003</v>
      </c>
      <c r="J24" s="85">
        <v>115</v>
      </c>
      <c r="K24" s="86">
        <f>59.3+4.823</f>
        <v>64.12299999999999</v>
      </c>
      <c r="L24" s="86">
        <f t="shared" ref="L24" si="1">+C24-K24</f>
        <v>51.01100000000001</v>
      </c>
      <c r="M24" s="85">
        <v>9</v>
      </c>
      <c r="N24" s="85">
        <v>2</v>
      </c>
      <c r="O24" s="497" t="s">
        <v>1114</v>
      </c>
    </row>
    <row r="25" spans="1:16" ht="15" thickTop="1">
      <c r="A25" s="37"/>
      <c r="N25" s="545"/>
      <c r="O25" s="545"/>
    </row>
    <row r="26" spans="1:16" ht="15" thickBot="1">
      <c r="A26" s="37"/>
    </row>
    <row r="27" spans="1:16" ht="42.65" customHeight="1" thickBot="1">
      <c r="A27" s="183" t="s">
        <v>12</v>
      </c>
      <c r="B27" s="164" t="s">
        <v>368</v>
      </c>
      <c r="C27" s="165" t="s">
        <v>369</v>
      </c>
      <c r="D27" s="514" t="s">
        <v>370</v>
      </c>
      <c r="E27" s="515"/>
      <c r="F27" s="508" t="s">
        <v>378</v>
      </c>
      <c r="G27" s="508"/>
      <c r="H27" s="546" t="s">
        <v>355</v>
      </c>
      <c r="I27" s="547"/>
    </row>
    <row r="28" spans="1:16" ht="42.65" customHeight="1">
      <c r="A28" s="184"/>
      <c r="B28" s="185" t="s">
        <v>416</v>
      </c>
      <c r="C28" s="180" t="s">
        <v>417</v>
      </c>
      <c r="D28" s="510" t="s">
        <v>434</v>
      </c>
      <c r="E28" s="511"/>
      <c r="F28" s="504"/>
      <c r="G28" s="505"/>
      <c r="H28" s="181"/>
      <c r="I28" s="182"/>
    </row>
    <row r="29" spans="1:16" ht="42.65" customHeight="1">
      <c r="A29" s="184"/>
      <c r="B29" s="185" t="s">
        <v>416</v>
      </c>
      <c r="C29" s="180" t="s">
        <v>419</v>
      </c>
      <c r="D29" s="506" t="s">
        <v>421</v>
      </c>
      <c r="E29" s="507"/>
      <c r="F29" s="502" t="s">
        <v>435</v>
      </c>
      <c r="G29" s="503"/>
      <c r="H29" s="181"/>
      <c r="I29" s="182"/>
    </row>
    <row r="30" spans="1:16" ht="42.65" customHeight="1">
      <c r="A30" s="184"/>
      <c r="B30" s="185" t="s">
        <v>416</v>
      </c>
      <c r="C30" s="180" t="s">
        <v>1054</v>
      </c>
      <c r="D30" s="506" t="s">
        <v>690</v>
      </c>
      <c r="E30" s="507"/>
      <c r="F30" s="502" t="s">
        <v>691</v>
      </c>
      <c r="G30" s="503"/>
      <c r="H30" s="181"/>
      <c r="I30" s="182"/>
    </row>
    <row r="31" spans="1:16" ht="42.65" customHeight="1">
      <c r="A31" s="184"/>
      <c r="B31" s="185" t="s">
        <v>416</v>
      </c>
      <c r="C31" s="180" t="s">
        <v>423</v>
      </c>
      <c r="D31" s="506" t="s">
        <v>437</v>
      </c>
      <c r="E31" s="507"/>
      <c r="F31" s="502"/>
      <c r="G31" s="503"/>
      <c r="H31" s="181"/>
      <c r="I31" s="182"/>
    </row>
    <row r="32" spans="1:16" ht="42.65" customHeight="1">
      <c r="A32" s="184"/>
      <c r="B32" s="185" t="s">
        <v>416</v>
      </c>
      <c r="C32" s="180" t="s">
        <v>424</v>
      </c>
      <c r="D32" s="506" t="s">
        <v>328</v>
      </c>
      <c r="E32" s="507"/>
      <c r="F32" s="502"/>
      <c r="G32" s="503"/>
      <c r="H32" s="181"/>
      <c r="I32" s="182"/>
    </row>
    <row r="33" spans="1:9" ht="42.65" customHeight="1">
      <c r="A33" s="184"/>
      <c r="B33" s="185" t="s">
        <v>416</v>
      </c>
      <c r="C33" s="180" t="s">
        <v>426</v>
      </c>
      <c r="D33" s="506" t="s">
        <v>294</v>
      </c>
      <c r="E33" s="507"/>
      <c r="F33" s="502"/>
      <c r="G33" s="503"/>
      <c r="H33" s="181"/>
      <c r="I33" s="182"/>
    </row>
    <row r="34" spans="1:9" ht="42.65" customHeight="1">
      <c r="A34" s="184"/>
      <c r="B34" s="185" t="s">
        <v>416</v>
      </c>
      <c r="C34" s="180" t="s">
        <v>427</v>
      </c>
      <c r="D34" s="506" t="s">
        <v>327</v>
      </c>
      <c r="E34" s="507"/>
      <c r="F34" s="502"/>
      <c r="G34" s="503"/>
      <c r="H34" s="181"/>
      <c r="I34" s="182"/>
    </row>
    <row r="35" spans="1:9" ht="42.65" customHeight="1">
      <c r="A35" s="184"/>
      <c r="B35" s="185" t="s">
        <v>416</v>
      </c>
      <c r="C35" s="180" t="s">
        <v>430</v>
      </c>
      <c r="D35" s="506" t="s">
        <v>134</v>
      </c>
      <c r="E35" s="507"/>
      <c r="F35" s="502"/>
      <c r="G35" s="503"/>
      <c r="H35" s="181"/>
      <c r="I35" s="182"/>
    </row>
    <row r="36" spans="1:9" ht="42.65" customHeight="1">
      <c r="A36" s="184"/>
      <c r="B36" s="185" t="s">
        <v>416</v>
      </c>
      <c r="C36" s="180" t="s">
        <v>1043</v>
      </c>
      <c r="D36" s="506" t="s">
        <v>431</v>
      </c>
      <c r="E36" s="507"/>
      <c r="F36" s="502" t="s">
        <v>439</v>
      </c>
      <c r="G36" s="503"/>
      <c r="H36" s="181"/>
      <c r="I36" s="182"/>
    </row>
    <row r="37" spans="1:9" ht="42.65" customHeight="1">
      <c r="A37" s="184"/>
      <c r="B37" s="185" t="s">
        <v>416</v>
      </c>
      <c r="C37" s="180" t="s">
        <v>432</v>
      </c>
      <c r="D37" s="506" t="s">
        <v>299</v>
      </c>
      <c r="E37" s="507"/>
      <c r="F37" s="502" t="s">
        <v>693</v>
      </c>
      <c r="G37" s="503"/>
      <c r="H37" s="181"/>
      <c r="I37" s="182"/>
    </row>
    <row r="38" spans="1:9" ht="42.65" customHeight="1">
      <c r="A38" s="184"/>
      <c r="B38" s="185" t="s">
        <v>416</v>
      </c>
      <c r="C38" s="180" t="s">
        <v>1112</v>
      </c>
      <c r="D38" s="506" t="s">
        <v>875</v>
      </c>
      <c r="E38" s="507"/>
      <c r="F38" s="502"/>
      <c r="G38" s="503"/>
      <c r="H38" s="500" t="s">
        <v>1113</v>
      </c>
      <c r="I38" s="501"/>
    </row>
    <row r="39" spans="1:9" ht="42.65" customHeight="1">
      <c r="A39" s="184"/>
      <c r="B39" s="185" t="s">
        <v>416</v>
      </c>
      <c r="C39" s="180"/>
      <c r="D39" s="506"/>
      <c r="E39" s="507"/>
      <c r="F39" s="502"/>
      <c r="G39" s="503"/>
      <c r="H39" s="181"/>
      <c r="I39" s="182"/>
    </row>
    <row r="40" spans="1:9" ht="42.65" customHeight="1">
      <c r="A40" s="184"/>
      <c r="B40" s="185" t="s">
        <v>416</v>
      </c>
      <c r="C40" s="180"/>
      <c r="D40" s="506"/>
      <c r="E40" s="507"/>
      <c r="F40" s="502"/>
      <c r="G40" s="503"/>
      <c r="H40" s="181"/>
      <c r="I40" s="182"/>
    </row>
    <row r="41" spans="1:9" ht="42.65" customHeight="1">
      <c r="A41" s="184"/>
      <c r="B41" s="185" t="s">
        <v>416</v>
      </c>
      <c r="C41" s="180"/>
      <c r="D41" s="506"/>
      <c r="E41" s="507"/>
      <c r="F41" s="502"/>
      <c r="G41" s="503"/>
      <c r="H41" s="181"/>
      <c r="I41" s="182"/>
    </row>
    <row r="42" spans="1:9" ht="42.65" customHeight="1">
      <c r="A42" s="184"/>
      <c r="B42" s="185" t="s">
        <v>416</v>
      </c>
      <c r="C42" s="180"/>
      <c r="D42" s="506"/>
      <c r="E42" s="507"/>
      <c r="F42" s="502"/>
      <c r="G42" s="503"/>
      <c r="H42" s="181"/>
      <c r="I42" s="182"/>
    </row>
    <row r="43" spans="1:9" ht="42.65" customHeight="1" thickBot="1">
      <c r="A43" s="184"/>
      <c r="B43" s="186"/>
      <c r="C43" s="162"/>
      <c r="D43" s="187"/>
      <c r="E43" s="187"/>
      <c r="F43" s="175"/>
      <c r="G43" s="176"/>
      <c r="H43" s="188"/>
      <c r="I43" s="189"/>
    </row>
    <row r="45" spans="1:9" ht="6" customHeight="1">
      <c r="A45" s="37"/>
    </row>
    <row r="46" spans="1:9" ht="6" customHeight="1">
      <c r="A46" s="37"/>
    </row>
    <row r="47" spans="1:9" s="160" customFormat="1" ht="28.4" customHeight="1">
      <c r="A47" s="159" t="s">
        <v>366</v>
      </c>
    </row>
    <row r="48" spans="1:9" s="157" customFormat="1" ht="9" customHeight="1">
      <c r="A48" s="158"/>
      <c r="B48" s="509"/>
      <c r="C48" s="509"/>
      <c r="D48" s="509"/>
      <c r="E48" s="509"/>
      <c r="F48" s="509"/>
      <c r="G48" s="509"/>
    </row>
    <row r="49" spans="1:15" s="157" customFormat="1" ht="9" customHeight="1">
      <c r="A49" s="158"/>
      <c r="B49" s="509"/>
      <c r="C49" s="509"/>
      <c r="D49" s="509"/>
      <c r="E49" s="509"/>
      <c r="F49" s="509"/>
      <c r="G49" s="509"/>
    </row>
    <row r="50" spans="1:15" s="157" customFormat="1" ht="10.4" customHeight="1">
      <c r="A50" s="158"/>
      <c r="B50" s="509"/>
      <c r="C50" s="509"/>
      <c r="D50" s="509"/>
      <c r="E50" s="509"/>
      <c r="F50" s="509"/>
      <c r="G50" s="509"/>
    </row>
    <row r="51" spans="1:15" s="157" customFormat="1" ht="24.65" customHeight="1">
      <c r="A51" s="158" t="s">
        <v>367</v>
      </c>
      <c r="B51" s="509" t="s">
        <v>374</v>
      </c>
      <c r="C51" s="509"/>
      <c r="D51" s="509"/>
      <c r="E51" s="509"/>
      <c r="F51" s="509"/>
      <c r="G51" s="509"/>
      <c r="H51" s="509"/>
      <c r="I51" s="509"/>
      <c r="J51" s="509"/>
      <c r="K51" s="156"/>
      <c r="L51" s="156"/>
      <c r="M51" s="536"/>
      <c r="N51" s="536"/>
      <c r="O51" s="536"/>
    </row>
    <row r="52" spans="1:15" s="157" customFormat="1" ht="24.65" customHeight="1">
      <c r="A52" s="158" t="s">
        <v>367</v>
      </c>
      <c r="B52" s="509" t="s">
        <v>375</v>
      </c>
      <c r="C52" s="509"/>
      <c r="D52" s="509"/>
      <c r="E52" s="509"/>
      <c r="F52" s="509"/>
      <c r="G52" s="509"/>
      <c r="H52" s="509"/>
      <c r="I52" s="509"/>
      <c r="J52" s="509"/>
      <c r="K52" s="156"/>
      <c r="L52" s="156"/>
      <c r="M52" s="163"/>
      <c r="N52" s="163"/>
      <c r="O52" s="163"/>
    </row>
    <row r="53" spans="1:15" s="157" customFormat="1" ht="24.65" customHeight="1">
      <c r="A53" s="158" t="s">
        <v>367</v>
      </c>
      <c r="B53" s="509" t="s">
        <v>381</v>
      </c>
      <c r="C53" s="509"/>
      <c r="D53" s="509"/>
      <c r="E53" s="509"/>
      <c r="F53" s="509"/>
      <c r="G53" s="509"/>
      <c r="H53" s="509"/>
      <c r="I53" s="509"/>
      <c r="J53" s="509"/>
      <c r="K53" s="156"/>
      <c r="L53" s="156"/>
      <c r="M53" s="163"/>
      <c r="N53" s="163"/>
      <c r="O53" s="163"/>
    </row>
    <row r="54" spans="1:15" s="58" customFormat="1" ht="17.5" customHeight="1">
      <c r="A54" s="156"/>
      <c r="B54" s="31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3"/>
      <c r="N54" s="153"/>
      <c r="O54" s="153"/>
    </row>
    <row r="56" spans="1:15" ht="18.5">
      <c r="A56" s="12"/>
      <c r="B56" s="552" t="s">
        <v>251</v>
      </c>
      <c r="C56" s="553"/>
      <c r="D56"/>
      <c r="E56"/>
      <c r="F56"/>
      <c r="G56"/>
      <c r="H56"/>
      <c r="I56"/>
      <c r="J56"/>
    </row>
    <row r="57" spans="1:15" ht="26">
      <c r="A57" s="59" t="s">
        <v>222</v>
      </c>
      <c r="B57" s="548" t="s">
        <v>252</v>
      </c>
      <c r="C57" s="549"/>
      <c r="D57" s="59" t="s">
        <v>253</v>
      </c>
      <c r="E57" s="59" t="s">
        <v>254</v>
      </c>
      <c r="F57" s="59" t="s">
        <v>1037</v>
      </c>
      <c r="G57" s="150" t="s">
        <v>267</v>
      </c>
      <c r="H57" s="59" t="s">
        <v>255</v>
      </c>
      <c r="I57" s="59" t="s">
        <v>256</v>
      </c>
      <c r="J57" s="512" t="s">
        <v>73</v>
      </c>
      <c r="K57" s="513"/>
    </row>
    <row r="58" spans="1:15" ht="36" customHeight="1">
      <c r="A58" s="130">
        <v>1</v>
      </c>
      <c r="B58" s="534" t="s">
        <v>257</v>
      </c>
      <c r="C58" s="535"/>
      <c r="D58" s="126" t="s">
        <v>258</v>
      </c>
      <c r="E58" s="127">
        <v>302</v>
      </c>
      <c r="F58" s="127">
        <v>302</v>
      </c>
      <c r="G58" s="151">
        <v>302</v>
      </c>
      <c r="H58" s="128">
        <f t="shared" ref="H58:H77" si="2">F58-G58</f>
        <v>0</v>
      </c>
      <c r="I58" s="129">
        <f t="shared" ref="I58:I77" si="3">E58-G58</f>
        <v>0</v>
      </c>
      <c r="J58" s="539"/>
      <c r="K58" s="540"/>
    </row>
    <row r="59" spans="1:15" ht="36" customHeight="1">
      <c r="A59" s="130">
        <v>2</v>
      </c>
      <c r="B59" s="534" t="s">
        <v>259</v>
      </c>
      <c r="C59" s="535"/>
      <c r="D59" s="126" t="s">
        <v>258</v>
      </c>
      <c r="E59" s="127">
        <v>302</v>
      </c>
      <c r="F59" s="127">
        <v>302</v>
      </c>
      <c r="G59" s="151">
        <v>302</v>
      </c>
      <c r="H59" s="128">
        <f t="shared" si="2"/>
        <v>0</v>
      </c>
      <c r="I59" s="129">
        <f t="shared" si="3"/>
        <v>0</v>
      </c>
      <c r="J59" s="539"/>
      <c r="K59" s="540"/>
      <c r="L59" s="141"/>
    </row>
    <row r="60" spans="1:15" ht="36" customHeight="1">
      <c r="A60" s="130">
        <v>3</v>
      </c>
      <c r="B60" s="534" t="s">
        <v>260</v>
      </c>
      <c r="C60" s="535"/>
      <c r="D60" s="126" t="s">
        <v>261</v>
      </c>
      <c r="E60" s="127">
        <v>302</v>
      </c>
      <c r="F60" s="127">
        <v>302</v>
      </c>
      <c r="G60" s="151">
        <v>302</v>
      </c>
      <c r="H60" s="128">
        <f t="shared" si="2"/>
        <v>0</v>
      </c>
      <c r="I60" s="129">
        <f t="shared" si="3"/>
        <v>0</v>
      </c>
      <c r="J60" s="550"/>
      <c r="K60" s="551"/>
    </row>
    <row r="61" spans="1:15" ht="36" customHeight="1">
      <c r="A61" s="130">
        <v>4</v>
      </c>
      <c r="B61" s="534" t="s">
        <v>262</v>
      </c>
      <c r="C61" s="535"/>
      <c r="D61" s="126" t="s">
        <v>72</v>
      </c>
      <c r="E61" s="127">
        <v>116</v>
      </c>
      <c r="F61" s="127">
        <v>116</v>
      </c>
      <c r="G61" s="152">
        <v>116</v>
      </c>
      <c r="H61" s="128">
        <f t="shared" si="2"/>
        <v>0</v>
      </c>
      <c r="I61" s="129">
        <f t="shared" si="3"/>
        <v>0</v>
      </c>
      <c r="J61" s="539"/>
      <c r="K61" s="540"/>
    </row>
    <row r="62" spans="1:15" ht="36" customHeight="1">
      <c r="A62" s="130">
        <v>5</v>
      </c>
      <c r="B62" s="534" t="s">
        <v>263</v>
      </c>
      <c r="C62" s="535"/>
      <c r="D62" s="126" t="s">
        <v>72</v>
      </c>
      <c r="E62" s="127">
        <v>4186</v>
      </c>
      <c r="F62" s="127">
        <v>4186</v>
      </c>
      <c r="G62" s="152">
        <v>4186</v>
      </c>
      <c r="H62" s="128">
        <f t="shared" si="2"/>
        <v>0</v>
      </c>
      <c r="I62" s="129">
        <f t="shared" si="3"/>
        <v>0</v>
      </c>
      <c r="J62" s="539"/>
      <c r="K62" s="540"/>
      <c r="M62" s="38"/>
    </row>
    <row r="63" spans="1:15" ht="37.4" customHeight="1">
      <c r="A63" s="130">
        <v>6</v>
      </c>
      <c r="B63" s="534" t="s">
        <v>264</v>
      </c>
      <c r="C63" s="535"/>
      <c r="D63" s="126" t="s">
        <v>68</v>
      </c>
      <c r="E63" s="127">
        <v>5784</v>
      </c>
      <c r="F63" s="127">
        <v>5784</v>
      </c>
      <c r="G63" s="151">
        <v>5784</v>
      </c>
      <c r="H63" s="128">
        <f t="shared" si="2"/>
        <v>0</v>
      </c>
      <c r="I63" s="129">
        <f t="shared" si="3"/>
        <v>0</v>
      </c>
      <c r="J63" s="550"/>
      <c r="K63" s="551"/>
    </row>
    <row r="64" spans="1:15" ht="37.4" customHeight="1">
      <c r="A64" s="130">
        <f>A63+1</f>
        <v>7</v>
      </c>
      <c r="B64" s="534" t="s">
        <v>265</v>
      </c>
      <c r="C64" s="535"/>
      <c r="D64" s="126" t="s">
        <v>68</v>
      </c>
      <c r="E64" s="127">
        <v>7440</v>
      </c>
      <c r="F64" s="127">
        <v>7440</v>
      </c>
      <c r="G64" s="151">
        <v>7440</v>
      </c>
      <c r="H64" s="128">
        <f t="shared" si="2"/>
        <v>0</v>
      </c>
      <c r="I64" s="129">
        <f t="shared" si="3"/>
        <v>0</v>
      </c>
      <c r="J64" s="550"/>
      <c r="K64" s="551"/>
    </row>
    <row r="65" spans="1:13" ht="37.4" customHeight="1">
      <c r="A65" s="130">
        <f t="shared" ref="A65:A77" si="4">A64+1</f>
        <v>8</v>
      </c>
      <c r="B65" s="534" t="s">
        <v>358</v>
      </c>
      <c r="C65" s="535"/>
      <c r="D65" s="126" t="s">
        <v>72</v>
      </c>
      <c r="E65" s="127">
        <v>121</v>
      </c>
      <c r="F65" s="127">
        <v>121</v>
      </c>
      <c r="G65" s="152">
        <v>121</v>
      </c>
      <c r="H65" s="128">
        <f t="shared" si="2"/>
        <v>0</v>
      </c>
      <c r="I65" s="129">
        <f t="shared" si="3"/>
        <v>0</v>
      </c>
      <c r="J65" s="539"/>
      <c r="K65" s="540"/>
    </row>
    <row r="66" spans="1:13" ht="35.5" customHeight="1">
      <c r="A66" s="130">
        <f t="shared" si="4"/>
        <v>9</v>
      </c>
      <c r="B66" s="534" t="s">
        <v>339</v>
      </c>
      <c r="C66" s="535"/>
      <c r="D66" s="126" t="s">
        <v>338</v>
      </c>
      <c r="E66" s="127">
        <v>936</v>
      </c>
      <c r="F66" s="126">
        <f>E66</f>
        <v>936</v>
      </c>
      <c r="G66" s="151">
        <v>936</v>
      </c>
      <c r="H66" s="128">
        <f t="shared" si="2"/>
        <v>0</v>
      </c>
      <c r="I66" s="129">
        <f t="shared" si="3"/>
        <v>0</v>
      </c>
      <c r="J66" s="550"/>
      <c r="K66" s="551"/>
      <c r="L66" s="132"/>
      <c r="M66" s="133"/>
    </row>
    <row r="67" spans="1:13" ht="37.4" customHeight="1">
      <c r="A67" s="130">
        <f t="shared" si="4"/>
        <v>10</v>
      </c>
      <c r="B67" s="534" t="s">
        <v>340</v>
      </c>
      <c r="C67" s="535"/>
      <c r="D67" s="126" t="s">
        <v>338</v>
      </c>
      <c r="E67" s="127">
        <v>1350</v>
      </c>
      <c r="F67" s="126">
        <f t="shared" ref="F67:F77" si="5">E67</f>
        <v>1350</v>
      </c>
      <c r="G67" s="151">
        <v>1350</v>
      </c>
      <c r="H67" s="128">
        <f t="shared" si="2"/>
        <v>0</v>
      </c>
      <c r="I67" s="129">
        <f t="shared" si="3"/>
        <v>0</v>
      </c>
      <c r="J67" s="539"/>
      <c r="K67" s="540"/>
      <c r="L67" s="132"/>
      <c r="M67" s="133"/>
    </row>
    <row r="68" spans="1:13" ht="36.65" customHeight="1">
      <c r="A68" s="130">
        <f t="shared" si="4"/>
        <v>11</v>
      </c>
      <c r="B68" s="534" t="s">
        <v>343</v>
      </c>
      <c r="C68" s="535"/>
      <c r="D68" s="126" t="s">
        <v>338</v>
      </c>
      <c r="E68" s="127">
        <v>2870</v>
      </c>
      <c r="F68" s="126">
        <f t="shared" si="5"/>
        <v>2870</v>
      </c>
      <c r="G68" s="151">
        <v>2760</v>
      </c>
      <c r="H68" s="128">
        <f t="shared" ref="H68" si="6">F68-G68</f>
        <v>110</v>
      </c>
      <c r="I68" s="129">
        <f t="shared" ref="I68" si="7">E68-G68</f>
        <v>110</v>
      </c>
      <c r="J68" s="550"/>
      <c r="K68" s="551"/>
      <c r="L68" s="132"/>
      <c r="M68" s="133"/>
    </row>
    <row r="69" spans="1:13" ht="35.5" customHeight="1">
      <c r="A69" s="130">
        <f t="shared" si="4"/>
        <v>12</v>
      </c>
      <c r="B69" s="534" t="s">
        <v>341</v>
      </c>
      <c r="C69" s="535"/>
      <c r="D69" s="126" t="s">
        <v>338</v>
      </c>
      <c r="E69" s="127">
        <v>196</v>
      </c>
      <c r="F69" s="126">
        <f t="shared" si="5"/>
        <v>196</v>
      </c>
      <c r="G69" s="151">
        <v>196</v>
      </c>
      <c r="H69" s="128">
        <f t="shared" si="2"/>
        <v>0</v>
      </c>
      <c r="I69" s="129">
        <f t="shared" si="3"/>
        <v>0</v>
      </c>
      <c r="J69" s="550"/>
      <c r="K69" s="551"/>
      <c r="L69" s="132"/>
      <c r="M69" s="133"/>
    </row>
    <row r="70" spans="1:13" ht="28.4" customHeight="1">
      <c r="A70" s="130">
        <f t="shared" si="4"/>
        <v>13</v>
      </c>
      <c r="B70" s="534" t="s">
        <v>348</v>
      </c>
      <c r="C70" s="535"/>
      <c r="D70" s="126" t="s">
        <v>338</v>
      </c>
      <c r="E70" s="127">
        <v>2100</v>
      </c>
      <c r="F70" s="126">
        <f t="shared" si="5"/>
        <v>2100</v>
      </c>
      <c r="G70" s="151">
        <v>2100</v>
      </c>
      <c r="H70" s="128">
        <f t="shared" si="2"/>
        <v>0</v>
      </c>
      <c r="I70" s="129">
        <f t="shared" si="3"/>
        <v>0</v>
      </c>
      <c r="J70" s="550"/>
      <c r="K70" s="551"/>
      <c r="L70" s="132"/>
      <c r="M70" s="133"/>
    </row>
    <row r="71" spans="1:13" ht="28.4" customHeight="1">
      <c r="A71" s="130">
        <f t="shared" si="4"/>
        <v>14</v>
      </c>
      <c r="B71" s="534" t="s">
        <v>337</v>
      </c>
      <c r="C71" s="535"/>
      <c r="D71" s="126" t="s">
        <v>338</v>
      </c>
      <c r="E71" s="127">
        <v>12726</v>
      </c>
      <c r="F71" s="126">
        <f t="shared" si="5"/>
        <v>12726</v>
      </c>
      <c r="G71" s="151">
        <v>12726</v>
      </c>
      <c r="H71" s="128">
        <f t="shared" si="2"/>
        <v>0</v>
      </c>
      <c r="I71" s="129">
        <f t="shared" si="3"/>
        <v>0</v>
      </c>
      <c r="J71" s="539" t="s">
        <v>383</v>
      </c>
      <c r="K71" s="540"/>
      <c r="L71" s="132"/>
      <c r="M71" s="133"/>
    </row>
    <row r="72" spans="1:13" ht="37.4" customHeight="1">
      <c r="A72" s="130">
        <f t="shared" si="4"/>
        <v>15</v>
      </c>
      <c r="B72" s="534" t="s">
        <v>342</v>
      </c>
      <c r="C72" s="535"/>
      <c r="D72" s="126" t="s">
        <v>338</v>
      </c>
      <c r="E72" s="127">
        <v>700</v>
      </c>
      <c r="F72" s="126">
        <v>700</v>
      </c>
      <c r="G72" s="151">
        <v>700</v>
      </c>
      <c r="H72" s="128">
        <f t="shared" si="2"/>
        <v>0</v>
      </c>
      <c r="I72" s="129">
        <f t="shared" si="3"/>
        <v>0</v>
      </c>
      <c r="J72" s="550"/>
      <c r="K72" s="551"/>
      <c r="L72" s="132"/>
      <c r="M72" s="133"/>
    </row>
    <row r="73" spans="1:13" ht="28.4" customHeight="1">
      <c r="A73" s="130">
        <f t="shared" si="4"/>
        <v>16</v>
      </c>
      <c r="B73" s="534" t="s">
        <v>344</v>
      </c>
      <c r="C73" s="535"/>
      <c r="D73" s="126" t="s">
        <v>338</v>
      </c>
      <c r="E73" s="127">
        <v>381</v>
      </c>
      <c r="F73" s="126">
        <f t="shared" si="5"/>
        <v>381</v>
      </c>
      <c r="G73" s="151">
        <v>379</v>
      </c>
      <c r="H73" s="128">
        <f t="shared" si="2"/>
        <v>2</v>
      </c>
      <c r="I73" s="129">
        <f t="shared" si="3"/>
        <v>2</v>
      </c>
      <c r="J73" s="554"/>
      <c r="K73" s="555"/>
      <c r="L73" s="132"/>
      <c r="M73" s="133"/>
    </row>
    <row r="74" spans="1:13" ht="28.4" customHeight="1">
      <c r="A74" s="130">
        <f t="shared" si="4"/>
        <v>17</v>
      </c>
      <c r="B74" s="534" t="s">
        <v>336</v>
      </c>
      <c r="C74" s="535"/>
      <c r="D74" s="126" t="s">
        <v>338</v>
      </c>
      <c r="E74" s="127">
        <v>225</v>
      </c>
      <c r="F74" s="126">
        <f t="shared" si="5"/>
        <v>225</v>
      </c>
      <c r="G74" s="151">
        <v>225</v>
      </c>
      <c r="H74" s="128">
        <f t="shared" ref="H74" si="8">F74-G74</f>
        <v>0</v>
      </c>
      <c r="I74" s="129">
        <f t="shared" ref="I74" si="9">E74-G74</f>
        <v>0</v>
      </c>
      <c r="J74" s="554"/>
      <c r="K74" s="555"/>
    </row>
    <row r="75" spans="1:13" ht="28.4" customHeight="1">
      <c r="A75" s="130">
        <f t="shared" si="4"/>
        <v>18</v>
      </c>
      <c r="B75" s="534" t="s">
        <v>345</v>
      </c>
      <c r="C75" s="535"/>
      <c r="D75" s="126" t="s">
        <v>338</v>
      </c>
      <c r="E75" s="127">
        <v>760</v>
      </c>
      <c r="F75" s="126">
        <f t="shared" si="5"/>
        <v>760</v>
      </c>
      <c r="G75" s="151">
        <v>756</v>
      </c>
      <c r="H75" s="128">
        <f t="shared" si="2"/>
        <v>4</v>
      </c>
      <c r="I75" s="129">
        <f t="shared" si="3"/>
        <v>4</v>
      </c>
      <c r="J75" s="554"/>
      <c r="K75" s="555"/>
    </row>
    <row r="76" spans="1:13" ht="28.4" customHeight="1">
      <c r="A76" s="130">
        <f t="shared" si="4"/>
        <v>19</v>
      </c>
      <c r="B76" s="534" t="s">
        <v>346</v>
      </c>
      <c r="C76" s="535"/>
      <c r="D76" s="126" t="s">
        <v>338</v>
      </c>
      <c r="E76" s="127">
        <v>156</v>
      </c>
      <c r="F76" s="126">
        <f t="shared" ref="F76" si="10">E76</f>
        <v>156</v>
      </c>
      <c r="G76" s="151">
        <v>154</v>
      </c>
      <c r="H76" s="128">
        <f t="shared" si="2"/>
        <v>2</v>
      </c>
      <c r="I76" s="129">
        <f t="shared" si="3"/>
        <v>2</v>
      </c>
      <c r="J76" s="554"/>
      <c r="K76" s="555"/>
    </row>
    <row r="77" spans="1:13" ht="28.4" customHeight="1">
      <c r="A77" s="130">
        <f t="shared" si="4"/>
        <v>20</v>
      </c>
      <c r="B77" s="534" t="s">
        <v>347</v>
      </c>
      <c r="C77" s="535"/>
      <c r="D77" s="126" t="s">
        <v>338</v>
      </c>
      <c r="E77" s="127">
        <v>64</v>
      </c>
      <c r="F77" s="126">
        <f t="shared" si="5"/>
        <v>64</v>
      </c>
      <c r="G77" s="151">
        <v>64</v>
      </c>
      <c r="H77" s="128">
        <f t="shared" si="2"/>
        <v>0</v>
      </c>
      <c r="I77" s="129">
        <f t="shared" si="3"/>
        <v>0</v>
      </c>
      <c r="J77" s="554"/>
      <c r="K77" s="555"/>
    </row>
  </sheetData>
  <mergeCells count="95">
    <mergeCell ref="B74:C74"/>
    <mergeCell ref="J67:K67"/>
    <mergeCell ref="J68:K68"/>
    <mergeCell ref="J77:K77"/>
    <mergeCell ref="J74:K74"/>
    <mergeCell ref="J72:K72"/>
    <mergeCell ref="B67:C67"/>
    <mergeCell ref="J73:K73"/>
    <mergeCell ref="J75:K75"/>
    <mergeCell ref="J76:K76"/>
    <mergeCell ref="B77:C77"/>
    <mergeCell ref="B76:C76"/>
    <mergeCell ref="B75:C75"/>
    <mergeCell ref="B73:C73"/>
    <mergeCell ref="B72:C72"/>
    <mergeCell ref="B71:C71"/>
    <mergeCell ref="J63:K63"/>
    <mergeCell ref="B65:C65"/>
    <mergeCell ref="B56:C56"/>
    <mergeCell ref="B63:C63"/>
    <mergeCell ref="B64:C64"/>
    <mergeCell ref="J62:K62"/>
    <mergeCell ref="B62:C62"/>
    <mergeCell ref="B59:C59"/>
    <mergeCell ref="J60:K60"/>
    <mergeCell ref="J61:K61"/>
    <mergeCell ref="B60:C60"/>
    <mergeCell ref="B61:C61"/>
    <mergeCell ref="J71:K71"/>
    <mergeCell ref="B66:C66"/>
    <mergeCell ref="J66:K66"/>
    <mergeCell ref="J65:K65"/>
    <mergeCell ref="J64:K64"/>
    <mergeCell ref="B70:C70"/>
    <mergeCell ref="B69:C69"/>
    <mergeCell ref="B68:C68"/>
    <mergeCell ref="J69:K69"/>
    <mergeCell ref="J70:K70"/>
    <mergeCell ref="A19:O19"/>
    <mergeCell ref="B58:C58"/>
    <mergeCell ref="M51:O51"/>
    <mergeCell ref="M15:N15"/>
    <mergeCell ref="J59:K59"/>
    <mergeCell ref="J58:K58"/>
    <mergeCell ref="D30:E30"/>
    <mergeCell ref="F30:G30"/>
    <mergeCell ref="M16:N16"/>
    <mergeCell ref="M17:N17"/>
    <mergeCell ref="N25:O25"/>
    <mergeCell ref="H27:I27"/>
    <mergeCell ref="B57:C57"/>
    <mergeCell ref="B50:G50"/>
    <mergeCell ref="B49:G49"/>
    <mergeCell ref="B48:G48"/>
    <mergeCell ref="A1:A4"/>
    <mergeCell ref="C2:E2"/>
    <mergeCell ref="C3:E3"/>
    <mergeCell ref="C4:E4"/>
    <mergeCell ref="A14:N14"/>
    <mergeCell ref="A8:L8"/>
    <mergeCell ref="F27:G27"/>
    <mergeCell ref="B51:J51"/>
    <mergeCell ref="D28:E28"/>
    <mergeCell ref="B52:J52"/>
    <mergeCell ref="J57:K57"/>
    <mergeCell ref="B53:J53"/>
    <mergeCell ref="D27:E27"/>
    <mergeCell ref="D29:E29"/>
    <mergeCell ref="D31:E31"/>
    <mergeCell ref="D32:E32"/>
    <mergeCell ref="D33:E33"/>
    <mergeCell ref="D34:E34"/>
    <mergeCell ref="F41:G41"/>
    <mergeCell ref="D35:E35"/>
    <mergeCell ref="D36:E36"/>
    <mergeCell ref="D37:E37"/>
    <mergeCell ref="D38:E38"/>
    <mergeCell ref="D39:E39"/>
    <mergeCell ref="D42:E42"/>
    <mergeCell ref="F42:G42"/>
    <mergeCell ref="D40:E40"/>
    <mergeCell ref="D41:E41"/>
    <mergeCell ref="F39:G39"/>
    <mergeCell ref="F40:G40"/>
    <mergeCell ref="H38:I38"/>
    <mergeCell ref="F35:G35"/>
    <mergeCell ref="F37:G37"/>
    <mergeCell ref="F38:G38"/>
    <mergeCell ref="F28:G28"/>
    <mergeCell ref="F29:G29"/>
    <mergeCell ref="F31:G31"/>
    <mergeCell ref="F32:G32"/>
    <mergeCell ref="F34:G34"/>
    <mergeCell ref="F36:G36"/>
    <mergeCell ref="F33:G33"/>
  </mergeCells>
  <phoneticPr fontId="83" type="noConversion"/>
  <conditionalFormatting sqref="C10:K11 D45:D47">
    <cfRule type="cellIs" dxfId="674" priority="6" stopIfTrue="1" operator="greaterThan">
      <formula>600</formula>
    </cfRule>
  </conditionalFormatting>
  <conditionalFormatting sqref="D13">
    <cfRule type="cellIs" dxfId="673" priority="7" stopIfTrue="1" operator="greaterThan">
      <formula>600</formula>
    </cfRule>
  </conditionalFormatting>
  <conditionalFormatting sqref="D18">
    <cfRule type="cellIs" dxfId="672" priority="3" stopIfTrue="1" operator="greaterThan">
      <formula>600</formula>
    </cfRule>
  </conditionalFormatting>
  <conditionalFormatting sqref="D25:D26 D55:D56 D78:D187">
    <cfRule type="cellIs" dxfId="671" priority="9" stopIfTrue="1" operator="greaterThan">
      <formula>600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90C17-7EE4-4A1A-B165-D2672D0C111F}">
  <sheetPr codeName="Sheet10"/>
  <dimension ref="A1:AU304"/>
  <sheetViews>
    <sheetView topLeftCell="A263" workbookViewId="0">
      <selection activeCell="I279" sqref="I279"/>
    </sheetView>
  </sheetViews>
  <sheetFormatPr defaultRowHeight="14.5"/>
  <cols>
    <col min="3" max="3" width="13" customWidth="1"/>
    <col min="5" max="5" width="10.453125" bestFit="1" customWidth="1"/>
    <col min="11" max="11" width="21.54296875" bestFit="1" customWidth="1"/>
    <col min="12" max="12" width="32.81640625" bestFit="1" customWidth="1"/>
  </cols>
  <sheetData>
    <row r="1" spans="1:47" ht="26.5" thickBot="1">
      <c r="A1" s="30" t="s">
        <v>197</v>
      </c>
      <c r="B1" s="30" t="s">
        <v>59</v>
      </c>
      <c r="C1" s="419" t="s">
        <v>57</v>
      </c>
      <c r="D1" s="30" t="s">
        <v>162</v>
      </c>
      <c r="E1" s="30" t="s">
        <v>384</v>
      </c>
      <c r="F1" s="30" t="s">
        <v>385</v>
      </c>
      <c r="G1" s="558" t="s">
        <v>71</v>
      </c>
      <c r="H1" s="559"/>
      <c r="I1" s="559"/>
      <c r="J1" s="560"/>
      <c r="K1" s="30" t="s">
        <v>386</v>
      </c>
      <c r="L1" s="30" t="s">
        <v>192</v>
      </c>
      <c r="M1" s="30" t="s">
        <v>193</v>
      </c>
      <c r="N1" s="558" t="s">
        <v>194</v>
      </c>
      <c r="O1" s="559"/>
      <c r="P1" s="560"/>
      <c r="Q1">
        <v>1</v>
      </c>
      <c r="R1">
        <v>2</v>
      </c>
      <c r="S1">
        <v>3</v>
      </c>
      <c r="T1">
        <v>4</v>
      </c>
      <c r="U1">
        <v>5</v>
      </c>
      <c r="V1">
        <v>6</v>
      </c>
      <c r="W1">
        <v>7</v>
      </c>
      <c r="X1">
        <v>8</v>
      </c>
      <c r="Y1">
        <v>9</v>
      </c>
      <c r="Z1">
        <v>10</v>
      </c>
      <c r="AA1">
        <v>11</v>
      </c>
      <c r="AB1">
        <v>12</v>
      </c>
      <c r="AC1">
        <v>13</v>
      </c>
      <c r="AD1">
        <v>14</v>
      </c>
      <c r="AE1">
        <v>15</v>
      </c>
      <c r="AF1">
        <v>16</v>
      </c>
      <c r="AG1">
        <v>17</v>
      </c>
      <c r="AH1">
        <v>18</v>
      </c>
      <c r="AI1">
        <v>19</v>
      </c>
      <c r="AJ1">
        <v>20</v>
      </c>
      <c r="AK1">
        <v>21</v>
      </c>
      <c r="AL1">
        <v>22</v>
      </c>
      <c r="AM1">
        <v>23</v>
      </c>
      <c r="AN1">
        <v>24</v>
      </c>
      <c r="AO1">
        <v>25</v>
      </c>
      <c r="AP1">
        <v>26</v>
      </c>
      <c r="AQ1">
        <v>27</v>
      </c>
      <c r="AR1">
        <v>28</v>
      </c>
      <c r="AS1">
        <v>29</v>
      </c>
      <c r="AT1">
        <v>30</v>
      </c>
      <c r="AU1">
        <v>31</v>
      </c>
    </row>
    <row r="2" spans="1:47" ht="18.5">
      <c r="A2" s="10">
        <v>1</v>
      </c>
      <c r="B2" s="190" t="s">
        <v>441</v>
      </c>
      <c r="C2" s="10" t="s">
        <v>195</v>
      </c>
      <c r="D2" s="10"/>
      <c r="E2" s="202">
        <v>45536</v>
      </c>
      <c r="F2" s="23">
        <v>43.775756000000008</v>
      </c>
      <c r="G2" s="556" t="s">
        <v>196</v>
      </c>
      <c r="H2" s="556"/>
      <c r="I2" s="556"/>
      <c r="J2" s="556"/>
      <c r="K2" s="202">
        <v>45551</v>
      </c>
      <c r="L2" s="203" t="s">
        <v>664</v>
      </c>
      <c r="M2" s="10"/>
      <c r="N2" s="557"/>
      <c r="O2" s="557"/>
      <c r="P2" s="557"/>
    </row>
    <row r="3" spans="1:47" ht="18.5">
      <c r="A3" s="10">
        <v>2</v>
      </c>
      <c r="B3" s="190" t="s">
        <v>442</v>
      </c>
      <c r="C3" s="10" t="s">
        <v>195</v>
      </c>
      <c r="D3" s="10"/>
      <c r="E3" s="202">
        <v>45551</v>
      </c>
      <c r="F3" s="23">
        <v>43.775756000000008</v>
      </c>
      <c r="G3" s="556" t="s">
        <v>196</v>
      </c>
      <c r="H3" s="556"/>
      <c r="I3" s="556"/>
      <c r="J3" s="556"/>
      <c r="K3" s="202">
        <v>45564</v>
      </c>
      <c r="L3" s="203" t="s">
        <v>664</v>
      </c>
      <c r="M3" s="10"/>
      <c r="N3" s="557"/>
      <c r="O3" s="557"/>
      <c r="P3" s="557"/>
    </row>
    <row r="4" spans="1:47" ht="15.5">
      <c r="A4" s="10">
        <v>3</v>
      </c>
      <c r="B4" s="27" t="s">
        <v>443</v>
      </c>
      <c r="C4" s="10" t="s">
        <v>195</v>
      </c>
      <c r="D4" s="10"/>
      <c r="E4" s="202">
        <v>45551</v>
      </c>
      <c r="F4" s="23">
        <v>43.775756000000008</v>
      </c>
      <c r="G4" s="556" t="s">
        <v>196</v>
      </c>
      <c r="H4" s="556"/>
      <c r="I4" s="556"/>
      <c r="J4" s="556"/>
      <c r="K4" s="202">
        <v>45566</v>
      </c>
      <c r="L4" s="203" t="s">
        <v>665</v>
      </c>
      <c r="M4" s="10"/>
      <c r="N4" s="557"/>
      <c r="O4" s="557"/>
      <c r="P4" s="557"/>
    </row>
    <row r="5" spans="1:47" ht="15.5">
      <c r="A5" s="10">
        <v>4</v>
      </c>
      <c r="B5" s="27" t="s">
        <v>444</v>
      </c>
      <c r="C5" s="10" t="s">
        <v>195</v>
      </c>
      <c r="D5" s="10"/>
      <c r="E5" s="202">
        <v>45566</v>
      </c>
      <c r="F5" s="23">
        <v>43.775756000000008</v>
      </c>
      <c r="G5" s="556" t="s">
        <v>196</v>
      </c>
      <c r="H5" s="556"/>
      <c r="I5" s="556"/>
      <c r="J5" s="556"/>
      <c r="K5" s="202">
        <v>45572</v>
      </c>
      <c r="L5" s="203" t="s">
        <v>664</v>
      </c>
      <c r="M5" s="10"/>
      <c r="N5" s="557"/>
      <c r="O5" s="557"/>
      <c r="P5" s="557"/>
    </row>
    <row r="6" spans="1:47" ht="15.5">
      <c r="A6" s="10">
        <v>5</v>
      </c>
      <c r="B6" s="27" t="s">
        <v>445</v>
      </c>
      <c r="C6" s="10" t="s">
        <v>195</v>
      </c>
      <c r="D6" s="10"/>
      <c r="E6" s="202">
        <v>45568</v>
      </c>
      <c r="F6" s="23">
        <v>43.775756000000008</v>
      </c>
      <c r="G6" s="556" t="s">
        <v>196</v>
      </c>
      <c r="H6" s="556"/>
      <c r="I6" s="556"/>
      <c r="J6" s="556"/>
      <c r="K6" s="202">
        <v>45580</v>
      </c>
      <c r="L6" s="203" t="s">
        <v>665</v>
      </c>
      <c r="M6" s="10"/>
      <c r="N6" s="557"/>
      <c r="O6" s="557"/>
      <c r="P6" s="557"/>
    </row>
    <row r="7" spans="1:47" ht="15.5">
      <c r="A7" s="10">
        <v>6</v>
      </c>
      <c r="B7" s="27" t="s">
        <v>446</v>
      </c>
      <c r="C7" s="10" t="s">
        <v>195</v>
      </c>
      <c r="D7" s="10"/>
      <c r="E7" s="202">
        <v>45573</v>
      </c>
      <c r="F7" s="23">
        <v>43.775756000000008</v>
      </c>
      <c r="G7" s="556" t="s">
        <v>196</v>
      </c>
      <c r="H7" s="556"/>
      <c r="I7" s="556"/>
      <c r="J7" s="556"/>
      <c r="K7" s="202">
        <v>45578</v>
      </c>
      <c r="L7" s="203" t="s">
        <v>664</v>
      </c>
      <c r="M7" s="10"/>
      <c r="N7" s="557"/>
      <c r="O7" s="557"/>
      <c r="P7" s="557"/>
    </row>
    <row r="8" spans="1:47" ht="15.5">
      <c r="A8" s="10">
        <v>7</v>
      </c>
      <c r="B8" s="27" t="s">
        <v>447</v>
      </c>
      <c r="C8" s="10" t="s">
        <v>224</v>
      </c>
      <c r="D8" s="10"/>
      <c r="E8" s="202">
        <v>45579</v>
      </c>
      <c r="F8" s="23">
        <v>46.049156000000004</v>
      </c>
      <c r="G8" s="556" t="s">
        <v>196</v>
      </c>
      <c r="H8" s="556"/>
      <c r="I8" s="556"/>
      <c r="J8" s="556"/>
      <c r="K8" s="202">
        <v>45584</v>
      </c>
      <c r="L8" s="203" t="s">
        <v>664</v>
      </c>
      <c r="M8" s="10"/>
      <c r="N8" s="557"/>
      <c r="O8" s="557"/>
      <c r="P8" s="557"/>
    </row>
    <row r="9" spans="1:47" ht="15.5">
      <c r="A9" s="10">
        <v>8</v>
      </c>
      <c r="B9" s="27" t="s">
        <v>448</v>
      </c>
      <c r="C9" s="10" t="s">
        <v>224</v>
      </c>
      <c r="D9" s="10"/>
      <c r="E9" s="202">
        <v>45580</v>
      </c>
      <c r="F9" s="23">
        <v>46.049156000000004</v>
      </c>
      <c r="G9" s="556" t="s">
        <v>196</v>
      </c>
      <c r="H9" s="556"/>
      <c r="I9" s="556"/>
      <c r="J9" s="556"/>
      <c r="K9" s="202">
        <v>45589</v>
      </c>
      <c r="L9" s="203" t="s">
        <v>665</v>
      </c>
      <c r="M9" s="10"/>
      <c r="N9" s="557"/>
      <c r="O9" s="557"/>
      <c r="P9" s="557"/>
    </row>
    <row r="10" spans="1:47" ht="15.5">
      <c r="A10" s="10">
        <v>9</v>
      </c>
      <c r="B10" s="27" t="s">
        <v>449</v>
      </c>
      <c r="C10" s="10" t="s">
        <v>224</v>
      </c>
      <c r="D10" s="10"/>
      <c r="E10" s="202">
        <v>45585</v>
      </c>
      <c r="F10" s="23">
        <v>46.049156000000004</v>
      </c>
      <c r="G10" s="556" t="s">
        <v>196</v>
      </c>
      <c r="H10" s="556"/>
      <c r="I10" s="556"/>
      <c r="J10" s="556"/>
      <c r="K10" s="202">
        <v>45589</v>
      </c>
      <c r="L10" s="203" t="s">
        <v>664</v>
      </c>
      <c r="M10" s="10"/>
      <c r="N10" s="557"/>
      <c r="O10" s="557"/>
      <c r="P10" s="557"/>
    </row>
    <row r="11" spans="1:47" ht="15.5">
      <c r="A11" s="10">
        <v>10</v>
      </c>
      <c r="B11" s="27" t="s">
        <v>450</v>
      </c>
      <c r="C11" s="10" t="s">
        <v>225</v>
      </c>
      <c r="D11" s="10"/>
      <c r="E11" s="202">
        <v>45589</v>
      </c>
      <c r="F11" s="23">
        <v>42.374236000000003</v>
      </c>
      <c r="G11" s="556" t="s">
        <v>196</v>
      </c>
      <c r="H11" s="556"/>
      <c r="I11" s="556"/>
      <c r="J11" s="556"/>
      <c r="K11" s="202">
        <v>45594</v>
      </c>
      <c r="L11" s="203" t="s">
        <v>664</v>
      </c>
      <c r="M11" s="10"/>
      <c r="N11" s="557"/>
      <c r="O11" s="557"/>
      <c r="P11" s="557"/>
    </row>
    <row r="12" spans="1:47" ht="15.5">
      <c r="A12" s="10">
        <v>11</v>
      </c>
      <c r="B12" s="27" t="s">
        <v>451</v>
      </c>
      <c r="C12" s="10" t="s">
        <v>224</v>
      </c>
      <c r="D12" s="10"/>
      <c r="E12" s="202">
        <v>45589</v>
      </c>
      <c r="F12" s="23">
        <v>46.049156000000004</v>
      </c>
      <c r="G12" s="556" t="s">
        <v>196</v>
      </c>
      <c r="H12" s="556"/>
      <c r="I12" s="556"/>
      <c r="J12" s="556"/>
      <c r="K12" s="202">
        <v>45596</v>
      </c>
      <c r="L12" s="203" t="s">
        <v>665</v>
      </c>
      <c r="M12" s="10"/>
      <c r="N12" s="557"/>
      <c r="O12" s="557"/>
      <c r="P12" s="557"/>
    </row>
    <row r="13" spans="1:47" ht="15.5">
      <c r="A13" s="10">
        <v>12</v>
      </c>
      <c r="B13" s="27" t="s">
        <v>452</v>
      </c>
      <c r="C13" s="10" t="s">
        <v>225</v>
      </c>
      <c r="D13" s="10"/>
      <c r="E13" s="202">
        <v>45597</v>
      </c>
      <c r="F13" s="23">
        <v>42.374236000000003</v>
      </c>
      <c r="G13" s="556" t="s">
        <v>196</v>
      </c>
      <c r="H13" s="556"/>
      <c r="I13" s="556"/>
      <c r="J13" s="556"/>
      <c r="K13" s="202">
        <v>45600</v>
      </c>
      <c r="L13" s="203" t="s">
        <v>664</v>
      </c>
      <c r="M13" s="10"/>
      <c r="N13" s="557"/>
      <c r="O13" s="557"/>
      <c r="P13" s="557"/>
    </row>
    <row r="14" spans="1:47" ht="15.5">
      <c r="A14" s="10">
        <v>13</v>
      </c>
      <c r="B14" s="27" t="s">
        <v>453</v>
      </c>
      <c r="C14" s="10" t="s">
        <v>224</v>
      </c>
      <c r="D14" s="10"/>
      <c r="E14" s="202">
        <v>45601</v>
      </c>
      <c r="F14" s="23">
        <v>46.049156000000004</v>
      </c>
      <c r="G14" s="556" t="s">
        <v>196</v>
      </c>
      <c r="H14" s="556"/>
      <c r="I14" s="556"/>
      <c r="J14" s="556"/>
      <c r="K14" s="202">
        <v>45606</v>
      </c>
      <c r="L14" s="203" t="s">
        <v>664</v>
      </c>
      <c r="M14" s="10"/>
      <c r="N14" s="557"/>
      <c r="O14" s="557"/>
      <c r="P14" s="557"/>
    </row>
    <row r="15" spans="1:47" ht="15.5">
      <c r="A15" s="10">
        <v>14</v>
      </c>
      <c r="B15" s="27" t="s">
        <v>454</v>
      </c>
      <c r="C15" s="10" t="s">
        <v>224</v>
      </c>
      <c r="D15" s="10"/>
      <c r="E15" s="202">
        <v>45597</v>
      </c>
      <c r="F15" s="23">
        <v>46.049156000000004</v>
      </c>
      <c r="G15" s="556" t="s">
        <v>196</v>
      </c>
      <c r="H15" s="556"/>
      <c r="I15" s="556"/>
      <c r="J15" s="556"/>
      <c r="K15" s="202" t="s">
        <v>663</v>
      </c>
      <c r="L15" s="203" t="s">
        <v>665</v>
      </c>
      <c r="M15" s="10"/>
      <c r="N15" s="557"/>
      <c r="O15" s="557"/>
      <c r="P15" s="557"/>
    </row>
    <row r="16" spans="1:47" ht="15.5">
      <c r="A16" s="10">
        <v>15</v>
      </c>
      <c r="B16" s="27" t="s">
        <v>455</v>
      </c>
      <c r="C16" s="10" t="s">
        <v>224</v>
      </c>
      <c r="D16" s="10"/>
      <c r="E16" s="202">
        <v>45606</v>
      </c>
      <c r="F16" s="23">
        <v>46.049156000000004</v>
      </c>
      <c r="G16" s="556" t="s">
        <v>196</v>
      </c>
      <c r="H16" s="556"/>
      <c r="I16" s="556"/>
      <c r="J16" s="556"/>
      <c r="K16" s="202">
        <v>45613</v>
      </c>
      <c r="L16" s="203" t="s">
        <v>664</v>
      </c>
      <c r="M16" s="10"/>
      <c r="N16" s="557"/>
      <c r="O16" s="557"/>
      <c r="P16" s="557"/>
    </row>
    <row r="17" spans="1:16" ht="15.5">
      <c r="A17" s="10">
        <v>16</v>
      </c>
      <c r="B17" s="27" t="s">
        <v>456</v>
      </c>
      <c r="C17" s="10" t="s">
        <v>224</v>
      </c>
      <c r="D17" s="10"/>
      <c r="E17" s="202">
        <v>45613</v>
      </c>
      <c r="F17" s="23">
        <v>46.049156000000004</v>
      </c>
      <c r="G17" s="556" t="s">
        <v>196</v>
      </c>
      <c r="H17" s="556"/>
      <c r="I17" s="556"/>
      <c r="J17" s="556"/>
      <c r="K17" s="202">
        <v>45618</v>
      </c>
      <c r="L17" s="203" t="s">
        <v>664</v>
      </c>
      <c r="M17" s="10"/>
      <c r="N17" s="557"/>
      <c r="O17" s="557"/>
      <c r="P17" s="557"/>
    </row>
    <row r="18" spans="1:16" ht="15.5">
      <c r="A18" s="10">
        <v>17</v>
      </c>
      <c r="B18" s="27" t="s">
        <v>457</v>
      </c>
      <c r="C18" s="10" t="s">
        <v>224</v>
      </c>
      <c r="D18" s="10"/>
      <c r="E18" s="202">
        <v>45606</v>
      </c>
      <c r="F18" s="23">
        <v>46.049156000000004</v>
      </c>
      <c r="G18" s="556" t="s">
        <v>196</v>
      </c>
      <c r="H18" s="556"/>
      <c r="I18" s="556"/>
      <c r="J18" s="556"/>
      <c r="K18" s="202">
        <v>45620</v>
      </c>
      <c r="L18" s="203" t="s">
        <v>666</v>
      </c>
      <c r="M18" s="10"/>
      <c r="N18" s="557"/>
      <c r="O18" s="557"/>
      <c r="P18" s="557"/>
    </row>
    <row r="19" spans="1:16" ht="15.5">
      <c r="A19" s="10">
        <v>18</v>
      </c>
      <c r="B19" s="27" t="s">
        <v>458</v>
      </c>
      <c r="C19" s="10" t="s">
        <v>224</v>
      </c>
      <c r="D19" s="10"/>
      <c r="E19" s="202">
        <v>45606</v>
      </c>
      <c r="F19" s="23">
        <v>46.049156000000004</v>
      </c>
      <c r="G19" s="556" t="s">
        <v>196</v>
      </c>
      <c r="H19" s="556"/>
      <c r="I19" s="556"/>
      <c r="J19" s="556"/>
      <c r="K19" s="202">
        <v>45622</v>
      </c>
      <c r="L19" s="203" t="s">
        <v>420</v>
      </c>
      <c r="M19" s="10"/>
      <c r="N19" s="557"/>
      <c r="O19" s="557"/>
      <c r="P19" s="557"/>
    </row>
    <row r="20" spans="1:16" ht="15.5">
      <c r="A20" s="10">
        <v>19</v>
      </c>
      <c r="B20" s="27" t="s">
        <v>459</v>
      </c>
      <c r="C20" s="10" t="s">
        <v>224</v>
      </c>
      <c r="D20" s="10"/>
      <c r="E20" s="202">
        <v>45610</v>
      </c>
      <c r="F20" s="23">
        <v>46.049156000000004</v>
      </c>
      <c r="G20" s="556" t="s">
        <v>196</v>
      </c>
      <c r="H20" s="556"/>
      <c r="I20" s="556"/>
      <c r="J20" s="556"/>
      <c r="K20" s="202">
        <v>45621</v>
      </c>
      <c r="L20" s="203" t="s">
        <v>667</v>
      </c>
      <c r="M20" s="10"/>
      <c r="N20" s="557"/>
      <c r="O20" s="557"/>
      <c r="P20" s="557"/>
    </row>
    <row r="21" spans="1:16" ht="15.5">
      <c r="A21" s="10">
        <v>20</v>
      </c>
      <c r="B21" s="27" t="s">
        <v>460</v>
      </c>
      <c r="C21" s="10" t="s">
        <v>224</v>
      </c>
      <c r="D21" s="10"/>
      <c r="E21" s="202">
        <v>45606</v>
      </c>
      <c r="F21" s="23">
        <v>46.049156000000004</v>
      </c>
      <c r="G21" s="556" t="s">
        <v>196</v>
      </c>
      <c r="H21" s="556"/>
      <c r="I21" s="556"/>
      <c r="J21" s="556"/>
      <c r="K21" s="202">
        <v>45621</v>
      </c>
      <c r="L21" s="203" t="s">
        <v>665</v>
      </c>
      <c r="M21" s="10"/>
      <c r="N21" s="557"/>
      <c r="O21" s="557"/>
      <c r="P21" s="557"/>
    </row>
    <row r="22" spans="1:16" ht="15.5">
      <c r="A22" s="10">
        <v>21</v>
      </c>
      <c r="B22" s="27" t="s">
        <v>461</v>
      </c>
      <c r="C22" s="10" t="s">
        <v>224</v>
      </c>
      <c r="D22" s="10"/>
      <c r="E22" s="202">
        <v>45618</v>
      </c>
      <c r="F22" s="23">
        <v>46.049156000000004</v>
      </c>
      <c r="G22" s="556" t="s">
        <v>196</v>
      </c>
      <c r="H22" s="556"/>
      <c r="I22" s="556"/>
      <c r="J22" s="556"/>
      <c r="K22" s="202">
        <v>45624</v>
      </c>
      <c r="L22" s="203" t="s">
        <v>664</v>
      </c>
      <c r="M22" s="10"/>
      <c r="N22" s="561"/>
      <c r="O22" s="561"/>
      <c r="P22" s="561"/>
    </row>
    <row r="23" spans="1:16" ht="15.5">
      <c r="A23" s="10">
        <v>22</v>
      </c>
      <c r="B23" s="27" t="s">
        <v>102</v>
      </c>
      <c r="C23" s="10" t="s">
        <v>195</v>
      </c>
      <c r="D23" s="10"/>
      <c r="E23" s="202">
        <v>45606</v>
      </c>
      <c r="F23" s="23">
        <v>43.775756000000008</v>
      </c>
      <c r="G23" s="556" t="s">
        <v>196</v>
      </c>
      <c r="H23" s="556"/>
      <c r="I23" s="556"/>
      <c r="J23" s="556"/>
      <c r="K23" s="202">
        <v>45625</v>
      </c>
      <c r="L23" s="203" t="s">
        <v>668</v>
      </c>
      <c r="M23" s="10"/>
      <c r="N23" s="562"/>
      <c r="O23" s="562"/>
      <c r="P23" s="562"/>
    </row>
    <row r="24" spans="1:16" ht="15.5">
      <c r="A24" s="10">
        <v>23</v>
      </c>
      <c r="B24" s="27" t="s">
        <v>462</v>
      </c>
      <c r="C24" s="10" t="s">
        <v>224</v>
      </c>
      <c r="D24" s="10"/>
      <c r="E24" s="202">
        <v>45622</v>
      </c>
      <c r="F24" s="23">
        <v>46.049156000000004</v>
      </c>
      <c r="G24" s="556" t="s">
        <v>196</v>
      </c>
      <c r="H24" s="556"/>
      <c r="I24" s="556"/>
      <c r="J24" s="556"/>
      <c r="K24" s="202">
        <v>45629</v>
      </c>
      <c r="L24" s="203" t="s">
        <v>666</v>
      </c>
      <c r="M24" s="10"/>
      <c r="N24" s="557"/>
      <c r="O24" s="557"/>
      <c r="P24" s="557"/>
    </row>
    <row r="25" spans="1:16" ht="15.5">
      <c r="A25" s="10">
        <v>24</v>
      </c>
      <c r="B25" s="27" t="s">
        <v>463</v>
      </c>
      <c r="C25" s="10" t="s">
        <v>195</v>
      </c>
      <c r="D25" s="10"/>
      <c r="E25" s="202">
        <v>45624</v>
      </c>
      <c r="F25" s="23">
        <v>43.775756000000008</v>
      </c>
      <c r="G25" s="556" t="s">
        <v>196</v>
      </c>
      <c r="H25" s="556"/>
      <c r="I25" s="556"/>
      <c r="J25" s="556"/>
      <c r="K25" s="202">
        <v>45631</v>
      </c>
      <c r="L25" s="203" t="s">
        <v>420</v>
      </c>
      <c r="M25" s="10"/>
      <c r="N25" s="557"/>
      <c r="O25" s="557"/>
      <c r="P25" s="557"/>
    </row>
    <row r="26" spans="1:16" ht="15.5">
      <c r="A26" s="10">
        <v>25</v>
      </c>
      <c r="B26" s="27" t="s">
        <v>464</v>
      </c>
      <c r="C26" s="10" t="s">
        <v>195</v>
      </c>
      <c r="D26" s="10"/>
      <c r="E26" s="202">
        <v>45625</v>
      </c>
      <c r="F26" s="23">
        <v>43.775756000000008</v>
      </c>
      <c r="G26" s="556" t="s">
        <v>196</v>
      </c>
      <c r="H26" s="556"/>
      <c r="I26" s="556"/>
      <c r="J26" s="556"/>
      <c r="K26" s="202">
        <v>45631</v>
      </c>
      <c r="L26" s="203" t="s">
        <v>664</v>
      </c>
      <c r="M26" s="10"/>
      <c r="N26" s="561"/>
      <c r="O26" s="561"/>
      <c r="P26" s="561"/>
    </row>
    <row r="27" spans="1:16" ht="15.5">
      <c r="A27" s="10">
        <v>26</v>
      </c>
      <c r="B27" s="27" t="s">
        <v>465</v>
      </c>
      <c r="C27" s="10" t="s">
        <v>224</v>
      </c>
      <c r="D27" s="10"/>
      <c r="E27" s="202">
        <v>45624</v>
      </c>
      <c r="F27" s="23">
        <v>46.049156000000004</v>
      </c>
      <c r="G27" s="556" t="s">
        <v>196</v>
      </c>
      <c r="H27" s="556"/>
      <c r="I27" s="556"/>
      <c r="J27" s="556"/>
      <c r="K27" s="202">
        <v>45631</v>
      </c>
      <c r="L27" s="203" t="s">
        <v>667</v>
      </c>
      <c r="M27" s="10"/>
      <c r="N27" s="561"/>
      <c r="O27" s="561"/>
      <c r="P27" s="561"/>
    </row>
    <row r="28" spans="1:16" ht="15.5">
      <c r="A28" s="10">
        <v>27</v>
      </c>
      <c r="B28" s="27" t="s">
        <v>466</v>
      </c>
      <c r="C28" s="10" t="s">
        <v>195</v>
      </c>
      <c r="D28" s="10"/>
      <c r="E28" s="202">
        <v>45625</v>
      </c>
      <c r="F28" s="23">
        <v>43.775756000000008</v>
      </c>
      <c r="G28" s="556" t="s">
        <v>196</v>
      </c>
      <c r="H28" s="556"/>
      <c r="I28" s="556"/>
      <c r="J28" s="556"/>
      <c r="K28" s="202">
        <v>45632</v>
      </c>
      <c r="L28" s="203" t="s">
        <v>665</v>
      </c>
      <c r="M28" s="10"/>
      <c r="N28" s="561"/>
      <c r="O28" s="561"/>
      <c r="P28" s="561"/>
    </row>
    <row r="29" spans="1:16" ht="15.5">
      <c r="A29" s="10">
        <v>28</v>
      </c>
      <c r="B29" s="27" t="s">
        <v>467</v>
      </c>
      <c r="C29" s="10" t="s">
        <v>195</v>
      </c>
      <c r="D29" s="10"/>
      <c r="E29" s="202">
        <v>45627</v>
      </c>
      <c r="F29" s="23">
        <v>43.775756000000008</v>
      </c>
      <c r="G29" s="556" t="s">
        <v>196</v>
      </c>
      <c r="H29" s="556"/>
      <c r="I29" s="556"/>
      <c r="J29" s="556"/>
      <c r="K29" s="202">
        <v>45635</v>
      </c>
      <c r="L29" s="203" t="s">
        <v>666</v>
      </c>
      <c r="M29" s="10"/>
      <c r="N29" s="561"/>
      <c r="O29" s="561"/>
      <c r="P29" s="561"/>
    </row>
    <row r="30" spans="1:16" ht="15.5">
      <c r="A30" s="10">
        <v>29</v>
      </c>
      <c r="B30" s="27" t="s">
        <v>103</v>
      </c>
      <c r="C30" s="10" t="s">
        <v>224</v>
      </c>
      <c r="D30" s="10"/>
      <c r="E30" s="202">
        <v>45626</v>
      </c>
      <c r="F30" s="23">
        <v>46.049156000000004</v>
      </c>
      <c r="G30" s="556" t="s">
        <v>196</v>
      </c>
      <c r="H30" s="556"/>
      <c r="I30" s="556"/>
      <c r="J30" s="556"/>
      <c r="K30" s="202">
        <v>45636</v>
      </c>
      <c r="L30" s="203" t="s">
        <v>668</v>
      </c>
      <c r="M30" s="10"/>
      <c r="N30" s="561"/>
      <c r="O30" s="561"/>
      <c r="P30" s="561"/>
    </row>
    <row r="31" spans="1:16" ht="15.5">
      <c r="A31" s="10">
        <v>30</v>
      </c>
      <c r="B31" s="27" t="s">
        <v>468</v>
      </c>
      <c r="C31" s="10" t="s">
        <v>195</v>
      </c>
      <c r="D31" s="10"/>
      <c r="E31" s="202">
        <v>45632</v>
      </c>
      <c r="F31" s="23">
        <v>43.775756000000008</v>
      </c>
      <c r="G31" s="556" t="s">
        <v>196</v>
      </c>
      <c r="H31" s="556"/>
      <c r="I31" s="556"/>
      <c r="J31" s="556"/>
      <c r="K31" s="202">
        <v>45638</v>
      </c>
      <c r="L31" s="203" t="s">
        <v>664</v>
      </c>
      <c r="M31" s="10"/>
      <c r="N31" s="561"/>
      <c r="O31" s="561"/>
      <c r="P31" s="561"/>
    </row>
    <row r="32" spans="1:16" ht="15.5">
      <c r="A32" s="10">
        <v>31</v>
      </c>
      <c r="B32" s="27" t="s">
        <v>469</v>
      </c>
      <c r="C32" s="10" t="s">
        <v>195</v>
      </c>
      <c r="D32" s="10"/>
      <c r="E32" s="202">
        <v>45632</v>
      </c>
      <c r="F32" s="23">
        <v>43.775756000000008</v>
      </c>
      <c r="G32" s="556" t="s">
        <v>196</v>
      </c>
      <c r="H32" s="556"/>
      <c r="I32" s="556"/>
      <c r="J32" s="556"/>
      <c r="K32" s="202">
        <v>45638</v>
      </c>
      <c r="L32" s="203" t="s">
        <v>667</v>
      </c>
      <c r="M32" s="10"/>
      <c r="N32" s="561"/>
      <c r="O32" s="561"/>
      <c r="P32" s="561"/>
    </row>
    <row r="33" spans="1:16" ht="15.5">
      <c r="A33" s="10">
        <v>32</v>
      </c>
      <c r="B33" s="27" t="s">
        <v>470</v>
      </c>
      <c r="C33" s="10" t="s">
        <v>195</v>
      </c>
      <c r="D33" s="10"/>
      <c r="E33" s="202">
        <v>45632</v>
      </c>
      <c r="F33" s="23">
        <v>43.775756000000008</v>
      </c>
      <c r="G33" s="556" t="s">
        <v>196</v>
      </c>
      <c r="H33" s="556"/>
      <c r="I33" s="556"/>
      <c r="J33" s="556"/>
      <c r="K33" s="202">
        <v>45639</v>
      </c>
      <c r="L33" s="203" t="s">
        <v>420</v>
      </c>
      <c r="M33" s="10"/>
      <c r="N33" s="561"/>
      <c r="O33" s="561"/>
      <c r="P33" s="561"/>
    </row>
    <row r="34" spans="1:16" ht="15.5">
      <c r="A34" s="10">
        <v>33</v>
      </c>
      <c r="B34" s="27" t="s">
        <v>471</v>
      </c>
      <c r="C34" s="10" t="s">
        <v>224</v>
      </c>
      <c r="D34" s="10"/>
      <c r="E34" s="202">
        <v>45636</v>
      </c>
      <c r="F34" s="23">
        <v>46.049156000000004</v>
      </c>
      <c r="G34" s="556" t="s">
        <v>196</v>
      </c>
      <c r="H34" s="556"/>
      <c r="I34" s="556"/>
      <c r="J34" s="556"/>
      <c r="K34" s="202">
        <v>45642</v>
      </c>
      <c r="L34" s="203" t="s">
        <v>666</v>
      </c>
      <c r="M34" s="10"/>
      <c r="N34" s="561"/>
      <c r="O34" s="561"/>
      <c r="P34" s="561"/>
    </row>
    <row r="35" spans="1:16" ht="15.5">
      <c r="A35" s="10">
        <v>34</v>
      </c>
      <c r="B35" s="27" t="s">
        <v>472</v>
      </c>
      <c r="C35" s="10" t="s">
        <v>225</v>
      </c>
      <c r="D35" s="10"/>
      <c r="E35" s="202">
        <v>45638</v>
      </c>
      <c r="F35" s="23">
        <v>42.374236000000003</v>
      </c>
      <c r="G35" s="556" t="s">
        <v>196</v>
      </c>
      <c r="H35" s="556"/>
      <c r="I35" s="556"/>
      <c r="J35" s="556"/>
      <c r="K35" s="202">
        <v>45642</v>
      </c>
      <c r="L35" s="203" t="s">
        <v>667</v>
      </c>
      <c r="M35" s="10"/>
      <c r="N35" s="561"/>
      <c r="O35" s="561"/>
      <c r="P35" s="561"/>
    </row>
    <row r="36" spans="1:16" ht="15.5">
      <c r="A36" s="10">
        <v>35</v>
      </c>
      <c r="B36" s="27" t="s">
        <v>473</v>
      </c>
      <c r="C36" s="10" t="s">
        <v>195</v>
      </c>
      <c r="D36" s="10"/>
      <c r="E36" s="202">
        <v>45638</v>
      </c>
      <c r="F36" s="23">
        <v>43.775756000000008</v>
      </c>
      <c r="G36" s="556" t="s">
        <v>196</v>
      </c>
      <c r="H36" s="556"/>
      <c r="I36" s="556"/>
      <c r="J36" s="556"/>
      <c r="K36" s="202">
        <v>45643</v>
      </c>
      <c r="L36" s="203" t="s">
        <v>664</v>
      </c>
      <c r="M36" s="10"/>
      <c r="N36" s="561"/>
      <c r="O36" s="561"/>
      <c r="P36" s="561"/>
    </row>
    <row r="37" spans="1:16" ht="15.5">
      <c r="A37" s="10">
        <v>36</v>
      </c>
      <c r="B37" s="27" t="s">
        <v>331</v>
      </c>
      <c r="C37" s="10" t="s">
        <v>224</v>
      </c>
      <c r="D37" s="10"/>
      <c r="E37" s="202">
        <v>45632</v>
      </c>
      <c r="F37" s="23">
        <v>46.049156000000004</v>
      </c>
      <c r="G37" s="556" t="s">
        <v>196</v>
      </c>
      <c r="H37" s="556"/>
      <c r="I37" s="556"/>
      <c r="J37" s="556"/>
      <c r="K37" s="202">
        <v>45645</v>
      </c>
      <c r="L37" s="203" t="s">
        <v>665</v>
      </c>
      <c r="M37" s="10"/>
      <c r="N37" s="561"/>
      <c r="O37" s="561"/>
      <c r="P37" s="561"/>
    </row>
    <row r="38" spans="1:16" ht="15.5">
      <c r="A38" s="10">
        <v>37</v>
      </c>
      <c r="B38" s="27" t="s">
        <v>111</v>
      </c>
      <c r="C38" s="10" t="s">
        <v>225</v>
      </c>
      <c r="D38" s="10"/>
      <c r="E38" s="202">
        <v>45636</v>
      </c>
      <c r="F38" s="23">
        <v>42.374236000000003</v>
      </c>
      <c r="G38" s="556" t="s">
        <v>196</v>
      </c>
      <c r="H38" s="556"/>
      <c r="I38" s="556"/>
      <c r="J38" s="556"/>
      <c r="K38" s="202">
        <v>45646</v>
      </c>
      <c r="L38" s="203" t="s">
        <v>668</v>
      </c>
      <c r="M38" s="10"/>
      <c r="N38" s="561"/>
      <c r="O38" s="561"/>
      <c r="P38" s="561"/>
    </row>
    <row r="39" spans="1:16" ht="15.5">
      <c r="A39" s="10">
        <v>38</v>
      </c>
      <c r="B39" s="27" t="s">
        <v>474</v>
      </c>
      <c r="C39" s="10" t="s">
        <v>195</v>
      </c>
      <c r="D39" s="10"/>
      <c r="E39" s="202">
        <v>45639</v>
      </c>
      <c r="F39" s="23">
        <v>43.775756000000008</v>
      </c>
      <c r="G39" s="556" t="s">
        <v>196</v>
      </c>
      <c r="H39" s="556"/>
      <c r="I39" s="556"/>
      <c r="J39" s="556"/>
      <c r="K39" s="202">
        <v>45647</v>
      </c>
      <c r="L39" s="203" t="s">
        <v>420</v>
      </c>
      <c r="M39" s="10"/>
      <c r="N39" s="561"/>
      <c r="O39" s="561"/>
      <c r="P39" s="561"/>
    </row>
    <row r="40" spans="1:16" ht="15.5">
      <c r="A40" s="10">
        <v>39</v>
      </c>
      <c r="B40" s="27" t="s">
        <v>475</v>
      </c>
      <c r="C40" s="10" t="s">
        <v>195</v>
      </c>
      <c r="D40" s="10"/>
      <c r="E40" s="202">
        <v>45643</v>
      </c>
      <c r="F40" s="23">
        <v>43.775756000000008</v>
      </c>
      <c r="G40" s="556" t="s">
        <v>196</v>
      </c>
      <c r="H40" s="556"/>
      <c r="I40" s="556"/>
      <c r="J40" s="556"/>
      <c r="K40" s="202">
        <v>45648</v>
      </c>
      <c r="L40" s="203" t="s">
        <v>667</v>
      </c>
      <c r="M40" s="10"/>
      <c r="N40" s="561"/>
      <c r="O40" s="561"/>
      <c r="P40" s="561"/>
    </row>
    <row r="41" spans="1:16" ht="18.5">
      <c r="A41" s="10">
        <v>40</v>
      </c>
      <c r="B41" s="27" t="s">
        <v>476</v>
      </c>
      <c r="C41" s="10" t="s">
        <v>195</v>
      </c>
      <c r="D41" s="10"/>
      <c r="E41" s="202">
        <v>45644</v>
      </c>
      <c r="F41" s="23">
        <v>43.775756000000008</v>
      </c>
      <c r="G41" s="556" t="s">
        <v>196</v>
      </c>
      <c r="H41" s="556"/>
      <c r="I41" s="556"/>
      <c r="J41" s="556"/>
      <c r="K41" s="202">
        <v>45649</v>
      </c>
      <c r="L41" s="204" t="s">
        <v>664</v>
      </c>
      <c r="M41" s="10"/>
      <c r="N41" s="563"/>
      <c r="O41" s="563"/>
      <c r="P41" s="563"/>
    </row>
    <row r="42" spans="1:16" ht="28.5">
      <c r="A42" s="10">
        <v>41</v>
      </c>
      <c r="B42" s="27" t="s">
        <v>477</v>
      </c>
      <c r="C42" s="10" t="s">
        <v>224</v>
      </c>
      <c r="D42" s="10"/>
      <c r="E42" s="202">
        <v>45644</v>
      </c>
      <c r="F42" s="23">
        <v>46.049156000000004</v>
      </c>
      <c r="G42" s="556" t="s">
        <v>196</v>
      </c>
      <c r="H42" s="556"/>
      <c r="I42" s="556"/>
      <c r="J42" s="556"/>
      <c r="K42" s="202">
        <v>45649</v>
      </c>
      <c r="L42" s="203" t="s">
        <v>666</v>
      </c>
      <c r="M42" s="10"/>
      <c r="N42" s="564"/>
      <c r="O42" s="564"/>
      <c r="P42" s="564"/>
    </row>
    <row r="43" spans="1:16" ht="28.5">
      <c r="A43" s="10">
        <v>42</v>
      </c>
      <c r="B43" s="27" t="s">
        <v>5</v>
      </c>
      <c r="C43" s="10" t="s">
        <v>224</v>
      </c>
      <c r="D43" s="10"/>
      <c r="E43" s="202">
        <v>45647</v>
      </c>
      <c r="F43" s="23">
        <v>46.049156000000004</v>
      </c>
      <c r="G43" s="556" t="s">
        <v>196</v>
      </c>
      <c r="H43" s="556"/>
      <c r="I43" s="556"/>
      <c r="J43" s="556"/>
      <c r="K43" s="202">
        <v>45653</v>
      </c>
      <c r="L43" s="203" t="s">
        <v>668</v>
      </c>
      <c r="M43" s="10"/>
      <c r="N43" s="564"/>
      <c r="O43" s="564"/>
      <c r="P43" s="564"/>
    </row>
    <row r="44" spans="1:16" ht="28.5">
      <c r="A44" s="10">
        <v>43</v>
      </c>
      <c r="B44" s="27" t="s">
        <v>478</v>
      </c>
      <c r="C44" s="10" t="s">
        <v>225</v>
      </c>
      <c r="D44" s="10"/>
      <c r="E44" s="202">
        <v>45648</v>
      </c>
      <c r="F44" s="23">
        <v>42.374236000000003</v>
      </c>
      <c r="G44" s="556" t="s">
        <v>196</v>
      </c>
      <c r="H44" s="556"/>
      <c r="I44" s="556"/>
      <c r="J44" s="556"/>
      <c r="K44" s="202">
        <v>45653</v>
      </c>
      <c r="L44" s="203" t="s">
        <v>420</v>
      </c>
      <c r="M44" s="10"/>
      <c r="N44" s="564"/>
      <c r="O44" s="564"/>
      <c r="P44" s="564"/>
    </row>
    <row r="45" spans="1:16" ht="21">
      <c r="A45" s="10">
        <v>44</v>
      </c>
      <c r="B45" s="27" t="s">
        <v>479</v>
      </c>
      <c r="C45" s="10" t="s">
        <v>224</v>
      </c>
      <c r="D45" s="10"/>
      <c r="E45" s="202">
        <v>45650</v>
      </c>
      <c r="F45" s="23">
        <v>46.049156000000004</v>
      </c>
      <c r="G45" s="556" t="s">
        <v>196</v>
      </c>
      <c r="H45" s="556"/>
      <c r="I45" s="556"/>
      <c r="J45" s="556"/>
      <c r="K45" s="202">
        <v>45653</v>
      </c>
      <c r="L45" s="203" t="s">
        <v>667</v>
      </c>
      <c r="M45" s="10"/>
      <c r="N45" s="565"/>
      <c r="O45" s="565"/>
      <c r="P45" s="565"/>
    </row>
    <row r="46" spans="1:16" ht="21">
      <c r="A46" s="10">
        <v>45</v>
      </c>
      <c r="B46" s="27" t="s">
        <v>480</v>
      </c>
      <c r="C46" s="10" t="s">
        <v>195</v>
      </c>
      <c r="D46" s="10"/>
      <c r="E46" s="202">
        <v>45650</v>
      </c>
      <c r="F46" s="23">
        <v>43.775756000000008</v>
      </c>
      <c r="G46" s="556" t="s">
        <v>196</v>
      </c>
      <c r="H46" s="556"/>
      <c r="I46" s="556"/>
      <c r="J46" s="556"/>
      <c r="K46" s="202">
        <v>45656</v>
      </c>
      <c r="L46" s="203" t="s">
        <v>666</v>
      </c>
      <c r="M46" s="10"/>
      <c r="N46" s="565"/>
      <c r="O46" s="565"/>
      <c r="P46" s="565"/>
    </row>
    <row r="47" spans="1:16" ht="21">
      <c r="A47" s="10">
        <v>46</v>
      </c>
      <c r="B47" s="27" t="s">
        <v>481</v>
      </c>
      <c r="C47" s="10" t="s">
        <v>224</v>
      </c>
      <c r="D47" s="10"/>
      <c r="E47" s="202">
        <v>45646</v>
      </c>
      <c r="F47" s="23">
        <v>46.049156000000004</v>
      </c>
      <c r="G47" s="556" t="s">
        <v>196</v>
      </c>
      <c r="H47" s="556"/>
      <c r="I47" s="556"/>
      <c r="J47" s="556"/>
      <c r="K47" s="202">
        <v>45657</v>
      </c>
      <c r="L47" s="203" t="s">
        <v>665</v>
      </c>
      <c r="M47" s="10"/>
      <c r="N47" s="565"/>
      <c r="O47" s="565"/>
      <c r="P47" s="565"/>
    </row>
    <row r="48" spans="1:16" ht="21">
      <c r="A48" s="10">
        <v>47</v>
      </c>
      <c r="B48" s="27" t="s">
        <v>482</v>
      </c>
      <c r="C48" s="10" t="s">
        <v>225</v>
      </c>
      <c r="D48" s="10"/>
      <c r="E48" s="202">
        <v>45650</v>
      </c>
      <c r="F48" s="23">
        <v>42.374236000000003</v>
      </c>
      <c r="G48" s="556" t="s">
        <v>196</v>
      </c>
      <c r="H48" s="556"/>
      <c r="I48" s="556"/>
      <c r="J48" s="556"/>
      <c r="K48" s="202">
        <v>45657</v>
      </c>
      <c r="L48" s="203" t="s">
        <v>664</v>
      </c>
      <c r="M48" s="10"/>
      <c r="N48" s="565"/>
      <c r="O48" s="565"/>
      <c r="P48" s="565"/>
    </row>
    <row r="49" spans="1:16" ht="21">
      <c r="A49" s="10">
        <v>48</v>
      </c>
      <c r="B49" s="27" t="s">
        <v>483</v>
      </c>
      <c r="C49" s="10" t="s">
        <v>224</v>
      </c>
      <c r="D49" s="10"/>
      <c r="E49" s="202">
        <v>45650</v>
      </c>
      <c r="F49" s="23">
        <v>46.049156000000004</v>
      </c>
      <c r="G49" s="556" t="s">
        <v>196</v>
      </c>
      <c r="H49" s="556"/>
      <c r="I49" s="556"/>
      <c r="J49" s="556"/>
      <c r="K49" s="202">
        <v>45660</v>
      </c>
      <c r="L49" s="203" t="s">
        <v>669</v>
      </c>
      <c r="M49" s="10"/>
      <c r="N49" s="565"/>
      <c r="O49" s="565"/>
      <c r="P49" s="565"/>
    </row>
    <row r="50" spans="1:16" ht="26">
      <c r="A50" s="10">
        <v>49</v>
      </c>
      <c r="B50" s="27" t="s">
        <v>484</v>
      </c>
      <c r="C50" s="10" t="s">
        <v>224</v>
      </c>
      <c r="D50" s="10"/>
      <c r="E50" s="202">
        <v>45654</v>
      </c>
      <c r="F50" s="23">
        <v>46.049156000000004</v>
      </c>
      <c r="G50" s="556" t="s">
        <v>196</v>
      </c>
      <c r="H50" s="556"/>
      <c r="I50" s="556"/>
      <c r="J50" s="556"/>
      <c r="K50" s="202">
        <v>45660</v>
      </c>
      <c r="L50" s="203" t="s">
        <v>667</v>
      </c>
      <c r="M50" s="10"/>
      <c r="N50" s="566"/>
      <c r="O50" s="566"/>
      <c r="P50" s="566"/>
    </row>
    <row r="51" spans="1:16" ht="26">
      <c r="A51" s="10">
        <v>50</v>
      </c>
      <c r="B51" s="27" t="s">
        <v>6</v>
      </c>
      <c r="C51" s="10" t="s">
        <v>195</v>
      </c>
      <c r="D51" s="10"/>
      <c r="E51" s="202">
        <v>45654</v>
      </c>
      <c r="F51" s="23">
        <v>43.775756000000008</v>
      </c>
      <c r="G51" s="556" t="s">
        <v>196</v>
      </c>
      <c r="H51" s="556"/>
      <c r="I51" s="556"/>
      <c r="J51" s="556"/>
      <c r="K51" s="202">
        <v>45661</v>
      </c>
      <c r="L51" s="203" t="s">
        <v>668</v>
      </c>
      <c r="M51" s="10"/>
      <c r="N51" s="566"/>
      <c r="O51" s="566"/>
      <c r="P51" s="566"/>
    </row>
    <row r="52" spans="1:16" ht="26">
      <c r="A52" s="10">
        <v>51</v>
      </c>
      <c r="B52" s="27" t="s">
        <v>485</v>
      </c>
      <c r="C52" s="10" t="s">
        <v>224</v>
      </c>
      <c r="D52" s="10"/>
      <c r="E52" s="202">
        <v>45657</v>
      </c>
      <c r="F52" s="23">
        <v>46.049156000000004</v>
      </c>
      <c r="G52" s="556" t="s">
        <v>196</v>
      </c>
      <c r="H52" s="556"/>
      <c r="I52" s="556"/>
      <c r="J52" s="556"/>
      <c r="K52" s="202">
        <v>45664</v>
      </c>
      <c r="L52" s="203" t="s">
        <v>666</v>
      </c>
      <c r="M52" s="10"/>
      <c r="N52" s="566"/>
      <c r="O52" s="566"/>
      <c r="P52" s="566"/>
    </row>
    <row r="53" spans="1:16" ht="26">
      <c r="A53" s="10">
        <v>52</v>
      </c>
      <c r="B53" s="27" t="s">
        <v>486</v>
      </c>
      <c r="C53" s="10" t="s">
        <v>195</v>
      </c>
      <c r="D53" s="10"/>
      <c r="E53" s="202">
        <v>45654</v>
      </c>
      <c r="F53" s="23">
        <v>43.775756000000008</v>
      </c>
      <c r="G53" s="556" t="s">
        <v>196</v>
      </c>
      <c r="H53" s="556"/>
      <c r="I53" s="556"/>
      <c r="J53" s="556"/>
      <c r="K53" s="202">
        <v>45665</v>
      </c>
      <c r="L53" s="203" t="s">
        <v>420</v>
      </c>
      <c r="M53" s="10"/>
      <c r="N53" s="566"/>
      <c r="O53" s="566"/>
      <c r="P53" s="566"/>
    </row>
    <row r="54" spans="1:16" ht="26">
      <c r="A54" s="10">
        <v>53</v>
      </c>
      <c r="B54" s="27" t="s">
        <v>487</v>
      </c>
      <c r="C54" s="10" t="s">
        <v>224</v>
      </c>
      <c r="D54" s="10"/>
      <c r="E54" s="202">
        <v>45658</v>
      </c>
      <c r="F54" s="23">
        <v>46.049156000000004</v>
      </c>
      <c r="G54" s="556" t="s">
        <v>196</v>
      </c>
      <c r="H54" s="556"/>
      <c r="I54" s="556"/>
      <c r="J54" s="556"/>
      <c r="K54" s="202">
        <v>45667</v>
      </c>
      <c r="L54" s="203" t="s">
        <v>664</v>
      </c>
      <c r="M54" s="10"/>
      <c r="N54" s="566"/>
      <c r="O54" s="566"/>
      <c r="P54" s="566"/>
    </row>
    <row r="55" spans="1:16" ht="26">
      <c r="A55" s="10">
        <v>54</v>
      </c>
      <c r="B55" s="193" t="s">
        <v>488</v>
      </c>
      <c r="C55" s="10" t="s">
        <v>225</v>
      </c>
      <c r="D55" s="10"/>
      <c r="E55" s="202">
        <v>45661</v>
      </c>
      <c r="F55" s="23">
        <v>42.374236000000003</v>
      </c>
      <c r="G55" s="556" t="s">
        <v>196</v>
      </c>
      <c r="H55" s="556"/>
      <c r="I55" s="556"/>
      <c r="J55" s="556"/>
      <c r="K55" s="202">
        <v>45668</v>
      </c>
      <c r="L55" s="203" t="s">
        <v>669</v>
      </c>
      <c r="M55" s="10"/>
      <c r="N55" s="566"/>
      <c r="O55" s="566"/>
      <c r="P55" s="566"/>
    </row>
    <row r="56" spans="1:16" ht="26">
      <c r="A56" s="10">
        <v>55</v>
      </c>
      <c r="B56" s="193" t="s">
        <v>489</v>
      </c>
      <c r="C56" s="10" t="s">
        <v>224</v>
      </c>
      <c r="D56" s="10"/>
      <c r="E56" s="202">
        <v>45660</v>
      </c>
      <c r="F56" s="23">
        <v>46.049156000000004</v>
      </c>
      <c r="G56" s="556" t="s">
        <v>196</v>
      </c>
      <c r="H56" s="556"/>
      <c r="I56" s="556"/>
      <c r="J56" s="556"/>
      <c r="K56" s="202">
        <v>45668</v>
      </c>
      <c r="L56" s="203" t="s">
        <v>667</v>
      </c>
      <c r="M56" s="10"/>
      <c r="N56" s="566"/>
      <c r="O56" s="566"/>
      <c r="P56" s="566"/>
    </row>
    <row r="57" spans="1:16" ht="26">
      <c r="A57" s="10">
        <v>56</v>
      </c>
      <c r="B57" s="193" t="s">
        <v>490</v>
      </c>
      <c r="C57" s="10" t="s">
        <v>224</v>
      </c>
      <c r="D57" s="10"/>
      <c r="E57" s="202">
        <v>45665</v>
      </c>
      <c r="F57" s="23">
        <v>46.049156000000004</v>
      </c>
      <c r="G57" s="556" t="s">
        <v>196</v>
      </c>
      <c r="H57" s="556"/>
      <c r="I57" s="556"/>
      <c r="J57" s="556"/>
      <c r="K57" s="202">
        <v>45671</v>
      </c>
      <c r="L57" s="203" t="s">
        <v>666</v>
      </c>
      <c r="M57" s="10"/>
      <c r="N57" s="566"/>
      <c r="O57" s="566"/>
      <c r="P57" s="566"/>
    </row>
    <row r="58" spans="1:16" ht="26">
      <c r="A58" s="10">
        <v>57</v>
      </c>
      <c r="B58" s="193" t="s">
        <v>491</v>
      </c>
      <c r="C58" s="10" t="s">
        <v>224</v>
      </c>
      <c r="D58" s="10"/>
      <c r="E58" s="202">
        <v>45664</v>
      </c>
      <c r="F58" s="23">
        <v>46.049156000000004</v>
      </c>
      <c r="G58" s="556" t="s">
        <v>196</v>
      </c>
      <c r="H58" s="556"/>
      <c r="I58" s="556"/>
      <c r="J58" s="556"/>
      <c r="K58" s="202">
        <v>45672</v>
      </c>
      <c r="L58" s="203" t="s">
        <v>668</v>
      </c>
      <c r="M58" s="10"/>
      <c r="N58" s="566"/>
      <c r="O58" s="566"/>
      <c r="P58" s="566"/>
    </row>
    <row r="59" spans="1:16" ht="26">
      <c r="A59" s="10">
        <v>58</v>
      </c>
      <c r="B59" s="193" t="s">
        <v>99</v>
      </c>
      <c r="C59" s="10" t="s">
        <v>224</v>
      </c>
      <c r="D59" s="10"/>
      <c r="E59" s="202">
        <v>45664</v>
      </c>
      <c r="F59" s="23">
        <v>46.049156000000004</v>
      </c>
      <c r="G59" s="556" t="s">
        <v>196</v>
      </c>
      <c r="H59" s="556"/>
      <c r="I59" s="556"/>
      <c r="J59" s="556"/>
      <c r="K59" s="202">
        <v>45674</v>
      </c>
      <c r="L59" s="203" t="s">
        <v>665</v>
      </c>
      <c r="M59" s="10"/>
      <c r="N59" s="566"/>
      <c r="O59" s="566"/>
      <c r="P59" s="566"/>
    </row>
    <row r="60" spans="1:16" ht="26">
      <c r="A60" s="10">
        <v>59</v>
      </c>
      <c r="B60" s="193" t="s">
        <v>492</v>
      </c>
      <c r="C60" s="10" t="s">
        <v>224</v>
      </c>
      <c r="D60" s="10"/>
      <c r="E60" s="202">
        <v>45666</v>
      </c>
      <c r="F60" s="23">
        <v>46.049156000000004</v>
      </c>
      <c r="G60" s="556" t="s">
        <v>196</v>
      </c>
      <c r="H60" s="556"/>
      <c r="I60" s="556"/>
      <c r="J60" s="556"/>
      <c r="K60" s="202">
        <v>45674</v>
      </c>
      <c r="L60" s="203" t="s">
        <v>420</v>
      </c>
      <c r="M60" s="10"/>
      <c r="N60" s="566"/>
      <c r="O60" s="566"/>
      <c r="P60" s="566"/>
    </row>
    <row r="61" spans="1:16" ht="26">
      <c r="A61" s="10">
        <v>60</v>
      </c>
      <c r="B61" s="193" t="s">
        <v>493</v>
      </c>
      <c r="C61" s="10" t="s">
        <v>195</v>
      </c>
      <c r="D61" s="10"/>
      <c r="E61" s="202">
        <v>45667</v>
      </c>
      <c r="F61" s="23">
        <v>43.775756000000008</v>
      </c>
      <c r="G61" s="556" t="s">
        <v>196</v>
      </c>
      <c r="H61" s="556"/>
      <c r="I61" s="556"/>
      <c r="J61" s="556"/>
      <c r="K61" s="202">
        <v>45674</v>
      </c>
      <c r="L61" s="203" t="s">
        <v>664</v>
      </c>
      <c r="M61" s="10"/>
      <c r="N61" s="566"/>
      <c r="O61" s="566"/>
      <c r="P61" s="566"/>
    </row>
    <row r="62" spans="1:16" ht="26">
      <c r="A62" s="10">
        <v>61</v>
      </c>
      <c r="B62" s="193" t="s">
        <v>494</v>
      </c>
      <c r="C62" s="10" t="s">
        <v>195</v>
      </c>
      <c r="D62" s="10"/>
      <c r="E62" s="202">
        <v>45668</v>
      </c>
      <c r="F62" s="23">
        <v>43.775756000000008</v>
      </c>
      <c r="G62" s="556" t="s">
        <v>196</v>
      </c>
      <c r="H62" s="556"/>
      <c r="I62" s="556"/>
      <c r="J62" s="556"/>
      <c r="K62" s="202">
        <v>45676</v>
      </c>
      <c r="L62" s="203" t="s">
        <v>669</v>
      </c>
      <c r="M62" s="10"/>
      <c r="N62" s="566"/>
      <c r="O62" s="566"/>
      <c r="P62" s="566"/>
    </row>
    <row r="63" spans="1:16" ht="26">
      <c r="A63" s="10">
        <v>62</v>
      </c>
      <c r="B63" s="193" t="s">
        <v>495</v>
      </c>
      <c r="C63" s="10" t="s">
        <v>224</v>
      </c>
      <c r="D63" s="10"/>
      <c r="E63" s="202">
        <v>45669</v>
      </c>
      <c r="F63" s="23">
        <v>46.049156000000004</v>
      </c>
      <c r="G63" s="556" t="s">
        <v>196</v>
      </c>
      <c r="H63" s="556"/>
      <c r="I63" s="556"/>
      <c r="J63" s="556"/>
      <c r="K63" s="202">
        <v>45678</v>
      </c>
      <c r="L63" s="203" t="s">
        <v>667</v>
      </c>
      <c r="M63" s="10"/>
      <c r="N63" s="566"/>
      <c r="O63" s="566"/>
      <c r="P63" s="566"/>
    </row>
    <row r="64" spans="1:16" ht="26">
      <c r="A64" s="10">
        <v>63</v>
      </c>
      <c r="B64" s="193" t="s">
        <v>496</v>
      </c>
      <c r="C64" s="10" t="s">
        <v>195</v>
      </c>
      <c r="D64" s="10"/>
      <c r="E64" s="202">
        <v>45672</v>
      </c>
      <c r="F64" s="23">
        <v>43.775756000000008</v>
      </c>
      <c r="G64" s="556" t="s">
        <v>196</v>
      </c>
      <c r="H64" s="556"/>
      <c r="I64" s="556"/>
      <c r="J64" s="556"/>
      <c r="K64" s="202">
        <v>45679</v>
      </c>
      <c r="L64" s="203" t="s">
        <v>666</v>
      </c>
      <c r="M64" s="10"/>
      <c r="N64" s="566"/>
      <c r="O64" s="566"/>
      <c r="P64" s="566"/>
    </row>
    <row r="65" spans="1:47" ht="15.5">
      <c r="A65" s="10">
        <v>64</v>
      </c>
      <c r="B65" s="193" t="s">
        <v>497</v>
      </c>
      <c r="C65" s="10" t="s">
        <v>195</v>
      </c>
      <c r="D65" s="10"/>
      <c r="E65" s="202">
        <v>45674</v>
      </c>
      <c r="F65" s="23">
        <v>43.775756000000008</v>
      </c>
      <c r="G65" s="556" t="s">
        <v>196</v>
      </c>
      <c r="H65" s="556"/>
      <c r="I65" s="556"/>
      <c r="J65" s="556"/>
      <c r="K65" s="202">
        <v>45680</v>
      </c>
      <c r="L65" s="203" t="s">
        <v>664</v>
      </c>
      <c r="M65" s="10"/>
      <c r="N65" s="567"/>
      <c r="O65" s="567"/>
      <c r="P65" s="567"/>
    </row>
    <row r="66" spans="1:47" ht="15.5">
      <c r="A66" s="10">
        <v>65</v>
      </c>
      <c r="B66" s="193" t="s">
        <v>498</v>
      </c>
      <c r="C66" s="10" t="s">
        <v>195</v>
      </c>
      <c r="D66" s="10"/>
      <c r="E66" s="202">
        <v>45672</v>
      </c>
      <c r="F66" s="23">
        <v>43.775756000000008</v>
      </c>
      <c r="G66" s="556" t="s">
        <v>196</v>
      </c>
      <c r="H66" s="556"/>
      <c r="I66" s="556"/>
      <c r="J66" s="556"/>
      <c r="K66" s="202">
        <v>45681</v>
      </c>
      <c r="L66" s="203" t="s">
        <v>668</v>
      </c>
      <c r="M66" s="10"/>
      <c r="N66" s="567"/>
      <c r="O66" s="567"/>
      <c r="P66" s="567"/>
    </row>
    <row r="67" spans="1:47" ht="26">
      <c r="A67" s="10">
        <v>66</v>
      </c>
      <c r="B67" s="193" t="s">
        <v>499</v>
      </c>
      <c r="C67" s="10" t="s">
        <v>224</v>
      </c>
      <c r="D67" s="10"/>
      <c r="E67" s="202">
        <v>45677</v>
      </c>
      <c r="F67" s="23">
        <v>46.049156000000004</v>
      </c>
      <c r="G67" s="556" t="s">
        <v>196</v>
      </c>
      <c r="H67" s="556"/>
      <c r="I67" s="556"/>
      <c r="J67" s="556"/>
      <c r="K67" s="202">
        <v>45682</v>
      </c>
      <c r="L67" s="203" t="s">
        <v>669</v>
      </c>
      <c r="M67" s="10"/>
      <c r="N67" s="566"/>
      <c r="O67" s="566"/>
      <c r="P67" s="566"/>
    </row>
    <row r="68" spans="1:47" ht="26">
      <c r="A68" s="10">
        <v>67</v>
      </c>
      <c r="B68" s="193" t="s">
        <v>500</v>
      </c>
      <c r="C68" s="10" t="s">
        <v>224</v>
      </c>
      <c r="D68" s="10"/>
      <c r="E68" s="202">
        <v>45678</v>
      </c>
      <c r="F68" s="23">
        <v>46.049156000000004</v>
      </c>
      <c r="G68" s="556" t="s">
        <v>196</v>
      </c>
      <c r="H68" s="556"/>
      <c r="I68" s="556"/>
      <c r="J68" s="556"/>
      <c r="K68" s="202">
        <v>45682</v>
      </c>
      <c r="L68" s="203" t="s">
        <v>667</v>
      </c>
      <c r="M68" s="10"/>
      <c r="N68" s="566"/>
      <c r="O68" s="566"/>
      <c r="P68" s="566"/>
    </row>
    <row r="69" spans="1:47" ht="26">
      <c r="A69" s="10">
        <v>68</v>
      </c>
      <c r="B69" s="193" t="s">
        <v>501</v>
      </c>
      <c r="C69" s="10" t="s">
        <v>224</v>
      </c>
      <c r="D69" s="10"/>
      <c r="E69" s="202">
        <v>45673</v>
      </c>
      <c r="F69" s="23">
        <v>46.049156000000004</v>
      </c>
      <c r="G69" s="556" t="s">
        <v>196</v>
      </c>
      <c r="H69" s="556"/>
      <c r="I69" s="556"/>
      <c r="J69" s="556"/>
      <c r="K69" s="202">
        <v>45684</v>
      </c>
      <c r="L69" s="203" t="s">
        <v>420</v>
      </c>
      <c r="M69" s="10"/>
      <c r="N69" s="566"/>
      <c r="O69" s="566"/>
      <c r="P69" s="566"/>
    </row>
    <row r="70" spans="1:47" ht="26">
      <c r="A70" s="10">
        <v>69</v>
      </c>
      <c r="B70" s="193" t="s">
        <v>87</v>
      </c>
      <c r="C70" s="10" t="s">
        <v>224</v>
      </c>
      <c r="D70" s="10"/>
      <c r="E70" s="202">
        <v>45673</v>
      </c>
      <c r="F70" s="23">
        <v>46.049156000000004</v>
      </c>
      <c r="G70" s="556" t="s">
        <v>196</v>
      </c>
      <c r="H70" s="556"/>
      <c r="I70" s="556"/>
      <c r="J70" s="556"/>
      <c r="K70" s="202">
        <v>45685</v>
      </c>
      <c r="L70" s="203" t="s">
        <v>665</v>
      </c>
      <c r="M70" s="10"/>
      <c r="N70" s="566"/>
      <c r="O70" s="566"/>
      <c r="P70" s="566"/>
    </row>
    <row r="71" spans="1:47" ht="26">
      <c r="A71" s="10">
        <v>70</v>
      </c>
      <c r="B71" s="193" t="s">
        <v>502</v>
      </c>
      <c r="C71" s="10" t="s">
        <v>224</v>
      </c>
      <c r="D71" s="10"/>
      <c r="E71" s="202">
        <v>45681</v>
      </c>
      <c r="F71" s="23">
        <v>46.049156000000004</v>
      </c>
      <c r="G71" s="556" t="s">
        <v>196</v>
      </c>
      <c r="H71" s="556"/>
      <c r="I71" s="556"/>
      <c r="J71" s="556"/>
      <c r="K71" s="202">
        <v>45686</v>
      </c>
      <c r="L71" s="203" t="s">
        <v>664</v>
      </c>
      <c r="M71" s="10"/>
      <c r="N71" s="195"/>
      <c r="O71" s="195"/>
      <c r="P71" s="195"/>
      <c r="Q71">
        <v>3</v>
      </c>
      <c r="AF71">
        <v>3</v>
      </c>
      <c r="AG71">
        <v>2</v>
      </c>
      <c r="AH71">
        <v>2</v>
      </c>
      <c r="AI71">
        <v>1</v>
      </c>
      <c r="AJ71">
        <v>1</v>
      </c>
      <c r="AK71">
        <v>4</v>
      </c>
      <c r="AL71">
        <v>1</v>
      </c>
      <c r="AM71">
        <v>1</v>
      </c>
      <c r="AN71">
        <v>2</v>
      </c>
      <c r="AO71">
        <v>2</v>
      </c>
      <c r="AP71">
        <v>1</v>
      </c>
      <c r="AQ71">
        <v>3</v>
      </c>
      <c r="AR71">
        <v>1</v>
      </c>
      <c r="AS71">
        <v>2</v>
      </c>
      <c r="AT71">
        <v>1</v>
      </c>
      <c r="AU71">
        <v>3</v>
      </c>
    </row>
    <row r="72" spans="1:47" ht="26">
      <c r="A72" s="10">
        <v>71</v>
      </c>
      <c r="B72" s="193" t="s">
        <v>503</v>
      </c>
      <c r="C72" s="10" t="s">
        <v>195</v>
      </c>
      <c r="D72" s="10"/>
      <c r="E72" s="202">
        <v>45678</v>
      </c>
      <c r="F72" s="23">
        <v>43.775756000000008</v>
      </c>
      <c r="G72" s="556" t="s">
        <v>196</v>
      </c>
      <c r="H72" s="556"/>
      <c r="I72" s="556"/>
      <c r="J72" s="556"/>
      <c r="K72" s="202">
        <v>45687</v>
      </c>
      <c r="L72" s="203" t="s">
        <v>666</v>
      </c>
      <c r="M72" s="10"/>
      <c r="N72" s="195"/>
      <c r="O72" s="195"/>
      <c r="P72" s="195"/>
    </row>
    <row r="73" spans="1:47" ht="26">
      <c r="A73" s="10">
        <v>72</v>
      </c>
      <c r="B73" s="193" t="s">
        <v>19</v>
      </c>
      <c r="C73" s="10" t="s">
        <v>224</v>
      </c>
      <c r="D73" s="10"/>
      <c r="E73" s="202">
        <v>45682</v>
      </c>
      <c r="F73" s="23">
        <v>46.049156000000004</v>
      </c>
      <c r="G73" s="556" t="s">
        <v>196</v>
      </c>
      <c r="H73" s="556"/>
      <c r="I73" s="556"/>
      <c r="J73" s="556"/>
      <c r="K73" s="202">
        <v>45687</v>
      </c>
      <c r="L73" s="203" t="s">
        <v>668</v>
      </c>
      <c r="M73" s="10"/>
      <c r="N73" s="566"/>
      <c r="O73" s="566"/>
      <c r="P73" s="566"/>
    </row>
    <row r="74" spans="1:47" ht="26">
      <c r="A74" s="10">
        <v>73</v>
      </c>
      <c r="B74" s="193" t="s">
        <v>83</v>
      </c>
      <c r="C74" s="10" t="s">
        <v>224</v>
      </c>
      <c r="D74" s="10"/>
      <c r="E74" s="202">
        <v>45678</v>
      </c>
      <c r="F74" s="23">
        <v>46.049156000000004</v>
      </c>
      <c r="G74" s="556" t="s">
        <v>196</v>
      </c>
      <c r="H74" s="556"/>
      <c r="I74" s="556"/>
      <c r="J74" s="556"/>
      <c r="K74" s="202">
        <v>45688</v>
      </c>
      <c r="L74" s="203" t="s">
        <v>670</v>
      </c>
      <c r="M74" s="10"/>
      <c r="N74" s="566"/>
      <c r="O74" s="566"/>
      <c r="P74" s="566"/>
    </row>
    <row r="75" spans="1:47" ht="28.5" customHeight="1">
      <c r="A75" s="10">
        <v>74</v>
      </c>
      <c r="B75" s="193" t="s">
        <v>504</v>
      </c>
      <c r="C75" s="10" t="s">
        <v>224</v>
      </c>
      <c r="D75" s="10"/>
      <c r="E75" s="202">
        <v>45682</v>
      </c>
      <c r="F75" s="23">
        <v>46.049156000000004</v>
      </c>
      <c r="G75" s="556" t="s">
        <v>196</v>
      </c>
      <c r="H75" s="556"/>
      <c r="I75" s="556"/>
      <c r="J75" s="556"/>
      <c r="K75" s="202">
        <v>45689</v>
      </c>
      <c r="L75" s="203" t="s">
        <v>667</v>
      </c>
      <c r="M75" s="10"/>
      <c r="N75" s="195"/>
      <c r="O75" s="195"/>
      <c r="P75" s="195"/>
    </row>
    <row r="76" spans="1:47" ht="26.25" customHeight="1">
      <c r="A76" s="10">
        <v>75</v>
      </c>
      <c r="B76" s="193" t="s">
        <v>505</v>
      </c>
      <c r="C76" s="10" t="s">
        <v>195</v>
      </c>
      <c r="D76" s="10"/>
      <c r="E76" s="202">
        <v>45682</v>
      </c>
      <c r="F76" s="23">
        <v>43.775756000000008</v>
      </c>
      <c r="G76" s="556" t="s">
        <v>196</v>
      </c>
      <c r="H76" s="556"/>
      <c r="I76" s="556"/>
      <c r="J76" s="556"/>
      <c r="K76" s="202">
        <v>45690</v>
      </c>
      <c r="L76" s="203" t="s">
        <v>669</v>
      </c>
      <c r="M76" s="10"/>
      <c r="N76" s="195"/>
      <c r="O76" s="195"/>
      <c r="P76" s="195"/>
      <c r="Q76">
        <v>3</v>
      </c>
      <c r="R76">
        <v>1</v>
      </c>
      <c r="S76">
        <v>7</v>
      </c>
      <c r="T76">
        <v>2</v>
      </c>
      <c r="U76">
        <v>6</v>
      </c>
      <c r="V76">
        <v>1</v>
      </c>
      <c r="W76">
        <v>6</v>
      </c>
      <c r="X76">
        <v>5</v>
      </c>
      <c r="Y76">
        <v>2</v>
      </c>
      <c r="Z76">
        <v>1</v>
      </c>
      <c r="AU76">
        <v>1</v>
      </c>
    </row>
    <row r="77" spans="1:47" ht="26.25" customHeight="1">
      <c r="A77" s="10">
        <v>76</v>
      </c>
      <c r="B77" s="193" t="s">
        <v>506</v>
      </c>
      <c r="C77" s="10" t="s">
        <v>224</v>
      </c>
      <c r="D77" s="10"/>
      <c r="E77" s="202">
        <v>45687</v>
      </c>
      <c r="F77" s="23">
        <v>46.049156000000004</v>
      </c>
      <c r="G77" s="556" t="s">
        <v>196</v>
      </c>
      <c r="H77" s="556"/>
      <c r="I77" s="556"/>
      <c r="J77" s="556"/>
      <c r="K77" s="202">
        <v>45693</v>
      </c>
      <c r="L77" s="203" t="s">
        <v>664</v>
      </c>
      <c r="M77" s="10"/>
      <c r="N77" s="195"/>
      <c r="O77" s="195"/>
      <c r="P77" s="195"/>
      <c r="Q77">
        <v>1</v>
      </c>
      <c r="R77">
        <v>2</v>
      </c>
      <c r="S77">
        <v>2</v>
      </c>
      <c r="T77">
        <v>3</v>
      </c>
      <c r="U77">
        <v>17</v>
      </c>
      <c r="V77">
        <v>6</v>
      </c>
      <c r="W77">
        <v>3</v>
      </c>
      <c r="X77">
        <v>15</v>
      </c>
      <c r="Y77">
        <v>2</v>
      </c>
      <c r="Z77">
        <v>1</v>
      </c>
      <c r="AA77">
        <v>9</v>
      </c>
      <c r="AB77">
        <v>2</v>
      </c>
    </row>
    <row r="78" spans="1:47" ht="26.25" customHeight="1">
      <c r="A78" s="10">
        <v>77</v>
      </c>
      <c r="B78" s="193" t="s">
        <v>507</v>
      </c>
      <c r="C78" s="10" t="s">
        <v>508</v>
      </c>
      <c r="D78" s="10"/>
      <c r="E78" s="202">
        <v>45685</v>
      </c>
      <c r="F78" s="23">
        <v>64.481662</v>
      </c>
      <c r="G78" s="556" t="s">
        <v>196</v>
      </c>
      <c r="H78" s="556"/>
      <c r="I78" s="556"/>
      <c r="J78" s="556"/>
      <c r="K78" s="202">
        <v>45694</v>
      </c>
      <c r="L78" s="203" t="s">
        <v>420</v>
      </c>
      <c r="M78" s="10"/>
      <c r="N78" s="195"/>
      <c r="O78" s="195"/>
      <c r="P78" s="195"/>
      <c r="S78">
        <v>5.91</v>
      </c>
      <c r="T78">
        <v>8.93</v>
      </c>
      <c r="U78">
        <v>9.52</v>
      </c>
      <c r="V78">
        <v>1.67</v>
      </c>
      <c r="W78">
        <v>1.87</v>
      </c>
    </row>
    <row r="79" spans="1:47" ht="28.5" customHeight="1">
      <c r="A79" s="10">
        <v>78</v>
      </c>
      <c r="B79" s="193" t="s">
        <v>509</v>
      </c>
      <c r="C79" s="10" t="s">
        <v>195</v>
      </c>
      <c r="D79" s="10"/>
      <c r="E79" s="202">
        <v>45690</v>
      </c>
      <c r="F79" s="23">
        <v>43.775756000000008</v>
      </c>
      <c r="G79" s="556" t="s">
        <v>196</v>
      </c>
      <c r="H79" s="556"/>
      <c r="I79" s="556"/>
      <c r="J79" s="556"/>
      <c r="K79" s="202">
        <v>45695</v>
      </c>
      <c r="L79" s="203" t="s">
        <v>668</v>
      </c>
      <c r="M79" s="10"/>
      <c r="N79" s="568"/>
      <c r="O79" s="569"/>
      <c r="P79" s="569"/>
    </row>
    <row r="80" spans="1:47" ht="28.5" customHeight="1">
      <c r="A80" s="10">
        <v>79</v>
      </c>
      <c r="B80" s="193" t="s">
        <v>510</v>
      </c>
      <c r="C80" s="10" t="s">
        <v>224</v>
      </c>
      <c r="D80" s="10"/>
      <c r="E80" s="202">
        <v>45690</v>
      </c>
      <c r="F80" s="23">
        <v>46.049156000000004</v>
      </c>
      <c r="G80" s="556" t="s">
        <v>196</v>
      </c>
      <c r="H80" s="556"/>
      <c r="I80" s="556"/>
      <c r="J80" s="556"/>
      <c r="K80" s="202">
        <v>45696</v>
      </c>
      <c r="L80" s="203" t="s">
        <v>667</v>
      </c>
      <c r="M80" s="10"/>
      <c r="N80" s="568"/>
      <c r="O80" s="569"/>
      <c r="P80" s="569"/>
    </row>
    <row r="81" spans="1:41" ht="26.25" customHeight="1">
      <c r="A81" s="10">
        <v>80</v>
      </c>
      <c r="B81" s="193" t="s">
        <v>511</v>
      </c>
      <c r="C81" s="10" t="s">
        <v>224</v>
      </c>
      <c r="D81" s="10"/>
      <c r="E81" s="202">
        <v>45686</v>
      </c>
      <c r="F81" s="23">
        <v>46.049156000000004</v>
      </c>
      <c r="G81" s="556" t="s">
        <v>196</v>
      </c>
      <c r="H81" s="556"/>
      <c r="I81" s="556"/>
      <c r="J81" s="556"/>
      <c r="K81" s="202">
        <v>45697</v>
      </c>
      <c r="L81" s="203" t="s">
        <v>666</v>
      </c>
      <c r="M81" s="10"/>
      <c r="N81" s="195"/>
      <c r="O81" s="195"/>
      <c r="P81" s="195"/>
      <c r="Y81">
        <v>1</v>
      </c>
      <c r="Z81">
        <v>2</v>
      </c>
      <c r="AA81">
        <v>10</v>
      </c>
      <c r="AB81">
        <v>13</v>
      </c>
      <c r="AC81">
        <v>3</v>
      </c>
    </row>
    <row r="82" spans="1:41" ht="28.5" customHeight="1">
      <c r="A82" s="10">
        <v>81</v>
      </c>
      <c r="B82" s="193" t="s">
        <v>512</v>
      </c>
      <c r="C82" s="10" t="s">
        <v>195</v>
      </c>
      <c r="D82" s="10"/>
      <c r="E82" s="202">
        <v>45691</v>
      </c>
      <c r="F82" s="23">
        <v>43.775756000000008</v>
      </c>
      <c r="G82" s="556" t="s">
        <v>196</v>
      </c>
      <c r="H82" s="556"/>
      <c r="I82" s="556"/>
      <c r="J82" s="556"/>
      <c r="K82" s="202">
        <v>45698</v>
      </c>
      <c r="L82" s="203" t="s">
        <v>669</v>
      </c>
      <c r="M82" s="10"/>
      <c r="N82" s="195"/>
      <c r="O82" s="195"/>
      <c r="P82" s="195"/>
    </row>
    <row r="83" spans="1:41" ht="26">
      <c r="A83" s="10">
        <v>82</v>
      </c>
      <c r="B83" s="193" t="s">
        <v>282</v>
      </c>
      <c r="C83" s="10" t="s">
        <v>513</v>
      </c>
      <c r="D83" s="10"/>
      <c r="E83" s="202">
        <v>45686</v>
      </c>
      <c r="F83" s="23">
        <v>73.425832</v>
      </c>
      <c r="G83" s="556" t="s">
        <v>196</v>
      </c>
      <c r="H83" s="556"/>
      <c r="I83" s="556"/>
      <c r="J83" s="556"/>
      <c r="K83" s="202">
        <v>45699</v>
      </c>
      <c r="L83" s="203" t="s">
        <v>665</v>
      </c>
      <c r="M83" s="10"/>
      <c r="N83" s="195"/>
      <c r="O83" s="195"/>
      <c r="P83" s="195"/>
      <c r="AB83">
        <v>3.88</v>
      </c>
      <c r="AC83">
        <v>3.74</v>
      </c>
      <c r="AD83">
        <v>2.37</v>
      </c>
      <c r="AE83">
        <v>2.87</v>
      </c>
      <c r="AF83">
        <v>4.33</v>
      </c>
      <c r="AG83">
        <v>1.63</v>
      </c>
      <c r="AH83">
        <v>3.32</v>
      </c>
      <c r="AI83">
        <v>4.2</v>
      </c>
      <c r="AJ83">
        <v>1.91</v>
      </c>
      <c r="AK83">
        <v>0.98</v>
      </c>
      <c r="AL83">
        <v>4.07</v>
      </c>
    </row>
    <row r="84" spans="1:41" ht="26">
      <c r="A84" s="10">
        <v>83</v>
      </c>
      <c r="B84" s="193" t="s">
        <v>84</v>
      </c>
      <c r="C84" s="10" t="s">
        <v>224</v>
      </c>
      <c r="D84" s="10"/>
      <c r="E84" s="202">
        <v>45690</v>
      </c>
      <c r="F84" s="23">
        <v>46.049156000000004</v>
      </c>
      <c r="G84" s="556" t="s">
        <v>196</v>
      </c>
      <c r="H84" s="556"/>
      <c r="I84" s="556"/>
      <c r="J84" s="556"/>
      <c r="K84" s="202">
        <v>45700</v>
      </c>
      <c r="L84" s="203" t="s">
        <v>670</v>
      </c>
      <c r="M84" s="10"/>
      <c r="N84" s="195"/>
      <c r="O84" s="195"/>
      <c r="P84" s="195"/>
      <c r="AD84">
        <v>5.56</v>
      </c>
      <c r="AE84">
        <v>6.8</v>
      </c>
      <c r="AF84">
        <v>8.93</v>
      </c>
      <c r="AG84">
        <v>2.19</v>
      </c>
      <c r="AH84">
        <v>2.48</v>
      </c>
      <c r="AI84">
        <v>2.29</v>
      </c>
      <c r="AJ84">
        <v>5.28</v>
      </c>
      <c r="AK84">
        <v>6.24</v>
      </c>
      <c r="AL84">
        <v>3.45</v>
      </c>
      <c r="AM84">
        <v>3.31</v>
      </c>
      <c r="AN84">
        <v>3.19</v>
      </c>
      <c r="AO84">
        <v>1.98</v>
      </c>
    </row>
    <row r="85" spans="1:41" ht="15.5">
      <c r="A85" s="10">
        <v>84</v>
      </c>
      <c r="B85" s="193" t="s">
        <v>514</v>
      </c>
      <c r="C85" s="10" t="s">
        <v>508</v>
      </c>
      <c r="D85" s="10"/>
      <c r="E85" s="202">
        <v>45694</v>
      </c>
      <c r="F85" s="23">
        <v>64.481662</v>
      </c>
      <c r="G85" s="556" t="s">
        <v>196</v>
      </c>
      <c r="H85" s="556"/>
      <c r="I85" s="556"/>
      <c r="J85" s="556"/>
      <c r="K85" s="202">
        <v>45701</v>
      </c>
      <c r="L85" s="203" t="s">
        <v>664</v>
      </c>
      <c r="M85" s="10"/>
      <c r="N85" s="568"/>
      <c r="O85" s="569"/>
      <c r="P85" s="569"/>
      <c r="AF85">
        <v>17</v>
      </c>
      <c r="AG85">
        <v>15</v>
      </c>
      <c r="AH85">
        <v>4</v>
      </c>
      <c r="AI85">
        <v>3</v>
      </c>
      <c r="AJ85">
        <v>2</v>
      </c>
      <c r="AK85">
        <v>14</v>
      </c>
      <c r="AL85">
        <v>1</v>
      </c>
      <c r="AM85">
        <v>4</v>
      </c>
    </row>
    <row r="86" spans="1:41" ht="28.5" customHeight="1">
      <c r="A86" s="10">
        <v>85</v>
      </c>
      <c r="B86" s="193" t="s">
        <v>515</v>
      </c>
      <c r="C86" s="10" t="s">
        <v>195</v>
      </c>
      <c r="D86" s="10"/>
      <c r="E86" s="202">
        <v>45695</v>
      </c>
      <c r="F86" s="23">
        <v>43.775756000000008</v>
      </c>
      <c r="G86" s="556" t="s">
        <v>196</v>
      </c>
      <c r="H86" s="556"/>
      <c r="I86" s="556"/>
      <c r="J86" s="556"/>
      <c r="K86" s="202">
        <v>45701</v>
      </c>
      <c r="L86" s="203" t="s">
        <v>420</v>
      </c>
      <c r="M86" s="10"/>
      <c r="N86" s="568"/>
      <c r="O86" s="569"/>
      <c r="P86" s="569"/>
    </row>
    <row r="87" spans="1:41" ht="28.5" customHeight="1">
      <c r="A87" s="10">
        <v>86</v>
      </c>
      <c r="B87" s="193" t="s">
        <v>95</v>
      </c>
      <c r="C87" s="10" t="s">
        <v>224</v>
      </c>
      <c r="D87" s="10"/>
      <c r="E87" s="202">
        <v>45696</v>
      </c>
      <c r="F87" s="23">
        <v>46.049156000000004</v>
      </c>
      <c r="G87" s="556" t="s">
        <v>196</v>
      </c>
      <c r="H87" s="556"/>
      <c r="I87" s="556"/>
      <c r="J87" s="556"/>
      <c r="K87" s="202">
        <v>45703</v>
      </c>
      <c r="L87" s="203" t="s">
        <v>668</v>
      </c>
      <c r="M87" s="10"/>
      <c r="N87" s="568"/>
      <c r="O87" s="569"/>
      <c r="P87" s="569"/>
    </row>
    <row r="88" spans="1:41" ht="28.5" customHeight="1">
      <c r="A88" s="10">
        <v>87</v>
      </c>
      <c r="B88" s="193" t="s">
        <v>516</v>
      </c>
      <c r="C88" s="10" t="s">
        <v>224</v>
      </c>
      <c r="D88" s="10"/>
      <c r="E88" s="202">
        <v>45697</v>
      </c>
      <c r="F88" s="23">
        <v>46.049156000000004</v>
      </c>
      <c r="G88" s="556" t="s">
        <v>196</v>
      </c>
      <c r="H88" s="556"/>
      <c r="I88" s="556"/>
      <c r="J88" s="556"/>
      <c r="K88" s="202">
        <v>45703</v>
      </c>
      <c r="L88" s="203" t="s">
        <v>667</v>
      </c>
      <c r="M88" s="10"/>
      <c r="N88" s="568"/>
      <c r="O88" s="569"/>
      <c r="P88" s="569"/>
    </row>
    <row r="89" spans="1:41" ht="15.5">
      <c r="A89" s="10">
        <v>88</v>
      </c>
      <c r="B89" s="193" t="s">
        <v>517</v>
      </c>
      <c r="C89" s="10" t="s">
        <v>195</v>
      </c>
      <c r="D89" s="10"/>
      <c r="E89" s="202">
        <v>45698</v>
      </c>
      <c r="F89" s="23">
        <v>43.775756000000008</v>
      </c>
      <c r="G89" s="556" t="s">
        <v>196</v>
      </c>
      <c r="H89" s="556"/>
      <c r="I89" s="556"/>
      <c r="J89" s="556"/>
      <c r="K89" s="202">
        <v>45706</v>
      </c>
      <c r="L89" s="203" t="s">
        <v>666</v>
      </c>
      <c r="M89" s="10"/>
      <c r="N89" s="197"/>
      <c r="O89" s="198"/>
      <c r="P89" s="198"/>
    </row>
    <row r="90" spans="1:41" ht="15.5">
      <c r="A90" s="10">
        <v>89</v>
      </c>
      <c r="B90" s="193" t="s">
        <v>518</v>
      </c>
      <c r="C90" s="10" t="s">
        <v>195</v>
      </c>
      <c r="D90" s="10"/>
      <c r="E90" s="202">
        <v>45700</v>
      </c>
      <c r="F90" s="23">
        <v>43.775756000000008</v>
      </c>
      <c r="G90" s="556" t="s">
        <v>196</v>
      </c>
      <c r="H90" s="556"/>
      <c r="I90" s="556"/>
      <c r="J90" s="556"/>
      <c r="K90" s="202">
        <v>45707</v>
      </c>
      <c r="L90" s="203" t="s">
        <v>420</v>
      </c>
      <c r="M90" s="10"/>
      <c r="N90" s="197"/>
      <c r="O90" s="198"/>
      <c r="P90" s="198"/>
    </row>
    <row r="91" spans="1:41" ht="15.5">
      <c r="A91" s="10">
        <v>90</v>
      </c>
      <c r="B91" s="193" t="s">
        <v>519</v>
      </c>
      <c r="C91" s="10" t="s">
        <v>224</v>
      </c>
      <c r="D91" s="10"/>
      <c r="E91" s="202">
        <v>45699</v>
      </c>
      <c r="F91" s="23">
        <v>46.049156000000004</v>
      </c>
      <c r="G91" s="556" t="s">
        <v>196</v>
      </c>
      <c r="H91" s="556"/>
      <c r="I91" s="556"/>
      <c r="J91" s="556"/>
      <c r="K91" s="202">
        <v>45708</v>
      </c>
      <c r="L91" s="203" t="s">
        <v>669</v>
      </c>
      <c r="M91" s="10"/>
      <c r="N91" s="197"/>
      <c r="O91" s="198"/>
      <c r="P91" s="198"/>
    </row>
    <row r="92" spans="1:41" ht="15.5">
      <c r="A92" s="10">
        <v>91</v>
      </c>
      <c r="B92" s="193" t="s">
        <v>520</v>
      </c>
      <c r="C92" s="10" t="s">
        <v>224</v>
      </c>
      <c r="D92" s="10"/>
      <c r="E92" s="202">
        <v>45700</v>
      </c>
      <c r="F92" s="23">
        <v>46.049156000000004</v>
      </c>
      <c r="G92" s="556" t="s">
        <v>196</v>
      </c>
      <c r="H92" s="556"/>
      <c r="I92" s="556"/>
      <c r="J92" s="556"/>
      <c r="K92" s="202">
        <v>45708</v>
      </c>
      <c r="L92" s="203" t="s">
        <v>665</v>
      </c>
      <c r="M92" s="10"/>
      <c r="N92" s="197"/>
      <c r="O92" s="198"/>
      <c r="P92" s="198"/>
    </row>
    <row r="93" spans="1:41" ht="15.5">
      <c r="A93" s="10">
        <v>92</v>
      </c>
      <c r="B93" s="193" t="s">
        <v>79</v>
      </c>
      <c r="C93" s="10" t="s">
        <v>224</v>
      </c>
      <c r="D93" s="10"/>
      <c r="E93" s="202">
        <v>45702</v>
      </c>
      <c r="F93" s="23">
        <v>46.049156000000004</v>
      </c>
      <c r="G93" s="556" t="s">
        <v>196</v>
      </c>
      <c r="H93" s="556"/>
      <c r="I93" s="556"/>
      <c r="J93" s="556"/>
      <c r="K93" s="202">
        <v>45708</v>
      </c>
      <c r="L93" s="203" t="s">
        <v>664</v>
      </c>
      <c r="M93" s="10"/>
      <c r="N93" s="197"/>
      <c r="O93" s="198"/>
      <c r="P93" s="198"/>
    </row>
    <row r="94" spans="1:41" ht="15.5">
      <c r="A94" s="10">
        <v>93</v>
      </c>
      <c r="B94" s="193" t="s">
        <v>521</v>
      </c>
      <c r="C94" s="10" t="s">
        <v>195</v>
      </c>
      <c r="D94" s="10"/>
      <c r="E94" s="202">
        <v>45704</v>
      </c>
      <c r="F94" s="23">
        <v>43.775756000000008</v>
      </c>
      <c r="G94" s="556" t="s">
        <v>196</v>
      </c>
      <c r="H94" s="556"/>
      <c r="I94" s="556"/>
      <c r="J94" s="556"/>
      <c r="K94" s="202">
        <v>45709</v>
      </c>
      <c r="L94" s="203" t="s">
        <v>667</v>
      </c>
      <c r="M94" s="10"/>
      <c r="N94" s="197"/>
      <c r="O94" s="198"/>
      <c r="P94" s="198"/>
    </row>
    <row r="95" spans="1:41" ht="15.5">
      <c r="A95" s="10">
        <v>94</v>
      </c>
      <c r="B95" s="193" t="s">
        <v>93</v>
      </c>
      <c r="C95" s="10" t="s">
        <v>224</v>
      </c>
      <c r="D95" s="10"/>
      <c r="E95" s="202">
        <v>45704</v>
      </c>
      <c r="F95" s="23">
        <v>46.049156000000004</v>
      </c>
      <c r="G95" s="556" t="s">
        <v>196</v>
      </c>
      <c r="H95" s="556"/>
      <c r="I95" s="556"/>
      <c r="J95" s="556"/>
      <c r="K95" s="202">
        <v>45709</v>
      </c>
      <c r="L95" s="203" t="s">
        <v>668</v>
      </c>
      <c r="M95" s="10"/>
      <c r="N95" s="197"/>
      <c r="O95" s="198"/>
      <c r="P95" s="198"/>
    </row>
    <row r="96" spans="1:41" ht="15.5">
      <c r="A96" s="10">
        <v>95</v>
      </c>
      <c r="B96" s="193" t="s">
        <v>82</v>
      </c>
      <c r="C96" s="10" t="s">
        <v>195</v>
      </c>
      <c r="D96" s="10"/>
      <c r="E96" s="202">
        <v>45702</v>
      </c>
      <c r="F96" s="23">
        <v>43.775756000000008</v>
      </c>
      <c r="G96" s="556" t="s">
        <v>196</v>
      </c>
      <c r="H96" s="556"/>
      <c r="I96" s="556"/>
      <c r="J96" s="556"/>
      <c r="K96" s="202">
        <v>45710</v>
      </c>
      <c r="L96" s="203" t="s">
        <v>670</v>
      </c>
      <c r="M96" s="10"/>
      <c r="N96" s="197"/>
      <c r="O96" s="198"/>
      <c r="P96" s="198"/>
    </row>
    <row r="97" spans="1:16" ht="15.5">
      <c r="A97" s="10">
        <v>96</v>
      </c>
      <c r="B97" s="193" t="s">
        <v>522</v>
      </c>
      <c r="C97" s="10" t="s">
        <v>225</v>
      </c>
      <c r="D97" s="10"/>
      <c r="E97" s="202">
        <v>45708</v>
      </c>
      <c r="F97" s="23">
        <v>42.374236000000003</v>
      </c>
      <c r="G97" s="556" t="s">
        <v>196</v>
      </c>
      <c r="H97" s="556"/>
      <c r="I97" s="556"/>
      <c r="J97" s="556"/>
      <c r="K97" s="202">
        <v>45713</v>
      </c>
      <c r="L97" s="203" t="s">
        <v>420</v>
      </c>
      <c r="M97" s="10"/>
      <c r="N97" s="197"/>
      <c r="O97" s="198"/>
      <c r="P97" s="198"/>
    </row>
    <row r="98" spans="1:16" ht="15.5">
      <c r="A98" s="10">
        <v>97</v>
      </c>
      <c r="B98" s="193" t="s">
        <v>80</v>
      </c>
      <c r="C98" s="10" t="s">
        <v>224</v>
      </c>
      <c r="D98" s="10"/>
      <c r="E98" s="202">
        <v>45709</v>
      </c>
      <c r="F98" s="23">
        <v>46.049156000000004</v>
      </c>
      <c r="G98" s="556" t="s">
        <v>196</v>
      </c>
      <c r="H98" s="556"/>
      <c r="I98" s="556"/>
      <c r="J98" s="556"/>
      <c r="K98" s="202">
        <v>45713</v>
      </c>
      <c r="L98" s="203" t="s">
        <v>664</v>
      </c>
      <c r="M98" s="10"/>
      <c r="N98" s="197"/>
      <c r="O98" s="198"/>
      <c r="P98" s="198"/>
    </row>
    <row r="99" spans="1:16" ht="15.5">
      <c r="A99" s="10">
        <v>98</v>
      </c>
      <c r="B99" s="193" t="s">
        <v>523</v>
      </c>
      <c r="C99" s="10" t="s">
        <v>195</v>
      </c>
      <c r="D99" s="10"/>
      <c r="E99" s="202">
        <v>45707</v>
      </c>
      <c r="F99" s="23">
        <v>43.775756000000008</v>
      </c>
      <c r="G99" s="556" t="s">
        <v>196</v>
      </c>
      <c r="H99" s="556"/>
      <c r="I99" s="556"/>
      <c r="J99" s="556"/>
      <c r="K99" s="202">
        <v>45713</v>
      </c>
      <c r="L99" s="203" t="s">
        <v>666</v>
      </c>
      <c r="M99" s="10"/>
      <c r="N99" s="197"/>
      <c r="O99" s="198"/>
      <c r="P99" s="198"/>
    </row>
    <row r="100" spans="1:16" ht="15.5">
      <c r="A100" s="10">
        <v>99</v>
      </c>
      <c r="B100" s="193" t="s">
        <v>524</v>
      </c>
      <c r="C100" s="10" t="s">
        <v>195</v>
      </c>
      <c r="D100" s="10"/>
      <c r="E100" s="202">
        <v>45709</v>
      </c>
      <c r="F100" s="23">
        <v>43.775756000000008</v>
      </c>
      <c r="G100" s="556" t="s">
        <v>196</v>
      </c>
      <c r="H100" s="556"/>
      <c r="I100" s="556"/>
      <c r="J100" s="556"/>
      <c r="K100" s="202">
        <v>45715</v>
      </c>
      <c r="L100" s="203" t="s">
        <v>665</v>
      </c>
      <c r="M100" s="10"/>
      <c r="N100" s="197"/>
      <c r="O100" s="198"/>
      <c r="P100" s="198"/>
    </row>
    <row r="101" spans="1:16" ht="15.5">
      <c r="A101" s="10">
        <v>100</v>
      </c>
      <c r="B101" s="193" t="s">
        <v>90</v>
      </c>
      <c r="C101" s="10" t="s">
        <v>195</v>
      </c>
      <c r="D101" s="10"/>
      <c r="E101" s="202">
        <v>45708</v>
      </c>
      <c r="F101" s="23">
        <v>43.775756000000008</v>
      </c>
      <c r="G101" s="556" t="s">
        <v>196</v>
      </c>
      <c r="H101" s="556"/>
      <c r="I101" s="556"/>
      <c r="J101" s="556"/>
      <c r="K101" s="202">
        <v>45715</v>
      </c>
      <c r="L101" s="203" t="s">
        <v>668</v>
      </c>
      <c r="M101" s="10"/>
      <c r="N101" s="197"/>
      <c r="O101" s="198"/>
      <c r="P101" s="198"/>
    </row>
    <row r="102" spans="1:16" ht="15.5">
      <c r="A102" s="10">
        <v>101</v>
      </c>
      <c r="B102" s="193" t="s">
        <v>525</v>
      </c>
      <c r="C102" s="10" t="s">
        <v>508</v>
      </c>
      <c r="D102" s="10"/>
      <c r="E102" s="202">
        <v>45707</v>
      </c>
      <c r="F102" s="23">
        <v>64.481662</v>
      </c>
      <c r="G102" s="556" t="s">
        <v>196</v>
      </c>
      <c r="H102" s="556"/>
      <c r="I102" s="556"/>
      <c r="J102" s="556"/>
      <c r="K102" s="202">
        <v>45716</v>
      </c>
      <c r="L102" s="203" t="s">
        <v>669</v>
      </c>
      <c r="M102" s="10"/>
      <c r="N102" s="197"/>
      <c r="O102" s="198"/>
      <c r="P102" s="198"/>
    </row>
    <row r="103" spans="1:16" ht="15.5">
      <c r="A103" s="10">
        <v>102</v>
      </c>
      <c r="B103" s="193" t="s">
        <v>526</v>
      </c>
      <c r="C103" s="10" t="s">
        <v>508</v>
      </c>
      <c r="D103" s="10"/>
      <c r="E103" s="202">
        <v>45710</v>
      </c>
      <c r="F103" s="23">
        <v>64.481662</v>
      </c>
      <c r="G103" s="556" t="s">
        <v>196</v>
      </c>
      <c r="H103" s="556"/>
      <c r="I103" s="556"/>
      <c r="J103" s="556"/>
      <c r="K103" s="202">
        <v>45716</v>
      </c>
      <c r="L103" s="203" t="s">
        <v>667</v>
      </c>
      <c r="M103" s="10"/>
      <c r="N103" s="197"/>
      <c r="O103" s="198"/>
      <c r="P103" s="198"/>
    </row>
    <row r="104" spans="1:16" ht="15.5">
      <c r="A104" s="10">
        <v>103</v>
      </c>
      <c r="B104" s="193" t="s">
        <v>76</v>
      </c>
      <c r="C104" s="10" t="s">
        <v>224</v>
      </c>
      <c r="D104" s="10"/>
      <c r="E104" s="202">
        <v>45714</v>
      </c>
      <c r="F104" s="23">
        <v>46.049156000000004</v>
      </c>
      <c r="G104" s="556" t="s">
        <v>196</v>
      </c>
      <c r="H104" s="556"/>
      <c r="I104" s="556"/>
      <c r="J104" s="556"/>
      <c r="K104" s="202">
        <v>45718</v>
      </c>
      <c r="L104" s="203" t="s">
        <v>664</v>
      </c>
      <c r="M104" s="10"/>
      <c r="N104" s="197"/>
      <c r="O104" s="198"/>
      <c r="P104" s="198"/>
    </row>
    <row r="105" spans="1:16" ht="15.5">
      <c r="A105" s="10">
        <v>104</v>
      </c>
      <c r="B105" s="193" t="s">
        <v>91</v>
      </c>
      <c r="C105" s="10" t="s">
        <v>224</v>
      </c>
      <c r="D105" s="10"/>
      <c r="E105" s="202">
        <v>45715</v>
      </c>
      <c r="F105" s="23">
        <v>46.049156000000004</v>
      </c>
      <c r="G105" s="556" t="s">
        <v>196</v>
      </c>
      <c r="H105" s="556"/>
      <c r="I105" s="556"/>
      <c r="J105" s="556"/>
      <c r="K105" s="202">
        <v>45719</v>
      </c>
      <c r="L105" s="203" t="s">
        <v>668</v>
      </c>
      <c r="M105" s="10"/>
      <c r="N105" s="197"/>
      <c r="O105" s="198"/>
      <c r="P105" s="198"/>
    </row>
    <row r="106" spans="1:16" ht="15.5">
      <c r="A106" s="10">
        <v>105</v>
      </c>
      <c r="B106" s="193" t="s">
        <v>527</v>
      </c>
      <c r="C106" s="10" t="s">
        <v>224</v>
      </c>
      <c r="D106" s="10"/>
      <c r="E106" s="202">
        <v>45717</v>
      </c>
      <c r="F106" s="23">
        <v>46.049156000000004</v>
      </c>
      <c r="G106" s="556" t="s">
        <v>196</v>
      </c>
      <c r="H106" s="556"/>
      <c r="I106" s="556"/>
      <c r="J106" s="556"/>
      <c r="K106" s="202">
        <v>45721</v>
      </c>
      <c r="L106" s="203" t="s">
        <v>420</v>
      </c>
      <c r="M106" s="10"/>
      <c r="N106" s="197"/>
      <c r="O106" s="198"/>
      <c r="P106" s="198"/>
    </row>
    <row r="107" spans="1:16" ht="15.5">
      <c r="A107" s="10">
        <v>106</v>
      </c>
      <c r="B107" s="193" t="s">
        <v>81</v>
      </c>
      <c r="C107" s="10" t="s">
        <v>224</v>
      </c>
      <c r="D107" s="10"/>
      <c r="E107" s="202">
        <v>45719</v>
      </c>
      <c r="F107" s="23">
        <v>46.049156000000004</v>
      </c>
      <c r="G107" s="556" t="s">
        <v>196</v>
      </c>
      <c r="H107" s="556"/>
      <c r="I107" s="556"/>
      <c r="J107" s="556"/>
      <c r="K107" s="202">
        <v>45723</v>
      </c>
      <c r="L107" s="203" t="s">
        <v>664</v>
      </c>
      <c r="M107" s="10"/>
      <c r="N107" s="197"/>
      <c r="O107" s="198"/>
      <c r="P107" s="198"/>
    </row>
    <row r="108" spans="1:16" ht="15.5">
      <c r="A108" s="10">
        <v>107</v>
      </c>
      <c r="B108" s="193" t="s">
        <v>528</v>
      </c>
      <c r="C108" s="10" t="s">
        <v>508</v>
      </c>
      <c r="D108" s="10"/>
      <c r="E108" s="202">
        <v>45715</v>
      </c>
      <c r="F108" s="23">
        <v>64.481662</v>
      </c>
      <c r="G108" s="556" t="s">
        <v>196</v>
      </c>
      <c r="H108" s="556"/>
      <c r="I108" s="556"/>
      <c r="J108" s="556"/>
      <c r="K108" s="202">
        <v>45724</v>
      </c>
      <c r="L108" s="203" t="s">
        <v>666</v>
      </c>
      <c r="M108" s="10"/>
      <c r="N108" s="197"/>
      <c r="O108" s="198"/>
      <c r="P108" s="198"/>
    </row>
    <row r="109" spans="1:16" ht="15.5">
      <c r="A109" s="10">
        <v>108</v>
      </c>
      <c r="B109" s="193" t="s">
        <v>529</v>
      </c>
      <c r="C109" s="10" t="s">
        <v>195</v>
      </c>
      <c r="D109" s="10"/>
      <c r="E109" s="202">
        <v>45717</v>
      </c>
      <c r="F109" s="23">
        <v>43.775756000000008</v>
      </c>
      <c r="G109" s="556" t="s">
        <v>196</v>
      </c>
      <c r="H109" s="556"/>
      <c r="I109" s="556"/>
      <c r="J109" s="556"/>
      <c r="K109" s="202">
        <v>45724</v>
      </c>
      <c r="L109" s="203" t="s">
        <v>667</v>
      </c>
      <c r="M109" s="10"/>
      <c r="N109" s="197"/>
      <c r="O109" s="198"/>
      <c r="P109" s="198"/>
    </row>
    <row r="110" spans="1:16" ht="15.5">
      <c r="A110" s="10">
        <v>109</v>
      </c>
      <c r="B110" s="193" t="s">
        <v>89</v>
      </c>
      <c r="C110" s="10" t="s">
        <v>195</v>
      </c>
      <c r="D110" s="10"/>
      <c r="E110" s="202">
        <v>45716</v>
      </c>
      <c r="F110" s="23">
        <v>43.775756000000008</v>
      </c>
      <c r="G110" s="556" t="s">
        <v>196</v>
      </c>
      <c r="H110" s="556"/>
      <c r="I110" s="556"/>
      <c r="J110" s="556"/>
      <c r="K110" s="202">
        <v>45724</v>
      </c>
      <c r="L110" s="203" t="s">
        <v>665</v>
      </c>
      <c r="M110" s="10"/>
      <c r="N110" s="197"/>
      <c r="O110" s="198"/>
      <c r="P110" s="198"/>
    </row>
    <row r="111" spans="1:16" ht="15.5">
      <c r="A111" s="10">
        <v>110</v>
      </c>
      <c r="B111" s="193" t="s">
        <v>530</v>
      </c>
      <c r="C111" s="10" t="s">
        <v>224</v>
      </c>
      <c r="D111" s="10"/>
      <c r="E111" s="202">
        <v>45717</v>
      </c>
      <c r="F111" s="23">
        <v>46.049156000000004</v>
      </c>
      <c r="G111" s="556" t="s">
        <v>196</v>
      </c>
      <c r="H111" s="556"/>
      <c r="I111" s="556"/>
      <c r="J111" s="556"/>
      <c r="K111" s="202">
        <v>45725</v>
      </c>
      <c r="L111" s="203" t="s">
        <v>669</v>
      </c>
      <c r="M111" s="10"/>
      <c r="N111" s="197"/>
      <c r="O111" s="198"/>
      <c r="P111" s="198"/>
    </row>
    <row r="112" spans="1:16" ht="15.5">
      <c r="A112" s="10">
        <v>111</v>
      </c>
      <c r="B112" s="193" t="s">
        <v>16</v>
      </c>
      <c r="C112" s="10" t="s">
        <v>224</v>
      </c>
      <c r="D112" s="10"/>
      <c r="E112" s="202">
        <v>45717</v>
      </c>
      <c r="F112" s="23">
        <v>46.049156000000004</v>
      </c>
      <c r="G112" s="556" t="s">
        <v>196</v>
      </c>
      <c r="H112" s="556"/>
      <c r="I112" s="556"/>
      <c r="J112" s="556"/>
      <c r="K112" s="202">
        <v>45727</v>
      </c>
      <c r="L112" s="203" t="s">
        <v>670</v>
      </c>
      <c r="M112" s="10"/>
      <c r="N112" s="197"/>
      <c r="O112" s="198"/>
      <c r="P112" s="198"/>
    </row>
    <row r="113" spans="1:16" ht="15.5">
      <c r="A113" s="10">
        <v>112</v>
      </c>
      <c r="B113" s="193" t="s">
        <v>77</v>
      </c>
      <c r="C113" s="10" t="s">
        <v>225</v>
      </c>
      <c r="D113" s="10"/>
      <c r="E113" s="202">
        <v>45724</v>
      </c>
      <c r="F113" s="23">
        <v>42.374236000000003</v>
      </c>
      <c r="G113" s="556" t="s">
        <v>196</v>
      </c>
      <c r="H113" s="556"/>
      <c r="I113" s="556"/>
      <c r="J113" s="556"/>
      <c r="K113" s="202">
        <v>45727</v>
      </c>
      <c r="L113" s="203" t="s">
        <v>664</v>
      </c>
      <c r="M113" s="10"/>
      <c r="N113" s="197"/>
      <c r="O113" s="198"/>
      <c r="P113" s="198"/>
    </row>
    <row r="114" spans="1:16" ht="15.5">
      <c r="A114" s="10">
        <v>113</v>
      </c>
      <c r="B114" s="193" t="s">
        <v>531</v>
      </c>
      <c r="C114" s="10" t="s">
        <v>225</v>
      </c>
      <c r="D114" s="10"/>
      <c r="E114" s="202">
        <v>45724</v>
      </c>
      <c r="F114" s="23">
        <v>42.374236000000003</v>
      </c>
      <c r="G114" s="556" t="s">
        <v>196</v>
      </c>
      <c r="H114" s="556"/>
      <c r="I114" s="556"/>
      <c r="J114" s="556"/>
      <c r="K114" s="202">
        <v>45728</v>
      </c>
      <c r="L114" s="203" t="s">
        <v>667</v>
      </c>
      <c r="M114" s="10"/>
      <c r="N114" s="197"/>
      <c r="O114" s="198"/>
      <c r="P114" s="198"/>
    </row>
    <row r="115" spans="1:16" ht="15.5">
      <c r="A115" s="10">
        <v>114</v>
      </c>
      <c r="B115" s="193" t="s">
        <v>532</v>
      </c>
      <c r="C115" s="10" t="s">
        <v>508</v>
      </c>
      <c r="D115" s="10"/>
      <c r="E115" s="202">
        <v>45717</v>
      </c>
      <c r="F115" s="23">
        <v>64.481662</v>
      </c>
      <c r="G115" s="556" t="s">
        <v>196</v>
      </c>
      <c r="H115" s="556"/>
      <c r="I115" s="556"/>
      <c r="J115" s="556"/>
      <c r="K115" s="202">
        <v>45729</v>
      </c>
      <c r="L115" s="203" t="s">
        <v>420</v>
      </c>
      <c r="M115" s="10"/>
      <c r="N115" s="197"/>
      <c r="O115" s="198"/>
      <c r="P115" s="198"/>
    </row>
    <row r="116" spans="1:16" ht="15.5">
      <c r="A116" s="10">
        <v>115</v>
      </c>
      <c r="B116" s="193" t="s">
        <v>533</v>
      </c>
      <c r="C116" s="10" t="s">
        <v>195</v>
      </c>
      <c r="D116" s="10"/>
      <c r="E116" s="202">
        <v>45726</v>
      </c>
      <c r="F116" s="23">
        <v>43.775756000000008</v>
      </c>
      <c r="G116" s="556" t="s">
        <v>196</v>
      </c>
      <c r="H116" s="556"/>
      <c r="I116" s="556"/>
      <c r="J116" s="556"/>
      <c r="K116" s="202">
        <v>45732</v>
      </c>
      <c r="L116" s="203" t="s">
        <v>669</v>
      </c>
      <c r="M116" s="10"/>
      <c r="N116" s="197"/>
      <c r="O116" s="198"/>
      <c r="P116" s="198"/>
    </row>
    <row r="117" spans="1:16" ht="15.5">
      <c r="A117" s="10">
        <v>116</v>
      </c>
      <c r="B117" s="193" t="s">
        <v>92</v>
      </c>
      <c r="C117" s="10" t="s">
        <v>195</v>
      </c>
      <c r="D117" s="10"/>
      <c r="E117" s="202">
        <v>45726</v>
      </c>
      <c r="F117" s="23">
        <v>43.775756000000008</v>
      </c>
      <c r="G117" s="556" t="s">
        <v>196</v>
      </c>
      <c r="H117" s="556"/>
      <c r="I117" s="556"/>
      <c r="J117" s="556"/>
      <c r="K117" s="202">
        <v>45734</v>
      </c>
      <c r="L117" s="203" t="s">
        <v>665</v>
      </c>
      <c r="M117" s="10"/>
      <c r="N117" s="197"/>
      <c r="O117" s="198"/>
      <c r="P117" s="198"/>
    </row>
    <row r="118" spans="1:16" ht="15.5">
      <c r="A118" s="10">
        <v>117</v>
      </c>
      <c r="B118" s="193" t="s">
        <v>74</v>
      </c>
      <c r="C118" s="10" t="s">
        <v>225</v>
      </c>
      <c r="D118" s="10"/>
      <c r="E118" s="202">
        <v>45728</v>
      </c>
      <c r="F118" s="23">
        <v>42.374236000000003</v>
      </c>
      <c r="G118" s="556" t="s">
        <v>196</v>
      </c>
      <c r="H118" s="556"/>
      <c r="I118" s="556"/>
      <c r="J118" s="556"/>
      <c r="K118" s="202">
        <v>45734</v>
      </c>
      <c r="L118" s="203" t="s">
        <v>664</v>
      </c>
      <c r="M118" s="10"/>
      <c r="N118" s="197"/>
      <c r="O118" s="198"/>
      <c r="P118" s="198"/>
    </row>
    <row r="119" spans="1:16" ht="15.5">
      <c r="A119" s="10">
        <v>118</v>
      </c>
      <c r="B119" s="193" t="s">
        <v>534</v>
      </c>
      <c r="C119" s="10" t="s">
        <v>224</v>
      </c>
      <c r="D119" s="10"/>
      <c r="E119" s="202">
        <v>45725</v>
      </c>
      <c r="F119" s="23">
        <v>46.049156000000004</v>
      </c>
      <c r="G119" s="556" t="s">
        <v>196</v>
      </c>
      <c r="H119" s="556"/>
      <c r="I119" s="556"/>
      <c r="J119" s="556"/>
      <c r="K119" s="202">
        <v>45735</v>
      </c>
      <c r="L119" s="203" t="s">
        <v>666</v>
      </c>
      <c r="M119" s="10"/>
      <c r="N119" s="197"/>
      <c r="O119" s="198"/>
      <c r="P119" s="198"/>
    </row>
    <row r="120" spans="1:16" ht="15.5">
      <c r="A120" s="10">
        <v>119</v>
      </c>
      <c r="B120" s="193" t="s">
        <v>535</v>
      </c>
      <c r="C120" s="10" t="s">
        <v>227</v>
      </c>
      <c r="D120" s="10"/>
      <c r="E120" s="202">
        <v>45729</v>
      </c>
      <c r="F120" s="23">
        <v>55.338726999999999</v>
      </c>
      <c r="G120" s="556" t="s">
        <v>196</v>
      </c>
      <c r="H120" s="556"/>
      <c r="I120" s="556"/>
      <c r="J120" s="556"/>
      <c r="K120" s="202">
        <v>45737</v>
      </c>
      <c r="L120" s="203" t="s">
        <v>667</v>
      </c>
      <c r="M120" s="10"/>
      <c r="N120" s="197"/>
      <c r="O120" s="198"/>
      <c r="P120" s="198"/>
    </row>
    <row r="121" spans="1:16" ht="15.5">
      <c r="A121" s="10">
        <v>120</v>
      </c>
      <c r="B121" s="193" t="s">
        <v>536</v>
      </c>
      <c r="C121" s="10" t="s">
        <v>224</v>
      </c>
      <c r="D121" s="10"/>
      <c r="E121" s="202">
        <v>45732</v>
      </c>
      <c r="F121" s="23">
        <v>46.049156000000004</v>
      </c>
      <c r="G121" s="556" t="s">
        <v>196</v>
      </c>
      <c r="H121" s="556"/>
      <c r="I121" s="556"/>
      <c r="J121" s="556"/>
      <c r="K121" s="202">
        <v>45737</v>
      </c>
      <c r="L121" s="203" t="s">
        <v>420</v>
      </c>
      <c r="M121" s="10"/>
      <c r="N121" s="197"/>
      <c r="O121" s="198"/>
      <c r="P121" s="198"/>
    </row>
    <row r="122" spans="1:16" ht="15.5">
      <c r="A122" s="10">
        <v>121</v>
      </c>
      <c r="B122" s="193" t="s">
        <v>537</v>
      </c>
      <c r="C122" s="10" t="s">
        <v>225</v>
      </c>
      <c r="D122" s="10"/>
      <c r="E122" s="202">
        <v>45732</v>
      </c>
      <c r="F122" s="23">
        <v>42.374236000000003</v>
      </c>
      <c r="G122" s="556" t="s">
        <v>196</v>
      </c>
      <c r="H122" s="556"/>
      <c r="I122" s="556"/>
      <c r="J122" s="556"/>
      <c r="K122" s="202">
        <v>45739</v>
      </c>
      <c r="L122" s="203" t="s">
        <v>669</v>
      </c>
      <c r="M122" s="10"/>
      <c r="N122" s="197"/>
      <c r="O122" s="198"/>
      <c r="P122" s="198"/>
    </row>
    <row r="123" spans="1:16" ht="15.5">
      <c r="A123" s="10">
        <v>122</v>
      </c>
      <c r="B123" s="193" t="s">
        <v>75</v>
      </c>
      <c r="C123" s="10" t="s">
        <v>225</v>
      </c>
      <c r="D123" s="10"/>
      <c r="E123" s="202">
        <v>45735</v>
      </c>
      <c r="F123" s="23">
        <v>42.374236000000003</v>
      </c>
      <c r="G123" s="556" t="s">
        <v>196</v>
      </c>
      <c r="H123" s="556"/>
      <c r="I123" s="556"/>
      <c r="J123" s="556"/>
      <c r="K123" s="202">
        <v>45739</v>
      </c>
      <c r="L123" s="203" t="s">
        <v>664</v>
      </c>
      <c r="M123" s="10"/>
      <c r="N123" s="197"/>
      <c r="O123" s="198"/>
      <c r="P123" s="198"/>
    </row>
    <row r="124" spans="1:16" ht="15.5">
      <c r="A124" s="10">
        <v>123</v>
      </c>
      <c r="B124" s="193" t="s">
        <v>538</v>
      </c>
      <c r="C124" s="10" t="s">
        <v>225</v>
      </c>
      <c r="D124" s="10"/>
      <c r="E124" s="202">
        <v>45738</v>
      </c>
      <c r="F124" s="23">
        <v>42.374236000000003</v>
      </c>
      <c r="G124" s="556" t="s">
        <v>196</v>
      </c>
      <c r="H124" s="556"/>
      <c r="I124" s="556"/>
      <c r="J124" s="556"/>
      <c r="K124" s="202">
        <v>45742</v>
      </c>
      <c r="L124" s="203" t="s">
        <v>667</v>
      </c>
      <c r="M124" s="10"/>
      <c r="N124" s="197"/>
      <c r="O124" s="198"/>
      <c r="P124" s="198"/>
    </row>
    <row r="125" spans="1:16" ht="15.5">
      <c r="A125" s="10">
        <v>124</v>
      </c>
      <c r="B125" s="193" t="s">
        <v>539</v>
      </c>
      <c r="C125" s="10" t="s">
        <v>225</v>
      </c>
      <c r="D125" s="10"/>
      <c r="E125" s="202">
        <v>45736</v>
      </c>
      <c r="F125" s="23">
        <v>42.374236000000003</v>
      </c>
      <c r="G125" s="556" t="s">
        <v>196</v>
      </c>
      <c r="H125" s="556"/>
      <c r="I125" s="556"/>
      <c r="J125" s="556"/>
      <c r="K125" s="202">
        <v>45743</v>
      </c>
      <c r="L125" s="203" t="s">
        <v>666</v>
      </c>
      <c r="M125" s="10"/>
      <c r="N125" s="197"/>
      <c r="O125" s="198"/>
      <c r="P125" s="198"/>
    </row>
    <row r="126" spans="1:16" ht="15.5">
      <c r="A126" s="10">
        <v>125</v>
      </c>
      <c r="B126" s="193" t="s">
        <v>540</v>
      </c>
      <c r="C126" s="10" t="s">
        <v>508</v>
      </c>
      <c r="D126" s="10"/>
      <c r="E126" s="202">
        <v>45738</v>
      </c>
      <c r="F126" s="23">
        <v>64.481662</v>
      </c>
      <c r="G126" s="556" t="s">
        <v>196</v>
      </c>
      <c r="H126" s="556"/>
      <c r="I126" s="556"/>
      <c r="J126" s="556"/>
      <c r="K126" s="202">
        <v>45745</v>
      </c>
      <c r="L126" s="203" t="s">
        <v>420</v>
      </c>
      <c r="M126" s="10"/>
      <c r="N126" s="197"/>
      <c r="O126" s="198"/>
      <c r="P126" s="198"/>
    </row>
    <row r="127" spans="1:16" ht="15.5">
      <c r="A127" s="10">
        <v>126</v>
      </c>
      <c r="B127" s="193" t="s">
        <v>88</v>
      </c>
      <c r="C127" s="10" t="s">
        <v>225</v>
      </c>
      <c r="D127" s="10"/>
      <c r="E127" s="202">
        <v>45736</v>
      </c>
      <c r="F127" s="23">
        <v>42.374236000000003</v>
      </c>
      <c r="G127" s="556" t="s">
        <v>196</v>
      </c>
      <c r="H127" s="556"/>
      <c r="I127" s="556"/>
      <c r="J127" s="556"/>
      <c r="K127" s="202">
        <v>45746</v>
      </c>
      <c r="L127" s="203" t="s">
        <v>665</v>
      </c>
      <c r="M127" s="10"/>
      <c r="N127" s="197"/>
      <c r="O127" s="198"/>
      <c r="P127" s="198"/>
    </row>
    <row r="128" spans="1:16" ht="15.5">
      <c r="A128" s="10">
        <v>127</v>
      </c>
      <c r="B128" s="193" t="s">
        <v>541</v>
      </c>
      <c r="C128" s="10" t="s">
        <v>225</v>
      </c>
      <c r="D128" s="10"/>
      <c r="E128" s="202">
        <v>45740</v>
      </c>
      <c r="F128" s="23">
        <v>42.374236000000003</v>
      </c>
      <c r="G128" s="556" t="s">
        <v>196</v>
      </c>
      <c r="H128" s="556"/>
      <c r="I128" s="556"/>
      <c r="J128" s="556"/>
      <c r="K128" s="202">
        <v>45746</v>
      </c>
      <c r="L128" s="203" t="s">
        <v>669</v>
      </c>
      <c r="M128" s="10"/>
      <c r="N128" s="197"/>
      <c r="O128" s="198"/>
      <c r="P128" s="198"/>
    </row>
    <row r="129" spans="1:16" ht="15.5">
      <c r="A129" s="10">
        <v>128</v>
      </c>
      <c r="B129" s="193" t="s">
        <v>268</v>
      </c>
      <c r="C129" s="10" t="s">
        <v>508</v>
      </c>
      <c r="D129" s="10"/>
      <c r="E129" s="202">
        <v>45740</v>
      </c>
      <c r="F129" s="23">
        <v>64.481662</v>
      </c>
      <c r="G129" s="556" t="s">
        <v>196</v>
      </c>
      <c r="H129" s="556"/>
      <c r="I129" s="556"/>
      <c r="J129" s="556"/>
      <c r="K129" s="202">
        <v>45747</v>
      </c>
      <c r="L129" s="203" t="s">
        <v>664</v>
      </c>
      <c r="M129" s="10"/>
      <c r="N129" s="197"/>
      <c r="O129" s="198"/>
      <c r="P129" s="198"/>
    </row>
    <row r="130" spans="1:16" ht="15.5">
      <c r="A130" s="10">
        <v>129</v>
      </c>
      <c r="B130" s="193" t="s">
        <v>542</v>
      </c>
      <c r="C130" s="10" t="s">
        <v>224</v>
      </c>
      <c r="D130" s="10"/>
      <c r="E130" s="202">
        <v>45737</v>
      </c>
      <c r="F130" s="23">
        <v>46.049156000000004</v>
      </c>
      <c r="G130" s="556" t="s">
        <v>196</v>
      </c>
      <c r="H130" s="556"/>
      <c r="I130" s="556"/>
      <c r="J130" s="556"/>
      <c r="K130" s="202">
        <v>45747</v>
      </c>
      <c r="L130" s="203" t="s">
        <v>671</v>
      </c>
      <c r="M130" s="10"/>
      <c r="N130" s="197"/>
      <c r="O130" s="198"/>
      <c r="P130" s="198"/>
    </row>
    <row r="131" spans="1:16" ht="15.5">
      <c r="A131" s="10">
        <v>130</v>
      </c>
      <c r="B131" s="193" t="s">
        <v>94</v>
      </c>
      <c r="C131" s="10" t="s">
        <v>225</v>
      </c>
      <c r="D131" s="10"/>
      <c r="E131" s="202">
        <v>45738</v>
      </c>
      <c r="F131" s="23">
        <v>42.374236000000003</v>
      </c>
      <c r="G131" s="556" t="s">
        <v>196</v>
      </c>
      <c r="H131" s="556"/>
      <c r="I131" s="556"/>
      <c r="J131" s="556"/>
      <c r="K131" s="202">
        <v>45747</v>
      </c>
      <c r="L131" s="203" t="s">
        <v>668</v>
      </c>
      <c r="M131" s="10"/>
      <c r="N131" s="197"/>
      <c r="O131" s="198"/>
      <c r="P131" s="198"/>
    </row>
    <row r="132" spans="1:16" ht="15.5">
      <c r="A132" s="10">
        <v>131</v>
      </c>
      <c r="B132" s="193" t="s">
        <v>543</v>
      </c>
      <c r="C132" s="10" t="s">
        <v>224</v>
      </c>
      <c r="D132" s="10"/>
      <c r="E132" s="202">
        <v>45740</v>
      </c>
      <c r="F132" s="23">
        <v>46.049156000000004</v>
      </c>
      <c r="G132" s="556" t="s">
        <v>196</v>
      </c>
      <c r="H132" s="556"/>
      <c r="I132" s="556"/>
      <c r="J132" s="556"/>
      <c r="K132" s="202">
        <v>45747</v>
      </c>
      <c r="L132" s="203" t="s">
        <v>672</v>
      </c>
      <c r="M132" s="10"/>
      <c r="N132" s="197"/>
      <c r="O132" s="198"/>
      <c r="P132" s="198"/>
    </row>
    <row r="133" spans="1:16" ht="15.5">
      <c r="A133" s="10">
        <v>132</v>
      </c>
      <c r="B133" s="193" t="s">
        <v>544</v>
      </c>
      <c r="C133" s="10" t="s">
        <v>226</v>
      </c>
      <c r="D133" s="10"/>
      <c r="E133" s="202">
        <v>45740</v>
      </c>
      <c r="F133" s="23">
        <v>53.323913999999995</v>
      </c>
      <c r="G133" s="556" t="s">
        <v>196</v>
      </c>
      <c r="H133" s="556"/>
      <c r="I133" s="556"/>
      <c r="J133" s="556"/>
      <c r="K133" s="202">
        <v>45747</v>
      </c>
      <c r="L133" s="203" t="s">
        <v>667</v>
      </c>
      <c r="M133" s="10"/>
      <c r="N133" s="197"/>
      <c r="O133" s="198"/>
      <c r="P133" s="198"/>
    </row>
    <row r="134" spans="1:16" ht="15.5">
      <c r="A134" s="10">
        <v>133</v>
      </c>
      <c r="B134" s="193" t="s">
        <v>545</v>
      </c>
      <c r="C134" s="10" t="s">
        <v>195</v>
      </c>
      <c r="D134" s="10"/>
      <c r="E134" s="202">
        <v>45744</v>
      </c>
      <c r="F134" s="23">
        <v>43.775756000000008</v>
      </c>
      <c r="G134" s="556" t="s">
        <v>196</v>
      </c>
      <c r="H134" s="556"/>
      <c r="I134" s="556"/>
      <c r="J134" s="556"/>
      <c r="K134" s="202">
        <v>45752</v>
      </c>
      <c r="L134" s="203" t="s">
        <v>420</v>
      </c>
      <c r="M134" s="10"/>
      <c r="N134" s="197"/>
      <c r="O134" s="198"/>
      <c r="P134" s="198"/>
    </row>
    <row r="135" spans="1:16" ht="15.5">
      <c r="A135" s="10">
        <v>134</v>
      </c>
      <c r="B135" s="193" t="s">
        <v>546</v>
      </c>
      <c r="C135" s="10" t="s">
        <v>224</v>
      </c>
      <c r="D135" s="10"/>
      <c r="E135" s="202">
        <v>45744</v>
      </c>
      <c r="F135" s="23">
        <v>46.049156000000004</v>
      </c>
      <c r="G135" s="556" t="s">
        <v>196</v>
      </c>
      <c r="H135" s="556"/>
      <c r="I135" s="556"/>
      <c r="J135" s="556"/>
      <c r="K135" s="202">
        <v>45754</v>
      </c>
      <c r="L135" s="203" t="s">
        <v>667</v>
      </c>
      <c r="M135" s="10"/>
      <c r="N135" s="197"/>
      <c r="O135" s="198"/>
      <c r="P135" s="198"/>
    </row>
    <row r="136" spans="1:16" ht="15.5">
      <c r="A136" s="10">
        <v>135</v>
      </c>
      <c r="B136" s="193" t="s">
        <v>547</v>
      </c>
      <c r="C136" s="10" t="s">
        <v>225</v>
      </c>
      <c r="D136" s="10"/>
      <c r="E136" s="202">
        <v>45747</v>
      </c>
      <c r="F136" s="23">
        <v>42.374236000000003</v>
      </c>
      <c r="G136" s="556" t="s">
        <v>196</v>
      </c>
      <c r="H136" s="556"/>
      <c r="I136" s="556"/>
      <c r="J136" s="556"/>
      <c r="K136" s="202">
        <v>45755</v>
      </c>
      <c r="L136" s="203" t="s">
        <v>673</v>
      </c>
      <c r="M136" s="10"/>
      <c r="N136" s="197"/>
      <c r="O136" s="198"/>
      <c r="P136" s="198"/>
    </row>
    <row r="137" spans="1:16" ht="15.5">
      <c r="A137" s="10">
        <v>136</v>
      </c>
      <c r="B137" s="193" t="s">
        <v>86</v>
      </c>
      <c r="C137" s="10" t="s">
        <v>225</v>
      </c>
      <c r="D137" s="10"/>
      <c r="E137" s="202">
        <v>45750</v>
      </c>
      <c r="F137" s="23">
        <v>42.374236000000003</v>
      </c>
      <c r="G137" s="556" t="s">
        <v>196</v>
      </c>
      <c r="H137" s="556"/>
      <c r="I137" s="556"/>
      <c r="J137" s="556"/>
      <c r="K137" s="202">
        <v>45757</v>
      </c>
      <c r="L137" s="203" t="s">
        <v>664</v>
      </c>
      <c r="M137" s="10"/>
      <c r="N137" s="197"/>
      <c r="O137" s="198"/>
      <c r="P137" s="198"/>
    </row>
    <row r="138" spans="1:16" ht="15.5">
      <c r="A138" s="10">
        <v>137</v>
      </c>
      <c r="B138" s="193" t="s">
        <v>548</v>
      </c>
      <c r="C138" s="10" t="s">
        <v>224</v>
      </c>
      <c r="D138" s="10"/>
      <c r="E138" s="202">
        <v>45747</v>
      </c>
      <c r="F138" s="23">
        <v>46.049156000000004</v>
      </c>
      <c r="G138" s="556" t="s">
        <v>196</v>
      </c>
      <c r="H138" s="556"/>
      <c r="I138" s="556"/>
      <c r="J138" s="556"/>
      <c r="K138" s="202">
        <v>45758</v>
      </c>
      <c r="L138" s="203" t="s">
        <v>674</v>
      </c>
      <c r="M138" s="10"/>
      <c r="N138" s="197"/>
      <c r="O138" s="198"/>
      <c r="P138" s="198"/>
    </row>
    <row r="139" spans="1:16" ht="15.5">
      <c r="A139" s="10">
        <v>138</v>
      </c>
      <c r="B139" s="193" t="s">
        <v>549</v>
      </c>
      <c r="C139" s="10" t="s">
        <v>224</v>
      </c>
      <c r="D139" s="10"/>
      <c r="E139" s="202">
        <v>45748</v>
      </c>
      <c r="F139" s="23">
        <v>46.049156000000004</v>
      </c>
      <c r="G139" s="556" t="s">
        <v>196</v>
      </c>
      <c r="H139" s="556"/>
      <c r="I139" s="556"/>
      <c r="J139" s="556"/>
      <c r="K139" s="202">
        <v>45758</v>
      </c>
      <c r="L139" s="203" t="s">
        <v>671</v>
      </c>
      <c r="M139" s="10"/>
      <c r="N139" s="197"/>
      <c r="O139" s="198"/>
      <c r="P139" s="198"/>
    </row>
    <row r="140" spans="1:16" ht="15.5">
      <c r="A140" s="10">
        <v>139</v>
      </c>
      <c r="B140" s="193" t="s">
        <v>550</v>
      </c>
      <c r="C140" s="10" t="s">
        <v>551</v>
      </c>
      <c r="D140" s="10"/>
      <c r="E140" s="202">
        <v>45748</v>
      </c>
      <c r="F140" s="23">
        <v>75.858397999999994</v>
      </c>
      <c r="G140" s="556" t="s">
        <v>196</v>
      </c>
      <c r="H140" s="556"/>
      <c r="I140" s="556"/>
      <c r="J140" s="556"/>
      <c r="K140" s="202">
        <v>45758</v>
      </c>
      <c r="L140" s="203" t="s">
        <v>675</v>
      </c>
      <c r="M140" s="10"/>
      <c r="N140" s="197"/>
      <c r="O140" s="198"/>
      <c r="P140" s="198"/>
    </row>
    <row r="141" spans="1:16" ht="15.5">
      <c r="A141" s="10">
        <v>140</v>
      </c>
      <c r="B141" s="193" t="s">
        <v>321</v>
      </c>
      <c r="C141" s="10" t="s">
        <v>552</v>
      </c>
      <c r="D141" s="10"/>
      <c r="E141" s="202">
        <v>45748</v>
      </c>
      <c r="F141" s="23">
        <v>87.011570000000006</v>
      </c>
      <c r="G141" s="556" t="s">
        <v>196</v>
      </c>
      <c r="H141" s="556"/>
      <c r="I141" s="556"/>
      <c r="J141" s="556"/>
      <c r="K141" s="202">
        <v>45758</v>
      </c>
      <c r="L141" s="203" t="s">
        <v>669</v>
      </c>
      <c r="M141" s="10"/>
      <c r="N141" s="197"/>
      <c r="O141" s="198"/>
      <c r="P141" s="198"/>
    </row>
    <row r="142" spans="1:16" ht="15.5">
      <c r="A142" s="10">
        <v>141</v>
      </c>
      <c r="B142" s="193" t="s">
        <v>553</v>
      </c>
      <c r="C142" s="10" t="s">
        <v>224</v>
      </c>
      <c r="D142" s="10"/>
      <c r="E142" s="202">
        <v>45748</v>
      </c>
      <c r="F142" s="23">
        <v>46.049156000000004</v>
      </c>
      <c r="G142" s="556" t="s">
        <v>196</v>
      </c>
      <c r="H142" s="556"/>
      <c r="I142" s="556"/>
      <c r="J142" s="556"/>
      <c r="K142" s="202">
        <v>45759</v>
      </c>
      <c r="L142" s="203" t="s">
        <v>672</v>
      </c>
      <c r="M142" s="10"/>
      <c r="N142" s="197"/>
      <c r="O142" s="198"/>
      <c r="P142" s="198"/>
    </row>
    <row r="143" spans="1:16" ht="15.5">
      <c r="A143" s="10">
        <v>142</v>
      </c>
      <c r="B143" s="193" t="s">
        <v>554</v>
      </c>
      <c r="C143" s="10" t="s">
        <v>224</v>
      </c>
      <c r="D143" s="10"/>
      <c r="E143" s="202">
        <v>45748</v>
      </c>
      <c r="F143" s="23">
        <v>46.049156000000004</v>
      </c>
      <c r="G143" s="556" t="s">
        <v>196</v>
      </c>
      <c r="H143" s="556"/>
      <c r="I143" s="556"/>
      <c r="J143" s="556"/>
      <c r="K143" s="202">
        <v>45759</v>
      </c>
      <c r="L143" s="203" t="s">
        <v>665</v>
      </c>
      <c r="M143" s="10"/>
      <c r="N143" s="197"/>
      <c r="O143" s="198"/>
      <c r="P143" s="198"/>
    </row>
    <row r="144" spans="1:16" ht="15.5">
      <c r="A144" s="10">
        <v>143</v>
      </c>
      <c r="B144" s="193" t="s">
        <v>555</v>
      </c>
      <c r="C144" s="10" t="s">
        <v>225</v>
      </c>
      <c r="D144" s="10"/>
      <c r="E144" s="202">
        <v>45755</v>
      </c>
      <c r="F144" s="23">
        <v>42.374236000000003</v>
      </c>
      <c r="G144" s="556" t="s">
        <v>196</v>
      </c>
      <c r="H144" s="556"/>
      <c r="I144" s="556"/>
      <c r="J144" s="556"/>
      <c r="K144" s="202">
        <v>45760</v>
      </c>
      <c r="L144" s="203" t="s">
        <v>667</v>
      </c>
      <c r="M144" s="10"/>
      <c r="N144" s="197"/>
      <c r="O144" s="198"/>
      <c r="P144" s="198"/>
    </row>
    <row r="145" spans="1:16" ht="15.5">
      <c r="A145" s="10">
        <v>144</v>
      </c>
      <c r="B145" s="193" t="s">
        <v>350</v>
      </c>
      <c r="C145" s="10" t="s">
        <v>508</v>
      </c>
      <c r="D145" s="10"/>
      <c r="E145" s="202">
        <v>45749</v>
      </c>
      <c r="F145" s="23">
        <v>64.481662</v>
      </c>
      <c r="G145" s="556" t="s">
        <v>196</v>
      </c>
      <c r="H145" s="556"/>
      <c r="I145" s="556"/>
      <c r="J145" s="556"/>
      <c r="K145" s="202">
        <v>45761</v>
      </c>
      <c r="L145" s="203" t="s">
        <v>668</v>
      </c>
      <c r="M145" s="10"/>
      <c r="N145" s="197"/>
      <c r="O145" s="198"/>
      <c r="P145" s="198"/>
    </row>
    <row r="146" spans="1:16" ht="15.5">
      <c r="A146" s="10">
        <v>145</v>
      </c>
      <c r="B146" s="193" t="s">
        <v>556</v>
      </c>
      <c r="C146" s="10" t="s">
        <v>224</v>
      </c>
      <c r="D146" s="10"/>
      <c r="E146" s="202">
        <v>45756</v>
      </c>
      <c r="F146" s="23">
        <v>46.049156000000004</v>
      </c>
      <c r="G146" s="556" t="s">
        <v>196</v>
      </c>
      <c r="H146" s="556"/>
      <c r="I146" s="556"/>
      <c r="J146" s="556"/>
      <c r="K146" s="202">
        <v>45762</v>
      </c>
      <c r="L146" s="203" t="s">
        <v>673</v>
      </c>
      <c r="M146" s="10"/>
      <c r="N146" s="197"/>
      <c r="O146" s="198"/>
      <c r="P146" s="198"/>
    </row>
    <row r="147" spans="1:16" ht="15.5">
      <c r="A147" s="10">
        <v>146</v>
      </c>
      <c r="B147" s="193" t="s">
        <v>557</v>
      </c>
      <c r="C147" s="10" t="s">
        <v>224</v>
      </c>
      <c r="D147" s="10"/>
      <c r="E147" s="202">
        <v>45752</v>
      </c>
      <c r="F147" s="23">
        <v>46.049156000000004</v>
      </c>
      <c r="G147" s="556" t="s">
        <v>196</v>
      </c>
      <c r="H147" s="556"/>
      <c r="I147" s="556"/>
      <c r="J147" s="556"/>
      <c r="K147" s="202">
        <v>45763</v>
      </c>
      <c r="L147" s="203" t="s">
        <v>676</v>
      </c>
      <c r="M147" s="10"/>
      <c r="N147" s="197"/>
      <c r="O147" s="198"/>
      <c r="P147" s="198"/>
    </row>
    <row r="148" spans="1:16" ht="15.5">
      <c r="A148" s="10">
        <v>147</v>
      </c>
      <c r="B148" s="193" t="s">
        <v>558</v>
      </c>
      <c r="C148" s="10" t="s">
        <v>225</v>
      </c>
      <c r="D148" s="10"/>
      <c r="E148" s="202">
        <v>45759</v>
      </c>
      <c r="F148" s="23">
        <v>42.374236000000003</v>
      </c>
      <c r="G148" s="556" t="s">
        <v>196</v>
      </c>
      <c r="H148" s="556"/>
      <c r="I148" s="556"/>
      <c r="J148" s="556"/>
      <c r="K148" s="202">
        <v>45763</v>
      </c>
      <c r="L148" s="203" t="s">
        <v>675</v>
      </c>
      <c r="M148" s="10"/>
      <c r="N148" s="197"/>
      <c r="O148" s="198"/>
      <c r="P148" s="198"/>
    </row>
    <row r="149" spans="1:16" ht="15.5">
      <c r="A149" s="10">
        <v>148</v>
      </c>
      <c r="B149" s="193" t="s">
        <v>559</v>
      </c>
      <c r="C149" s="10" t="s">
        <v>560</v>
      </c>
      <c r="D149" s="10"/>
      <c r="E149" s="202">
        <v>45753</v>
      </c>
      <c r="F149" s="23">
        <v>86.256192999999996</v>
      </c>
      <c r="G149" s="556" t="s">
        <v>196</v>
      </c>
      <c r="H149" s="556"/>
      <c r="I149" s="556"/>
      <c r="J149" s="556"/>
      <c r="K149" s="202">
        <v>45764</v>
      </c>
      <c r="L149" s="203" t="s">
        <v>420</v>
      </c>
      <c r="M149" s="10"/>
      <c r="N149" s="197"/>
      <c r="O149" s="198"/>
      <c r="P149" s="198"/>
    </row>
    <row r="150" spans="1:16" ht="15.5">
      <c r="A150" s="10">
        <v>149</v>
      </c>
      <c r="B150" s="193" t="s">
        <v>364</v>
      </c>
      <c r="C150" s="10" t="s">
        <v>508</v>
      </c>
      <c r="D150" s="10"/>
      <c r="E150" s="202">
        <v>45759</v>
      </c>
      <c r="F150" s="23">
        <v>64.481662</v>
      </c>
      <c r="G150" s="556" t="s">
        <v>196</v>
      </c>
      <c r="H150" s="556"/>
      <c r="I150" s="556"/>
      <c r="J150" s="556"/>
      <c r="K150" s="202">
        <v>45766</v>
      </c>
      <c r="L150" s="203" t="s">
        <v>672</v>
      </c>
      <c r="M150" s="10"/>
      <c r="N150" s="197"/>
      <c r="O150" s="198"/>
      <c r="P150" s="198"/>
    </row>
    <row r="151" spans="1:16" ht="15.5">
      <c r="A151" s="10">
        <v>150</v>
      </c>
      <c r="B151" s="193" t="s">
        <v>561</v>
      </c>
      <c r="C151" s="10" t="s">
        <v>226</v>
      </c>
      <c r="D151" s="10"/>
      <c r="E151" s="202">
        <v>45761</v>
      </c>
      <c r="F151" s="23">
        <v>53.323913999999995</v>
      </c>
      <c r="G151" s="556" t="s">
        <v>196</v>
      </c>
      <c r="H151" s="556"/>
      <c r="I151" s="556"/>
      <c r="J151" s="556"/>
      <c r="K151" s="202">
        <v>45768</v>
      </c>
      <c r="L151" s="203" t="s">
        <v>677</v>
      </c>
      <c r="M151" s="10"/>
      <c r="N151" s="197"/>
      <c r="O151" s="198"/>
      <c r="P151" s="198"/>
    </row>
    <row r="152" spans="1:16" ht="15.5">
      <c r="A152" s="10">
        <v>151</v>
      </c>
      <c r="B152" s="193" t="s">
        <v>562</v>
      </c>
      <c r="C152" s="10" t="s">
        <v>225</v>
      </c>
      <c r="D152" s="10"/>
      <c r="E152" s="202">
        <v>45759</v>
      </c>
      <c r="F152" s="23">
        <v>42.374236000000003</v>
      </c>
      <c r="G152" s="556" t="s">
        <v>196</v>
      </c>
      <c r="H152" s="556"/>
      <c r="I152" s="556"/>
      <c r="J152" s="556"/>
      <c r="K152" s="202">
        <v>45768</v>
      </c>
      <c r="L152" s="203" t="s">
        <v>669</v>
      </c>
      <c r="M152" s="10"/>
      <c r="N152" s="197"/>
      <c r="O152" s="198"/>
      <c r="P152" s="198"/>
    </row>
    <row r="153" spans="1:16" ht="15.5">
      <c r="A153" s="10">
        <v>152</v>
      </c>
      <c r="B153" s="193" t="s">
        <v>362</v>
      </c>
      <c r="C153" s="10" t="s">
        <v>552</v>
      </c>
      <c r="D153" s="10"/>
      <c r="E153" s="202">
        <v>45759</v>
      </c>
      <c r="F153" s="23">
        <v>87.011570000000006</v>
      </c>
      <c r="G153" s="556" t="s">
        <v>196</v>
      </c>
      <c r="H153" s="556"/>
      <c r="I153" s="556"/>
      <c r="J153" s="556"/>
      <c r="K153" s="202">
        <v>45769</v>
      </c>
      <c r="L153" s="203" t="s">
        <v>664</v>
      </c>
      <c r="M153" s="10"/>
      <c r="N153" s="197"/>
      <c r="O153" s="198"/>
      <c r="P153" s="198"/>
    </row>
    <row r="154" spans="1:16" ht="15.5">
      <c r="A154" s="10">
        <v>153</v>
      </c>
      <c r="B154" s="193" t="s">
        <v>563</v>
      </c>
      <c r="C154" s="10" t="s">
        <v>225</v>
      </c>
      <c r="D154" s="10"/>
      <c r="E154" s="202">
        <v>45759</v>
      </c>
      <c r="F154" s="23">
        <v>42.374236000000003</v>
      </c>
      <c r="G154" s="556" t="s">
        <v>196</v>
      </c>
      <c r="H154" s="556"/>
      <c r="I154" s="556"/>
      <c r="J154" s="556"/>
      <c r="K154" s="202">
        <v>45769</v>
      </c>
      <c r="L154" s="203" t="s">
        <v>671</v>
      </c>
      <c r="M154" s="10"/>
      <c r="N154" s="197"/>
      <c r="O154" s="198"/>
      <c r="P154" s="198"/>
    </row>
    <row r="155" spans="1:16" ht="15.5">
      <c r="A155" s="10">
        <v>154</v>
      </c>
      <c r="B155" s="193" t="s">
        <v>564</v>
      </c>
      <c r="C155" s="10" t="s">
        <v>224</v>
      </c>
      <c r="D155" s="10"/>
      <c r="E155" s="202">
        <v>45759</v>
      </c>
      <c r="F155" s="23">
        <v>46.049156000000004</v>
      </c>
      <c r="G155" s="556" t="s">
        <v>196</v>
      </c>
      <c r="H155" s="556"/>
      <c r="I155" s="556"/>
      <c r="J155" s="556"/>
      <c r="K155" s="202">
        <v>45769</v>
      </c>
      <c r="L155" s="203" t="s">
        <v>668</v>
      </c>
      <c r="M155" s="10"/>
      <c r="N155" s="197"/>
      <c r="O155" s="198"/>
      <c r="P155" s="198"/>
    </row>
    <row r="156" spans="1:16" ht="15.5">
      <c r="A156" s="10">
        <v>155</v>
      </c>
      <c r="B156" s="193" t="s">
        <v>565</v>
      </c>
      <c r="C156" s="10" t="s">
        <v>226</v>
      </c>
      <c r="D156" s="10"/>
      <c r="E156" s="202">
        <v>45763</v>
      </c>
      <c r="F156" s="23">
        <v>53.323913999999995</v>
      </c>
      <c r="G156" s="556" t="s">
        <v>196</v>
      </c>
      <c r="H156" s="556"/>
      <c r="I156" s="556"/>
      <c r="J156" s="556"/>
      <c r="K156" s="202">
        <v>45769</v>
      </c>
      <c r="L156" s="203" t="s">
        <v>673</v>
      </c>
      <c r="M156" s="10"/>
      <c r="N156" s="197"/>
      <c r="O156" s="198"/>
      <c r="P156" s="198"/>
    </row>
    <row r="157" spans="1:16" ht="15.5">
      <c r="A157" s="10">
        <v>156</v>
      </c>
      <c r="B157" s="193" t="s">
        <v>566</v>
      </c>
      <c r="C157" s="10" t="s">
        <v>195</v>
      </c>
      <c r="D157" s="10"/>
      <c r="E157" s="202">
        <v>45762</v>
      </c>
      <c r="F157" s="23">
        <v>43.775756000000008</v>
      </c>
      <c r="G157" s="556" t="s">
        <v>196</v>
      </c>
      <c r="H157" s="556"/>
      <c r="I157" s="556"/>
      <c r="J157" s="556"/>
      <c r="K157" s="202">
        <v>45770</v>
      </c>
      <c r="L157" s="203" t="s">
        <v>670</v>
      </c>
      <c r="M157" s="10"/>
      <c r="N157" s="197"/>
      <c r="O157" s="198"/>
      <c r="P157" s="198"/>
    </row>
    <row r="158" spans="1:16" ht="15.5">
      <c r="A158" s="10">
        <v>157</v>
      </c>
      <c r="B158" s="193" t="s">
        <v>567</v>
      </c>
      <c r="C158" s="10" t="s">
        <v>225</v>
      </c>
      <c r="D158" s="10"/>
      <c r="E158" s="202">
        <v>45764</v>
      </c>
      <c r="F158" s="23">
        <v>42.374236000000003</v>
      </c>
      <c r="G158" s="556" t="s">
        <v>196</v>
      </c>
      <c r="H158" s="556"/>
      <c r="I158" s="556"/>
      <c r="J158" s="556"/>
      <c r="K158" s="202">
        <v>45772</v>
      </c>
      <c r="L158" s="203" t="s">
        <v>676</v>
      </c>
      <c r="M158" s="10"/>
      <c r="N158" s="197"/>
      <c r="O158" s="198"/>
      <c r="P158" s="198"/>
    </row>
    <row r="159" spans="1:16" ht="15.5">
      <c r="A159" s="10">
        <v>158</v>
      </c>
      <c r="B159" s="193" t="s">
        <v>568</v>
      </c>
      <c r="C159" s="10" t="s">
        <v>227</v>
      </c>
      <c r="D159" s="10"/>
      <c r="E159" s="202">
        <v>45759</v>
      </c>
      <c r="F159" s="23">
        <v>55.338726999999999</v>
      </c>
      <c r="G159" s="556" t="s">
        <v>196</v>
      </c>
      <c r="H159" s="556"/>
      <c r="I159" s="556"/>
      <c r="J159" s="556"/>
      <c r="K159" s="202">
        <v>45773</v>
      </c>
      <c r="L159" s="203" t="s">
        <v>674</v>
      </c>
      <c r="M159" s="10"/>
      <c r="N159" s="197"/>
      <c r="O159" s="198"/>
      <c r="P159" s="198"/>
    </row>
    <row r="160" spans="1:16" ht="15.5">
      <c r="A160" s="10">
        <v>159</v>
      </c>
      <c r="B160" s="193" t="s">
        <v>569</v>
      </c>
      <c r="C160" s="10" t="s">
        <v>225</v>
      </c>
      <c r="D160" s="10"/>
      <c r="E160" s="202">
        <v>45770</v>
      </c>
      <c r="F160" s="23">
        <v>42.374236000000003</v>
      </c>
      <c r="G160" s="556" t="s">
        <v>196</v>
      </c>
      <c r="H160" s="556"/>
      <c r="I160" s="556"/>
      <c r="J160" s="556"/>
      <c r="K160" s="202">
        <v>45773</v>
      </c>
      <c r="L160" s="203" t="s">
        <v>673</v>
      </c>
      <c r="M160" s="10"/>
      <c r="N160" s="197"/>
      <c r="O160" s="198"/>
      <c r="P160" s="198"/>
    </row>
    <row r="161" spans="1:16" ht="15.5">
      <c r="A161" s="10">
        <v>160</v>
      </c>
      <c r="B161" s="193" t="s">
        <v>570</v>
      </c>
      <c r="C161" s="10" t="s">
        <v>225</v>
      </c>
      <c r="D161" s="10"/>
      <c r="E161" s="202">
        <v>45767</v>
      </c>
      <c r="F161" s="23">
        <v>42.374236000000003</v>
      </c>
      <c r="G161" s="556" t="s">
        <v>196</v>
      </c>
      <c r="H161" s="556"/>
      <c r="I161" s="556"/>
      <c r="J161" s="556"/>
      <c r="K161" s="202">
        <v>45773</v>
      </c>
      <c r="L161" s="203" t="s">
        <v>672</v>
      </c>
      <c r="M161" s="10"/>
      <c r="N161" s="197"/>
      <c r="O161" s="198"/>
      <c r="P161" s="198"/>
    </row>
    <row r="162" spans="1:16" ht="15.5">
      <c r="A162" s="10">
        <v>161</v>
      </c>
      <c r="B162" s="193" t="s">
        <v>571</v>
      </c>
      <c r="C162" s="10" t="s">
        <v>224</v>
      </c>
      <c r="D162" s="10"/>
      <c r="E162" s="202">
        <v>45770</v>
      </c>
      <c r="F162" s="23">
        <v>46.049156000000004</v>
      </c>
      <c r="G162" s="556" t="s">
        <v>196</v>
      </c>
      <c r="H162" s="556"/>
      <c r="I162" s="556"/>
      <c r="J162" s="556"/>
      <c r="K162" s="202">
        <v>45775</v>
      </c>
      <c r="L162" s="203" t="s">
        <v>668</v>
      </c>
      <c r="M162" s="10"/>
      <c r="N162" s="197"/>
      <c r="O162" s="198"/>
      <c r="P162" s="198"/>
    </row>
    <row r="163" spans="1:16" ht="15.5">
      <c r="A163" s="10">
        <v>162</v>
      </c>
      <c r="B163" s="193" t="s">
        <v>17</v>
      </c>
      <c r="C163" s="10" t="s">
        <v>224</v>
      </c>
      <c r="D163" s="10"/>
      <c r="E163" s="202">
        <v>45770</v>
      </c>
      <c r="F163" s="23">
        <v>46.049156000000004</v>
      </c>
      <c r="G163" s="556" t="s">
        <v>196</v>
      </c>
      <c r="H163" s="556"/>
      <c r="I163" s="556"/>
      <c r="J163" s="556"/>
      <c r="K163" s="202">
        <v>45775</v>
      </c>
      <c r="L163" s="203" t="s">
        <v>664</v>
      </c>
      <c r="M163" s="10"/>
      <c r="N163" s="197"/>
      <c r="O163" s="198"/>
      <c r="P163" s="198"/>
    </row>
    <row r="164" spans="1:16" ht="15.5">
      <c r="A164" s="10">
        <v>163</v>
      </c>
      <c r="B164" s="193" t="s">
        <v>572</v>
      </c>
      <c r="C164" s="10" t="s">
        <v>363</v>
      </c>
      <c r="D164" s="10"/>
      <c r="E164" s="202">
        <v>45764</v>
      </c>
      <c r="F164" s="23">
        <v>78.677549999999997</v>
      </c>
      <c r="G164" s="556" t="s">
        <v>196</v>
      </c>
      <c r="H164" s="556"/>
      <c r="I164" s="556"/>
      <c r="J164" s="556"/>
      <c r="K164" s="202">
        <v>45775</v>
      </c>
      <c r="L164" s="203" t="s">
        <v>675</v>
      </c>
      <c r="M164" s="10"/>
      <c r="N164" s="197"/>
      <c r="O164" s="198"/>
      <c r="P164" s="198"/>
    </row>
    <row r="165" spans="1:16" ht="15.5">
      <c r="A165" s="10">
        <v>164</v>
      </c>
      <c r="B165" s="193" t="s">
        <v>573</v>
      </c>
      <c r="C165" s="10" t="s">
        <v>225</v>
      </c>
      <c r="D165" s="10"/>
      <c r="E165" s="202">
        <v>45769</v>
      </c>
      <c r="F165" s="23">
        <v>42.374236000000003</v>
      </c>
      <c r="G165" s="556" t="s">
        <v>196</v>
      </c>
      <c r="H165" s="556"/>
      <c r="I165" s="556"/>
      <c r="J165" s="556"/>
      <c r="K165" s="202">
        <v>45775</v>
      </c>
      <c r="L165" s="203" t="s">
        <v>669</v>
      </c>
      <c r="M165" s="10"/>
      <c r="N165" s="197"/>
      <c r="O165" s="198"/>
      <c r="P165" s="198"/>
    </row>
    <row r="166" spans="1:16" ht="15.5">
      <c r="A166" s="10">
        <v>165</v>
      </c>
      <c r="B166" s="193" t="s">
        <v>574</v>
      </c>
      <c r="C166" s="10" t="s">
        <v>225</v>
      </c>
      <c r="D166" s="10"/>
      <c r="E166" s="202">
        <v>45773</v>
      </c>
      <c r="F166" s="23">
        <v>42.374236000000003</v>
      </c>
      <c r="G166" s="556" t="s">
        <v>196</v>
      </c>
      <c r="H166" s="556"/>
      <c r="I166" s="556"/>
      <c r="J166" s="556"/>
      <c r="K166" s="202">
        <v>45776</v>
      </c>
      <c r="L166" s="203" t="s">
        <v>676</v>
      </c>
      <c r="M166" s="10"/>
      <c r="N166" s="197"/>
      <c r="O166" s="198"/>
      <c r="P166" s="198"/>
    </row>
    <row r="167" spans="1:16" ht="15.5">
      <c r="A167" s="10">
        <v>166</v>
      </c>
      <c r="B167" s="193" t="s">
        <v>575</v>
      </c>
      <c r="C167" s="10" t="s">
        <v>225</v>
      </c>
      <c r="D167" s="10"/>
      <c r="E167" s="202">
        <v>45770</v>
      </c>
      <c r="F167" s="23">
        <v>42.374236000000003</v>
      </c>
      <c r="G167" s="556" t="s">
        <v>196</v>
      </c>
      <c r="H167" s="556"/>
      <c r="I167" s="556"/>
      <c r="J167" s="556"/>
      <c r="K167" s="202">
        <v>45809</v>
      </c>
      <c r="L167" s="203" t="s">
        <v>671</v>
      </c>
      <c r="M167" s="10"/>
      <c r="N167" s="197"/>
      <c r="O167" s="198"/>
      <c r="P167" s="198"/>
    </row>
    <row r="168" spans="1:16" ht="15.5">
      <c r="A168" s="10">
        <v>167</v>
      </c>
      <c r="B168" s="193" t="s">
        <v>576</v>
      </c>
      <c r="C168" s="10" t="s">
        <v>380</v>
      </c>
      <c r="D168" s="10"/>
      <c r="E168" s="202">
        <v>45769</v>
      </c>
      <c r="F168" s="23">
        <v>97.228551999999993</v>
      </c>
      <c r="G168" s="556" t="s">
        <v>196</v>
      </c>
      <c r="H168" s="556"/>
      <c r="I168" s="556"/>
      <c r="J168" s="556"/>
      <c r="K168" s="202">
        <v>45777</v>
      </c>
      <c r="L168" s="203" t="s">
        <v>667</v>
      </c>
      <c r="M168" s="10"/>
      <c r="N168" s="197"/>
      <c r="O168" s="198"/>
      <c r="P168" s="198"/>
    </row>
    <row r="169" spans="1:16" ht="15.5">
      <c r="A169" s="10">
        <v>168</v>
      </c>
      <c r="B169" s="193" t="s">
        <v>577</v>
      </c>
      <c r="C169" s="10" t="s">
        <v>225</v>
      </c>
      <c r="D169" s="10"/>
      <c r="E169" s="202">
        <v>45774</v>
      </c>
      <c r="F169" s="23">
        <v>42.374236000000003</v>
      </c>
      <c r="G169" s="556" t="s">
        <v>196</v>
      </c>
      <c r="H169" s="556"/>
      <c r="I169" s="556"/>
      <c r="J169" s="556"/>
      <c r="K169" s="202">
        <v>45777</v>
      </c>
      <c r="L169" s="203" t="s">
        <v>673</v>
      </c>
      <c r="M169" s="10"/>
      <c r="N169" s="197"/>
      <c r="O169" s="198"/>
      <c r="P169" s="198"/>
    </row>
    <row r="170" spans="1:16" ht="15.5">
      <c r="A170" s="10">
        <v>169</v>
      </c>
      <c r="B170" s="193" t="s">
        <v>18</v>
      </c>
      <c r="C170" s="10" t="s">
        <v>224</v>
      </c>
      <c r="D170" s="10"/>
      <c r="E170" s="202">
        <v>45776</v>
      </c>
      <c r="F170" s="23">
        <v>46.049156000000004</v>
      </c>
      <c r="G170" s="556" t="s">
        <v>196</v>
      </c>
      <c r="H170" s="556"/>
      <c r="I170" s="556"/>
      <c r="J170" s="556"/>
      <c r="K170" s="202">
        <v>45780</v>
      </c>
      <c r="L170" s="203" t="s">
        <v>664</v>
      </c>
      <c r="M170" s="10"/>
      <c r="N170" s="197"/>
      <c r="O170" s="198"/>
      <c r="P170" s="198"/>
    </row>
    <row r="171" spans="1:16" ht="15.5">
      <c r="A171" s="10">
        <v>170</v>
      </c>
      <c r="B171" s="193" t="s">
        <v>578</v>
      </c>
      <c r="C171" s="10" t="s">
        <v>224</v>
      </c>
      <c r="D171" s="10"/>
      <c r="E171" s="202">
        <v>45776</v>
      </c>
      <c r="F171" s="23">
        <v>46.049156000000004</v>
      </c>
      <c r="G171" s="556" t="s">
        <v>196</v>
      </c>
      <c r="H171" s="556"/>
      <c r="I171" s="556"/>
      <c r="J171" s="556"/>
      <c r="K171" s="202">
        <v>45781</v>
      </c>
      <c r="L171" s="203" t="s">
        <v>672</v>
      </c>
      <c r="M171" s="10"/>
      <c r="N171" s="197"/>
      <c r="O171" s="198"/>
      <c r="P171" s="198"/>
    </row>
    <row r="172" spans="1:16" ht="15.5">
      <c r="A172" s="10">
        <v>171</v>
      </c>
      <c r="B172" s="193" t="s">
        <v>579</v>
      </c>
      <c r="C172" s="10" t="s">
        <v>225</v>
      </c>
      <c r="D172" s="10"/>
      <c r="E172" s="202">
        <v>45776</v>
      </c>
      <c r="F172" s="23">
        <v>42.374236000000003</v>
      </c>
      <c r="G172" s="556" t="s">
        <v>196</v>
      </c>
      <c r="H172" s="556"/>
      <c r="I172" s="556"/>
      <c r="J172" s="556"/>
      <c r="K172" s="202">
        <v>45782</v>
      </c>
      <c r="L172" s="203" t="s">
        <v>668</v>
      </c>
      <c r="M172" s="10"/>
      <c r="N172" s="197"/>
      <c r="O172" s="198"/>
      <c r="P172" s="198"/>
    </row>
    <row r="173" spans="1:16" ht="15.5">
      <c r="A173" s="10">
        <v>172</v>
      </c>
      <c r="B173" s="193" t="s">
        <v>580</v>
      </c>
      <c r="C173" s="10" t="s">
        <v>224</v>
      </c>
      <c r="D173" s="10"/>
      <c r="E173" s="202">
        <v>45777</v>
      </c>
      <c r="F173" s="23">
        <v>46.049156000000004</v>
      </c>
      <c r="G173" s="556" t="s">
        <v>196</v>
      </c>
      <c r="H173" s="556"/>
      <c r="I173" s="556"/>
      <c r="J173" s="556"/>
      <c r="K173" s="202">
        <v>45783</v>
      </c>
      <c r="L173" s="203" t="s">
        <v>673</v>
      </c>
      <c r="M173" s="10"/>
      <c r="N173" s="197"/>
      <c r="O173" s="198"/>
      <c r="P173" s="198"/>
    </row>
    <row r="174" spans="1:16" ht="15.5">
      <c r="A174" s="10">
        <v>173</v>
      </c>
      <c r="B174" s="193" t="s">
        <v>581</v>
      </c>
      <c r="C174" s="10" t="s">
        <v>195</v>
      </c>
      <c r="D174" s="10"/>
      <c r="E174" s="202">
        <v>45777</v>
      </c>
      <c r="F174" s="23">
        <v>43.775756000000008</v>
      </c>
      <c r="G174" s="556" t="s">
        <v>196</v>
      </c>
      <c r="H174" s="556"/>
      <c r="I174" s="556"/>
      <c r="J174" s="556"/>
      <c r="K174" s="202">
        <v>45783</v>
      </c>
      <c r="L174" s="203" t="s">
        <v>669</v>
      </c>
      <c r="M174" s="10"/>
      <c r="N174" s="197"/>
      <c r="O174" s="198"/>
      <c r="P174" s="198"/>
    </row>
    <row r="175" spans="1:16" ht="15.5">
      <c r="A175" s="10">
        <v>174</v>
      </c>
      <c r="B175" s="193" t="s">
        <v>582</v>
      </c>
      <c r="C175" s="10" t="s">
        <v>225</v>
      </c>
      <c r="D175" s="10"/>
      <c r="E175" s="202">
        <v>45777</v>
      </c>
      <c r="F175" s="23">
        <v>42.374236000000003</v>
      </c>
      <c r="G175" s="556" t="s">
        <v>196</v>
      </c>
      <c r="H175" s="556"/>
      <c r="I175" s="556"/>
      <c r="J175" s="556"/>
      <c r="K175" s="202">
        <v>45783</v>
      </c>
      <c r="L175" s="203" t="s">
        <v>676</v>
      </c>
      <c r="M175" s="10"/>
      <c r="N175" s="197"/>
      <c r="O175" s="198"/>
      <c r="P175" s="198"/>
    </row>
    <row r="176" spans="1:16" ht="15.5">
      <c r="A176" s="10">
        <v>175</v>
      </c>
      <c r="B176" s="193" t="s">
        <v>583</v>
      </c>
      <c r="C176" s="10" t="s">
        <v>224</v>
      </c>
      <c r="D176" s="10"/>
      <c r="E176" s="202">
        <v>45777</v>
      </c>
      <c r="F176" s="23">
        <v>46.049156000000004</v>
      </c>
      <c r="G176" s="556" t="s">
        <v>196</v>
      </c>
      <c r="H176" s="556"/>
      <c r="I176" s="556"/>
      <c r="J176" s="556"/>
      <c r="K176" s="202">
        <v>45784</v>
      </c>
      <c r="L176" s="203" t="s">
        <v>670</v>
      </c>
      <c r="M176" s="10"/>
      <c r="N176" s="197"/>
      <c r="O176" s="198"/>
      <c r="P176" s="198"/>
    </row>
    <row r="177" spans="1:16" ht="15.5">
      <c r="A177" s="10">
        <v>176</v>
      </c>
      <c r="B177" s="193" t="s">
        <v>584</v>
      </c>
      <c r="C177" s="10" t="s">
        <v>225</v>
      </c>
      <c r="D177" s="10"/>
      <c r="E177" s="202">
        <v>45783</v>
      </c>
      <c r="F177" s="23">
        <v>42.374236000000003</v>
      </c>
      <c r="G177" s="556" t="s">
        <v>196</v>
      </c>
      <c r="H177" s="556"/>
      <c r="I177" s="556"/>
      <c r="J177" s="556"/>
      <c r="K177" s="202">
        <v>45786</v>
      </c>
      <c r="L177" s="203" t="s">
        <v>673</v>
      </c>
      <c r="M177" s="10"/>
      <c r="N177" s="197"/>
      <c r="O177" s="198"/>
      <c r="P177" s="198"/>
    </row>
    <row r="178" spans="1:16" ht="15.5">
      <c r="A178" s="10">
        <v>177</v>
      </c>
      <c r="B178" s="193" t="s">
        <v>585</v>
      </c>
      <c r="C178" s="10" t="s">
        <v>225</v>
      </c>
      <c r="D178" s="10"/>
      <c r="E178" s="202">
        <v>45781</v>
      </c>
      <c r="F178" s="23">
        <v>42.374236000000003</v>
      </c>
      <c r="G178" s="556" t="s">
        <v>196</v>
      </c>
      <c r="H178" s="556"/>
      <c r="I178" s="556"/>
      <c r="J178" s="556"/>
      <c r="K178" s="202">
        <v>45787</v>
      </c>
      <c r="L178" s="203" t="s">
        <v>675</v>
      </c>
      <c r="M178" s="10"/>
      <c r="N178" s="197"/>
      <c r="O178" s="198"/>
      <c r="P178" s="198"/>
    </row>
    <row r="179" spans="1:16" ht="15.5">
      <c r="A179" s="10">
        <v>178</v>
      </c>
      <c r="B179" s="193" t="s">
        <v>586</v>
      </c>
      <c r="C179" s="10" t="s">
        <v>225</v>
      </c>
      <c r="D179" s="10"/>
      <c r="E179" s="202">
        <v>45781</v>
      </c>
      <c r="F179" s="23">
        <v>42.374236000000003</v>
      </c>
      <c r="G179" s="556" t="s">
        <v>196</v>
      </c>
      <c r="H179" s="556"/>
      <c r="I179" s="556"/>
      <c r="J179" s="556"/>
      <c r="K179" s="202">
        <v>45788</v>
      </c>
      <c r="L179" s="203" t="s">
        <v>420</v>
      </c>
      <c r="M179" s="10"/>
      <c r="N179" s="197"/>
      <c r="O179" s="198"/>
      <c r="P179" s="198"/>
    </row>
    <row r="180" spans="1:16" ht="15.5">
      <c r="A180" s="10">
        <v>179</v>
      </c>
      <c r="B180" s="193" t="s">
        <v>587</v>
      </c>
      <c r="C180" s="10" t="s">
        <v>225</v>
      </c>
      <c r="D180" s="10"/>
      <c r="E180" s="202">
        <v>45782</v>
      </c>
      <c r="F180" s="23">
        <v>42.374236000000003</v>
      </c>
      <c r="G180" s="556" t="s">
        <v>196</v>
      </c>
      <c r="H180" s="556"/>
      <c r="I180" s="556"/>
      <c r="J180" s="556"/>
      <c r="K180" s="202">
        <v>45788</v>
      </c>
      <c r="L180" s="203" t="s">
        <v>672</v>
      </c>
      <c r="M180" s="10"/>
      <c r="N180" s="197"/>
      <c r="O180" s="198"/>
      <c r="P180" s="198"/>
    </row>
    <row r="181" spans="1:16" ht="15.5">
      <c r="A181" s="10">
        <v>180</v>
      </c>
      <c r="B181" s="193" t="s">
        <v>129</v>
      </c>
      <c r="C181" s="10" t="s">
        <v>224</v>
      </c>
      <c r="D181" s="10"/>
      <c r="E181" s="202">
        <v>45784</v>
      </c>
      <c r="F181" s="23">
        <v>46.049156000000004</v>
      </c>
      <c r="G181" s="556" t="s">
        <v>196</v>
      </c>
      <c r="H181" s="556"/>
      <c r="I181" s="556"/>
      <c r="J181" s="556"/>
      <c r="K181" s="202">
        <v>45789</v>
      </c>
      <c r="L181" s="203" t="s">
        <v>676</v>
      </c>
      <c r="M181" s="10"/>
      <c r="N181" s="197"/>
      <c r="O181" s="198"/>
      <c r="P181" s="198"/>
    </row>
    <row r="182" spans="1:16" ht="15.5">
      <c r="A182" s="10">
        <v>181</v>
      </c>
      <c r="B182" s="193" t="s">
        <v>588</v>
      </c>
      <c r="C182" s="10" t="s">
        <v>225</v>
      </c>
      <c r="D182" s="10"/>
      <c r="E182" s="202">
        <v>45784</v>
      </c>
      <c r="F182" s="23">
        <v>42.374236000000003</v>
      </c>
      <c r="G182" s="556" t="s">
        <v>196</v>
      </c>
      <c r="H182" s="556"/>
      <c r="I182" s="556"/>
      <c r="J182" s="556"/>
      <c r="K182" s="202">
        <v>45790</v>
      </c>
      <c r="L182" s="203" t="s">
        <v>669</v>
      </c>
      <c r="M182" s="10"/>
      <c r="N182" s="197"/>
      <c r="O182" s="198"/>
      <c r="P182" s="198"/>
    </row>
    <row r="183" spans="1:16" ht="15.5">
      <c r="A183" s="10">
        <v>182</v>
      </c>
      <c r="B183" s="193" t="s">
        <v>589</v>
      </c>
      <c r="C183" s="10" t="s">
        <v>195</v>
      </c>
      <c r="D183" s="10"/>
      <c r="E183" s="202">
        <v>45784</v>
      </c>
      <c r="F183" s="23">
        <v>43.775756000000008</v>
      </c>
      <c r="G183" s="556" t="s">
        <v>196</v>
      </c>
      <c r="H183" s="556"/>
      <c r="I183" s="556"/>
      <c r="J183" s="556"/>
      <c r="K183" s="202">
        <v>45790</v>
      </c>
      <c r="L183" s="203" t="s">
        <v>668</v>
      </c>
      <c r="M183" s="10"/>
      <c r="N183" s="197"/>
      <c r="O183" s="198"/>
      <c r="P183" s="198"/>
    </row>
    <row r="184" spans="1:16" ht="15.5">
      <c r="A184" s="10">
        <v>183</v>
      </c>
      <c r="B184" s="193" t="s">
        <v>141</v>
      </c>
      <c r="C184" s="10" t="s">
        <v>224</v>
      </c>
      <c r="D184" s="10"/>
      <c r="E184" s="202">
        <v>45784</v>
      </c>
      <c r="F184" s="23">
        <v>46.049156000000004</v>
      </c>
      <c r="G184" s="556" t="s">
        <v>196</v>
      </c>
      <c r="H184" s="556"/>
      <c r="I184" s="556"/>
      <c r="J184" s="556"/>
      <c r="K184" s="202">
        <v>45791</v>
      </c>
      <c r="L184" s="203" t="s">
        <v>664</v>
      </c>
      <c r="M184" s="10"/>
      <c r="N184" s="197"/>
      <c r="O184" s="198"/>
      <c r="P184" s="198"/>
    </row>
    <row r="185" spans="1:16" ht="15.5">
      <c r="A185" s="10">
        <v>184</v>
      </c>
      <c r="B185" s="193" t="s">
        <v>590</v>
      </c>
      <c r="C185" s="10" t="s">
        <v>380</v>
      </c>
      <c r="D185" s="10"/>
      <c r="E185" s="202">
        <v>45782</v>
      </c>
      <c r="F185" s="23">
        <v>97.228551999999993</v>
      </c>
      <c r="G185" s="556" t="s">
        <v>196</v>
      </c>
      <c r="H185" s="556"/>
      <c r="I185" s="556"/>
      <c r="J185" s="556"/>
      <c r="K185" s="202">
        <v>45791</v>
      </c>
      <c r="L185" s="203" t="s">
        <v>667</v>
      </c>
      <c r="M185" s="10"/>
      <c r="N185" s="197"/>
      <c r="O185" s="198"/>
      <c r="P185" s="198"/>
    </row>
    <row r="186" spans="1:16" ht="15.5">
      <c r="A186" s="10">
        <v>185</v>
      </c>
      <c r="B186" s="193" t="s">
        <v>591</v>
      </c>
      <c r="C186" s="10" t="s">
        <v>225</v>
      </c>
      <c r="D186" s="10"/>
      <c r="E186" s="202">
        <v>45788</v>
      </c>
      <c r="F186" s="23">
        <v>42.374236000000003</v>
      </c>
      <c r="G186" s="556" t="s">
        <v>196</v>
      </c>
      <c r="H186" s="556"/>
      <c r="I186" s="556"/>
      <c r="J186" s="556"/>
      <c r="K186" s="202">
        <v>45792</v>
      </c>
      <c r="L186" s="203" t="s">
        <v>673</v>
      </c>
      <c r="M186" s="10"/>
      <c r="N186" s="197"/>
      <c r="O186" s="198"/>
      <c r="P186" s="198"/>
    </row>
    <row r="187" spans="1:16" ht="15.5">
      <c r="A187" s="10">
        <v>186</v>
      </c>
      <c r="B187" s="193" t="s">
        <v>592</v>
      </c>
      <c r="C187" s="10" t="s">
        <v>225</v>
      </c>
      <c r="D187" s="10"/>
      <c r="E187" s="202">
        <v>45790</v>
      </c>
      <c r="F187" s="23">
        <v>42.374236000000003</v>
      </c>
      <c r="G187" s="556" t="s">
        <v>196</v>
      </c>
      <c r="H187" s="556"/>
      <c r="I187" s="556"/>
      <c r="J187" s="556"/>
      <c r="K187" s="202">
        <v>45794</v>
      </c>
      <c r="L187" s="203" t="s">
        <v>676</v>
      </c>
      <c r="M187" s="10"/>
      <c r="N187" s="197"/>
      <c r="O187" s="198"/>
      <c r="P187" s="198"/>
    </row>
    <row r="188" spans="1:16" ht="15.5">
      <c r="A188" s="10">
        <v>187</v>
      </c>
      <c r="B188" s="193" t="s">
        <v>140</v>
      </c>
      <c r="C188" s="10" t="s">
        <v>195</v>
      </c>
      <c r="D188" s="10"/>
      <c r="E188" s="202">
        <v>45791</v>
      </c>
      <c r="F188" s="23">
        <v>43.775756000000008</v>
      </c>
      <c r="G188" s="556" t="s">
        <v>196</v>
      </c>
      <c r="H188" s="556"/>
      <c r="I188" s="556"/>
      <c r="J188" s="556"/>
      <c r="K188" s="202">
        <v>45796</v>
      </c>
      <c r="L188" s="203" t="s">
        <v>664</v>
      </c>
      <c r="M188" s="10"/>
      <c r="N188" s="197"/>
      <c r="O188" s="198"/>
      <c r="P188" s="198"/>
    </row>
    <row r="189" spans="1:16" ht="15.5">
      <c r="A189" s="10">
        <v>188</v>
      </c>
      <c r="B189" s="193" t="s">
        <v>593</v>
      </c>
      <c r="C189" s="10" t="s">
        <v>225</v>
      </c>
      <c r="D189" s="10"/>
      <c r="E189" s="202">
        <v>45791</v>
      </c>
      <c r="F189" s="23">
        <v>42.374236000000003</v>
      </c>
      <c r="G189" s="556" t="s">
        <v>196</v>
      </c>
      <c r="H189" s="556"/>
      <c r="I189" s="556"/>
      <c r="J189" s="556"/>
      <c r="K189" s="202">
        <v>45796</v>
      </c>
      <c r="L189" s="203" t="s">
        <v>668</v>
      </c>
      <c r="M189" s="10"/>
      <c r="N189" s="197"/>
      <c r="O189" s="198"/>
      <c r="P189" s="198"/>
    </row>
    <row r="190" spans="1:16" ht="15.5">
      <c r="A190" s="10">
        <v>189</v>
      </c>
      <c r="B190" s="193" t="s">
        <v>594</v>
      </c>
      <c r="C190" s="10" t="s">
        <v>224</v>
      </c>
      <c r="D190" s="10"/>
      <c r="E190" s="202">
        <v>45789</v>
      </c>
      <c r="F190" s="23">
        <v>46.049156000000004</v>
      </c>
      <c r="G190" s="556" t="s">
        <v>196</v>
      </c>
      <c r="H190" s="556"/>
      <c r="I190" s="556"/>
      <c r="J190" s="556"/>
      <c r="K190" s="202">
        <v>45796</v>
      </c>
      <c r="L190" s="203" t="s">
        <v>672</v>
      </c>
      <c r="M190" s="10"/>
      <c r="N190" s="197"/>
      <c r="O190" s="198"/>
      <c r="P190" s="198"/>
    </row>
    <row r="191" spans="1:16" ht="15.5">
      <c r="A191" s="10">
        <v>190</v>
      </c>
      <c r="B191" s="193" t="s">
        <v>595</v>
      </c>
      <c r="C191" s="10" t="s">
        <v>225</v>
      </c>
      <c r="D191" s="10"/>
      <c r="E191" s="202">
        <v>45791</v>
      </c>
      <c r="F191" s="23">
        <v>42.374236000000003</v>
      </c>
      <c r="G191" s="556" t="s">
        <v>196</v>
      </c>
      <c r="H191" s="556"/>
      <c r="I191" s="556"/>
      <c r="J191" s="556"/>
      <c r="K191" s="202">
        <v>45797</v>
      </c>
      <c r="L191" s="203" t="s">
        <v>669</v>
      </c>
      <c r="M191" s="10"/>
      <c r="N191" s="197"/>
      <c r="O191" s="198"/>
      <c r="P191" s="198"/>
    </row>
    <row r="192" spans="1:16" ht="15.5">
      <c r="A192" s="10">
        <v>191</v>
      </c>
      <c r="B192" s="193" t="s">
        <v>596</v>
      </c>
      <c r="C192" s="10" t="s">
        <v>224</v>
      </c>
      <c r="D192" s="10"/>
      <c r="E192" s="202">
        <v>45789</v>
      </c>
      <c r="F192" s="23">
        <v>46.049156000000004</v>
      </c>
      <c r="G192" s="556" t="s">
        <v>196</v>
      </c>
      <c r="H192" s="556"/>
      <c r="I192" s="556"/>
      <c r="J192" s="556"/>
      <c r="K192" s="202">
        <v>45798</v>
      </c>
      <c r="L192" s="203" t="s">
        <v>420</v>
      </c>
      <c r="M192" s="10"/>
      <c r="N192" s="197"/>
      <c r="O192" s="198"/>
      <c r="P192" s="198"/>
    </row>
    <row r="193" spans="1:16" ht="15.5">
      <c r="A193" s="10">
        <v>192</v>
      </c>
      <c r="B193" s="193" t="s">
        <v>597</v>
      </c>
      <c r="C193" s="10" t="s">
        <v>224</v>
      </c>
      <c r="D193" s="10"/>
      <c r="E193" s="202">
        <v>45793</v>
      </c>
      <c r="F193" s="23">
        <v>46.049156000000004</v>
      </c>
      <c r="G193" s="556" t="s">
        <v>196</v>
      </c>
      <c r="H193" s="556"/>
      <c r="I193" s="556"/>
      <c r="J193" s="556"/>
      <c r="K193" s="202">
        <v>45798</v>
      </c>
      <c r="L193" s="203" t="s">
        <v>676</v>
      </c>
      <c r="M193" s="10"/>
      <c r="N193" s="197"/>
      <c r="O193" s="198"/>
      <c r="P193" s="198"/>
    </row>
    <row r="194" spans="1:16" ht="15.5">
      <c r="A194" s="10">
        <v>193</v>
      </c>
      <c r="B194" s="193" t="s">
        <v>598</v>
      </c>
      <c r="C194" s="10" t="s">
        <v>225</v>
      </c>
      <c r="D194" s="10"/>
      <c r="E194" s="202">
        <v>45792</v>
      </c>
      <c r="F194" s="23">
        <v>42.374236000000003</v>
      </c>
      <c r="G194" s="556" t="s">
        <v>196</v>
      </c>
      <c r="H194" s="556"/>
      <c r="I194" s="556"/>
      <c r="J194" s="556"/>
      <c r="K194" s="202">
        <v>45799</v>
      </c>
      <c r="L194" s="203" t="s">
        <v>667</v>
      </c>
      <c r="M194" s="10"/>
      <c r="N194" s="197"/>
      <c r="O194" s="198"/>
      <c r="P194" s="198"/>
    </row>
    <row r="195" spans="1:16" ht="15.5">
      <c r="A195" s="10">
        <v>194</v>
      </c>
      <c r="B195" s="193" t="s">
        <v>599</v>
      </c>
      <c r="C195" s="10" t="s">
        <v>225</v>
      </c>
      <c r="D195" s="10"/>
      <c r="E195" s="202">
        <v>45788</v>
      </c>
      <c r="F195" s="23">
        <v>42.374236000000003</v>
      </c>
      <c r="G195" s="556" t="s">
        <v>196</v>
      </c>
      <c r="H195" s="556"/>
      <c r="I195" s="556"/>
      <c r="J195" s="556"/>
      <c r="K195" s="202">
        <v>45799</v>
      </c>
      <c r="L195" s="203" t="s">
        <v>675</v>
      </c>
      <c r="M195" s="10"/>
      <c r="N195" s="197"/>
      <c r="O195" s="198"/>
      <c r="P195" s="198"/>
    </row>
    <row r="196" spans="1:16" ht="15.5">
      <c r="A196" s="10">
        <v>195</v>
      </c>
      <c r="B196" s="193" t="s">
        <v>600</v>
      </c>
      <c r="C196" s="10" t="s">
        <v>226</v>
      </c>
      <c r="D196" s="10"/>
      <c r="E196" s="202">
        <v>45789</v>
      </c>
      <c r="F196" s="23">
        <v>53.323913999999995</v>
      </c>
      <c r="G196" s="556" t="s">
        <v>196</v>
      </c>
      <c r="H196" s="556"/>
      <c r="I196" s="556"/>
      <c r="J196" s="556"/>
      <c r="K196" s="202">
        <v>45799</v>
      </c>
      <c r="L196" s="203" t="s">
        <v>678</v>
      </c>
      <c r="M196" s="10"/>
      <c r="N196" s="197"/>
      <c r="O196" s="198"/>
      <c r="P196" s="198"/>
    </row>
    <row r="197" spans="1:16" ht="15.5">
      <c r="A197" s="10">
        <v>196</v>
      </c>
      <c r="B197" s="193" t="s">
        <v>601</v>
      </c>
      <c r="C197" s="10" t="s">
        <v>225</v>
      </c>
      <c r="D197" s="10"/>
      <c r="E197" s="202">
        <v>45797</v>
      </c>
      <c r="F197" s="23">
        <v>42.374236000000003</v>
      </c>
      <c r="G197" s="556" t="s">
        <v>196</v>
      </c>
      <c r="H197" s="556"/>
      <c r="I197" s="556"/>
      <c r="J197" s="556"/>
      <c r="K197" s="202">
        <v>45801</v>
      </c>
      <c r="L197" s="203" t="s">
        <v>668</v>
      </c>
      <c r="M197" s="10"/>
      <c r="N197" s="197"/>
      <c r="O197" s="198"/>
      <c r="P197" s="198"/>
    </row>
    <row r="198" spans="1:16" ht="15.5">
      <c r="A198" s="10">
        <v>197</v>
      </c>
      <c r="B198" s="193" t="s">
        <v>602</v>
      </c>
      <c r="C198" s="10" t="s">
        <v>225</v>
      </c>
      <c r="D198" s="10"/>
      <c r="E198" s="202">
        <v>45797</v>
      </c>
      <c r="F198" s="23">
        <v>42.374236000000003</v>
      </c>
      <c r="G198" s="556" t="s">
        <v>196</v>
      </c>
      <c r="H198" s="556"/>
      <c r="I198" s="556"/>
      <c r="J198" s="556"/>
      <c r="K198" s="202">
        <v>45801</v>
      </c>
      <c r="L198" s="203" t="s">
        <v>672</v>
      </c>
      <c r="M198" s="10"/>
      <c r="N198" s="197"/>
      <c r="O198" s="198"/>
      <c r="P198" s="198"/>
    </row>
    <row r="199" spans="1:16" ht="15.5">
      <c r="A199" s="10">
        <v>198</v>
      </c>
      <c r="B199" s="193" t="s">
        <v>142</v>
      </c>
      <c r="C199" s="10" t="s">
        <v>225</v>
      </c>
      <c r="D199" s="10"/>
      <c r="E199" s="202">
        <v>45797</v>
      </c>
      <c r="F199" s="23">
        <v>42.374236000000003</v>
      </c>
      <c r="G199" s="556" t="s">
        <v>196</v>
      </c>
      <c r="H199" s="556"/>
      <c r="I199" s="556"/>
      <c r="J199" s="556"/>
      <c r="K199" s="202">
        <v>45801</v>
      </c>
      <c r="L199" s="203" t="s">
        <v>664</v>
      </c>
      <c r="M199" s="10"/>
      <c r="N199" s="197"/>
      <c r="O199" s="198"/>
      <c r="P199" s="198"/>
    </row>
    <row r="200" spans="1:16" ht="15.5">
      <c r="A200" s="10">
        <v>199</v>
      </c>
      <c r="B200" s="193" t="s">
        <v>603</v>
      </c>
      <c r="C200" s="10" t="s">
        <v>604</v>
      </c>
      <c r="D200" s="10"/>
      <c r="E200" s="202">
        <v>45793</v>
      </c>
      <c r="F200" s="23">
        <v>78.073216000000002</v>
      </c>
      <c r="G200" s="556" t="s">
        <v>196</v>
      </c>
      <c r="H200" s="556"/>
      <c r="I200" s="556"/>
      <c r="J200" s="556"/>
      <c r="K200" s="202">
        <v>45802</v>
      </c>
      <c r="L200" s="203" t="s">
        <v>673</v>
      </c>
      <c r="M200" s="10"/>
      <c r="N200" s="197"/>
      <c r="O200" s="198"/>
      <c r="P200" s="198"/>
    </row>
    <row r="201" spans="1:16" ht="15.5">
      <c r="A201" s="10">
        <v>200</v>
      </c>
      <c r="B201" s="193" t="s">
        <v>605</v>
      </c>
      <c r="C201" s="10" t="s">
        <v>225</v>
      </c>
      <c r="D201" s="10"/>
      <c r="E201" s="202">
        <v>45787</v>
      </c>
      <c r="F201" s="23">
        <v>42.374236000000003</v>
      </c>
      <c r="G201" s="556" t="s">
        <v>196</v>
      </c>
      <c r="H201" s="556"/>
      <c r="I201" s="556"/>
      <c r="J201" s="556"/>
      <c r="K201" s="202">
        <v>45804</v>
      </c>
      <c r="L201" s="203" t="s">
        <v>670</v>
      </c>
      <c r="M201" s="10"/>
      <c r="N201" s="197"/>
      <c r="O201" s="198"/>
      <c r="P201" s="198"/>
    </row>
    <row r="202" spans="1:16" ht="15.5">
      <c r="A202" s="10">
        <v>201</v>
      </c>
      <c r="B202" s="193" t="s">
        <v>606</v>
      </c>
      <c r="C202" s="10" t="s">
        <v>225</v>
      </c>
      <c r="D202" s="10"/>
      <c r="E202" s="202">
        <v>45799</v>
      </c>
      <c r="F202" s="23">
        <v>42.374236000000003</v>
      </c>
      <c r="G202" s="556" t="s">
        <v>196</v>
      </c>
      <c r="H202" s="556"/>
      <c r="I202" s="556"/>
      <c r="J202" s="556"/>
      <c r="K202" s="202">
        <v>45804</v>
      </c>
      <c r="L202" s="203" t="s">
        <v>676</v>
      </c>
      <c r="M202" s="10"/>
      <c r="N202" s="197"/>
      <c r="O202" s="198"/>
      <c r="P202" s="198"/>
    </row>
    <row r="203" spans="1:16" ht="15.5">
      <c r="A203" s="10">
        <v>202</v>
      </c>
      <c r="B203" s="193" t="s">
        <v>607</v>
      </c>
      <c r="C203" s="10" t="s">
        <v>225</v>
      </c>
      <c r="D203" s="10"/>
      <c r="E203" s="202">
        <v>45800</v>
      </c>
      <c r="F203" s="23">
        <v>42.374236000000003</v>
      </c>
      <c r="G203" s="556" t="s">
        <v>196</v>
      </c>
      <c r="H203" s="556"/>
      <c r="I203" s="556"/>
      <c r="J203" s="556"/>
      <c r="K203" s="202">
        <v>45805</v>
      </c>
      <c r="L203" s="203" t="s">
        <v>667</v>
      </c>
      <c r="M203" s="10"/>
      <c r="N203" s="197"/>
      <c r="O203" s="198"/>
      <c r="P203" s="198"/>
    </row>
    <row r="204" spans="1:16" ht="15.5">
      <c r="A204" s="10">
        <v>203</v>
      </c>
      <c r="B204" s="193" t="s">
        <v>608</v>
      </c>
      <c r="C204" s="10" t="s">
        <v>225</v>
      </c>
      <c r="D204" s="10"/>
      <c r="E204" s="202">
        <v>45800</v>
      </c>
      <c r="F204" s="23">
        <v>42.374236000000003</v>
      </c>
      <c r="G204" s="556" t="s">
        <v>196</v>
      </c>
      <c r="H204" s="556"/>
      <c r="I204" s="556"/>
      <c r="J204" s="556"/>
      <c r="K204" s="202">
        <v>45807</v>
      </c>
      <c r="L204" s="203" t="s">
        <v>420</v>
      </c>
      <c r="M204" s="10"/>
      <c r="N204" s="197"/>
      <c r="O204" s="198"/>
      <c r="P204" s="198"/>
    </row>
    <row r="205" spans="1:16" ht="15.5">
      <c r="A205" s="10">
        <v>204</v>
      </c>
      <c r="B205" s="193" t="s">
        <v>609</v>
      </c>
      <c r="C205" s="10" t="s">
        <v>225</v>
      </c>
      <c r="D205" s="10"/>
      <c r="E205" s="202">
        <v>45800</v>
      </c>
      <c r="F205" s="23">
        <v>42.374236000000003</v>
      </c>
      <c r="G205" s="556" t="s">
        <v>196</v>
      </c>
      <c r="H205" s="556"/>
      <c r="I205" s="556"/>
      <c r="J205" s="556"/>
      <c r="K205" s="202">
        <v>45807</v>
      </c>
      <c r="L205" s="203" t="s">
        <v>664</v>
      </c>
      <c r="M205" s="10"/>
      <c r="N205" s="197"/>
      <c r="O205" s="198"/>
      <c r="P205" s="198"/>
    </row>
    <row r="206" spans="1:16" ht="15.5">
      <c r="A206" s="10">
        <v>205</v>
      </c>
      <c r="B206" s="193" t="s">
        <v>610</v>
      </c>
      <c r="C206" s="10" t="s">
        <v>225</v>
      </c>
      <c r="D206" s="10"/>
      <c r="E206" s="202">
        <v>45803</v>
      </c>
      <c r="F206" s="23">
        <v>42.374236000000003</v>
      </c>
      <c r="G206" s="556" t="s">
        <v>196</v>
      </c>
      <c r="H206" s="556"/>
      <c r="I206" s="556"/>
      <c r="J206" s="556"/>
      <c r="K206" s="202">
        <v>45808</v>
      </c>
      <c r="L206" s="203" t="s">
        <v>673</v>
      </c>
      <c r="M206" s="10"/>
      <c r="N206" s="197"/>
      <c r="O206" s="198"/>
      <c r="P206" s="198"/>
    </row>
    <row r="207" spans="1:16" ht="15.5">
      <c r="A207" s="10">
        <v>206</v>
      </c>
      <c r="B207" s="193" t="s">
        <v>611</v>
      </c>
      <c r="C207" s="10" t="s">
        <v>225</v>
      </c>
      <c r="D207" s="10"/>
      <c r="E207" s="202">
        <v>45802</v>
      </c>
      <c r="F207" s="23">
        <v>42.374236000000003</v>
      </c>
      <c r="G207" s="556" t="s">
        <v>196</v>
      </c>
      <c r="H207" s="556"/>
      <c r="I207" s="556"/>
      <c r="J207" s="556"/>
      <c r="K207" s="202">
        <v>45808</v>
      </c>
      <c r="L207" s="203" t="s">
        <v>668</v>
      </c>
      <c r="M207" s="10"/>
      <c r="N207" s="197"/>
      <c r="O207" s="198"/>
      <c r="P207" s="198"/>
    </row>
    <row r="208" spans="1:16" ht="15.5">
      <c r="A208" s="10">
        <v>207</v>
      </c>
      <c r="B208" s="193" t="s">
        <v>612</v>
      </c>
      <c r="C208" s="10" t="s">
        <v>224</v>
      </c>
      <c r="D208" s="10"/>
      <c r="E208" s="202">
        <v>45805</v>
      </c>
      <c r="F208" s="23">
        <v>46.049156000000004</v>
      </c>
      <c r="G208" s="556" t="s">
        <v>196</v>
      </c>
      <c r="H208" s="556"/>
      <c r="I208" s="556"/>
      <c r="J208" s="556"/>
      <c r="K208" s="202">
        <v>45810</v>
      </c>
      <c r="L208" s="203" t="s">
        <v>672</v>
      </c>
      <c r="M208" s="10"/>
      <c r="N208" s="197"/>
      <c r="O208" s="198"/>
      <c r="P208" s="198"/>
    </row>
    <row r="209" spans="1:16" ht="15.5">
      <c r="A209" s="10">
        <v>208</v>
      </c>
      <c r="B209" s="193" t="s">
        <v>613</v>
      </c>
      <c r="C209" s="10" t="s">
        <v>227</v>
      </c>
      <c r="D209" s="10"/>
      <c r="E209" s="202">
        <v>45805</v>
      </c>
      <c r="F209" s="23">
        <v>55.338726999999999</v>
      </c>
      <c r="G209" s="556" t="s">
        <v>196</v>
      </c>
      <c r="H209" s="556"/>
      <c r="I209" s="556"/>
      <c r="J209" s="556"/>
      <c r="K209" s="202">
        <v>45811</v>
      </c>
      <c r="L209" s="203" t="s">
        <v>667</v>
      </c>
      <c r="M209" s="10"/>
      <c r="N209" s="197"/>
      <c r="O209" s="198"/>
      <c r="P209" s="198"/>
    </row>
    <row r="210" spans="1:16" ht="15.5">
      <c r="A210" s="10">
        <v>209</v>
      </c>
      <c r="B210" s="193" t="s">
        <v>614</v>
      </c>
      <c r="C210" s="10" t="s">
        <v>225</v>
      </c>
      <c r="D210" s="10"/>
      <c r="E210" s="202">
        <v>45802</v>
      </c>
      <c r="F210" s="23">
        <v>42.374236000000003</v>
      </c>
      <c r="G210" s="556" t="s">
        <v>196</v>
      </c>
      <c r="H210" s="556"/>
      <c r="I210" s="556"/>
      <c r="J210" s="556"/>
      <c r="K210" s="202">
        <v>45812</v>
      </c>
      <c r="L210" s="203" t="s">
        <v>420</v>
      </c>
      <c r="M210" s="10"/>
      <c r="N210" s="197"/>
      <c r="O210" s="198"/>
      <c r="P210" s="198"/>
    </row>
    <row r="211" spans="1:16" ht="15.5">
      <c r="A211" s="10">
        <v>210</v>
      </c>
      <c r="B211" s="193" t="s">
        <v>615</v>
      </c>
      <c r="C211" s="10" t="s">
        <v>225</v>
      </c>
      <c r="D211" s="10"/>
      <c r="E211" s="202">
        <v>45807</v>
      </c>
      <c r="F211" s="23">
        <v>42.374236000000003</v>
      </c>
      <c r="G211" s="556" t="s">
        <v>196</v>
      </c>
      <c r="H211" s="556"/>
      <c r="I211" s="556"/>
      <c r="J211" s="556"/>
      <c r="K211" s="202">
        <v>45812</v>
      </c>
      <c r="L211" s="203" t="s">
        <v>664</v>
      </c>
      <c r="M211" s="10"/>
      <c r="N211" s="197"/>
      <c r="O211" s="198"/>
      <c r="P211" s="198"/>
    </row>
    <row r="212" spans="1:16" ht="15.5">
      <c r="A212" s="10">
        <v>211</v>
      </c>
      <c r="B212" s="193" t="s">
        <v>616</v>
      </c>
      <c r="C212" s="10" t="s">
        <v>380</v>
      </c>
      <c r="D212" s="10"/>
      <c r="E212" s="202">
        <v>45804</v>
      </c>
      <c r="F212" s="23">
        <v>97.228551999999993</v>
      </c>
      <c r="G212" s="556" t="s">
        <v>196</v>
      </c>
      <c r="H212" s="556"/>
      <c r="I212" s="556"/>
      <c r="J212" s="556"/>
      <c r="K212" s="202">
        <v>45815</v>
      </c>
      <c r="L212" s="203" t="s">
        <v>676</v>
      </c>
      <c r="M212" s="10"/>
      <c r="N212" s="197"/>
      <c r="O212" s="198"/>
      <c r="P212" s="198"/>
    </row>
    <row r="213" spans="1:16" ht="15.5">
      <c r="A213" s="10">
        <v>212</v>
      </c>
      <c r="B213" s="193" t="s">
        <v>617</v>
      </c>
      <c r="C213" s="10" t="s">
        <v>195</v>
      </c>
      <c r="D213" s="10"/>
      <c r="E213" s="202">
        <v>45812</v>
      </c>
      <c r="F213" s="23">
        <v>43.775756000000008</v>
      </c>
      <c r="G213" s="556" t="s">
        <v>196</v>
      </c>
      <c r="H213" s="556"/>
      <c r="I213" s="556"/>
      <c r="J213" s="556"/>
      <c r="K213" s="202">
        <v>45817</v>
      </c>
      <c r="L213" s="203" t="s">
        <v>667</v>
      </c>
      <c r="M213" s="10"/>
      <c r="N213" s="197"/>
      <c r="O213" s="198"/>
      <c r="P213" s="198"/>
    </row>
    <row r="214" spans="1:16" ht="15.5">
      <c r="A214" s="10">
        <v>213</v>
      </c>
      <c r="B214" s="193" t="s">
        <v>78</v>
      </c>
      <c r="C214" s="10" t="s">
        <v>224</v>
      </c>
      <c r="D214" s="10"/>
      <c r="E214" s="202">
        <v>45810</v>
      </c>
      <c r="F214" s="23">
        <v>46.049156000000004</v>
      </c>
      <c r="G214" s="556" t="s">
        <v>196</v>
      </c>
      <c r="H214" s="556"/>
      <c r="I214" s="556"/>
      <c r="J214" s="556"/>
      <c r="K214" s="202">
        <v>45818</v>
      </c>
      <c r="L214" s="203" t="s">
        <v>668</v>
      </c>
      <c r="M214" s="10"/>
      <c r="N214" s="197"/>
      <c r="O214" s="198"/>
      <c r="P214" s="198"/>
    </row>
    <row r="215" spans="1:16" ht="15.5">
      <c r="A215" s="10">
        <v>214</v>
      </c>
      <c r="B215" s="193" t="s">
        <v>618</v>
      </c>
      <c r="C215" s="10" t="s">
        <v>225</v>
      </c>
      <c r="D215" s="10"/>
      <c r="E215" s="202">
        <v>45812</v>
      </c>
      <c r="F215" s="23">
        <v>42.374236000000003</v>
      </c>
      <c r="G215" s="556" t="s">
        <v>196</v>
      </c>
      <c r="H215" s="556"/>
      <c r="I215" s="556"/>
      <c r="J215" s="556"/>
      <c r="K215" s="202">
        <v>45819</v>
      </c>
      <c r="L215" s="203" t="s">
        <v>420</v>
      </c>
      <c r="M215" s="10"/>
      <c r="N215" s="197"/>
      <c r="O215" s="198"/>
      <c r="P215" s="198"/>
    </row>
    <row r="216" spans="1:16" ht="15.5">
      <c r="A216" s="10">
        <v>215</v>
      </c>
      <c r="B216" s="193" t="s">
        <v>619</v>
      </c>
      <c r="C216" s="10" t="s">
        <v>195</v>
      </c>
      <c r="D216" s="10"/>
      <c r="E216" s="202">
        <v>45816</v>
      </c>
      <c r="F216" s="23">
        <v>43.775756000000008</v>
      </c>
      <c r="G216" s="556" t="s">
        <v>196</v>
      </c>
      <c r="H216" s="556"/>
      <c r="I216" s="556"/>
      <c r="J216" s="556"/>
      <c r="K216" s="202">
        <v>45821</v>
      </c>
      <c r="L216" s="203" t="s">
        <v>676</v>
      </c>
      <c r="M216" s="10"/>
      <c r="N216" s="197"/>
      <c r="O216" s="198"/>
      <c r="P216" s="198"/>
    </row>
    <row r="217" spans="1:16" ht="15.5">
      <c r="A217" s="10">
        <v>216</v>
      </c>
      <c r="B217" s="193" t="s">
        <v>620</v>
      </c>
      <c r="C217" s="10" t="s">
        <v>225</v>
      </c>
      <c r="D217" s="10"/>
      <c r="E217" s="202">
        <v>45810</v>
      </c>
      <c r="F217" s="23">
        <v>42.374236000000003</v>
      </c>
      <c r="G217" s="556" t="s">
        <v>196</v>
      </c>
      <c r="H217" s="556"/>
      <c r="I217" s="556"/>
      <c r="J217" s="556"/>
      <c r="K217" s="202">
        <v>45822</v>
      </c>
      <c r="L217" s="203" t="s">
        <v>679</v>
      </c>
      <c r="M217" s="10"/>
      <c r="N217" s="197"/>
      <c r="O217" s="198"/>
      <c r="P217" s="198"/>
    </row>
    <row r="218" spans="1:16" ht="15.5">
      <c r="A218" s="10">
        <v>217</v>
      </c>
      <c r="B218" s="193" t="s">
        <v>621</v>
      </c>
      <c r="C218" s="10" t="s">
        <v>195</v>
      </c>
      <c r="D218" s="10"/>
      <c r="E218" s="202">
        <v>45820</v>
      </c>
      <c r="F218" s="23">
        <v>43.775756000000008</v>
      </c>
      <c r="G218" s="556" t="s">
        <v>196</v>
      </c>
      <c r="H218" s="556"/>
      <c r="I218" s="556"/>
      <c r="J218" s="556"/>
      <c r="K218" s="202">
        <v>45826</v>
      </c>
      <c r="L218" s="203" t="s">
        <v>668</v>
      </c>
      <c r="M218" s="10"/>
      <c r="N218" s="197"/>
      <c r="O218" s="198"/>
      <c r="P218" s="198"/>
    </row>
    <row r="219" spans="1:16" ht="15.5">
      <c r="A219" s="10">
        <v>218</v>
      </c>
      <c r="B219" s="193" t="s">
        <v>622</v>
      </c>
      <c r="C219" s="10" t="s">
        <v>224</v>
      </c>
      <c r="D219" s="10"/>
      <c r="E219" s="202">
        <v>45818</v>
      </c>
      <c r="F219" s="23">
        <v>46.049156000000004</v>
      </c>
      <c r="G219" s="556" t="s">
        <v>196</v>
      </c>
      <c r="H219" s="556"/>
      <c r="I219" s="556"/>
      <c r="J219" s="556"/>
      <c r="K219" s="202">
        <v>45826</v>
      </c>
      <c r="L219" s="203" t="s">
        <v>678</v>
      </c>
      <c r="M219" s="10"/>
      <c r="N219" s="197"/>
      <c r="O219" s="198"/>
      <c r="P219" s="198"/>
    </row>
    <row r="220" spans="1:16" ht="15.5">
      <c r="A220" s="10">
        <v>219</v>
      </c>
      <c r="B220" s="193" t="s">
        <v>623</v>
      </c>
      <c r="C220" s="10" t="s">
        <v>624</v>
      </c>
      <c r="D220" s="10"/>
      <c r="E220" s="202">
        <v>45820</v>
      </c>
      <c r="F220" s="23">
        <v>67.112016999999994</v>
      </c>
      <c r="G220" s="556" t="s">
        <v>196</v>
      </c>
      <c r="H220" s="556"/>
      <c r="I220" s="556"/>
      <c r="J220" s="556"/>
      <c r="K220" s="202">
        <v>45828</v>
      </c>
      <c r="L220" s="203" t="s">
        <v>667</v>
      </c>
      <c r="M220" s="10"/>
      <c r="N220" s="197"/>
      <c r="O220" s="198"/>
      <c r="P220" s="198"/>
    </row>
    <row r="221" spans="1:16" ht="15.5">
      <c r="A221" s="10">
        <v>220</v>
      </c>
      <c r="B221" s="193" t="s">
        <v>625</v>
      </c>
      <c r="C221" s="10" t="s">
        <v>626</v>
      </c>
      <c r="D221" s="10"/>
      <c r="E221" s="202">
        <v>45802</v>
      </c>
      <c r="F221" s="23">
        <v>143.46209800000003</v>
      </c>
      <c r="G221" s="556" t="s">
        <v>196</v>
      </c>
      <c r="H221" s="556"/>
      <c r="I221" s="556"/>
      <c r="J221" s="556"/>
      <c r="K221" s="202">
        <v>45829</v>
      </c>
      <c r="L221" s="203" t="s">
        <v>669</v>
      </c>
      <c r="M221" s="10"/>
      <c r="N221" s="197"/>
      <c r="O221" s="198"/>
      <c r="P221" s="198"/>
    </row>
    <row r="222" spans="1:16" ht="15.5">
      <c r="A222" s="10">
        <v>221</v>
      </c>
      <c r="B222" s="193" t="s">
        <v>627</v>
      </c>
      <c r="C222" s="10" t="s">
        <v>513</v>
      </c>
      <c r="D222" s="10"/>
      <c r="E222" s="202">
        <v>45820</v>
      </c>
      <c r="F222" s="23">
        <v>73.425832</v>
      </c>
      <c r="G222" s="556" t="s">
        <v>196</v>
      </c>
      <c r="H222" s="556"/>
      <c r="I222" s="556"/>
      <c r="J222" s="556"/>
      <c r="K222" s="202">
        <v>45831</v>
      </c>
      <c r="L222" s="203" t="s">
        <v>420</v>
      </c>
      <c r="M222" s="10"/>
      <c r="N222" s="197"/>
      <c r="O222" s="198"/>
      <c r="P222" s="198"/>
    </row>
    <row r="223" spans="1:16" ht="15.5">
      <c r="A223" s="10">
        <v>222</v>
      </c>
      <c r="B223" s="193" t="s">
        <v>628</v>
      </c>
      <c r="C223" s="10" t="s">
        <v>224</v>
      </c>
      <c r="D223" s="10"/>
      <c r="E223" s="202">
        <v>45829</v>
      </c>
      <c r="F223" s="23">
        <v>46.049156000000004</v>
      </c>
      <c r="G223" s="556" t="s">
        <v>196</v>
      </c>
      <c r="H223" s="556"/>
      <c r="I223" s="556"/>
      <c r="J223" s="556"/>
      <c r="K223" s="202">
        <v>45834</v>
      </c>
      <c r="L223" s="203" t="s">
        <v>667</v>
      </c>
      <c r="M223" s="10"/>
      <c r="N223" s="197"/>
      <c r="O223" s="198"/>
      <c r="P223" s="198"/>
    </row>
    <row r="224" spans="1:16" ht="15.5">
      <c r="A224" s="10">
        <v>223</v>
      </c>
      <c r="B224" s="193" t="s">
        <v>4</v>
      </c>
      <c r="C224" s="10" t="s">
        <v>224</v>
      </c>
      <c r="D224" s="10"/>
      <c r="E224" s="202">
        <v>45818</v>
      </c>
      <c r="F224" s="23">
        <v>46.049156000000004</v>
      </c>
      <c r="G224" s="556" t="s">
        <v>196</v>
      </c>
      <c r="H224" s="556"/>
      <c r="I224" s="556"/>
      <c r="J224" s="556"/>
      <c r="K224" s="202">
        <v>45835</v>
      </c>
      <c r="L224" s="203" t="s">
        <v>671</v>
      </c>
      <c r="M224" s="10"/>
      <c r="N224" s="197"/>
      <c r="O224" s="198"/>
      <c r="P224" s="198"/>
    </row>
    <row r="225" spans="1:16" ht="15.5">
      <c r="A225" s="10">
        <v>224</v>
      </c>
      <c r="B225" s="193" t="s">
        <v>629</v>
      </c>
      <c r="C225" s="10" t="s">
        <v>224</v>
      </c>
      <c r="D225" s="10"/>
      <c r="E225" s="202">
        <v>45828</v>
      </c>
      <c r="F225" s="23">
        <v>46.049156000000004</v>
      </c>
      <c r="G225" s="556" t="s">
        <v>196</v>
      </c>
      <c r="H225" s="556"/>
      <c r="I225" s="556"/>
      <c r="J225" s="556"/>
      <c r="K225" s="202">
        <v>45837</v>
      </c>
      <c r="L225" s="203" t="s">
        <v>678</v>
      </c>
      <c r="M225" s="10"/>
      <c r="N225" s="197"/>
      <c r="O225" s="198"/>
      <c r="P225" s="198"/>
    </row>
    <row r="226" spans="1:16" ht="15.5">
      <c r="A226" s="10">
        <v>225</v>
      </c>
      <c r="B226" s="193" t="s">
        <v>371</v>
      </c>
      <c r="C226" s="10" t="s">
        <v>630</v>
      </c>
      <c r="D226" s="10"/>
      <c r="E226" s="202">
        <v>45823</v>
      </c>
      <c r="F226" s="23">
        <v>104.866553</v>
      </c>
      <c r="G226" s="556" t="s">
        <v>196</v>
      </c>
      <c r="H226" s="556"/>
      <c r="I226" s="556"/>
      <c r="J226" s="556"/>
      <c r="K226" s="202">
        <v>45837</v>
      </c>
      <c r="L226" s="203" t="s">
        <v>676</v>
      </c>
      <c r="M226" s="10"/>
      <c r="N226" s="197"/>
      <c r="O226" s="198"/>
      <c r="P226" s="198"/>
    </row>
    <row r="227" spans="1:16" ht="15.5">
      <c r="A227" s="10">
        <v>226</v>
      </c>
      <c r="B227" s="193" t="s">
        <v>631</v>
      </c>
      <c r="C227" s="10" t="s">
        <v>225</v>
      </c>
      <c r="D227" s="10"/>
      <c r="E227" s="202">
        <v>45832</v>
      </c>
      <c r="F227" s="23">
        <v>42.374236000000003</v>
      </c>
      <c r="G227" s="556" t="s">
        <v>196</v>
      </c>
      <c r="H227" s="556"/>
      <c r="I227" s="556"/>
      <c r="J227" s="556"/>
      <c r="K227" s="202">
        <v>45838</v>
      </c>
      <c r="L227" s="203" t="s">
        <v>420</v>
      </c>
      <c r="M227" s="10"/>
      <c r="N227" s="197"/>
      <c r="O227" s="198"/>
      <c r="P227" s="198"/>
    </row>
    <row r="228" spans="1:16" ht="15.5">
      <c r="A228" s="10">
        <v>227</v>
      </c>
      <c r="B228" s="193" t="s">
        <v>632</v>
      </c>
      <c r="C228" s="10" t="s">
        <v>225</v>
      </c>
      <c r="D228" s="10"/>
      <c r="E228" s="202">
        <v>45835</v>
      </c>
      <c r="F228" s="23">
        <v>42.374236000000003</v>
      </c>
      <c r="G228" s="556" t="s">
        <v>196</v>
      </c>
      <c r="H228" s="556"/>
      <c r="I228" s="556"/>
      <c r="J228" s="556"/>
      <c r="K228" s="202">
        <v>45838</v>
      </c>
      <c r="L228" s="203" t="s">
        <v>667</v>
      </c>
      <c r="M228" s="10"/>
      <c r="N228" s="197"/>
      <c r="O228" s="198"/>
      <c r="P228" s="198"/>
    </row>
    <row r="229" spans="1:16" ht="15.5">
      <c r="A229" s="10">
        <v>228</v>
      </c>
      <c r="B229" s="193" t="s">
        <v>320</v>
      </c>
      <c r="C229" s="10" t="s">
        <v>633</v>
      </c>
      <c r="D229" s="10"/>
      <c r="E229" s="202">
        <v>45812</v>
      </c>
      <c r="F229" s="23">
        <v>161.35518400000001</v>
      </c>
      <c r="G229" s="556" t="s">
        <v>196</v>
      </c>
      <c r="H229" s="556"/>
      <c r="I229" s="556"/>
      <c r="J229" s="556"/>
      <c r="K229" s="202">
        <v>45838</v>
      </c>
      <c r="L229" s="203" t="s">
        <v>672</v>
      </c>
      <c r="M229" s="10"/>
      <c r="N229" s="197"/>
      <c r="O229" s="198"/>
      <c r="P229" s="198"/>
    </row>
    <row r="230" spans="1:16" ht="15.5">
      <c r="A230" s="10">
        <v>229</v>
      </c>
      <c r="B230" s="193" t="s">
        <v>634</v>
      </c>
      <c r="C230" s="10" t="s">
        <v>635</v>
      </c>
      <c r="D230" s="10"/>
      <c r="E230" s="202">
        <v>45809</v>
      </c>
      <c r="F230" s="23">
        <v>188.37786399999996</v>
      </c>
      <c r="G230" s="556" t="s">
        <v>196</v>
      </c>
      <c r="H230" s="556"/>
      <c r="I230" s="556"/>
      <c r="J230" s="556"/>
      <c r="K230" s="202">
        <v>45838</v>
      </c>
      <c r="L230" s="203" t="s">
        <v>673</v>
      </c>
      <c r="M230" s="10"/>
      <c r="N230" s="197"/>
      <c r="O230" s="198"/>
      <c r="P230" s="198"/>
    </row>
    <row r="231" spans="1:16" ht="15.5">
      <c r="A231" s="10">
        <v>230</v>
      </c>
      <c r="B231" s="193" t="s">
        <v>636</v>
      </c>
      <c r="C231" s="10" t="s">
        <v>224</v>
      </c>
      <c r="D231" s="10"/>
      <c r="E231" s="202">
        <v>45832</v>
      </c>
      <c r="F231" s="23">
        <v>46.049156000000004</v>
      </c>
      <c r="G231" s="556" t="s">
        <v>196</v>
      </c>
      <c r="H231" s="556"/>
      <c r="I231" s="556"/>
      <c r="J231" s="556"/>
      <c r="K231" s="202">
        <v>45843</v>
      </c>
      <c r="L231" s="203" t="s">
        <v>669</v>
      </c>
      <c r="M231" s="10"/>
      <c r="N231" s="197"/>
      <c r="O231" s="198"/>
      <c r="P231" s="198"/>
    </row>
    <row r="232" spans="1:16" ht="15.5">
      <c r="A232" s="10">
        <v>231</v>
      </c>
      <c r="B232" s="193" t="s">
        <v>637</v>
      </c>
      <c r="C232" s="10" t="s">
        <v>224</v>
      </c>
      <c r="D232" s="10"/>
      <c r="E232" s="202">
        <v>45839</v>
      </c>
      <c r="F232" s="23">
        <v>46.049156000000004</v>
      </c>
      <c r="G232" s="556" t="s">
        <v>196</v>
      </c>
      <c r="H232" s="556"/>
      <c r="I232" s="556"/>
      <c r="J232" s="556"/>
      <c r="K232" s="202">
        <v>45845</v>
      </c>
      <c r="L232" s="203" t="s">
        <v>667</v>
      </c>
      <c r="M232" s="10"/>
      <c r="N232" s="197"/>
      <c r="O232" s="198"/>
      <c r="P232" s="198"/>
    </row>
    <row r="233" spans="1:16" ht="15.5">
      <c r="A233" s="10">
        <v>232</v>
      </c>
      <c r="B233" s="193" t="s">
        <v>638</v>
      </c>
      <c r="C233" s="10" t="s">
        <v>227</v>
      </c>
      <c r="D233" s="10"/>
      <c r="E233" s="202">
        <v>45839</v>
      </c>
      <c r="F233" s="23">
        <v>55.338726999999999</v>
      </c>
      <c r="G233" s="556" t="s">
        <v>196</v>
      </c>
      <c r="H233" s="556"/>
      <c r="I233" s="556"/>
      <c r="J233" s="556"/>
      <c r="K233" s="202">
        <v>45850</v>
      </c>
      <c r="L233" s="203" t="s">
        <v>420</v>
      </c>
      <c r="M233" s="10"/>
      <c r="N233" s="197"/>
      <c r="O233" s="198"/>
      <c r="P233" s="198"/>
    </row>
    <row r="234" spans="1:16" ht="15.5">
      <c r="A234" s="10">
        <v>233</v>
      </c>
      <c r="B234" s="193" t="s">
        <v>365</v>
      </c>
      <c r="C234" s="10" t="s">
        <v>639</v>
      </c>
      <c r="D234" s="10"/>
      <c r="E234" s="202">
        <v>45843</v>
      </c>
      <c r="F234" s="23">
        <v>101.69198999999999</v>
      </c>
      <c r="G234" s="556" t="s">
        <v>196</v>
      </c>
      <c r="H234" s="556"/>
      <c r="I234" s="556"/>
      <c r="J234" s="556"/>
      <c r="K234" s="202">
        <v>45856</v>
      </c>
      <c r="L234" s="205" t="s">
        <v>672</v>
      </c>
      <c r="M234" s="10"/>
      <c r="N234" s="197"/>
      <c r="O234" s="198"/>
      <c r="P234" s="198"/>
    </row>
    <row r="235" spans="1:16" ht="15.5">
      <c r="A235" s="10">
        <v>234</v>
      </c>
      <c r="B235" s="193" t="s">
        <v>359</v>
      </c>
      <c r="C235" s="10" t="s">
        <v>560</v>
      </c>
      <c r="D235" s="10"/>
      <c r="E235" s="202">
        <v>45836</v>
      </c>
      <c r="F235" s="23">
        <v>86.256192999999996</v>
      </c>
      <c r="G235" s="556" t="s">
        <v>196</v>
      </c>
      <c r="H235" s="556"/>
      <c r="I235" s="556"/>
      <c r="J235" s="556"/>
      <c r="K235" s="202">
        <v>45860</v>
      </c>
      <c r="L235" s="205" t="s">
        <v>680</v>
      </c>
      <c r="M235" s="10"/>
      <c r="N235" s="197"/>
      <c r="O235" s="198"/>
      <c r="P235" s="198"/>
    </row>
    <row r="236" spans="1:16" ht="15.5">
      <c r="A236" s="10">
        <v>235</v>
      </c>
      <c r="B236" s="193" t="s">
        <v>640</v>
      </c>
      <c r="C236" s="10" t="s">
        <v>380</v>
      </c>
      <c r="D236" s="10"/>
      <c r="E236" s="202">
        <v>45846</v>
      </c>
      <c r="F236" s="23">
        <v>97.228551999999993</v>
      </c>
      <c r="G236" s="556" t="s">
        <v>196</v>
      </c>
      <c r="H236" s="556"/>
      <c r="I236" s="556"/>
      <c r="J236" s="556"/>
      <c r="K236" s="202">
        <v>45869</v>
      </c>
      <c r="L236" s="203" t="s">
        <v>420</v>
      </c>
      <c r="M236" s="10"/>
      <c r="N236" s="197"/>
      <c r="O236" s="198"/>
      <c r="P236" s="198"/>
    </row>
    <row r="237" spans="1:16" ht="15.5">
      <c r="A237" s="10">
        <v>236</v>
      </c>
      <c r="B237" s="193" t="s">
        <v>270</v>
      </c>
      <c r="C237" s="10" t="s">
        <v>626</v>
      </c>
      <c r="D237" s="10"/>
      <c r="E237" s="202">
        <v>45858</v>
      </c>
      <c r="F237" s="23">
        <v>143.46209800000003</v>
      </c>
      <c r="G237" s="556" t="s">
        <v>196</v>
      </c>
      <c r="H237" s="556"/>
      <c r="I237" s="556"/>
      <c r="J237" s="556"/>
      <c r="K237" s="202">
        <v>45877</v>
      </c>
      <c r="L237" s="205" t="s">
        <v>672</v>
      </c>
      <c r="M237" s="10"/>
      <c r="N237" s="197"/>
      <c r="O237" s="198"/>
      <c r="P237" s="198"/>
    </row>
    <row r="238" spans="1:16" ht="15.5">
      <c r="A238" s="10">
        <v>237</v>
      </c>
      <c r="B238" s="193" t="s">
        <v>641</v>
      </c>
      <c r="C238" s="10" t="s">
        <v>635</v>
      </c>
      <c r="D238" s="10"/>
      <c r="E238" s="202">
        <v>45847</v>
      </c>
      <c r="F238" s="23">
        <v>188.37786399999996</v>
      </c>
      <c r="G238" s="556" t="s">
        <v>196</v>
      </c>
      <c r="H238" s="556"/>
      <c r="I238" s="556"/>
      <c r="J238" s="556"/>
      <c r="K238" s="202">
        <v>45880</v>
      </c>
      <c r="L238" s="203" t="s">
        <v>673</v>
      </c>
      <c r="M238" s="10"/>
      <c r="N238" s="197"/>
      <c r="O238" s="198"/>
      <c r="P238" s="198"/>
    </row>
    <row r="239" spans="1:16" ht="15.5">
      <c r="A239" s="10">
        <v>238</v>
      </c>
      <c r="B239" s="193" t="s">
        <v>642</v>
      </c>
      <c r="C239" s="10" t="s">
        <v>224</v>
      </c>
      <c r="D239" s="10"/>
      <c r="E239" s="202">
        <v>45865</v>
      </c>
      <c r="F239" s="23">
        <v>46.049156000000004</v>
      </c>
      <c r="G239" s="556" t="s">
        <v>196</v>
      </c>
      <c r="H239" s="556"/>
      <c r="I239" s="556"/>
      <c r="J239" s="556"/>
      <c r="K239" s="202">
        <v>45886</v>
      </c>
      <c r="L239" s="203" t="s">
        <v>681</v>
      </c>
      <c r="M239" s="10"/>
      <c r="N239" s="197"/>
      <c r="O239" s="198"/>
      <c r="P239" s="198"/>
    </row>
    <row r="240" spans="1:16" ht="15.5">
      <c r="A240" s="10">
        <v>239</v>
      </c>
      <c r="B240" s="193" t="s">
        <v>37</v>
      </c>
      <c r="C240" s="10" t="s">
        <v>224</v>
      </c>
      <c r="D240" s="10"/>
      <c r="E240" s="202">
        <v>45883</v>
      </c>
      <c r="F240" s="23">
        <v>46.049156000000004</v>
      </c>
      <c r="G240" s="556" t="s">
        <v>196</v>
      </c>
      <c r="H240" s="556"/>
      <c r="I240" s="556"/>
      <c r="J240" s="556"/>
      <c r="K240" s="202">
        <v>45895</v>
      </c>
      <c r="L240" s="203" t="s">
        <v>682</v>
      </c>
      <c r="M240" s="10"/>
      <c r="N240" s="197"/>
      <c r="O240" s="198"/>
      <c r="P240" s="198"/>
    </row>
    <row r="241" spans="1:16" ht="15.5">
      <c r="A241" s="10">
        <v>240</v>
      </c>
      <c r="B241" s="193" t="s">
        <v>643</v>
      </c>
      <c r="C241" s="10" t="s">
        <v>633</v>
      </c>
      <c r="D241" s="10"/>
      <c r="E241" s="202">
        <v>45864</v>
      </c>
      <c r="F241" s="23">
        <v>161.35518400000001</v>
      </c>
      <c r="G241" s="556" t="s">
        <v>196</v>
      </c>
      <c r="H241" s="556"/>
      <c r="I241" s="556"/>
      <c r="J241" s="556"/>
      <c r="K241" s="202">
        <v>45896</v>
      </c>
      <c r="L241" s="203" t="s">
        <v>683</v>
      </c>
      <c r="M241" s="10"/>
      <c r="N241" s="197"/>
      <c r="O241" s="198"/>
      <c r="P241" s="198"/>
    </row>
    <row r="242" spans="1:16" ht="15.5">
      <c r="A242" s="10">
        <v>241</v>
      </c>
      <c r="B242" s="193" t="s">
        <v>644</v>
      </c>
      <c r="C242" s="10" t="s">
        <v>380</v>
      </c>
      <c r="D242" s="10"/>
      <c r="E242" s="202">
        <v>45871</v>
      </c>
      <c r="F242" s="23">
        <v>97.228551999999993</v>
      </c>
      <c r="G242" s="556" t="s">
        <v>196</v>
      </c>
      <c r="H242" s="556"/>
      <c r="I242" s="556"/>
      <c r="J242" s="556"/>
      <c r="K242" s="202">
        <v>45899</v>
      </c>
      <c r="L242" s="203" t="s">
        <v>684</v>
      </c>
      <c r="M242" s="10"/>
      <c r="N242" s="197"/>
      <c r="O242" s="198"/>
      <c r="P242" s="198"/>
    </row>
    <row r="243" spans="1:16" ht="15.5">
      <c r="A243" s="10">
        <v>242</v>
      </c>
      <c r="B243" s="193" t="s">
        <v>645</v>
      </c>
      <c r="C243" s="10" t="s">
        <v>551</v>
      </c>
      <c r="D243" s="10"/>
      <c r="E243" s="202">
        <v>45873</v>
      </c>
      <c r="F243" s="23">
        <v>75.858397999999994</v>
      </c>
      <c r="G243" s="556" t="s">
        <v>196</v>
      </c>
      <c r="H243" s="556"/>
      <c r="I243" s="556"/>
      <c r="J243" s="556"/>
      <c r="K243" s="202">
        <v>45899</v>
      </c>
      <c r="L243" s="203" t="s">
        <v>685</v>
      </c>
      <c r="M243" s="10"/>
      <c r="N243" s="197"/>
      <c r="O243" s="198"/>
      <c r="P243" s="198"/>
    </row>
    <row r="244" spans="1:16" ht="15.5">
      <c r="A244" s="10">
        <v>243</v>
      </c>
      <c r="B244" s="193" t="s">
        <v>58</v>
      </c>
      <c r="C244" s="10" t="s">
        <v>604</v>
      </c>
      <c r="D244" s="10"/>
      <c r="E244" s="202">
        <v>45878</v>
      </c>
      <c r="F244" s="23">
        <v>78.073216000000002</v>
      </c>
      <c r="G244" s="556" t="s">
        <v>196</v>
      </c>
      <c r="H244" s="556"/>
      <c r="I244" s="556"/>
      <c r="J244" s="556"/>
      <c r="K244" s="202">
        <v>45899</v>
      </c>
      <c r="L244" s="206" t="s">
        <v>686</v>
      </c>
      <c r="M244" s="10"/>
      <c r="N244" s="197"/>
      <c r="O244" s="198"/>
      <c r="P244" s="198"/>
    </row>
    <row r="245" spans="1:16" ht="15.5">
      <c r="A245" s="10">
        <v>244</v>
      </c>
      <c r="B245" s="193" t="s">
        <v>646</v>
      </c>
      <c r="C245" s="10" t="s">
        <v>647</v>
      </c>
      <c r="D245" s="10"/>
      <c r="E245" s="202">
        <v>45881</v>
      </c>
      <c r="F245" s="23">
        <v>97.653418000000016</v>
      </c>
      <c r="G245" s="556" t="s">
        <v>196</v>
      </c>
      <c r="H245" s="556"/>
      <c r="I245" s="556"/>
      <c r="J245" s="556"/>
      <c r="K245" s="202">
        <v>45902</v>
      </c>
      <c r="L245" s="203" t="s">
        <v>673</v>
      </c>
      <c r="M245" s="10"/>
      <c r="N245" s="197"/>
      <c r="O245" s="198"/>
      <c r="P245" s="198"/>
    </row>
    <row r="246" spans="1:16" ht="15.5">
      <c r="A246" s="10">
        <v>245</v>
      </c>
      <c r="B246" s="193" t="s">
        <v>130</v>
      </c>
      <c r="C246" s="10" t="s">
        <v>227</v>
      </c>
      <c r="D246" s="10"/>
      <c r="E246" s="202">
        <v>45887</v>
      </c>
      <c r="F246" s="23">
        <v>55.338726999999999</v>
      </c>
      <c r="G246" s="556" t="s">
        <v>196</v>
      </c>
      <c r="H246" s="556"/>
      <c r="I246" s="556"/>
      <c r="J246" s="556"/>
      <c r="K246" s="202">
        <v>45904</v>
      </c>
      <c r="L246" s="203" t="s">
        <v>681</v>
      </c>
      <c r="M246" s="10"/>
      <c r="N246" s="197"/>
      <c r="O246" s="198"/>
      <c r="P246" s="198"/>
    </row>
    <row r="247" spans="1:16" ht="15.5">
      <c r="A247" s="10">
        <v>246</v>
      </c>
      <c r="B247" s="193" t="s">
        <v>271</v>
      </c>
      <c r="C247" s="10" t="s">
        <v>648</v>
      </c>
      <c r="D247" s="10"/>
      <c r="E247" s="202">
        <v>45879</v>
      </c>
      <c r="F247" s="23">
        <v>118.43025200000001</v>
      </c>
      <c r="G247" s="556" t="s">
        <v>196</v>
      </c>
      <c r="H247" s="556"/>
      <c r="I247" s="556"/>
      <c r="J247" s="556"/>
      <c r="K247" s="202">
        <v>45906</v>
      </c>
      <c r="L247" s="205" t="s">
        <v>672</v>
      </c>
      <c r="M247" s="10"/>
      <c r="N247" s="197"/>
      <c r="O247" s="198"/>
      <c r="P247" s="198"/>
    </row>
    <row r="248" spans="1:16" ht="15.5">
      <c r="A248" s="10">
        <v>247</v>
      </c>
      <c r="B248" s="193" t="s">
        <v>649</v>
      </c>
      <c r="C248" s="10" t="s">
        <v>650</v>
      </c>
      <c r="D248" s="10"/>
      <c r="E248" s="202">
        <v>45885</v>
      </c>
      <c r="F248" s="23">
        <v>110.625505</v>
      </c>
      <c r="G248" s="556" t="s">
        <v>196</v>
      </c>
      <c r="H248" s="556"/>
      <c r="I248" s="556"/>
      <c r="J248" s="556"/>
      <c r="K248" s="202">
        <v>45914</v>
      </c>
      <c r="L248" s="203" t="s">
        <v>426</v>
      </c>
      <c r="M248" s="10"/>
      <c r="N248" s="197"/>
      <c r="O248" s="198"/>
      <c r="P248" s="198"/>
    </row>
    <row r="249" spans="1:16" ht="15.5">
      <c r="A249" s="10">
        <v>248</v>
      </c>
      <c r="B249" s="193" t="s">
        <v>651</v>
      </c>
      <c r="C249" s="10" t="s">
        <v>647</v>
      </c>
      <c r="D249" s="10"/>
      <c r="E249" s="202">
        <v>45893</v>
      </c>
      <c r="F249" s="23">
        <v>97.653418000000016</v>
      </c>
      <c r="G249" s="556" t="s">
        <v>196</v>
      </c>
      <c r="H249" s="556"/>
      <c r="I249" s="556"/>
      <c r="J249" s="556"/>
      <c r="K249" s="202">
        <v>45914</v>
      </c>
      <c r="L249" s="203" t="s">
        <v>687</v>
      </c>
      <c r="M249" s="10"/>
      <c r="N249" s="197"/>
      <c r="O249" s="198"/>
      <c r="P249" s="198"/>
    </row>
    <row r="250" spans="1:16" ht="15.5">
      <c r="A250" s="10">
        <v>249</v>
      </c>
      <c r="B250" s="193" t="s">
        <v>652</v>
      </c>
      <c r="C250" s="10" t="s">
        <v>653</v>
      </c>
      <c r="D250" s="10"/>
      <c r="E250" s="202">
        <v>45903</v>
      </c>
      <c r="F250" s="23">
        <v>89.717756999999978</v>
      </c>
      <c r="G250" s="556" t="s">
        <v>196</v>
      </c>
      <c r="H250" s="556"/>
      <c r="I250" s="556"/>
      <c r="J250" s="556"/>
      <c r="K250" s="202">
        <v>45921</v>
      </c>
      <c r="L250" s="206" t="s">
        <v>686</v>
      </c>
      <c r="M250" s="10"/>
      <c r="N250" s="197"/>
      <c r="O250" s="198"/>
      <c r="P250" s="198"/>
    </row>
    <row r="251" spans="1:16" ht="15.5">
      <c r="A251" s="10">
        <v>250</v>
      </c>
      <c r="B251" s="193" t="s">
        <v>654</v>
      </c>
      <c r="C251" s="10" t="s">
        <v>513</v>
      </c>
      <c r="D251" s="10"/>
      <c r="E251" s="202">
        <v>45900</v>
      </c>
      <c r="F251" s="23">
        <v>73.425832</v>
      </c>
      <c r="G251" s="556" t="s">
        <v>196</v>
      </c>
      <c r="H251" s="556"/>
      <c r="I251" s="556"/>
      <c r="J251" s="556"/>
      <c r="K251" s="202">
        <v>45922</v>
      </c>
      <c r="L251" s="203" t="s">
        <v>684</v>
      </c>
      <c r="M251" s="10"/>
      <c r="N251" s="197"/>
      <c r="O251" s="198"/>
      <c r="P251" s="198"/>
    </row>
    <row r="252" spans="1:16" ht="15.5">
      <c r="A252" s="10">
        <v>251</v>
      </c>
      <c r="B252" s="193" t="s">
        <v>361</v>
      </c>
      <c r="C252" s="10" t="s">
        <v>655</v>
      </c>
      <c r="D252" s="10"/>
      <c r="E252" s="202">
        <v>45905</v>
      </c>
      <c r="F252" s="23">
        <v>90.125158999999982</v>
      </c>
      <c r="G252" s="556" t="s">
        <v>196</v>
      </c>
      <c r="H252" s="556"/>
      <c r="I252" s="556"/>
      <c r="J252" s="556"/>
      <c r="K252" s="202">
        <v>45922</v>
      </c>
      <c r="L252" s="203" t="s">
        <v>681</v>
      </c>
      <c r="M252" s="10"/>
      <c r="N252" s="197"/>
      <c r="O252" s="198"/>
      <c r="P252" s="198"/>
    </row>
    <row r="253" spans="1:16" ht="15.5">
      <c r="A253" s="10">
        <v>252</v>
      </c>
      <c r="B253" s="193" t="s">
        <v>372</v>
      </c>
      <c r="C253" s="10" t="s">
        <v>655</v>
      </c>
      <c r="D253" s="10"/>
      <c r="E253" s="202">
        <v>45907</v>
      </c>
      <c r="F253" s="23">
        <v>90.125158999999982</v>
      </c>
      <c r="G253" s="556" t="s">
        <v>196</v>
      </c>
      <c r="H253" s="556"/>
      <c r="I253" s="556"/>
      <c r="J253" s="556"/>
      <c r="K253" s="202">
        <v>45922</v>
      </c>
      <c r="L253" s="205" t="s">
        <v>672</v>
      </c>
      <c r="M253" s="10"/>
      <c r="N253" s="197"/>
      <c r="O253" s="198"/>
      <c r="P253" s="198"/>
    </row>
    <row r="254" spans="1:16" ht="15.5">
      <c r="A254" s="10">
        <v>253</v>
      </c>
      <c r="B254" s="193" t="s">
        <v>656</v>
      </c>
      <c r="C254" s="10" t="s">
        <v>633</v>
      </c>
      <c r="D254" s="10"/>
      <c r="E254" s="202">
        <v>45875</v>
      </c>
      <c r="F254" s="23">
        <v>161.35518400000001</v>
      </c>
      <c r="G254" s="556" t="s">
        <v>196</v>
      </c>
      <c r="H254" s="556"/>
      <c r="I254" s="556"/>
      <c r="J254" s="556"/>
      <c r="K254" s="202">
        <v>45922</v>
      </c>
      <c r="L254" s="203" t="s">
        <v>420</v>
      </c>
      <c r="M254" s="10"/>
      <c r="N254" s="197"/>
      <c r="O254" s="198"/>
      <c r="P254" s="198"/>
    </row>
    <row r="255" spans="1:16" ht="15.5">
      <c r="A255" s="10">
        <v>254</v>
      </c>
      <c r="B255" s="193" t="s">
        <v>657</v>
      </c>
      <c r="C255" s="10" t="s">
        <v>225</v>
      </c>
      <c r="D255" s="10"/>
      <c r="E255" s="202">
        <v>45887</v>
      </c>
      <c r="F255" s="23">
        <v>42.374236000000003</v>
      </c>
      <c r="G255" s="556" t="s">
        <v>196</v>
      </c>
      <c r="H255" s="556"/>
      <c r="I255" s="556"/>
      <c r="J255" s="556"/>
      <c r="K255" s="202">
        <v>45924</v>
      </c>
      <c r="L255" s="203" t="s">
        <v>688</v>
      </c>
      <c r="M255" s="10"/>
      <c r="N255" s="197"/>
      <c r="O255" s="198"/>
      <c r="P255" s="198"/>
    </row>
    <row r="256" spans="1:16" ht="15.5">
      <c r="A256" s="10">
        <v>255</v>
      </c>
      <c r="B256" s="193" t="s">
        <v>8</v>
      </c>
      <c r="C256" s="10" t="s">
        <v>225</v>
      </c>
      <c r="D256" s="10"/>
      <c r="E256" s="202">
        <v>45915</v>
      </c>
      <c r="F256" s="23">
        <v>42.374236000000003</v>
      </c>
      <c r="G256" s="556" t="s">
        <v>196</v>
      </c>
      <c r="H256" s="556"/>
      <c r="I256" s="556"/>
      <c r="J256" s="556"/>
      <c r="K256" s="202">
        <v>45923</v>
      </c>
      <c r="L256" s="203" t="s">
        <v>689</v>
      </c>
      <c r="M256" s="10"/>
      <c r="N256" s="197"/>
      <c r="O256" s="198"/>
      <c r="P256" s="198"/>
    </row>
    <row r="257" spans="1:16" ht="15.5">
      <c r="A257" s="10">
        <v>256</v>
      </c>
      <c r="B257" s="193" t="s">
        <v>658</v>
      </c>
      <c r="C257" s="10" t="s">
        <v>225</v>
      </c>
      <c r="D257" s="10"/>
      <c r="E257" s="202">
        <v>45915</v>
      </c>
      <c r="F257" s="23">
        <v>42.374236000000003</v>
      </c>
      <c r="G257" s="556" t="s">
        <v>196</v>
      </c>
      <c r="H257" s="556"/>
      <c r="I257" s="556"/>
      <c r="J257" s="556"/>
      <c r="K257" s="202">
        <v>45924</v>
      </c>
      <c r="L257" s="203" t="s">
        <v>426</v>
      </c>
      <c r="M257" s="10"/>
      <c r="N257" s="197"/>
      <c r="O257" s="198"/>
      <c r="P257" s="198"/>
    </row>
    <row r="258" spans="1:16" ht="15.5">
      <c r="A258" s="10">
        <v>257</v>
      </c>
      <c r="B258" s="193" t="s">
        <v>659</v>
      </c>
      <c r="C258" s="10" t="s">
        <v>552</v>
      </c>
      <c r="D258" s="10"/>
      <c r="E258" s="202">
        <v>45900</v>
      </c>
      <c r="F258" s="23">
        <v>87.011570000000006</v>
      </c>
      <c r="G258" s="556" t="s">
        <v>196</v>
      </c>
      <c r="H258" s="556"/>
      <c r="I258" s="556"/>
      <c r="J258" s="556"/>
      <c r="K258" s="202">
        <v>45924</v>
      </c>
      <c r="L258" s="203" t="s">
        <v>685</v>
      </c>
      <c r="M258" s="10"/>
      <c r="N258" s="197"/>
      <c r="O258" s="198"/>
      <c r="P258" s="198"/>
    </row>
    <row r="259" spans="1:16" ht="15.5">
      <c r="A259" s="10">
        <v>258</v>
      </c>
      <c r="B259" s="193" t="s">
        <v>660</v>
      </c>
      <c r="C259" s="10" t="s">
        <v>363</v>
      </c>
      <c r="D259" s="10"/>
      <c r="E259" s="202">
        <v>45915</v>
      </c>
      <c r="F259" s="23">
        <v>78.677549999999997</v>
      </c>
      <c r="G259" s="556" t="s">
        <v>196</v>
      </c>
      <c r="H259" s="556"/>
      <c r="I259" s="556"/>
      <c r="J259" s="556"/>
      <c r="K259" s="202">
        <v>45925</v>
      </c>
      <c r="L259" s="203" t="s">
        <v>687</v>
      </c>
      <c r="M259" s="10"/>
      <c r="N259" s="197"/>
      <c r="O259" s="198"/>
      <c r="P259" s="198"/>
    </row>
    <row r="260" spans="1:16" ht="15.5">
      <c r="A260" s="10">
        <v>259</v>
      </c>
      <c r="B260" s="193" t="s">
        <v>661</v>
      </c>
      <c r="C260" s="10" t="s">
        <v>551</v>
      </c>
      <c r="D260" s="10"/>
      <c r="E260" s="202">
        <v>45911</v>
      </c>
      <c r="F260" s="23">
        <v>75.858397999999994</v>
      </c>
      <c r="G260" s="556" t="s">
        <v>196</v>
      </c>
      <c r="H260" s="556"/>
      <c r="I260" s="556"/>
      <c r="J260" s="556"/>
      <c r="K260" s="202">
        <v>45928</v>
      </c>
      <c r="L260" s="205" t="s">
        <v>417</v>
      </c>
      <c r="M260" s="10"/>
      <c r="N260" s="197"/>
      <c r="O260" s="198"/>
      <c r="P260" s="198"/>
    </row>
    <row r="261" spans="1:16" ht="15.5">
      <c r="A261" s="10">
        <v>260</v>
      </c>
      <c r="B261" s="193" t="s">
        <v>662</v>
      </c>
      <c r="C261" s="10" t="s">
        <v>633</v>
      </c>
      <c r="D261" s="10"/>
      <c r="E261" s="202">
        <v>45897</v>
      </c>
      <c r="F261" s="23">
        <v>161.35518400000001</v>
      </c>
      <c r="G261" s="556" t="s">
        <v>196</v>
      </c>
      <c r="H261" s="556"/>
      <c r="I261" s="556"/>
      <c r="J261" s="556"/>
      <c r="K261" s="202">
        <v>45929</v>
      </c>
      <c r="L261" s="203" t="s">
        <v>683</v>
      </c>
      <c r="M261" s="10"/>
      <c r="N261" s="197"/>
      <c r="O261" s="198"/>
      <c r="P261" s="198"/>
    </row>
    <row r="262" spans="1:16" ht="15.5">
      <c r="A262" s="10">
        <v>261</v>
      </c>
      <c r="B262" s="193" t="s">
        <v>433</v>
      </c>
      <c r="C262" s="10" t="s">
        <v>225</v>
      </c>
      <c r="D262" s="10"/>
      <c r="E262" s="191">
        <v>45924</v>
      </c>
      <c r="F262" s="23">
        <v>42.374236000000003</v>
      </c>
      <c r="G262" s="556" t="s">
        <v>196</v>
      </c>
      <c r="H262" s="556"/>
      <c r="I262" s="556"/>
      <c r="J262" s="556"/>
      <c r="K262" s="202">
        <v>45937</v>
      </c>
      <c r="L262" s="203" t="s">
        <v>683</v>
      </c>
      <c r="M262" s="10"/>
      <c r="N262" s="197"/>
      <c r="O262" s="198"/>
      <c r="P262" s="198"/>
    </row>
    <row r="263" spans="1:16" ht="15.5">
      <c r="A263" s="10">
        <v>262</v>
      </c>
      <c r="B263" s="193" t="s">
        <v>376</v>
      </c>
      <c r="C263" s="10" t="s">
        <v>624</v>
      </c>
      <c r="D263" s="10"/>
      <c r="E263" s="191">
        <v>45925</v>
      </c>
      <c r="F263" s="23">
        <v>67.112016999999994</v>
      </c>
      <c r="G263" s="556" t="s">
        <v>196</v>
      </c>
      <c r="H263" s="556"/>
      <c r="I263" s="556"/>
      <c r="J263" s="556"/>
      <c r="K263" s="202">
        <v>45937</v>
      </c>
      <c r="L263" s="203" t="s">
        <v>681</v>
      </c>
      <c r="M263" s="10"/>
      <c r="N263" s="197"/>
      <c r="O263" s="198"/>
      <c r="P263" s="198"/>
    </row>
    <row r="264" spans="1:16" ht="15.5">
      <c r="A264" s="10">
        <v>263</v>
      </c>
      <c r="B264" s="193" t="s">
        <v>276</v>
      </c>
      <c r="C264" s="10" t="s">
        <v>508</v>
      </c>
      <c r="D264" s="10"/>
      <c r="E264" s="191">
        <v>45925</v>
      </c>
      <c r="F264" s="23">
        <v>64.481662</v>
      </c>
      <c r="G264" s="556" t="s">
        <v>196</v>
      </c>
      <c r="H264" s="556"/>
      <c r="I264" s="556"/>
      <c r="J264" s="556"/>
      <c r="K264" s="202">
        <v>45938</v>
      </c>
      <c r="L264" s="203" t="s">
        <v>426</v>
      </c>
      <c r="M264" s="10"/>
      <c r="N264" s="197"/>
      <c r="O264" s="198"/>
      <c r="P264" s="198"/>
    </row>
    <row r="265" spans="1:16" ht="15.5">
      <c r="A265" s="10">
        <v>264</v>
      </c>
      <c r="B265" s="272" t="s">
        <v>329</v>
      </c>
      <c r="C265" s="420" t="s">
        <v>604</v>
      </c>
      <c r="D265" s="10"/>
      <c r="E265" s="191">
        <v>45931</v>
      </c>
      <c r="F265" s="23">
        <v>78.073216000000002</v>
      </c>
      <c r="G265" s="556" t="s">
        <v>196</v>
      </c>
      <c r="H265" s="556"/>
      <c r="I265" s="556"/>
      <c r="J265" s="556"/>
      <c r="K265" s="202">
        <v>45942</v>
      </c>
      <c r="L265" s="326" t="s">
        <v>432</v>
      </c>
      <c r="M265" s="10"/>
      <c r="N265" s="197"/>
      <c r="O265" s="198"/>
      <c r="P265" s="198"/>
    </row>
    <row r="266" spans="1:16" ht="15.5">
      <c r="A266" s="10">
        <v>265</v>
      </c>
      <c r="B266" s="272" t="s">
        <v>422</v>
      </c>
      <c r="C266" s="420" t="s">
        <v>639</v>
      </c>
      <c r="D266" s="10"/>
      <c r="E266" s="191">
        <v>45922</v>
      </c>
      <c r="F266" s="23">
        <v>101.69198999999999</v>
      </c>
      <c r="G266" s="556" t="s">
        <v>196</v>
      </c>
      <c r="H266" s="556"/>
      <c r="I266" s="556"/>
      <c r="J266" s="556"/>
      <c r="K266" s="202">
        <v>45942</v>
      </c>
      <c r="L266" s="203" t="s">
        <v>420</v>
      </c>
      <c r="M266" s="10"/>
      <c r="N266" s="197"/>
      <c r="O266" s="198"/>
      <c r="P266" s="198"/>
    </row>
    <row r="267" spans="1:16" ht="15.5">
      <c r="A267" s="10">
        <v>266</v>
      </c>
      <c r="B267" s="193" t="s">
        <v>429</v>
      </c>
      <c r="C267" s="10" t="s">
        <v>226</v>
      </c>
      <c r="D267" s="10"/>
      <c r="E267" s="202">
        <v>45918</v>
      </c>
      <c r="F267" s="23">
        <v>53.323913999999995</v>
      </c>
      <c r="G267" s="556" t="s">
        <v>196</v>
      </c>
      <c r="H267" s="556"/>
      <c r="I267" s="556"/>
      <c r="J267" s="556"/>
      <c r="K267" s="202">
        <v>45943</v>
      </c>
      <c r="L267" s="10" t="s">
        <v>1022</v>
      </c>
      <c r="M267" s="10"/>
      <c r="N267" s="197"/>
      <c r="O267" s="198"/>
      <c r="P267" s="198"/>
    </row>
    <row r="268" spans="1:16" ht="15.5">
      <c r="A268" s="10">
        <v>267</v>
      </c>
      <c r="B268" s="193" t="s">
        <v>428</v>
      </c>
      <c r="C268" s="10" t="s">
        <v>748</v>
      </c>
      <c r="D268" s="10"/>
      <c r="E268" s="202">
        <v>45925</v>
      </c>
      <c r="F268" s="23">
        <v>110.69581699999999</v>
      </c>
      <c r="G268" s="556" t="s">
        <v>196</v>
      </c>
      <c r="H268" s="556"/>
      <c r="I268" s="556"/>
      <c r="J268" s="556"/>
      <c r="K268" s="202">
        <v>45944</v>
      </c>
      <c r="L268" s="203" t="s">
        <v>751</v>
      </c>
      <c r="M268" s="10"/>
      <c r="N268" s="197"/>
      <c r="O268" s="198"/>
      <c r="P268" s="198"/>
    </row>
    <row r="269" spans="1:16" ht="15.5">
      <c r="A269" s="10">
        <v>268</v>
      </c>
      <c r="B269" s="193" t="s">
        <v>373</v>
      </c>
      <c r="C269" s="10" t="s">
        <v>513</v>
      </c>
      <c r="D269" s="10"/>
      <c r="E269" s="202">
        <v>45926</v>
      </c>
      <c r="F269" s="23">
        <v>73.425832</v>
      </c>
      <c r="G269" s="556" t="s">
        <v>196</v>
      </c>
      <c r="H269" s="556"/>
      <c r="I269" s="556"/>
      <c r="J269" s="556"/>
      <c r="K269" s="202">
        <v>45944</v>
      </c>
      <c r="L269" s="203" t="s">
        <v>685</v>
      </c>
      <c r="M269" s="10"/>
      <c r="N269" s="197"/>
      <c r="O269" s="198"/>
      <c r="P269" s="198"/>
    </row>
    <row r="270" spans="1:16" ht="15.5">
      <c r="A270" s="10">
        <v>269</v>
      </c>
      <c r="B270" s="193" t="s">
        <v>316</v>
      </c>
      <c r="C270" s="10" t="s">
        <v>626</v>
      </c>
      <c r="D270" s="10"/>
      <c r="E270" s="202">
        <v>45923</v>
      </c>
      <c r="F270" s="23">
        <v>143.46209800000003</v>
      </c>
      <c r="G270" s="556" t="s">
        <v>196</v>
      </c>
      <c r="H270" s="556"/>
      <c r="I270" s="556"/>
      <c r="J270" s="556"/>
      <c r="K270" s="202">
        <v>45944</v>
      </c>
      <c r="L270" s="203" t="s">
        <v>689</v>
      </c>
      <c r="M270" s="10"/>
      <c r="N270" s="197"/>
      <c r="O270" s="198"/>
      <c r="P270" s="198"/>
    </row>
    <row r="271" spans="1:16" ht="15.5">
      <c r="A271" s="10">
        <v>270</v>
      </c>
      <c r="B271" s="272" t="s">
        <v>131</v>
      </c>
      <c r="C271" s="435" t="s">
        <v>225</v>
      </c>
      <c r="D271" s="10"/>
      <c r="E271" s="191">
        <v>45938</v>
      </c>
      <c r="F271" s="23">
        <v>42.374236000000003</v>
      </c>
      <c r="G271" s="556" t="s">
        <v>196</v>
      </c>
      <c r="H271" s="556"/>
      <c r="I271" s="556"/>
      <c r="J271" s="556"/>
      <c r="K271" s="202">
        <v>45952</v>
      </c>
      <c r="L271" s="203" t="s">
        <v>753</v>
      </c>
      <c r="M271" s="10"/>
      <c r="N271" s="197"/>
      <c r="O271" s="198"/>
      <c r="P271" s="198"/>
    </row>
    <row r="272" spans="1:16" ht="15.5">
      <c r="A272" s="10">
        <v>271</v>
      </c>
      <c r="B272" s="193" t="s">
        <v>425</v>
      </c>
      <c r="C272" s="10" t="s">
        <v>748</v>
      </c>
      <c r="D272" s="10"/>
      <c r="E272" s="191">
        <v>45938</v>
      </c>
      <c r="F272" s="23">
        <v>110.69581699999999</v>
      </c>
      <c r="G272" s="556" t="s">
        <v>196</v>
      </c>
      <c r="H272" s="556"/>
      <c r="I272" s="556"/>
      <c r="J272" s="556"/>
      <c r="K272" s="202">
        <v>45956</v>
      </c>
      <c r="L272" s="326" t="s">
        <v>424</v>
      </c>
      <c r="M272" s="10"/>
      <c r="N272" s="197"/>
      <c r="O272" s="198"/>
      <c r="P272" s="198"/>
    </row>
    <row r="273" spans="1:16" ht="15.5">
      <c r="A273" s="10">
        <v>272</v>
      </c>
      <c r="B273" s="193" t="s">
        <v>418</v>
      </c>
      <c r="C273" s="10" t="s">
        <v>722</v>
      </c>
      <c r="D273" s="10"/>
      <c r="E273" s="191">
        <v>45933</v>
      </c>
      <c r="F273" s="279">
        <v>97.834000000000003</v>
      </c>
      <c r="G273" s="556" t="s">
        <v>196</v>
      </c>
      <c r="H273" s="556"/>
      <c r="I273" s="556"/>
      <c r="J273" s="556"/>
      <c r="K273" s="202">
        <v>45958</v>
      </c>
      <c r="L273" s="205" t="s">
        <v>417</v>
      </c>
      <c r="M273" s="10"/>
      <c r="N273" s="197"/>
      <c r="O273" s="198"/>
      <c r="P273" s="198"/>
    </row>
    <row r="274" spans="1:16" ht="15.5">
      <c r="A274" s="10">
        <v>273</v>
      </c>
      <c r="B274" s="193" t="s">
        <v>288</v>
      </c>
      <c r="C274" s="10" t="s">
        <v>748</v>
      </c>
      <c r="D274" s="10"/>
      <c r="E274" s="191">
        <v>45923</v>
      </c>
      <c r="F274" s="23">
        <v>110.69581699999999</v>
      </c>
      <c r="G274" s="556" t="s">
        <v>196</v>
      </c>
      <c r="H274" s="556"/>
      <c r="I274" s="556"/>
      <c r="J274" s="556"/>
      <c r="K274" s="202">
        <v>45961</v>
      </c>
      <c r="L274" s="326" t="s">
        <v>424</v>
      </c>
      <c r="M274" s="10"/>
      <c r="N274" s="197"/>
      <c r="O274" s="198"/>
      <c r="P274" s="198"/>
    </row>
    <row r="275" spans="1:16" ht="15.5">
      <c r="A275" s="10">
        <v>274</v>
      </c>
      <c r="B275" s="193" t="s">
        <v>317</v>
      </c>
      <c r="C275" s="10" t="s">
        <v>513</v>
      </c>
      <c r="D275" s="10"/>
      <c r="E275" s="202">
        <v>45945</v>
      </c>
      <c r="F275" s="23">
        <v>73.425832</v>
      </c>
      <c r="G275" s="556" t="s">
        <v>196</v>
      </c>
      <c r="H275" s="556"/>
      <c r="I275" s="556"/>
      <c r="J275" s="556"/>
      <c r="K275" s="202">
        <v>45968</v>
      </c>
      <c r="L275" s="203" t="s">
        <v>753</v>
      </c>
      <c r="M275" s="10"/>
      <c r="N275" s="197"/>
      <c r="O275" s="198"/>
      <c r="P275" s="198"/>
    </row>
    <row r="276" spans="1:16" ht="15.5">
      <c r="A276" s="10">
        <v>275</v>
      </c>
      <c r="B276" s="193" t="s">
        <v>274</v>
      </c>
      <c r="C276" s="10" t="s">
        <v>380</v>
      </c>
      <c r="D276" s="10"/>
      <c r="E276" s="191">
        <v>45939</v>
      </c>
      <c r="F276" s="23">
        <v>97.228551999999993</v>
      </c>
      <c r="G276" s="556" t="s">
        <v>196</v>
      </c>
      <c r="H276" s="556"/>
      <c r="I276" s="556"/>
      <c r="J276" s="556"/>
      <c r="K276" s="202">
        <v>45968</v>
      </c>
      <c r="L276" s="203" t="s">
        <v>426</v>
      </c>
      <c r="M276" s="10"/>
      <c r="N276" s="197"/>
      <c r="O276" s="198"/>
      <c r="P276" s="198"/>
    </row>
    <row r="277" spans="1:16" ht="15.75" customHeight="1">
      <c r="A277" s="10">
        <v>276</v>
      </c>
      <c r="B277" s="193" t="s">
        <v>128</v>
      </c>
      <c r="C277" s="10" t="s">
        <v>551</v>
      </c>
      <c r="D277" s="10"/>
      <c r="E277" s="191">
        <v>45957</v>
      </c>
      <c r="F277" s="279">
        <v>75.858000000000004</v>
      </c>
      <c r="G277" s="556" t="s">
        <v>196</v>
      </c>
      <c r="H277" s="556"/>
      <c r="I277" s="556"/>
      <c r="J277" s="556"/>
      <c r="K277" s="202">
        <v>45971</v>
      </c>
      <c r="L277" s="326" t="s">
        <v>424</v>
      </c>
      <c r="M277" s="10"/>
      <c r="N277" s="197"/>
      <c r="O277" s="198"/>
      <c r="P277" s="198"/>
    </row>
    <row r="278" spans="1:16" ht="28.5">
      <c r="A278" s="10">
        <v>277</v>
      </c>
      <c r="B278" s="193"/>
      <c r="C278" s="10"/>
      <c r="D278" s="10"/>
      <c r="E278" s="191"/>
      <c r="F278" s="192"/>
      <c r="G278" s="199"/>
      <c r="H278" s="200"/>
      <c r="I278" s="200"/>
      <c r="J278" s="201"/>
      <c r="K278" s="196"/>
      <c r="L278" s="10"/>
      <c r="M278" s="10"/>
      <c r="N278" s="197"/>
      <c r="O278" s="198"/>
      <c r="P278" s="198"/>
    </row>
    <row r="279" spans="1:16" ht="28.5">
      <c r="A279" s="10">
        <v>278</v>
      </c>
      <c r="B279" s="193"/>
      <c r="C279" s="10"/>
      <c r="D279" s="10"/>
      <c r="E279" s="191"/>
      <c r="F279" s="192"/>
      <c r="G279" s="199"/>
      <c r="H279" s="200"/>
      <c r="I279" s="200"/>
      <c r="J279" s="201"/>
      <c r="K279" s="196"/>
      <c r="L279" s="10"/>
      <c r="M279" s="10"/>
      <c r="N279" s="197"/>
      <c r="O279" s="198"/>
      <c r="P279" s="198"/>
    </row>
    <row r="280" spans="1:16" ht="28.5">
      <c r="A280" s="10">
        <v>279</v>
      </c>
      <c r="B280" s="193"/>
      <c r="C280" s="10"/>
      <c r="D280" s="10"/>
      <c r="E280" s="191"/>
      <c r="F280" s="192"/>
      <c r="G280" s="199"/>
      <c r="H280" s="200"/>
      <c r="I280" s="200"/>
      <c r="J280" s="201"/>
      <c r="K280" s="196"/>
      <c r="L280" s="10"/>
      <c r="M280" s="10"/>
      <c r="N280" s="197"/>
      <c r="O280" s="198"/>
      <c r="P280" s="198"/>
    </row>
    <row r="281" spans="1:16" ht="28.5">
      <c r="A281" s="10">
        <v>280</v>
      </c>
      <c r="B281" s="193"/>
      <c r="C281" s="10"/>
      <c r="D281" s="10"/>
      <c r="E281" s="191"/>
      <c r="F281" s="192"/>
      <c r="G281" s="199"/>
      <c r="H281" s="200"/>
      <c r="I281" s="200"/>
      <c r="J281" s="201"/>
      <c r="K281" s="196"/>
      <c r="L281" s="10"/>
      <c r="M281" s="10"/>
      <c r="N281" s="197"/>
      <c r="O281" s="198"/>
      <c r="P281" s="198"/>
    </row>
    <row r="282" spans="1:16" ht="28.5">
      <c r="A282" s="10">
        <v>281</v>
      </c>
      <c r="B282" s="193"/>
      <c r="C282" s="10"/>
      <c r="D282" s="10"/>
      <c r="E282" s="191"/>
      <c r="F282" s="192"/>
      <c r="G282" s="199"/>
      <c r="H282" s="200"/>
      <c r="I282" s="200"/>
      <c r="J282" s="201"/>
      <c r="K282" s="196"/>
      <c r="L282" s="10"/>
      <c r="M282" s="10"/>
      <c r="N282" s="197"/>
      <c r="O282" s="198"/>
      <c r="P282" s="198"/>
    </row>
    <row r="283" spans="1:16" ht="28.5">
      <c r="A283" s="10">
        <v>282</v>
      </c>
      <c r="B283" s="193"/>
      <c r="C283" s="10"/>
      <c r="D283" s="10"/>
      <c r="E283" s="191"/>
      <c r="F283" s="192"/>
      <c r="G283" s="199"/>
      <c r="H283" s="200"/>
      <c r="I283" s="200"/>
      <c r="J283" s="201"/>
      <c r="K283" s="196"/>
      <c r="L283" s="10"/>
      <c r="M283" s="10"/>
      <c r="N283" s="197"/>
      <c r="O283" s="198"/>
      <c r="P283" s="198"/>
    </row>
    <row r="284" spans="1:16" ht="28.5">
      <c r="A284" s="10">
        <v>283</v>
      </c>
      <c r="B284" s="193"/>
      <c r="C284" s="10"/>
      <c r="D284" s="10"/>
      <c r="E284" s="191"/>
      <c r="F284" s="192"/>
      <c r="G284" s="199"/>
      <c r="H284" s="200"/>
      <c r="I284" s="200"/>
      <c r="J284" s="201"/>
      <c r="K284" s="196"/>
      <c r="L284" s="10"/>
      <c r="M284" s="10"/>
      <c r="N284" s="197"/>
      <c r="O284" s="198"/>
      <c r="P284" s="198"/>
    </row>
    <row r="285" spans="1:16" ht="28.5">
      <c r="A285" s="10">
        <v>284</v>
      </c>
      <c r="B285" s="193"/>
      <c r="C285" s="10"/>
      <c r="D285" s="10"/>
      <c r="E285" s="191"/>
      <c r="F285" s="192"/>
      <c r="G285" s="199"/>
      <c r="H285" s="200"/>
      <c r="I285" s="200"/>
      <c r="J285" s="201"/>
      <c r="K285" s="196"/>
      <c r="L285" s="10"/>
      <c r="M285" s="10"/>
      <c r="N285" s="197"/>
      <c r="O285" s="198"/>
      <c r="P285" s="198"/>
    </row>
    <row r="286" spans="1:16" ht="28.5">
      <c r="A286" s="10">
        <v>285</v>
      </c>
      <c r="B286" s="193"/>
      <c r="C286" s="10"/>
      <c r="D286" s="10"/>
      <c r="E286" s="191"/>
      <c r="F286" s="192"/>
      <c r="G286" s="199"/>
      <c r="H286" s="200"/>
      <c r="I286" s="200"/>
      <c r="J286" s="201"/>
      <c r="K286" s="196"/>
      <c r="L286" s="10"/>
      <c r="M286" s="10"/>
      <c r="N286" s="197"/>
      <c r="O286" s="198"/>
      <c r="P286" s="198"/>
    </row>
    <row r="287" spans="1:16" ht="28.5">
      <c r="A287" s="10">
        <v>286</v>
      </c>
      <c r="B287" s="193"/>
      <c r="C287" s="10"/>
      <c r="D287" s="10"/>
      <c r="E287" s="191"/>
      <c r="F287" s="192"/>
      <c r="G287" s="199"/>
      <c r="H287" s="200"/>
      <c r="I287" s="200"/>
      <c r="J287" s="201"/>
      <c r="K287" s="196"/>
      <c r="L287" s="10"/>
      <c r="M287" s="10"/>
      <c r="N287" s="197"/>
      <c r="O287" s="198"/>
      <c r="P287" s="198"/>
    </row>
    <row r="288" spans="1:16" ht="28.5">
      <c r="A288" s="10">
        <v>287</v>
      </c>
      <c r="B288" s="193"/>
      <c r="C288" s="10"/>
      <c r="D288" s="10"/>
      <c r="E288" s="191"/>
      <c r="F288" s="192"/>
      <c r="G288" s="199"/>
      <c r="H288" s="200"/>
      <c r="I288" s="200"/>
      <c r="J288" s="201"/>
      <c r="K288" s="196"/>
      <c r="L288" s="10"/>
      <c r="M288" s="10"/>
      <c r="N288" s="197"/>
      <c r="O288" s="198"/>
      <c r="P288" s="198"/>
    </row>
    <row r="289" spans="1:16" ht="28.5">
      <c r="A289" s="10">
        <v>288</v>
      </c>
      <c r="B289" s="193"/>
      <c r="C289" s="10"/>
      <c r="D289" s="10"/>
      <c r="E289" s="191"/>
      <c r="F289" s="192"/>
      <c r="G289" s="199"/>
      <c r="H289" s="200"/>
      <c r="I289" s="200"/>
      <c r="J289" s="201"/>
      <c r="K289" s="196"/>
      <c r="L289" s="10"/>
      <c r="M289" s="10"/>
      <c r="N289" s="197"/>
      <c r="O289" s="198"/>
      <c r="P289" s="198"/>
    </row>
    <row r="290" spans="1:16" ht="28.5">
      <c r="A290" s="10">
        <v>289</v>
      </c>
      <c r="B290" s="193"/>
      <c r="C290" s="10"/>
      <c r="D290" s="10"/>
      <c r="E290" s="191"/>
      <c r="F290" s="192"/>
      <c r="G290" s="199"/>
      <c r="H290" s="200"/>
      <c r="I290" s="200"/>
      <c r="J290" s="201"/>
      <c r="K290" s="196"/>
      <c r="L290" s="10"/>
      <c r="M290" s="10"/>
      <c r="N290" s="197"/>
      <c r="O290" s="198"/>
      <c r="P290" s="198"/>
    </row>
    <row r="291" spans="1:16" ht="28.5">
      <c r="A291" s="10">
        <v>290</v>
      </c>
      <c r="B291" s="193"/>
      <c r="C291" s="10"/>
      <c r="D291" s="10"/>
      <c r="E291" s="191"/>
      <c r="F291" s="192"/>
      <c r="G291" s="199"/>
      <c r="H291" s="200"/>
      <c r="I291" s="200"/>
      <c r="J291" s="201"/>
      <c r="K291" s="196"/>
      <c r="L291" s="10"/>
      <c r="M291" s="10"/>
      <c r="N291" s="197"/>
      <c r="O291" s="198"/>
      <c r="P291" s="198"/>
    </row>
    <row r="292" spans="1:16" ht="28.5">
      <c r="A292" s="10">
        <v>291</v>
      </c>
      <c r="B292" s="193"/>
      <c r="C292" s="10"/>
      <c r="D292" s="10"/>
      <c r="E292" s="191"/>
      <c r="F292" s="192"/>
      <c r="G292" s="199"/>
      <c r="H292" s="200"/>
      <c r="I292" s="200"/>
      <c r="J292" s="201"/>
      <c r="K292" s="196"/>
      <c r="L292" s="10"/>
      <c r="M292" s="10"/>
      <c r="N292" s="197"/>
      <c r="O292" s="198"/>
      <c r="P292" s="198"/>
    </row>
    <row r="293" spans="1:16" ht="28.5">
      <c r="A293" s="10">
        <v>292</v>
      </c>
      <c r="B293" s="193"/>
      <c r="C293" s="10"/>
      <c r="D293" s="10"/>
      <c r="E293" s="191"/>
      <c r="F293" s="192"/>
      <c r="G293" s="199"/>
      <c r="H293" s="200"/>
      <c r="I293" s="200"/>
      <c r="J293" s="201"/>
      <c r="K293" s="196"/>
      <c r="L293" s="10"/>
      <c r="M293" s="10"/>
      <c r="N293" s="197"/>
      <c r="O293" s="198"/>
      <c r="P293" s="198"/>
    </row>
    <row r="294" spans="1:16" ht="28.5">
      <c r="A294" s="10">
        <v>293</v>
      </c>
      <c r="B294" s="193"/>
      <c r="C294" s="10"/>
      <c r="D294" s="10"/>
      <c r="E294" s="191"/>
      <c r="F294" s="192"/>
      <c r="G294" s="199"/>
      <c r="H294" s="200"/>
      <c r="I294" s="200"/>
      <c r="J294" s="201"/>
      <c r="K294" s="196"/>
      <c r="L294" s="10"/>
      <c r="M294" s="10"/>
      <c r="N294" s="197"/>
      <c r="O294" s="198"/>
      <c r="P294" s="198"/>
    </row>
    <row r="295" spans="1:16" ht="28.5">
      <c r="A295" s="10">
        <v>294</v>
      </c>
      <c r="B295" s="193"/>
      <c r="C295" s="10"/>
      <c r="D295" s="10"/>
      <c r="E295" s="191"/>
      <c r="F295" s="192"/>
      <c r="G295" s="199"/>
      <c r="H295" s="200"/>
      <c r="I295" s="200"/>
      <c r="J295" s="201"/>
      <c r="K295" s="196"/>
      <c r="L295" s="10"/>
      <c r="M295" s="10"/>
      <c r="N295" s="197"/>
      <c r="O295" s="198"/>
      <c r="P295" s="198"/>
    </row>
    <row r="296" spans="1:16" ht="28.5">
      <c r="A296" s="10">
        <v>295</v>
      </c>
      <c r="B296" s="193"/>
      <c r="C296" s="10"/>
      <c r="D296" s="10"/>
      <c r="E296" s="191"/>
      <c r="F296" s="192"/>
      <c r="G296" s="199"/>
      <c r="H296" s="200"/>
      <c r="I296" s="200"/>
      <c r="J296" s="201"/>
      <c r="K296" s="196"/>
      <c r="L296" s="10"/>
      <c r="M296" s="10"/>
      <c r="N296" s="197"/>
      <c r="O296" s="198"/>
      <c r="P296" s="198"/>
    </row>
    <row r="297" spans="1:16" ht="28.5">
      <c r="A297" s="10">
        <v>296</v>
      </c>
      <c r="B297" s="193"/>
      <c r="C297" s="10"/>
      <c r="D297" s="10"/>
      <c r="E297" s="191"/>
      <c r="F297" s="192"/>
      <c r="G297" s="199"/>
      <c r="H297" s="200"/>
      <c r="I297" s="200"/>
      <c r="J297" s="201"/>
      <c r="K297" s="196"/>
      <c r="L297" s="10"/>
      <c r="M297" s="10"/>
      <c r="N297" s="197"/>
      <c r="O297" s="198"/>
      <c r="P297" s="198"/>
    </row>
    <row r="298" spans="1:16" ht="28.5">
      <c r="A298" s="10">
        <v>297</v>
      </c>
      <c r="B298" s="193"/>
      <c r="C298" s="10"/>
      <c r="D298" s="10"/>
      <c r="E298" s="191"/>
      <c r="F298" s="192"/>
      <c r="G298" s="199"/>
      <c r="H298" s="200"/>
      <c r="I298" s="200"/>
      <c r="J298" s="201"/>
      <c r="K298" s="196"/>
      <c r="L298" s="10"/>
      <c r="M298" s="10"/>
      <c r="N298" s="197"/>
      <c r="O298" s="198"/>
      <c r="P298" s="198"/>
    </row>
    <row r="299" spans="1:16" ht="28.5">
      <c r="A299" s="10">
        <v>298</v>
      </c>
      <c r="B299" s="193"/>
      <c r="C299" s="10"/>
      <c r="D299" s="10"/>
      <c r="E299" s="191"/>
      <c r="F299" s="192"/>
      <c r="G299" s="199"/>
      <c r="H299" s="200"/>
      <c r="I299" s="200"/>
      <c r="J299" s="201"/>
      <c r="K299" s="196"/>
      <c r="L299" s="10"/>
      <c r="M299" s="10"/>
      <c r="N299" s="197"/>
      <c r="O299" s="198"/>
      <c r="P299" s="198"/>
    </row>
    <row r="300" spans="1:16" ht="28.5">
      <c r="A300" s="10">
        <v>299</v>
      </c>
      <c r="B300" s="193"/>
      <c r="C300" s="10"/>
      <c r="D300" s="10"/>
      <c r="E300" s="191"/>
      <c r="F300" s="192"/>
      <c r="G300" s="199"/>
      <c r="H300" s="200"/>
      <c r="I300" s="200"/>
      <c r="J300" s="201"/>
      <c r="K300" s="196"/>
      <c r="L300" s="10"/>
      <c r="M300" s="10"/>
      <c r="N300" s="197"/>
      <c r="O300" s="198"/>
      <c r="P300" s="198"/>
    </row>
    <row r="301" spans="1:16" ht="28.5">
      <c r="A301" s="10">
        <v>300</v>
      </c>
      <c r="B301" s="193"/>
      <c r="C301" s="10"/>
      <c r="D301" s="10"/>
      <c r="E301" s="191"/>
      <c r="F301" s="192"/>
      <c r="G301" s="199"/>
      <c r="H301" s="200"/>
      <c r="I301" s="200"/>
      <c r="J301" s="201"/>
      <c r="K301" s="196"/>
      <c r="L301" s="10"/>
      <c r="M301" s="10"/>
      <c r="N301" s="197"/>
      <c r="O301" s="198"/>
      <c r="P301" s="198"/>
    </row>
    <row r="302" spans="1:16" ht="28.5">
      <c r="A302" s="10">
        <v>301</v>
      </c>
      <c r="B302" s="193"/>
      <c r="C302" s="10"/>
      <c r="D302" s="10"/>
      <c r="E302" s="191"/>
      <c r="F302" s="192"/>
      <c r="G302" s="199"/>
      <c r="H302" s="200"/>
      <c r="I302" s="200"/>
      <c r="J302" s="201"/>
      <c r="K302" s="196"/>
      <c r="L302" s="10"/>
      <c r="M302" s="10"/>
      <c r="N302" s="197"/>
      <c r="O302" s="198"/>
      <c r="P302" s="198"/>
    </row>
    <row r="303" spans="1:16" ht="28.5">
      <c r="A303" s="10">
        <v>302</v>
      </c>
      <c r="B303" s="193"/>
      <c r="C303" s="10"/>
      <c r="D303" s="10"/>
      <c r="E303" s="191"/>
      <c r="F303" s="192"/>
      <c r="G303" s="199"/>
      <c r="H303" s="200"/>
      <c r="I303" s="200"/>
      <c r="J303" s="201"/>
      <c r="K303" s="196"/>
      <c r="L303" s="10"/>
      <c r="M303" s="10"/>
      <c r="N303" s="197"/>
      <c r="O303" s="198"/>
      <c r="P303" s="198"/>
    </row>
    <row r="304" spans="1:16" ht="28.5">
      <c r="A304" s="10"/>
      <c r="B304" s="193"/>
      <c r="C304" s="10"/>
      <c r="D304" s="10"/>
      <c r="E304" s="191"/>
      <c r="F304" s="192"/>
      <c r="G304" s="199"/>
      <c r="H304" s="200"/>
      <c r="I304" s="200"/>
      <c r="J304" s="201"/>
      <c r="K304" s="196"/>
      <c r="L304" s="10"/>
      <c r="M304" s="10"/>
      <c r="N304" s="197"/>
      <c r="O304" s="198"/>
      <c r="P304" s="198"/>
    </row>
  </sheetData>
  <mergeCells count="355">
    <mergeCell ref="G157:J157"/>
    <mergeCell ref="G158:J158"/>
    <mergeCell ref="G159:J159"/>
    <mergeCell ref="G160:J160"/>
    <mergeCell ref="G161:J161"/>
    <mergeCell ref="G162:J162"/>
    <mergeCell ref="G163:J163"/>
    <mergeCell ref="G164:J164"/>
    <mergeCell ref="G165:J165"/>
    <mergeCell ref="G166:J166"/>
    <mergeCell ref="G167:J167"/>
    <mergeCell ref="G136:J136"/>
    <mergeCell ref="G137:J137"/>
    <mergeCell ref="G138:J138"/>
    <mergeCell ref="G139:J139"/>
    <mergeCell ref="G140:J140"/>
    <mergeCell ref="G141:J141"/>
    <mergeCell ref="G142:J142"/>
    <mergeCell ref="G143:J143"/>
    <mergeCell ref="G144:J144"/>
    <mergeCell ref="G154:J154"/>
    <mergeCell ref="G155:J155"/>
    <mergeCell ref="G145:J145"/>
    <mergeCell ref="G146:J146"/>
    <mergeCell ref="G147:J147"/>
    <mergeCell ref="G148:J148"/>
    <mergeCell ref="G149:J149"/>
    <mergeCell ref="G150:J150"/>
    <mergeCell ref="G151:J151"/>
    <mergeCell ref="G152:J152"/>
    <mergeCell ref="G153:J153"/>
    <mergeCell ref="G156:J156"/>
    <mergeCell ref="G83:J83"/>
    <mergeCell ref="G84:J84"/>
    <mergeCell ref="G85:J85"/>
    <mergeCell ref="N85:P85"/>
    <mergeCell ref="G86:J86"/>
    <mergeCell ref="N86:P86"/>
    <mergeCell ref="G111:J111"/>
    <mergeCell ref="G112:J112"/>
    <mergeCell ref="G113:J113"/>
    <mergeCell ref="G87:J87"/>
    <mergeCell ref="N87:P87"/>
    <mergeCell ref="G88:J88"/>
    <mergeCell ref="N88:P88"/>
    <mergeCell ref="G89:J89"/>
    <mergeCell ref="G90:J90"/>
    <mergeCell ref="G91:J91"/>
    <mergeCell ref="G92:J92"/>
    <mergeCell ref="G93:J93"/>
    <mergeCell ref="G94:J94"/>
    <mergeCell ref="G95:J95"/>
    <mergeCell ref="G96:J96"/>
    <mergeCell ref="G97:J97"/>
    <mergeCell ref="G98:J98"/>
    <mergeCell ref="G99:J99"/>
    <mergeCell ref="G79:J79"/>
    <mergeCell ref="N79:P79"/>
    <mergeCell ref="G80:J80"/>
    <mergeCell ref="N80:P80"/>
    <mergeCell ref="G81:J81"/>
    <mergeCell ref="G82:J82"/>
    <mergeCell ref="G74:J74"/>
    <mergeCell ref="N74:P74"/>
    <mergeCell ref="G75:J75"/>
    <mergeCell ref="G76:J76"/>
    <mergeCell ref="G77:J77"/>
    <mergeCell ref="G78:J78"/>
    <mergeCell ref="G70:J70"/>
    <mergeCell ref="N70:P70"/>
    <mergeCell ref="G71:J71"/>
    <mergeCell ref="G72:J72"/>
    <mergeCell ref="G73:J73"/>
    <mergeCell ref="N73:P73"/>
    <mergeCell ref="G67:J67"/>
    <mergeCell ref="N67:P67"/>
    <mergeCell ref="G68:J68"/>
    <mergeCell ref="N68:P68"/>
    <mergeCell ref="G69:J69"/>
    <mergeCell ref="N69:P69"/>
    <mergeCell ref="G64:J64"/>
    <mergeCell ref="N64:P64"/>
    <mergeCell ref="G65:J65"/>
    <mergeCell ref="N65:P65"/>
    <mergeCell ref="G66:J66"/>
    <mergeCell ref="N66:P66"/>
    <mergeCell ref="G61:J61"/>
    <mergeCell ref="N61:P61"/>
    <mergeCell ref="G62:J62"/>
    <mergeCell ref="N62:P62"/>
    <mergeCell ref="G63:J63"/>
    <mergeCell ref="N63:P63"/>
    <mergeCell ref="G58:J58"/>
    <mergeCell ref="N58:P58"/>
    <mergeCell ref="G59:J59"/>
    <mergeCell ref="N59:P59"/>
    <mergeCell ref="G60:J60"/>
    <mergeCell ref="N60:P60"/>
    <mergeCell ref="G55:J55"/>
    <mergeCell ref="N55:P55"/>
    <mergeCell ref="G56:J56"/>
    <mergeCell ref="N56:P56"/>
    <mergeCell ref="G57:J57"/>
    <mergeCell ref="N57:P57"/>
    <mergeCell ref="G52:J52"/>
    <mergeCell ref="N52:P52"/>
    <mergeCell ref="G53:J53"/>
    <mergeCell ref="N53:P53"/>
    <mergeCell ref="G54:J54"/>
    <mergeCell ref="N54:P54"/>
    <mergeCell ref="G49:J49"/>
    <mergeCell ref="N49:P49"/>
    <mergeCell ref="G50:J50"/>
    <mergeCell ref="N50:P50"/>
    <mergeCell ref="G51:J51"/>
    <mergeCell ref="N51:P51"/>
    <mergeCell ref="G46:J46"/>
    <mergeCell ref="N46:P46"/>
    <mergeCell ref="G47:J47"/>
    <mergeCell ref="N47:P47"/>
    <mergeCell ref="G48:J48"/>
    <mergeCell ref="N48:P48"/>
    <mergeCell ref="G43:J43"/>
    <mergeCell ref="N43:P43"/>
    <mergeCell ref="G44:J44"/>
    <mergeCell ref="N44:P44"/>
    <mergeCell ref="G45:J45"/>
    <mergeCell ref="N45:P45"/>
    <mergeCell ref="G40:J40"/>
    <mergeCell ref="N40:P40"/>
    <mergeCell ref="G41:J41"/>
    <mergeCell ref="N41:P41"/>
    <mergeCell ref="G42:J42"/>
    <mergeCell ref="N42:P42"/>
    <mergeCell ref="G37:J37"/>
    <mergeCell ref="N37:P37"/>
    <mergeCell ref="G38:J38"/>
    <mergeCell ref="N38:P38"/>
    <mergeCell ref="G39:J39"/>
    <mergeCell ref="N39:P39"/>
    <mergeCell ref="G34:J34"/>
    <mergeCell ref="N34:P34"/>
    <mergeCell ref="G35:J35"/>
    <mergeCell ref="N35:P35"/>
    <mergeCell ref="G36:J36"/>
    <mergeCell ref="N36:P36"/>
    <mergeCell ref="G31:J31"/>
    <mergeCell ref="N31:P31"/>
    <mergeCell ref="G32:J32"/>
    <mergeCell ref="N32:P32"/>
    <mergeCell ref="G33:J33"/>
    <mergeCell ref="N33:P33"/>
    <mergeCell ref="G28:J28"/>
    <mergeCell ref="N28:P28"/>
    <mergeCell ref="G29:J29"/>
    <mergeCell ref="N29:P29"/>
    <mergeCell ref="G30:J30"/>
    <mergeCell ref="N30:P30"/>
    <mergeCell ref="G25:J25"/>
    <mergeCell ref="N25:P25"/>
    <mergeCell ref="G26:J26"/>
    <mergeCell ref="N26:P26"/>
    <mergeCell ref="G27:J27"/>
    <mergeCell ref="N27:P27"/>
    <mergeCell ref="G22:J22"/>
    <mergeCell ref="N22:P22"/>
    <mergeCell ref="G23:J23"/>
    <mergeCell ref="N23:P23"/>
    <mergeCell ref="G24:J24"/>
    <mergeCell ref="N24:P24"/>
    <mergeCell ref="G19:J19"/>
    <mergeCell ref="N19:P19"/>
    <mergeCell ref="G20:J20"/>
    <mergeCell ref="N20:P20"/>
    <mergeCell ref="G21:J21"/>
    <mergeCell ref="N21:P21"/>
    <mergeCell ref="G16:J16"/>
    <mergeCell ref="N16:P16"/>
    <mergeCell ref="G17:J17"/>
    <mergeCell ref="N17:P17"/>
    <mergeCell ref="G18:J18"/>
    <mergeCell ref="N18:P18"/>
    <mergeCell ref="G13:J13"/>
    <mergeCell ref="N13:P13"/>
    <mergeCell ref="G14:J14"/>
    <mergeCell ref="N14:P14"/>
    <mergeCell ref="G15:J15"/>
    <mergeCell ref="N15:P15"/>
    <mergeCell ref="G10:J10"/>
    <mergeCell ref="N10:P10"/>
    <mergeCell ref="G11:J11"/>
    <mergeCell ref="N11:P11"/>
    <mergeCell ref="G12:J12"/>
    <mergeCell ref="N12:P12"/>
    <mergeCell ref="G7:J7"/>
    <mergeCell ref="N7:P7"/>
    <mergeCell ref="G8:J8"/>
    <mergeCell ref="N8:P8"/>
    <mergeCell ref="G9:J9"/>
    <mergeCell ref="N9:P9"/>
    <mergeCell ref="G4:J4"/>
    <mergeCell ref="N4:P4"/>
    <mergeCell ref="G5:J5"/>
    <mergeCell ref="N5:P5"/>
    <mergeCell ref="G6:J6"/>
    <mergeCell ref="N6:P6"/>
    <mergeCell ref="G1:J1"/>
    <mergeCell ref="N1:P1"/>
    <mergeCell ref="G2:J2"/>
    <mergeCell ref="N2:P2"/>
    <mergeCell ref="G3:J3"/>
    <mergeCell ref="N3:P3"/>
    <mergeCell ref="G100:J100"/>
    <mergeCell ref="G101:J101"/>
    <mergeCell ref="G102:J102"/>
    <mergeCell ref="G103:J103"/>
    <mergeCell ref="G104:J104"/>
    <mergeCell ref="G105:J105"/>
    <mergeCell ref="G106:J106"/>
    <mergeCell ref="G107:J107"/>
    <mergeCell ref="G108:J108"/>
    <mergeCell ref="G109:J109"/>
    <mergeCell ref="G110:J110"/>
    <mergeCell ref="G129:J129"/>
    <mergeCell ref="G130:J130"/>
    <mergeCell ref="G131:J131"/>
    <mergeCell ref="G132:J132"/>
    <mergeCell ref="G133:J133"/>
    <mergeCell ref="G134:J134"/>
    <mergeCell ref="G135:J135"/>
    <mergeCell ref="G114:J114"/>
    <mergeCell ref="G115:J115"/>
    <mergeCell ref="G116:J116"/>
    <mergeCell ref="G117:J117"/>
    <mergeCell ref="G118:J118"/>
    <mergeCell ref="G119:J119"/>
    <mergeCell ref="G120:J120"/>
    <mergeCell ref="G121:J121"/>
    <mergeCell ref="G122:J122"/>
    <mergeCell ref="G123:J123"/>
    <mergeCell ref="G124:J124"/>
    <mergeCell ref="G125:J125"/>
    <mergeCell ref="G126:J126"/>
    <mergeCell ref="G127:J127"/>
    <mergeCell ref="G128:J128"/>
    <mergeCell ref="G168:J168"/>
    <mergeCell ref="G169:J169"/>
    <mergeCell ref="G170:J170"/>
    <mergeCell ref="G171:J171"/>
    <mergeCell ref="G172:J172"/>
    <mergeCell ref="G173:J173"/>
    <mergeCell ref="G174:J174"/>
    <mergeCell ref="G175:J175"/>
    <mergeCell ref="G176:J176"/>
    <mergeCell ref="G177:J177"/>
    <mergeCell ref="G178:J178"/>
    <mergeCell ref="G179:J179"/>
    <mergeCell ref="G180:J180"/>
    <mergeCell ref="G181:J181"/>
    <mergeCell ref="G182:J182"/>
    <mergeCell ref="G183:J183"/>
    <mergeCell ref="G184:J184"/>
    <mergeCell ref="G185:J185"/>
    <mergeCell ref="G186:J186"/>
    <mergeCell ref="G187:J187"/>
    <mergeCell ref="G188:J188"/>
    <mergeCell ref="G189:J189"/>
    <mergeCell ref="G190:J190"/>
    <mergeCell ref="G191:J191"/>
    <mergeCell ref="G192:J192"/>
    <mergeCell ref="G193:J193"/>
    <mergeCell ref="G194:J194"/>
    <mergeCell ref="G195:J195"/>
    <mergeCell ref="G196:J196"/>
    <mergeCell ref="G197:J197"/>
    <mergeCell ref="G198:J198"/>
    <mergeCell ref="G199:J199"/>
    <mergeCell ref="G200:J200"/>
    <mergeCell ref="G201:J201"/>
    <mergeCell ref="G202:J202"/>
    <mergeCell ref="G203:J203"/>
    <mergeCell ref="G204:J204"/>
    <mergeCell ref="G205:J205"/>
    <mergeCell ref="G206:J206"/>
    <mergeCell ref="G207:J207"/>
    <mergeCell ref="G208:J208"/>
    <mergeCell ref="G209:J209"/>
    <mergeCell ref="G210:J210"/>
    <mergeCell ref="G211:J211"/>
    <mergeCell ref="G212:J212"/>
    <mergeCell ref="G213:J213"/>
    <mergeCell ref="G214:J214"/>
    <mergeCell ref="G215:J215"/>
    <mergeCell ref="G216:J216"/>
    <mergeCell ref="G217:J217"/>
    <mergeCell ref="G218:J218"/>
    <mergeCell ref="G219:J219"/>
    <mergeCell ref="G220:J220"/>
    <mergeCell ref="G221:J221"/>
    <mergeCell ref="G222:J222"/>
    <mergeCell ref="G223:J223"/>
    <mergeCell ref="G224:J224"/>
    <mergeCell ref="G225:J225"/>
    <mergeCell ref="G226:J226"/>
    <mergeCell ref="G227:J227"/>
    <mergeCell ref="G228:J228"/>
    <mergeCell ref="G263:J263"/>
    <mergeCell ref="G264:J264"/>
    <mergeCell ref="G241:J241"/>
    <mergeCell ref="G242:J242"/>
    <mergeCell ref="G243:J243"/>
    <mergeCell ref="G244:J244"/>
    <mergeCell ref="G245:J245"/>
    <mergeCell ref="G246:J246"/>
    <mergeCell ref="G247:J247"/>
    <mergeCell ref="G248:J248"/>
    <mergeCell ref="G249:J249"/>
    <mergeCell ref="G233:J233"/>
    <mergeCell ref="G234:J234"/>
    <mergeCell ref="G235:J235"/>
    <mergeCell ref="G236:J236"/>
    <mergeCell ref="G237:J237"/>
    <mergeCell ref="G238:J238"/>
    <mergeCell ref="G239:J239"/>
    <mergeCell ref="G240:J240"/>
    <mergeCell ref="G262:J262"/>
    <mergeCell ref="G250:J250"/>
    <mergeCell ref="G251:J251"/>
    <mergeCell ref="G252:J252"/>
    <mergeCell ref="G253:J253"/>
    <mergeCell ref="G229:J229"/>
    <mergeCell ref="G230:J230"/>
    <mergeCell ref="G231:J231"/>
    <mergeCell ref="G254:J254"/>
    <mergeCell ref="G232:J232"/>
    <mergeCell ref="G277:J277"/>
    <mergeCell ref="G272:J272"/>
    <mergeCell ref="G267:J267"/>
    <mergeCell ref="G255:J255"/>
    <mergeCell ref="G256:J256"/>
    <mergeCell ref="G257:J257"/>
    <mergeCell ref="G258:J258"/>
    <mergeCell ref="G259:J259"/>
    <mergeCell ref="G260:J260"/>
    <mergeCell ref="G261:J261"/>
    <mergeCell ref="G271:J271"/>
    <mergeCell ref="G268:J268"/>
    <mergeCell ref="G269:J269"/>
    <mergeCell ref="G270:J270"/>
    <mergeCell ref="G265:J265"/>
    <mergeCell ref="G266:J266"/>
    <mergeCell ref="G276:J276"/>
    <mergeCell ref="G274:J274"/>
    <mergeCell ref="G275:J275"/>
    <mergeCell ref="G273:J273"/>
  </mergeCells>
  <conditionalFormatting sqref="B265:B266">
    <cfRule type="duplicateValues" dxfId="670" priority="2540" stopIfTrue="1"/>
    <cfRule type="duplicateValues" dxfId="669" priority="2541" stopIfTrue="1"/>
    <cfRule type="duplicateValues" dxfId="668" priority="2542" stopIfTrue="1"/>
    <cfRule type="expression" dxfId="667" priority="2543" stopIfTrue="1">
      <formula>AND(COUNTIF($D$26:$D$65565, B265)+COUNTIF(#REF!, B265)+COUNTIF(#REF!, B265)+COUNTIF(#REF!, B265)+COUNTIF(#REF!, B265)+COUNTIF($D$25:$D$25, B265)+COUNTIF(#REF!, B265)+COUNTIF(#REF!, B265)+COUNTIF(#REF!, B265)+COUNTIF($D$1:$D$22, B265)+COUNTIF(#REF!, B265)+COUNTIF(#REF!, B265)+COUNTIF(#REF!, B265)+COUNTIF(#REF!, B265)&gt;1,NOT(ISBLANK(B265)))</formula>
    </cfRule>
    <cfRule type="expression" dxfId="666" priority="2544" stopIfTrue="1">
      <formula>AND(COUNTIF($D$26:$D$65565, B265)+COUNTIF(#REF!, B265)+COUNTIF(#REF!, B265)+COUNTIF(#REF!, B265)+COUNTIF($D$25:$D$25, B265)+COUNTIF(#REF!, B265)+COUNTIF(#REF!, B265)+COUNTIF(#REF!, B265)+COUNTIF($D$1:$D$22, B265)+COUNTIF(#REF!, B265)+COUNTIF(#REF!, B265)+COUNTIF(#REF!, B265)+COUNTIF(#REF!, B265)&gt;1,NOT(ISBLANK(B265)))</formula>
    </cfRule>
    <cfRule type="expression" dxfId="665" priority="2545" stopIfTrue="1">
      <formula>AND(COUNTIF($D$26:$D$65565, B265)+COUNTIF($D$1:$D$22, B265)+COUNTIF(#REF!, B265)+COUNTIF(#REF!, B265)+COUNTIF($D$25:$D$25, B265)+COUNTIF(#REF!, B265)+COUNTIF(#REF!, B265)&gt;1,NOT(ISBLANK(B265)))</formula>
    </cfRule>
    <cfRule type="duplicateValues" dxfId="664" priority="2546" stopIfTrue="1"/>
    <cfRule type="duplicateValues" dxfId="663" priority="2547" stopIfTrue="1"/>
    <cfRule type="duplicateValues" dxfId="662" priority="2548" stopIfTrue="1"/>
    <cfRule type="expression" dxfId="661" priority="2549" stopIfTrue="1">
      <formula>AND(COUNTIF($D$10:$D$22, B265)+COUNTIF(#REF!, B265)&gt;1,NOT(ISBLANK(B265)))</formula>
    </cfRule>
    <cfRule type="expression" dxfId="660" priority="2550" stopIfTrue="1">
      <formula>AND(COUNTIF($D$26:$D$65568, B265)+COUNTIF(#REF!, B265)+COUNTIF(#REF!, B265)+COUNTIF(#REF!, B265)+COUNTIF(#REF!, B265)+COUNTIF($D$25:$D$25, B265)+COUNTIF(#REF!, B265)+COUNTIF(#REF!, B265)+COUNTIF(#REF!, B265)+COUNTIF($D$1:$D$22, B265)+COUNTIF(#REF!, B265)+COUNTIF(#REF!, B265)+COUNTIF(#REF!, B265)+COUNTIF(#REF!, B265)&gt;1,NOT(ISBLANK(B265)))</formula>
    </cfRule>
    <cfRule type="expression" dxfId="659" priority="2551" stopIfTrue="1">
      <formula>AND(COUNTIF($D$26:$D$65568, B265)+COUNTIF(#REF!, B265)+COUNTIF(#REF!, B265)+COUNTIF(#REF!, B265)+COUNTIF($D$25:$D$25, B265)+COUNTIF(#REF!, B265)+COUNTIF(#REF!, B265)+COUNTIF(#REF!, B265)+COUNTIF($D$1:$D$22, B265)+COUNTIF(#REF!, B265)+COUNTIF(#REF!, B265)+COUNTIF(#REF!, B265)+COUNTIF(#REF!, B265)&gt;1,NOT(ISBLANK(B265)))</formula>
    </cfRule>
    <cfRule type="expression" dxfId="658" priority="2552" stopIfTrue="1">
      <formula>AND(COUNTIF($D$26:$D$65568, B265)+COUNTIF($D$1:$D$22, B265)+COUNTIF(#REF!, B265)+COUNTIF(#REF!, B265)+COUNTIF($D$25:$D$25, B265)+COUNTIF(#REF!, B265)+COUNTIF(#REF!, B265)&gt;1,NOT(ISBLANK(B265)))</formula>
    </cfRule>
  </conditionalFormatting>
  <conditionalFormatting sqref="B271">
    <cfRule type="duplicateValues" dxfId="657" priority="1" stopIfTrue="1"/>
    <cfRule type="duplicateValues" dxfId="656" priority="2" stopIfTrue="1"/>
    <cfRule type="duplicateValues" dxfId="655" priority="3" stopIfTrue="1"/>
    <cfRule type="duplicateValues" dxfId="654" priority="4" stopIfTrue="1"/>
    <cfRule type="duplicateValues" dxfId="653" priority="5" stopIfTrue="1"/>
    <cfRule type="duplicateValues" dxfId="652" priority="6" stopIfTrue="1"/>
    <cfRule type="expression" dxfId="651" priority="7" stopIfTrue="1">
      <formula>AND(COUNTIF($D$26:$D$65668, B271)+COUNTIF(#REF!, B271)+COUNTIF(#REF!, B271)+COUNTIF(#REF!, B271)+COUNTIF(#REF!, B271)+COUNTIF($D$25:$D$25, B271)+COUNTIF(#REF!, B271)+COUNTIF(#REF!, B271)+COUNTIF(#REF!, B271)+COUNTIF($D$1:$D$22, B271)+COUNTIF(#REF!, B271)+COUNTIF(#REF!, B271)+COUNTIF(#REF!, B271)+COUNTIF(#REF!, B271)&gt;1,NOT(ISBLANK(B271)))</formula>
    </cfRule>
    <cfRule type="expression" dxfId="650" priority="8" stopIfTrue="1">
      <formula>AND(COUNTIF($D$26:$D$65668, B271)+COUNTIF(#REF!, B271)+COUNTIF(#REF!, B271)+COUNTIF(#REF!, B271)+COUNTIF($D$25:$D$25, B271)+COUNTIF(#REF!, B271)+COUNTIF(#REF!, B271)+COUNTIF(#REF!, B271)+COUNTIF($D$1:$D$22, B271)+COUNTIF(#REF!, B271)+COUNTIF(#REF!, B271)+COUNTIF(#REF!, B271)+COUNTIF(#REF!, B271)&gt;1,NOT(ISBLANK(B271)))</formula>
    </cfRule>
    <cfRule type="expression" dxfId="649" priority="9" stopIfTrue="1">
      <formula>AND(COUNTIF($D$26:$D$65668, B271)+COUNTIF($D$1:$D$22, B271)+COUNTIF(#REF!, B271)+COUNTIF(#REF!, B271)+COUNTIF($D$25:$D$25, B271)+COUNTIF(#REF!, B271)+COUNTIF(#REF!, B271)&gt;1,NOT(ISBLANK(B271)))</formula>
    </cfRule>
    <cfRule type="expression" dxfId="648" priority="10" stopIfTrue="1">
      <formula>AND(COUNTIF($D$10:$D$22, B271)+COUNTIF(#REF!, B271)&gt;1,NOT(ISBLANK(B271)))</formula>
    </cfRule>
    <cfRule type="expression" dxfId="647" priority="11" stopIfTrue="1">
      <formula>AND(COUNTIF($D$26:$D$65671, B271)+COUNTIF(#REF!, B271)+COUNTIF(#REF!, B271)+COUNTIF(#REF!, B271)+COUNTIF(#REF!, B271)+COUNTIF($D$25:$D$25, B271)+COUNTIF(#REF!, B271)+COUNTIF(#REF!, B271)+COUNTIF(#REF!, B271)+COUNTIF($D$1:$D$22, B271)+COUNTIF(#REF!, B271)+COUNTIF(#REF!, B271)+COUNTIF(#REF!, B271)+COUNTIF(#REF!, B271)&gt;1,NOT(ISBLANK(B271)))</formula>
    </cfRule>
    <cfRule type="expression" dxfId="646" priority="12" stopIfTrue="1">
      <formula>AND(COUNTIF($D$26:$D$65671, B271)+COUNTIF(#REF!, B271)+COUNTIF(#REF!, B271)+COUNTIF(#REF!, B271)+COUNTIF($D$25:$D$25, B271)+COUNTIF(#REF!, B271)+COUNTIF(#REF!, B271)+COUNTIF(#REF!, B271)+COUNTIF($D$1:$D$22, B271)+COUNTIF(#REF!, B271)+COUNTIF(#REF!, B271)+COUNTIF(#REF!, B271)+COUNTIF(#REF!, B271)&gt;1,NOT(ISBLANK(B271)))</formula>
    </cfRule>
    <cfRule type="expression" dxfId="645" priority="13" stopIfTrue="1">
      <formula>AND(COUNTIF($D$26:$D$65671, B271)+COUNTIF($D$1:$D$22, B271)+COUNTIF(#REF!, B271)+COUNTIF(#REF!, B271)+COUNTIF($D$25:$D$25, B271)+COUNTIF(#REF!, B271)+COUNTIF(#REF!, B271)&gt;1,NOT(ISBLANK(B271)))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0E592-CA29-4EDB-B689-E1B53FB8DF0E}">
  <dimension ref="A1:XEH82"/>
  <sheetViews>
    <sheetView tabSelected="1" topLeftCell="A13" workbookViewId="0">
      <selection activeCell="P33" sqref="P33"/>
    </sheetView>
  </sheetViews>
  <sheetFormatPr defaultRowHeight="14.5"/>
  <cols>
    <col min="1" max="1" width="6.54296875" customWidth="1"/>
    <col min="2" max="2" width="15.1796875" customWidth="1"/>
    <col min="3" max="3" width="11.81640625" bestFit="1" customWidth="1"/>
    <col min="4" max="4" width="14.7265625" bestFit="1" customWidth="1"/>
    <col min="5" max="6" width="13.453125" bestFit="1" customWidth="1"/>
    <col min="7" max="7" width="12.453125" customWidth="1"/>
    <col min="8" max="8" width="14.1796875" style="496" bestFit="1" customWidth="1"/>
    <col min="9" max="9" width="15.1796875" style="496" bestFit="1" customWidth="1"/>
    <col min="10" max="10" width="13.453125" bestFit="1" customWidth="1"/>
    <col min="11" max="11" width="14.1796875" bestFit="1" customWidth="1"/>
    <col min="12" max="12" width="15.1796875" style="496" bestFit="1" customWidth="1"/>
    <col min="13" max="13" width="12.81640625" bestFit="1" customWidth="1"/>
    <col min="14" max="14" width="11.54296875" bestFit="1" customWidth="1"/>
    <col min="15" max="15" width="31.7265625" style="2" bestFit="1" customWidth="1"/>
    <col min="16" max="16" width="20.26953125" bestFit="1" customWidth="1"/>
    <col min="17" max="17" width="23.453125" bestFit="1" customWidth="1"/>
    <col min="20" max="20" width="12.54296875" bestFit="1" customWidth="1"/>
  </cols>
  <sheetData>
    <row r="1" spans="1:20" ht="16" thickBot="1">
      <c r="A1" s="470"/>
      <c r="B1" s="471"/>
      <c r="C1" s="470"/>
      <c r="D1" s="472" t="s">
        <v>1055</v>
      </c>
      <c r="E1" s="473">
        <v>2</v>
      </c>
      <c r="F1" s="470"/>
      <c r="G1" s="470"/>
      <c r="H1" s="470"/>
      <c r="I1" s="470"/>
      <c r="J1" s="470"/>
      <c r="K1" s="470"/>
      <c r="L1" s="470"/>
      <c r="M1" s="139"/>
      <c r="T1" t="s">
        <v>1056</v>
      </c>
    </row>
    <row r="2" spans="1:20" ht="16" thickBot="1">
      <c r="A2" s="471"/>
      <c r="B2" s="471"/>
      <c r="C2" s="474"/>
      <c r="D2" s="471"/>
      <c r="E2" s="474"/>
      <c r="F2" s="471"/>
      <c r="G2" s="474"/>
      <c r="H2" s="475"/>
      <c r="I2" s="475"/>
      <c r="J2" s="474"/>
      <c r="K2" s="471"/>
      <c r="L2" s="475"/>
      <c r="M2" s="474"/>
      <c r="T2" s="476">
        <v>905812</v>
      </c>
    </row>
    <row r="3" spans="1:20" ht="29.5" thickBot="1">
      <c r="A3" s="477" t="s">
        <v>1057</v>
      </c>
      <c r="B3" s="478" t="s">
        <v>1058</v>
      </c>
      <c r="C3" s="478" t="s">
        <v>1059</v>
      </c>
      <c r="D3" s="478" t="s">
        <v>1060</v>
      </c>
      <c r="E3" s="478" t="s">
        <v>1061</v>
      </c>
      <c r="F3" s="479" t="s">
        <v>1062</v>
      </c>
      <c r="G3" s="480" t="s">
        <v>1063</v>
      </c>
      <c r="H3" s="479" t="s">
        <v>1064</v>
      </c>
      <c r="I3" s="479" t="s">
        <v>1065</v>
      </c>
      <c r="J3" s="478" t="s">
        <v>1066</v>
      </c>
      <c r="K3" s="479" t="s">
        <v>1067</v>
      </c>
      <c r="L3" s="479" t="s">
        <v>1068</v>
      </c>
      <c r="M3" s="478" t="s">
        <v>198</v>
      </c>
      <c r="N3" s="478" t="s">
        <v>71</v>
      </c>
      <c r="O3" s="478" t="s">
        <v>192</v>
      </c>
      <c r="P3" s="478" t="s">
        <v>1069</v>
      </c>
      <c r="Q3" s="481" t="s">
        <v>73</v>
      </c>
      <c r="T3" s="482" t="s">
        <v>1070</v>
      </c>
    </row>
    <row r="4" spans="1:20">
      <c r="A4" s="10">
        <v>1</v>
      </c>
      <c r="B4" s="483" t="s">
        <v>1071</v>
      </c>
      <c r="C4" s="10" t="s">
        <v>1072</v>
      </c>
      <c r="D4" s="466" t="s">
        <v>1073</v>
      </c>
      <c r="E4" s="279">
        <v>4818.75</v>
      </c>
      <c r="F4" s="10" t="s">
        <v>1074</v>
      </c>
      <c r="G4" s="484" t="s">
        <v>1075</v>
      </c>
      <c r="H4" s="191">
        <v>45780</v>
      </c>
      <c r="I4" s="191">
        <v>45789</v>
      </c>
      <c r="J4" s="485">
        <f t="shared" ref="J4:J27" si="0">E4</f>
        <v>4818.75</v>
      </c>
      <c r="K4" s="191">
        <v>45792</v>
      </c>
      <c r="L4" s="191">
        <v>45795</v>
      </c>
      <c r="M4" s="486">
        <f t="shared" ref="M4:M25" si="1">E4</f>
        <v>4818.75</v>
      </c>
      <c r="N4" s="487" t="s">
        <v>55</v>
      </c>
      <c r="O4" s="10" t="s">
        <v>1076</v>
      </c>
      <c r="P4" s="10"/>
      <c r="Q4" s="10"/>
      <c r="T4" s="308">
        <f>(M4/1000)*T2</f>
        <v>4364881.5749999993</v>
      </c>
    </row>
    <row r="5" spans="1:20">
      <c r="A5" s="10">
        <f t="shared" ref="A5:A68" si="2">A4+1</f>
        <v>2</v>
      </c>
      <c r="B5" s="483" t="s">
        <v>1071</v>
      </c>
      <c r="C5" s="10" t="s">
        <v>1077</v>
      </c>
      <c r="D5" s="466" t="s">
        <v>1072</v>
      </c>
      <c r="E5" s="279">
        <v>1234.28</v>
      </c>
      <c r="F5" s="10" t="s">
        <v>1074</v>
      </c>
      <c r="G5" s="484" t="s">
        <v>1075</v>
      </c>
      <c r="H5" s="191">
        <v>45791</v>
      </c>
      <c r="I5" s="191">
        <v>45794</v>
      </c>
      <c r="J5" s="485">
        <f t="shared" si="0"/>
        <v>1234.28</v>
      </c>
      <c r="K5" s="191">
        <v>45796</v>
      </c>
      <c r="L5" s="191">
        <v>45798</v>
      </c>
      <c r="M5" s="486">
        <f t="shared" si="1"/>
        <v>1234.28</v>
      </c>
      <c r="N5" s="487" t="s">
        <v>55</v>
      </c>
      <c r="O5" s="10" t="s">
        <v>1076</v>
      </c>
      <c r="P5" s="10"/>
      <c r="Q5" s="10"/>
      <c r="T5" s="308">
        <f>(M5/1000)*T2</f>
        <v>1118025.63536</v>
      </c>
    </row>
    <row r="6" spans="1:20">
      <c r="A6" s="10">
        <f t="shared" si="2"/>
        <v>3</v>
      </c>
      <c r="B6" s="483" t="s">
        <v>1071</v>
      </c>
      <c r="C6" s="10" t="s">
        <v>1078</v>
      </c>
      <c r="D6" s="466" t="s">
        <v>1079</v>
      </c>
      <c r="E6" s="279">
        <v>3957.05</v>
      </c>
      <c r="F6" s="10" t="s">
        <v>1074</v>
      </c>
      <c r="G6" s="484" t="s">
        <v>1075</v>
      </c>
      <c r="H6" s="191">
        <v>45795</v>
      </c>
      <c r="I6" s="191">
        <v>45802</v>
      </c>
      <c r="J6" s="485">
        <f t="shared" si="0"/>
        <v>3957.05</v>
      </c>
      <c r="K6" s="191">
        <v>45835</v>
      </c>
      <c r="L6" s="191">
        <v>45838</v>
      </c>
      <c r="M6" s="486">
        <f t="shared" si="1"/>
        <v>3957.05</v>
      </c>
      <c r="N6" s="487" t="s">
        <v>55</v>
      </c>
      <c r="O6" s="10" t="s">
        <v>1080</v>
      </c>
      <c r="P6" s="10"/>
      <c r="Q6" s="10"/>
      <c r="T6" s="308">
        <f>(M6/1000)*T2</f>
        <v>3584343.3746000002</v>
      </c>
    </row>
    <row r="7" spans="1:20">
      <c r="A7" s="10">
        <f t="shared" si="2"/>
        <v>4</v>
      </c>
      <c r="B7" s="483" t="s">
        <v>1071</v>
      </c>
      <c r="C7" s="10" t="s">
        <v>1073</v>
      </c>
      <c r="D7" s="466" t="s">
        <v>754</v>
      </c>
      <c r="E7" s="279">
        <v>2016.72</v>
      </c>
      <c r="F7" s="10" t="s">
        <v>1074</v>
      </c>
      <c r="G7" s="484" t="s">
        <v>1075</v>
      </c>
      <c r="H7" s="191">
        <v>45801</v>
      </c>
      <c r="I7" s="191">
        <v>45806</v>
      </c>
      <c r="J7" s="485">
        <f t="shared" si="0"/>
        <v>2016.72</v>
      </c>
      <c r="K7" s="191">
        <v>45807</v>
      </c>
      <c r="L7" s="191">
        <v>45808</v>
      </c>
      <c r="M7" s="486">
        <f t="shared" si="1"/>
        <v>2016.72</v>
      </c>
      <c r="N7" s="487" t="s">
        <v>55</v>
      </c>
      <c r="O7" s="10" t="s">
        <v>1076</v>
      </c>
      <c r="P7" s="10"/>
      <c r="Q7" s="10"/>
      <c r="T7" s="308">
        <f>(M7/1000)*T2</f>
        <v>1826769.17664</v>
      </c>
    </row>
    <row r="8" spans="1:20">
      <c r="A8" s="10">
        <f t="shared" si="2"/>
        <v>5</v>
      </c>
      <c r="B8" s="483" t="s">
        <v>1071</v>
      </c>
      <c r="C8" s="10" t="s">
        <v>1081</v>
      </c>
      <c r="D8" s="466" t="s">
        <v>1082</v>
      </c>
      <c r="E8" s="279">
        <v>4283.67</v>
      </c>
      <c r="F8" s="10" t="s">
        <v>1074</v>
      </c>
      <c r="G8" s="484" t="s">
        <v>1075</v>
      </c>
      <c r="H8" s="191">
        <v>45810</v>
      </c>
      <c r="I8" s="191">
        <v>45817</v>
      </c>
      <c r="J8" s="485">
        <f t="shared" si="0"/>
        <v>4283.67</v>
      </c>
      <c r="K8" s="191">
        <v>45830</v>
      </c>
      <c r="L8" s="191">
        <v>45834</v>
      </c>
      <c r="M8" s="486">
        <f t="shared" si="1"/>
        <v>4283.67</v>
      </c>
      <c r="N8" s="487" t="s">
        <v>55</v>
      </c>
      <c r="O8" s="10" t="s">
        <v>1080</v>
      </c>
      <c r="P8" s="10"/>
      <c r="Q8" s="10"/>
      <c r="T8" s="308">
        <f>(M8/1000)*T2</f>
        <v>3880199.6900399998</v>
      </c>
    </row>
    <row r="9" spans="1:20">
      <c r="A9" s="10">
        <f t="shared" si="2"/>
        <v>6</v>
      </c>
      <c r="B9" s="483" t="s">
        <v>1071</v>
      </c>
      <c r="C9" s="10" t="s">
        <v>754</v>
      </c>
      <c r="D9" s="466" t="s">
        <v>755</v>
      </c>
      <c r="E9" s="279">
        <v>223.61</v>
      </c>
      <c r="F9" s="10" t="s">
        <v>1083</v>
      </c>
      <c r="G9" s="484" t="s">
        <v>1075</v>
      </c>
      <c r="H9" s="191">
        <v>45825</v>
      </c>
      <c r="I9" s="191">
        <v>45827</v>
      </c>
      <c r="J9" s="485">
        <f t="shared" si="0"/>
        <v>223.61</v>
      </c>
      <c r="K9" s="191">
        <v>45860</v>
      </c>
      <c r="L9" s="191">
        <v>45862</v>
      </c>
      <c r="M9" s="486">
        <f t="shared" si="1"/>
        <v>223.61</v>
      </c>
      <c r="N9" s="487" t="s">
        <v>55</v>
      </c>
      <c r="O9" s="10" t="s">
        <v>1076</v>
      </c>
      <c r="P9" s="10"/>
      <c r="Q9" s="10"/>
      <c r="T9" s="308">
        <f>(M9/1000)*T2</f>
        <v>202548.62132000001</v>
      </c>
    </row>
    <row r="10" spans="1:20">
      <c r="A10" s="10">
        <f t="shared" si="2"/>
        <v>7</v>
      </c>
      <c r="B10" s="483" t="s">
        <v>1071</v>
      </c>
      <c r="C10" s="10" t="s">
        <v>1082</v>
      </c>
      <c r="D10" s="466" t="s">
        <v>1084</v>
      </c>
      <c r="E10" s="279">
        <v>407.17</v>
      </c>
      <c r="F10" s="10" t="s">
        <v>1083</v>
      </c>
      <c r="G10" s="484" t="s">
        <v>1075</v>
      </c>
      <c r="H10" s="191">
        <v>45826</v>
      </c>
      <c r="I10" s="191">
        <v>45827</v>
      </c>
      <c r="J10" s="485">
        <f t="shared" si="0"/>
        <v>407.17</v>
      </c>
      <c r="K10" s="191">
        <v>45863</v>
      </c>
      <c r="L10" s="191">
        <v>45867</v>
      </c>
      <c r="M10" s="486">
        <f t="shared" si="1"/>
        <v>407.17</v>
      </c>
      <c r="N10" s="487" t="s">
        <v>55</v>
      </c>
      <c r="O10" s="10" t="s">
        <v>1080</v>
      </c>
      <c r="P10" s="10"/>
      <c r="Q10" s="10"/>
      <c r="T10" s="308">
        <f>(M10/1000)*T2</f>
        <v>368819.47204000002</v>
      </c>
    </row>
    <row r="11" spans="1:20">
      <c r="A11" s="10">
        <f t="shared" si="2"/>
        <v>8</v>
      </c>
      <c r="B11" s="483" t="s">
        <v>1071</v>
      </c>
      <c r="C11" s="10" t="s">
        <v>755</v>
      </c>
      <c r="D11" s="466" t="s">
        <v>1085</v>
      </c>
      <c r="E11" s="279">
        <v>2226.2199999999998</v>
      </c>
      <c r="F11" s="10" t="s">
        <v>1074</v>
      </c>
      <c r="G11" s="484" t="s">
        <v>1075</v>
      </c>
      <c r="H11" s="191">
        <v>45853</v>
      </c>
      <c r="I11" s="191">
        <v>45859</v>
      </c>
      <c r="J11" s="485">
        <f t="shared" si="0"/>
        <v>2226.2199999999998</v>
      </c>
      <c r="K11" s="191">
        <v>45864</v>
      </c>
      <c r="L11" s="191">
        <v>45866</v>
      </c>
      <c r="M11" s="486">
        <f t="shared" si="1"/>
        <v>2226.2199999999998</v>
      </c>
      <c r="N11" s="487" t="s">
        <v>55</v>
      </c>
      <c r="O11" s="10" t="s">
        <v>1076</v>
      </c>
      <c r="P11" s="10"/>
      <c r="Q11" s="10"/>
      <c r="T11" s="308">
        <f>(M11/1000)*T2</f>
        <v>2016536.7906399998</v>
      </c>
    </row>
    <row r="12" spans="1:20">
      <c r="A12" s="10">
        <f t="shared" si="2"/>
        <v>9</v>
      </c>
      <c r="B12" s="483" t="s">
        <v>1071</v>
      </c>
      <c r="C12" s="10" t="s">
        <v>1084</v>
      </c>
      <c r="D12" s="10" t="s">
        <v>1086</v>
      </c>
      <c r="E12" s="279">
        <v>4781.5</v>
      </c>
      <c r="F12" s="10" t="s">
        <v>1074</v>
      </c>
      <c r="G12" s="484" t="s">
        <v>1075</v>
      </c>
      <c r="H12" s="191">
        <v>45855</v>
      </c>
      <c r="I12" s="191">
        <v>45859</v>
      </c>
      <c r="J12" s="485">
        <f t="shared" si="0"/>
        <v>4781.5</v>
      </c>
      <c r="K12" s="191">
        <v>45863</v>
      </c>
      <c r="L12" s="191">
        <v>45867</v>
      </c>
      <c r="M12" s="486">
        <f t="shared" si="1"/>
        <v>4781.5</v>
      </c>
      <c r="N12" s="487" t="s">
        <v>55</v>
      </c>
      <c r="O12" s="10" t="s">
        <v>1080</v>
      </c>
      <c r="P12" s="10"/>
      <c r="Q12" s="10"/>
      <c r="T12" s="308">
        <f>(M12/1000)*T2</f>
        <v>4331140.0780000007</v>
      </c>
    </row>
    <row r="13" spans="1:20">
      <c r="A13" s="10">
        <f t="shared" si="2"/>
        <v>10</v>
      </c>
      <c r="B13" s="483" t="s">
        <v>1071</v>
      </c>
      <c r="C13" s="10" t="s">
        <v>1087</v>
      </c>
      <c r="D13" s="10" t="s">
        <v>1077</v>
      </c>
      <c r="E13" s="279">
        <v>723.57</v>
      </c>
      <c r="F13" s="10" t="s">
        <v>1074</v>
      </c>
      <c r="G13" s="484" t="s">
        <v>1075</v>
      </c>
      <c r="H13" s="191">
        <v>45874</v>
      </c>
      <c r="I13" s="191">
        <v>45877</v>
      </c>
      <c r="J13" s="485">
        <f t="shared" si="0"/>
        <v>723.57</v>
      </c>
      <c r="K13" s="191">
        <v>45895</v>
      </c>
      <c r="L13" s="191">
        <v>45896</v>
      </c>
      <c r="M13" s="486">
        <f t="shared" si="1"/>
        <v>723.57</v>
      </c>
      <c r="N13" s="487" t="s">
        <v>55</v>
      </c>
      <c r="O13" s="10" t="s">
        <v>1076</v>
      </c>
      <c r="P13" s="10"/>
      <c r="Q13" s="10"/>
      <c r="T13" s="308">
        <f>(M13/1000)*T2</f>
        <v>655418.38884000003</v>
      </c>
    </row>
    <row r="14" spans="1:20">
      <c r="A14" s="10">
        <f t="shared" si="2"/>
        <v>11</v>
      </c>
      <c r="B14" s="483" t="s">
        <v>1071</v>
      </c>
      <c r="C14" s="10" t="s">
        <v>1085</v>
      </c>
      <c r="D14" s="10" t="s">
        <v>1088</v>
      </c>
      <c r="E14" s="279">
        <v>283.43</v>
      </c>
      <c r="F14" s="10" t="s">
        <v>1083</v>
      </c>
      <c r="G14" s="484" t="s">
        <v>1075</v>
      </c>
      <c r="H14" s="191">
        <v>45880</v>
      </c>
      <c r="I14" s="191">
        <v>45880</v>
      </c>
      <c r="J14" s="485">
        <f t="shared" si="0"/>
        <v>283.43</v>
      </c>
      <c r="K14" s="191">
        <v>45880</v>
      </c>
      <c r="L14" s="191">
        <v>45881</v>
      </c>
      <c r="M14" s="486">
        <f t="shared" si="1"/>
        <v>283.43</v>
      </c>
      <c r="N14" s="487" t="s">
        <v>55</v>
      </c>
      <c r="O14" s="10" t="s">
        <v>1076</v>
      </c>
      <c r="P14" s="10"/>
      <c r="Q14" s="10"/>
      <c r="T14" s="308">
        <f>(M14/1000)*T2</f>
        <v>256734.29516000001</v>
      </c>
    </row>
    <row r="15" spans="1:20">
      <c r="A15" s="10">
        <f t="shared" si="2"/>
        <v>12</v>
      </c>
      <c r="B15" s="483" t="s">
        <v>1071</v>
      </c>
      <c r="C15" s="10" t="s">
        <v>1086</v>
      </c>
      <c r="D15" s="10" t="s">
        <v>1078</v>
      </c>
      <c r="E15" s="279">
        <v>3193.23</v>
      </c>
      <c r="F15" s="10" t="s">
        <v>1074</v>
      </c>
      <c r="G15" s="484" t="s">
        <v>1075</v>
      </c>
      <c r="H15" s="191">
        <v>45880</v>
      </c>
      <c r="I15" s="191">
        <v>45889</v>
      </c>
      <c r="J15" s="485">
        <f t="shared" si="0"/>
        <v>3193.23</v>
      </c>
      <c r="K15" s="191">
        <v>45890</v>
      </c>
      <c r="L15" s="191">
        <v>45893</v>
      </c>
      <c r="M15" s="486">
        <f t="shared" si="1"/>
        <v>3193.23</v>
      </c>
      <c r="N15" s="487" t="s">
        <v>55</v>
      </c>
      <c r="O15" s="10" t="s">
        <v>1080</v>
      </c>
      <c r="P15" s="10"/>
      <c r="Q15" s="10"/>
      <c r="T15" s="308">
        <f>(M15/1000)*T2</f>
        <v>2892466.0527600003</v>
      </c>
    </row>
    <row r="16" spans="1:20">
      <c r="A16" s="10">
        <f t="shared" si="2"/>
        <v>13</v>
      </c>
      <c r="B16" s="483" t="s">
        <v>1071</v>
      </c>
      <c r="C16" s="10" t="s">
        <v>1089</v>
      </c>
      <c r="D16" s="10" t="s">
        <v>1087</v>
      </c>
      <c r="E16" s="279">
        <v>4415.7449999999999</v>
      </c>
      <c r="F16" s="10" t="s">
        <v>1074</v>
      </c>
      <c r="G16" s="484" t="s">
        <v>1075</v>
      </c>
      <c r="H16" s="191">
        <v>45891</v>
      </c>
      <c r="I16" s="191">
        <v>45894</v>
      </c>
      <c r="J16" s="485">
        <f t="shared" si="0"/>
        <v>4415.7449999999999</v>
      </c>
      <c r="K16" s="191">
        <v>45896</v>
      </c>
      <c r="L16" s="191">
        <v>45900</v>
      </c>
      <c r="M16" s="486">
        <f t="shared" si="1"/>
        <v>4415.7449999999999</v>
      </c>
      <c r="N16" s="487" t="s">
        <v>55</v>
      </c>
      <c r="O16" s="10" t="s">
        <v>1076</v>
      </c>
      <c r="P16" s="10"/>
      <c r="Q16" s="10"/>
      <c r="T16" s="308">
        <f>(M16/1000)*T2</f>
        <v>3999834.8099400001</v>
      </c>
    </row>
    <row r="17" spans="1:20">
      <c r="A17" s="10">
        <f t="shared" si="2"/>
        <v>14</v>
      </c>
      <c r="B17" s="483" t="s">
        <v>1071</v>
      </c>
      <c r="C17" s="10" t="s">
        <v>1090</v>
      </c>
      <c r="D17" s="10" t="s">
        <v>1091</v>
      </c>
      <c r="E17" s="279">
        <v>3611</v>
      </c>
      <c r="F17" s="10" t="s">
        <v>1074</v>
      </c>
      <c r="G17" s="484" t="s">
        <v>1075</v>
      </c>
      <c r="H17" s="191">
        <v>45905</v>
      </c>
      <c r="I17" s="191">
        <v>45910</v>
      </c>
      <c r="J17" s="485">
        <f t="shared" si="0"/>
        <v>3611</v>
      </c>
      <c r="K17" s="191">
        <v>45928</v>
      </c>
      <c r="L17" s="191">
        <v>45930</v>
      </c>
      <c r="M17" s="486">
        <f t="shared" si="1"/>
        <v>3611</v>
      </c>
      <c r="N17" s="487" t="s">
        <v>55</v>
      </c>
      <c r="O17" s="10" t="s">
        <v>1076</v>
      </c>
      <c r="P17" s="10"/>
      <c r="Q17" s="10"/>
      <c r="T17" s="308">
        <f>(M17/1000)*T2</f>
        <v>3270887.1320000002</v>
      </c>
    </row>
    <row r="18" spans="1:20">
      <c r="A18" s="10">
        <f t="shared" si="2"/>
        <v>15</v>
      </c>
      <c r="B18" s="483" t="s">
        <v>1071</v>
      </c>
      <c r="C18" s="10" t="s">
        <v>1079</v>
      </c>
      <c r="D18" s="10" t="s">
        <v>1092</v>
      </c>
      <c r="E18" s="279">
        <v>4947.3100000000004</v>
      </c>
      <c r="F18" s="10" t="s">
        <v>1074</v>
      </c>
      <c r="G18" s="484" t="s">
        <v>1075</v>
      </c>
      <c r="H18" s="191">
        <v>45905</v>
      </c>
      <c r="I18" s="191">
        <v>45911</v>
      </c>
      <c r="J18" s="485">
        <f t="shared" si="0"/>
        <v>4947.3100000000004</v>
      </c>
      <c r="K18" s="191"/>
      <c r="L18" s="191"/>
      <c r="M18" s="486"/>
      <c r="N18" s="487"/>
      <c r="O18" s="10" t="s">
        <v>1080</v>
      </c>
      <c r="P18" s="10"/>
      <c r="Q18" s="488" t="s">
        <v>1093</v>
      </c>
      <c r="T18" s="308">
        <f>(M18/1000)*T2</f>
        <v>0</v>
      </c>
    </row>
    <row r="19" spans="1:20">
      <c r="A19" s="10">
        <f t="shared" si="2"/>
        <v>16</v>
      </c>
      <c r="B19" s="483" t="s">
        <v>1071</v>
      </c>
      <c r="C19" s="10" t="s">
        <v>1094</v>
      </c>
      <c r="D19" s="10" t="s">
        <v>1089</v>
      </c>
      <c r="E19" s="279">
        <v>280</v>
      </c>
      <c r="F19" s="10" t="s">
        <v>1083</v>
      </c>
      <c r="G19" s="484" t="s">
        <v>1075</v>
      </c>
      <c r="H19" s="191">
        <v>45915</v>
      </c>
      <c r="I19" s="191">
        <v>45915</v>
      </c>
      <c r="J19" s="485">
        <f t="shared" si="0"/>
        <v>280</v>
      </c>
      <c r="K19" s="191">
        <v>45916</v>
      </c>
      <c r="L19" s="191">
        <v>45916</v>
      </c>
      <c r="M19" s="486">
        <f t="shared" si="1"/>
        <v>280</v>
      </c>
      <c r="N19" s="487" t="s">
        <v>55</v>
      </c>
      <c r="O19" s="10" t="s">
        <v>1076</v>
      </c>
      <c r="P19" s="10"/>
      <c r="Q19" s="10"/>
      <c r="T19" s="308">
        <f>(M19/1000)*T2</f>
        <v>253627.36000000002</v>
      </c>
    </row>
    <row r="20" spans="1:20">
      <c r="A20" s="10">
        <f t="shared" si="2"/>
        <v>17</v>
      </c>
      <c r="B20" s="483" t="s">
        <v>1071</v>
      </c>
      <c r="C20" s="10" t="s">
        <v>1095</v>
      </c>
      <c r="D20" s="10" t="s">
        <v>1081</v>
      </c>
      <c r="E20" s="279">
        <v>2750.46</v>
      </c>
      <c r="F20" s="10" t="s">
        <v>1074</v>
      </c>
      <c r="G20" s="484" t="s">
        <v>1075</v>
      </c>
      <c r="H20" s="191">
        <v>45921</v>
      </c>
      <c r="I20" s="191">
        <v>45928</v>
      </c>
      <c r="J20" s="485">
        <f t="shared" si="0"/>
        <v>2750.46</v>
      </c>
      <c r="K20" s="191">
        <v>45930</v>
      </c>
      <c r="L20" s="191">
        <v>45933</v>
      </c>
      <c r="M20" s="486">
        <f t="shared" si="1"/>
        <v>2750.46</v>
      </c>
      <c r="N20" s="487" t="s">
        <v>55</v>
      </c>
      <c r="O20" s="10" t="s">
        <v>1080</v>
      </c>
      <c r="P20" s="10"/>
      <c r="Q20" s="10"/>
      <c r="T20" s="308">
        <f>(M20/1000)*T2</f>
        <v>2491399.6735199997</v>
      </c>
    </row>
    <row r="21" spans="1:20">
      <c r="A21" s="10">
        <f t="shared" si="2"/>
        <v>18</v>
      </c>
      <c r="B21" s="483" t="s">
        <v>1071</v>
      </c>
      <c r="C21" s="10" t="s">
        <v>1096</v>
      </c>
      <c r="D21" s="10" t="s">
        <v>1097</v>
      </c>
      <c r="E21" s="279">
        <v>4957.9799999999996</v>
      </c>
      <c r="F21" s="10" t="s">
        <v>1074</v>
      </c>
      <c r="G21" s="484" t="s">
        <v>1075</v>
      </c>
      <c r="H21" s="191">
        <v>45921</v>
      </c>
      <c r="I21" s="191">
        <v>45930</v>
      </c>
      <c r="J21" s="485">
        <f t="shared" si="0"/>
        <v>4957.9799999999996</v>
      </c>
      <c r="K21" s="191">
        <v>45931</v>
      </c>
      <c r="L21" s="191">
        <v>45936</v>
      </c>
      <c r="M21" s="486">
        <f t="shared" si="1"/>
        <v>4957.9799999999996</v>
      </c>
      <c r="N21" s="487" t="s">
        <v>55</v>
      </c>
      <c r="O21" s="10" t="s">
        <v>1098</v>
      </c>
      <c r="P21" s="10"/>
      <c r="Q21" s="10"/>
      <c r="T21" s="308">
        <f>(M21/1000)*T2</f>
        <v>4490997.7797599994</v>
      </c>
    </row>
    <row r="22" spans="1:20">
      <c r="A22" s="10">
        <f t="shared" si="2"/>
        <v>19</v>
      </c>
      <c r="B22" s="483" t="s">
        <v>1071</v>
      </c>
      <c r="C22" s="10" t="s">
        <v>1099</v>
      </c>
      <c r="D22" s="10" t="s">
        <v>1100</v>
      </c>
      <c r="E22" s="279">
        <v>3919.97</v>
      </c>
      <c r="F22" s="10" t="s">
        <v>1074</v>
      </c>
      <c r="G22" s="484" t="s">
        <v>1075</v>
      </c>
      <c r="H22" s="191">
        <v>45942</v>
      </c>
      <c r="I22" s="191">
        <v>45946</v>
      </c>
      <c r="J22" s="485">
        <f t="shared" si="0"/>
        <v>3919.97</v>
      </c>
      <c r="K22" s="191">
        <v>45954</v>
      </c>
      <c r="L22" s="191">
        <v>45956</v>
      </c>
      <c r="M22" s="486">
        <f t="shared" si="1"/>
        <v>3919.97</v>
      </c>
      <c r="N22" s="487" t="s">
        <v>55</v>
      </c>
      <c r="O22" s="10" t="s">
        <v>1076</v>
      </c>
      <c r="P22" s="10"/>
      <c r="Q22" s="10"/>
      <c r="T22" s="308">
        <f>(M22/1000)*T2</f>
        <v>3550755.86564</v>
      </c>
    </row>
    <row r="23" spans="1:20" ht="29">
      <c r="A23" s="10">
        <f t="shared" si="2"/>
        <v>20</v>
      </c>
      <c r="B23" s="483" t="s">
        <v>1071</v>
      </c>
      <c r="C23" s="10" t="s">
        <v>1101</v>
      </c>
      <c r="D23" s="10" t="s">
        <v>1102</v>
      </c>
      <c r="E23" s="279">
        <v>4460.53</v>
      </c>
      <c r="F23" s="10" t="s">
        <v>1074</v>
      </c>
      <c r="G23" s="484" t="s">
        <v>1075</v>
      </c>
      <c r="H23" s="191">
        <v>45944</v>
      </c>
      <c r="I23" s="191">
        <v>45949</v>
      </c>
      <c r="J23" s="485">
        <f t="shared" si="0"/>
        <v>4460.53</v>
      </c>
      <c r="K23" s="191">
        <v>45953</v>
      </c>
      <c r="L23" s="191">
        <v>45956</v>
      </c>
      <c r="M23" s="486">
        <f t="shared" si="1"/>
        <v>4460.53</v>
      </c>
      <c r="N23" s="487" t="s">
        <v>55</v>
      </c>
      <c r="O23" s="10" t="s">
        <v>1080</v>
      </c>
      <c r="P23" s="10"/>
      <c r="Q23" s="498" t="s">
        <v>1115</v>
      </c>
      <c r="T23" s="308">
        <f>(M23/1000)*T2</f>
        <v>4040401.6003599996</v>
      </c>
    </row>
    <row r="24" spans="1:20">
      <c r="A24" s="10">
        <f t="shared" si="2"/>
        <v>21</v>
      </c>
      <c r="B24" s="483" t="s">
        <v>1071</v>
      </c>
      <c r="C24" s="10" t="s">
        <v>1097</v>
      </c>
      <c r="D24" s="10" t="s">
        <v>1103</v>
      </c>
      <c r="E24" s="279">
        <v>1606</v>
      </c>
      <c r="F24" s="10" t="s">
        <v>1074</v>
      </c>
      <c r="G24" s="484" t="s">
        <v>1075</v>
      </c>
      <c r="H24" s="191">
        <v>45954</v>
      </c>
      <c r="I24" s="191">
        <v>45956</v>
      </c>
      <c r="J24" s="485">
        <f t="shared" si="0"/>
        <v>1606</v>
      </c>
      <c r="K24" s="191">
        <v>45957</v>
      </c>
      <c r="L24" s="191">
        <v>45958</v>
      </c>
      <c r="M24" s="486">
        <f t="shared" si="1"/>
        <v>1606</v>
      </c>
      <c r="N24" s="487" t="s">
        <v>55</v>
      </c>
      <c r="O24" s="10" t="s">
        <v>1098</v>
      </c>
      <c r="P24" s="10"/>
      <c r="Q24" s="10"/>
      <c r="T24" s="308">
        <f>(M24/1000)*T2</f>
        <v>1454734.0720000002</v>
      </c>
    </row>
    <row r="25" spans="1:20">
      <c r="A25" s="10">
        <f t="shared" si="2"/>
        <v>22</v>
      </c>
      <c r="B25" s="483" t="s">
        <v>1071</v>
      </c>
      <c r="C25" s="10" t="s">
        <v>1100</v>
      </c>
      <c r="D25" s="10" t="s">
        <v>1090</v>
      </c>
      <c r="E25" s="279">
        <v>319.13</v>
      </c>
      <c r="F25" s="10" t="s">
        <v>1083</v>
      </c>
      <c r="G25" s="484" t="s">
        <v>1075</v>
      </c>
      <c r="H25" s="191">
        <v>45964</v>
      </c>
      <c r="I25" s="191">
        <v>45964</v>
      </c>
      <c r="J25" s="485">
        <f t="shared" si="0"/>
        <v>319.13</v>
      </c>
      <c r="K25" s="191">
        <v>45964</v>
      </c>
      <c r="L25" s="191">
        <v>45965</v>
      </c>
      <c r="M25" s="486">
        <f t="shared" si="1"/>
        <v>319.13</v>
      </c>
      <c r="N25" s="487" t="s">
        <v>55</v>
      </c>
      <c r="O25" s="10" t="s">
        <v>1076</v>
      </c>
      <c r="P25" s="10"/>
      <c r="Q25" s="488" t="s">
        <v>1104</v>
      </c>
      <c r="T25" s="308">
        <f>(M25/1000)*T2</f>
        <v>289071.78355999995</v>
      </c>
    </row>
    <row r="26" spans="1:20">
      <c r="A26" s="10">
        <f t="shared" si="2"/>
        <v>23</v>
      </c>
      <c r="B26" s="483" t="s">
        <v>1071</v>
      </c>
      <c r="C26" s="10" t="s">
        <v>1105</v>
      </c>
      <c r="D26" s="10" t="s">
        <v>1101</v>
      </c>
      <c r="E26" s="279">
        <v>4822.84</v>
      </c>
      <c r="F26" s="10" t="s">
        <v>1074</v>
      </c>
      <c r="G26" s="484" t="s">
        <v>1075</v>
      </c>
      <c r="H26" s="191">
        <v>45963</v>
      </c>
      <c r="I26" s="191">
        <v>45971</v>
      </c>
      <c r="J26" s="485">
        <f t="shared" si="0"/>
        <v>4822.84</v>
      </c>
      <c r="K26" s="191"/>
      <c r="L26" s="191"/>
      <c r="M26" s="486"/>
      <c r="N26" s="487"/>
      <c r="O26" s="10" t="s">
        <v>1080</v>
      </c>
      <c r="P26" s="10"/>
      <c r="Q26" s="10" t="s">
        <v>1106</v>
      </c>
    </row>
    <row r="27" spans="1:20">
      <c r="A27" s="10">
        <f t="shared" si="2"/>
        <v>24</v>
      </c>
      <c r="B27" s="483" t="s">
        <v>1071</v>
      </c>
      <c r="C27" s="10" t="s">
        <v>1107</v>
      </c>
      <c r="D27" s="10" t="s">
        <v>1096</v>
      </c>
      <c r="E27" s="279">
        <v>4990.45</v>
      </c>
      <c r="F27" s="10" t="s">
        <v>1074</v>
      </c>
      <c r="G27" s="484" t="s">
        <v>1075</v>
      </c>
      <c r="H27" s="191">
        <v>45967</v>
      </c>
      <c r="I27" s="191">
        <v>45974</v>
      </c>
      <c r="J27" s="485">
        <f t="shared" si="0"/>
        <v>4990.45</v>
      </c>
      <c r="K27" s="191"/>
      <c r="L27" s="191"/>
      <c r="M27" s="486"/>
      <c r="N27" s="487"/>
      <c r="O27" s="10" t="s">
        <v>1098</v>
      </c>
      <c r="P27" s="10"/>
      <c r="Q27" s="10" t="s">
        <v>1108</v>
      </c>
    </row>
    <row r="28" spans="1:20">
      <c r="A28" s="10">
        <f t="shared" si="2"/>
        <v>25</v>
      </c>
      <c r="B28" s="483" t="s">
        <v>1071</v>
      </c>
      <c r="C28" s="10" t="s">
        <v>1109</v>
      </c>
      <c r="D28" s="10" t="s">
        <v>1110</v>
      </c>
      <c r="E28" s="279">
        <v>3456.56</v>
      </c>
      <c r="F28" s="10" t="s">
        <v>1074</v>
      </c>
      <c r="G28" s="484" t="s">
        <v>1075</v>
      </c>
      <c r="H28" s="191">
        <v>45972</v>
      </c>
      <c r="I28" s="191"/>
      <c r="J28" s="485"/>
      <c r="K28" s="191"/>
      <c r="L28" s="191"/>
      <c r="M28" s="486"/>
      <c r="N28" s="487"/>
      <c r="O28" s="10" t="s">
        <v>1076</v>
      </c>
      <c r="P28" s="489"/>
      <c r="Q28" s="10" t="s">
        <v>1106</v>
      </c>
    </row>
    <row r="29" spans="1:20">
      <c r="A29" s="10">
        <f t="shared" si="2"/>
        <v>26</v>
      </c>
      <c r="B29" s="483" t="s">
        <v>1071</v>
      </c>
      <c r="C29" s="10"/>
      <c r="D29" s="10"/>
      <c r="E29" s="279"/>
      <c r="F29" s="10"/>
      <c r="G29" s="484"/>
      <c r="H29" s="191"/>
      <c r="I29" s="191"/>
      <c r="J29" s="485"/>
      <c r="K29" s="191"/>
      <c r="L29" s="191"/>
      <c r="M29" s="486"/>
      <c r="N29" s="245"/>
      <c r="O29" s="10"/>
      <c r="P29" s="10"/>
      <c r="Q29" s="10"/>
    </row>
    <row r="30" spans="1:20">
      <c r="A30" s="10">
        <f t="shared" si="2"/>
        <v>27</v>
      </c>
      <c r="B30" s="483" t="s">
        <v>1071</v>
      </c>
      <c r="C30" s="10"/>
      <c r="D30" s="10"/>
      <c r="E30" s="279"/>
      <c r="F30" s="10"/>
      <c r="G30" s="484"/>
      <c r="H30" s="191"/>
      <c r="I30" s="191"/>
      <c r="J30" s="485"/>
      <c r="K30" s="191"/>
      <c r="L30" s="191"/>
      <c r="M30" s="486"/>
      <c r="N30" s="245"/>
      <c r="O30" s="10"/>
      <c r="P30" s="489"/>
      <c r="Q30" s="10"/>
    </row>
    <row r="31" spans="1:20">
      <c r="A31" s="10">
        <f t="shared" si="2"/>
        <v>28</v>
      </c>
      <c r="B31" s="483" t="s">
        <v>1071</v>
      </c>
      <c r="C31" s="10"/>
      <c r="D31" s="10"/>
      <c r="E31" s="279"/>
      <c r="F31" s="10"/>
      <c r="G31" s="484"/>
      <c r="H31" s="191"/>
      <c r="I31" s="191"/>
      <c r="J31" s="485"/>
      <c r="K31" s="191"/>
      <c r="L31" s="191"/>
      <c r="M31" s="486"/>
      <c r="N31" s="245"/>
      <c r="O31" s="10"/>
      <c r="P31" s="489"/>
      <c r="Q31" s="10"/>
    </row>
    <row r="32" spans="1:20">
      <c r="A32" s="10">
        <f t="shared" si="2"/>
        <v>29</v>
      </c>
      <c r="B32" s="483" t="s">
        <v>1071</v>
      </c>
      <c r="C32" s="10"/>
      <c r="D32" s="10"/>
      <c r="E32" s="279"/>
      <c r="F32" s="10"/>
      <c r="G32" s="484"/>
      <c r="H32" s="490"/>
      <c r="I32" s="490"/>
      <c r="J32" s="485"/>
      <c r="K32" s="490"/>
      <c r="L32" s="490"/>
      <c r="M32" s="486"/>
      <c r="N32" s="245"/>
      <c r="O32" s="491"/>
      <c r="P32" s="10"/>
      <c r="Q32" s="10"/>
    </row>
    <row r="33" spans="1:17">
      <c r="A33" s="10">
        <f t="shared" si="2"/>
        <v>30</v>
      </c>
      <c r="B33" s="483" t="s">
        <v>1071</v>
      </c>
      <c r="C33" s="10"/>
      <c r="D33" s="10"/>
      <c r="E33" s="279"/>
      <c r="F33" s="10"/>
      <c r="G33" s="484"/>
      <c r="H33" s="490"/>
      <c r="I33" s="490"/>
      <c r="J33" s="485"/>
      <c r="K33" s="490"/>
      <c r="L33" s="490"/>
      <c r="M33" s="486"/>
      <c r="N33" s="245"/>
      <c r="O33" s="489"/>
      <c r="P33" s="10"/>
      <c r="Q33" s="10"/>
    </row>
    <row r="34" spans="1:17">
      <c r="A34" s="10">
        <f t="shared" si="2"/>
        <v>31</v>
      </c>
      <c r="B34" s="483" t="s">
        <v>1071</v>
      </c>
      <c r="C34" s="10"/>
      <c r="D34" s="10"/>
      <c r="E34" s="279"/>
      <c r="F34" s="10"/>
      <c r="G34" s="484"/>
      <c r="H34" s="191"/>
      <c r="I34" s="191"/>
      <c r="J34" s="485"/>
      <c r="K34" s="191"/>
      <c r="L34" s="191"/>
      <c r="M34" s="486"/>
      <c r="N34" s="245"/>
      <c r="O34" s="10"/>
      <c r="P34" s="10"/>
      <c r="Q34" s="10"/>
    </row>
    <row r="35" spans="1:17">
      <c r="A35" s="10">
        <f t="shared" si="2"/>
        <v>32</v>
      </c>
      <c r="B35" s="483" t="s">
        <v>1071</v>
      </c>
      <c r="C35" s="10"/>
      <c r="D35" s="10"/>
      <c r="E35" s="279"/>
      <c r="F35" s="10"/>
      <c r="G35" s="484"/>
      <c r="H35" s="191"/>
      <c r="I35" s="191"/>
      <c r="J35" s="485"/>
      <c r="K35" s="191"/>
      <c r="L35" s="191"/>
      <c r="M35" s="486"/>
      <c r="N35" s="245"/>
      <c r="O35" s="10"/>
      <c r="P35" s="489"/>
      <c r="Q35" s="10"/>
    </row>
    <row r="36" spans="1:17">
      <c r="A36" s="10">
        <f t="shared" si="2"/>
        <v>33</v>
      </c>
      <c r="B36" s="483" t="s">
        <v>1071</v>
      </c>
      <c r="C36" s="10"/>
      <c r="D36" s="10"/>
      <c r="E36" s="279"/>
      <c r="F36" s="10"/>
      <c r="G36" s="484"/>
      <c r="H36" s="191"/>
      <c r="I36" s="191"/>
      <c r="J36" s="485"/>
      <c r="K36" s="191"/>
      <c r="L36" s="191"/>
      <c r="M36" s="486"/>
      <c r="N36" s="245"/>
      <c r="O36" s="10"/>
      <c r="P36" s="10"/>
      <c r="Q36" s="10"/>
    </row>
    <row r="37" spans="1:17">
      <c r="A37" s="10">
        <f t="shared" si="2"/>
        <v>34</v>
      </c>
      <c r="B37" s="483" t="s">
        <v>1071</v>
      </c>
      <c r="C37" s="10"/>
      <c r="D37" s="10"/>
      <c r="E37" s="279"/>
      <c r="F37" s="10"/>
      <c r="G37" s="484"/>
      <c r="H37" s="191"/>
      <c r="I37" s="191"/>
      <c r="J37" s="485"/>
      <c r="K37" s="191"/>
      <c r="L37" s="191"/>
      <c r="M37" s="486"/>
      <c r="N37" s="245"/>
      <c r="O37" s="10"/>
      <c r="P37" s="10"/>
      <c r="Q37" s="10"/>
    </row>
    <row r="38" spans="1:17">
      <c r="A38" s="10">
        <f t="shared" si="2"/>
        <v>35</v>
      </c>
      <c r="B38" s="483" t="s">
        <v>1071</v>
      </c>
      <c r="C38" s="10"/>
      <c r="D38" s="10"/>
      <c r="E38" s="279"/>
      <c r="F38" s="10"/>
      <c r="G38" s="484"/>
      <c r="H38" s="191"/>
      <c r="I38" s="191"/>
      <c r="J38" s="485"/>
      <c r="K38" s="191"/>
      <c r="L38" s="191"/>
      <c r="M38" s="486"/>
      <c r="N38" s="245"/>
      <c r="O38" s="10"/>
      <c r="P38" s="10"/>
      <c r="Q38" s="10"/>
    </row>
    <row r="39" spans="1:17">
      <c r="A39" s="10">
        <f t="shared" si="2"/>
        <v>36</v>
      </c>
      <c r="B39" s="483" t="s">
        <v>1071</v>
      </c>
      <c r="C39" s="10"/>
      <c r="D39" s="10"/>
      <c r="E39" s="279"/>
      <c r="F39" s="10"/>
      <c r="G39" s="484"/>
      <c r="H39" s="191"/>
      <c r="I39" s="191"/>
      <c r="J39" s="485"/>
      <c r="K39" s="191"/>
      <c r="L39" s="191"/>
      <c r="M39" s="486"/>
      <c r="N39" s="245"/>
      <c r="O39" s="10"/>
      <c r="P39" s="10"/>
      <c r="Q39" s="10"/>
    </row>
    <row r="40" spans="1:17">
      <c r="A40" s="10">
        <f t="shared" si="2"/>
        <v>37</v>
      </c>
      <c r="B40" s="483" t="s">
        <v>1071</v>
      </c>
      <c r="C40" s="10"/>
      <c r="D40" s="10"/>
      <c r="E40" s="279"/>
      <c r="F40" s="10"/>
      <c r="G40" s="484"/>
      <c r="H40" s="191"/>
      <c r="I40" s="191"/>
      <c r="J40" s="485"/>
      <c r="K40" s="191"/>
      <c r="L40" s="191"/>
      <c r="M40" s="486"/>
      <c r="N40" s="245"/>
      <c r="O40" s="10"/>
      <c r="P40" s="10"/>
      <c r="Q40" s="10"/>
    </row>
    <row r="41" spans="1:17">
      <c r="A41" s="10">
        <f t="shared" si="2"/>
        <v>38</v>
      </c>
      <c r="B41" s="483" t="s">
        <v>1071</v>
      </c>
      <c r="C41" s="10"/>
      <c r="D41" s="10"/>
      <c r="E41" s="279"/>
      <c r="F41" s="10"/>
      <c r="G41" s="484"/>
      <c r="H41" s="191"/>
      <c r="I41" s="191"/>
      <c r="J41" s="279"/>
      <c r="K41" s="191"/>
      <c r="L41" s="191"/>
      <c r="M41" s="486"/>
      <c r="N41" s="245"/>
      <c r="O41" s="10"/>
      <c r="P41" s="489"/>
      <c r="Q41" s="10"/>
    </row>
    <row r="42" spans="1:17">
      <c r="A42" s="10">
        <f t="shared" si="2"/>
        <v>39</v>
      </c>
      <c r="B42" s="483" t="s">
        <v>1071</v>
      </c>
      <c r="C42" s="10"/>
      <c r="D42" s="10"/>
      <c r="E42" s="279"/>
      <c r="F42" s="10"/>
      <c r="G42" s="484"/>
      <c r="H42" s="191"/>
      <c r="I42" s="191"/>
      <c r="J42" s="279"/>
      <c r="K42" s="191"/>
      <c r="L42" s="191"/>
      <c r="M42" s="486"/>
      <c r="N42" s="245"/>
      <c r="O42" s="10"/>
      <c r="P42" s="10"/>
      <c r="Q42" s="10"/>
    </row>
    <row r="43" spans="1:17">
      <c r="A43" s="10">
        <f t="shared" si="2"/>
        <v>40</v>
      </c>
      <c r="B43" s="483" t="s">
        <v>1071</v>
      </c>
      <c r="C43" s="10"/>
      <c r="D43" s="10"/>
      <c r="E43" s="279"/>
      <c r="F43" s="10"/>
      <c r="G43" s="484"/>
      <c r="H43" s="191"/>
      <c r="I43" s="191"/>
      <c r="J43" s="279"/>
      <c r="K43" s="191"/>
      <c r="L43" s="191"/>
      <c r="M43" s="486"/>
      <c r="N43" s="245"/>
      <c r="O43" s="10"/>
      <c r="P43" s="10"/>
      <c r="Q43" s="10"/>
    </row>
    <row r="44" spans="1:17">
      <c r="A44" s="10">
        <f t="shared" si="2"/>
        <v>41</v>
      </c>
      <c r="B44" s="483" t="s">
        <v>1071</v>
      </c>
      <c r="C44" s="10"/>
      <c r="D44" s="10"/>
      <c r="E44" s="279"/>
      <c r="F44" s="10"/>
      <c r="G44" s="484"/>
      <c r="H44" s="191"/>
      <c r="I44" s="191"/>
      <c r="J44" s="279"/>
      <c r="K44" s="191"/>
      <c r="L44" s="191"/>
      <c r="M44" s="486"/>
      <c r="N44" s="245"/>
      <c r="O44" s="10"/>
      <c r="P44" s="10"/>
      <c r="Q44" s="10"/>
    </row>
    <row r="45" spans="1:17">
      <c r="A45" s="10">
        <f t="shared" si="2"/>
        <v>42</v>
      </c>
      <c r="B45" s="483" t="s">
        <v>1071</v>
      </c>
      <c r="C45" s="10"/>
      <c r="D45" s="10"/>
      <c r="E45" s="279"/>
      <c r="F45" s="10"/>
      <c r="G45" s="484"/>
      <c r="H45" s="191"/>
      <c r="I45" s="191"/>
      <c r="J45" s="279"/>
      <c r="K45" s="191"/>
      <c r="L45" s="191"/>
      <c r="M45" s="486"/>
      <c r="N45" s="245"/>
      <c r="O45" s="10"/>
      <c r="P45" s="10"/>
      <c r="Q45" s="10"/>
    </row>
    <row r="46" spans="1:17">
      <c r="A46" s="10">
        <f t="shared" si="2"/>
        <v>43</v>
      </c>
      <c r="B46" s="483" t="s">
        <v>1071</v>
      </c>
      <c r="C46" s="10"/>
      <c r="D46" s="10"/>
      <c r="E46" s="279"/>
      <c r="F46" s="10"/>
      <c r="G46" s="484"/>
      <c r="H46" s="191"/>
      <c r="I46" s="191"/>
      <c r="J46" s="279"/>
      <c r="K46" s="191"/>
      <c r="L46" s="191"/>
      <c r="M46" s="486"/>
      <c r="N46" s="245"/>
      <c r="O46" s="10"/>
      <c r="P46" s="10"/>
      <c r="Q46" s="10"/>
    </row>
    <row r="47" spans="1:17">
      <c r="A47" s="10">
        <f t="shared" si="2"/>
        <v>44</v>
      </c>
      <c r="B47" s="483" t="s">
        <v>1071</v>
      </c>
      <c r="C47" s="10"/>
      <c r="D47" s="10"/>
      <c r="E47" s="279"/>
      <c r="F47" s="10"/>
      <c r="G47" s="484"/>
      <c r="H47" s="191"/>
      <c r="I47" s="191"/>
      <c r="J47" s="279"/>
      <c r="K47" s="191"/>
      <c r="L47" s="191"/>
      <c r="M47" s="486"/>
      <c r="N47" s="245"/>
      <c r="O47" s="10"/>
      <c r="P47" s="10"/>
      <c r="Q47" s="10"/>
    </row>
    <row r="48" spans="1:17">
      <c r="A48" s="10">
        <f t="shared" si="2"/>
        <v>45</v>
      </c>
      <c r="B48" s="483" t="s">
        <v>1071</v>
      </c>
      <c r="C48" s="10"/>
      <c r="D48" s="10"/>
      <c r="E48" s="279"/>
      <c r="F48" s="10"/>
      <c r="G48" s="484"/>
      <c r="H48" s="492"/>
      <c r="I48" s="492"/>
      <c r="J48" s="279"/>
      <c r="K48" s="492"/>
      <c r="L48" s="492"/>
      <c r="M48" s="486"/>
      <c r="N48" s="245"/>
      <c r="O48" s="491"/>
      <c r="P48" s="10"/>
      <c r="Q48" s="10"/>
    </row>
    <row r="49" spans="1:17">
      <c r="A49" s="10">
        <f t="shared" si="2"/>
        <v>46</v>
      </c>
      <c r="B49" s="483" t="s">
        <v>1071</v>
      </c>
      <c r="C49" s="10"/>
      <c r="D49" s="10"/>
      <c r="E49" s="279"/>
      <c r="F49" s="10"/>
      <c r="G49" s="484"/>
      <c r="H49" s="191"/>
      <c r="I49" s="191"/>
      <c r="J49" s="279"/>
      <c r="K49" s="191"/>
      <c r="L49" s="191"/>
      <c r="M49" s="486"/>
      <c r="N49" s="245"/>
      <c r="O49" s="10"/>
      <c r="P49" s="10"/>
      <c r="Q49" s="10"/>
    </row>
    <row r="50" spans="1:17">
      <c r="A50" s="10">
        <f t="shared" si="2"/>
        <v>47</v>
      </c>
      <c r="B50" s="483" t="s">
        <v>1071</v>
      </c>
      <c r="C50" s="10"/>
      <c r="D50" s="10"/>
      <c r="E50" s="279"/>
      <c r="F50" s="10"/>
      <c r="G50" s="484"/>
      <c r="H50" s="191"/>
      <c r="I50" s="191"/>
      <c r="J50" s="279"/>
      <c r="K50" s="191"/>
      <c r="L50" s="191"/>
      <c r="M50" s="486"/>
      <c r="N50" s="245"/>
      <c r="O50" s="10"/>
      <c r="P50" s="10"/>
      <c r="Q50" s="10"/>
    </row>
    <row r="51" spans="1:17">
      <c r="A51" s="10">
        <f t="shared" si="2"/>
        <v>48</v>
      </c>
      <c r="B51" s="483" t="s">
        <v>1071</v>
      </c>
      <c r="C51" s="10"/>
      <c r="D51" s="10"/>
      <c r="E51" s="279"/>
      <c r="F51" s="10"/>
      <c r="G51" s="484"/>
      <c r="H51" s="492"/>
      <c r="I51" s="492"/>
      <c r="J51" s="279"/>
      <c r="K51" s="492"/>
      <c r="L51" s="492"/>
      <c r="M51" s="486"/>
      <c r="N51" s="245"/>
      <c r="O51" s="491"/>
      <c r="P51" s="10"/>
      <c r="Q51" s="10"/>
    </row>
    <row r="52" spans="1:17">
      <c r="A52" s="10">
        <f t="shared" si="2"/>
        <v>49</v>
      </c>
      <c r="B52" s="483" t="s">
        <v>1071</v>
      </c>
      <c r="C52" s="10"/>
      <c r="D52" s="10"/>
      <c r="E52" s="279"/>
      <c r="F52" s="10"/>
      <c r="G52" s="484"/>
      <c r="H52" s="191"/>
      <c r="I52" s="191"/>
      <c r="J52" s="279"/>
      <c r="K52" s="191"/>
      <c r="L52" s="191"/>
      <c r="M52" s="486"/>
      <c r="N52" s="245"/>
      <c r="O52" s="10"/>
      <c r="P52" s="10"/>
      <c r="Q52" s="10"/>
    </row>
    <row r="53" spans="1:17">
      <c r="A53" s="10">
        <f t="shared" si="2"/>
        <v>50</v>
      </c>
      <c r="B53" s="483" t="s">
        <v>1071</v>
      </c>
      <c r="C53" s="10"/>
      <c r="D53" s="10"/>
      <c r="E53" s="279"/>
      <c r="F53" s="10"/>
      <c r="G53" s="484"/>
      <c r="H53" s="191"/>
      <c r="I53" s="191"/>
      <c r="J53" s="279"/>
      <c r="K53" s="191"/>
      <c r="L53" s="191"/>
      <c r="M53" s="486"/>
      <c r="N53" s="245"/>
      <c r="O53" s="10"/>
      <c r="P53" s="10"/>
      <c r="Q53" s="10"/>
    </row>
    <row r="54" spans="1:17">
      <c r="A54" s="10">
        <f t="shared" si="2"/>
        <v>51</v>
      </c>
      <c r="B54" s="483" t="s">
        <v>1071</v>
      </c>
      <c r="C54" s="10"/>
      <c r="D54" s="10"/>
      <c r="E54" s="279"/>
      <c r="F54" s="10"/>
      <c r="G54" s="484"/>
      <c r="H54" s="191"/>
      <c r="I54" s="191"/>
      <c r="J54" s="279"/>
      <c r="K54" s="191"/>
      <c r="L54" s="191"/>
      <c r="M54" s="486"/>
      <c r="N54" s="245"/>
      <c r="O54" s="10"/>
      <c r="P54" s="10"/>
      <c r="Q54" s="10"/>
    </row>
    <row r="55" spans="1:17">
      <c r="A55" s="10">
        <f t="shared" si="2"/>
        <v>52</v>
      </c>
      <c r="B55" s="483" t="s">
        <v>1071</v>
      </c>
      <c r="C55" s="10"/>
      <c r="D55" s="10"/>
      <c r="E55" s="279"/>
      <c r="F55" s="10"/>
      <c r="G55" s="484"/>
      <c r="H55" s="191"/>
      <c r="I55" s="191"/>
      <c r="J55" s="279"/>
      <c r="K55" s="191"/>
      <c r="L55" s="191"/>
      <c r="M55" s="486"/>
      <c r="N55" s="245"/>
      <c r="O55" s="10"/>
      <c r="P55" s="10"/>
      <c r="Q55" s="10"/>
    </row>
    <row r="56" spans="1:17">
      <c r="A56" s="10">
        <f t="shared" si="2"/>
        <v>53</v>
      </c>
      <c r="B56" s="483" t="s">
        <v>1071</v>
      </c>
      <c r="C56" s="10"/>
      <c r="D56" s="10"/>
      <c r="E56" s="279"/>
      <c r="F56" s="10"/>
      <c r="G56" s="484"/>
      <c r="H56" s="492"/>
      <c r="I56" s="492"/>
      <c r="J56" s="279"/>
      <c r="K56" s="492"/>
      <c r="L56" s="492"/>
      <c r="M56" s="486"/>
      <c r="N56" s="245"/>
      <c r="O56" s="491"/>
      <c r="P56" s="10"/>
      <c r="Q56" s="10"/>
    </row>
    <row r="57" spans="1:17">
      <c r="A57" s="10">
        <f t="shared" si="2"/>
        <v>54</v>
      </c>
      <c r="B57" s="483" t="s">
        <v>1071</v>
      </c>
      <c r="C57" s="10"/>
      <c r="D57" s="10"/>
      <c r="E57" s="279"/>
      <c r="F57" s="10"/>
      <c r="G57" s="484"/>
      <c r="H57" s="492"/>
      <c r="I57" s="492"/>
      <c r="J57" s="279"/>
      <c r="K57" s="492"/>
      <c r="L57" s="492"/>
      <c r="M57" s="486"/>
      <c r="N57" s="245"/>
      <c r="O57" s="491"/>
      <c r="P57" s="10"/>
      <c r="Q57" s="10"/>
    </row>
    <row r="58" spans="1:17">
      <c r="A58" s="10">
        <f t="shared" si="2"/>
        <v>55</v>
      </c>
      <c r="B58" s="483" t="s">
        <v>1071</v>
      </c>
      <c r="C58" s="10"/>
      <c r="D58" s="10"/>
      <c r="E58" s="279"/>
      <c r="F58" s="10"/>
      <c r="G58" s="484"/>
      <c r="H58" s="191"/>
      <c r="I58" s="191"/>
      <c r="J58" s="279"/>
      <c r="K58" s="191"/>
      <c r="L58" s="191"/>
      <c r="M58" s="486"/>
      <c r="N58" s="245"/>
      <c r="O58" s="10"/>
      <c r="P58" s="10"/>
      <c r="Q58" s="10"/>
    </row>
    <row r="59" spans="1:17">
      <c r="A59" s="10">
        <f t="shared" si="2"/>
        <v>56</v>
      </c>
      <c r="B59" s="483" t="s">
        <v>1071</v>
      </c>
      <c r="C59" s="10"/>
      <c r="D59" s="10"/>
      <c r="E59" s="279"/>
      <c r="F59" s="10"/>
      <c r="G59" s="484"/>
      <c r="H59" s="191"/>
      <c r="I59" s="191"/>
      <c r="J59" s="279"/>
      <c r="K59" s="191"/>
      <c r="L59" s="191"/>
      <c r="M59" s="486"/>
      <c r="N59" s="245"/>
      <c r="O59" s="10"/>
      <c r="P59" s="10"/>
      <c r="Q59" s="10"/>
    </row>
    <row r="60" spans="1:17">
      <c r="A60" s="10">
        <f t="shared" si="2"/>
        <v>57</v>
      </c>
      <c r="B60" s="483" t="s">
        <v>1071</v>
      </c>
      <c r="C60" s="10"/>
      <c r="D60" s="10"/>
      <c r="E60" s="279"/>
      <c r="F60" s="10"/>
      <c r="G60" s="484"/>
      <c r="H60" s="492"/>
      <c r="I60" s="492"/>
      <c r="J60" s="279"/>
      <c r="K60" s="492"/>
      <c r="L60" s="492"/>
      <c r="M60" s="486"/>
      <c r="N60" s="245"/>
      <c r="O60" s="491"/>
      <c r="P60" s="10"/>
      <c r="Q60" s="10"/>
    </row>
    <row r="61" spans="1:17">
      <c r="A61" s="10">
        <f t="shared" si="2"/>
        <v>58</v>
      </c>
      <c r="B61" s="483" t="s">
        <v>1071</v>
      </c>
      <c r="C61" s="10"/>
      <c r="D61" s="10"/>
      <c r="E61" s="279"/>
      <c r="F61" s="10"/>
      <c r="G61" s="484"/>
      <c r="H61" s="492"/>
      <c r="I61" s="492"/>
      <c r="J61" s="279"/>
      <c r="K61" s="492"/>
      <c r="L61" s="492"/>
      <c r="M61" s="486"/>
      <c r="N61" s="245"/>
      <c r="O61" s="491"/>
      <c r="P61" s="10"/>
      <c r="Q61" s="10"/>
    </row>
    <row r="62" spans="1:17">
      <c r="A62" s="10">
        <f t="shared" si="2"/>
        <v>59</v>
      </c>
      <c r="B62" s="483" t="s">
        <v>1071</v>
      </c>
      <c r="C62" s="10"/>
      <c r="D62" s="10"/>
      <c r="E62" s="279"/>
      <c r="F62" s="10"/>
      <c r="G62" s="484"/>
      <c r="H62" s="191"/>
      <c r="I62" s="191"/>
      <c r="J62" s="279"/>
      <c r="K62" s="191"/>
      <c r="L62" s="191"/>
      <c r="M62" s="486"/>
      <c r="N62" s="245"/>
      <c r="O62" s="10"/>
      <c r="P62" s="10"/>
      <c r="Q62" s="10"/>
    </row>
    <row r="63" spans="1:17">
      <c r="A63" s="10">
        <f t="shared" si="2"/>
        <v>60</v>
      </c>
      <c r="B63" s="483" t="s">
        <v>1071</v>
      </c>
      <c r="C63" s="10"/>
      <c r="D63" s="10"/>
      <c r="E63" s="279"/>
      <c r="F63" s="10"/>
      <c r="G63" s="484"/>
      <c r="H63" s="191"/>
      <c r="I63" s="490"/>
      <c r="J63" s="279"/>
      <c r="K63" s="191"/>
      <c r="L63" s="191"/>
      <c r="M63" s="486"/>
      <c r="N63" s="245"/>
      <c r="O63" s="10"/>
      <c r="P63" s="10"/>
      <c r="Q63" s="10"/>
    </row>
    <row r="64" spans="1:17">
      <c r="A64" s="10">
        <f t="shared" si="2"/>
        <v>61</v>
      </c>
      <c r="B64" s="483" t="s">
        <v>1071</v>
      </c>
      <c r="C64" s="10"/>
      <c r="D64" s="10"/>
      <c r="E64" s="279"/>
      <c r="F64" s="10"/>
      <c r="G64" s="484"/>
      <c r="H64" s="191"/>
      <c r="I64" s="490"/>
      <c r="J64" s="279"/>
      <c r="K64" s="191"/>
      <c r="L64" s="191"/>
      <c r="M64" s="486"/>
      <c r="N64" s="245"/>
      <c r="O64" s="10"/>
      <c r="P64" s="10"/>
      <c r="Q64" s="10"/>
    </row>
    <row r="65" spans="1:16362">
      <c r="A65" s="10">
        <f t="shared" si="2"/>
        <v>62</v>
      </c>
      <c r="B65" s="483" t="s">
        <v>1071</v>
      </c>
      <c r="C65" s="10"/>
      <c r="D65" s="10"/>
      <c r="E65" s="279"/>
      <c r="F65" s="10"/>
      <c r="G65" s="484"/>
      <c r="H65" s="191"/>
      <c r="I65" s="490"/>
      <c r="J65" s="279"/>
      <c r="K65" s="191"/>
      <c r="L65" s="191"/>
      <c r="M65" s="486"/>
      <c r="N65" s="245"/>
      <c r="O65" s="10"/>
      <c r="P65" s="10"/>
      <c r="Q65" s="10"/>
    </row>
    <row r="66" spans="1:16362">
      <c r="A66" s="10">
        <f t="shared" si="2"/>
        <v>63</v>
      </c>
      <c r="B66" s="483" t="s">
        <v>1071</v>
      </c>
      <c r="C66" s="10"/>
      <c r="D66" s="10"/>
      <c r="E66" s="279"/>
      <c r="F66" s="10"/>
      <c r="G66" s="484"/>
      <c r="H66" s="492"/>
      <c r="I66" s="492"/>
      <c r="J66" s="279"/>
      <c r="K66" s="492"/>
      <c r="L66" s="492"/>
      <c r="M66" s="486"/>
      <c r="N66" s="245"/>
      <c r="O66" s="491"/>
      <c r="P66" s="10"/>
      <c r="Q66" s="10"/>
    </row>
    <row r="67" spans="1:16362">
      <c r="A67" s="10">
        <f t="shared" si="2"/>
        <v>64</v>
      </c>
      <c r="B67" s="483" t="s">
        <v>1071</v>
      </c>
      <c r="C67" s="10"/>
      <c r="D67" s="10"/>
      <c r="E67" s="279"/>
      <c r="F67" s="10"/>
      <c r="G67" s="484"/>
      <c r="H67" s="191"/>
      <c r="I67" s="191"/>
      <c r="J67" s="279"/>
      <c r="K67" s="191"/>
      <c r="L67" s="191"/>
      <c r="M67" s="486"/>
      <c r="N67" s="245"/>
      <c r="O67" s="10"/>
      <c r="P67" s="10"/>
      <c r="Q67" s="10"/>
    </row>
    <row r="68" spans="1:16362">
      <c r="A68" s="10">
        <f t="shared" si="2"/>
        <v>65</v>
      </c>
      <c r="B68" s="483" t="s">
        <v>1071</v>
      </c>
      <c r="C68" s="10"/>
      <c r="D68" s="10"/>
      <c r="E68" s="279"/>
      <c r="F68" s="10"/>
      <c r="G68" s="484"/>
      <c r="H68" s="191"/>
      <c r="I68" s="191"/>
      <c r="J68" s="279"/>
      <c r="K68" s="191"/>
      <c r="L68" s="191"/>
      <c r="M68" s="486"/>
      <c r="N68" s="245"/>
      <c r="O68" s="10"/>
      <c r="P68" s="10"/>
      <c r="Q68" s="10"/>
    </row>
    <row r="69" spans="1:16362">
      <c r="A69" s="10">
        <f t="shared" ref="A69:A80" si="3">A68+1</f>
        <v>66</v>
      </c>
      <c r="B69" s="483" t="s">
        <v>1071</v>
      </c>
      <c r="C69" s="10"/>
      <c r="D69" s="10"/>
      <c r="E69" s="279"/>
      <c r="F69" s="10"/>
      <c r="G69" s="484"/>
      <c r="H69" s="191"/>
      <c r="I69" s="191"/>
      <c r="J69" s="279"/>
      <c r="K69" s="191"/>
      <c r="L69" s="191"/>
      <c r="M69" s="486"/>
      <c r="N69" s="245"/>
      <c r="O69" s="10"/>
      <c r="P69" s="10"/>
      <c r="Q69" s="10"/>
    </row>
    <row r="70" spans="1:16362">
      <c r="A70" s="10">
        <f t="shared" si="3"/>
        <v>67</v>
      </c>
      <c r="B70" s="483" t="s">
        <v>1071</v>
      </c>
      <c r="C70" s="10"/>
      <c r="D70" s="10"/>
      <c r="E70" s="279"/>
      <c r="F70" s="10"/>
      <c r="G70" s="484"/>
      <c r="H70" s="492"/>
      <c r="I70" s="492"/>
      <c r="J70" s="279"/>
      <c r="K70" s="492"/>
      <c r="L70" s="492"/>
      <c r="M70" s="486"/>
      <c r="N70" s="245"/>
      <c r="O70" s="491"/>
      <c r="P70" s="10"/>
      <c r="Q70" s="10"/>
    </row>
    <row r="71" spans="1:16362">
      <c r="A71" s="10">
        <f t="shared" si="3"/>
        <v>68</v>
      </c>
      <c r="B71" s="483" t="s">
        <v>1071</v>
      </c>
      <c r="C71" s="10"/>
      <c r="D71" s="10"/>
      <c r="E71" s="279"/>
      <c r="F71" s="10"/>
      <c r="G71" s="484"/>
      <c r="H71" s="492"/>
      <c r="I71" s="492"/>
      <c r="J71" s="279"/>
      <c r="K71" s="492"/>
      <c r="L71" s="492"/>
      <c r="M71" s="486"/>
      <c r="N71" s="245"/>
      <c r="O71" s="491"/>
      <c r="P71" s="10"/>
      <c r="Q71" s="10"/>
    </row>
    <row r="72" spans="1:16362">
      <c r="A72" s="10">
        <f t="shared" si="3"/>
        <v>69</v>
      </c>
      <c r="B72" s="483" t="s">
        <v>1071</v>
      </c>
      <c r="C72" s="10"/>
      <c r="D72" s="10"/>
      <c r="E72" s="279"/>
      <c r="F72" s="10"/>
      <c r="G72" s="484"/>
      <c r="H72" s="191"/>
      <c r="I72" s="191"/>
      <c r="J72" s="279"/>
      <c r="K72" s="191"/>
      <c r="L72" s="191"/>
      <c r="M72" s="486"/>
      <c r="N72" s="245"/>
      <c r="O72" s="10"/>
      <c r="P72" s="10"/>
      <c r="Q72" s="10"/>
    </row>
    <row r="73" spans="1:16362">
      <c r="A73" s="10">
        <f t="shared" si="3"/>
        <v>70</v>
      </c>
      <c r="B73" s="483" t="s">
        <v>1071</v>
      </c>
      <c r="C73" s="10"/>
      <c r="D73" s="10"/>
      <c r="E73" s="279"/>
      <c r="F73" s="10"/>
      <c r="G73" s="484"/>
      <c r="H73" s="191"/>
      <c r="I73" s="191"/>
      <c r="J73" s="279"/>
      <c r="K73" s="191"/>
      <c r="L73" s="191"/>
      <c r="M73" s="486"/>
      <c r="N73" s="245"/>
      <c r="O73" s="10"/>
      <c r="P73" s="10"/>
      <c r="Q73" s="10"/>
    </row>
    <row r="74" spans="1:16362">
      <c r="A74" s="10">
        <f t="shared" si="3"/>
        <v>71</v>
      </c>
      <c r="B74" s="483" t="s">
        <v>1071</v>
      </c>
      <c r="C74" s="10"/>
      <c r="D74" s="10"/>
      <c r="E74" s="279"/>
      <c r="F74" s="10"/>
      <c r="G74" s="484"/>
      <c r="H74" s="191"/>
      <c r="I74" s="191"/>
      <c r="J74" s="279"/>
      <c r="K74" s="191"/>
      <c r="L74" s="191"/>
      <c r="M74" s="486"/>
      <c r="N74" s="245"/>
      <c r="O74" s="10"/>
      <c r="P74" s="10"/>
      <c r="Q74" s="10"/>
    </row>
    <row r="75" spans="1:16362">
      <c r="A75" s="10">
        <f t="shared" si="3"/>
        <v>72</v>
      </c>
      <c r="B75" s="483" t="s">
        <v>1071</v>
      </c>
      <c r="C75" s="10"/>
      <c r="D75" s="10"/>
      <c r="E75" s="279"/>
      <c r="F75" s="10"/>
      <c r="G75" s="484"/>
      <c r="H75" s="492"/>
      <c r="I75" s="492"/>
      <c r="J75" s="279"/>
      <c r="K75" s="492"/>
      <c r="L75" s="492"/>
      <c r="M75" s="486"/>
      <c r="N75" s="245"/>
      <c r="O75" s="491"/>
      <c r="P75" s="10"/>
      <c r="Q75" s="10"/>
    </row>
    <row r="76" spans="1:16362">
      <c r="A76" s="10">
        <f t="shared" si="3"/>
        <v>73</v>
      </c>
      <c r="B76" s="483" t="s">
        <v>1071</v>
      </c>
      <c r="C76" s="10"/>
      <c r="D76" s="10"/>
      <c r="E76" s="279"/>
      <c r="F76" s="10"/>
      <c r="G76" s="484"/>
      <c r="H76" s="492"/>
      <c r="I76" s="492"/>
      <c r="J76" s="279"/>
      <c r="K76" s="492"/>
      <c r="L76" s="492"/>
      <c r="M76" s="486"/>
      <c r="N76" s="245"/>
      <c r="O76" s="491"/>
      <c r="P76" s="10"/>
      <c r="Q76" s="10"/>
    </row>
    <row r="77" spans="1:16362">
      <c r="A77" s="10">
        <f t="shared" si="3"/>
        <v>74</v>
      </c>
      <c r="B77" s="483" t="s">
        <v>1071</v>
      </c>
      <c r="C77" s="10"/>
      <c r="D77" s="10"/>
      <c r="E77" s="279"/>
      <c r="F77" s="10"/>
      <c r="G77" s="484"/>
      <c r="H77" s="492"/>
      <c r="I77" s="492"/>
      <c r="J77" s="279"/>
      <c r="K77" s="492"/>
      <c r="L77" s="492"/>
      <c r="M77" s="486"/>
      <c r="N77" s="245"/>
      <c r="O77" s="491"/>
      <c r="P77" s="10"/>
      <c r="Q77" s="10"/>
    </row>
    <row r="78" spans="1:16362">
      <c r="A78" s="10">
        <f t="shared" si="3"/>
        <v>75</v>
      </c>
      <c r="B78" s="483" t="s">
        <v>1071</v>
      </c>
      <c r="C78" s="10"/>
      <c r="D78" s="10"/>
      <c r="E78" s="279"/>
      <c r="F78" s="10"/>
      <c r="G78" s="484"/>
      <c r="H78" s="492"/>
      <c r="I78" s="492"/>
      <c r="J78" s="279"/>
      <c r="K78" s="492"/>
      <c r="L78" s="492"/>
      <c r="M78" s="486"/>
      <c r="N78" s="245"/>
      <c r="O78" s="491"/>
      <c r="P78" s="10"/>
      <c r="Q78" s="10"/>
    </row>
    <row r="79" spans="1:16362">
      <c r="A79" s="10">
        <f t="shared" si="3"/>
        <v>76</v>
      </c>
      <c r="B79" s="483" t="s">
        <v>1071</v>
      </c>
      <c r="C79" s="10"/>
      <c r="D79" s="10"/>
      <c r="E79" s="279"/>
      <c r="F79" s="10"/>
      <c r="G79" s="484"/>
      <c r="H79" s="191"/>
      <c r="I79" s="191"/>
      <c r="J79" s="279"/>
      <c r="K79" s="191"/>
      <c r="L79" s="191"/>
      <c r="M79" s="486"/>
      <c r="N79" s="245"/>
      <c r="O79" s="10"/>
      <c r="P79" s="10"/>
      <c r="Q79" s="10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12"/>
      <c r="GP79" s="12"/>
      <c r="GQ79" s="12"/>
      <c r="GR79" s="12"/>
      <c r="GS79" s="12"/>
      <c r="GT79" s="12"/>
      <c r="GU79" s="12"/>
      <c r="GV79" s="12"/>
      <c r="GW79" s="12"/>
      <c r="GX79" s="12"/>
      <c r="GY79" s="12"/>
      <c r="GZ79" s="12"/>
      <c r="HA79" s="12"/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  <c r="IL79" s="12"/>
      <c r="IM79" s="12"/>
      <c r="IN79" s="12"/>
      <c r="IO79" s="12"/>
      <c r="IP79" s="12"/>
      <c r="IQ79" s="12"/>
      <c r="IR79" s="12"/>
      <c r="IS79" s="12"/>
      <c r="IT79" s="12"/>
      <c r="IU79" s="12"/>
      <c r="IV79" s="12"/>
      <c r="IW79" s="12"/>
      <c r="IX79" s="12"/>
      <c r="IY79" s="12"/>
      <c r="IZ79" s="12"/>
      <c r="JA79" s="12"/>
      <c r="JB79" s="12"/>
      <c r="JC79" s="12"/>
      <c r="JD79" s="12"/>
      <c r="JE79" s="12"/>
      <c r="JF79" s="12"/>
      <c r="JG79" s="12"/>
      <c r="JH79" s="12"/>
      <c r="JI79" s="12"/>
      <c r="JJ79" s="12"/>
      <c r="JK79" s="12"/>
      <c r="JL79" s="12"/>
      <c r="JM79" s="12"/>
      <c r="JN79" s="12"/>
      <c r="JO79" s="12"/>
      <c r="JP79" s="12"/>
      <c r="JQ79" s="12"/>
      <c r="JR79" s="12"/>
      <c r="JS79" s="12"/>
      <c r="JT79" s="12"/>
      <c r="JU79" s="12"/>
      <c r="JV79" s="12"/>
      <c r="JW79" s="12"/>
      <c r="JX79" s="12"/>
      <c r="JY79" s="12"/>
      <c r="JZ79" s="12"/>
      <c r="KA79" s="12"/>
      <c r="KB79" s="12"/>
      <c r="KC79" s="12"/>
      <c r="KD79" s="12"/>
      <c r="KE79" s="12"/>
      <c r="KF79" s="12"/>
      <c r="KG79" s="12"/>
      <c r="KH79" s="12"/>
      <c r="KI79" s="12"/>
      <c r="KJ79" s="12"/>
      <c r="KK79" s="12"/>
      <c r="KL79" s="12"/>
      <c r="KM79" s="12"/>
      <c r="KN79" s="12"/>
      <c r="KO79" s="12"/>
      <c r="KP79" s="12"/>
      <c r="KQ79" s="12"/>
      <c r="KR79" s="12"/>
      <c r="KS79" s="12"/>
      <c r="KT79" s="12"/>
      <c r="KU79" s="12"/>
      <c r="KV79" s="12"/>
      <c r="KW79" s="12"/>
      <c r="KX79" s="12"/>
      <c r="KY79" s="12"/>
      <c r="KZ79" s="12"/>
      <c r="LA79" s="12"/>
      <c r="LB79" s="12"/>
      <c r="LC79" s="12"/>
      <c r="LD79" s="12"/>
      <c r="LE79" s="12"/>
      <c r="LF79" s="12"/>
      <c r="LG79" s="12"/>
      <c r="LH79" s="12"/>
      <c r="LI79" s="12"/>
      <c r="LJ79" s="12"/>
      <c r="LK79" s="12"/>
      <c r="LL79" s="12"/>
      <c r="LM79" s="12"/>
      <c r="LN79" s="12"/>
      <c r="LO79" s="12"/>
      <c r="LP79" s="12"/>
      <c r="LQ79" s="12"/>
      <c r="LR79" s="12"/>
      <c r="LS79" s="12"/>
      <c r="LT79" s="12"/>
      <c r="LU79" s="12"/>
      <c r="LV79" s="12"/>
      <c r="LW79" s="12"/>
      <c r="LX79" s="12"/>
      <c r="LY79" s="12"/>
      <c r="LZ79" s="12"/>
      <c r="MA79" s="12"/>
      <c r="MB79" s="12"/>
      <c r="MC79" s="12"/>
      <c r="MD79" s="12"/>
      <c r="ME79" s="12"/>
      <c r="MF79" s="12"/>
      <c r="MG79" s="12"/>
      <c r="MH79" s="12"/>
      <c r="MI79" s="12"/>
      <c r="MJ79" s="12"/>
      <c r="MK79" s="12"/>
      <c r="ML79" s="12"/>
      <c r="MM79" s="12"/>
      <c r="MN79" s="12"/>
      <c r="MO79" s="12"/>
      <c r="MP79" s="12"/>
      <c r="MQ79" s="12"/>
      <c r="MR79" s="12"/>
      <c r="MS79" s="12"/>
      <c r="MT79" s="12"/>
      <c r="MU79" s="12"/>
      <c r="MV79" s="12"/>
      <c r="MW79" s="12"/>
      <c r="MX79" s="12"/>
      <c r="MY79" s="12"/>
      <c r="MZ79" s="12"/>
      <c r="NA79" s="12"/>
      <c r="NB79" s="12"/>
      <c r="NC79" s="12"/>
      <c r="ND79" s="12"/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  <c r="PY79" s="12"/>
      <c r="PZ79" s="12"/>
      <c r="QA79" s="12"/>
      <c r="QB79" s="12"/>
      <c r="QC79" s="12"/>
      <c r="QD79" s="12"/>
      <c r="QE79" s="12"/>
      <c r="QF79" s="12"/>
      <c r="QG79" s="12"/>
      <c r="QH79" s="12"/>
      <c r="QI79" s="12"/>
      <c r="QJ79" s="12"/>
      <c r="QK79" s="12"/>
      <c r="QL79" s="12"/>
      <c r="QM79" s="12"/>
      <c r="QN79" s="12"/>
      <c r="QO79" s="12"/>
      <c r="QP79" s="12"/>
      <c r="QQ79" s="12"/>
      <c r="QR79" s="12"/>
      <c r="QS79" s="12"/>
      <c r="QT79" s="12"/>
      <c r="QU79" s="12"/>
      <c r="QV79" s="12"/>
      <c r="QW79" s="12"/>
      <c r="QX79" s="12"/>
      <c r="QY79" s="12"/>
      <c r="QZ79" s="12"/>
      <c r="RA79" s="12"/>
      <c r="RB79" s="12"/>
      <c r="RC79" s="12"/>
      <c r="RD79" s="12"/>
      <c r="RE79" s="12"/>
      <c r="RF79" s="12"/>
      <c r="RG79" s="12"/>
      <c r="RH79" s="12"/>
      <c r="RI79" s="12"/>
      <c r="RJ79" s="12"/>
      <c r="RK79" s="12"/>
      <c r="RL79" s="12"/>
      <c r="RM79" s="12"/>
      <c r="RN79" s="12"/>
      <c r="RO79" s="12"/>
      <c r="RP79" s="12"/>
      <c r="RQ79" s="12"/>
      <c r="RR79" s="12"/>
      <c r="RS79" s="12"/>
      <c r="RT79" s="12"/>
      <c r="RU79" s="12"/>
      <c r="RV79" s="12"/>
      <c r="RW79" s="12"/>
      <c r="RX79" s="12"/>
      <c r="RY79" s="12"/>
      <c r="RZ79" s="12"/>
      <c r="SA79" s="12"/>
      <c r="SB79" s="12"/>
      <c r="SC79" s="12"/>
      <c r="SD79" s="12"/>
      <c r="SE79" s="12"/>
      <c r="SF79" s="12"/>
      <c r="SG79" s="12"/>
      <c r="SH79" s="12"/>
      <c r="SI79" s="12"/>
      <c r="SJ79" s="12"/>
      <c r="SK79" s="12"/>
      <c r="SL79" s="12"/>
      <c r="SM79" s="12"/>
      <c r="SN79" s="12"/>
      <c r="SO79" s="12"/>
      <c r="SP79" s="12"/>
      <c r="SQ79" s="12"/>
      <c r="SR79" s="12"/>
      <c r="SS79" s="12"/>
      <c r="ST79" s="12"/>
      <c r="SU79" s="12"/>
      <c r="SV79" s="12"/>
      <c r="SW79" s="12"/>
      <c r="SX79" s="12"/>
      <c r="SY79" s="12"/>
      <c r="SZ79" s="12"/>
      <c r="TA79" s="12"/>
      <c r="TB79" s="12"/>
      <c r="TC79" s="12"/>
      <c r="TD79" s="12"/>
      <c r="TE79" s="12"/>
      <c r="TF79" s="12"/>
      <c r="TG79" s="12"/>
      <c r="TH79" s="12"/>
      <c r="TI79" s="12"/>
      <c r="TJ79" s="12"/>
      <c r="TK79" s="12"/>
      <c r="TL79" s="12"/>
      <c r="TM79" s="12"/>
      <c r="TN79" s="12"/>
      <c r="TO79" s="12"/>
      <c r="TP79" s="12"/>
      <c r="TQ79" s="12"/>
      <c r="TR79" s="12"/>
      <c r="TS79" s="12"/>
      <c r="TT79" s="12"/>
      <c r="TU79" s="12"/>
      <c r="TV79" s="12"/>
      <c r="TW79" s="12"/>
      <c r="TX79" s="12"/>
      <c r="TY79" s="12"/>
      <c r="TZ79" s="12"/>
      <c r="UA79" s="12"/>
      <c r="UB79" s="12"/>
      <c r="UC79" s="12"/>
      <c r="UD79" s="12"/>
      <c r="UE79" s="12"/>
      <c r="UF79" s="12"/>
      <c r="UG79" s="12"/>
      <c r="UH79" s="12"/>
      <c r="UI79" s="12"/>
      <c r="UJ79" s="12"/>
      <c r="UK79" s="12"/>
      <c r="UL79" s="12"/>
      <c r="UM79" s="12"/>
      <c r="UN79" s="12"/>
      <c r="UO79" s="12"/>
      <c r="UP79" s="12"/>
      <c r="UQ79" s="12"/>
      <c r="UR79" s="12"/>
      <c r="US79" s="12"/>
      <c r="UT79" s="12"/>
      <c r="UU79" s="12"/>
      <c r="UV79" s="12"/>
      <c r="UW79" s="12"/>
      <c r="UX79" s="12"/>
      <c r="UY79" s="12"/>
      <c r="UZ79" s="12"/>
      <c r="VA79" s="12"/>
      <c r="VB79" s="12"/>
      <c r="VC79" s="12"/>
      <c r="VD79" s="12"/>
      <c r="VE79" s="12"/>
      <c r="VF79" s="12"/>
      <c r="VG79" s="12"/>
      <c r="VH79" s="12"/>
      <c r="VI79" s="12"/>
      <c r="VJ79" s="12"/>
      <c r="VK79" s="12"/>
      <c r="VL79" s="12"/>
      <c r="VM79" s="12"/>
      <c r="VN79" s="12"/>
      <c r="VO79" s="12"/>
      <c r="VP79" s="12"/>
      <c r="VQ79" s="12"/>
      <c r="VR79" s="12"/>
      <c r="VS79" s="12"/>
      <c r="VT79" s="12"/>
      <c r="VU79" s="12"/>
      <c r="VV79" s="12"/>
      <c r="VW79" s="12"/>
      <c r="VX79" s="12"/>
      <c r="VY79" s="12"/>
      <c r="VZ79" s="12"/>
      <c r="WA79" s="12"/>
      <c r="WB79" s="12"/>
      <c r="WC79" s="12"/>
      <c r="WD79" s="12"/>
      <c r="WE79" s="12"/>
      <c r="WF79" s="12"/>
      <c r="WG79" s="12"/>
      <c r="WH79" s="12"/>
      <c r="WI79" s="12"/>
      <c r="WJ79" s="12"/>
      <c r="WK79" s="12"/>
      <c r="WL79" s="12"/>
      <c r="WM79" s="12"/>
      <c r="WN79" s="12"/>
      <c r="WO79" s="12"/>
      <c r="WP79" s="12"/>
      <c r="WQ79" s="12"/>
      <c r="WR79" s="12"/>
      <c r="WS79" s="12"/>
      <c r="WT79" s="12"/>
      <c r="WU79" s="12"/>
      <c r="WV79" s="12"/>
      <c r="WW79" s="12"/>
      <c r="WX79" s="12"/>
      <c r="WY79" s="12"/>
      <c r="WZ79" s="12"/>
      <c r="XA79" s="12"/>
      <c r="XB79" s="12"/>
      <c r="XC79" s="12"/>
      <c r="XD79" s="12"/>
      <c r="XE79" s="12"/>
      <c r="XF79" s="12"/>
      <c r="XG79" s="12"/>
      <c r="XH79" s="12"/>
      <c r="XI79" s="12"/>
      <c r="XJ79" s="12"/>
      <c r="XK79" s="12"/>
      <c r="XL79" s="12"/>
      <c r="XM79" s="12"/>
      <c r="XN79" s="12"/>
      <c r="XO79" s="12"/>
      <c r="XP79" s="12"/>
      <c r="XQ79" s="12"/>
      <c r="XR79" s="12"/>
      <c r="XS79" s="12"/>
      <c r="XT79" s="12"/>
      <c r="XU79" s="12"/>
      <c r="XV79" s="12"/>
      <c r="XW79" s="12"/>
      <c r="XX79" s="12"/>
      <c r="XY79" s="12"/>
      <c r="XZ79" s="12"/>
      <c r="YA79" s="12"/>
      <c r="YB79" s="12"/>
      <c r="YC79" s="12"/>
      <c r="YD79" s="12"/>
      <c r="YE79" s="12"/>
      <c r="YF79" s="12"/>
      <c r="YG79" s="12"/>
      <c r="YH79" s="12"/>
      <c r="YI79" s="12"/>
      <c r="YJ79" s="12"/>
      <c r="YK79" s="12"/>
      <c r="YL79" s="12"/>
      <c r="YM79" s="12"/>
      <c r="YN79" s="12"/>
      <c r="YO79" s="12"/>
      <c r="YP79" s="12"/>
      <c r="YQ79" s="12"/>
      <c r="YR79" s="12"/>
      <c r="YS79" s="12"/>
      <c r="YT79" s="12"/>
      <c r="YU79" s="12"/>
      <c r="YV79" s="12"/>
      <c r="YW79" s="12"/>
      <c r="YX79" s="12"/>
      <c r="YY79" s="12"/>
      <c r="YZ79" s="12"/>
      <c r="ZA79" s="12"/>
      <c r="ZB79" s="12"/>
      <c r="ZC79" s="12"/>
      <c r="ZD79" s="12"/>
      <c r="ZE79" s="12"/>
      <c r="ZF79" s="12"/>
      <c r="ZG79" s="12"/>
      <c r="ZH79" s="12"/>
      <c r="ZI79" s="12"/>
      <c r="ZJ79" s="12"/>
      <c r="ZK79" s="12"/>
      <c r="ZL79" s="12"/>
      <c r="ZM79" s="12"/>
      <c r="ZN79" s="12"/>
      <c r="ZO79" s="12"/>
      <c r="ZP79" s="12"/>
      <c r="ZQ79" s="12"/>
      <c r="ZR79" s="12"/>
      <c r="ZS79" s="12"/>
      <c r="ZT79" s="12"/>
      <c r="ZU79" s="12"/>
      <c r="ZV79" s="12"/>
      <c r="ZW79" s="12"/>
      <c r="ZX79" s="12"/>
      <c r="ZY79" s="12"/>
      <c r="ZZ79" s="12"/>
      <c r="AAA79" s="12"/>
      <c r="AAB79" s="12"/>
      <c r="AAC79" s="12"/>
      <c r="AAD79" s="12"/>
      <c r="AAE79" s="12"/>
      <c r="AAF79" s="12"/>
      <c r="AAG79" s="12"/>
      <c r="AAH79" s="12"/>
      <c r="AAI79" s="12"/>
      <c r="AAJ79" s="12"/>
      <c r="AAK79" s="12"/>
      <c r="AAL79" s="12"/>
      <c r="AAM79" s="12"/>
      <c r="AAN79" s="12"/>
      <c r="AAO79" s="12"/>
      <c r="AAP79" s="12"/>
      <c r="AAQ79" s="12"/>
      <c r="AAR79" s="12"/>
      <c r="AAS79" s="12"/>
      <c r="AAT79" s="12"/>
      <c r="AAU79" s="12"/>
      <c r="AAV79" s="12"/>
      <c r="AAW79" s="12"/>
      <c r="AAX79" s="12"/>
      <c r="AAY79" s="12"/>
      <c r="AAZ79" s="12"/>
      <c r="ABA79" s="12"/>
      <c r="ABB79" s="12"/>
      <c r="ABC79" s="12"/>
      <c r="ABD79" s="12"/>
      <c r="ABE79" s="12"/>
      <c r="ABF79" s="12"/>
      <c r="ABG79" s="12"/>
      <c r="ABH79" s="12"/>
      <c r="ABI79" s="12"/>
      <c r="ABJ79" s="12"/>
      <c r="ABK79" s="12"/>
      <c r="ABL79" s="12"/>
      <c r="ABM79" s="12"/>
      <c r="ABN79" s="12"/>
      <c r="ABO79" s="12"/>
      <c r="ABP79" s="12"/>
      <c r="ABQ79" s="12"/>
      <c r="ABR79" s="12"/>
      <c r="ABS79" s="12"/>
      <c r="ABT79" s="12"/>
      <c r="ABU79" s="12"/>
      <c r="ABV79" s="12"/>
      <c r="ABW79" s="12"/>
      <c r="ABX79" s="12"/>
      <c r="ABY79" s="12"/>
      <c r="ABZ79" s="12"/>
      <c r="ACA79" s="12"/>
      <c r="ACB79" s="12"/>
      <c r="ACC79" s="12"/>
      <c r="ACD79" s="12"/>
      <c r="ACE79" s="12"/>
      <c r="ACF79" s="12"/>
      <c r="ACG79" s="12"/>
      <c r="ACH79" s="12"/>
      <c r="ACI79" s="12"/>
      <c r="ACJ79" s="12"/>
      <c r="ACK79" s="12"/>
      <c r="ACL79" s="12"/>
      <c r="ACM79" s="12"/>
      <c r="ACN79" s="12"/>
      <c r="ACO79" s="12"/>
      <c r="ACP79" s="12"/>
      <c r="ACQ79" s="12"/>
      <c r="ACR79" s="12"/>
      <c r="ACS79" s="12"/>
      <c r="ACT79" s="12"/>
      <c r="ACU79" s="12"/>
      <c r="ACV79" s="12"/>
      <c r="ACW79" s="12"/>
      <c r="ACX79" s="12"/>
      <c r="ACY79" s="12"/>
      <c r="ACZ79" s="12"/>
      <c r="ADA79" s="12"/>
      <c r="ADB79" s="12"/>
      <c r="ADC79" s="12"/>
      <c r="ADD79" s="12"/>
      <c r="ADE79" s="12"/>
      <c r="ADF79" s="12"/>
      <c r="ADG79" s="12"/>
      <c r="ADH79" s="12"/>
      <c r="ADI79" s="12"/>
      <c r="ADJ79" s="12"/>
      <c r="ADK79" s="12"/>
      <c r="ADL79" s="12"/>
      <c r="ADM79" s="12"/>
      <c r="ADN79" s="12"/>
      <c r="ADO79" s="12"/>
      <c r="ADP79" s="12"/>
      <c r="ADQ79" s="12"/>
      <c r="ADR79" s="12"/>
      <c r="ADS79" s="12"/>
      <c r="ADT79" s="12"/>
      <c r="ADU79" s="12"/>
      <c r="ADV79" s="12"/>
      <c r="ADW79" s="12"/>
      <c r="ADX79" s="12"/>
      <c r="ADY79" s="12"/>
      <c r="ADZ79" s="12"/>
      <c r="AEA79" s="12"/>
      <c r="AEB79" s="12"/>
      <c r="AEC79" s="12"/>
      <c r="AED79" s="12"/>
      <c r="AEE79" s="12"/>
      <c r="AEF79" s="12"/>
      <c r="AEG79" s="12"/>
      <c r="AEH79" s="12"/>
      <c r="AEI79" s="12"/>
      <c r="AEJ79" s="12"/>
      <c r="AEK79" s="12"/>
      <c r="AEL79" s="12"/>
      <c r="AEM79" s="12"/>
      <c r="AEN79" s="12"/>
      <c r="AEO79" s="12"/>
      <c r="AEP79" s="12"/>
      <c r="AEQ79" s="12"/>
      <c r="AER79" s="12"/>
      <c r="AES79" s="12"/>
      <c r="AET79" s="12"/>
      <c r="AEU79" s="12"/>
      <c r="AEV79" s="12"/>
      <c r="AEW79" s="12"/>
      <c r="AEX79" s="12"/>
      <c r="AEY79" s="12"/>
      <c r="AEZ79" s="12"/>
      <c r="AFA79" s="12"/>
      <c r="AFB79" s="12"/>
      <c r="AFC79" s="12"/>
      <c r="AFD79" s="12"/>
      <c r="AFE79" s="12"/>
      <c r="AFF79" s="12"/>
      <c r="AFG79" s="12"/>
      <c r="AFH79" s="12"/>
      <c r="AFI79" s="12"/>
      <c r="AFJ79" s="12"/>
      <c r="AFK79" s="12"/>
      <c r="AFL79" s="12"/>
      <c r="AFM79" s="12"/>
      <c r="AFN79" s="12"/>
      <c r="AFO79" s="12"/>
      <c r="AFP79" s="12"/>
      <c r="AFQ79" s="12"/>
      <c r="AFR79" s="12"/>
      <c r="AFS79" s="12"/>
      <c r="AFT79" s="12"/>
      <c r="AFU79" s="12"/>
      <c r="AFV79" s="12"/>
      <c r="AFW79" s="12"/>
      <c r="AFX79" s="12"/>
      <c r="AFY79" s="12"/>
      <c r="AFZ79" s="12"/>
      <c r="AGA79" s="12"/>
      <c r="AGB79" s="12"/>
      <c r="AGC79" s="12"/>
      <c r="AGD79" s="12"/>
      <c r="AGE79" s="12"/>
      <c r="AGF79" s="12"/>
      <c r="AGG79" s="12"/>
      <c r="AGH79" s="12"/>
      <c r="AGI79" s="12"/>
      <c r="AGJ79" s="12"/>
      <c r="AGK79" s="12"/>
      <c r="AGL79" s="12"/>
      <c r="AGM79" s="12"/>
      <c r="AGN79" s="12"/>
      <c r="AGO79" s="12"/>
      <c r="AGP79" s="12"/>
      <c r="AGQ79" s="12"/>
      <c r="AGR79" s="12"/>
      <c r="AGS79" s="12"/>
      <c r="AGT79" s="12"/>
      <c r="AGU79" s="12"/>
      <c r="AGV79" s="12"/>
      <c r="AGW79" s="12"/>
      <c r="AGX79" s="12"/>
      <c r="AGY79" s="12"/>
      <c r="AGZ79" s="12"/>
      <c r="AHA79" s="12"/>
      <c r="AHB79" s="12"/>
      <c r="AHC79" s="12"/>
      <c r="AHD79" s="12"/>
      <c r="AHE79" s="12"/>
      <c r="AHF79" s="12"/>
      <c r="AHG79" s="12"/>
      <c r="AHH79" s="12"/>
      <c r="AHI79" s="12"/>
      <c r="AHJ79" s="12"/>
      <c r="AHK79" s="12"/>
      <c r="AHL79" s="12"/>
      <c r="AHM79" s="12"/>
      <c r="AHN79" s="12"/>
      <c r="AHO79" s="12"/>
      <c r="AHP79" s="12"/>
      <c r="AHQ79" s="12"/>
      <c r="AHR79" s="12"/>
      <c r="AHS79" s="12"/>
      <c r="AHT79" s="12"/>
      <c r="AHU79" s="12"/>
      <c r="AHV79" s="12"/>
      <c r="AHW79" s="12"/>
      <c r="AHX79" s="12"/>
      <c r="AHY79" s="12"/>
      <c r="AHZ79" s="12"/>
      <c r="AIA79" s="12"/>
      <c r="AIB79" s="12"/>
      <c r="AIC79" s="12"/>
      <c r="AID79" s="12"/>
      <c r="AIE79" s="12"/>
      <c r="AIF79" s="12"/>
      <c r="AIG79" s="12"/>
      <c r="AIH79" s="12"/>
      <c r="AII79" s="12"/>
      <c r="AIJ79" s="12"/>
      <c r="AIK79" s="12"/>
      <c r="AIL79" s="12"/>
      <c r="AIM79" s="12"/>
      <c r="AIN79" s="12"/>
      <c r="AIO79" s="12"/>
      <c r="AIP79" s="12"/>
      <c r="AIQ79" s="12"/>
      <c r="AIR79" s="12"/>
      <c r="AIS79" s="12"/>
      <c r="AIT79" s="12"/>
      <c r="AIU79" s="12"/>
      <c r="AIV79" s="12"/>
      <c r="AIW79" s="12"/>
      <c r="AIX79" s="12"/>
      <c r="AIY79" s="12"/>
      <c r="AIZ79" s="12"/>
      <c r="AJA79" s="12"/>
      <c r="AJB79" s="12"/>
      <c r="AJC79" s="12"/>
      <c r="AJD79" s="12"/>
      <c r="AJE79" s="12"/>
      <c r="AJF79" s="12"/>
      <c r="AJG79" s="12"/>
      <c r="AJH79" s="12"/>
      <c r="AJI79" s="12"/>
      <c r="AJJ79" s="12"/>
      <c r="AJK79" s="12"/>
      <c r="AJL79" s="12"/>
      <c r="AJM79" s="12"/>
      <c r="AJN79" s="12"/>
      <c r="AJO79" s="12"/>
      <c r="AJP79" s="12"/>
      <c r="AJQ79" s="12"/>
      <c r="AJR79" s="12"/>
      <c r="AJS79" s="12"/>
      <c r="AJT79" s="12"/>
      <c r="AJU79" s="12"/>
      <c r="AJV79" s="12"/>
      <c r="AJW79" s="12"/>
      <c r="AJX79" s="12"/>
      <c r="AJY79" s="12"/>
      <c r="AJZ79" s="12"/>
      <c r="AKA79" s="12"/>
      <c r="AKB79" s="12"/>
      <c r="AKC79" s="12"/>
      <c r="AKD79" s="12"/>
      <c r="AKE79" s="12"/>
      <c r="AKF79" s="12"/>
      <c r="AKG79" s="12"/>
      <c r="AKH79" s="12"/>
      <c r="AKI79" s="12"/>
      <c r="AKJ79" s="12"/>
      <c r="AKK79" s="12"/>
      <c r="AKL79" s="12"/>
      <c r="AKM79" s="12"/>
      <c r="AKN79" s="12"/>
      <c r="AKO79" s="12"/>
      <c r="AKP79" s="12"/>
      <c r="AKQ79" s="12"/>
      <c r="AKR79" s="12"/>
      <c r="AKS79" s="12"/>
      <c r="AKT79" s="12"/>
      <c r="AKU79" s="12"/>
      <c r="AKV79" s="12"/>
      <c r="AKW79" s="12"/>
      <c r="AKX79" s="12"/>
      <c r="AKY79" s="12"/>
      <c r="AKZ79" s="12"/>
      <c r="ALA79" s="12"/>
      <c r="ALB79" s="12"/>
      <c r="ALC79" s="12"/>
      <c r="ALD79" s="12"/>
      <c r="ALE79" s="12"/>
      <c r="ALF79" s="12"/>
      <c r="ALG79" s="12"/>
      <c r="ALH79" s="12"/>
      <c r="ALI79" s="12"/>
      <c r="ALJ79" s="12"/>
      <c r="ALK79" s="12"/>
      <c r="ALL79" s="12"/>
      <c r="ALM79" s="12"/>
      <c r="ALN79" s="12"/>
      <c r="ALO79" s="12"/>
      <c r="ALP79" s="12"/>
      <c r="ALQ79" s="12"/>
      <c r="ALR79" s="12"/>
      <c r="ALS79" s="12"/>
      <c r="ALT79" s="12"/>
      <c r="ALU79" s="12"/>
      <c r="ALV79" s="12"/>
      <c r="ALW79" s="12"/>
      <c r="ALX79" s="12"/>
      <c r="ALY79" s="12"/>
      <c r="ALZ79" s="12"/>
      <c r="AMA79" s="12"/>
      <c r="AMB79" s="12"/>
      <c r="AMC79" s="12"/>
      <c r="AMD79" s="12"/>
      <c r="AME79" s="12"/>
      <c r="AMF79" s="12"/>
      <c r="AMG79" s="12"/>
      <c r="AMH79" s="12"/>
      <c r="AMI79" s="12"/>
      <c r="AMJ79" s="12"/>
      <c r="AMK79" s="12"/>
      <c r="AML79" s="12"/>
      <c r="AMM79" s="12"/>
      <c r="AMN79" s="12"/>
      <c r="AMO79" s="12"/>
      <c r="AMP79" s="12"/>
      <c r="AMQ79" s="12"/>
      <c r="AMR79" s="12"/>
      <c r="AMS79" s="12"/>
      <c r="AMT79" s="12"/>
      <c r="AMU79" s="12"/>
      <c r="AMV79" s="12"/>
      <c r="AMW79" s="12"/>
      <c r="AMX79" s="12"/>
      <c r="AMY79" s="12"/>
      <c r="AMZ79" s="12"/>
      <c r="ANA79" s="12"/>
      <c r="ANB79" s="12"/>
      <c r="ANC79" s="12"/>
      <c r="AND79" s="12"/>
      <c r="ANE79" s="12"/>
      <c r="ANF79" s="12"/>
      <c r="ANG79" s="12"/>
      <c r="ANH79" s="12"/>
      <c r="ANI79" s="12"/>
      <c r="ANJ79" s="12"/>
      <c r="ANK79" s="12"/>
      <c r="ANL79" s="12"/>
      <c r="ANM79" s="12"/>
      <c r="ANN79" s="12"/>
      <c r="ANO79" s="12"/>
      <c r="ANP79" s="12"/>
      <c r="ANQ79" s="12"/>
      <c r="ANR79" s="12"/>
      <c r="ANS79" s="12"/>
      <c r="ANT79" s="12"/>
      <c r="ANU79" s="12"/>
      <c r="ANV79" s="12"/>
      <c r="ANW79" s="12"/>
      <c r="ANX79" s="12"/>
      <c r="ANY79" s="12"/>
      <c r="ANZ79" s="12"/>
      <c r="AOA79" s="12"/>
      <c r="AOB79" s="12"/>
      <c r="AOC79" s="12"/>
      <c r="AOD79" s="12"/>
      <c r="AOE79" s="12"/>
      <c r="AOF79" s="12"/>
      <c r="AOG79" s="12"/>
      <c r="AOH79" s="12"/>
      <c r="AOI79" s="12"/>
      <c r="AOJ79" s="12"/>
      <c r="AOK79" s="12"/>
      <c r="AOL79" s="12"/>
      <c r="AOM79" s="12"/>
      <c r="AON79" s="12"/>
      <c r="AOO79" s="12"/>
      <c r="AOP79" s="12"/>
      <c r="AOQ79" s="12"/>
      <c r="AOR79" s="12"/>
      <c r="AOS79" s="12"/>
      <c r="AOT79" s="12"/>
      <c r="AOU79" s="12"/>
      <c r="AOV79" s="12"/>
      <c r="AOW79" s="12"/>
      <c r="AOX79" s="12"/>
      <c r="AOY79" s="12"/>
      <c r="AOZ79" s="12"/>
      <c r="APA79" s="12"/>
      <c r="APB79" s="12"/>
      <c r="APC79" s="12"/>
      <c r="APD79" s="12"/>
      <c r="APE79" s="12"/>
      <c r="APF79" s="12"/>
      <c r="APG79" s="12"/>
      <c r="APH79" s="12"/>
      <c r="API79" s="12"/>
      <c r="APJ79" s="12"/>
      <c r="APK79" s="12"/>
      <c r="APL79" s="12"/>
      <c r="APM79" s="12"/>
      <c r="APN79" s="12"/>
      <c r="APO79" s="12"/>
      <c r="APP79" s="12"/>
      <c r="APQ79" s="12"/>
      <c r="APR79" s="12"/>
      <c r="APS79" s="12"/>
      <c r="APT79" s="12"/>
      <c r="APU79" s="12"/>
      <c r="APV79" s="12"/>
      <c r="APW79" s="12"/>
      <c r="APX79" s="12"/>
      <c r="APY79" s="12"/>
      <c r="APZ79" s="12"/>
      <c r="AQA79" s="12"/>
      <c r="AQB79" s="12"/>
      <c r="AQC79" s="12"/>
      <c r="AQD79" s="12"/>
      <c r="AQE79" s="12"/>
      <c r="AQF79" s="12"/>
      <c r="AQG79" s="12"/>
      <c r="AQH79" s="12"/>
      <c r="AQI79" s="12"/>
      <c r="AQJ79" s="12"/>
      <c r="AQK79" s="12"/>
      <c r="AQL79" s="12"/>
      <c r="AQM79" s="12"/>
      <c r="AQN79" s="12"/>
      <c r="AQO79" s="12"/>
      <c r="AQP79" s="12"/>
      <c r="AQQ79" s="12"/>
      <c r="AQR79" s="12"/>
      <c r="AQS79" s="12"/>
      <c r="AQT79" s="12"/>
      <c r="AQU79" s="12"/>
      <c r="AQV79" s="12"/>
      <c r="AQW79" s="12"/>
      <c r="AQX79" s="12"/>
      <c r="AQY79" s="12"/>
      <c r="AQZ79" s="12"/>
      <c r="ARA79" s="12"/>
      <c r="ARB79" s="12"/>
      <c r="ARC79" s="12"/>
      <c r="ARD79" s="12"/>
      <c r="ARE79" s="12"/>
      <c r="ARF79" s="12"/>
      <c r="ARG79" s="12"/>
      <c r="ARH79" s="12"/>
      <c r="ARI79" s="12"/>
      <c r="ARJ79" s="12"/>
      <c r="ARK79" s="12"/>
      <c r="ARL79" s="12"/>
      <c r="ARM79" s="12"/>
      <c r="ARN79" s="12"/>
      <c r="ARO79" s="12"/>
      <c r="ARP79" s="12"/>
      <c r="ARQ79" s="12"/>
      <c r="ARR79" s="12"/>
      <c r="ARS79" s="12"/>
      <c r="ART79" s="12"/>
      <c r="ARU79" s="12"/>
      <c r="ARV79" s="12"/>
      <c r="ARW79" s="12"/>
      <c r="ARX79" s="12"/>
      <c r="ARY79" s="12"/>
      <c r="ARZ79" s="12"/>
      <c r="ASA79" s="12"/>
      <c r="ASB79" s="12"/>
      <c r="ASC79" s="12"/>
      <c r="ASD79" s="12"/>
      <c r="ASE79" s="12"/>
      <c r="ASF79" s="12"/>
      <c r="ASG79" s="12"/>
      <c r="ASH79" s="12"/>
      <c r="ASI79" s="12"/>
      <c r="ASJ79" s="12"/>
      <c r="ASK79" s="12"/>
      <c r="ASL79" s="12"/>
      <c r="ASM79" s="12"/>
      <c r="ASN79" s="12"/>
      <c r="ASO79" s="12"/>
      <c r="ASP79" s="12"/>
      <c r="ASQ79" s="12"/>
      <c r="ASR79" s="12"/>
      <c r="ASS79" s="12"/>
      <c r="AST79" s="12"/>
      <c r="ASU79" s="12"/>
      <c r="ASV79" s="12"/>
      <c r="ASW79" s="12"/>
      <c r="ASX79" s="12"/>
      <c r="ASY79" s="12"/>
      <c r="ASZ79" s="12"/>
      <c r="ATA79" s="12"/>
      <c r="ATB79" s="12"/>
      <c r="ATC79" s="12"/>
      <c r="ATD79" s="12"/>
      <c r="ATE79" s="12"/>
      <c r="ATF79" s="12"/>
      <c r="ATG79" s="12"/>
      <c r="ATH79" s="12"/>
      <c r="ATI79" s="12"/>
      <c r="ATJ79" s="12"/>
      <c r="ATK79" s="12"/>
      <c r="ATL79" s="12"/>
      <c r="ATM79" s="12"/>
      <c r="ATN79" s="12"/>
      <c r="ATO79" s="12"/>
      <c r="ATP79" s="12"/>
      <c r="ATQ79" s="12"/>
      <c r="ATR79" s="12"/>
      <c r="ATS79" s="12"/>
      <c r="ATT79" s="12"/>
      <c r="ATU79" s="12"/>
      <c r="ATV79" s="12"/>
      <c r="ATW79" s="12"/>
      <c r="ATX79" s="12"/>
      <c r="ATY79" s="12"/>
      <c r="ATZ79" s="12"/>
      <c r="AUA79" s="12"/>
      <c r="AUB79" s="12"/>
      <c r="AUC79" s="12"/>
      <c r="AUD79" s="12"/>
      <c r="AUE79" s="12"/>
      <c r="AUF79" s="12"/>
      <c r="AUG79" s="12"/>
      <c r="AUH79" s="12"/>
      <c r="AUI79" s="12"/>
      <c r="AUJ79" s="12"/>
      <c r="AUK79" s="12"/>
      <c r="AUL79" s="12"/>
      <c r="AUM79" s="12"/>
      <c r="AUN79" s="12"/>
      <c r="AUO79" s="12"/>
      <c r="AUP79" s="12"/>
      <c r="AUQ79" s="12"/>
      <c r="AUR79" s="12"/>
      <c r="AUS79" s="12"/>
      <c r="AUT79" s="12"/>
      <c r="AUU79" s="12"/>
      <c r="AUV79" s="12"/>
      <c r="AUW79" s="12"/>
      <c r="AUX79" s="12"/>
      <c r="AUY79" s="12"/>
      <c r="AUZ79" s="12"/>
      <c r="AVA79" s="12"/>
      <c r="AVB79" s="12"/>
      <c r="AVC79" s="12"/>
      <c r="AVD79" s="12"/>
      <c r="AVE79" s="12"/>
      <c r="AVF79" s="12"/>
      <c r="AVG79" s="12"/>
      <c r="AVH79" s="12"/>
      <c r="AVI79" s="12"/>
      <c r="AVJ79" s="12"/>
      <c r="AVK79" s="12"/>
      <c r="AVL79" s="12"/>
      <c r="AVM79" s="12"/>
      <c r="AVN79" s="12"/>
      <c r="AVO79" s="12"/>
      <c r="AVP79" s="12"/>
      <c r="AVQ79" s="12"/>
      <c r="AVR79" s="12"/>
      <c r="AVS79" s="12"/>
      <c r="AVT79" s="12"/>
      <c r="AVU79" s="12"/>
      <c r="AVV79" s="12"/>
      <c r="AVW79" s="12"/>
      <c r="AVX79" s="12"/>
      <c r="AVY79" s="12"/>
      <c r="AVZ79" s="12"/>
      <c r="AWA79" s="12"/>
      <c r="AWB79" s="12"/>
      <c r="AWC79" s="12"/>
      <c r="AWD79" s="12"/>
      <c r="AWE79" s="12"/>
      <c r="AWF79" s="12"/>
      <c r="AWG79" s="12"/>
      <c r="AWH79" s="12"/>
      <c r="AWI79" s="12"/>
      <c r="AWJ79" s="12"/>
      <c r="AWK79" s="12"/>
      <c r="AWL79" s="12"/>
      <c r="AWM79" s="12"/>
      <c r="AWN79" s="12"/>
      <c r="AWO79" s="12"/>
      <c r="AWP79" s="12"/>
      <c r="AWQ79" s="12"/>
      <c r="AWR79" s="12"/>
      <c r="AWS79" s="12"/>
      <c r="AWT79" s="12"/>
      <c r="AWU79" s="12"/>
      <c r="AWV79" s="12"/>
      <c r="AWW79" s="12"/>
      <c r="AWX79" s="12"/>
      <c r="AWY79" s="12"/>
      <c r="AWZ79" s="12"/>
      <c r="AXA79" s="12"/>
      <c r="AXB79" s="12"/>
      <c r="AXC79" s="12"/>
      <c r="AXD79" s="12"/>
      <c r="AXE79" s="12"/>
      <c r="AXF79" s="12"/>
      <c r="AXG79" s="12"/>
      <c r="AXH79" s="12"/>
      <c r="AXI79" s="12"/>
      <c r="AXJ79" s="12"/>
      <c r="AXK79" s="12"/>
      <c r="AXL79" s="12"/>
      <c r="AXM79" s="12"/>
      <c r="AXN79" s="12"/>
      <c r="AXO79" s="12"/>
      <c r="AXP79" s="12"/>
      <c r="AXQ79" s="12"/>
      <c r="AXR79" s="12"/>
      <c r="AXS79" s="12"/>
      <c r="AXT79" s="12"/>
      <c r="AXU79" s="12"/>
      <c r="AXV79" s="12"/>
      <c r="AXW79" s="12"/>
      <c r="AXX79" s="12"/>
      <c r="AXY79" s="12"/>
      <c r="AXZ79" s="12"/>
      <c r="AYA79" s="12"/>
      <c r="AYB79" s="12"/>
      <c r="AYC79" s="12"/>
      <c r="AYD79" s="12"/>
      <c r="AYE79" s="12"/>
      <c r="AYF79" s="12"/>
      <c r="AYG79" s="12"/>
      <c r="AYH79" s="12"/>
      <c r="AYI79" s="12"/>
      <c r="AYJ79" s="12"/>
      <c r="AYK79" s="12"/>
      <c r="AYL79" s="12"/>
      <c r="AYM79" s="12"/>
      <c r="AYN79" s="12"/>
      <c r="AYO79" s="12"/>
      <c r="AYP79" s="12"/>
      <c r="AYQ79" s="12"/>
      <c r="AYR79" s="12"/>
      <c r="AYS79" s="12"/>
      <c r="AYT79" s="12"/>
      <c r="AYU79" s="12"/>
      <c r="AYV79" s="12"/>
      <c r="AYW79" s="12"/>
      <c r="AYX79" s="12"/>
      <c r="AYY79" s="12"/>
      <c r="AYZ79" s="12"/>
      <c r="AZA79" s="12"/>
      <c r="AZB79" s="12"/>
      <c r="AZC79" s="12"/>
      <c r="AZD79" s="12"/>
      <c r="AZE79" s="12"/>
      <c r="AZF79" s="12"/>
      <c r="AZG79" s="12"/>
      <c r="AZH79" s="12"/>
      <c r="AZI79" s="12"/>
      <c r="AZJ79" s="12"/>
      <c r="AZK79" s="12"/>
      <c r="AZL79" s="12"/>
      <c r="AZM79" s="12"/>
      <c r="AZN79" s="12"/>
      <c r="AZO79" s="12"/>
      <c r="AZP79" s="12"/>
      <c r="AZQ79" s="12"/>
      <c r="AZR79" s="12"/>
      <c r="AZS79" s="12"/>
      <c r="AZT79" s="12"/>
      <c r="AZU79" s="12"/>
      <c r="AZV79" s="12"/>
      <c r="AZW79" s="12"/>
      <c r="AZX79" s="12"/>
      <c r="AZY79" s="12"/>
      <c r="AZZ79" s="12"/>
      <c r="BAA79" s="12"/>
      <c r="BAB79" s="12"/>
      <c r="BAC79" s="12"/>
      <c r="BAD79" s="12"/>
      <c r="BAE79" s="12"/>
      <c r="BAF79" s="12"/>
      <c r="BAG79" s="12"/>
      <c r="BAH79" s="12"/>
      <c r="BAI79" s="12"/>
      <c r="BAJ79" s="12"/>
      <c r="BAK79" s="12"/>
      <c r="BAL79" s="12"/>
      <c r="BAM79" s="12"/>
      <c r="BAN79" s="12"/>
      <c r="BAO79" s="12"/>
      <c r="BAP79" s="12"/>
      <c r="BAQ79" s="12"/>
      <c r="BAR79" s="12"/>
      <c r="BAS79" s="12"/>
      <c r="BAT79" s="12"/>
      <c r="BAU79" s="12"/>
      <c r="BAV79" s="12"/>
      <c r="BAW79" s="12"/>
      <c r="BAX79" s="12"/>
      <c r="BAY79" s="12"/>
      <c r="BAZ79" s="12"/>
      <c r="BBA79" s="12"/>
      <c r="BBB79" s="12"/>
      <c r="BBC79" s="12"/>
      <c r="BBD79" s="12"/>
      <c r="BBE79" s="12"/>
      <c r="BBF79" s="12"/>
      <c r="BBG79" s="12"/>
      <c r="BBH79" s="12"/>
      <c r="BBI79" s="12"/>
      <c r="BBJ79" s="12"/>
      <c r="BBK79" s="12"/>
      <c r="BBL79" s="12"/>
      <c r="BBM79" s="12"/>
      <c r="BBN79" s="12"/>
      <c r="BBO79" s="12"/>
      <c r="BBP79" s="12"/>
      <c r="BBQ79" s="12"/>
      <c r="BBR79" s="12"/>
      <c r="BBS79" s="12"/>
      <c r="BBT79" s="12"/>
      <c r="BBU79" s="12"/>
      <c r="BBV79" s="12"/>
      <c r="BBW79" s="12"/>
      <c r="BBX79" s="12"/>
      <c r="BBY79" s="12"/>
      <c r="BBZ79" s="12"/>
      <c r="BCA79" s="12"/>
      <c r="BCB79" s="12"/>
      <c r="BCC79" s="12"/>
      <c r="BCD79" s="12"/>
      <c r="BCE79" s="12"/>
      <c r="BCF79" s="12"/>
      <c r="BCG79" s="12"/>
      <c r="BCH79" s="12"/>
      <c r="BCI79" s="12"/>
      <c r="BCJ79" s="12"/>
      <c r="BCK79" s="12"/>
      <c r="BCL79" s="12"/>
      <c r="BCM79" s="12"/>
      <c r="BCN79" s="12"/>
      <c r="BCO79" s="12"/>
      <c r="BCP79" s="12"/>
      <c r="BCQ79" s="12"/>
      <c r="BCR79" s="12"/>
      <c r="BCS79" s="12"/>
      <c r="BCT79" s="12"/>
      <c r="BCU79" s="12"/>
      <c r="BCV79" s="12"/>
      <c r="BCW79" s="12"/>
      <c r="BCX79" s="12"/>
      <c r="BCY79" s="12"/>
      <c r="BCZ79" s="12"/>
      <c r="BDA79" s="12"/>
      <c r="BDB79" s="12"/>
      <c r="BDC79" s="12"/>
      <c r="BDD79" s="12"/>
      <c r="BDE79" s="12"/>
      <c r="BDF79" s="12"/>
      <c r="BDG79" s="12"/>
      <c r="BDH79" s="12"/>
      <c r="BDI79" s="12"/>
      <c r="BDJ79" s="12"/>
      <c r="BDK79" s="12"/>
      <c r="BDL79" s="12"/>
      <c r="BDM79" s="12"/>
      <c r="BDN79" s="12"/>
      <c r="BDO79" s="12"/>
      <c r="BDP79" s="12"/>
      <c r="BDQ79" s="12"/>
      <c r="BDR79" s="12"/>
      <c r="BDS79" s="12"/>
      <c r="BDT79" s="12"/>
      <c r="BDU79" s="12"/>
      <c r="BDV79" s="12"/>
      <c r="BDW79" s="12"/>
      <c r="BDX79" s="12"/>
      <c r="BDY79" s="12"/>
      <c r="BDZ79" s="12"/>
      <c r="BEA79" s="12"/>
      <c r="BEB79" s="12"/>
      <c r="BEC79" s="12"/>
      <c r="BED79" s="12"/>
      <c r="BEE79" s="12"/>
      <c r="BEF79" s="12"/>
      <c r="BEG79" s="12"/>
      <c r="BEH79" s="12"/>
      <c r="BEI79" s="12"/>
      <c r="BEJ79" s="12"/>
      <c r="BEK79" s="12"/>
      <c r="BEL79" s="12"/>
      <c r="BEM79" s="12"/>
      <c r="BEN79" s="12"/>
      <c r="BEO79" s="12"/>
      <c r="BEP79" s="12"/>
      <c r="BEQ79" s="12"/>
      <c r="BER79" s="12"/>
      <c r="BES79" s="12"/>
      <c r="BET79" s="12"/>
      <c r="BEU79" s="12"/>
      <c r="BEV79" s="12"/>
      <c r="BEW79" s="12"/>
      <c r="BEX79" s="12"/>
      <c r="BEY79" s="12"/>
      <c r="BEZ79" s="12"/>
      <c r="BFA79" s="12"/>
      <c r="BFB79" s="12"/>
      <c r="BFC79" s="12"/>
      <c r="BFD79" s="12"/>
      <c r="BFE79" s="12"/>
      <c r="BFF79" s="12"/>
      <c r="BFG79" s="12"/>
      <c r="BFH79" s="12"/>
      <c r="BFI79" s="12"/>
      <c r="BFJ79" s="12"/>
      <c r="BFK79" s="12"/>
      <c r="BFL79" s="12"/>
      <c r="BFM79" s="12"/>
      <c r="BFN79" s="12"/>
      <c r="BFO79" s="12"/>
      <c r="BFP79" s="12"/>
      <c r="BFQ79" s="12"/>
      <c r="BFR79" s="12"/>
      <c r="BFS79" s="12"/>
      <c r="BFT79" s="12"/>
      <c r="BFU79" s="12"/>
      <c r="BFV79" s="12"/>
      <c r="BFW79" s="12"/>
      <c r="BFX79" s="12"/>
      <c r="BFY79" s="12"/>
      <c r="BFZ79" s="12"/>
      <c r="BGA79" s="12"/>
      <c r="BGB79" s="12"/>
      <c r="BGC79" s="12"/>
      <c r="BGD79" s="12"/>
      <c r="BGE79" s="12"/>
      <c r="BGF79" s="12"/>
      <c r="BGG79" s="12"/>
      <c r="BGH79" s="12"/>
      <c r="BGI79" s="12"/>
      <c r="BGJ79" s="12"/>
      <c r="BGK79" s="12"/>
      <c r="BGL79" s="12"/>
      <c r="BGM79" s="12"/>
      <c r="BGN79" s="12"/>
      <c r="BGO79" s="12"/>
      <c r="BGP79" s="12"/>
      <c r="BGQ79" s="12"/>
      <c r="BGR79" s="12"/>
      <c r="BGS79" s="12"/>
      <c r="BGT79" s="12"/>
      <c r="BGU79" s="12"/>
      <c r="BGV79" s="12"/>
      <c r="BGW79" s="12"/>
      <c r="BGX79" s="12"/>
      <c r="BGY79" s="12"/>
      <c r="BGZ79" s="12"/>
      <c r="BHA79" s="12"/>
      <c r="BHB79" s="12"/>
      <c r="BHC79" s="12"/>
      <c r="BHD79" s="12"/>
      <c r="BHE79" s="12"/>
      <c r="BHF79" s="12"/>
      <c r="BHG79" s="12"/>
      <c r="BHH79" s="12"/>
      <c r="BHI79" s="12"/>
      <c r="BHJ79" s="12"/>
      <c r="BHK79" s="12"/>
      <c r="BHL79" s="12"/>
      <c r="BHM79" s="12"/>
      <c r="BHN79" s="12"/>
      <c r="BHO79" s="12"/>
      <c r="BHP79" s="12"/>
      <c r="BHQ79" s="12"/>
      <c r="BHR79" s="12"/>
      <c r="BHS79" s="12"/>
      <c r="BHT79" s="12"/>
      <c r="BHU79" s="12"/>
      <c r="BHV79" s="12"/>
      <c r="BHW79" s="12"/>
      <c r="BHX79" s="12"/>
      <c r="BHY79" s="12"/>
      <c r="BHZ79" s="12"/>
      <c r="BIA79" s="12"/>
      <c r="BIB79" s="12"/>
      <c r="BIC79" s="12"/>
      <c r="BID79" s="12"/>
      <c r="BIE79" s="12"/>
      <c r="BIF79" s="12"/>
      <c r="BIG79" s="12"/>
      <c r="BIH79" s="12"/>
      <c r="BII79" s="12"/>
      <c r="BIJ79" s="12"/>
      <c r="BIK79" s="12"/>
      <c r="BIL79" s="12"/>
      <c r="BIM79" s="12"/>
      <c r="BIN79" s="12"/>
      <c r="BIO79" s="12"/>
      <c r="BIP79" s="12"/>
      <c r="BIQ79" s="12"/>
      <c r="BIR79" s="12"/>
      <c r="BIS79" s="12"/>
      <c r="BIT79" s="12"/>
      <c r="BIU79" s="12"/>
      <c r="BIV79" s="12"/>
      <c r="BIW79" s="12"/>
      <c r="BIX79" s="12"/>
      <c r="BIY79" s="12"/>
      <c r="BIZ79" s="12"/>
      <c r="BJA79" s="12"/>
      <c r="BJB79" s="12"/>
      <c r="BJC79" s="12"/>
      <c r="BJD79" s="12"/>
      <c r="BJE79" s="12"/>
      <c r="BJF79" s="12"/>
      <c r="BJG79" s="12"/>
      <c r="BJH79" s="12"/>
      <c r="BJI79" s="12"/>
      <c r="BJJ79" s="12"/>
      <c r="BJK79" s="12"/>
      <c r="BJL79" s="12"/>
      <c r="BJM79" s="12"/>
      <c r="BJN79" s="12"/>
      <c r="BJO79" s="12"/>
      <c r="BJP79" s="12"/>
      <c r="BJQ79" s="12"/>
      <c r="BJR79" s="12"/>
      <c r="BJS79" s="12"/>
      <c r="BJT79" s="12"/>
      <c r="BJU79" s="12"/>
      <c r="BJV79" s="12"/>
      <c r="BJW79" s="12"/>
      <c r="BJX79" s="12"/>
      <c r="BJY79" s="12"/>
      <c r="BJZ79" s="12"/>
      <c r="BKA79" s="12"/>
      <c r="BKB79" s="12"/>
      <c r="BKC79" s="12"/>
      <c r="BKD79" s="12"/>
      <c r="BKE79" s="12"/>
      <c r="BKF79" s="12"/>
      <c r="BKG79" s="12"/>
      <c r="BKH79" s="12"/>
      <c r="BKI79" s="12"/>
      <c r="BKJ79" s="12"/>
      <c r="BKK79" s="12"/>
      <c r="BKL79" s="12"/>
      <c r="BKM79" s="12"/>
      <c r="BKN79" s="12"/>
      <c r="BKO79" s="12"/>
      <c r="BKP79" s="12"/>
      <c r="BKQ79" s="12"/>
      <c r="BKR79" s="12"/>
      <c r="BKS79" s="12"/>
      <c r="BKT79" s="12"/>
      <c r="BKU79" s="12"/>
      <c r="BKV79" s="12"/>
      <c r="BKW79" s="12"/>
      <c r="BKX79" s="12"/>
      <c r="BKY79" s="12"/>
      <c r="BKZ79" s="12"/>
      <c r="BLA79" s="12"/>
      <c r="BLB79" s="12"/>
      <c r="BLC79" s="12"/>
      <c r="BLD79" s="12"/>
      <c r="BLE79" s="12"/>
      <c r="BLF79" s="12"/>
      <c r="BLG79" s="12"/>
      <c r="BLH79" s="12"/>
      <c r="BLI79" s="12"/>
      <c r="BLJ79" s="12"/>
      <c r="BLK79" s="12"/>
      <c r="BLL79" s="12"/>
      <c r="BLM79" s="12"/>
      <c r="BLN79" s="12"/>
      <c r="BLO79" s="12"/>
      <c r="BLP79" s="12"/>
      <c r="BLQ79" s="12"/>
      <c r="BLR79" s="12"/>
      <c r="BLS79" s="12"/>
      <c r="BLT79" s="12"/>
      <c r="BLU79" s="12"/>
      <c r="BLV79" s="12"/>
      <c r="BLW79" s="12"/>
      <c r="BLX79" s="12"/>
      <c r="BLY79" s="12"/>
      <c r="BLZ79" s="12"/>
      <c r="BMA79" s="12"/>
      <c r="BMB79" s="12"/>
      <c r="BMC79" s="12"/>
      <c r="BMD79" s="12"/>
      <c r="BME79" s="12"/>
      <c r="BMF79" s="12"/>
      <c r="BMG79" s="12"/>
      <c r="BMH79" s="12"/>
      <c r="BMI79" s="12"/>
      <c r="BMJ79" s="12"/>
      <c r="BMK79" s="12"/>
      <c r="BML79" s="12"/>
      <c r="BMM79" s="12"/>
      <c r="BMN79" s="12"/>
      <c r="BMO79" s="12"/>
      <c r="BMP79" s="12"/>
      <c r="BMQ79" s="12"/>
      <c r="BMR79" s="12"/>
      <c r="BMS79" s="12"/>
      <c r="BMT79" s="12"/>
      <c r="BMU79" s="12"/>
      <c r="BMV79" s="12"/>
      <c r="BMW79" s="12"/>
      <c r="BMX79" s="12"/>
      <c r="BMY79" s="12"/>
      <c r="BMZ79" s="12"/>
      <c r="BNA79" s="12"/>
      <c r="BNB79" s="12"/>
      <c r="BNC79" s="12"/>
      <c r="BND79" s="12"/>
      <c r="BNE79" s="12"/>
      <c r="BNF79" s="12"/>
      <c r="BNG79" s="12"/>
      <c r="BNH79" s="12"/>
      <c r="BNI79" s="12"/>
      <c r="BNJ79" s="12"/>
      <c r="BNK79" s="12"/>
      <c r="BNL79" s="12"/>
      <c r="BNM79" s="12"/>
      <c r="BNN79" s="12"/>
      <c r="BNO79" s="12"/>
      <c r="BNP79" s="12"/>
      <c r="BNQ79" s="12"/>
      <c r="BNR79" s="12"/>
      <c r="BNS79" s="12"/>
      <c r="BNT79" s="12"/>
      <c r="BNU79" s="12"/>
      <c r="BNV79" s="12"/>
      <c r="BNW79" s="12"/>
      <c r="BNX79" s="12"/>
      <c r="BNY79" s="12"/>
      <c r="BNZ79" s="12"/>
      <c r="BOA79" s="12"/>
      <c r="BOB79" s="12"/>
      <c r="BOC79" s="12"/>
      <c r="BOD79" s="12"/>
      <c r="BOE79" s="12"/>
      <c r="BOF79" s="12"/>
      <c r="BOG79" s="12"/>
      <c r="BOH79" s="12"/>
      <c r="BOI79" s="12"/>
      <c r="BOJ79" s="12"/>
      <c r="BOK79" s="12"/>
      <c r="BOL79" s="12"/>
      <c r="BOM79" s="12"/>
      <c r="BON79" s="12"/>
      <c r="BOO79" s="12"/>
      <c r="BOP79" s="12"/>
      <c r="BOQ79" s="12"/>
      <c r="BOR79" s="12"/>
      <c r="BOS79" s="12"/>
      <c r="BOT79" s="12"/>
      <c r="BOU79" s="12"/>
      <c r="BOV79" s="12"/>
      <c r="BOW79" s="12"/>
      <c r="BOX79" s="12"/>
      <c r="BOY79" s="12"/>
      <c r="BOZ79" s="12"/>
      <c r="BPA79" s="12"/>
      <c r="BPB79" s="12"/>
      <c r="BPC79" s="12"/>
      <c r="BPD79" s="12"/>
      <c r="BPE79" s="12"/>
      <c r="BPF79" s="12"/>
      <c r="BPG79" s="12"/>
      <c r="BPH79" s="12"/>
      <c r="BPI79" s="12"/>
      <c r="BPJ79" s="12"/>
      <c r="BPK79" s="12"/>
      <c r="BPL79" s="12"/>
      <c r="BPM79" s="12"/>
      <c r="BPN79" s="12"/>
      <c r="BPO79" s="12"/>
      <c r="BPP79" s="12"/>
      <c r="BPQ79" s="12"/>
      <c r="BPR79" s="12"/>
      <c r="BPS79" s="12"/>
      <c r="BPT79" s="12"/>
      <c r="BPU79" s="12"/>
      <c r="BPV79" s="12"/>
      <c r="BPW79" s="12"/>
      <c r="BPX79" s="12"/>
      <c r="BPY79" s="12"/>
      <c r="BPZ79" s="12"/>
      <c r="BQA79" s="12"/>
      <c r="BQB79" s="12"/>
      <c r="BQC79" s="12"/>
      <c r="BQD79" s="12"/>
      <c r="BQE79" s="12"/>
      <c r="BQF79" s="12"/>
      <c r="BQG79" s="12"/>
      <c r="BQH79" s="12"/>
      <c r="BQI79" s="12"/>
      <c r="BQJ79" s="12"/>
      <c r="BQK79" s="12"/>
      <c r="BQL79" s="12"/>
      <c r="BQM79" s="12"/>
      <c r="BQN79" s="12"/>
      <c r="BQO79" s="12"/>
      <c r="BQP79" s="12"/>
      <c r="BQQ79" s="12"/>
      <c r="BQR79" s="12"/>
      <c r="BQS79" s="12"/>
      <c r="BQT79" s="12"/>
      <c r="BQU79" s="12"/>
      <c r="BQV79" s="12"/>
      <c r="BQW79" s="12"/>
      <c r="BQX79" s="12"/>
      <c r="BQY79" s="12"/>
      <c r="BQZ79" s="12"/>
      <c r="BRA79" s="12"/>
      <c r="BRB79" s="12"/>
      <c r="BRC79" s="12"/>
      <c r="BRD79" s="12"/>
      <c r="BRE79" s="12"/>
      <c r="BRF79" s="12"/>
      <c r="BRG79" s="12"/>
      <c r="BRH79" s="12"/>
      <c r="BRI79" s="12"/>
      <c r="BRJ79" s="12"/>
      <c r="BRK79" s="12"/>
      <c r="BRL79" s="12"/>
      <c r="BRM79" s="12"/>
      <c r="BRN79" s="12"/>
      <c r="BRO79" s="12"/>
      <c r="BRP79" s="12"/>
      <c r="BRQ79" s="12"/>
      <c r="BRR79" s="12"/>
      <c r="BRS79" s="12"/>
      <c r="BRT79" s="12"/>
      <c r="BRU79" s="12"/>
      <c r="BRV79" s="12"/>
      <c r="BRW79" s="12"/>
      <c r="BRX79" s="12"/>
      <c r="BRY79" s="12"/>
      <c r="BRZ79" s="12"/>
      <c r="BSA79" s="12"/>
      <c r="BSB79" s="12"/>
      <c r="BSC79" s="12"/>
      <c r="BSD79" s="12"/>
      <c r="BSE79" s="12"/>
      <c r="BSF79" s="12"/>
      <c r="BSG79" s="12"/>
      <c r="BSH79" s="12"/>
      <c r="BSI79" s="12"/>
      <c r="BSJ79" s="12"/>
      <c r="BSK79" s="12"/>
      <c r="BSL79" s="12"/>
      <c r="BSM79" s="12"/>
      <c r="BSN79" s="12"/>
      <c r="BSO79" s="12"/>
      <c r="BSP79" s="12"/>
      <c r="BSQ79" s="12"/>
      <c r="BSR79" s="12"/>
      <c r="BSS79" s="12"/>
      <c r="BST79" s="12"/>
      <c r="BSU79" s="12"/>
      <c r="BSV79" s="12"/>
      <c r="BSW79" s="12"/>
      <c r="BSX79" s="12"/>
      <c r="BSY79" s="12"/>
      <c r="BSZ79" s="12"/>
      <c r="BTA79" s="12"/>
      <c r="BTB79" s="12"/>
      <c r="BTC79" s="12"/>
      <c r="BTD79" s="12"/>
      <c r="BTE79" s="12"/>
      <c r="BTF79" s="12"/>
      <c r="BTG79" s="12"/>
      <c r="BTH79" s="12"/>
      <c r="BTI79" s="12"/>
      <c r="BTJ79" s="12"/>
      <c r="BTK79" s="12"/>
      <c r="BTL79" s="12"/>
      <c r="BTM79" s="12"/>
      <c r="BTN79" s="12"/>
      <c r="BTO79" s="12"/>
      <c r="BTP79" s="12"/>
      <c r="BTQ79" s="12"/>
      <c r="BTR79" s="12"/>
      <c r="BTS79" s="12"/>
      <c r="BTT79" s="12"/>
      <c r="BTU79" s="12"/>
      <c r="BTV79" s="12"/>
      <c r="BTW79" s="12"/>
      <c r="BTX79" s="12"/>
      <c r="BTY79" s="12"/>
      <c r="BTZ79" s="12"/>
      <c r="BUA79" s="12"/>
      <c r="BUB79" s="12"/>
      <c r="BUC79" s="12"/>
      <c r="BUD79" s="12"/>
      <c r="BUE79" s="12"/>
      <c r="BUF79" s="12"/>
      <c r="BUG79" s="12"/>
      <c r="BUH79" s="12"/>
      <c r="BUI79" s="12"/>
      <c r="BUJ79" s="12"/>
      <c r="BUK79" s="12"/>
      <c r="BUL79" s="12"/>
      <c r="BUM79" s="12"/>
      <c r="BUN79" s="12"/>
      <c r="BUO79" s="12"/>
      <c r="BUP79" s="12"/>
      <c r="BUQ79" s="12"/>
      <c r="BUR79" s="12"/>
      <c r="BUS79" s="12"/>
      <c r="BUT79" s="12"/>
      <c r="BUU79" s="12"/>
      <c r="BUV79" s="12"/>
      <c r="BUW79" s="12"/>
      <c r="BUX79" s="12"/>
      <c r="BUY79" s="12"/>
      <c r="BUZ79" s="12"/>
      <c r="BVA79" s="12"/>
      <c r="BVB79" s="12"/>
      <c r="BVC79" s="12"/>
      <c r="BVD79" s="12"/>
      <c r="BVE79" s="12"/>
      <c r="BVF79" s="12"/>
      <c r="BVG79" s="12"/>
      <c r="BVH79" s="12"/>
      <c r="BVI79" s="12"/>
      <c r="BVJ79" s="12"/>
      <c r="BVK79" s="12"/>
      <c r="BVL79" s="12"/>
      <c r="BVM79" s="12"/>
      <c r="BVN79" s="12"/>
      <c r="BVO79" s="12"/>
      <c r="BVP79" s="12"/>
      <c r="BVQ79" s="12"/>
      <c r="BVR79" s="12"/>
      <c r="BVS79" s="12"/>
      <c r="BVT79" s="12"/>
      <c r="BVU79" s="12"/>
      <c r="BVV79" s="12"/>
      <c r="BVW79" s="12"/>
      <c r="BVX79" s="12"/>
      <c r="BVY79" s="12"/>
      <c r="BVZ79" s="12"/>
      <c r="BWA79" s="12"/>
      <c r="BWB79" s="12"/>
      <c r="BWC79" s="12"/>
      <c r="BWD79" s="12"/>
      <c r="BWE79" s="12"/>
      <c r="BWF79" s="12"/>
      <c r="BWG79" s="12"/>
      <c r="BWH79" s="12"/>
      <c r="BWI79" s="12"/>
      <c r="BWJ79" s="12"/>
      <c r="BWK79" s="12"/>
      <c r="BWL79" s="12"/>
      <c r="BWM79" s="12"/>
      <c r="BWN79" s="12"/>
      <c r="BWO79" s="12"/>
      <c r="BWP79" s="12"/>
      <c r="BWQ79" s="12"/>
      <c r="BWR79" s="12"/>
      <c r="BWS79" s="12"/>
      <c r="BWT79" s="12"/>
      <c r="BWU79" s="12"/>
      <c r="BWV79" s="12"/>
      <c r="BWW79" s="12"/>
      <c r="BWX79" s="12"/>
      <c r="BWY79" s="12"/>
      <c r="BWZ79" s="12"/>
      <c r="BXA79" s="12"/>
      <c r="BXB79" s="12"/>
      <c r="BXC79" s="12"/>
      <c r="BXD79" s="12"/>
      <c r="BXE79" s="12"/>
      <c r="BXF79" s="12"/>
      <c r="BXG79" s="12"/>
      <c r="BXH79" s="12"/>
      <c r="BXI79" s="12"/>
      <c r="BXJ79" s="12"/>
      <c r="BXK79" s="12"/>
      <c r="BXL79" s="12"/>
      <c r="BXM79" s="12"/>
      <c r="BXN79" s="12"/>
      <c r="BXO79" s="12"/>
      <c r="BXP79" s="12"/>
      <c r="BXQ79" s="12"/>
      <c r="BXR79" s="12"/>
      <c r="BXS79" s="12"/>
      <c r="BXT79" s="12"/>
      <c r="BXU79" s="12"/>
      <c r="BXV79" s="12"/>
      <c r="BXW79" s="12"/>
      <c r="BXX79" s="12"/>
      <c r="BXY79" s="12"/>
      <c r="BXZ79" s="12"/>
      <c r="BYA79" s="12"/>
      <c r="BYB79" s="12"/>
      <c r="BYC79" s="12"/>
      <c r="BYD79" s="12"/>
      <c r="BYE79" s="12"/>
      <c r="BYF79" s="12"/>
      <c r="BYG79" s="12"/>
      <c r="BYH79" s="12"/>
      <c r="BYI79" s="12"/>
      <c r="BYJ79" s="12"/>
      <c r="BYK79" s="12"/>
      <c r="BYL79" s="12"/>
      <c r="BYM79" s="12"/>
      <c r="BYN79" s="12"/>
      <c r="BYO79" s="12"/>
      <c r="BYP79" s="12"/>
      <c r="BYQ79" s="12"/>
      <c r="BYR79" s="12"/>
      <c r="BYS79" s="12"/>
      <c r="BYT79" s="12"/>
      <c r="BYU79" s="12"/>
      <c r="BYV79" s="12"/>
      <c r="BYW79" s="12"/>
      <c r="BYX79" s="12"/>
      <c r="BYY79" s="12"/>
      <c r="BYZ79" s="12"/>
      <c r="BZA79" s="12"/>
      <c r="BZB79" s="12"/>
      <c r="BZC79" s="12"/>
      <c r="BZD79" s="12"/>
      <c r="BZE79" s="12"/>
      <c r="BZF79" s="12"/>
      <c r="BZG79" s="12"/>
      <c r="BZH79" s="12"/>
      <c r="BZI79" s="12"/>
      <c r="BZJ79" s="12"/>
      <c r="BZK79" s="12"/>
      <c r="BZL79" s="12"/>
      <c r="BZM79" s="12"/>
      <c r="BZN79" s="12"/>
      <c r="BZO79" s="12"/>
      <c r="BZP79" s="12"/>
      <c r="BZQ79" s="12"/>
      <c r="BZR79" s="12"/>
      <c r="BZS79" s="12"/>
      <c r="BZT79" s="12"/>
      <c r="BZU79" s="12"/>
      <c r="BZV79" s="12"/>
      <c r="BZW79" s="12"/>
      <c r="BZX79" s="12"/>
      <c r="BZY79" s="12"/>
      <c r="BZZ79" s="12"/>
      <c r="CAA79" s="12"/>
      <c r="CAB79" s="12"/>
      <c r="CAC79" s="12"/>
      <c r="CAD79" s="12"/>
      <c r="CAE79" s="12"/>
      <c r="CAF79" s="12"/>
      <c r="CAG79" s="12"/>
      <c r="CAH79" s="12"/>
      <c r="CAI79" s="12"/>
      <c r="CAJ79" s="12"/>
      <c r="CAK79" s="12"/>
      <c r="CAL79" s="12"/>
      <c r="CAM79" s="12"/>
      <c r="CAN79" s="12"/>
      <c r="CAO79" s="12"/>
      <c r="CAP79" s="12"/>
      <c r="CAQ79" s="12"/>
      <c r="CAR79" s="12"/>
      <c r="CAS79" s="12"/>
      <c r="CAT79" s="12"/>
      <c r="CAU79" s="12"/>
      <c r="CAV79" s="12"/>
      <c r="CAW79" s="12"/>
      <c r="CAX79" s="12"/>
      <c r="CAY79" s="12"/>
      <c r="CAZ79" s="12"/>
      <c r="CBA79" s="12"/>
      <c r="CBB79" s="12"/>
      <c r="CBC79" s="12"/>
      <c r="CBD79" s="12"/>
      <c r="CBE79" s="12"/>
      <c r="CBF79" s="12"/>
      <c r="CBG79" s="12"/>
      <c r="CBH79" s="12"/>
      <c r="CBI79" s="12"/>
      <c r="CBJ79" s="12"/>
      <c r="CBK79" s="12"/>
      <c r="CBL79" s="12"/>
      <c r="CBM79" s="12"/>
      <c r="CBN79" s="12"/>
      <c r="CBO79" s="12"/>
      <c r="CBP79" s="12"/>
      <c r="CBQ79" s="12"/>
      <c r="CBR79" s="12"/>
      <c r="CBS79" s="12"/>
      <c r="CBT79" s="12"/>
      <c r="CBU79" s="12"/>
      <c r="CBV79" s="12"/>
      <c r="CBW79" s="12"/>
      <c r="CBX79" s="12"/>
      <c r="CBY79" s="12"/>
      <c r="CBZ79" s="12"/>
      <c r="CCA79" s="12"/>
      <c r="CCB79" s="12"/>
      <c r="CCC79" s="12"/>
      <c r="CCD79" s="12"/>
      <c r="CCE79" s="12"/>
      <c r="CCF79" s="12"/>
      <c r="CCG79" s="12"/>
      <c r="CCH79" s="12"/>
      <c r="CCI79" s="12"/>
      <c r="CCJ79" s="12"/>
      <c r="CCK79" s="12"/>
      <c r="CCL79" s="12"/>
      <c r="CCM79" s="12"/>
      <c r="CCN79" s="12"/>
      <c r="CCO79" s="12"/>
      <c r="CCP79" s="12"/>
      <c r="CCQ79" s="12"/>
      <c r="CCR79" s="12"/>
      <c r="CCS79" s="12"/>
      <c r="CCT79" s="12"/>
      <c r="CCU79" s="12"/>
      <c r="CCV79" s="12"/>
      <c r="CCW79" s="12"/>
      <c r="CCX79" s="12"/>
      <c r="CCY79" s="12"/>
      <c r="CCZ79" s="12"/>
      <c r="CDA79" s="12"/>
      <c r="CDB79" s="12"/>
      <c r="CDC79" s="12"/>
      <c r="CDD79" s="12"/>
      <c r="CDE79" s="12"/>
      <c r="CDF79" s="12"/>
      <c r="CDG79" s="12"/>
      <c r="CDH79" s="12"/>
      <c r="CDI79" s="12"/>
      <c r="CDJ79" s="12"/>
      <c r="CDK79" s="12"/>
      <c r="CDL79" s="12"/>
      <c r="CDM79" s="12"/>
      <c r="CDN79" s="12"/>
      <c r="CDO79" s="12"/>
      <c r="CDP79" s="12"/>
      <c r="CDQ79" s="12"/>
      <c r="CDR79" s="12"/>
      <c r="CDS79" s="12"/>
      <c r="CDT79" s="12"/>
      <c r="CDU79" s="12"/>
      <c r="CDV79" s="12"/>
      <c r="CDW79" s="12"/>
      <c r="CDX79" s="12"/>
      <c r="CDY79" s="12"/>
      <c r="CDZ79" s="12"/>
      <c r="CEA79" s="12"/>
      <c r="CEB79" s="12"/>
      <c r="CEC79" s="12"/>
      <c r="CED79" s="12"/>
      <c r="CEE79" s="12"/>
      <c r="CEF79" s="12"/>
      <c r="CEG79" s="12"/>
      <c r="CEH79" s="12"/>
      <c r="CEI79" s="12"/>
      <c r="CEJ79" s="12"/>
      <c r="CEK79" s="12"/>
      <c r="CEL79" s="12"/>
      <c r="CEM79" s="12"/>
      <c r="CEN79" s="12"/>
      <c r="CEO79" s="12"/>
      <c r="CEP79" s="12"/>
      <c r="CEQ79" s="12"/>
      <c r="CER79" s="12"/>
      <c r="CES79" s="12"/>
      <c r="CET79" s="12"/>
      <c r="CEU79" s="12"/>
      <c r="CEV79" s="12"/>
      <c r="CEW79" s="12"/>
      <c r="CEX79" s="12"/>
      <c r="CEY79" s="12"/>
      <c r="CEZ79" s="12"/>
      <c r="CFA79" s="12"/>
      <c r="CFB79" s="12"/>
      <c r="CFC79" s="12"/>
      <c r="CFD79" s="12"/>
      <c r="CFE79" s="12"/>
      <c r="CFF79" s="12"/>
      <c r="CFG79" s="12"/>
      <c r="CFH79" s="12"/>
      <c r="CFI79" s="12"/>
      <c r="CFJ79" s="12"/>
      <c r="CFK79" s="12"/>
      <c r="CFL79" s="12"/>
      <c r="CFM79" s="12"/>
      <c r="CFN79" s="12"/>
      <c r="CFO79" s="12"/>
      <c r="CFP79" s="12"/>
      <c r="CFQ79" s="12"/>
      <c r="CFR79" s="12"/>
      <c r="CFS79" s="12"/>
      <c r="CFT79" s="12"/>
      <c r="CFU79" s="12"/>
      <c r="CFV79" s="12"/>
      <c r="CFW79" s="12"/>
      <c r="CFX79" s="12"/>
      <c r="CFY79" s="12"/>
      <c r="CFZ79" s="12"/>
      <c r="CGA79" s="12"/>
      <c r="CGB79" s="12"/>
      <c r="CGC79" s="12"/>
      <c r="CGD79" s="12"/>
      <c r="CGE79" s="12"/>
      <c r="CGF79" s="12"/>
      <c r="CGG79" s="12"/>
      <c r="CGH79" s="12"/>
      <c r="CGI79" s="12"/>
      <c r="CGJ79" s="12"/>
      <c r="CGK79" s="12"/>
      <c r="CGL79" s="12"/>
      <c r="CGM79" s="12"/>
      <c r="CGN79" s="12"/>
      <c r="CGO79" s="12"/>
      <c r="CGP79" s="12"/>
      <c r="CGQ79" s="12"/>
      <c r="CGR79" s="12"/>
      <c r="CGS79" s="12"/>
      <c r="CGT79" s="12"/>
      <c r="CGU79" s="12"/>
      <c r="CGV79" s="12"/>
      <c r="CGW79" s="12"/>
      <c r="CGX79" s="12"/>
      <c r="CGY79" s="12"/>
      <c r="CGZ79" s="12"/>
      <c r="CHA79" s="12"/>
      <c r="CHB79" s="12"/>
      <c r="CHC79" s="12"/>
      <c r="CHD79" s="12"/>
      <c r="CHE79" s="12"/>
      <c r="CHF79" s="12"/>
      <c r="CHG79" s="12"/>
      <c r="CHH79" s="12"/>
      <c r="CHI79" s="12"/>
      <c r="CHJ79" s="12"/>
      <c r="CHK79" s="12"/>
      <c r="CHL79" s="12"/>
      <c r="CHM79" s="12"/>
      <c r="CHN79" s="12"/>
      <c r="CHO79" s="12"/>
      <c r="CHP79" s="12"/>
      <c r="CHQ79" s="12"/>
      <c r="CHR79" s="12"/>
      <c r="CHS79" s="12"/>
      <c r="CHT79" s="12"/>
      <c r="CHU79" s="12"/>
      <c r="CHV79" s="12"/>
      <c r="CHW79" s="12"/>
      <c r="CHX79" s="12"/>
      <c r="CHY79" s="12"/>
      <c r="CHZ79" s="12"/>
      <c r="CIA79" s="12"/>
      <c r="CIB79" s="12"/>
      <c r="CIC79" s="12"/>
      <c r="CID79" s="12"/>
      <c r="CIE79" s="12"/>
      <c r="CIF79" s="12"/>
      <c r="CIG79" s="12"/>
      <c r="CIH79" s="12"/>
      <c r="CII79" s="12"/>
      <c r="CIJ79" s="12"/>
      <c r="CIK79" s="12"/>
      <c r="CIL79" s="12"/>
      <c r="CIM79" s="12"/>
      <c r="CIN79" s="12"/>
      <c r="CIO79" s="12"/>
      <c r="CIP79" s="12"/>
      <c r="CIQ79" s="12"/>
      <c r="CIR79" s="12"/>
      <c r="CIS79" s="12"/>
      <c r="CIT79" s="12"/>
      <c r="CIU79" s="12"/>
      <c r="CIV79" s="12"/>
      <c r="CIW79" s="12"/>
      <c r="CIX79" s="12"/>
      <c r="CIY79" s="12"/>
      <c r="CIZ79" s="12"/>
      <c r="CJA79" s="12"/>
      <c r="CJB79" s="12"/>
      <c r="CJC79" s="12"/>
      <c r="CJD79" s="12"/>
      <c r="CJE79" s="12"/>
      <c r="CJF79" s="12"/>
      <c r="CJG79" s="12"/>
      <c r="CJH79" s="12"/>
      <c r="CJI79" s="12"/>
      <c r="CJJ79" s="12"/>
      <c r="CJK79" s="12"/>
      <c r="CJL79" s="12"/>
      <c r="CJM79" s="12"/>
      <c r="CJN79" s="12"/>
      <c r="CJO79" s="12"/>
      <c r="CJP79" s="12"/>
      <c r="CJQ79" s="12"/>
      <c r="CJR79" s="12"/>
      <c r="CJS79" s="12"/>
      <c r="CJT79" s="12"/>
      <c r="CJU79" s="12"/>
      <c r="CJV79" s="12"/>
      <c r="CJW79" s="12"/>
      <c r="CJX79" s="12"/>
      <c r="CJY79" s="12"/>
      <c r="CJZ79" s="12"/>
      <c r="CKA79" s="12"/>
      <c r="CKB79" s="12"/>
      <c r="CKC79" s="12"/>
      <c r="CKD79" s="12"/>
      <c r="CKE79" s="12"/>
      <c r="CKF79" s="12"/>
      <c r="CKG79" s="12"/>
      <c r="CKH79" s="12"/>
      <c r="CKI79" s="12"/>
      <c r="CKJ79" s="12"/>
      <c r="CKK79" s="12"/>
      <c r="CKL79" s="12"/>
      <c r="CKM79" s="12"/>
      <c r="CKN79" s="12"/>
      <c r="CKO79" s="12"/>
      <c r="CKP79" s="12"/>
      <c r="CKQ79" s="12"/>
      <c r="CKR79" s="12"/>
      <c r="CKS79" s="12"/>
      <c r="CKT79" s="12"/>
      <c r="CKU79" s="12"/>
      <c r="CKV79" s="12"/>
      <c r="CKW79" s="12"/>
      <c r="CKX79" s="12"/>
      <c r="CKY79" s="12"/>
      <c r="CKZ79" s="12"/>
      <c r="CLA79" s="12"/>
      <c r="CLB79" s="12"/>
      <c r="CLC79" s="12"/>
      <c r="CLD79" s="12"/>
      <c r="CLE79" s="12"/>
      <c r="CLF79" s="12"/>
      <c r="CLG79" s="12"/>
      <c r="CLH79" s="12"/>
      <c r="CLI79" s="12"/>
      <c r="CLJ79" s="12"/>
      <c r="CLK79" s="12"/>
      <c r="CLL79" s="12"/>
      <c r="CLM79" s="12"/>
      <c r="CLN79" s="12"/>
      <c r="CLO79" s="12"/>
      <c r="CLP79" s="12"/>
      <c r="CLQ79" s="12"/>
      <c r="CLR79" s="12"/>
      <c r="CLS79" s="12"/>
      <c r="CLT79" s="12"/>
      <c r="CLU79" s="12"/>
      <c r="CLV79" s="12"/>
      <c r="CLW79" s="12"/>
      <c r="CLX79" s="12"/>
      <c r="CLY79" s="12"/>
      <c r="CLZ79" s="12"/>
      <c r="CMA79" s="12"/>
      <c r="CMB79" s="12"/>
      <c r="CMC79" s="12"/>
      <c r="CMD79" s="12"/>
      <c r="CME79" s="12"/>
      <c r="CMF79" s="12"/>
      <c r="CMG79" s="12"/>
      <c r="CMH79" s="12"/>
      <c r="CMI79" s="12"/>
      <c r="CMJ79" s="12"/>
      <c r="CMK79" s="12"/>
      <c r="CML79" s="12"/>
      <c r="CMM79" s="12"/>
      <c r="CMN79" s="12"/>
      <c r="CMO79" s="12"/>
      <c r="CMP79" s="12"/>
      <c r="CMQ79" s="12"/>
      <c r="CMR79" s="12"/>
      <c r="CMS79" s="12"/>
      <c r="CMT79" s="12"/>
      <c r="CMU79" s="12"/>
      <c r="CMV79" s="12"/>
      <c r="CMW79" s="12"/>
      <c r="CMX79" s="12"/>
      <c r="CMY79" s="12"/>
      <c r="CMZ79" s="12"/>
      <c r="CNA79" s="12"/>
      <c r="CNB79" s="12"/>
      <c r="CNC79" s="12"/>
      <c r="CND79" s="12"/>
      <c r="CNE79" s="12"/>
      <c r="CNF79" s="12"/>
      <c r="CNG79" s="12"/>
      <c r="CNH79" s="12"/>
      <c r="CNI79" s="12"/>
      <c r="CNJ79" s="12"/>
      <c r="CNK79" s="12"/>
      <c r="CNL79" s="12"/>
      <c r="CNM79" s="12"/>
      <c r="CNN79" s="12"/>
      <c r="CNO79" s="12"/>
      <c r="CNP79" s="12"/>
      <c r="CNQ79" s="12"/>
      <c r="CNR79" s="12"/>
      <c r="CNS79" s="12"/>
      <c r="CNT79" s="12"/>
      <c r="CNU79" s="12"/>
      <c r="CNV79" s="12"/>
      <c r="CNW79" s="12"/>
      <c r="CNX79" s="12"/>
      <c r="CNY79" s="12"/>
      <c r="CNZ79" s="12"/>
      <c r="COA79" s="12"/>
      <c r="COB79" s="12"/>
      <c r="COC79" s="12"/>
      <c r="COD79" s="12"/>
      <c r="COE79" s="12"/>
      <c r="COF79" s="12"/>
      <c r="COG79" s="12"/>
      <c r="COH79" s="12"/>
      <c r="COI79" s="12"/>
      <c r="COJ79" s="12"/>
      <c r="COK79" s="12"/>
      <c r="COL79" s="12"/>
      <c r="COM79" s="12"/>
      <c r="CON79" s="12"/>
      <c r="COO79" s="12"/>
      <c r="COP79" s="12"/>
      <c r="COQ79" s="12"/>
      <c r="COR79" s="12"/>
      <c r="COS79" s="12"/>
      <c r="COT79" s="12"/>
      <c r="COU79" s="12"/>
      <c r="COV79" s="12"/>
      <c r="COW79" s="12"/>
      <c r="COX79" s="12"/>
      <c r="COY79" s="12"/>
      <c r="COZ79" s="12"/>
      <c r="CPA79" s="12"/>
      <c r="CPB79" s="12"/>
      <c r="CPC79" s="12"/>
      <c r="CPD79" s="12"/>
      <c r="CPE79" s="12"/>
      <c r="CPF79" s="12"/>
      <c r="CPG79" s="12"/>
      <c r="CPH79" s="12"/>
      <c r="CPI79" s="12"/>
      <c r="CPJ79" s="12"/>
      <c r="CPK79" s="12"/>
      <c r="CPL79" s="12"/>
      <c r="CPM79" s="12"/>
      <c r="CPN79" s="12"/>
      <c r="CPO79" s="12"/>
      <c r="CPP79" s="12"/>
      <c r="CPQ79" s="12"/>
      <c r="CPR79" s="12"/>
      <c r="CPS79" s="12"/>
      <c r="CPT79" s="12"/>
      <c r="CPU79" s="12"/>
      <c r="CPV79" s="12"/>
      <c r="CPW79" s="12"/>
      <c r="CPX79" s="12"/>
      <c r="CPY79" s="12"/>
      <c r="CPZ79" s="12"/>
      <c r="CQA79" s="12"/>
      <c r="CQB79" s="12"/>
      <c r="CQC79" s="12"/>
      <c r="CQD79" s="12"/>
      <c r="CQE79" s="12"/>
      <c r="CQF79" s="12"/>
      <c r="CQG79" s="12"/>
      <c r="CQH79" s="12"/>
      <c r="CQI79" s="12"/>
      <c r="CQJ79" s="12"/>
      <c r="CQK79" s="12"/>
      <c r="CQL79" s="12"/>
      <c r="CQM79" s="12"/>
      <c r="CQN79" s="12"/>
      <c r="CQO79" s="12"/>
      <c r="CQP79" s="12"/>
      <c r="CQQ79" s="12"/>
      <c r="CQR79" s="12"/>
      <c r="CQS79" s="12"/>
      <c r="CQT79" s="12"/>
      <c r="CQU79" s="12"/>
      <c r="CQV79" s="12"/>
      <c r="CQW79" s="12"/>
      <c r="CQX79" s="12"/>
      <c r="CQY79" s="12"/>
      <c r="CQZ79" s="12"/>
      <c r="CRA79" s="12"/>
      <c r="CRB79" s="12"/>
      <c r="CRC79" s="12"/>
      <c r="CRD79" s="12"/>
      <c r="CRE79" s="12"/>
      <c r="CRF79" s="12"/>
      <c r="CRG79" s="12"/>
      <c r="CRH79" s="12"/>
      <c r="CRI79" s="12"/>
      <c r="CRJ79" s="12"/>
      <c r="CRK79" s="12"/>
      <c r="CRL79" s="12"/>
      <c r="CRM79" s="12"/>
      <c r="CRN79" s="12"/>
      <c r="CRO79" s="12"/>
      <c r="CRP79" s="12"/>
      <c r="CRQ79" s="12"/>
      <c r="CRR79" s="12"/>
      <c r="CRS79" s="12"/>
      <c r="CRT79" s="12"/>
      <c r="CRU79" s="12"/>
      <c r="CRV79" s="12"/>
      <c r="CRW79" s="12"/>
      <c r="CRX79" s="12"/>
      <c r="CRY79" s="12"/>
      <c r="CRZ79" s="12"/>
      <c r="CSA79" s="12"/>
      <c r="CSB79" s="12"/>
      <c r="CSC79" s="12"/>
      <c r="CSD79" s="12"/>
      <c r="CSE79" s="12"/>
      <c r="CSF79" s="12"/>
      <c r="CSG79" s="12"/>
      <c r="CSH79" s="12"/>
      <c r="CSI79" s="12"/>
      <c r="CSJ79" s="12"/>
      <c r="CSK79" s="12"/>
      <c r="CSL79" s="12"/>
      <c r="CSM79" s="12"/>
      <c r="CSN79" s="12"/>
      <c r="CSO79" s="12"/>
      <c r="CSP79" s="12"/>
      <c r="CSQ79" s="12"/>
      <c r="CSR79" s="12"/>
      <c r="CSS79" s="12"/>
      <c r="CST79" s="12"/>
      <c r="CSU79" s="12"/>
      <c r="CSV79" s="12"/>
      <c r="CSW79" s="12"/>
      <c r="CSX79" s="12"/>
      <c r="CSY79" s="12"/>
      <c r="CSZ79" s="12"/>
      <c r="CTA79" s="12"/>
      <c r="CTB79" s="12"/>
      <c r="CTC79" s="12"/>
      <c r="CTD79" s="12"/>
      <c r="CTE79" s="12"/>
      <c r="CTF79" s="12"/>
      <c r="CTG79" s="12"/>
      <c r="CTH79" s="12"/>
      <c r="CTI79" s="12"/>
      <c r="CTJ79" s="12"/>
      <c r="CTK79" s="12"/>
      <c r="CTL79" s="12"/>
      <c r="CTM79" s="12"/>
      <c r="CTN79" s="12"/>
      <c r="CTO79" s="12"/>
      <c r="CTP79" s="12"/>
      <c r="CTQ79" s="12"/>
      <c r="CTR79" s="12"/>
      <c r="CTS79" s="12"/>
      <c r="CTT79" s="12"/>
      <c r="CTU79" s="12"/>
      <c r="CTV79" s="12"/>
      <c r="CTW79" s="12"/>
      <c r="CTX79" s="12"/>
      <c r="CTY79" s="12"/>
      <c r="CTZ79" s="12"/>
      <c r="CUA79" s="12"/>
      <c r="CUB79" s="12"/>
      <c r="CUC79" s="12"/>
      <c r="CUD79" s="12"/>
      <c r="CUE79" s="12"/>
      <c r="CUF79" s="12"/>
      <c r="CUG79" s="12"/>
      <c r="CUH79" s="12"/>
      <c r="CUI79" s="12"/>
      <c r="CUJ79" s="12"/>
      <c r="CUK79" s="12"/>
      <c r="CUL79" s="12"/>
      <c r="CUM79" s="12"/>
      <c r="CUN79" s="12"/>
      <c r="CUO79" s="12"/>
      <c r="CUP79" s="12"/>
      <c r="CUQ79" s="12"/>
      <c r="CUR79" s="12"/>
      <c r="CUS79" s="12"/>
      <c r="CUT79" s="12"/>
      <c r="CUU79" s="12"/>
      <c r="CUV79" s="12"/>
      <c r="CUW79" s="12"/>
      <c r="CUX79" s="12"/>
      <c r="CUY79" s="12"/>
      <c r="CUZ79" s="12"/>
      <c r="CVA79" s="12"/>
      <c r="CVB79" s="12"/>
      <c r="CVC79" s="12"/>
      <c r="CVD79" s="12"/>
      <c r="CVE79" s="12"/>
      <c r="CVF79" s="12"/>
      <c r="CVG79" s="12"/>
      <c r="CVH79" s="12"/>
      <c r="CVI79" s="12"/>
      <c r="CVJ79" s="12"/>
      <c r="CVK79" s="12"/>
      <c r="CVL79" s="12"/>
      <c r="CVM79" s="12"/>
      <c r="CVN79" s="12"/>
      <c r="CVO79" s="12"/>
      <c r="CVP79" s="12"/>
      <c r="CVQ79" s="12"/>
      <c r="CVR79" s="12"/>
      <c r="CVS79" s="12"/>
      <c r="CVT79" s="12"/>
      <c r="CVU79" s="12"/>
      <c r="CVV79" s="12"/>
      <c r="CVW79" s="12"/>
      <c r="CVX79" s="12"/>
      <c r="CVY79" s="12"/>
      <c r="CVZ79" s="12"/>
      <c r="CWA79" s="12"/>
      <c r="CWB79" s="12"/>
      <c r="CWC79" s="12"/>
      <c r="CWD79" s="12"/>
      <c r="CWE79" s="12"/>
      <c r="CWF79" s="12"/>
      <c r="CWG79" s="12"/>
      <c r="CWH79" s="12"/>
      <c r="CWI79" s="12"/>
      <c r="CWJ79" s="12"/>
      <c r="CWK79" s="12"/>
      <c r="CWL79" s="12"/>
      <c r="CWM79" s="12"/>
      <c r="CWN79" s="12"/>
      <c r="CWO79" s="12"/>
      <c r="CWP79" s="12"/>
      <c r="CWQ79" s="12"/>
      <c r="CWR79" s="12"/>
      <c r="CWS79" s="12"/>
      <c r="CWT79" s="12"/>
      <c r="CWU79" s="12"/>
      <c r="CWV79" s="12"/>
      <c r="CWW79" s="12"/>
      <c r="CWX79" s="12"/>
      <c r="CWY79" s="12"/>
      <c r="CWZ79" s="12"/>
      <c r="CXA79" s="12"/>
      <c r="CXB79" s="12"/>
      <c r="CXC79" s="12"/>
      <c r="CXD79" s="12"/>
      <c r="CXE79" s="12"/>
      <c r="CXF79" s="12"/>
      <c r="CXG79" s="12"/>
      <c r="CXH79" s="12"/>
      <c r="CXI79" s="12"/>
      <c r="CXJ79" s="12"/>
      <c r="CXK79" s="12"/>
      <c r="CXL79" s="12"/>
      <c r="CXM79" s="12"/>
      <c r="CXN79" s="12"/>
      <c r="CXO79" s="12"/>
      <c r="CXP79" s="12"/>
      <c r="CXQ79" s="12"/>
      <c r="CXR79" s="12"/>
      <c r="CXS79" s="12"/>
      <c r="CXT79" s="12"/>
      <c r="CXU79" s="12"/>
      <c r="CXV79" s="12"/>
      <c r="CXW79" s="12"/>
      <c r="CXX79" s="12"/>
      <c r="CXY79" s="12"/>
      <c r="CXZ79" s="12"/>
      <c r="CYA79" s="12"/>
      <c r="CYB79" s="12"/>
      <c r="CYC79" s="12"/>
      <c r="CYD79" s="12"/>
      <c r="CYE79" s="12"/>
      <c r="CYF79" s="12"/>
      <c r="CYG79" s="12"/>
      <c r="CYH79" s="12"/>
      <c r="CYI79" s="12"/>
      <c r="CYJ79" s="12"/>
      <c r="CYK79" s="12"/>
      <c r="CYL79" s="12"/>
      <c r="CYM79" s="12"/>
      <c r="CYN79" s="12"/>
      <c r="CYO79" s="12"/>
      <c r="CYP79" s="12"/>
      <c r="CYQ79" s="12"/>
      <c r="CYR79" s="12"/>
      <c r="CYS79" s="12"/>
      <c r="CYT79" s="12"/>
      <c r="CYU79" s="12"/>
      <c r="CYV79" s="12"/>
      <c r="CYW79" s="12"/>
      <c r="CYX79" s="12"/>
      <c r="CYY79" s="12"/>
      <c r="CYZ79" s="12"/>
      <c r="CZA79" s="12"/>
      <c r="CZB79" s="12"/>
      <c r="CZC79" s="12"/>
      <c r="CZD79" s="12"/>
      <c r="CZE79" s="12"/>
      <c r="CZF79" s="12"/>
      <c r="CZG79" s="12"/>
      <c r="CZH79" s="12"/>
      <c r="CZI79" s="12"/>
      <c r="CZJ79" s="12"/>
      <c r="CZK79" s="12"/>
      <c r="CZL79" s="12"/>
      <c r="CZM79" s="12"/>
      <c r="CZN79" s="12"/>
      <c r="CZO79" s="12"/>
      <c r="CZP79" s="12"/>
      <c r="CZQ79" s="12"/>
      <c r="CZR79" s="12"/>
      <c r="CZS79" s="12"/>
      <c r="CZT79" s="12"/>
      <c r="CZU79" s="12"/>
      <c r="CZV79" s="12"/>
      <c r="CZW79" s="12"/>
      <c r="CZX79" s="12"/>
      <c r="CZY79" s="12"/>
      <c r="CZZ79" s="12"/>
      <c r="DAA79" s="12"/>
      <c r="DAB79" s="12"/>
      <c r="DAC79" s="12"/>
      <c r="DAD79" s="12"/>
      <c r="DAE79" s="12"/>
      <c r="DAF79" s="12"/>
      <c r="DAG79" s="12"/>
      <c r="DAH79" s="12"/>
      <c r="DAI79" s="12"/>
      <c r="DAJ79" s="12"/>
      <c r="DAK79" s="12"/>
      <c r="DAL79" s="12"/>
      <c r="DAM79" s="12"/>
      <c r="DAN79" s="12"/>
      <c r="DAO79" s="12"/>
      <c r="DAP79" s="12"/>
      <c r="DAQ79" s="12"/>
      <c r="DAR79" s="12"/>
      <c r="DAS79" s="12"/>
      <c r="DAT79" s="12"/>
      <c r="DAU79" s="12"/>
      <c r="DAV79" s="12"/>
      <c r="DAW79" s="12"/>
      <c r="DAX79" s="12"/>
      <c r="DAY79" s="12"/>
      <c r="DAZ79" s="12"/>
      <c r="DBA79" s="12"/>
      <c r="DBB79" s="12"/>
      <c r="DBC79" s="12"/>
      <c r="DBD79" s="12"/>
      <c r="DBE79" s="12"/>
      <c r="DBF79" s="12"/>
      <c r="DBG79" s="12"/>
      <c r="DBH79" s="12"/>
      <c r="DBI79" s="12"/>
      <c r="DBJ79" s="12"/>
      <c r="DBK79" s="12"/>
      <c r="DBL79" s="12"/>
      <c r="DBM79" s="12"/>
      <c r="DBN79" s="12"/>
      <c r="DBO79" s="12"/>
      <c r="DBP79" s="12"/>
      <c r="DBQ79" s="12"/>
      <c r="DBR79" s="12"/>
      <c r="DBS79" s="12"/>
      <c r="DBT79" s="12"/>
      <c r="DBU79" s="12"/>
      <c r="DBV79" s="12"/>
      <c r="DBW79" s="12"/>
      <c r="DBX79" s="12"/>
      <c r="DBY79" s="12"/>
      <c r="DBZ79" s="12"/>
      <c r="DCA79" s="12"/>
      <c r="DCB79" s="12"/>
      <c r="DCC79" s="12"/>
      <c r="DCD79" s="12"/>
      <c r="DCE79" s="12"/>
      <c r="DCF79" s="12"/>
      <c r="DCG79" s="12"/>
      <c r="DCH79" s="12"/>
      <c r="DCI79" s="12"/>
      <c r="DCJ79" s="12"/>
      <c r="DCK79" s="12"/>
      <c r="DCL79" s="12"/>
      <c r="DCM79" s="12"/>
      <c r="DCN79" s="12"/>
      <c r="DCO79" s="12"/>
      <c r="DCP79" s="12"/>
      <c r="DCQ79" s="12"/>
      <c r="DCR79" s="12"/>
      <c r="DCS79" s="12"/>
      <c r="DCT79" s="12"/>
      <c r="DCU79" s="12"/>
      <c r="DCV79" s="12"/>
      <c r="DCW79" s="12"/>
      <c r="DCX79" s="12"/>
      <c r="DCY79" s="12"/>
      <c r="DCZ79" s="12"/>
      <c r="DDA79" s="12"/>
      <c r="DDB79" s="12"/>
      <c r="DDC79" s="12"/>
      <c r="DDD79" s="12"/>
      <c r="DDE79" s="12"/>
      <c r="DDF79" s="12"/>
      <c r="DDG79" s="12"/>
      <c r="DDH79" s="12"/>
      <c r="DDI79" s="12"/>
      <c r="DDJ79" s="12"/>
      <c r="DDK79" s="12"/>
      <c r="DDL79" s="12"/>
      <c r="DDM79" s="12"/>
      <c r="DDN79" s="12"/>
      <c r="DDO79" s="12"/>
      <c r="DDP79" s="12"/>
      <c r="DDQ79" s="12"/>
      <c r="DDR79" s="12"/>
      <c r="DDS79" s="12"/>
      <c r="DDT79" s="12"/>
      <c r="DDU79" s="12"/>
      <c r="DDV79" s="12"/>
      <c r="DDW79" s="12"/>
      <c r="DDX79" s="12"/>
      <c r="DDY79" s="12"/>
      <c r="DDZ79" s="12"/>
      <c r="DEA79" s="12"/>
      <c r="DEB79" s="12"/>
      <c r="DEC79" s="12"/>
      <c r="DED79" s="12"/>
      <c r="DEE79" s="12"/>
      <c r="DEF79" s="12"/>
      <c r="DEG79" s="12"/>
      <c r="DEH79" s="12"/>
      <c r="DEI79" s="12"/>
      <c r="DEJ79" s="12"/>
      <c r="DEK79" s="12"/>
      <c r="DEL79" s="12"/>
      <c r="DEM79" s="12"/>
      <c r="DEN79" s="12"/>
      <c r="DEO79" s="12"/>
      <c r="DEP79" s="12"/>
      <c r="DEQ79" s="12"/>
      <c r="DER79" s="12"/>
      <c r="DES79" s="12"/>
      <c r="DET79" s="12"/>
      <c r="DEU79" s="12"/>
      <c r="DEV79" s="12"/>
      <c r="DEW79" s="12"/>
      <c r="DEX79" s="12"/>
      <c r="DEY79" s="12"/>
      <c r="DEZ79" s="12"/>
      <c r="DFA79" s="12"/>
      <c r="DFB79" s="12"/>
      <c r="DFC79" s="12"/>
      <c r="DFD79" s="12"/>
      <c r="DFE79" s="12"/>
      <c r="DFF79" s="12"/>
      <c r="DFG79" s="12"/>
      <c r="DFH79" s="12"/>
      <c r="DFI79" s="12"/>
      <c r="DFJ79" s="12"/>
      <c r="DFK79" s="12"/>
      <c r="DFL79" s="12"/>
      <c r="DFM79" s="12"/>
      <c r="DFN79" s="12"/>
      <c r="DFO79" s="12"/>
      <c r="DFP79" s="12"/>
      <c r="DFQ79" s="12"/>
      <c r="DFR79" s="12"/>
      <c r="DFS79" s="12"/>
      <c r="DFT79" s="12"/>
      <c r="DFU79" s="12"/>
      <c r="DFV79" s="12"/>
      <c r="DFW79" s="12"/>
      <c r="DFX79" s="12"/>
      <c r="DFY79" s="12"/>
      <c r="DFZ79" s="12"/>
      <c r="DGA79" s="12"/>
      <c r="DGB79" s="12"/>
      <c r="DGC79" s="12"/>
      <c r="DGD79" s="12"/>
      <c r="DGE79" s="12"/>
      <c r="DGF79" s="12"/>
      <c r="DGG79" s="12"/>
      <c r="DGH79" s="12"/>
      <c r="DGI79" s="12"/>
      <c r="DGJ79" s="12"/>
      <c r="DGK79" s="12"/>
      <c r="DGL79" s="12"/>
      <c r="DGM79" s="12"/>
      <c r="DGN79" s="12"/>
      <c r="DGO79" s="12"/>
      <c r="DGP79" s="12"/>
      <c r="DGQ79" s="12"/>
      <c r="DGR79" s="12"/>
      <c r="DGS79" s="12"/>
      <c r="DGT79" s="12"/>
      <c r="DGU79" s="12"/>
      <c r="DGV79" s="12"/>
      <c r="DGW79" s="12"/>
      <c r="DGX79" s="12"/>
      <c r="DGY79" s="12"/>
      <c r="DGZ79" s="12"/>
      <c r="DHA79" s="12"/>
      <c r="DHB79" s="12"/>
      <c r="DHC79" s="12"/>
      <c r="DHD79" s="12"/>
      <c r="DHE79" s="12"/>
      <c r="DHF79" s="12"/>
      <c r="DHG79" s="12"/>
      <c r="DHH79" s="12"/>
      <c r="DHI79" s="12"/>
      <c r="DHJ79" s="12"/>
      <c r="DHK79" s="12"/>
      <c r="DHL79" s="12"/>
      <c r="DHM79" s="12"/>
      <c r="DHN79" s="12"/>
      <c r="DHO79" s="12"/>
      <c r="DHP79" s="12"/>
      <c r="DHQ79" s="12"/>
      <c r="DHR79" s="12"/>
      <c r="DHS79" s="12"/>
      <c r="DHT79" s="12"/>
      <c r="DHU79" s="12"/>
      <c r="DHV79" s="12"/>
      <c r="DHW79" s="12"/>
      <c r="DHX79" s="12"/>
      <c r="DHY79" s="12"/>
      <c r="DHZ79" s="12"/>
      <c r="DIA79" s="12"/>
      <c r="DIB79" s="12"/>
      <c r="DIC79" s="12"/>
      <c r="DID79" s="12"/>
      <c r="DIE79" s="12"/>
      <c r="DIF79" s="12"/>
      <c r="DIG79" s="12"/>
      <c r="DIH79" s="12"/>
      <c r="DII79" s="12"/>
      <c r="DIJ79" s="12"/>
      <c r="DIK79" s="12"/>
      <c r="DIL79" s="12"/>
      <c r="DIM79" s="12"/>
      <c r="DIN79" s="12"/>
      <c r="DIO79" s="12"/>
      <c r="DIP79" s="12"/>
      <c r="DIQ79" s="12"/>
      <c r="DIR79" s="12"/>
      <c r="DIS79" s="12"/>
      <c r="DIT79" s="12"/>
      <c r="DIU79" s="12"/>
      <c r="DIV79" s="12"/>
      <c r="DIW79" s="12"/>
      <c r="DIX79" s="12"/>
      <c r="DIY79" s="12"/>
      <c r="DIZ79" s="12"/>
      <c r="DJA79" s="12"/>
      <c r="DJB79" s="12"/>
      <c r="DJC79" s="12"/>
      <c r="DJD79" s="12"/>
      <c r="DJE79" s="12"/>
      <c r="DJF79" s="12"/>
      <c r="DJG79" s="12"/>
      <c r="DJH79" s="12"/>
      <c r="DJI79" s="12"/>
      <c r="DJJ79" s="12"/>
      <c r="DJK79" s="12"/>
      <c r="DJL79" s="12"/>
      <c r="DJM79" s="12"/>
      <c r="DJN79" s="12"/>
      <c r="DJO79" s="12"/>
      <c r="DJP79" s="12"/>
      <c r="DJQ79" s="12"/>
      <c r="DJR79" s="12"/>
      <c r="DJS79" s="12"/>
      <c r="DJT79" s="12"/>
      <c r="DJU79" s="12"/>
      <c r="DJV79" s="12"/>
      <c r="DJW79" s="12"/>
      <c r="DJX79" s="12"/>
      <c r="DJY79" s="12"/>
      <c r="DJZ79" s="12"/>
      <c r="DKA79" s="12"/>
      <c r="DKB79" s="12"/>
      <c r="DKC79" s="12"/>
      <c r="DKD79" s="12"/>
      <c r="DKE79" s="12"/>
      <c r="DKF79" s="12"/>
      <c r="DKG79" s="12"/>
      <c r="DKH79" s="12"/>
      <c r="DKI79" s="12"/>
      <c r="DKJ79" s="12"/>
      <c r="DKK79" s="12"/>
      <c r="DKL79" s="12"/>
      <c r="DKM79" s="12"/>
      <c r="DKN79" s="12"/>
      <c r="DKO79" s="12"/>
      <c r="DKP79" s="12"/>
      <c r="DKQ79" s="12"/>
      <c r="DKR79" s="12"/>
      <c r="DKS79" s="12"/>
      <c r="DKT79" s="12"/>
      <c r="DKU79" s="12"/>
      <c r="DKV79" s="12"/>
      <c r="DKW79" s="12"/>
      <c r="DKX79" s="12"/>
      <c r="DKY79" s="12"/>
      <c r="DKZ79" s="12"/>
      <c r="DLA79" s="12"/>
      <c r="DLB79" s="12"/>
      <c r="DLC79" s="12"/>
      <c r="DLD79" s="12"/>
      <c r="DLE79" s="12"/>
      <c r="DLF79" s="12"/>
      <c r="DLG79" s="12"/>
      <c r="DLH79" s="12"/>
      <c r="DLI79" s="12"/>
      <c r="DLJ79" s="12"/>
      <c r="DLK79" s="12"/>
      <c r="DLL79" s="12"/>
      <c r="DLM79" s="12"/>
      <c r="DLN79" s="12"/>
      <c r="DLO79" s="12"/>
      <c r="DLP79" s="12"/>
      <c r="DLQ79" s="12"/>
      <c r="DLR79" s="12"/>
      <c r="DLS79" s="12"/>
      <c r="DLT79" s="12"/>
      <c r="DLU79" s="12"/>
      <c r="DLV79" s="12"/>
      <c r="DLW79" s="12"/>
      <c r="DLX79" s="12"/>
      <c r="DLY79" s="12"/>
      <c r="DLZ79" s="12"/>
      <c r="DMA79" s="12"/>
      <c r="DMB79" s="12"/>
      <c r="DMC79" s="12"/>
      <c r="DMD79" s="12"/>
      <c r="DME79" s="12"/>
      <c r="DMF79" s="12"/>
      <c r="DMG79" s="12"/>
      <c r="DMH79" s="12"/>
      <c r="DMI79" s="12"/>
      <c r="DMJ79" s="12"/>
      <c r="DMK79" s="12"/>
      <c r="DML79" s="12"/>
      <c r="DMM79" s="12"/>
      <c r="DMN79" s="12"/>
      <c r="DMO79" s="12"/>
      <c r="DMP79" s="12"/>
      <c r="DMQ79" s="12"/>
      <c r="DMR79" s="12"/>
      <c r="DMS79" s="12"/>
      <c r="DMT79" s="12"/>
      <c r="DMU79" s="12"/>
      <c r="DMV79" s="12"/>
      <c r="DMW79" s="12"/>
      <c r="DMX79" s="12"/>
      <c r="DMY79" s="12"/>
      <c r="DMZ79" s="12"/>
      <c r="DNA79" s="12"/>
      <c r="DNB79" s="12"/>
      <c r="DNC79" s="12"/>
      <c r="DND79" s="12"/>
      <c r="DNE79" s="12"/>
      <c r="DNF79" s="12"/>
      <c r="DNG79" s="12"/>
      <c r="DNH79" s="12"/>
      <c r="DNI79" s="12"/>
      <c r="DNJ79" s="12"/>
      <c r="DNK79" s="12"/>
      <c r="DNL79" s="12"/>
      <c r="DNM79" s="12"/>
      <c r="DNN79" s="12"/>
      <c r="DNO79" s="12"/>
      <c r="DNP79" s="12"/>
      <c r="DNQ79" s="12"/>
      <c r="DNR79" s="12"/>
      <c r="DNS79" s="12"/>
      <c r="DNT79" s="12"/>
      <c r="DNU79" s="12"/>
      <c r="DNV79" s="12"/>
      <c r="DNW79" s="12"/>
      <c r="DNX79" s="12"/>
      <c r="DNY79" s="12"/>
      <c r="DNZ79" s="12"/>
      <c r="DOA79" s="12"/>
      <c r="DOB79" s="12"/>
      <c r="DOC79" s="12"/>
      <c r="DOD79" s="12"/>
      <c r="DOE79" s="12"/>
      <c r="DOF79" s="12"/>
      <c r="DOG79" s="12"/>
      <c r="DOH79" s="12"/>
      <c r="DOI79" s="12"/>
      <c r="DOJ79" s="12"/>
      <c r="DOK79" s="12"/>
      <c r="DOL79" s="12"/>
      <c r="DOM79" s="12"/>
      <c r="DON79" s="12"/>
      <c r="DOO79" s="12"/>
      <c r="DOP79" s="12"/>
      <c r="DOQ79" s="12"/>
      <c r="DOR79" s="12"/>
      <c r="DOS79" s="12"/>
      <c r="DOT79" s="12"/>
      <c r="DOU79" s="12"/>
      <c r="DOV79" s="12"/>
      <c r="DOW79" s="12"/>
      <c r="DOX79" s="12"/>
      <c r="DOY79" s="12"/>
      <c r="DOZ79" s="12"/>
      <c r="DPA79" s="12"/>
      <c r="DPB79" s="12"/>
      <c r="DPC79" s="12"/>
      <c r="DPD79" s="12"/>
      <c r="DPE79" s="12"/>
      <c r="DPF79" s="12"/>
      <c r="DPG79" s="12"/>
      <c r="DPH79" s="12"/>
      <c r="DPI79" s="12"/>
      <c r="DPJ79" s="12"/>
      <c r="DPK79" s="12"/>
      <c r="DPL79" s="12"/>
      <c r="DPM79" s="12"/>
      <c r="DPN79" s="12"/>
      <c r="DPO79" s="12"/>
      <c r="DPP79" s="12"/>
      <c r="DPQ79" s="12"/>
      <c r="DPR79" s="12"/>
      <c r="DPS79" s="12"/>
      <c r="DPT79" s="12"/>
      <c r="DPU79" s="12"/>
      <c r="DPV79" s="12"/>
      <c r="DPW79" s="12"/>
      <c r="DPX79" s="12"/>
      <c r="DPY79" s="12"/>
      <c r="DPZ79" s="12"/>
      <c r="DQA79" s="12"/>
      <c r="DQB79" s="12"/>
      <c r="DQC79" s="12"/>
      <c r="DQD79" s="12"/>
      <c r="DQE79" s="12"/>
      <c r="DQF79" s="12"/>
      <c r="DQG79" s="12"/>
      <c r="DQH79" s="12"/>
      <c r="DQI79" s="12"/>
      <c r="DQJ79" s="12"/>
      <c r="DQK79" s="12"/>
      <c r="DQL79" s="12"/>
      <c r="DQM79" s="12"/>
      <c r="DQN79" s="12"/>
      <c r="DQO79" s="12"/>
      <c r="DQP79" s="12"/>
      <c r="DQQ79" s="12"/>
      <c r="DQR79" s="12"/>
      <c r="DQS79" s="12"/>
      <c r="DQT79" s="12"/>
      <c r="DQU79" s="12"/>
      <c r="DQV79" s="12"/>
      <c r="DQW79" s="12"/>
      <c r="DQX79" s="12"/>
      <c r="DQY79" s="12"/>
      <c r="DQZ79" s="12"/>
      <c r="DRA79" s="12"/>
      <c r="DRB79" s="12"/>
      <c r="DRC79" s="12"/>
      <c r="DRD79" s="12"/>
      <c r="DRE79" s="12"/>
      <c r="DRF79" s="12"/>
      <c r="DRG79" s="12"/>
      <c r="DRH79" s="12"/>
      <c r="DRI79" s="12"/>
      <c r="DRJ79" s="12"/>
      <c r="DRK79" s="12"/>
      <c r="DRL79" s="12"/>
      <c r="DRM79" s="12"/>
      <c r="DRN79" s="12"/>
      <c r="DRO79" s="12"/>
      <c r="DRP79" s="12"/>
      <c r="DRQ79" s="12"/>
      <c r="DRR79" s="12"/>
      <c r="DRS79" s="12"/>
      <c r="DRT79" s="12"/>
      <c r="DRU79" s="12"/>
      <c r="DRV79" s="12"/>
      <c r="DRW79" s="12"/>
      <c r="DRX79" s="12"/>
      <c r="DRY79" s="12"/>
      <c r="DRZ79" s="12"/>
      <c r="DSA79" s="12"/>
      <c r="DSB79" s="12"/>
      <c r="DSC79" s="12"/>
      <c r="DSD79" s="12"/>
      <c r="DSE79" s="12"/>
      <c r="DSF79" s="12"/>
      <c r="DSG79" s="12"/>
      <c r="DSH79" s="12"/>
      <c r="DSI79" s="12"/>
      <c r="DSJ79" s="12"/>
      <c r="DSK79" s="12"/>
      <c r="DSL79" s="12"/>
      <c r="DSM79" s="12"/>
      <c r="DSN79" s="12"/>
      <c r="DSO79" s="12"/>
      <c r="DSP79" s="12"/>
      <c r="DSQ79" s="12"/>
      <c r="DSR79" s="12"/>
      <c r="DSS79" s="12"/>
      <c r="DST79" s="12"/>
      <c r="DSU79" s="12"/>
      <c r="DSV79" s="12"/>
      <c r="DSW79" s="12"/>
      <c r="DSX79" s="12"/>
      <c r="DSY79" s="12"/>
      <c r="DSZ79" s="12"/>
      <c r="DTA79" s="12"/>
      <c r="DTB79" s="12"/>
      <c r="DTC79" s="12"/>
      <c r="DTD79" s="12"/>
      <c r="DTE79" s="12"/>
      <c r="DTF79" s="12"/>
      <c r="DTG79" s="12"/>
      <c r="DTH79" s="12"/>
      <c r="DTI79" s="12"/>
      <c r="DTJ79" s="12"/>
      <c r="DTK79" s="12"/>
      <c r="DTL79" s="12"/>
      <c r="DTM79" s="12"/>
      <c r="DTN79" s="12"/>
      <c r="DTO79" s="12"/>
      <c r="DTP79" s="12"/>
      <c r="DTQ79" s="12"/>
      <c r="DTR79" s="12"/>
      <c r="DTS79" s="12"/>
      <c r="DTT79" s="12"/>
      <c r="DTU79" s="12"/>
      <c r="DTV79" s="12"/>
      <c r="DTW79" s="12"/>
      <c r="DTX79" s="12"/>
      <c r="DTY79" s="12"/>
      <c r="DTZ79" s="12"/>
      <c r="DUA79" s="12"/>
      <c r="DUB79" s="12"/>
      <c r="DUC79" s="12"/>
      <c r="DUD79" s="12"/>
      <c r="DUE79" s="12"/>
      <c r="DUF79" s="12"/>
      <c r="DUG79" s="12"/>
      <c r="DUH79" s="12"/>
      <c r="DUI79" s="12"/>
      <c r="DUJ79" s="12"/>
      <c r="DUK79" s="12"/>
      <c r="DUL79" s="12"/>
      <c r="DUM79" s="12"/>
      <c r="DUN79" s="12"/>
      <c r="DUO79" s="12"/>
      <c r="DUP79" s="12"/>
      <c r="DUQ79" s="12"/>
      <c r="DUR79" s="12"/>
      <c r="DUS79" s="12"/>
      <c r="DUT79" s="12"/>
      <c r="DUU79" s="12"/>
      <c r="DUV79" s="12"/>
      <c r="DUW79" s="12"/>
      <c r="DUX79" s="12"/>
      <c r="DUY79" s="12"/>
      <c r="DUZ79" s="12"/>
      <c r="DVA79" s="12"/>
      <c r="DVB79" s="12"/>
      <c r="DVC79" s="12"/>
      <c r="DVD79" s="12"/>
      <c r="DVE79" s="12"/>
      <c r="DVF79" s="12"/>
      <c r="DVG79" s="12"/>
      <c r="DVH79" s="12"/>
      <c r="DVI79" s="12"/>
      <c r="DVJ79" s="12"/>
      <c r="DVK79" s="12"/>
      <c r="DVL79" s="12"/>
      <c r="DVM79" s="12"/>
      <c r="DVN79" s="12"/>
      <c r="DVO79" s="12"/>
      <c r="DVP79" s="12"/>
      <c r="DVQ79" s="12"/>
      <c r="DVR79" s="12"/>
      <c r="DVS79" s="12"/>
      <c r="DVT79" s="12"/>
      <c r="DVU79" s="12"/>
      <c r="DVV79" s="12"/>
      <c r="DVW79" s="12"/>
      <c r="DVX79" s="12"/>
      <c r="DVY79" s="12"/>
      <c r="DVZ79" s="12"/>
      <c r="DWA79" s="12"/>
      <c r="DWB79" s="12"/>
      <c r="DWC79" s="12"/>
      <c r="DWD79" s="12"/>
      <c r="DWE79" s="12"/>
      <c r="DWF79" s="12"/>
      <c r="DWG79" s="12"/>
      <c r="DWH79" s="12"/>
      <c r="DWI79" s="12"/>
      <c r="DWJ79" s="12"/>
      <c r="DWK79" s="12"/>
      <c r="DWL79" s="12"/>
      <c r="DWM79" s="12"/>
      <c r="DWN79" s="12"/>
      <c r="DWO79" s="12"/>
      <c r="DWP79" s="12"/>
      <c r="DWQ79" s="12"/>
      <c r="DWR79" s="12"/>
      <c r="DWS79" s="12"/>
      <c r="DWT79" s="12"/>
      <c r="DWU79" s="12"/>
      <c r="DWV79" s="12"/>
      <c r="DWW79" s="12"/>
      <c r="DWX79" s="12"/>
      <c r="DWY79" s="12"/>
      <c r="DWZ79" s="12"/>
      <c r="DXA79" s="12"/>
      <c r="DXB79" s="12"/>
      <c r="DXC79" s="12"/>
      <c r="DXD79" s="12"/>
      <c r="DXE79" s="12"/>
      <c r="DXF79" s="12"/>
      <c r="DXG79" s="12"/>
      <c r="DXH79" s="12"/>
      <c r="DXI79" s="12"/>
      <c r="DXJ79" s="12"/>
      <c r="DXK79" s="12"/>
      <c r="DXL79" s="12"/>
      <c r="DXM79" s="12"/>
      <c r="DXN79" s="12"/>
      <c r="DXO79" s="12"/>
      <c r="DXP79" s="12"/>
      <c r="DXQ79" s="12"/>
      <c r="DXR79" s="12"/>
      <c r="DXS79" s="12"/>
      <c r="DXT79" s="12"/>
      <c r="DXU79" s="12"/>
      <c r="DXV79" s="12"/>
      <c r="DXW79" s="12"/>
      <c r="DXX79" s="12"/>
      <c r="DXY79" s="12"/>
      <c r="DXZ79" s="12"/>
      <c r="DYA79" s="12"/>
      <c r="DYB79" s="12"/>
      <c r="DYC79" s="12"/>
      <c r="DYD79" s="12"/>
      <c r="DYE79" s="12"/>
      <c r="DYF79" s="12"/>
      <c r="DYG79" s="12"/>
      <c r="DYH79" s="12"/>
      <c r="DYI79" s="12"/>
      <c r="DYJ79" s="12"/>
      <c r="DYK79" s="12"/>
      <c r="DYL79" s="12"/>
      <c r="DYM79" s="12"/>
      <c r="DYN79" s="12"/>
      <c r="DYO79" s="12"/>
      <c r="DYP79" s="12"/>
      <c r="DYQ79" s="12"/>
      <c r="DYR79" s="12"/>
      <c r="DYS79" s="12"/>
      <c r="DYT79" s="12"/>
      <c r="DYU79" s="12"/>
      <c r="DYV79" s="12"/>
      <c r="DYW79" s="12"/>
      <c r="DYX79" s="12"/>
      <c r="DYY79" s="12"/>
      <c r="DYZ79" s="12"/>
      <c r="DZA79" s="12"/>
      <c r="DZB79" s="12"/>
      <c r="DZC79" s="12"/>
      <c r="DZD79" s="12"/>
      <c r="DZE79" s="12"/>
      <c r="DZF79" s="12"/>
      <c r="DZG79" s="12"/>
      <c r="DZH79" s="12"/>
      <c r="DZI79" s="12"/>
      <c r="DZJ79" s="12"/>
      <c r="DZK79" s="12"/>
      <c r="DZL79" s="12"/>
      <c r="DZM79" s="12"/>
      <c r="DZN79" s="12"/>
      <c r="DZO79" s="12"/>
      <c r="DZP79" s="12"/>
      <c r="DZQ79" s="12"/>
      <c r="DZR79" s="12"/>
      <c r="DZS79" s="12"/>
      <c r="DZT79" s="12"/>
      <c r="DZU79" s="12"/>
      <c r="DZV79" s="12"/>
      <c r="DZW79" s="12"/>
      <c r="DZX79" s="12"/>
      <c r="DZY79" s="12"/>
      <c r="DZZ79" s="12"/>
      <c r="EAA79" s="12"/>
      <c r="EAB79" s="12"/>
      <c r="EAC79" s="12"/>
      <c r="EAD79" s="12"/>
      <c r="EAE79" s="12"/>
      <c r="EAF79" s="12"/>
      <c r="EAG79" s="12"/>
      <c r="EAH79" s="12"/>
      <c r="EAI79" s="12"/>
      <c r="EAJ79" s="12"/>
      <c r="EAK79" s="12"/>
      <c r="EAL79" s="12"/>
      <c r="EAM79" s="12"/>
      <c r="EAN79" s="12"/>
      <c r="EAO79" s="12"/>
      <c r="EAP79" s="12"/>
      <c r="EAQ79" s="12"/>
      <c r="EAR79" s="12"/>
      <c r="EAS79" s="12"/>
      <c r="EAT79" s="12"/>
      <c r="EAU79" s="12"/>
      <c r="EAV79" s="12"/>
      <c r="EAW79" s="12"/>
      <c r="EAX79" s="12"/>
      <c r="EAY79" s="12"/>
      <c r="EAZ79" s="12"/>
      <c r="EBA79" s="12"/>
      <c r="EBB79" s="12"/>
      <c r="EBC79" s="12"/>
      <c r="EBD79" s="12"/>
      <c r="EBE79" s="12"/>
      <c r="EBF79" s="12"/>
      <c r="EBG79" s="12"/>
      <c r="EBH79" s="12"/>
      <c r="EBI79" s="12"/>
      <c r="EBJ79" s="12"/>
      <c r="EBK79" s="12"/>
      <c r="EBL79" s="12"/>
      <c r="EBM79" s="12"/>
      <c r="EBN79" s="12"/>
      <c r="EBO79" s="12"/>
      <c r="EBP79" s="12"/>
      <c r="EBQ79" s="12"/>
      <c r="EBR79" s="12"/>
      <c r="EBS79" s="12"/>
      <c r="EBT79" s="12"/>
      <c r="EBU79" s="12"/>
      <c r="EBV79" s="12"/>
      <c r="EBW79" s="12"/>
      <c r="EBX79" s="12"/>
      <c r="EBY79" s="12"/>
      <c r="EBZ79" s="12"/>
      <c r="ECA79" s="12"/>
      <c r="ECB79" s="12"/>
      <c r="ECC79" s="12"/>
      <c r="ECD79" s="12"/>
      <c r="ECE79" s="12"/>
      <c r="ECF79" s="12"/>
      <c r="ECG79" s="12"/>
      <c r="ECH79" s="12"/>
      <c r="ECI79" s="12"/>
      <c r="ECJ79" s="12"/>
      <c r="ECK79" s="12"/>
      <c r="ECL79" s="12"/>
      <c r="ECM79" s="12"/>
      <c r="ECN79" s="12"/>
      <c r="ECO79" s="12"/>
      <c r="ECP79" s="12"/>
      <c r="ECQ79" s="12"/>
      <c r="ECR79" s="12"/>
      <c r="ECS79" s="12"/>
      <c r="ECT79" s="12"/>
      <c r="ECU79" s="12"/>
      <c r="ECV79" s="12"/>
      <c r="ECW79" s="12"/>
      <c r="ECX79" s="12"/>
      <c r="ECY79" s="12"/>
      <c r="ECZ79" s="12"/>
      <c r="EDA79" s="12"/>
      <c r="EDB79" s="12"/>
      <c r="EDC79" s="12"/>
      <c r="EDD79" s="12"/>
      <c r="EDE79" s="12"/>
      <c r="EDF79" s="12"/>
      <c r="EDG79" s="12"/>
      <c r="EDH79" s="12"/>
      <c r="EDI79" s="12"/>
      <c r="EDJ79" s="12"/>
      <c r="EDK79" s="12"/>
      <c r="EDL79" s="12"/>
      <c r="EDM79" s="12"/>
      <c r="EDN79" s="12"/>
      <c r="EDO79" s="12"/>
      <c r="EDP79" s="12"/>
      <c r="EDQ79" s="12"/>
      <c r="EDR79" s="12"/>
      <c r="EDS79" s="12"/>
      <c r="EDT79" s="12"/>
      <c r="EDU79" s="12"/>
      <c r="EDV79" s="12"/>
      <c r="EDW79" s="12"/>
      <c r="EDX79" s="12"/>
      <c r="EDY79" s="12"/>
      <c r="EDZ79" s="12"/>
      <c r="EEA79" s="12"/>
      <c r="EEB79" s="12"/>
      <c r="EEC79" s="12"/>
      <c r="EED79" s="12"/>
      <c r="EEE79" s="12"/>
      <c r="EEF79" s="12"/>
      <c r="EEG79" s="12"/>
      <c r="EEH79" s="12"/>
      <c r="EEI79" s="12"/>
      <c r="EEJ79" s="12"/>
      <c r="EEK79" s="12"/>
      <c r="EEL79" s="12"/>
      <c r="EEM79" s="12"/>
      <c r="EEN79" s="12"/>
      <c r="EEO79" s="12"/>
      <c r="EEP79" s="12"/>
      <c r="EEQ79" s="12"/>
      <c r="EER79" s="12"/>
      <c r="EES79" s="12"/>
      <c r="EET79" s="12"/>
      <c r="EEU79" s="12"/>
      <c r="EEV79" s="12"/>
      <c r="EEW79" s="12"/>
      <c r="EEX79" s="12"/>
      <c r="EEY79" s="12"/>
      <c r="EEZ79" s="12"/>
      <c r="EFA79" s="12"/>
      <c r="EFB79" s="12"/>
      <c r="EFC79" s="12"/>
      <c r="EFD79" s="12"/>
      <c r="EFE79" s="12"/>
      <c r="EFF79" s="12"/>
      <c r="EFG79" s="12"/>
      <c r="EFH79" s="12"/>
      <c r="EFI79" s="12"/>
      <c r="EFJ79" s="12"/>
      <c r="EFK79" s="12"/>
      <c r="EFL79" s="12"/>
      <c r="EFM79" s="12"/>
      <c r="EFN79" s="12"/>
      <c r="EFO79" s="12"/>
      <c r="EFP79" s="12"/>
      <c r="EFQ79" s="12"/>
      <c r="EFR79" s="12"/>
      <c r="EFS79" s="12"/>
      <c r="EFT79" s="12"/>
      <c r="EFU79" s="12"/>
      <c r="EFV79" s="12"/>
      <c r="EFW79" s="12"/>
      <c r="EFX79" s="12"/>
      <c r="EFY79" s="12"/>
      <c r="EFZ79" s="12"/>
      <c r="EGA79" s="12"/>
      <c r="EGB79" s="12"/>
      <c r="EGC79" s="12"/>
      <c r="EGD79" s="12"/>
      <c r="EGE79" s="12"/>
      <c r="EGF79" s="12"/>
      <c r="EGG79" s="12"/>
      <c r="EGH79" s="12"/>
      <c r="EGI79" s="12"/>
      <c r="EGJ79" s="12"/>
      <c r="EGK79" s="12"/>
      <c r="EGL79" s="12"/>
      <c r="EGM79" s="12"/>
      <c r="EGN79" s="12"/>
      <c r="EGO79" s="12"/>
      <c r="EGP79" s="12"/>
      <c r="EGQ79" s="12"/>
      <c r="EGR79" s="12"/>
      <c r="EGS79" s="12"/>
      <c r="EGT79" s="12"/>
      <c r="EGU79" s="12"/>
      <c r="EGV79" s="12"/>
      <c r="EGW79" s="12"/>
      <c r="EGX79" s="12"/>
      <c r="EGY79" s="12"/>
      <c r="EGZ79" s="12"/>
      <c r="EHA79" s="12"/>
      <c r="EHB79" s="12"/>
      <c r="EHC79" s="12"/>
      <c r="EHD79" s="12"/>
      <c r="EHE79" s="12"/>
      <c r="EHF79" s="12"/>
      <c r="EHG79" s="12"/>
      <c r="EHH79" s="12"/>
      <c r="EHI79" s="12"/>
      <c r="EHJ79" s="12"/>
      <c r="EHK79" s="12"/>
      <c r="EHL79" s="12"/>
      <c r="EHM79" s="12"/>
      <c r="EHN79" s="12"/>
      <c r="EHO79" s="12"/>
      <c r="EHP79" s="12"/>
      <c r="EHQ79" s="12"/>
      <c r="EHR79" s="12"/>
      <c r="EHS79" s="12"/>
      <c r="EHT79" s="12"/>
      <c r="EHU79" s="12"/>
      <c r="EHV79" s="12"/>
      <c r="EHW79" s="12"/>
      <c r="EHX79" s="12"/>
      <c r="EHY79" s="12"/>
      <c r="EHZ79" s="12"/>
      <c r="EIA79" s="12"/>
      <c r="EIB79" s="12"/>
      <c r="EIC79" s="12"/>
      <c r="EID79" s="12"/>
      <c r="EIE79" s="12"/>
      <c r="EIF79" s="12"/>
      <c r="EIG79" s="12"/>
      <c r="EIH79" s="12"/>
      <c r="EII79" s="12"/>
      <c r="EIJ79" s="12"/>
      <c r="EIK79" s="12"/>
      <c r="EIL79" s="12"/>
      <c r="EIM79" s="12"/>
      <c r="EIN79" s="12"/>
      <c r="EIO79" s="12"/>
      <c r="EIP79" s="12"/>
      <c r="EIQ79" s="12"/>
      <c r="EIR79" s="12"/>
      <c r="EIS79" s="12"/>
      <c r="EIT79" s="12"/>
      <c r="EIU79" s="12"/>
      <c r="EIV79" s="12"/>
      <c r="EIW79" s="12"/>
      <c r="EIX79" s="12"/>
      <c r="EIY79" s="12"/>
      <c r="EIZ79" s="12"/>
      <c r="EJA79" s="12"/>
      <c r="EJB79" s="12"/>
      <c r="EJC79" s="12"/>
      <c r="EJD79" s="12"/>
      <c r="EJE79" s="12"/>
      <c r="EJF79" s="12"/>
      <c r="EJG79" s="12"/>
      <c r="EJH79" s="12"/>
      <c r="EJI79" s="12"/>
      <c r="EJJ79" s="12"/>
      <c r="EJK79" s="12"/>
      <c r="EJL79" s="12"/>
      <c r="EJM79" s="12"/>
      <c r="EJN79" s="12"/>
      <c r="EJO79" s="12"/>
      <c r="EJP79" s="12"/>
      <c r="EJQ79" s="12"/>
      <c r="EJR79" s="12"/>
      <c r="EJS79" s="12"/>
      <c r="EJT79" s="12"/>
      <c r="EJU79" s="12"/>
      <c r="EJV79" s="12"/>
      <c r="EJW79" s="12"/>
      <c r="EJX79" s="12"/>
      <c r="EJY79" s="12"/>
      <c r="EJZ79" s="12"/>
      <c r="EKA79" s="12"/>
      <c r="EKB79" s="12"/>
      <c r="EKC79" s="12"/>
      <c r="EKD79" s="12"/>
      <c r="EKE79" s="12"/>
      <c r="EKF79" s="12"/>
      <c r="EKG79" s="12"/>
      <c r="EKH79" s="12"/>
      <c r="EKI79" s="12"/>
      <c r="EKJ79" s="12"/>
      <c r="EKK79" s="12"/>
      <c r="EKL79" s="12"/>
      <c r="EKM79" s="12"/>
      <c r="EKN79" s="12"/>
      <c r="EKO79" s="12"/>
      <c r="EKP79" s="12"/>
      <c r="EKQ79" s="12"/>
      <c r="EKR79" s="12"/>
      <c r="EKS79" s="12"/>
      <c r="EKT79" s="12"/>
      <c r="EKU79" s="12"/>
      <c r="EKV79" s="12"/>
      <c r="EKW79" s="12"/>
      <c r="EKX79" s="12"/>
      <c r="EKY79" s="12"/>
      <c r="EKZ79" s="12"/>
      <c r="ELA79" s="12"/>
      <c r="ELB79" s="12"/>
      <c r="ELC79" s="12"/>
      <c r="ELD79" s="12"/>
      <c r="ELE79" s="12"/>
      <c r="ELF79" s="12"/>
      <c r="ELG79" s="12"/>
      <c r="ELH79" s="12"/>
      <c r="ELI79" s="12"/>
      <c r="ELJ79" s="12"/>
      <c r="ELK79" s="12"/>
      <c r="ELL79" s="12"/>
      <c r="ELM79" s="12"/>
      <c r="ELN79" s="12"/>
      <c r="ELO79" s="12"/>
      <c r="ELP79" s="12"/>
      <c r="ELQ79" s="12"/>
      <c r="ELR79" s="12"/>
      <c r="ELS79" s="12"/>
      <c r="ELT79" s="12"/>
      <c r="ELU79" s="12"/>
      <c r="ELV79" s="12"/>
      <c r="ELW79" s="12"/>
      <c r="ELX79" s="12"/>
      <c r="ELY79" s="12"/>
      <c r="ELZ79" s="12"/>
      <c r="EMA79" s="12"/>
      <c r="EMB79" s="12"/>
      <c r="EMC79" s="12"/>
      <c r="EMD79" s="12"/>
      <c r="EME79" s="12"/>
      <c r="EMF79" s="12"/>
      <c r="EMG79" s="12"/>
      <c r="EMH79" s="12"/>
      <c r="EMI79" s="12"/>
      <c r="EMJ79" s="12"/>
      <c r="EMK79" s="12"/>
      <c r="EML79" s="12"/>
      <c r="EMM79" s="12"/>
      <c r="EMN79" s="12"/>
      <c r="EMO79" s="12"/>
      <c r="EMP79" s="12"/>
      <c r="EMQ79" s="12"/>
      <c r="EMR79" s="12"/>
      <c r="EMS79" s="12"/>
      <c r="EMT79" s="12"/>
      <c r="EMU79" s="12"/>
      <c r="EMV79" s="12"/>
      <c r="EMW79" s="12"/>
      <c r="EMX79" s="12"/>
      <c r="EMY79" s="12"/>
      <c r="EMZ79" s="12"/>
      <c r="ENA79" s="12"/>
      <c r="ENB79" s="12"/>
      <c r="ENC79" s="12"/>
      <c r="END79" s="12"/>
      <c r="ENE79" s="12"/>
      <c r="ENF79" s="12"/>
      <c r="ENG79" s="12"/>
      <c r="ENH79" s="12"/>
      <c r="ENI79" s="12"/>
      <c r="ENJ79" s="12"/>
      <c r="ENK79" s="12"/>
      <c r="ENL79" s="12"/>
      <c r="ENM79" s="12"/>
      <c r="ENN79" s="12"/>
      <c r="ENO79" s="12"/>
      <c r="ENP79" s="12"/>
      <c r="ENQ79" s="12"/>
      <c r="ENR79" s="12"/>
      <c r="ENS79" s="12"/>
      <c r="ENT79" s="12"/>
      <c r="ENU79" s="12"/>
      <c r="ENV79" s="12"/>
      <c r="ENW79" s="12"/>
      <c r="ENX79" s="12"/>
      <c r="ENY79" s="12"/>
      <c r="ENZ79" s="12"/>
      <c r="EOA79" s="12"/>
      <c r="EOB79" s="12"/>
      <c r="EOC79" s="12"/>
      <c r="EOD79" s="12"/>
      <c r="EOE79" s="12"/>
      <c r="EOF79" s="12"/>
      <c r="EOG79" s="12"/>
      <c r="EOH79" s="12"/>
      <c r="EOI79" s="12"/>
      <c r="EOJ79" s="12"/>
      <c r="EOK79" s="12"/>
      <c r="EOL79" s="12"/>
      <c r="EOM79" s="12"/>
      <c r="EON79" s="12"/>
      <c r="EOO79" s="12"/>
      <c r="EOP79" s="12"/>
      <c r="EOQ79" s="12"/>
      <c r="EOR79" s="12"/>
      <c r="EOS79" s="12"/>
      <c r="EOT79" s="12"/>
      <c r="EOU79" s="12"/>
      <c r="EOV79" s="12"/>
      <c r="EOW79" s="12"/>
      <c r="EOX79" s="12"/>
      <c r="EOY79" s="12"/>
      <c r="EOZ79" s="12"/>
      <c r="EPA79" s="12"/>
      <c r="EPB79" s="12"/>
      <c r="EPC79" s="12"/>
      <c r="EPD79" s="12"/>
      <c r="EPE79" s="12"/>
      <c r="EPF79" s="12"/>
      <c r="EPG79" s="12"/>
      <c r="EPH79" s="12"/>
      <c r="EPI79" s="12"/>
      <c r="EPJ79" s="12"/>
      <c r="EPK79" s="12"/>
      <c r="EPL79" s="12"/>
      <c r="EPM79" s="12"/>
      <c r="EPN79" s="12"/>
      <c r="EPO79" s="12"/>
      <c r="EPP79" s="12"/>
      <c r="EPQ79" s="12"/>
      <c r="EPR79" s="12"/>
      <c r="EPS79" s="12"/>
      <c r="EPT79" s="12"/>
      <c r="EPU79" s="12"/>
      <c r="EPV79" s="12"/>
      <c r="EPW79" s="12"/>
      <c r="EPX79" s="12"/>
      <c r="EPY79" s="12"/>
      <c r="EPZ79" s="12"/>
      <c r="EQA79" s="12"/>
      <c r="EQB79" s="12"/>
      <c r="EQC79" s="12"/>
      <c r="EQD79" s="12"/>
      <c r="EQE79" s="12"/>
      <c r="EQF79" s="12"/>
      <c r="EQG79" s="12"/>
      <c r="EQH79" s="12"/>
      <c r="EQI79" s="12"/>
      <c r="EQJ79" s="12"/>
      <c r="EQK79" s="12"/>
      <c r="EQL79" s="12"/>
      <c r="EQM79" s="12"/>
      <c r="EQN79" s="12"/>
      <c r="EQO79" s="12"/>
      <c r="EQP79" s="12"/>
      <c r="EQQ79" s="12"/>
      <c r="EQR79" s="12"/>
      <c r="EQS79" s="12"/>
      <c r="EQT79" s="12"/>
      <c r="EQU79" s="12"/>
      <c r="EQV79" s="12"/>
      <c r="EQW79" s="12"/>
      <c r="EQX79" s="12"/>
      <c r="EQY79" s="12"/>
      <c r="EQZ79" s="12"/>
      <c r="ERA79" s="12"/>
      <c r="ERB79" s="12"/>
      <c r="ERC79" s="12"/>
      <c r="ERD79" s="12"/>
      <c r="ERE79" s="12"/>
      <c r="ERF79" s="12"/>
      <c r="ERG79" s="12"/>
      <c r="ERH79" s="12"/>
      <c r="ERI79" s="12"/>
      <c r="ERJ79" s="12"/>
      <c r="ERK79" s="12"/>
      <c r="ERL79" s="12"/>
      <c r="ERM79" s="12"/>
      <c r="ERN79" s="12"/>
      <c r="ERO79" s="12"/>
      <c r="ERP79" s="12"/>
      <c r="ERQ79" s="12"/>
      <c r="ERR79" s="12"/>
      <c r="ERS79" s="12"/>
      <c r="ERT79" s="12"/>
      <c r="ERU79" s="12"/>
      <c r="ERV79" s="12"/>
      <c r="ERW79" s="12"/>
      <c r="ERX79" s="12"/>
      <c r="ERY79" s="12"/>
      <c r="ERZ79" s="12"/>
      <c r="ESA79" s="12"/>
      <c r="ESB79" s="12"/>
      <c r="ESC79" s="12"/>
      <c r="ESD79" s="12"/>
      <c r="ESE79" s="12"/>
      <c r="ESF79" s="12"/>
      <c r="ESG79" s="12"/>
      <c r="ESH79" s="12"/>
      <c r="ESI79" s="12"/>
      <c r="ESJ79" s="12"/>
      <c r="ESK79" s="12"/>
      <c r="ESL79" s="12"/>
      <c r="ESM79" s="12"/>
      <c r="ESN79" s="12"/>
      <c r="ESO79" s="12"/>
      <c r="ESP79" s="12"/>
      <c r="ESQ79" s="12"/>
      <c r="ESR79" s="12"/>
      <c r="ESS79" s="12"/>
      <c r="EST79" s="12"/>
      <c r="ESU79" s="12"/>
      <c r="ESV79" s="12"/>
      <c r="ESW79" s="12"/>
      <c r="ESX79" s="12"/>
      <c r="ESY79" s="12"/>
      <c r="ESZ79" s="12"/>
      <c r="ETA79" s="12"/>
      <c r="ETB79" s="12"/>
      <c r="ETC79" s="12"/>
      <c r="ETD79" s="12"/>
      <c r="ETE79" s="12"/>
      <c r="ETF79" s="12"/>
      <c r="ETG79" s="12"/>
      <c r="ETH79" s="12"/>
      <c r="ETI79" s="12"/>
      <c r="ETJ79" s="12"/>
      <c r="ETK79" s="12"/>
      <c r="ETL79" s="12"/>
      <c r="ETM79" s="12"/>
      <c r="ETN79" s="12"/>
      <c r="ETO79" s="12"/>
      <c r="ETP79" s="12"/>
      <c r="ETQ79" s="12"/>
      <c r="ETR79" s="12"/>
      <c r="ETS79" s="12"/>
      <c r="ETT79" s="12"/>
      <c r="ETU79" s="12"/>
      <c r="ETV79" s="12"/>
      <c r="ETW79" s="12"/>
      <c r="ETX79" s="12"/>
      <c r="ETY79" s="12"/>
      <c r="ETZ79" s="12"/>
      <c r="EUA79" s="12"/>
      <c r="EUB79" s="12"/>
      <c r="EUC79" s="12"/>
      <c r="EUD79" s="12"/>
      <c r="EUE79" s="12"/>
      <c r="EUF79" s="12"/>
      <c r="EUG79" s="12"/>
      <c r="EUH79" s="12"/>
      <c r="EUI79" s="12"/>
      <c r="EUJ79" s="12"/>
      <c r="EUK79" s="12"/>
      <c r="EUL79" s="12"/>
      <c r="EUM79" s="12"/>
      <c r="EUN79" s="12"/>
      <c r="EUO79" s="12"/>
      <c r="EUP79" s="12"/>
      <c r="EUQ79" s="12"/>
      <c r="EUR79" s="12"/>
      <c r="EUS79" s="12"/>
      <c r="EUT79" s="12"/>
      <c r="EUU79" s="12"/>
      <c r="EUV79" s="12"/>
      <c r="EUW79" s="12"/>
      <c r="EUX79" s="12"/>
      <c r="EUY79" s="12"/>
      <c r="EUZ79" s="12"/>
      <c r="EVA79" s="12"/>
      <c r="EVB79" s="12"/>
      <c r="EVC79" s="12"/>
      <c r="EVD79" s="12"/>
      <c r="EVE79" s="12"/>
      <c r="EVF79" s="12"/>
      <c r="EVG79" s="12"/>
      <c r="EVH79" s="12"/>
      <c r="EVI79" s="12"/>
      <c r="EVJ79" s="12"/>
      <c r="EVK79" s="12"/>
      <c r="EVL79" s="12"/>
      <c r="EVM79" s="12"/>
      <c r="EVN79" s="12"/>
      <c r="EVO79" s="12"/>
      <c r="EVP79" s="12"/>
      <c r="EVQ79" s="12"/>
      <c r="EVR79" s="12"/>
      <c r="EVS79" s="12"/>
      <c r="EVT79" s="12"/>
      <c r="EVU79" s="12"/>
      <c r="EVV79" s="12"/>
      <c r="EVW79" s="12"/>
      <c r="EVX79" s="12"/>
      <c r="EVY79" s="12"/>
      <c r="EVZ79" s="12"/>
      <c r="EWA79" s="12"/>
      <c r="EWB79" s="12"/>
      <c r="EWC79" s="12"/>
      <c r="EWD79" s="12"/>
      <c r="EWE79" s="12"/>
      <c r="EWF79" s="12"/>
      <c r="EWG79" s="12"/>
      <c r="EWH79" s="12"/>
      <c r="EWI79" s="12"/>
      <c r="EWJ79" s="12"/>
      <c r="EWK79" s="12"/>
      <c r="EWL79" s="12"/>
      <c r="EWM79" s="12"/>
      <c r="EWN79" s="12"/>
      <c r="EWO79" s="12"/>
      <c r="EWP79" s="12"/>
      <c r="EWQ79" s="12"/>
      <c r="EWR79" s="12"/>
      <c r="EWS79" s="12"/>
      <c r="EWT79" s="12"/>
      <c r="EWU79" s="12"/>
      <c r="EWV79" s="12"/>
      <c r="EWW79" s="12"/>
      <c r="EWX79" s="12"/>
      <c r="EWY79" s="12"/>
      <c r="EWZ79" s="12"/>
      <c r="EXA79" s="12"/>
      <c r="EXB79" s="12"/>
      <c r="EXC79" s="12"/>
      <c r="EXD79" s="12"/>
      <c r="EXE79" s="12"/>
      <c r="EXF79" s="12"/>
      <c r="EXG79" s="12"/>
      <c r="EXH79" s="12"/>
      <c r="EXI79" s="12"/>
      <c r="EXJ79" s="12"/>
      <c r="EXK79" s="12"/>
      <c r="EXL79" s="12"/>
      <c r="EXM79" s="12"/>
      <c r="EXN79" s="12"/>
      <c r="EXO79" s="12"/>
      <c r="EXP79" s="12"/>
      <c r="EXQ79" s="12"/>
      <c r="EXR79" s="12"/>
      <c r="EXS79" s="12"/>
      <c r="EXT79" s="12"/>
      <c r="EXU79" s="12"/>
      <c r="EXV79" s="12"/>
      <c r="EXW79" s="12"/>
      <c r="EXX79" s="12"/>
      <c r="EXY79" s="12"/>
      <c r="EXZ79" s="12"/>
      <c r="EYA79" s="12"/>
      <c r="EYB79" s="12"/>
      <c r="EYC79" s="12"/>
      <c r="EYD79" s="12"/>
      <c r="EYE79" s="12"/>
      <c r="EYF79" s="12"/>
      <c r="EYG79" s="12"/>
      <c r="EYH79" s="12"/>
      <c r="EYI79" s="12"/>
      <c r="EYJ79" s="12"/>
      <c r="EYK79" s="12"/>
      <c r="EYL79" s="12"/>
      <c r="EYM79" s="12"/>
      <c r="EYN79" s="12"/>
      <c r="EYO79" s="12"/>
      <c r="EYP79" s="12"/>
      <c r="EYQ79" s="12"/>
      <c r="EYR79" s="12"/>
      <c r="EYS79" s="12"/>
      <c r="EYT79" s="12"/>
      <c r="EYU79" s="12"/>
      <c r="EYV79" s="12"/>
      <c r="EYW79" s="12"/>
      <c r="EYX79" s="12"/>
      <c r="EYY79" s="12"/>
      <c r="EYZ79" s="12"/>
      <c r="EZA79" s="12"/>
      <c r="EZB79" s="12"/>
      <c r="EZC79" s="12"/>
      <c r="EZD79" s="12"/>
      <c r="EZE79" s="12"/>
      <c r="EZF79" s="12"/>
      <c r="EZG79" s="12"/>
      <c r="EZH79" s="12"/>
      <c r="EZI79" s="12"/>
      <c r="EZJ79" s="12"/>
      <c r="EZK79" s="12"/>
      <c r="EZL79" s="12"/>
      <c r="EZM79" s="12"/>
      <c r="EZN79" s="12"/>
      <c r="EZO79" s="12"/>
      <c r="EZP79" s="12"/>
      <c r="EZQ79" s="12"/>
      <c r="EZR79" s="12"/>
      <c r="EZS79" s="12"/>
      <c r="EZT79" s="12"/>
      <c r="EZU79" s="12"/>
      <c r="EZV79" s="12"/>
      <c r="EZW79" s="12"/>
      <c r="EZX79" s="12"/>
      <c r="EZY79" s="12"/>
      <c r="EZZ79" s="12"/>
      <c r="FAA79" s="12"/>
      <c r="FAB79" s="12"/>
      <c r="FAC79" s="12"/>
      <c r="FAD79" s="12"/>
      <c r="FAE79" s="12"/>
      <c r="FAF79" s="12"/>
      <c r="FAG79" s="12"/>
      <c r="FAH79" s="12"/>
      <c r="FAI79" s="12"/>
      <c r="FAJ79" s="12"/>
      <c r="FAK79" s="12"/>
      <c r="FAL79" s="12"/>
      <c r="FAM79" s="12"/>
      <c r="FAN79" s="12"/>
      <c r="FAO79" s="12"/>
      <c r="FAP79" s="12"/>
      <c r="FAQ79" s="12"/>
      <c r="FAR79" s="12"/>
      <c r="FAS79" s="12"/>
      <c r="FAT79" s="12"/>
      <c r="FAU79" s="12"/>
      <c r="FAV79" s="12"/>
      <c r="FAW79" s="12"/>
      <c r="FAX79" s="12"/>
      <c r="FAY79" s="12"/>
      <c r="FAZ79" s="12"/>
      <c r="FBA79" s="12"/>
      <c r="FBB79" s="12"/>
      <c r="FBC79" s="12"/>
      <c r="FBD79" s="12"/>
      <c r="FBE79" s="12"/>
      <c r="FBF79" s="12"/>
      <c r="FBG79" s="12"/>
      <c r="FBH79" s="12"/>
      <c r="FBI79" s="12"/>
      <c r="FBJ79" s="12"/>
      <c r="FBK79" s="12"/>
      <c r="FBL79" s="12"/>
      <c r="FBM79" s="12"/>
      <c r="FBN79" s="12"/>
      <c r="FBO79" s="12"/>
      <c r="FBP79" s="12"/>
      <c r="FBQ79" s="12"/>
      <c r="FBR79" s="12"/>
      <c r="FBS79" s="12"/>
      <c r="FBT79" s="12"/>
      <c r="FBU79" s="12"/>
      <c r="FBV79" s="12"/>
      <c r="FBW79" s="12"/>
      <c r="FBX79" s="12"/>
      <c r="FBY79" s="12"/>
      <c r="FBZ79" s="12"/>
      <c r="FCA79" s="12"/>
      <c r="FCB79" s="12"/>
      <c r="FCC79" s="12"/>
      <c r="FCD79" s="12"/>
      <c r="FCE79" s="12"/>
      <c r="FCF79" s="12"/>
      <c r="FCG79" s="12"/>
      <c r="FCH79" s="12"/>
      <c r="FCI79" s="12"/>
      <c r="FCJ79" s="12"/>
      <c r="FCK79" s="12"/>
      <c r="FCL79" s="12"/>
      <c r="FCM79" s="12"/>
      <c r="FCN79" s="12"/>
      <c r="FCO79" s="12"/>
      <c r="FCP79" s="12"/>
      <c r="FCQ79" s="12"/>
      <c r="FCR79" s="12"/>
      <c r="FCS79" s="12"/>
      <c r="FCT79" s="12"/>
      <c r="FCU79" s="12"/>
      <c r="FCV79" s="12"/>
      <c r="FCW79" s="12"/>
      <c r="FCX79" s="12"/>
      <c r="FCY79" s="12"/>
      <c r="FCZ79" s="12"/>
      <c r="FDA79" s="12"/>
      <c r="FDB79" s="12"/>
      <c r="FDC79" s="12"/>
      <c r="FDD79" s="12"/>
      <c r="FDE79" s="12"/>
      <c r="FDF79" s="12"/>
      <c r="FDG79" s="12"/>
      <c r="FDH79" s="12"/>
      <c r="FDI79" s="12"/>
      <c r="FDJ79" s="12"/>
      <c r="FDK79" s="12"/>
      <c r="FDL79" s="12"/>
      <c r="FDM79" s="12"/>
      <c r="FDN79" s="12"/>
      <c r="FDO79" s="12"/>
      <c r="FDP79" s="12"/>
      <c r="FDQ79" s="12"/>
      <c r="FDR79" s="12"/>
      <c r="FDS79" s="12"/>
      <c r="FDT79" s="12"/>
      <c r="FDU79" s="12"/>
      <c r="FDV79" s="12"/>
      <c r="FDW79" s="12"/>
      <c r="FDX79" s="12"/>
      <c r="FDY79" s="12"/>
      <c r="FDZ79" s="12"/>
      <c r="FEA79" s="12"/>
      <c r="FEB79" s="12"/>
      <c r="FEC79" s="12"/>
      <c r="FED79" s="12"/>
      <c r="FEE79" s="12"/>
      <c r="FEF79" s="12"/>
      <c r="FEG79" s="12"/>
      <c r="FEH79" s="12"/>
      <c r="FEI79" s="12"/>
      <c r="FEJ79" s="12"/>
      <c r="FEK79" s="12"/>
      <c r="FEL79" s="12"/>
      <c r="FEM79" s="12"/>
      <c r="FEN79" s="12"/>
      <c r="FEO79" s="12"/>
      <c r="FEP79" s="12"/>
      <c r="FEQ79" s="12"/>
      <c r="FER79" s="12"/>
      <c r="FES79" s="12"/>
      <c r="FET79" s="12"/>
      <c r="FEU79" s="12"/>
      <c r="FEV79" s="12"/>
      <c r="FEW79" s="12"/>
      <c r="FEX79" s="12"/>
      <c r="FEY79" s="12"/>
      <c r="FEZ79" s="12"/>
      <c r="FFA79" s="12"/>
      <c r="FFB79" s="12"/>
      <c r="FFC79" s="12"/>
      <c r="FFD79" s="12"/>
      <c r="FFE79" s="12"/>
      <c r="FFF79" s="12"/>
      <c r="FFG79" s="12"/>
      <c r="FFH79" s="12"/>
      <c r="FFI79" s="12"/>
      <c r="FFJ79" s="12"/>
      <c r="FFK79" s="12"/>
      <c r="FFL79" s="12"/>
      <c r="FFM79" s="12"/>
      <c r="FFN79" s="12"/>
      <c r="FFO79" s="12"/>
      <c r="FFP79" s="12"/>
      <c r="FFQ79" s="12"/>
      <c r="FFR79" s="12"/>
      <c r="FFS79" s="12"/>
      <c r="FFT79" s="12"/>
      <c r="FFU79" s="12"/>
      <c r="FFV79" s="12"/>
      <c r="FFW79" s="12"/>
      <c r="FFX79" s="12"/>
      <c r="FFY79" s="12"/>
      <c r="FFZ79" s="12"/>
      <c r="FGA79" s="12"/>
      <c r="FGB79" s="12"/>
      <c r="FGC79" s="12"/>
      <c r="FGD79" s="12"/>
      <c r="FGE79" s="12"/>
      <c r="FGF79" s="12"/>
      <c r="FGG79" s="12"/>
      <c r="FGH79" s="12"/>
      <c r="FGI79" s="12"/>
      <c r="FGJ79" s="12"/>
      <c r="FGK79" s="12"/>
      <c r="FGL79" s="12"/>
      <c r="FGM79" s="12"/>
      <c r="FGN79" s="12"/>
      <c r="FGO79" s="12"/>
      <c r="FGP79" s="12"/>
      <c r="FGQ79" s="12"/>
      <c r="FGR79" s="12"/>
      <c r="FGS79" s="12"/>
      <c r="FGT79" s="12"/>
      <c r="FGU79" s="12"/>
      <c r="FGV79" s="12"/>
      <c r="FGW79" s="12"/>
      <c r="FGX79" s="12"/>
      <c r="FGY79" s="12"/>
      <c r="FGZ79" s="12"/>
      <c r="FHA79" s="12"/>
      <c r="FHB79" s="12"/>
      <c r="FHC79" s="12"/>
      <c r="FHD79" s="12"/>
      <c r="FHE79" s="12"/>
      <c r="FHF79" s="12"/>
      <c r="FHG79" s="12"/>
      <c r="FHH79" s="12"/>
      <c r="FHI79" s="12"/>
      <c r="FHJ79" s="12"/>
      <c r="FHK79" s="12"/>
      <c r="FHL79" s="12"/>
      <c r="FHM79" s="12"/>
      <c r="FHN79" s="12"/>
      <c r="FHO79" s="12"/>
      <c r="FHP79" s="12"/>
      <c r="FHQ79" s="12"/>
      <c r="FHR79" s="12"/>
      <c r="FHS79" s="12"/>
      <c r="FHT79" s="12"/>
      <c r="FHU79" s="12"/>
      <c r="FHV79" s="12"/>
      <c r="FHW79" s="12"/>
      <c r="FHX79" s="12"/>
      <c r="FHY79" s="12"/>
      <c r="FHZ79" s="12"/>
      <c r="FIA79" s="12"/>
      <c r="FIB79" s="12"/>
      <c r="FIC79" s="12"/>
      <c r="FID79" s="12"/>
      <c r="FIE79" s="12"/>
      <c r="FIF79" s="12"/>
      <c r="FIG79" s="12"/>
      <c r="FIH79" s="12"/>
      <c r="FII79" s="12"/>
      <c r="FIJ79" s="12"/>
      <c r="FIK79" s="12"/>
      <c r="FIL79" s="12"/>
      <c r="FIM79" s="12"/>
      <c r="FIN79" s="12"/>
      <c r="FIO79" s="12"/>
      <c r="FIP79" s="12"/>
      <c r="FIQ79" s="12"/>
      <c r="FIR79" s="12"/>
      <c r="FIS79" s="12"/>
      <c r="FIT79" s="12"/>
      <c r="FIU79" s="12"/>
      <c r="FIV79" s="12"/>
      <c r="FIW79" s="12"/>
      <c r="FIX79" s="12"/>
      <c r="FIY79" s="12"/>
      <c r="FIZ79" s="12"/>
      <c r="FJA79" s="12"/>
      <c r="FJB79" s="12"/>
      <c r="FJC79" s="12"/>
      <c r="FJD79" s="12"/>
      <c r="FJE79" s="12"/>
      <c r="FJF79" s="12"/>
      <c r="FJG79" s="12"/>
      <c r="FJH79" s="12"/>
      <c r="FJI79" s="12"/>
      <c r="FJJ79" s="12"/>
      <c r="FJK79" s="12"/>
      <c r="FJL79" s="12"/>
      <c r="FJM79" s="12"/>
      <c r="FJN79" s="12"/>
      <c r="FJO79" s="12"/>
      <c r="FJP79" s="12"/>
      <c r="FJQ79" s="12"/>
      <c r="FJR79" s="12"/>
      <c r="FJS79" s="12"/>
      <c r="FJT79" s="12"/>
      <c r="FJU79" s="12"/>
      <c r="FJV79" s="12"/>
      <c r="FJW79" s="12"/>
      <c r="FJX79" s="12"/>
      <c r="FJY79" s="12"/>
      <c r="FJZ79" s="12"/>
      <c r="FKA79" s="12"/>
      <c r="FKB79" s="12"/>
      <c r="FKC79" s="12"/>
      <c r="FKD79" s="12"/>
      <c r="FKE79" s="12"/>
      <c r="FKF79" s="12"/>
      <c r="FKG79" s="12"/>
      <c r="FKH79" s="12"/>
      <c r="FKI79" s="12"/>
      <c r="FKJ79" s="12"/>
      <c r="FKK79" s="12"/>
      <c r="FKL79" s="12"/>
      <c r="FKM79" s="12"/>
      <c r="FKN79" s="12"/>
      <c r="FKO79" s="12"/>
      <c r="FKP79" s="12"/>
      <c r="FKQ79" s="12"/>
      <c r="FKR79" s="12"/>
      <c r="FKS79" s="12"/>
      <c r="FKT79" s="12"/>
      <c r="FKU79" s="12"/>
      <c r="FKV79" s="12"/>
      <c r="FKW79" s="12"/>
      <c r="FKX79" s="12"/>
      <c r="FKY79" s="12"/>
      <c r="FKZ79" s="12"/>
      <c r="FLA79" s="12"/>
      <c r="FLB79" s="12"/>
      <c r="FLC79" s="12"/>
      <c r="FLD79" s="12"/>
      <c r="FLE79" s="12"/>
      <c r="FLF79" s="12"/>
      <c r="FLG79" s="12"/>
      <c r="FLH79" s="12"/>
      <c r="FLI79" s="12"/>
      <c r="FLJ79" s="12"/>
      <c r="FLK79" s="12"/>
      <c r="FLL79" s="12"/>
      <c r="FLM79" s="12"/>
      <c r="FLN79" s="12"/>
      <c r="FLO79" s="12"/>
      <c r="FLP79" s="12"/>
      <c r="FLQ79" s="12"/>
      <c r="FLR79" s="12"/>
      <c r="FLS79" s="12"/>
      <c r="FLT79" s="12"/>
      <c r="FLU79" s="12"/>
      <c r="FLV79" s="12"/>
      <c r="FLW79" s="12"/>
      <c r="FLX79" s="12"/>
      <c r="FLY79" s="12"/>
      <c r="FLZ79" s="12"/>
      <c r="FMA79" s="12"/>
      <c r="FMB79" s="12"/>
      <c r="FMC79" s="12"/>
      <c r="FMD79" s="12"/>
      <c r="FME79" s="12"/>
      <c r="FMF79" s="12"/>
      <c r="FMG79" s="12"/>
      <c r="FMH79" s="12"/>
      <c r="FMI79" s="12"/>
      <c r="FMJ79" s="12"/>
      <c r="FMK79" s="12"/>
      <c r="FML79" s="12"/>
      <c r="FMM79" s="12"/>
      <c r="FMN79" s="12"/>
      <c r="FMO79" s="12"/>
      <c r="FMP79" s="12"/>
      <c r="FMQ79" s="12"/>
      <c r="FMR79" s="12"/>
      <c r="FMS79" s="12"/>
      <c r="FMT79" s="12"/>
      <c r="FMU79" s="12"/>
      <c r="FMV79" s="12"/>
      <c r="FMW79" s="12"/>
      <c r="FMX79" s="12"/>
      <c r="FMY79" s="12"/>
      <c r="FMZ79" s="12"/>
      <c r="FNA79" s="12"/>
      <c r="FNB79" s="12"/>
      <c r="FNC79" s="12"/>
      <c r="FND79" s="12"/>
      <c r="FNE79" s="12"/>
      <c r="FNF79" s="12"/>
      <c r="FNG79" s="12"/>
      <c r="FNH79" s="12"/>
      <c r="FNI79" s="12"/>
      <c r="FNJ79" s="12"/>
      <c r="FNK79" s="12"/>
      <c r="FNL79" s="12"/>
      <c r="FNM79" s="12"/>
      <c r="FNN79" s="12"/>
      <c r="FNO79" s="12"/>
      <c r="FNP79" s="12"/>
      <c r="FNQ79" s="12"/>
      <c r="FNR79" s="12"/>
      <c r="FNS79" s="12"/>
      <c r="FNT79" s="12"/>
      <c r="FNU79" s="12"/>
      <c r="FNV79" s="12"/>
      <c r="FNW79" s="12"/>
      <c r="FNX79" s="12"/>
      <c r="FNY79" s="12"/>
      <c r="FNZ79" s="12"/>
      <c r="FOA79" s="12"/>
      <c r="FOB79" s="12"/>
      <c r="FOC79" s="12"/>
      <c r="FOD79" s="12"/>
      <c r="FOE79" s="12"/>
      <c r="FOF79" s="12"/>
      <c r="FOG79" s="12"/>
      <c r="FOH79" s="12"/>
      <c r="FOI79" s="12"/>
      <c r="FOJ79" s="12"/>
      <c r="FOK79" s="12"/>
      <c r="FOL79" s="12"/>
      <c r="FOM79" s="12"/>
      <c r="FON79" s="12"/>
      <c r="FOO79" s="12"/>
      <c r="FOP79" s="12"/>
      <c r="FOQ79" s="12"/>
      <c r="FOR79" s="12"/>
      <c r="FOS79" s="12"/>
      <c r="FOT79" s="12"/>
      <c r="FOU79" s="12"/>
      <c r="FOV79" s="12"/>
      <c r="FOW79" s="12"/>
      <c r="FOX79" s="12"/>
      <c r="FOY79" s="12"/>
      <c r="FOZ79" s="12"/>
      <c r="FPA79" s="12"/>
      <c r="FPB79" s="12"/>
      <c r="FPC79" s="12"/>
      <c r="FPD79" s="12"/>
      <c r="FPE79" s="12"/>
      <c r="FPF79" s="12"/>
      <c r="FPG79" s="12"/>
      <c r="FPH79" s="12"/>
      <c r="FPI79" s="12"/>
      <c r="FPJ79" s="12"/>
      <c r="FPK79" s="12"/>
      <c r="FPL79" s="12"/>
      <c r="FPM79" s="12"/>
      <c r="FPN79" s="12"/>
      <c r="FPO79" s="12"/>
      <c r="FPP79" s="12"/>
      <c r="FPQ79" s="12"/>
      <c r="FPR79" s="12"/>
      <c r="FPS79" s="12"/>
      <c r="FPT79" s="12"/>
      <c r="FPU79" s="12"/>
      <c r="FPV79" s="12"/>
      <c r="FPW79" s="12"/>
      <c r="FPX79" s="12"/>
      <c r="FPY79" s="12"/>
      <c r="FPZ79" s="12"/>
      <c r="FQA79" s="12"/>
      <c r="FQB79" s="12"/>
      <c r="FQC79" s="12"/>
      <c r="FQD79" s="12"/>
      <c r="FQE79" s="12"/>
      <c r="FQF79" s="12"/>
      <c r="FQG79" s="12"/>
      <c r="FQH79" s="12"/>
      <c r="FQI79" s="12"/>
      <c r="FQJ79" s="12"/>
      <c r="FQK79" s="12"/>
      <c r="FQL79" s="12"/>
      <c r="FQM79" s="12"/>
      <c r="FQN79" s="12"/>
      <c r="FQO79" s="12"/>
      <c r="FQP79" s="12"/>
      <c r="FQQ79" s="12"/>
      <c r="FQR79" s="12"/>
      <c r="FQS79" s="12"/>
      <c r="FQT79" s="12"/>
      <c r="FQU79" s="12"/>
      <c r="FQV79" s="12"/>
      <c r="FQW79" s="12"/>
      <c r="FQX79" s="12"/>
      <c r="FQY79" s="12"/>
      <c r="FQZ79" s="12"/>
      <c r="FRA79" s="12"/>
      <c r="FRB79" s="12"/>
      <c r="FRC79" s="12"/>
      <c r="FRD79" s="12"/>
      <c r="FRE79" s="12"/>
      <c r="FRF79" s="12"/>
      <c r="FRG79" s="12"/>
      <c r="FRH79" s="12"/>
      <c r="FRI79" s="12"/>
      <c r="FRJ79" s="12"/>
      <c r="FRK79" s="12"/>
      <c r="FRL79" s="12"/>
      <c r="FRM79" s="12"/>
      <c r="FRN79" s="12"/>
      <c r="FRO79" s="12"/>
      <c r="FRP79" s="12"/>
      <c r="FRQ79" s="12"/>
      <c r="FRR79" s="12"/>
      <c r="FRS79" s="12"/>
      <c r="FRT79" s="12"/>
      <c r="FRU79" s="12"/>
      <c r="FRV79" s="12"/>
      <c r="FRW79" s="12"/>
      <c r="FRX79" s="12"/>
      <c r="FRY79" s="12"/>
      <c r="FRZ79" s="12"/>
      <c r="FSA79" s="12"/>
      <c r="FSB79" s="12"/>
      <c r="FSC79" s="12"/>
      <c r="FSD79" s="12"/>
      <c r="FSE79" s="12"/>
      <c r="FSF79" s="12"/>
      <c r="FSG79" s="12"/>
      <c r="FSH79" s="12"/>
      <c r="FSI79" s="12"/>
      <c r="FSJ79" s="12"/>
      <c r="FSK79" s="12"/>
      <c r="FSL79" s="12"/>
      <c r="FSM79" s="12"/>
      <c r="FSN79" s="12"/>
      <c r="FSO79" s="12"/>
      <c r="FSP79" s="12"/>
      <c r="FSQ79" s="12"/>
      <c r="FSR79" s="12"/>
      <c r="FSS79" s="12"/>
      <c r="FST79" s="12"/>
      <c r="FSU79" s="12"/>
      <c r="FSV79" s="12"/>
      <c r="FSW79" s="12"/>
      <c r="FSX79" s="12"/>
      <c r="FSY79" s="12"/>
      <c r="FSZ79" s="12"/>
      <c r="FTA79" s="12"/>
      <c r="FTB79" s="12"/>
      <c r="FTC79" s="12"/>
      <c r="FTD79" s="12"/>
      <c r="FTE79" s="12"/>
      <c r="FTF79" s="12"/>
      <c r="FTG79" s="12"/>
      <c r="FTH79" s="12"/>
      <c r="FTI79" s="12"/>
      <c r="FTJ79" s="12"/>
      <c r="FTK79" s="12"/>
      <c r="FTL79" s="12"/>
      <c r="FTM79" s="12"/>
      <c r="FTN79" s="12"/>
      <c r="FTO79" s="12"/>
      <c r="FTP79" s="12"/>
      <c r="FTQ79" s="12"/>
      <c r="FTR79" s="12"/>
      <c r="FTS79" s="12"/>
      <c r="FTT79" s="12"/>
      <c r="FTU79" s="12"/>
      <c r="FTV79" s="12"/>
      <c r="FTW79" s="12"/>
      <c r="FTX79" s="12"/>
      <c r="FTY79" s="12"/>
      <c r="FTZ79" s="12"/>
      <c r="FUA79" s="12"/>
      <c r="FUB79" s="12"/>
      <c r="FUC79" s="12"/>
      <c r="FUD79" s="12"/>
      <c r="FUE79" s="12"/>
      <c r="FUF79" s="12"/>
      <c r="FUG79" s="12"/>
      <c r="FUH79" s="12"/>
      <c r="FUI79" s="12"/>
      <c r="FUJ79" s="12"/>
      <c r="FUK79" s="12"/>
      <c r="FUL79" s="12"/>
      <c r="FUM79" s="12"/>
      <c r="FUN79" s="12"/>
      <c r="FUO79" s="12"/>
      <c r="FUP79" s="12"/>
      <c r="FUQ79" s="12"/>
      <c r="FUR79" s="12"/>
      <c r="FUS79" s="12"/>
      <c r="FUT79" s="12"/>
      <c r="FUU79" s="12"/>
      <c r="FUV79" s="12"/>
      <c r="FUW79" s="12"/>
      <c r="FUX79" s="12"/>
      <c r="FUY79" s="12"/>
      <c r="FUZ79" s="12"/>
      <c r="FVA79" s="12"/>
      <c r="FVB79" s="12"/>
      <c r="FVC79" s="12"/>
      <c r="FVD79" s="12"/>
      <c r="FVE79" s="12"/>
      <c r="FVF79" s="12"/>
      <c r="FVG79" s="12"/>
      <c r="FVH79" s="12"/>
      <c r="FVI79" s="12"/>
      <c r="FVJ79" s="12"/>
      <c r="FVK79" s="12"/>
      <c r="FVL79" s="12"/>
      <c r="FVM79" s="12"/>
      <c r="FVN79" s="12"/>
      <c r="FVO79" s="12"/>
      <c r="FVP79" s="12"/>
      <c r="FVQ79" s="12"/>
      <c r="FVR79" s="12"/>
      <c r="FVS79" s="12"/>
      <c r="FVT79" s="12"/>
      <c r="FVU79" s="12"/>
      <c r="FVV79" s="12"/>
      <c r="FVW79" s="12"/>
      <c r="FVX79" s="12"/>
      <c r="FVY79" s="12"/>
      <c r="FVZ79" s="12"/>
      <c r="FWA79" s="12"/>
      <c r="FWB79" s="12"/>
      <c r="FWC79" s="12"/>
      <c r="FWD79" s="12"/>
      <c r="FWE79" s="12"/>
      <c r="FWF79" s="12"/>
      <c r="FWG79" s="12"/>
      <c r="FWH79" s="12"/>
      <c r="FWI79" s="12"/>
      <c r="FWJ79" s="12"/>
      <c r="FWK79" s="12"/>
      <c r="FWL79" s="12"/>
      <c r="FWM79" s="12"/>
      <c r="FWN79" s="12"/>
      <c r="FWO79" s="12"/>
      <c r="FWP79" s="12"/>
      <c r="FWQ79" s="12"/>
      <c r="FWR79" s="12"/>
      <c r="FWS79" s="12"/>
      <c r="FWT79" s="12"/>
      <c r="FWU79" s="12"/>
      <c r="FWV79" s="12"/>
      <c r="FWW79" s="12"/>
      <c r="FWX79" s="12"/>
      <c r="FWY79" s="12"/>
      <c r="FWZ79" s="12"/>
      <c r="FXA79" s="12"/>
      <c r="FXB79" s="12"/>
      <c r="FXC79" s="12"/>
      <c r="FXD79" s="12"/>
      <c r="FXE79" s="12"/>
      <c r="FXF79" s="12"/>
      <c r="FXG79" s="12"/>
      <c r="FXH79" s="12"/>
      <c r="FXI79" s="12"/>
      <c r="FXJ79" s="12"/>
      <c r="FXK79" s="12"/>
      <c r="FXL79" s="12"/>
      <c r="FXM79" s="12"/>
      <c r="FXN79" s="12"/>
      <c r="FXO79" s="12"/>
      <c r="FXP79" s="12"/>
      <c r="FXQ79" s="12"/>
      <c r="FXR79" s="12"/>
      <c r="FXS79" s="12"/>
      <c r="FXT79" s="12"/>
      <c r="FXU79" s="12"/>
      <c r="FXV79" s="12"/>
      <c r="FXW79" s="12"/>
      <c r="FXX79" s="12"/>
      <c r="FXY79" s="12"/>
      <c r="FXZ79" s="12"/>
      <c r="FYA79" s="12"/>
      <c r="FYB79" s="12"/>
      <c r="FYC79" s="12"/>
      <c r="FYD79" s="12"/>
      <c r="FYE79" s="12"/>
      <c r="FYF79" s="12"/>
      <c r="FYG79" s="12"/>
      <c r="FYH79" s="12"/>
      <c r="FYI79" s="12"/>
      <c r="FYJ79" s="12"/>
      <c r="FYK79" s="12"/>
      <c r="FYL79" s="12"/>
      <c r="FYM79" s="12"/>
      <c r="FYN79" s="12"/>
      <c r="FYO79" s="12"/>
      <c r="FYP79" s="12"/>
      <c r="FYQ79" s="12"/>
      <c r="FYR79" s="12"/>
      <c r="FYS79" s="12"/>
      <c r="FYT79" s="12"/>
      <c r="FYU79" s="12"/>
      <c r="FYV79" s="12"/>
      <c r="FYW79" s="12"/>
      <c r="FYX79" s="12"/>
      <c r="FYY79" s="12"/>
      <c r="FYZ79" s="12"/>
      <c r="FZA79" s="12"/>
      <c r="FZB79" s="12"/>
      <c r="FZC79" s="12"/>
      <c r="FZD79" s="12"/>
      <c r="FZE79" s="12"/>
      <c r="FZF79" s="12"/>
      <c r="FZG79" s="12"/>
      <c r="FZH79" s="12"/>
      <c r="FZI79" s="12"/>
      <c r="FZJ79" s="12"/>
      <c r="FZK79" s="12"/>
      <c r="FZL79" s="12"/>
      <c r="FZM79" s="12"/>
      <c r="FZN79" s="12"/>
      <c r="FZO79" s="12"/>
      <c r="FZP79" s="12"/>
      <c r="FZQ79" s="12"/>
      <c r="FZR79" s="12"/>
      <c r="FZS79" s="12"/>
      <c r="FZT79" s="12"/>
      <c r="FZU79" s="12"/>
      <c r="FZV79" s="12"/>
      <c r="FZW79" s="12"/>
      <c r="FZX79" s="12"/>
      <c r="FZY79" s="12"/>
      <c r="FZZ79" s="12"/>
      <c r="GAA79" s="12"/>
      <c r="GAB79" s="12"/>
      <c r="GAC79" s="12"/>
      <c r="GAD79" s="12"/>
      <c r="GAE79" s="12"/>
      <c r="GAF79" s="12"/>
      <c r="GAG79" s="12"/>
      <c r="GAH79" s="12"/>
      <c r="GAI79" s="12"/>
      <c r="GAJ79" s="12"/>
      <c r="GAK79" s="12"/>
      <c r="GAL79" s="12"/>
      <c r="GAM79" s="12"/>
      <c r="GAN79" s="12"/>
      <c r="GAO79" s="12"/>
      <c r="GAP79" s="12"/>
      <c r="GAQ79" s="12"/>
      <c r="GAR79" s="12"/>
      <c r="GAS79" s="12"/>
      <c r="GAT79" s="12"/>
      <c r="GAU79" s="12"/>
      <c r="GAV79" s="12"/>
      <c r="GAW79" s="12"/>
      <c r="GAX79" s="12"/>
      <c r="GAY79" s="12"/>
      <c r="GAZ79" s="12"/>
      <c r="GBA79" s="12"/>
      <c r="GBB79" s="12"/>
      <c r="GBC79" s="12"/>
      <c r="GBD79" s="12"/>
      <c r="GBE79" s="12"/>
      <c r="GBF79" s="12"/>
      <c r="GBG79" s="12"/>
      <c r="GBH79" s="12"/>
      <c r="GBI79" s="12"/>
      <c r="GBJ79" s="12"/>
      <c r="GBK79" s="12"/>
      <c r="GBL79" s="12"/>
      <c r="GBM79" s="12"/>
      <c r="GBN79" s="12"/>
      <c r="GBO79" s="12"/>
      <c r="GBP79" s="12"/>
      <c r="GBQ79" s="12"/>
      <c r="GBR79" s="12"/>
      <c r="GBS79" s="12"/>
      <c r="GBT79" s="12"/>
      <c r="GBU79" s="12"/>
      <c r="GBV79" s="12"/>
      <c r="GBW79" s="12"/>
      <c r="GBX79" s="12"/>
      <c r="GBY79" s="12"/>
      <c r="GBZ79" s="12"/>
      <c r="GCA79" s="12"/>
      <c r="GCB79" s="12"/>
      <c r="GCC79" s="12"/>
      <c r="GCD79" s="12"/>
      <c r="GCE79" s="12"/>
      <c r="GCF79" s="12"/>
      <c r="GCG79" s="12"/>
      <c r="GCH79" s="12"/>
      <c r="GCI79" s="12"/>
      <c r="GCJ79" s="12"/>
      <c r="GCK79" s="12"/>
      <c r="GCL79" s="12"/>
      <c r="GCM79" s="12"/>
      <c r="GCN79" s="12"/>
      <c r="GCO79" s="12"/>
      <c r="GCP79" s="12"/>
      <c r="GCQ79" s="12"/>
      <c r="GCR79" s="12"/>
      <c r="GCS79" s="12"/>
      <c r="GCT79" s="12"/>
      <c r="GCU79" s="12"/>
      <c r="GCV79" s="12"/>
      <c r="GCW79" s="12"/>
      <c r="GCX79" s="12"/>
      <c r="GCY79" s="12"/>
      <c r="GCZ79" s="12"/>
      <c r="GDA79" s="12"/>
      <c r="GDB79" s="12"/>
      <c r="GDC79" s="12"/>
      <c r="GDD79" s="12"/>
      <c r="GDE79" s="12"/>
      <c r="GDF79" s="12"/>
      <c r="GDG79" s="12"/>
      <c r="GDH79" s="12"/>
      <c r="GDI79" s="12"/>
      <c r="GDJ79" s="12"/>
      <c r="GDK79" s="12"/>
      <c r="GDL79" s="12"/>
      <c r="GDM79" s="12"/>
      <c r="GDN79" s="12"/>
      <c r="GDO79" s="12"/>
      <c r="GDP79" s="12"/>
      <c r="GDQ79" s="12"/>
      <c r="GDR79" s="12"/>
      <c r="GDS79" s="12"/>
      <c r="GDT79" s="12"/>
      <c r="GDU79" s="12"/>
      <c r="GDV79" s="12"/>
      <c r="GDW79" s="12"/>
      <c r="GDX79" s="12"/>
      <c r="GDY79" s="12"/>
      <c r="GDZ79" s="12"/>
      <c r="GEA79" s="12"/>
      <c r="GEB79" s="12"/>
      <c r="GEC79" s="12"/>
      <c r="GED79" s="12"/>
      <c r="GEE79" s="12"/>
      <c r="GEF79" s="12"/>
      <c r="GEG79" s="12"/>
      <c r="GEH79" s="12"/>
      <c r="GEI79" s="12"/>
      <c r="GEJ79" s="12"/>
      <c r="GEK79" s="12"/>
      <c r="GEL79" s="12"/>
      <c r="GEM79" s="12"/>
      <c r="GEN79" s="12"/>
      <c r="GEO79" s="12"/>
      <c r="GEP79" s="12"/>
      <c r="GEQ79" s="12"/>
      <c r="GER79" s="12"/>
      <c r="GES79" s="12"/>
      <c r="GET79" s="12"/>
      <c r="GEU79" s="12"/>
      <c r="GEV79" s="12"/>
      <c r="GEW79" s="12"/>
      <c r="GEX79" s="12"/>
      <c r="GEY79" s="12"/>
      <c r="GEZ79" s="12"/>
      <c r="GFA79" s="12"/>
      <c r="GFB79" s="12"/>
      <c r="GFC79" s="12"/>
      <c r="GFD79" s="12"/>
      <c r="GFE79" s="12"/>
      <c r="GFF79" s="12"/>
      <c r="GFG79" s="12"/>
      <c r="GFH79" s="12"/>
      <c r="GFI79" s="12"/>
      <c r="GFJ79" s="12"/>
      <c r="GFK79" s="12"/>
      <c r="GFL79" s="12"/>
      <c r="GFM79" s="12"/>
      <c r="GFN79" s="12"/>
      <c r="GFO79" s="12"/>
      <c r="GFP79" s="12"/>
      <c r="GFQ79" s="12"/>
      <c r="GFR79" s="12"/>
      <c r="GFS79" s="12"/>
      <c r="GFT79" s="12"/>
      <c r="GFU79" s="12"/>
      <c r="GFV79" s="12"/>
      <c r="GFW79" s="12"/>
      <c r="GFX79" s="12"/>
      <c r="GFY79" s="12"/>
      <c r="GFZ79" s="12"/>
      <c r="GGA79" s="12"/>
      <c r="GGB79" s="12"/>
      <c r="GGC79" s="12"/>
      <c r="GGD79" s="12"/>
      <c r="GGE79" s="12"/>
      <c r="GGF79" s="12"/>
      <c r="GGG79" s="12"/>
      <c r="GGH79" s="12"/>
      <c r="GGI79" s="12"/>
      <c r="GGJ79" s="12"/>
      <c r="GGK79" s="12"/>
      <c r="GGL79" s="12"/>
      <c r="GGM79" s="12"/>
      <c r="GGN79" s="12"/>
      <c r="GGO79" s="12"/>
      <c r="GGP79" s="12"/>
      <c r="GGQ79" s="12"/>
      <c r="GGR79" s="12"/>
      <c r="GGS79" s="12"/>
      <c r="GGT79" s="12"/>
      <c r="GGU79" s="12"/>
      <c r="GGV79" s="12"/>
      <c r="GGW79" s="12"/>
      <c r="GGX79" s="12"/>
      <c r="GGY79" s="12"/>
      <c r="GGZ79" s="12"/>
      <c r="GHA79" s="12"/>
      <c r="GHB79" s="12"/>
      <c r="GHC79" s="12"/>
      <c r="GHD79" s="12"/>
      <c r="GHE79" s="12"/>
      <c r="GHF79" s="12"/>
      <c r="GHG79" s="12"/>
      <c r="GHH79" s="12"/>
      <c r="GHI79" s="12"/>
      <c r="GHJ79" s="12"/>
      <c r="GHK79" s="12"/>
      <c r="GHL79" s="12"/>
      <c r="GHM79" s="12"/>
      <c r="GHN79" s="12"/>
      <c r="GHO79" s="12"/>
      <c r="GHP79" s="12"/>
      <c r="GHQ79" s="12"/>
      <c r="GHR79" s="12"/>
      <c r="GHS79" s="12"/>
      <c r="GHT79" s="12"/>
      <c r="GHU79" s="12"/>
      <c r="GHV79" s="12"/>
      <c r="GHW79" s="12"/>
      <c r="GHX79" s="12"/>
      <c r="GHY79" s="12"/>
      <c r="GHZ79" s="12"/>
      <c r="GIA79" s="12"/>
      <c r="GIB79" s="12"/>
      <c r="GIC79" s="12"/>
      <c r="GID79" s="12"/>
      <c r="GIE79" s="12"/>
      <c r="GIF79" s="12"/>
      <c r="GIG79" s="12"/>
      <c r="GIH79" s="12"/>
      <c r="GII79" s="12"/>
      <c r="GIJ79" s="12"/>
      <c r="GIK79" s="12"/>
      <c r="GIL79" s="12"/>
      <c r="GIM79" s="12"/>
      <c r="GIN79" s="12"/>
      <c r="GIO79" s="12"/>
      <c r="GIP79" s="12"/>
      <c r="GIQ79" s="12"/>
      <c r="GIR79" s="12"/>
      <c r="GIS79" s="12"/>
      <c r="GIT79" s="12"/>
      <c r="GIU79" s="12"/>
      <c r="GIV79" s="12"/>
      <c r="GIW79" s="12"/>
      <c r="GIX79" s="12"/>
      <c r="GIY79" s="12"/>
      <c r="GIZ79" s="12"/>
      <c r="GJA79" s="12"/>
      <c r="GJB79" s="12"/>
      <c r="GJC79" s="12"/>
      <c r="GJD79" s="12"/>
      <c r="GJE79" s="12"/>
      <c r="GJF79" s="12"/>
      <c r="GJG79" s="12"/>
      <c r="GJH79" s="12"/>
      <c r="GJI79" s="12"/>
      <c r="GJJ79" s="12"/>
      <c r="GJK79" s="12"/>
      <c r="GJL79" s="12"/>
      <c r="GJM79" s="12"/>
      <c r="GJN79" s="12"/>
      <c r="GJO79" s="12"/>
      <c r="GJP79" s="12"/>
      <c r="GJQ79" s="12"/>
      <c r="GJR79" s="12"/>
      <c r="GJS79" s="12"/>
      <c r="GJT79" s="12"/>
      <c r="GJU79" s="12"/>
      <c r="GJV79" s="12"/>
      <c r="GJW79" s="12"/>
      <c r="GJX79" s="12"/>
      <c r="GJY79" s="12"/>
      <c r="GJZ79" s="12"/>
      <c r="GKA79" s="12"/>
      <c r="GKB79" s="12"/>
      <c r="GKC79" s="12"/>
      <c r="GKD79" s="12"/>
      <c r="GKE79" s="12"/>
      <c r="GKF79" s="12"/>
      <c r="GKG79" s="12"/>
      <c r="GKH79" s="12"/>
      <c r="GKI79" s="12"/>
      <c r="GKJ79" s="12"/>
      <c r="GKK79" s="12"/>
      <c r="GKL79" s="12"/>
      <c r="GKM79" s="12"/>
      <c r="GKN79" s="12"/>
      <c r="GKO79" s="12"/>
      <c r="GKP79" s="12"/>
      <c r="GKQ79" s="12"/>
      <c r="GKR79" s="12"/>
      <c r="GKS79" s="12"/>
      <c r="GKT79" s="12"/>
      <c r="GKU79" s="12"/>
      <c r="GKV79" s="12"/>
      <c r="GKW79" s="12"/>
      <c r="GKX79" s="12"/>
      <c r="GKY79" s="12"/>
      <c r="GKZ79" s="12"/>
      <c r="GLA79" s="12"/>
      <c r="GLB79" s="12"/>
      <c r="GLC79" s="12"/>
      <c r="GLD79" s="12"/>
      <c r="GLE79" s="12"/>
      <c r="GLF79" s="12"/>
      <c r="GLG79" s="12"/>
      <c r="GLH79" s="12"/>
      <c r="GLI79" s="12"/>
      <c r="GLJ79" s="12"/>
      <c r="GLK79" s="12"/>
      <c r="GLL79" s="12"/>
      <c r="GLM79" s="12"/>
      <c r="GLN79" s="12"/>
      <c r="GLO79" s="12"/>
      <c r="GLP79" s="12"/>
      <c r="GLQ79" s="12"/>
      <c r="GLR79" s="12"/>
      <c r="GLS79" s="12"/>
      <c r="GLT79" s="12"/>
      <c r="GLU79" s="12"/>
      <c r="GLV79" s="12"/>
      <c r="GLW79" s="12"/>
      <c r="GLX79" s="12"/>
      <c r="GLY79" s="12"/>
      <c r="GLZ79" s="12"/>
      <c r="GMA79" s="12"/>
      <c r="GMB79" s="12"/>
      <c r="GMC79" s="12"/>
      <c r="GMD79" s="12"/>
      <c r="GME79" s="12"/>
      <c r="GMF79" s="12"/>
      <c r="GMG79" s="12"/>
      <c r="GMH79" s="12"/>
      <c r="GMI79" s="12"/>
      <c r="GMJ79" s="12"/>
      <c r="GMK79" s="12"/>
      <c r="GML79" s="12"/>
      <c r="GMM79" s="12"/>
      <c r="GMN79" s="12"/>
      <c r="GMO79" s="12"/>
      <c r="GMP79" s="12"/>
      <c r="GMQ79" s="12"/>
      <c r="GMR79" s="12"/>
      <c r="GMS79" s="12"/>
      <c r="GMT79" s="12"/>
      <c r="GMU79" s="12"/>
      <c r="GMV79" s="12"/>
      <c r="GMW79" s="12"/>
      <c r="GMX79" s="12"/>
      <c r="GMY79" s="12"/>
      <c r="GMZ79" s="12"/>
      <c r="GNA79" s="12"/>
      <c r="GNB79" s="12"/>
      <c r="GNC79" s="12"/>
      <c r="GND79" s="12"/>
      <c r="GNE79" s="12"/>
      <c r="GNF79" s="12"/>
      <c r="GNG79" s="12"/>
      <c r="GNH79" s="12"/>
      <c r="GNI79" s="12"/>
      <c r="GNJ79" s="12"/>
      <c r="GNK79" s="12"/>
      <c r="GNL79" s="12"/>
      <c r="GNM79" s="12"/>
      <c r="GNN79" s="12"/>
      <c r="GNO79" s="12"/>
      <c r="GNP79" s="12"/>
      <c r="GNQ79" s="12"/>
      <c r="GNR79" s="12"/>
      <c r="GNS79" s="12"/>
      <c r="GNT79" s="12"/>
      <c r="GNU79" s="12"/>
      <c r="GNV79" s="12"/>
      <c r="GNW79" s="12"/>
      <c r="GNX79" s="12"/>
      <c r="GNY79" s="12"/>
      <c r="GNZ79" s="12"/>
      <c r="GOA79" s="12"/>
      <c r="GOB79" s="12"/>
      <c r="GOC79" s="12"/>
      <c r="GOD79" s="12"/>
      <c r="GOE79" s="12"/>
      <c r="GOF79" s="12"/>
      <c r="GOG79" s="12"/>
      <c r="GOH79" s="12"/>
      <c r="GOI79" s="12"/>
      <c r="GOJ79" s="12"/>
      <c r="GOK79" s="12"/>
      <c r="GOL79" s="12"/>
      <c r="GOM79" s="12"/>
      <c r="GON79" s="12"/>
      <c r="GOO79" s="12"/>
      <c r="GOP79" s="12"/>
      <c r="GOQ79" s="12"/>
      <c r="GOR79" s="12"/>
      <c r="GOS79" s="12"/>
      <c r="GOT79" s="12"/>
      <c r="GOU79" s="12"/>
      <c r="GOV79" s="12"/>
      <c r="GOW79" s="12"/>
      <c r="GOX79" s="12"/>
      <c r="GOY79" s="12"/>
      <c r="GOZ79" s="12"/>
      <c r="GPA79" s="12"/>
      <c r="GPB79" s="12"/>
      <c r="GPC79" s="12"/>
      <c r="GPD79" s="12"/>
      <c r="GPE79" s="12"/>
      <c r="GPF79" s="12"/>
      <c r="GPG79" s="12"/>
      <c r="GPH79" s="12"/>
      <c r="GPI79" s="12"/>
      <c r="GPJ79" s="12"/>
      <c r="GPK79" s="12"/>
      <c r="GPL79" s="12"/>
      <c r="GPM79" s="12"/>
      <c r="GPN79" s="12"/>
      <c r="GPO79" s="12"/>
      <c r="GPP79" s="12"/>
      <c r="GPQ79" s="12"/>
      <c r="GPR79" s="12"/>
      <c r="GPS79" s="12"/>
      <c r="GPT79" s="12"/>
      <c r="GPU79" s="12"/>
      <c r="GPV79" s="12"/>
      <c r="GPW79" s="12"/>
      <c r="GPX79" s="12"/>
      <c r="GPY79" s="12"/>
      <c r="GPZ79" s="12"/>
      <c r="GQA79" s="12"/>
      <c r="GQB79" s="12"/>
      <c r="GQC79" s="12"/>
      <c r="GQD79" s="12"/>
      <c r="GQE79" s="12"/>
      <c r="GQF79" s="12"/>
      <c r="GQG79" s="12"/>
      <c r="GQH79" s="12"/>
      <c r="GQI79" s="12"/>
      <c r="GQJ79" s="12"/>
      <c r="GQK79" s="12"/>
      <c r="GQL79" s="12"/>
      <c r="GQM79" s="12"/>
      <c r="GQN79" s="12"/>
      <c r="GQO79" s="12"/>
      <c r="GQP79" s="12"/>
      <c r="GQQ79" s="12"/>
      <c r="GQR79" s="12"/>
      <c r="GQS79" s="12"/>
      <c r="GQT79" s="12"/>
      <c r="GQU79" s="12"/>
      <c r="GQV79" s="12"/>
      <c r="GQW79" s="12"/>
      <c r="GQX79" s="12"/>
      <c r="GQY79" s="12"/>
      <c r="GQZ79" s="12"/>
      <c r="GRA79" s="12"/>
      <c r="GRB79" s="12"/>
      <c r="GRC79" s="12"/>
      <c r="GRD79" s="12"/>
      <c r="GRE79" s="12"/>
      <c r="GRF79" s="12"/>
      <c r="GRG79" s="12"/>
      <c r="GRH79" s="12"/>
      <c r="GRI79" s="12"/>
      <c r="GRJ79" s="12"/>
      <c r="GRK79" s="12"/>
      <c r="GRL79" s="12"/>
      <c r="GRM79" s="12"/>
      <c r="GRN79" s="12"/>
      <c r="GRO79" s="12"/>
      <c r="GRP79" s="12"/>
      <c r="GRQ79" s="12"/>
      <c r="GRR79" s="12"/>
      <c r="GRS79" s="12"/>
      <c r="GRT79" s="12"/>
      <c r="GRU79" s="12"/>
      <c r="GRV79" s="12"/>
      <c r="GRW79" s="12"/>
      <c r="GRX79" s="12"/>
      <c r="GRY79" s="12"/>
      <c r="GRZ79" s="12"/>
      <c r="GSA79" s="12"/>
      <c r="GSB79" s="12"/>
      <c r="GSC79" s="12"/>
      <c r="GSD79" s="12"/>
      <c r="GSE79" s="12"/>
      <c r="GSF79" s="12"/>
      <c r="GSG79" s="12"/>
      <c r="GSH79" s="12"/>
      <c r="GSI79" s="12"/>
      <c r="GSJ79" s="12"/>
      <c r="GSK79" s="12"/>
      <c r="GSL79" s="12"/>
      <c r="GSM79" s="12"/>
      <c r="GSN79" s="12"/>
      <c r="GSO79" s="12"/>
      <c r="GSP79" s="12"/>
      <c r="GSQ79" s="12"/>
      <c r="GSR79" s="12"/>
      <c r="GSS79" s="12"/>
      <c r="GST79" s="12"/>
      <c r="GSU79" s="12"/>
      <c r="GSV79" s="12"/>
      <c r="GSW79" s="12"/>
      <c r="GSX79" s="12"/>
      <c r="GSY79" s="12"/>
      <c r="GSZ79" s="12"/>
      <c r="GTA79" s="12"/>
      <c r="GTB79" s="12"/>
      <c r="GTC79" s="12"/>
      <c r="GTD79" s="12"/>
      <c r="GTE79" s="12"/>
      <c r="GTF79" s="12"/>
      <c r="GTG79" s="12"/>
      <c r="GTH79" s="12"/>
      <c r="GTI79" s="12"/>
      <c r="GTJ79" s="12"/>
      <c r="GTK79" s="12"/>
      <c r="GTL79" s="12"/>
      <c r="GTM79" s="12"/>
      <c r="GTN79" s="12"/>
      <c r="GTO79" s="12"/>
      <c r="GTP79" s="12"/>
      <c r="GTQ79" s="12"/>
      <c r="GTR79" s="12"/>
      <c r="GTS79" s="12"/>
      <c r="GTT79" s="12"/>
      <c r="GTU79" s="12"/>
      <c r="GTV79" s="12"/>
      <c r="GTW79" s="12"/>
      <c r="GTX79" s="12"/>
      <c r="GTY79" s="12"/>
      <c r="GTZ79" s="12"/>
      <c r="GUA79" s="12"/>
      <c r="GUB79" s="12"/>
      <c r="GUC79" s="12"/>
      <c r="GUD79" s="12"/>
      <c r="GUE79" s="12"/>
      <c r="GUF79" s="12"/>
      <c r="GUG79" s="12"/>
      <c r="GUH79" s="12"/>
      <c r="GUI79" s="12"/>
      <c r="GUJ79" s="12"/>
      <c r="GUK79" s="12"/>
      <c r="GUL79" s="12"/>
      <c r="GUM79" s="12"/>
      <c r="GUN79" s="12"/>
      <c r="GUO79" s="12"/>
      <c r="GUP79" s="12"/>
      <c r="GUQ79" s="12"/>
      <c r="GUR79" s="12"/>
      <c r="GUS79" s="12"/>
      <c r="GUT79" s="12"/>
      <c r="GUU79" s="12"/>
      <c r="GUV79" s="12"/>
      <c r="GUW79" s="12"/>
      <c r="GUX79" s="12"/>
      <c r="GUY79" s="12"/>
      <c r="GUZ79" s="12"/>
      <c r="GVA79" s="12"/>
      <c r="GVB79" s="12"/>
      <c r="GVC79" s="12"/>
      <c r="GVD79" s="12"/>
      <c r="GVE79" s="12"/>
      <c r="GVF79" s="12"/>
      <c r="GVG79" s="12"/>
      <c r="GVH79" s="12"/>
      <c r="GVI79" s="12"/>
      <c r="GVJ79" s="12"/>
      <c r="GVK79" s="12"/>
      <c r="GVL79" s="12"/>
      <c r="GVM79" s="12"/>
      <c r="GVN79" s="12"/>
      <c r="GVO79" s="12"/>
      <c r="GVP79" s="12"/>
      <c r="GVQ79" s="12"/>
      <c r="GVR79" s="12"/>
      <c r="GVS79" s="12"/>
      <c r="GVT79" s="12"/>
      <c r="GVU79" s="12"/>
      <c r="GVV79" s="12"/>
      <c r="GVW79" s="12"/>
      <c r="GVX79" s="12"/>
      <c r="GVY79" s="12"/>
      <c r="GVZ79" s="12"/>
      <c r="GWA79" s="12"/>
      <c r="GWB79" s="12"/>
      <c r="GWC79" s="12"/>
      <c r="GWD79" s="12"/>
      <c r="GWE79" s="12"/>
      <c r="GWF79" s="12"/>
      <c r="GWG79" s="12"/>
      <c r="GWH79" s="12"/>
      <c r="GWI79" s="12"/>
      <c r="GWJ79" s="12"/>
      <c r="GWK79" s="12"/>
      <c r="GWL79" s="12"/>
      <c r="GWM79" s="12"/>
      <c r="GWN79" s="12"/>
      <c r="GWO79" s="12"/>
      <c r="GWP79" s="12"/>
      <c r="GWQ79" s="12"/>
      <c r="GWR79" s="12"/>
      <c r="GWS79" s="12"/>
      <c r="GWT79" s="12"/>
      <c r="GWU79" s="12"/>
      <c r="GWV79" s="12"/>
      <c r="GWW79" s="12"/>
      <c r="GWX79" s="12"/>
      <c r="GWY79" s="12"/>
      <c r="GWZ79" s="12"/>
      <c r="GXA79" s="12"/>
      <c r="GXB79" s="12"/>
      <c r="GXC79" s="12"/>
      <c r="GXD79" s="12"/>
      <c r="GXE79" s="12"/>
      <c r="GXF79" s="12"/>
      <c r="GXG79" s="12"/>
      <c r="GXH79" s="12"/>
      <c r="GXI79" s="12"/>
      <c r="GXJ79" s="12"/>
      <c r="GXK79" s="12"/>
      <c r="GXL79" s="12"/>
      <c r="GXM79" s="12"/>
      <c r="GXN79" s="12"/>
      <c r="GXO79" s="12"/>
      <c r="GXP79" s="12"/>
      <c r="GXQ79" s="12"/>
      <c r="GXR79" s="12"/>
      <c r="GXS79" s="12"/>
      <c r="GXT79" s="12"/>
      <c r="GXU79" s="12"/>
      <c r="GXV79" s="12"/>
      <c r="GXW79" s="12"/>
      <c r="GXX79" s="12"/>
      <c r="GXY79" s="12"/>
      <c r="GXZ79" s="12"/>
      <c r="GYA79" s="12"/>
      <c r="GYB79" s="12"/>
      <c r="GYC79" s="12"/>
      <c r="GYD79" s="12"/>
      <c r="GYE79" s="12"/>
      <c r="GYF79" s="12"/>
      <c r="GYG79" s="12"/>
      <c r="GYH79" s="12"/>
      <c r="GYI79" s="12"/>
      <c r="GYJ79" s="12"/>
      <c r="GYK79" s="12"/>
      <c r="GYL79" s="12"/>
      <c r="GYM79" s="12"/>
      <c r="GYN79" s="12"/>
      <c r="GYO79" s="12"/>
      <c r="GYP79" s="12"/>
      <c r="GYQ79" s="12"/>
      <c r="GYR79" s="12"/>
      <c r="GYS79" s="12"/>
      <c r="GYT79" s="12"/>
      <c r="GYU79" s="12"/>
      <c r="GYV79" s="12"/>
      <c r="GYW79" s="12"/>
      <c r="GYX79" s="12"/>
      <c r="GYY79" s="12"/>
      <c r="GYZ79" s="12"/>
      <c r="GZA79" s="12"/>
      <c r="GZB79" s="12"/>
      <c r="GZC79" s="12"/>
      <c r="GZD79" s="12"/>
      <c r="GZE79" s="12"/>
      <c r="GZF79" s="12"/>
      <c r="GZG79" s="12"/>
      <c r="GZH79" s="12"/>
      <c r="GZI79" s="12"/>
      <c r="GZJ79" s="12"/>
      <c r="GZK79" s="12"/>
      <c r="GZL79" s="12"/>
      <c r="GZM79" s="12"/>
      <c r="GZN79" s="12"/>
      <c r="GZO79" s="12"/>
      <c r="GZP79" s="12"/>
      <c r="GZQ79" s="12"/>
      <c r="GZR79" s="12"/>
      <c r="GZS79" s="12"/>
      <c r="GZT79" s="12"/>
      <c r="GZU79" s="12"/>
      <c r="GZV79" s="12"/>
      <c r="GZW79" s="12"/>
      <c r="GZX79" s="12"/>
      <c r="GZY79" s="12"/>
      <c r="GZZ79" s="12"/>
      <c r="HAA79" s="12"/>
      <c r="HAB79" s="12"/>
      <c r="HAC79" s="12"/>
      <c r="HAD79" s="12"/>
      <c r="HAE79" s="12"/>
      <c r="HAF79" s="12"/>
      <c r="HAG79" s="12"/>
      <c r="HAH79" s="12"/>
      <c r="HAI79" s="12"/>
      <c r="HAJ79" s="12"/>
      <c r="HAK79" s="12"/>
      <c r="HAL79" s="12"/>
      <c r="HAM79" s="12"/>
      <c r="HAN79" s="12"/>
      <c r="HAO79" s="12"/>
      <c r="HAP79" s="12"/>
      <c r="HAQ79" s="12"/>
      <c r="HAR79" s="12"/>
      <c r="HAS79" s="12"/>
      <c r="HAT79" s="12"/>
      <c r="HAU79" s="12"/>
      <c r="HAV79" s="12"/>
      <c r="HAW79" s="12"/>
      <c r="HAX79" s="12"/>
      <c r="HAY79" s="12"/>
      <c r="HAZ79" s="12"/>
      <c r="HBA79" s="12"/>
      <c r="HBB79" s="12"/>
      <c r="HBC79" s="12"/>
      <c r="HBD79" s="12"/>
      <c r="HBE79" s="12"/>
      <c r="HBF79" s="12"/>
      <c r="HBG79" s="12"/>
      <c r="HBH79" s="12"/>
      <c r="HBI79" s="12"/>
      <c r="HBJ79" s="12"/>
      <c r="HBK79" s="12"/>
      <c r="HBL79" s="12"/>
      <c r="HBM79" s="12"/>
      <c r="HBN79" s="12"/>
      <c r="HBO79" s="12"/>
      <c r="HBP79" s="12"/>
      <c r="HBQ79" s="12"/>
      <c r="HBR79" s="12"/>
      <c r="HBS79" s="12"/>
      <c r="HBT79" s="12"/>
      <c r="HBU79" s="12"/>
      <c r="HBV79" s="12"/>
      <c r="HBW79" s="12"/>
      <c r="HBX79" s="12"/>
      <c r="HBY79" s="12"/>
      <c r="HBZ79" s="12"/>
      <c r="HCA79" s="12"/>
      <c r="HCB79" s="12"/>
      <c r="HCC79" s="12"/>
      <c r="HCD79" s="12"/>
      <c r="HCE79" s="12"/>
      <c r="HCF79" s="12"/>
      <c r="HCG79" s="12"/>
      <c r="HCH79" s="12"/>
      <c r="HCI79" s="12"/>
      <c r="HCJ79" s="12"/>
      <c r="HCK79" s="12"/>
      <c r="HCL79" s="12"/>
      <c r="HCM79" s="12"/>
      <c r="HCN79" s="12"/>
      <c r="HCO79" s="12"/>
      <c r="HCP79" s="12"/>
      <c r="HCQ79" s="12"/>
      <c r="HCR79" s="12"/>
      <c r="HCS79" s="12"/>
      <c r="HCT79" s="12"/>
      <c r="HCU79" s="12"/>
      <c r="HCV79" s="12"/>
      <c r="HCW79" s="12"/>
      <c r="HCX79" s="12"/>
      <c r="HCY79" s="12"/>
      <c r="HCZ79" s="12"/>
      <c r="HDA79" s="12"/>
      <c r="HDB79" s="12"/>
      <c r="HDC79" s="12"/>
      <c r="HDD79" s="12"/>
      <c r="HDE79" s="12"/>
      <c r="HDF79" s="12"/>
      <c r="HDG79" s="12"/>
      <c r="HDH79" s="12"/>
      <c r="HDI79" s="12"/>
      <c r="HDJ79" s="12"/>
      <c r="HDK79" s="12"/>
      <c r="HDL79" s="12"/>
      <c r="HDM79" s="12"/>
      <c r="HDN79" s="12"/>
      <c r="HDO79" s="12"/>
      <c r="HDP79" s="12"/>
      <c r="HDQ79" s="12"/>
      <c r="HDR79" s="12"/>
      <c r="HDS79" s="12"/>
      <c r="HDT79" s="12"/>
      <c r="HDU79" s="12"/>
      <c r="HDV79" s="12"/>
      <c r="HDW79" s="12"/>
      <c r="HDX79" s="12"/>
      <c r="HDY79" s="12"/>
      <c r="HDZ79" s="12"/>
      <c r="HEA79" s="12"/>
      <c r="HEB79" s="12"/>
      <c r="HEC79" s="12"/>
      <c r="HED79" s="12"/>
      <c r="HEE79" s="12"/>
      <c r="HEF79" s="12"/>
      <c r="HEG79" s="12"/>
      <c r="HEH79" s="12"/>
      <c r="HEI79" s="12"/>
      <c r="HEJ79" s="12"/>
      <c r="HEK79" s="12"/>
      <c r="HEL79" s="12"/>
      <c r="HEM79" s="12"/>
      <c r="HEN79" s="12"/>
      <c r="HEO79" s="12"/>
      <c r="HEP79" s="12"/>
      <c r="HEQ79" s="12"/>
      <c r="HER79" s="12"/>
      <c r="HES79" s="12"/>
      <c r="HET79" s="12"/>
      <c r="HEU79" s="12"/>
      <c r="HEV79" s="12"/>
      <c r="HEW79" s="12"/>
      <c r="HEX79" s="12"/>
      <c r="HEY79" s="12"/>
      <c r="HEZ79" s="12"/>
      <c r="HFA79" s="12"/>
      <c r="HFB79" s="12"/>
      <c r="HFC79" s="12"/>
      <c r="HFD79" s="12"/>
      <c r="HFE79" s="12"/>
      <c r="HFF79" s="12"/>
      <c r="HFG79" s="12"/>
      <c r="HFH79" s="12"/>
      <c r="HFI79" s="12"/>
      <c r="HFJ79" s="12"/>
      <c r="HFK79" s="12"/>
      <c r="HFL79" s="12"/>
      <c r="HFM79" s="12"/>
      <c r="HFN79" s="12"/>
      <c r="HFO79" s="12"/>
      <c r="HFP79" s="12"/>
      <c r="HFQ79" s="12"/>
      <c r="HFR79" s="12"/>
      <c r="HFS79" s="12"/>
      <c r="HFT79" s="12"/>
      <c r="HFU79" s="12"/>
      <c r="HFV79" s="12"/>
      <c r="HFW79" s="12"/>
      <c r="HFX79" s="12"/>
      <c r="HFY79" s="12"/>
      <c r="HFZ79" s="12"/>
      <c r="HGA79" s="12"/>
      <c r="HGB79" s="12"/>
      <c r="HGC79" s="12"/>
      <c r="HGD79" s="12"/>
      <c r="HGE79" s="12"/>
      <c r="HGF79" s="12"/>
      <c r="HGG79" s="12"/>
      <c r="HGH79" s="12"/>
      <c r="HGI79" s="12"/>
      <c r="HGJ79" s="12"/>
      <c r="HGK79" s="12"/>
      <c r="HGL79" s="12"/>
      <c r="HGM79" s="12"/>
      <c r="HGN79" s="12"/>
      <c r="HGO79" s="12"/>
      <c r="HGP79" s="12"/>
      <c r="HGQ79" s="12"/>
      <c r="HGR79" s="12"/>
      <c r="HGS79" s="12"/>
      <c r="HGT79" s="12"/>
      <c r="HGU79" s="12"/>
      <c r="HGV79" s="12"/>
      <c r="HGW79" s="12"/>
      <c r="HGX79" s="12"/>
      <c r="HGY79" s="12"/>
      <c r="HGZ79" s="12"/>
      <c r="HHA79" s="12"/>
      <c r="HHB79" s="12"/>
      <c r="HHC79" s="12"/>
      <c r="HHD79" s="12"/>
      <c r="HHE79" s="12"/>
      <c r="HHF79" s="12"/>
      <c r="HHG79" s="12"/>
      <c r="HHH79" s="12"/>
      <c r="HHI79" s="12"/>
      <c r="HHJ79" s="12"/>
      <c r="HHK79" s="12"/>
      <c r="HHL79" s="12"/>
      <c r="HHM79" s="12"/>
      <c r="HHN79" s="12"/>
      <c r="HHO79" s="12"/>
      <c r="HHP79" s="12"/>
      <c r="HHQ79" s="12"/>
      <c r="HHR79" s="12"/>
      <c r="HHS79" s="12"/>
      <c r="HHT79" s="12"/>
      <c r="HHU79" s="12"/>
      <c r="HHV79" s="12"/>
      <c r="HHW79" s="12"/>
      <c r="HHX79" s="12"/>
      <c r="HHY79" s="12"/>
      <c r="HHZ79" s="12"/>
      <c r="HIA79" s="12"/>
      <c r="HIB79" s="12"/>
      <c r="HIC79" s="12"/>
      <c r="HID79" s="12"/>
      <c r="HIE79" s="12"/>
      <c r="HIF79" s="12"/>
      <c r="HIG79" s="12"/>
      <c r="HIH79" s="12"/>
      <c r="HII79" s="12"/>
      <c r="HIJ79" s="12"/>
      <c r="HIK79" s="12"/>
      <c r="HIL79" s="12"/>
      <c r="HIM79" s="12"/>
      <c r="HIN79" s="12"/>
      <c r="HIO79" s="12"/>
      <c r="HIP79" s="12"/>
      <c r="HIQ79" s="12"/>
      <c r="HIR79" s="12"/>
      <c r="HIS79" s="12"/>
      <c r="HIT79" s="12"/>
      <c r="HIU79" s="12"/>
      <c r="HIV79" s="12"/>
      <c r="HIW79" s="12"/>
      <c r="HIX79" s="12"/>
      <c r="HIY79" s="12"/>
      <c r="HIZ79" s="12"/>
      <c r="HJA79" s="12"/>
      <c r="HJB79" s="12"/>
      <c r="HJC79" s="12"/>
      <c r="HJD79" s="12"/>
      <c r="HJE79" s="12"/>
      <c r="HJF79" s="12"/>
      <c r="HJG79" s="12"/>
      <c r="HJH79" s="12"/>
      <c r="HJI79" s="12"/>
      <c r="HJJ79" s="12"/>
      <c r="HJK79" s="12"/>
      <c r="HJL79" s="12"/>
      <c r="HJM79" s="12"/>
      <c r="HJN79" s="12"/>
      <c r="HJO79" s="12"/>
      <c r="HJP79" s="12"/>
      <c r="HJQ79" s="12"/>
      <c r="HJR79" s="12"/>
      <c r="HJS79" s="12"/>
      <c r="HJT79" s="12"/>
      <c r="HJU79" s="12"/>
      <c r="HJV79" s="12"/>
      <c r="HJW79" s="12"/>
      <c r="HJX79" s="12"/>
      <c r="HJY79" s="12"/>
      <c r="HJZ79" s="12"/>
      <c r="HKA79" s="12"/>
      <c r="HKB79" s="12"/>
      <c r="HKC79" s="12"/>
      <c r="HKD79" s="12"/>
      <c r="HKE79" s="12"/>
      <c r="HKF79" s="12"/>
      <c r="HKG79" s="12"/>
      <c r="HKH79" s="12"/>
      <c r="HKI79" s="12"/>
      <c r="HKJ79" s="12"/>
      <c r="HKK79" s="12"/>
      <c r="HKL79" s="12"/>
      <c r="HKM79" s="12"/>
      <c r="HKN79" s="12"/>
      <c r="HKO79" s="12"/>
      <c r="HKP79" s="12"/>
      <c r="HKQ79" s="12"/>
      <c r="HKR79" s="12"/>
      <c r="HKS79" s="12"/>
      <c r="HKT79" s="12"/>
      <c r="HKU79" s="12"/>
      <c r="HKV79" s="12"/>
      <c r="HKW79" s="12"/>
      <c r="HKX79" s="12"/>
      <c r="HKY79" s="12"/>
      <c r="HKZ79" s="12"/>
      <c r="HLA79" s="12"/>
      <c r="HLB79" s="12"/>
      <c r="HLC79" s="12"/>
      <c r="HLD79" s="12"/>
      <c r="HLE79" s="12"/>
      <c r="HLF79" s="12"/>
      <c r="HLG79" s="12"/>
      <c r="HLH79" s="12"/>
      <c r="HLI79" s="12"/>
      <c r="HLJ79" s="12"/>
      <c r="HLK79" s="12"/>
      <c r="HLL79" s="12"/>
      <c r="HLM79" s="12"/>
      <c r="HLN79" s="12"/>
      <c r="HLO79" s="12"/>
      <c r="HLP79" s="12"/>
      <c r="HLQ79" s="12"/>
      <c r="HLR79" s="12"/>
      <c r="HLS79" s="12"/>
      <c r="HLT79" s="12"/>
      <c r="HLU79" s="12"/>
      <c r="HLV79" s="12"/>
      <c r="HLW79" s="12"/>
      <c r="HLX79" s="12"/>
      <c r="HLY79" s="12"/>
      <c r="HLZ79" s="12"/>
      <c r="HMA79" s="12"/>
      <c r="HMB79" s="12"/>
      <c r="HMC79" s="12"/>
      <c r="HMD79" s="12"/>
      <c r="HME79" s="12"/>
      <c r="HMF79" s="12"/>
      <c r="HMG79" s="12"/>
      <c r="HMH79" s="12"/>
      <c r="HMI79" s="12"/>
      <c r="HMJ79" s="12"/>
      <c r="HMK79" s="12"/>
      <c r="HML79" s="12"/>
      <c r="HMM79" s="12"/>
      <c r="HMN79" s="12"/>
      <c r="HMO79" s="12"/>
      <c r="HMP79" s="12"/>
      <c r="HMQ79" s="12"/>
      <c r="HMR79" s="12"/>
      <c r="HMS79" s="12"/>
      <c r="HMT79" s="12"/>
      <c r="HMU79" s="12"/>
      <c r="HMV79" s="12"/>
      <c r="HMW79" s="12"/>
      <c r="HMX79" s="12"/>
      <c r="HMY79" s="12"/>
      <c r="HMZ79" s="12"/>
      <c r="HNA79" s="12"/>
      <c r="HNB79" s="12"/>
      <c r="HNC79" s="12"/>
      <c r="HND79" s="12"/>
      <c r="HNE79" s="12"/>
      <c r="HNF79" s="12"/>
      <c r="HNG79" s="12"/>
      <c r="HNH79" s="12"/>
      <c r="HNI79" s="12"/>
      <c r="HNJ79" s="12"/>
      <c r="HNK79" s="12"/>
      <c r="HNL79" s="12"/>
      <c r="HNM79" s="12"/>
      <c r="HNN79" s="12"/>
      <c r="HNO79" s="12"/>
      <c r="HNP79" s="12"/>
      <c r="HNQ79" s="12"/>
      <c r="HNR79" s="12"/>
      <c r="HNS79" s="12"/>
      <c r="HNT79" s="12"/>
      <c r="HNU79" s="12"/>
      <c r="HNV79" s="12"/>
      <c r="HNW79" s="12"/>
      <c r="HNX79" s="12"/>
      <c r="HNY79" s="12"/>
      <c r="HNZ79" s="12"/>
      <c r="HOA79" s="12"/>
      <c r="HOB79" s="12"/>
      <c r="HOC79" s="12"/>
      <c r="HOD79" s="12"/>
      <c r="HOE79" s="12"/>
      <c r="HOF79" s="12"/>
      <c r="HOG79" s="12"/>
      <c r="HOH79" s="12"/>
      <c r="HOI79" s="12"/>
      <c r="HOJ79" s="12"/>
      <c r="HOK79" s="12"/>
      <c r="HOL79" s="12"/>
      <c r="HOM79" s="12"/>
      <c r="HON79" s="12"/>
      <c r="HOO79" s="12"/>
      <c r="HOP79" s="12"/>
      <c r="HOQ79" s="12"/>
      <c r="HOR79" s="12"/>
      <c r="HOS79" s="12"/>
      <c r="HOT79" s="12"/>
      <c r="HOU79" s="12"/>
      <c r="HOV79" s="12"/>
      <c r="HOW79" s="12"/>
      <c r="HOX79" s="12"/>
      <c r="HOY79" s="12"/>
      <c r="HOZ79" s="12"/>
      <c r="HPA79" s="12"/>
      <c r="HPB79" s="12"/>
      <c r="HPC79" s="12"/>
      <c r="HPD79" s="12"/>
      <c r="HPE79" s="12"/>
      <c r="HPF79" s="12"/>
      <c r="HPG79" s="12"/>
      <c r="HPH79" s="12"/>
      <c r="HPI79" s="12"/>
      <c r="HPJ79" s="12"/>
      <c r="HPK79" s="12"/>
      <c r="HPL79" s="12"/>
      <c r="HPM79" s="12"/>
      <c r="HPN79" s="12"/>
      <c r="HPO79" s="12"/>
      <c r="HPP79" s="12"/>
      <c r="HPQ79" s="12"/>
      <c r="HPR79" s="12"/>
      <c r="HPS79" s="12"/>
      <c r="HPT79" s="12"/>
      <c r="HPU79" s="12"/>
      <c r="HPV79" s="12"/>
      <c r="HPW79" s="12"/>
      <c r="HPX79" s="12"/>
      <c r="HPY79" s="12"/>
      <c r="HPZ79" s="12"/>
      <c r="HQA79" s="12"/>
      <c r="HQB79" s="12"/>
      <c r="HQC79" s="12"/>
      <c r="HQD79" s="12"/>
      <c r="HQE79" s="12"/>
      <c r="HQF79" s="12"/>
      <c r="HQG79" s="12"/>
      <c r="HQH79" s="12"/>
      <c r="HQI79" s="12"/>
      <c r="HQJ79" s="12"/>
      <c r="HQK79" s="12"/>
      <c r="HQL79" s="12"/>
      <c r="HQM79" s="12"/>
      <c r="HQN79" s="12"/>
      <c r="HQO79" s="12"/>
      <c r="HQP79" s="12"/>
      <c r="HQQ79" s="12"/>
      <c r="HQR79" s="12"/>
      <c r="HQS79" s="12"/>
      <c r="HQT79" s="12"/>
      <c r="HQU79" s="12"/>
      <c r="HQV79" s="12"/>
      <c r="HQW79" s="12"/>
      <c r="HQX79" s="12"/>
      <c r="HQY79" s="12"/>
      <c r="HQZ79" s="12"/>
      <c r="HRA79" s="12"/>
      <c r="HRB79" s="12"/>
      <c r="HRC79" s="12"/>
      <c r="HRD79" s="12"/>
      <c r="HRE79" s="12"/>
      <c r="HRF79" s="12"/>
      <c r="HRG79" s="12"/>
      <c r="HRH79" s="12"/>
      <c r="HRI79" s="12"/>
      <c r="HRJ79" s="12"/>
      <c r="HRK79" s="12"/>
      <c r="HRL79" s="12"/>
      <c r="HRM79" s="12"/>
      <c r="HRN79" s="12"/>
      <c r="HRO79" s="12"/>
      <c r="HRP79" s="12"/>
      <c r="HRQ79" s="12"/>
      <c r="HRR79" s="12"/>
      <c r="HRS79" s="12"/>
      <c r="HRT79" s="12"/>
      <c r="HRU79" s="12"/>
      <c r="HRV79" s="12"/>
      <c r="HRW79" s="12"/>
      <c r="HRX79" s="12"/>
      <c r="HRY79" s="12"/>
      <c r="HRZ79" s="12"/>
      <c r="HSA79" s="12"/>
      <c r="HSB79" s="12"/>
      <c r="HSC79" s="12"/>
      <c r="HSD79" s="12"/>
      <c r="HSE79" s="12"/>
      <c r="HSF79" s="12"/>
      <c r="HSG79" s="12"/>
      <c r="HSH79" s="12"/>
      <c r="HSI79" s="12"/>
      <c r="HSJ79" s="12"/>
      <c r="HSK79" s="12"/>
      <c r="HSL79" s="12"/>
      <c r="HSM79" s="12"/>
      <c r="HSN79" s="12"/>
      <c r="HSO79" s="12"/>
      <c r="HSP79" s="12"/>
      <c r="HSQ79" s="12"/>
      <c r="HSR79" s="12"/>
      <c r="HSS79" s="12"/>
      <c r="HST79" s="12"/>
      <c r="HSU79" s="12"/>
      <c r="HSV79" s="12"/>
      <c r="HSW79" s="12"/>
      <c r="HSX79" s="12"/>
      <c r="HSY79" s="12"/>
      <c r="HSZ79" s="12"/>
      <c r="HTA79" s="12"/>
      <c r="HTB79" s="12"/>
      <c r="HTC79" s="12"/>
      <c r="HTD79" s="12"/>
      <c r="HTE79" s="12"/>
      <c r="HTF79" s="12"/>
      <c r="HTG79" s="12"/>
      <c r="HTH79" s="12"/>
      <c r="HTI79" s="12"/>
      <c r="HTJ79" s="12"/>
      <c r="HTK79" s="12"/>
      <c r="HTL79" s="12"/>
      <c r="HTM79" s="12"/>
      <c r="HTN79" s="12"/>
      <c r="HTO79" s="12"/>
      <c r="HTP79" s="12"/>
      <c r="HTQ79" s="12"/>
      <c r="HTR79" s="12"/>
      <c r="HTS79" s="12"/>
      <c r="HTT79" s="12"/>
      <c r="HTU79" s="12"/>
      <c r="HTV79" s="12"/>
      <c r="HTW79" s="12"/>
      <c r="HTX79" s="12"/>
      <c r="HTY79" s="12"/>
      <c r="HTZ79" s="12"/>
      <c r="HUA79" s="12"/>
      <c r="HUB79" s="12"/>
      <c r="HUC79" s="12"/>
      <c r="HUD79" s="12"/>
      <c r="HUE79" s="12"/>
      <c r="HUF79" s="12"/>
      <c r="HUG79" s="12"/>
      <c r="HUH79" s="12"/>
      <c r="HUI79" s="12"/>
      <c r="HUJ79" s="12"/>
      <c r="HUK79" s="12"/>
      <c r="HUL79" s="12"/>
      <c r="HUM79" s="12"/>
      <c r="HUN79" s="12"/>
      <c r="HUO79" s="12"/>
      <c r="HUP79" s="12"/>
      <c r="HUQ79" s="12"/>
      <c r="HUR79" s="12"/>
      <c r="HUS79" s="12"/>
      <c r="HUT79" s="12"/>
      <c r="HUU79" s="12"/>
      <c r="HUV79" s="12"/>
      <c r="HUW79" s="12"/>
      <c r="HUX79" s="12"/>
      <c r="HUY79" s="12"/>
      <c r="HUZ79" s="12"/>
      <c r="HVA79" s="12"/>
      <c r="HVB79" s="12"/>
      <c r="HVC79" s="12"/>
      <c r="HVD79" s="12"/>
      <c r="HVE79" s="12"/>
      <c r="HVF79" s="12"/>
      <c r="HVG79" s="12"/>
      <c r="HVH79" s="12"/>
      <c r="HVI79" s="12"/>
      <c r="HVJ79" s="12"/>
      <c r="HVK79" s="12"/>
      <c r="HVL79" s="12"/>
      <c r="HVM79" s="12"/>
      <c r="HVN79" s="12"/>
      <c r="HVO79" s="12"/>
      <c r="HVP79" s="12"/>
      <c r="HVQ79" s="12"/>
      <c r="HVR79" s="12"/>
      <c r="HVS79" s="12"/>
      <c r="HVT79" s="12"/>
      <c r="HVU79" s="12"/>
      <c r="HVV79" s="12"/>
      <c r="HVW79" s="12"/>
      <c r="HVX79" s="12"/>
      <c r="HVY79" s="12"/>
      <c r="HVZ79" s="12"/>
      <c r="HWA79" s="12"/>
      <c r="HWB79" s="12"/>
      <c r="HWC79" s="12"/>
      <c r="HWD79" s="12"/>
      <c r="HWE79" s="12"/>
      <c r="HWF79" s="12"/>
      <c r="HWG79" s="12"/>
      <c r="HWH79" s="12"/>
      <c r="HWI79" s="12"/>
      <c r="HWJ79" s="12"/>
      <c r="HWK79" s="12"/>
      <c r="HWL79" s="12"/>
      <c r="HWM79" s="12"/>
      <c r="HWN79" s="12"/>
      <c r="HWO79" s="12"/>
      <c r="HWP79" s="12"/>
      <c r="HWQ79" s="12"/>
      <c r="HWR79" s="12"/>
      <c r="HWS79" s="12"/>
      <c r="HWT79" s="12"/>
      <c r="HWU79" s="12"/>
      <c r="HWV79" s="12"/>
      <c r="HWW79" s="12"/>
      <c r="HWX79" s="12"/>
      <c r="HWY79" s="12"/>
      <c r="HWZ79" s="12"/>
      <c r="HXA79" s="12"/>
      <c r="HXB79" s="12"/>
      <c r="HXC79" s="12"/>
      <c r="HXD79" s="12"/>
      <c r="HXE79" s="12"/>
      <c r="HXF79" s="12"/>
      <c r="HXG79" s="12"/>
      <c r="HXH79" s="12"/>
      <c r="HXI79" s="12"/>
      <c r="HXJ79" s="12"/>
      <c r="HXK79" s="12"/>
      <c r="HXL79" s="12"/>
      <c r="HXM79" s="12"/>
      <c r="HXN79" s="12"/>
      <c r="HXO79" s="12"/>
      <c r="HXP79" s="12"/>
      <c r="HXQ79" s="12"/>
      <c r="HXR79" s="12"/>
      <c r="HXS79" s="12"/>
      <c r="HXT79" s="12"/>
      <c r="HXU79" s="12"/>
      <c r="HXV79" s="12"/>
      <c r="HXW79" s="12"/>
      <c r="HXX79" s="12"/>
      <c r="HXY79" s="12"/>
      <c r="HXZ79" s="12"/>
      <c r="HYA79" s="12"/>
      <c r="HYB79" s="12"/>
      <c r="HYC79" s="12"/>
      <c r="HYD79" s="12"/>
      <c r="HYE79" s="12"/>
      <c r="HYF79" s="12"/>
      <c r="HYG79" s="12"/>
      <c r="HYH79" s="12"/>
      <c r="HYI79" s="12"/>
      <c r="HYJ79" s="12"/>
      <c r="HYK79" s="12"/>
      <c r="HYL79" s="12"/>
      <c r="HYM79" s="12"/>
      <c r="HYN79" s="12"/>
      <c r="HYO79" s="12"/>
      <c r="HYP79" s="12"/>
      <c r="HYQ79" s="12"/>
      <c r="HYR79" s="12"/>
      <c r="HYS79" s="12"/>
      <c r="HYT79" s="12"/>
      <c r="HYU79" s="12"/>
      <c r="HYV79" s="12"/>
      <c r="HYW79" s="12"/>
      <c r="HYX79" s="12"/>
      <c r="HYY79" s="12"/>
      <c r="HYZ79" s="12"/>
      <c r="HZA79" s="12"/>
      <c r="HZB79" s="12"/>
      <c r="HZC79" s="12"/>
      <c r="HZD79" s="12"/>
      <c r="HZE79" s="12"/>
      <c r="HZF79" s="12"/>
      <c r="HZG79" s="12"/>
      <c r="HZH79" s="12"/>
      <c r="HZI79" s="12"/>
      <c r="HZJ79" s="12"/>
      <c r="HZK79" s="12"/>
      <c r="HZL79" s="12"/>
      <c r="HZM79" s="12"/>
      <c r="HZN79" s="12"/>
      <c r="HZO79" s="12"/>
      <c r="HZP79" s="12"/>
      <c r="HZQ79" s="12"/>
      <c r="HZR79" s="12"/>
      <c r="HZS79" s="12"/>
      <c r="HZT79" s="12"/>
      <c r="HZU79" s="12"/>
      <c r="HZV79" s="12"/>
      <c r="HZW79" s="12"/>
      <c r="HZX79" s="12"/>
      <c r="HZY79" s="12"/>
      <c r="HZZ79" s="12"/>
      <c r="IAA79" s="12"/>
      <c r="IAB79" s="12"/>
      <c r="IAC79" s="12"/>
      <c r="IAD79" s="12"/>
      <c r="IAE79" s="12"/>
      <c r="IAF79" s="12"/>
      <c r="IAG79" s="12"/>
      <c r="IAH79" s="12"/>
      <c r="IAI79" s="12"/>
      <c r="IAJ79" s="12"/>
      <c r="IAK79" s="12"/>
      <c r="IAL79" s="12"/>
      <c r="IAM79" s="12"/>
      <c r="IAN79" s="12"/>
      <c r="IAO79" s="12"/>
      <c r="IAP79" s="12"/>
      <c r="IAQ79" s="12"/>
      <c r="IAR79" s="12"/>
      <c r="IAS79" s="12"/>
      <c r="IAT79" s="12"/>
      <c r="IAU79" s="12"/>
      <c r="IAV79" s="12"/>
      <c r="IAW79" s="12"/>
      <c r="IAX79" s="12"/>
      <c r="IAY79" s="12"/>
      <c r="IAZ79" s="12"/>
      <c r="IBA79" s="12"/>
      <c r="IBB79" s="12"/>
      <c r="IBC79" s="12"/>
      <c r="IBD79" s="12"/>
      <c r="IBE79" s="12"/>
      <c r="IBF79" s="12"/>
      <c r="IBG79" s="12"/>
      <c r="IBH79" s="12"/>
      <c r="IBI79" s="12"/>
      <c r="IBJ79" s="12"/>
      <c r="IBK79" s="12"/>
      <c r="IBL79" s="12"/>
      <c r="IBM79" s="12"/>
      <c r="IBN79" s="12"/>
      <c r="IBO79" s="12"/>
      <c r="IBP79" s="12"/>
      <c r="IBQ79" s="12"/>
      <c r="IBR79" s="12"/>
      <c r="IBS79" s="12"/>
      <c r="IBT79" s="12"/>
      <c r="IBU79" s="12"/>
      <c r="IBV79" s="12"/>
      <c r="IBW79" s="12"/>
      <c r="IBX79" s="12"/>
      <c r="IBY79" s="12"/>
      <c r="IBZ79" s="12"/>
      <c r="ICA79" s="12"/>
      <c r="ICB79" s="12"/>
      <c r="ICC79" s="12"/>
      <c r="ICD79" s="12"/>
      <c r="ICE79" s="12"/>
      <c r="ICF79" s="12"/>
      <c r="ICG79" s="12"/>
      <c r="ICH79" s="12"/>
      <c r="ICI79" s="12"/>
      <c r="ICJ79" s="12"/>
      <c r="ICK79" s="12"/>
      <c r="ICL79" s="12"/>
      <c r="ICM79" s="12"/>
      <c r="ICN79" s="12"/>
      <c r="ICO79" s="12"/>
      <c r="ICP79" s="12"/>
      <c r="ICQ79" s="12"/>
      <c r="ICR79" s="12"/>
      <c r="ICS79" s="12"/>
      <c r="ICT79" s="12"/>
      <c r="ICU79" s="12"/>
      <c r="ICV79" s="12"/>
      <c r="ICW79" s="12"/>
      <c r="ICX79" s="12"/>
      <c r="ICY79" s="12"/>
      <c r="ICZ79" s="12"/>
      <c r="IDA79" s="12"/>
      <c r="IDB79" s="12"/>
      <c r="IDC79" s="12"/>
      <c r="IDD79" s="12"/>
      <c r="IDE79" s="12"/>
      <c r="IDF79" s="12"/>
      <c r="IDG79" s="12"/>
      <c r="IDH79" s="12"/>
      <c r="IDI79" s="12"/>
      <c r="IDJ79" s="12"/>
      <c r="IDK79" s="12"/>
      <c r="IDL79" s="12"/>
      <c r="IDM79" s="12"/>
      <c r="IDN79" s="12"/>
      <c r="IDO79" s="12"/>
      <c r="IDP79" s="12"/>
      <c r="IDQ79" s="12"/>
      <c r="IDR79" s="12"/>
      <c r="IDS79" s="12"/>
      <c r="IDT79" s="12"/>
      <c r="IDU79" s="12"/>
      <c r="IDV79" s="12"/>
      <c r="IDW79" s="12"/>
      <c r="IDX79" s="12"/>
      <c r="IDY79" s="12"/>
      <c r="IDZ79" s="12"/>
      <c r="IEA79" s="12"/>
      <c r="IEB79" s="12"/>
      <c r="IEC79" s="12"/>
      <c r="IED79" s="12"/>
      <c r="IEE79" s="12"/>
      <c r="IEF79" s="12"/>
      <c r="IEG79" s="12"/>
      <c r="IEH79" s="12"/>
      <c r="IEI79" s="12"/>
      <c r="IEJ79" s="12"/>
      <c r="IEK79" s="12"/>
      <c r="IEL79" s="12"/>
      <c r="IEM79" s="12"/>
      <c r="IEN79" s="12"/>
      <c r="IEO79" s="12"/>
      <c r="IEP79" s="12"/>
      <c r="IEQ79" s="12"/>
      <c r="IER79" s="12"/>
      <c r="IES79" s="12"/>
      <c r="IET79" s="12"/>
      <c r="IEU79" s="12"/>
      <c r="IEV79" s="12"/>
      <c r="IEW79" s="12"/>
      <c r="IEX79" s="12"/>
      <c r="IEY79" s="12"/>
      <c r="IEZ79" s="12"/>
      <c r="IFA79" s="12"/>
      <c r="IFB79" s="12"/>
      <c r="IFC79" s="12"/>
      <c r="IFD79" s="12"/>
      <c r="IFE79" s="12"/>
      <c r="IFF79" s="12"/>
      <c r="IFG79" s="12"/>
      <c r="IFH79" s="12"/>
      <c r="IFI79" s="12"/>
      <c r="IFJ79" s="12"/>
      <c r="IFK79" s="12"/>
      <c r="IFL79" s="12"/>
      <c r="IFM79" s="12"/>
      <c r="IFN79" s="12"/>
      <c r="IFO79" s="12"/>
      <c r="IFP79" s="12"/>
      <c r="IFQ79" s="12"/>
      <c r="IFR79" s="12"/>
      <c r="IFS79" s="12"/>
      <c r="IFT79" s="12"/>
      <c r="IFU79" s="12"/>
      <c r="IFV79" s="12"/>
      <c r="IFW79" s="12"/>
      <c r="IFX79" s="12"/>
      <c r="IFY79" s="12"/>
      <c r="IFZ79" s="12"/>
      <c r="IGA79" s="12"/>
      <c r="IGB79" s="12"/>
      <c r="IGC79" s="12"/>
      <c r="IGD79" s="12"/>
      <c r="IGE79" s="12"/>
      <c r="IGF79" s="12"/>
      <c r="IGG79" s="12"/>
      <c r="IGH79" s="12"/>
      <c r="IGI79" s="12"/>
      <c r="IGJ79" s="12"/>
      <c r="IGK79" s="12"/>
      <c r="IGL79" s="12"/>
      <c r="IGM79" s="12"/>
      <c r="IGN79" s="12"/>
      <c r="IGO79" s="12"/>
      <c r="IGP79" s="12"/>
      <c r="IGQ79" s="12"/>
      <c r="IGR79" s="12"/>
      <c r="IGS79" s="12"/>
      <c r="IGT79" s="12"/>
      <c r="IGU79" s="12"/>
      <c r="IGV79" s="12"/>
      <c r="IGW79" s="12"/>
      <c r="IGX79" s="12"/>
      <c r="IGY79" s="12"/>
      <c r="IGZ79" s="12"/>
      <c r="IHA79" s="12"/>
      <c r="IHB79" s="12"/>
      <c r="IHC79" s="12"/>
      <c r="IHD79" s="12"/>
      <c r="IHE79" s="12"/>
      <c r="IHF79" s="12"/>
      <c r="IHG79" s="12"/>
      <c r="IHH79" s="12"/>
      <c r="IHI79" s="12"/>
      <c r="IHJ79" s="12"/>
      <c r="IHK79" s="12"/>
      <c r="IHL79" s="12"/>
      <c r="IHM79" s="12"/>
      <c r="IHN79" s="12"/>
      <c r="IHO79" s="12"/>
      <c r="IHP79" s="12"/>
      <c r="IHQ79" s="12"/>
      <c r="IHR79" s="12"/>
      <c r="IHS79" s="12"/>
      <c r="IHT79" s="12"/>
      <c r="IHU79" s="12"/>
      <c r="IHV79" s="12"/>
      <c r="IHW79" s="12"/>
      <c r="IHX79" s="12"/>
      <c r="IHY79" s="12"/>
      <c r="IHZ79" s="12"/>
      <c r="IIA79" s="12"/>
      <c r="IIB79" s="12"/>
      <c r="IIC79" s="12"/>
      <c r="IID79" s="12"/>
      <c r="IIE79" s="12"/>
      <c r="IIF79" s="12"/>
      <c r="IIG79" s="12"/>
      <c r="IIH79" s="12"/>
      <c r="III79" s="12"/>
      <c r="IIJ79" s="12"/>
      <c r="IIK79" s="12"/>
      <c r="IIL79" s="12"/>
      <c r="IIM79" s="12"/>
      <c r="IIN79" s="12"/>
      <c r="IIO79" s="12"/>
      <c r="IIP79" s="12"/>
      <c r="IIQ79" s="12"/>
      <c r="IIR79" s="12"/>
      <c r="IIS79" s="12"/>
      <c r="IIT79" s="12"/>
      <c r="IIU79" s="12"/>
      <c r="IIV79" s="12"/>
      <c r="IIW79" s="12"/>
      <c r="IIX79" s="12"/>
      <c r="IIY79" s="12"/>
      <c r="IIZ79" s="12"/>
      <c r="IJA79" s="12"/>
      <c r="IJB79" s="12"/>
      <c r="IJC79" s="12"/>
      <c r="IJD79" s="12"/>
      <c r="IJE79" s="12"/>
      <c r="IJF79" s="12"/>
      <c r="IJG79" s="12"/>
      <c r="IJH79" s="12"/>
      <c r="IJI79" s="12"/>
      <c r="IJJ79" s="12"/>
      <c r="IJK79" s="12"/>
      <c r="IJL79" s="12"/>
      <c r="IJM79" s="12"/>
      <c r="IJN79" s="12"/>
      <c r="IJO79" s="12"/>
      <c r="IJP79" s="12"/>
      <c r="IJQ79" s="12"/>
      <c r="IJR79" s="12"/>
      <c r="IJS79" s="12"/>
      <c r="IJT79" s="12"/>
      <c r="IJU79" s="12"/>
      <c r="IJV79" s="12"/>
      <c r="IJW79" s="12"/>
      <c r="IJX79" s="12"/>
      <c r="IJY79" s="12"/>
      <c r="IJZ79" s="12"/>
      <c r="IKA79" s="12"/>
      <c r="IKB79" s="12"/>
      <c r="IKC79" s="12"/>
      <c r="IKD79" s="12"/>
      <c r="IKE79" s="12"/>
      <c r="IKF79" s="12"/>
      <c r="IKG79" s="12"/>
      <c r="IKH79" s="12"/>
      <c r="IKI79" s="12"/>
      <c r="IKJ79" s="12"/>
      <c r="IKK79" s="12"/>
      <c r="IKL79" s="12"/>
      <c r="IKM79" s="12"/>
      <c r="IKN79" s="12"/>
      <c r="IKO79" s="12"/>
      <c r="IKP79" s="12"/>
      <c r="IKQ79" s="12"/>
      <c r="IKR79" s="12"/>
      <c r="IKS79" s="12"/>
      <c r="IKT79" s="12"/>
      <c r="IKU79" s="12"/>
      <c r="IKV79" s="12"/>
      <c r="IKW79" s="12"/>
      <c r="IKX79" s="12"/>
      <c r="IKY79" s="12"/>
      <c r="IKZ79" s="12"/>
      <c r="ILA79" s="12"/>
      <c r="ILB79" s="12"/>
      <c r="ILC79" s="12"/>
      <c r="ILD79" s="12"/>
      <c r="ILE79" s="12"/>
      <c r="ILF79" s="12"/>
      <c r="ILG79" s="12"/>
      <c r="ILH79" s="12"/>
      <c r="ILI79" s="12"/>
      <c r="ILJ79" s="12"/>
      <c r="ILK79" s="12"/>
      <c r="ILL79" s="12"/>
      <c r="ILM79" s="12"/>
      <c r="ILN79" s="12"/>
      <c r="ILO79" s="12"/>
      <c r="ILP79" s="12"/>
      <c r="ILQ79" s="12"/>
      <c r="ILR79" s="12"/>
      <c r="ILS79" s="12"/>
      <c r="ILT79" s="12"/>
      <c r="ILU79" s="12"/>
      <c r="ILV79" s="12"/>
      <c r="ILW79" s="12"/>
      <c r="ILX79" s="12"/>
      <c r="ILY79" s="12"/>
      <c r="ILZ79" s="12"/>
      <c r="IMA79" s="12"/>
      <c r="IMB79" s="12"/>
      <c r="IMC79" s="12"/>
      <c r="IMD79" s="12"/>
      <c r="IME79" s="12"/>
      <c r="IMF79" s="12"/>
      <c r="IMG79" s="12"/>
      <c r="IMH79" s="12"/>
      <c r="IMI79" s="12"/>
      <c r="IMJ79" s="12"/>
      <c r="IMK79" s="12"/>
      <c r="IML79" s="12"/>
      <c r="IMM79" s="12"/>
      <c r="IMN79" s="12"/>
      <c r="IMO79" s="12"/>
      <c r="IMP79" s="12"/>
      <c r="IMQ79" s="12"/>
      <c r="IMR79" s="12"/>
      <c r="IMS79" s="12"/>
      <c r="IMT79" s="12"/>
      <c r="IMU79" s="12"/>
      <c r="IMV79" s="12"/>
      <c r="IMW79" s="12"/>
      <c r="IMX79" s="12"/>
      <c r="IMY79" s="12"/>
      <c r="IMZ79" s="12"/>
      <c r="INA79" s="12"/>
      <c r="INB79" s="12"/>
      <c r="INC79" s="12"/>
      <c r="IND79" s="12"/>
      <c r="INE79" s="12"/>
      <c r="INF79" s="12"/>
      <c r="ING79" s="12"/>
      <c r="INH79" s="12"/>
      <c r="INI79" s="12"/>
      <c r="INJ79" s="12"/>
      <c r="INK79" s="12"/>
      <c r="INL79" s="12"/>
      <c r="INM79" s="12"/>
      <c r="INN79" s="12"/>
      <c r="INO79" s="12"/>
      <c r="INP79" s="12"/>
      <c r="INQ79" s="12"/>
      <c r="INR79" s="12"/>
      <c r="INS79" s="12"/>
      <c r="INT79" s="12"/>
      <c r="INU79" s="12"/>
      <c r="INV79" s="12"/>
      <c r="INW79" s="12"/>
      <c r="INX79" s="12"/>
      <c r="INY79" s="12"/>
      <c r="INZ79" s="12"/>
      <c r="IOA79" s="12"/>
      <c r="IOB79" s="12"/>
      <c r="IOC79" s="12"/>
      <c r="IOD79" s="12"/>
      <c r="IOE79" s="12"/>
      <c r="IOF79" s="12"/>
      <c r="IOG79" s="12"/>
      <c r="IOH79" s="12"/>
      <c r="IOI79" s="12"/>
      <c r="IOJ79" s="12"/>
      <c r="IOK79" s="12"/>
      <c r="IOL79" s="12"/>
      <c r="IOM79" s="12"/>
      <c r="ION79" s="12"/>
      <c r="IOO79" s="12"/>
      <c r="IOP79" s="12"/>
      <c r="IOQ79" s="12"/>
      <c r="IOR79" s="12"/>
      <c r="IOS79" s="12"/>
      <c r="IOT79" s="12"/>
      <c r="IOU79" s="12"/>
      <c r="IOV79" s="12"/>
      <c r="IOW79" s="12"/>
      <c r="IOX79" s="12"/>
      <c r="IOY79" s="12"/>
      <c r="IOZ79" s="12"/>
      <c r="IPA79" s="12"/>
      <c r="IPB79" s="12"/>
      <c r="IPC79" s="12"/>
      <c r="IPD79" s="12"/>
      <c r="IPE79" s="12"/>
      <c r="IPF79" s="12"/>
      <c r="IPG79" s="12"/>
      <c r="IPH79" s="12"/>
      <c r="IPI79" s="12"/>
      <c r="IPJ79" s="12"/>
      <c r="IPK79" s="12"/>
      <c r="IPL79" s="12"/>
      <c r="IPM79" s="12"/>
      <c r="IPN79" s="12"/>
      <c r="IPO79" s="12"/>
      <c r="IPP79" s="12"/>
      <c r="IPQ79" s="12"/>
      <c r="IPR79" s="12"/>
      <c r="IPS79" s="12"/>
      <c r="IPT79" s="12"/>
      <c r="IPU79" s="12"/>
      <c r="IPV79" s="12"/>
      <c r="IPW79" s="12"/>
      <c r="IPX79" s="12"/>
      <c r="IPY79" s="12"/>
      <c r="IPZ79" s="12"/>
      <c r="IQA79" s="12"/>
      <c r="IQB79" s="12"/>
      <c r="IQC79" s="12"/>
      <c r="IQD79" s="12"/>
      <c r="IQE79" s="12"/>
      <c r="IQF79" s="12"/>
      <c r="IQG79" s="12"/>
      <c r="IQH79" s="12"/>
      <c r="IQI79" s="12"/>
      <c r="IQJ79" s="12"/>
      <c r="IQK79" s="12"/>
      <c r="IQL79" s="12"/>
      <c r="IQM79" s="12"/>
      <c r="IQN79" s="12"/>
      <c r="IQO79" s="12"/>
      <c r="IQP79" s="12"/>
      <c r="IQQ79" s="12"/>
      <c r="IQR79" s="12"/>
      <c r="IQS79" s="12"/>
      <c r="IQT79" s="12"/>
      <c r="IQU79" s="12"/>
      <c r="IQV79" s="12"/>
      <c r="IQW79" s="12"/>
      <c r="IQX79" s="12"/>
      <c r="IQY79" s="12"/>
      <c r="IQZ79" s="12"/>
      <c r="IRA79" s="12"/>
      <c r="IRB79" s="12"/>
      <c r="IRC79" s="12"/>
      <c r="IRD79" s="12"/>
      <c r="IRE79" s="12"/>
      <c r="IRF79" s="12"/>
      <c r="IRG79" s="12"/>
      <c r="IRH79" s="12"/>
      <c r="IRI79" s="12"/>
      <c r="IRJ79" s="12"/>
      <c r="IRK79" s="12"/>
      <c r="IRL79" s="12"/>
      <c r="IRM79" s="12"/>
      <c r="IRN79" s="12"/>
      <c r="IRO79" s="12"/>
      <c r="IRP79" s="12"/>
      <c r="IRQ79" s="12"/>
      <c r="IRR79" s="12"/>
      <c r="IRS79" s="12"/>
      <c r="IRT79" s="12"/>
      <c r="IRU79" s="12"/>
      <c r="IRV79" s="12"/>
      <c r="IRW79" s="12"/>
      <c r="IRX79" s="12"/>
      <c r="IRY79" s="12"/>
      <c r="IRZ79" s="12"/>
      <c r="ISA79" s="12"/>
      <c r="ISB79" s="12"/>
      <c r="ISC79" s="12"/>
      <c r="ISD79" s="12"/>
      <c r="ISE79" s="12"/>
      <c r="ISF79" s="12"/>
      <c r="ISG79" s="12"/>
      <c r="ISH79" s="12"/>
      <c r="ISI79" s="12"/>
      <c r="ISJ79" s="12"/>
      <c r="ISK79" s="12"/>
      <c r="ISL79" s="12"/>
      <c r="ISM79" s="12"/>
      <c r="ISN79" s="12"/>
      <c r="ISO79" s="12"/>
      <c r="ISP79" s="12"/>
      <c r="ISQ79" s="12"/>
      <c r="ISR79" s="12"/>
      <c r="ISS79" s="12"/>
      <c r="IST79" s="12"/>
      <c r="ISU79" s="12"/>
      <c r="ISV79" s="12"/>
      <c r="ISW79" s="12"/>
      <c r="ISX79" s="12"/>
      <c r="ISY79" s="12"/>
      <c r="ISZ79" s="12"/>
      <c r="ITA79" s="12"/>
      <c r="ITB79" s="12"/>
      <c r="ITC79" s="12"/>
      <c r="ITD79" s="12"/>
      <c r="ITE79" s="12"/>
      <c r="ITF79" s="12"/>
      <c r="ITG79" s="12"/>
      <c r="ITH79" s="12"/>
      <c r="ITI79" s="12"/>
      <c r="ITJ79" s="12"/>
      <c r="ITK79" s="12"/>
      <c r="ITL79" s="12"/>
      <c r="ITM79" s="12"/>
      <c r="ITN79" s="12"/>
      <c r="ITO79" s="12"/>
      <c r="ITP79" s="12"/>
      <c r="ITQ79" s="12"/>
      <c r="ITR79" s="12"/>
      <c r="ITS79" s="12"/>
      <c r="ITT79" s="12"/>
      <c r="ITU79" s="12"/>
      <c r="ITV79" s="12"/>
      <c r="ITW79" s="12"/>
      <c r="ITX79" s="12"/>
      <c r="ITY79" s="12"/>
      <c r="ITZ79" s="12"/>
      <c r="IUA79" s="12"/>
      <c r="IUB79" s="12"/>
      <c r="IUC79" s="12"/>
      <c r="IUD79" s="12"/>
      <c r="IUE79" s="12"/>
      <c r="IUF79" s="12"/>
      <c r="IUG79" s="12"/>
      <c r="IUH79" s="12"/>
      <c r="IUI79" s="12"/>
      <c r="IUJ79" s="12"/>
      <c r="IUK79" s="12"/>
      <c r="IUL79" s="12"/>
      <c r="IUM79" s="12"/>
      <c r="IUN79" s="12"/>
      <c r="IUO79" s="12"/>
      <c r="IUP79" s="12"/>
      <c r="IUQ79" s="12"/>
      <c r="IUR79" s="12"/>
      <c r="IUS79" s="12"/>
      <c r="IUT79" s="12"/>
      <c r="IUU79" s="12"/>
      <c r="IUV79" s="12"/>
      <c r="IUW79" s="12"/>
      <c r="IUX79" s="12"/>
      <c r="IUY79" s="12"/>
      <c r="IUZ79" s="12"/>
      <c r="IVA79" s="12"/>
      <c r="IVB79" s="12"/>
      <c r="IVC79" s="12"/>
      <c r="IVD79" s="12"/>
      <c r="IVE79" s="12"/>
      <c r="IVF79" s="12"/>
      <c r="IVG79" s="12"/>
      <c r="IVH79" s="12"/>
      <c r="IVI79" s="12"/>
      <c r="IVJ79" s="12"/>
      <c r="IVK79" s="12"/>
      <c r="IVL79" s="12"/>
      <c r="IVM79" s="12"/>
      <c r="IVN79" s="12"/>
      <c r="IVO79" s="12"/>
      <c r="IVP79" s="12"/>
      <c r="IVQ79" s="12"/>
      <c r="IVR79" s="12"/>
      <c r="IVS79" s="12"/>
      <c r="IVT79" s="12"/>
      <c r="IVU79" s="12"/>
      <c r="IVV79" s="12"/>
      <c r="IVW79" s="12"/>
      <c r="IVX79" s="12"/>
      <c r="IVY79" s="12"/>
      <c r="IVZ79" s="12"/>
      <c r="IWA79" s="12"/>
      <c r="IWB79" s="12"/>
      <c r="IWC79" s="12"/>
      <c r="IWD79" s="12"/>
      <c r="IWE79" s="12"/>
      <c r="IWF79" s="12"/>
      <c r="IWG79" s="12"/>
      <c r="IWH79" s="12"/>
      <c r="IWI79" s="12"/>
      <c r="IWJ79" s="12"/>
      <c r="IWK79" s="12"/>
      <c r="IWL79" s="12"/>
      <c r="IWM79" s="12"/>
      <c r="IWN79" s="12"/>
      <c r="IWO79" s="12"/>
      <c r="IWP79" s="12"/>
      <c r="IWQ79" s="12"/>
      <c r="IWR79" s="12"/>
      <c r="IWS79" s="12"/>
      <c r="IWT79" s="12"/>
      <c r="IWU79" s="12"/>
      <c r="IWV79" s="12"/>
      <c r="IWW79" s="12"/>
      <c r="IWX79" s="12"/>
      <c r="IWY79" s="12"/>
      <c r="IWZ79" s="12"/>
      <c r="IXA79" s="12"/>
      <c r="IXB79" s="12"/>
      <c r="IXC79" s="12"/>
      <c r="IXD79" s="12"/>
      <c r="IXE79" s="12"/>
      <c r="IXF79" s="12"/>
      <c r="IXG79" s="12"/>
      <c r="IXH79" s="12"/>
      <c r="IXI79" s="12"/>
      <c r="IXJ79" s="12"/>
      <c r="IXK79" s="12"/>
      <c r="IXL79" s="12"/>
      <c r="IXM79" s="12"/>
      <c r="IXN79" s="12"/>
      <c r="IXO79" s="12"/>
      <c r="IXP79" s="12"/>
      <c r="IXQ79" s="12"/>
      <c r="IXR79" s="12"/>
      <c r="IXS79" s="12"/>
      <c r="IXT79" s="12"/>
      <c r="IXU79" s="12"/>
      <c r="IXV79" s="12"/>
      <c r="IXW79" s="12"/>
      <c r="IXX79" s="12"/>
      <c r="IXY79" s="12"/>
      <c r="IXZ79" s="12"/>
      <c r="IYA79" s="12"/>
      <c r="IYB79" s="12"/>
      <c r="IYC79" s="12"/>
      <c r="IYD79" s="12"/>
      <c r="IYE79" s="12"/>
      <c r="IYF79" s="12"/>
      <c r="IYG79" s="12"/>
      <c r="IYH79" s="12"/>
      <c r="IYI79" s="12"/>
      <c r="IYJ79" s="12"/>
      <c r="IYK79" s="12"/>
      <c r="IYL79" s="12"/>
      <c r="IYM79" s="12"/>
      <c r="IYN79" s="12"/>
      <c r="IYO79" s="12"/>
      <c r="IYP79" s="12"/>
      <c r="IYQ79" s="12"/>
      <c r="IYR79" s="12"/>
      <c r="IYS79" s="12"/>
      <c r="IYT79" s="12"/>
      <c r="IYU79" s="12"/>
      <c r="IYV79" s="12"/>
      <c r="IYW79" s="12"/>
      <c r="IYX79" s="12"/>
      <c r="IYY79" s="12"/>
      <c r="IYZ79" s="12"/>
      <c r="IZA79" s="12"/>
      <c r="IZB79" s="12"/>
      <c r="IZC79" s="12"/>
      <c r="IZD79" s="12"/>
      <c r="IZE79" s="12"/>
      <c r="IZF79" s="12"/>
      <c r="IZG79" s="12"/>
      <c r="IZH79" s="12"/>
      <c r="IZI79" s="12"/>
      <c r="IZJ79" s="12"/>
      <c r="IZK79" s="12"/>
      <c r="IZL79" s="12"/>
      <c r="IZM79" s="12"/>
      <c r="IZN79" s="12"/>
      <c r="IZO79" s="12"/>
      <c r="IZP79" s="12"/>
      <c r="IZQ79" s="12"/>
      <c r="IZR79" s="12"/>
      <c r="IZS79" s="12"/>
      <c r="IZT79" s="12"/>
      <c r="IZU79" s="12"/>
      <c r="IZV79" s="12"/>
      <c r="IZW79" s="12"/>
      <c r="IZX79" s="12"/>
      <c r="IZY79" s="12"/>
      <c r="IZZ79" s="12"/>
      <c r="JAA79" s="12"/>
      <c r="JAB79" s="12"/>
      <c r="JAC79" s="12"/>
      <c r="JAD79" s="12"/>
      <c r="JAE79" s="12"/>
      <c r="JAF79" s="12"/>
      <c r="JAG79" s="12"/>
      <c r="JAH79" s="12"/>
      <c r="JAI79" s="12"/>
      <c r="JAJ79" s="12"/>
      <c r="JAK79" s="12"/>
      <c r="JAL79" s="12"/>
      <c r="JAM79" s="12"/>
      <c r="JAN79" s="12"/>
      <c r="JAO79" s="12"/>
      <c r="JAP79" s="12"/>
      <c r="JAQ79" s="12"/>
      <c r="JAR79" s="12"/>
      <c r="JAS79" s="12"/>
      <c r="JAT79" s="12"/>
      <c r="JAU79" s="12"/>
      <c r="JAV79" s="12"/>
      <c r="JAW79" s="12"/>
      <c r="JAX79" s="12"/>
      <c r="JAY79" s="12"/>
      <c r="JAZ79" s="12"/>
      <c r="JBA79" s="12"/>
      <c r="JBB79" s="12"/>
      <c r="JBC79" s="12"/>
      <c r="JBD79" s="12"/>
      <c r="JBE79" s="12"/>
      <c r="JBF79" s="12"/>
      <c r="JBG79" s="12"/>
      <c r="JBH79" s="12"/>
      <c r="JBI79" s="12"/>
      <c r="JBJ79" s="12"/>
      <c r="JBK79" s="12"/>
      <c r="JBL79" s="12"/>
      <c r="JBM79" s="12"/>
      <c r="JBN79" s="12"/>
      <c r="JBO79" s="12"/>
      <c r="JBP79" s="12"/>
      <c r="JBQ79" s="12"/>
      <c r="JBR79" s="12"/>
      <c r="JBS79" s="12"/>
      <c r="JBT79" s="12"/>
      <c r="JBU79" s="12"/>
      <c r="JBV79" s="12"/>
      <c r="JBW79" s="12"/>
      <c r="JBX79" s="12"/>
      <c r="JBY79" s="12"/>
      <c r="JBZ79" s="12"/>
      <c r="JCA79" s="12"/>
      <c r="JCB79" s="12"/>
      <c r="JCC79" s="12"/>
      <c r="JCD79" s="12"/>
      <c r="JCE79" s="12"/>
      <c r="JCF79" s="12"/>
      <c r="JCG79" s="12"/>
      <c r="JCH79" s="12"/>
      <c r="JCI79" s="12"/>
      <c r="JCJ79" s="12"/>
      <c r="JCK79" s="12"/>
      <c r="JCL79" s="12"/>
      <c r="JCM79" s="12"/>
      <c r="JCN79" s="12"/>
      <c r="JCO79" s="12"/>
      <c r="JCP79" s="12"/>
      <c r="JCQ79" s="12"/>
      <c r="JCR79" s="12"/>
      <c r="JCS79" s="12"/>
      <c r="JCT79" s="12"/>
      <c r="JCU79" s="12"/>
      <c r="JCV79" s="12"/>
      <c r="JCW79" s="12"/>
      <c r="JCX79" s="12"/>
      <c r="JCY79" s="12"/>
      <c r="JCZ79" s="12"/>
      <c r="JDA79" s="12"/>
      <c r="JDB79" s="12"/>
      <c r="JDC79" s="12"/>
      <c r="JDD79" s="12"/>
      <c r="JDE79" s="12"/>
      <c r="JDF79" s="12"/>
      <c r="JDG79" s="12"/>
      <c r="JDH79" s="12"/>
      <c r="JDI79" s="12"/>
      <c r="JDJ79" s="12"/>
      <c r="JDK79" s="12"/>
      <c r="JDL79" s="12"/>
      <c r="JDM79" s="12"/>
      <c r="JDN79" s="12"/>
      <c r="JDO79" s="12"/>
      <c r="JDP79" s="12"/>
      <c r="JDQ79" s="12"/>
      <c r="JDR79" s="12"/>
      <c r="JDS79" s="12"/>
      <c r="JDT79" s="12"/>
      <c r="JDU79" s="12"/>
      <c r="JDV79" s="12"/>
      <c r="JDW79" s="12"/>
      <c r="JDX79" s="12"/>
      <c r="JDY79" s="12"/>
      <c r="JDZ79" s="12"/>
      <c r="JEA79" s="12"/>
      <c r="JEB79" s="12"/>
      <c r="JEC79" s="12"/>
      <c r="JED79" s="12"/>
      <c r="JEE79" s="12"/>
      <c r="JEF79" s="12"/>
      <c r="JEG79" s="12"/>
      <c r="JEH79" s="12"/>
      <c r="JEI79" s="12"/>
      <c r="JEJ79" s="12"/>
      <c r="JEK79" s="12"/>
      <c r="JEL79" s="12"/>
      <c r="JEM79" s="12"/>
      <c r="JEN79" s="12"/>
      <c r="JEO79" s="12"/>
      <c r="JEP79" s="12"/>
      <c r="JEQ79" s="12"/>
      <c r="JER79" s="12"/>
      <c r="JES79" s="12"/>
      <c r="JET79" s="12"/>
      <c r="JEU79" s="12"/>
      <c r="JEV79" s="12"/>
      <c r="JEW79" s="12"/>
      <c r="JEX79" s="12"/>
      <c r="JEY79" s="12"/>
      <c r="JEZ79" s="12"/>
      <c r="JFA79" s="12"/>
      <c r="JFB79" s="12"/>
      <c r="JFC79" s="12"/>
      <c r="JFD79" s="12"/>
      <c r="JFE79" s="12"/>
      <c r="JFF79" s="12"/>
      <c r="JFG79" s="12"/>
      <c r="JFH79" s="12"/>
      <c r="JFI79" s="12"/>
      <c r="JFJ79" s="12"/>
      <c r="JFK79" s="12"/>
      <c r="JFL79" s="12"/>
      <c r="JFM79" s="12"/>
      <c r="JFN79" s="12"/>
      <c r="JFO79" s="12"/>
      <c r="JFP79" s="12"/>
      <c r="JFQ79" s="12"/>
      <c r="JFR79" s="12"/>
      <c r="JFS79" s="12"/>
      <c r="JFT79" s="12"/>
      <c r="JFU79" s="12"/>
      <c r="JFV79" s="12"/>
      <c r="JFW79" s="12"/>
      <c r="JFX79" s="12"/>
      <c r="JFY79" s="12"/>
      <c r="JFZ79" s="12"/>
      <c r="JGA79" s="12"/>
      <c r="JGB79" s="12"/>
      <c r="JGC79" s="12"/>
      <c r="JGD79" s="12"/>
      <c r="JGE79" s="12"/>
      <c r="JGF79" s="12"/>
      <c r="JGG79" s="12"/>
      <c r="JGH79" s="12"/>
      <c r="JGI79" s="12"/>
      <c r="JGJ79" s="12"/>
      <c r="JGK79" s="12"/>
      <c r="JGL79" s="12"/>
      <c r="JGM79" s="12"/>
      <c r="JGN79" s="12"/>
      <c r="JGO79" s="12"/>
      <c r="JGP79" s="12"/>
      <c r="JGQ79" s="12"/>
      <c r="JGR79" s="12"/>
      <c r="JGS79" s="12"/>
      <c r="JGT79" s="12"/>
      <c r="JGU79" s="12"/>
      <c r="JGV79" s="12"/>
      <c r="JGW79" s="12"/>
      <c r="JGX79" s="12"/>
      <c r="JGY79" s="12"/>
      <c r="JGZ79" s="12"/>
      <c r="JHA79" s="12"/>
      <c r="JHB79" s="12"/>
      <c r="JHC79" s="12"/>
      <c r="JHD79" s="12"/>
      <c r="JHE79" s="12"/>
      <c r="JHF79" s="12"/>
      <c r="JHG79" s="12"/>
      <c r="JHH79" s="12"/>
      <c r="JHI79" s="12"/>
      <c r="JHJ79" s="12"/>
      <c r="JHK79" s="12"/>
      <c r="JHL79" s="12"/>
      <c r="JHM79" s="12"/>
      <c r="JHN79" s="12"/>
      <c r="JHO79" s="12"/>
      <c r="JHP79" s="12"/>
      <c r="JHQ79" s="12"/>
      <c r="JHR79" s="12"/>
      <c r="JHS79" s="12"/>
      <c r="JHT79" s="12"/>
      <c r="JHU79" s="12"/>
      <c r="JHV79" s="12"/>
      <c r="JHW79" s="12"/>
      <c r="JHX79" s="12"/>
      <c r="JHY79" s="12"/>
      <c r="JHZ79" s="12"/>
      <c r="JIA79" s="12"/>
      <c r="JIB79" s="12"/>
      <c r="JIC79" s="12"/>
      <c r="JID79" s="12"/>
      <c r="JIE79" s="12"/>
      <c r="JIF79" s="12"/>
      <c r="JIG79" s="12"/>
      <c r="JIH79" s="12"/>
      <c r="JII79" s="12"/>
      <c r="JIJ79" s="12"/>
      <c r="JIK79" s="12"/>
      <c r="JIL79" s="12"/>
      <c r="JIM79" s="12"/>
      <c r="JIN79" s="12"/>
      <c r="JIO79" s="12"/>
      <c r="JIP79" s="12"/>
      <c r="JIQ79" s="12"/>
      <c r="JIR79" s="12"/>
      <c r="JIS79" s="12"/>
      <c r="JIT79" s="12"/>
      <c r="JIU79" s="12"/>
      <c r="JIV79" s="12"/>
      <c r="JIW79" s="12"/>
      <c r="JIX79" s="12"/>
      <c r="JIY79" s="12"/>
      <c r="JIZ79" s="12"/>
      <c r="JJA79" s="12"/>
      <c r="JJB79" s="12"/>
      <c r="JJC79" s="12"/>
      <c r="JJD79" s="12"/>
      <c r="JJE79" s="12"/>
      <c r="JJF79" s="12"/>
      <c r="JJG79" s="12"/>
      <c r="JJH79" s="12"/>
      <c r="JJI79" s="12"/>
      <c r="JJJ79" s="12"/>
      <c r="JJK79" s="12"/>
      <c r="JJL79" s="12"/>
      <c r="JJM79" s="12"/>
      <c r="JJN79" s="12"/>
      <c r="JJO79" s="12"/>
      <c r="JJP79" s="12"/>
      <c r="JJQ79" s="12"/>
      <c r="JJR79" s="12"/>
      <c r="JJS79" s="12"/>
      <c r="JJT79" s="12"/>
      <c r="JJU79" s="12"/>
      <c r="JJV79" s="12"/>
      <c r="JJW79" s="12"/>
      <c r="JJX79" s="12"/>
      <c r="JJY79" s="12"/>
      <c r="JJZ79" s="12"/>
      <c r="JKA79" s="12"/>
      <c r="JKB79" s="12"/>
      <c r="JKC79" s="12"/>
      <c r="JKD79" s="12"/>
      <c r="JKE79" s="12"/>
      <c r="JKF79" s="12"/>
      <c r="JKG79" s="12"/>
      <c r="JKH79" s="12"/>
      <c r="JKI79" s="12"/>
      <c r="JKJ79" s="12"/>
      <c r="JKK79" s="12"/>
      <c r="JKL79" s="12"/>
      <c r="JKM79" s="12"/>
      <c r="JKN79" s="12"/>
      <c r="JKO79" s="12"/>
      <c r="JKP79" s="12"/>
      <c r="JKQ79" s="12"/>
      <c r="JKR79" s="12"/>
      <c r="JKS79" s="12"/>
      <c r="JKT79" s="12"/>
      <c r="JKU79" s="12"/>
      <c r="JKV79" s="12"/>
      <c r="JKW79" s="12"/>
      <c r="JKX79" s="12"/>
      <c r="JKY79" s="12"/>
      <c r="JKZ79" s="12"/>
      <c r="JLA79" s="12"/>
      <c r="JLB79" s="12"/>
      <c r="JLC79" s="12"/>
      <c r="JLD79" s="12"/>
      <c r="JLE79" s="12"/>
      <c r="JLF79" s="12"/>
      <c r="JLG79" s="12"/>
      <c r="JLH79" s="12"/>
      <c r="JLI79" s="12"/>
      <c r="JLJ79" s="12"/>
      <c r="JLK79" s="12"/>
      <c r="JLL79" s="12"/>
      <c r="JLM79" s="12"/>
      <c r="JLN79" s="12"/>
      <c r="JLO79" s="12"/>
      <c r="JLP79" s="12"/>
      <c r="JLQ79" s="12"/>
      <c r="JLR79" s="12"/>
      <c r="JLS79" s="12"/>
      <c r="JLT79" s="12"/>
      <c r="JLU79" s="12"/>
      <c r="JLV79" s="12"/>
      <c r="JLW79" s="12"/>
      <c r="JLX79" s="12"/>
      <c r="JLY79" s="12"/>
      <c r="JLZ79" s="12"/>
      <c r="JMA79" s="12"/>
      <c r="JMB79" s="12"/>
      <c r="JMC79" s="12"/>
      <c r="JMD79" s="12"/>
      <c r="JME79" s="12"/>
      <c r="JMF79" s="12"/>
      <c r="JMG79" s="12"/>
      <c r="JMH79" s="12"/>
      <c r="JMI79" s="12"/>
      <c r="JMJ79" s="12"/>
      <c r="JMK79" s="12"/>
      <c r="JML79" s="12"/>
      <c r="JMM79" s="12"/>
      <c r="JMN79" s="12"/>
      <c r="JMO79" s="12"/>
      <c r="JMP79" s="12"/>
      <c r="JMQ79" s="12"/>
      <c r="JMR79" s="12"/>
      <c r="JMS79" s="12"/>
      <c r="JMT79" s="12"/>
      <c r="JMU79" s="12"/>
      <c r="JMV79" s="12"/>
      <c r="JMW79" s="12"/>
      <c r="JMX79" s="12"/>
      <c r="JMY79" s="12"/>
      <c r="JMZ79" s="12"/>
      <c r="JNA79" s="12"/>
      <c r="JNB79" s="12"/>
      <c r="JNC79" s="12"/>
      <c r="JND79" s="12"/>
      <c r="JNE79" s="12"/>
      <c r="JNF79" s="12"/>
      <c r="JNG79" s="12"/>
      <c r="JNH79" s="12"/>
      <c r="JNI79" s="12"/>
      <c r="JNJ79" s="12"/>
      <c r="JNK79" s="12"/>
      <c r="JNL79" s="12"/>
      <c r="JNM79" s="12"/>
      <c r="JNN79" s="12"/>
      <c r="JNO79" s="12"/>
      <c r="JNP79" s="12"/>
      <c r="JNQ79" s="12"/>
      <c r="JNR79" s="12"/>
      <c r="JNS79" s="12"/>
      <c r="JNT79" s="12"/>
      <c r="JNU79" s="12"/>
      <c r="JNV79" s="12"/>
      <c r="JNW79" s="12"/>
      <c r="JNX79" s="12"/>
      <c r="JNY79" s="12"/>
      <c r="JNZ79" s="12"/>
      <c r="JOA79" s="12"/>
      <c r="JOB79" s="12"/>
      <c r="JOC79" s="12"/>
      <c r="JOD79" s="12"/>
      <c r="JOE79" s="12"/>
      <c r="JOF79" s="12"/>
      <c r="JOG79" s="12"/>
      <c r="JOH79" s="12"/>
      <c r="JOI79" s="12"/>
      <c r="JOJ79" s="12"/>
      <c r="JOK79" s="12"/>
      <c r="JOL79" s="12"/>
      <c r="JOM79" s="12"/>
      <c r="JON79" s="12"/>
      <c r="JOO79" s="12"/>
      <c r="JOP79" s="12"/>
      <c r="JOQ79" s="12"/>
      <c r="JOR79" s="12"/>
      <c r="JOS79" s="12"/>
      <c r="JOT79" s="12"/>
      <c r="JOU79" s="12"/>
      <c r="JOV79" s="12"/>
      <c r="JOW79" s="12"/>
      <c r="JOX79" s="12"/>
      <c r="JOY79" s="12"/>
      <c r="JOZ79" s="12"/>
      <c r="JPA79" s="12"/>
      <c r="JPB79" s="12"/>
      <c r="JPC79" s="12"/>
      <c r="JPD79" s="12"/>
      <c r="JPE79" s="12"/>
      <c r="JPF79" s="12"/>
      <c r="JPG79" s="12"/>
      <c r="JPH79" s="12"/>
      <c r="JPI79" s="12"/>
      <c r="JPJ79" s="12"/>
      <c r="JPK79" s="12"/>
      <c r="JPL79" s="12"/>
      <c r="JPM79" s="12"/>
      <c r="JPN79" s="12"/>
      <c r="JPO79" s="12"/>
      <c r="JPP79" s="12"/>
      <c r="JPQ79" s="12"/>
      <c r="JPR79" s="12"/>
      <c r="JPS79" s="12"/>
      <c r="JPT79" s="12"/>
      <c r="JPU79" s="12"/>
      <c r="JPV79" s="12"/>
      <c r="JPW79" s="12"/>
      <c r="JPX79" s="12"/>
      <c r="JPY79" s="12"/>
      <c r="JPZ79" s="12"/>
      <c r="JQA79" s="12"/>
      <c r="JQB79" s="12"/>
      <c r="JQC79" s="12"/>
      <c r="JQD79" s="12"/>
      <c r="JQE79" s="12"/>
      <c r="JQF79" s="12"/>
      <c r="JQG79" s="12"/>
      <c r="JQH79" s="12"/>
      <c r="JQI79" s="12"/>
      <c r="JQJ79" s="12"/>
      <c r="JQK79" s="12"/>
      <c r="JQL79" s="12"/>
      <c r="JQM79" s="12"/>
      <c r="JQN79" s="12"/>
      <c r="JQO79" s="12"/>
      <c r="JQP79" s="12"/>
      <c r="JQQ79" s="12"/>
      <c r="JQR79" s="12"/>
      <c r="JQS79" s="12"/>
      <c r="JQT79" s="12"/>
      <c r="JQU79" s="12"/>
      <c r="JQV79" s="12"/>
      <c r="JQW79" s="12"/>
      <c r="JQX79" s="12"/>
      <c r="JQY79" s="12"/>
      <c r="JQZ79" s="12"/>
      <c r="JRA79" s="12"/>
      <c r="JRB79" s="12"/>
      <c r="JRC79" s="12"/>
      <c r="JRD79" s="12"/>
      <c r="JRE79" s="12"/>
      <c r="JRF79" s="12"/>
      <c r="JRG79" s="12"/>
      <c r="JRH79" s="12"/>
      <c r="JRI79" s="12"/>
      <c r="JRJ79" s="12"/>
      <c r="JRK79" s="12"/>
      <c r="JRL79" s="12"/>
      <c r="JRM79" s="12"/>
      <c r="JRN79" s="12"/>
      <c r="JRO79" s="12"/>
      <c r="JRP79" s="12"/>
      <c r="JRQ79" s="12"/>
      <c r="JRR79" s="12"/>
      <c r="JRS79" s="12"/>
      <c r="JRT79" s="12"/>
      <c r="JRU79" s="12"/>
      <c r="JRV79" s="12"/>
      <c r="JRW79" s="12"/>
      <c r="JRX79" s="12"/>
      <c r="JRY79" s="12"/>
      <c r="JRZ79" s="12"/>
      <c r="JSA79" s="12"/>
      <c r="JSB79" s="12"/>
      <c r="JSC79" s="12"/>
      <c r="JSD79" s="12"/>
      <c r="JSE79" s="12"/>
      <c r="JSF79" s="12"/>
      <c r="JSG79" s="12"/>
      <c r="JSH79" s="12"/>
      <c r="JSI79" s="12"/>
      <c r="JSJ79" s="12"/>
      <c r="JSK79" s="12"/>
      <c r="JSL79" s="12"/>
      <c r="JSM79" s="12"/>
      <c r="JSN79" s="12"/>
      <c r="JSO79" s="12"/>
      <c r="JSP79" s="12"/>
      <c r="JSQ79" s="12"/>
      <c r="JSR79" s="12"/>
      <c r="JSS79" s="12"/>
      <c r="JST79" s="12"/>
      <c r="JSU79" s="12"/>
      <c r="JSV79" s="12"/>
      <c r="JSW79" s="12"/>
      <c r="JSX79" s="12"/>
      <c r="JSY79" s="12"/>
      <c r="JSZ79" s="12"/>
      <c r="JTA79" s="12"/>
      <c r="JTB79" s="12"/>
      <c r="JTC79" s="12"/>
      <c r="JTD79" s="12"/>
      <c r="JTE79" s="12"/>
      <c r="JTF79" s="12"/>
      <c r="JTG79" s="12"/>
      <c r="JTH79" s="12"/>
      <c r="JTI79" s="12"/>
      <c r="JTJ79" s="12"/>
      <c r="JTK79" s="12"/>
      <c r="JTL79" s="12"/>
      <c r="JTM79" s="12"/>
      <c r="JTN79" s="12"/>
      <c r="JTO79" s="12"/>
      <c r="JTP79" s="12"/>
      <c r="JTQ79" s="12"/>
      <c r="JTR79" s="12"/>
      <c r="JTS79" s="12"/>
      <c r="JTT79" s="12"/>
      <c r="JTU79" s="12"/>
      <c r="JTV79" s="12"/>
      <c r="JTW79" s="12"/>
      <c r="JTX79" s="12"/>
      <c r="JTY79" s="12"/>
      <c r="JTZ79" s="12"/>
      <c r="JUA79" s="12"/>
      <c r="JUB79" s="12"/>
      <c r="JUC79" s="12"/>
      <c r="JUD79" s="12"/>
      <c r="JUE79" s="12"/>
      <c r="JUF79" s="12"/>
      <c r="JUG79" s="12"/>
      <c r="JUH79" s="12"/>
      <c r="JUI79" s="12"/>
      <c r="JUJ79" s="12"/>
      <c r="JUK79" s="12"/>
      <c r="JUL79" s="12"/>
      <c r="JUM79" s="12"/>
      <c r="JUN79" s="12"/>
      <c r="JUO79" s="12"/>
      <c r="JUP79" s="12"/>
      <c r="JUQ79" s="12"/>
      <c r="JUR79" s="12"/>
      <c r="JUS79" s="12"/>
      <c r="JUT79" s="12"/>
      <c r="JUU79" s="12"/>
      <c r="JUV79" s="12"/>
      <c r="JUW79" s="12"/>
      <c r="JUX79" s="12"/>
      <c r="JUY79" s="12"/>
      <c r="JUZ79" s="12"/>
      <c r="JVA79" s="12"/>
      <c r="JVB79" s="12"/>
      <c r="JVC79" s="12"/>
      <c r="JVD79" s="12"/>
      <c r="JVE79" s="12"/>
      <c r="JVF79" s="12"/>
      <c r="JVG79" s="12"/>
      <c r="JVH79" s="12"/>
      <c r="JVI79" s="12"/>
      <c r="JVJ79" s="12"/>
      <c r="JVK79" s="12"/>
      <c r="JVL79" s="12"/>
      <c r="JVM79" s="12"/>
      <c r="JVN79" s="12"/>
      <c r="JVO79" s="12"/>
      <c r="JVP79" s="12"/>
      <c r="JVQ79" s="12"/>
      <c r="JVR79" s="12"/>
      <c r="JVS79" s="12"/>
      <c r="JVT79" s="12"/>
      <c r="JVU79" s="12"/>
      <c r="JVV79" s="12"/>
      <c r="JVW79" s="12"/>
      <c r="JVX79" s="12"/>
      <c r="JVY79" s="12"/>
      <c r="JVZ79" s="12"/>
      <c r="JWA79" s="12"/>
      <c r="JWB79" s="12"/>
      <c r="JWC79" s="12"/>
      <c r="JWD79" s="12"/>
      <c r="JWE79" s="12"/>
      <c r="JWF79" s="12"/>
      <c r="JWG79" s="12"/>
      <c r="JWH79" s="12"/>
      <c r="JWI79" s="12"/>
      <c r="JWJ79" s="12"/>
      <c r="JWK79" s="12"/>
      <c r="JWL79" s="12"/>
      <c r="JWM79" s="12"/>
      <c r="JWN79" s="12"/>
      <c r="JWO79" s="12"/>
      <c r="JWP79" s="12"/>
      <c r="JWQ79" s="12"/>
      <c r="JWR79" s="12"/>
      <c r="JWS79" s="12"/>
      <c r="JWT79" s="12"/>
      <c r="JWU79" s="12"/>
      <c r="JWV79" s="12"/>
      <c r="JWW79" s="12"/>
      <c r="JWX79" s="12"/>
      <c r="JWY79" s="12"/>
      <c r="JWZ79" s="12"/>
      <c r="JXA79" s="12"/>
      <c r="JXB79" s="12"/>
      <c r="JXC79" s="12"/>
      <c r="JXD79" s="12"/>
      <c r="JXE79" s="12"/>
      <c r="JXF79" s="12"/>
      <c r="JXG79" s="12"/>
      <c r="JXH79" s="12"/>
      <c r="JXI79" s="12"/>
      <c r="JXJ79" s="12"/>
      <c r="JXK79" s="12"/>
      <c r="JXL79" s="12"/>
      <c r="JXM79" s="12"/>
      <c r="JXN79" s="12"/>
      <c r="JXO79" s="12"/>
      <c r="JXP79" s="12"/>
      <c r="JXQ79" s="12"/>
      <c r="JXR79" s="12"/>
      <c r="JXS79" s="12"/>
      <c r="JXT79" s="12"/>
      <c r="JXU79" s="12"/>
      <c r="JXV79" s="12"/>
      <c r="JXW79" s="12"/>
      <c r="JXX79" s="12"/>
      <c r="JXY79" s="12"/>
      <c r="JXZ79" s="12"/>
      <c r="JYA79" s="12"/>
      <c r="JYB79" s="12"/>
      <c r="JYC79" s="12"/>
      <c r="JYD79" s="12"/>
      <c r="JYE79" s="12"/>
      <c r="JYF79" s="12"/>
      <c r="JYG79" s="12"/>
      <c r="JYH79" s="12"/>
      <c r="JYI79" s="12"/>
      <c r="JYJ79" s="12"/>
      <c r="JYK79" s="12"/>
      <c r="JYL79" s="12"/>
      <c r="JYM79" s="12"/>
      <c r="JYN79" s="12"/>
      <c r="JYO79" s="12"/>
      <c r="JYP79" s="12"/>
      <c r="JYQ79" s="12"/>
      <c r="JYR79" s="12"/>
      <c r="JYS79" s="12"/>
      <c r="JYT79" s="12"/>
      <c r="JYU79" s="12"/>
      <c r="JYV79" s="12"/>
      <c r="JYW79" s="12"/>
      <c r="JYX79" s="12"/>
      <c r="JYY79" s="12"/>
      <c r="JYZ79" s="12"/>
      <c r="JZA79" s="12"/>
      <c r="JZB79" s="12"/>
      <c r="JZC79" s="12"/>
      <c r="JZD79" s="12"/>
      <c r="JZE79" s="12"/>
      <c r="JZF79" s="12"/>
      <c r="JZG79" s="12"/>
      <c r="JZH79" s="12"/>
      <c r="JZI79" s="12"/>
      <c r="JZJ79" s="12"/>
      <c r="JZK79" s="12"/>
      <c r="JZL79" s="12"/>
      <c r="JZM79" s="12"/>
      <c r="JZN79" s="12"/>
      <c r="JZO79" s="12"/>
      <c r="JZP79" s="12"/>
      <c r="JZQ79" s="12"/>
      <c r="JZR79" s="12"/>
      <c r="JZS79" s="12"/>
      <c r="JZT79" s="12"/>
      <c r="JZU79" s="12"/>
      <c r="JZV79" s="12"/>
      <c r="JZW79" s="12"/>
      <c r="JZX79" s="12"/>
      <c r="JZY79" s="12"/>
      <c r="JZZ79" s="12"/>
      <c r="KAA79" s="12"/>
      <c r="KAB79" s="12"/>
      <c r="KAC79" s="12"/>
      <c r="KAD79" s="12"/>
      <c r="KAE79" s="12"/>
      <c r="KAF79" s="12"/>
      <c r="KAG79" s="12"/>
      <c r="KAH79" s="12"/>
      <c r="KAI79" s="12"/>
      <c r="KAJ79" s="12"/>
      <c r="KAK79" s="12"/>
      <c r="KAL79" s="12"/>
      <c r="KAM79" s="12"/>
      <c r="KAN79" s="12"/>
      <c r="KAO79" s="12"/>
      <c r="KAP79" s="12"/>
      <c r="KAQ79" s="12"/>
      <c r="KAR79" s="12"/>
      <c r="KAS79" s="12"/>
      <c r="KAT79" s="12"/>
      <c r="KAU79" s="12"/>
      <c r="KAV79" s="12"/>
      <c r="KAW79" s="12"/>
      <c r="KAX79" s="12"/>
      <c r="KAY79" s="12"/>
      <c r="KAZ79" s="12"/>
      <c r="KBA79" s="12"/>
      <c r="KBB79" s="12"/>
      <c r="KBC79" s="12"/>
      <c r="KBD79" s="12"/>
      <c r="KBE79" s="12"/>
      <c r="KBF79" s="12"/>
      <c r="KBG79" s="12"/>
      <c r="KBH79" s="12"/>
      <c r="KBI79" s="12"/>
      <c r="KBJ79" s="12"/>
      <c r="KBK79" s="12"/>
      <c r="KBL79" s="12"/>
      <c r="KBM79" s="12"/>
      <c r="KBN79" s="12"/>
      <c r="KBO79" s="12"/>
      <c r="KBP79" s="12"/>
      <c r="KBQ79" s="12"/>
      <c r="KBR79" s="12"/>
      <c r="KBS79" s="12"/>
      <c r="KBT79" s="12"/>
      <c r="KBU79" s="12"/>
      <c r="KBV79" s="12"/>
      <c r="KBW79" s="12"/>
      <c r="KBX79" s="12"/>
      <c r="KBY79" s="12"/>
      <c r="KBZ79" s="12"/>
      <c r="KCA79" s="12"/>
      <c r="KCB79" s="12"/>
      <c r="KCC79" s="12"/>
      <c r="KCD79" s="12"/>
      <c r="KCE79" s="12"/>
      <c r="KCF79" s="12"/>
      <c r="KCG79" s="12"/>
      <c r="KCH79" s="12"/>
      <c r="KCI79" s="12"/>
      <c r="KCJ79" s="12"/>
      <c r="KCK79" s="12"/>
      <c r="KCL79" s="12"/>
      <c r="KCM79" s="12"/>
      <c r="KCN79" s="12"/>
      <c r="KCO79" s="12"/>
      <c r="KCP79" s="12"/>
      <c r="KCQ79" s="12"/>
      <c r="KCR79" s="12"/>
      <c r="KCS79" s="12"/>
      <c r="KCT79" s="12"/>
      <c r="KCU79" s="12"/>
      <c r="KCV79" s="12"/>
      <c r="KCW79" s="12"/>
      <c r="KCX79" s="12"/>
      <c r="KCY79" s="12"/>
      <c r="KCZ79" s="12"/>
      <c r="KDA79" s="12"/>
      <c r="KDB79" s="12"/>
      <c r="KDC79" s="12"/>
      <c r="KDD79" s="12"/>
      <c r="KDE79" s="12"/>
      <c r="KDF79" s="12"/>
      <c r="KDG79" s="12"/>
      <c r="KDH79" s="12"/>
      <c r="KDI79" s="12"/>
      <c r="KDJ79" s="12"/>
      <c r="KDK79" s="12"/>
      <c r="KDL79" s="12"/>
      <c r="KDM79" s="12"/>
      <c r="KDN79" s="12"/>
      <c r="KDO79" s="12"/>
      <c r="KDP79" s="12"/>
      <c r="KDQ79" s="12"/>
      <c r="KDR79" s="12"/>
      <c r="KDS79" s="12"/>
      <c r="KDT79" s="12"/>
      <c r="KDU79" s="12"/>
      <c r="KDV79" s="12"/>
      <c r="KDW79" s="12"/>
      <c r="KDX79" s="12"/>
      <c r="KDY79" s="12"/>
      <c r="KDZ79" s="12"/>
      <c r="KEA79" s="12"/>
      <c r="KEB79" s="12"/>
      <c r="KEC79" s="12"/>
      <c r="KED79" s="12"/>
      <c r="KEE79" s="12"/>
      <c r="KEF79" s="12"/>
      <c r="KEG79" s="12"/>
      <c r="KEH79" s="12"/>
      <c r="KEI79" s="12"/>
      <c r="KEJ79" s="12"/>
      <c r="KEK79" s="12"/>
      <c r="KEL79" s="12"/>
      <c r="KEM79" s="12"/>
      <c r="KEN79" s="12"/>
      <c r="KEO79" s="12"/>
      <c r="KEP79" s="12"/>
      <c r="KEQ79" s="12"/>
      <c r="KER79" s="12"/>
      <c r="KES79" s="12"/>
      <c r="KET79" s="12"/>
      <c r="KEU79" s="12"/>
      <c r="KEV79" s="12"/>
      <c r="KEW79" s="12"/>
      <c r="KEX79" s="12"/>
      <c r="KEY79" s="12"/>
      <c r="KEZ79" s="12"/>
      <c r="KFA79" s="12"/>
      <c r="KFB79" s="12"/>
      <c r="KFC79" s="12"/>
      <c r="KFD79" s="12"/>
      <c r="KFE79" s="12"/>
      <c r="KFF79" s="12"/>
      <c r="KFG79" s="12"/>
      <c r="KFH79" s="12"/>
      <c r="KFI79" s="12"/>
      <c r="KFJ79" s="12"/>
      <c r="KFK79" s="12"/>
      <c r="KFL79" s="12"/>
      <c r="KFM79" s="12"/>
      <c r="KFN79" s="12"/>
      <c r="KFO79" s="12"/>
      <c r="KFP79" s="12"/>
      <c r="KFQ79" s="12"/>
      <c r="KFR79" s="12"/>
      <c r="KFS79" s="12"/>
      <c r="KFT79" s="12"/>
      <c r="KFU79" s="12"/>
      <c r="KFV79" s="12"/>
      <c r="KFW79" s="12"/>
      <c r="KFX79" s="12"/>
      <c r="KFY79" s="12"/>
      <c r="KFZ79" s="12"/>
      <c r="KGA79" s="12"/>
      <c r="KGB79" s="12"/>
      <c r="KGC79" s="12"/>
      <c r="KGD79" s="12"/>
      <c r="KGE79" s="12"/>
      <c r="KGF79" s="12"/>
      <c r="KGG79" s="12"/>
      <c r="KGH79" s="12"/>
      <c r="KGI79" s="12"/>
      <c r="KGJ79" s="12"/>
      <c r="KGK79" s="12"/>
      <c r="KGL79" s="12"/>
      <c r="KGM79" s="12"/>
      <c r="KGN79" s="12"/>
      <c r="KGO79" s="12"/>
      <c r="KGP79" s="12"/>
      <c r="KGQ79" s="12"/>
      <c r="KGR79" s="12"/>
      <c r="KGS79" s="12"/>
      <c r="KGT79" s="12"/>
      <c r="KGU79" s="12"/>
      <c r="KGV79" s="12"/>
      <c r="KGW79" s="12"/>
      <c r="KGX79" s="12"/>
      <c r="KGY79" s="12"/>
      <c r="KGZ79" s="12"/>
      <c r="KHA79" s="12"/>
      <c r="KHB79" s="12"/>
      <c r="KHC79" s="12"/>
      <c r="KHD79" s="12"/>
      <c r="KHE79" s="12"/>
      <c r="KHF79" s="12"/>
      <c r="KHG79" s="12"/>
      <c r="KHH79" s="12"/>
      <c r="KHI79" s="12"/>
      <c r="KHJ79" s="12"/>
      <c r="KHK79" s="12"/>
      <c r="KHL79" s="12"/>
      <c r="KHM79" s="12"/>
      <c r="KHN79" s="12"/>
      <c r="KHO79" s="12"/>
      <c r="KHP79" s="12"/>
      <c r="KHQ79" s="12"/>
      <c r="KHR79" s="12"/>
      <c r="KHS79" s="12"/>
      <c r="KHT79" s="12"/>
      <c r="KHU79" s="12"/>
      <c r="KHV79" s="12"/>
      <c r="KHW79" s="12"/>
      <c r="KHX79" s="12"/>
      <c r="KHY79" s="12"/>
      <c r="KHZ79" s="12"/>
      <c r="KIA79" s="12"/>
      <c r="KIB79" s="12"/>
      <c r="KIC79" s="12"/>
      <c r="KID79" s="12"/>
      <c r="KIE79" s="12"/>
      <c r="KIF79" s="12"/>
      <c r="KIG79" s="12"/>
      <c r="KIH79" s="12"/>
      <c r="KII79" s="12"/>
      <c r="KIJ79" s="12"/>
      <c r="KIK79" s="12"/>
      <c r="KIL79" s="12"/>
      <c r="KIM79" s="12"/>
      <c r="KIN79" s="12"/>
      <c r="KIO79" s="12"/>
      <c r="KIP79" s="12"/>
      <c r="KIQ79" s="12"/>
      <c r="KIR79" s="12"/>
      <c r="KIS79" s="12"/>
      <c r="KIT79" s="12"/>
      <c r="KIU79" s="12"/>
      <c r="KIV79" s="12"/>
      <c r="KIW79" s="12"/>
      <c r="KIX79" s="12"/>
      <c r="KIY79" s="12"/>
      <c r="KIZ79" s="12"/>
      <c r="KJA79" s="12"/>
      <c r="KJB79" s="12"/>
      <c r="KJC79" s="12"/>
      <c r="KJD79" s="12"/>
      <c r="KJE79" s="12"/>
      <c r="KJF79" s="12"/>
      <c r="KJG79" s="12"/>
      <c r="KJH79" s="12"/>
      <c r="KJI79" s="12"/>
      <c r="KJJ79" s="12"/>
      <c r="KJK79" s="12"/>
      <c r="KJL79" s="12"/>
      <c r="KJM79" s="12"/>
      <c r="KJN79" s="12"/>
      <c r="KJO79" s="12"/>
      <c r="KJP79" s="12"/>
      <c r="KJQ79" s="12"/>
      <c r="KJR79" s="12"/>
      <c r="KJS79" s="12"/>
      <c r="KJT79" s="12"/>
      <c r="KJU79" s="12"/>
      <c r="KJV79" s="12"/>
      <c r="KJW79" s="12"/>
      <c r="KJX79" s="12"/>
      <c r="KJY79" s="12"/>
      <c r="KJZ79" s="12"/>
      <c r="KKA79" s="12"/>
      <c r="KKB79" s="12"/>
      <c r="KKC79" s="12"/>
      <c r="KKD79" s="12"/>
      <c r="KKE79" s="12"/>
      <c r="KKF79" s="12"/>
      <c r="KKG79" s="12"/>
      <c r="KKH79" s="12"/>
      <c r="KKI79" s="12"/>
      <c r="KKJ79" s="12"/>
      <c r="KKK79" s="12"/>
      <c r="KKL79" s="12"/>
      <c r="KKM79" s="12"/>
      <c r="KKN79" s="12"/>
      <c r="KKO79" s="12"/>
      <c r="KKP79" s="12"/>
      <c r="KKQ79" s="12"/>
      <c r="KKR79" s="12"/>
      <c r="KKS79" s="12"/>
      <c r="KKT79" s="12"/>
      <c r="KKU79" s="12"/>
      <c r="KKV79" s="12"/>
      <c r="KKW79" s="12"/>
      <c r="KKX79" s="12"/>
      <c r="KKY79" s="12"/>
      <c r="KKZ79" s="12"/>
      <c r="KLA79" s="12"/>
      <c r="KLB79" s="12"/>
      <c r="KLC79" s="12"/>
      <c r="KLD79" s="12"/>
      <c r="KLE79" s="12"/>
      <c r="KLF79" s="12"/>
      <c r="KLG79" s="12"/>
      <c r="KLH79" s="12"/>
      <c r="KLI79" s="12"/>
      <c r="KLJ79" s="12"/>
      <c r="KLK79" s="12"/>
      <c r="KLL79" s="12"/>
      <c r="KLM79" s="12"/>
      <c r="KLN79" s="12"/>
      <c r="KLO79" s="12"/>
      <c r="KLP79" s="12"/>
      <c r="KLQ79" s="12"/>
      <c r="KLR79" s="12"/>
      <c r="KLS79" s="12"/>
      <c r="KLT79" s="12"/>
      <c r="KLU79" s="12"/>
      <c r="KLV79" s="12"/>
      <c r="KLW79" s="12"/>
      <c r="KLX79" s="12"/>
      <c r="KLY79" s="12"/>
      <c r="KLZ79" s="12"/>
      <c r="KMA79" s="12"/>
      <c r="KMB79" s="12"/>
      <c r="KMC79" s="12"/>
      <c r="KMD79" s="12"/>
      <c r="KME79" s="12"/>
      <c r="KMF79" s="12"/>
      <c r="KMG79" s="12"/>
      <c r="KMH79" s="12"/>
      <c r="KMI79" s="12"/>
      <c r="KMJ79" s="12"/>
      <c r="KMK79" s="12"/>
      <c r="KML79" s="12"/>
      <c r="KMM79" s="12"/>
      <c r="KMN79" s="12"/>
      <c r="KMO79" s="12"/>
      <c r="KMP79" s="12"/>
      <c r="KMQ79" s="12"/>
      <c r="KMR79" s="12"/>
      <c r="KMS79" s="12"/>
      <c r="KMT79" s="12"/>
      <c r="KMU79" s="12"/>
      <c r="KMV79" s="12"/>
      <c r="KMW79" s="12"/>
      <c r="KMX79" s="12"/>
      <c r="KMY79" s="12"/>
      <c r="KMZ79" s="12"/>
      <c r="KNA79" s="12"/>
      <c r="KNB79" s="12"/>
      <c r="KNC79" s="12"/>
      <c r="KND79" s="12"/>
      <c r="KNE79" s="12"/>
      <c r="KNF79" s="12"/>
      <c r="KNG79" s="12"/>
      <c r="KNH79" s="12"/>
      <c r="KNI79" s="12"/>
      <c r="KNJ79" s="12"/>
      <c r="KNK79" s="12"/>
      <c r="KNL79" s="12"/>
      <c r="KNM79" s="12"/>
      <c r="KNN79" s="12"/>
      <c r="KNO79" s="12"/>
      <c r="KNP79" s="12"/>
      <c r="KNQ79" s="12"/>
      <c r="KNR79" s="12"/>
      <c r="KNS79" s="12"/>
      <c r="KNT79" s="12"/>
      <c r="KNU79" s="12"/>
      <c r="KNV79" s="12"/>
      <c r="KNW79" s="12"/>
      <c r="KNX79" s="12"/>
      <c r="KNY79" s="12"/>
      <c r="KNZ79" s="12"/>
      <c r="KOA79" s="12"/>
      <c r="KOB79" s="12"/>
      <c r="KOC79" s="12"/>
      <c r="KOD79" s="12"/>
      <c r="KOE79" s="12"/>
      <c r="KOF79" s="12"/>
      <c r="KOG79" s="12"/>
      <c r="KOH79" s="12"/>
      <c r="KOI79" s="12"/>
      <c r="KOJ79" s="12"/>
      <c r="KOK79" s="12"/>
      <c r="KOL79" s="12"/>
      <c r="KOM79" s="12"/>
      <c r="KON79" s="12"/>
      <c r="KOO79" s="12"/>
      <c r="KOP79" s="12"/>
      <c r="KOQ79" s="12"/>
      <c r="KOR79" s="12"/>
      <c r="KOS79" s="12"/>
      <c r="KOT79" s="12"/>
      <c r="KOU79" s="12"/>
      <c r="KOV79" s="12"/>
      <c r="KOW79" s="12"/>
      <c r="KOX79" s="12"/>
      <c r="KOY79" s="12"/>
      <c r="KOZ79" s="12"/>
      <c r="KPA79" s="12"/>
      <c r="KPB79" s="12"/>
      <c r="KPC79" s="12"/>
      <c r="KPD79" s="12"/>
      <c r="KPE79" s="12"/>
      <c r="KPF79" s="12"/>
      <c r="KPG79" s="12"/>
      <c r="KPH79" s="12"/>
      <c r="KPI79" s="12"/>
      <c r="KPJ79" s="12"/>
      <c r="KPK79" s="12"/>
      <c r="KPL79" s="12"/>
      <c r="KPM79" s="12"/>
      <c r="KPN79" s="12"/>
      <c r="KPO79" s="12"/>
      <c r="KPP79" s="12"/>
      <c r="KPQ79" s="12"/>
      <c r="KPR79" s="12"/>
      <c r="KPS79" s="12"/>
      <c r="KPT79" s="12"/>
      <c r="KPU79" s="12"/>
      <c r="KPV79" s="12"/>
      <c r="KPW79" s="12"/>
      <c r="KPX79" s="12"/>
      <c r="KPY79" s="12"/>
      <c r="KPZ79" s="12"/>
      <c r="KQA79" s="12"/>
      <c r="KQB79" s="12"/>
      <c r="KQC79" s="12"/>
      <c r="KQD79" s="12"/>
      <c r="KQE79" s="12"/>
      <c r="KQF79" s="12"/>
      <c r="KQG79" s="12"/>
      <c r="KQH79" s="12"/>
      <c r="KQI79" s="12"/>
      <c r="KQJ79" s="12"/>
      <c r="KQK79" s="12"/>
      <c r="KQL79" s="12"/>
      <c r="KQM79" s="12"/>
      <c r="KQN79" s="12"/>
      <c r="KQO79" s="12"/>
      <c r="KQP79" s="12"/>
      <c r="KQQ79" s="12"/>
      <c r="KQR79" s="12"/>
      <c r="KQS79" s="12"/>
      <c r="KQT79" s="12"/>
      <c r="KQU79" s="12"/>
      <c r="KQV79" s="12"/>
      <c r="KQW79" s="12"/>
      <c r="KQX79" s="12"/>
      <c r="KQY79" s="12"/>
      <c r="KQZ79" s="12"/>
      <c r="KRA79" s="12"/>
      <c r="KRB79" s="12"/>
      <c r="KRC79" s="12"/>
      <c r="KRD79" s="12"/>
      <c r="KRE79" s="12"/>
      <c r="KRF79" s="12"/>
      <c r="KRG79" s="12"/>
      <c r="KRH79" s="12"/>
      <c r="KRI79" s="12"/>
      <c r="KRJ79" s="12"/>
      <c r="KRK79" s="12"/>
      <c r="KRL79" s="12"/>
      <c r="KRM79" s="12"/>
      <c r="KRN79" s="12"/>
      <c r="KRO79" s="12"/>
      <c r="KRP79" s="12"/>
      <c r="KRQ79" s="12"/>
      <c r="KRR79" s="12"/>
      <c r="KRS79" s="12"/>
      <c r="KRT79" s="12"/>
      <c r="KRU79" s="12"/>
      <c r="KRV79" s="12"/>
      <c r="KRW79" s="12"/>
      <c r="KRX79" s="12"/>
      <c r="KRY79" s="12"/>
      <c r="KRZ79" s="12"/>
      <c r="KSA79" s="12"/>
      <c r="KSB79" s="12"/>
      <c r="KSC79" s="12"/>
      <c r="KSD79" s="12"/>
      <c r="KSE79" s="12"/>
      <c r="KSF79" s="12"/>
      <c r="KSG79" s="12"/>
      <c r="KSH79" s="12"/>
      <c r="KSI79" s="12"/>
      <c r="KSJ79" s="12"/>
      <c r="KSK79" s="12"/>
      <c r="KSL79" s="12"/>
      <c r="KSM79" s="12"/>
      <c r="KSN79" s="12"/>
      <c r="KSO79" s="12"/>
      <c r="KSP79" s="12"/>
      <c r="KSQ79" s="12"/>
      <c r="KSR79" s="12"/>
      <c r="KSS79" s="12"/>
      <c r="KST79" s="12"/>
      <c r="KSU79" s="12"/>
      <c r="KSV79" s="12"/>
      <c r="KSW79" s="12"/>
      <c r="KSX79" s="12"/>
      <c r="KSY79" s="12"/>
      <c r="KSZ79" s="12"/>
      <c r="KTA79" s="12"/>
      <c r="KTB79" s="12"/>
      <c r="KTC79" s="12"/>
      <c r="KTD79" s="12"/>
      <c r="KTE79" s="12"/>
      <c r="KTF79" s="12"/>
      <c r="KTG79" s="12"/>
      <c r="KTH79" s="12"/>
      <c r="KTI79" s="12"/>
      <c r="KTJ79" s="12"/>
      <c r="KTK79" s="12"/>
      <c r="KTL79" s="12"/>
      <c r="KTM79" s="12"/>
      <c r="KTN79" s="12"/>
      <c r="KTO79" s="12"/>
      <c r="KTP79" s="12"/>
      <c r="KTQ79" s="12"/>
      <c r="KTR79" s="12"/>
      <c r="KTS79" s="12"/>
      <c r="KTT79" s="12"/>
      <c r="KTU79" s="12"/>
      <c r="KTV79" s="12"/>
      <c r="KTW79" s="12"/>
      <c r="KTX79" s="12"/>
      <c r="KTY79" s="12"/>
      <c r="KTZ79" s="12"/>
      <c r="KUA79" s="12"/>
      <c r="KUB79" s="12"/>
      <c r="KUC79" s="12"/>
      <c r="KUD79" s="12"/>
      <c r="KUE79" s="12"/>
      <c r="KUF79" s="12"/>
      <c r="KUG79" s="12"/>
      <c r="KUH79" s="12"/>
      <c r="KUI79" s="12"/>
      <c r="KUJ79" s="12"/>
      <c r="KUK79" s="12"/>
      <c r="KUL79" s="12"/>
      <c r="KUM79" s="12"/>
      <c r="KUN79" s="12"/>
      <c r="KUO79" s="12"/>
      <c r="KUP79" s="12"/>
      <c r="KUQ79" s="12"/>
      <c r="KUR79" s="12"/>
      <c r="KUS79" s="12"/>
      <c r="KUT79" s="12"/>
      <c r="KUU79" s="12"/>
      <c r="KUV79" s="12"/>
      <c r="KUW79" s="12"/>
      <c r="KUX79" s="12"/>
      <c r="KUY79" s="12"/>
      <c r="KUZ79" s="12"/>
      <c r="KVA79" s="12"/>
      <c r="KVB79" s="12"/>
      <c r="KVC79" s="12"/>
      <c r="KVD79" s="12"/>
      <c r="KVE79" s="12"/>
      <c r="KVF79" s="12"/>
      <c r="KVG79" s="12"/>
      <c r="KVH79" s="12"/>
      <c r="KVI79" s="12"/>
      <c r="KVJ79" s="12"/>
      <c r="KVK79" s="12"/>
      <c r="KVL79" s="12"/>
      <c r="KVM79" s="12"/>
      <c r="KVN79" s="12"/>
      <c r="KVO79" s="12"/>
      <c r="KVP79" s="12"/>
      <c r="KVQ79" s="12"/>
      <c r="KVR79" s="12"/>
      <c r="KVS79" s="12"/>
      <c r="KVT79" s="12"/>
      <c r="KVU79" s="12"/>
      <c r="KVV79" s="12"/>
      <c r="KVW79" s="12"/>
      <c r="KVX79" s="12"/>
      <c r="KVY79" s="12"/>
      <c r="KVZ79" s="12"/>
      <c r="KWA79" s="12"/>
      <c r="KWB79" s="12"/>
      <c r="KWC79" s="12"/>
      <c r="KWD79" s="12"/>
      <c r="KWE79" s="12"/>
      <c r="KWF79" s="12"/>
      <c r="KWG79" s="12"/>
      <c r="KWH79" s="12"/>
      <c r="KWI79" s="12"/>
      <c r="KWJ79" s="12"/>
      <c r="KWK79" s="12"/>
      <c r="KWL79" s="12"/>
      <c r="KWM79" s="12"/>
      <c r="KWN79" s="12"/>
      <c r="KWO79" s="12"/>
      <c r="KWP79" s="12"/>
      <c r="KWQ79" s="12"/>
      <c r="KWR79" s="12"/>
      <c r="KWS79" s="12"/>
      <c r="KWT79" s="12"/>
      <c r="KWU79" s="12"/>
      <c r="KWV79" s="12"/>
      <c r="KWW79" s="12"/>
      <c r="KWX79" s="12"/>
      <c r="KWY79" s="12"/>
      <c r="KWZ79" s="12"/>
      <c r="KXA79" s="12"/>
      <c r="KXB79" s="12"/>
      <c r="KXC79" s="12"/>
      <c r="KXD79" s="12"/>
      <c r="KXE79" s="12"/>
      <c r="KXF79" s="12"/>
      <c r="KXG79" s="12"/>
      <c r="KXH79" s="12"/>
      <c r="KXI79" s="12"/>
      <c r="KXJ79" s="12"/>
      <c r="KXK79" s="12"/>
      <c r="KXL79" s="12"/>
      <c r="KXM79" s="12"/>
      <c r="KXN79" s="12"/>
      <c r="KXO79" s="12"/>
      <c r="KXP79" s="12"/>
      <c r="KXQ79" s="12"/>
      <c r="KXR79" s="12"/>
      <c r="KXS79" s="12"/>
      <c r="KXT79" s="12"/>
      <c r="KXU79" s="12"/>
      <c r="KXV79" s="12"/>
      <c r="KXW79" s="12"/>
      <c r="KXX79" s="12"/>
      <c r="KXY79" s="12"/>
      <c r="KXZ79" s="12"/>
      <c r="KYA79" s="12"/>
      <c r="KYB79" s="12"/>
      <c r="KYC79" s="12"/>
      <c r="KYD79" s="12"/>
      <c r="KYE79" s="12"/>
      <c r="KYF79" s="12"/>
      <c r="KYG79" s="12"/>
      <c r="KYH79" s="12"/>
      <c r="KYI79" s="12"/>
      <c r="KYJ79" s="12"/>
      <c r="KYK79" s="12"/>
      <c r="KYL79" s="12"/>
      <c r="KYM79" s="12"/>
      <c r="KYN79" s="12"/>
      <c r="KYO79" s="12"/>
      <c r="KYP79" s="12"/>
      <c r="KYQ79" s="12"/>
      <c r="KYR79" s="12"/>
      <c r="KYS79" s="12"/>
      <c r="KYT79" s="12"/>
      <c r="KYU79" s="12"/>
      <c r="KYV79" s="12"/>
      <c r="KYW79" s="12"/>
      <c r="KYX79" s="12"/>
      <c r="KYY79" s="12"/>
      <c r="KYZ79" s="12"/>
      <c r="KZA79" s="12"/>
      <c r="KZB79" s="12"/>
      <c r="KZC79" s="12"/>
      <c r="KZD79" s="12"/>
      <c r="KZE79" s="12"/>
      <c r="KZF79" s="12"/>
      <c r="KZG79" s="12"/>
      <c r="KZH79" s="12"/>
      <c r="KZI79" s="12"/>
      <c r="KZJ79" s="12"/>
      <c r="KZK79" s="12"/>
      <c r="KZL79" s="12"/>
      <c r="KZM79" s="12"/>
      <c r="KZN79" s="12"/>
      <c r="KZO79" s="12"/>
      <c r="KZP79" s="12"/>
      <c r="KZQ79" s="12"/>
      <c r="KZR79" s="12"/>
      <c r="KZS79" s="12"/>
      <c r="KZT79" s="12"/>
      <c r="KZU79" s="12"/>
      <c r="KZV79" s="12"/>
      <c r="KZW79" s="12"/>
      <c r="KZX79" s="12"/>
      <c r="KZY79" s="12"/>
      <c r="KZZ79" s="12"/>
      <c r="LAA79" s="12"/>
      <c r="LAB79" s="12"/>
      <c r="LAC79" s="12"/>
      <c r="LAD79" s="12"/>
      <c r="LAE79" s="12"/>
      <c r="LAF79" s="12"/>
      <c r="LAG79" s="12"/>
      <c r="LAH79" s="12"/>
      <c r="LAI79" s="12"/>
      <c r="LAJ79" s="12"/>
      <c r="LAK79" s="12"/>
      <c r="LAL79" s="12"/>
      <c r="LAM79" s="12"/>
      <c r="LAN79" s="12"/>
      <c r="LAO79" s="12"/>
      <c r="LAP79" s="12"/>
      <c r="LAQ79" s="12"/>
      <c r="LAR79" s="12"/>
      <c r="LAS79" s="12"/>
      <c r="LAT79" s="12"/>
      <c r="LAU79" s="12"/>
      <c r="LAV79" s="12"/>
      <c r="LAW79" s="12"/>
      <c r="LAX79" s="12"/>
      <c r="LAY79" s="12"/>
      <c r="LAZ79" s="12"/>
      <c r="LBA79" s="12"/>
      <c r="LBB79" s="12"/>
      <c r="LBC79" s="12"/>
      <c r="LBD79" s="12"/>
      <c r="LBE79" s="12"/>
      <c r="LBF79" s="12"/>
      <c r="LBG79" s="12"/>
      <c r="LBH79" s="12"/>
      <c r="LBI79" s="12"/>
      <c r="LBJ79" s="12"/>
      <c r="LBK79" s="12"/>
      <c r="LBL79" s="12"/>
      <c r="LBM79" s="12"/>
      <c r="LBN79" s="12"/>
      <c r="LBO79" s="12"/>
      <c r="LBP79" s="12"/>
      <c r="LBQ79" s="12"/>
      <c r="LBR79" s="12"/>
      <c r="LBS79" s="12"/>
      <c r="LBT79" s="12"/>
      <c r="LBU79" s="12"/>
      <c r="LBV79" s="12"/>
      <c r="LBW79" s="12"/>
      <c r="LBX79" s="12"/>
      <c r="LBY79" s="12"/>
      <c r="LBZ79" s="12"/>
      <c r="LCA79" s="12"/>
      <c r="LCB79" s="12"/>
      <c r="LCC79" s="12"/>
      <c r="LCD79" s="12"/>
      <c r="LCE79" s="12"/>
      <c r="LCF79" s="12"/>
      <c r="LCG79" s="12"/>
      <c r="LCH79" s="12"/>
      <c r="LCI79" s="12"/>
      <c r="LCJ79" s="12"/>
      <c r="LCK79" s="12"/>
      <c r="LCL79" s="12"/>
      <c r="LCM79" s="12"/>
      <c r="LCN79" s="12"/>
      <c r="LCO79" s="12"/>
      <c r="LCP79" s="12"/>
      <c r="LCQ79" s="12"/>
      <c r="LCR79" s="12"/>
      <c r="LCS79" s="12"/>
      <c r="LCT79" s="12"/>
      <c r="LCU79" s="12"/>
      <c r="LCV79" s="12"/>
      <c r="LCW79" s="12"/>
      <c r="LCX79" s="12"/>
      <c r="LCY79" s="12"/>
      <c r="LCZ79" s="12"/>
      <c r="LDA79" s="12"/>
      <c r="LDB79" s="12"/>
      <c r="LDC79" s="12"/>
      <c r="LDD79" s="12"/>
      <c r="LDE79" s="12"/>
      <c r="LDF79" s="12"/>
      <c r="LDG79" s="12"/>
      <c r="LDH79" s="12"/>
      <c r="LDI79" s="12"/>
      <c r="LDJ79" s="12"/>
      <c r="LDK79" s="12"/>
      <c r="LDL79" s="12"/>
      <c r="LDM79" s="12"/>
      <c r="LDN79" s="12"/>
      <c r="LDO79" s="12"/>
      <c r="LDP79" s="12"/>
      <c r="LDQ79" s="12"/>
      <c r="LDR79" s="12"/>
      <c r="LDS79" s="12"/>
      <c r="LDT79" s="12"/>
      <c r="LDU79" s="12"/>
      <c r="LDV79" s="12"/>
      <c r="LDW79" s="12"/>
      <c r="LDX79" s="12"/>
      <c r="LDY79" s="12"/>
      <c r="LDZ79" s="12"/>
      <c r="LEA79" s="12"/>
      <c r="LEB79" s="12"/>
      <c r="LEC79" s="12"/>
      <c r="LED79" s="12"/>
      <c r="LEE79" s="12"/>
      <c r="LEF79" s="12"/>
      <c r="LEG79" s="12"/>
      <c r="LEH79" s="12"/>
      <c r="LEI79" s="12"/>
      <c r="LEJ79" s="12"/>
      <c r="LEK79" s="12"/>
      <c r="LEL79" s="12"/>
      <c r="LEM79" s="12"/>
      <c r="LEN79" s="12"/>
      <c r="LEO79" s="12"/>
      <c r="LEP79" s="12"/>
      <c r="LEQ79" s="12"/>
      <c r="LER79" s="12"/>
      <c r="LES79" s="12"/>
      <c r="LET79" s="12"/>
      <c r="LEU79" s="12"/>
      <c r="LEV79" s="12"/>
      <c r="LEW79" s="12"/>
      <c r="LEX79" s="12"/>
      <c r="LEY79" s="12"/>
      <c r="LEZ79" s="12"/>
      <c r="LFA79" s="12"/>
      <c r="LFB79" s="12"/>
      <c r="LFC79" s="12"/>
      <c r="LFD79" s="12"/>
      <c r="LFE79" s="12"/>
      <c r="LFF79" s="12"/>
      <c r="LFG79" s="12"/>
      <c r="LFH79" s="12"/>
      <c r="LFI79" s="12"/>
      <c r="LFJ79" s="12"/>
      <c r="LFK79" s="12"/>
      <c r="LFL79" s="12"/>
      <c r="LFM79" s="12"/>
      <c r="LFN79" s="12"/>
      <c r="LFO79" s="12"/>
      <c r="LFP79" s="12"/>
      <c r="LFQ79" s="12"/>
      <c r="LFR79" s="12"/>
      <c r="LFS79" s="12"/>
      <c r="LFT79" s="12"/>
      <c r="LFU79" s="12"/>
      <c r="LFV79" s="12"/>
      <c r="LFW79" s="12"/>
      <c r="LFX79" s="12"/>
      <c r="LFY79" s="12"/>
      <c r="LFZ79" s="12"/>
      <c r="LGA79" s="12"/>
      <c r="LGB79" s="12"/>
      <c r="LGC79" s="12"/>
      <c r="LGD79" s="12"/>
      <c r="LGE79" s="12"/>
      <c r="LGF79" s="12"/>
      <c r="LGG79" s="12"/>
      <c r="LGH79" s="12"/>
      <c r="LGI79" s="12"/>
      <c r="LGJ79" s="12"/>
      <c r="LGK79" s="12"/>
      <c r="LGL79" s="12"/>
      <c r="LGM79" s="12"/>
      <c r="LGN79" s="12"/>
      <c r="LGO79" s="12"/>
      <c r="LGP79" s="12"/>
      <c r="LGQ79" s="12"/>
      <c r="LGR79" s="12"/>
      <c r="LGS79" s="12"/>
      <c r="LGT79" s="12"/>
      <c r="LGU79" s="12"/>
      <c r="LGV79" s="12"/>
      <c r="LGW79" s="12"/>
      <c r="LGX79" s="12"/>
      <c r="LGY79" s="12"/>
      <c r="LGZ79" s="12"/>
      <c r="LHA79" s="12"/>
      <c r="LHB79" s="12"/>
      <c r="LHC79" s="12"/>
      <c r="LHD79" s="12"/>
      <c r="LHE79" s="12"/>
      <c r="LHF79" s="12"/>
      <c r="LHG79" s="12"/>
      <c r="LHH79" s="12"/>
      <c r="LHI79" s="12"/>
      <c r="LHJ79" s="12"/>
      <c r="LHK79" s="12"/>
      <c r="LHL79" s="12"/>
      <c r="LHM79" s="12"/>
      <c r="LHN79" s="12"/>
      <c r="LHO79" s="12"/>
      <c r="LHP79" s="12"/>
      <c r="LHQ79" s="12"/>
      <c r="LHR79" s="12"/>
      <c r="LHS79" s="12"/>
      <c r="LHT79" s="12"/>
      <c r="LHU79" s="12"/>
      <c r="LHV79" s="12"/>
      <c r="LHW79" s="12"/>
      <c r="LHX79" s="12"/>
      <c r="LHY79" s="12"/>
      <c r="LHZ79" s="12"/>
      <c r="LIA79" s="12"/>
      <c r="LIB79" s="12"/>
      <c r="LIC79" s="12"/>
      <c r="LID79" s="12"/>
      <c r="LIE79" s="12"/>
      <c r="LIF79" s="12"/>
      <c r="LIG79" s="12"/>
      <c r="LIH79" s="12"/>
      <c r="LII79" s="12"/>
      <c r="LIJ79" s="12"/>
      <c r="LIK79" s="12"/>
      <c r="LIL79" s="12"/>
      <c r="LIM79" s="12"/>
      <c r="LIN79" s="12"/>
      <c r="LIO79" s="12"/>
      <c r="LIP79" s="12"/>
      <c r="LIQ79" s="12"/>
      <c r="LIR79" s="12"/>
      <c r="LIS79" s="12"/>
      <c r="LIT79" s="12"/>
      <c r="LIU79" s="12"/>
      <c r="LIV79" s="12"/>
      <c r="LIW79" s="12"/>
      <c r="LIX79" s="12"/>
      <c r="LIY79" s="12"/>
      <c r="LIZ79" s="12"/>
      <c r="LJA79" s="12"/>
      <c r="LJB79" s="12"/>
      <c r="LJC79" s="12"/>
      <c r="LJD79" s="12"/>
      <c r="LJE79" s="12"/>
      <c r="LJF79" s="12"/>
      <c r="LJG79" s="12"/>
      <c r="LJH79" s="12"/>
      <c r="LJI79" s="12"/>
      <c r="LJJ79" s="12"/>
      <c r="LJK79" s="12"/>
      <c r="LJL79" s="12"/>
      <c r="LJM79" s="12"/>
      <c r="LJN79" s="12"/>
      <c r="LJO79" s="12"/>
      <c r="LJP79" s="12"/>
      <c r="LJQ79" s="12"/>
      <c r="LJR79" s="12"/>
      <c r="LJS79" s="12"/>
      <c r="LJT79" s="12"/>
      <c r="LJU79" s="12"/>
      <c r="LJV79" s="12"/>
      <c r="LJW79" s="12"/>
      <c r="LJX79" s="12"/>
      <c r="LJY79" s="12"/>
      <c r="LJZ79" s="12"/>
      <c r="LKA79" s="12"/>
      <c r="LKB79" s="12"/>
      <c r="LKC79" s="12"/>
      <c r="LKD79" s="12"/>
      <c r="LKE79" s="12"/>
      <c r="LKF79" s="12"/>
      <c r="LKG79" s="12"/>
      <c r="LKH79" s="12"/>
      <c r="LKI79" s="12"/>
      <c r="LKJ79" s="12"/>
      <c r="LKK79" s="12"/>
      <c r="LKL79" s="12"/>
      <c r="LKM79" s="12"/>
      <c r="LKN79" s="12"/>
      <c r="LKO79" s="12"/>
      <c r="LKP79" s="12"/>
      <c r="LKQ79" s="12"/>
      <c r="LKR79" s="12"/>
      <c r="LKS79" s="12"/>
      <c r="LKT79" s="12"/>
      <c r="LKU79" s="12"/>
      <c r="LKV79" s="12"/>
      <c r="LKW79" s="12"/>
      <c r="LKX79" s="12"/>
      <c r="LKY79" s="12"/>
      <c r="LKZ79" s="12"/>
      <c r="LLA79" s="12"/>
      <c r="LLB79" s="12"/>
      <c r="LLC79" s="12"/>
      <c r="LLD79" s="12"/>
      <c r="LLE79" s="12"/>
      <c r="LLF79" s="12"/>
      <c r="LLG79" s="12"/>
      <c r="LLH79" s="12"/>
      <c r="LLI79" s="12"/>
      <c r="LLJ79" s="12"/>
      <c r="LLK79" s="12"/>
      <c r="LLL79" s="12"/>
      <c r="LLM79" s="12"/>
      <c r="LLN79" s="12"/>
      <c r="LLO79" s="12"/>
      <c r="LLP79" s="12"/>
      <c r="LLQ79" s="12"/>
      <c r="LLR79" s="12"/>
      <c r="LLS79" s="12"/>
      <c r="LLT79" s="12"/>
      <c r="LLU79" s="12"/>
      <c r="LLV79" s="12"/>
      <c r="LLW79" s="12"/>
      <c r="LLX79" s="12"/>
      <c r="LLY79" s="12"/>
      <c r="LLZ79" s="12"/>
      <c r="LMA79" s="12"/>
      <c r="LMB79" s="12"/>
      <c r="LMC79" s="12"/>
      <c r="LMD79" s="12"/>
      <c r="LME79" s="12"/>
      <c r="LMF79" s="12"/>
      <c r="LMG79" s="12"/>
      <c r="LMH79" s="12"/>
      <c r="LMI79" s="12"/>
      <c r="LMJ79" s="12"/>
      <c r="LMK79" s="12"/>
      <c r="LML79" s="12"/>
      <c r="LMM79" s="12"/>
      <c r="LMN79" s="12"/>
      <c r="LMO79" s="12"/>
      <c r="LMP79" s="12"/>
      <c r="LMQ79" s="12"/>
      <c r="LMR79" s="12"/>
      <c r="LMS79" s="12"/>
      <c r="LMT79" s="12"/>
      <c r="LMU79" s="12"/>
      <c r="LMV79" s="12"/>
      <c r="LMW79" s="12"/>
      <c r="LMX79" s="12"/>
      <c r="LMY79" s="12"/>
      <c r="LMZ79" s="12"/>
      <c r="LNA79" s="12"/>
      <c r="LNB79" s="12"/>
      <c r="LNC79" s="12"/>
      <c r="LND79" s="12"/>
      <c r="LNE79" s="12"/>
      <c r="LNF79" s="12"/>
      <c r="LNG79" s="12"/>
      <c r="LNH79" s="12"/>
      <c r="LNI79" s="12"/>
      <c r="LNJ79" s="12"/>
      <c r="LNK79" s="12"/>
      <c r="LNL79" s="12"/>
      <c r="LNM79" s="12"/>
      <c r="LNN79" s="12"/>
      <c r="LNO79" s="12"/>
      <c r="LNP79" s="12"/>
      <c r="LNQ79" s="12"/>
      <c r="LNR79" s="12"/>
      <c r="LNS79" s="12"/>
      <c r="LNT79" s="12"/>
      <c r="LNU79" s="12"/>
      <c r="LNV79" s="12"/>
      <c r="LNW79" s="12"/>
      <c r="LNX79" s="12"/>
      <c r="LNY79" s="12"/>
      <c r="LNZ79" s="12"/>
      <c r="LOA79" s="12"/>
      <c r="LOB79" s="12"/>
      <c r="LOC79" s="12"/>
      <c r="LOD79" s="12"/>
      <c r="LOE79" s="12"/>
      <c r="LOF79" s="12"/>
      <c r="LOG79" s="12"/>
      <c r="LOH79" s="12"/>
      <c r="LOI79" s="12"/>
      <c r="LOJ79" s="12"/>
      <c r="LOK79" s="12"/>
      <c r="LOL79" s="12"/>
      <c r="LOM79" s="12"/>
      <c r="LON79" s="12"/>
      <c r="LOO79" s="12"/>
      <c r="LOP79" s="12"/>
      <c r="LOQ79" s="12"/>
      <c r="LOR79" s="12"/>
      <c r="LOS79" s="12"/>
      <c r="LOT79" s="12"/>
      <c r="LOU79" s="12"/>
      <c r="LOV79" s="12"/>
      <c r="LOW79" s="12"/>
      <c r="LOX79" s="12"/>
      <c r="LOY79" s="12"/>
      <c r="LOZ79" s="12"/>
      <c r="LPA79" s="12"/>
      <c r="LPB79" s="12"/>
      <c r="LPC79" s="12"/>
      <c r="LPD79" s="12"/>
      <c r="LPE79" s="12"/>
      <c r="LPF79" s="12"/>
      <c r="LPG79" s="12"/>
      <c r="LPH79" s="12"/>
      <c r="LPI79" s="12"/>
      <c r="LPJ79" s="12"/>
      <c r="LPK79" s="12"/>
      <c r="LPL79" s="12"/>
      <c r="LPM79" s="12"/>
      <c r="LPN79" s="12"/>
      <c r="LPO79" s="12"/>
      <c r="LPP79" s="12"/>
      <c r="LPQ79" s="12"/>
      <c r="LPR79" s="12"/>
      <c r="LPS79" s="12"/>
      <c r="LPT79" s="12"/>
      <c r="LPU79" s="12"/>
      <c r="LPV79" s="12"/>
      <c r="LPW79" s="12"/>
      <c r="LPX79" s="12"/>
      <c r="LPY79" s="12"/>
      <c r="LPZ79" s="12"/>
      <c r="LQA79" s="12"/>
      <c r="LQB79" s="12"/>
      <c r="LQC79" s="12"/>
      <c r="LQD79" s="12"/>
      <c r="LQE79" s="12"/>
      <c r="LQF79" s="12"/>
      <c r="LQG79" s="12"/>
      <c r="LQH79" s="12"/>
      <c r="LQI79" s="12"/>
      <c r="LQJ79" s="12"/>
      <c r="LQK79" s="12"/>
      <c r="LQL79" s="12"/>
      <c r="LQM79" s="12"/>
      <c r="LQN79" s="12"/>
      <c r="LQO79" s="12"/>
      <c r="LQP79" s="12"/>
      <c r="LQQ79" s="12"/>
      <c r="LQR79" s="12"/>
      <c r="LQS79" s="12"/>
      <c r="LQT79" s="12"/>
      <c r="LQU79" s="12"/>
      <c r="LQV79" s="12"/>
      <c r="LQW79" s="12"/>
      <c r="LQX79" s="12"/>
      <c r="LQY79" s="12"/>
      <c r="LQZ79" s="12"/>
      <c r="LRA79" s="12"/>
      <c r="LRB79" s="12"/>
      <c r="LRC79" s="12"/>
      <c r="LRD79" s="12"/>
      <c r="LRE79" s="12"/>
      <c r="LRF79" s="12"/>
      <c r="LRG79" s="12"/>
      <c r="LRH79" s="12"/>
      <c r="LRI79" s="12"/>
      <c r="LRJ79" s="12"/>
      <c r="LRK79" s="12"/>
      <c r="LRL79" s="12"/>
      <c r="LRM79" s="12"/>
      <c r="LRN79" s="12"/>
      <c r="LRO79" s="12"/>
      <c r="LRP79" s="12"/>
      <c r="LRQ79" s="12"/>
      <c r="LRR79" s="12"/>
      <c r="LRS79" s="12"/>
      <c r="LRT79" s="12"/>
      <c r="LRU79" s="12"/>
      <c r="LRV79" s="12"/>
      <c r="LRW79" s="12"/>
      <c r="LRX79" s="12"/>
      <c r="LRY79" s="12"/>
      <c r="LRZ79" s="12"/>
      <c r="LSA79" s="12"/>
      <c r="LSB79" s="12"/>
      <c r="LSC79" s="12"/>
      <c r="LSD79" s="12"/>
      <c r="LSE79" s="12"/>
      <c r="LSF79" s="12"/>
      <c r="LSG79" s="12"/>
      <c r="LSH79" s="12"/>
      <c r="LSI79" s="12"/>
      <c r="LSJ79" s="12"/>
      <c r="LSK79" s="12"/>
      <c r="LSL79" s="12"/>
      <c r="LSM79" s="12"/>
      <c r="LSN79" s="12"/>
      <c r="LSO79" s="12"/>
      <c r="LSP79" s="12"/>
      <c r="LSQ79" s="12"/>
      <c r="LSR79" s="12"/>
      <c r="LSS79" s="12"/>
      <c r="LST79" s="12"/>
      <c r="LSU79" s="12"/>
      <c r="LSV79" s="12"/>
      <c r="LSW79" s="12"/>
      <c r="LSX79" s="12"/>
      <c r="LSY79" s="12"/>
      <c r="LSZ79" s="12"/>
      <c r="LTA79" s="12"/>
      <c r="LTB79" s="12"/>
      <c r="LTC79" s="12"/>
      <c r="LTD79" s="12"/>
      <c r="LTE79" s="12"/>
      <c r="LTF79" s="12"/>
      <c r="LTG79" s="12"/>
      <c r="LTH79" s="12"/>
      <c r="LTI79" s="12"/>
      <c r="LTJ79" s="12"/>
      <c r="LTK79" s="12"/>
      <c r="LTL79" s="12"/>
      <c r="LTM79" s="12"/>
      <c r="LTN79" s="12"/>
      <c r="LTO79" s="12"/>
      <c r="LTP79" s="12"/>
      <c r="LTQ79" s="12"/>
      <c r="LTR79" s="12"/>
      <c r="LTS79" s="12"/>
      <c r="LTT79" s="12"/>
      <c r="LTU79" s="12"/>
      <c r="LTV79" s="12"/>
      <c r="LTW79" s="12"/>
      <c r="LTX79" s="12"/>
      <c r="LTY79" s="12"/>
      <c r="LTZ79" s="12"/>
      <c r="LUA79" s="12"/>
      <c r="LUB79" s="12"/>
      <c r="LUC79" s="12"/>
      <c r="LUD79" s="12"/>
      <c r="LUE79" s="12"/>
      <c r="LUF79" s="12"/>
      <c r="LUG79" s="12"/>
      <c r="LUH79" s="12"/>
      <c r="LUI79" s="12"/>
      <c r="LUJ79" s="12"/>
      <c r="LUK79" s="12"/>
      <c r="LUL79" s="12"/>
      <c r="LUM79" s="12"/>
      <c r="LUN79" s="12"/>
      <c r="LUO79" s="12"/>
      <c r="LUP79" s="12"/>
      <c r="LUQ79" s="12"/>
      <c r="LUR79" s="12"/>
      <c r="LUS79" s="12"/>
      <c r="LUT79" s="12"/>
      <c r="LUU79" s="12"/>
      <c r="LUV79" s="12"/>
      <c r="LUW79" s="12"/>
      <c r="LUX79" s="12"/>
      <c r="LUY79" s="12"/>
      <c r="LUZ79" s="12"/>
      <c r="LVA79" s="12"/>
      <c r="LVB79" s="12"/>
      <c r="LVC79" s="12"/>
      <c r="LVD79" s="12"/>
      <c r="LVE79" s="12"/>
      <c r="LVF79" s="12"/>
      <c r="LVG79" s="12"/>
      <c r="LVH79" s="12"/>
      <c r="LVI79" s="12"/>
      <c r="LVJ79" s="12"/>
      <c r="LVK79" s="12"/>
      <c r="LVL79" s="12"/>
      <c r="LVM79" s="12"/>
      <c r="LVN79" s="12"/>
      <c r="LVO79" s="12"/>
      <c r="LVP79" s="12"/>
      <c r="LVQ79" s="12"/>
      <c r="LVR79" s="12"/>
      <c r="LVS79" s="12"/>
      <c r="LVT79" s="12"/>
      <c r="LVU79" s="12"/>
      <c r="LVV79" s="12"/>
      <c r="LVW79" s="12"/>
      <c r="LVX79" s="12"/>
      <c r="LVY79" s="12"/>
      <c r="LVZ79" s="12"/>
      <c r="LWA79" s="12"/>
      <c r="LWB79" s="12"/>
      <c r="LWC79" s="12"/>
      <c r="LWD79" s="12"/>
      <c r="LWE79" s="12"/>
      <c r="LWF79" s="12"/>
      <c r="LWG79" s="12"/>
      <c r="LWH79" s="12"/>
      <c r="LWI79" s="12"/>
      <c r="LWJ79" s="12"/>
      <c r="LWK79" s="12"/>
      <c r="LWL79" s="12"/>
      <c r="LWM79" s="12"/>
      <c r="LWN79" s="12"/>
      <c r="LWO79" s="12"/>
      <c r="LWP79" s="12"/>
      <c r="LWQ79" s="12"/>
      <c r="LWR79" s="12"/>
      <c r="LWS79" s="12"/>
      <c r="LWT79" s="12"/>
      <c r="LWU79" s="12"/>
      <c r="LWV79" s="12"/>
      <c r="LWW79" s="12"/>
      <c r="LWX79" s="12"/>
      <c r="LWY79" s="12"/>
      <c r="LWZ79" s="12"/>
      <c r="LXA79" s="12"/>
      <c r="LXB79" s="12"/>
      <c r="LXC79" s="12"/>
      <c r="LXD79" s="12"/>
      <c r="LXE79" s="12"/>
      <c r="LXF79" s="12"/>
      <c r="LXG79" s="12"/>
      <c r="LXH79" s="12"/>
      <c r="LXI79" s="12"/>
      <c r="LXJ79" s="12"/>
      <c r="LXK79" s="12"/>
      <c r="LXL79" s="12"/>
      <c r="LXM79" s="12"/>
      <c r="LXN79" s="12"/>
      <c r="LXO79" s="12"/>
      <c r="LXP79" s="12"/>
      <c r="LXQ79" s="12"/>
      <c r="LXR79" s="12"/>
      <c r="LXS79" s="12"/>
      <c r="LXT79" s="12"/>
      <c r="LXU79" s="12"/>
      <c r="LXV79" s="12"/>
      <c r="LXW79" s="12"/>
      <c r="LXX79" s="12"/>
      <c r="LXY79" s="12"/>
      <c r="LXZ79" s="12"/>
      <c r="LYA79" s="12"/>
      <c r="LYB79" s="12"/>
      <c r="LYC79" s="12"/>
      <c r="LYD79" s="12"/>
      <c r="LYE79" s="12"/>
      <c r="LYF79" s="12"/>
      <c r="LYG79" s="12"/>
      <c r="LYH79" s="12"/>
      <c r="LYI79" s="12"/>
      <c r="LYJ79" s="12"/>
      <c r="LYK79" s="12"/>
      <c r="LYL79" s="12"/>
      <c r="LYM79" s="12"/>
      <c r="LYN79" s="12"/>
      <c r="LYO79" s="12"/>
      <c r="LYP79" s="12"/>
      <c r="LYQ79" s="12"/>
      <c r="LYR79" s="12"/>
      <c r="LYS79" s="12"/>
      <c r="LYT79" s="12"/>
      <c r="LYU79" s="12"/>
      <c r="LYV79" s="12"/>
      <c r="LYW79" s="12"/>
      <c r="LYX79" s="12"/>
      <c r="LYY79" s="12"/>
      <c r="LYZ79" s="12"/>
      <c r="LZA79" s="12"/>
      <c r="LZB79" s="12"/>
      <c r="LZC79" s="12"/>
      <c r="LZD79" s="12"/>
      <c r="LZE79" s="12"/>
      <c r="LZF79" s="12"/>
      <c r="LZG79" s="12"/>
      <c r="LZH79" s="12"/>
      <c r="LZI79" s="12"/>
      <c r="LZJ79" s="12"/>
      <c r="LZK79" s="12"/>
      <c r="LZL79" s="12"/>
      <c r="LZM79" s="12"/>
      <c r="LZN79" s="12"/>
      <c r="LZO79" s="12"/>
      <c r="LZP79" s="12"/>
      <c r="LZQ79" s="12"/>
      <c r="LZR79" s="12"/>
      <c r="LZS79" s="12"/>
      <c r="LZT79" s="12"/>
      <c r="LZU79" s="12"/>
      <c r="LZV79" s="12"/>
      <c r="LZW79" s="12"/>
      <c r="LZX79" s="12"/>
      <c r="LZY79" s="12"/>
      <c r="LZZ79" s="12"/>
      <c r="MAA79" s="12"/>
      <c r="MAB79" s="12"/>
      <c r="MAC79" s="12"/>
      <c r="MAD79" s="12"/>
      <c r="MAE79" s="12"/>
      <c r="MAF79" s="12"/>
      <c r="MAG79" s="12"/>
      <c r="MAH79" s="12"/>
      <c r="MAI79" s="12"/>
      <c r="MAJ79" s="12"/>
      <c r="MAK79" s="12"/>
      <c r="MAL79" s="12"/>
      <c r="MAM79" s="12"/>
      <c r="MAN79" s="12"/>
      <c r="MAO79" s="12"/>
      <c r="MAP79" s="12"/>
      <c r="MAQ79" s="12"/>
      <c r="MAR79" s="12"/>
      <c r="MAS79" s="12"/>
      <c r="MAT79" s="12"/>
      <c r="MAU79" s="12"/>
      <c r="MAV79" s="12"/>
      <c r="MAW79" s="12"/>
      <c r="MAX79" s="12"/>
      <c r="MAY79" s="12"/>
      <c r="MAZ79" s="12"/>
      <c r="MBA79" s="12"/>
      <c r="MBB79" s="12"/>
      <c r="MBC79" s="12"/>
      <c r="MBD79" s="12"/>
      <c r="MBE79" s="12"/>
      <c r="MBF79" s="12"/>
      <c r="MBG79" s="12"/>
      <c r="MBH79" s="12"/>
      <c r="MBI79" s="12"/>
      <c r="MBJ79" s="12"/>
      <c r="MBK79" s="12"/>
      <c r="MBL79" s="12"/>
      <c r="MBM79" s="12"/>
      <c r="MBN79" s="12"/>
      <c r="MBO79" s="12"/>
      <c r="MBP79" s="12"/>
      <c r="MBQ79" s="12"/>
      <c r="MBR79" s="12"/>
      <c r="MBS79" s="12"/>
      <c r="MBT79" s="12"/>
      <c r="MBU79" s="12"/>
      <c r="MBV79" s="12"/>
      <c r="MBW79" s="12"/>
      <c r="MBX79" s="12"/>
      <c r="MBY79" s="12"/>
      <c r="MBZ79" s="12"/>
      <c r="MCA79" s="12"/>
      <c r="MCB79" s="12"/>
      <c r="MCC79" s="12"/>
      <c r="MCD79" s="12"/>
      <c r="MCE79" s="12"/>
      <c r="MCF79" s="12"/>
      <c r="MCG79" s="12"/>
      <c r="MCH79" s="12"/>
      <c r="MCI79" s="12"/>
      <c r="MCJ79" s="12"/>
      <c r="MCK79" s="12"/>
      <c r="MCL79" s="12"/>
      <c r="MCM79" s="12"/>
      <c r="MCN79" s="12"/>
      <c r="MCO79" s="12"/>
      <c r="MCP79" s="12"/>
      <c r="MCQ79" s="12"/>
      <c r="MCR79" s="12"/>
      <c r="MCS79" s="12"/>
      <c r="MCT79" s="12"/>
      <c r="MCU79" s="12"/>
      <c r="MCV79" s="12"/>
      <c r="MCW79" s="12"/>
      <c r="MCX79" s="12"/>
      <c r="MCY79" s="12"/>
      <c r="MCZ79" s="12"/>
      <c r="MDA79" s="12"/>
      <c r="MDB79" s="12"/>
      <c r="MDC79" s="12"/>
      <c r="MDD79" s="12"/>
      <c r="MDE79" s="12"/>
      <c r="MDF79" s="12"/>
      <c r="MDG79" s="12"/>
      <c r="MDH79" s="12"/>
      <c r="MDI79" s="12"/>
      <c r="MDJ79" s="12"/>
      <c r="MDK79" s="12"/>
      <c r="MDL79" s="12"/>
      <c r="MDM79" s="12"/>
      <c r="MDN79" s="12"/>
      <c r="MDO79" s="12"/>
      <c r="MDP79" s="12"/>
      <c r="MDQ79" s="12"/>
      <c r="MDR79" s="12"/>
      <c r="MDS79" s="12"/>
      <c r="MDT79" s="12"/>
      <c r="MDU79" s="12"/>
      <c r="MDV79" s="12"/>
      <c r="MDW79" s="12"/>
      <c r="MDX79" s="12"/>
      <c r="MDY79" s="12"/>
      <c r="MDZ79" s="12"/>
      <c r="MEA79" s="12"/>
      <c r="MEB79" s="12"/>
      <c r="MEC79" s="12"/>
      <c r="MED79" s="12"/>
      <c r="MEE79" s="12"/>
      <c r="MEF79" s="12"/>
      <c r="MEG79" s="12"/>
      <c r="MEH79" s="12"/>
      <c r="MEI79" s="12"/>
      <c r="MEJ79" s="12"/>
      <c r="MEK79" s="12"/>
      <c r="MEL79" s="12"/>
      <c r="MEM79" s="12"/>
      <c r="MEN79" s="12"/>
      <c r="MEO79" s="12"/>
      <c r="MEP79" s="12"/>
      <c r="MEQ79" s="12"/>
      <c r="MER79" s="12"/>
      <c r="MES79" s="12"/>
      <c r="MET79" s="12"/>
      <c r="MEU79" s="12"/>
      <c r="MEV79" s="12"/>
      <c r="MEW79" s="12"/>
      <c r="MEX79" s="12"/>
      <c r="MEY79" s="12"/>
      <c r="MEZ79" s="12"/>
      <c r="MFA79" s="12"/>
      <c r="MFB79" s="12"/>
      <c r="MFC79" s="12"/>
      <c r="MFD79" s="12"/>
      <c r="MFE79" s="12"/>
      <c r="MFF79" s="12"/>
      <c r="MFG79" s="12"/>
      <c r="MFH79" s="12"/>
      <c r="MFI79" s="12"/>
      <c r="MFJ79" s="12"/>
      <c r="MFK79" s="12"/>
      <c r="MFL79" s="12"/>
      <c r="MFM79" s="12"/>
      <c r="MFN79" s="12"/>
      <c r="MFO79" s="12"/>
      <c r="MFP79" s="12"/>
      <c r="MFQ79" s="12"/>
      <c r="MFR79" s="12"/>
      <c r="MFS79" s="12"/>
      <c r="MFT79" s="12"/>
      <c r="MFU79" s="12"/>
      <c r="MFV79" s="12"/>
      <c r="MFW79" s="12"/>
      <c r="MFX79" s="12"/>
      <c r="MFY79" s="12"/>
      <c r="MFZ79" s="12"/>
      <c r="MGA79" s="12"/>
      <c r="MGB79" s="12"/>
      <c r="MGC79" s="12"/>
      <c r="MGD79" s="12"/>
      <c r="MGE79" s="12"/>
      <c r="MGF79" s="12"/>
      <c r="MGG79" s="12"/>
      <c r="MGH79" s="12"/>
      <c r="MGI79" s="12"/>
      <c r="MGJ79" s="12"/>
      <c r="MGK79" s="12"/>
      <c r="MGL79" s="12"/>
      <c r="MGM79" s="12"/>
      <c r="MGN79" s="12"/>
      <c r="MGO79" s="12"/>
      <c r="MGP79" s="12"/>
      <c r="MGQ79" s="12"/>
      <c r="MGR79" s="12"/>
      <c r="MGS79" s="12"/>
      <c r="MGT79" s="12"/>
      <c r="MGU79" s="12"/>
      <c r="MGV79" s="12"/>
      <c r="MGW79" s="12"/>
      <c r="MGX79" s="12"/>
      <c r="MGY79" s="12"/>
      <c r="MGZ79" s="12"/>
      <c r="MHA79" s="12"/>
      <c r="MHB79" s="12"/>
      <c r="MHC79" s="12"/>
      <c r="MHD79" s="12"/>
      <c r="MHE79" s="12"/>
      <c r="MHF79" s="12"/>
      <c r="MHG79" s="12"/>
      <c r="MHH79" s="12"/>
      <c r="MHI79" s="12"/>
      <c r="MHJ79" s="12"/>
      <c r="MHK79" s="12"/>
      <c r="MHL79" s="12"/>
      <c r="MHM79" s="12"/>
      <c r="MHN79" s="12"/>
      <c r="MHO79" s="12"/>
      <c r="MHP79" s="12"/>
      <c r="MHQ79" s="12"/>
      <c r="MHR79" s="12"/>
      <c r="MHS79" s="12"/>
      <c r="MHT79" s="12"/>
      <c r="MHU79" s="12"/>
      <c r="MHV79" s="12"/>
      <c r="MHW79" s="12"/>
      <c r="MHX79" s="12"/>
      <c r="MHY79" s="12"/>
      <c r="MHZ79" s="12"/>
      <c r="MIA79" s="12"/>
      <c r="MIB79" s="12"/>
      <c r="MIC79" s="12"/>
      <c r="MID79" s="12"/>
      <c r="MIE79" s="12"/>
      <c r="MIF79" s="12"/>
      <c r="MIG79" s="12"/>
      <c r="MIH79" s="12"/>
      <c r="MII79" s="12"/>
      <c r="MIJ79" s="12"/>
      <c r="MIK79" s="12"/>
      <c r="MIL79" s="12"/>
      <c r="MIM79" s="12"/>
      <c r="MIN79" s="12"/>
      <c r="MIO79" s="12"/>
      <c r="MIP79" s="12"/>
      <c r="MIQ79" s="12"/>
      <c r="MIR79" s="12"/>
      <c r="MIS79" s="12"/>
      <c r="MIT79" s="12"/>
      <c r="MIU79" s="12"/>
      <c r="MIV79" s="12"/>
      <c r="MIW79" s="12"/>
      <c r="MIX79" s="12"/>
      <c r="MIY79" s="12"/>
      <c r="MIZ79" s="12"/>
      <c r="MJA79" s="12"/>
      <c r="MJB79" s="12"/>
      <c r="MJC79" s="12"/>
      <c r="MJD79" s="12"/>
      <c r="MJE79" s="12"/>
      <c r="MJF79" s="12"/>
      <c r="MJG79" s="12"/>
      <c r="MJH79" s="12"/>
      <c r="MJI79" s="12"/>
      <c r="MJJ79" s="12"/>
      <c r="MJK79" s="12"/>
      <c r="MJL79" s="12"/>
      <c r="MJM79" s="12"/>
      <c r="MJN79" s="12"/>
      <c r="MJO79" s="12"/>
      <c r="MJP79" s="12"/>
      <c r="MJQ79" s="12"/>
      <c r="MJR79" s="12"/>
      <c r="MJS79" s="12"/>
      <c r="MJT79" s="12"/>
      <c r="MJU79" s="12"/>
      <c r="MJV79" s="12"/>
      <c r="MJW79" s="12"/>
      <c r="MJX79" s="12"/>
      <c r="MJY79" s="12"/>
      <c r="MJZ79" s="12"/>
      <c r="MKA79" s="12"/>
      <c r="MKB79" s="12"/>
      <c r="MKC79" s="12"/>
      <c r="MKD79" s="12"/>
      <c r="MKE79" s="12"/>
      <c r="MKF79" s="12"/>
      <c r="MKG79" s="12"/>
      <c r="MKH79" s="12"/>
      <c r="MKI79" s="12"/>
      <c r="MKJ79" s="12"/>
      <c r="MKK79" s="12"/>
      <c r="MKL79" s="12"/>
      <c r="MKM79" s="12"/>
      <c r="MKN79" s="12"/>
      <c r="MKO79" s="12"/>
      <c r="MKP79" s="12"/>
      <c r="MKQ79" s="12"/>
      <c r="MKR79" s="12"/>
      <c r="MKS79" s="12"/>
      <c r="MKT79" s="12"/>
      <c r="MKU79" s="12"/>
      <c r="MKV79" s="12"/>
      <c r="MKW79" s="12"/>
      <c r="MKX79" s="12"/>
      <c r="MKY79" s="12"/>
      <c r="MKZ79" s="12"/>
      <c r="MLA79" s="12"/>
      <c r="MLB79" s="12"/>
      <c r="MLC79" s="12"/>
      <c r="MLD79" s="12"/>
      <c r="MLE79" s="12"/>
      <c r="MLF79" s="12"/>
      <c r="MLG79" s="12"/>
      <c r="MLH79" s="12"/>
      <c r="MLI79" s="12"/>
      <c r="MLJ79" s="12"/>
      <c r="MLK79" s="12"/>
      <c r="MLL79" s="12"/>
      <c r="MLM79" s="12"/>
      <c r="MLN79" s="12"/>
      <c r="MLO79" s="12"/>
      <c r="MLP79" s="12"/>
      <c r="MLQ79" s="12"/>
      <c r="MLR79" s="12"/>
      <c r="MLS79" s="12"/>
      <c r="MLT79" s="12"/>
      <c r="MLU79" s="12"/>
      <c r="MLV79" s="12"/>
      <c r="MLW79" s="12"/>
      <c r="MLX79" s="12"/>
      <c r="MLY79" s="12"/>
      <c r="MLZ79" s="12"/>
      <c r="MMA79" s="12"/>
      <c r="MMB79" s="12"/>
      <c r="MMC79" s="12"/>
      <c r="MMD79" s="12"/>
      <c r="MME79" s="12"/>
      <c r="MMF79" s="12"/>
      <c r="MMG79" s="12"/>
      <c r="MMH79" s="12"/>
      <c r="MMI79" s="12"/>
      <c r="MMJ79" s="12"/>
      <c r="MMK79" s="12"/>
      <c r="MML79" s="12"/>
      <c r="MMM79" s="12"/>
      <c r="MMN79" s="12"/>
      <c r="MMO79" s="12"/>
      <c r="MMP79" s="12"/>
      <c r="MMQ79" s="12"/>
      <c r="MMR79" s="12"/>
      <c r="MMS79" s="12"/>
      <c r="MMT79" s="12"/>
      <c r="MMU79" s="12"/>
      <c r="MMV79" s="12"/>
      <c r="MMW79" s="12"/>
      <c r="MMX79" s="12"/>
      <c r="MMY79" s="12"/>
      <c r="MMZ79" s="12"/>
      <c r="MNA79" s="12"/>
      <c r="MNB79" s="12"/>
      <c r="MNC79" s="12"/>
      <c r="MND79" s="12"/>
      <c r="MNE79" s="12"/>
      <c r="MNF79" s="12"/>
      <c r="MNG79" s="12"/>
      <c r="MNH79" s="12"/>
      <c r="MNI79" s="12"/>
      <c r="MNJ79" s="12"/>
      <c r="MNK79" s="12"/>
      <c r="MNL79" s="12"/>
      <c r="MNM79" s="12"/>
      <c r="MNN79" s="12"/>
      <c r="MNO79" s="12"/>
      <c r="MNP79" s="12"/>
      <c r="MNQ79" s="12"/>
      <c r="MNR79" s="12"/>
      <c r="MNS79" s="12"/>
      <c r="MNT79" s="12"/>
      <c r="MNU79" s="12"/>
      <c r="MNV79" s="12"/>
      <c r="MNW79" s="12"/>
      <c r="MNX79" s="12"/>
      <c r="MNY79" s="12"/>
      <c r="MNZ79" s="12"/>
      <c r="MOA79" s="12"/>
      <c r="MOB79" s="12"/>
      <c r="MOC79" s="12"/>
      <c r="MOD79" s="12"/>
      <c r="MOE79" s="12"/>
      <c r="MOF79" s="12"/>
      <c r="MOG79" s="12"/>
      <c r="MOH79" s="12"/>
      <c r="MOI79" s="12"/>
      <c r="MOJ79" s="12"/>
      <c r="MOK79" s="12"/>
      <c r="MOL79" s="12"/>
      <c r="MOM79" s="12"/>
      <c r="MON79" s="12"/>
      <c r="MOO79" s="12"/>
      <c r="MOP79" s="12"/>
      <c r="MOQ79" s="12"/>
      <c r="MOR79" s="12"/>
      <c r="MOS79" s="12"/>
      <c r="MOT79" s="12"/>
      <c r="MOU79" s="12"/>
      <c r="MOV79" s="12"/>
      <c r="MOW79" s="12"/>
      <c r="MOX79" s="12"/>
      <c r="MOY79" s="12"/>
      <c r="MOZ79" s="12"/>
      <c r="MPA79" s="12"/>
      <c r="MPB79" s="12"/>
      <c r="MPC79" s="12"/>
      <c r="MPD79" s="12"/>
      <c r="MPE79" s="12"/>
      <c r="MPF79" s="12"/>
      <c r="MPG79" s="12"/>
      <c r="MPH79" s="12"/>
      <c r="MPI79" s="12"/>
      <c r="MPJ79" s="12"/>
      <c r="MPK79" s="12"/>
      <c r="MPL79" s="12"/>
      <c r="MPM79" s="12"/>
      <c r="MPN79" s="12"/>
      <c r="MPO79" s="12"/>
      <c r="MPP79" s="12"/>
      <c r="MPQ79" s="12"/>
      <c r="MPR79" s="12"/>
      <c r="MPS79" s="12"/>
      <c r="MPT79" s="12"/>
      <c r="MPU79" s="12"/>
      <c r="MPV79" s="12"/>
      <c r="MPW79" s="12"/>
      <c r="MPX79" s="12"/>
      <c r="MPY79" s="12"/>
      <c r="MPZ79" s="12"/>
      <c r="MQA79" s="12"/>
      <c r="MQB79" s="12"/>
      <c r="MQC79" s="12"/>
      <c r="MQD79" s="12"/>
      <c r="MQE79" s="12"/>
      <c r="MQF79" s="12"/>
      <c r="MQG79" s="12"/>
      <c r="MQH79" s="12"/>
      <c r="MQI79" s="12"/>
      <c r="MQJ79" s="12"/>
      <c r="MQK79" s="12"/>
      <c r="MQL79" s="12"/>
      <c r="MQM79" s="12"/>
      <c r="MQN79" s="12"/>
      <c r="MQO79" s="12"/>
      <c r="MQP79" s="12"/>
      <c r="MQQ79" s="12"/>
      <c r="MQR79" s="12"/>
      <c r="MQS79" s="12"/>
      <c r="MQT79" s="12"/>
      <c r="MQU79" s="12"/>
      <c r="MQV79" s="12"/>
      <c r="MQW79" s="12"/>
      <c r="MQX79" s="12"/>
      <c r="MQY79" s="12"/>
      <c r="MQZ79" s="12"/>
      <c r="MRA79" s="12"/>
      <c r="MRB79" s="12"/>
      <c r="MRC79" s="12"/>
      <c r="MRD79" s="12"/>
      <c r="MRE79" s="12"/>
      <c r="MRF79" s="12"/>
      <c r="MRG79" s="12"/>
      <c r="MRH79" s="12"/>
      <c r="MRI79" s="12"/>
      <c r="MRJ79" s="12"/>
      <c r="MRK79" s="12"/>
      <c r="MRL79" s="12"/>
      <c r="MRM79" s="12"/>
      <c r="MRN79" s="12"/>
      <c r="MRO79" s="12"/>
      <c r="MRP79" s="12"/>
      <c r="MRQ79" s="12"/>
      <c r="MRR79" s="12"/>
      <c r="MRS79" s="12"/>
      <c r="MRT79" s="12"/>
      <c r="MRU79" s="12"/>
      <c r="MRV79" s="12"/>
      <c r="MRW79" s="12"/>
      <c r="MRX79" s="12"/>
      <c r="MRY79" s="12"/>
      <c r="MRZ79" s="12"/>
      <c r="MSA79" s="12"/>
      <c r="MSB79" s="12"/>
      <c r="MSC79" s="12"/>
      <c r="MSD79" s="12"/>
      <c r="MSE79" s="12"/>
      <c r="MSF79" s="12"/>
      <c r="MSG79" s="12"/>
      <c r="MSH79" s="12"/>
      <c r="MSI79" s="12"/>
      <c r="MSJ79" s="12"/>
      <c r="MSK79" s="12"/>
      <c r="MSL79" s="12"/>
      <c r="MSM79" s="12"/>
      <c r="MSN79" s="12"/>
      <c r="MSO79" s="12"/>
      <c r="MSP79" s="12"/>
      <c r="MSQ79" s="12"/>
      <c r="MSR79" s="12"/>
      <c r="MSS79" s="12"/>
      <c r="MST79" s="12"/>
      <c r="MSU79" s="12"/>
      <c r="MSV79" s="12"/>
      <c r="MSW79" s="12"/>
      <c r="MSX79" s="12"/>
      <c r="MSY79" s="12"/>
      <c r="MSZ79" s="12"/>
      <c r="MTA79" s="12"/>
      <c r="MTB79" s="12"/>
      <c r="MTC79" s="12"/>
      <c r="MTD79" s="12"/>
      <c r="MTE79" s="12"/>
      <c r="MTF79" s="12"/>
      <c r="MTG79" s="12"/>
      <c r="MTH79" s="12"/>
      <c r="MTI79" s="12"/>
      <c r="MTJ79" s="12"/>
      <c r="MTK79" s="12"/>
      <c r="MTL79" s="12"/>
      <c r="MTM79" s="12"/>
      <c r="MTN79" s="12"/>
      <c r="MTO79" s="12"/>
      <c r="MTP79" s="12"/>
      <c r="MTQ79" s="12"/>
      <c r="MTR79" s="12"/>
      <c r="MTS79" s="12"/>
      <c r="MTT79" s="12"/>
      <c r="MTU79" s="12"/>
      <c r="MTV79" s="12"/>
      <c r="MTW79" s="12"/>
      <c r="MTX79" s="12"/>
      <c r="MTY79" s="12"/>
      <c r="MTZ79" s="12"/>
      <c r="MUA79" s="12"/>
      <c r="MUB79" s="12"/>
      <c r="MUC79" s="12"/>
      <c r="MUD79" s="12"/>
      <c r="MUE79" s="12"/>
      <c r="MUF79" s="12"/>
      <c r="MUG79" s="12"/>
      <c r="MUH79" s="12"/>
      <c r="MUI79" s="12"/>
      <c r="MUJ79" s="12"/>
      <c r="MUK79" s="12"/>
      <c r="MUL79" s="12"/>
      <c r="MUM79" s="12"/>
      <c r="MUN79" s="12"/>
      <c r="MUO79" s="12"/>
      <c r="MUP79" s="12"/>
      <c r="MUQ79" s="12"/>
      <c r="MUR79" s="12"/>
      <c r="MUS79" s="12"/>
      <c r="MUT79" s="12"/>
      <c r="MUU79" s="12"/>
      <c r="MUV79" s="12"/>
      <c r="MUW79" s="12"/>
      <c r="MUX79" s="12"/>
      <c r="MUY79" s="12"/>
      <c r="MUZ79" s="12"/>
      <c r="MVA79" s="12"/>
      <c r="MVB79" s="12"/>
      <c r="MVC79" s="12"/>
      <c r="MVD79" s="12"/>
      <c r="MVE79" s="12"/>
      <c r="MVF79" s="12"/>
      <c r="MVG79" s="12"/>
      <c r="MVH79" s="12"/>
      <c r="MVI79" s="12"/>
      <c r="MVJ79" s="12"/>
      <c r="MVK79" s="12"/>
      <c r="MVL79" s="12"/>
      <c r="MVM79" s="12"/>
      <c r="MVN79" s="12"/>
      <c r="MVO79" s="12"/>
      <c r="MVP79" s="12"/>
      <c r="MVQ79" s="12"/>
      <c r="MVR79" s="12"/>
      <c r="MVS79" s="12"/>
      <c r="MVT79" s="12"/>
      <c r="MVU79" s="12"/>
      <c r="MVV79" s="12"/>
      <c r="MVW79" s="12"/>
      <c r="MVX79" s="12"/>
      <c r="MVY79" s="12"/>
      <c r="MVZ79" s="12"/>
      <c r="MWA79" s="12"/>
      <c r="MWB79" s="12"/>
      <c r="MWC79" s="12"/>
      <c r="MWD79" s="12"/>
      <c r="MWE79" s="12"/>
      <c r="MWF79" s="12"/>
      <c r="MWG79" s="12"/>
      <c r="MWH79" s="12"/>
      <c r="MWI79" s="12"/>
      <c r="MWJ79" s="12"/>
      <c r="MWK79" s="12"/>
      <c r="MWL79" s="12"/>
      <c r="MWM79" s="12"/>
      <c r="MWN79" s="12"/>
      <c r="MWO79" s="12"/>
      <c r="MWP79" s="12"/>
      <c r="MWQ79" s="12"/>
      <c r="MWR79" s="12"/>
      <c r="MWS79" s="12"/>
      <c r="MWT79" s="12"/>
      <c r="MWU79" s="12"/>
      <c r="MWV79" s="12"/>
      <c r="MWW79" s="12"/>
      <c r="MWX79" s="12"/>
      <c r="MWY79" s="12"/>
      <c r="MWZ79" s="12"/>
      <c r="MXA79" s="12"/>
      <c r="MXB79" s="12"/>
      <c r="MXC79" s="12"/>
      <c r="MXD79" s="12"/>
      <c r="MXE79" s="12"/>
      <c r="MXF79" s="12"/>
      <c r="MXG79" s="12"/>
      <c r="MXH79" s="12"/>
      <c r="MXI79" s="12"/>
      <c r="MXJ79" s="12"/>
      <c r="MXK79" s="12"/>
      <c r="MXL79" s="12"/>
      <c r="MXM79" s="12"/>
      <c r="MXN79" s="12"/>
      <c r="MXO79" s="12"/>
      <c r="MXP79" s="12"/>
      <c r="MXQ79" s="12"/>
      <c r="MXR79" s="12"/>
      <c r="MXS79" s="12"/>
      <c r="MXT79" s="12"/>
      <c r="MXU79" s="12"/>
      <c r="MXV79" s="12"/>
      <c r="MXW79" s="12"/>
      <c r="MXX79" s="12"/>
      <c r="MXY79" s="12"/>
      <c r="MXZ79" s="12"/>
      <c r="MYA79" s="12"/>
      <c r="MYB79" s="12"/>
      <c r="MYC79" s="12"/>
      <c r="MYD79" s="12"/>
      <c r="MYE79" s="12"/>
      <c r="MYF79" s="12"/>
      <c r="MYG79" s="12"/>
      <c r="MYH79" s="12"/>
      <c r="MYI79" s="12"/>
      <c r="MYJ79" s="12"/>
      <c r="MYK79" s="12"/>
      <c r="MYL79" s="12"/>
      <c r="MYM79" s="12"/>
      <c r="MYN79" s="12"/>
      <c r="MYO79" s="12"/>
      <c r="MYP79" s="12"/>
      <c r="MYQ79" s="12"/>
      <c r="MYR79" s="12"/>
      <c r="MYS79" s="12"/>
      <c r="MYT79" s="12"/>
      <c r="MYU79" s="12"/>
      <c r="MYV79" s="12"/>
      <c r="MYW79" s="12"/>
      <c r="MYX79" s="12"/>
      <c r="MYY79" s="12"/>
      <c r="MYZ79" s="12"/>
      <c r="MZA79" s="12"/>
      <c r="MZB79" s="12"/>
      <c r="MZC79" s="12"/>
      <c r="MZD79" s="12"/>
      <c r="MZE79" s="12"/>
      <c r="MZF79" s="12"/>
      <c r="MZG79" s="12"/>
      <c r="MZH79" s="12"/>
      <c r="MZI79" s="12"/>
      <c r="MZJ79" s="12"/>
      <c r="MZK79" s="12"/>
      <c r="MZL79" s="12"/>
      <c r="MZM79" s="12"/>
      <c r="MZN79" s="12"/>
      <c r="MZO79" s="12"/>
      <c r="MZP79" s="12"/>
      <c r="MZQ79" s="12"/>
      <c r="MZR79" s="12"/>
      <c r="MZS79" s="12"/>
      <c r="MZT79" s="12"/>
      <c r="MZU79" s="12"/>
      <c r="MZV79" s="12"/>
      <c r="MZW79" s="12"/>
      <c r="MZX79" s="12"/>
      <c r="MZY79" s="12"/>
      <c r="MZZ79" s="12"/>
      <c r="NAA79" s="12"/>
      <c r="NAB79" s="12"/>
      <c r="NAC79" s="12"/>
      <c r="NAD79" s="12"/>
      <c r="NAE79" s="12"/>
      <c r="NAF79" s="12"/>
      <c r="NAG79" s="12"/>
      <c r="NAH79" s="12"/>
      <c r="NAI79" s="12"/>
      <c r="NAJ79" s="12"/>
      <c r="NAK79" s="12"/>
      <c r="NAL79" s="12"/>
      <c r="NAM79" s="12"/>
      <c r="NAN79" s="12"/>
      <c r="NAO79" s="12"/>
      <c r="NAP79" s="12"/>
      <c r="NAQ79" s="12"/>
      <c r="NAR79" s="12"/>
      <c r="NAS79" s="12"/>
      <c r="NAT79" s="12"/>
      <c r="NAU79" s="12"/>
      <c r="NAV79" s="12"/>
      <c r="NAW79" s="12"/>
      <c r="NAX79" s="12"/>
      <c r="NAY79" s="12"/>
      <c r="NAZ79" s="12"/>
      <c r="NBA79" s="12"/>
      <c r="NBB79" s="12"/>
      <c r="NBC79" s="12"/>
      <c r="NBD79" s="12"/>
      <c r="NBE79" s="12"/>
      <c r="NBF79" s="12"/>
      <c r="NBG79" s="12"/>
      <c r="NBH79" s="12"/>
      <c r="NBI79" s="12"/>
      <c r="NBJ79" s="12"/>
      <c r="NBK79" s="12"/>
      <c r="NBL79" s="12"/>
      <c r="NBM79" s="12"/>
      <c r="NBN79" s="12"/>
      <c r="NBO79" s="12"/>
      <c r="NBP79" s="12"/>
      <c r="NBQ79" s="12"/>
      <c r="NBR79" s="12"/>
      <c r="NBS79" s="12"/>
      <c r="NBT79" s="12"/>
      <c r="NBU79" s="12"/>
      <c r="NBV79" s="12"/>
      <c r="NBW79" s="12"/>
      <c r="NBX79" s="12"/>
      <c r="NBY79" s="12"/>
      <c r="NBZ79" s="12"/>
      <c r="NCA79" s="12"/>
      <c r="NCB79" s="12"/>
      <c r="NCC79" s="12"/>
      <c r="NCD79" s="12"/>
      <c r="NCE79" s="12"/>
      <c r="NCF79" s="12"/>
      <c r="NCG79" s="12"/>
      <c r="NCH79" s="12"/>
      <c r="NCI79" s="12"/>
      <c r="NCJ79" s="12"/>
      <c r="NCK79" s="12"/>
      <c r="NCL79" s="12"/>
      <c r="NCM79" s="12"/>
      <c r="NCN79" s="12"/>
      <c r="NCO79" s="12"/>
      <c r="NCP79" s="12"/>
      <c r="NCQ79" s="12"/>
      <c r="NCR79" s="12"/>
      <c r="NCS79" s="12"/>
      <c r="NCT79" s="12"/>
      <c r="NCU79" s="12"/>
      <c r="NCV79" s="12"/>
      <c r="NCW79" s="12"/>
      <c r="NCX79" s="12"/>
      <c r="NCY79" s="12"/>
      <c r="NCZ79" s="12"/>
      <c r="NDA79" s="12"/>
      <c r="NDB79" s="12"/>
      <c r="NDC79" s="12"/>
      <c r="NDD79" s="12"/>
      <c r="NDE79" s="12"/>
      <c r="NDF79" s="12"/>
      <c r="NDG79" s="12"/>
      <c r="NDH79" s="12"/>
      <c r="NDI79" s="12"/>
      <c r="NDJ79" s="12"/>
      <c r="NDK79" s="12"/>
      <c r="NDL79" s="12"/>
      <c r="NDM79" s="12"/>
      <c r="NDN79" s="12"/>
      <c r="NDO79" s="12"/>
      <c r="NDP79" s="12"/>
      <c r="NDQ79" s="12"/>
      <c r="NDR79" s="12"/>
      <c r="NDS79" s="12"/>
      <c r="NDT79" s="12"/>
      <c r="NDU79" s="12"/>
      <c r="NDV79" s="12"/>
      <c r="NDW79" s="12"/>
      <c r="NDX79" s="12"/>
      <c r="NDY79" s="12"/>
      <c r="NDZ79" s="12"/>
      <c r="NEA79" s="12"/>
      <c r="NEB79" s="12"/>
      <c r="NEC79" s="12"/>
      <c r="NED79" s="12"/>
      <c r="NEE79" s="12"/>
      <c r="NEF79" s="12"/>
      <c r="NEG79" s="12"/>
      <c r="NEH79" s="12"/>
      <c r="NEI79" s="12"/>
      <c r="NEJ79" s="12"/>
      <c r="NEK79" s="12"/>
      <c r="NEL79" s="12"/>
      <c r="NEM79" s="12"/>
      <c r="NEN79" s="12"/>
      <c r="NEO79" s="12"/>
      <c r="NEP79" s="12"/>
      <c r="NEQ79" s="12"/>
      <c r="NER79" s="12"/>
      <c r="NES79" s="12"/>
      <c r="NET79" s="12"/>
      <c r="NEU79" s="12"/>
      <c r="NEV79" s="12"/>
      <c r="NEW79" s="12"/>
      <c r="NEX79" s="12"/>
      <c r="NEY79" s="12"/>
      <c r="NEZ79" s="12"/>
      <c r="NFA79" s="12"/>
      <c r="NFB79" s="12"/>
      <c r="NFC79" s="12"/>
      <c r="NFD79" s="12"/>
      <c r="NFE79" s="12"/>
      <c r="NFF79" s="12"/>
      <c r="NFG79" s="12"/>
      <c r="NFH79" s="12"/>
      <c r="NFI79" s="12"/>
      <c r="NFJ79" s="12"/>
      <c r="NFK79" s="12"/>
      <c r="NFL79" s="12"/>
      <c r="NFM79" s="12"/>
      <c r="NFN79" s="12"/>
      <c r="NFO79" s="12"/>
      <c r="NFP79" s="12"/>
      <c r="NFQ79" s="12"/>
      <c r="NFR79" s="12"/>
      <c r="NFS79" s="12"/>
      <c r="NFT79" s="12"/>
      <c r="NFU79" s="12"/>
      <c r="NFV79" s="12"/>
      <c r="NFW79" s="12"/>
      <c r="NFX79" s="12"/>
      <c r="NFY79" s="12"/>
      <c r="NFZ79" s="12"/>
      <c r="NGA79" s="12"/>
      <c r="NGB79" s="12"/>
      <c r="NGC79" s="12"/>
      <c r="NGD79" s="12"/>
      <c r="NGE79" s="12"/>
      <c r="NGF79" s="12"/>
      <c r="NGG79" s="12"/>
      <c r="NGH79" s="12"/>
      <c r="NGI79" s="12"/>
      <c r="NGJ79" s="12"/>
      <c r="NGK79" s="12"/>
      <c r="NGL79" s="12"/>
      <c r="NGM79" s="12"/>
      <c r="NGN79" s="12"/>
      <c r="NGO79" s="12"/>
      <c r="NGP79" s="12"/>
      <c r="NGQ79" s="12"/>
      <c r="NGR79" s="12"/>
      <c r="NGS79" s="12"/>
      <c r="NGT79" s="12"/>
      <c r="NGU79" s="12"/>
      <c r="NGV79" s="12"/>
      <c r="NGW79" s="12"/>
      <c r="NGX79" s="12"/>
      <c r="NGY79" s="12"/>
      <c r="NGZ79" s="12"/>
      <c r="NHA79" s="12"/>
      <c r="NHB79" s="12"/>
      <c r="NHC79" s="12"/>
      <c r="NHD79" s="12"/>
      <c r="NHE79" s="12"/>
      <c r="NHF79" s="12"/>
      <c r="NHG79" s="12"/>
      <c r="NHH79" s="12"/>
      <c r="NHI79" s="12"/>
      <c r="NHJ79" s="12"/>
      <c r="NHK79" s="12"/>
      <c r="NHL79" s="12"/>
      <c r="NHM79" s="12"/>
      <c r="NHN79" s="12"/>
      <c r="NHO79" s="12"/>
      <c r="NHP79" s="12"/>
      <c r="NHQ79" s="12"/>
      <c r="NHR79" s="12"/>
      <c r="NHS79" s="12"/>
      <c r="NHT79" s="12"/>
      <c r="NHU79" s="12"/>
      <c r="NHV79" s="12"/>
      <c r="NHW79" s="12"/>
      <c r="NHX79" s="12"/>
      <c r="NHY79" s="12"/>
      <c r="NHZ79" s="12"/>
      <c r="NIA79" s="12"/>
      <c r="NIB79" s="12"/>
      <c r="NIC79" s="12"/>
      <c r="NID79" s="12"/>
      <c r="NIE79" s="12"/>
      <c r="NIF79" s="12"/>
      <c r="NIG79" s="12"/>
      <c r="NIH79" s="12"/>
      <c r="NII79" s="12"/>
      <c r="NIJ79" s="12"/>
      <c r="NIK79" s="12"/>
      <c r="NIL79" s="12"/>
      <c r="NIM79" s="12"/>
      <c r="NIN79" s="12"/>
      <c r="NIO79" s="12"/>
      <c r="NIP79" s="12"/>
      <c r="NIQ79" s="12"/>
      <c r="NIR79" s="12"/>
      <c r="NIS79" s="12"/>
      <c r="NIT79" s="12"/>
      <c r="NIU79" s="12"/>
      <c r="NIV79" s="12"/>
      <c r="NIW79" s="12"/>
      <c r="NIX79" s="12"/>
      <c r="NIY79" s="12"/>
      <c r="NIZ79" s="12"/>
      <c r="NJA79" s="12"/>
      <c r="NJB79" s="12"/>
      <c r="NJC79" s="12"/>
      <c r="NJD79" s="12"/>
      <c r="NJE79" s="12"/>
      <c r="NJF79" s="12"/>
      <c r="NJG79" s="12"/>
      <c r="NJH79" s="12"/>
      <c r="NJI79" s="12"/>
      <c r="NJJ79" s="12"/>
      <c r="NJK79" s="12"/>
      <c r="NJL79" s="12"/>
      <c r="NJM79" s="12"/>
      <c r="NJN79" s="12"/>
      <c r="NJO79" s="12"/>
      <c r="NJP79" s="12"/>
      <c r="NJQ79" s="12"/>
      <c r="NJR79" s="12"/>
      <c r="NJS79" s="12"/>
      <c r="NJT79" s="12"/>
      <c r="NJU79" s="12"/>
      <c r="NJV79" s="12"/>
      <c r="NJW79" s="12"/>
      <c r="NJX79" s="12"/>
      <c r="NJY79" s="12"/>
      <c r="NJZ79" s="12"/>
      <c r="NKA79" s="12"/>
      <c r="NKB79" s="12"/>
      <c r="NKC79" s="12"/>
      <c r="NKD79" s="12"/>
      <c r="NKE79" s="12"/>
      <c r="NKF79" s="12"/>
      <c r="NKG79" s="12"/>
      <c r="NKH79" s="12"/>
      <c r="NKI79" s="12"/>
      <c r="NKJ79" s="12"/>
      <c r="NKK79" s="12"/>
      <c r="NKL79" s="12"/>
      <c r="NKM79" s="12"/>
      <c r="NKN79" s="12"/>
      <c r="NKO79" s="12"/>
      <c r="NKP79" s="12"/>
      <c r="NKQ79" s="12"/>
      <c r="NKR79" s="12"/>
      <c r="NKS79" s="12"/>
      <c r="NKT79" s="12"/>
      <c r="NKU79" s="12"/>
      <c r="NKV79" s="12"/>
      <c r="NKW79" s="12"/>
      <c r="NKX79" s="12"/>
      <c r="NKY79" s="12"/>
      <c r="NKZ79" s="12"/>
      <c r="NLA79" s="12"/>
      <c r="NLB79" s="12"/>
      <c r="NLC79" s="12"/>
      <c r="NLD79" s="12"/>
      <c r="NLE79" s="12"/>
      <c r="NLF79" s="12"/>
      <c r="NLG79" s="12"/>
      <c r="NLH79" s="12"/>
      <c r="NLI79" s="12"/>
      <c r="NLJ79" s="12"/>
      <c r="NLK79" s="12"/>
      <c r="NLL79" s="12"/>
      <c r="NLM79" s="12"/>
      <c r="NLN79" s="12"/>
      <c r="NLO79" s="12"/>
      <c r="NLP79" s="12"/>
      <c r="NLQ79" s="12"/>
      <c r="NLR79" s="12"/>
      <c r="NLS79" s="12"/>
      <c r="NLT79" s="12"/>
      <c r="NLU79" s="12"/>
      <c r="NLV79" s="12"/>
      <c r="NLW79" s="12"/>
      <c r="NLX79" s="12"/>
      <c r="NLY79" s="12"/>
      <c r="NLZ79" s="12"/>
      <c r="NMA79" s="12"/>
      <c r="NMB79" s="12"/>
      <c r="NMC79" s="12"/>
      <c r="NMD79" s="12"/>
      <c r="NME79" s="12"/>
      <c r="NMF79" s="12"/>
      <c r="NMG79" s="12"/>
      <c r="NMH79" s="12"/>
      <c r="NMI79" s="12"/>
      <c r="NMJ79" s="12"/>
      <c r="NMK79" s="12"/>
      <c r="NML79" s="12"/>
      <c r="NMM79" s="12"/>
      <c r="NMN79" s="12"/>
      <c r="NMO79" s="12"/>
      <c r="NMP79" s="12"/>
      <c r="NMQ79" s="12"/>
      <c r="NMR79" s="12"/>
      <c r="NMS79" s="12"/>
      <c r="NMT79" s="12"/>
      <c r="NMU79" s="12"/>
      <c r="NMV79" s="12"/>
      <c r="NMW79" s="12"/>
      <c r="NMX79" s="12"/>
      <c r="NMY79" s="12"/>
      <c r="NMZ79" s="12"/>
      <c r="NNA79" s="12"/>
      <c r="NNB79" s="12"/>
      <c r="NNC79" s="12"/>
      <c r="NND79" s="12"/>
      <c r="NNE79" s="12"/>
      <c r="NNF79" s="12"/>
      <c r="NNG79" s="12"/>
      <c r="NNH79" s="12"/>
      <c r="NNI79" s="12"/>
      <c r="NNJ79" s="12"/>
      <c r="NNK79" s="12"/>
      <c r="NNL79" s="12"/>
      <c r="NNM79" s="12"/>
      <c r="NNN79" s="12"/>
      <c r="NNO79" s="12"/>
      <c r="NNP79" s="12"/>
      <c r="NNQ79" s="12"/>
      <c r="NNR79" s="12"/>
      <c r="NNS79" s="12"/>
      <c r="NNT79" s="12"/>
      <c r="NNU79" s="12"/>
      <c r="NNV79" s="12"/>
      <c r="NNW79" s="12"/>
      <c r="NNX79" s="12"/>
      <c r="NNY79" s="12"/>
      <c r="NNZ79" s="12"/>
      <c r="NOA79" s="12"/>
      <c r="NOB79" s="12"/>
      <c r="NOC79" s="12"/>
      <c r="NOD79" s="12"/>
      <c r="NOE79" s="12"/>
      <c r="NOF79" s="12"/>
      <c r="NOG79" s="12"/>
      <c r="NOH79" s="12"/>
      <c r="NOI79" s="12"/>
      <c r="NOJ79" s="12"/>
      <c r="NOK79" s="12"/>
      <c r="NOL79" s="12"/>
      <c r="NOM79" s="12"/>
      <c r="NON79" s="12"/>
      <c r="NOO79" s="12"/>
      <c r="NOP79" s="12"/>
      <c r="NOQ79" s="12"/>
      <c r="NOR79" s="12"/>
      <c r="NOS79" s="12"/>
      <c r="NOT79" s="12"/>
      <c r="NOU79" s="12"/>
      <c r="NOV79" s="12"/>
      <c r="NOW79" s="12"/>
      <c r="NOX79" s="12"/>
      <c r="NOY79" s="12"/>
      <c r="NOZ79" s="12"/>
      <c r="NPA79" s="12"/>
      <c r="NPB79" s="12"/>
      <c r="NPC79" s="12"/>
      <c r="NPD79" s="12"/>
      <c r="NPE79" s="12"/>
      <c r="NPF79" s="12"/>
      <c r="NPG79" s="12"/>
      <c r="NPH79" s="12"/>
      <c r="NPI79" s="12"/>
      <c r="NPJ79" s="12"/>
      <c r="NPK79" s="12"/>
      <c r="NPL79" s="12"/>
      <c r="NPM79" s="12"/>
      <c r="NPN79" s="12"/>
      <c r="NPO79" s="12"/>
      <c r="NPP79" s="12"/>
      <c r="NPQ79" s="12"/>
      <c r="NPR79" s="12"/>
      <c r="NPS79" s="12"/>
      <c r="NPT79" s="12"/>
      <c r="NPU79" s="12"/>
      <c r="NPV79" s="12"/>
      <c r="NPW79" s="12"/>
      <c r="NPX79" s="12"/>
      <c r="NPY79" s="12"/>
      <c r="NPZ79" s="12"/>
      <c r="NQA79" s="12"/>
      <c r="NQB79" s="12"/>
      <c r="NQC79" s="12"/>
      <c r="NQD79" s="12"/>
      <c r="NQE79" s="12"/>
      <c r="NQF79" s="12"/>
      <c r="NQG79" s="12"/>
      <c r="NQH79" s="12"/>
      <c r="NQI79" s="12"/>
      <c r="NQJ79" s="12"/>
      <c r="NQK79" s="12"/>
      <c r="NQL79" s="12"/>
      <c r="NQM79" s="12"/>
      <c r="NQN79" s="12"/>
      <c r="NQO79" s="12"/>
      <c r="NQP79" s="12"/>
      <c r="NQQ79" s="12"/>
      <c r="NQR79" s="12"/>
      <c r="NQS79" s="12"/>
      <c r="NQT79" s="12"/>
      <c r="NQU79" s="12"/>
      <c r="NQV79" s="12"/>
      <c r="NQW79" s="12"/>
      <c r="NQX79" s="12"/>
      <c r="NQY79" s="12"/>
      <c r="NQZ79" s="12"/>
      <c r="NRA79" s="12"/>
      <c r="NRB79" s="12"/>
      <c r="NRC79" s="12"/>
      <c r="NRD79" s="12"/>
      <c r="NRE79" s="12"/>
      <c r="NRF79" s="12"/>
      <c r="NRG79" s="12"/>
      <c r="NRH79" s="12"/>
      <c r="NRI79" s="12"/>
      <c r="NRJ79" s="12"/>
      <c r="NRK79" s="12"/>
      <c r="NRL79" s="12"/>
      <c r="NRM79" s="12"/>
      <c r="NRN79" s="12"/>
      <c r="NRO79" s="12"/>
      <c r="NRP79" s="12"/>
      <c r="NRQ79" s="12"/>
      <c r="NRR79" s="12"/>
      <c r="NRS79" s="12"/>
      <c r="NRT79" s="12"/>
      <c r="NRU79" s="12"/>
      <c r="NRV79" s="12"/>
      <c r="NRW79" s="12"/>
      <c r="NRX79" s="12"/>
      <c r="NRY79" s="12"/>
      <c r="NRZ79" s="12"/>
      <c r="NSA79" s="12"/>
      <c r="NSB79" s="12"/>
      <c r="NSC79" s="12"/>
      <c r="NSD79" s="12"/>
      <c r="NSE79" s="12"/>
      <c r="NSF79" s="12"/>
      <c r="NSG79" s="12"/>
      <c r="NSH79" s="12"/>
      <c r="NSI79" s="12"/>
      <c r="NSJ79" s="12"/>
      <c r="NSK79" s="12"/>
      <c r="NSL79" s="12"/>
      <c r="NSM79" s="12"/>
      <c r="NSN79" s="12"/>
      <c r="NSO79" s="12"/>
      <c r="NSP79" s="12"/>
      <c r="NSQ79" s="12"/>
      <c r="NSR79" s="12"/>
      <c r="NSS79" s="12"/>
      <c r="NST79" s="12"/>
      <c r="NSU79" s="12"/>
      <c r="NSV79" s="12"/>
      <c r="NSW79" s="12"/>
      <c r="NSX79" s="12"/>
      <c r="NSY79" s="12"/>
      <c r="NSZ79" s="12"/>
      <c r="NTA79" s="12"/>
      <c r="NTB79" s="12"/>
      <c r="NTC79" s="12"/>
      <c r="NTD79" s="12"/>
      <c r="NTE79" s="12"/>
      <c r="NTF79" s="12"/>
      <c r="NTG79" s="12"/>
      <c r="NTH79" s="12"/>
      <c r="NTI79" s="12"/>
      <c r="NTJ79" s="12"/>
      <c r="NTK79" s="12"/>
      <c r="NTL79" s="12"/>
      <c r="NTM79" s="12"/>
      <c r="NTN79" s="12"/>
      <c r="NTO79" s="12"/>
      <c r="NTP79" s="12"/>
      <c r="NTQ79" s="12"/>
      <c r="NTR79" s="12"/>
      <c r="NTS79" s="12"/>
      <c r="NTT79" s="12"/>
      <c r="NTU79" s="12"/>
      <c r="NTV79" s="12"/>
      <c r="NTW79" s="12"/>
      <c r="NTX79" s="12"/>
      <c r="NTY79" s="12"/>
      <c r="NTZ79" s="12"/>
      <c r="NUA79" s="12"/>
      <c r="NUB79" s="12"/>
      <c r="NUC79" s="12"/>
      <c r="NUD79" s="12"/>
      <c r="NUE79" s="12"/>
      <c r="NUF79" s="12"/>
      <c r="NUG79" s="12"/>
      <c r="NUH79" s="12"/>
      <c r="NUI79" s="12"/>
      <c r="NUJ79" s="12"/>
      <c r="NUK79" s="12"/>
      <c r="NUL79" s="12"/>
      <c r="NUM79" s="12"/>
      <c r="NUN79" s="12"/>
      <c r="NUO79" s="12"/>
      <c r="NUP79" s="12"/>
      <c r="NUQ79" s="12"/>
      <c r="NUR79" s="12"/>
      <c r="NUS79" s="12"/>
      <c r="NUT79" s="12"/>
      <c r="NUU79" s="12"/>
      <c r="NUV79" s="12"/>
      <c r="NUW79" s="12"/>
      <c r="NUX79" s="12"/>
      <c r="NUY79" s="12"/>
      <c r="NUZ79" s="12"/>
      <c r="NVA79" s="12"/>
      <c r="NVB79" s="12"/>
      <c r="NVC79" s="12"/>
      <c r="NVD79" s="12"/>
      <c r="NVE79" s="12"/>
      <c r="NVF79" s="12"/>
      <c r="NVG79" s="12"/>
      <c r="NVH79" s="12"/>
      <c r="NVI79" s="12"/>
      <c r="NVJ79" s="12"/>
      <c r="NVK79" s="12"/>
      <c r="NVL79" s="12"/>
      <c r="NVM79" s="12"/>
      <c r="NVN79" s="12"/>
      <c r="NVO79" s="12"/>
      <c r="NVP79" s="12"/>
      <c r="NVQ79" s="12"/>
      <c r="NVR79" s="12"/>
      <c r="NVS79" s="12"/>
      <c r="NVT79" s="12"/>
      <c r="NVU79" s="12"/>
      <c r="NVV79" s="12"/>
      <c r="NVW79" s="12"/>
      <c r="NVX79" s="12"/>
      <c r="NVY79" s="12"/>
      <c r="NVZ79" s="12"/>
      <c r="NWA79" s="12"/>
      <c r="NWB79" s="12"/>
      <c r="NWC79" s="12"/>
      <c r="NWD79" s="12"/>
      <c r="NWE79" s="12"/>
      <c r="NWF79" s="12"/>
      <c r="NWG79" s="12"/>
      <c r="NWH79" s="12"/>
      <c r="NWI79" s="12"/>
      <c r="NWJ79" s="12"/>
      <c r="NWK79" s="12"/>
      <c r="NWL79" s="12"/>
      <c r="NWM79" s="12"/>
      <c r="NWN79" s="12"/>
      <c r="NWO79" s="12"/>
      <c r="NWP79" s="12"/>
      <c r="NWQ79" s="12"/>
      <c r="NWR79" s="12"/>
      <c r="NWS79" s="12"/>
      <c r="NWT79" s="12"/>
      <c r="NWU79" s="12"/>
      <c r="NWV79" s="12"/>
      <c r="NWW79" s="12"/>
      <c r="NWX79" s="12"/>
      <c r="NWY79" s="12"/>
      <c r="NWZ79" s="12"/>
      <c r="NXA79" s="12"/>
      <c r="NXB79" s="12"/>
      <c r="NXC79" s="12"/>
      <c r="NXD79" s="12"/>
      <c r="NXE79" s="12"/>
      <c r="NXF79" s="12"/>
      <c r="NXG79" s="12"/>
      <c r="NXH79" s="12"/>
      <c r="NXI79" s="12"/>
      <c r="NXJ79" s="12"/>
      <c r="NXK79" s="12"/>
      <c r="NXL79" s="12"/>
      <c r="NXM79" s="12"/>
      <c r="NXN79" s="12"/>
      <c r="NXO79" s="12"/>
      <c r="NXP79" s="12"/>
      <c r="NXQ79" s="12"/>
      <c r="NXR79" s="12"/>
      <c r="NXS79" s="12"/>
      <c r="NXT79" s="12"/>
      <c r="NXU79" s="12"/>
      <c r="NXV79" s="12"/>
      <c r="NXW79" s="12"/>
      <c r="NXX79" s="12"/>
      <c r="NXY79" s="12"/>
      <c r="NXZ79" s="12"/>
      <c r="NYA79" s="12"/>
      <c r="NYB79" s="12"/>
      <c r="NYC79" s="12"/>
      <c r="NYD79" s="12"/>
      <c r="NYE79" s="12"/>
      <c r="NYF79" s="12"/>
      <c r="NYG79" s="12"/>
      <c r="NYH79" s="12"/>
      <c r="NYI79" s="12"/>
      <c r="NYJ79" s="12"/>
      <c r="NYK79" s="12"/>
      <c r="NYL79" s="12"/>
      <c r="NYM79" s="12"/>
      <c r="NYN79" s="12"/>
      <c r="NYO79" s="12"/>
      <c r="NYP79" s="12"/>
      <c r="NYQ79" s="12"/>
      <c r="NYR79" s="12"/>
      <c r="NYS79" s="12"/>
      <c r="NYT79" s="12"/>
      <c r="NYU79" s="12"/>
      <c r="NYV79" s="12"/>
      <c r="NYW79" s="12"/>
      <c r="NYX79" s="12"/>
      <c r="NYY79" s="12"/>
      <c r="NYZ79" s="12"/>
      <c r="NZA79" s="12"/>
      <c r="NZB79" s="12"/>
      <c r="NZC79" s="12"/>
      <c r="NZD79" s="12"/>
      <c r="NZE79" s="12"/>
      <c r="NZF79" s="12"/>
      <c r="NZG79" s="12"/>
      <c r="NZH79" s="12"/>
      <c r="NZI79" s="12"/>
      <c r="NZJ79" s="12"/>
      <c r="NZK79" s="12"/>
      <c r="NZL79" s="12"/>
      <c r="NZM79" s="12"/>
      <c r="NZN79" s="12"/>
      <c r="NZO79" s="12"/>
      <c r="NZP79" s="12"/>
      <c r="NZQ79" s="12"/>
      <c r="NZR79" s="12"/>
      <c r="NZS79" s="12"/>
      <c r="NZT79" s="12"/>
      <c r="NZU79" s="12"/>
      <c r="NZV79" s="12"/>
      <c r="NZW79" s="12"/>
      <c r="NZX79" s="12"/>
      <c r="NZY79" s="12"/>
      <c r="NZZ79" s="12"/>
      <c r="OAA79" s="12"/>
      <c r="OAB79" s="12"/>
      <c r="OAC79" s="12"/>
      <c r="OAD79" s="12"/>
      <c r="OAE79" s="12"/>
      <c r="OAF79" s="12"/>
      <c r="OAG79" s="12"/>
      <c r="OAH79" s="12"/>
      <c r="OAI79" s="12"/>
      <c r="OAJ79" s="12"/>
      <c r="OAK79" s="12"/>
      <c r="OAL79" s="12"/>
      <c r="OAM79" s="12"/>
      <c r="OAN79" s="12"/>
      <c r="OAO79" s="12"/>
      <c r="OAP79" s="12"/>
      <c r="OAQ79" s="12"/>
      <c r="OAR79" s="12"/>
      <c r="OAS79" s="12"/>
      <c r="OAT79" s="12"/>
      <c r="OAU79" s="12"/>
      <c r="OAV79" s="12"/>
      <c r="OAW79" s="12"/>
      <c r="OAX79" s="12"/>
      <c r="OAY79" s="12"/>
      <c r="OAZ79" s="12"/>
      <c r="OBA79" s="12"/>
      <c r="OBB79" s="12"/>
      <c r="OBC79" s="12"/>
      <c r="OBD79" s="12"/>
      <c r="OBE79" s="12"/>
      <c r="OBF79" s="12"/>
      <c r="OBG79" s="12"/>
      <c r="OBH79" s="12"/>
      <c r="OBI79" s="12"/>
      <c r="OBJ79" s="12"/>
      <c r="OBK79" s="12"/>
      <c r="OBL79" s="12"/>
      <c r="OBM79" s="12"/>
      <c r="OBN79" s="12"/>
      <c r="OBO79" s="12"/>
      <c r="OBP79" s="12"/>
      <c r="OBQ79" s="12"/>
      <c r="OBR79" s="12"/>
      <c r="OBS79" s="12"/>
      <c r="OBT79" s="12"/>
      <c r="OBU79" s="12"/>
      <c r="OBV79" s="12"/>
      <c r="OBW79" s="12"/>
      <c r="OBX79" s="12"/>
      <c r="OBY79" s="12"/>
      <c r="OBZ79" s="12"/>
      <c r="OCA79" s="12"/>
      <c r="OCB79" s="12"/>
      <c r="OCC79" s="12"/>
      <c r="OCD79" s="12"/>
      <c r="OCE79" s="12"/>
      <c r="OCF79" s="12"/>
      <c r="OCG79" s="12"/>
      <c r="OCH79" s="12"/>
      <c r="OCI79" s="12"/>
      <c r="OCJ79" s="12"/>
      <c r="OCK79" s="12"/>
      <c r="OCL79" s="12"/>
      <c r="OCM79" s="12"/>
      <c r="OCN79" s="12"/>
      <c r="OCO79" s="12"/>
      <c r="OCP79" s="12"/>
      <c r="OCQ79" s="12"/>
      <c r="OCR79" s="12"/>
      <c r="OCS79" s="12"/>
      <c r="OCT79" s="12"/>
      <c r="OCU79" s="12"/>
      <c r="OCV79" s="12"/>
      <c r="OCW79" s="12"/>
      <c r="OCX79" s="12"/>
      <c r="OCY79" s="12"/>
      <c r="OCZ79" s="12"/>
      <c r="ODA79" s="12"/>
      <c r="ODB79" s="12"/>
      <c r="ODC79" s="12"/>
      <c r="ODD79" s="12"/>
      <c r="ODE79" s="12"/>
      <c r="ODF79" s="12"/>
      <c r="ODG79" s="12"/>
      <c r="ODH79" s="12"/>
      <c r="ODI79" s="12"/>
      <c r="ODJ79" s="12"/>
      <c r="ODK79" s="12"/>
      <c r="ODL79" s="12"/>
      <c r="ODM79" s="12"/>
      <c r="ODN79" s="12"/>
      <c r="ODO79" s="12"/>
      <c r="ODP79" s="12"/>
      <c r="ODQ79" s="12"/>
      <c r="ODR79" s="12"/>
      <c r="ODS79" s="12"/>
      <c r="ODT79" s="12"/>
      <c r="ODU79" s="12"/>
      <c r="ODV79" s="12"/>
      <c r="ODW79" s="12"/>
      <c r="ODX79" s="12"/>
      <c r="ODY79" s="12"/>
      <c r="ODZ79" s="12"/>
      <c r="OEA79" s="12"/>
      <c r="OEB79" s="12"/>
      <c r="OEC79" s="12"/>
      <c r="OED79" s="12"/>
      <c r="OEE79" s="12"/>
      <c r="OEF79" s="12"/>
      <c r="OEG79" s="12"/>
      <c r="OEH79" s="12"/>
      <c r="OEI79" s="12"/>
      <c r="OEJ79" s="12"/>
      <c r="OEK79" s="12"/>
      <c r="OEL79" s="12"/>
      <c r="OEM79" s="12"/>
      <c r="OEN79" s="12"/>
      <c r="OEO79" s="12"/>
      <c r="OEP79" s="12"/>
      <c r="OEQ79" s="12"/>
      <c r="OER79" s="12"/>
      <c r="OES79" s="12"/>
      <c r="OET79" s="12"/>
      <c r="OEU79" s="12"/>
      <c r="OEV79" s="12"/>
      <c r="OEW79" s="12"/>
      <c r="OEX79" s="12"/>
      <c r="OEY79" s="12"/>
      <c r="OEZ79" s="12"/>
      <c r="OFA79" s="12"/>
      <c r="OFB79" s="12"/>
      <c r="OFC79" s="12"/>
      <c r="OFD79" s="12"/>
      <c r="OFE79" s="12"/>
      <c r="OFF79" s="12"/>
      <c r="OFG79" s="12"/>
      <c r="OFH79" s="12"/>
      <c r="OFI79" s="12"/>
      <c r="OFJ79" s="12"/>
      <c r="OFK79" s="12"/>
      <c r="OFL79" s="12"/>
      <c r="OFM79" s="12"/>
      <c r="OFN79" s="12"/>
      <c r="OFO79" s="12"/>
      <c r="OFP79" s="12"/>
      <c r="OFQ79" s="12"/>
      <c r="OFR79" s="12"/>
      <c r="OFS79" s="12"/>
      <c r="OFT79" s="12"/>
      <c r="OFU79" s="12"/>
      <c r="OFV79" s="12"/>
      <c r="OFW79" s="12"/>
      <c r="OFX79" s="12"/>
      <c r="OFY79" s="12"/>
      <c r="OFZ79" s="12"/>
      <c r="OGA79" s="12"/>
      <c r="OGB79" s="12"/>
      <c r="OGC79" s="12"/>
      <c r="OGD79" s="12"/>
      <c r="OGE79" s="12"/>
      <c r="OGF79" s="12"/>
      <c r="OGG79" s="12"/>
      <c r="OGH79" s="12"/>
      <c r="OGI79" s="12"/>
      <c r="OGJ79" s="12"/>
      <c r="OGK79" s="12"/>
      <c r="OGL79" s="12"/>
      <c r="OGM79" s="12"/>
      <c r="OGN79" s="12"/>
      <c r="OGO79" s="12"/>
      <c r="OGP79" s="12"/>
      <c r="OGQ79" s="12"/>
      <c r="OGR79" s="12"/>
      <c r="OGS79" s="12"/>
      <c r="OGT79" s="12"/>
      <c r="OGU79" s="12"/>
      <c r="OGV79" s="12"/>
      <c r="OGW79" s="12"/>
      <c r="OGX79" s="12"/>
      <c r="OGY79" s="12"/>
      <c r="OGZ79" s="12"/>
      <c r="OHA79" s="12"/>
      <c r="OHB79" s="12"/>
      <c r="OHC79" s="12"/>
      <c r="OHD79" s="12"/>
      <c r="OHE79" s="12"/>
      <c r="OHF79" s="12"/>
      <c r="OHG79" s="12"/>
      <c r="OHH79" s="12"/>
      <c r="OHI79" s="12"/>
      <c r="OHJ79" s="12"/>
      <c r="OHK79" s="12"/>
      <c r="OHL79" s="12"/>
      <c r="OHM79" s="12"/>
      <c r="OHN79" s="12"/>
      <c r="OHO79" s="12"/>
      <c r="OHP79" s="12"/>
      <c r="OHQ79" s="12"/>
      <c r="OHR79" s="12"/>
      <c r="OHS79" s="12"/>
      <c r="OHT79" s="12"/>
      <c r="OHU79" s="12"/>
      <c r="OHV79" s="12"/>
      <c r="OHW79" s="12"/>
      <c r="OHX79" s="12"/>
      <c r="OHY79" s="12"/>
      <c r="OHZ79" s="12"/>
      <c r="OIA79" s="12"/>
      <c r="OIB79" s="12"/>
      <c r="OIC79" s="12"/>
      <c r="OID79" s="12"/>
      <c r="OIE79" s="12"/>
      <c r="OIF79" s="12"/>
      <c r="OIG79" s="12"/>
      <c r="OIH79" s="12"/>
      <c r="OII79" s="12"/>
      <c r="OIJ79" s="12"/>
      <c r="OIK79" s="12"/>
      <c r="OIL79" s="12"/>
      <c r="OIM79" s="12"/>
      <c r="OIN79" s="12"/>
      <c r="OIO79" s="12"/>
      <c r="OIP79" s="12"/>
      <c r="OIQ79" s="12"/>
      <c r="OIR79" s="12"/>
      <c r="OIS79" s="12"/>
      <c r="OIT79" s="12"/>
      <c r="OIU79" s="12"/>
      <c r="OIV79" s="12"/>
      <c r="OIW79" s="12"/>
      <c r="OIX79" s="12"/>
      <c r="OIY79" s="12"/>
      <c r="OIZ79" s="12"/>
      <c r="OJA79" s="12"/>
      <c r="OJB79" s="12"/>
      <c r="OJC79" s="12"/>
      <c r="OJD79" s="12"/>
      <c r="OJE79" s="12"/>
      <c r="OJF79" s="12"/>
      <c r="OJG79" s="12"/>
      <c r="OJH79" s="12"/>
      <c r="OJI79" s="12"/>
      <c r="OJJ79" s="12"/>
      <c r="OJK79" s="12"/>
      <c r="OJL79" s="12"/>
      <c r="OJM79" s="12"/>
      <c r="OJN79" s="12"/>
      <c r="OJO79" s="12"/>
      <c r="OJP79" s="12"/>
      <c r="OJQ79" s="12"/>
      <c r="OJR79" s="12"/>
      <c r="OJS79" s="12"/>
      <c r="OJT79" s="12"/>
      <c r="OJU79" s="12"/>
      <c r="OJV79" s="12"/>
      <c r="OJW79" s="12"/>
      <c r="OJX79" s="12"/>
      <c r="OJY79" s="12"/>
      <c r="OJZ79" s="12"/>
      <c r="OKA79" s="12"/>
      <c r="OKB79" s="12"/>
      <c r="OKC79" s="12"/>
      <c r="OKD79" s="12"/>
      <c r="OKE79" s="12"/>
      <c r="OKF79" s="12"/>
      <c r="OKG79" s="12"/>
      <c r="OKH79" s="12"/>
      <c r="OKI79" s="12"/>
      <c r="OKJ79" s="12"/>
      <c r="OKK79" s="12"/>
      <c r="OKL79" s="12"/>
      <c r="OKM79" s="12"/>
      <c r="OKN79" s="12"/>
      <c r="OKO79" s="12"/>
      <c r="OKP79" s="12"/>
      <c r="OKQ79" s="12"/>
      <c r="OKR79" s="12"/>
      <c r="OKS79" s="12"/>
      <c r="OKT79" s="12"/>
      <c r="OKU79" s="12"/>
      <c r="OKV79" s="12"/>
      <c r="OKW79" s="12"/>
      <c r="OKX79" s="12"/>
      <c r="OKY79" s="12"/>
      <c r="OKZ79" s="12"/>
      <c r="OLA79" s="12"/>
      <c r="OLB79" s="12"/>
      <c r="OLC79" s="12"/>
      <c r="OLD79" s="12"/>
      <c r="OLE79" s="12"/>
      <c r="OLF79" s="12"/>
      <c r="OLG79" s="12"/>
      <c r="OLH79" s="12"/>
      <c r="OLI79" s="12"/>
      <c r="OLJ79" s="12"/>
      <c r="OLK79" s="12"/>
      <c r="OLL79" s="12"/>
      <c r="OLM79" s="12"/>
      <c r="OLN79" s="12"/>
      <c r="OLO79" s="12"/>
      <c r="OLP79" s="12"/>
      <c r="OLQ79" s="12"/>
      <c r="OLR79" s="12"/>
      <c r="OLS79" s="12"/>
      <c r="OLT79" s="12"/>
      <c r="OLU79" s="12"/>
      <c r="OLV79" s="12"/>
      <c r="OLW79" s="12"/>
      <c r="OLX79" s="12"/>
      <c r="OLY79" s="12"/>
      <c r="OLZ79" s="12"/>
      <c r="OMA79" s="12"/>
      <c r="OMB79" s="12"/>
      <c r="OMC79" s="12"/>
      <c r="OMD79" s="12"/>
      <c r="OME79" s="12"/>
      <c r="OMF79" s="12"/>
      <c r="OMG79" s="12"/>
      <c r="OMH79" s="12"/>
      <c r="OMI79" s="12"/>
      <c r="OMJ79" s="12"/>
      <c r="OMK79" s="12"/>
      <c r="OML79" s="12"/>
      <c r="OMM79" s="12"/>
      <c r="OMN79" s="12"/>
      <c r="OMO79" s="12"/>
      <c r="OMP79" s="12"/>
      <c r="OMQ79" s="12"/>
      <c r="OMR79" s="12"/>
      <c r="OMS79" s="12"/>
      <c r="OMT79" s="12"/>
      <c r="OMU79" s="12"/>
      <c r="OMV79" s="12"/>
      <c r="OMW79" s="12"/>
      <c r="OMX79" s="12"/>
      <c r="OMY79" s="12"/>
      <c r="OMZ79" s="12"/>
      <c r="ONA79" s="12"/>
      <c r="ONB79" s="12"/>
      <c r="ONC79" s="12"/>
      <c r="OND79" s="12"/>
      <c r="ONE79" s="12"/>
      <c r="ONF79" s="12"/>
      <c r="ONG79" s="12"/>
      <c r="ONH79" s="12"/>
      <c r="ONI79" s="12"/>
      <c r="ONJ79" s="12"/>
      <c r="ONK79" s="12"/>
      <c r="ONL79" s="12"/>
      <c r="ONM79" s="12"/>
      <c r="ONN79" s="12"/>
      <c r="ONO79" s="12"/>
      <c r="ONP79" s="12"/>
      <c r="ONQ79" s="12"/>
      <c r="ONR79" s="12"/>
      <c r="ONS79" s="12"/>
      <c r="ONT79" s="12"/>
      <c r="ONU79" s="12"/>
      <c r="ONV79" s="12"/>
      <c r="ONW79" s="12"/>
      <c r="ONX79" s="12"/>
      <c r="ONY79" s="12"/>
      <c r="ONZ79" s="12"/>
      <c r="OOA79" s="12"/>
      <c r="OOB79" s="12"/>
      <c r="OOC79" s="12"/>
      <c r="OOD79" s="12"/>
      <c r="OOE79" s="12"/>
      <c r="OOF79" s="12"/>
      <c r="OOG79" s="12"/>
      <c r="OOH79" s="12"/>
      <c r="OOI79" s="12"/>
      <c r="OOJ79" s="12"/>
      <c r="OOK79" s="12"/>
      <c r="OOL79" s="12"/>
      <c r="OOM79" s="12"/>
      <c r="OON79" s="12"/>
      <c r="OOO79" s="12"/>
      <c r="OOP79" s="12"/>
      <c r="OOQ79" s="12"/>
      <c r="OOR79" s="12"/>
      <c r="OOS79" s="12"/>
      <c r="OOT79" s="12"/>
      <c r="OOU79" s="12"/>
      <c r="OOV79" s="12"/>
      <c r="OOW79" s="12"/>
      <c r="OOX79" s="12"/>
      <c r="OOY79" s="12"/>
      <c r="OOZ79" s="12"/>
      <c r="OPA79" s="12"/>
      <c r="OPB79" s="12"/>
      <c r="OPC79" s="12"/>
      <c r="OPD79" s="12"/>
      <c r="OPE79" s="12"/>
      <c r="OPF79" s="12"/>
      <c r="OPG79" s="12"/>
      <c r="OPH79" s="12"/>
      <c r="OPI79" s="12"/>
      <c r="OPJ79" s="12"/>
      <c r="OPK79" s="12"/>
      <c r="OPL79" s="12"/>
      <c r="OPM79" s="12"/>
      <c r="OPN79" s="12"/>
      <c r="OPO79" s="12"/>
      <c r="OPP79" s="12"/>
      <c r="OPQ79" s="12"/>
      <c r="OPR79" s="12"/>
      <c r="OPS79" s="12"/>
      <c r="OPT79" s="12"/>
      <c r="OPU79" s="12"/>
      <c r="OPV79" s="12"/>
      <c r="OPW79" s="12"/>
      <c r="OPX79" s="12"/>
      <c r="OPY79" s="12"/>
      <c r="OPZ79" s="12"/>
      <c r="OQA79" s="12"/>
      <c r="OQB79" s="12"/>
      <c r="OQC79" s="12"/>
      <c r="OQD79" s="12"/>
      <c r="OQE79" s="12"/>
      <c r="OQF79" s="12"/>
      <c r="OQG79" s="12"/>
      <c r="OQH79" s="12"/>
      <c r="OQI79" s="12"/>
      <c r="OQJ79" s="12"/>
      <c r="OQK79" s="12"/>
      <c r="OQL79" s="12"/>
      <c r="OQM79" s="12"/>
      <c r="OQN79" s="12"/>
      <c r="OQO79" s="12"/>
      <c r="OQP79" s="12"/>
      <c r="OQQ79" s="12"/>
      <c r="OQR79" s="12"/>
      <c r="OQS79" s="12"/>
      <c r="OQT79" s="12"/>
      <c r="OQU79" s="12"/>
      <c r="OQV79" s="12"/>
      <c r="OQW79" s="12"/>
      <c r="OQX79" s="12"/>
      <c r="OQY79" s="12"/>
      <c r="OQZ79" s="12"/>
      <c r="ORA79" s="12"/>
      <c r="ORB79" s="12"/>
      <c r="ORC79" s="12"/>
      <c r="ORD79" s="12"/>
      <c r="ORE79" s="12"/>
      <c r="ORF79" s="12"/>
      <c r="ORG79" s="12"/>
      <c r="ORH79" s="12"/>
      <c r="ORI79" s="12"/>
      <c r="ORJ79" s="12"/>
      <c r="ORK79" s="12"/>
      <c r="ORL79" s="12"/>
      <c r="ORM79" s="12"/>
      <c r="ORN79" s="12"/>
      <c r="ORO79" s="12"/>
      <c r="ORP79" s="12"/>
      <c r="ORQ79" s="12"/>
      <c r="ORR79" s="12"/>
      <c r="ORS79" s="12"/>
      <c r="ORT79" s="12"/>
      <c r="ORU79" s="12"/>
      <c r="ORV79" s="12"/>
      <c r="ORW79" s="12"/>
      <c r="ORX79" s="12"/>
      <c r="ORY79" s="12"/>
      <c r="ORZ79" s="12"/>
      <c r="OSA79" s="12"/>
      <c r="OSB79" s="12"/>
      <c r="OSC79" s="12"/>
      <c r="OSD79" s="12"/>
      <c r="OSE79" s="12"/>
      <c r="OSF79" s="12"/>
      <c r="OSG79" s="12"/>
      <c r="OSH79" s="12"/>
      <c r="OSI79" s="12"/>
      <c r="OSJ79" s="12"/>
      <c r="OSK79" s="12"/>
      <c r="OSL79" s="12"/>
      <c r="OSM79" s="12"/>
      <c r="OSN79" s="12"/>
      <c r="OSO79" s="12"/>
      <c r="OSP79" s="12"/>
      <c r="OSQ79" s="12"/>
      <c r="OSR79" s="12"/>
      <c r="OSS79" s="12"/>
      <c r="OST79" s="12"/>
      <c r="OSU79" s="12"/>
      <c r="OSV79" s="12"/>
      <c r="OSW79" s="12"/>
      <c r="OSX79" s="12"/>
      <c r="OSY79" s="12"/>
      <c r="OSZ79" s="12"/>
      <c r="OTA79" s="12"/>
      <c r="OTB79" s="12"/>
      <c r="OTC79" s="12"/>
      <c r="OTD79" s="12"/>
      <c r="OTE79" s="12"/>
      <c r="OTF79" s="12"/>
      <c r="OTG79" s="12"/>
      <c r="OTH79" s="12"/>
      <c r="OTI79" s="12"/>
      <c r="OTJ79" s="12"/>
      <c r="OTK79" s="12"/>
      <c r="OTL79" s="12"/>
      <c r="OTM79" s="12"/>
      <c r="OTN79" s="12"/>
      <c r="OTO79" s="12"/>
      <c r="OTP79" s="12"/>
      <c r="OTQ79" s="12"/>
      <c r="OTR79" s="12"/>
      <c r="OTS79" s="12"/>
      <c r="OTT79" s="12"/>
      <c r="OTU79" s="12"/>
      <c r="OTV79" s="12"/>
      <c r="OTW79" s="12"/>
      <c r="OTX79" s="12"/>
      <c r="OTY79" s="12"/>
      <c r="OTZ79" s="12"/>
      <c r="OUA79" s="12"/>
      <c r="OUB79" s="12"/>
      <c r="OUC79" s="12"/>
      <c r="OUD79" s="12"/>
      <c r="OUE79" s="12"/>
      <c r="OUF79" s="12"/>
      <c r="OUG79" s="12"/>
      <c r="OUH79" s="12"/>
      <c r="OUI79" s="12"/>
      <c r="OUJ79" s="12"/>
      <c r="OUK79" s="12"/>
      <c r="OUL79" s="12"/>
      <c r="OUM79" s="12"/>
      <c r="OUN79" s="12"/>
      <c r="OUO79" s="12"/>
      <c r="OUP79" s="12"/>
      <c r="OUQ79" s="12"/>
      <c r="OUR79" s="12"/>
      <c r="OUS79" s="12"/>
      <c r="OUT79" s="12"/>
      <c r="OUU79" s="12"/>
      <c r="OUV79" s="12"/>
      <c r="OUW79" s="12"/>
      <c r="OUX79" s="12"/>
      <c r="OUY79" s="12"/>
      <c r="OUZ79" s="12"/>
      <c r="OVA79" s="12"/>
      <c r="OVB79" s="12"/>
      <c r="OVC79" s="12"/>
      <c r="OVD79" s="12"/>
      <c r="OVE79" s="12"/>
      <c r="OVF79" s="12"/>
      <c r="OVG79" s="12"/>
      <c r="OVH79" s="12"/>
      <c r="OVI79" s="12"/>
      <c r="OVJ79" s="12"/>
      <c r="OVK79" s="12"/>
      <c r="OVL79" s="12"/>
      <c r="OVM79" s="12"/>
      <c r="OVN79" s="12"/>
      <c r="OVO79" s="12"/>
      <c r="OVP79" s="12"/>
      <c r="OVQ79" s="12"/>
      <c r="OVR79" s="12"/>
      <c r="OVS79" s="12"/>
      <c r="OVT79" s="12"/>
      <c r="OVU79" s="12"/>
      <c r="OVV79" s="12"/>
      <c r="OVW79" s="12"/>
      <c r="OVX79" s="12"/>
      <c r="OVY79" s="12"/>
      <c r="OVZ79" s="12"/>
      <c r="OWA79" s="12"/>
      <c r="OWB79" s="12"/>
      <c r="OWC79" s="12"/>
      <c r="OWD79" s="12"/>
      <c r="OWE79" s="12"/>
      <c r="OWF79" s="12"/>
      <c r="OWG79" s="12"/>
      <c r="OWH79" s="12"/>
      <c r="OWI79" s="12"/>
      <c r="OWJ79" s="12"/>
      <c r="OWK79" s="12"/>
      <c r="OWL79" s="12"/>
      <c r="OWM79" s="12"/>
      <c r="OWN79" s="12"/>
      <c r="OWO79" s="12"/>
      <c r="OWP79" s="12"/>
      <c r="OWQ79" s="12"/>
      <c r="OWR79" s="12"/>
      <c r="OWS79" s="12"/>
      <c r="OWT79" s="12"/>
      <c r="OWU79" s="12"/>
      <c r="OWV79" s="12"/>
      <c r="OWW79" s="12"/>
      <c r="OWX79" s="12"/>
      <c r="OWY79" s="12"/>
      <c r="OWZ79" s="12"/>
      <c r="OXA79" s="12"/>
      <c r="OXB79" s="12"/>
      <c r="OXC79" s="12"/>
      <c r="OXD79" s="12"/>
      <c r="OXE79" s="12"/>
      <c r="OXF79" s="12"/>
      <c r="OXG79" s="12"/>
      <c r="OXH79" s="12"/>
      <c r="OXI79" s="12"/>
      <c r="OXJ79" s="12"/>
      <c r="OXK79" s="12"/>
      <c r="OXL79" s="12"/>
      <c r="OXM79" s="12"/>
      <c r="OXN79" s="12"/>
      <c r="OXO79" s="12"/>
      <c r="OXP79" s="12"/>
      <c r="OXQ79" s="12"/>
      <c r="OXR79" s="12"/>
      <c r="OXS79" s="12"/>
      <c r="OXT79" s="12"/>
      <c r="OXU79" s="12"/>
      <c r="OXV79" s="12"/>
      <c r="OXW79" s="12"/>
      <c r="OXX79" s="12"/>
      <c r="OXY79" s="12"/>
      <c r="OXZ79" s="12"/>
      <c r="OYA79" s="12"/>
      <c r="OYB79" s="12"/>
      <c r="OYC79" s="12"/>
      <c r="OYD79" s="12"/>
      <c r="OYE79" s="12"/>
      <c r="OYF79" s="12"/>
      <c r="OYG79" s="12"/>
      <c r="OYH79" s="12"/>
      <c r="OYI79" s="12"/>
      <c r="OYJ79" s="12"/>
      <c r="OYK79" s="12"/>
      <c r="OYL79" s="12"/>
      <c r="OYM79" s="12"/>
      <c r="OYN79" s="12"/>
      <c r="OYO79" s="12"/>
      <c r="OYP79" s="12"/>
      <c r="OYQ79" s="12"/>
      <c r="OYR79" s="12"/>
      <c r="OYS79" s="12"/>
      <c r="OYT79" s="12"/>
      <c r="OYU79" s="12"/>
      <c r="OYV79" s="12"/>
      <c r="OYW79" s="12"/>
      <c r="OYX79" s="12"/>
      <c r="OYY79" s="12"/>
      <c r="OYZ79" s="12"/>
      <c r="OZA79" s="12"/>
      <c r="OZB79" s="12"/>
      <c r="OZC79" s="12"/>
      <c r="OZD79" s="12"/>
      <c r="OZE79" s="12"/>
      <c r="OZF79" s="12"/>
      <c r="OZG79" s="12"/>
      <c r="OZH79" s="12"/>
      <c r="OZI79" s="12"/>
      <c r="OZJ79" s="12"/>
      <c r="OZK79" s="12"/>
      <c r="OZL79" s="12"/>
      <c r="OZM79" s="12"/>
      <c r="OZN79" s="12"/>
      <c r="OZO79" s="12"/>
      <c r="OZP79" s="12"/>
      <c r="OZQ79" s="12"/>
      <c r="OZR79" s="12"/>
      <c r="OZS79" s="12"/>
      <c r="OZT79" s="12"/>
      <c r="OZU79" s="12"/>
      <c r="OZV79" s="12"/>
      <c r="OZW79" s="12"/>
      <c r="OZX79" s="12"/>
      <c r="OZY79" s="12"/>
      <c r="OZZ79" s="12"/>
      <c r="PAA79" s="12"/>
      <c r="PAB79" s="12"/>
      <c r="PAC79" s="12"/>
      <c r="PAD79" s="12"/>
      <c r="PAE79" s="12"/>
      <c r="PAF79" s="12"/>
      <c r="PAG79" s="12"/>
      <c r="PAH79" s="12"/>
      <c r="PAI79" s="12"/>
      <c r="PAJ79" s="12"/>
      <c r="PAK79" s="12"/>
      <c r="PAL79" s="12"/>
      <c r="PAM79" s="12"/>
      <c r="PAN79" s="12"/>
      <c r="PAO79" s="12"/>
      <c r="PAP79" s="12"/>
      <c r="PAQ79" s="12"/>
      <c r="PAR79" s="12"/>
      <c r="PAS79" s="12"/>
      <c r="PAT79" s="12"/>
      <c r="PAU79" s="12"/>
      <c r="PAV79" s="12"/>
      <c r="PAW79" s="12"/>
      <c r="PAX79" s="12"/>
      <c r="PAY79" s="12"/>
      <c r="PAZ79" s="12"/>
      <c r="PBA79" s="12"/>
      <c r="PBB79" s="12"/>
      <c r="PBC79" s="12"/>
      <c r="PBD79" s="12"/>
      <c r="PBE79" s="12"/>
      <c r="PBF79" s="12"/>
      <c r="PBG79" s="12"/>
      <c r="PBH79" s="12"/>
      <c r="PBI79" s="12"/>
      <c r="PBJ79" s="12"/>
      <c r="PBK79" s="12"/>
      <c r="PBL79" s="12"/>
      <c r="PBM79" s="12"/>
      <c r="PBN79" s="12"/>
      <c r="PBO79" s="12"/>
      <c r="PBP79" s="12"/>
      <c r="PBQ79" s="12"/>
      <c r="PBR79" s="12"/>
      <c r="PBS79" s="12"/>
      <c r="PBT79" s="12"/>
      <c r="PBU79" s="12"/>
      <c r="PBV79" s="12"/>
      <c r="PBW79" s="12"/>
      <c r="PBX79" s="12"/>
      <c r="PBY79" s="12"/>
      <c r="PBZ79" s="12"/>
      <c r="PCA79" s="12"/>
      <c r="PCB79" s="12"/>
      <c r="PCC79" s="12"/>
      <c r="PCD79" s="12"/>
      <c r="PCE79" s="12"/>
      <c r="PCF79" s="12"/>
      <c r="PCG79" s="12"/>
      <c r="PCH79" s="12"/>
      <c r="PCI79" s="12"/>
      <c r="PCJ79" s="12"/>
      <c r="PCK79" s="12"/>
      <c r="PCL79" s="12"/>
      <c r="PCM79" s="12"/>
      <c r="PCN79" s="12"/>
      <c r="PCO79" s="12"/>
      <c r="PCP79" s="12"/>
      <c r="PCQ79" s="12"/>
      <c r="PCR79" s="12"/>
      <c r="PCS79" s="12"/>
      <c r="PCT79" s="12"/>
      <c r="PCU79" s="12"/>
      <c r="PCV79" s="12"/>
      <c r="PCW79" s="12"/>
      <c r="PCX79" s="12"/>
      <c r="PCY79" s="12"/>
      <c r="PCZ79" s="12"/>
      <c r="PDA79" s="12"/>
      <c r="PDB79" s="12"/>
      <c r="PDC79" s="12"/>
      <c r="PDD79" s="12"/>
      <c r="PDE79" s="12"/>
      <c r="PDF79" s="12"/>
      <c r="PDG79" s="12"/>
      <c r="PDH79" s="12"/>
      <c r="PDI79" s="12"/>
      <c r="PDJ79" s="12"/>
      <c r="PDK79" s="12"/>
      <c r="PDL79" s="12"/>
      <c r="PDM79" s="12"/>
      <c r="PDN79" s="12"/>
      <c r="PDO79" s="12"/>
      <c r="PDP79" s="12"/>
      <c r="PDQ79" s="12"/>
      <c r="PDR79" s="12"/>
      <c r="PDS79" s="12"/>
      <c r="PDT79" s="12"/>
      <c r="PDU79" s="12"/>
      <c r="PDV79" s="12"/>
      <c r="PDW79" s="12"/>
      <c r="PDX79" s="12"/>
      <c r="PDY79" s="12"/>
      <c r="PDZ79" s="12"/>
      <c r="PEA79" s="12"/>
      <c r="PEB79" s="12"/>
      <c r="PEC79" s="12"/>
      <c r="PED79" s="12"/>
      <c r="PEE79" s="12"/>
      <c r="PEF79" s="12"/>
      <c r="PEG79" s="12"/>
      <c r="PEH79" s="12"/>
      <c r="PEI79" s="12"/>
      <c r="PEJ79" s="12"/>
      <c r="PEK79" s="12"/>
      <c r="PEL79" s="12"/>
      <c r="PEM79" s="12"/>
      <c r="PEN79" s="12"/>
      <c r="PEO79" s="12"/>
      <c r="PEP79" s="12"/>
      <c r="PEQ79" s="12"/>
      <c r="PER79" s="12"/>
      <c r="PES79" s="12"/>
      <c r="PET79" s="12"/>
      <c r="PEU79" s="12"/>
      <c r="PEV79" s="12"/>
      <c r="PEW79" s="12"/>
      <c r="PEX79" s="12"/>
      <c r="PEY79" s="12"/>
      <c r="PEZ79" s="12"/>
      <c r="PFA79" s="12"/>
      <c r="PFB79" s="12"/>
      <c r="PFC79" s="12"/>
      <c r="PFD79" s="12"/>
      <c r="PFE79" s="12"/>
      <c r="PFF79" s="12"/>
      <c r="PFG79" s="12"/>
      <c r="PFH79" s="12"/>
      <c r="PFI79" s="12"/>
      <c r="PFJ79" s="12"/>
      <c r="PFK79" s="12"/>
      <c r="PFL79" s="12"/>
      <c r="PFM79" s="12"/>
      <c r="PFN79" s="12"/>
      <c r="PFO79" s="12"/>
      <c r="PFP79" s="12"/>
      <c r="PFQ79" s="12"/>
      <c r="PFR79" s="12"/>
      <c r="PFS79" s="12"/>
      <c r="PFT79" s="12"/>
      <c r="PFU79" s="12"/>
      <c r="PFV79" s="12"/>
      <c r="PFW79" s="12"/>
      <c r="PFX79" s="12"/>
      <c r="PFY79" s="12"/>
      <c r="PFZ79" s="12"/>
      <c r="PGA79" s="12"/>
      <c r="PGB79" s="12"/>
      <c r="PGC79" s="12"/>
      <c r="PGD79" s="12"/>
      <c r="PGE79" s="12"/>
      <c r="PGF79" s="12"/>
      <c r="PGG79" s="12"/>
      <c r="PGH79" s="12"/>
      <c r="PGI79" s="12"/>
      <c r="PGJ79" s="12"/>
      <c r="PGK79" s="12"/>
      <c r="PGL79" s="12"/>
      <c r="PGM79" s="12"/>
      <c r="PGN79" s="12"/>
      <c r="PGO79" s="12"/>
      <c r="PGP79" s="12"/>
      <c r="PGQ79" s="12"/>
      <c r="PGR79" s="12"/>
      <c r="PGS79" s="12"/>
      <c r="PGT79" s="12"/>
      <c r="PGU79" s="12"/>
      <c r="PGV79" s="12"/>
      <c r="PGW79" s="12"/>
      <c r="PGX79" s="12"/>
      <c r="PGY79" s="12"/>
      <c r="PGZ79" s="12"/>
      <c r="PHA79" s="12"/>
      <c r="PHB79" s="12"/>
      <c r="PHC79" s="12"/>
      <c r="PHD79" s="12"/>
      <c r="PHE79" s="12"/>
      <c r="PHF79" s="12"/>
      <c r="PHG79" s="12"/>
      <c r="PHH79" s="12"/>
      <c r="PHI79" s="12"/>
      <c r="PHJ79" s="12"/>
      <c r="PHK79" s="12"/>
      <c r="PHL79" s="12"/>
      <c r="PHM79" s="12"/>
      <c r="PHN79" s="12"/>
      <c r="PHO79" s="12"/>
      <c r="PHP79" s="12"/>
      <c r="PHQ79" s="12"/>
      <c r="PHR79" s="12"/>
      <c r="PHS79" s="12"/>
      <c r="PHT79" s="12"/>
      <c r="PHU79" s="12"/>
      <c r="PHV79" s="12"/>
      <c r="PHW79" s="12"/>
      <c r="PHX79" s="12"/>
      <c r="PHY79" s="12"/>
      <c r="PHZ79" s="12"/>
      <c r="PIA79" s="12"/>
      <c r="PIB79" s="12"/>
      <c r="PIC79" s="12"/>
      <c r="PID79" s="12"/>
      <c r="PIE79" s="12"/>
      <c r="PIF79" s="12"/>
      <c r="PIG79" s="12"/>
      <c r="PIH79" s="12"/>
      <c r="PII79" s="12"/>
      <c r="PIJ79" s="12"/>
      <c r="PIK79" s="12"/>
      <c r="PIL79" s="12"/>
      <c r="PIM79" s="12"/>
      <c r="PIN79" s="12"/>
      <c r="PIO79" s="12"/>
      <c r="PIP79" s="12"/>
      <c r="PIQ79" s="12"/>
      <c r="PIR79" s="12"/>
      <c r="PIS79" s="12"/>
      <c r="PIT79" s="12"/>
      <c r="PIU79" s="12"/>
      <c r="PIV79" s="12"/>
      <c r="PIW79" s="12"/>
      <c r="PIX79" s="12"/>
      <c r="PIY79" s="12"/>
      <c r="PIZ79" s="12"/>
      <c r="PJA79" s="12"/>
      <c r="PJB79" s="12"/>
      <c r="PJC79" s="12"/>
      <c r="PJD79" s="12"/>
      <c r="PJE79" s="12"/>
      <c r="PJF79" s="12"/>
      <c r="PJG79" s="12"/>
      <c r="PJH79" s="12"/>
      <c r="PJI79" s="12"/>
      <c r="PJJ79" s="12"/>
      <c r="PJK79" s="12"/>
      <c r="PJL79" s="12"/>
      <c r="PJM79" s="12"/>
      <c r="PJN79" s="12"/>
      <c r="PJO79" s="12"/>
      <c r="PJP79" s="12"/>
      <c r="PJQ79" s="12"/>
      <c r="PJR79" s="12"/>
      <c r="PJS79" s="12"/>
      <c r="PJT79" s="12"/>
      <c r="PJU79" s="12"/>
      <c r="PJV79" s="12"/>
      <c r="PJW79" s="12"/>
      <c r="PJX79" s="12"/>
      <c r="PJY79" s="12"/>
      <c r="PJZ79" s="12"/>
      <c r="PKA79" s="12"/>
      <c r="PKB79" s="12"/>
      <c r="PKC79" s="12"/>
      <c r="PKD79" s="12"/>
      <c r="PKE79" s="12"/>
      <c r="PKF79" s="12"/>
      <c r="PKG79" s="12"/>
      <c r="PKH79" s="12"/>
      <c r="PKI79" s="12"/>
      <c r="PKJ79" s="12"/>
      <c r="PKK79" s="12"/>
      <c r="PKL79" s="12"/>
      <c r="PKM79" s="12"/>
      <c r="PKN79" s="12"/>
      <c r="PKO79" s="12"/>
      <c r="PKP79" s="12"/>
      <c r="PKQ79" s="12"/>
      <c r="PKR79" s="12"/>
      <c r="PKS79" s="12"/>
      <c r="PKT79" s="12"/>
      <c r="PKU79" s="12"/>
      <c r="PKV79" s="12"/>
      <c r="PKW79" s="12"/>
      <c r="PKX79" s="12"/>
      <c r="PKY79" s="12"/>
      <c r="PKZ79" s="12"/>
      <c r="PLA79" s="12"/>
      <c r="PLB79" s="12"/>
      <c r="PLC79" s="12"/>
      <c r="PLD79" s="12"/>
      <c r="PLE79" s="12"/>
      <c r="PLF79" s="12"/>
      <c r="PLG79" s="12"/>
      <c r="PLH79" s="12"/>
      <c r="PLI79" s="12"/>
      <c r="PLJ79" s="12"/>
      <c r="PLK79" s="12"/>
      <c r="PLL79" s="12"/>
      <c r="PLM79" s="12"/>
      <c r="PLN79" s="12"/>
      <c r="PLO79" s="12"/>
      <c r="PLP79" s="12"/>
      <c r="PLQ79" s="12"/>
      <c r="PLR79" s="12"/>
      <c r="PLS79" s="12"/>
      <c r="PLT79" s="12"/>
      <c r="PLU79" s="12"/>
      <c r="PLV79" s="12"/>
      <c r="PLW79" s="12"/>
      <c r="PLX79" s="12"/>
      <c r="PLY79" s="12"/>
      <c r="PLZ79" s="12"/>
      <c r="PMA79" s="12"/>
      <c r="PMB79" s="12"/>
      <c r="PMC79" s="12"/>
      <c r="PMD79" s="12"/>
      <c r="PME79" s="12"/>
      <c r="PMF79" s="12"/>
      <c r="PMG79" s="12"/>
      <c r="PMH79" s="12"/>
      <c r="PMI79" s="12"/>
      <c r="PMJ79" s="12"/>
      <c r="PMK79" s="12"/>
      <c r="PML79" s="12"/>
      <c r="PMM79" s="12"/>
      <c r="PMN79" s="12"/>
      <c r="PMO79" s="12"/>
      <c r="PMP79" s="12"/>
      <c r="PMQ79" s="12"/>
      <c r="PMR79" s="12"/>
      <c r="PMS79" s="12"/>
      <c r="PMT79" s="12"/>
      <c r="PMU79" s="12"/>
      <c r="PMV79" s="12"/>
      <c r="PMW79" s="12"/>
      <c r="PMX79" s="12"/>
      <c r="PMY79" s="12"/>
      <c r="PMZ79" s="12"/>
      <c r="PNA79" s="12"/>
      <c r="PNB79" s="12"/>
      <c r="PNC79" s="12"/>
      <c r="PND79" s="12"/>
      <c r="PNE79" s="12"/>
      <c r="PNF79" s="12"/>
      <c r="PNG79" s="12"/>
      <c r="PNH79" s="12"/>
      <c r="PNI79" s="12"/>
      <c r="PNJ79" s="12"/>
      <c r="PNK79" s="12"/>
      <c r="PNL79" s="12"/>
      <c r="PNM79" s="12"/>
      <c r="PNN79" s="12"/>
      <c r="PNO79" s="12"/>
      <c r="PNP79" s="12"/>
      <c r="PNQ79" s="12"/>
      <c r="PNR79" s="12"/>
      <c r="PNS79" s="12"/>
      <c r="PNT79" s="12"/>
      <c r="PNU79" s="12"/>
      <c r="PNV79" s="12"/>
      <c r="PNW79" s="12"/>
      <c r="PNX79" s="12"/>
      <c r="PNY79" s="12"/>
      <c r="PNZ79" s="12"/>
      <c r="POA79" s="12"/>
      <c r="POB79" s="12"/>
      <c r="POC79" s="12"/>
      <c r="POD79" s="12"/>
      <c r="POE79" s="12"/>
      <c r="POF79" s="12"/>
      <c r="POG79" s="12"/>
      <c r="POH79" s="12"/>
      <c r="POI79" s="12"/>
      <c r="POJ79" s="12"/>
      <c r="POK79" s="12"/>
      <c r="POL79" s="12"/>
      <c r="POM79" s="12"/>
      <c r="PON79" s="12"/>
      <c r="POO79" s="12"/>
      <c r="POP79" s="12"/>
      <c r="POQ79" s="12"/>
      <c r="POR79" s="12"/>
      <c r="POS79" s="12"/>
      <c r="POT79" s="12"/>
      <c r="POU79" s="12"/>
      <c r="POV79" s="12"/>
      <c r="POW79" s="12"/>
      <c r="POX79" s="12"/>
      <c r="POY79" s="12"/>
      <c r="POZ79" s="12"/>
      <c r="PPA79" s="12"/>
      <c r="PPB79" s="12"/>
      <c r="PPC79" s="12"/>
      <c r="PPD79" s="12"/>
      <c r="PPE79" s="12"/>
      <c r="PPF79" s="12"/>
      <c r="PPG79" s="12"/>
      <c r="PPH79" s="12"/>
      <c r="PPI79" s="12"/>
      <c r="PPJ79" s="12"/>
      <c r="PPK79" s="12"/>
      <c r="PPL79" s="12"/>
      <c r="PPM79" s="12"/>
      <c r="PPN79" s="12"/>
      <c r="PPO79" s="12"/>
      <c r="PPP79" s="12"/>
      <c r="PPQ79" s="12"/>
      <c r="PPR79" s="12"/>
      <c r="PPS79" s="12"/>
      <c r="PPT79" s="12"/>
      <c r="PPU79" s="12"/>
      <c r="PPV79" s="12"/>
      <c r="PPW79" s="12"/>
      <c r="PPX79" s="12"/>
      <c r="PPY79" s="12"/>
      <c r="PPZ79" s="12"/>
      <c r="PQA79" s="12"/>
      <c r="PQB79" s="12"/>
      <c r="PQC79" s="12"/>
      <c r="PQD79" s="12"/>
      <c r="PQE79" s="12"/>
      <c r="PQF79" s="12"/>
      <c r="PQG79" s="12"/>
      <c r="PQH79" s="12"/>
      <c r="PQI79" s="12"/>
      <c r="PQJ79" s="12"/>
      <c r="PQK79" s="12"/>
      <c r="PQL79" s="12"/>
      <c r="PQM79" s="12"/>
      <c r="PQN79" s="12"/>
      <c r="PQO79" s="12"/>
      <c r="PQP79" s="12"/>
      <c r="PQQ79" s="12"/>
      <c r="PQR79" s="12"/>
      <c r="PQS79" s="12"/>
      <c r="PQT79" s="12"/>
      <c r="PQU79" s="12"/>
      <c r="PQV79" s="12"/>
      <c r="PQW79" s="12"/>
      <c r="PQX79" s="12"/>
      <c r="PQY79" s="12"/>
      <c r="PQZ79" s="12"/>
      <c r="PRA79" s="12"/>
      <c r="PRB79" s="12"/>
      <c r="PRC79" s="12"/>
      <c r="PRD79" s="12"/>
      <c r="PRE79" s="12"/>
      <c r="PRF79" s="12"/>
      <c r="PRG79" s="12"/>
      <c r="PRH79" s="12"/>
      <c r="PRI79" s="12"/>
      <c r="PRJ79" s="12"/>
      <c r="PRK79" s="12"/>
      <c r="PRL79" s="12"/>
      <c r="PRM79" s="12"/>
      <c r="PRN79" s="12"/>
      <c r="PRO79" s="12"/>
      <c r="PRP79" s="12"/>
      <c r="PRQ79" s="12"/>
      <c r="PRR79" s="12"/>
      <c r="PRS79" s="12"/>
      <c r="PRT79" s="12"/>
      <c r="PRU79" s="12"/>
      <c r="PRV79" s="12"/>
      <c r="PRW79" s="12"/>
      <c r="PRX79" s="12"/>
      <c r="PRY79" s="12"/>
      <c r="PRZ79" s="12"/>
      <c r="PSA79" s="12"/>
      <c r="PSB79" s="12"/>
      <c r="PSC79" s="12"/>
      <c r="PSD79" s="12"/>
      <c r="PSE79" s="12"/>
      <c r="PSF79" s="12"/>
      <c r="PSG79" s="12"/>
      <c r="PSH79" s="12"/>
      <c r="PSI79" s="12"/>
      <c r="PSJ79" s="12"/>
      <c r="PSK79" s="12"/>
      <c r="PSL79" s="12"/>
      <c r="PSM79" s="12"/>
      <c r="PSN79" s="12"/>
      <c r="PSO79" s="12"/>
      <c r="PSP79" s="12"/>
      <c r="PSQ79" s="12"/>
      <c r="PSR79" s="12"/>
      <c r="PSS79" s="12"/>
      <c r="PST79" s="12"/>
      <c r="PSU79" s="12"/>
      <c r="PSV79" s="12"/>
      <c r="PSW79" s="12"/>
      <c r="PSX79" s="12"/>
      <c r="PSY79" s="12"/>
      <c r="PSZ79" s="12"/>
      <c r="PTA79" s="12"/>
      <c r="PTB79" s="12"/>
      <c r="PTC79" s="12"/>
      <c r="PTD79" s="12"/>
      <c r="PTE79" s="12"/>
      <c r="PTF79" s="12"/>
      <c r="PTG79" s="12"/>
      <c r="PTH79" s="12"/>
      <c r="PTI79" s="12"/>
      <c r="PTJ79" s="12"/>
      <c r="PTK79" s="12"/>
      <c r="PTL79" s="12"/>
      <c r="PTM79" s="12"/>
      <c r="PTN79" s="12"/>
      <c r="PTO79" s="12"/>
      <c r="PTP79" s="12"/>
      <c r="PTQ79" s="12"/>
      <c r="PTR79" s="12"/>
      <c r="PTS79" s="12"/>
      <c r="PTT79" s="12"/>
      <c r="PTU79" s="12"/>
      <c r="PTV79" s="12"/>
      <c r="PTW79" s="12"/>
      <c r="PTX79" s="12"/>
      <c r="PTY79" s="12"/>
      <c r="PTZ79" s="12"/>
      <c r="PUA79" s="12"/>
      <c r="PUB79" s="12"/>
      <c r="PUC79" s="12"/>
      <c r="PUD79" s="12"/>
      <c r="PUE79" s="12"/>
      <c r="PUF79" s="12"/>
      <c r="PUG79" s="12"/>
      <c r="PUH79" s="12"/>
      <c r="PUI79" s="12"/>
      <c r="PUJ79" s="12"/>
      <c r="PUK79" s="12"/>
      <c r="PUL79" s="12"/>
      <c r="PUM79" s="12"/>
      <c r="PUN79" s="12"/>
      <c r="PUO79" s="12"/>
      <c r="PUP79" s="12"/>
      <c r="PUQ79" s="12"/>
      <c r="PUR79" s="12"/>
      <c r="PUS79" s="12"/>
      <c r="PUT79" s="12"/>
      <c r="PUU79" s="12"/>
      <c r="PUV79" s="12"/>
      <c r="PUW79" s="12"/>
      <c r="PUX79" s="12"/>
      <c r="PUY79" s="12"/>
      <c r="PUZ79" s="12"/>
      <c r="PVA79" s="12"/>
      <c r="PVB79" s="12"/>
      <c r="PVC79" s="12"/>
      <c r="PVD79" s="12"/>
      <c r="PVE79" s="12"/>
      <c r="PVF79" s="12"/>
      <c r="PVG79" s="12"/>
      <c r="PVH79" s="12"/>
      <c r="PVI79" s="12"/>
      <c r="PVJ79" s="12"/>
      <c r="PVK79" s="12"/>
      <c r="PVL79" s="12"/>
      <c r="PVM79" s="12"/>
      <c r="PVN79" s="12"/>
      <c r="PVO79" s="12"/>
      <c r="PVP79" s="12"/>
      <c r="PVQ79" s="12"/>
      <c r="PVR79" s="12"/>
      <c r="PVS79" s="12"/>
      <c r="PVT79" s="12"/>
      <c r="PVU79" s="12"/>
      <c r="PVV79" s="12"/>
      <c r="PVW79" s="12"/>
      <c r="PVX79" s="12"/>
      <c r="PVY79" s="12"/>
      <c r="PVZ79" s="12"/>
      <c r="PWA79" s="12"/>
      <c r="PWB79" s="12"/>
      <c r="PWC79" s="12"/>
      <c r="PWD79" s="12"/>
      <c r="PWE79" s="12"/>
      <c r="PWF79" s="12"/>
      <c r="PWG79" s="12"/>
      <c r="PWH79" s="12"/>
      <c r="PWI79" s="12"/>
      <c r="PWJ79" s="12"/>
      <c r="PWK79" s="12"/>
      <c r="PWL79" s="12"/>
      <c r="PWM79" s="12"/>
      <c r="PWN79" s="12"/>
      <c r="PWO79" s="12"/>
      <c r="PWP79" s="12"/>
      <c r="PWQ79" s="12"/>
      <c r="PWR79" s="12"/>
      <c r="PWS79" s="12"/>
      <c r="PWT79" s="12"/>
      <c r="PWU79" s="12"/>
      <c r="PWV79" s="12"/>
      <c r="PWW79" s="12"/>
      <c r="PWX79" s="12"/>
      <c r="PWY79" s="12"/>
      <c r="PWZ79" s="12"/>
      <c r="PXA79" s="12"/>
      <c r="PXB79" s="12"/>
      <c r="PXC79" s="12"/>
      <c r="PXD79" s="12"/>
      <c r="PXE79" s="12"/>
      <c r="PXF79" s="12"/>
      <c r="PXG79" s="12"/>
      <c r="PXH79" s="12"/>
      <c r="PXI79" s="12"/>
      <c r="PXJ79" s="12"/>
      <c r="PXK79" s="12"/>
      <c r="PXL79" s="12"/>
      <c r="PXM79" s="12"/>
      <c r="PXN79" s="12"/>
      <c r="PXO79" s="12"/>
      <c r="PXP79" s="12"/>
      <c r="PXQ79" s="12"/>
      <c r="PXR79" s="12"/>
      <c r="PXS79" s="12"/>
      <c r="PXT79" s="12"/>
      <c r="PXU79" s="12"/>
      <c r="PXV79" s="12"/>
      <c r="PXW79" s="12"/>
      <c r="PXX79" s="12"/>
      <c r="PXY79" s="12"/>
      <c r="PXZ79" s="12"/>
      <c r="PYA79" s="12"/>
      <c r="PYB79" s="12"/>
      <c r="PYC79" s="12"/>
      <c r="PYD79" s="12"/>
      <c r="PYE79" s="12"/>
      <c r="PYF79" s="12"/>
      <c r="PYG79" s="12"/>
      <c r="PYH79" s="12"/>
      <c r="PYI79" s="12"/>
      <c r="PYJ79" s="12"/>
      <c r="PYK79" s="12"/>
      <c r="PYL79" s="12"/>
      <c r="PYM79" s="12"/>
      <c r="PYN79" s="12"/>
      <c r="PYO79" s="12"/>
      <c r="PYP79" s="12"/>
      <c r="PYQ79" s="12"/>
      <c r="PYR79" s="12"/>
      <c r="PYS79" s="12"/>
      <c r="PYT79" s="12"/>
      <c r="PYU79" s="12"/>
      <c r="PYV79" s="12"/>
      <c r="PYW79" s="12"/>
      <c r="PYX79" s="12"/>
      <c r="PYY79" s="12"/>
      <c r="PYZ79" s="12"/>
      <c r="PZA79" s="12"/>
      <c r="PZB79" s="12"/>
      <c r="PZC79" s="12"/>
      <c r="PZD79" s="12"/>
      <c r="PZE79" s="12"/>
      <c r="PZF79" s="12"/>
      <c r="PZG79" s="12"/>
      <c r="PZH79" s="12"/>
      <c r="PZI79" s="12"/>
      <c r="PZJ79" s="12"/>
      <c r="PZK79" s="12"/>
      <c r="PZL79" s="12"/>
      <c r="PZM79" s="12"/>
      <c r="PZN79" s="12"/>
      <c r="PZO79" s="12"/>
      <c r="PZP79" s="12"/>
      <c r="PZQ79" s="12"/>
      <c r="PZR79" s="12"/>
      <c r="PZS79" s="12"/>
      <c r="PZT79" s="12"/>
      <c r="PZU79" s="12"/>
      <c r="PZV79" s="12"/>
      <c r="PZW79" s="12"/>
      <c r="PZX79" s="12"/>
      <c r="PZY79" s="12"/>
      <c r="PZZ79" s="12"/>
      <c r="QAA79" s="12"/>
      <c r="QAB79" s="12"/>
      <c r="QAC79" s="12"/>
      <c r="QAD79" s="12"/>
      <c r="QAE79" s="12"/>
      <c r="QAF79" s="12"/>
      <c r="QAG79" s="12"/>
      <c r="QAH79" s="12"/>
      <c r="QAI79" s="12"/>
      <c r="QAJ79" s="12"/>
      <c r="QAK79" s="12"/>
      <c r="QAL79" s="12"/>
      <c r="QAM79" s="12"/>
      <c r="QAN79" s="12"/>
      <c r="QAO79" s="12"/>
      <c r="QAP79" s="12"/>
      <c r="QAQ79" s="12"/>
      <c r="QAR79" s="12"/>
      <c r="QAS79" s="12"/>
      <c r="QAT79" s="12"/>
      <c r="QAU79" s="12"/>
      <c r="QAV79" s="12"/>
      <c r="QAW79" s="12"/>
      <c r="QAX79" s="12"/>
      <c r="QAY79" s="12"/>
      <c r="QAZ79" s="12"/>
      <c r="QBA79" s="12"/>
      <c r="QBB79" s="12"/>
      <c r="QBC79" s="12"/>
      <c r="QBD79" s="12"/>
      <c r="QBE79" s="12"/>
      <c r="QBF79" s="12"/>
      <c r="QBG79" s="12"/>
      <c r="QBH79" s="12"/>
      <c r="QBI79" s="12"/>
      <c r="QBJ79" s="12"/>
      <c r="QBK79" s="12"/>
      <c r="QBL79" s="12"/>
      <c r="QBM79" s="12"/>
      <c r="QBN79" s="12"/>
      <c r="QBO79" s="12"/>
      <c r="QBP79" s="12"/>
      <c r="QBQ79" s="12"/>
      <c r="QBR79" s="12"/>
      <c r="QBS79" s="12"/>
      <c r="QBT79" s="12"/>
      <c r="QBU79" s="12"/>
      <c r="QBV79" s="12"/>
      <c r="QBW79" s="12"/>
      <c r="QBX79" s="12"/>
      <c r="QBY79" s="12"/>
      <c r="QBZ79" s="12"/>
      <c r="QCA79" s="12"/>
      <c r="QCB79" s="12"/>
      <c r="QCC79" s="12"/>
      <c r="QCD79" s="12"/>
      <c r="QCE79" s="12"/>
      <c r="QCF79" s="12"/>
      <c r="QCG79" s="12"/>
      <c r="QCH79" s="12"/>
      <c r="QCI79" s="12"/>
      <c r="QCJ79" s="12"/>
      <c r="QCK79" s="12"/>
      <c r="QCL79" s="12"/>
      <c r="QCM79" s="12"/>
      <c r="QCN79" s="12"/>
      <c r="QCO79" s="12"/>
      <c r="QCP79" s="12"/>
      <c r="QCQ79" s="12"/>
      <c r="QCR79" s="12"/>
      <c r="QCS79" s="12"/>
      <c r="QCT79" s="12"/>
      <c r="QCU79" s="12"/>
      <c r="QCV79" s="12"/>
      <c r="QCW79" s="12"/>
      <c r="QCX79" s="12"/>
      <c r="QCY79" s="12"/>
      <c r="QCZ79" s="12"/>
      <c r="QDA79" s="12"/>
      <c r="QDB79" s="12"/>
      <c r="QDC79" s="12"/>
      <c r="QDD79" s="12"/>
      <c r="QDE79" s="12"/>
      <c r="QDF79" s="12"/>
      <c r="QDG79" s="12"/>
      <c r="QDH79" s="12"/>
      <c r="QDI79" s="12"/>
      <c r="QDJ79" s="12"/>
      <c r="QDK79" s="12"/>
      <c r="QDL79" s="12"/>
      <c r="QDM79" s="12"/>
      <c r="QDN79" s="12"/>
      <c r="QDO79" s="12"/>
      <c r="QDP79" s="12"/>
      <c r="QDQ79" s="12"/>
      <c r="QDR79" s="12"/>
      <c r="QDS79" s="12"/>
      <c r="QDT79" s="12"/>
      <c r="QDU79" s="12"/>
      <c r="QDV79" s="12"/>
      <c r="QDW79" s="12"/>
      <c r="QDX79" s="12"/>
      <c r="QDY79" s="12"/>
      <c r="QDZ79" s="12"/>
      <c r="QEA79" s="12"/>
      <c r="QEB79" s="12"/>
      <c r="QEC79" s="12"/>
      <c r="QED79" s="12"/>
      <c r="QEE79" s="12"/>
      <c r="QEF79" s="12"/>
      <c r="QEG79" s="12"/>
      <c r="QEH79" s="12"/>
      <c r="QEI79" s="12"/>
      <c r="QEJ79" s="12"/>
      <c r="QEK79" s="12"/>
      <c r="QEL79" s="12"/>
      <c r="QEM79" s="12"/>
      <c r="QEN79" s="12"/>
      <c r="QEO79" s="12"/>
      <c r="QEP79" s="12"/>
      <c r="QEQ79" s="12"/>
      <c r="QER79" s="12"/>
      <c r="QES79" s="12"/>
      <c r="QET79" s="12"/>
      <c r="QEU79" s="12"/>
      <c r="QEV79" s="12"/>
      <c r="QEW79" s="12"/>
      <c r="QEX79" s="12"/>
      <c r="QEY79" s="12"/>
      <c r="QEZ79" s="12"/>
      <c r="QFA79" s="12"/>
      <c r="QFB79" s="12"/>
      <c r="QFC79" s="12"/>
      <c r="QFD79" s="12"/>
      <c r="QFE79" s="12"/>
      <c r="QFF79" s="12"/>
      <c r="QFG79" s="12"/>
      <c r="QFH79" s="12"/>
      <c r="QFI79" s="12"/>
      <c r="QFJ79" s="12"/>
      <c r="QFK79" s="12"/>
      <c r="QFL79" s="12"/>
      <c r="QFM79" s="12"/>
      <c r="QFN79" s="12"/>
      <c r="QFO79" s="12"/>
      <c r="QFP79" s="12"/>
      <c r="QFQ79" s="12"/>
      <c r="QFR79" s="12"/>
      <c r="QFS79" s="12"/>
      <c r="QFT79" s="12"/>
      <c r="QFU79" s="12"/>
      <c r="QFV79" s="12"/>
      <c r="QFW79" s="12"/>
      <c r="QFX79" s="12"/>
      <c r="QFY79" s="12"/>
      <c r="QFZ79" s="12"/>
      <c r="QGA79" s="12"/>
      <c r="QGB79" s="12"/>
      <c r="QGC79" s="12"/>
      <c r="QGD79" s="12"/>
      <c r="QGE79" s="12"/>
      <c r="QGF79" s="12"/>
      <c r="QGG79" s="12"/>
      <c r="QGH79" s="12"/>
      <c r="QGI79" s="12"/>
      <c r="QGJ79" s="12"/>
      <c r="QGK79" s="12"/>
      <c r="QGL79" s="12"/>
      <c r="QGM79" s="12"/>
      <c r="QGN79" s="12"/>
      <c r="QGO79" s="12"/>
      <c r="QGP79" s="12"/>
      <c r="QGQ79" s="12"/>
      <c r="QGR79" s="12"/>
      <c r="QGS79" s="12"/>
      <c r="QGT79" s="12"/>
      <c r="QGU79" s="12"/>
      <c r="QGV79" s="12"/>
      <c r="QGW79" s="12"/>
      <c r="QGX79" s="12"/>
      <c r="QGY79" s="12"/>
      <c r="QGZ79" s="12"/>
      <c r="QHA79" s="12"/>
      <c r="QHB79" s="12"/>
      <c r="QHC79" s="12"/>
      <c r="QHD79" s="12"/>
      <c r="QHE79" s="12"/>
      <c r="QHF79" s="12"/>
      <c r="QHG79" s="12"/>
      <c r="QHH79" s="12"/>
      <c r="QHI79" s="12"/>
      <c r="QHJ79" s="12"/>
      <c r="QHK79" s="12"/>
      <c r="QHL79" s="12"/>
      <c r="QHM79" s="12"/>
      <c r="QHN79" s="12"/>
      <c r="QHO79" s="12"/>
      <c r="QHP79" s="12"/>
      <c r="QHQ79" s="12"/>
      <c r="QHR79" s="12"/>
      <c r="QHS79" s="12"/>
      <c r="QHT79" s="12"/>
      <c r="QHU79" s="12"/>
      <c r="QHV79" s="12"/>
      <c r="QHW79" s="12"/>
      <c r="QHX79" s="12"/>
      <c r="QHY79" s="12"/>
      <c r="QHZ79" s="12"/>
      <c r="QIA79" s="12"/>
      <c r="QIB79" s="12"/>
      <c r="QIC79" s="12"/>
      <c r="QID79" s="12"/>
      <c r="QIE79" s="12"/>
      <c r="QIF79" s="12"/>
      <c r="QIG79" s="12"/>
      <c r="QIH79" s="12"/>
      <c r="QII79" s="12"/>
      <c r="QIJ79" s="12"/>
      <c r="QIK79" s="12"/>
      <c r="QIL79" s="12"/>
      <c r="QIM79" s="12"/>
      <c r="QIN79" s="12"/>
      <c r="QIO79" s="12"/>
      <c r="QIP79" s="12"/>
      <c r="QIQ79" s="12"/>
      <c r="QIR79" s="12"/>
      <c r="QIS79" s="12"/>
      <c r="QIT79" s="12"/>
      <c r="QIU79" s="12"/>
      <c r="QIV79" s="12"/>
      <c r="QIW79" s="12"/>
      <c r="QIX79" s="12"/>
      <c r="QIY79" s="12"/>
      <c r="QIZ79" s="12"/>
      <c r="QJA79" s="12"/>
      <c r="QJB79" s="12"/>
      <c r="QJC79" s="12"/>
      <c r="QJD79" s="12"/>
      <c r="QJE79" s="12"/>
      <c r="QJF79" s="12"/>
      <c r="QJG79" s="12"/>
      <c r="QJH79" s="12"/>
      <c r="QJI79" s="12"/>
      <c r="QJJ79" s="12"/>
      <c r="QJK79" s="12"/>
      <c r="QJL79" s="12"/>
      <c r="QJM79" s="12"/>
      <c r="QJN79" s="12"/>
      <c r="QJO79" s="12"/>
      <c r="QJP79" s="12"/>
      <c r="QJQ79" s="12"/>
      <c r="QJR79" s="12"/>
      <c r="QJS79" s="12"/>
      <c r="QJT79" s="12"/>
      <c r="QJU79" s="12"/>
      <c r="QJV79" s="12"/>
      <c r="QJW79" s="12"/>
      <c r="QJX79" s="12"/>
      <c r="QJY79" s="12"/>
      <c r="QJZ79" s="12"/>
      <c r="QKA79" s="12"/>
      <c r="QKB79" s="12"/>
      <c r="QKC79" s="12"/>
      <c r="QKD79" s="12"/>
      <c r="QKE79" s="12"/>
      <c r="QKF79" s="12"/>
      <c r="QKG79" s="12"/>
      <c r="QKH79" s="12"/>
      <c r="QKI79" s="12"/>
      <c r="QKJ79" s="12"/>
      <c r="QKK79" s="12"/>
      <c r="QKL79" s="12"/>
      <c r="QKM79" s="12"/>
      <c r="QKN79" s="12"/>
      <c r="QKO79" s="12"/>
      <c r="QKP79" s="12"/>
      <c r="QKQ79" s="12"/>
      <c r="QKR79" s="12"/>
      <c r="QKS79" s="12"/>
      <c r="QKT79" s="12"/>
      <c r="QKU79" s="12"/>
      <c r="QKV79" s="12"/>
      <c r="QKW79" s="12"/>
      <c r="QKX79" s="12"/>
      <c r="QKY79" s="12"/>
      <c r="QKZ79" s="12"/>
      <c r="QLA79" s="12"/>
      <c r="QLB79" s="12"/>
      <c r="QLC79" s="12"/>
      <c r="QLD79" s="12"/>
      <c r="QLE79" s="12"/>
      <c r="QLF79" s="12"/>
      <c r="QLG79" s="12"/>
      <c r="QLH79" s="12"/>
      <c r="QLI79" s="12"/>
      <c r="QLJ79" s="12"/>
      <c r="QLK79" s="12"/>
      <c r="QLL79" s="12"/>
      <c r="QLM79" s="12"/>
      <c r="QLN79" s="12"/>
      <c r="QLO79" s="12"/>
      <c r="QLP79" s="12"/>
      <c r="QLQ79" s="12"/>
      <c r="QLR79" s="12"/>
      <c r="QLS79" s="12"/>
      <c r="QLT79" s="12"/>
      <c r="QLU79" s="12"/>
      <c r="QLV79" s="12"/>
      <c r="QLW79" s="12"/>
      <c r="QLX79" s="12"/>
      <c r="QLY79" s="12"/>
      <c r="QLZ79" s="12"/>
      <c r="QMA79" s="12"/>
      <c r="QMB79" s="12"/>
      <c r="QMC79" s="12"/>
      <c r="QMD79" s="12"/>
      <c r="QME79" s="12"/>
      <c r="QMF79" s="12"/>
      <c r="QMG79" s="12"/>
      <c r="QMH79" s="12"/>
      <c r="QMI79" s="12"/>
      <c r="QMJ79" s="12"/>
      <c r="QMK79" s="12"/>
      <c r="QML79" s="12"/>
      <c r="QMM79" s="12"/>
      <c r="QMN79" s="12"/>
      <c r="QMO79" s="12"/>
      <c r="QMP79" s="12"/>
      <c r="QMQ79" s="12"/>
      <c r="QMR79" s="12"/>
      <c r="QMS79" s="12"/>
      <c r="QMT79" s="12"/>
      <c r="QMU79" s="12"/>
      <c r="QMV79" s="12"/>
      <c r="QMW79" s="12"/>
      <c r="QMX79" s="12"/>
      <c r="QMY79" s="12"/>
      <c r="QMZ79" s="12"/>
      <c r="QNA79" s="12"/>
      <c r="QNB79" s="12"/>
      <c r="QNC79" s="12"/>
      <c r="QND79" s="12"/>
      <c r="QNE79" s="12"/>
      <c r="QNF79" s="12"/>
      <c r="QNG79" s="12"/>
      <c r="QNH79" s="12"/>
      <c r="QNI79" s="12"/>
      <c r="QNJ79" s="12"/>
      <c r="QNK79" s="12"/>
      <c r="QNL79" s="12"/>
      <c r="QNM79" s="12"/>
      <c r="QNN79" s="12"/>
      <c r="QNO79" s="12"/>
      <c r="QNP79" s="12"/>
      <c r="QNQ79" s="12"/>
      <c r="QNR79" s="12"/>
      <c r="QNS79" s="12"/>
      <c r="QNT79" s="12"/>
      <c r="QNU79" s="12"/>
      <c r="QNV79" s="12"/>
      <c r="QNW79" s="12"/>
      <c r="QNX79" s="12"/>
      <c r="QNY79" s="12"/>
      <c r="QNZ79" s="12"/>
      <c r="QOA79" s="12"/>
      <c r="QOB79" s="12"/>
      <c r="QOC79" s="12"/>
      <c r="QOD79" s="12"/>
      <c r="QOE79" s="12"/>
      <c r="QOF79" s="12"/>
      <c r="QOG79" s="12"/>
      <c r="QOH79" s="12"/>
      <c r="QOI79" s="12"/>
      <c r="QOJ79" s="12"/>
      <c r="QOK79" s="12"/>
      <c r="QOL79" s="12"/>
      <c r="QOM79" s="12"/>
      <c r="QON79" s="12"/>
      <c r="QOO79" s="12"/>
      <c r="QOP79" s="12"/>
      <c r="QOQ79" s="12"/>
      <c r="QOR79" s="12"/>
      <c r="QOS79" s="12"/>
      <c r="QOT79" s="12"/>
      <c r="QOU79" s="12"/>
      <c r="QOV79" s="12"/>
      <c r="QOW79" s="12"/>
      <c r="QOX79" s="12"/>
      <c r="QOY79" s="12"/>
      <c r="QOZ79" s="12"/>
      <c r="QPA79" s="12"/>
      <c r="QPB79" s="12"/>
      <c r="QPC79" s="12"/>
      <c r="QPD79" s="12"/>
      <c r="QPE79" s="12"/>
      <c r="QPF79" s="12"/>
      <c r="QPG79" s="12"/>
      <c r="QPH79" s="12"/>
      <c r="QPI79" s="12"/>
      <c r="QPJ79" s="12"/>
      <c r="QPK79" s="12"/>
      <c r="QPL79" s="12"/>
      <c r="QPM79" s="12"/>
      <c r="QPN79" s="12"/>
      <c r="QPO79" s="12"/>
      <c r="QPP79" s="12"/>
      <c r="QPQ79" s="12"/>
      <c r="QPR79" s="12"/>
      <c r="QPS79" s="12"/>
      <c r="QPT79" s="12"/>
      <c r="QPU79" s="12"/>
      <c r="QPV79" s="12"/>
      <c r="QPW79" s="12"/>
      <c r="QPX79" s="12"/>
      <c r="QPY79" s="12"/>
      <c r="QPZ79" s="12"/>
      <c r="QQA79" s="12"/>
      <c r="QQB79" s="12"/>
      <c r="QQC79" s="12"/>
      <c r="QQD79" s="12"/>
      <c r="QQE79" s="12"/>
      <c r="QQF79" s="12"/>
      <c r="QQG79" s="12"/>
      <c r="QQH79" s="12"/>
      <c r="QQI79" s="12"/>
      <c r="QQJ79" s="12"/>
      <c r="QQK79" s="12"/>
      <c r="QQL79" s="12"/>
      <c r="QQM79" s="12"/>
      <c r="QQN79" s="12"/>
      <c r="QQO79" s="12"/>
      <c r="QQP79" s="12"/>
      <c r="QQQ79" s="12"/>
      <c r="QQR79" s="12"/>
      <c r="QQS79" s="12"/>
      <c r="QQT79" s="12"/>
      <c r="QQU79" s="12"/>
      <c r="QQV79" s="12"/>
      <c r="QQW79" s="12"/>
      <c r="QQX79" s="12"/>
      <c r="QQY79" s="12"/>
      <c r="QQZ79" s="12"/>
      <c r="QRA79" s="12"/>
      <c r="QRB79" s="12"/>
      <c r="QRC79" s="12"/>
      <c r="QRD79" s="12"/>
      <c r="QRE79" s="12"/>
      <c r="QRF79" s="12"/>
      <c r="QRG79" s="12"/>
      <c r="QRH79" s="12"/>
      <c r="QRI79" s="12"/>
      <c r="QRJ79" s="12"/>
      <c r="QRK79" s="12"/>
      <c r="QRL79" s="12"/>
      <c r="QRM79" s="12"/>
      <c r="QRN79" s="12"/>
      <c r="QRO79" s="12"/>
      <c r="QRP79" s="12"/>
      <c r="QRQ79" s="12"/>
      <c r="QRR79" s="12"/>
      <c r="QRS79" s="12"/>
      <c r="QRT79" s="12"/>
      <c r="QRU79" s="12"/>
      <c r="QRV79" s="12"/>
      <c r="QRW79" s="12"/>
      <c r="QRX79" s="12"/>
      <c r="QRY79" s="12"/>
      <c r="QRZ79" s="12"/>
      <c r="QSA79" s="12"/>
      <c r="QSB79" s="12"/>
      <c r="QSC79" s="12"/>
      <c r="QSD79" s="12"/>
      <c r="QSE79" s="12"/>
      <c r="QSF79" s="12"/>
      <c r="QSG79" s="12"/>
      <c r="QSH79" s="12"/>
      <c r="QSI79" s="12"/>
      <c r="QSJ79" s="12"/>
      <c r="QSK79" s="12"/>
      <c r="QSL79" s="12"/>
      <c r="QSM79" s="12"/>
      <c r="QSN79" s="12"/>
      <c r="QSO79" s="12"/>
      <c r="QSP79" s="12"/>
      <c r="QSQ79" s="12"/>
      <c r="QSR79" s="12"/>
      <c r="QSS79" s="12"/>
      <c r="QST79" s="12"/>
      <c r="QSU79" s="12"/>
      <c r="QSV79" s="12"/>
      <c r="QSW79" s="12"/>
      <c r="QSX79" s="12"/>
      <c r="QSY79" s="12"/>
      <c r="QSZ79" s="12"/>
      <c r="QTA79" s="12"/>
      <c r="QTB79" s="12"/>
      <c r="QTC79" s="12"/>
      <c r="QTD79" s="12"/>
      <c r="QTE79" s="12"/>
      <c r="QTF79" s="12"/>
      <c r="QTG79" s="12"/>
      <c r="QTH79" s="12"/>
      <c r="QTI79" s="12"/>
      <c r="QTJ79" s="12"/>
      <c r="QTK79" s="12"/>
      <c r="QTL79" s="12"/>
      <c r="QTM79" s="12"/>
      <c r="QTN79" s="12"/>
      <c r="QTO79" s="12"/>
      <c r="QTP79" s="12"/>
      <c r="QTQ79" s="12"/>
      <c r="QTR79" s="12"/>
      <c r="QTS79" s="12"/>
      <c r="QTT79" s="12"/>
      <c r="QTU79" s="12"/>
      <c r="QTV79" s="12"/>
      <c r="QTW79" s="12"/>
      <c r="QTX79" s="12"/>
      <c r="QTY79" s="12"/>
      <c r="QTZ79" s="12"/>
      <c r="QUA79" s="12"/>
      <c r="QUB79" s="12"/>
      <c r="QUC79" s="12"/>
      <c r="QUD79" s="12"/>
      <c r="QUE79" s="12"/>
      <c r="QUF79" s="12"/>
      <c r="QUG79" s="12"/>
      <c r="QUH79" s="12"/>
      <c r="QUI79" s="12"/>
      <c r="QUJ79" s="12"/>
      <c r="QUK79" s="12"/>
      <c r="QUL79" s="12"/>
      <c r="QUM79" s="12"/>
      <c r="QUN79" s="12"/>
      <c r="QUO79" s="12"/>
      <c r="QUP79" s="12"/>
      <c r="QUQ79" s="12"/>
      <c r="QUR79" s="12"/>
      <c r="QUS79" s="12"/>
      <c r="QUT79" s="12"/>
      <c r="QUU79" s="12"/>
      <c r="QUV79" s="12"/>
      <c r="QUW79" s="12"/>
      <c r="QUX79" s="12"/>
      <c r="QUY79" s="12"/>
      <c r="QUZ79" s="12"/>
      <c r="QVA79" s="12"/>
      <c r="QVB79" s="12"/>
      <c r="QVC79" s="12"/>
      <c r="QVD79" s="12"/>
      <c r="QVE79" s="12"/>
      <c r="QVF79" s="12"/>
      <c r="QVG79" s="12"/>
      <c r="QVH79" s="12"/>
      <c r="QVI79" s="12"/>
      <c r="QVJ79" s="12"/>
      <c r="QVK79" s="12"/>
      <c r="QVL79" s="12"/>
      <c r="QVM79" s="12"/>
      <c r="QVN79" s="12"/>
      <c r="QVO79" s="12"/>
      <c r="QVP79" s="12"/>
      <c r="QVQ79" s="12"/>
      <c r="QVR79" s="12"/>
      <c r="QVS79" s="12"/>
      <c r="QVT79" s="12"/>
      <c r="QVU79" s="12"/>
      <c r="QVV79" s="12"/>
      <c r="QVW79" s="12"/>
      <c r="QVX79" s="12"/>
      <c r="QVY79" s="12"/>
      <c r="QVZ79" s="12"/>
      <c r="QWA79" s="12"/>
      <c r="QWB79" s="12"/>
      <c r="QWC79" s="12"/>
      <c r="QWD79" s="12"/>
      <c r="QWE79" s="12"/>
      <c r="QWF79" s="12"/>
      <c r="QWG79" s="12"/>
      <c r="QWH79" s="12"/>
      <c r="QWI79" s="12"/>
      <c r="QWJ79" s="12"/>
      <c r="QWK79" s="12"/>
      <c r="QWL79" s="12"/>
      <c r="QWM79" s="12"/>
      <c r="QWN79" s="12"/>
      <c r="QWO79" s="12"/>
      <c r="QWP79" s="12"/>
      <c r="QWQ79" s="12"/>
      <c r="QWR79" s="12"/>
      <c r="QWS79" s="12"/>
      <c r="QWT79" s="12"/>
      <c r="QWU79" s="12"/>
      <c r="QWV79" s="12"/>
      <c r="QWW79" s="12"/>
      <c r="QWX79" s="12"/>
      <c r="QWY79" s="12"/>
      <c r="QWZ79" s="12"/>
      <c r="QXA79" s="12"/>
      <c r="QXB79" s="12"/>
      <c r="QXC79" s="12"/>
      <c r="QXD79" s="12"/>
      <c r="QXE79" s="12"/>
      <c r="QXF79" s="12"/>
      <c r="QXG79" s="12"/>
      <c r="QXH79" s="12"/>
      <c r="QXI79" s="12"/>
      <c r="QXJ79" s="12"/>
      <c r="QXK79" s="12"/>
      <c r="QXL79" s="12"/>
      <c r="QXM79" s="12"/>
      <c r="QXN79" s="12"/>
      <c r="QXO79" s="12"/>
      <c r="QXP79" s="12"/>
      <c r="QXQ79" s="12"/>
      <c r="QXR79" s="12"/>
      <c r="QXS79" s="12"/>
      <c r="QXT79" s="12"/>
      <c r="QXU79" s="12"/>
      <c r="QXV79" s="12"/>
      <c r="QXW79" s="12"/>
      <c r="QXX79" s="12"/>
      <c r="QXY79" s="12"/>
      <c r="QXZ79" s="12"/>
      <c r="QYA79" s="12"/>
      <c r="QYB79" s="12"/>
      <c r="QYC79" s="12"/>
      <c r="QYD79" s="12"/>
      <c r="QYE79" s="12"/>
      <c r="QYF79" s="12"/>
      <c r="QYG79" s="12"/>
      <c r="QYH79" s="12"/>
      <c r="QYI79" s="12"/>
      <c r="QYJ79" s="12"/>
      <c r="QYK79" s="12"/>
      <c r="QYL79" s="12"/>
      <c r="QYM79" s="12"/>
      <c r="QYN79" s="12"/>
      <c r="QYO79" s="12"/>
      <c r="QYP79" s="12"/>
      <c r="QYQ79" s="12"/>
      <c r="QYR79" s="12"/>
      <c r="QYS79" s="12"/>
      <c r="QYT79" s="12"/>
      <c r="QYU79" s="12"/>
      <c r="QYV79" s="12"/>
      <c r="QYW79" s="12"/>
      <c r="QYX79" s="12"/>
      <c r="QYY79" s="12"/>
      <c r="QYZ79" s="12"/>
      <c r="QZA79" s="12"/>
      <c r="QZB79" s="12"/>
      <c r="QZC79" s="12"/>
      <c r="QZD79" s="12"/>
      <c r="QZE79" s="12"/>
      <c r="QZF79" s="12"/>
      <c r="QZG79" s="12"/>
      <c r="QZH79" s="12"/>
      <c r="QZI79" s="12"/>
      <c r="QZJ79" s="12"/>
      <c r="QZK79" s="12"/>
      <c r="QZL79" s="12"/>
      <c r="QZM79" s="12"/>
      <c r="QZN79" s="12"/>
      <c r="QZO79" s="12"/>
      <c r="QZP79" s="12"/>
      <c r="QZQ79" s="12"/>
      <c r="QZR79" s="12"/>
      <c r="QZS79" s="12"/>
      <c r="QZT79" s="12"/>
      <c r="QZU79" s="12"/>
      <c r="QZV79" s="12"/>
      <c r="QZW79" s="12"/>
      <c r="QZX79" s="12"/>
      <c r="QZY79" s="12"/>
      <c r="QZZ79" s="12"/>
      <c r="RAA79" s="12"/>
      <c r="RAB79" s="12"/>
      <c r="RAC79" s="12"/>
      <c r="RAD79" s="12"/>
      <c r="RAE79" s="12"/>
      <c r="RAF79" s="12"/>
      <c r="RAG79" s="12"/>
      <c r="RAH79" s="12"/>
      <c r="RAI79" s="12"/>
      <c r="RAJ79" s="12"/>
      <c r="RAK79" s="12"/>
      <c r="RAL79" s="12"/>
      <c r="RAM79" s="12"/>
      <c r="RAN79" s="12"/>
      <c r="RAO79" s="12"/>
      <c r="RAP79" s="12"/>
      <c r="RAQ79" s="12"/>
      <c r="RAR79" s="12"/>
      <c r="RAS79" s="12"/>
      <c r="RAT79" s="12"/>
      <c r="RAU79" s="12"/>
      <c r="RAV79" s="12"/>
      <c r="RAW79" s="12"/>
      <c r="RAX79" s="12"/>
      <c r="RAY79" s="12"/>
      <c r="RAZ79" s="12"/>
      <c r="RBA79" s="12"/>
      <c r="RBB79" s="12"/>
      <c r="RBC79" s="12"/>
      <c r="RBD79" s="12"/>
      <c r="RBE79" s="12"/>
      <c r="RBF79" s="12"/>
      <c r="RBG79" s="12"/>
      <c r="RBH79" s="12"/>
      <c r="RBI79" s="12"/>
      <c r="RBJ79" s="12"/>
      <c r="RBK79" s="12"/>
      <c r="RBL79" s="12"/>
      <c r="RBM79" s="12"/>
      <c r="RBN79" s="12"/>
      <c r="RBO79" s="12"/>
      <c r="RBP79" s="12"/>
      <c r="RBQ79" s="12"/>
      <c r="RBR79" s="12"/>
      <c r="RBS79" s="12"/>
      <c r="RBT79" s="12"/>
      <c r="RBU79" s="12"/>
      <c r="RBV79" s="12"/>
      <c r="RBW79" s="12"/>
      <c r="RBX79" s="12"/>
      <c r="RBY79" s="12"/>
      <c r="RBZ79" s="12"/>
      <c r="RCA79" s="12"/>
      <c r="RCB79" s="12"/>
      <c r="RCC79" s="12"/>
      <c r="RCD79" s="12"/>
      <c r="RCE79" s="12"/>
      <c r="RCF79" s="12"/>
      <c r="RCG79" s="12"/>
      <c r="RCH79" s="12"/>
      <c r="RCI79" s="12"/>
      <c r="RCJ79" s="12"/>
      <c r="RCK79" s="12"/>
      <c r="RCL79" s="12"/>
      <c r="RCM79" s="12"/>
      <c r="RCN79" s="12"/>
      <c r="RCO79" s="12"/>
      <c r="RCP79" s="12"/>
      <c r="RCQ79" s="12"/>
      <c r="RCR79" s="12"/>
      <c r="RCS79" s="12"/>
      <c r="RCT79" s="12"/>
      <c r="RCU79" s="12"/>
      <c r="RCV79" s="12"/>
      <c r="RCW79" s="12"/>
      <c r="RCX79" s="12"/>
      <c r="RCY79" s="12"/>
      <c r="RCZ79" s="12"/>
      <c r="RDA79" s="12"/>
      <c r="RDB79" s="12"/>
      <c r="RDC79" s="12"/>
      <c r="RDD79" s="12"/>
      <c r="RDE79" s="12"/>
      <c r="RDF79" s="12"/>
      <c r="RDG79" s="12"/>
      <c r="RDH79" s="12"/>
      <c r="RDI79" s="12"/>
      <c r="RDJ79" s="12"/>
      <c r="RDK79" s="12"/>
      <c r="RDL79" s="12"/>
      <c r="RDM79" s="12"/>
      <c r="RDN79" s="12"/>
      <c r="RDO79" s="12"/>
      <c r="RDP79" s="12"/>
      <c r="RDQ79" s="12"/>
      <c r="RDR79" s="12"/>
      <c r="RDS79" s="12"/>
      <c r="RDT79" s="12"/>
      <c r="RDU79" s="12"/>
      <c r="RDV79" s="12"/>
      <c r="RDW79" s="12"/>
      <c r="RDX79" s="12"/>
      <c r="RDY79" s="12"/>
      <c r="RDZ79" s="12"/>
      <c r="REA79" s="12"/>
      <c r="REB79" s="12"/>
      <c r="REC79" s="12"/>
      <c r="RED79" s="12"/>
      <c r="REE79" s="12"/>
      <c r="REF79" s="12"/>
      <c r="REG79" s="12"/>
      <c r="REH79" s="12"/>
      <c r="REI79" s="12"/>
      <c r="REJ79" s="12"/>
      <c r="REK79" s="12"/>
      <c r="REL79" s="12"/>
      <c r="REM79" s="12"/>
      <c r="REN79" s="12"/>
      <c r="REO79" s="12"/>
      <c r="REP79" s="12"/>
      <c r="REQ79" s="12"/>
      <c r="RER79" s="12"/>
      <c r="RES79" s="12"/>
      <c r="RET79" s="12"/>
      <c r="REU79" s="12"/>
      <c r="REV79" s="12"/>
      <c r="REW79" s="12"/>
      <c r="REX79" s="12"/>
      <c r="REY79" s="12"/>
      <c r="REZ79" s="12"/>
      <c r="RFA79" s="12"/>
      <c r="RFB79" s="12"/>
      <c r="RFC79" s="12"/>
      <c r="RFD79" s="12"/>
      <c r="RFE79" s="12"/>
      <c r="RFF79" s="12"/>
      <c r="RFG79" s="12"/>
      <c r="RFH79" s="12"/>
      <c r="RFI79" s="12"/>
      <c r="RFJ79" s="12"/>
      <c r="RFK79" s="12"/>
      <c r="RFL79" s="12"/>
      <c r="RFM79" s="12"/>
      <c r="RFN79" s="12"/>
      <c r="RFO79" s="12"/>
      <c r="RFP79" s="12"/>
      <c r="RFQ79" s="12"/>
      <c r="RFR79" s="12"/>
      <c r="RFS79" s="12"/>
      <c r="RFT79" s="12"/>
      <c r="RFU79" s="12"/>
      <c r="RFV79" s="12"/>
      <c r="RFW79" s="12"/>
      <c r="RFX79" s="12"/>
      <c r="RFY79" s="12"/>
      <c r="RFZ79" s="12"/>
      <c r="RGA79" s="12"/>
      <c r="RGB79" s="12"/>
      <c r="RGC79" s="12"/>
      <c r="RGD79" s="12"/>
      <c r="RGE79" s="12"/>
      <c r="RGF79" s="12"/>
      <c r="RGG79" s="12"/>
      <c r="RGH79" s="12"/>
      <c r="RGI79" s="12"/>
      <c r="RGJ79" s="12"/>
      <c r="RGK79" s="12"/>
      <c r="RGL79" s="12"/>
      <c r="RGM79" s="12"/>
      <c r="RGN79" s="12"/>
      <c r="RGO79" s="12"/>
      <c r="RGP79" s="12"/>
      <c r="RGQ79" s="12"/>
      <c r="RGR79" s="12"/>
      <c r="RGS79" s="12"/>
      <c r="RGT79" s="12"/>
      <c r="RGU79" s="12"/>
      <c r="RGV79" s="12"/>
      <c r="RGW79" s="12"/>
      <c r="RGX79" s="12"/>
      <c r="RGY79" s="12"/>
      <c r="RGZ79" s="12"/>
      <c r="RHA79" s="12"/>
      <c r="RHB79" s="12"/>
      <c r="RHC79" s="12"/>
      <c r="RHD79" s="12"/>
      <c r="RHE79" s="12"/>
      <c r="RHF79" s="12"/>
      <c r="RHG79" s="12"/>
      <c r="RHH79" s="12"/>
      <c r="RHI79" s="12"/>
      <c r="RHJ79" s="12"/>
      <c r="RHK79" s="12"/>
      <c r="RHL79" s="12"/>
      <c r="RHM79" s="12"/>
      <c r="RHN79" s="12"/>
      <c r="RHO79" s="12"/>
      <c r="RHP79" s="12"/>
      <c r="RHQ79" s="12"/>
      <c r="RHR79" s="12"/>
      <c r="RHS79" s="12"/>
      <c r="RHT79" s="12"/>
      <c r="RHU79" s="12"/>
      <c r="RHV79" s="12"/>
      <c r="RHW79" s="12"/>
      <c r="RHX79" s="12"/>
      <c r="RHY79" s="12"/>
      <c r="RHZ79" s="12"/>
      <c r="RIA79" s="12"/>
      <c r="RIB79" s="12"/>
      <c r="RIC79" s="12"/>
      <c r="RID79" s="12"/>
      <c r="RIE79" s="12"/>
      <c r="RIF79" s="12"/>
      <c r="RIG79" s="12"/>
      <c r="RIH79" s="12"/>
      <c r="RII79" s="12"/>
      <c r="RIJ79" s="12"/>
      <c r="RIK79" s="12"/>
      <c r="RIL79" s="12"/>
      <c r="RIM79" s="12"/>
      <c r="RIN79" s="12"/>
      <c r="RIO79" s="12"/>
      <c r="RIP79" s="12"/>
      <c r="RIQ79" s="12"/>
      <c r="RIR79" s="12"/>
      <c r="RIS79" s="12"/>
      <c r="RIT79" s="12"/>
      <c r="RIU79" s="12"/>
      <c r="RIV79" s="12"/>
      <c r="RIW79" s="12"/>
      <c r="RIX79" s="12"/>
      <c r="RIY79" s="12"/>
      <c r="RIZ79" s="12"/>
      <c r="RJA79" s="12"/>
      <c r="RJB79" s="12"/>
      <c r="RJC79" s="12"/>
      <c r="RJD79" s="12"/>
      <c r="RJE79" s="12"/>
      <c r="RJF79" s="12"/>
      <c r="RJG79" s="12"/>
      <c r="RJH79" s="12"/>
      <c r="RJI79" s="12"/>
      <c r="RJJ79" s="12"/>
      <c r="RJK79" s="12"/>
      <c r="RJL79" s="12"/>
      <c r="RJM79" s="12"/>
      <c r="RJN79" s="12"/>
      <c r="RJO79" s="12"/>
      <c r="RJP79" s="12"/>
      <c r="RJQ79" s="12"/>
      <c r="RJR79" s="12"/>
      <c r="RJS79" s="12"/>
      <c r="RJT79" s="12"/>
      <c r="RJU79" s="12"/>
      <c r="RJV79" s="12"/>
      <c r="RJW79" s="12"/>
      <c r="RJX79" s="12"/>
      <c r="RJY79" s="12"/>
      <c r="RJZ79" s="12"/>
      <c r="RKA79" s="12"/>
      <c r="RKB79" s="12"/>
      <c r="RKC79" s="12"/>
      <c r="RKD79" s="12"/>
      <c r="RKE79" s="12"/>
      <c r="RKF79" s="12"/>
      <c r="RKG79" s="12"/>
      <c r="RKH79" s="12"/>
      <c r="RKI79" s="12"/>
      <c r="RKJ79" s="12"/>
      <c r="RKK79" s="12"/>
      <c r="RKL79" s="12"/>
      <c r="RKM79" s="12"/>
      <c r="RKN79" s="12"/>
      <c r="RKO79" s="12"/>
      <c r="RKP79" s="12"/>
      <c r="RKQ79" s="12"/>
      <c r="RKR79" s="12"/>
      <c r="RKS79" s="12"/>
      <c r="RKT79" s="12"/>
      <c r="RKU79" s="12"/>
      <c r="RKV79" s="12"/>
      <c r="RKW79" s="12"/>
      <c r="RKX79" s="12"/>
      <c r="RKY79" s="12"/>
      <c r="RKZ79" s="12"/>
      <c r="RLA79" s="12"/>
      <c r="RLB79" s="12"/>
      <c r="RLC79" s="12"/>
      <c r="RLD79" s="12"/>
      <c r="RLE79" s="12"/>
      <c r="RLF79" s="12"/>
      <c r="RLG79" s="12"/>
      <c r="RLH79" s="12"/>
      <c r="RLI79" s="12"/>
      <c r="RLJ79" s="12"/>
      <c r="RLK79" s="12"/>
      <c r="RLL79" s="12"/>
      <c r="RLM79" s="12"/>
      <c r="RLN79" s="12"/>
      <c r="RLO79" s="12"/>
      <c r="RLP79" s="12"/>
      <c r="RLQ79" s="12"/>
      <c r="RLR79" s="12"/>
      <c r="RLS79" s="12"/>
      <c r="RLT79" s="12"/>
      <c r="RLU79" s="12"/>
      <c r="RLV79" s="12"/>
      <c r="RLW79" s="12"/>
      <c r="RLX79" s="12"/>
      <c r="RLY79" s="12"/>
      <c r="RLZ79" s="12"/>
      <c r="RMA79" s="12"/>
      <c r="RMB79" s="12"/>
      <c r="RMC79" s="12"/>
      <c r="RMD79" s="12"/>
      <c r="RME79" s="12"/>
      <c r="RMF79" s="12"/>
      <c r="RMG79" s="12"/>
      <c r="RMH79" s="12"/>
      <c r="RMI79" s="12"/>
      <c r="RMJ79" s="12"/>
      <c r="RMK79" s="12"/>
      <c r="RML79" s="12"/>
      <c r="RMM79" s="12"/>
      <c r="RMN79" s="12"/>
      <c r="RMO79" s="12"/>
      <c r="RMP79" s="12"/>
      <c r="RMQ79" s="12"/>
      <c r="RMR79" s="12"/>
      <c r="RMS79" s="12"/>
      <c r="RMT79" s="12"/>
      <c r="RMU79" s="12"/>
      <c r="RMV79" s="12"/>
      <c r="RMW79" s="12"/>
      <c r="RMX79" s="12"/>
      <c r="RMY79" s="12"/>
      <c r="RMZ79" s="12"/>
      <c r="RNA79" s="12"/>
      <c r="RNB79" s="12"/>
      <c r="RNC79" s="12"/>
      <c r="RND79" s="12"/>
      <c r="RNE79" s="12"/>
      <c r="RNF79" s="12"/>
      <c r="RNG79" s="12"/>
      <c r="RNH79" s="12"/>
      <c r="RNI79" s="12"/>
      <c r="RNJ79" s="12"/>
      <c r="RNK79" s="12"/>
      <c r="RNL79" s="12"/>
      <c r="RNM79" s="12"/>
      <c r="RNN79" s="12"/>
      <c r="RNO79" s="12"/>
      <c r="RNP79" s="12"/>
      <c r="RNQ79" s="12"/>
      <c r="RNR79" s="12"/>
      <c r="RNS79" s="12"/>
      <c r="RNT79" s="12"/>
      <c r="RNU79" s="12"/>
      <c r="RNV79" s="12"/>
      <c r="RNW79" s="12"/>
      <c r="RNX79" s="12"/>
      <c r="RNY79" s="12"/>
      <c r="RNZ79" s="12"/>
      <c r="ROA79" s="12"/>
      <c r="ROB79" s="12"/>
      <c r="ROC79" s="12"/>
      <c r="ROD79" s="12"/>
      <c r="ROE79" s="12"/>
      <c r="ROF79" s="12"/>
      <c r="ROG79" s="12"/>
      <c r="ROH79" s="12"/>
      <c r="ROI79" s="12"/>
      <c r="ROJ79" s="12"/>
      <c r="ROK79" s="12"/>
      <c r="ROL79" s="12"/>
      <c r="ROM79" s="12"/>
      <c r="RON79" s="12"/>
      <c r="ROO79" s="12"/>
      <c r="ROP79" s="12"/>
      <c r="ROQ79" s="12"/>
      <c r="ROR79" s="12"/>
      <c r="ROS79" s="12"/>
      <c r="ROT79" s="12"/>
      <c r="ROU79" s="12"/>
      <c r="ROV79" s="12"/>
      <c r="ROW79" s="12"/>
      <c r="ROX79" s="12"/>
      <c r="ROY79" s="12"/>
      <c r="ROZ79" s="12"/>
      <c r="RPA79" s="12"/>
      <c r="RPB79" s="12"/>
      <c r="RPC79" s="12"/>
      <c r="RPD79" s="12"/>
      <c r="RPE79" s="12"/>
      <c r="RPF79" s="12"/>
      <c r="RPG79" s="12"/>
      <c r="RPH79" s="12"/>
      <c r="RPI79" s="12"/>
      <c r="RPJ79" s="12"/>
      <c r="RPK79" s="12"/>
      <c r="RPL79" s="12"/>
      <c r="RPM79" s="12"/>
      <c r="RPN79" s="12"/>
      <c r="RPO79" s="12"/>
      <c r="RPP79" s="12"/>
      <c r="RPQ79" s="12"/>
      <c r="RPR79" s="12"/>
      <c r="RPS79" s="12"/>
      <c r="RPT79" s="12"/>
      <c r="RPU79" s="12"/>
      <c r="RPV79" s="12"/>
      <c r="RPW79" s="12"/>
      <c r="RPX79" s="12"/>
      <c r="RPY79" s="12"/>
      <c r="RPZ79" s="12"/>
      <c r="RQA79" s="12"/>
      <c r="RQB79" s="12"/>
      <c r="RQC79" s="12"/>
      <c r="RQD79" s="12"/>
      <c r="RQE79" s="12"/>
      <c r="RQF79" s="12"/>
      <c r="RQG79" s="12"/>
      <c r="RQH79" s="12"/>
      <c r="RQI79" s="12"/>
      <c r="RQJ79" s="12"/>
      <c r="RQK79" s="12"/>
      <c r="RQL79" s="12"/>
      <c r="RQM79" s="12"/>
      <c r="RQN79" s="12"/>
      <c r="RQO79" s="12"/>
      <c r="RQP79" s="12"/>
      <c r="RQQ79" s="12"/>
      <c r="RQR79" s="12"/>
      <c r="RQS79" s="12"/>
      <c r="RQT79" s="12"/>
      <c r="RQU79" s="12"/>
      <c r="RQV79" s="12"/>
      <c r="RQW79" s="12"/>
      <c r="RQX79" s="12"/>
      <c r="RQY79" s="12"/>
      <c r="RQZ79" s="12"/>
      <c r="RRA79" s="12"/>
      <c r="RRB79" s="12"/>
      <c r="RRC79" s="12"/>
      <c r="RRD79" s="12"/>
      <c r="RRE79" s="12"/>
      <c r="RRF79" s="12"/>
      <c r="RRG79" s="12"/>
      <c r="RRH79" s="12"/>
      <c r="RRI79" s="12"/>
      <c r="RRJ79" s="12"/>
      <c r="RRK79" s="12"/>
      <c r="RRL79" s="12"/>
      <c r="RRM79" s="12"/>
      <c r="RRN79" s="12"/>
      <c r="RRO79" s="12"/>
      <c r="RRP79" s="12"/>
      <c r="RRQ79" s="12"/>
      <c r="RRR79" s="12"/>
      <c r="RRS79" s="12"/>
      <c r="RRT79" s="12"/>
      <c r="RRU79" s="12"/>
      <c r="RRV79" s="12"/>
      <c r="RRW79" s="12"/>
      <c r="RRX79" s="12"/>
      <c r="RRY79" s="12"/>
      <c r="RRZ79" s="12"/>
      <c r="RSA79" s="12"/>
      <c r="RSB79" s="12"/>
      <c r="RSC79" s="12"/>
      <c r="RSD79" s="12"/>
      <c r="RSE79" s="12"/>
      <c r="RSF79" s="12"/>
      <c r="RSG79" s="12"/>
      <c r="RSH79" s="12"/>
      <c r="RSI79" s="12"/>
      <c r="RSJ79" s="12"/>
      <c r="RSK79" s="12"/>
      <c r="RSL79" s="12"/>
      <c r="RSM79" s="12"/>
      <c r="RSN79" s="12"/>
      <c r="RSO79" s="12"/>
      <c r="RSP79" s="12"/>
      <c r="RSQ79" s="12"/>
      <c r="RSR79" s="12"/>
      <c r="RSS79" s="12"/>
      <c r="RST79" s="12"/>
      <c r="RSU79" s="12"/>
      <c r="RSV79" s="12"/>
      <c r="RSW79" s="12"/>
      <c r="RSX79" s="12"/>
      <c r="RSY79" s="12"/>
      <c r="RSZ79" s="12"/>
      <c r="RTA79" s="12"/>
      <c r="RTB79" s="12"/>
      <c r="RTC79" s="12"/>
      <c r="RTD79" s="12"/>
      <c r="RTE79" s="12"/>
      <c r="RTF79" s="12"/>
      <c r="RTG79" s="12"/>
      <c r="RTH79" s="12"/>
      <c r="RTI79" s="12"/>
      <c r="RTJ79" s="12"/>
      <c r="RTK79" s="12"/>
      <c r="RTL79" s="12"/>
      <c r="RTM79" s="12"/>
      <c r="RTN79" s="12"/>
      <c r="RTO79" s="12"/>
      <c r="RTP79" s="12"/>
      <c r="RTQ79" s="12"/>
      <c r="RTR79" s="12"/>
      <c r="RTS79" s="12"/>
      <c r="RTT79" s="12"/>
      <c r="RTU79" s="12"/>
      <c r="RTV79" s="12"/>
      <c r="RTW79" s="12"/>
      <c r="RTX79" s="12"/>
      <c r="RTY79" s="12"/>
      <c r="RTZ79" s="12"/>
      <c r="RUA79" s="12"/>
      <c r="RUB79" s="12"/>
      <c r="RUC79" s="12"/>
      <c r="RUD79" s="12"/>
      <c r="RUE79" s="12"/>
      <c r="RUF79" s="12"/>
      <c r="RUG79" s="12"/>
      <c r="RUH79" s="12"/>
      <c r="RUI79" s="12"/>
      <c r="RUJ79" s="12"/>
      <c r="RUK79" s="12"/>
      <c r="RUL79" s="12"/>
      <c r="RUM79" s="12"/>
      <c r="RUN79" s="12"/>
      <c r="RUO79" s="12"/>
      <c r="RUP79" s="12"/>
      <c r="RUQ79" s="12"/>
      <c r="RUR79" s="12"/>
      <c r="RUS79" s="12"/>
      <c r="RUT79" s="12"/>
      <c r="RUU79" s="12"/>
      <c r="RUV79" s="12"/>
      <c r="RUW79" s="12"/>
      <c r="RUX79" s="12"/>
      <c r="RUY79" s="12"/>
      <c r="RUZ79" s="12"/>
      <c r="RVA79" s="12"/>
      <c r="RVB79" s="12"/>
      <c r="RVC79" s="12"/>
      <c r="RVD79" s="12"/>
      <c r="RVE79" s="12"/>
      <c r="RVF79" s="12"/>
      <c r="RVG79" s="12"/>
      <c r="RVH79" s="12"/>
      <c r="RVI79" s="12"/>
      <c r="RVJ79" s="12"/>
      <c r="RVK79" s="12"/>
      <c r="RVL79" s="12"/>
      <c r="RVM79" s="12"/>
      <c r="RVN79" s="12"/>
      <c r="RVO79" s="12"/>
      <c r="RVP79" s="12"/>
      <c r="RVQ79" s="12"/>
      <c r="RVR79" s="12"/>
      <c r="RVS79" s="12"/>
      <c r="RVT79" s="12"/>
      <c r="RVU79" s="12"/>
      <c r="RVV79" s="12"/>
      <c r="RVW79" s="12"/>
      <c r="RVX79" s="12"/>
      <c r="RVY79" s="12"/>
      <c r="RVZ79" s="12"/>
      <c r="RWA79" s="12"/>
      <c r="RWB79" s="12"/>
      <c r="RWC79" s="12"/>
      <c r="RWD79" s="12"/>
      <c r="RWE79" s="12"/>
      <c r="RWF79" s="12"/>
      <c r="RWG79" s="12"/>
      <c r="RWH79" s="12"/>
      <c r="RWI79" s="12"/>
      <c r="RWJ79" s="12"/>
      <c r="RWK79" s="12"/>
      <c r="RWL79" s="12"/>
      <c r="RWM79" s="12"/>
      <c r="RWN79" s="12"/>
      <c r="RWO79" s="12"/>
      <c r="RWP79" s="12"/>
      <c r="RWQ79" s="12"/>
      <c r="RWR79" s="12"/>
      <c r="RWS79" s="12"/>
      <c r="RWT79" s="12"/>
      <c r="RWU79" s="12"/>
      <c r="RWV79" s="12"/>
      <c r="RWW79" s="12"/>
      <c r="RWX79" s="12"/>
      <c r="RWY79" s="12"/>
      <c r="RWZ79" s="12"/>
      <c r="RXA79" s="12"/>
      <c r="RXB79" s="12"/>
      <c r="RXC79" s="12"/>
      <c r="RXD79" s="12"/>
      <c r="RXE79" s="12"/>
      <c r="RXF79" s="12"/>
      <c r="RXG79" s="12"/>
      <c r="RXH79" s="12"/>
      <c r="RXI79" s="12"/>
      <c r="RXJ79" s="12"/>
      <c r="RXK79" s="12"/>
      <c r="RXL79" s="12"/>
      <c r="RXM79" s="12"/>
      <c r="RXN79" s="12"/>
      <c r="RXO79" s="12"/>
      <c r="RXP79" s="12"/>
      <c r="RXQ79" s="12"/>
      <c r="RXR79" s="12"/>
      <c r="RXS79" s="12"/>
      <c r="RXT79" s="12"/>
      <c r="RXU79" s="12"/>
      <c r="RXV79" s="12"/>
      <c r="RXW79" s="12"/>
      <c r="RXX79" s="12"/>
      <c r="RXY79" s="12"/>
      <c r="RXZ79" s="12"/>
      <c r="RYA79" s="12"/>
      <c r="RYB79" s="12"/>
      <c r="RYC79" s="12"/>
      <c r="RYD79" s="12"/>
      <c r="RYE79" s="12"/>
      <c r="RYF79" s="12"/>
      <c r="RYG79" s="12"/>
      <c r="RYH79" s="12"/>
      <c r="RYI79" s="12"/>
      <c r="RYJ79" s="12"/>
      <c r="RYK79" s="12"/>
      <c r="RYL79" s="12"/>
      <c r="RYM79" s="12"/>
      <c r="RYN79" s="12"/>
      <c r="RYO79" s="12"/>
      <c r="RYP79" s="12"/>
      <c r="RYQ79" s="12"/>
      <c r="RYR79" s="12"/>
      <c r="RYS79" s="12"/>
      <c r="RYT79" s="12"/>
      <c r="RYU79" s="12"/>
      <c r="RYV79" s="12"/>
      <c r="RYW79" s="12"/>
      <c r="RYX79" s="12"/>
      <c r="RYY79" s="12"/>
      <c r="RYZ79" s="12"/>
      <c r="RZA79" s="12"/>
      <c r="RZB79" s="12"/>
      <c r="RZC79" s="12"/>
      <c r="RZD79" s="12"/>
      <c r="RZE79" s="12"/>
      <c r="RZF79" s="12"/>
      <c r="RZG79" s="12"/>
      <c r="RZH79" s="12"/>
      <c r="RZI79" s="12"/>
      <c r="RZJ79" s="12"/>
      <c r="RZK79" s="12"/>
      <c r="RZL79" s="12"/>
      <c r="RZM79" s="12"/>
      <c r="RZN79" s="12"/>
      <c r="RZO79" s="12"/>
      <c r="RZP79" s="12"/>
      <c r="RZQ79" s="12"/>
      <c r="RZR79" s="12"/>
      <c r="RZS79" s="12"/>
      <c r="RZT79" s="12"/>
      <c r="RZU79" s="12"/>
      <c r="RZV79" s="12"/>
      <c r="RZW79" s="12"/>
      <c r="RZX79" s="12"/>
      <c r="RZY79" s="12"/>
      <c r="RZZ79" s="12"/>
      <c r="SAA79" s="12"/>
      <c r="SAB79" s="12"/>
      <c r="SAC79" s="12"/>
      <c r="SAD79" s="12"/>
      <c r="SAE79" s="12"/>
      <c r="SAF79" s="12"/>
      <c r="SAG79" s="12"/>
      <c r="SAH79" s="12"/>
      <c r="SAI79" s="12"/>
      <c r="SAJ79" s="12"/>
      <c r="SAK79" s="12"/>
      <c r="SAL79" s="12"/>
      <c r="SAM79" s="12"/>
      <c r="SAN79" s="12"/>
      <c r="SAO79" s="12"/>
      <c r="SAP79" s="12"/>
      <c r="SAQ79" s="12"/>
      <c r="SAR79" s="12"/>
      <c r="SAS79" s="12"/>
      <c r="SAT79" s="12"/>
      <c r="SAU79" s="12"/>
      <c r="SAV79" s="12"/>
      <c r="SAW79" s="12"/>
      <c r="SAX79" s="12"/>
      <c r="SAY79" s="12"/>
      <c r="SAZ79" s="12"/>
      <c r="SBA79" s="12"/>
      <c r="SBB79" s="12"/>
      <c r="SBC79" s="12"/>
      <c r="SBD79" s="12"/>
      <c r="SBE79" s="12"/>
      <c r="SBF79" s="12"/>
      <c r="SBG79" s="12"/>
      <c r="SBH79" s="12"/>
      <c r="SBI79" s="12"/>
      <c r="SBJ79" s="12"/>
      <c r="SBK79" s="12"/>
      <c r="SBL79" s="12"/>
      <c r="SBM79" s="12"/>
      <c r="SBN79" s="12"/>
      <c r="SBO79" s="12"/>
      <c r="SBP79" s="12"/>
      <c r="SBQ79" s="12"/>
      <c r="SBR79" s="12"/>
      <c r="SBS79" s="12"/>
      <c r="SBT79" s="12"/>
      <c r="SBU79" s="12"/>
      <c r="SBV79" s="12"/>
      <c r="SBW79" s="12"/>
      <c r="SBX79" s="12"/>
      <c r="SBY79" s="12"/>
      <c r="SBZ79" s="12"/>
      <c r="SCA79" s="12"/>
      <c r="SCB79" s="12"/>
      <c r="SCC79" s="12"/>
      <c r="SCD79" s="12"/>
      <c r="SCE79" s="12"/>
      <c r="SCF79" s="12"/>
      <c r="SCG79" s="12"/>
      <c r="SCH79" s="12"/>
      <c r="SCI79" s="12"/>
      <c r="SCJ79" s="12"/>
      <c r="SCK79" s="12"/>
      <c r="SCL79" s="12"/>
      <c r="SCM79" s="12"/>
      <c r="SCN79" s="12"/>
      <c r="SCO79" s="12"/>
      <c r="SCP79" s="12"/>
      <c r="SCQ79" s="12"/>
      <c r="SCR79" s="12"/>
      <c r="SCS79" s="12"/>
      <c r="SCT79" s="12"/>
      <c r="SCU79" s="12"/>
      <c r="SCV79" s="12"/>
      <c r="SCW79" s="12"/>
      <c r="SCX79" s="12"/>
      <c r="SCY79" s="12"/>
      <c r="SCZ79" s="12"/>
      <c r="SDA79" s="12"/>
      <c r="SDB79" s="12"/>
      <c r="SDC79" s="12"/>
      <c r="SDD79" s="12"/>
      <c r="SDE79" s="12"/>
      <c r="SDF79" s="12"/>
      <c r="SDG79" s="12"/>
      <c r="SDH79" s="12"/>
      <c r="SDI79" s="12"/>
      <c r="SDJ79" s="12"/>
      <c r="SDK79" s="12"/>
      <c r="SDL79" s="12"/>
      <c r="SDM79" s="12"/>
      <c r="SDN79" s="12"/>
      <c r="SDO79" s="12"/>
      <c r="SDP79" s="12"/>
      <c r="SDQ79" s="12"/>
      <c r="SDR79" s="12"/>
      <c r="SDS79" s="12"/>
      <c r="SDT79" s="12"/>
      <c r="SDU79" s="12"/>
      <c r="SDV79" s="12"/>
      <c r="SDW79" s="12"/>
      <c r="SDX79" s="12"/>
      <c r="SDY79" s="12"/>
      <c r="SDZ79" s="12"/>
      <c r="SEA79" s="12"/>
      <c r="SEB79" s="12"/>
      <c r="SEC79" s="12"/>
      <c r="SED79" s="12"/>
      <c r="SEE79" s="12"/>
      <c r="SEF79" s="12"/>
      <c r="SEG79" s="12"/>
      <c r="SEH79" s="12"/>
      <c r="SEI79" s="12"/>
      <c r="SEJ79" s="12"/>
      <c r="SEK79" s="12"/>
      <c r="SEL79" s="12"/>
      <c r="SEM79" s="12"/>
      <c r="SEN79" s="12"/>
      <c r="SEO79" s="12"/>
      <c r="SEP79" s="12"/>
      <c r="SEQ79" s="12"/>
      <c r="SER79" s="12"/>
      <c r="SES79" s="12"/>
      <c r="SET79" s="12"/>
      <c r="SEU79" s="12"/>
      <c r="SEV79" s="12"/>
      <c r="SEW79" s="12"/>
      <c r="SEX79" s="12"/>
      <c r="SEY79" s="12"/>
      <c r="SEZ79" s="12"/>
      <c r="SFA79" s="12"/>
      <c r="SFB79" s="12"/>
      <c r="SFC79" s="12"/>
      <c r="SFD79" s="12"/>
      <c r="SFE79" s="12"/>
      <c r="SFF79" s="12"/>
      <c r="SFG79" s="12"/>
      <c r="SFH79" s="12"/>
      <c r="SFI79" s="12"/>
      <c r="SFJ79" s="12"/>
      <c r="SFK79" s="12"/>
      <c r="SFL79" s="12"/>
      <c r="SFM79" s="12"/>
      <c r="SFN79" s="12"/>
      <c r="SFO79" s="12"/>
      <c r="SFP79" s="12"/>
      <c r="SFQ79" s="12"/>
      <c r="SFR79" s="12"/>
      <c r="SFS79" s="12"/>
      <c r="SFT79" s="12"/>
      <c r="SFU79" s="12"/>
      <c r="SFV79" s="12"/>
      <c r="SFW79" s="12"/>
      <c r="SFX79" s="12"/>
      <c r="SFY79" s="12"/>
      <c r="SFZ79" s="12"/>
      <c r="SGA79" s="12"/>
      <c r="SGB79" s="12"/>
      <c r="SGC79" s="12"/>
      <c r="SGD79" s="12"/>
      <c r="SGE79" s="12"/>
      <c r="SGF79" s="12"/>
      <c r="SGG79" s="12"/>
      <c r="SGH79" s="12"/>
      <c r="SGI79" s="12"/>
      <c r="SGJ79" s="12"/>
      <c r="SGK79" s="12"/>
      <c r="SGL79" s="12"/>
      <c r="SGM79" s="12"/>
      <c r="SGN79" s="12"/>
      <c r="SGO79" s="12"/>
      <c r="SGP79" s="12"/>
      <c r="SGQ79" s="12"/>
      <c r="SGR79" s="12"/>
      <c r="SGS79" s="12"/>
      <c r="SGT79" s="12"/>
      <c r="SGU79" s="12"/>
      <c r="SGV79" s="12"/>
      <c r="SGW79" s="12"/>
      <c r="SGX79" s="12"/>
      <c r="SGY79" s="12"/>
      <c r="SGZ79" s="12"/>
      <c r="SHA79" s="12"/>
      <c r="SHB79" s="12"/>
      <c r="SHC79" s="12"/>
      <c r="SHD79" s="12"/>
      <c r="SHE79" s="12"/>
      <c r="SHF79" s="12"/>
      <c r="SHG79" s="12"/>
      <c r="SHH79" s="12"/>
      <c r="SHI79" s="12"/>
      <c r="SHJ79" s="12"/>
      <c r="SHK79" s="12"/>
      <c r="SHL79" s="12"/>
      <c r="SHM79" s="12"/>
      <c r="SHN79" s="12"/>
      <c r="SHO79" s="12"/>
      <c r="SHP79" s="12"/>
      <c r="SHQ79" s="12"/>
      <c r="SHR79" s="12"/>
      <c r="SHS79" s="12"/>
      <c r="SHT79" s="12"/>
      <c r="SHU79" s="12"/>
      <c r="SHV79" s="12"/>
      <c r="SHW79" s="12"/>
      <c r="SHX79" s="12"/>
      <c r="SHY79" s="12"/>
      <c r="SHZ79" s="12"/>
      <c r="SIA79" s="12"/>
      <c r="SIB79" s="12"/>
      <c r="SIC79" s="12"/>
      <c r="SID79" s="12"/>
      <c r="SIE79" s="12"/>
      <c r="SIF79" s="12"/>
      <c r="SIG79" s="12"/>
      <c r="SIH79" s="12"/>
      <c r="SII79" s="12"/>
      <c r="SIJ79" s="12"/>
      <c r="SIK79" s="12"/>
      <c r="SIL79" s="12"/>
      <c r="SIM79" s="12"/>
      <c r="SIN79" s="12"/>
      <c r="SIO79" s="12"/>
      <c r="SIP79" s="12"/>
      <c r="SIQ79" s="12"/>
      <c r="SIR79" s="12"/>
      <c r="SIS79" s="12"/>
      <c r="SIT79" s="12"/>
      <c r="SIU79" s="12"/>
      <c r="SIV79" s="12"/>
      <c r="SIW79" s="12"/>
      <c r="SIX79" s="12"/>
      <c r="SIY79" s="12"/>
      <c r="SIZ79" s="12"/>
      <c r="SJA79" s="12"/>
      <c r="SJB79" s="12"/>
      <c r="SJC79" s="12"/>
      <c r="SJD79" s="12"/>
      <c r="SJE79" s="12"/>
      <c r="SJF79" s="12"/>
      <c r="SJG79" s="12"/>
      <c r="SJH79" s="12"/>
      <c r="SJI79" s="12"/>
      <c r="SJJ79" s="12"/>
      <c r="SJK79" s="12"/>
      <c r="SJL79" s="12"/>
      <c r="SJM79" s="12"/>
      <c r="SJN79" s="12"/>
      <c r="SJO79" s="12"/>
      <c r="SJP79" s="12"/>
      <c r="SJQ79" s="12"/>
      <c r="SJR79" s="12"/>
      <c r="SJS79" s="12"/>
      <c r="SJT79" s="12"/>
      <c r="SJU79" s="12"/>
      <c r="SJV79" s="12"/>
      <c r="SJW79" s="12"/>
      <c r="SJX79" s="12"/>
      <c r="SJY79" s="12"/>
      <c r="SJZ79" s="12"/>
      <c r="SKA79" s="12"/>
      <c r="SKB79" s="12"/>
      <c r="SKC79" s="12"/>
      <c r="SKD79" s="12"/>
      <c r="SKE79" s="12"/>
      <c r="SKF79" s="12"/>
      <c r="SKG79" s="12"/>
      <c r="SKH79" s="12"/>
      <c r="SKI79" s="12"/>
      <c r="SKJ79" s="12"/>
      <c r="SKK79" s="12"/>
      <c r="SKL79" s="12"/>
      <c r="SKM79" s="12"/>
      <c r="SKN79" s="12"/>
      <c r="SKO79" s="12"/>
      <c r="SKP79" s="12"/>
      <c r="SKQ79" s="12"/>
      <c r="SKR79" s="12"/>
      <c r="SKS79" s="12"/>
      <c r="SKT79" s="12"/>
      <c r="SKU79" s="12"/>
      <c r="SKV79" s="12"/>
      <c r="SKW79" s="12"/>
      <c r="SKX79" s="12"/>
      <c r="SKY79" s="12"/>
      <c r="SKZ79" s="12"/>
      <c r="SLA79" s="12"/>
      <c r="SLB79" s="12"/>
      <c r="SLC79" s="12"/>
      <c r="SLD79" s="12"/>
      <c r="SLE79" s="12"/>
      <c r="SLF79" s="12"/>
      <c r="SLG79" s="12"/>
      <c r="SLH79" s="12"/>
      <c r="SLI79" s="12"/>
      <c r="SLJ79" s="12"/>
      <c r="SLK79" s="12"/>
      <c r="SLL79" s="12"/>
      <c r="SLM79" s="12"/>
      <c r="SLN79" s="12"/>
      <c r="SLO79" s="12"/>
      <c r="SLP79" s="12"/>
      <c r="SLQ79" s="12"/>
      <c r="SLR79" s="12"/>
      <c r="SLS79" s="12"/>
      <c r="SLT79" s="12"/>
      <c r="SLU79" s="12"/>
      <c r="SLV79" s="12"/>
      <c r="SLW79" s="12"/>
      <c r="SLX79" s="12"/>
      <c r="SLY79" s="12"/>
      <c r="SLZ79" s="12"/>
      <c r="SMA79" s="12"/>
      <c r="SMB79" s="12"/>
      <c r="SMC79" s="12"/>
      <c r="SMD79" s="12"/>
      <c r="SME79" s="12"/>
      <c r="SMF79" s="12"/>
      <c r="SMG79" s="12"/>
      <c r="SMH79" s="12"/>
      <c r="SMI79" s="12"/>
      <c r="SMJ79" s="12"/>
      <c r="SMK79" s="12"/>
      <c r="SML79" s="12"/>
      <c r="SMM79" s="12"/>
      <c r="SMN79" s="12"/>
      <c r="SMO79" s="12"/>
      <c r="SMP79" s="12"/>
      <c r="SMQ79" s="12"/>
      <c r="SMR79" s="12"/>
      <c r="SMS79" s="12"/>
      <c r="SMT79" s="12"/>
      <c r="SMU79" s="12"/>
      <c r="SMV79" s="12"/>
      <c r="SMW79" s="12"/>
      <c r="SMX79" s="12"/>
      <c r="SMY79" s="12"/>
      <c r="SMZ79" s="12"/>
      <c r="SNA79" s="12"/>
      <c r="SNB79" s="12"/>
      <c r="SNC79" s="12"/>
      <c r="SND79" s="12"/>
      <c r="SNE79" s="12"/>
      <c r="SNF79" s="12"/>
      <c r="SNG79" s="12"/>
      <c r="SNH79" s="12"/>
      <c r="SNI79" s="12"/>
      <c r="SNJ79" s="12"/>
      <c r="SNK79" s="12"/>
      <c r="SNL79" s="12"/>
      <c r="SNM79" s="12"/>
      <c r="SNN79" s="12"/>
      <c r="SNO79" s="12"/>
      <c r="SNP79" s="12"/>
      <c r="SNQ79" s="12"/>
      <c r="SNR79" s="12"/>
      <c r="SNS79" s="12"/>
      <c r="SNT79" s="12"/>
      <c r="SNU79" s="12"/>
      <c r="SNV79" s="12"/>
      <c r="SNW79" s="12"/>
      <c r="SNX79" s="12"/>
      <c r="SNY79" s="12"/>
      <c r="SNZ79" s="12"/>
      <c r="SOA79" s="12"/>
      <c r="SOB79" s="12"/>
      <c r="SOC79" s="12"/>
      <c r="SOD79" s="12"/>
      <c r="SOE79" s="12"/>
      <c r="SOF79" s="12"/>
      <c r="SOG79" s="12"/>
      <c r="SOH79" s="12"/>
      <c r="SOI79" s="12"/>
      <c r="SOJ79" s="12"/>
      <c r="SOK79" s="12"/>
      <c r="SOL79" s="12"/>
      <c r="SOM79" s="12"/>
      <c r="SON79" s="12"/>
      <c r="SOO79" s="12"/>
      <c r="SOP79" s="12"/>
      <c r="SOQ79" s="12"/>
      <c r="SOR79" s="12"/>
      <c r="SOS79" s="12"/>
      <c r="SOT79" s="12"/>
      <c r="SOU79" s="12"/>
      <c r="SOV79" s="12"/>
      <c r="SOW79" s="12"/>
      <c r="SOX79" s="12"/>
      <c r="SOY79" s="12"/>
      <c r="SOZ79" s="12"/>
      <c r="SPA79" s="12"/>
      <c r="SPB79" s="12"/>
      <c r="SPC79" s="12"/>
      <c r="SPD79" s="12"/>
      <c r="SPE79" s="12"/>
      <c r="SPF79" s="12"/>
      <c r="SPG79" s="12"/>
      <c r="SPH79" s="12"/>
      <c r="SPI79" s="12"/>
      <c r="SPJ79" s="12"/>
      <c r="SPK79" s="12"/>
      <c r="SPL79" s="12"/>
      <c r="SPM79" s="12"/>
      <c r="SPN79" s="12"/>
      <c r="SPO79" s="12"/>
      <c r="SPP79" s="12"/>
      <c r="SPQ79" s="12"/>
      <c r="SPR79" s="12"/>
      <c r="SPS79" s="12"/>
      <c r="SPT79" s="12"/>
      <c r="SPU79" s="12"/>
      <c r="SPV79" s="12"/>
      <c r="SPW79" s="12"/>
      <c r="SPX79" s="12"/>
      <c r="SPY79" s="12"/>
      <c r="SPZ79" s="12"/>
      <c r="SQA79" s="12"/>
      <c r="SQB79" s="12"/>
      <c r="SQC79" s="12"/>
      <c r="SQD79" s="12"/>
      <c r="SQE79" s="12"/>
      <c r="SQF79" s="12"/>
      <c r="SQG79" s="12"/>
      <c r="SQH79" s="12"/>
      <c r="SQI79" s="12"/>
      <c r="SQJ79" s="12"/>
      <c r="SQK79" s="12"/>
      <c r="SQL79" s="12"/>
      <c r="SQM79" s="12"/>
      <c r="SQN79" s="12"/>
      <c r="SQO79" s="12"/>
      <c r="SQP79" s="12"/>
      <c r="SQQ79" s="12"/>
      <c r="SQR79" s="12"/>
      <c r="SQS79" s="12"/>
      <c r="SQT79" s="12"/>
      <c r="SQU79" s="12"/>
      <c r="SQV79" s="12"/>
      <c r="SQW79" s="12"/>
      <c r="SQX79" s="12"/>
      <c r="SQY79" s="12"/>
      <c r="SQZ79" s="12"/>
      <c r="SRA79" s="12"/>
      <c r="SRB79" s="12"/>
      <c r="SRC79" s="12"/>
      <c r="SRD79" s="12"/>
      <c r="SRE79" s="12"/>
      <c r="SRF79" s="12"/>
      <c r="SRG79" s="12"/>
      <c r="SRH79" s="12"/>
      <c r="SRI79" s="12"/>
      <c r="SRJ79" s="12"/>
      <c r="SRK79" s="12"/>
      <c r="SRL79" s="12"/>
      <c r="SRM79" s="12"/>
      <c r="SRN79" s="12"/>
      <c r="SRO79" s="12"/>
      <c r="SRP79" s="12"/>
      <c r="SRQ79" s="12"/>
      <c r="SRR79" s="12"/>
      <c r="SRS79" s="12"/>
      <c r="SRT79" s="12"/>
      <c r="SRU79" s="12"/>
      <c r="SRV79" s="12"/>
      <c r="SRW79" s="12"/>
      <c r="SRX79" s="12"/>
      <c r="SRY79" s="12"/>
      <c r="SRZ79" s="12"/>
      <c r="SSA79" s="12"/>
      <c r="SSB79" s="12"/>
      <c r="SSC79" s="12"/>
      <c r="SSD79" s="12"/>
      <c r="SSE79" s="12"/>
      <c r="SSF79" s="12"/>
      <c r="SSG79" s="12"/>
      <c r="SSH79" s="12"/>
      <c r="SSI79" s="12"/>
      <c r="SSJ79" s="12"/>
      <c r="SSK79" s="12"/>
      <c r="SSL79" s="12"/>
      <c r="SSM79" s="12"/>
      <c r="SSN79" s="12"/>
      <c r="SSO79" s="12"/>
      <c r="SSP79" s="12"/>
      <c r="SSQ79" s="12"/>
      <c r="SSR79" s="12"/>
      <c r="SSS79" s="12"/>
      <c r="SST79" s="12"/>
      <c r="SSU79" s="12"/>
      <c r="SSV79" s="12"/>
      <c r="SSW79" s="12"/>
      <c r="SSX79" s="12"/>
      <c r="SSY79" s="12"/>
      <c r="SSZ79" s="12"/>
      <c r="STA79" s="12"/>
      <c r="STB79" s="12"/>
      <c r="STC79" s="12"/>
      <c r="STD79" s="12"/>
      <c r="STE79" s="12"/>
      <c r="STF79" s="12"/>
      <c r="STG79" s="12"/>
      <c r="STH79" s="12"/>
      <c r="STI79" s="12"/>
      <c r="STJ79" s="12"/>
      <c r="STK79" s="12"/>
      <c r="STL79" s="12"/>
      <c r="STM79" s="12"/>
      <c r="STN79" s="12"/>
      <c r="STO79" s="12"/>
      <c r="STP79" s="12"/>
      <c r="STQ79" s="12"/>
      <c r="STR79" s="12"/>
      <c r="STS79" s="12"/>
      <c r="STT79" s="12"/>
      <c r="STU79" s="12"/>
      <c r="STV79" s="12"/>
      <c r="STW79" s="12"/>
      <c r="STX79" s="12"/>
      <c r="STY79" s="12"/>
      <c r="STZ79" s="12"/>
      <c r="SUA79" s="12"/>
      <c r="SUB79" s="12"/>
      <c r="SUC79" s="12"/>
      <c r="SUD79" s="12"/>
      <c r="SUE79" s="12"/>
      <c r="SUF79" s="12"/>
      <c r="SUG79" s="12"/>
      <c r="SUH79" s="12"/>
      <c r="SUI79" s="12"/>
      <c r="SUJ79" s="12"/>
      <c r="SUK79" s="12"/>
      <c r="SUL79" s="12"/>
      <c r="SUM79" s="12"/>
      <c r="SUN79" s="12"/>
      <c r="SUO79" s="12"/>
      <c r="SUP79" s="12"/>
      <c r="SUQ79" s="12"/>
      <c r="SUR79" s="12"/>
      <c r="SUS79" s="12"/>
      <c r="SUT79" s="12"/>
      <c r="SUU79" s="12"/>
      <c r="SUV79" s="12"/>
      <c r="SUW79" s="12"/>
      <c r="SUX79" s="12"/>
      <c r="SUY79" s="12"/>
      <c r="SUZ79" s="12"/>
      <c r="SVA79" s="12"/>
      <c r="SVB79" s="12"/>
      <c r="SVC79" s="12"/>
      <c r="SVD79" s="12"/>
      <c r="SVE79" s="12"/>
      <c r="SVF79" s="12"/>
      <c r="SVG79" s="12"/>
      <c r="SVH79" s="12"/>
      <c r="SVI79" s="12"/>
      <c r="SVJ79" s="12"/>
      <c r="SVK79" s="12"/>
      <c r="SVL79" s="12"/>
      <c r="SVM79" s="12"/>
      <c r="SVN79" s="12"/>
      <c r="SVO79" s="12"/>
      <c r="SVP79" s="12"/>
      <c r="SVQ79" s="12"/>
      <c r="SVR79" s="12"/>
      <c r="SVS79" s="12"/>
      <c r="SVT79" s="12"/>
      <c r="SVU79" s="12"/>
      <c r="SVV79" s="12"/>
      <c r="SVW79" s="12"/>
      <c r="SVX79" s="12"/>
      <c r="SVY79" s="12"/>
      <c r="SVZ79" s="12"/>
      <c r="SWA79" s="12"/>
      <c r="SWB79" s="12"/>
      <c r="SWC79" s="12"/>
      <c r="SWD79" s="12"/>
      <c r="SWE79" s="12"/>
      <c r="SWF79" s="12"/>
      <c r="SWG79" s="12"/>
      <c r="SWH79" s="12"/>
      <c r="SWI79" s="12"/>
      <c r="SWJ79" s="12"/>
      <c r="SWK79" s="12"/>
      <c r="SWL79" s="12"/>
      <c r="SWM79" s="12"/>
      <c r="SWN79" s="12"/>
      <c r="SWO79" s="12"/>
      <c r="SWP79" s="12"/>
      <c r="SWQ79" s="12"/>
      <c r="SWR79" s="12"/>
      <c r="SWS79" s="12"/>
      <c r="SWT79" s="12"/>
      <c r="SWU79" s="12"/>
      <c r="SWV79" s="12"/>
      <c r="SWW79" s="12"/>
      <c r="SWX79" s="12"/>
      <c r="SWY79" s="12"/>
      <c r="SWZ79" s="12"/>
      <c r="SXA79" s="12"/>
      <c r="SXB79" s="12"/>
      <c r="SXC79" s="12"/>
      <c r="SXD79" s="12"/>
      <c r="SXE79" s="12"/>
      <c r="SXF79" s="12"/>
      <c r="SXG79" s="12"/>
      <c r="SXH79" s="12"/>
      <c r="SXI79" s="12"/>
      <c r="SXJ79" s="12"/>
      <c r="SXK79" s="12"/>
      <c r="SXL79" s="12"/>
      <c r="SXM79" s="12"/>
      <c r="SXN79" s="12"/>
      <c r="SXO79" s="12"/>
      <c r="SXP79" s="12"/>
      <c r="SXQ79" s="12"/>
      <c r="SXR79" s="12"/>
      <c r="SXS79" s="12"/>
      <c r="SXT79" s="12"/>
      <c r="SXU79" s="12"/>
      <c r="SXV79" s="12"/>
      <c r="SXW79" s="12"/>
      <c r="SXX79" s="12"/>
      <c r="SXY79" s="12"/>
      <c r="SXZ79" s="12"/>
      <c r="SYA79" s="12"/>
      <c r="SYB79" s="12"/>
      <c r="SYC79" s="12"/>
      <c r="SYD79" s="12"/>
      <c r="SYE79" s="12"/>
      <c r="SYF79" s="12"/>
      <c r="SYG79" s="12"/>
      <c r="SYH79" s="12"/>
      <c r="SYI79" s="12"/>
      <c r="SYJ79" s="12"/>
      <c r="SYK79" s="12"/>
      <c r="SYL79" s="12"/>
      <c r="SYM79" s="12"/>
      <c r="SYN79" s="12"/>
      <c r="SYO79" s="12"/>
      <c r="SYP79" s="12"/>
      <c r="SYQ79" s="12"/>
      <c r="SYR79" s="12"/>
      <c r="SYS79" s="12"/>
      <c r="SYT79" s="12"/>
      <c r="SYU79" s="12"/>
      <c r="SYV79" s="12"/>
      <c r="SYW79" s="12"/>
      <c r="SYX79" s="12"/>
      <c r="SYY79" s="12"/>
      <c r="SYZ79" s="12"/>
      <c r="SZA79" s="12"/>
      <c r="SZB79" s="12"/>
      <c r="SZC79" s="12"/>
      <c r="SZD79" s="12"/>
      <c r="SZE79" s="12"/>
      <c r="SZF79" s="12"/>
      <c r="SZG79" s="12"/>
      <c r="SZH79" s="12"/>
      <c r="SZI79" s="12"/>
      <c r="SZJ79" s="12"/>
      <c r="SZK79" s="12"/>
      <c r="SZL79" s="12"/>
      <c r="SZM79" s="12"/>
      <c r="SZN79" s="12"/>
      <c r="SZO79" s="12"/>
      <c r="SZP79" s="12"/>
      <c r="SZQ79" s="12"/>
      <c r="SZR79" s="12"/>
      <c r="SZS79" s="12"/>
      <c r="SZT79" s="12"/>
      <c r="SZU79" s="12"/>
      <c r="SZV79" s="12"/>
      <c r="SZW79" s="12"/>
      <c r="SZX79" s="12"/>
      <c r="SZY79" s="12"/>
      <c r="SZZ79" s="12"/>
      <c r="TAA79" s="12"/>
      <c r="TAB79" s="12"/>
      <c r="TAC79" s="12"/>
      <c r="TAD79" s="12"/>
      <c r="TAE79" s="12"/>
      <c r="TAF79" s="12"/>
      <c r="TAG79" s="12"/>
      <c r="TAH79" s="12"/>
      <c r="TAI79" s="12"/>
      <c r="TAJ79" s="12"/>
      <c r="TAK79" s="12"/>
      <c r="TAL79" s="12"/>
      <c r="TAM79" s="12"/>
      <c r="TAN79" s="12"/>
      <c r="TAO79" s="12"/>
      <c r="TAP79" s="12"/>
      <c r="TAQ79" s="12"/>
      <c r="TAR79" s="12"/>
      <c r="TAS79" s="12"/>
      <c r="TAT79" s="12"/>
      <c r="TAU79" s="12"/>
      <c r="TAV79" s="12"/>
      <c r="TAW79" s="12"/>
      <c r="TAX79" s="12"/>
      <c r="TAY79" s="12"/>
      <c r="TAZ79" s="12"/>
      <c r="TBA79" s="12"/>
      <c r="TBB79" s="12"/>
      <c r="TBC79" s="12"/>
      <c r="TBD79" s="12"/>
      <c r="TBE79" s="12"/>
      <c r="TBF79" s="12"/>
      <c r="TBG79" s="12"/>
      <c r="TBH79" s="12"/>
      <c r="TBI79" s="12"/>
      <c r="TBJ79" s="12"/>
      <c r="TBK79" s="12"/>
      <c r="TBL79" s="12"/>
      <c r="TBM79" s="12"/>
      <c r="TBN79" s="12"/>
      <c r="TBO79" s="12"/>
      <c r="TBP79" s="12"/>
      <c r="TBQ79" s="12"/>
      <c r="TBR79" s="12"/>
      <c r="TBS79" s="12"/>
      <c r="TBT79" s="12"/>
      <c r="TBU79" s="12"/>
      <c r="TBV79" s="12"/>
      <c r="TBW79" s="12"/>
      <c r="TBX79" s="12"/>
      <c r="TBY79" s="12"/>
      <c r="TBZ79" s="12"/>
      <c r="TCA79" s="12"/>
      <c r="TCB79" s="12"/>
      <c r="TCC79" s="12"/>
      <c r="TCD79" s="12"/>
      <c r="TCE79" s="12"/>
      <c r="TCF79" s="12"/>
      <c r="TCG79" s="12"/>
      <c r="TCH79" s="12"/>
      <c r="TCI79" s="12"/>
      <c r="TCJ79" s="12"/>
      <c r="TCK79" s="12"/>
      <c r="TCL79" s="12"/>
      <c r="TCM79" s="12"/>
      <c r="TCN79" s="12"/>
      <c r="TCO79" s="12"/>
      <c r="TCP79" s="12"/>
      <c r="TCQ79" s="12"/>
      <c r="TCR79" s="12"/>
      <c r="TCS79" s="12"/>
      <c r="TCT79" s="12"/>
      <c r="TCU79" s="12"/>
      <c r="TCV79" s="12"/>
      <c r="TCW79" s="12"/>
      <c r="TCX79" s="12"/>
      <c r="TCY79" s="12"/>
      <c r="TCZ79" s="12"/>
      <c r="TDA79" s="12"/>
      <c r="TDB79" s="12"/>
      <c r="TDC79" s="12"/>
      <c r="TDD79" s="12"/>
      <c r="TDE79" s="12"/>
      <c r="TDF79" s="12"/>
      <c r="TDG79" s="12"/>
      <c r="TDH79" s="12"/>
      <c r="TDI79" s="12"/>
      <c r="TDJ79" s="12"/>
      <c r="TDK79" s="12"/>
      <c r="TDL79" s="12"/>
      <c r="TDM79" s="12"/>
      <c r="TDN79" s="12"/>
      <c r="TDO79" s="12"/>
      <c r="TDP79" s="12"/>
      <c r="TDQ79" s="12"/>
      <c r="TDR79" s="12"/>
      <c r="TDS79" s="12"/>
      <c r="TDT79" s="12"/>
      <c r="TDU79" s="12"/>
      <c r="TDV79" s="12"/>
      <c r="TDW79" s="12"/>
      <c r="TDX79" s="12"/>
      <c r="TDY79" s="12"/>
      <c r="TDZ79" s="12"/>
      <c r="TEA79" s="12"/>
      <c r="TEB79" s="12"/>
      <c r="TEC79" s="12"/>
      <c r="TED79" s="12"/>
      <c r="TEE79" s="12"/>
      <c r="TEF79" s="12"/>
      <c r="TEG79" s="12"/>
      <c r="TEH79" s="12"/>
      <c r="TEI79" s="12"/>
      <c r="TEJ79" s="12"/>
      <c r="TEK79" s="12"/>
      <c r="TEL79" s="12"/>
      <c r="TEM79" s="12"/>
      <c r="TEN79" s="12"/>
      <c r="TEO79" s="12"/>
      <c r="TEP79" s="12"/>
      <c r="TEQ79" s="12"/>
      <c r="TER79" s="12"/>
      <c r="TES79" s="12"/>
      <c r="TET79" s="12"/>
      <c r="TEU79" s="12"/>
      <c r="TEV79" s="12"/>
      <c r="TEW79" s="12"/>
      <c r="TEX79" s="12"/>
      <c r="TEY79" s="12"/>
      <c r="TEZ79" s="12"/>
      <c r="TFA79" s="12"/>
      <c r="TFB79" s="12"/>
      <c r="TFC79" s="12"/>
      <c r="TFD79" s="12"/>
      <c r="TFE79" s="12"/>
      <c r="TFF79" s="12"/>
      <c r="TFG79" s="12"/>
      <c r="TFH79" s="12"/>
      <c r="TFI79" s="12"/>
      <c r="TFJ79" s="12"/>
      <c r="TFK79" s="12"/>
      <c r="TFL79" s="12"/>
      <c r="TFM79" s="12"/>
      <c r="TFN79" s="12"/>
      <c r="TFO79" s="12"/>
      <c r="TFP79" s="12"/>
      <c r="TFQ79" s="12"/>
      <c r="TFR79" s="12"/>
      <c r="TFS79" s="12"/>
      <c r="TFT79" s="12"/>
      <c r="TFU79" s="12"/>
      <c r="TFV79" s="12"/>
      <c r="TFW79" s="12"/>
      <c r="TFX79" s="12"/>
      <c r="TFY79" s="12"/>
      <c r="TFZ79" s="12"/>
      <c r="TGA79" s="12"/>
      <c r="TGB79" s="12"/>
      <c r="TGC79" s="12"/>
      <c r="TGD79" s="12"/>
      <c r="TGE79" s="12"/>
      <c r="TGF79" s="12"/>
      <c r="TGG79" s="12"/>
      <c r="TGH79" s="12"/>
      <c r="TGI79" s="12"/>
      <c r="TGJ79" s="12"/>
      <c r="TGK79" s="12"/>
      <c r="TGL79" s="12"/>
      <c r="TGM79" s="12"/>
      <c r="TGN79" s="12"/>
      <c r="TGO79" s="12"/>
      <c r="TGP79" s="12"/>
      <c r="TGQ79" s="12"/>
      <c r="TGR79" s="12"/>
      <c r="TGS79" s="12"/>
      <c r="TGT79" s="12"/>
      <c r="TGU79" s="12"/>
      <c r="TGV79" s="12"/>
      <c r="TGW79" s="12"/>
      <c r="TGX79" s="12"/>
      <c r="TGY79" s="12"/>
      <c r="TGZ79" s="12"/>
      <c r="THA79" s="12"/>
      <c r="THB79" s="12"/>
      <c r="THC79" s="12"/>
      <c r="THD79" s="12"/>
      <c r="THE79" s="12"/>
      <c r="THF79" s="12"/>
      <c r="THG79" s="12"/>
      <c r="THH79" s="12"/>
      <c r="THI79" s="12"/>
      <c r="THJ79" s="12"/>
      <c r="THK79" s="12"/>
      <c r="THL79" s="12"/>
      <c r="THM79" s="12"/>
      <c r="THN79" s="12"/>
      <c r="THO79" s="12"/>
      <c r="THP79" s="12"/>
      <c r="THQ79" s="12"/>
      <c r="THR79" s="12"/>
      <c r="THS79" s="12"/>
      <c r="THT79" s="12"/>
      <c r="THU79" s="12"/>
      <c r="THV79" s="12"/>
      <c r="THW79" s="12"/>
      <c r="THX79" s="12"/>
      <c r="THY79" s="12"/>
      <c r="THZ79" s="12"/>
      <c r="TIA79" s="12"/>
      <c r="TIB79" s="12"/>
      <c r="TIC79" s="12"/>
      <c r="TID79" s="12"/>
      <c r="TIE79" s="12"/>
      <c r="TIF79" s="12"/>
      <c r="TIG79" s="12"/>
      <c r="TIH79" s="12"/>
      <c r="TII79" s="12"/>
      <c r="TIJ79" s="12"/>
      <c r="TIK79" s="12"/>
      <c r="TIL79" s="12"/>
      <c r="TIM79" s="12"/>
      <c r="TIN79" s="12"/>
      <c r="TIO79" s="12"/>
      <c r="TIP79" s="12"/>
      <c r="TIQ79" s="12"/>
      <c r="TIR79" s="12"/>
      <c r="TIS79" s="12"/>
      <c r="TIT79" s="12"/>
      <c r="TIU79" s="12"/>
      <c r="TIV79" s="12"/>
      <c r="TIW79" s="12"/>
      <c r="TIX79" s="12"/>
      <c r="TIY79" s="12"/>
      <c r="TIZ79" s="12"/>
      <c r="TJA79" s="12"/>
      <c r="TJB79" s="12"/>
      <c r="TJC79" s="12"/>
      <c r="TJD79" s="12"/>
      <c r="TJE79" s="12"/>
      <c r="TJF79" s="12"/>
      <c r="TJG79" s="12"/>
      <c r="TJH79" s="12"/>
      <c r="TJI79" s="12"/>
      <c r="TJJ79" s="12"/>
      <c r="TJK79" s="12"/>
      <c r="TJL79" s="12"/>
      <c r="TJM79" s="12"/>
      <c r="TJN79" s="12"/>
      <c r="TJO79" s="12"/>
      <c r="TJP79" s="12"/>
      <c r="TJQ79" s="12"/>
      <c r="TJR79" s="12"/>
      <c r="TJS79" s="12"/>
      <c r="TJT79" s="12"/>
      <c r="TJU79" s="12"/>
      <c r="TJV79" s="12"/>
      <c r="TJW79" s="12"/>
      <c r="TJX79" s="12"/>
      <c r="TJY79" s="12"/>
      <c r="TJZ79" s="12"/>
      <c r="TKA79" s="12"/>
      <c r="TKB79" s="12"/>
      <c r="TKC79" s="12"/>
      <c r="TKD79" s="12"/>
      <c r="TKE79" s="12"/>
      <c r="TKF79" s="12"/>
      <c r="TKG79" s="12"/>
      <c r="TKH79" s="12"/>
      <c r="TKI79" s="12"/>
      <c r="TKJ79" s="12"/>
      <c r="TKK79" s="12"/>
      <c r="TKL79" s="12"/>
      <c r="TKM79" s="12"/>
      <c r="TKN79" s="12"/>
      <c r="TKO79" s="12"/>
      <c r="TKP79" s="12"/>
      <c r="TKQ79" s="12"/>
      <c r="TKR79" s="12"/>
      <c r="TKS79" s="12"/>
      <c r="TKT79" s="12"/>
      <c r="TKU79" s="12"/>
      <c r="TKV79" s="12"/>
      <c r="TKW79" s="12"/>
      <c r="TKX79" s="12"/>
      <c r="TKY79" s="12"/>
      <c r="TKZ79" s="12"/>
      <c r="TLA79" s="12"/>
      <c r="TLB79" s="12"/>
      <c r="TLC79" s="12"/>
      <c r="TLD79" s="12"/>
      <c r="TLE79" s="12"/>
      <c r="TLF79" s="12"/>
      <c r="TLG79" s="12"/>
      <c r="TLH79" s="12"/>
      <c r="TLI79" s="12"/>
      <c r="TLJ79" s="12"/>
      <c r="TLK79" s="12"/>
      <c r="TLL79" s="12"/>
      <c r="TLM79" s="12"/>
      <c r="TLN79" s="12"/>
      <c r="TLO79" s="12"/>
      <c r="TLP79" s="12"/>
      <c r="TLQ79" s="12"/>
      <c r="TLR79" s="12"/>
      <c r="TLS79" s="12"/>
      <c r="TLT79" s="12"/>
      <c r="TLU79" s="12"/>
      <c r="TLV79" s="12"/>
      <c r="TLW79" s="12"/>
      <c r="TLX79" s="12"/>
      <c r="TLY79" s="12"/>
      <c r="TLZ79" s="12"/>
      <c r="TMA79" s="12"/>
      <c r="TMB79" s="12"/>
      <c r="TMC79" s="12"/>
      <c r="TMD79" s="12"/>
      <c r="TME79" s="12"/>
      <c r="TMF79" s="12"/>
      <c r="TMG79" s="12"/>
      <c r="TMH79" s="12"/>
      <c r="TMI79" s="12"/>
      <c r="TMJ79" s="12"/>
      <c r="TMK79" s="12"/>
      <c r="TML79" s="12"/>
      <c r="TMM79" s="12"/>
      <c r="TMN79" s="12"/>
      <c r="TMO79" s="12"/>
      <c r="TMP79" s="12"/>
      <c r="TMQ79" s="12"/>
      <c r="TMR79" s="12"/>
      <c r="TMS79" s="12"/>
      <c r="TMT79" s="12"/>
      <c r="TMU79" s="12"/>
      <c r="TMV79" s="12"/>
      <c r="TMW79" s="12"/>
      <c r="TMX79" s="12"/>
      <c r="TMY79" s="12"/>
      <c r="TMZ79" s="12"/>
      <c r="TNA79" s="12"/>
      <c r="TNB79" s="12"/>
      <c r="TNC79" s="12"/>
      <c r="TND79" s="12"/>
      <c r="TNE79" s="12"/>
      <c r="TNF79" s="12"/>
      <c r="TNG79" s="12"/>
      <c r="TNH79" s="12"/>
      <c r="TNI79" s="12"/>
      <c r="TNJ79" s="12"/>
      <c r="TNK79" s="12"/>
      <c r="TNL79" s="12"/>
      <c r="TNM79" s="12"/>
      <c r="TNN79" s="12"/>
      <c r="TNO79" s="12"/>
      <c r="TNP79" s="12"/>
      <c r="TNQ79" s="12"/>
      <c r="TNR79" s="12"/>
      <c r="TNS79" s="12"/>
      <c r="TNT79" s="12"/>
      <c r="TNU79" s="12"/>
      <c r="TNV79" s="12"/>
      <c r="TNW79" s="12"/>
      <c r="TNX79" s="12"/>
      <c r="TNY79" s="12"/>
      <c r="TNZ79" s="12"/>
      <c r="TOA79" s="12"/>
      <c r="TOB79" s="12"/>
      <c r="TOC79" s="12"/>
      <c r="TOD79" s="12"/>
      <c r="TOE79" s="12"/>
      <c r="TOF79" s="12"/>
      <c r="TOG79" s="12"/>
      <c r="TOH79" s="12"/>
      <c r="TOI79" s="12"/>
      <c r="TOJ79" s="12"/>
      <c r="TOK79" s="12"/>
      <c r="TOL79" s="12"/>
      <c r="TOM79" s="12"/>
      <c r="TON79" s="12"/>
      <c r="TOO79" s="12"/>
      <c r="TOP79" s="12"/>
      <c r="TOQ79" s="12"/>
      <c r="TOR79" s="12"/>
      <c r="TOS79" s="12"/>
      <c r="TOT79" s="12"/>
      <c r="TOU79" s="12"/>
      <c r="TOV79" s="12"/>
      <c r="TOW79" s="12"/>
      <c r="TOX79" s="12"/>
      <c r="TOY79" s="12"/>
      <c r="TOZ79" s="12"/>
      <c r="TPA79" s="12"/>
      <c r="TPB79" s="12"/>
      <c r="TPC79" s="12"/>
      <c r="TPD79" s="12"/>
      <c r="TPE79" s="12"/>
      <c r="TPF79" s="12"/>
      <c r="TPG79" s="12"/>
      <c r="TPH79" s="12"/>
      <c r="TPI79" s="12"/>
      <c r="TPJ79" s="12"/>
      <c r="TPK79" s="12"/>
      <c r="TPL79" s="12"/>
      <c r="TPM79" s="12"/>
      <c r="TPN79" s="12"/>
      <c r="TPO79" s="12"/>
      <c r="TPP79" s="12"/>
      <c r="TPQ79" s="12"/>
      <c r="TPR79" s="12"/>
      <c r="TPS79" s="12"/>
      <c r="TPT79" s="12"/>
      <c r="TPU79" s="12"/>
      <c r="TPV79" s="12"/>
      <c r="TPW79" s="12"/>
      <c r="TPX79" s="12"/>
      <c r="TPY79" s="12"/>
      <c r="TPZ79" s="12"/>
      <c r="TQA79" s="12"/>
      <c r="TQB79" s="12"/>
      <c r="TQC79" s="12"/>
      <c r="TQD79" s="12"/>
      <c r="TQE79" s="12"/>
      <c r="TQF79" s="12"/>
      <c r="TQG79" s="12"/>
      <c r="TQH79" s="12"/>
      <c r="TQI79" s="12"/>
      <c r="TQJ79" s="12"/>
      <c r="TQK79" s="12"/>
      <c r="TQL79" s="12"/>
      <c r="TQM79" s="12"/>
      <c r="TQN79" s="12"/>
      <c r="TQO79" s="12"/>
      <c r="TQP79" s="12"/>
      <c r="TQQ79" s="12"/>
      <c r="TQR79" s="12"/>
      <c r="TQS79" s="12"/>
      <c r="TQT79" s="12"/>
      <c r="TQU79" s="12"/>
      <c r="TQV79" s="12"/>
      <c r="TQW79" s="12"/>
      <c r="TQX79" s="12"/>
      <c r="TQY79" s="12"/>
      <c r="TQZ79" s="12"/>
      <c r="TRA79" s="12"/>
      <c r="TRB79" s="12"/>
      <c r="TRC79" s="12"/>
      <c r="TRD79" s="12"/>
      <c r="TRE79" s="12"/>
      <c r="TRF79" s="12"/>
      <c r="TRG79" s="12"/>
      <c r="TRH79" s="12"/>
      <c r="TRI79" s="12"/>
      <c r="TRJ79" s="12"/>
      <c r="TRK79" s="12"/>
      <c r="TRL79" s="12"/>
      <c r="TRM79" s="12"/>
      <c r="TRN79" s="12"/>
      <c r="TRO79" s="12"/>
      <c r="TRP79" s="12"/>
      <c r="TRQ79" s="12"/>
      <c r="TRR79" s="12"/>
      <c r="TRS79" s="12"/>
      <c r="TRT79" s="12"/>
      <c r="TRU79" s="12"/>
      <c r="TRV79" s="12"/>
      <c r="TRW79" s="12"/>
      <c r="TRX79" s="12"/>
      <c r="TRY79" s="12"/>
      <c r="TRZ79" s="12"/>
      <c r="TSA79" s="12"/>
      <c r="TSB79" s="12"/>
      <c r="TSC79" s="12"/>
      <c r="TSD79" s="12"/>
      <c r="TSE79" s="12"/>
      <c r="TSF79" s="12"/>
      <c r="TSG79" s="12"/>
      <c r="TSH79" s="12"/>
      <c r="TSI79" s="12"/>
      <c r="TSJ79" s="12"/>
      <c r="TSK79" s="12"/>
      <c r="TSL79" s="12"/>
      <c r="TSM79" s="12"/>
      <c r="TSN79" s="12"/>
      <c r="TSO79" s="12"/>
      <c r="TSP79" s="12"/>
      <c r="TSQ79" s="12"/>
      <c r="TSR79" s="12"/>
      <c r="TSS79" s="12"/>
      <c r="TST79" s="12"/>
      <c r="TSU79" s="12"/>
      <c r="TSV79" s="12"/>
      <c r="TSW79" s="12"/>
      <c r="TSX79" s="12"/>
      <c r="TSY79" s="12"/>
      <c r="TSZ79" s="12"/>
      <c r="TTA79" s="12"/>
      <c r="TTB79" s="12"/>
      <c r="TTC79" s="12"/>
      <c r="TTD79" s="12"/>
      <c r="TTE79" s="12"/>
      <c r="TTF79" s="12"/>
      <c r="TTG79" s="12"/>
      <c r="TTH79" s="12"/>
      <c r="TTI79" s="12"/>
      <c r="TTJ79" s="12"/>
      <c r="TTK79" s="12"/>
      <c r="TTL79" s="12"/>
      <c r="TTM79" s="12"/>
      <c r="TTN79" s="12"/>
      <c r="TTO79" s="12"/>
      <c r="TTP79" s="12"/>
      <c r="TTQ79" s="12"/>
      <c r="TTR79" s="12"/>
      <c r="TTS79" s="12"/>
      <c r="TTT79" s="12"/>
      <c r="TTU79" s="12"/>
      <c r="TTV79" s="12"/>
      <c r="TTW79" s="12"/>
      <c r="TTX79" s="12"/>
      <c r="TTY79" s="12"/>
      <c r="TTZ79" s="12"/>
      <c r="TUA79" s="12"/>
      <c r="TUB79" s="12"/>
      <c r="TUC79" s="12"/>
      <c r="TUD79" s="12"/>
      <c r="TUE79" s="12"/>
      <c r="TUF79" s="12"/>
      <c r="TUG79" s="12"/>
      <c r="TUH79" s="12"/>
      <c r="TUI79" s="12"/>
      <c r="TUJ79" s="12"/>
      <c r="TUK79" s="12"/>
      <c r="TUL79" s="12"/>
      <c r="TUM79" s="12"/>
      <c r="TUN79" s="12"/>
      <c r="TUO79" s="12"/>
      <c r="TUP79" s="12"/>
      <c r="TUQ79" s="12"/>
      <c r="TUR79" s="12"/>
      <c r="TUS79" s="12"/>
      <c r="TUT79" s="12"/>
      <c r="TUU79" s="12"/>
      <c r="TUV79" s="12"/>
      <c r="TUW79" s="12"/>
      <c r="TUX79" s="12"/>
      <c r="TUY79" s="12"/>
      <c r="TUZ79" s="12"/>
      <c r="TVA79" s="12"/>
      <c r="TVB79" s="12"/>
      <c r="TVC79" s="12"/>
      <c r="TVD79" s="12"/>
      <c r="TVE79" s="12"/>
      <c r="TVF79" s="12"/>
      <c r="TVG79" s="12"/>
      <c r="TVH79" s="12"/>
      <c r="TVI79" s="12"/>
      <c r="TVJ79" s="12"/>
      <c r="TVK79" s="12"/>
      <c r="TVL79" s="12"/>
      <c r="TVM79" s="12"/>
      <c r="TVN79" s="12"/>
      <c r="TVO79" s="12"/>
      <c r="TVP79" s="12"/>
      <c r="TVQ79" s="12"/>
      <c r="TVR79" s="12"/>
      <c r="TVS79" s="12"/>
      <c r="TVT79" s="12"/>
      <c r="TVU79" s="12"/>
      <c r="TVV79" s="12"/>
      <c r="TVW79" s="12"/>
      <c r="TVX79" s="12"/>
      <c r="TVY79" s="12"/>
      <c r="TVZ79" s="12"/>
      <c r="TWA79" s="12"/>
      <c r="TWB79" s="12"/>
      <c r="TWC79" s="12"/>
      <c r="TWD79" s="12"/>
      <c r="TWE79" s="12"/>
      <c r="TWF79" s="12"/>
      <c r="TWG79" s="12"/>
      <c r="TWH79" s="12"/>
      <c r="TWI79" s="12"/>
      <c r="TWJ79" s="12"/>
      <c r="TWK79" s="12"/>
      <c r="TWL79" s="12"/>
      <c r="TWM79" s="12"/>
      <c r="TWN79" s="12"/>
      <c r="TWO79" s="12"/>
      <c r="TWP79" s="12"/>
      <c r="TWQ79" s="12"/>
      <c r="TWR79" s="12"/>
      <c r="TWS79" s="12"/>
      <c r="TWT79" s="12"/>
      <c r="TWU79" s="12"/>
      <c r="TWV79" s="12"/>
      <c r="TWW79" s="12"/>
      <c r="TWX79" s="12"/>
      <c r="TWY79" s="12"/>
      <c r="TWZ79" s="12"/>
      <c r="TXA79" s="12"/>
      <c r="TXB79" s="12"/>
      <c r="TXC79" s="12"/>
      <c r="TXD79" s="12"/>
      <c r="TXE79" s="12"/>
      <c r="TXF79" s="12"/>
      <c r="TXG79" s="12"/>
      <c r="TXH79" s="12"/>
      <c r="TXI79" s="12"/>
      <c r="TXJ79" s="12"/>
      <c r="TXK79" s="12"/>
      <c r="TXL79" s="12"/>
      <c r="TXM79" s="12"/>
      <c r="TXN79" s="12"/>
      <c r="TXO79" s="12"/>
      <c r="TXP79" s="12"/>
      <c r="TXQ79" s="12"/>
      <c r="TXR79" s="12"/>
      <c r="TXS79" s="12"/>
      <c r="TXT79" s="12"/>
      <c r="TXU79" s="12"/>
      <c r="TXV79" s="12"/>
      <c r="TXW79" s="12"/>
      <c r="TXX79" s="12"/>
      <c r="TXY79" s="12"/>
      <c r="TXZ79" s="12"/>
      <c r="TYA79" s="12"/>
      <c r="TYB79" s="12"/>
      <c r="TYC79" s="12"/>
      <c r="TYD79" s="12"/>
      <c r="TYE79" s="12"/>
      <c r="TYF79" s="12"/>
      <c r="TYG79" s="12"/>
      <c r="TYH79" s="12"/>
      <c r="TYI79" s="12"/>
      <c r="TYJ79" s="12"/>
      <c r="TYK79" s="12"/>
      <c r="TYL79" s="12"/>
      <c r="TYM79" s="12"/>
      <c r="TYN79" s="12"/>
      <c r="TYO79" s="12"/>
      <c r="TYP79" s="12"/>
      <c r="TYQ79" s="12"/>
      <c r="TYR79" s="12"/>
      <c r="TYS79" s="12"/>
      <c r="TYT79" s="12"/>
      <c r="TYU79" s="12"/>
      <c r="TYV79" s="12"/>
      <c r="TYW79" s="12"/>
      <c r="TYX79" s="12"/>
      <c r="TYY79" s="12"/>
      <c r="TYZ79" s="12"/>
      <c r="TZA79" s="12"/>
      <c r="TZB79" s="12"/>
      <c r="TZC79" s="12"/>
      <c r="TZD79" s="12"/>
      <c r="TZE79" s="12"/>
      <c r="TZF79" s="12"/>
      <c r="TZG79" s="12"/>
      <c r="TZH79" s="12"/>
      <c r="TZI79" s="12"/>
      <c r="TZJ79" s="12"/>
      <c r="TZK79" s="12"/>
      <c r="TZL79" s="12"/>
      <c r="TZM79" s="12"/>
      <c r="TZN79" s="12"/>
      <c r="TZO79" s="12"/>
      <c r="TZP79" s="12"/>
      <c r="TZQ79" s="12"/>
      <c r="TZR79" s="12"/>
      <c r="TZS79" s="12"/>
      <c r="TZT79" s="12"/>
      <c r="TZU79" s="12"/>
      <c r="TZV79" s="12"/>
      <c r="TZW79" s="12"/>
      <c r="TZX79" s="12"/>
      <c r="TZY79" s="12"/>
      <c r="TZZ79" s="12"/>
      <c r="UAA79" s="12"/>
      <c r="UAB79" s="12"/>
      <c r="UAC79" s="12"/>
      <c r="UAD79" s="12"/>
      <c r="UAE79" s="12"/>
      <c r="UAF79" s="12"/>
      <c r="UAG79" s="12"/>
      <c r="UAH79" s="12"/>
      <c r="UAI79" s="12"/>
      <c r="UAJ79" s="12"/>
      <c r="UAK79" s="12"/>
      <c r="UAL79" s="12"/>
      <c r="UAM79" s="12"/>
      <c r="UAN79" s="12"/>
      <c r="UAO79" s="12"/>
      <c r="UAP79" s="12"/>
      <c r="UAQ79" s="12"/>
      <c r="UAR79" s="12"/>
      <c r="UAS79" s="12"/>
      <c r="UAT79" s="12"/>
      <c r="UAU79" s="12"/>
      <c r="UAV79" s="12"/>
      <c r="UAW79" s="12"/>
      <c r="UAX79" s="12"/>
      <c r="UAY79" s="12"/>
      <c r="UAZ79" s="12"/>
      <c r="UBA79" s="12"/>
      <c r="UBB79" s="12"/>
      <c r="UBC79" s="12"/>
      <c r="UBD79" s="12"/>
      <c r="UBE79" s="12"/>
      <c r="UBF79" s="12"/>
      <c r="UBG79" s="12"/>
      <c r="UBH79" s="12"/>
      <c r="UBI79" s="12"/>
      <c r="UBJ79" s="12"/>
      <c r="UBK79" s="12"/>
      <c r="UBL79" s="12"/>
      <c r="UBM79" s="12"/>
      <c r="UBN79" s="12"/>
      <c r="UBO79" s="12"/>
      <c r="UBP79" s="12"/>
      <c r="UBQ79" s="12"/>
      <c r="UBR79" s="12"/>
      <c r="UBS79" s="12"/>
      <c r="UBT79" s="12"/>
      <c r="UBU79" s="12"/>
      <c r="UBV79" s="12"/>
      <c r="UBW79" s="12"/>
      <c r="UBX79" s="12"/>
      <c r="UBY79" s="12"/>
      <c r="UBZ79" s="12"/>
      <c r="UCA79" s="12"/>
      <c r="UCB79" s="12"/>
      <c r="UCC79" s="12"/>
      <c r="UCD79" s="12"/>
      <c r="UCE79" s="12"/>
      <c r="UCF79" s="12"/>
      <c r="UCG79" s="12"/>
      <c r="UCH79" s="12"/>
      <c r="UCI79" s="12"/>
      <c r="UCJ79" s="12"/>
      <c r="UCK79" s="12"/>
      <c r="UCL79" s="12"/>
      <c r="UCM79" s="12"/>
      <c r="UCN79" s="12"/>
      <c r="UCO79" s="12"/>
      <c r="UCP79" s="12"/>
      <c r="UCQ79" s="12"/>
      <c r="UCR79" s="12"/>
      <c r="UCS79" s="12"/>
      <c r="UCT79" s="12"/>
      <c r="UCU79" s="12"/>
      <c r="UCV79" s="12"/>
      <c r="UCW79" s="12"/>
      <c r="UCX79" s="12"/>
      <c r="UCY79" s="12"/>
      <c r="UCZ79" s="12"/>
      <c r="UDA79" s="12"/>
      <c r="UDB79" s="12"/>
      <c r="UDC79" s="12"/>
      <c r="UDD79" s="12"/>
      <c r="UDE79" s="12"/>
      <c r="UDF79" s="12"/>
      <c r="UDG79" s="12"/>
      <c r="UDH79" s="12"/>
      <c r="UDI79" s="12"/>
      <c r="UDJ79" s="12"/>
      <c r="UDK79" s="12"/>
      <c r="UDL79" s="12"/>
      <c r="UDM79" s="12"/>
      <c r="UDN79" s="12"/>
      <c r="UDO79" s="12"/>
      <c r="UDP79" s="12"/>
      <c r="UDQ79" s="12"/>
      <c r="UDR79" s="12"/>
      <c r="UDS79" s="12"/>
      <c r="UDT79" s="12"/>
      <c r="UDU79" s="12"/>
      <c r="UDV79" s="12"/>
      <c r="UDW79" s="12"/>
      <c r="UDX79" s="12"/>
      <c r="UDY79" s="12"/>
      <c r="UDZ79" s="12"/>
      <c r="UEA79" s="12"/>
      <c r="UEB79" s="12"/>
      <c r="UEC79" s="12"/>
      <c r="UED79" s="12"/>
      <c r="UEE79" s="12"/>
      <c r="UEF79" s="12"/>
      <c r="UEG79" s="12"/>
      <c r="UEH79" s="12"/>
      <c r="UEI79" s="12"/>
      <c r="UEJ79" s="12"/>
      <c r="UEK79" s="12"/>
      <c r="UEL79" s="12"/>
      <c r="UEM79" s="12"/>
      <c r="UEN79" s="12"/>
      <c r="UEO79" s="12"/>
      <c r="UEP79" s="12"/>
      <c r="UEQ79" s="12"/>
      <c r="UER79" s="12"/>
      <c r="UES79" s="12"/>
      <c r="UET79" s="12"/>
      <c r="UEU79" s="12"/>
      <c r="UEV79" s="12"/>
      <c r="UEW79" s="12"/>
      <c r="UEX79" s="12"/>
      <c r="UEY79" s="12"/>
      <c r="UEZ79" s="12"/>
      <c r="UFA79" s="12"/>
      <c r="UFB79" s="12"/>
      <c r="UFC79" s="12"/>
      <c r="UFD79" s="12"/>
      <c r="UFE79" s="12"/>
      <c r="UFF79" s="12"/>
      <c r="UFG79" s="12"/>
      <c r="UFH79" s="12"/>
      <c r="UFI79" s="12"/>
      <c r="UFJ79" s="12"/>
      <c r="UFK79" s="12"/>
      <c r="UFL79" s="12"/>
      <c r="UFM79" s="12"/>
      <c r="UFN79" s="12"/>
      <c r="UFO79" s="12"/>
      <c r="UFP79" s="12"/>
      <c r="UFQ79" s="12"/>
      <c r="UFR79" s="12"/>
      <c r="UFS79" s="12"/>
      <c r="UFT79" s="12"/>
      <c r="UFU79" s="12"/>
      <c r="UFV79" s="12"/>
      <c r="UFW79" s="12"/>
      <c r="UFX79" s="12"/>
      <c r="UFY79" s="12"/>
      <c r="UFZ79" s="12"/>
      <c r="UGA79" s="12"/>
      <c r="UGB79" s="12"/>
      <c r="UGC79" s="12"/>
      <c r="UGD79" s="12"/>
      <c r="UGE79" s="12"/>
      <c r="UGF79" s="12"/>
      <c r="UGG79" s="12"/>
      <c r="UGH79" s="12"/>
      <c r="UGI79" s="12"/>
      <c r="UGJ79" s="12"/>
      <c r="UGK79" s="12"/>
      <c r="UGL79" s="12"/>
      <c r="UGM79" s="12"/>
      <c r="UGN79" s="12"/>
      <c r="UGO79" s="12"/>
      <c r="UGP79" s="12"/>
      <c r="UGQ79" s="12"/>
      <c r="UGR79" s="12"/>
      <c r="UGS79" s="12"/>
      <c r="UGT79" s="12"/>
      <c r="UGU79" s="12"/>
      <c r="UGV79" s="12"/>
      <c r="UGW79" s="12"/>
      <c r="UGX79" s="12"/>
      <c r="UGY79" s="12"/>
      <c r="UGZ79" s="12"/>
      <c r="UHA79" s="12"/>
      <c r="UHB79" s="12"/>
      <c r="UHC79" s="12"/>
      <c r="UHD79" s="12"/>
      <c r="UHE79" s="12"/>
      <c r="UHF79" s="12"/>
      <c r="UHG79" s="12"/>
      <c r="UHH79" s="12"/>
      <c r="UHI79" s="12"/>
      <c r="UHJ79" s="12"/>
      <c r="UHK79" s="12"/>
      <c r="UHL79" s="12"/>
      <c r="UHM79" s="12"/>
      <c r="UHN79" s="12"/>
      <c r="UHO79" s="12"/>
      <c r="UHP79" s="12"/>
      <c r="UHQ79" s="12"/>
      <c r="UHR79" s="12"/>
      <c r="UHS79" s="12"/>
      <c r="UHT79" s="12"/>
      <c r="UHU79" s="12"/>
      <c r="UHV79" s="12"/>
      <c r="UHW79" s="12"/>
      <c r="UHX79" s="12"/>
      <c r="UHY79" s="12"/>
      <c r="UHZ79" s="12"/>
      <c r="UIA79" s="12"/>
      <c r="UIB79" s="12"/>
      <c r="UIC79" s="12"/>
      <c r="UID79" s="12"/>
      <c r="UIE79" s="12"/>
      <c r="UIF79" s="12"/>
      <c r="UIG79" s="12"/>
      <c r="UIH79" s="12"/>
      <c r="UII79" s="12"/>
      <c r="UIJ79" s="12"/>
      <c r="UIK79" s="12"/>
      <c r="UIL79" s="12"/>
      <c r="UIM79" s="12"/>
      <c r="UIN79" s="12"/>
      <c r="UIO79" s="12"/>
      <c r="UIP79" s="12"/>
      <c r="UIQ79" s="12"/>
      <c r="UIR79" s="12"/>
      <c r="UIS79" s="12"/>
      <c r="UIT79" s="12"/>
      <c r="UIU79" s="12"/>
      <c r="UIV79" s="12"/>
      <c r="UIW79" s="12"/>
      <c r="UIX79" s="12"/>
      <c r="UIY79" s="12"/>
      <c r="UIZ79" s="12"/>
      <c r="UJA79" s="12"/>
      <c r="UJB79" s="12"/>
      <c r="UJC79" s="12"/>
      <c r="UJD79" s="12"/>
      <c r="UJE79" s="12"/>
      <c r="UJF79" s="12"/>
      <c r="UJG79" s="12"/>
      <c r="UJH79" s="12"/>
      <c r="UJI79" s="12"/>
      <c r="UJJ79" s="12"/>
      <c r="UJK79" s="12"/>
      <c r="UJL79" s="12"/>
      <c r="UJM79" s="12"/>
      <c r="UJN79" s="12"/>
      <c r="UJO79" s="12"/>
      <c r="UJP79" s="12"/>
      <c r="UJQ79" s="12"/>
      <c r="UJR79" s="12"/>
      <c r="UJS79" s="12"/>
      <c r="UJT79" s="12"/>
      <c r="UJU79" s="12"/>
      <c r="UJV79" s="12"/>
      <c r="UJW79" s="12"/>
      <c r="UJX79" s="12"/>
      <c r="UJY79" s="12"/>
      <c r="UJZ79" s="12"/>
      <c r="UKA79" s="12"/>
      <c r="UKB79" s="12"/>
      <c r="UKC79" s="12"/>
      <c r="UKD79" s="12"/>
      <c r="UKE79" s="12"/>
      <c r="UKF79" s="12"/>
      <c r="UKG79" s="12"/>
      <c r="UKH79" s="12"/>
      <c r="UKI79" s="12"/>
      <c r="UKJ79" s="12"/>
      <c r="UKK79" s="12"/>
      <c r="UKL79" s="12"/>
      <c r="UKM79" s="12"/>
      <c r="UKN79" s="12"/>
      <c r="UKO79" s="12"/>
      <c r="UKP79" s="12"/>
      <c r="UKQ79" s="12"/>
      <c r="UKR79" s="12"/>
      <c r="UKS79" s="12"/>
      <c r="UKT79" s="12"/>
      <c r="UKU79" s="12"/>
      <c r="UKV79" s="12"/>
      <c r="UKW79" s="12"/>
      <c r="UKX79" s="12"/>
      <c r="UKY79" s="12"/>
      <c r="UKZ79" s="12"/>
      <c r="ULA79" s="12"/>
      <c r="ULB79" s="12"/>
      <c r="ULC79" s="12"/>
      <c r="ULD79" s="12"/>
      <c r="ULE79" s="12"/>
      <c r="ULF79" s="12"/>
      <c r="ULG79" s="12"/>
      <c r="ULH79" s="12"/>
      <c r="ULI79" s="12"/>
      <c r="ULJ79" s="12"/>
      <c r="ULK79" s="12"/>
      <c r="ULL79" s="12"/>
      <c r="ULM79" s="12"/>
      <c r="ULN79" s="12"/>
      <c r="ULO79" s="12"/>
      <c r="ULP79" s="12"/>
      <c r="ULQ79" s="12"/>
      <c r="ULR79" s="12"/>
      <c r="ULS79" s="12"/>
      <c r="ULT79" s="12"/>
      <c r="ULU79" s="12"/>
      <c r="ULV79" s="12"/>
      <c r="ULW79" s="12"/>
      <c r="ULX79" s="12"/>
      <c r="ULY79" s="12"/>
      <c r="ULZ79" s="12"/>
      <c r="UMA79" s="12"/>
      <c r="UMB79" s="12"/>
      <c r="UMC79" s="12"/>
      <c r="UMD79" s="12"/>
      <c r="UME79" s="12"/>
      <c r="UMF79" s="12"/>
      <c r="UMG79" s="12"/>
      <c r="UMH79" s="12"/>
      <c r="UMI79" s="12"/>
      <c r="UMJ79" s="12"/>
      <c r="UMK79" s="12"/>
      <c r="UML79" s="12"/>
      <c r="UMM79" s="12"/>
      <c r="UMN79" s="12"/>
      <c r="UMO79" s="12"/>
      <c r="UMP79" s="12"/>
      <c r="UMQ79" s="12"/>
      <c r="UMR79" s="12"/>
      <c r="UMS79" s="12"/>
      <c r="UMT79" s="12"/>
      <c r="UMU79" s="12"/>
      <c r="UMV79" s="12"/>
      <c r="UMW79" s="12"/>
      <c r="UMX79" s="12"/>
      <c r="UMY79" s="12"/>
      <c r="UMZ79" s="12"/>
      <c r="UNA79" s="12"/>
      <c r="UNB79" s="12"/>
      <c r="UNC79" s="12"/>
      <c r="UND79" s="12"/>
      <c r="UNE79" s="12"/>
      <c r="UNF79" s="12"/>
      <c r="UNG79" s="12"/>
      <c r="UNH79" s="12"/>
      <c r="UNI79" s="12"/>
      <c r="UNJ79" s="12"/>
      <c r="UNK79" s="12"/>
      <c r="UNL79" s="12"/>
      <c r="UNM79" s="12"/>
      <c r="UNN79" s="12"/>
      <c r="UNO79" s="12"/>
      <c r="UNP79" s="12"/>
      <c r="UNQ79" s="12"/>
      <c r="UNR79" s="12"/>
      <c r="UNS79" s="12"/>
      <c r="UNT79" s="12"/>
      <c r="UNU79" s="12"/>
      <c r="UNV79" s="12"/>
      <c r="UNW79" s="12"/>
      <c r="UNX79" s="12"/>
      <c r="UNY79" s="12"/>
      <c r="UNZ79" s="12"/>
      <c r="UOA79" s="12"/>
      <c r="UOB79" s="12"/>
      <c r="UOC79" s="12"/>
      <c r="UOD79" s="12"/>
      <c r="UOE79" s="12"/>
      <c r="UOF79" s="12"/>
      <c r="UOG79" s="12"/>
      <c r="UOH79" s="12"/>
      <c r="UOI79" s="12"/>
      <c r="UOJ79" s="12"/>
      <c r="UOK79" s="12"/>
      <c r="UOL79" s="12"/>
      <c r="UOM79" s="12"/>
      <c r="UON79" s="12"/>
      <c r="UOO79" s="12"/>
      <c r="UOP79" s="12"/>
      <c r="UOQ79" s="12"/>
      <c r="UOR79" s="12"/>
      <c r="UOS79" s="12"/>
      <c r="UOT79" s="12"/>
      <c r="UOU79" s="12"/>
      <c r="UOV79" s="12"/>
      <c r="UOW79" s="12"/>
      <c r="UOX79" s="12"/>
      <c r="UOY79" s="12"/>
      <c r="UOZ79" s="12"/>
      <c r="UPA79" s="12"/>
      <c r="UPB79" s="12"/>
      <c r="UPC79" s="12"/>
      <c r="UPD79" s="12"/>
      <c r="UPE79" s="12"/>
      <c r="UPF79" s="12"/>
      <c r="UPG79" s="12"/>
      <c r="UPH79" s="12"/>
      <c r="UPI79" s="12"/>
      <c r="UPJ79" s="12"/>
      <c r="UPK79" s="12"/>
      <c r="UPL79" s="12"/>
      <c r="UPM79" s="12"/>
      <c r="UPN79" s="12"/>
      <c r="UPO79" s="12"/>
      <c r="UPP79" s="12"/>
      <c r="UPQ79" s="12"/>
      <c r="UPR79" s="12"/>
      <c r="UPS79" s="12"/>
      <c r="UPT79" s="12"/>
      <c r="UPU79" s="12"/>
      <c r="UPV79" s="12"/>
      <c r="UPW79" s="12"/>
      <c r="UPX79" s="12"/>
      <c r="UPY79" s="12"/>
      <c r="UPZ79" s="12"/>
      <c r="UQA79" s="12"/>
      <c r="UQB79" s="12"/>
      <c r="UQC79" s="12"/>
      <c r="UQD79" s="12"/>
      <c r="UQE79" s="12"/>
      <c r="UQF79" s="12"/>
      <c r="UQG79" s="12"/>
      <c r="UQH79" s="12"/>
      <c r="UQI79" s="12"/>
      <c r="UQJ79" s="12"/>
      <c r="UQK79" s="12"/>
      <c r="UQL79" s="12"/>
      <c r="UQM79" s="12"/>
      <c r="UQN79" s="12"/>
      <c r="UQO79" s="12"/>
      <c r="UQP79" s="12"/>
      <c r="UQQ79" s="12"/>
      <c r="UQR79" s="12"/>
      <c r="UQS79" s="12"/>
      <c r="UQT79" s="12"/>
      <c r="UQU79" s="12"/>
      <c r="UQV79" s="12"/>
      <c r="UQW79" s="12"/>
      <c r="UQX79" s="12"/>
      <c r="UQY79" s="12"/>
      <c r="UQZ79" s="12"/>
      <c r="URA79" s="12"/>
      <c r="URB79" s="12"/>
      <c r="URC79" s="12"/>
      <c r="URD79" s="12"/>
      <c r="URE79" s="12"/>
      <c r="URF79" s="12"/>
      <c r="URG79" s="12"/>
      <c r="URH79" s="12"/>
      <c r="URI79" s="12"/>
      <c r="URJ79" s="12"/>
      <c r="URK79" s="12"/>
      <c r="URL79" s="12"/>
      <c r="URM79" s="12"/>
      <c r="URN79" s="12"/>
      <c r="URO79" s="12"/>
      <c r="URP79" s="12"/>
      <c r="URQ79" s="12"/>
      <c r="URR79" s="12"/>
      <c r="URS79" s="12"/>
      <c r="URT79" s="12"/>
      <c r="URU79" s="12"/>
      <c r="URV79" s="12"/>
      <c r="URW79" s="12"/>
      <c r="URX79" s="12"/>
      <c r="URY79" s="12"/>
      <c r="URZ79" s="12"/>
      <c r="USA79" s="12"/>
      <c r="USB79" s="12"/>
      <c r="USC79" s="12"/>
      <c r="USD79" s="12"/>
      <c r="USE79" s="12"/>
      <c r="USF79" s="12"/>
      <c r="USG79" s="12"/>
      <c r="USH79" s="12"/>
      <c r="USI79" s="12"/>
      <c r="USJ79" s="12"/>
      <c r="USK79" s="12"/>
      <c r="USL79" s="12"/>
      <c r="USM79" s="12"/>
      <c r="USN79" s="12"/>
      <c r="USO79" s="12"/>
      <c r="USP79" s="12"/>
      <c r="USQ79" s="12"/>
      <c r="USR79" s="12"/>
      <c r="USS79" s="12"/>
      <c r="UST79" s="12"/>
      <c r="USU79" s="12"/>
      <c r="USV79" s="12"/>
      <c r="USW79" s="12"/>
      <c r="USX79" s="12"/>
      <c r="USY79" s="12"/>
      <c r="USZ79" s="12"/>
      <c r="UTA79" s="12"/>
      <c r="UTB79" s="12"/>
      <c r="UTC79" s="12"/>
      <c r="UTD79" s="12"/>
      <c r="UTE79" s="12"/>
      <c r="UTF79" s="12"/>
      <c r="UTG79" s="12"/>
      <c r="UTH79" s="12"/>
      <c r="UTI79" s="12"/>
      <c r="UTJ79" s="12"/>
      <c r="UTK79" s="12"/>
      <c r="UTL79" s="12"/>
      <c r="UTM79" s="12"/>
      <c r="UTN79" s="12"/>
      <c r="UTO79" s="12"/>
      <c r="UTP79" s="12"/>
      <c r="UTQ79" s="12"/>
      <c r="UTR79" s="12"/>
      <c r="UTS79" s="12"/>
      <c r="UTT79" s="12"/>
      <c r="UTU79" s="12"/>
      <c r="UTV79" s="12"/>
      <c r="UTW79" s="12"/>
      <c r="UTX79" s="12"/>
      <c r="UTY79" s="12"/>
      <c r="UTZ79" s="12"/>
      <c r="UUA79" s="12"/>
      <c r="UUB79" s="12"/>
      <c r="UUC79" s="12"/>
      <c r="UUD79" s="12"/>
      <c r="UUE79" s="12"/>
      <c r="UUF79" s="12"/>
      <c r="UUG79" s="12"/>
      <c r="UUH79" s="12"/>
      <c r="UUI79" s="12"/>
      <c r="UUJ79" s="12"/>
      <c r="UUK79" s="12"/>
      <c r="UUL79" s="12"/>
      <c r="UUM79" s="12"/>
      <c r="UUN79" s="12"/>
      <c r="UUO79" s="12"/>
      <c r="UUP79" s="12"/>
      <c r="UUQ79" s="12"/>
      <c r="UUR79" s="12"/>
      <c r="UUS79" s="12"/>
      <c r="UUT79" s="12"/>
      <c r="UUU79" s="12"/>
      <c r="UUV79" s="12"/>
      <c r="UUW79" s="12"/>
      <c r="UUX79" s="12"/>
      <c r="UUY79" s="12"/>
      <c r="UUZ79" s="12"/>
      <c r="UVA79" s="12"/>
      <c r="UVB79" s="12"/>
      <c r="UVC79" s="12"/>
      <c r="UVD79" s="12"/>
      <c r="UVE79" s="12"/>
      <c r="UVF79" s="12"/>
      <c r="UVG79" s="12"/>
      <c r="UVH79" s="12"/>
      <c r="UVI79" s="12"/>
      <c r="UVJ79" s="12"/>
      <c r="UVK79" s="12"/>
      <c r="UVL79" s="12"/>
      <c r="UVM79" s="12"/>
      <c r="UVN79" s="12"/>
      <c r="UVO79" s="12"/>
      <c r="UVP79" s="12"/>
      <c r="UVQ79" s="12"/>
      <c r="UVR79" s="12"/>
      <c r="UVS79" s="12"/>
      <c r="UVT79" s="12"/>
      <c r="UVU79" s="12"/>
      <c r="UVV79" s="12"/>
      <c r="UVW79" s="12"/>
      <c r="UVX79" s="12"/>
      <c r="UVY79" s="12"/>
      <c r="UVZ79" s="12"/>
      <c r="UWA79" s="12"/>
      <c r="UWB79" s="12"/>
      <c r="UWC79" s="12"/>
      <c r="UWD79" s="12"/>
      <c r="UWE79" s="12"/>
      <c r="UWF79" s="12"/>
      <c r="UWG79" s="12"/>
      <c r="UWH79" s="12"/>
      <c r="UWI79" s="12"/>
      <c r="UWJ79" s="12"/>
      <c r="UWK79" s="12"/>
      <c r="UWL79" s="12"/>
      <c r="UWM79" s="12"/>
      <c r="UWN79" s="12"/>
      <c r="UWO79" s="12"/>
      <c r="UWP79" s="12"/>
      <c r="UWQ79" s="12"/>
      <c r="UWR79" s="12"/>
      <c r="UWS79" s="12"/>
      <c r="UWT79" s="12"/>
      <c r="UWU79" s="12"/>
      <c r="UWV79" s="12"/>
      <c r="UWW79" s="12"/>
      <c r="UWX79" s="12"/>
      <c r="UWY79" s="12"/>
      <c r="UWZ79" s="12"/>
      <c r="UXA79" s="12"/>
      <c r="UXB79" s="12"/>
      <c r="UXC79" s="12"/>
      <c r="UXD79" s="12"/>
      <c r="UXE79" s="12"/>
      <c r="UXF79" s="12"/>
      <c r="UXG79" s="12"/>
      <c r="UXH79" s="12"/>
      <c r="UXI79" s="12"/>
      <c r="UXJ79" s="12"/>
      <c r="UXK79" s="12"/>
      <c r="UXL79" s="12"/>
      <c r="UXM79" s="12"/>
      <c r="UXN79" s="12"/>
      <c r="UXO79" s="12"/>
      <c r="UXP79" s="12"/>
      <c r="UXQ79" s="12"/>
      <c r="UXR79" s="12"/>
      <c r="UXS79" s="12"/>
      <c r="UXT79" s="12"/>
      <c r="UXU79" s="12"/>
      <c r="UXV79" s="12"/>
      <c r="UXW79" s="12"/>
      <c r="UXX79" s="12"/>
      <c r="UXY79" s="12"/>
      <c r="UXZ79" s="12"/>
      <c r="UYA79" s="12"/>
      <c r="UYB79" s="12"/>
      <c r="UYC79" s="12"/>
      <c r="UYD79" s="12"/>
      <c r="UYE79" s="12"/>
      <c r="UYF79" s="12"/>
      <c r="UYG79" s="12"/>
      <c r="UYH79" s="12"/>
      <c r="UYI79" s="12"/>
      <c r="UYJ79" s="12"/>
      <c r="UYK79" s="12"/>
      <c r="UYL79" s="12"/>
      <c r="UYM79" s="12"/>
      <c r="UYN79" s="12"/>
      <c r="UYO79" s="12"/>
      <c r="UYP79" s="12"/>
      <c r="UYQ79" s="12"/>
      <c r="UYR79" s="12"/>
      <c r="UYS79" s="12"/>
      <c r="UYT79" s="12"/>
      <c r="UYU79" s="12"/>
      <c r="UYV79" s="12"/>
      <c r="UYW79" s="12"/>
      <c r="UYX79" s="12"/>
      <c r="UYY79" s="12"/>
      <c r="UYZ79" s="12"/>
      <c r="UZA79" s="12"/>
      <c r="UZB79" s="12"/>
      <c r="UZC79" s="12"/>
      <c r="UZD79" s="12"/>
      <c r="UZE79" s="12"/>
      <c r="UZF79" s="12"/>
      <c r="UZG79" s="12"/>
      <c r="UZH79" s="12"/>
      <c r="UZI79" s="12"/>
      <c r="UZJ79" s="12"/>
      <c r="UZK79" s="12"/>
      <c r="UZL79" s="12"/>
      <c r="UZM79" s="12"/>
      <c r="UZN79" s="12"/>
      <c r="UZO79" s="12"/>
      <c r="UZP79" s="12"/>
      <c r="UZQ79" s="12"/>
      <c r="UZR79" s="12"/>
      <c r="UZS79" s="12"/>
      <c r="UZT79" s="12"/>
      <c r="UZU79" s="12"/>
      <c r="UZV79" s="12"/>
      <c r="UZW79" s="12"/>
      <c r="UZX79" s="12"/>
      <c r="UZY79" s="12"/>
      <c r="UZZ79" s="12"/>
      <c r="VAA79" s="12"/>
      <c r="VAB79" s="12"/>
      <c r="VAC79" s="12"/>
      <c r="VAD79" s="12"/>
      <c r="VAE79" s="12"/>
      <c r="VAF79" s="12"/>
      <c r="VAG79" s="12"/>
      <c r="VAH79" s="12"/>
      <c r="VAI79" s="12"/>
      <c r="VAJ79" s="12"/>
      <c r="VAK79" s="12"/>
      <c r="VAL79" s="12"/>
      <c r="VAM79" s="12"/>
      <c r="VAN79" s="12"/>
      <c r="VAO79" s="12"/>
      <c r="VAP79" s="12"/>
      <c r="VAQ79" s="12"/>
      <c r="VAR79" s="12"/>
      <c r="VAS79" s="12"/>
      <c r="VAT79" s="12"/>
      <c r="VAU79" s="12"/>
      <c r="VAV79" s="12"/>
      <c r="VAW79" s="12"/>
      <c r="VAX79" s="12"/>
      <c r="VAY79" s="12"/>
      <c r="VAZ79" s="12"/>
      <c r="VBA79" s="12"/>
      <c r="VBB79" s="12"/>
      <c r="VBC79" s="12"/>
      <c r="VBD79" s="12"/>
      <c r="VBE79" s="12"/>
      <c r="VBF79" s="12"/>
      <c r="VBG79" s="12"/>
      <c r="VBH79" s="12"/>
      <c r="VBI79" s="12"/>
      <c r="VBJ79" s="12"/>
      <c r="VBK79" s="12"/>
      <c r="VBL79" s="12"/>
      <c r="VBM79" s="12"/>
      <c r="VBN79" s="12"/>
      <c r="VBO79" s="12"/>
      <c r="VBP79" s="12"/>
      <c r="VBQ79" s="12"/>
      <c r="VBR79" s="12"/>
      <c r="VBS79" s="12"/>
      <c r="VBT79" s="12"/>
      <c r="VBU79" s="12"/>
      <c r="VBV79" s="12"/>
      <c r="VBW79" s="12"/>
      <c r="VBX79" s="12"/>
      <c r="VBY79" s="12"/>
      <c r="VBZ79" s="12"/>
      <c r="VCA79" s="12"/>
      <c r="VCB79" s="12"/>
      <c r="VCC79" s="12"/>
      <c r="VCD79" s="12"/>
      <c r="VCE79" s="12"/>
      <c r="VCF79" s="12"/>
      <c r="VCG79" s="12"/>
      <c r="VCH79" s="12"/>
      <c r="VCI79" s="12"/>
      <c r="VCJ79" s="12"/>
      <c r="VCK79" s="12"/>
      <c r="VCL79" s="12"/>
      <c r="VCM79" s="12"/>
      <c r="VCN79" s="12"/>
      <c r="VCO79" s="12"/>
      <c r="VCP79" s="12"/>
      <c r="VCQ79" s="12"/>
      <c r="VCR79" s="12"/>
      <c r="VCS79" s="12"/>
      <c r="VCT79" s="12"/>
      <c r="VCU79" s="12"/>
      <c r="VCV79" s="12"/>
      <c r="VCW79" s="12"/>
      <c r="VCX79" s="12"/>
      <c r="VCY79" s="12"/>
      <c r="VCZ79" s="12"/>
      <c r="VDA79" s="12"/>
      <c r="VDB79" s="12"/>
      <c r="VDC79" s="12"/>
      <c r="VDD79" s="12"/>
      <c r="VDE79" s="12"/>
      <c r="VDF79" s="12"/>
      <c r="VDG79" s="12"/>
      <c r="VDH79" s="12"/>
      <c r="VDI79" s="12"/>
      <c r="VDJ79" s="12"/>
      <c r="VDK79" s="12"/>
      <c r="VDL79" s="12"/>
      <c r="VDM79" s="12"/>
      <c r="VDN79" s="12"/>
      <c r="VDO79" s="12"/>
      <c r="VDP79" s="12"/>
      <c r="VDQ79" s="12"/>
      <c r="VDR79" s="12"/>
      <c r="VDS79" s="12"/>
      <c r="VDT79" s="12"/>
      <c r="VDU79" s="12"/>
      <c r="VDV79" s="12"/>
      <c r="VDW79" s="12"/>
      <c r="VDX79" s="12"/>
      <c r="VDY79" s="12"/>
      <c r="VDZ79" s="12"/>
      <c r="VEA79" s="12"/>
      <c r="VEB79" s="12"/>
      <c r="VEC79" s="12"/>
      <c r="VED79" s="12"/>
      <c r="VEE79" s="12"/>
      <c r="VEF79" s="12"/>
      <c r="VEG79" s="12"/>
      <c r="VEH79" s="12"/>
      <c r="VEI79" s="12"/>
      <c r="VEJ79" s="12"/>
      <c r="VEK79" s="12"/>
      <c r="VEL79" s="12"/>
      <c r="VEM79" s="12"/>
      <c r="VEN79" s="12"/>
      <c r="VEO79" s="12"/>
      <c r="VEP79" s="12"/>
      <c r="VEQ79" s="12"/>
      <c r="VER79" s="12"/>
      <c r="VES79" s="12"/>
      <c r="VET79" s="12"/>
      <c r="VEU79" s="12"/>
      <c r="VEV79" s="12"/>
      <c r="VEW79" s="12"/>
      <c r="VEX79" s="12"/>
      <c r="VEY79" s="12"/>
      <c r="VEZ79" s="12"/>
      <c r="VFA79" s="12"/>
      <c r="VFB79" s="12"/>
      <c r="VFC79" s="12"/>
      <c r="VFD79" s="12"/>
      <c r="VFE79" s="12"/>
      <c r="VFF79" s="12"/>
      <c r="VFG79" s="12"/>
      <c r="VFH79" s="12"/>
      <c r="VFI79" s="12"/>
      <c r="VFJ79" s="12"/>
      <c r="VFK79" s="12"/>
      <c r="VFL79" s="12"/>
      <c r="VFM79" s="12"/>
      <c r="VFN79" s="12"/>
      <c r="VFO79" s="12"/>
      <c r="VFP79" s="12"/>
      <c r="VFQ79" s="12"/>
      <c r="VFR79" s="12"/>
      <c r="VFS79" s="12"/>
      <c r="VFT79" s="12"/>
      <c r="VFU79" s="12"/>
      <c r="VFV79" s="12"/>
      <c r="VFW79" s="12"/>
      <c r="VFX79" s="12"/>
      <c r="VFY79" s="12"/>
      <c r="VFZ79" s="12"/>
      <c r="VGA79" s="12"/>
      <c r="VGB79" s="12"/>
      <c r="VGC79" s="12"/>
      <c r="VGD79" s="12"/>
      <c r="VGE79" s="12"/>
      <c r="VGF79" s="12"/>
      <c r="VGG79" s="12"/>
      <c r="VGH79" s="12"/>
      <c r="VGI79" s="12"/>
      <c r="VGJ79" s="12"/>
      <c r="VGK79" s="12"/>
      <c r="VGL79" s="12"/>
      <c r="VGM79" s="12"/>
      <c r="VGN79" s="12"/>
      <c r="VGO79" s="12"/>
      <c r="VGP79" s="12"/>
      <c r="VGQ79" s="12"/>
      <c r="VGR79" s="12"/>
      <c r="VGS79" s="12"/>
      <c r="VGT79" s="12"/>
      <c r="VGU79" s="12"/>
      <c r="VGV79" s="12"/>
      <c r="VGW79" s="12"/>
      <c r="VGX79" s="12"/>
      <c r="VGY79" s="12"/>
      <c r="VGZ79" s="12"/>
      <c r="VHA79" s="12"/>
      <c r="VHB79" s="12"/>
      <c r="VHC79" s="12"/>
      <c r="VHD79" s="12"/>
      <c r="VHE79" s="12"/>
      <c r="VHF79" s="12"/>
      <c r="VHG79" s="12"/>
      <c r="VHH79" s="12"/>
      <c r="VHI79" s="12"/>
      <c r="VHJ79" s="12"/>
      <c r="VHK79" s="12"/>
      <c r="VHL79" s="12"/>
      <c r="VHM79" s="12"/>
      <c r="VHN79" s="12"/>
      <c r="VHO79" s="12"/>
      <c r="VHP79" s="12"/>
      <c r="VHQ79" s="12"/>
      <c r="VHR79" s="12"/>
      <c r="VHS79" s="12"/>
      <c r="VHT79" s="12"/>
      <c r="VHU79" s="12"/>
      <c r="VHV79" s="12"/>
      <c r="VHW79" s="12"/>
      <c r="VHX79" s="12"/>
      <c r="VHY79" s="12"/>
      <c r="VHZ79" s="12"/>
      <c r="VIA79" s="12"/>
      <c r="VIB79" s="12"/>
      <c r="VIC79" s="12"/>
      <c r="VID79" s="12"/>
      <c r="VIE79" s="12"/>
      <c r="VIF79" s="12"/>
      <c r="VIG79" s="12"/>
      <c r="VIH79" s="12"/>
      <c r="VII79" s="12"/>
      <c r="VIJ79" s="12"/>
      <c r="VIK79" s="12"/>
      <c r="VIL79" s="12"/>
      <c r="VIM79" s="12"/>
      <c r="VIN79" s="12"/>
      <c r="VIO79" s="12"/>
      <c r="VIP79" s="12"/>
      <c r="VIQ79" s="12"/>
      <c r="VIR79" s="12"/>
      <c r="VIS79" s="12"/>
      <c r="VIT79" s="12"/>
      <c r="VIU79" s="12"/>
      <c r="VIV79" s="12"/>
      <c r="VIW79" s="12"/>
      <c r="VIX79" s="12"/>
      <c r="VIY79" s="12"/>
      <c r="VIZ79" s="12"/>
      <c r="VJA79" s="12"/>
      <c r="VJB79" s="12"/>
      <c r="VJC79" s="12"/>
      <c r="VJD79" s="12"/>
      <c r="VJE79" s="12"/>
      <c r="VJF79" s="12"/>
      <c r="VJG79" s="12"/>
      <c r="VJH79" s="12"/>
      <c r="VJI79" s="12"/>
      <c r="VJJ79" s="12"/>
      <c r="VJK79" s="12"/>
      <c r="VJL79" s="12"/>
      <c r="VJM79" s="12"/>
      <c r="VJN79" s="12"/>
      <c r="VJO79" s="12"/>
      <c r="VJP79" s="12"/>
      <c r="VJQ79" s="12"/>
      <c r="VJR79" s="12"/>
      <c r="VJS79" s="12"/>
      <c r="VJT79" s="12"/>
      <c r="VJU79" s="12"/>
      <c r="VJV79" s="12"/>
      <c r="VJW79" s="12"/>
      <c r="VJX79" s="12"/>
      <c r="VJY79" s="12"/>
      <c r="VJZ79" s="12"/>
      <c r="VKA79" s="12"/>
      <c r="VKB79" s="12"/>
      <c r="VKC79" s="12"/>
      <c r="VKD79" s="12"/>
      <c r="VKE79" s="12"/>
      <c r="VKF79" s="12"/>
      <c r="VKG79" s="12"/>
      <c r="VKH79" s="12"/>
      <c r="VKI79" s="12"/>
      <c r="VKJ79" s="12"/>
      <c r="VKK79" s="12"/>
      <c r="VKL79" s="12"/>
      <c r="VKM79" s="12"/>
      <c r="VKN79" s="12"/>
      <c r="VKO79" s="12"/>
      <c r="VKP79" s="12"/>
      <c r="VKQ79" s="12"/>
      <c r="VKR79" s="12"/>
      <c r="VKS79" s="12"/>
      <c r="VKT79" s="12"/>
      <c r="VKU79" s="12"/>
      <c r="VKV79" s="12"/>
      <c r="VKW79" s="12"/>
      <c r="VKX79" s="12"/>
      <c r="VKY79" s="12"/>
      <c r="VKZ79" s="12"/>
      <c r="VLA79" s="12"/>
      <c r="VLB79" s="12"/>
      <c r="VLC79" s="12"/>
      <c r="VLD79" s="12"/>
      <c r="VLE79" s="12"/>
      <c r="VLF79" s="12"/>
      <c r="VLG79" s="12"/>
      <c r="VLH79" s="12"/>
      <c r="VLI79" s="12"/>
      <c r="VLJ79" s="12"/>
      <c r="VLK79" s="12"/>
      <c r="VLL79" s="12"/>
      <c r="VLM79" s="12"/>
      <c r="VLN79" s="12"/>
      <c r="VLO79" s="12"/>
      <c r="VLP79" s="12"/>
      <c r="VLQ79" s="12"/>
      <c r="VLR79" s="12"/>
      <c r="VLS79" s="12"/>
      <c r="VLT79" s="12"/>
      <c r="VLU79" s="12"/>
      <c r="VLV79" s="12"/>
      <c r="VLW79" s="12"/>
      <c r="VLX79" s="12"/>
      <c r="VLY79" s="12"/>
      <c r="VLZ79" s="12"/>
      <c r="VMA79" s="12"/>
      <c r="VMB79" s="12"/>
      <c r="VMC79" s="12"/>
      <c r="VMD79" s="12"/>
      <c r="VME79" s="12"/>
      <c r="VMF79" s="12"/>
      <c r="VMG79" s="12"/>
      <c r="VMH79" s="12"/>
      <c r="VMI79" s="12"/>
      <c r="VMJ79" s="12"/>
      <c r="VMK79" s="12"/>
      <c r="VML79" s="12"/>
      <c r="VMM79" s="12"/>
      <c r="VMN79" s="12"/>
      <c r="VMO79" s="12"/>
      <c r="VMP79" s="12"/>
      <c r="VMQ79" s="12"/>
      <c r="VMR79" s="12"/>
      <c r="VMS79" s="12"/>
      <c r="VMT79" s="12"/>
      <c r="VMU79" s="12"/>
      <c r="VMV79" s="12"/>
      <c r="VMW79" s="12"/>
      <c r="VMX79" s="12"/>
      <c r="VMY79" s="12"/>
      <c r="VMZ79" s="12"/>
      <c r="VNA79" s="12"/>
      <c r="VNB79" s="12"/>
      <c r="VNC79" s="12"/>
      <c r="VND79" s="12"/>
      <c r="VNE79" s="12"/>
      <c r="VNF79" s="12"/>
      <c r="VNG79" s="12"/>
      <c r="VNH79" s="12"/>
      <c r="VNI79" s="12"/>
      <c r="VNJ79" s="12"/>
      <c r="VNK79" s="12"/>
      <c r="VNL79" s="12"/>
      <c r="VNM79" s="12"/>
      <c r="VNN79" s="12"/>
      <c r="VNO79" s="12"/>
      <c r="VNP79" s="12"/>
      <c r="VNQ79" s="12"/>
      <c r="VNR79" s="12"/>
      <c r="VNS79" s="12"/>
      <c r="VNT79" s="12"/>
      <c r="VNU79" s="12"/>
      <c r="VNV79" s="12"/>
      <c r="VNW79" s="12"/>
      <c r="VNX79" s="12"/>
      <c r="VNY79" s="12"/>
      <c r="VNZ79" s="12"/>
      <c r="VOA79" s="12"/>
      <c r="VOB79" s="12"/>
      <c r="VOC79" s="12"/>
      <c r="VOD79" s="12"/>
      <c r="VOE79" s="12"/>
      <c r="VOF79" s="12"/>
      <c r="VOG79" s="12"/>
      <c r="VOH79" s="12"/>
      <c r="VOI79" s="12"/>
      <c r="VOJ79" s="12"/>
      <c r="VOK79" s="12"/>
      <c r="VOL79" s="12"/>
      <c r="VOM79" s="12"/>
      <c r="VON79" s="12"/>
      <c r="VOO79" s="12"/>
      <c r="VOP79" s="12"/>
      <c r="VOQ79" s="12"/>
      <c r="VOR79" s="12"/>
      <c r="VOS79" s="12"/>
      <c r="VOT79" s="12"/>
      <c r="VOU79" s="12"/>
      <c r="VOV79" s="12"/>
      <c r="VOW79" s="12"/>
      <c r="VOX79" s="12"/>
      <c r="VOY79" s="12"/>
      <c r="VOZ79" s="12"/>
      <c r="VPA79" s="12"/>
      <c r="VPB79" s="12"/>
      <c r="VPC79" s="12"/>
      <c r="VPD79" s="12"/>
      <c r="VPE79" s="12"/>
      <c r="VPF79" s="12"/>
      <c r="VPG79" s="12"/>
      <c r="VPH79" s="12"/>
      <c r="VPI79" s="12"/>
      <c r="VPJ79" s="12"/>
      <c r="VPK79" s="12"/>
      <c r="VPL79" s="12"/>
      <c r="VPM79" s="12"/>
      <c r="VPN79" s="12"/>
      <c r="VPO79" s="12"/>
      <c r="VPP79" s="12"/>
      <c r="VPQ79" s="12"/>
      <c r="VPR79" s="12"/>
      <c r="VPS79" s="12"/>
      <c r="VPT79" s="12"/>
      <c r="VPU79" s="12"/>
      <c r="VPV79" s="12"/>
      <c r="VPW79" s="12"/>
      <c r="VPX79" s="12"/>
      <c r="VPY79" s="12"/>
      <c r="VPZ79" s="12"/>
      <c r="VQA79" s="12"/>
      <c r="VQB79" s="12"/>
      <c r="VQC79" s="12"/>
      <c r="VQD79" s="12"/>
      <c r="VQE79" s="12"/>
      <c r="VQF79" s="12"/>
      <c r="VQG79" s="12"/>
      <c r="VQH79" s="12"/>
      <c r="VQI79" s="12"/>
      <c r="VQJ79" s="12"/>
      <c r="VQK79" s="12"/>
      <c r="VQL79" s="12"/>
      <c r="VQM79" s="12"/>
      <c r="VQN79" s="12"/>
      <c r="VQO79" s="12"/>
      <c r="VQP79" s="12"/>
      <c r="VQQ79" s="12"/>
      <c r="VQR79" s="12"/>
      <c r="VQS79" s="12"/>
      <c r="VQT79" s="12"/>
      <c r="VQU79" s="12"/>
      <c r="VQV79" s="12"/>
      <c r="VQW79" s="12"/>
      <c r="VQX79" s="12"/>
      <c r="VQY79" s="12"/>
      <c r="VQZ79" s="12"/>
      <c r="VRA79" s="12"/>
      <c r="VRB79" s="12"/>
      <c r="VRC79" s="12"/>
      <c r="VRD79" s="12"/>
      <c r="VRE79" s="12"/>
      <c r="VRF79" s="12"/>
      <c r="VRG79" s="12"/>
      <c r="VRH79" s="12"/>
      <c r="VRI79" s="12"/>
      <c r="VRJ79" s="12"/>
      <c r="VRK79" s="12"/>
      <c r="VRL79" s="12"/>
      <c r="VRM79" s="12"/>
      <c r="VRN79" s="12"/>
      <c r="VRO79" s="12"/>
      <c r="VRP79" s="12"/>
      <c r="VRQ79" s="12"/>
      <c r="VRR79" s="12"/>
      <c r="VRS79" s="12"/>
      <c r="VRT79" s="12"/>
      <c r="VRU79" s="12"/>
      <c r="VRV79" s="12"/>
      <c r="VRW79" s="12"/>
      <c r="VRX79" s="12"/>
      <c r="VRY79" s="12"/>
      <c r="VRZ79" s="12"/>
      <c r="VSA79" s="12"/>
      <c r="VSB79" s="12"/>
      <c r="VSC79" s="12"/>
      <c r="VSD79" s="12"/>
      <c r="VSE79" s="12"/>
      <c r="VSF79" s="12"/>
      <c r="VSG79" s="12"/>
      <c r="VSH79" s="12"/>
      <c r="VSI79" s="12"/>
      <c r="VSJ79" s="12"/>
      <c r="VSK79" s="12"/>
      <c r="VSL79" s="12"/>
      <c r="VSM79" s="12"/>
      <c r="VSN79" s="12"/>
      <c r="VSO79" s="12"/>
      <c r="VSP79" s="12"/>
      <c r="VSQ79" s="12"/>
      <c r="VSR79" s="12"/>
      <c r="VSS79" s="12"/>
      <c r="VST79" s="12"/>
      <c r="VSU79" s="12"/>
      <c r="VSV79" s="12"/>
      <c r="VSW79" s="12"/>
      <c r="VSX79" s="12"/>
      <c r="VSY79" s="12"/>
      <c r="VSZ79" s="12"/>
      <c r="VTA79" s="12"/>
      <c r="VTB79" s="12"/>
      <c r="VTC79" s="12"/>
      <c r="VTD79" s="12"/>
      <c r="VTE79" s="12"/>
      <c r="VTF79" s="12"/>
      <c r="VTG79" s="12"/>
      <c r="VTH79" s="12"/>
      <c r="VTI79" s="12"/>
      <c r="VTJ79" s="12"/>
      <c r="VTK79" s="12"/>
      <c r="VTL79" s="12"/>
      <c r="VTM79" s="12"/>
      <c r="VTN79" s="12"/>
      <c r="VTO79" s="12"/>
      <c r="VTP79" s="12"/>
      <c r="VTQ79" s="12"/>
      <c r="VTR79" s="12"/>
      <c r="VTS79" s="12"/>
      <c r="VTT79" s="12"/>
      <c r="VTU79" s="12"/>
      <c r="VTV79" s="12"/>
      <c r="VTW79" s="12"/>
      <c r="VTX79" s="12"/>
      <c r="VTY79" s="12"/>
      <c r="VTZ79" s="12"/>
      <c r="VUA79" s="12"/>
      <c r="VUB79" s="12"/>
      <c r="VUC79" s="12"/>
      <c r="VUD79" s="12"/>
      <c r="VUE79" s="12"/>
      <c r="VUF79" s="12"/>
      <c r="VUG79" s="12"/>
      <c r="VUH79" s="12"/>
      <c r="VUI79" s="12"/>
      <c r="VUJ79" s="12"/>
      <c r="VUK79" s="12"/>
      <c r="VUL79" s="12"/>
      <c r="VUM79" s="12"/>
      <c r="VUN79" s="12"/>
      <c r="VUO79" s="12"/>
      <c r="VUP79" s="12"/>
      <c r="VUQ79" s="12"/>
      <c r="VUR79" s="12"/>
      <c r="VUS79" s="12"/>
      <c r="VUT79" s="12"/>
      <c r="VUU79" s="12"/>
      <c r="VUV79" s="12"/>
      <c r="VUW79" s="12"/>
      <c r="VUX79" s="12"/>
      <c r="VUY79" s="12"/>
      <c r="VUZ79" s="12"/>
      <c r="VVA79" s="12"/>
      <c r="VVB79" s="12"/>
      <c r="VVC79" s="12"/>
      <c r="VVD79" s="12"/>
      <c r="VVE79" s="12"/>
      <c r="VVF79" s="12"/>
      <c r="VVG79" s="12"/>
      <c r="VVH79" s="12"/>
      <c r="VVI79" s="12"/>
      <c r="VVJ79" s="12"/>
      <c r="VVK79" s="12"/>
      <c r="VVL79" s="12"/>
      <c r="VVM79" s="12"/>
      <c r="VVN79" s="12"/>
      <c r="VVO79" s="12"/>
      <c r="VVP79" s="12"/>
      <c r="VVQ79" s="12"/>
      <c r="VVR79" s="12"/>
      <c r="VVS79" s="12"/>
      <c r="VVT79" s="12"/>
      <c r="VVU79" s="12"/>
      <c r="VVV79" s="12"/>
      <c r="VVW79" s="12"/>
      <c r="VVX79" s="12"/>
      <c r="VVY79" s="12"/>
      <c r="VVZ79" s="12"/>
      <c r="VWA79" s="12"/>
      <c r="VWB79" s="12"/>
      <c r="VWC79" s="12"/>
      <c r="VWD79" s="12"/>
      <c r="VWE79" s="12"/>
      <c r="VWF79" s="12"/>
      <c r="VWG79" s="12"/>
      <c r="VWH79" s="12"/>
      <c r="VWI79" s="12"/>
      <c r="VWJ79" s="12"/>
      <c r="VWK79" s="12"/>
      <c r="VWL79" s="12"/>
      <c r="VWM79" s="12"/>
      <c r="VWN79" s="12"/>
      <c r="VWO79" s="12"/>
      <c r="VWP79" s="12"/>
      <c r="VWQ79" s="12"/>
      <c r="VWR79" s="12"/>
      <c r="VWS79" s="12"/>
      <c r="VWT79" s="12"/>
      <c r="VWU79" s="12"/>
      <c r="VWV79" s="12"/>
      <c r="VWW79" s="12"/>
      <c r="VWX79" s="12"/>
      <c r="VWY79" s="12"/>
      <c r="VWZ79" s="12"/>
      <c r="VXA79" s="12"/>
      <c r="VXB79" s="12"/>
      <c r="VXC79" s="12"/>
      <c r="VXD79" s="12"/>
      <c r="VXE79" s="12"/>
      <c r="VXF79" s="12"/>
      <c r="VXG79" s="12"/>
      <c r="VXH79" s="12"/>
      <c r="VXI79" s="12"/>
      <c r="VXJ79" s="12"/>
      <c r="VXK79" s="12"/>
      <c r="VXL79" s="12"/>
      <c r="VXM79" s="12"/>
      <c r="VXN79" s="12"/>
      <c r="VXO79" s="12"/>
      <c r="VXP79" s="12"/>
      <c r="VXQ79" s="12"/>
      <c r="VXR79" s="12"/>
      <c r="VXS79" s="12"/>
      <c r="VXT79" s="12"/>
      <c r="VXU79" s="12"/>
      <c r="VXV79" s="12"/>
      <c r="VXW79" s="12"/>
      <c r="VXX79" s="12"/>
      <c r="VXY79" s="12"/>
      <c r="VXZ79" s="12"/>
      <c r="VYA79" s="12"/>
      <c r="VYB79" s="12"/>
      <c r="VYC79" s="12"/>
      <c r="VYD79" s="12"/>
      <c r="VYE79" s="12"/>
      <c r="VYF79" s="12"/>
      <c r="VYG79" s="12"/>
      <c r="VYH79" s="12"/>
      <c r="VYI79" s="12"/>
      <c r="VYJ79" s="12"/>
      <c r="VYK79" s="12"/>
      <c r="VYL79" s="12"/>
      <c r="VYM79" s="12"/>
      <c r="VYN79" s="12"/>
      <c r="VYO79" s="12"/>
      <c r="VYP79" s="12"/>
      <c r="VYQ79" s="12"/>
      <c r="VYR79" s="12"/>
      <c r="VYS79" s="12"/>
      <c r="VYT79" s="12"/>
      <c r="VYU79" s="12"/>
      <c r="VYV79" s="12"/>
      <c r="VYW79" s="12"/>
      <c r="VYX79" s="12"/>
      <c r="VYY79" s="12"/>
      <c r="VYZ79" s="12"/>
      <c r="VZA79" s="12"/>
      <c r="VZB79" s="12"/>
      <c r="VZC79" s="12"/>
      <c r="VZD79" s="12"/>
      <c r="VZE79" s="12"/>
      <c r="VZF79" s="12"/>
      <c r="VZG79" s="12"/>
      <c r="VZH79" s="12"/>
      <c r="VZI79" s="12"/>
      <c r="VZJ79" s="12"/>
      <c r="VZK79" s="12"/>
      <c r="VZL79" s="12"/>
      <c r="VZM79" s="12"/>
      <c r="VZN79" s="12"/>
      <c r="VZO79" s="12"/>
      <c r="VZP79" s="12"/>
      <c r="VZQ79" s="12"/>
      <c r="VZR79" s="12"/>
      <c r="VZS79" s="12"/>
      <c r="VZT79" s="12"/>
      <c r="VZU79" s="12"/>
      <c r="VZV79" s="12"/>
      <c r="VZW79" s="12"/>
      <c r="VZX79" s="12"/>
      <c r="VZY79" s="12"/>
      <c r="VZZ79" s="12"/>
      <c r="WAA79" s="12"/>
      <c r="WAB79" s="12"/>
      <c r="WAC79" s="12"/>
      <c r="WAD79" s="12"/>
      <c r="WAE79" s="12"/>
      <c r="WAF79" s="12"/>
      <c r="WAG79" s="12"/>
      <c r="WAH79" s="12"/>
      <c r="WAI79" s="12"/>
      <c r="WAJ79" s="12"/>
      <c r="WAK79" s="12"/>
      <c r="WAL79" s="12"/>
      <c r="WAM79" s="12"/>
      <c r="WAN79" s="12"/>
      <c r="WAO79" s="12"/>
      <c r="WAP79" s="12"/>
      <c r="WAQ79" s="12"/>
      <c r="WAR79" s="12"/>
      <c r="WAS79" s="12"/>
      <c r="WAT79" s="12"/>
      <c r="WAU79" s="12"/>
      <c r="WAV79" s="12"/>
      <c r="WAW79" s="12"/>
      <c r="WAX79" s="12"/>
      <c r="WAY79" s="12"/>
      <c r="WAZ79" s="12"/>
      <c r="WBA79" s="12"/>
      <c r="WBB79" s="12"/>
      <c r="WBC79" s="12"/>
      <c r="WBD79" s="12"/>
      <c r="WBE79" s="12"/>
      <c r="WBF79" s="12"/>
      <c r="WBG79" s="12"/>
      <c r="WBH79" s="12"/>
      <c r="WBI79" s="12"/>
      <c r="WBJ79" s="12"/>
      <c r="WBK79" s="12"/>
      <c r="WBL79" s="12"/>
      <c r="WBM79" s="12"/>
      <c r="WBN79" s="12"/>
      <c r="WBO79" s="12"/>
      <c r="WBP79" s="12"/>
      <c r="WBQ79" s="12"/>
      <c r="WBR79" s="12"/>
      <c r="WBS79" s="12"/>
      <c r="WBT79" s="12"/>
      <c r="WBU79" s="12"/>
      <c r="WBV79" s="12"/>
      <c r="WBW79" s="12"/>
      <c r="WBX79" s="12"/>
      <c r="WBY79" s="12"/>
      <c r="WBZ79" s="12"/>
      <c r="WCA79" s="12"/>
      <c r="WCB79" s="12"/>
      <c r="WCC79" s="12"/>
      <c r="WCD79" s="12"/>
      <c r="WCE79" s="12"/>
      <c r="WCF79" s="12"/>
      <c r="WCG79" s="12"/>
      <c r="WCH79" s="12"/>
      <c r="WCI79" s="12"/>
      <c r="WCJ79" s="12"/>
      <c r="WCK79" s="12"/>
      <c r="WCL79" s="12"/>
      <c r="WCM79" s="12"/>
      <c r="WCN79" s="12"/>
      <c r="WCO79" s="12"/>
      <c r="WCP79" s="12"/>
      <c r="WCQ79" s="12"/>
      <c r="WCR79" s="12"/>
      <c r="WCS79" s="12"/>
      <c r="WCT79" s="12"/>
      <c r="WCU79" s="12"/>
      <c r="WCV79" s="12"/>
      <c r="WCW79" s="12"/>
      <c r="WCX79" s="12"/>
      <c r="WCY79" s="12"/>
      <c r="WCZ79" s="12"/>
      <c r="WDA79" s="12"/>
      <c r="WDB79" s="12"/>
      <c r="WDC79" s="12"/>
      <c r="WDD79" s="12"/>
      <c r="WDE79" s="12"/>
      <c r="WDF79" s="12"/>
      <c r="WDG79" s="12"/>
      <c r="WDH79" s="12"/>
      <c r="WDI79" s="12"/>
      <c r="WDJ79" s="12"/>
      <c r="WDK79" s="12"/>
      <c r="WDL79" s="12"/>
      <c r="WDM79" s="12"/>
      <c r="WDN79" s="12"/>
      <c r="WDO79" s="12"/>
      <c r="WDP79" s="12"/>
      <c r="WDQ79" s="12"/>
      <c r="WDR79" s="12"/>
      <c r="WDS79" s="12"/>
      <c r="WDT79" s="12"/>
      <c r="WDU79" s="12"/>
      <c r="WDV79" s="12"/>
      <c r="WDW79" s="12"/>
      <c r="WDX79" s="12"/>
      <c r="WDY79" s="12"/>
      <c r="WDZ79" s="12"/>
      <c r="WEA79" s="12"/>
      <c r="WEB79" s="12"/>
      <c r="WEC79" s="12"/>
      <c r="WED79" s="12"/>
      <c r="WEE79" s="12"/>
      <c r="WEF79" s="12"/>
      <c r="WEG79" s="12"/>
      <c r="WEH79" s="12"/>
      <c r="WEI79" s="12"/>
      <c r="WEJ79" s="12"/>
      <c r="WEK79" s="12"/>
      <c r="WEL79" s="12"/>
      <c r="WEM79" s="12"/>
      <c r="WEN79" s="12"/>
      <c r="WEO79" s="12"/>
      <c r="WEP79" s="12"/>
      <c r="WEQ79" s="12"/>
      <c r="WER79" s="12"/>
      <c r="WES79" s="12"/>
      <c r="WET79" s="12"/>
      <c r="WEU79" s="12"/>
      <c r="WEV79" s="12"/>
      <c r="WEW79" s="12"/>
      <c r="WEX79" s="12"/>
      <c r="WEY79" s="12"/>
      <c r="WEZ79" s="12"/>
      <c r="WFA79" s="12"/>
      <c r="WFB79" s="12"/>
      <c r="WFC79" s="12"/>
      <c r="WFD79" s="12"/>
      <c r="WFE79" s="12"/>
      <c r="WFF79" s="12"/>
      <c r="WFG79" s="12"/>
      <c r="WFH79" s="12"/>
      <c r="WFI79" s="12"/>
      <c r="WFJ79" s="12"/>
      <c r="WFK79" s="12"/>
      <c r="WFL79" s="12"/>
      <c r="WFM79" s="12"/>
      <c r="WFN79" s="12"/>
      <c r="WFO79" s="12"/>
      <c r="WFP79" s="12"/>
      <c r="WFQ79" s="12"/>
      <c r="WFR79" s="12"/>
      <c r="WFS79" s="12"/>
      <c r="WFT79" s="12"/>
      <c r="WFU79" s="12"/>
      <c r="WFV79" s="12"/>
      <c r="WFW79" s="12"/>
      <c r="WFX79" s="12"/>
      <c r="WFY79" s="12"/>
      <c r="WFZ79" s="12"/>
      <c r="WGA79" s="12"/>
      <c r="WGB79" s="12"/>
      <c r="WGC79" s="12"/>
      <c r="WGD79" s="12"/>
      <c r="WGE79" s="12"/>
      <c r="WGF79" s="12"/>
      <c r="WGG79" s="12"/>
      <c r="WGH79" s="12"/>
      <c r="WGI79" s="12"/>
      <c r="WGJ79" s="12"/>
      <c r="WGK79" s="12"/>
      <c r="WGL79" s="12"/>
      <c r="WGM79" s="12"/>
      <c r="WGN79" s="12"/>
      <c r="WGO79" s="12"/>
      <c r="WGP79" s="12"/>
      <c r="WGQ79" s="12"/>
      <c r="WGR79" s="12"/>
      <c r="WGS79" s="12"/>
      <c r="WGT79" s="12"/>
      <c r="WGU79" s="12"/>
      <c r="WGV79" s="12"/>
      <c r="WGW79" s="12"/>
      <c r="WGX79" s="12"/>
      <c r="WGY79" s="12"/>
      <c r="WGZ79" s="12"/>
      <c r="WHA79" s="12"/>
      <c r="WHB79" s="12"/>
      <c r="WHC79" s="12"/>
      <c r="WHD79" s="12"/>
      <c r="WHE79" s="12"/>
      <c r="WHF79" s="12"/>
      <c r="WHG79" s="12"/>
      <c r="WHH79" s="12"/>
      <c r="WHI79" s="12"/>
      <c r="WHJ79" s="12"/>
      <c r="WHK79" s="12"/>
      <c r="WHL79" s="12"/>
      <c r="WHM79" s="12"/>
      <c r="WHN79" s="12"/>
      <c r="WHO79" s="12"/>
      <c r="WHP79" s="12"/>
      <c r="WHQ79" s="12"/>
      <c r="WHR79" s="12"/>
      <c r="WHS79" s="12"/>
      <c r="WHT79" s="12"/>
      <c r="WHU79" s="12"/>
      <c r="WHV79" s="12"/>
      <c r="WHW79" s="12"/>
      <c r="WHX79" s="12"/>
      <c r="WHY79" s="12"/>
      <c r="WHZ79" s="12"/>
      <c r="WIA79" s="12"/>
      <c r="WIB79" s="12"/>
      <c r="WIC79" s="12"/>
      <c r="WID79" s="12"/>
      <c r="WIE79" s="12"/>
      <c r="WIF79" s="12"/>
      <c r="WIG79" s="12"/>
      <c r="WIH79" s="12"/>
      <c r="WII79" s="12"/>
      <c r="WIJ79" s="12"/>
      <c r="WIK79" s="12"/>
      <c r="WIL79" s="12"/>
      <c r="WIM79" s="12"/>
      <c r="WIN79" s="12"/>
      <c r="WIO79" s="12"/>
      <c r="WIP79" s="12"/>
      <c r="WIQ79" s="12"/>
      <c r="WIR79" s="12"/>
      <c r="WIS79" s="12"/>
      <c r="WIT79" s="12"/>
      <c r="WIU79" s="12"/>
      <c r="WIV79" s="12"/>
      <c r="WIW79" s="12"/>
      <c r="WIX79" s="12"/>
      <c r="WIY79" s="12"/>
      <c r="WIZ79" s="12"/>
      <c r="WJA79" s="12"/>
      <c r="WJB79" s="12"/>
      <c r="WJC79" s="12"/>
      <c r="WJD79" s="12"/>
      <c r="WJE79" s="12"/>
      <c r="WJF79" s="12"/>
      <c r="WJG79" s="12"/>
      <c r="WJH79" s="12"/>
      <c r="WJI79" s="12"/>
      <c r="WJJ79" s="12"/>
      <c r="WJK79" s="12"/>
      <c r="WJL79" s="12"/>
      <c r="WJM79" s="12"/>
      <c r="WJN79" s="12"/>
      <c r="WJO79" s="12"/>
      <c r="WJP79" s="12"/>
      <c r="WJQ79" s="12"/>
      <c r="WJR79" s="12"/>
      <c r="WJS79" s="12"/>
      <c r="WJT79" s="12"/>
      <c r="WJU79" s="12"/>
      <c r="WJV79" s="12"/>
      <c r="WJW79" s="12"/>
      <c r="WJX79" s="12"/>
      <c r="WJY79" s="12"/>
      <c r="WJZ79" s="12"/>
      <c r="WKA79" s="12"/>
      <c r="WKB79" s="12"/>
      <c r="WKC79" s="12"/>
      <c r="WKD79" s="12"/>
      <c r="WKE79" s="12"/>
      <c r="WKF79" s="12"/>
      <c r="WKG79" s="12"/>
      <c r="WKH79" s="12"/>
      <c r="WKI79" s="12"/>
      <c r="WKJ79" s="12"/>
      <c r="WKK79" s="12"/>
      <c r="WKL79" s="12"/>
      <c r="WKM79" s="12"/>
      <c r="WKN79" s="12"/>
      <c r="WKO79" s="12"/>
      <c r="WKP79" s="12"/>
      <c r="WKQ79" s="12"/>
      <c r="WKR79" s="12"/>
      <c r="WKS79" s="12"/>
      <c r="WKT79" s="12"/>
      <c r="WKU79" s="12"/>
      <c r="WKV79" s="12"/>
      <c r="WKW79" s="12"/>
      <c r="WKX79" s="12"/>
      <c r="WKY79" s="12"/>
      <c r="WKZ79" s="12"/>
      <c r="WLA79" s="12"/>
      <c r="WLB79" s="12"/>
      <c r="WLC79" s="12"/>
      <c r="WLD79" s="12"/>
      <c r="WLE79" s="12"/>
      <c r="WLF79" s="12"/>
      <c r="WLG79" s="12"/>
      <c r="WLH79" s="12"/>
      <c r="WLI79" s="12"/>
      <c r="WLJ79" s="12"/>
      <c r="WLK79" s="12"/>
      <c r="WLL79" s="12"/>
      <c r="WLM79" s="12"/>
      <c r="WLN79" s="12"/>
      <c r="WLO79" s="12"/>
      <c r="WLP79" s="12"/>
      <c r="WLQ79" s="12"/>
      <c r="WLR79" s="12"/>
      <c r="WLS79" s="12"/>
      <c r="WLT79" s="12"/>
      <c r="WLU79" s="12"/>
      <c r="WLV79" s="12"/>
      <c r="WLW79" s="12"/>
      <c r="WLX79" s="12"/>
      <c r="WLY79" s="12"/>
      <c r="WLZ79" s="12"/>
      <c r="WMA79" s="12"/>
      <c r="WMB79" s="12"/>
      <c r="WMC79" s="12"/>
      <c r="WMD79" s="12"/>
      <c r="WME79" s="12"/>
      <c r="WMF79" s="12"/>
      <c r="WMG79" s="12"/>
      <c r="WMH79" s="12"/>
      <c r="WMI79" s="12"/>
      <c r="WMJ79" s="12"/>
      <c r="WMK79" s="12"/>
      <c r="WML79" s="12"/>
      <c r="WMM79" s="12"/>
      <c r="WMN79" s="12"/>
      <c r="WMO79" s="12"/>
      <c r="WMP79" s="12"/>
      <c r="WMQ79" s="12"/>
      <c r="WMR79" s="12"/>
      <c r="WMS79" s="12"/>
      <c r="WMT79" s="12"/>
      <c r="WMU79" s="12"/>
      <c r="WMV79" s="12"/>
      <c r="WMW79" s="12"/>
      <c r="WMX79" s="12"/>
      <c r="WMY79" s="12"/>
      <c r="WMZ79" s="12"/>
      <c r="WNA79" s="12"/>
      <c r="WNB79" s="12"/>
      <c r="WNC79" s="12"/>
      <c r="WND79" s="12"/>
      <c r="WNE79" s="12"/>
      <c r="WNF79" s="12"/>
      <c r="WNG79" s="12"/>
      <c r="WNH79" s="12"/>
      <c r="WNI79" s="12"/>
      <c r="WNJ79" s="12"/>
      <c r="WNK79" s="12"/>
      <c r="WNL79" s="12"/>
      <c r="WNM79" s="12"/>
      <c r="WNN79" s="12"/>
      <c r="WNO79" s="12"/>
      <c r="WNP79" s="12"/>
      <c r="WNQ79" s="12"/>
      <c r="WNR79" s="12"/>
      <c r="WNS79" s="12"/>
      <c r="WNT79" s="12"/>
      <c r="WNU79" s="12"/>
      <c r="WNV79" s="12"/>
      <c r="WNW79" s="12"/>
      <c r="WNX79" s="12"/>
      <c r="WNY79" s="12"/>
      <c r="WNZ79" s="12"/>
      <c r="WOA79" s="12"/>
      <c r="WOB79" s="12"/>
      <c r="WOC79" s="12"/>
      <c r="WOD79" s="12"/>
      <c r="WOE79" s="12"/>
      <c r="WOF79" s="12"/>
      <c r="WOG79" s="12"/>
      <c r="WOH79" s="12"/>
      <c r="WOI79" s="12"/>
      <c r="WOJ79" s="12"/>
      <c r="WOK79" s="12"/>
      <c r="WOL79" s="12"/>
      <c r="WOM79" s="12"/>
      <c r="WON79" s="12"/>
      <c r="WOO79" s="12"/>
      <c r="WOP79" s="12"/>
      <c r="WOQ79" s="12"/>
      <c r="WOR79" s="12"/>
      <c r="WOS79" s="12"/>
      <c r="WOT79" s="12"/>
      <c r="WOU79" s="12"/>
      <c r="WOV79" s="12"/>
      <c r="WOW79" s="12"/>
      <c r="WOX79" s="12"/>
      <c r="WOY79" s="12"/>
      <c r="WOZ79" s="12"/>
      <c r="WPA79" s="12"/>
      <c r="WPB79" s="12"/>
      <c r="WPC79" s="12"/>
      <c r="WPD79" s="12"/>
      <c r="WPE79" s="12"/>
      <c r="WPF79" s="12"/>
      <c r="WPG79" s="12"/>
      <c r="WPH79" s="12"/>
      <c r="WPI79" s="12"/>
      <c r="WPJ79" s="12"/>
      <c r="WPK79" s="12"/>
      <c r="WPL79" s="12"/>
      <c r="WPM79" s="12"/>
      <c r="WPN79" s="12"/>
      <c r="WPO79" s="12"/>
      <c r="WPP79" s="12"/>
      <c r="WPQ79" s="12"/>
      <c r="WPR79" s="12"/>
      <c r="WPS79" s="12"/>
      <c r="WPT79" s="12"/>
      <c r="WPU79" s="12"/>
      <c r="WPV79" s="12"/>
      <c r="WPW79" s="12"/>
      <c r="WPX79" s="12"/>
      <c r="WPY79" s="12"/>
      <c r="WPZ79" s="12"/>
      <c r="WQA79" s="12"/>
      <c r="WQB79" s="12"/>
      <c r="WQC79" s="12"/>
      <c r="WQD79" s="12"/>
      <c r="WQE79" s="12"/>
      <c r="WQF79" s="12"/>
      <c r="WQG79" s="12"/>
      <c r="WQH79" s="12"/>
      <c r="WQI79" s="12"/>
      <c r="WQJ79" s="12"/>
      <c r="WQK79" s="12"/>
      <c r="WQL79" s="12"/>
      <c r="WQM79" s="12"/>
      <c r="WQN79" s="12"/>
      <c r="WQO79" s="12"/>
      <c r="WQP79" s="12"/>
      <c r="WQQ79" s="12"/>
      <c r="WQR79" s="12"/>
      <c r="WQS79" s="12"/>
      <c r="WQT79" s="12"/>
      <c r="WQU79" s="12"/>
      <c r="WQV79" s="12"/>
      <c r="WQW79" s="12"/>
      <c r="WQX79" s="12"/>
      <c r="WQY79" s="12"/>
      <c r="WQZ79" s="12"/>
      <c r="WRA79" s="12"/>
      <c r="WRB79" s="12"/>
      <c r="WRC79" s="12"/>
      <c r="WRD79" s="12"/>
      <c r="WRE79" s="12"/>
      <c r="WRF79" s="12"/>
      <c r="WRG79" s="12"/>
      <c r="WRH79" s="12"/>
      <c r="WRI79" s="12"/>
      <c r="WRJ79" s="12"/>
      <c r="WRK79" s="12"/>
      <c r="WRL79" s="12"/>
      <c r="WRM79" s="12"/>
      <c r="WRN79" s="12"/>
      <c r="WRO79" s="12"/>
      <c r="WRP79" s="12"/>
      <c r="WRQ79" s="12"/>
      <c r="WRR79" s="12"/>
      <c r="WRS79" s="12"/>
      <c r="WRT79" s="12"/>
      <c r="WRU79" s="12"/>
      <c r="WRV79" s="12"/>
      <c r="WRW79" s="12"/>
      <c r="WRX79" s="12"/>
      <c r="WRY79" s="12"/>
      <c r="WRZ79" s="12"/>
      <c r="WSA79" s="12"/>
      <c r="WSB79" s="12"/>
      <c r="WSC79" s="12"/>
      <c r="WSD79" s="12"/>
      <c r="WSE79" s="12"/>
      <c r="WSF79" s="12"/>
      <c r="WSG79" s="12"/>
      <c r="WSH79" s="12"/>
      <c r="WSI79" s="12"/>
      <c r="WSJ79" s="12"/>
      <c r="WSK79" s="12"/>
      <c r="WSL79" s="12"/>
      <c r="WSM79" s="12"/>
      <c r="WSN79" s="12"/>
      <c r="WSO79" s="12"/>
      <c r="WSP79" s="12"/>
      <c r="WSQ79" s="12"/>
      <c r="WSR79" s="12"/>
      <c r="WSS79" s="12"/>
      <c r="WST79" s="12"/>
      <c r="WSU79" s="12"/>
      <c r="WSV79" s="12"/>
      <c r="WSW79" s="12"/>
      <c r="WSX79" s="12"/>
      <c r="WSY79" s="12"/>
      <c r="WSZ79" s="12"/>
      <c r="WTA79" s="12"/>
      <c r="WTB79" s="12"/>
      <c r="WTC79" s="12"/>
      <c r="WTD79" s="12"/>
      <c r="WTE79" s="12"/>
      <c r="WTF79" s="12"/>
      <c r="WTG79" s="12"/>
      <c r="WTH79" s="12"/>
      <c r="WTI79" s="12"/>
      <c r="WTJ79" s="12"/>
      <c r="WTK79" s="12"/>
      <c r="WTL79" s="12"/>
      <c r="WTM79" s="12"/>
      <c r="WTN79" s="12"/>
      <c r="WTO79" s="12"/>
      <c r="WTP79" s="12"/>
      <c r="WTQ79" s="12"/>
      <c r="WTR79" s="12"/>
      <c r="WTS79" s="12"/>
      <c r="WTT79" s="12"/>
      <c r="WTU79" s="12"/>
      <c r="WTV79" s="12"/>
      <c r="WTW79" s="12"/>
      <c r="WTX79" s="12"/>
      <c r="WTY79" s="12"/>
      <c r="WTZ79" s="12"/>
      <c r="WUA79" s="12"/>
      <c r="WUB79" s="12"/>
      <c r="WUC79" s="12"/>
      <c r="WUD79" s="12"/>
      <c r="WUE79" s="12"/>
      <c r="WUF79" s="12"/>
      <c r="WUG79" s="12"/>
      <c r="WUH79" s="12"/>
      <c r="WUI79" s="12"/>
      <c r="WUJ79" s="12"/>
      <c r="WUK79" s="12"/>
      <c r="WUL79" s="12"/>
      <c r="WUM79" s="12"/>
      <c r="WUN79" s="12"/>
      <c r="WUO79" s="12"/>
      <c r="WUP79" s="12"/>
      <c r="WUQ79" s="12"/>
      <c r="WUR79" s="12"/>
      <c r="WUS79" s="12"/>
      <c r="WUT79" s="12"/>
      <c r="WUU79" s="12"/>
      <c r="WUV79" s="12"/>
      <c r="WUW79" s="12"/>
      <c r="WUX79" s="12"/>
      <c r="WUY79" s="12"/>
      <c r="WUZ79" s="12"/>
      <c r="WVA79" s="12"/>
      <c r="WVB79" s="12"/>
      <c r="WVC79" s="12"/>
      <c r="WVD79" s="12"/>
      <c r="WVE79" s="12"/>
      <c r="WVF79" s="12"/>
      <c r="WVG79" s="12"/>
      <c r="WVH79" s="12"/>
      <c r="WVI79" s="12"/>
      <c r="WVJ79" s="12"/>
      <c r="WVK79" s="12"/>
      <c r="WVL79" s="12"/>
      <c r="WVM79" s="12"/>
      <c r="WVN79" s="12"/>
      <c r="WVO79" s="12"/>
      <c r="WVP79" s="12"/>
      <c r="WVQ79" s="12"/>
      <c r="WVR79" s="12"/>
      <c r="WVS79" s="12"/>
      <c r="WVT79" s="12"/>
      <c r="WVU79" s="12"/>
      <c r="WVV79" s="12"/>
      <c r="WVW79" s="12"/>
      <c r="WVX79" s="12"/>
      <c r="WVY79" s="12"/>
      <c r="WVZ79" s="12"/>
      <c r="WWA79" s="12"/>
      <c r="WWB79" s="12"/>
      <c r="WWC79" s="12"/>
      <c r="WWD79" s="12"/>
      <c r="WWE79" s="12"/>
      <c r="WWF79" s="12"/>
      <c r="WWG79" s="12"/>
      <c r="WWH79" s="12"/>
      <c r="WWI79" s="12"/>
      <c r="WWJ79" s="12"/>
      <c r="WWK79" s="12"/>
      <c r="WWL79" s="12"/>
      <c r="WWM79" s="12"/>
      <c r="WWN79" s="12"/>
      <c r="WWO79" s="12"/>
      <c r="WWP79" s="12"/>
      <c r="WWQ79" s="12"/>
      <c r="WWR79" s="12"/>
      <c r="WWS79" s="12"/>
      <c r="WWT79" s="12"/>
      <c r="WWU79" s="12"/>
      <c r="WWV79" s="12"/>
      <c r="WWW79" s="12"/>
      <c r="WWX79" s="12"/>
      <c r="WWY79" s="12"/>
      <c r="WWZ79" s="12"/>
      <c r="WXA79" s="12"/>
      <c r="WXB79" s="12"/>
      <c r="WXC79" s="12"/>
      <c r="WXD79" s="12"/>
      <c r="WXE79" s="12"/>
      <c r="WXF79" s="12"/>
      <c r="WXG79" s="12"/>
      <c r="WXH79" s="12"/>
      <c r="WXI79" s="12"/>
      <c r="WXJ79" s="12"/>
      <c r="WXK79" s="12"/>
      <c r="WXL79" s="12"/>
      <c r="WXM79" s="12"/>
      <c r="WXN79" s="12"/>
      <c r="WXO79" s="12"/>
      <c r="WXP79" s="12"/>
      <c r="WXQ79" s="12"/>
      <c r="WXR79" s="12"/>
      <c r="WXS79" s="12"/>
      <c r="WXT79" s="12"/>
      <c r="WXU79" s="12"/>
      <c r="WXV79" s="12"/>
      <c r="WXW79" s="12"/>
      <c r="WXX79" s="12"/>
      <c r="WXY79" s="12"/>
      <c r="WXZ79" s="12"/>
      <c r="WYA79" s="12"/>
      <c r="WYB79" s="12"/>
      <c r="WYC79" s="12"/>
      <c r="WYD79" s="12"/>
      <c r="WYE79" s="12"/>
      <c r="WYF79" s="12"/>
      <c r="WYG79" s="12"/>
      <c r="WYH79" s="12"/>
      <c r="WYI79" s="12"/>
      <c r="WYJ79" s="12"/>
      <c r="WYK79" s="12"/>
      <c r="WYL79" s="12"/>
      <c r="WYM79" s="12"/>
      <c r="WYN79" s="12"/>
      <c r="WYO79" s="12"/>
      <c r="WYP79" s="12"/>
      <c r="WYQ79" s="12"/>
      <c r="WYR79" s="12"/>
      <c r="WYS79" s="12"/>
      <c r="WYT79" s="12"/>
      <c r="WYU79" s="12"/>
      <c r="WYV79" s="12"/>
      <c r="WYW79" s="12"/>
      <c r="WYX79" s="12"/>
      <c r="WYY79" s="12"/>
      <c r="WYZ79" s="12"/>
      <c r="WZA79" s="12"/>
      <c r="WZB79" s="12"/>
      <c r="WZC79" s="12"/>
      <c r="WZD79" s="12"/>
      <c r="WZE79" s="12"/>
      <c r="WZF79" s="12"/>
      <c r="WZG79" s="12"/>
      <c r="WZH79" s="12"/>
      <c r="WZI79" s="12"/>
      <c r="WZJ79" s="12"/>
      <c r="WZK79" s="12"/>
      <c r="WZL79" s="12"/>
      <c r="WZM79" s="12"/>
      <c r="WZN79" s="12"/>
      <c r="WZO79" s="12"/>
      <c r="WZP79" s="12"/>
      <c r="WZQ79" s="12"/>
      <c r="WZR79" s="12"/>
      <c r="WZS79" s="12"/>
      <c r="WZT79" s="12"/>
      <c r="WZU79" s="12"/>
      <c r="WZV79" s="12"/>
      <c r="WZW79" s="12"/>
      <c r="WZX79" s="12"/>
      <c r="WZY79" s="12"/>
      <c r="WZZ79" s="12"/>
      <c r="XAA79" s="12"/>
      <c r="XAB79" s="12"/>
      <c r="XAC79" s="12"/>
      <c r="XAD79" s="12"/>
      <c r="XAE79" s="12"/>
      <c r="XAF79" s="12"/>
      <c r="XAG79" s="12"/>
      <c r="XAH79" s="12"/>
      <c r="XAI79" s="12"/>
      <c r="XAJ79" s="12"/>
      <c r="XAK79" s="12"/>
      <c r="XAL79" s="12"/>
      <c r="XAM79" s="12"/>
      <c r="XAN79" s="12"/>
      <c r="XAO79" s="12"/>
      <c r="XAP79" s="12"/>
      <c r="XAQ79" s="12"/>
      <c r="XAR79" s="12"/>
      <c r="XAS79" s="12"/>
      <c r="XAT79" s="12"/>
      <c r="XAU79" s="12"/>
      <c r="XAV79" s="12"/>
      <c r="XAW79" s="12"/>
      <c r="XAX79" s="12"/>
      <c r="XAY79" s="12"/>
      <c r="XAZ79" s="12"/>
      <c r="XBA79" s="12"/>
      <c r="XBB79" s="12"/>
      <c r="XBC79" s="12"/>
      <c r="XBD79" s="12"/>
      <c r="XBE79" s="12"/>
      <c r="XBF79" s="12"/>
      <c r="XBG79" s="12"/>
      <c r="XBH79" s="12"/>
      <c r="XBI79" s="12"/>
      <c r="XBJ79" s="12"/>
      <c r="XBK79" s="12"/>
      <c r="XBL79" s="12"/>
      <c r="XBM79" s="12"/>
      <c r="XBN79" s="12"/>
      <c r="XBO79" s="12"/>
      <c r="XBP79" s="12"/>
      <c r="XBQ79" s="12"/>
      <c r="XBR79" s="12"/>
      <c r="XBS79" s="12"/>
      <c r="XBT79" s="12"/>
      <c r="XBU79" s="12"/>
      <c r="XBV79" s="12"/>
      <c r="XBW79" s="12"/>
      <c r="XBX79" s="12"/>
      <c r="XBY79" s="12"/>
      <c r="XBZ79" s="12"/>
      <c r="XCA79" s="12"/>
      <c r="XCB79" s="12"/>
      <c r="XCC79" s="12"/>
      <c r="XCD79" s="12"/>
      <c r="XCE79" s="12"/>
      <c r="XCF79" s="12"/>
      <c r="XCG79" s="12"/>
      <c r="XCH79" s="12"/>
      <c r="XCI79" s="12"/>
      <c r="XCJ79" s="12"/>
      <c r="XCK79" s="12"/>
      <c r="XCL79" s="12"/>
      <c r="XCM79" s="12"/>
      <c r="XCN79" s="12"/>
      <c r="XCO79" s="12"/>
      <c r="XCP79" s="12"/>
      <c r="XCQ79" s="12"/>
      <c r="XCR79" s="12"/>
      <c r="XCS79" s="12"/>
      <c r="XCT79" s="12"/>
      <c r="XCU79" s="12"/>
      <c r="XCV79" s="12"/>
      <c r="XCW79" s="12"/>
      <c r="XCX79" s="12"/>
      <c r="XCY79" s="12"/>
      <c r="XCZ79" s="12"/>
      <c r="XDA79" s="12"/>
      <c r="XDB79" s="12"/>
      <c r="XDC79" s="12"/>
      <c r="XDD79" s="12"/>
      <c r="XDE79" s="12"/>
      <c r="XDF79" s="12"/>
      <c r="XDG79" s="12"/>
      <c r="XDH79" s="12"/>
      <c r="XDI79" s="12"/>
      <c r="XDJ79" s="12"/>
      <c r="XDK79" s="12"/>
      <c r="XDL79" s="12"/>
      <c r="XDM79" s="12"/>
      <c r="XDN79" s="12"/>
      <c r="XDO79" s="12"/>
      <c r="XDP79" s="12"/>
      <c r="XDQ79" s="12"/>
      <c r="XDR79" s="12"/>
      <c r="XDS79" s="12"/>
      <c r="XDT79" s="12"/>
      <c r="XDU79" s="12"/>
      <c r="XDV79" s="12"/>
      <c r="XDW79" s="12"/>
      <c r="XDX79" s="12"/>
      <c r="XDY79" s="12"/>
      <c r="XDZ79" s="12"/>
      <c r="XEA79" s="12"/>
      <c r="XEB79" s="12"/>
      <c r="XEC79" s="12"/>
      <c r="XED79" s="12"/>
      <c r="XEE79" s="12"/>
      <c r="XEF79" s="12"/>
      <c r="XEG79" s="12"/>
      <c r="XEH79" s="12"/>
    </row>
    <row r="80" spans="1:16362">
      <c r="A80" s="10">
        <f t="shared" si="3"/>
        <v>77</v>
      </c>
      <c r="B80" s="483"/>
      <c r="C80" s="10"/>
      <c r="D80" s="10"/>
      <c r="E80" s="279"/>
      <c r="F80" s="10"/>
      <c r="G80" s="484"/>
      <c r="H80" s="191"/>
      <c r="I80" s="191"/>
      <c r="J80" s="279"/>
      <c r="K80" s="191"/>
      <c r="L80" s="191"/>
      <c r="M80" s="486"/>
      <c r="N80" s="245"/>
      <c r="O80" s="10"/>
      <c r="P80" s="10"/>
      <c r="Q80" s="10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12"/>
      <c r="GH80" s="12"/>
      <c r="GI80" s="12"/>
      <c r="GJ80" s="12"/>
      <c r="GK80" s="12"/>
      <c r="GL80" s="12"/>
      <c r="GM80" s="12"/>
      <c r="GN80" s="12"/>
      <c r="GO80" s="12"/>
      <c r="GP80" s="12"/>
      <c r="GQ80" s="12"/>
      <c r="GR80" s="12"/>
      <c r="GS80" s="12"/>
      <c r="GT80" s="12"/>
      <c r="GU80" s="12"/>
      <c r="GV80" s="12"/>
      <c r="GW80" s="12"/>
      <c r="GX80" s="12"/>
      <c r="GY80" s="12"/>
      <c r="GZ80" s="12"/>
      <c r="HA80" s="12"/>
      <c r="HB80" s="12"/>
      <c r="HC80" s="12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  <c r="IL80" s="12"/>
      <c r="IM80" s="12"/>
      <c r="IN80" s="12"/>
      <c r="IO80" s="12"/>
      <c r="IP80" s="12"/>
      <c r="IQ80" s="12"/>
      <c r="IR80" s="12"/>
      <c r="IS80" s="12"/>
      <c r="IT80" s="12"/>
      <c r="IU80" s="12"/>
      <c r="IV80" s="12"/>
      <c r="IW80" s="12"/>
      <c r="IX80" s="12"/>
      <c r="IY80" s="12"/>
      <c r="IZ80" s="12"/>
      <c r="JA80" s="12"/>
      <c r="JB80" s="12"/>
      <c r="JC80" s="12"/>
      <c r="JD80" s="12"/>
      <c r="JE80" s="12"/>
      <c r="JF80" s="12"/>
      <c r="JG80" s="12"/>
      <c r="JH80" s="12"/>
      <c r="JI80" s="12"/>
      <c r="JJ80" s="12"/>
      <c r="JK80" s="12"/>
      <c r="JL80" s="12"/>
      <c r="JM80" s="12"/>
      <c r="JN80" s="12"/>
      <c r="JO80" s="12"/>
      <c r="JP80" s="12"/>
      <c r="JQ80" s="12"/>
      <c r="JR80" s="12"/>
      <c r="JS80" s="12"/>
      <c r="JT80" s="12"/>
      <c r="JU80" s="12"/>
      <c r="JV80" s="12"/>
      <c r="JW80" s="12"/>
      <c r="JX80" s="12"/>
      <c r="JY80" s="12"/>
      <c r="JZ80" s="12"/>
      <c r="KA80" s="12"/>
      <c r="KB80" s="12"/>
      <c r="KC80" s="12"/>
      <c r="KD80" s="12"/>
      <c r="KE80" s="12"/>
      <c r="KF80" s="12"/>
      <c r="KG80" s="12"/>
      <c r="KH80" s="12"/>
      <c r="KI80" s="12"/>
      <c r="KJ80" s="12"/>
      <c r="KK80" s="12"/>
      <c r="KL80" s="12"/>
      <c r="KM80" s="12"/>
      <c r="KN80" s="12"/>
      <c r="KO80" s="12"/>
      <c r="KP80" s="12"/>
      <c r="KQ80" s="12"/>
      <c r="KR80" s="12"/>
      <c r="KS80" s="12"/>
      <c r="KT80" s="12"/>
      <c r="KU80" s="12"/>
      <c r="KV80" s="12"/>
      <c r="KW80" s="12"/>
      <c r="KX80" s="12"/>
      <c r="KY80" s="12"/>
      <c r="KZ80" s="12"/>
      <c r="LA80" s="12"/>
      <c r="LB80" s="12"/>
      <c r="LC80" s="12"/>
      <c r="LD80" s="12"/>
      <c r="LE80" s="12"/>
      <c r="LF80" s="12"/>
      <c r="LG80" s="12"/>
      <c r="LH80" s="12"/>
      <c r="LI80" s="12"/>
      <c r="LJ80" s="12"/>
      <c r="LK80" s="12"/>
      <c r="LL80" s="12"/>
      <c r="LM80" s="12"/>
      <c r="LN80" s="12"/>
      <c r="LO80" s="12"/>
      <c r="LP80" s="12"/>
      <c r="LQ80" s="12"/>
      <c r="LR80" s="12"/>
      <c r="LS80" s="12"/>
      <c r="LT80" s="12"/>
      <c r="LU80" s="12"/>
      <c r="LV80" s="12"/>
      <c r="LW80" s="12"/>
      <c r="LX80" s="12"/>
      <c r="LY80" s="12"/>
      <c r="LZ80" s="12"/>
      <c r="MA80" s="12"/>
      <c r="MB80" s="12"/>
      <c r="MC80" s="12"/>
      <c r="MD80" s="12"/>
      <c r="ME80" s="12"/>
      <c r="MF80" s="12"/>
      <c r="MG80" s="12"/>
      <c r="MH80" s="12"/>
      <c r="MI80" s="12"/>
      <c r="MJ80" s="12"/>
      <c r="MK80" s="12"/>
      <c r="ML80" s="12"/>
      <c r="MM80" s="12"/>
      <c r="MN80" s="12"/>
      <c r="MO80" s="12"/>
      <c r="MP80" s="12"/>
      <c r="MQ80" s="12"/>
      <c r="MR80" s="12"/>
      <c r="MS80" s="12"/>
      <c r="MT80" s="12"/>
      <c r="MU80" s="12"/>
      <c r="MV80" s="12"/>
      <c r="MW80" s="12"/>
      <c r="MX80" s="12"/>
      <c r="MY80" s="12"/>
      <c r="MZ80" s="12"/>
      <c r="NA80" s="12"/>
      <c r="NB80" s="12"/>
      <c r="NC80" s="12"/>
      <c r="ND80" s="12"/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  <c r="OW80" s="12"/>
      <c r="OX80" s="12"/>
      <c r="OY80" s="12"/>
      <c r="OZ80" s="12"/>
      <c r="PA80" s="12"/>
      <c r="PB80" s="12"/>
      <c r="PC80" s="12"/>
      <c r="PD80" s="12"/>
      <c r="PE80" s="12"/>
      <c r="PF80" s="12"/>
      <c r="PG80" s="12"/>
      <c r="PH80" s="12"/>
      <c r="PI80" s="12"/>
      <c r="PJ80" s="12"/>
      <c r="PK80" s="12"/>
      <c r="PL80" s="12"/>
      <c r="PM80" s="12"/>
      <c r="PN80" s="12"/>
      <c r="PO80" s="12"/>
      <c r="PP80" s="12"/>
      <c r="PQ80" s="12"/>
      <c r="PR80" s="12"/>
      <c r="PS80" s="12"/>
      <c r="PT80" s="12"/>
      <c r="PU80" s="12"/>
      <c r="PV80" s="12"/>
      <c r="PW80" s="12"/>
      <c r="PX80" s="12"/>
      <c r="PY80" s="12"/>
      <c r="PZ80" s="12"/>
      <c r="QA80" s="12"/>
      <c r="QB80" s="12"/>
      <c r="QC80" s="12"/>
      <c r="QD80" s="12"/>
      <c r="QE80" s="12"/>
      <c r="QF80" s="12"/>
      <c r="QG80" s="12"/>
      <c r="QH80" s="12"/>
      <c r="QI80" s="12"/>
      <c r="QJ80" s="12"/>
      <c r="QK80" s="12"/>
      <c r="QL80" s="12"/>
      <c r="QM80" s="12"/>
      <c r="QN80" s="12"/>
      <c r="QO80" s="12"/>
      <c r="QP80" s="12"/>
      <c r="QQ80" s="12"/>
      <c r="QR80" s="12"/>
      <c r="QS80" s="12"/>
      <c r="QT80" s="12"/>
      <c r="QU80" s="12"/>
      <c r="QV80" s="12"/>
      <c r="QW80" s="12"/>
      <c r="QX80" s="12"/>
      <c r="QY80" s="12"/>
      <c r="QZ80" s="12"/>
      <c r="RA80" s="12"/>
      <c r="RB80" s="12"/>
      <c r="RC80" s="12"/>
      <c r="RD80" s="12"/>
      <c r="RE80" s="12"/>
      <c r="RF80" s="12"/>
      <c r="RG80" s="12"/>
      <c r="RH80" s="12"/>
      <c r="RI80" s="12"/>
      <c r="RJ80" s="12"/>
      <c r="RK80" s="12"/>
      <c r="RL80" s="12"/>
      <c r="RM80" s="12"/>
      <c r="RN80" s="12"/>
      <c r="RO80" s="12"/>
      <c r="RP80" s="12"/>
      <c r="RQ80" s="12"/>
      <c r="RR80" s="12"/>
      <c r="RS80" s="12"/>
      <c r="RT80" s="12"/>
      <c r="RU80" s="12"/>
      <c r="RV80" s="12"/>
      <c r="RW80" s="12"/>
      <c r="RX80" s="12"/>
      <c r="RY80" s="12"/>
      <c r="RZ80" s="12"/>
      <c r="SA80" s="12"/>
      <c r="SB80" s="12"/>
      <c r="SC80" s="12"/>
      <c r="SD80" s="12"/>
      <c r="SE80" s="12"/>
      <c r="SF80" s="12"/>
      <c r="SG80" s="12"/>
      <c r="SH80" s="12"/>
      <c r="SI80" s="12"/>
      <c r="SJ80" s="12"/>
      <c r="SK80" s="12"/>
      <c r="SL80" s="12"/>
      <c r="SM80" s="12"/>
      <c r="SN80" s="12"/>
      <c r="SO80" s="12"/>
      <c r="SP80" s="12"/>
      <c r="SQ80" s="12"/>
      <c r="SR80" s="12"/>
      <c r="SS80" s="12"/>
      <c r="ST80" s="12"/>
      <c r="SU80" s="12"/>
      <c r="SV80" s="12"/>
      <c r="SW80" s="12"/>
      <c r="SX80" s="12"/>
      <c r="SY80" s="12"/>
      <c r="SZ80" s="12"/>
      <c r="TA80" s="12"/>
      <c r="TB80" s="12"/>
      <c r="TC80" s="12"/>
      <c r="TD80" s="12"/>
      <c r="TE80" s="12"/>
      <c r="TF80" s="12"/>
      <c r="TG80" s="12"/>
      <c r="TH80" s="12"/>
      <c r="TI80" s="12"/>
      <c r="TJ80" s="12"/>
      <c r="TK80" s="12"/>
      <c r="TL80" s="12"/>
      <c r="TM80" s="12"/>
      <c r="TN80" s="12"/>
      <c r="TO80" s="12"/>
      <c r="TP80" s="12"/>
      <c r="TQ80" s="12"/>
      <c r="TR80" s="12"/>
      <c r="TS80" s="12"/>
      <c r="TT80" s="12"/>
      <c r="TU80" s="12"/>
      <c r="TV80" s="12"/>
      <c r="TW80" s="12"/>
      <c r="TX80" s="12"/>
      <c r="TY80" s="12"/>
      <c r="TZ80" s="12"/>
      <c r="UA80" s="12"/>
      <c r="UB80" s="12"/>
      <c r="UC80" s="12"/>
      <c r="UD80" s="12"/>
      <c r="UE80" s="12"/>
      <c r="UF80" s="12"/>
      <c r="UG80" s="12"/>
      <c r="UH80" s="12"/>
      <c r="UI80" s="12"/>
      <c r="UJ80" s="12"/>
      <c r="UK80" s="12"/>
      <c r="UL80" s="12"/>
      <c r="UM80" s="12"/>
      <c r="UN80" s="12"/>
      <c r="UO80" s="12"/>
      <c r="UP80" s="12"/>
      <c r="UQ80" s="12"/>
      <c r="UR80" s="12"/>
      <c r="US80" s="12"/>
      <c r="UT80" s="12"/>
      <c r="UU80" s="12"/>
      <c r="UV80" s="12"/>
      <c r="UW80" s="12"/>
      <c r="UX80" s="12"/>
      <c r="UY80" s="12"/>
      <c r="UZ80" s="12"/>
      <c r="VA80" s="12"/>
      <c r="VB80" s="12"/>
      <c r="VC80" s="12"/>
      <c r="VD80" s="12"/>
      <c r="VE80" s="12"/>
      <c r="VF80" s="12"/>
      <c r="VG80" s="12"/>
      <c r="VH80" s="12"/>
      <c r="VI80" s="12"/>
      <c r="VJ80" s="12"/>
      <c r="VK80" s="12"/>
      <c r="VL80" s="12"/>
      <c r="VM80" s="12"/>
      <c r="VN80" s="12"/>
      <c r="VO80" s="12"/>
      <c r="VP80" s="12"/>
      <c r="VQ80" s="12"/>
      <c r="VR80" s="12"/>
      <c r="VS80" s="12"/>
      <c r="VT80" s="12"/>
      <c r="VU80" s="12"/>
      <c r="VV80" s="12"/>
      <c r="VW80" s="12"/>
      <c r="VX80" s="12"/>
      <c r="VY80" s="12"/>
      <c r="VZ80" s="12"/>
      <c r="WA80" s="12"/>
      <c r="WB80" s="12"/>
      <c r="WC80" s="12"/>
      <c r="WD80" s="12"/>
      <c r="WE80" s="12"/>
      <c r="WF80" s="12"/>
      <c r="WG80" s="12"/>
      <c r="WH80" s="12"/>
      <c r="WI80" s="12"/>
      <c r="WJ80" s="12"/>
      <c r="WK80" s="12"/>
      <c r="WL80" s="12"/>
      <c r="WM80" s="12"/>
      <c r="WN80" s="12"/>
      <c r="WO80" s="12"/>
      <c r="WP80" s="12"/>
      <c r="WQ80" s="12"/>
      <c r="WR80" s="12"/>
      <c r="WS80" s="12"/>
      <c r="WT80" s="12"/>
      <c r="WU80" s="12"/>
      <c r="WV80" s="12"/>
      <c r="WW80" s="12"/>
      <c r="WX80" s="12"/>
      <c r="WY80" s="12"/>
      <c r="WZ80" s="12"/>
      <c r="XA80" s="12"/>
      <c r="XB80" s="12"/>
      <c r="XC80" s="12"/>
      <c r="XD80" s="12"/>
      <c r="XE80" s="12"/>
      <c r="XF80" s="12"/>
      <c r="XG80" s="12"/>
      <c r="XH80" s="12"/>
      <c r="XI80" s="12"/>
      <c r="XJ80" s="12"/>
      <c r="XK80" s="12"/>
      <c r="XL80" s="12"/>
      <c r="XM80" s="12"/>
      <c r="XN80" s="12"/>
      <c r="XO80" s="12"/>
      <c r="XP80" s="12"/>
      <c r="XQ80" s="12"/>
      <c r="XR80" s="12"/>
      <c r="XS80" s="12"/>
      <c r="XT80" s="12"/>
      <c r="XU80" s="12"/>
      <c r="XV80" s="12"/>
      <c r="XW80" s="12"/>
      <c r="XX80" s="12"/>
      <c r="XY80" s="12"/>
      <c r="XZ80" s="12"/>
      <c r="YA80" s="12"/>
      <c r="YB80" s="12"/>
      <c r="YC80" s="12"/>
      <c r="YD80" s="12"/>
      <c r="YE80" s="12"/>
      <c r="YF80" s="12"/>
      <c r="YG80" s="12"/>
      <c r="YH80" s="12"/>
      <c r="YI80" s="12"/>
      <c r="YJ80" s="12"/>
      <c r="YK80" s="12"/>
      <c r="YL80" s="12"/>
      <c r="YM80" s="12"/>
      <c r="YN80" s="12"/>
      <c r="YO80" s="12"/>
      <c r="YP80" s="12"/>
      <c r="YQ80" s="12"/>
      <c r="YR80" s="12"/>
      <c r="YS80" s="12"/>
      <c r="YT80" s="12"/>
      <c r="YU80" s="12"/>
      <c r="YV80" s="12"/>
      <c r="YW80" s="12"/>
      <c r="YX80" s="12"/>
      <c r="YY80" s="12"/>
      <c r="YZ80" s="12"/>
      <c r="ZA80" s="12"/>
      <c r="ZB80" s="12"/>
      <c r="ZC80" s="12"/>
      <c r="ZD80" s="12"/>
      <c r="ZE80" s="12"/>
      <c r="ZF80" s="12"/>
      <c r="ZG80" s="12"/>
      <c r="ZH80" s="12"/>
      <c r="ZI80" s="12"/>
      <c r="ZJ80" s="12"/>
      <c r="ZK80" s="12"/>
      <c r="ZL80" s="12"/>
      <c r="ZM80" s="12"/>
      <c r="ZN80" s="12"/>
      <c r="ZO80" s="12"/>
      <c r="ZP80" s="12"/>
      <c r="ZQ80" s="12"/>
      <c r="ZR80" s="12"/>
      <c r="ZS80" s="12"/>
      <c r="ZT80" s="12"/>
      <c r="ZU80" s="12"/>
      <c r="ZV80" s="12"/>
      <c r="ZW80" s="12"/>
      <c r="ZX80" s="12"/>
      <c r="ZY80" s="12"/>
      <c r="ZZ80" s="12"/>
      <c r="AAA80" s="12"/>
      <c r="AAB80" s="12"/>
      <c r="AAC80" s="12"/>
      <c r="AAD80" s="12"/>
      <c r="AAE80" s="12"/>
      <c r="AAF80" s="12"/>
      <c r="AAG80" s="12"/>
      <c r="AAH80" s="12"/>
      <c r="AAI80" s="12"/>
      <c r="AAJ80" s="12"/>
      <c r="AAK80" s="12"/>
      <c r="AAL80" s="12"/>
      <c r="AAM80" s="12"/>
      <c r="AAN80" s="12"/>
      <c r="AAO80" s="12"/>
      <c r="AAP80" s="12"/>
      <c r="AAQ80" s="12"/>
      <c r="AAR80" s="12"/>
      <c r="AAS80" s="12"/>
      <c r="AAT80" s="12"/>
      <c r="AAU80" s="12"/>
      <c r="AAV80" s="12"/>
      <c r="AAW80" s="12"/>
      <c r="AAX80" s="12"/>
      <c r="AAY80" s="12"/>
      <c r="AAZ80" s="12"/>
      <c r="ABA80" s="12"/>
      <c r="ABB80" s="12"/>
      <c r="ABC80" s="12"/>
      <c r="ABD80" s="12"/>
      <c r="ABE80" s="12"/>
      <c r="ABF80" s="12"/>
      <c r="ABG80" s="12"/>
      <c r="ABH80" s="12"/>
      <c r="ABI80" s="12"/>
      <c r="ABJ80" s="12"/>
      <c r="ABK80" s="12"/>
      <c r="ABL80" s="12"/>
      <c r="ABM80" s="12"/>
      <c r="ABN80" s="12"/>
      <c r="ABO80" s="12"/>
      <c r="ABP80" s="12"/>
      <c r="ABQ80" s="12"/>
      <c r="ABR80" s="12"/>
      <c r="ABS80" s="12"/>
      <c r="ABT80" s="12"/>
      <c r="ABU80" s="12"/>
      <c r="ABV80" s="12"/>
      <c r="ABW80" s="12"/>
      <c r="ABX80" s="12"/>
      <c r="ABY80" s="12"/>
      <c r="ABZ80" s="12"/>
      <c r="ACA80" s="12"/>
      <c r="ACB80" s="12"/>
      <c r="ACC80" s="12"/>
      <c r="ACD80" s="12"/>
      <c r="ACE80" s="12"/>
      <c r="ACF80" s="12"/>
      <c r="ACG80" s="12"/>
      <c r="ACH80" s="12"/>
      <c r="ACI80" s="12"/>
      <c r="ACJ80" s="12"/>
      <c r="ACK80" s="12"/>
      <c r="ACL80" s="12"/>
      <c r="ACM80" s="12"/>
      <c r="ACN80" s="12"/>
      <c r="ACO80" s="12"/>
      <c r="ACP80" s="12"/>
      <c r="ACQ80" s="12"/>
      <c r="ACR80" s="12"/>
      <c r="ACS80" s="12"/>
      <c r="ACT80" s="12"/>
      <c r="ACU80" s="12"/>
      <c r="ACV80" s="12"/>
      <c r="ACW80" s="12"/>
      <c r="ACX80" s="12"/>
      <c r="ACY80" s="12"/>
      <c r="ACZ80" s="12"/>
      <c r="ADA80" s="12"/>
      <c r="ADB80" s="12"/>
      <c r="ADC80" s="12"/>
      <c r="ADD80" s="12"/>
      <c r="ADE80" s="12"/>
      <c r="ADF80" s="12"/>
      <c r="ADG80" s="12"/>
      <c r="ADH80" s="12"/>
      <c r="ADI80" s="12"/>
      <c r="ADJ80" s="12"/>
      <c r="ADK80" s="12"/>
      <c r="ADL80" s="12"/>
      <c r="ADM80" s="12"/>
      <c r="ADN80" s="12"/>
      <c r="ADO80" s="12"/>
      <c r="ADP80" s="12"/>
      <c r="ADQ80" s="12"/>
      <c r="ADR80" s="12"/>
      <c r="ADS80" s="12"/>
      <c r="ADT80" s="12"/>
      <c r="ADU80" s="12"/>
      <c r="ADV80" s="12"/>
      <c r="ADW80" s="12"/>
      <c r="ADX80" s="12"/>
      <c r="ADY80" s="12"/>
      <c r="ADZ80" s="12"/>
      <c r="AEA80" s="12"/>
      <c r="AEB80" s="12"/>
      <c r="AEC80" s="12"/>
      <c r="AED80" s="12"/>
      <c r="AEE80" s="12"/>
      <c r="AEF80" s="12"/>
      <c r="AEG80" s="12"/>
      <c r="AEH80" s="12"/>
      <c r="AEI80" s="12"/>
      <c r="AEJ80" s="12"/>
      <c r="AEK80" s="12"/>
      <c r="AEL80" s="12"/>
      <c r="AEM80" s="12"/>
      <c r="AEN80" s="12"/>
      <c r="AEO80" s="12"/>
      <c r="AEP80" s="12"/>
      <c r="AEQ80" s="12"/>
      <c r="AER80" s="12"/>
      <c r="AES80" s="12"/>
      <c r="AET80" s="12"/>
      <c r="AEU80" s="12"/>
      <c r="AEV80" s="12"/>
      <c r="AEW80" s="12"/>
      <c r="AEX80" s="12"/>
      <c r="AEY80" s="12"/>
      <c r="AEZ80" s="12"/>
      <c r="AFA80" s="12"/>
      <c r="AFB80" s="12"/>
      <c r="AFC80" s="12"/>
      <c r="AFD80" s="12"/>
      <c r="AFE80" s="12"/>
      <c r="AFF80" s="12"/>
      <c r="AFG80" s="12"/>
      <c r="AFH80" s="12"/>
      <c r="AFI80" s="12"/>
      <c r="AFJ80" s="12"/>
      <c r="AFK80" s="12"/>
      <c r="AFL80" s="12"/>
      <c r="AFM80" s="12"/>
      <c r="AFN80" s="12"/>
      <c r="AFO80" s="12"/>
      <c r="AFP80" s="12"/>
      <c r="AFQ80" s="12"/>
      <c r="AFR80" s="12"/>
      <c r="AFS80" s="12"/>
      <c r="AFT80" s="12"/>
      <c r="AFU80" s="12"/>
      <c r="AFV80" s="12"/>
      <c r="AFW80" s="12"/>
      <c r="AFX80" s="12"/>
      <c r="AFY80" s="12"/>
      <c r="AFZ80" s="12"/>
      <c r="AGA80" s="12"/>
      <c r="AGB80" s="12"/>
      <c r="AGC80" s="12"/>
      <c r="AGD80" s="12"/>
      <c r="AGE80" s="12"/>
      <c r="AGF80" s="12"/>
      <c r="AGG80" s="12"/>
      <c r="AGH80" s="12"/>
      <c r="AGI80" s="12"/>
      <c r="AGJ80" s="12"/>
      <c r="AGK80" s="12"/>
      <c r="AGL80" s="12"/>
      <c r="AGM80" s="12"/>
      <c r="AGN80" s="12"/>
      <c r="AGO80" s="12"/>
      <c r="AGP80" s="12"/>
      <c r="AGQ80" s="12"/>
      <c r="AGR80" s="12"/>
      <c r="AGS80" s="12"/>
      <c r="AGT80" s="12"/>
      <c r="AGU80" s="12"/>
      <c r="AGV80" s="12"/>
      <c r="AGW80" s="12"/>
      <c r="AGX80" s="12"/>
      <c r="AGY80" s="12"/>
      <c r="AGZ80" s="12"/>
      <c r="AHA80" s="12"/>
      <c r="AHB80" s="12"/>
      <c r="AHC80" s="12"/>
      <c r="AHD80" s="12"/>
      <c r="AHE80" s="12"/>
      <c r="AHF80" s="12"/>
      <c r="AHG80" s="12"/>
      <c r="AHH80" s="12"/>
      <c r="AHI80" s="12"/>
      <c r="AHJ80" s="12"/>
      <c r="AHK80" s="12"/>
      <c r="AHL80" s="12"/>
      <c r="AHM80" s="12"/>
      <c r="AHN80" s="12"/>
      <c r="AHO80" s="12"/>
      <c r="AHP80" s="12"/>
      <c r="AHQ80" s="12"/>
      <c r="AHR80" s="12"/>
      <c r="AHS80" s="12"/>
      <c r="AHT80" s="12"/>
      <c r="AHU80" s="12"/>
      <c r="AHV80" s="12"/>
      <c r="AHW80" s="12"/>
      <c r="AHX80" s="12"/>
      <c r="AHY80" s="12"/>
      <c r="AHZ80" s="12"/>
      <c r="AIA80" s="12"/>
      <c r="AIB80" s="12"/>
      <c r="AIC80" s="12"/>
      <c r="AID80" s="12"/>
      <c r="AIE80" s="12"/>
      <c r="AIF80" s="12"/>
      <c r="AIG80" s="12"/>
      <c r="AIH80" s="12"/>
      <c r="AII80" s="12"/>
      <c r="AIJ80" s="12"/>
      <c r="AIK80" s="12"/>
      <c r="AIL80" s="12"/>
      <c r="AIM80" s="12"/>
      <c r="AIN80" s="12"/>
      <c r="AIO80" s="12"/>
      <c r="AIP80" s="12"/>
      <c r="AIQ80" s="12"/>
      <c r="AIR80" s="12"/>
      <c r="AIS80" s="12"/>
      <c r="AIT80" s="12"/>
      <c r="AIU80" s="12"/>
      <c r="AIV80" s="12"/>
      <c r="AIW80" s="12"/>
      <c r="AIX80" s="12"/>
      <c r="AIY80" s="12"/>
      <c r="AIZ80" s="12"/>
      <c r="AJA80" s="12"/>
      <c r="AJB80" s="12"/>
      <c r="AJC80" s="12"/>
      <c r="AJD80" s="12"/>
      <c r="AJE80" s="12"/>
      <c r="AJF80" s="12"/>
      <c r="AJG80" s="12"/>
      <c r="AJH80" s="12"/>
      <c r="AJI80" s="12"/>
      <c r="AJJ80" s="12"/>
      <c r="AJK80" s="12"/>
      <c r="AJL80" s="12"/>
      <c r="AJM80" s="12"/>
      <c r="AJN80" s="12"/>
      <c r="AJO80" s="12"/>
      <c r="AJP80" s="12"/>
      <c r="AJQ80" s="12"/>
      <c r="AJR80" s="12"/>
      <c r="AJS80" s="12"/>
      <c r="AJT80" s="12"/>
      <c r="AJU80" s="12"/>
      <c r="AJV80" s="12"/>
      <c r="AJW80" s="12"/>
      <c r="AJX80" s="12"/>
      <c r="AJY80" s="12"/>
      <c r="AJZ80" s="12"/>
      <c r="AKA80" s="12"/>
      <c r="AKB80" s="12"/>
      <c r="AKC80" s="12"/>
      <c r="AKD80" s="12"/>
      <c r="AKE80" s="12"/>
      <c r="AKF80" s="12"/>
      <c r="AKG80" s="12"/>
      <c r="AKH80" s="12"/>
      <c r="AKI80" s="12"/>
      <c r="AKJ80" s="12"/>
      <c r="AKK80" s="12"/>
      <c r="AKL80" s="12"/>
      <c r="AKM80" s="12"/>
      <c r="AKN80" s="12"/>
      <c r="AKO80" s="12"/>
      <c r="AKP80" s="12"/>
      <c r="AKQ80" s="12"/>
      <c r="AKR80" s="12"/>
      <c r="AKS80" s="12"/>
      <c r="AKT80" s="12"/>
      <c r="AKU80" s="12"/>
      <c r="AKV80" s="12"/>
      <c r="AKW80" s="12"/>
      <c r="AKX80" s="12"/>
      <c r="AKY80" s="12"/>
      <c r="AKZ80" s="12"/>
      <c r="ALA80" s="12"/>
      <c r="ALB80" s="12"/>
      <c r="ALC80" s="12"/>
      <c r="ALD80" s="12"/>
      <c r="ALE80" s="12"/>
      <c r="ALF80" s="12"/>
      <c r="ALG80" s="12"/>
      <c r="ALH80" s="12"/>
      <c r="ALI80" s="12"/>
      <c r="ALJ80" s="12"/>
      <c r="ALK80" s="12"/>
      <c r="ALL80" s="12"/>
      <c r="ALM80" s="12"/>
      <c r="ALN80" s="12"/>
      <c r="ALO80" s="12"/>
      <c r="ALP80" s="12"/>
      <c r="ALQ80" s="12"/>
      <c r="ALR80" s="12"/>
      <c r="ALS80" s="12"/>
      <c r="ALT80" s="12"/>
      <c r="ALU80" s="12"/>
      <c r="ALV80" s="12"/>
      <c r="ALW80" s="12"/>
      <c r="ALX80" s="12"/>
      <c r="ALY80" s="12"/>
      <c r="ALZ80" s="12"/>
      <c r="AMA80" s="12"/>
      <c r="AMB80" s="12"/>
      <c r="AMC80" s="12"/>
      <c r="AMD80" s="12"/>
      <c r="AME80" s="12"/>
      <c r="AMF80" s="12"/>
      <c r="AMG80" s="12"/>
      <c r="AMH80" s="12"/>
      <c r="AMI80" s="12"/>
      <c r="AMJ80" s="12"/>
      <c r="AMK80" s="12"/>
      <c r="AML80" s="12"/>
      <c r="AMM80" s="12"/>
      <c r="AMN80" s="12"/>
      <c r="AMO80" s="12"/>
      <c r="AMP80" s="12"/>
      <c r="AMQ80" s="12"/>
      <c r="AMR80" s="12"/>
      <c r="AMS80" s="12"/>
      <c r="AMT80" s="12"/>
      <c r="AMU80" s="12"/>
      <c r="AMV80" s="12"/>
      <c r="AMW80" s="12"/>
      <c r="AMX80" s="12"/>
      <c r="AMY80" s="12"/>
      <c r="AMZ80" s="12"/>
      <c r="ANA80" s="12"/>
      <c r="ANB80" s="12"/>
      <c r="ANC80" s="12"/>
      <c r="AND80" s="12"/>
      <c r="ANE80" s="12"/>
      <c r="ANF80" s="12"/>
      <c r="ANG80" s="12"/>
      <c r="ANH80" s="12"/>
      <c r="ANI80" s="12"/>
      <c r="ANJ80" s="12"/>
      <c r="ANK80" s="12"/>
      <c r="ANL80" s="12"/>
      <c r="ANM80" s="12"/>
      <c r="ANN80" s="12"/>
      <c r="ANO80" s="12"/>
      <c r="ANP80" s="12"/>
      <c r="ANQ80" s="12"/>
      <c r="ANR80" s="12"/>
      <c r="ANS80" s="12"/>
      <c r="ANT80" s="12"/>
      <c r="ANU80" s="12"/>
      <c r="ANV80" s="12"/>
      <c r="ANW80" s="12"/>
      <c r="ANX80" s="12"/>
      <c r="ANY80" s="12"/>
      <c r="ANZ80" s="12"/>
      <c r="AOA80" s="12"/>
      <c r="AOB80" s="12"/>
      <c r="AOC80" s="12"/>
      <c r="AOD80" s="12"/>
      <c r="AOE80" s="12"/>
      <c r="AOF80" s="12"/>
      <c r="AOG80" s="12"/>
      <c r="AOH80" s="12"/>
      <c r="AOI80" s="12"/>
      <c r="AOJ80" s="12"/>
      <c r="AOK80" s="12"/>
      <c r="AOL80" s="12"/>
      <c r="AOM80" s="12"/>
      <c r="AON80" s="12"/>
      <c r="AOO80" s="12"/>
      <c r="AOP80" s="12"/>
      <c r="AOQ80" s="12"/>
      <c r="AOR80" s="12"/>
      <c r="AOS80" s="12"/>
      <c r="AOT80" s="12"/>
      <c r="AOU80" s="12"/>
      <c r="AOV80" s="12"/>
      <c r="AOW80" s="12"/>
      <c r="AOX80" s="12"/>
      <c r="AOY80" s="12"/>
      <c r="AOZ80" s="12"/>
      <c r="APA80" s="12"/>
      <c r="APB80" s="12"/>
      <c r="APC80" s="12"/>
      <c r="APD80" s="12"/>
      <c r="APE80" s="12"/>
      <c r="APF80" s="12"/>
      <c r="APG80" s="12"/>
      <c r="APH80" s="12"/>
      <c r="API80" s="12"/>
      <c r="APJ80" s="12"/>
      <c r="APK80" s="12"/>
      <c r="APL80" s="12"/>
      <c r="APM80" s="12"/>
      <c r="APN80" s="12"/>
      <c r="APO80" s="12"/>
      <c r="APP80" s="12"/>
      <c r="APQ80" s="12"/>
      <c r="APR80" s="12"/>
      <c r="APS80" s="12"/>
      <c r="APT80" s="12"/>
      <c r="APU80" s="12"/>
      <c r="APV80" s="12"/>
      <c r="APW80" s="12"/>
      <c r="APX80" s="12"/>
      <c r="APY80" s="12"/>
      <c r="APZ80" s="12"/>
      <c r="AQA80" s="12"/>
      <c r="AQB80" s="12"/>
      <c r="AQC80" s="12"/>
      <c r="AQD80" s="12"/>
      <c r="AQE80" s="12"/>
      <c r="AQF80" s="12"/>
      <c r="AQG80" s="12"/>
      <c r="AQH80" s="12"/>
      <c r="AQI80" s="12"/>
      <c r="AQJ80" s="12"/>
      <c r="AQK80" s="12"/>
      <c r="AQL80" s="12"/>
      <c r="AQM80" s="12"/>
      <c r="AQN80" s="12"/>
      <c r="AQO80" s="12"/>
      <c r="AQP80" s="12"/>
      <c r="AQQ80" s="12"/>
      <c r="AQR80" s="12"/>
      <c r="AQS80" s="12"/>
      <c r="AQT80" s="12"/>
      <c r="AQU80" s="12"/>
      <c r="AQV80" s="12"/>
      <c r="AQW80" s="12"/>
      <c r="AQX80" s="12"/>
      <c r="AQY80" s="12"/>
      <c r="AQZ80" s="12"/>
      <c r="ARA80" s="12"/>
      <c r="ARB80" s="12"/>
      <c r="ARC80" s="12"/>
      <c r="ARD80" s="12"/>
      <c r="ARE80" s="12"/>
      <c r="ARF80" s="12"/>
      <c r="ARG80" s="12"/>
      <c r="ARH80" s="12"/>
      <c r="ARI80" s="12"/>
      <c r="ARJ80" s="12"/>
      <c r="ARK80" s="12"/>
      <c r="ARL80" s="12"/>
      <c r="ARM80" s="12"/>
      <c r="ARN80" s="12"/>
      <c r="ARO80" s="12"/>
      <c r="ARP80" s="12"/>
      <c r="ARQ80" s="12"/>
      <c r="ARR80" s="12"/>
      <c r="ARS80" s="12"/>
      <c r="ART80" s="12"/>
      <c r="ARU80" s="12"/>
      <c r="ARV80" s="12"/>
      <c r="ARW80" s="12"/>
      <c r="ARX80" s="12"/>
      <c r="ARY80" s="12"/>
      <c r="ARZ80" s="12"/>
      <c r="ASA80" s="12"/>
      <c r="ASB80" s="12"/>
      <c r="ASC80" s="12"/>
      <c r="ASD80" s="12"/>
      <c r="ASE80" s="12"/>
      <c r="ASF80" s="12"/>
      <c r="ASG80" s="12"/>
      <c r="ASH80" s="12"/>
      <c r="ASI80" s="12"/>
      <c r="ASJ80" s="12"/>
      <c r="ASK80" s="12"/>
      <c r="ASL80" s="12"/>
      <c r="ASM80" s="12"/>
      <c r="ASN80" s="12"/>
      <c r="ASO80" s="12"/>
      <c r="ASP80" s="12"/>
      <c r="ASQ80" s="12"/>
      <c r="ASR80" s="12"/>
      <c r="ASS80" s="12"/>
      <c r="AST80" s="12"/>
      <c r="ASU80" s="12"/>
      <c r="ASV80" s="12"/>
      <c r="ASW80" s="12"/>
      <c r="ASX80" s="12"/>
      <c r="ASY80" s="12"/>
      <c r="ASZ80" s="12"/>
      <c r="ATA80" s="12"/>
      <c r="ATB80" s="12"/>
      <c r="ATC80" s="12"/>
      <c r="ATD80" s="12"/>
      <c r="ATE80" s="12"/>
      <c r="ATF80" s="12"/>
      <c r="ATG80" s="12"/>
      <c r="ATH80" s="12"/>
      <c r="ATI80" s="12"/>
      <c r="ATJ80" s="12"/>
      <c r="ATK80" s="12"/>
      <c r="ATL80" s="12"/>
      <c r="ATM80" s="12"/>
      <c r="ATN80" s="12"/>
      <c r="ATO80" s="12"/>
      <c r="ATP80" s="12"/>
      <c r="ATQ80" s="12"/>
      <c r="ATR80" s="12"/>
      <c r="ATS80" s="12"/>
      <c r="ATT80" s="12"/>
      <c r="ATU80" s="12"/>
      <c r="ATV80" s="12"/>
      <c r="ATW80" s="12"/>
      <c r="ATX80" s="12"/>
      <c r="ATY80" s="12"/>
      <c r="ATZ80" s="12"/>
      <c r="AUA80" s="12"/>
      <c r="AUB80" s="12"/>
      <c r="AUC80" s="12"/>
      <c r="AUD80" s="12"/>
      <c r="AUE80" s="12"/>
      <c r="AUF80" s="12"/>
      <c r="AUG80" s="12"/>
      <c r="AUH80" s="12"/>
      <c r="AUI80" s="12"/>
      <c r="AUJ80" s="12"/>
      <c r="AUK80" s="12"/>
      <c r="AUL80" s="12"/>
      <c r="AUM80" s="12"/>
      <c r="AUN80" s="12"/>
      <c r="AUO80" s="12"/>
      <c r="AUP80" s="12"/>
      <c r="AUQ80" s="12"/>
      <c r="AUR80" s="12"/>
      <c r="AUS80" s="12"/>
      <c r="AUT80" s="12"/>
      <c r="AUU80" s="12"/>
      <c r="AUV80" s="12"/>
      <c r="AUW80" s="12"/>
      <c r="AUX80" s="12"/>
      <c r="AUY80" s="12"/>
      <c r="AUZ80" s="12"/>
      <c r="AVA80" s="12"/>
      <c r="AVB80" s="12"/>
      <c r="AVC80" s="12"/>
      <c r="AVD80" s="12"/>
      <c r="AVE80" s="12"/>
      <c r="AVF80" s="12"/>
      <c r="AVG80" s="12"/>
      <c r="AVH80" s="12"/>
      <c r="AVI80" s="12"/>
      <c r="AVJ80" s="12"/>
      <c r="AVK80" s="12"/>
      <c r="AVL80" s="12"/>
      <c r="AVM80" s="12"/>
      <c r="AVN80" s="12"/>
      <c r="AVO80" s="12"/>
      <c r="AVP80" s="12"/>
      <c r="AVQ80" s="12"/>
      <c r="AVR80" s="12"/>
      <c r="AVS80" s="12"/>
      <c r="AVT80" s="12"/>
      <c r="AVU80" s="12"/>
      <c r="AVV80" s="12"/>
      <c r="AVW80" s="12"/>
      <c r="AVX80" s="12"/>
      <c r="AVY80" s="12"/>
      <c r="AVZ80" s="12"/>
      <c r="AWA80" s="12"/>
      <c r="AWB80" s="12"/>
      <c r="AWC80" s="12"/>
      <c r="AWD80" s="12"/>
      <c r="AWE80" s="12"/>
      <c r="AWF80" s="12"/>
      <c r="AWG80" s="12"/>
      <c r="AWH80" s="12"/>
      <c r="AWI80" s="12"/>
      <c r="AWJ80" s="12"/>
      <c r="AWK80" s="12"/>
      <c r="AWL80" s="12"/>
      <c r="AWM80" s="12"/>
      <c r="AWN80" s="12"/>
      <c r="AWO80" s="12"/>
      <c r="AWP80" s="12"/>
      <c r="AWQ80" s="12"/>
      <c r="AWR80" s="12"/>
      <c r="AWS80" s="12"/>
      <c r="AWT80" s="12"/>
      <c r="AWU80" s="12"/>
      <c r="AWV80" s="12"/>
      <c r="AWW80" s="12"/>
      <c r="AWX80" s="12"/>
      <c r="AWY80" s="12"/>
      <c r="AWZ80" s="12"/>
      <c r="AXA80" s="12"/>
      <c r="AXB80" s="12"/>
      <c r="AXC80" s="12"/>
      <c r="AXD80" s="12"/>
      <c r="AXE80" s="12"/>
      <c r="AXF80" s="12"/>
      <c r="AXG80" s="12"/>
      <c r="AXH80" s="12"/>
      <c r="AXI80" s="12"/>
      <c r="AXJ80" s="12"/>
      <c r="AXK80" s="12"/>
      <c r="AXL80" s="12"/>
      <c r="AXM80" s="12"/>
      <c r="AXN80" s="12"/>
      <c r="AXO80" s="12"/>
      <c r="AXP80" s="12"/>
      <c r="AXQ80" s="12"/>
      <c r="AXR80" s="12"/>
      <c r="AXS80" s="12"/>
      <c r="AXT80" s="12"/>
      <c r="AXU80" s="12"/>
      <c r="AXV80" s="12"/>
      <c r="AXW80" s="12"/>
      <c r="AXX80" s="12"/>
      <c r="AXY80" s="12"/>
      <c r="AXZ80" s="12"/>
      <c r="AYA80" s="12"/>
      <c r="AYB80" s="12"/>
      <c r="AYC80" s="12"/>
      <c r="AYD80" s="12"/>
      <c r="AYE80" s="12"/>
      <c r="AYF80" s="12"/>
      <c r="AYG80" s="12"/>
      <c r="AYH80" s="12"/>
      <c r="AYI80" s="12"/>
      <c r="AYJ80" s="12"/>
      <c r="AYK80" s="12"/>
      <c r="AYL80" s="12"/>
      <c r="AYM80" s="12"/>
      <c r="AYN80" s="12"/>
      <c r="AYO80" s="12"/>
      <c r="AYP80" s="12"/>
      <c r="AYQ80" s="12"/>
      <c r="AYR80" s="12"/>
      <c r="AYS80" s="12"/>
      <c r="AYT80" s="12"/>
      <c r="AYU80" s="12"/>
      <c r="AYV80" s="12"/>
      <c r="AYW80" s="12"/>
      <c r="AYX80" s="12"/>
      <c r="AYY80" s="12"/>
      <c r="AYZ80" s="12"/>
      <c r="AZA80" s="12"/>
      <c r="AZB80" s="12"/>
      <c r="AZC80" s="12"/>
      <c r="AZD80" s="12"/>
      <c r="AZE80" s="12"/>
      <c r="AZF80" s="12"/>
      <c r="AZG80" s="12"/>
      <c r="AZH80" s="12"/>
      <c r="AZI80" s="12"/>
      <c r="AZJ80" s="12"/>
      <c r="AZK80" s="12"/>
      <c r="AZL80" s="12"/>
      <c r="AZM80" s="12"/>
      <c r="AZN80" s="12"/>
      <c r="AZO80" s="12"/>
      <c r="AZP80" s="12"/>
      <c r="AZQ80" s="12"/>
      <c r="AZR80" s="12"/>
      <c r="AZS80" s="12"/>
      <c r="AZT80" s="12"/>
      <c r="AZU80" s="12"/>
      <c r="AZV80" s="12"/>
      <c r="AZW80" s="12"/>
      <c r="AZX80" s="12"/>
      <c r="AZY80" s="12"/>
      <c r="AZZ80" s="12"/>
      <c r="BAA80" s="12"/>
      <c r="BAB80" s="12"/>
      <c r="BAC80" s="12"/>
      <c r="BAD80" s="12"/>
      <c r="BAE80" s="12"/>
      <c r="BAF80" s="12"/>
      <c r="BAG80" s="12"/>
      <c r="BAH80" s="12"/>
      <c r="BAI80" s="12"/>
      <c r="BAJ80" s="12"/>
      <c r="BAK80" s="12"/>
      <c r="BAL80" s="12"/>
      <c r="BAM80" s="12"/>
      <c r="BAN80" s="12"/>
      <c r="BAO80" s="12"/>
      <c r="BAP80" s="12"/>
      <c r="BAQ80" s="12"/>
      <c r="BAR80" s="12"/>
      <c r="BAS80" s="12"/>
      <c r="BAT80" s="12"/>
      <c r="BAU80" s="12"/>
      <c r="BAV80" s="12"/>
      <c r="BAW80" s="12"/>
      <c r="BAX80" s="12"/>
      <c r="BAY80" s="12"/>
      <c r="BAZ80" s="12"/>
      <c r="BBA80" s="12"/>
      <c r="BBB80" s="12"/>
      <c r="BBC80" s="12"/>
      <c r="BBD80" s="12"/>
      <c r="BBE80" s="12"/>
      <c r="BBF80" s="12"/>
      <c r="BBG80" s="12"/>
      <c r="BBH80" s="12"/>
      <c r="BBI80" s="12"/>
      <c r="BBJ80" s="12"/>
      <c r="BBK80" s="12"/>
      <c r="BBL80" s="12"/>
      <c r="BBM80" s="12"/>
      <c r="BBN80" s="12"/>
      <c r="BBO80" s="12"/>
      <c r="BBP80" s="12"/>
      <c r="BBQ80" s="12"/>
      <c r="BBR80" s="12"/>
      <c r="BBS80" s="12"/>
      <c r="BBT80" s="12"/>
      <c r="BBU80" s="12"/>
      <c r="BBV80" s="12"/>
      <c r="BBW80" s="12"/>
      <c r="BBX80" s="12"/>
      <c r="BBY80" s="12"/>
      <c r="BBZ80" s="12"/>
      <c r="BCA80" s="12"/>
      <c r="BCB80" s="12"/>
      <c r="BCC80" s="12"/>
      <c r="BCD80" s="12"/>
      <c r="BCE80" s="12"/>
      <c r="BCF80" s="12"/>
      <c r="BCG80" s="12"/>
      <c r="BCH80" s="12"/>
      <c r="BCI80" s="12"/>
      <c r="BCJ80" s="12"/>
      <c r="BCK80" s="12"/>
      <c r="BCL80" s="12"/>
      <c r="BCM80" s="12"/>
      <c r="BCN80" s="12"/>
      <c r="BCO80" s="12"/>
      <c r="BCP80" s="12"/>
      <c r="BCQ80" s="12"/>
      <c r="BCR80" s="12"/>
      <c r="BCS80" s="12"/>
      <c r="BCT80" s="12"/>
      <c r="BCU80" s="12"/>
      <c r="BCV80" s="12"/>
      <c r="BCW80" s="12"/>
      <c r="BCX80" s="12"/>
      <c r="BCY80" s="12"/>
      <c r="BCZ80" s="12"/>
      <c r="BDA80" s="12"/>
      <c r="BDB80" s="12"/>
      <c r="BDC80" s="12"/>
      <c r="BDD80" s="12"/>
      <c r="BDE80" s="12"/>
      <c r="BDF80" s="12"/>
      <c r="BDG80" s="12"/>
      <c r="BDH80" s="12"/>
      <c r="BDI80" s="12"/>
      <c r="BDJ80" s="12"/>
      <c r="BDK80" s="12"/>
      <c r="BDL80" s="12"/>
      <c r="BDM80" s="12"/>
      <c r="BDN80" s="12"/>
      <c r="BDO80" s="12"/>
      <c r="BDP80" s="12"/>
      <c r="BDQ80" s="12"/>
      <c r="BDR80" s="12"/>
      <c r="BDS80" s="12"/>
      <c r="BDT80" s="12"/>
      <c r="BDU80" s="12"/>
      <c r="BDV80" s="12"/>
      <c r="BDW80" s="12"/>
      <c r="BDX80" s="12"/>
      <c r="BDY80" s="12"/>
      <c r="BDZ80" s="12"/>
      <c r="BEA80" s="12"/>
      <c r="BEB80" s="12"/>
      <c r="BEC80" s="12"/>
      <c r="BED80" s="12"/>
      <c r="BEE80" s="12"/>
      <c r="BEF80" s="12"/>
      <c r="BEG80" s="12"/>
      <c r="BEH80" s="12"/>
      <c r="BEI80" s="12"/>
      <c r="BEJ80" s="12"/>
      <c r="BEK80" s="12"/>
      <c r="BEL80" s="12"/>
      <c r="BEM80" s="12"/>
      <c r="BEN80" s="12"/>
      <c r="BEO80" s="12"/>
      <c r="BEP80" s="12"/>
      <c r="BEQ80" s="12"/>
      <c r="BER80" s="12"/>
      <c r="BES80" s="12"/>
      <c r="BET80" s="12"/>
      <c r="BEU80" s="12"/>
      <c r="BEV80" s="12"/>
      <c r="BEW80" s="12"/>
      <c r="BEX80" s="12"/>
      <c r="BEY80" s="12"/>
      <c r="BEZ80" s="12"/>
      <c r="BFA80" s="12"/>
      <c r="BFB80" s="12"/>
      <c r="BFC80" s="12"/>
      <c r="BFD80" s="12"/>
      <c r="BFE80" s="12"/>
      <c r="BFF80" s="12"/>
      <c r="BFG80" s="12"/>
      <c r="BFH80" s="12"/>
      <c r="BFI80" s="12"/>
      <c r="BFJ80" s="12"/>
      <c r="BFK80" s="12"/>
      <c r="BFL80" s="12"/>
      <c r="BFM80" s="12"/>
      <c r="BFN80" s="12"/>
      <c r="BFO80" s="12"/>
      <c r="BFP80" s="12"/>
      <c r="BFQ80" s="12"/>
      <c r="BFR80" s="12"/>
      <c r="BFS80" s="12"/>
      <c r="BFT80" s="12"/>
      <c r="BFU80" s="12"/>
      <c r="BFV80" s="12"/>
      <c r="BFW80" s="12"/>
      <c r="BFX80" s="12"/>
      <c r="BFY80" s="12"/>
      <c r="BFZ80" s="12"/>
      <c r="BGA80" s="12"/>
      <c r="BGB80" s="12"/>
      <c r="BGC80" s="12"/>
      <c r="BGD80" s="12"/>
      <c r="BGE80" s="12"/>
      <c r="BGF80" s="12"/>
      <c r="BGG80" s="12"/>
      <c r="BGH80" s="12"/>
      <c r="BGI80" s="12"/>
      <c r="BGJ80" s="12"/>
      <c r="BGK80" s="12"/>
      <c r="BGL80" s="12"/>
      <c r="BGM80" s="12"/>
      <c r="BGN80" s="12"/>
      <c r="BGO80" s="12"/>
      <c r="BGP80" s="12"/>
      <c r="BGQ80" s="12"/>
      <c r="BGR80" s="12"/>
      <c r="BGS80" s="12"/>
      <c r="BGT80" s="12"/>
      <c r="BGU80" s="12"/>
      <c r="BGV80" s="12"/>
      <c r="BGW80" s="12"/>
      <c r="BGX80" s="12"/>
      <c r="BGY80" s="12"/>
      <c r="BGZ80" s="12"/>
      <c r="BHA80" s="12"/>
      <c r="BHB80" s="12"/>
      <c r="BHC80" s="12"/>
      <c r="BHD80" s="12"/>
      <c r="BHE80" s="12"/>
      <c r="BHF80" s="12"/>
      <c r="BHG80" s="12"/>
      <c r="BHH80" s="12"/>
      <c r="BHI80" s="12"/>
      <c r="BHJ80" s="12"/>
      <c r="BHK80" s="12"/>
      <c r="BHL80" s="12"/>
      <c r="BHM80" s="12"/>
      <c r="BHN80" s="12"/>
      <c r="BHO80" s="12"/>
      <c r="BHP80" s="12"/>
      <c r="BHQ80" s="12"/>
      <c r="BHR80" s="12"/>
      <c r="BHS80" s="12"/>
      <c r="BHT80" s="12"/>
      <c r="BHU80" s="12"/>
      <c r="BHV80" s="12"/>
      <c r="BHW80" s="12"/>
      <c r="BHX80" s="12"/>
      <c r="BHY80" s="12"/>
      <c r="BHZ80" s="12"/>
      <c r="BIA80" s="12"/>
      <c r="BIB80" s="12"/>
      <c r="BIC80" s="12"/>
      <c r="BID80" s="12"/>
      <c r="BIE80" s="12"/>
      <c r="BIF80" s="12"/>
      <c r="BIG80" s="12"/>
      <c r="BIH80" s="12"/>
      <c r="BII80" s="12"/>
      <c r="BIJ80" s="12"/>
      <c r="BIK80" s="12"/>
      <c r="BIL80" s="12"/>
      <c r="BIM80" s="12"/>
      <c r="BIN80" s="12"/>
      <c r="BIO80" s="12"/>
      <c r="BIP80" s="12"/>
      <c r="BIQ80" s="12"/>
      <c r="BIR80" s="12"/>
      <c r="BIS80" s="12"/>
      <c r="BIT80" s="12"/>
      <c r="BIU80" s="12"/>
      <c r="BIV80" s="12"/>
      <c r="BIW80" s="12"/>
      <c r="BIX80" s="12"/>
      <c r="BIY80" s="12"/>
      <c r="BIZ80" s="12"/>
      <c r="BJA80" s="12"/>
      <c r="BJB80" s="12"/>
      <c r="BJC80" s="12"/>
      <c r="BJD80" s="12"/>
      <c r="BJE80" s="12"/>
      <c r="BJF80" s="12"/>
      <c r="BJG80" s="12"/>
      <c r="BJH80" s="12"/>
      <c r="BJI80" s="12"/>
      <c r="BJJ80" s="12"/>
      <c r="BJK80" s="12"/>
      <c r="BJL80" s="12"/>
      <c r="BJM80" s="12"/>
      <c r="BJN80" s="12"/>
      <c r="BJO80" s="12"/>
      <c r="BJP80" s="12"/>
      <c r="BJQ80" s="12"/>
      <c r="BJR80" s="12"/>
      <c r="BJS80" s="12"/>
      <c r="BJT80" s="12"/>
      <c r="BJU80" s="12"/>
      <c r="BJV80" s="12"/>
      <c r="BJW80" s="12"/>
      <c r="BJX80" s="12"/>
      <c r="BJY80" s="12"/>
      <c r="BJZ80" s="12"/>
      <c r="BKA80" s="12"/>
      <c r="BKB80" s="12"/>
      <c r="BKC80" s="12"/>
      <c r="BKD80" s="12"/>
      <c r="BKE80" s="12"/>
      <c r="BKF80" s="12"/>
      <c r="BKG80" s="12"/>
      <c r="BKH80" s="12"/>
      <c r="BKI80" s="12"/>
      <c r="BKJ80" s="12"/>
      <c r="BKK80" s="12"/>
      <c r="BKL80" s="12"/>
      <c r="BKM80" s="12"/>
      <c r="BKN80" s="12"/>
      <c r="BKO80" s="12"/>
      <c r="BKP80" s="12"/>
      <c r="BKQ80" s="12"/>
      <c r="BKR80" s="12"/>
      <c r="BKS80" s="12"/>
      <c r="BKT80" s="12"/>
      <c r="BKU80" s="12"/>
      <c r="BKV80" s="12"/>
      <c r="BKW80" s="12"/>
      <c r="BKX80" s="12"/>
      <c r="BKY80" s="12"/>
      <c r="BKZ80" s="12"/>
      <c r="BLA80" s="12"/>
      <c r="BLB80" s="12"/>
      <c r="BLC80" s="12"/>
      <c r="BLD80" s="12"/>
      <c r="BLE80" s="12"/>
      <c r="BLF80" s="12"/>
      <c r="BLG80" s="12"/>
      <c r="BLH80" s="12"/>
      <c r="BLI80" s="12"/>
      <c r="BLJ80" s="12"/>
      <c r="BLK80" s="12"/>
      <c r="BLL80" s="12"/>
      <c r="BLM80" s="12"/>
      <c r="BLN80" s="12"/>
      <c r="BLO80" s="12"/>
      <c r="BLP80" s="12"/>
      <c r="BLQ80" s="12"/>
      <c r="BLR80" s="12"/>
      <c r="BLS80" s="12"/>
      <c r="BLT80" s="12"/>
      <c r="BLU80" s="12"/>
      <c r="BLV80" s="12"/>
      <c r="BLW80" s="12"/>
      <c r="BLX80" s="12"/>
      <c r="BLY80" s="12"/>
      <c r="BLZ80" s="12"/>
      <c r="BMA80" s="12"/>
      <c r="BMB80" s="12"/>
      <c r="BMC80" s="12"/>
      <c r="BMD80" s="12"/>
      <c r="BME80" s="12"/>
      <c r="BMF80" s="12"/>
      <c r="BMG80" s="12"/>
      <c r="BMH80" s="12"/>
      <c r="BMI80" s="12"/>
      <c r="BMJ80" s="12"/>
      <c r="BMK80" s="12"/>
      <c r="BML80" s="12"/>
      <c r="BMM80" s="12"/>
      <c r="BMN80" s="12"/>
      <c r="BMO80" s="12"/>
      <c r="BMP80" s="12"/>
      <c r="BMQ80" s="12"/>
      <c r="BMR80" s="12"/>
      <c r="BMS80" s="12"/>
      <c r="BMT80" s="12"/>
      <c r="BMU80" s="12"/>
      <c r="BMV80" s="12"/>
      <c r="BMW80" s="12"/>
      <c r="BMX80" s="12"/>
      <c r="BMY80" s="12"/>
      <c r="BMZ80" s="12"/>
      <c r="BNA80" s="12"/>
      <c r="BNB80" s="12"/>
      <c r="BNC80" s="12"/>
      <c r="BND80" s="12"/>
      <c r="BNE80" s="12"/>
      <c r="BNF80" s="12"/>
      <c r="BNG80" s="12"/>
      <c r="BNH80" s="12"/>
      <c r="BNI80" s="12"/>
      <c r="BNJ80" s="12"/>
      <c r="BNK80" s="12"/>
      <c r="BNL80" s="12"/>
      <c r="BNM80" s="12"/>
      <c r="BNN80" s="12"/>
      <c r="BNO80" s="12"/>
      <c r="BNP80" s="12"/>
      <c r="BNQ80" s="12"/>
      <c r="BNR80" s="12"/>
      <c r="BNS80" s="12"/>
      <c r="BNT80" s="12"/>
      <c r="BNU80" s="12"/>
      <c r="BNV80" s="12"/>
      <c r="BNW80" s="12"/>
      <c r="BNX80" s="12"/>
      <c r="BNY80" s="12"/>
      <c r="BNZ80" s="12"/>
      <c r="BOA80" s="12"/>
      <c r="BOB80" s="12"/>
      <c r="BOC80" s="12"/>
      <c r="BOD80" s="12"/>
      <c r="BOE80" s="12"/>
      <c r="BOF80" s="12"/>
      <c r="BOG80" s="12"/>
      <c r="BOH80" s="12"/>
      <c r="BOI80" s="12"/>
      <c r="BOJ80" s="12"/>
      <c r="BOK80" s="12"/>
      <c r="BOL80" s="12"/>
      <c r="BOM80" s="12"/>
      <c r="BON80" s="12"/>
      <c r="BOO80" s="12"/>
      <c r="BOP80" s="12"/>
      <c r="BOQ80" s="12"/>
      <c r="BOR80" s="12"/>
      <c r="BOS80" s="12"/>
      <c r="BOT80" s="12"/>
      <c r="BOU80" s="12"/>
      <c r="BOV80" s="12"/>
      <c r="BOW80" s="12"/>
      <c r="BOX80" s="12"/>
      <c r="BOY80" s="12"/>
      <c r="BOZ80" s="12"/>
      <c r="BPA80" s="12"/>
      <c r="BPB80" s="12"/>
      <c r="BPC80" s="12"/>
      <c r="BPD80" s="12"/>
      <c r="BPE80" s="12"/>
      <c r="BPF80" s="12"/>
      <c r="BPG80" s="12"/>
      <c r="BPH80" s="12"/>
      <c r="BPI80" s="12"/>
      <c r="BPJ80" s="12"/>
      <c r="BPK80" s="12"/>
      <c r="BPL80" s="12"/>
      <c r="BPM80" s="12"/>
      <c r="BPN80" s="12"/>
      <c r="BPO80" s="12"/>
      <c r="BPP80" s="12"/>
      <c r="BPQ80" s="12"/>
      <c r="BPR80" s="12"/>
      <c r="BPS80" s="12"/>
      <c r="BPT80" s="12"/>
      <c r="BPU80" s="12"/>
      <c r="BPV80" s="12"/>
      <c r="BPW80" s="12"/>
      <c r="BPX80" s="12"/>
      <c r="BPY80" s="12"/>
      <c r="BPZ80" s="12"/>
      <c r="BQA80" s="12"/>
      <c r="BQB80" s="12"/>
      <c r="BQC80" s="12"/>
      <c r="BQD80" s="12"/>
      <c r="BQE80" s="12"/>
      <c r="BQF80" s="12"/>
      <c r="BQG80" s="12"/>
      <c r="BQH80" s="12"/>
      <c r="BQI80" s="12"/>
      <c r="BQJ80" s="12"/>
      <c r="BQK80" s="12"/>
      <c r="BQL80" s="12"/>
      <c r="BQM80" s="12"/>
      <c r="BQN80" s="12"/>
      <c r="BQO80" s="12"/>
      <c r="BQP80" s="12"/>
      <c r="BQQ80" s="12"/>
      <c r="BQR80" s="12"/>
      <c r="BQS80" s="12"/>
      <c r="BQT80" s="12"/>
      <c r="BQU80" s="12"/>
      <c r="BQV80" s="12"/>
      <c r="BQW80" s="12"/>
      <c r="BQX80" s="12"/>
      <c r="BQY80" s="12"/>
      <c r="BQZ80" s="12"/>
      <c r="BRA80" s="12"/>
      <c r="BRB80" s="12"/>
      <c r="BRC80" s="12"/>
      <c r="BRD80" s="12"/>
      <c r="BRE80" s="12"/>
      <c r="BRF80" s="12"/>
      <c r="BRG80" s="12"/>
      <c r="BRH80" s="12"/>
      <c r="BRI80" s="12"/>
      <c r="BRJ80" s="12"/>
      <c r="BRK80" s="12"/>
      <c r="BRL80" s="12"/>
      <c r="BRM80" s="12"/>
      <c r="BRN80" s="12"/>
      <c r="BRO80" s="12"/>
      <c r="BRP80" s="12"/>
      <c r="BRQ80" s="12"/>
      <c r="BRR80" s="12"/>
      <c r="BRS80" s="12"/>
      <c r="BRT80" s="12"/>
      <c r="BRU80" s="12"/>
      <c r="BRV80" s="12"/>
      <c r="BRW80" s="12"/>
      <c r="BRX80" s="12"/>
      <c r="BRY80" s="12"/>
      <c r="BRZ80" s="12"/>
      <c r="BSA80" s="12"/>
      <c r="BSB80" s="12"/>
      <c r="BSC80" s="12"/>
      <c r="BSD80" s="12"/>
      <c r="BSE80" s="12"/>
      <c r="BSF80" s="12"/>
      <c r="BSG80" s="12"/>
      <c r="BSH80" s="12"/>
      <c r="BSI80" s="12"/>
      <c r="BSJ80" s="12"/>
      <c r="BSK80" s="12"/>
      <c r="BSL80" s="12"/>
      <c r="BSM80" s="12"/>
      <c r="BSN80" s="12"/>
      <c r="BSO80" s="12"/>
      <c r="BSP80" s="12"/>
      <c r="BSQ80" s="12"/>
      <c r="BSR80" s="12"/>
      <c r="BSS80" s="12"/>
      <c r="BST80" s="12"/>
      <c r="BSU80" s="12"/>
      <c r="BSV80" s="12"/>
      <c r="BSW80" s="12"/>
      <c r="BSX80" s="12"/>
      <c r="BSY80" s="12"/>
      <c r="BSZ80" s="12"/>
      <c r="BTA80" s="12"/>
      <c r="BTB80" s="12"/>
      <c r="BTC80" s="12"/>
      <c r="BTD80" s="12"/>
      <c r="BTE80" s="12"/>
      <c r="BTF80" s="12"/>
      <c r="BTG80" s="12"/>
      <c r="BTH80" s="12"/>
      <c r="BTI80" s="12"/>
      <c r="BTJ80" s="12"/>
      <c r="BTK80" s="12"/>
      <c r="BTL80" s="12"/>
      <c r="BTM80" s="12"/>
      <c r="BTN80" s="12"/>
      <c r="BTO80" s="12"/>
      <c r="BTP80" s="12"/>
      <c r="BTQ80" s="12"/>
      <c r="BTR80" s="12"/>
      <c r="BTS80" s="12"/>
      <c r="BTT80" s="12"/>
      <c r="BTU80" s="12"/>
      <c r="BTV80" s="12"/>
      <c r="BTW80" s="12"/>
      <c r="BTX80" s="12"/>
      <c r="BTY80" s="12"/>
      <c r="BTZ80" s="12"/>
      <c r="BUA80" s="12"/>
      <c r="BUB80" s="12"/>
      <c r="BUC80" s="12"/>
      <c r="BUD80" s="12"/>
      <c r="BUE80" s="12"/>
      <c r="BUF80" s="12"/>
      <c r="BUG80" s="12"/>
      <c r="BUH80" s="12"/>
      <c r="BUI80" s="12"/>
      <c r="BUJ80" s="12"/>
      <c r="BUK80" s="12"/>
      <c r="BUL80" s="12"/>
      <c r="BUM80" s="12"/>
      <c r="BUN80" s="12"/>
      <c r="BUO80" s="12"/>
      <c r="BUP80" s="12"/>
      <c r="BUQ80" s="12"/>
      <c r="BUR80" s="12"/>
      <c r="BUS80" s="12"/>
      <c r="BUT80" s="12"/>
      <c r="BUU80" s="12"/>
      <c r="BUV80" s="12"/>
      <c r="BUW80" s="12"/>
      <c r="BUX80" s="12"/>
      <c r="BUY80" s="12"/>
      <c r="BUZ80" s="12"/>
      <c r="BVA80" s="12"/>
      <c r="BVB80" s="12"/>
      <c r="BVC80" s="12"/>
      <c r="BVD80" s="12"/>
      <c r="BVE80" s="12"/>
      <c r="BVF80" s="12"/>
      <c r="BVG80" s="12"/>
      <c r="BVH80" s="12"/>
      <c r="BVI80" s="12"/>
      <c r="BVJ80" s="12"/>
      <c r="BVK80" s="12"/>
      <c r="BVL80" s="12"/>
      <c r="BVM80" s="12"/>
      <c r="BVN80" s="12"/>
      <c r="BVO80" s="12"/>
      <c r="BVP80" s="12"/>
      <c r="BVQ80" s="12"/>
      <c r="BVR80" s="12"/>
      <c r="BVS80" s="12"/>
      <c r="BVT80" s="12"/>
      <c r="BVU80" s="12"/>
      <c r="BVV80" s="12"/>
      <c r="BVW80" s="12"/>
      <c r="BVX80" s="12"/>
      <c r="BVY80" s="12"/>
      <c r="BVZ80" s="12"/>
      <c r="BWA80" s="12"/>
      <c r="BWB80" s="12"/>
      <c r="BWC80" s="12"/>
      <c r="BWD80" s="12"/>
      <c r="BWE80" s="12"/>
      <c r="BWF80" s="12"/>
      <c r="BWG80" s="12"/>
      <c r="BWH80" s="12"/>
      <c r="BWI80" s="12"/>
      <c r="BWJ80" s="12"/>
      <c r="BWK80" s="12"/>
      <c r="BWL80" s="12"/>
      <c r="BWM80" s="12"/>
      <c r="BWN80" s="12"/>
      <c r="BWO80" s="12"/>
      <c r="BWP80" s="12"/>
      <c r="BWQ80" s="12"/>
      <c r="BWR80" s="12"/>
      <c r="BWS80" s="12"/>
      <c r="BWT80" s="12"/>
      <c r="BWU80" s="12"/>
      <c r="BWV80" s="12"/>
      <c r="BWW80" s="12"/>
      <c r="BWX80" s="12"/>
      <c r="BWY80" s="12"/>
      <c r="BWZ80" s="12"/>
      <c r="BXA80" s="12"/>
      <c r="BXB80" s="12"/>
      <c r="BXC80" s="12"/>
      <c r="BXD80" s="12"/>
      <c r="BXE80" s="12"/>
      <c r="BXF80" s="12"/>
      <c r="BXG80" s="12"/>
      <c r="BXH80" s="12"/>
      <c r="BXI80" s="12"/>
      <c r="BXJ80" s="12"/>
      <c r="BXK80" s="12"/>
      <c r="BXL80" s="12"/>
      <c r="BXM80" s="12"/>
      <c r="BXN80" s="12"/>
      <c r="BXO80" s="12"/>
      <c r="BXP80" s="12"/>
      <c r="BXQ80" s="12"/>
      <c r="BXR80" s="12"/>
      <c r="BXS80" s="12"/>
      <c r="BXT80" s="12"/>
      <c r="BXU80" s="12"/>
      <c r="BXV80" s="12"/>
      <c r="BXW80" s="12"/>
      <c r="BXX80" s="12"/>
      <c r="BXY80" s="12"/>
      <c r="BXZ80" s="12"/>
      <c r="BYA80" s="12"/>
      <c r="BYB80" s="12"/>
      <c r="BYC80" s="12"/>
      <c r="BYD80" s="12"/>
      <c r="BYE80" s="12"/>
      <c r="BYF80" s="12"/>
      <c r="BYG80" s="12"/>
      <c r="BYH80" s="12"/>
      <c r="BYI80" s="12"/>
      <c r="BYJ80" s="12"/>
      <c r="BYK80" s="12"/>
      <c r="BYL80" s="12"/>
      <c r="BYM80" s="12"/>
      <c r="BYN80" s="12"/>
      <c r="BYO80" s="12"/>
      <c r="BYP80" s="12"/>
      <c r="BYQ80" s="12"/>
      <c r="BYR80" s="12"/>
      <c r="BYS80" s="12"/>
      <c r="BYT80" s="12"/>
      <c r="BYU80" s="12"/>
      <c r="BYV80" s="12"/>
      <c r="BYW80" s="12"/>
      <c r="BYX80" s="12"/>
      <c r="BYY80" s="12"/>
      <c r="BYZ80" s="12"/>
      <c r="BZA80" s="12"/>
      <c r="BZB80" s="12"/>
      <c r="BZC80" s="12"/>
      <c r="BZD80" s="12"/>
      <c r="BZE80" s="12"/>
      <c r="BZF80" s="12"/>
      <c r="BZG80" s="12"/>
      <c r="BZH80" s="12"/>
      <c r="BZI80" s="12"/>
      <c r="BZJ80" s="12"/>
      <c r="BZK80" s="12"/>
      <c r="BZL80" s="12"/>
      <c r="BZM80" s="12"/>
      <c r="BZN80" s="12"/>
      <c r="BZO80" s="12"/>
      <c r="BZP80" s="12"/>
      <c r="BZQ80" s="12"/>
      <c r="BZR80" s="12"/>
      <c r="BZS80" s="12"/>
      <c r="BZT80" s="12"/>
      <c r="BZU80" s="12"/>
      <c r="BZV80" s="12"/>
      <c r="BZW80" s="12"/>
      <c r="BZX80" s="12"/>
      <c r="BZY80" s="12"/>
      <c r="BZZ80" s="12"/>
      <c r="CAA80" s="12"/>
      <c r="CAB80" s="12"/>
      <c r="CAC80" s="12"/>
      <c r="CAD80" s="12"/>
      <c r="CAE80" s="12"/>
      <c r="CAF80" s="12"/>
      <c r="CAG80" s="12"/>
      <c r="CAH80" s="12"/>
      <c r="CAI80" s="12"/>
      <c r="CAJ80" s="12"/>
      <c r="CAK80" s="12"/>
      <c r="CAL80" s="12"/>
      <c r="CAM80" s="12"/>
      <c r="CAN80" s="12"/>
      <c r="CAO80" s="12"/>
      <c r="CAP80" s="12"/>
      <c r="CAQ80" s="12"/>
      <c r="CAR80" s="12"/>
      <c r="CAS80" s="12"/>
      <c r="CAT80" s="12"/>
      <c r="CAU80" s="12"/>
      <c r="CAV80" s="12"/>
      <c r="CAW80" s="12"/>
      <c r="CAX80" s="12"/>
      <c r="CAY80" s="12"/>
      <c r="CAZ80" s="12"/>
      <c r="CBA80" s="12"/>
      <c r="CBB80" s="12"/>
      <c r="CBC80" s="12"/>
      <c r="CBD80" s="12"/>
      <c r="CBE80" s="12"/>
      <c r="CBF80" s="12"/>
      <c r="CBG80" s="12"/>
      <c r="CBH80" s="12"/>
      <c r="CBI80" s="12"/>
      <c r="CBJ80" s="12"/>
      <c r="CBK80" s="12"/>
      <c r="CBL80" s="12"/>
      <c r="CBM80" s="12"/>
      <c r="CBN80" s="12"/>
      <c r="CBO80" s="12"/>
      <c r="CBP80" s="12"/>
      <c r="CBQ80" s="12"/>
      <c r="CBR80" s="12"/>
      <c r="CBS80" s="12"/>
      <c r="CBT80" s="12"/>
      <c r="CBU80" s="12"/>
      <c r="CBV80" s="12"/>
      <c r="CBW80" s="12"/>
      <c r="CBX80" s="12"/>
      <c r="CBY80" s="12"/>
      <c r="CBZ80" s="12"/>
      <c r="CCA80" s="12"/>
      <c r="CCB80" s="12"/>
      <c r="CCC80" s="12"/>
      <c r="CCD80" s="12"/>
      <c r="CCE80" s="12"/>
      <c r="CCF80" s="12"/>
      <c r="CCG80" s="12"/>
      <c r="CCH80" s="12"/>
      <c r="CCI80" s="12"/>
      <c r="CCJ80" s="12"/>
      <c r="CCK80" s="12"/>
      <c r="CCL80" s="12"/>
      <c r="CCM80" s="12"/>
      <c r="CCN80" s="12"/>
      <c r="CCO80" s="12"/>
      <c r="CCP80" s="12"/>
      <c r="CCQ80" s="12"/>
      <c r="CCR80" s="12"/>
      <c r="CCS80" s="12"/>
      <c r="CCT80" s="12"/>
      <c r="CCU80" s="12"/>
      <c r="CCV80" s="12"/>
      <c r="CCW80" s="12"/>
      <c r="CCX80" s="12"/>
      <c r="CCY80" s="12"/>
      <c r="CCZ80" s="12"/>
      <c r="CDA80" s="12"/>
      <c r="CDB80" s="12"/>
      <c r="CDC80" s="12"/>
      <c r="CDD80" s="12"/>
      <c r="CDE80" s="12"/>
      <c r="CDF80" s="12"/>
      <c r="CDG80" s="12"/>
      <c r="CDH80" s="12"/>
      <c r="CDI80" s="12"/>
      <c r="CDJ80" s="12"/>
      <c r="CDK80" s="12"/>
      <c r="CDL80" s="12"/>
      <c r="CDM80" s="12"/>
      <c r="CDN80" s="12"/>
      <c r="CDO80" s="12"/>
      <c r="CDP80" s="12"/>
      <c r="CDQ80" s="12"/>
      <c r="CDR80" s="12"/>
      <c r="CDS80" s="12"/>
      <c r="CDT80" s="12"/>
      <c r="CDU80" s="12"/>
      <c r="CDV80" s="12"/>
      <c r="CDW80" s="12"/>
      <c r="CDX80" s="12"/>
      <c r="CDY80" s="12"/>
      <c r="CDZ80" s="12"/>
      <c r="CEA80" s="12"/>
      <c r="CEB80" s="12"/>
      <c r="CEC80" s="12"/>
      <c r="CED80" s="12"/>
      <c r="CEE80" s="12"/>
      <c r="CEF80" s="12"/>
      <c r="CEG80" s="12"/>
      <c r="CEH80" s="12"/>
      <c r="CEI80" s="12"/>
      <c r="CEJ80" s="12"/>
      <c r="CEK80" s="12"/>
      <c r="CEL80" s="12"/>
      <c r="CEM80" s="12"/>
      <c r="CEN80" s="12"/>
      <c r="CEO80" s="12"/>
      <c r="CEP80" s="12"/>
      <c r="CEQ80" s="12"/>
      <c r="CER80" s="12"/>
      <c r="CES80" s="12"/>
      <c r="CET80" s="12"/>
      <c r="CEU80" s="12"/>
      <c r="CEV80" s="12"/>
      <c r="CEW80" s="12"/>
      <c r="CEX80" s="12"/>
      <c r="CEY80" s="12"/>
      <c r="CEZ80" s="12"/>
      <c r="CFA80" s="12"/>
      <c r="CFB80" s="12"/>
      <c r="CFC80" s="12"/>
      <c r="CFD80" s="12"/>
      <c r="CFE80" s="12"/>
      <c r="CFF80" s="12"/>
      <c r="CFG80" s="12"/>
      <c r="CFH80" s="12"/>
      <c r="CFI80" s="12"/>
      <c r="CFJ80" s="12"/>
      <c r="CFK80" s="12"/>
      <c r="CFL80" s="12"/>
      <c r="CFM80" s="12"/>
      <c r="CFN80" s="12"/>
      <c r="CFO80" s="12"/>
      <c r="CFP80" s="12"/>
      <c r="CFQ80" s="12"/>
      <c r="CFR80" s="12"/>
      <c r="CFS80" s="12"/>
      <c r="CFT80" s="12"/>
      <c r="CFU80" s="12"/>
      <c r="CFV80" s="12"/>
      <c r="CFW80" s="12"/>
      <c r="CFX80" s="12"/>
      <c r="CFY80" s="12"/>
      <c r="CFZ80" s="12"/>
      <c r="CGA80" s="12"/>
      <c r="CGB80" s="12"/>
      <c r="CGC80" s="12"/>
      <c r="CGD80" s="12"/>
      <c r="CGE80" s="12"/>
      <c r="CGF80" s="12"/>
      <c r="CGG80" s="12"/>
      <c r="CGH80" s="12"/>
      <c r="CGI80" s="12"/>
      <c r="CGJ80" s="12"/>
      <c r="CGK80" s="12"/>
      <c r="CGL80" s="12"/>
      <c r="CGM80" s="12"/>
      <c r="CGN80" s="12"/>
      <c r="CGO80" s="12"/>
      <c r="CGP80" s="12"/>
      <c r="CGQ80" s="12"/>
      <c r="CGR80" s="12"/>
      <c r="CGS80" s="12"/>
      <c r="CGT80" s="12"/>
      <c r="CGU80" s="12"/>
      <c r="CGV80" s="12"/>
      <c r="CGW80" s="12"/>
      <c r="CGX80" s="12"/>
      <c r="CGY80" s="12"/>
      <c r="CGZ80" s="12"/>
      <c r="CHA80" s="12"/>
      <c r="CHB80" s="12"/>
      <c r="CHC80" s="12"/>
      <c r="CHD80" s="12"/>
      <c r="CHE80" s="12"/>
      <c r="CHF80" s="12"/>
      <c r="CHG80" s="12"/>
      <c r="CHH80" s="12"/>
      <c r="CHI80" s="12"/>
      <c r="CHJ80" s="12"/>
      <c r="CHK80" s="12"/>
      <c r="CHL80" s="12"/>
      <c r="CHM80" s="12"/>
      <c r="CHN80" s="12"/>
      <c r="CHO80" s="12"/>
      <c r="CHP80" s="12"/>
      <c r="CHQ80" s="12"/>
      <c r="CHR80" s="12"/>
      <c r="CHS80" s="12"/>
      <c r="CHT80" s="12"/>
      <c r="CHU80" s="12"/>
      <c r="CHV80" s="12"/>
      <c r="CHW80" s="12"/>
      <c r="CHX80" s="12"/>
      <c r="CHY80" s="12"/>
      <c r="CHZ80" s="12"/>
      <c r="CIA80" s="12"/>
      <c r="CIB80" s="12"/>
      <c r="CIC80" s="12"/>
      <c r="CID80" s="12"/>
      <c r="CIE80" s="12"/>
      <c r="CIF80" s="12"/>
      <c r="CIG80" s="12"/>
      <c r="CIH80" s="12"/>
      <c r="CII80" s="12"/>
      <c r="CIJ80" s="12"/>
      <c r="CIK80" s="12"/>
      <c r="CIL80" s="12"/>
      <c r="CIM80" s="12"/>
      <c r="CIN80" s="12"/>
      <c r="CIO80" s="12"/>
      <c r="CIP80" s="12"/>
      <c r="CIQ80" s="12"/>
      <c r="CIR80" s="12"/>
      <c r="CIS80" s="12"/>
      <c r="CIT80" s="12"/>
      <c r="CIU80" s="12"/>
      <c r="CIV80" s="12"/>
      <c r="CIW80" s="12"/>
      <c r="CIX80" s="12"/>
      <c r="CIY80" s="12"/>
      <c r="CIZ80" s="12"/>
      <c r="CJA80" s="12"/>
      <c r="CJB80" s="12"/>
      <c r="CJC80" s="12"/>
      <c r="CJD80" s="12"/>
      <c r="CJE80" s="12"/>
      <c r="CJF80" s="12"/>
      <c r="CJG80" s="12"/>
      <c r="CJH80" s="12"/>
      <c r="CJI80" s="12"/>
      <c r="CJJ80" s="12"/>
      <c r="CJK80" s="12"/>
      <c r="CJL80" s="12"/>
      <c r="CJM80" s="12"/>
      <c r="CJN80" s="12"/>
      <c r="CJO80" s="12"/>
      <c r="CJP80" s="12"/>
      <c r="CJQ80" s="12"/>
      <c r="CJR80" s="12"/>
      <c r="CJS80" s="12"/>
      <c r="CJT80" s="12"/>
      <c r="CJU80" s="12"/>
      <c r="CJV80" s="12"/>
      <c r="CJW80" s="12"/>
      <c r="CJX80" s="12"/>
      <c r="CJY80" s="12"/>
      <c r="CJZ80" s="12"/>
      <c r="CKA80" s="12"/>
      <c r="CKB80" s="12"/>
      <c r="CKC80" s="12"/>
      <c r="CKD80" s="12"/>
      <c r="CKE80" s="12"/>
      <c r="CKF80" s="12"/>
      <c r="CKG80" s="12"/>
      <c r="CKH80" s="12"/>
      <c r="CKI80" s="12"/>
      <c r="CKJ80" s="12"/>
      <c r="CKK80" s="12"/>
      <c r="CKL80" s="12"/>
      <c r="CKM80" s="12"/>
      <c r="CKN80" s="12"/>
      <c r="CKO80" s="12"/>
      <c r="CKP80" s="12"/>
      <c r="CKQ80" s="12"/>
      <c r="CKR80" s="12"/>
      <c r="CKS80" s="12"/>
      <c r="CKT80" s="12"/>
      <c r="CKU80" s="12"/>
      <c r="CKV80" s="12"/>
      <c r="CKW80" s="12"/>
      <c r="CKX80" s="12"/>
      <c r="CKY80" s="12"/>
      <c r="CKZ80" s="12"/>
      <c r="CLA80" s="12"/>
      <c r="CLB80" s="12"/>
      <c r="CLC80" s="12"/>
      <c r="CLD80" s="12"/>
      <c r="CLE80" s="12"/>
      <c r="CLF80" s="12"/>
      <c r="CLG80" s="12"/>
      <c r="CLH80" s="12"/>
      <c r="CLI80" s="12"/>
      <c r="CLJ80" s="12"/>
      <c r="CLK80" s="12"/>
      <c r="CLL80" s="12"/>
      <c r="CLM80" s="12"/>
      <c r="CLN80" s="12"/>
      <c r="CLO80" s="12"/>
      <c r="CLP80" s="12"/>
      <c r="CLQ80" s="12"/>
      <c r="CLR80" s="12"/>
      <c r="CLS80" s="12"/>
      <c r="CLT80" s="12"/>
      <c r="CLU80" s="12"/>
      <c r="CLV80" s="12"/>
      <c r="CLW80" s="12"/>
      <c r="CLX80" s="12"/>
      <c r="CLY80" s="12"/>
      <c r="CLZ80" s="12"/>
      <c r="CMA80" s="12"/>
      <c r="CMB80" s="12"/>
      <c r="CMC80" s="12"/>
      <c r="CMD80" s="12"/>
      <c r="CME80" s="12"/>
      <c r="CMF80" s="12"/>
      <c r="CMG80" s="12"/>
      <c r="CMH80" s="12"/>
      <c r="CMI80" s="12"/>
      <c r="CMJ80" s="12"/>
      <c r="CMK80" s="12"/>
      <c r="CML80" s="12"/>
      <c r="CMM80" s="12"/>
      <c r="CMN80" s="12"/>
      <c r="CMO80" s="12"/>
      <c r="CMP80" s="12"/>
      <c r="CMQ80" s="12"/>
      <c r="CMR80" s="12"/>
      <c r="CMS80" s="12"/>
      <c r="CMT80" s="12"/>
      <c r="CMU80" s="12"/>
      <c r="CMV80" s="12"/>
      <c r="CMW80" s="12"/>
      <c r="CMX80" s="12"/>
      <c r="CMY80" s="12"/>
      <c r="CMZ80" s="12"/>
      <c r="CNA80" s="12"/>
      <c r="CNB80" s="12"/>
      <c r="CNC80" s="12"/>
      <c r="CND80" s="12"/>
      <c r="CNE80" s="12"/>
      <c r="CNF80" s="12"/>
      <c r="CNG80" s="12"/>
      <c r="CNH80" s="12"/>
      <c r="CNI80" s="12"/>
      <c r="CNJ80" s="12"/>
      <c r="CNK80" s="12"/>
      <c r="CNL80" s="12"/>
      <c r="CNM80" s="12"/>
      <c r="CNN80" s="12"/>
      <c r="CNO80" s="12"/>
      <c r="CNP80" s="12"/>
      <c r="CNQ80" s="12"/>
      <c r="CNR80" s="12"/>
      <c r="CNS80" s="12"/>
      <c r="CNT80" s="12"/>
      <c r="CNU80" s="12"/>
      <c r="CNV80" s="12"/>
      <c r="CNW80" s="12"/>
      <c r="CNX80" s="12"/>
      <c r="CNY80" s="12"/>
      <c r="CNZ80" s="12"/>
      <c r="COA80" s="12"/>
      <c r="COB80" s="12"/>
      <c r="COC80" s="12"/>
      <c r="COD80" s="12"/>
      <c r="COE80" s="12"/>
      <c r="COF80" s="12"/>
      <c r="COG80" s="12"/>
      <c r="COH80" s="12"/>
      <c r="COI80" s="12"/>
      <c r="COJ80" s="12"/>
      <c r="COK80" s="12"/>
      <c r="COL80" s="12"/>
      <c r="COM80" s="12"/>
      <c r="CON80" s="12"/>
      <c r="COO80" s="12"/>
      <c r="COP80" s="12"/>
      <c r="COQ80" s="12"/>
      <c r="COR80" s="12"/>
      <c r="COS80" s="12"/>
      <c r="COT80" s="12"/>
      <c r="COU80" s="12"/>
      <c r="COV80" s="12"/>
      <c r="COW80" s="12"/>
      <c r="COX80" s="12"/>
      <c r="COY80" s="12"/>
      <c r="COZ80" s="12"/>
      <c r="CPA80" s="12"/>
      <c r="CPB80" s="12"/>
      <c r="CPC80" s="12"/>
      <c r="CPD80" s="12"/>
      <c r="CPE80" s="12"/>
      <c r="CPF80" s="12"/>
      <c r="CPG80" s="12"/>
      <c r="CPH80" s="12"/>
      <c r="CPI80" s="12"/>
      <c r="CPJ80" s="12"/>
      <c r="CPK80" s="12"/>
      <c r="CPL80" s="12"/>
      <c r="CPM80" s="12"/>
      <c r="CPN80" s="12"/>
      <c r="CPO80" s="12"/>
      <c r="CPP80" s="12"/>
      <c r="CPQ80" s="12"/>
      <c r="CPR80" s="12"/>
      <c r="CPS80" s="12"/>
      <c r="CPT80" s="12"/>
      <c r="CPU80" s="12"/>
      <c r="CPV80" s="12"/>
      <c r="CPW80" s="12"/>
      <c r="CPX80" s="12"/>
      <c r="CPY80" s="12"/>
      <c r="CPZ80" s="12"/>
      <c r="CQA80" s="12"/>
      <c r="CQB80" s="12"/>
      <c r="CQC80" s="12"/>
      <c r="CQD80" s="12"/>
      <c r="CQE80" s="12"/>
      <c r="CQF80" s="12"/>
      <c r="CQG80" s="12"/>
      <c r="CQH80" s="12"/>
      <c r="CQI80" s="12"/>
      <c r="CQJ80" s="12"/>
      <c r="CQK80" s="12"/>
      <c r="CQL80" s="12"/>
      <c r="CQM80" s="12"/>
      <c r="CQN80" s="12"/>
      <c r="CQO80" s="12"/>
      <c r="CQP80" s="12"/>
      <c r="CQQ80" s="12"/>
      <c r="CQR80" s="12"/>
      <c r="CQS80" s="12"/>
      <c r="CQT80" s="12"/>
      <c r="CQU80" s="12"/>
      <c r="CQV80" s="12"/>
      <c r="CQW80" s="12"/>
      <c r="CQX80" s="12"/>
      <c r="CQY80" s="12"/>
      <c r="CQZ80" s="12"/>
      <c r="CRA80" s="12"/>
      <c r="CRB80" s="12"/>
      <c r="CRC80" s="12"/>
      <c r="CRD80" s="12"/>
      <c r="CRE80" s="12"/>
      <c r="CRF80" s="12"/>
      <c r="CRG80" s="12"/>
      <c r="CRH80" s="12"/>
      <c r="CRI80" s="12"/>
      <c r="CRJ80" s="12"/>
      <c r="CRK80" s="12"/>
      <c r="CRL80" s="12"/>
      <c r="CRM80" s="12"/>
      <c r="CRN80" s="12"/>
      <c r="CRO80" s="12"/>
      <c r="CRP80" s="12"/>
      <c r="CRQ80" s="12"/>
      <c r="CRR80" s="12"/>
      <c r="CRS80" s="12"/>
      <c r="CRT80" s="12"/>
      <c r="CRU80" s="12"/>
      <c r="CRV80" s="12"/>
      <c r="CRW80" s="12"/>
      <c r="CRX80" s="12"/>
      <c r="CRY80" s="12"/>
      <c r="CRZ80" s="12"/>
      <c r="CSA80" s="12"/>
      <c r="CSB80" s="12"/>
      <c r="CSC80" s="12"/>
      <c r="CSD80" s="12"/>
      <c r="CSE80" s="12"/>
      <c r="CSF80" s="12"/>
      <c r="CSG80" s="12"/>
      <c r="CSH80" s="12"/>
      <c r="CSI80" s="12"/>
      <c r="CSJ80" s="12"/>
      <c r="CSK80" s="12"/>
      <c r="CSL80" s="12"/>
      <c r="CSM80" s="12"/>
      <c r="CSN80" s="12"/>
      <c r="CSO80" s="12"/>
      <c r="CSP80" s="12"/>
      <c r="CSQ80" s="12"/>
      <c r="CSR80" s="12"/>
      <c r="CSS80" s="12"/>
      <c r="CST80" s="12"/>
      <c r="CSU80" s="12"/>
      <c r="CSV80" s="12"/>
      <c r="CSW80" s="12"/>
      <c r="CSX80" s="12"/>
      <c r="CSY80" s="12"/>
      <c r="CSZ80" s="12"/>
      <c r="CTA80" s="12"/>
      <c r="CTB80" s="12"/>
      <c r="CTC80" s="12"/>
      <c r="CTD80" s="12"/>
      <c r="CTE80" s="12"/>
      <c r="CTF80" s="12"/>
      <c r="CTG80" s="12"/>
      <c r="CTH80" s="12"/>
      <c r="CTI80" s="12"/>
      <c r="CTJ80" s="12"/>
      <c r="CTK80" s="12"/>
      <c r="CTL80" s="12"/>
      <c r="CTM80" s="12"/>
      <c r="CTN80" s="12"/>
      <c r="CTO80" s="12"/>
      <c r="CTP80" s="12"/>
      <c r="CTQ80" s="12"/>
      <c r="CTR80" s="12"/>
      <c r="CTS80" s="12"/>
      <c r="CTT80" s="12"/>
      <c r="CTU80" s="12"/>
      <c r="CTV80" s="12"/>
      <c r="CTW80" s="12"/>
      <c r="CTX80" s="12"/>
      <c r="CTY80" s="12"/>
      <c r="CTZ80" s="12"/>
      <c r="CUA80" s="12"/>
      <c r="CUB80" s="12"/>
      <c r="CUC80" s="12"/>
      <c r="CUD80" s="12"/>
      <c r="CUE80" s="12"/>
      <c r="CUF80" s="12"/>
      <c r="CUG80" s="12"/>
      <c r="CUH80" s="12"/>
      <c r="CUI80" s="12"/>
      <c r="CUJ80" s="12"/>
      <c r="CUK80" s="12"/>
      <c r="CUL80" s="12"/>
      <c r="CUM80" s="12"/>
      <c r="CUN80" s="12"/>
      <c r="CUO80" s="12"/>
      <c r="CUP80" s="12"/>
      <c r="CUQ80" s="12"/>
      <c r="CUR80" s="12"/>
      <c r="CUS80" s="12"/>
      <c r="CUT80" s="12"/>
      <c r="CUU80" s="12"/>
      <c r="CUV80" s="12"/>
      <c r="CUW80" s="12"/>
      <c r="CUX80" s="12"/>
      <c r="CUY80" s="12"/>
      <c r="CUZ80" s="12"/>
      <c r="CVA80" s="12"/>
      <c r="CVB80" s="12"/>
      <c r="CVC80" s="12"/>
      <c r="CVD80" s="12"/>
      <c r="CVE80" s="12"/>
      <c r="CVF80" s="12"/>
      <c r="CVG80" s="12"/>
      <c r="CVH80" s="12"/>
      <c r="CVI80" s="12"/>
      <c r="CVJ80" s="12"/>
      <c r="CVK80" s="12"/>
      <c r="CVL80" s="12"/>
      <c r="CVM80" s="12"/>
      <c r="CVN80" s="12"/>
      <c r="CVO80" s="12"/>
      <c r="CVP80" s="12"/>
      <c r="CVQ80" s="12"/>
      <c r="CVR80" s="12"/>
      <c r="CVS80" s="12"/>
      <c r="CVT80" s="12"/>
      <c r="CVU80" s="12"/>
      <c r="CVV80" s="12"/>
      <c r="CVW80" s="12"/>
      <c r="CVX80" s="12"/>
      <c r="CVY80" s="12"/>
      <c r="CVZ80" s="12"/>
      <c r="CWA80" s="12"/>
      <c r="CWB80" s="12"/>
      <c r="CWC80" s="12"/>
      <c r="CWD80" s="12"/>
      <c r="CWE80" s="12"/>
      <c r="CWF80" s="12"/>
      <c r="CWG80" s="12"/>
      <c r="CWH80" s="12"/>
      <c r="CWI80" s="12"/>
      <c r="CWJ80" s="12"/>
      <c r="CWK80" s="12"/>
      <c r="CWL80" s="12"/>
      <c r="CWM80" s="12"/>
      <c r="CWN80" s="12"/>
      <c r="CWO80" s="12"/>
      <c r="CWP80" s="12"/>
      <c r="CWQ80" s="12"/>
      <c r="CWR80" s="12"/>
      <c r="CWS80" s="12"/>
      <c r="CWT80" s="12"/>
      <c r="CWU80" s="12"/>
      <c r="CWV80" s="12"/>
      <c r="CWW80" s="12"/>
      <c r="CWX80" s="12"/>
      <c r="CWY80" s="12"/>
      <c r="CWZ80" s="12"/>
      <c r="CXA80" s="12"/>
      <c r="CXB80" s="12"/>
      <c r="CXC80" s="12"/>
      <c r="CXD80" s="12"/>
      <c r="CXE80" s="12"/>
      <c r="CXF80" s="12"/>
      <c r="CXG80" s="12"/>
      <c r="CXH80" s="12"/>
      <c r="CXI80" s="12"/>
      <c r="CXJ80" s="12"/>
      <c r="CXK80" s="12"/>
      <c r="CXL80" s="12"/>
      <c r="CXM80" s="12"/>
      <c r="CXN80" s="12"/>
      <c r="CXO80" s="12"/>
      <c r="CXP80" s="12"/>
      <c r="CXQ80" s="12"/>
      <c r="CXR80" s="12"/>
      <c r="CXS80" s="12"/>
      <c r="CXT80" s="12"/>
      <c r="CXU80" s="12"/>
      <c r="CXV80" s="12"/>
      <c r="CXW80" s="12"/>
      <c r="CXX80" s="12"/>
      <c r="CXY80" s="12"/>
      <c r="CXZ80" s="12"/>
      <c r="CYA80" s="12"/>
      <c r="CYB80" s="12"/>
      <c r="CYC80" s="12"/>
      <c r="CYD80" s="12"/>
      <c r="CYE80" s="12"/>
      <c r="CYF80" s="12"/>
      <c r="CYG80" s="12"/>
      <c r="CYH80" s="12"/>
      <c r="CYI80" s="12"/>
      <c r="CYJ80" s="12"/>
      <c r="CYK80" s="12"/>
      <c r="CYL80" s="12"/>
      <c r="CYM80" s="12"/>
      <c r="CYN80" s="12"/>
      <c r="CYO80" s="12"/>
      <c r="CYP80" s="12"/>
      <c r="CYQ80" s="12"/>
      <c r="CYR80" s="12"/>
      <c r="CYS80" s="12"/>
      <c r="CYT80" s="12"/>
      <c r="CYU80" s="12"/>
      <c r="CYV80" s="12"/>
      <c r="CYW80" s="12"/>
      <c r="CYX80" s="12"/>
      <c r="CYY80" s="12"/>
      <c r="CYZ80" s="12"/>
      <c r="CZA80" s="12"/>
      <c r="CZB80" s="12"/>
      <c r="CZC80" s="12"/>
      <c r="CZD80" s="12"/>
      <c r="CZE80" s="12"/>
      <c r="CZF80" s="12"/>
      <c r="CZG80" s="12"/>
      <c r="CZH80" s="12"/>
      <c r="CZI80" s="12"/>
      <c r="CZJ80" s="12"/>
      <c r="CZK80" s="12"/>
      <c r="CZL80" s="12"/>
      <c r="CZM80" s="12"/>
      <c r="CZN80" s="12"/>
      <c r="CZO80" s="12"/>
      <c r="CZP80" s="12"/>
      <c r="CZQ80" s="12"/>
      <c r="CZR80" s="12"/>
      <c r="CZS80" s="12"/>
      <c r="CZT80" s="12"/>
      <c r="CZU80" s="12"/>
      <c r="CZV80" s="12"/>
      <c r="CZW80" s="12"/>
      <c r="CZX80" s="12"/>
      <c r="CZY80" s="12"/>
      <c r="CZZ80" s="12"/>
      <c r="DAA80" s="12"/>
      <c r="DAB80" s="12"/>
      <c r="DAC80" s="12"/>
      <c r="DAD80" s="12"/>
      <c r="DAE80" s="12"/>
      <c r="DAF80" s="12"/>
      <c r="DAG80" s="12"/>
      <c r="DAH80" s="12"/>
      <c r="DAI80" s="12"/>
      <c r="DAJ80" s="12"/>
      <c r="DAK80" s="12"/>
      <c r="DAL80" s="12"/>
      <c r="DAM80" s="12"/>
      <c r="DAN80" s="12"/>
      <c r="DAO80" s="12"/>
      <c r="DAP80" s="12"/>
      <c r="DAQ80" s="12"/>
      <c r="DAR80" s="12"/>
      <c r="DAS80" s="12"/>
      <c r="DAT80" s="12"/>
      <c r="DAU80" s="12"/>
      <c r="DAV80" s="12"/>
      <c r="DAW80" s="12"/>
      <c r="DAX80" s="12"/>
      <c r="DAY80" s="12"/>
      <c r="DAZ80" s="12"/>
      <c r="DBA80" s="12"/>
      <c r="DBB80" s="12"/>
      <c r="DBC80" s="12"/>
      <c r="DBD80" s="12"/>
      <c r="DBE80" s="12"/>
      <c r="DBF80" s="12"/>
      <c r="DBG80" s="12"/>
      <c r="DBH80" s="12"/>
      <c r="DBI80" s="12"/>
      <c r="DBJ80" s="12"/>
      <c r="DBK80" s="12"/>
      <c r="DBL80" s="12"/>
      <c r="DBM80" s="12"/>
      <c r="DBN80" s="12"/>
      <c r="DBO80" s="12"/>
      <c r="DBP80" s="12"/>
      <c r="DBQ80" s="12"/>
      <c r="DBR80" s="12"/>
      <c r="DBS80" s="12"/>
      <c r="DBT80" s="12"/>
      <c r="DBU80" s="12"/>
      <c r="DBV80" s="12"/>
      <c r="DBW80" s="12"/>
      <c r="DBX80" s="12"/>
      <c r="DBY80" s="12"/>
      <c r="DBZ80" s="12"/>
      <c r="DCA80" s="12"/>
      <c r="DCB80" s="12"/>
      <c r="DCC80" s="12"/>
      <c r="DCD80" s="12"/>
      <c r="DCE80" s="12"/>
      <c r="DCF80" s="12"/>
      <c r="DCG80" s="12"/>
      <c r="DCH80" s="12"/>
      <c r="DCI80" s="12"/>
      <c r="DCJ80" s="12"/>
      <c r="DCK80" s="12"/>
      <c r="DCL80" s="12"/>
      <c r="DCM80" s="12"/>
      <c r="DCN80" s="12"/>
      <c r="DCO80" s="12"/>
      <c r="DCP80" s="12"/>
      <c r="DCQ80" s="12"/>
      <c r="DCR80" s="12"/>
      <c r="DCS80" s="12"/>
      <c r="DCT80" s="12"/>
      <c r="DCU80" s="12"/>
      <c r="DCV80" s="12"/>
      <c r="DCW80" s="12"/>
      <c r="DCX80" s="12"/>
      <c r="DCY80" s="12"/>
      <c r="DCZ80" s="12"/>
      <c r="DDA80" s="12"/>
      <c r="DDB80" s="12"/>
      <c r="DDC80" s="12"/>
      <c r="DDD80" s="12"/>
      <c r="DDE80" s="12"/>
      <c r="DDF80" s="12"/>
      <c r="DDG80" s="12"/>
      <c r="DDH80" s="12"/>
      <c r="DDI80" s="12"/>
      <c r="DDJ80" s="12"/>
      <c r="DDK80" s="12"/>
      <c r="DDL80" s="12"/>
      <c r="DDM80" s="12"/>
      <c r="DDN80" s="12"/>
      <c r="DDO80" s="12"/>
      <c r="DDP80" s="12"/>
      <c r="DDQ80" s="12"/>
      <c r="DDR80" s="12"/>
      <c r="DDS80" s="12"/>
      <c r="DDT80" s="12"/>
      <c r="DDU80" s="12"/>
      <c r="DDV80" s="12"/>
      <c r="DDW80" s="12"/>
      <c r="DDX80" s="12"/>
      <c r="DDY80" s="12"/>
      <c r="DDZ80" s="12"/>
      <c r="DEA80" s="12"/>
      <c r="DEB80" s="12"/>
      <c r="DEC80" s="12"/>
      <c r="DED80" s="12"/>
      <c r="DEE80" s="12"/>
      <c r="DEF80" s="12"/>
      <c r="DEG80" s="12"/>
      <c r="DEH80" s="12"/>
      <c r="DEI80" s="12"/>
      <c r="DEJ80" s="12"/>
      <c r="DEK80" s="12"/>
      <c r="DEL80" s="12"/>
      <c r="DEM80" s="12"/>
      <c r="DEN80" s="12"/>
      <c r="DEO80" s="12"/>
      <c r="DEP80" s="12"/>
      <c r="DEQ80" s="12"/>
      <c r="DER80" s="12"/>
      <c r="DES80" s="12"/>
      <c r="DET80" s="12"/>
      <c r="DEU80" s="12"/>
      <c r="DEV80" s="12"/>
      <c r="DEW80" s="12"/>
      <c r="DEX80" s="12"/>
      <c r="DEY80" s="12"/>
      <c r="DEZ80" s="12"/>
      <c r="DFA80" s="12"/>
      <c r="DFB80" s="12"/>
      <c r="DFC80" s="12"/>
      <c r="DFD80" s="12"/>
      <c r="DFE80" s="12"/>
      <c r="DFF80" s="12"/>
      <c r="DFG80" s="12"/>
      <c r="DFH80" s="12"/>
      <c r="DFI80" s="12"/>
      <c r="DFJ80" s="12"/>
      <c r="DFK80" s="12"/>
      <c r="DFL80" s="12"/>
      <c r="DFM80" s="12"/>
      <c r="DFN80" s="12"/>
      <c r="DFO80" s="12"/>
      <c r="DFP80" s="12"/>
      <c r="DFQ80" s="12"/>
      <c r="DFR80" s="12"/>
      <c r="DFS80" s="12"/>
      <c r="DFT80" s="12"/>
      <c r="DFU80" s="12"/>
      <c r="DFV80" s="12"/>
      <c r="DFW80" s="12"/>
      <c r="DFX80" s="12"/>
      <c r="DFY80" s="12"/>
      <c r="DFZ80" s="12"/>
      <c r="DGA80" s="12"/>
      <c r="DGB80" s="12"/>
      <c r="DGC80" s="12"/>
      <c r="DGD80" s="12"/>
      <c r="DGE80" s="12"/>
      <c r="DGF80" s="12"/>
      <c r="DGG80" s="12"/>
      <c r="DGH80" s="12"/>
      <c r="DGI80" s="12"/>
      <c r="DGJ80" s="12"/>
      <c r="DGK80" s="12"/>
      <c r="DGL80" s="12"/>
      <c r="DGM80" s="12"/>
      <c r="DGN80" s="12"/>
      <c r="DGO80" s="12"/>
      <c r="DGP80" s="12"/>
      <c r="DGQ80" s="12"/>
      <c r="DGR80" s="12"/>
      <c r="DGS80" s="12"/>
      <c r="DGT80" s="12"/>
      <c r="DGU80" s="12"/>
      <c r="DGV80" s="12"/>
      <c r="DGW80" s="12"/>
      <c r="DGX80" s="12"/>
      <c r="DGY80" s="12"/>
      <c r="DGZ80" s="12"/>
      <c r="DHA80" s="12"/>
      <c r="DHB80" s="12"/>
      <c r="DHC80" s="12"/>
      <c r="DHD80" s="12"/>
      <c r="DHE80" s="12"/>
      <c r="DHF80" s="12"/>
      <c r="DHG80" s="12"/>
      <c r="DHH80" s="12"/>
      <c r="DHI80" s="12"/>
      <c r="DHJ80" s="12"/>
      <c r="DHK80" s="12"/>
      <c r="DHL80" s="12"/>
      <c r="DHM80" s="12"/>
      <c r="DHN80" s="12"/>
      <c r="DHO80" s="12"/>
      <c r="DHP80" s="12"/>
      <c r="DHQ80" s="12"/>
      <c r="DHR80" s="12"/>
      <c r="DHS80" s="12"/>
      <c r="DHT80" s="12"/>
      <c r="DHU80" s="12"/>
      <c r="DHV80" s="12"/>
      <c r="DHW80" s="12"/>
      <c r="DHX80" s="12"/>
      <c r="DHY80" s="12"/>
      <c r="DHZ80" s="12"/>
      <c r="DIA80" s="12"/>
      <c r="DIB80" s="12"/>
      <c r="DIC80" s="12"/>
      <c r="DID80" s="12"/>
      <c r="DIE80" s="12"/>
      <c r="DIF80" s="12"/>
      <c r="DIG80" s="12"/>
      <c r="DIH80" s="12"/>
      <c r="DII80" s="12"/>
      <c r="DIJ80" s="12"/>
      <c r="DIK80" s="12"/>
      <c r="DIL80" s="12"/>
      <c r="DIM80" s="12"/>
      <c r="DIN80" s="12"/>
      <c r="DIO80" s="12"/>
      <c r="DIP80" s="12"/>
      <c r="DIQ80" s="12"/>
      <c r="DIR80" s="12"/>
      <c r="DIS80" s="12"/>
      <c r="DIT80" s="12"/>
      <c r="DIU80" s="12"/>
      <c r="DIV80" s="12"/>
      <c r="DIW80" s="12"/>
      <c r="DIX80" s="12"/>
      <c r="DIY80" s="12"/>
      <c r="DIZ80" s="12"/>
      <c r="DJA80" s="12"/>
      <c r="DJB80" s="12"/>
      <c r="DJC80" s="12"/>
      <c r="DJD80" s="12"/>
      <c r="DJE80" s="12"/>
      <c r="DJF80" s="12"/>
      <c r="DJG80" s="12"/>
      <c r="DJH80" s="12"/>
      <c r="DJI80" s="12"/>
      <c r="DJJ80" s="12"/>
      <c r="DJK80" s="12"/>
      <c r="DJL80" s="12"/>
      <c r="DJM80" s="12"/>
      <c r="DJN80" s="12"/>
      <c r="DJO80" s="12"/>
      <c r="DJP80" s="12"/>
      <c r="DJQ80" s="12"/>
      <c r="DJR80" s="12"/>
      <c r="DJS80" s="12"/>
      <c r="DJT80" s="12"/>
      <c r="DJU80" s="12"/>
      <c r="DJV80" s="12"/>
      <c r="DJW80" s="12"/>
      <c r="DJX80" s="12"/>
      <c r="DJY80" s="12"/>
      <c r="DJZ80" s="12"/>
      <c r="DKA80" s="12"/>
      <c r="DKB80" s="12"/>
      <c r="DKC80" s="12"/>
      <c r="DKD80" s="12"/>
      <c r="DKE80" s="12"/>
      <c r="DKF80" s="12"/>
      <c r="DKG80" s="12"/>
      <c r="DKH80" s="12"/>
      <c r="DKI80" s="12"/>
      <c r="DKJ80" s="12"/>
      <c r="DKK80" s="12"/>
      <c r="DKL80" s="12"/>
      <c r="DKM80" s="12"/>
      <c r="DKN80" s="12"/>
      <c r="DKO80" s="12"/>
      <c r="DKP80" s="12"/>
      <c r="DKQ80" s="12"/>
      <c r="DKR80" s="12"/>
      <c r="DKS80" s="12"/>
      <c r="DKT80" s="12"/>
      <c r="DKU80" s="12"/>
      <c r="DKV80" s="12"/>
      <c r="DKW80" s="12"/>
      <c r="DKX80" s="12"/>
      <c r="DKY80" s="12"/>
      <c r="DKZ80" s="12"/>
      <c r="DLA80" s="12"/>
      <c r="DLB80" s="12"/>
      <c r="DLC80" s="12"/>
      <c r="DLD80" s="12"/>
      <c r="DLE80" s="12"/>
      <c r="DLF80" s="12"/>
      <c r="DLG80" s="12"/>
      <c r="DLH80" s="12"/>
      <c r="DLI80" s="12"/>
      <c r="DLJ80" s="12"/>
      <c r="DLK80" s="12"/>
      <c r="DLL80" s="12"/>
      <c r="DLM80" s="12"/>
      <c r="DLN80" s="12"/>
      <c r="DLO80" s="12"/>
      <c r="DLP80" s="12"/>
      <c r="DLQ80" s="12"/>
      <c r="DLR80" s="12"/>
      <c r="DLS80" s="12"/>
      <c r="DLT80" s="12"/>
      <c r="DLU80" s="12"/>
      <c r="DLV80" s="12"/>
      <c r="DLW80" s="12"/>
      <c r="DLX80" s="12"/>
      <c r="DLY80" s="12"/>
      <c r="DLZ80" s="12"/>
      <c r="DMA80" s="12"/>
      <c r="DMB80" s="12"/>
      <c r="DMC80" s="12"/>
      <c r="DMD80" s="12"/>
      <c r="DME80" s="12"/>
      <c r="DMF80" s="12"/>
      <c r="DMG80" s="12"/>
      <c r="DMH80" s="12"/>
      <c r="DMI80" s="12"/>
      <c r="DMJ80" s="12"/>
      <c r="DMK80" s="12"/>
      <c r="DML80" s="12"/>
      <c r="DMM80" s="12"/>
      <c r="DMN80" s="12"/>
      <c r="DMO80" s="12"/>
      <c r="DMP80" s="12"/>
      <c r="DMQ80" s="12"/>
      <c r="DMR80" s="12"/>
      <c r="DMS80" s="12"/>
      <c r="DMT80" s="12"/>
      <c r="DMU80" s="12"/>
      <c r="DMV80" s="12"/>
      <c r="DMW80" s="12"/>
      <c r="DMX80" s="12"/>
      <c r="DMY80" s="12"/>
      <c r="DMZ80" s="12"/>
      <c r="DNA80" s="12"/>
      <c r="DNB80" s="12"/>
      <c r="DNC80" s="12"/>
      <c r="DND80" s="12"/>
      <c r="DNE80" s="12"/>
      <c r="DNF80" s="12"/>
      <c r="DNG80" s="12"/>
      <c r="DNH80" s="12"/>
      <c r="DNI80" s="12"/>
      <c r="DNJ80" s="12"/>
      <c r="DNK80" s="12"/>
      <c r="DNL80" s="12"/>
      <c r="DNM80" s="12"/>
      <c r="DNN80" s="12"/>
      <c r="DNO80" s="12"/>
      <c r="DNP80" s="12"/>
      <c r="DNQ80" s="12"/>
      <c r="DNR80" s="12"/>
      <c r="DNS80" s="12"/>
      <c r="DNT80" s="12"/>
      <c r="DNU80" s="12"/>
      <c r="DNV80" s="12"/>
      <c r="DNW80" s="12"/>
      <c r="DNX80" s="12"/>
      <c r="DNY80" s="12"/>
      <c r="DNZ80" s="12"/>
      <c r="DOA80" s="12"/>
      <c r="DOB80" s="12"/>
      <c r="DOC80" s="12"/>
      <c r="DOD80" s="12"/>
      <c r="DOE80" s="12"/>
      <c r="DOF80" s="12"/>
      <c r="DOG80" s="12"/>
      <c r="DOH80" s="12"/>
      <c r="DOI80" s="12"/>
      <c r="DOJ80" s="12"/>
      <c r="DOK80" s="12"/>
      <c r="DOL80" s="12"/>
      <c r="DOM80" s="12"/>
      <c r="DON80" s="12"/>
      <c r="DOO80" s="12"/>
      <c r="DOP80" s="12"/>
      <c r="DOQ80" s="12"/>
      <c r="DOR80" s="12"/>
      <c r="DOS80" s="12"/>
      <c r="DOT80" s="12"/>
      <c r="DOU80" s="12"/>
      <c r="DOV80" s="12"/>
      <c r="DOW80" s="12"/>
      <c r="DOX80" s="12"/>
      <c r="DOY80" s="12"/>
      <c r="DOZ80" s="12"/>
      <c r="DPA80" s="12"/>
      <c r="DPB80" s="12"/>
      <c r="DPC80" s="12"/>
      <c r="DPD80" s="12"/>
      <c r="DPE80" s="12"/>
      <c r="DPF80" s="12"/>
      <c r="DPG80" s="12"/>
      <c r="DPH80" s="12"/>
      <c r="DPI80" s="12"/>
      <c r="DPJ80" s="12"/>
      <c r="DPK80" s="12"/>
      <c r="DPL80" s="12"/>
      <c r="DPM80" s="12"/>
      <c r="DPN80" s="12"/>
      <c r="DPO80" s="12"/>
      <c r="DPP80" s="12"/>
      <c r="DPQ80" s="12"/>
      <c r="DPR80" s="12"/>
      <c r="DPS80" s="12"/>
      <c r="DPT80" s="12"/>
      <c r="DPU80" s="12"/>
      <c r="DPV80" s="12"/>
      <c r="DPW80" s="12"/>
      <c r="DPX80" s="12"/>
      <c r="DPY80" s="12"/>
      <c r="DPZ80" s="12"/>
      <c r="DQA80" s="12"/>
      <c r="DQB80" s="12"/>
      <c r="DQC80" s="12"/>
      <c r="DQD80" s="12"/>
      <c r="DQE80" s="12"/>
      <c r="DQF80" s="12"/>
      <c r="DQG80" s="12"/>
      <c r="DQH80" s="12"/>
      <c r="DQI80" s="12"/>
      <c r="DQJ80" s="12"/>
      <c r="DQK80" s="12"/>
      <c r="DQL80" s="12"/>
      <c r="DQM80" s="12"/>
      <c r="DQN80" s="12"/>
      <c r="DQO80" s="12"/>
      <c r="DQP80" s="12"/>
      <c r="DQQ80" s="12"/>
      <c r="DQR80" s="12"/>
      <c r="DQS80" s="12"/>
      <c r="DQT80" s="12"/>
      <c r="DQU80" s="12"/>
      <c r="DQV80" s="12"/>
      <c r="DQW80" s="12"/>
      <c r="DQX80" s="12"/>
      <c r="DQY80" s="12"/>
      <c r="DQZ80" s="12"/>
      <c r="DRA80" s="12"/>
      <c r="DRB80" s="12"/>
      <c r="DRC80" s="12"/>
      <c r="DRD80" s="12"/>
      <c r="DRE80" s="12"/>
      <c r="DRF80" s="12"/>
      <c r="DRG80" s="12"/>
      <c r="DRH80" s="12"/>
      <c r="DRI80" s="12"/>
      <c r="DRJ80" s="12"/>
      <c r="DRK80" s="12"/>
      <c r="DRL80" s="12"/>
      <c r="DRM80" s="12"/>
      <c r="DRN80" s="12"/>
      <c r="DRO80" s="12"/>
      <c r="DRP80" s="12"/>
      <c r="DRQ80" s="12"/>
      <c r="DRR80" s="12"/>
      <c r="DRS80" s="12"/>
      <c r="DRT80" s="12"/>
      <c r="DRU80" s="12"/>
      <c r="DRV80" s="12"/>
      <c r="DRW80" s="12"/>
      <c r="DRX80" s="12"/>
      <c r="DRY80" s="12"/>
      <c r="DRZ80" s="12"/>
      <c r="DSA80" s="12"/>
      <c r="DSB80" s="12"/>
      <c r="DSC80" s="12"/>
      <c r="DSD80" s="12"/>
      <c r="DSE80" s="12"/>
      <c r="DSF80" s="12"/>
      <c r="DSG80" s="12"/>
      <c r="DSH80" s="12"/>
      <c r="DSI80" s="12"/>
      <c r="DSJ80" s="12"/>
      <c r="DSK80" s="12"/>
      <c r="DSL80" s="12"/>
      <c r="DSM80" s="12"/>
      <c r="DSN80" s="12"/>
      <c r="DSO80" s="12"/>
      <c r="DSP80" s="12"/>
      <c r="DSQ80" s="12"/>
      <c r="DSR80" s="12"/>
      <c r="DSS80" s="12"/>
      <c r="DST80" s="12"/>
      <c r="DSU80" s="12"/>
      <c r="DSV80" s="12"/>
      <c r="DSW80" s="12"/>
      <c r="DSX80" s="12"/>
      <c r="DSY80" s="12"/>
      <c r="DSZ80" s="12"/>
      <c r="DTA80" s="12"/>
      <c r="DTB80" s="12"/>
      <c r="DTC80" s="12"/>
      <c r="DTD80" s="12"/>
      <c r="DTE80" s="12"/>
      <c r="DTF80" s="12"/>
      <c r="DTG80" s="12"/>
      <c r="DTH80" s="12"/>
      <c r="DTI80" s="12"/>
      <c r="DTJ80" s="12"/>
      <c r="DTK80" s="12"/>
      <c r="DTL80" s="12"/>
      <c r="DTM80" s="12"/>
      <c r="DTN80" s="12"/>
      <c r="DTO80" s="12"/>
      <c r="DTP80" s="12"/>
      <c r="DTQ80" s="12"/>
      <c r="DTR80" s="12"/>
      <c r="DTS80" s="12"/>
      <c r="DTT80" s="12"/>
      <c r="DTU80" s="12"/>
      <c r="DTV80" s="12"/>
      <c r="DTW80" s="12"/>
      <c r="DTX80" s="12"/>
      <c r="DTY80" s="12"/>
      <c r="DTZ80" s="12"/>
      <c r="DUA80" s="12"/>
      <c r="DUB80" s="12"/>
      <c r="DUC80" s="12"/>
      <c r="DUD80" s="12"/>
      <c r="DUE80" s="12"/>
      <c r="DUF80" s="12"/>
      <c r="DUG80" s="12"/>
      <c r="DUH80" s="12"/>
      <c r="DUI80" s="12"/>
      <c r="DUJ80" s="12"/>
      <c r="DUK80" s="12"/>
      <c r="DUL80" s="12"/>
      <c r="DUM80" s="12"/>
      <c r="DUN80" s="12"/>
      <c r="DUO80" s="12"/>
      <c r="DUP80" s="12"/>
      <c r="DUQ80" s="12"/>
      <c r="DUR80" s="12"/>
      <c r="DUS80" s="12"/>
      <c r="DUT80" s="12"/>
      <c r="DUU80" s="12"/>
      <c r="DUV80" s="12"/>
      <c r="DUW80" s="12"/>
      <c r="DUX80" s="12"/>
      <c r="DUY80" s="12"/>
      <c r="DUZ80" s="12"/>
      <c r="DVA80" s="12"/>
      <c r="DVB80" s="12"/>
      <c r="DVC80" s="12"/>
      <c r="DVD80" s="12"/>
      <c r="DVE80" s="12"/>
      <c r="DVF80" s="12"/>
      <c r="DVG80" s="12"/>
      <c r="DVH80" s="12"/>
      <c r="DVI80" s="12"/>
      <c r="DVJ80" s="12"/>
      <c r="DVK80" s="12"/>
      <c r="DVL80" s="12"/>
      <c r="DVM80" s="12"/>
      <c r="DVN80" s="12"/>
      <c r="DVO80" s="12"/>
      <c r="DVP80" s="12"/>
      <c r="DVQ80" s="12"/>
      <c r="DVR80" s="12"/>
      <c r="DVS80" s="12"/>
      <c r="DVT80" s="12"/>
      <c r="DVU80" s="12"/>
      <c r="DVV80" s="12"/>
      <c r="DVW80" s="12"/>
      <c r="DVX80" s="12"/>
      <c r="DVY80" s="12"/>
      <c r="DVZ80" s="12"/>
      <c r="DWA80" s="12"/>
      <c r="DWB80" s="12"/>
      <c r="DWC80" s="12"/>
      <c r="DWD80" s="12"/>
      <c r="DWE80" s="12"/>
      <c r="DWF80" s="12"/>
      <c r="DWG80" s="12"/>
      <c r="DWH80" s="12"/>
      <c r="DWI80" s="12"/>
      <c r="DWJ80" s="12"/>
      <c r="DWK80" s="12"/>
      <c r="DWL80" s="12"/>
      <c r="DWM80" s="12"/>
      <c r="DWN80" s="12"/>
      <c r="DWO80" s="12"/>
      <c r="DWP80" s="12"/>
      <c r="DWQ80" s="12"/>
      <c r="DWR80" s="12"/>
      <c r="DWS80" s="12"/>
      <c r="DWT80" s="12"/>
      <c r="DWU80" s="12"/>
      <c r="DWV80" s="12"/>
      <c r="DWW80" s="12"/>
      <c r="DWX80" s="12"/>
      <c r="DWY80" s="12"/>
      <c r="DWZ80" s="12"/>
      <c r="DXA80" s="12"/>
      <c r="DXB80" s="12"/>
      <c r="DXC80" s="12"/>
      <c r="DXD80" s="12"/>
      <c r="DXE80" s="12"/>
      <c r="DXF80" s="12"/>
      <c r="DXG80" s="12"/>
      <c r="DXH80" s="12"/>
      <c r="DXI80" s="12"/>
      <c r="DXJ80" s="12"/>
      <c r="DXK80" s="12"/>
      <c r="DXL80" s="12"/>
      <c r="DXM80" s="12"/>
      <c r="DXN80" s="12"/>
      <c r="DXO80" s="12"/>
      <c r="DXP80" s="12"/>
      <c r="DXQ80" s="12"/>
      <c r="DXR80" s="12"/>
      <c r="DXS80" s="12"/>
      <c r="DXT80" s="12"/>
      <c r="DXU80" s="12"/>
      <c r="DXV80" s="12"/>
      <c r="DXW80" s="12"/>
      <c r="DXX80" s="12"/>
      <c r="DXY80" s="12"/>
      <c r="DXZ80" s="12"/>
      <c r="DYA80" s="12"/>
      <c r="DYB80" s="12"/>
      <c r="DYC80" s="12"/>
      <c r="DYD80" s="12"/>
      <c r="DYE80" s="12"/>
      <c r="DYF80" s="12"/>
      <c r="DYG80" s="12"/>
      <c r="DYH80" s="12"/>
      <c r="DYI80" s="12"/>
      <c r="DYJ80" s="12"/>
      <c r="DYK80" s="12"/>
      <c r="DYL80" s="12"/>
      <c r="DYM80" s="12"/>
      <c r="DYN80" s="12"/>
      <c r="DYO80" s="12"/>
      <c r="DYP80" s="12"/>
      <c r="DYQ80" s="12"/>
      <c r="DYR80" s="12"/>
      <c r="DYS80" s="12"/>
      <c r="DYT80" s="12"/>
      <c r="DYU80" s="12"/>
      <c r="DYV80" s="12"/>
      <c r="DYW80" s="12"/>
      <c r="DYX80" s="12"/>
      <c r="DYY80" s="12"/>
      <c r="DYZ80" s="12"/>
      <c r="DZA80" s="12"/>
      <c r="DZB80" s="12"/>
      <c r="DZC80" s="12"/>
      <c r="DZD80" s="12"/>
      <c r="DZE80" s="12"/>
      <c r="DZF80" s="12"/>
      <c r="DZG80" s="12"/>
      <c r="DZH80" s="12"/>
      <c r="DZI80" s="12"/>
      <c r="DZJ80" s="12"/>
      <c r="DZK80" s="12"/>
      <c r="DZL80" s="12"/>
      <c r="DZM80" s="12"/>
      <c r="DZN80" s="12"/>
      <c r="DZO80" s="12"/>
      <c r="DZP80" s="12"/>
      <c r="DZQ80" s="12"/>
      <c r="DZR80" s="12"/>
      <c r="DZS80" s="12"/>
      <c r="DZT80" s="12"/>
      <c r="DZU80" s="12"/>
      <c r="DZV80" s="12"/>
      <c r="DZW80" s="12"/>
      <c r="DZX80" s="12"/>
      <c r="DZY80" s="12"/>
      <c r="DZZ80" s="12"/>
      <c r="EAA80" s="12"/>
      <c r="EAB80" s="12"/>
      <c r="EAC80" s="12"/>
      <c r="EAD80" s="12"/>
      <c r="EAE80" s="12"/>
      <c r="EAF80" s="12"/>
      <c r="EAG80" s="12"/>
      <c r="EAH80" s="12"/>
      <c r="EAI80" s="12"/>
      <c r="EAJ80" s="12"/>
      <c r="EAK80" s="12"/>
      <c r="EAL80" s="12"/>
      <c r="EAM80" s="12"/>
      <c r="EAN80" s="12"/>
      <c r="EAO80" s="12"/>
      <c r="EAP80" s="12"/>
      <c r="EAQ80" s="12"/>
      <c r="EAR80" s="12"/>
      <c r="EAS80" s="12"/>
      <c r="EAT80" s="12"/>
      <c r="EAU80" s="12"/>
      <c r="EAV80" s="12"/>
      <c r="EAW80" s="12"/>
      <c r="EAX80" s="12"/>
      <c r="EAY80" s="12"/>
      <c r="EAZ80" s="12"/>
      <c r="EBA80" s="12"/>
      <c r="EBB80" s="12"/>
      <c r="EBC80" s="12"/>
      <c r="EBD80" s="12"/>
      <c r="EBE80" s="12"/>
      <c r="EBF80" s="12"/>
      <c r="EBG80" s="12"/>
      <c r="EBH80" s="12"/>
      <c r="EBI80" s="12"/>
      <c r="EBJ80" s="12"/>
      <c r="EBK80" s="12"/>
      <c r="EBL80" s="12"/>
      <c r="EBM80" s="12"/>
      <c r="EBN80" s="12"/>
      <c r="EBO80" s="12"/>
      <c r="EBP80" s="12"/>
      <c r="EBQ80" s="12"/>
      <c r="EBR80" s="12"/>
      <c r="EBS80" s="12"/>
      <c r="EBT80" s="12"/>
      <c r="EBU80" s="12"/>
      <c r="EBV80" s="12"/>
      <c r="EBW80" s="12"/>
      <c r="EBX80" s="12"/>
      <c r="EBY80" s="12"/>
      <c r="EBZ80" s="12"/>
      <c r="ECA80" s="12"/>
      <c r="ECB80" s="12"/>
      <c r="ECC80" s="12"/>
      <c r="ECD80" s="12"/>
      <c r="ECE80" s="12"/>
      <c r="ECF80" s="12"/>
      <c r="ECG80" s="12"/>
      <c r="ECH80" s="12"/>
      <c r="ECI80" s="12"/>
      <c r="ECJ80" s="12"/>
      <c r="ECK80" s="12"/>
      <c r="ECL80" s="12"/>
      <c r="ECM80" s="12"/>
      <c r="ECN80" s="12"/>
      <c r="ECO80" s="12"/>
      <c r="ECP80" s="12"/>
      <c r="ECQ80" s="12"/>
      <c r="ECR80" s="12"/>
      <c r="ECS80" s="12"/>
      <c r="ECT80" s="12"/>
      <c r="ECU80" s="12"/>
      <c r="ECV80" s="12"/>
      <c r="ECW80" s="12"/>
      <c r="ECX80" s="12"/>
      <c r="ECY80" s="12"/>
      <c r="ECZ80" s="12"/>
      <c r="EDA80" s="12"/>
      <c r="EDB80" s="12"/>
      <c r="EDC80" s="12"/>
      <c r="EDD80" s="12"/>
      <c r="EDE80" s="12"/>
      <c r="EDF80" s="12"/>
      <c r="EDG80" s="12"/>
      <c r="EDH80" s="12"/>
      <c r="EDI80" s="12"/>
      <c r="EDJ80" s="12"/>
      <c r="EDK80" s="12"/>
      <c r="EDL80" s="12"/>
      <c r="EDM80" s="12"/>
      <c r="EDN80" s="12"/>
      <c r="EDO80" s="12"/>
      <c r="EDP80" s="12"/>
      <c r="EDQ80" s="12"/>
      <c r="EDR80" s="12"/>
      <c r="EDS80" s="12"/>
      <c r="EDT80" s="12"/>
      <c r="EDU80" s="12"/>
      <c r="EDV80" s="12"/>
      <c r="EDW80" s="12"/>
      <c r="EDX80" s="12"/>
      <c r="EDY80" s="12"/>
      <c r="EDZ80" s="12"/>
      <c r="EEA80" s="12"/>
      <c r="EEB80" s="12"/>
      <c r="EEC80" s="12"/>
      <c r="EED80" s="12"/>
      <c r="EEE80" s="12"/>
      <c r="EEF80" s="12"/>
      <c r="EEG80" s="12"/>
      <c r="EEH80" s="12"/>
      <c r="EEI80" s="12"/>
      <c r="EEJ80" s="12"/>
      <c r="EEK80" s="12"/>
      <c r="EEL80" s="12"/>
      <c r="EEM80" s="12"/>
      <c r="EEN80" s="12"/>
      <c r="EEO80" s="12"/>
      <c r="EEP80" s="12"/>
      <c r="EEQ80" s="12"/>
      <c r="EER80" s="12"/>
      <c r="EES80" s="12"/>
      <c r="EET80" s="12"/>
      <c r="EEU80" s="12"/>
      <c r="EEV80" s="12"/>
      <c r="EEW80" s="12"/>
      <c r="EEX80" s="12"/>
      <c r="EEY80" s="12"/>
      <c r="EEZ80" s="12"/>
      <c r="EFA80" s="12"/>
      <c r="EFB80" s="12"/>
      <c r="EFC80" s="12"/>
      <c r="EFD80" s="12"/>
      <c r="EFE80" s="12"/>
      <c r="EFF80" s="12"/>
      <c r="EFG80" s="12"/>
      <c r="EFH80" s="12"/>
      <c r="EFI80" s="12"/>
      <c r="EFJ80" s="12"/>
      <c r="EFK80" s="12"/>
      <c r="EFL80" s="12"/>
      <c r="EFM80" s="12"/>
      <c r="EFN80" s="12"/>
      <c r="EFO80" s="12"/>
      <c r="EFP80" s="12"/>
      <c r="EFQ80" s="12"/>
      <c r="EFR80" s="12"/>
      <c r="EFS80" s="12"/>
      <c r="EFT80" s="12"/>
      <c r="EFU80" s="12"/>
      <c r="EFV80" s="12"/>
      <c r="EFW80" s="12"/>
      <c r="EFX80" s="12"/>
      <c r="EFY80" s="12"/>
      <c r="EFZ80" s="12"/>
      <c r="EGA80" s="12"/>
      <c r="EGB80" s="12"/>
      <c r="EGC80" s="12"/>
      <c r="EGD80" s="12"/>
      <c r="EGE80" s="12"/>
      <c r="EGF80" s="12"/>
      <c r="EGG80" s="12"/>
      <c r="EGH80" s="12"/>
      <c r="EGI80" s="12"/>
      <c r="EGJ80" s="12"/>
      <c r="EGK80" s="12"/>
      <c r="EGL80" s="12"/>
      <c r="EGM80" s="12"/>
      <c r="EGN80" s="12"/>
      <c r="EGO80" s="12"/>
      <c r="EGP80" s="12"/>
      <c r="EGQ80" s="12"/>
      <c r="EGR80" s="12"/>
      <c r="EGS80" s="12"/>
      <c r="EGT80" s="12"/>
      <c r="EGU80" s="12"/>
      <c r="EGV80" s="12"/>
      <c r="EGW80" s="12"/>
      <c r="EGX80" s="12"/>
      <c r="EGY80" s="12"/>
      <c r="EGZ80" s="12"/>
      <c r="EHA80" s="12"/>
      <c r="EHB80" s="12"/>
      <c r="EHC80" s="12"/>
      <c r="EHD80" s="12"/>
      <c r="EHE80" s="12"/>
      <c r="EHF80" s="12"/>
      <c r="EHG80" s="12"/>
      <c r="EHH80" s="12"/>
      <c r="EHI80" s="12"/>
      <c r="EHJ80" s="12"/>
      <c r="EHK80" s="12"/>
      <c r="EHL80" s="12"/>
      <c r="EHM80" s="12"/>
      <c r="EHN80" s="12"/>
      <c r="EHO80" s="12"/>
      <c r="EHP80" s="12"/>
      <c r="EHQ80" s="12"/>
      <c r="EHR80" s="12"/>
      <c r="EHS80" s="12"/>
      <c r="EHT80" s="12"/>
      <c r="EHU80" s="12"/>
      <c r="EHV80" s="12"/>
      <c r="EHW80" s="12"/>
      <c r="EHX80" s="12"/>
      <c r="EHY80" s="12"/>
      <c r="EHZ80" s="12"/>
      <c r="EIA80" s="12"/>
      <c r="EIB80" s="12"/>
      <c r="EIC80" s="12"/>
      <c r="EID80" s="12"/>
      <c r="EIE80" s="12"/>
      <c r="EIF80" s="12"/>
      <c r="EIG80" s="12"/>
      <c r="EIH80" s="12"/>
      <c r="EII80" s="12"/>
      <c r="EIJ80" s="12"/>
      <c r="EIK80" s="12"/>
      <c r="EIL80" s="12"/>
      <c r="EIM80" s="12"/>
      <c r="EIN80" s="12"/>
      <c r="EIO80" s="12"/>
      <c r="EIP80" s="12"/>
      <c r="EIQ80" s="12"/>
      <c r="EIR80" s="12"/>
      <c r="EIS80" s="12"/>
      <c r="EIT80" s="12"/>
      <c r="EIU80" s="12"/>
      <c r="EIV80" s="12"/>
      <c r="EIW80" s="12"/>
      <c r="EIX80" s="12"/>
      <c r="EIY80" s="12"/>
      <c r="EIZ80" s="12"/>
      <c r="EJA80" s="12"/>
      <c r="EJB80" s="12"/>
      <c r="EJC80" s="12"/>
      <c r="EJD80" s="12"/>
      <c r="EJE80" s="12"/>
      <c r="EJF80" s="12"/>
      <c r="EJG80" s="12"/>
      <c r="EJH80" s="12"/>
      <c r="EJI80" s="12"/>
      <c r="EJJ80" s="12"/>
      <c r="EJK80" s="12"/>
      <c r="EJL80" s="12"/>
      <c r="EJM80" s="12"/>
      <c r="EJN80" s="12"/>
      <c r="EJO80" s="12"/>
      <c r="EJP80" s="12"/>
      <c r="EJQ80" s="12"/>
      <c r="EJR80" s="12"/>
      <c r="EJS80" s="12"/>
      <c r="EJT80" s="12"/>
      <c r="EJU80" s="12"/>
      <c r="EJV80" s="12"/>
      <c r="EJW80" s="12"/>
      <c r="EJX80" s="12"/>
      <c r="EJY80" s="12"/>
      <c r="EJZ80" s="12"/>
      <c r="EKA80" s="12"/>
      <c r="EKB80" s="12"/>
      <c r="EKC80" s="12"/>
      <c r="EKD80" s="12"/>
      <c r="EKE80" s="12"/>
      <c r="EKF80" s="12"/>
      <c r="EKG80" s="12"/>
      <c r="EKH80" s="12"/>
      <c r="EKI80" s="12"/>
      <c r="EKJ80" s="12"/>
      <c r="EKK80" s="12"/>
      <c r="EKL80" s="12"/>
      <c r="EKM80" s="12"/>
      <c r="EKN80" s="12"/>
      <c r="EKO80" s="12"/>
      <c r="EKP80" s="12"/>
      <c r="EKQ80" s="12"/>
      <c r="EKR80" s="12"/>
      <c r="EKS80" s="12"/>
      <c r="EKT80" s="12"/>
      <c r="EKU80" s="12"/>
      <c r="EKV80" s="12"/>
      <c r="EKW80" s="12"/>
      <c r="EKX80" s="12"/>
      <c r="EKY80" s="12"/>
      <c r="EKZ80" s="12"/>
      <c r="ELA80" s="12"/>
      <c r="ELB80" s="12"/>
      <c r="ELC80" s="12"/>
      <c r="ELD80" s="12"/>
      <c r="ELE80" s="12"/>
      <c r="ELF80" s="12"/>
      <c r="ELG80" s="12"/>
      <c r="ELH80" s="12"/>
      <c r="ELI80" s="12"/>
      <c r="ELJ80" s="12"/>
      <c r="ELK80" s="12"/>
      <c r="ELL80" s="12"/>
      <c r="ELM80" s="12"/>
      <c r="ELN80" s="12"/>
      <c r="ELO80" s="12"/>
      <c r="ELP80" s="12"/>
      <c r="ELQ80" s="12"/>
      <c r="ELR80" s="12"/>
      <c r="ELS80" s="12"/>
      <c r="ELT80" s="12"/>
      <c r="ELU80" s="12"/>
      <c r="ELV80" s="12"/>
      <c r="ELW80" s="12"/>
      <c r="ELX80" s="12"/>
      <c r="ELY80" s="12"/>
      <c r="ELZ80" s="12"/>
      <c r="EMA80" s="12"/>
      <c r="EMB80" s="12"/>
      <c r="EMC80" s="12"/>
      <c r="EMD80" s="12"/>
      <c r="EME80" s="12"/>
      <c r="EMF80" s="12"/>
      <c r="EMG80" s="12"/>
      <c r="EMH80" s="12"/>
      <c r="EMI80" s="12"/>
      <c r="EMJ80" s="12"/>
      <c r="EMK80" s="12"/>
      <c r="EML80" s="12"/>
      <c r="EMM80" s="12"/>
      <c r="EMN80" s="12"/>
      <c r="EMO80" s="12"/>
      <c r="EMP80" s="12"/>
      <c r="EMQ80" s="12"/>
      <c r="EMR80" s="12"/>
      <c r="EMS80" s="12"/>
      <c r="EMT80" s="12"/>
      <c r="EMU80" s="12"/>
      <c r="EMV80" s="12"/>
      <c r="EMW80" s="12"/>
      <c r="EMX80" s="12"/>
      <c r="EMY80" s="12"/>
      <c r="EMZ80" s="12"/>
      <c r="ENA80" s="12"/>
      <c r="ENB80" s="12"/>
      <c r="ENC80" s="12"/>
      <c r="END80" s="12"/>
      <c r="ENE80" s="12"/>
      <c r="ENF80" s="12"/>
      <c r="ENG80" s="12"/>
      <c r="ENH80" s="12"/>
      <c r="ENI80" s="12"/>
      <c r="ENJ80" s="12"/>
      <c r="ENK80" s="12"/>
      <c r="ENL80" s="12"/>
      <c r="ENM80" s="12"/>
      <c r="ENN80" s="12"/>
      <c r="ENO80" s="12"/>
      <c r="ENP80" s="12"/>
      <c r="ENQ80" s="12"/>
      <c r="ENR80" s="12"/>
      <c r="ENS80" s="12"/>
      <c r="ENT80" s="12"/>
      <c r="ENU80" s="12"/>
      <c r="ENV80" s="12"/>
      <c r="ENW80" s="12"/>
      <c r="ENX80" s="12"/>
      <c r="ENY80" s="12"/>
      <c r="ENZ80" s="12"/>
      <c r="EOA80" s="12"/>
      <c r="EOB80" s="12"/>
      <c r="EOC80" s="12"/>
      <c r="EOD80" s="12"/>
      <c r="EOE80" s="12"/>
      <c r="EOF80" s="12"/>
      <c r="EOG80" s="12"/>
      <c r="EOH80" s="12"/>
      <c r="EOI80" s="12"/>
      <c r="EOJ80" s="12"/>
      <c r="EOK80" s="12"/>
      <c r="EOL80" s="12"/>
      <c r="EOM80" s="12"/>
      <c r="EON80" s="12"/>
      <c r="EOO80" s="12"/>
      <c r="EOP80" s="12"/>
      <c r="EOQ80" s="12"/>
      <c r="EOR80" s="12"/>
      <c r="EOS80" s="12"/>
      <c r="EOT80" s="12"/>
      <c r="EOU80" s="12"/>
      <c r="EOV80" s="12"/>
      <c r="EOW80" s="12"/>
      <c r="EOX80" s="12"/>
      <c r="EOY80" s="12"/>
      <c r="EOZ80" s="12"/>
      <c r="EPA80" s="12"/>
      <c r="EPB80" s="12"/>
      <c r="EPC80" s="12"/>
      <c r="EPD80" s="12"/>
      <c r="EPE80" s="12"/>
      <c r="EPF80" s="12"/>
      <c r="EPG80" s="12"/>
      <c r="EPH80" s="12"/>
      <c r="EPI80" s="12"/>
      <c r="EPJ80" s="12"/>
      <c r="EPK80" s="12"/>
      <c r="EPL80" s="12"/>
      <c r="EPM80" s="12"/>
      <c r="EPN80" s="12"/>
      <c r="EPO80" s="12"/>
      <c r="EPP80" s="12"/>
      <c r="EPQ80" s="12"/>
      <c r="EPR80" s="12"/>
      <c r="EPS80" s="12"/>
      <c r="EPT80" s="12"/>
      <c r="EPU80" s="12"/>
      <c r="EPV80" s="12"/>
      <c r="EPW80" s="12"/>
      <c r="EPX80" s="12"/>
      <c r="EPY80" s="12"/>
      <c r="EPZ80" s="12"/>
      <c r="EQA80" s="12"/>
      <c r="EQB80" s="12"/>
      <c r="EQC80" s="12"/>
      <c r="EQD80" s="12"/>
      <c r="EQE80" s="12"/>
      <c r="EQF80" s="12"/>
      <c r="EQG80" s="12"/>
      <c r="EQH80" s="12"/>
      <c r="EQI80" s="12"/>
      <c r="EQJ80" s="12"/>
      <c r="EQK80" s="12"/>
      <c r="EQL80" s="12"/>
      <c r="EQM80" s="12"/>
      <c r="EQN80" s="12"/>
      <c r="EQO80" s="12"/>
      <c r="EQP80" s="12"/>
      <c r="EQQ80" s="12"/>
      <c r="EQR80" s="12"/>
      <c r="EQS80" s="12"/>
      <c r="EQT80" s="12"/>
      <c r="EQU80" s="12"/>
      <c r="EQV80" s="12"/>
      <c r="EQW80" s="12"/>
      <c r="EQX80" s="12"/>
      <c r="EQY80" s="12"/>
      <c r="EQZ80" s="12"/>
      <c r="ERA80" s="12"/>
      <c r="ERB80" s="12"/>
      <c r="ERC80" s="12"/>
      <c r="ERD80" s="12"/>
      <c r="ERE80" s="12"/>
      <c r="ERF80" s="12"/>
      <c r="ERG80" s="12"/>
      <c r="ERH80" s="12"/>
      <c r="ERI80" s="12"/>
      <c r="ERJ80" s="12"/>
      <c r="ERK80" s="12"/>
      <c r="ERL80" s="12"/>
      <c r="ERM80" s="12"/>
      <c r="ERN80" s="12"/>
      <c r="ERO80" s="12"/>
      <c r="ERP80" s="12"/>
      <c r="ERQ80" s="12"/>
      <c r="ERR80" s="12"/>
      <c r="ERS80" s="12"/>
      <c r="ERT80" s="12"/>
      <c r="ERU80" s="12"/>
      <c r="ERV80" s="12"/>
      <c r="ERW80" s="12"/>
      <c r="ERX80" s="12"/>
      <c r="ERY80" s="12"/>
      <c r="ERZ80" s="12"/>
      <c r="ESA80" s="12"/>
      <c r="ESB80" s="12"/>
      <c r="ESC80" s="12"/>
      <c r="ESD80" s="12"/>
      <c r="ESE80" s="12"/>
      <c r="ESF80" s="12"/>
      <c r="ESG80" s="12"/>
      <c r="ESH80" s="12"/>
      <c r="ESI80" s="12"/>
      <c r="ESJ80" s="12"/>
      <c r="ESK80" s="12"/>
      <c r="ESL80" s="12"/>
      <c r="ESM80" s="12"/>
      <c r="ESN80" s="12"/>
      <c r="ESO80" s="12"/>
      <c r="ESP80" s="12"/>
      <c r="ESQ80" s="12"/>
      <c r="ESR80" s="12"/>
      <c r="ESS80" s="12"/>
      <c r="EST80" s="12"/>
      <c r="ESU80" s="12"/>
      <c r="ESV80" s="12"/>
      <c r="ESW80" s="12"/>
      <c r="ESX80" s="12"/>
      <c r="ESY80" s="12"/>
      <c r="ESZ80" s="12"/>
      <c r="ETA80" s="12"/>
      <c r="ETB80" s="12"/>
      <c r="ETC80" s="12"/>
      <c r="ETD80" s="12"/>
      <c r="ETE80" s="12"/>
      <c r="ETF80" s="12"/>
      <c r="ETG80" s="12"/>
      <c r="ETH80" s="12"/>
      <c r="ETI80" s="12"/>
      <c r="ETJ80" s="12"/>
      <c r="ETK80" s="12"/>
      <c r="ETL80" s="12"/>
      <c r="ETM80" s="12"/>
      <c r="ETN80" s="12"/>
      <c r="ETO80" s="12"/>
      <c r="ETP80" s="12"/>
      <c r="ETQ80" s="12"/>
      <c r="ETR80" s="12"/>
      <c r="ETS80" s="12"/>
      <c r="ETT80" s="12"/>
      <c r="ETU80" s="12"/>
      <c r="ETV80" s="12"/>
      <c r="ETW80" s="12"/>
      <c r="ETX80" s="12"/>
      <c r="ETY80" s="12"/>
      <c r="ETZ80" s="12"/>
      <c r="EUA80" s="12"/>
      <c r="EUB80" s="12"/>
      <c r="EUC80" s="12"/>
      <c r="EUD80" s="12"/>
      <c r="EUE80" s="12"/>
      <c r="EUF80" s="12"/>
      <c r="EUG80" s="12"/>
      <c r="EUH80" s="12"/>
      <c r="EUI80" s="12"/>
      <c r="EUJ80" s="12"/>
      <c r="EUK80" s="12"/>
      <c r="EUL80" s="12"/>
      <c r="EUM80" s="12"/>
      <c r="EUN80" s="12"/>
      <c r="EUO80" s="12"/>
      <c r="EUP80" s="12"/>
      <c r="EUQ80" s="12"/>
      <c r="EUR80" s="12"/>
      <c r="EUS80" s="12"/>
      <c r="EUT80" s="12"/>
      <c r="EUU80" s="12"/>
      <c r="EUV80" s="12"/>
      <c r="EUW80" s="12"/>
      <c r="EUX80" s="12"/>
      <c r="EUY80" s="12"/>
      <c r="EUZ80" s="12"/>
      <c r="EVA80" s="12"/>
      <c r="EVB80" s="12"/>
      <c r="EVC80" s="12"/>
      <c r="EVD80" s="12"/>
      <c r="EVE80" s="12"/>
      <c r="EVF80" s="12"/>
      <c r="EVG80" s="12"/>
      <c r="EVH80" s="12"/>
      <c r="EVI80" s="12"/>
      <c r="EVJ80" s="12"/>
      <c r="EVK80" s="12"/>
      <c r="EVL80" s="12"/>
      <c r="EVM80" s="12"/>
      <c r="EVN80" s="12"/>
      <c r="EVO80" s="12"/>
      <c r="EVP80" s="12"/>
      <c r="EVQ80" s="12"/>
      <c r="EVR80" s="12"/>
      <c r="EVS80" s="12"/>
      <c r="EVT80" s="12"/>
      <c r="EVU80" s="12"/>
      <c r="EVV80" s="12"/>
      <c r="EVW80" s="12"/>
      <c r="EVX80" s="12"/>
      <c r="EVY80" s="12"/>
      <c r="EVZ80" s="12"/>
      <c r="EWA80" s="12"/>
      <c r="EWB80" s="12"/>
      <c r="EWC80" s="12"/>
      <c r="EWD80" s="12"/>
      <c r="EWE80" s="12"/>
      <c r="EWF80" s="12"/>
      <c r="EWG80" s="12"/>
      <c r="EWH80" s="12"/>
      <c r="EWI80" s="12"/>
      <c r="EWJ80" s="12"/>
      <c r="EWK80" s="12"/>
      <c r="EWL80" s="12"/>
      <c r="EWM80" s="12"/>
      <c r="EWN80" s="12"/>
      <c r="EWO80" s="12"/>
      <c r="EWP80" s="12"/>
      <c r="EWQ80" s="12"/>
      <c r="EWR80" s="12"/>
      <c r="EWS80" s="12"/>
      <c r="EWT80" s="12"/>
      <c r="EWU80" s="12"/>
      <c r="EWV80" s="12"/>
      <c r="EWW80" s="12"/>
      <c r="EWX80" s="12"/>
      <c r="EWY80" s="12"/>
      <c r="EWZ80" s="12"/>
      <c r="EXA80" s="12"/>
      <c r="EXB80" s="12"/>
      <c r="EXC80" s="12"/>
      <c r="EXD80" s="12"/>
      <c r="EXE80" s="12"/>
      <c r="EXF80" s="12"/>
      <c r="EXG80" s="12"/>
      <c r="EXH80" s="12"/>
      <c r="EXI80" s="12"/>
      <c r="EXJ80" s="12"/>
      <c r="EXK80" s="12"/>
      <c r="EXL80" s="12"/>
      <c r="EXM80" s="12"/>
      <c r="EXN80" s="12"/>
      <c r="EXO80" s="12"/>
      <c r="EXP80" s="12"/>
      <c r="EXQ80" s="12"/>
      <c r="EXR80" s="12"/>
      <c r="EXS80" s="12"/>
      <c r="EXT80" s="12"/>
      <c r="EXU80" s="12"/>
      <c r="EXV80" s="12"/>
      <c r="EXW80" s="12"/>
      <c r="EXX80" s="12"/>
      <c r="EXY80" s="12"/>
      <c r="EXZ80" s="12"/>
      <c r="EYA80" s="12"/>
      <c r="EYB80" s="12"/>
      <c r="EYC80" s="12"/>
      <c r="EYD80" s="12"/>
      <c r="EYE80" s="12"/>
      <c r="EYF80" s="12"/>
      <c r="EYG80" s="12"/>
      <c r="EYH80" s="12"/>
      <c r="EYI80" s="12"/>
      <c r="EYJ80" s="12"/>
      <c r="EYK80" s="12"/>
      <c r="EYL80" s="12"/>
      <c r="EYM80" s="12"/>
      <c r="EYN80" s="12"/>
      <c r="EYO80" s="12"/>
      <c r="EYP80" s="12"/>
      <c r="EYQ80" s="12"/>
      <c r="EYR80" s="12"/>
      <c r="EYS80" s="12"/>
      <c r="EYT80" s="12"/>
      <c r="EYU80" s="12"/>
      <c r="EYV80" s="12"/>
      <c r="EYW80" s="12"/>
      <c r="EYX80" s="12"/>
      <c r="EYY80" s="12"/>
      <c r="EYZ80" s="12"/>
      <c r="EZA80" s="12"/>
      <c r="EZB80" s="12"/>
      <c r="EZC80" s="12"/>
      <c r="EZD80" s="12"/>
      <c r="EZE80" s="12"/>
      <c r="EZF80" s="12"/>
      <c r="EZG80" s="12"/>
      <c r="EZH80" s="12"/>
      <c r="EZI80" s="12"/>
      <c r="EZJ80" s="12"/>
      <c r="EZK80" s="12"/>
      <c r="EZL80" s="12"/>
      <c r="EZM80" s="12"/>
      <c r="EZN80" s="12"/>
      <c r="EZO80" s="12"/>
      <c r="EZP80" s="12"/>
      <c r="EZQ80" s="12"/>
      <c r="EZR80" s="12"/>
      <c r="EZS80" s="12"/>
      <c r="EZT80" s="12"/>
      <c r="EZU80" s="12"/>
      <c r="EZV80" s="12"/>
      <c r="EZW80" s="12"/>
      <c r="EZX80" s="12"/>
      <c r="EZY80" s="12"/>
      <c r="EZZ80" s="12"/>
      <c r="FAA80" s="12"/>
      <c r="FAB80" s="12"/>
      <c r="FAC80" s="12"/>
      <c r="FAD80" s="12"/>
      <c r="FAE80" s="12"/>
      <c r="FAF80" s="12"/>
      <c r="FAG80" s="12"/>
      <c r="FAH80" s="12"/>
      <c r="FAI80" s="12"/>
      <c r="FAJ80" s="12"/>
      <c r="FAK80" s="12"/>
      <c r="FAL80" s="12"/>
      <c r="FAM80" s="12"/>
      <c r="FAN80" s="12"/>
      <c r="FAO80" s="12"/>
      <c r="FAP80" s="12"/>
      <c r="FAQ80" s="12"/>
      <c r="FAR80" s="12"/>
      <c r="FAS80" s="12"/>
      <c r="FAT80" s="12"/>
      <c r="FAU80" s="12"/>
      <c r="FAV80" s="12"/>
      <c r="FAW80" s="12"/>
      <c r="FAX80" s="12"/>
      <c r="FAY80" s="12"/>
      <c r="FAZ80" s="12"/>
      <c r="FBA80" s="12"/>
      <c r="FBB80" s="12"/>
      <c r="FBC80" s="12"/>
      <c r="FBD80" s="12"/>
      <c r="FBE80" s="12"/>
      <c r="FBF80" s="12"/>
      <c r="FBG80" s="12"/>
      <c r="FBH80" s="12"/>
      <c r="FBI80" s="12"/>
      <c r="FBJ80" s="12"/>
      <c r="FBK80" s="12"/>
      <c r="FBL80" s="12"/>
      <c r="FBM80" s="12"/>
      <c r="FBN80" s="12"/>
      <c r="FBO80" s="12"/>
      <c r="FBP80" s="12"/>
      <c r="FBQ80" s="12"/>
      <c r="FBR80" s="12"/>
      <c r="FBS80" s="12"/>
      <c r="FBT80" s="12"/>
      <c r="FBU80" s="12"/>
      <c r="FBV80" s="12"/>
      <c r="FBW80" s="12"/>
      <c r="FBX80" s="12"/>
      <c r="FBY80" s="12"/>
      <c r="FBZ80" s="12"/>
      <c r="FCA80" s="12"/>
      <c r="FCB80" s="12"/>
      <c r="FCC80" s="12"/>
      <c r="FCD80" s="12"/>
      <c r="FCE80" s="12"/>
      <c r="FCF80" s="12"/>
      <c r="FCG80" s="12"/>
      <c r="FCH80" s="12"/>
      <c r="FCI80" s="12"/>
      <c r="FCJ80" s="12"/>
      <c r="FCK80" s="12"/>
      <c r="FCL80" s="12"/>
      <c r="FCM80" s="12"/>
      <c r="FCN80" s="12"/>
      <c r="FCO80" s="12"/>
      <c r="FCP80" s="12"/>
      <c r="FCQ80" s="12"/>
      <c r="FCR80" s="12"/>
      <c r="FCS80" s="12"/>
      <c r="FCT80" s="12"/>
      <c r="FCU80" s="12"/>
      <c r="FCV80" s="12"/>
      <c r="FCW80" s="12"/>
      <c r="FCX80" s="12"/>
      <c r="FCY80" s="12"/>
      <c r="FCZ80" s="12"/>
      <c r="FDA80" s="12"/>
      <c r="FDB80" s="12"/>
      <c r="FDC80" s="12"/>
      <c r="FDD80" s="12"/>
      <c r="FDE80" s="12"/>
      <c r="FDF80" s="12"/>
      <c r="FDG80" s="12"/>
      <c r="FDH80" s="12"/>
      <c r="FDI80" s="12"/>
      <c r="FDJ80" s="12"/>
      <c r="FDK80" s="12"/>
      <c r="FDL80" s="12"/>
      <c r="FDM80" s="12"/>
      <c r="FDN80" s="12"/>
      <c r="FDO80" s="12"/>
      <c r="FDP80" s="12"/>
      <c r="FDQ80" s="12"/>
      <c r="FDR80" s="12"/>
      <c r="FDS80" s="12"/>
      <c r="FDT80" s="12"/>
      <c r="FDU80" s="12"/>
      <c r="FDV80" s="12"/>
      <c r="FDW80" s="12"/>
      <c r="FDX80" s="12"/>
      <c r="FDY80" s="12"/>
      <c r="FDZ80" s="12"/>
      <c r="FEA80" s="12"/>
      <c r="FEB80" s="12"/>
      <c r="FEC80" s="12"/>
      <c r="FED80" s="12"/>
      <c r="FEE80" s="12"/>
      <c r="FEF80" s="12"/>
      <c r="FEG80" s="12"/>
      <c r="FEH80" s="12"/>
      <c r="FEI80" s="12"/>
      <c r="FEJ80" s="12"/>
      <c r="FEK80" s="12"/>
      <c r="FEL80" s="12"/>
      <c r="FEM80" s="12"/>
      <c r="FEN80" s="12"/>
      <c r="FEO80" s="12"/>
      <c r="FEP80" s="12"/>
      <c r="FEQ80" s="12"/>
      <c r="FER80" s="12"/>
      <c r="FES80" s="12"/>
      <c r="FET80" s="12"/>
      <c r="FEU80" s="12"/>
      <c r="FEV80" s="12"/>
      <c r="FEW80" s="12"/>
      <c r="FEX80" s="12"/>
      <c r="FEY80" s="12"/>
      <c r="FEZ80" s="12"/>
      <c r="FFA80" s="12"/>
      <c r="FFB80" s="12"/>
      <c r="FFC80" s="12"/>
      <c r="FFD80" s="12"/>
      <c r="FFE80" s="12"/>
      <c r="FFF80" s="12"/>
      <c r="FFG80" s="12"/>
      <c r="FFH80" s="12"/>
      <c r="FFI80" s="12"/>
      <c r="FFJ80" s="12"/>
      <c r="FFK80" s="12"/>
      <c r="FFL80" s="12"/>
      <c r="FFM80" s="12"/>
      <c r="FFN80" s="12"/>
      <c r="FFO80" s="12"/>
      <c r="FFP80" s="12"/>
      <c r="FFQ80" s="12"/>
      <c r="FFR80" s="12"/>
      <c r="FFS80" s="12"/>
      <c r="FFT80" s="12"/>
      <c r="FFU80" s="12"/>
      <c r="FFV80" s="12"/>
      <c r="FFW80" s="12"/>
      <c r="FFX80" s="12"/>
      <c r="FFY80" s="12"/>
      <c r="FFZ80" s="12"/>
      <c r="FGA80" s="12"/>
      <c r="FGB80" s="12"/>
      <c r="FGC80" s="12"/>
      <c r="FGD80" s="12"/>
      <c r="FGE80" s="12"/>
      <c r="FGF80" s="12"/>
      <c r="FGG80" s="12"/>
      <c r="FGH80" s="12"/>
      <c r="FGI80" s="12"/>
      <c r="FGJ80" s="12"/>
      <c r="FGK80" s="12"/>
      <c r="FGL80" s="12"/>
      <c r="FGM80" s="12"/>
      <c r="FGN80" s="12"/>
      <c r="FGO80" s="12"/>
      <c r="FGP80" s="12"/>
      <c r="FGQ80" s="12"/>
      <c r="FGR80" s="12"/>
      <c r="FGS80" s="12"/>
      <c r="FGT80" s="12"/>
      <c r="FGU80" s="12"/>
      <c r="FGV80" s="12"/>
      <c r="FGW80" s="12"/>
      <c r="FGX80" s="12"/>
      <c r="FGY80" s="12"/>
      <c r="FGZ80" s="12"/>
      <c r="FHA80" s="12"/>
      <c r="FHB80" s="12"/>
      <c r="FHC80" s="12"/>
      <c r="FHD80" s="12"/>
      <c r="FHE80" s="12"/>
      <c r="FHF80" s="12"/>
      <c r="FHG80" s="12"/>
      <c r="FHH80" s="12"/>
      <c r="FHI80" s="12"/>
      <c r="FHJ80" s="12"/>
      <c r="FHK80" s="12"/>
      <c r="FHL80" s="12"/>
      <c r="FHM80" s="12"/>
      <c r="FHN80" s="12"/>
      <c r="FHO80" s="12"/>
      <c r="FHP80" s="12"/>
      <c r="FHQ80" s="12"/>
      <c r="FHR80" s="12"/>
      <c r="FHS80" s="12"/>
      <c r="FHT80" s="12"/>
      <c r="FHU80" s="12"/>
      <c r="FHV80" s="12"/>
      <c r="FHW80" s="12"/>
      <c r="FHX80" s="12"/>
      <c r="FHY80" s="12"/>
      <c r="FHZ80" s="12"/>
      <c r="FIA80" s="12"/>
      <c r="FIB80" s="12"/>
      <c r="FIC80" s="12"/>
      <c r="FID80" s="12"/>
      <c r="FIE80" s="12"/>
      <c r="FIF80" s="12"/>
      <c r="FIG80" s="12"/>
      <c r="FIH80" s="12"/>
      <c r="FII80" s="12"/>
      <c r="FIJ80" s="12"/>
      <c r="FIK80" s="12"/>
      <c r="FIL80" s="12"/>
      <c r="FIM80" s="12"/>
      <c r="FIN80" s="12"/>
      <c r="FIO80" s="12"/>
      <c r="FIP80" s="12"/>
      <c r="FIQ80" s="12"/>
      <c r="FIR80" s="12"/>
      <c r="FIS80" s="12"/>
      <c r="FIT80" s="12"/>
      <c r="FIU80" s="12"/>
      <c r="FIV80" s="12"/>
      <c r="FIW80" s="12"/>
      <c r="FIX80" s="12"/>
      <c r="FIY80" s="12"/>
      <c r="FIZ80" s="12"/>
      <c r="FJA80" s="12"/>
      <c r="FJB80" s="12"/>
      <c r="FJC80" s="12"/>
      <c r="FJD80" s="12"/>
      <c r="FJE80" s="12"/>
      <c r="FJF80" s="12"/>
      <c r="FJG80" s="12"/>
      <c r="FJH80" s="12"/>
      <c r="FJI80" s="12"/>
      <c r="FJJ80" s="12"/>
      <c r="FJK80" s="12"/>
      <c r="FJL80" s="12"/>
      <c r="FJM80" s="12"/>
      <c r="FJN80" s="12"/>
      <c r="FJO80" s="12"/>
      <c r="FJP80" s="12"/>
      <c r="FJQ80" s="12"/>
      <c r="FJR80" s="12"/>
      <c r="FJS80" s="12"/>
      <c r="FJT80" s="12"/>
      <c r="FJU80" s="12"/>
      <c r="FJV80" s="12"/>
      <c r="FJW80" s="12"/>
      <c r="FJX80" s="12"/>
      <c r="FJY80" s="12"/>
      <c r="FJZ80" s="12"/>
      <c r="FKA80" s="12"/>
      <c r="FKB80" s="12"/>
      <c r="FKC80" s="12"/>
      <c r="FKD80" s="12"/>
      <c r="FKE80" s="12"/>
      <c r="FKF80" s="12"/>
      <c r="FKG80" s="12"/>
      <c r="FKH80" s="12"/>
      <c r="FKI80" s="12"/>
      <c r="FKJ80" s="12"/>
      <c r="FKK80" s="12"/>
      <c r="FKL80" s="12"/>
      <c r="FKM80" s="12"/>
      <c r="FKN80" s="12"/>
      <c r="FKO80" s="12"/>
      <c r="FKP80" s="12"/>
      <c r="FKQ80" s="12"/>
      <c r="FKR80" s="12"/>
      <c r="FKS80" s="12"/>
      <c r="FKT80" s="12"/>
      <c r="FKU80" s="12"/>
      <c r="FKV80" s="12"/>
      <c r="FKW80" s="12"/>
      <c r="FKX80" s="12"/>
      <c r="FKY80" s="12"/>
      <c r="FKZ80" s="12"/>
      <c r="FLA80" s="12"/>
      <c r="FLB80" s="12"/>
      <c r="FLC80" s="12"/>
      <c r="FLD80" s="12"/>
      <c r="FLE80" s="12"/>
      <c r="FLF80" s="12"/>
      <c r="FLG80" s="12"/>
      <c r="FLH80" s="12"/>
      <c r="FLI80" s="12"/>
      <c r="FLJ80" s="12"/>
      <c r="FLK80" s="12"/>
      <c r="FLL80" s="12"/>
      <c r="FLM80" s="12"/>
      <c r="FLN80" s="12"/>
      <c r="FLO80" s="12"/>
      <c r="FLP80" s="12"/>
      <c r="FLQ80" s="12"/>
      <c r="FLR80" s="12"/>
      <c r="FLS80" s="12"/>
      <c r="FLT80" s="12"/>
      <c r="FLU80" s="12"/>
      <c r="FLV80" s="12"/>
      <c r="FLW80" s="12"/>
      <c r="FLX80" s="12"/>
      <c r="FLY80" s="12"/>
      <c r="FLZ80" s="12"/>
      <c r="FMA80" s="12"/>
      <c r="FMB80" s="12"/>
      <c r="FMC80" s="12"/>
      <c r="FMD80" s="12"/>
      <c r="FME80" s="12"/>
      <c r="FMF80" s="12"/>
      <c r="FMG80" s="12"/>
      <c r="FMH80" s="12"/>
      <c r="FMI80" s="12"/>
      <c r="FMJ80" s="12"/>
      <c r="FMK80" s="12"/>
      <c r="FML80" s="12"/>
      <c r="FMM80" s="12"/>
      <c r="FMN80" s="12"/>
      <c r="FMO80" s="12"/>
      <c r="FMP80" s="12"/>
      <c r="FMQ80" s="12"/>
      <c r="FMR80" s="12"/>
      <c r="FMS80" s="12"/>
      <c r="FMT80" s="12"/>
      <c r="FMU80" s="12"/>
      <c r="FMV80" s="12"/>
      <c r="FMW80" s="12"/>
      <c r="FMX80" s="12"/>
      <c r="FMY80" s="12"/>
      <c r="FMZ80" s="12"/>
      <c r="FNA80" s="12"/>
      <c r="FNB80" s="12"/>
      <c r="FNC80" s="12"/>
      <c r="FND80" s="12"/>
      <c r="FNE80" s="12"/>
      <c r="FNF80" s="12"/>
      <c r="FNG80" s="12"/>
      <c r="FNH80" s="12"/>
      <c r="FNI80" s="12"/>
      <c r="FNJ80" s="12"/>
      <c r="FNK80" s="12"/>
      <c r="FNL80" s="12"/>
      <c r="FNM80" s="12"/>
      <c r="FNN80" s="12"/>
      <c r="FNO80" s="12"/>
      <c r="FNP80" s="12"/>
      <c r="FNQ80" s="12"/>
      <c r="FNR80" s="12"/>
      <c r="FNS80" s="12"/>
      <c r="FNT80" s="12"/>
      <c r="FNU80" s="12"/>
      <c r="FNV80" s="12"/>
      <c r="FNW80" s="12"/>
      <c r="FNX80" s="12"/>
      <c r="FNY80" s="12"/>
      <c r="FNZ80" s="12"/>
      <c r="FOA80" s="12"/>
      <c r="FOB80" s="12"/>
      <c r="FOC80" s="12"/>
      <c r="FOD80" s="12"/>
      <c r="FOE80" s="12"/>
      <c r="FOF80" s="12"/>
      <c r="FOG80" s="12"/>
      <c r="FOH80" s="12"/>
      <c r="FOI80" s="12"/>
      <c r="FOJ80" s="12"/>
      <c r="FOK80" s="12"/>
      <c r="FOL80" s="12"/>
      <c r="FOM80" s="12"/>
      <c r="FON80" s="12"/>
      <c r="FOO80" s="12"/>
      <c r="FOP80" s="12"/>
      <c r="FOQ80" s="12"/>
      <c r="FOR80" s="12"/>
      <c r="FOS80" s="12"/>
      <c r="FOT80" s="12"/>
      <c r="FOU80" s="12"/>
      <c r="FOV80" s="12"/>
      <c r="FOW80" s="12"/>
      <c r="FOX80" s="12"/>
      <c r="FOY80" s="12"/>
      <c r="FOZ80" s="12"/>
      <c r="FPA80" s="12"/>
      <c r="FPB80" s="12"/>
      <c r="FPC80" s="12"/>
      <c r="FPD80" s="12"/>
      <c r="FPE80" s="12"/>
      <c r="FPF80" s="12"/>
      <c r="FPG80" s="12"/>
      <c r="FPH80" s="12"/>
      <c r="FPI80" s="12"/>
      <c r="FPJ80" s="12"/>
      <c r="FPK80" s="12"/>
      <c r="FPL80" s="12"/>
      <c r="FPM80" s="12"/>
      <c r="FPN80" s="12"/>
      <c r="FPO80" s="12"/>
      <c r="FPP80" s="12"/>
      <c r="FPQ80" s="12"/>
      <c r="FPR80" s="12"/>
      <c r="FPS80" s="12"/>
      <c r="FPT80" s="12"/>
      <c r="FPU80" s="12"/>
      <c r="FPV80" s="12"/>
      <c r="FPW80" s="12"/>
      <c r="FPX80" s="12"/>
      <c r="FPY80" s="12"/>
      <c r="FPZ80" s="12"/>
      <c r="FQA80" s="12"/>
      <c r="FQB80" s="12"/>
      <c r="FQC80" s="12"/>
      <c r="FQD80" s="12"/>
      <c r="FQE80" s="12"/>
      <c r="FQF80" s="12"/>
      <c r="FQG80" s="12"/>
      <c r="FQH80" s="12"/>
      <c r="FQI80" s="12"/>
      <c r="FQJ80" s="12"/>
      <c r="FQK80" s="12"/>
      <c r="FQL80" s="12"/>
      <c r="FQM80" s="12"/>
      <c r="FQN80" s="12"/>
      <c r="FQO80" s="12"/>
      <c r="FQP80" s="12"/>
      <c r="FQQ80" s="12"/>
      <c r="FQR80" s="12"/>
      <c r="FQS80" s="12"/>
      <c r="FQT80" s="12"/>
      <c r="FQU80" s="12"/>
      <c r="FQV80" s="12"/>
      <c r="FQW80" s="12"/>
      <c r="FQX80" s="12"/>
      <c r="FQY80" s="12"/>
      <c r="FQZ80" s="12"/>
      <c r="FRA80" s="12"/>
      <c r="FRB80" s="12"/>
      <c r="FRC80" s="12"/>
      <c r="FRD80" s="12"/>
      <c r="FRE80" s="12"/>
      <c r="FRF80" s="12"/>
      <c r="FRG80" s="12"/>
      <c r="FRH80" s="12"/>
      <c r="FRI80" s="12"/>
      <c r="FRJ80" s="12"/>
      <c r="FRK80" s="12"/>
      <c r="FRL80" s="12"/>
      <c r="FRM80" s="12"/>
      <c r="FRN80" s="12"/>
      <c r="FRO80" s="12"/>
      <c r="FRP80" s="12"/>
      <c r="FRQ80" s="12"/>
      <c r="FRR80" s="12"/>
      <c r="FRS80" s="12"/>
      <c r="FRT80" s="12"/>
      <c r="FRU80" s="12"/>
      <c r="FRV80" s="12"/>
      <c r="FRW80" s="12"/>
      <c r="FRX80" s="12"/>
      <c r="FRY80" s="12"/>
      <c r="FRZ80" s="12"/>
      <c r="FSA80" s="12"/>
      <c r="FSB80" s="12"/>
      <c r="FSC80" s="12"/>
      <c r="FSD80" s="12"/>
      <c r="FSE80" s="12"/>
      <c r="FSF80" s="12"/>
      <c r="FSG80" s="12"/>
      <c r="FSH80" s="12"/>
      <c r="FSI80" s="12"/>
      <c r="FSJ80" s="12"/>
      <c r="FSK80" s="12"/>
      <c r="FSL80" s="12"/>
      <c r="FSM80" s="12"/>
      <c r="FSN80" s="12"/>
      <c r="FSO80" s="12"/>
      <c r="FSP80" s="12"/>
      <c r="FSQ80" s="12"/>
      <c r="FSR80" s="12"/>
      <c r="FSS80" s="12"/>
      <c r="FST80" s="12"/>
      <c r="FSU80" s="12"/>
      <c r="FSV80" s="12"/>
      <c r="FSW80" s="12"/>
      <c r="FSX80" s="12"/>
      <c r="FSY80" s="12"/>
      <c r="FSZ80" s="12"/>
      <c r="FTA80" s="12"/>
      <c r="FTB80" s="12"/>
      <c r="FTC80" s="12"/>
      <c r="FTD80" s="12"/>
      <c r="FTE80" s="12"/>
      <c r="FTF80" s="12"/>
      <c r="FTG80" s="12"/>
      <c r="FTH80" s="12"/>
      <c r="FTI80" s="12"/>
      <c r="FTJ80" s="12"/>
      <c r="FTK80" s="12"/>
      <c r="FTL80" s="12"/>
      <c r="FTM80" s="12"/>
      <c r="FTN80" s="12"/>
      <c r="FTO80" s="12"/>
      <c r="FTP80" s="12"/>
      <c r="FTQ80" s="12"/>
      <c r="FTR80" s="12"/>
      <c r="FTS80" s="12"/>
      <c r="FTT80" s="12"/>
      <c r="FTU80" s="12"/>
      <c r="FTV80" s="12"/>
      <c r="FTW80" s="12"/>
      <c r="FTX80" s="12"/>
      <c r="FTY80" s="12"/>
      <c r="FTZ80" s="12"/>
      <c r="FUA80" s="12"/>
      <c r="FUB80" s="12"/>
      <c r="FUC80" s="12"/>
      <c r="FUD80" s="12"/>
      <c r="FUE80" s="12"/>
      <c r="FUF80" s="12"/>
      <c r="FUG80" s="12"/>
      <c r="FUH80" s="12"/>
      <c r="FUI80" s="12"/>
      <c r="FUJ80" s="12"/>
      <c r="FUK80" s="12"/>
      <c r="FUL80" s="12"/>
      <c r="FUM80" s="12"/>
      <c r="FUN80" s="12"/>
      <c r="FUO80" s="12"/>
      <c r="FUP80" s="12"/>
      <c r="FUQ80" s="12"/>
      <c r="FUR80" s="12"/>
      <c r="FUS80" s="12"/>
      <c r="FUT80" s="12"/>
      <c r="FUU80" s="12"/>
      <c r="FUV80" s="12"/>
      <c r="FUW80" s="12"/>
      <c r="FUX80" s="12"/>
      <c r="FUY80" s="12"/>
      <c r="FUZ80" s="12"/>
      <c r="FVA80" s="12"/>
      <c r="FVB80" s="12"/>
      <c r="FVC80" s="12"/>
      <c r="FVD80" s="12"/>
      <c r="FVE80" s="12"/>
      <c r="FVF80" s="12"/>
      <c r="FVG80" s="12"/>
      <c r="FVH80" s="12"/>
      <c r="FVI80" s="12"/>
      <c r="FVJ80" s="12"/>
      <c r="FVK80" s="12"/>
      <c r="FVL80" s="12"/>
      <c r="FVM80" s="12"/>
      <c r="FVN80" s="12"/>
      <c r="FVO80" s="12"/>
      <c r="FVP80" s="12"/>
      <c r="FVQ80" s="12"/>
      <c r="FVR80" s="12"/>
      <c r="FVS80" s="12"/>
      <c r="FVT80" s="12"/>
      <c r="FVU80" s="12"/>
      <c r="FVV80" s="12"/>
      <c r="FVW80" s="12"/>
      <c r="FVX80" s="12"/>
      <c r="FVY80" s="12"/>
      <c r="FVZ80" s="12"/>
      <c r="FWA80" s="12"/>
      <c r="FWB80" s="12"/>
      <c r="FWC80" s="12"/>
      <c r="FWD80" s="12"/>
      <c r="FWE80" s="12"/>
      <c r="FWF80" s="12"/>
      <c r="FWG80" s="12"/>
      <c r="FWH80" s="12"/>
      <c r="FWI80" s="12"/>
      <c r="FWJ80" s="12"/>
      <c r="FWK80" s="12"/>
      <c r="FWL80" s="12"/>
      <c r="FWM80" s="12"/>
      <c r="FWN80" s="12"/>
      <c r="FWO80" s="12"/>
      <c r="FWP80" s="12"/>
      <c r="FWQ80" s="12"/>
      <c r="FWR80" s="12"/>
      <c r="FWS80" s="12"/>
      <c r="FWT80" s="12"/>
      <c r="FWU80" s="12"/>
      <c r="FWV80" s="12"/>
      <c r="FWW80" s="12"/>
      <c r="FWX80" s="12"/>
      <c r="FWY80" s="12"/>
      <c r="FWZ80" s="12"/>
      <c r="FXA80" s="12"/>
      <c r="FXB80" s="12"/>
      <c r="FXC80" s="12"/>
      <c r="FXD80" s="12"/>
      <c r="FXE80" s="12"/>
      <c r="FXF80" s="12"/>
      <c r="FXG80" s="12"/>
      <c r="FXH80" s="12"/>
      <c r="FXI80" s="12"/>
      <c r="FXJ80" s="12"/>
      <c r="FXK80" s="12"/>
      <c r="FXL80" s="12"/>
      <c r="FXM80" s="12"/>
      <c r="FXN80" s="12"/>
      <c r="FXO80" s="12"/>
      <c r="FXP80" s="12"/>
      <c r="FXQ80" s="12"/>
      <c r="FXR80" s="12"/>
      <c r="FXS80" s="12"/>
      <c r="FXT80" s="12"/>
      <c r="FXU80" s="12"/>
      <c r="FXV80" s="12"/>
      <c r="FXW80" s="12"/>
      <c r="FXX80" s="12"/>
      <c r="FXY80" s="12"/>
      <c r="FXZ80" s="12"/>
      <c r="FYA80" s="12"/>
      <c r="FYB80" s="12"/>
      <c r="FYC80" s="12"/>
      <c r="FYD80" s="12"/>
      <c r="FYE80" s="12"/>
      <c r="FYF80" s="12"/>
      <c r="FYG80" s="12"/>
      <c r="FYH80" s="12"/>
      <c r="FYI80" s="12"/>
      <c r="FYJ80" s="12"/>
      <c r="FYK80" s="12"/>
      <c r="FYL80" s="12"/>
      <c r="FYM80" s="12"/>
      <c r="FYN80" s="12"/>
      <c r="FYO80" s="12"/>
      <c r="FYP80" s="12"/>
      <c r="FYQ80" s="12"/>
      <c r="FYR80" s="12"/>
      <c r="FYS80" s="12"/>
      <c r="FYT80" s="12"/>
      <c r="FYU80" s="12"/>
      <c r="FYV80" s="12"/>
      <c r="FYW80" s="12"/>
      <c r="FYX80" s="12"/>
      <c r="FYY80" s="12"/>
      <c r="FYZ80" s="12"/>
      <c r="FZA80" s="12"/>
      <c r="FZB80" s="12"/>
      <c r="FZC80" s="12"/>
      <c r="FZD80" s="12"/>
      <c r="FZE80" s="12"/>
      <c r="FZF80" s="12"/>
      <c r="FZG80" s="12"/>
      <c r="FZH80" s="12"/>
      <c r="FZI80" s="12"/>
      <c r="FZJ80" s="12"/>
      <c r="FZK80" s="12"/>
      <c r="FZL80" s="12"/>
      <c r="FZM80" s="12"/>
      <c r="FZN80" s="12"/>
      <c r="FZO80" s="12"/>
      <c r="FZP80" s="12"/>
      <c r="FZQ80" s="12"/>
      <c r="FZR80" s="12"/>
      <c r="FZS80" s="12"/>
      <c r="FZT80" s="12"/>
      <c r="FZU80" s="12"/>
      <c r="FZV80" s="12"/>
      <c r="FZW80" s="12"/>
      <c r="FZX80" s="12"/>
      <c r="FZY80" s="12"/>
      <c r="FZZ80" s="12"/>
      <c r="GAA80" s="12"/>
      <c r="GAB80" s="12"/>
      <c r="GAC80" s="12"/>
      <c r="GAD80" s="12"/>
      <c r="GAE80" s="12"/>
      <c r="GAF80" s="12"/>
      <c r="GAG80" s="12"/>
      <c r="GAH80" s="12"/>
      <c r="GAI80" s="12"/>
      <c r="GAJ80" s="12"/>
      <c r="GAK80" s="12"/>
      <c r="GAL80" s="12"/>
      <c r="GAM80" s="12"/>
      <c r="GAN80" s="12"/>
      <c r="GAO80" s="12"/>
      <c r="GAP80" s="12"/>
      <c r="GAQ80" s="12"/>
      <c r="GAR80" s="12"/>
      <c r="GAS80" s="12"/>
      <c r="GAT80" s="12"/>
      <c r="GAU80" s="12"/>
      <c r="GAV80" s="12"/>
      <c r="GAW80" s="12"/>
      <c r="GAX80" s="12"/>
      <c r="GAY80" s="12"/>
      <c r="GAZ80" s="12"/>
      <c r="GBA80" s="12"/>
      <c r="GBB80" s="12"/>
      <c r="GBC80" s="12"/>
      <c r="GBD80" s="12"/>
      <c r="GBE80" s="12"/>
      <c r="GBF80" s="12"/>
      <c r="GBG80" s="12"/>
      <c r="GBH80" s="12"/>
      <c r="GBI80" s="12"/>
      <c r="GBJ80" s="12"/>
      <c r="GBK80" s="12"/>
      <c r="GBL80" s="12"/>
      <c r="GBM80" s="12"/>
      <c r="GBN80" s="12"/>
      <c r="GBO80" s="12"/>
      <c r="GBP80" s="12"/>
      <c r="GBQ80" s="12"/>
      <c r="GBR80" s="12"/>
      <c r="GBS80" s="12"/>
      <c r="GBT80" s="12"/>
      <c r="GBU80" s="12"/>
      <c r="GBV80" s="12"/>
      <c r="GBW80" s="12"/>
      <c r="GBX80" s="12"/>
      <c r="GBY80" s="12"/>
      <c r="GBZ80" s="12"/>
      <c r="GCA80" s="12"/>
      <c r="GCB80" s="12"/>
      <c r="GCC80" s="12"/>
      <c r="GCD80" s="12"/>
      <c r="GCE80" s="12"/>
      <c r="GCF80" s="12"/>
      <c r="GCG80" s="12"/>
      <c r="GCH80" s="12"/>
      <c r="GCI80" s="12"/>
      <c r="GCJ80" s="12"/>
      <c r="GCK80" s="12"/>
      <c r="GCL80" s="12"/>
      <c r="GCM80" s="12"/>
      <c r="GCN80" s="12"/>
      <c r="GCO80" s="12"/>
      <c r="GCP80" s="12"/>
      <c r="GCQ80" s="12"/>
      <c r="GCR80" s="12"/>
      <c r="GCS80" s="12"/>
      <c r="GCT80" s="12"/>
      <c r="GCU80" s="12"/>
      <c r="GCV80" s="12"/>
      <c r="GCW80" s="12"/>
      <c r="GCX80" s="12"/>
      <c r="GCY80" s="12"/>
      <c r="GCZ80" s="12"/>
      <c r="GDA80" s="12"/>
      <c r="GDB80" s="12"/>
      <c r="GDC80" s="12"/>
      <c r="GDD80" s="12"/>
      <c r="GDE80" s="12"/>
      <c r="GDF80" s="12"/>
      <c r="GDG80" s="12"/>
      <c r="GDH80" s="12"/>
      <c r="GDI80" s="12"/>
      <c r="GDJ80" s="12"/>
      <c r="GDK80" s="12"/>
      <c r="GDL80" s="12"/>
      <c r="GDM80" s="12"/>
      <c r="GDN80" s="12"/>
      <c r="GDO80" s="12"/>
      <c r="GDP80" s="12"/>
      <c r="GDQ80" s="12"/>
      <c r="GDR80" s="12"/>
      <c r="GDS80" s="12"/>
      <c r="GDT80" s="12"/>
      <c r="GDU80" s="12"/>
      <c r="GDV80" s="12"/>
      <c r="GDW80" s="12"/>
      <c r="GDX80" s="12"/>
      <c r="GDY80" s="12"/>
      <c r="GDZ80" s="12"/>
      <c r="GEA80" s="12"/>
      <c r="GEB80" s="12"/>
      <c r="GEC80" s="12"/>
      <c r="GED80" s="12"/>
      <c r="GEE80" s="12"/>
      <c r="GEF80" s="12"/>
      <c r="GEG80" s="12"/>
      <c r="GEH80" s="12"/>
      <c r="GEI80" s="12"/>
      <c r="GEJ80" s="12"/>
      <c r="GEK80" s="12"/>
      <c r="GEL80" s="12"/>
      <c r="GEM80" s="12"/>
      <c r="GEN80" s="12"/>
      <c r="GEO80" s="12"/>
      <c r="GEP80" s="12"/>
      <c r="GEQ80" s="12"/>
      <c r="GER80" s="12"/>
      <c r="GES80" s="12"/>
      <c r="GET80" s="12"/>
      <c r="GEU80" s="12"/>
      <c r="GEV80" s="12"/>
      <c r="GEW80" s="12"/>
      <c r="GEX80" s="12"/>
      <c r="GEY80" s="12"/>
      <c r="GEZ80" s="12"/>
      <c r="GFA80" s="12"/>
      <c r="GFB80" s="12"/>
      <c r="GFC80" s="12"/>
      <c r="GFD80" s="12"/>
      <c r="GFE80" s="12"/>
      <c r="GFF80" s="12"/>
      <c r="GFG80" s="12"/>
      <c r="GFH80" s="12"/>
      <c r="GFI80" s="12"/>
      <c r="GFJ80" s="12"/>
      <c r="GFK80" s="12"/>
      <c r="GFL80" s="12"/>
      <c r="GFM80" s="12"/>
      <c r="GFN80" s="12"/>
      <c r="GFO80" s="12"/>
      <c r="GFP80" s="12"/>
      <c r="GFQ80" s="12"/>
      <c r="GFR80" s="12"/>
      <c r="GFS80" s="12"/>
      <c r="GFT80" s="12"/>
      <c r="GFU80" s="12"/>
      <c r="GFV80" s="12"/>
      <c r="GFW80" s="12"/>
      <c r="GFX80" s="12"/>
      <c r="GFY80" s="12"/>
      <c r="GFZ80" s="12"/>
      <c r="GGA80" s="12"/>
      <c r="GGB80" s="12"/>
      <c r="GGC80" s="12"/>
      <c r="GGD80" s="12"/>
      <c r="GGE80" s="12"/>
      <c r="GGF80" s="12"/>
      <c r="GGG80" s="12"/>
      <c r="GGH80" s="12"/>
      <c r="GGI80" s="12"/>
      <c r="GGJ80" s="12"/>
      <c r="GGK80" s="12"/>
      <c r="GGL80" s="12"/>
      <c r="GGM80" s="12"/>
      <c r="GGN80" s="12"/>
      <c r="GGO80" s="12"/>
      <c r="GGP80" s="12"/>
      <c r="GGQ80" s="12"/>
      <c r="GGR80" s="12"/>
      <c r="GGS80" s="12"/>
      <c r="GGT80" s="12"/>
      <c r="GGU80" s="12"/>
      <c r="GGV80" s="12"/>
      <c r="GGW80" s="12"/>
      <c r="GGX80" s="12"/>
      <c r="GGY80" s="12"/>
      <c r="GGZ80" s="12"/>
      <c r="GHA80" s="12"/>
      <c r="GHB80" s="12"/>
      <c r="GHC80" s="12"/>
      <c r="GHD80" s="12"/>
      <c r="GHE80" s="12"/>
      <c r="GHF80" s="12"/>
      <c r="GHG80" s="12"/>
      <c r="GHH80" s="12"/>
      <c r="GHI80" s="12"/>
      <c r="GHJ80" s="12"/>
      <c r="GHK80" s="12"/>
      <c r="GHL80" s="12"/>
      <c r="GHM80" s="12"/>
      <c r="GHN80" s="12"/>
      <c r="GHO80" s="12"/>
      <c r="GHP80" s="12"/>
      <c r="GHQ80" s="12"/>
      <c r="GHR80" s="12"/>
      <c r="GHS80" s="12"/>
      <c r="GHT80" s="12"/>
      <c r="GHU80" s="12"/>
      <c r="GHV80" s="12"/>
      <c r="GHW80" s="12"/>
      <c r="GHX80" s="12"/>
      <c r="GHY80" s="12"/>
      <c r="GHZ80" s="12"/>
      <c r="GIA80" s="12"/>
      <c r="GIB80" s="12"/>
      <c r="GIC80" s="12"/>
      <c r="GID80" s="12"/>
      <c r="GIE80" s="12"/>
      <c r="GIF80" s="12"/>
      <c r="GIG80" s="12"/>
      <c r="GIH80" s="12"/>
      <c r="GII80" s="12"/>
      <c r="GIJ80" s="12"/>
      <c r="GIK80" s="12"/>
      <c r="GIL80" s="12"/>
      <c r="GIM80" s="12"/>
      <c r="GIN80" s="12"/>
      <c r="GIO80" s="12"/>
      <c r="GIP80" s="12"/>
      <c r="GIQ80" s="12"/>
      <c r="GIR80" s="12"/>
      <c r="GIS80" s="12"/>
      <c r="GIT80" s="12"/>
      <c r="GIU80" s="12"/>
      <c r="GIV80" s="12"/>
      <c r="GIW80" s="12"/>
      <c r="GIX80" s="12"/>
      <c r="GIY80" s="12"/>
      <c r="GIZ80" s="12"/>
      <c r="GJA80" s="12"/>
      <c r="GJB80" s="12"/>
      <c r="GJC80" s="12"/>
      <c r="GJD80" s="12"/>
      <c r="GJE80" s="12"/>
      <c r="GJF80" s="12"/>
      <c r="GJG80" s="12"/>
      <c r="GJH80" s="12"/>
      <c r="GJI80" s="12"/>
      <c r="GJJ80" s="12"/>
      <c r="GJK80" s="12"/>
      <c r="GJL80" s="12"/>
      <c r="GJM80" s="12"/>
      <c r="GJN80" s="12"/>
      <c r="GJO80" s="12"/>
      <c r="GJP80" s="12"/>
      <c r="GJQ80" s="12"/>
      <c r="GJR80" s="12"/>
      <c r="GJS80" s="12"/>
      <c r="GJT80" s="12"/>
      <c r="GJU80" s="12"/>
      <c r="GJV80" s="12"/>
      <c r="GJW80" s="12"/>
      <c r="GJX80" s="12"/>
      <c r="GJY80" s="12"/>
      <c r="GJZ80" s="12"/>
      <c r="GKA80" s="12"/>
      <c r="GKB80" s="12"/>
      <c r="GKC80" s="12"/>
      <c r="GKD80" s="12"/>
      <c r="GKE80" s="12"/>
      <c r="GKF80" s="12"/>
      <c r="GKG80" s="12"/>
      <c r="GKH80" s="12"/>
      <c r="GKI80" s="12"/>
      <c r="GKJ80" s="12"/>
      <c r="GKK80" s="12"/>
      <c r="GKL80" s="12"/>
      <c r="GKM80" s="12"/>
      <c r="GKN80" s="12"/>
      <c r="GKO80" s="12"/>
      <c r="GKP80" s="12"/>
      <c r="GKQ80" s="12"/>
      <c r="GKR80" s="12"/>
      <c r="GKS80" s="12"/>
      <c r="GKT80" s="12"/>
      <c r="GKU80" s="12"/>
      <c r="GKV80" s="12"/>
      <c r="GKW80" s="12"/>
      <c r="GKX80" s="12"/>
      <c r="GKY80" s="12"/>
      <c r="GKZ80" s="12"/>
      <c r="GLA80" s="12"/>
      <c r="GLB80" s="12"/>
      <c r="GLC80" s="12"/>
      <c r="GLD80" s="12"/>
      <c r="GLE80" s="12"/>
      <c r="GLF80" s="12"/>
      <c r="GLG80" s="12"/>
      <c r="GLH80" s="12"/>
      <c r="GLI80" s="12"/>
      <c r="GLJ80" s="12"/>
      <c r="GLK80" s="12"/>
      <c r="GLL80" s="12"/>
      <c r="GLM80" s="12"/>
      <c r="GLN80" s="12"/>
      <c r="GLO80" s="12"/>
      <c r="GLP80" s="12"/>
      <c r="GLQ80" s="12"/>
      <c r="GLR80" s="12"/>
      <c r="GLS80" s="12"/>
      <c r="GLT80" s="12"/>
      <c r="GLU80" s="12"/>
      <c r="GLV80" s="12"/>
      <c r="GLW80" s="12"/>
      <c r="GLX80" s="12"/>
      <c r="GLY80" s="12"/>
      <c r="GLZ80" s="12"/>
      <c r="GMA80" s="12"/>
      <c r="GMB80" s="12"/>
      <c r="GMC80" s="12"/>
      <c r="GMD80" s="12"/>
      <c r="GME80" s="12"/>
      <c r="GMF80" s="12"/>
      <c r="GMG80" s="12"/>
      <c r="GMH80" s="12"/>
      <c r="GMI80" s="12"/>
      <c r="GMJ80" s="12"/>
      <c r="GMK80" s="12"/>
      <c r="GML80" s="12"/>
      <c r="GMM80" s="12"/>
      <c r="GMN80" s="12"/>
      <c r="GMO80" s="12"/>
      <c r="GMP80" s="12"/>
      <c r="GMQ80" s="12"/>
      <c r="GMR80" s="12"/>
      <c r="GMS80" s="12"/>
      <c r="GMT80" s="12"/>
      <c r="GMU80" s="12"/>
      <c r="GMV80" s="12"/>
      <c r="GMW80" s="12"/>
      <c r="GMX80" s="12"/>
      <c r="GMY80" s="12"/>
      <c r="GMZ80" s="12"/>
      <c r="GNA80" s="12"/>
      <c r="GNB80" s="12"/>
      <c r="GNC80" s="12"/>
      <c r="GND80" s="12"/>
      <c r="GNE80" s="12"/>
      <c r="GNF80" s="12"/>
      <c r="GNG80" s="12"/>
      <c r="GNH80" s="12"/>
      <c r="GNI80" s="12"/>
      <c r="GNJ80" s="12"/>
      <c r="GNK80" s="12"/>
      <c r="GNL80" s="12"/>
      <c r="GNM80" s="12"/>
      <c r="GNN80" s="12"/>
      <c r="GNO80" s="12"/>
      <c r="GNP80" s="12"/>
      <c r="GNQ80" s="12"/>
      <c r="GNR80" s="12"/>
      <c r="GNS80" s="12"/>
      <c r="GNT80" s="12"/>
      <c r="GNU80" s="12"/>
      <c r="GNV80" s="12"/>
      <c r="GNW80" s="12"/>
      <c r="GNX80" s="12"/>
      <c r="GNY80" s="12"/>
      <c r="GNZ80" s="12"/>
      <c r="GOA80" s="12"/>
      <c r="GOB80" s="12"/>
      <c r="GOC80" s="12"/>
      <c r="GOD80" s="12"/>
      <c r="GOE80" s="12"/>
      <c r="GOF80" s="12"/>
      <c r="GOG80" s="12"/>
      <c r="GOH80" s="12"/>
      <c r="GOI80" s="12"/>
      <c r="GOJ80" s="12"/>
      <c r="GOK80" s="12"/>
      <c r="GOL80" s="12"/>
      <c r="GOM80" s="12"/>
      <c r="GON80" s="12"/>
      <c r="GOO80" s="12"/>
      <c r="GOP80" s="12"/>
      <c r="GOQ80" s="12"/>
      <c r="GOR80" s="12"/>
      <c r="GOS80" s="12"/>
      <c r="GOT80" s="12"/>
      <c r="GOU80" s="12"/>
      <c r="GOV80" s="12"/>
      <c r="GOW80" s="12"/>
      <c r="GOX80" s="12"/>
      <c r="GOY80" s="12"/>
      <c r="GOZ80" s="12"/>
      <c r="GPA80" s="12"/>
      <c r="GPB80" s="12"/>
      <c r="GPC80" s="12"/>
      <c r="GPD80" s="12"/>
      <c r="GPE80" s="12"/>
      <c r="GPF80" s="12"/>
      <c r="GPG80" s="12"/>
      <c r="GPH80" s="12"/>
      <c r="GPI80" s="12"/>
      <c r="GPJ80" s="12"/>
      <c r="GPK80" s="12"/>
      <c r="GPL80" s="12"/>
      <c r="GPM80" s="12"/>
      <c r="GPN80" s="12"/>
      <c r="GPO80" s="12"/>
      <c r="GPP80" s="12"/>
      <c r="GPQ80" s="12"/>
      <c r="GPR80" s="12"/>
      <c r="GPS80" s="12"/>
      <c r="GPT80" s="12"/>
      <c r="GPU80" s="12"/>
      <c r="GPV80" s="12"/>
      <c r="GPW80" s="12"/>
      <c r="GPX80" s="12"/>
      <c r="GPY80" s="12"/>
      <c r="GPZ80" s="12"/>
      <c r="GQA80" s="12"/>
      <c r="GQB80" s="12"/>
      <c r="GQC80" s="12"/>
      <c r="GQD80" s="12"/>
      <c r="GQE80" s="12"/>
      <c r="GQF80" s="12"/>
      <c r="GQG80" s="12"/>
      <c r="GQH80" s="12"/>
      <c r="GQI80" s="12"/>
      <c r="GQJ80" s="12"/>
      <c r="GQK80" s="12"/>
      <c r="GQL80" s="12"/>
      <c r="GQM80" s="12"/>
      <c r="GQN80" s="12"/>
      <c r="GQO80" s="12"/>
      <c r="GQP80" s="12"/>
      <c r="GQQ80" s="12"/>
      <c r="GQR80" s="12"/>
      <c r="GQS80" s="12"/>
      <c r="GQT80" s="12"/>
      <c r="GQU80" s="12"/>
      <c r="GQV80" s="12"/>
      <c r="GQW80" s="12"/>
      <c r="GQX80" s="12"/>
      <c r="GQY80" s="12"/>
      <c r="GQZ80" s="12"/>
      <c r="GRA80" s="12"/>
      <c r="GRB80" s="12"/>
      <c r="GRC80" s="12"/>
      <c r="GRD80" s="12"/>
      <c r="GRE80" s="12"/>
      <c r="GRF80" s="12"/>
      <c r="GRG80" s="12"/>
      <c r="GRH80" s="12"/>
      <c r="GRI80" s="12"/>
      <c r="GRJ80" s="12"/>
      <c r="GRK80" s="12"/>
      <c r="GRL80" s="12"/>
      <c r="GRM80" s="12"/>
      <c r="GRN80" s="12"/>
      <c r="GRO80" s="12"/>
      <c r="GRP80" s="12"/>
      <c r="GRQ80" s="12"/>
      <c r="GRR80" s="12"/>
      <c r="GRS80" s="12"/>
      <c r="GRT80" s="12"/>
      <c r="GRU80" s="12"/>
      <c r="GRV80" s="12"/>
      <c r="GRW80" s="12"/>
      <c r="GRX80" s="12"/>
      <c r="GRY80" s="12"/>
      <c r="GRZ80" s="12"/>
      <c r="GSA80" s="12"/>
      <c r="GSB80" s="12"/>
      <c r="GSC80" s="12"/>
      <c r="GSD80" s="12"/>
      <c r="GSE80" s="12"/>
      <c r="GSF80" s="12"/>
      <c r="GSG80" s="12"/>
      <c r="GSH80" s="12"/>
      <c r="GSI80" s="12"/>
      <c r="GSJ80" s="12"/>
      <c r="GSK80" s="12"/>
      <c r="GSL80" s="12"/>
      <c r="GSM80" s="12"/>
      <c r="GSN80" s="12"/>
      <c r="GSO80" s="12"/>
      <c r="GSP80" s="12"/>
      <c r="GSQ80" s="12"/>
      <c r="GSR80" s="12"/>
      <c r="GSS80" s="12"/>
      <c r="GST80" s="12"/>
      <c r="GSU80" s="12"/>
      <c r="GSV80" s="12"/>
      <c r="GSW80" s="12"/>
      <c r="GSX80" s="12"/>
      <c r="GSY80" s="12"/>
      <c r="GSZ80" s="12"/>
      <c r="GTA80" s="12"/>
      <c r="GTB80" s="12"/>
      <c r="GTC80" s="12"/>
      <c r="GTD80" s="12"/>
      <c r="GTE80" s="12"/>
      <c r="GTF80" s="12"/>
      <c r="GTG80" s="12"/>
      <c r="GTH80" s="12"/>
      <c r="GTI80" s="12"/>
      <c r="GTJ80" s="12"/>
      <c r="GTK80" s="12"/>
      <c r="GTL80" s="12"/>
      <c r="GTM80" s="12"/>
      <c r="GTN80" s="12"/>
      <c r="GTO80" s="12"/>
      <c r="GTP80" s="12"/>
      <c r="GTQ80" s="12"/>
      <c r="GTR80" s="12"/>
      <c r="GTS80" s="12"/>
      <c r="GTT80" s="12"/>
      <c r="GTU80" s="12"/>
      <c r="GTV80" s="12"/>
      <c r="GTW80" s="12"/>
      <c r="GTX80" s="12"/>
      <c r="GTY80" s="12"/>
      <c r="GTZ80" s="12"/>
      <c r="GUA80" s="12"/>
      <c r="GUB80" s="12"/>
      <c r="GUC80" s="12"/>
      <c r="GUD80" s="12"/>
      <c r="GUE80" s="12"/>
      <c r="GUF80" s="12"/>
      <c r="GUG80" s="12"/>
      <c r="GUH80" s="12"/>
      <c r="GUI80" s="12"/>
      <c r="GUJ80" s="12"/>
      <c r="GUK80" s="12"/>
      <c r="GUL80" s="12"/>
      <c r="GUM80" s="12"/>
      <c r="GUN80" s="12"/>
      <c r="GUO80" s="12"/>
      <c r="GUP80" s="12"/>
      <c r="GUQ80" s="12"/>
      <c r="GUR80" s="12"/>
      <c r="GUS80" s="12"/>
      <c r="GUT80" s="12"/>
      <c r="GUU80" s="12"/>
      <c r="GUV80" s="12"/>
      <c r="GUW80" s="12"/>
      <c r="GUX80" s="12"/>
      <c r="GUY80" s="12"/>
      <c r="GUZ80" s="12"/>
      <c r="GVA80" s="12"/>
      <c r="GVB80" s="12"/>
      <c r="GVC80" s="12"/>
      <c r="GVD80" s="12"/>
      <c r="GVE80" s="12"/>
      <c r="GVF80" s="12"/>
      <c r="GVG80" s="12"/>
      <c r="GVH80" s="12"/>
      <c r="GVI80" s="12"/>
      <c r="GVJ80" s="12"/>
      <c r="GVK80" s="12"/>
      <c r="GVL80" s="12"/>
      <c r="GVM80" s="12"/>
      <c r="GVN80" s="12"/>
      <c r="GVO80" s="12"/>
      <c r="GVP80" s="12"/>
      <c r="GVQ80" s="12"/>
      <c r="GVR80" s="12"/>
      <c r="GVS80" s="12"/>
      <c r="GVT80" s="12"/>
      <c r="GVU80" s="12"/>
      <c r="GVV80" s="12"/>
      <c r="GVW80" s="12"/>
      <c r="GVX80" s="12"/>
      <c r="GVY80" s="12"/>
      <c r="GVZ80" s="12"/>
      <c r="GWA80" s="12"/>
      <c r="GWB80" s="12"/>
      <c r="GWC80" s="12"/>
      <c r="GWD80" s="12"/>
      <c r="GWE80" s="12"/>
      <c r="GWF80" s="12"/>
      <c r="GWG80" s="12"/>
      <c r="GWH80" s="12"/>
      <c r="GWI80" s="12"/>
      <c r="GWJ80" s="12"/>
      <c r="GWK80" s="12"/>
      <c r="GWL80" s="12"/>
      <c r="GWM80" s="12"/>
      <c r="GWN80" s="12"/>
      <c r="GWO80" s="12"/>
      <c r="GWP80" s="12"/>
      <c r="GWQ80" s="12"/>
      <c r="GWR80" s="12"/>
      <c r="GWS80" s="12"/>
      <c r="GWT80" s="12"/>
      <c r="GWU80" s="12"/>
      <c r="GWV80" s="12"/>
      <c r="GWW80" s="12"/>
      <c r="GWX80" s="12"/>
      <c r="GWY80" s="12"/>
      <c r="GWZ80" s="12"/>
      <c r="GXA80" s="12"/>
      <c r="GXB80" s="12"/>
      <c r="GXC80" s="12"/>
      <c r="GXD80" s="12"/>
      <c r="GXE80" s="12"/>
      <c r="GXF80" s="12"/>
      <c r="GXG80" s="12"/>
      <c r="GXH80" s="12"/>
      <c r="GXI80" s="12"/>
      <c r="GXJ80" s="12"/>
      <c r="GXK80" s="12"/>
      <c r="GXL80" s="12"/>
      <c r="GXM80" s="12"/>
      <c r="GXN80" s="12"/>
      <c r="GXO80" s="12"/>
      <c r="GXP80" s="12"/>
      <c r="GXQ80" s="12"/>
      <c r="GXR80" s="12"/>
      <c r="GXS80" s="12"/>
      <c r="GXT80" s="12"/>
      <c r="GXU80" s="12"/>
      <c r="GXV80" s="12"/>
      <c r="GXW80" s="12"/>
      <c r="GXX80" s="12"/>
      <c r="GXY80" s="12"/>
      <c r="GXZ80" s="12"/>
      <c r="GYA80" s="12"/>
      <c r="GYB80" s="12"/>
      <c r="GYC80" s="12"/>
      <c r="GYD80" s="12"/>
      <c r="GYE80" s="12"/>
      <c r="GYF80" s="12"/>
      <c r="GYG80" s="12"/>
      <c r="GYH80" s="12"/>
      <c r="GYI80" s="12"/>
      <c r="GYJ80" s="12"/>
      <c r="GYK80" s="12"/>
      <c r="GYL80" s="12"/>
      <c r="GYM80" s="12"/>
      <c r="GYN80" s="12"/>
      <c r="GYO80" s="12"/>
      <c r="GYP80" s="12"/>
      <c r="GYQ80" s="12"/>
      <c r="GYR80" s="12"/>
      <c r="GYS80" s="12"/>
      <c r="GYT80" s="12"/>
      <c r="GYU80" s="12"/>
      <c r="GYV80" s="12"/>
      <c r="GYW80" s="12"/>
      <c r="GYX80" s="12"/>
      <c r="GYY80" s="12"/>
      <c r="GYZ80" s="12"/>
      <c r="GZA80" s="12"/>
      <c r="GZB80" s="12"/>
      <c r="GZC80" s="12"/>
      <c r="GZD80" s="12"/>
      <c r="GZE80" s="12"/>
      <c r="GZF80" s="12"/>
      <c r="GZG80" s="12"/>
      <c r="GZH80" s="12"/>
      <c r="GZI80" s="12"/>
      <c r="GZJ80" s="12"/>
      <c r="GZK80" s="12"/>
      <c r="GZL80" s="12"/>
      <c r="GZM80" s="12"/>
      <c r="GZN80" s="12"/>
      <c r="GZO80" s="12"/>
      <c r="GZP80" s="12"/>
      <c r="GZQ80" s="12"/>
      <c r="GZR80" s="12"/>
      <c r="GZS80" s="12"/>
      <c r="GZT80" s="12"/>
      <c r="GZU80" s="12"/>
      <c r="GZV80" s="12"/>
      <c r="GZW80" s="12"/>
      <c r="GZX80" s="12"/>
      <c r="GZY80" s="12"/>
      <c r="GZZ80" s="12"/>
      <c r="HAA80" s="12"/>
      <c r="HAB80" s="12"/>
      <c r="HAC80" s="12"/>
      <c r="HAD80" s="12"/>
      <c r="HAE80" s="12"/>
      <c r="HAF80" s="12"/>
      <c r="HAG80" s="12"/>
      <c r="HAH80" s="12"/>
      <c r="HAI80" s="12"/>
      <c r="HAJ80" s="12"/>
      <c r="HAK80" s="12"/>
      <c r="HAL80" s="12"/>
      <c r="HAM80" s="12"/>
      <c r="HAN80" s="12"/>
      <c r="HAO80" s="12"/>
      <c r="HAP80" s="12"/>
      <c r="HAQ80" s="12"/>
      <c r="HAR80" s="12"/>
      <c r="HAS80" s="12"/>
      <c r="HAT80" s="12"/>
      <c r="HAU80" s="12"/>
      <c r="HAV80" s="12"/>
      <c r="HAW80" s="12"/>
      <c r="HAX80" s="12"/>
      <c r="HAY80" s="12"/>
      <c r="HAZ80" s="12"/>
      <c r="HBA80" s="12"/>
      <c r="HBB80" s="12"/>
      <c r="HBC80" s="12"/>
      <c r="HBD80" s="12"/>
      <c r="HBE80" s="12"/>
      <c r="HBF80" s="12"/>
      <c r="HBG80" s="12"/>
      <c r="HBH80" s="12"/>
      <c r="HBI80" s="12"/>
      <c r="HBJ80" s="12"/>
      <c r="HBK80" s="12"/>
      <c r="HBL80" s="12"/>
      <c r="HBM80" s="12"/>
      <c r="HBN80" s="12"/>
      <c r="HBO80" s="12"/>
      <c r="HBP80" s="12"/>
      <c r="HBQ80" s="12"/>
      <c r="HBR80" s="12"/>
      <c r="HBS80" s="12"/>
      <c r="HBT80" s="12"/>
      <c r="HBU80" s="12"/>
      <c r="HBV80" s="12"/>
      <c r="HBW80" s="12"/>
      <c r="HBX80" s="12"/>
      <c r="HBY80" s="12"/>
      <c r="HBZ80" s="12"/>
      <c r="HCA80" s="12"/>
      <c r="HCB80" s="12"/>
      <c r="HCC80" s="12"/>
      <c r="HCD80" s="12"/>
      <c r="HCE80" s="12"/>
      <c r="HCF80" s="12"/>
      <c r="HCG80" s="12"/>
      <c r="HCH80" s="12"/>
      <c r="HCI80" s="12"/>
      <c r="HCJ80" s="12"/>
      <c r="HCK80" s="12"/>
      <c r="HCL80" s="12"/>
      <c r="HCM80" s="12"/>
      <c r="HCN80" s="12"/>
      <c r="HCO80" s="12"/>
      <c r="HCP80" s="12"/>
      <c r="HCQ80" s="12"/>
      <c r="HCR80" s="12"/>
      <c r="HCS80" s="12"/>
      <c r="HCT80" s="12"/>
      <c r="HCU80" s="12"/>
      <c r="HCV80" s="12"/>
      <c r="HCW80" s="12"/>
      <c r="HCX80" s="12"/>
      <c r="HCY80" s="12"/>
      <c r="HCZ80" s="12"/>
      <c r="HDA80" s="12"/>
      <c r="HDB80" s="12"/>
      <c r="HDC80" s="12"/>
      <c r="HDD80" s="12"/>
      <c r="HDE80" s="12"/>
      <c r="HDF80" s="12"/>
      <c r="HDG80" s="12"/>
      <c r="HDH80" s="12"/>
      <c r="HDI80" s="12"/>
      <c r="HDJ80" s="12"/>
      <c r="HDK80" s="12"/>
      <c r="HDL80" s="12"/>
      <c r="HDM80" s="12"/>
      <c r="HDN80" s="12"/>
      <c r="HDO80" s="12"/>
      <c r="HDP80" s="12"/>
      <c r="HDQ80" s="12"/>
      <c r="HDR80" s="12"/>
      <c r="HDS80" s="12"/>
      <c r="HDT80" s="12"/>
      <c r="HDU80" s="12"/>
      <c r="HDV80" s="12"/>
      <c r="HDW80" s="12"/>
      <c r="HDX80" s="12"/>
      <c r="HDY80" s="12"/>
      <c r="HDZ80" s="12"/>
      <c r="HEA80" s="12"/>
      <c r="HEB80" s="12"/>
      <c r="HEC80" s="12"/>
      <c r="HED80" s="12"/>
      <c r="HEE80" s="12"/>
      <c r="HEF80" s="12"/>
      <c r="HEG80" s="12"/>
      <c r="HEH80" s="12"/>
      <c r="HEI80" s="12"/>
      <c r="HEJ80" s="12"/>
      <c r="HEK80" s="12"/>
      <c r="HEL80" s="12"/>
      <c r="HEM80" s="12"/>
      <c r="HEN80" s="12"/>
      <c r="HEO80" s="12"/>
      <c r="HEP80" s="12"/>
      <c r="HEQ80" s="12"/>
      <c r="HER80" s="12"/>
      <c r="HES80" s="12"/>
      <c r="HET80" s="12"/>
      <c r="HEU80" s="12"/>
      <c r="HEV80" s="12"/>
      <c r="HEW80" s="12"/>
      <c r="HEX80" s="12"/>
      <c r="HEY80" s="12"/>
      <c r="HEZ80" s="12"/>
      <c r="HFA80" s="12"/>
      <c r="HFB80" s="12"/>
      <c r="HFC80" s="12"/>
      <c r="HFD80" s="12"/>
      <c r="HFE80" s="12"/>
      <c r="HFF80" s="12"/>
      <c r="HFG80" s="12"/>
      <c r="HFH80" s="12"/>
      <c r="HFI80" s="12"/>
      <c r="HFJ80" s="12"/>
      <c r="HFK80" s="12"/>
      <c r="HFL80" s="12"/>
      <c r="HFM80" s="12"/>
      <c r="HFN80" s="12"/>
      <c r="HFO80" s="12"/>
      <c r="HFP80" s="12"/>
      <c r="HFQ80" s="12"/>
      <c r="HFR80" s="12"/>
      <c r="HFS80" s="12"/>
      <c r="HFT80" s="12"/>
      <c r="HFU80" s="12"/>
      <c r="HFV80" s="12"/>
      <c r="HFW80" s="12"/>
      <c r="HFX80" s="12"/>
      <c r="HFY80" s="12"/>
      <c r="HFZ80" s="12"/>
      <c r="HGA80" s="12"/>
      <c r="HGB80" s="12"/>
      <c r="HGC80" s="12"/>
      <c r="HGD80" s="12"/>
      <c r="HGE80" s="12"/>
      <c r="HGF80" s="12"/>
      <c r="HGG80" s="12"/>
      <c r="HGH80" s="12"/>
      <c r="HGI80" s="12"/>
      <c r="HGJ80" s="12"/>
      <c r="HGK80" s="12"/>
      <c r="HGL80" s="12"/>
      <c r="HGM80" s="12"/>
      <c r="HGN80" s="12"/>
      <c r="HGO80" s="12"/>
      <c r="HGP80" s="12"/>
      <c r="HGQ80" s="12"/>
      <c r="HGR80" s="12"/>
      <c r="HGS80" s="12"/>
      <c r="HGT80" s="12"/>
      <c r="HGU80" s="12"/>
      <c r="HGV80" s="12"/>
      <c r="HGW80" s="12"/>
      <c r="HGX80" s="12"/>
      <c r="HGY80" s="12"/>
      <c r="HGZ80" s="12"/>
      <c r="HHA80" s="12"/>
      <c r="HHB80" s="12"/>
      <c r="HHC80" s="12"/>
      <c r="HHD80" s="12"/>
      <c r="HHE80" s="12"/>
      <c r="HHF80" s="12"/>
      <c r="HHG80" s="12"/>
      <c r="HHH80" s="12"/>
      <c r="HHI80" s="12"/>
      <c r="HHJ80" s="12"/>
      <c r="HHK80" s="12"/>
      <c r="HHL80" s="12"/>
      <c r="HHM80" s="12"/>
      <c r="HHN80" s="12"/>
      <c r="HHO80" s="12"/>
      <c r="HHP80" s="12"/>
      <c r="HHQ80" s="12"/>
      <c r="HHR80" s="12"/>
      <c r="HHS80" s="12"/>
      <c r="HHT80" s="12"/>
      <c r="HHU80" s="12"/>
      <c r="HHV80" s="12"/>
      <c r="HHW80" s="12"/>
      <c r="HHX80" s="12"/>
      <c r="HHY80" s="12"/>
      <c r="HHZ80" s="12"/>
      <c r="HIA80" s="12"/>
      <c r="HIB80" s="12"/>
      <c r="HIC80" s="12"/>
      <c r="HID80" s="12"/>
      <c r="HIE80" s="12"/>
      <c r="HIF80" s="12"/>
      <c r="HIG80" s="12"/>
      <c r="HIH80" s="12"/>
      <c r="HII80" s="12"/>
      <c r="HIJ80" s="12"/>
      <c r="HIK80" s="12"/>
      <c r="HIL80" s="12"/>
      <c r="HIM80" s="12"/>
      <c r="HIN80" s="12"/>
      <c r="HIO80" s="12"/>
      <c r="HIP80" s="12"/>
      <c r="HIQ80" s="12"/>
      <c r="HIR80" s="12"/>
      <c r="HIS80" s="12"/>
      <c r="HIT80" s="12"/>
      <c r="HIU80" s="12"/>
      <c r="HIV80" s="12"/>
      <c r="HIW80" s="12"/>
      <c r="HIX80" s="12"/>
      <c r="HIY80" s="12"/>
      <c r="HIZ80" s="12"/>
      <c r="HJA80" s="12"/>
      <c r="HJB80" s="12"/>
      <c r="HJC80" s="12"/>
      <c r="HJD80" s="12"/>
      <c r="HJE80" s="12"/>
      <c r="HJF80" s="12"/>
      <c r="HJG80" s="12"/>
      <c r="HJH80" s="12"/>
      <c r="HJI80" s="12"/>
      <c r="HJJ80" s="12"/>
      <c r="HJK80" s="12"/>
      <c r="HJL80" s="12"/>
      <c r="HJM80" s="12"/>
      <c r="HJN80" s="12"/>
      <c r="HJO80" s="12"/>
      <c r="HJP80" s="12"/>
      <c r="HJQ80" s="12"/>
      <c r="HJR80" s="12"/>
      <c r="HJS80" s="12"/>
      <c r="HJT80" s="12"/>
      <c r="HJU80" s="12"/>
      <c r="HJV80" s="12"/>
      <c r="HJW80" s="12"/>
      <c r="HJX80" s="12"/>
      <c r="HJY80" s="12"/>
      <c r="HJZ80" s="12"/>
      <c r="HKA80" s="12"/>
      <c r="HKB80" s="12"/>
      <c r="HKC80" s="12"/>
      <c r="HKD80" s="12"/>
      <c r="HKE80" s="12"/>
      <c r="HKF80" s="12"/>
      <c r="HKG80" s="12"/>
      <c r="HKH80" s="12"/>
      <c r="HKI80" s="12"/>
      <c r="HKJ80" s="12"/>
      <c r="HKK80" s="12"/>
      <c r="HKL80" s="12"/>
      <c r="HKM80" s="12"/>
      <c r="HKN80" s="12"/>
      <c r="HKO80" s="12"/>
      <c r="HKP80" s="12"/>
      <c r="HKQ80" s="12"/>
      <c r="HKR80" s="12"/>
      <c r="HKS80" s="12"/>
      <c r="HKT80" s="12"/>
      <c r="HKU80" s="12"/>
      <c r="HKV80" s="12"/>
      <c r="HKW80" s="12"/>
      <c r="HKX80" s="12"/>
      <c r="HKY80" s="12"/>
      <c r="HKZ80" s="12"/>
      <c r="HLA80" s="12"/>
      <c r="HLB80" s="12"/>
      <c r="HLC80" s="12"/>
      <c r="HLD80" s="12"/>
      <c r="HLE80" s="12"/>
      <c r="HLF80" s="12"/>
      <c r="HLG80" s="12"/>
      <c r="HLH80" s="12"/>
      <c r="HLI80" s="12"/>
      <c r="HLJ80" s="12"/>
      <c r="HLK80" s="12"/>
      <c r="HLL80" s="12"/>
      <c r="HLM80" s="12"/>
      <c r="HLN80" s="12"/>
      <c r="HLO80" s="12"/>
      <c r="HLP80" s="12"/>
      <c r="HLQ80" s="12"/>
      <c r="HLR80" s="12"/>
      <c r="HLS80" s="12"/>
      <c r="HLT80" s="12"/>
      <c r="HLU80" s="12"/>
      <c r="HLV80" s="12"/>
      <c r="HLW80" s="12"/>
      <c r="HLX80" s="12"/>
      <c r="HLY80" s="12"/>
      <c r="HLZ80" s="12"/>
      <c r="HMA80" s="12"/>
      <c r="HMB80" s="12"/>
      <c r="HMC80" s="12"/>
      <c r="HMD80" s="12"/>
      <c r="HME80" s="12"/>
      <c r="HMF80" s="12"/>
      <c r="HMG80" s="12"/>
      <c r="HMH80" s="12"/>
      <c r="HMI80" s="12"/>
      <c r="HMJ80" s="12"/>
      <c r="HMK80" s="12"/>
      <c r="HML80" s="12"/>
      <c r="HMM80" s="12"/>
      <c r="HMN80" s="12"/>
      <c r="HMO80" s="12"/>
      <c r="HMP80" s="12"/>
      <c r="HMQ80" s="12"/>
      <c r="HMR80" s="12"/>
      <c r="HMS80" s="12"/>
      <c r="HMT80" s="12"/>
      <c r="HMU80" s="12"/>
      <c r="HMV80" s="12"/>
      <c r="HMW80" s="12"/>
      <c r="HMX80" s="12"/>
      <c r="HMY80" s="12"/>
      <c r="HMZ80" s="12"/>
      <c r="HNA80" s="12"/>
      <c r="HNB80" s="12"/>
      <c r="HNC80" s="12"/>
      <c r="HND80" s="12"/>
      <c r="HNE80" s="12"/>
      <c r="HNF80" s="12"/>
      <c r="HNG80" s="12"/>
      <c r="HNH80" s="12"/>
      <c r="HNI80" s="12"/>
      <c r="HNJ80" s="12"/>
      <c r="HNK80" s="12"/>
      <c r="HNL80" s="12"/>
      <c r="HNM80" s="12"/>
      <c r="HNN80" s="12"/>
      <c r="HNO80" s="12"/>
      <c r="HNP80" s="12"/>
      <c r="HNQ80" s="12"/>
      <c r="HNR80" s="12"/>
      <c r="HNS80" s="12"/>
      <c r="HNT80" s="12"/>
      <c r="HNU80" s="12"/>
      <c r="HNV80" s="12"/>
      <c r="HNW80" s="12"/>
      <c r="HNX80" s="12"/>
      <c r="HNY80" s="12"/>
      <c r="HNZ80" s="12"/>
      <c r="HOA80" s="12"/>
      <c r="HOB80" s="12"/>
      <c r="HOC80" s="12"/>
      <c r="HOD80" s="12"/>
      <c r="HOE80" s="12"/>
      <c r="HOF80" s="12"/>
      <c r="HOG80" s="12"/>
      <c r="HOH80" s="12"/>
      <c r="HOI80" s="12"/>
      <c r="HOJ80" s="12"/>
      <c r="HOK80" s="12"/>
      <c r="HOL80" s="12"/>
      <c r="HOM80" s="12"/>
      <c r="HON80" s="12"/>
      <c r="HOO80" s="12"/>
      <c r="HOP80" s="12"/>
      <c r="HOQ80" s="12"/>
      <c r="HOR80" s="12"/>
      <c r="HOS80" s="12"/>
      <c r="HOT80" s="12"/>
      <c r="HOU80" s="12"/>
      <c r="HOV80" s="12"/>
      <c r="HOW80" s="12"/>
      <c r="HOX80" s="12"/>
      <c r="HOY80" s="12"/>
      <c r="HOZ80" s="12"/>
      <c r="HPA80" s="12"/>
      <c r="HPB80" s="12"/>
      <c r="HPC80" s="12"/>
      <c r="HPD80" s="12"/>
      <c r="HPE80" s="12"/>
      <c r="HPF80" s="12"/>
      <c r="HPG80" s="12"/>
      <c r="HPH80" s="12"/>
      <c r="HPI80" s="12"/>
      <c r="HPJ80" s="12"/>
      <c r="HPK80" s="12"/>
      <c r="HPL80" s="12"/>
      <c r="HPM80" s="12"/>
      <c r="HPN80" s="12"/>
      <c r="HPO80" s="12"/>
      <c r="HPP80" s="12"/>
      <c r="HPQ80" s="12"/>
      <c r="HPR80" s="12"/>
      <c r="HPS80" s="12"/>
      <c r="HPT80" s="12"/>
      <c r="HPU80" s="12"/>
      <c r="HPV80" s="12"/>
      <c r="HPW80" s="12"/>
      <c r="HPX80" s="12"/>
      <c r="HPY80" s="12"/>
      <c r="HPZ80" s="12"/>
      <c r="HQA80" s="12"/>
      <c r="HQB80" s="12"/>
      <c r="HQC80" s="12"/>
      <c r="HQD80" s="12"/>
      <c r="HQE80" s="12"/>
      <c r="HQF80" s="12"/>
      <c r="HQG80" s="12"/>
      <c r="HQH80" s="12"/>
      <c r="HQI80" s="12"/>
      <c r="HQJ80" s="12"/>
      <c r="HQK80" s="12"/>
      <c r="HQL80" s="12"/>
      <c r="HQM80" s="12"/>
      <c r="HQN80" s="12"/>
      <c r="HQO80" s="12"/>
      <c r="HQP80" s="12"/>
      <c r="HQQ80" s="12"/>
      <c r="HQR80" s="12"/>
      <c r="HQS80" s="12"/>
      <c r="HQT80" s="12"/>
      <c r="HQU80" s="12"/>
      <c r="HQV80" s="12"/>
      <c r="HQW80" s="12"/>
      <c r="HQX80" s="12"/>
      <c r="HQY80" s="12"/>
      <c r="HQZ80" s="12"/>
      <c r="HRA80" s="12"/>
      <c r="HRB80" s="12"/>
      <c r="HRC80" s="12"/>
      <c r="HRD80" s="12"/>
      <c r="HRE80" s="12"/>
      <c r="HRF80" s="12"/>
      <c r="HRG80" s="12"/>
      <c r="HRH80" s="12"/>
      <c r="HRI80" s="12"/>
      <c r="HRJ80" s="12"/>
      <c r="HRK80" s="12"/>
      <c r="HRL80" s="12"/>
      <c r="HRM80" s="12"/>
      <c r="HRN80" s="12"/>
      <c r="HRO80" s="12"/>
      <c r="HRP80" s="12"/>
      <c r="HRQ80" s="12"/>
      <c r="HRR80" s="12"/>
      <c r="HRS80" s="12"/>
      <c r="HRT80" s="12"/>
      <c r="HRU80" s="12"/>
      <c r="HRV80" s="12"/>
      <c r="HRW80" s="12"/>
      <c r="HRX80" s="12"/>
      <c r="HRY80" s="12"/>
      <c r="HRZ80" s="12"/>
      <c r="HSA80" s="12"/>
      <c r="HSB80" s="12"/>
      <c r="HSC80" s="12"/>
      <c r="HSD80" s="12"/>
      <c r="HSE80" s="12"/>
      <c r="HSF80" s="12"/>
      <c r="HSG80" s="12"/>
      <c r="HSH80" s="12"/>
      <c r="HSI80" s="12"/>
      <c r="HSJ80" s="12"/>
      <c r="HSK80" s="12"/>
      <c r="HSL80" s="12"/>
      <c r="HSM80" s="12"/>
      <c r="HSN80" s="12"/>
      <c r="HSO80" s="12"/>
      <c r="HSP80" s="12"/>
      <c r="HSQ80" s="12"/>
      <c r="HSR80" s="12"/>
      <c r="HSS80" s="12"/>
      <c r="HST80" s="12"/>
      <c r="HSU80" s="12"/>
      <c r="HSV80" s="12"/>
      <c r="HSW80" s="12"/>
      <c r="HSX80" s="12"/>
      <c r="HSY80" s="12"/>
      <c r="HSZ80" s="12"/>
      <c r="HTA80" s="12"/>
      <c r="HTB80" s="12"/>
      <c r="HTC80" s="12"/>
      <c r="HTD80" s="12"/>
      <c r="HTE80" s="12"/>
      <c r="HTF80" s="12"/>
      <c r="HTG80" s="12"/>
      <c r="HTH80" s="12"/>
      <c r="HTI80" s="12"/>
      <c r="HTJ80" s="12"/>
      <c r="HTK80" s="12"/>
      <c r="HTL80" s="12"/>
      <c r="HTM80" s="12"/>
      <c r="HTN80" s="12"/>
      <c r="HTO80" s="12"/>
      <c r="HTP80" s="12"/>
      <c r="HTQ80" s="12"/>
      <c r="HTR80" s="12"/>
      <c r="HTS80" s="12"/>
      <c r="HTT80" s="12"/>
      <c r="HTU80" s="12"/>
      <c r="HTV80" s="12"/>
      <c r="HTW80" s="12"/>
      <c r="HTX80" s="12"/>
      <c r="HTY80" s="12"/>
      <c r="HTZ80" s="12"/>
      <c r="HUA80" s="12"/>
      <c r="HUB80" s="12"/>
      <c r="HUC80" s="12"/>
      <c r="HUD80" s="12"/>
      <c r="HUE80" s="12"/>
      <c r="HUF80" s="12"/>
      <c r="HUG80" s="12"/>
      <c r="HUH80" s="12"/>
      <c r="HUI80" s="12"/>
      <c r="HUJ80" s="12"/>
      <c r="HUK80" s="12"/>
      <c r="HUL80" s="12"/>
      <c r="HUM80" s="12"/>
      <c r="HUN80" s="12"/>
      <c r="HUO80" s="12"/>
      <c r="HUP80" s="12"/>
      <c r="HUQ80" s="12"/>
      <c r="HUR80" s="12"/>
      <c r="HUS80" s="12"/>
      <c r="HUT80" s="12"/>
      <c r="HUU80" s="12"/>
      <c r="HUV80" s="12"/>
      <c r="HUW80" s="12"/>
      <c r="HUX80" s="12"/>
      <c r="HUY80" s="12"/>
      <c r="HUZ80" s="12"/>
      <c r="HVA80" s="12"/>
      <c r="HVB80" s="12"/>
      <c r="HVC80" s="12"/>
      <c r="HVD80" s="12"/>
      <c r="HVE80" s="12"/>
      <c r="HVF80" s="12"/>
      <c r="HVG80" s="12"/>
      <c r="HVH80" s="12"/>
      <c r="HVI80" s="12"/>
      <c r="HVJ80" s="12"/>
      <c r="HVK80" s="12"/>
      <c r="HVL80" s="12"/>
      <c r="HVM80" s="12"/>
      <c r="HVN80" s="12"/>
      <c r="HVO80" s="12"/>
      <c r="HVP80" s="12"/>
      <c r="HVQ80" s="12"/>
      <c r="HVR80" s="12"/>
      <c r="HVS80" s="12"/>
      <c r="HVT80" s="12"/>
      <c r="HVU80" s="12"/>
      <c r="HVV80" s="12"/>
      <c r="HVW80" s="12"/>
      <c r="HVX80" s="12"/>
      <c r="HVY80" s="12"/>
      <c r="HVZ80" s="12"/>
      <c r="HWA80" s="12"/>
      <c r="HWB80" s="12"/>
      <c r="HWC80" s="12"/>
      <c r="HWD80" s="12"/>
      <c r="HWE80" s="12"/>
      <c r="HWF80" s="12"/>
      <c r="HWG80" s="12"/>
      <c r="HWH80" s="12"/>
      <c r="HWI80" s="12"/>
      <c r="HWJ80" s="12"/>
      <c r="HWK80" s="12"/>
      <c r="HWL80" s="12"/>
      <c r="HWM80" s="12"/>
      <c r="HWN80" s="12"/>
      <c r="HWO80" s="12"/>
      <c r="HWP80" s="12"/>
      <c r="HWQ80" s="12"/>
      <c r="HWR80" s="12"/>
      <c r="HWS80" s="12"/>
      <c r="HWT80" s="12"/>
      <c r="HWU80" s="12"/>
      <c r="HWV80" s="12"/>
      <c r="HWW80" s="12"/>
      <c r="HWX80" s="12"/>
      <c r="HWY80" s="12"/>
      <c r="HWZ80" s="12"/>
      <c r="HXA80" s="12"/>
      <c r="HXB80" s="12"/>
      <c r="HXC80" s="12"/>
      <c r="HXD80" s="12"/>
      <c r="HXE80" s="12"/>
      <c r="HXF80" s="12"/>
      <c r="HXG80" s="12"/>
      <c r="HXH80" s="12"/>
      <c r="HXI80" s="12"/>
      <c r="HXJ80" s="12"/>
      <c r="HXK80" s="12"/>
      <c r="HXL80" s="12"/>
      <c r="HXM80" s="12"/>
      <c r="HXN80" s="12"/>
      <c r="HXO80" s="12"/>
      <c r="HXP80" s="12"/>
      <c r="HXQ80" s="12"/>
      <c r="HXR80" s="12"/>
      <c r="HXS80" s="12"/>
      <c r="HXT80" s="12"/>
      <c r="HXU80" s="12"/>
      <c r="HXV80" s="12"/>
      <c r="HXW80" s="12"/>
      <c r="HXX80" s="12"/>
      <c r="HXY80" s="12"/>
      <c r="HXZ80" s="12"/>
      <c r="HYA80" s="12"/>
      <c r="HYB80" s="12"/>
      <c r="HYC80" s="12"/>
      <c r="HYD80" s="12"/>
      <c r="HYE80" s="12"/>
      <c r="HYF80" s="12"/>
      <c r="HYG80" s="12"/>
      <c r="HYH80" s="12"/>
      <c r="HYI80" s="12"/>
      <c r="HYJ80" s="12"/>
      <c r="HYK80" s="12"/>
      <c r="HYL80" s="12"/>
      <c r="HYM80" s="12"/>
      <c r="HYN80" s="12"/>
      <c r="HYO80" s="12"/>
      <c r="HYP80" s="12"/>
      <c r="HYQ80" s="12"/>
      <c r="HYR80" s="12"/>
      <c r="HYS80" s="12"/>
      <c r="HYT80" s="12"/>
      <c r="HYU80" s="12"/>
      <c r="HYV80" s="12"/>
      <c r="HYW80" s="12"/>
      <c r="HYX80" s="12"/>
      <c r="HYY80" s="12"/>
      <c r="HYZ80" s="12"/>
      <c r="HZA80" s="12"/>
      <c r="HZB80" s="12"/>
      <c r="HZC80" s="12"/>
      <c r="HZD80" s="12"/>
      <c r="HZE80" s="12"/>
      <c r="HZF80" s="12"/>
      <c r="HZG80" s="12"/>
      <c r="HZH80" s="12"/>
      <c r="HZI80" s="12"/>
      <c r="HZJ80" s="12"/>
      <c r="HZK80" s="12"/>
      <c r="HZL80" s="12"/>
      <c r="HZM80" s="12"/>
      <c r="HZN80" s="12"/>
      <c r="HZO80" s="12"/>
      <c r="HZP80" s="12"/>
      <c r="HZQ80" s="12"/>
      <c r="HZR80" s="12"/>
      <c r="HZS80" s="12"/>
      <c r="HZT80" s="12"/>
      <c r="HZU80" s="12"/>
      <c r="HZV80" s="12"/>
      <c r="HZW80" s="12"/>
      <c r="HZX80" s="12"/>
      <c r="HZY80" s="12"/>
      <c r="HZZ80" s="12"/>
      <c r="IAA80" s="12"/>
      <c r="IAB80" s="12"/>
      <c r="IAC80" s="12"/>
      <c r="IAD80" s="12"/>
      <c r="IAE80" s="12"/>
      <c r="IAF80" s="12"/>
      <c r="IAG80" s="12"/>
      <c r="IAH80" s="12"/>
      <c r="IAI80" s="12"/>
      <c r="IAJ80" s="12"/>
      <c r="IAK80" s="12"/>
      <c r="IAL80" s="12"/>
      <c r="IAM80" s="12"/>
      <c r="IAN80" s="12"/>
      <c r="IAO80" s="12"/>
      <c r="IAP80" s="12"/>
      <c r="IAQ80" s="12"/>
      <c r="IAR80" s="12"/>
      <c r="IAS80" s="12"/>
      <c r="IAT80" s="12"/>
      <c r="IAU80" s="12"/>
      <c r="IAV80" s="12"/>
      <c r="IAW80" s="12"/>
      <c r="IAX80" s="12"/>
      <c r="IAY80" s="12"/>
      <c r="IAZ80" s="12"/>
      <c r="IBA80" s="12"/>
      <c r="IBB80" s="12"/>
      <c r="IBC80" s="12"/>
      <c r="IBD80" s="12"/>
      <c r="IBE80" s="12"/>
      <c r="IBF80" s="12"/>
      <c r="IBG80" s="12"/>
      <c r="IBH80" s="12"/>
      <c r="IBI80" s="12"/>
      <c r="IBJ80" s="12"/>
      <c r="IBK80" s="12"/>
      <c r="IBL80" s="12"/>
      <c r="IBM80" s="12"/>
      <c r="IBN80" s="12"/>
      <c r="IBO80" s="12"/>
      <c r="IBP80" s="12"/>
      <c r="IBQ80" s="12"/>
      <c r="IBR80" s="12"/>
      <c r="IBS80" s="12"/>
      <c r="IBT80" s="12"/>
      <c r="IBU80" s="12"/>
      <c r="IBV80" s="12"/>
      <c r="IBW80" s="12"/>
      <c r="IBX80" s="12"/>
      <c r="IBY80" s="12"/>
      <c r="IBZ80" s="12"/>
      <c r="ICA80" s="12"/>
      <c r="ICB80" s="12"/>
      <c r="ICC80" s="12"/>
      <c r="ICD80" s="12"/>
      <c r="ICE80" s="12"/>
      <c r="ICF80" s="12"/>
      <c r="ICG80" s="12"/>
      <c r="ICH80" s="12"/>
      <c r="ICI80" s="12"/>
      <c r="ICJ80" s="12"/>
      <c r="ICK80" s="12"/>
      <c r="ICL80" s="12"/>
      <c r="ICM80" s="12"/>
      <c r="ICN80" s="12"/>
      <c r="ICO80" s="12"/>
      <c r="ICP80" s="12"/>
      <c r="ICQ80" s="12"/>
      <c r="ICR80" s="12"/>
      <c r="ICS80" s="12"/>
      <c r="ICT80" s="12"/>
      <c r="ICU80" s="12"/>
      <c r="ICV80" s="12"/>
      <c r="ICW80" s="12"/>
      <c r="ICX80" s="12"/>
      <c r="ICY80" s="12"/>
      <c r="ICZ80" s="12"/>
      <c r="IDA80" s="12"/>
      <c r="IDB80" s="12"/>
      <c r="IDC80" s="12"/>
      <c r="IDD80" s="12"/>
      <c r="IDE80" s="12"/>
      <c r="IDF80" s="12"/>
      <c r="IDG80" s="12"/>
      <c r="IDH80" s="12"/>
      <c r="IDI80" s="12"/>
      <c r="IDJ80" s="12"/>
      <c r="IDK80" s="12"/>
      <c r="IDL80" s="12"/>
      <c r="IDM80" s="12"/>
      <c r="IDN80" s="12"/>
      <c r="IDO80" s="12"/>
      <c r="IDP80" s="12"/>
      <c r="IDQ80" s="12"/>
      <c r="IDR80" s="12"/>
      <c r="IDS80" s="12"/>
      <c r="IDT80" s="12"/>
      <c r="IDU80" s="12"/>
      <c r="IDV80" s="12"/>
      <c r="IDW80" s="12"/>
      <c r="IDX80" s="12"/>
      <c r="IDY80" s="12"/>
      <c r="IDZ80" s="12"/>
      <c r="IEA80" s="12"/>
      <c r="IEB80" s="12"/>
      <c r="IEC80" s="12"/>
      <c r="IED80" s="12"/>
      <c r="IEE80" s="12"/>
      <c r="IEF80" s="12"/>
      <c r="IEG80" s="12"/>
      <c r="IEH80" s="12"/>
      <c r="IEI80" s="12"/>
      <c r="IEJ80" s="12"/>
      <c r="IEK80" s="12"/>
      <c r="IEL80" s="12"/>
      <c r="IEM80" s="12"/>
      <c r="IEN80" s="12"/>
      <c r="IEO80" s="12"/>
      <c r="IEP80" s="12"/>
      <c r="IEQ80" s="12"/>
      <c r="IER80" s="12"/>
      <c r="IES80" s="12"/>
      <c r="IET80" s="12"/>
      <c r="IEU80" s="12"/>
      <c r="IEV80" s="12"/>
      <c r="IEW80" s="12"/>
      <c r="IEX80" s="12"/>
      <c r="IEY80" s="12"/>
      <c r="IEZ80" s="12"/>
      <c r="IFA80" s="12"/>
      <c r="IFB80" s="12"/>
      <c r="IFC80" s="12"/>
      <c r="IFD80" s="12"/>
      <c r="IFE80" s="12"/>
      <c r="IFF80" s="12"/>
      <c r="IFG80" s="12"/>
      <c r="IFH80" s="12"/>
      <c r="IFI80" s="12"/>
      <c r="IFJ80" s="12"/>
      <c r="IFK80" s="12"/>
      <c r="IFL80" s="12"/>
      <c r="IFM80" s="12"/>
      <c r="IFN80" s="12"/>
      <c r="IFO80" s="12"/>
      <c r="IFP80" s="12"/>
      <c r="IFQ80" s="12"/>
      <c r="IFR80" s="12"/>
      <c r="IFS80" s="12"/>
      <c r="IFT80" s="12"/>
      <c r="IFU80" s="12"/>
      <c r="IFV80" s="12"/>
      <c r="IFW80" s="12"/>
      <c r="IFX80" s="12"/>
      <c r="IFY80" s="12"/>
      <c r="IFZ80" s="12"/>
      <c r="IGA80" s="12"/>
      <c r="IGB80" s="12"/>
      <c r="IGC80" s="12"/>
      <c r="IGD80" s="12"/>
      <c r="IGE80" s="12"/>
      <c r="IGF80" s="12"/>
      <c r="IGG80" s="12"/>
      <c r="IGH80" s="12"/>
      <c r="IGI80" s="12"/>
      <c r="IGJ80" s="12"/>
      <c r="IGK80" s="12"/>
      <c r="IGL80" s="12"/>
      <c r="IGM80" s="12"/>
      <c r="IGN80" s="12"/>
      <c r="IGO80" s="12"/>
      <c r="IGP80" s="12"/>
      <c r="IGQ80" s="12"/>
      <c r="IGR80" s="12"/>
      <c r="IGS80" s="12"/>
      <c r="IGT80" s="12"/>
      <c r="IGU80" s="12"/>
      <c r="IGV80" s="12"/>
      <c r="IGW80" s="12"/>
      <c r="IGX80" s="12"/>
      <c r="IGY80" s="12"/>
      <c r="IGZ80" s="12"/>
      <c r="IHA80" s="12"/>
      <c r="IHB80" s="12"/>
      <c r="IHC80" s="12"/>
      <c r="IHD80" s="12"/>
      <c r="IHE80" s="12"/>
      <c r="IHF80" s="12"/>
      <c r="IHG80" s="12"/>
      <c r="IHH80" s="12"/>
      <c r="IHI80" s="12"/>
      <c r="IHJ80" s="12"/>
      <c r="IHK80" s="12"/>
      <c r="IHL80" s="12"/>
      <c r="IHM80" s="12"/>
      <c r="IHN80" s="12"/>
      <c r="IHO80" s="12"/>
      <c r="IHP80" s="12"/>
      <c r="IHQ80" s="12"/>
      <c r="IHR80" s="12"/>
      <c r="IHS80" s="12"/>
      <c r="IHT80" s="12"/>
      <c r="IHU80" s="12"/>
      <c r="IHV80" s="12"/>
      <c r="IHW80" s="12"/>
      <c r="IHX80" s="12"/>
      <c r="IHY80" s="12"/>
      <c r="IHZ80" s="12"/>
      <c r="IIA80" s="12"/>
      <c r="IIB80" s="12"/>
      <c r="IIC80" s="12"/>
      <c r="IID80" s="12"/>
      <c r="IIE80" s="12"/>
      <c r="IIF80" s="12"/>
      <c r="IIG80" s="12"/>
      <c r="IIH80" s="12"/>
      <c r="III80" s="12"/>
      <c r="IIJ80" s="12"/>
      <c r="IIK80" s="12"/>
      <c r="IIL80" s="12"/>
      <c r="IIM80" s="12"/>
      <c r="IIN80" s="12"/>
      <c r="IIO80" s="12"/>
      <c r="IIP80" s="12"/>
      <c r="IIQ80" s="12"/>
      <c r="IIR80" s="12"/>
      <c r="IIS80" s="12"/>
      <c r="IIT80" s="12"/>
      <c r="IIU80" s="12"/>
      <c r="IIV80" s="12"/>
      <c r="IIW80" s="12"/>
      <c r="IIX80" s="12"/>
      <c r="IIY80" s="12"/>
      <c r="IIZ80" s="12"/>
      <c r="IJA80" s="12"/>
      <c r="IJB80" s="12"/>
      <c r="IJC80" s="12"/>
      <c r="IJD80" s="12"/>
      <c r="IJE80" s="12"/>
      <c r="IJF80" s="12"/>
      <c r="IJG80" s="12"/>
      <c r="IJH80" s="12"/>
      <c r="IJI80" s="12"/>
      <c r="IJJ80" s="12"/>
      <c r="IJK80" s="12"/>
      <c r="IJL80" s="12"/>
      <c r="IJM80" s="12"/>
      <c r="IJN80" s="12"/>
      <c r="IJO80" s="12"/>
      <c r="IJP80" s="12"/>
      <c r="IJQ80" s="12"/>
      <c r="IJR80" s="12"/>
      <c r="IJS80" s="12"/>
      <c r="IJT80" s="12"/>
      <c r="IJU80" s="12"/>
      <c r="IJV80" s="12"/>
      <c r="IJW80" s="12"/>
      <c r="IJX80" s="12"/>
      <c r="IJY80" s="12"/>
      <c r="IJZ80" s="12"/>
      <c r="IKA80" s="12"/>
      <c r="IKB80" s="12"/>
      <c r="IKC80" s="12"/>
      <c r="IKD80" s="12"/>
      <c r="IKE80" s="12"/>
      <c r="IKF80" s="12"/>
      <c r="IKG80" s="12"/>
      <c r="IKH80" s="12"/>
      <c r="IKI80" s="12"/>
      <c r="IKJ80" s="12"/>
      <c r="IKK80" s="12"/>
      <c r="IKL80" s="12"/>
      <c r="IKM80" s="12"/>
      <c r="IKN80" s="12"/>
      <c r="IKO80" s="12"/>
      <c r="IKP80" s="12"/>
      <c r="IKQ80" s="12"/>
      <c r="IKR80" s="12"/>
      <c r="IKS80" s="12"/>
      <c r="IKT80" s="12"/>
      <c r="IKU80" s="12"/>
      <c r="IKV80" s="12"/>
      <c r="IKW80" s="12"/>
      <c r="IKX80" s="12"/>
      <c r="IKY80" s="12"/>
      <c r="IKZ80" s="12"/>
      <c r="ILA80" s="12"/>
      <c r="ILB80" s="12"/>
      <c r="ILC80" s="12"/>
      <c r="ILD80" s="12"/>
      <c r="ILE80" s="12"/>
      <c r="ILF80" s="12"/>
      <c r="ILG80" s="12"/>
      <c r="ILH80" s="12"/>
      <c r="ILI80" s="12"/>
      <c r="ILJ80" s="12"/>
      <c r="ILK80" s="12"/>
      <c r="ILL80" s="12"/>
      <c r="ILM80" s="12"/>
      <c r="ILN80" s="12"/>
      <c r="ILO80" s="12"/>
      <c r="ILP80" s="12"/>
      <c r="ILQ80" s="12"/>
      <c r="ILR80" s="12"/>
      <c r="ILS80" s="12"/>
      <c r="ILT80" s="12"/>
      <c r="ILU80" s="12"/>
      <c r="ILV80" s="12"/>
      <c r="ILW80" s="12"/>
      <c r="ILX80" s="12"/>
      <c r="ILY80" s="12"/>
      <c r="ILZ80" s="12"/>
      <c r="IMA80" s="12"/>
      <c r="IMB80" s="12"/>
      <c r="IMC80" s="12"/>
      <c r="IMD80" s="12"/>
      <c r="IME80" s="12"/>
      <c r="IMF80" s="12"/>
      <c r="IMG80" s="12"/>
      <c r="IMH80" s="12"/>
      <c r="IMI80" s="12"/>
      <c r="IMJ80" s="12"/>
      <c r="IMK80" s="12"/>
      <c r="IML80" s="12"/>
      <c r="IMM80" s="12"/>
      <c r="IMN80" s="12"/>
      <c r="IMO80" s="12"/>
      <c r="IMP80" s="12"/>
      <c r="IMQ80" s="12"/>
      <c r="IMR80" s="12"/>
      <c r="IMS80" s="12"/>
      <c r="IMT80" s="12"/>
      <c r="IMU80" s="12"/>
      <c r="IMV80" s="12"/>
      <c r="IMW80" s="12"/>
      <c r="IMX80" s="12"/>
      <c r="IMY80" s="12"/>
      <c r="IMZ80" s="12"/>
      <c r="INA80" s="12"/>
      <c r="INB80" s="12"/>
      <c r="INC80" s="12"/>
      <c r="IND80" s="12"/>
      <c r="INE80" s="12"/>
      <c r="INF80" s="12"/>
      <c r="ING80" s="12"/>
      <c r="INH80" s="12"/>
      <c r="INI80" s="12"/>
      <c r="INJ80" s="12"/>
      <c r="INK80" s="12"/>
      <c r="INL80" s="12"/>
      <c r="INM80" s="12"/>
      <c r="INN80" s="12"/>
      <c r="INO80" s="12"/>
      <c r="INP80" s="12"/>
      <c r="INQ80" s="12"/>
      <c r="INR80" s="12"/>
      <c r="INS80" s="12"/>
      <c r="INT80" s="12"/>
      <c r="INU80" s="12"/>
      <c r="INV80" s="12"/>
      <c r="INW80" s="12"/>
      <c r="INX80" s="12"/>
      <c r="INY80" s="12"/>
      <c r="INZ80" s="12"/>
      <c r="IOA80" s="12"/>
      <c r="IOB80" s="12"/>
      <c r="IOC80" s="12"/>
      <c r="IOD80" s="12"/>
      <c r="IOE80" s="12"/>
      <c r="IOF80" s="12"/>
      <c r="IOG80" s="12"/>
      <c r="IOH80" s="12"/>
      <c r="IOI80" s="12"/>
      <c r="IOJ80" s="12"/>
      <c r="IOK80" s="12"/>
      <c r="IOL80" s="12"/>
      <c r="IOM80" s="12"/>
      <c r="ION80" s="12"/>
      <c r="IOO80" s="12"/>
      <c r="IOP80" s="12"/>
      <c r="IOQ80" s="12"/>
      <c r="IOR80" s="12"/>
      <c r="IOS80" s="12"/>
      <c r="IOT80" s="12"/>
      <c r="IOU80" s="12"/>
      <c r="IOV80" s="12"/>
      <c r="IOW80" s="12"/>
      <c r="IOX80" s="12"/>
      <c r="IOY80" s="12"/>
      <c r="IOZ80" s="12"/>
      <c r="IPA80" s="12"/>
      <c r="IPB80" s="12"/>
      <c r="IPC80" s="12"/>
      <c r="IPD80" s="12"/>
      <c r="IPE80" s="12"/>
      <c r="IPF80" s="12"/>
      <c r="IPG80" s="12"/>
      <c r="IPH80" s="12"/>
      <c r="IPI80" s="12"/>
      <c r="IPJ80" s="12"/>
      <c r="IPK80" s="12"/>
      <c r="IPL80" s="12"/>
      <c r="IPM80" s="12"/>
      <c r="IPN80" s="12"/>
      <c r="IPO80" s="12"/>
      <c r="IPP80" s="12"/>
      <c r="IPQ80" s="12"/>
      <c r="IPR80" s="12"/>
      <c r="IPS80" s="12"/>
      <c r="IPT80" s="12"/>
      <c r="IPU80" s="12"/>
      <c r="IPV80" s="12"/>
      <c r="IPW80" s="12"/>
      <c r="IPX80" s="12"/>
      <c r="IPY80" s="12"/>
      <c r="IPZ80" s="12"/>
      <c r="IQA80" s="12"/>
      <c r="IQB80" s="12"/>
      <c r="IQC80" s="12"/>
      <c r="IQD80" s="12"/>
      <c r="IQE80" s="12"/>
      <c r="IQF80" s="12"/>
      <c r="IQG80" s="12"/>
      <c r="IQH80" s="12"/>
      <c r="IQI80" s="12"/>
      <c r="IQJ80" s="12"/>
      <c r="IQK80" s="12"/>
      <c r="IQL80" s="12"/>
      <c r="IQM80" s="12"/>
      <c r="IQN80" s="12"/>
      <c r="IQO80" s="12"/>
      <c r="IQP80" s="12"/>
      <c r="IQQ80" s="12"/>
      <c r="IQR80" s="12"/>
      <c r="IQS80" s="12"/>
      <c r="IQT80" s="12"/>
      <c r="IQU80" s="12"/>
      <c r="IQV80" s="12"/>
      <c r="IQW80" s="12"/>
      <c r="IQX80" s="12"/>
      <c r="IQY80" s="12"/>
      <c r="IQZ80" s="12"/>
      <c r="IRA80" s="12"/>
      <c r="IRB80" s="12"/>
      <c r="IRC80" s="12"/>
      <c r="IRD80" s="12"/>
      <c r="IRE80" s="12"/>
      <c r="IRF80" s="12"/>
      <c r="IRG80" s="12"/>
      <c r="IRH80" s="12"/>
      <c r="IRI80" s="12"/>
      <c r="IRJ80" s="12"/>
      <c r="IRK80" s="12"/>
      <c r="IRL80" s="12"/>
      <c r="IRM80" s="12"/>
      <c r="IRN80" s="12"/>
      <c r="IRO80" s="12"/>
      <c r="IRP80" s="12"/>
      <c r="IRQ80" s="12"/>
      <c r="IRR80" s="12"/>
      <c r="IRS80" s="12"/>
      <c r="IRT80" s="12"/>
      <c r="IRU80" s="12"/>
      <c r="IRV80" s="12"/>
      <c r="IRW80" s="12"/>
      <c r="IRX80" s="12"/>
      <c r="IRY80" s="12"/>
      <c r="IRZ80" s="12"/>
      <c r="ISA80" s="12"/>
      <c r="ISB80" s="12"/>
      <c r="ISC80" s="12"/>
      <c r="ISD80" s="12"/>
      <c r="ISE80" s="12"/>
      <c r="ISF80" s="12"/>
      <c r="ISG80" s="12"/>
      <c r="ISH80" s="12"/>
      <c r="ISI80" s="12"/>
      <c r="ISJ80" s="12"/>
      <c r="ISK80" s="12"/>
      <c r="ISL80" s="12"/>
      <c r="ISM80" s="12"/>
      <c r="ISN80" s="12"/>
      <c r="ISO80" s="12"/>
      <c r="ISP80" s="12"/>
      <c r="ISQ80" s="12"/>
      <c r="ISR80" s="12"/>
      <c r="ISS80" s="12"/>
      <c r="IST80" s="12"/>
      <c r="ISU80" s="12"/>
      <c r="ISV80" s="12"/>
      <c r="ISW80" s="12"/>
      <c r="ISX80" s="12"/>
      <c r="ISY80" s="12"/>
      <c r="ISZ80" s="12"/>
      <c r="ITA80" s="12"/>
      <c r="ITB80" s="12"/>
      <c r="ITC80" s="12"/>
      <c r="ITD80" s="12"/>
      <c r="ITE80" s="12"/>
      <c r="ITF80" s="12"/>
      <c r="ITG80" s="12"/>
      <c r="ITH80" s="12"/>
      <c r="ITI80" s="12"/>
      <c r="ITJ80" s="12"/>
      <c r="ITK80" s="12"/>
      <c r="ITL80" s="12"/>
      <c r="ITM80" s="12"/>
      <c r="ITN80" s="12"/>
      <c r="ITO80" s="12"/>
      <c r="ITP80" s="12"/>
      <c r="ITQ80" s="12"/>
      <c r="ITR80" s="12"/>
      <c r="ITS80" s="12"/>
      <c r="ITT80" s="12"/>
      <c r="ITU80" s="12"/>
      <c r="ITV80" s="12"/>
      <c r="ITW80" s="12"/>
      <c r="ITX80" s="12"/>
      <c r="ITY80" s="12"/>
      <c r="ITZ80" s="12"/>
      <c r="IUA80" s="12"/>
      <c r="IUB80" s="12"/>
      <c r="IUC80" s="12"/>
      <c r="IUD80" s="12"/>
      <c r="IUE80" s="12"/>
      <c r="IUF80" s="12"/>
      <c r="IUG80" s="12"/>
      <c r="IUH80" s="12"/>
      <c r="IUI80" s="12"/>
      <c r="IUJ80" s="12"/>
      <c r="IUK80" s="12"/>
      <c r="IUL80" s="12"/>
      <c r="IUM80" s="12"/>
      <c r="IUN80" s="12"/>
      <c r="IUO80" s="12"/>
      <c r="IUP80" s="12"/>
      <c r="IUQ80" s="12"/>
      <c r="IUR80" s="12"/>
      <c r="IUS80" s="12"/>
      <c r="IUT80" s="12"/>
      <c r="IUU80" s="12"/>
      <c r="IUV80" s="12"/>
      <c r="IUW80" s="12"/>
      <c r="IUX80" s="12"/>
      <c r="IUY80" s="12"/>
      <c r="IUZ80" s="12"/>
      <c r="IVA80" s="12"/>
      <c r="IVB80" s="12"/>
      <c r="IVC80" s="12"/>
      <c r="IVD80" s="12"/>
      <c r="IVE80" s="12"/>
      <c r="IVF80" s="12"/>
      <c r="IVG80" s="12"/>
      <c r="IVH80" s="12"/>
      <c r="IVI80" s="12"/>
      <c r="IVJ80" s="12"/>
      <c r="IVK80" s="12"/>
      <c r="IVL80" s="12"/>
      <c r="IVM80" s="12"/>
      <c r="IVN80" s="12"/>
      <c r="IVO80" s="12"/>
      <c r="IVP80" s="12"/>
      <c r="IVQ80" s="12"/>
      <c r="IVR80" s="12"/>
      <c r="IVS80" s="12"/>
      <c r="IVT80" s="12"/>
      <c r="IVU80" s="12"/>
      <c r="IVV80" s="12"/>
      <c r="IVW80" s="12"/>
      <c r="IVX80" s="12"/>
      <c r="IVY80" s="12"/>
      <c r="IVZ80" s="12"/>
      <c r="IWA80" s="12"/>
      <c r="IWB80" s="12"/>
      <c r="IWC80" s="12"/>
      <c r="IWD80" s="12"/>
      <c r="IWE80" s="12"/>
      <c r="IWF80" s="12"/>
      <c r="IWG80" s="12"/>
      <c r="IWH80" s="12"/>
      <c r="IWI80" s="12"/>
      <c r="IWJ80" s="12"/>
      <c r="IWK80" s="12"/>
      <c r="IWL80" s="12"/>
      <c r="IWM80" s="12"/>
      <c r="IWN80" s="12"/>
      <c r="IWO80" s="12"/>
      <c r="IWP80" s="12"/>
      <c r="IWQ80" s="12"/>
      <c r="IWR80" s="12"/>
      <c r="IWS80" s="12"/>
      <c r="IWT80" s="12"/>
      <c r="IWU80" s="12"/>
      <c r="IWV80" s="12"/>
      <c r="IWW80" s="12"/>
      <c r="IWX80" s="12"/>
      <c r="IWY80" s="12"/>
      <c r="IWZ80" s="12"/>
      <c r="IXA80" s="12"/>
      <c r="IXB80" s="12"/>
      <c r="IXC80" s="12"/>
      <c r="IXD80" s="12"/>
      <c r="IXE80" s="12"/>
      <c r="IXF80" s="12"/>
      <c r="IXG80" s="12"/>
      <c r="IXH80" s="12"/>
      <c r="IXI80" s="12"/>
      <c r="IXJ80" s="12"/>
      <c r="IXK80" s="12"/>
      <c r="IXL80" s="12"/>
      <c r="IXM80" s="12"/>
      <c r="IXN80" s="12"/>
      <c r="IXO80" s="12"/>
      <c r="IXP80" s="12"/>
      <c r="IXQ80" s="12"/>
      <c r="IXR80" s="12"/>
      <c r="IXS80" s="12"/>
      <c r="IXT80" s="12"/>
      <c r="IXU80" s="12"/>
      <c r="IXV80" s="12"/>
      <c r="IXW80" s="12"/>
      <c r="IXX80" s="12"/>
      <c r="IXY80" s="12"/>
      <c r="IXZ80" s="12"/>
      <c r="IYA80" s="12"/>
      <c r="IYB80" s="12"/>
      <c r="IYC80" s="12"/>
      <c r="IYD80" s="12"/>
      <c r="IYE80" s="12"/>
      <c r="IYF80" s="12"/>
      <c r="IYG80" s="12"/>
      <c r="IYH80" s="12"/>
      <c r="IYI80" s="12"/>
      <c r="IYJ80" s="12"/>
      <c r="IYK80" s="12"/>
      <c r="IYL80" s="12"/>
      <c r="IYM80" s="12"/>
      <c r="IYN80" s="12"/>
      <c r="IYO80" s="12"/>
      <c r="IYP80" s="12"/>
      <c r="IYQ80" s="12"/>
      <c r="IYR80" s="12"/>
      <c r="IYS80" s="12"/>
      <c r="IYT80" s="12"/>
      <c r="IYU80" s="12"/>
      <c r="IYV80" s="12"/>
      <c r="IYW80" s="12"/>
      <c r="IYX80" s="12"/>
      <c r="IYY80" s="12"/>
      <c r="IYZ80" s="12"/>
      <c r="IZA80" s="12"/>
      <c r="IZB80" s="12"/>
      <c r="IZC80" s="12"/>
      <c r="IZD80" s="12"/>
      <c r="IZE80" s="12"/>
      <c r="IZF80" s="12"/>
      <c r="IZG80" s="12"/>
      <c r="IZH80" s="12"/>
      <c r="IZI80" s="12"/>
      <c r="IZJ80" s="12"/>
      <c r="IZK80" s="12"/>
      <c r="IZL80" s="12"/>
      <c r="IZM80" s="12"/>
      <c r="IZN80" s="12"/>
      <c r="IZO80" s="12"/>
      <c r="IZP80" s="12"/>
      <c r="IZQ80" s="12"/>
      <c r="IZR80" s="12"/>
      <c r="IZS80" s="12"/>
      <c r="IZT80" s="12"/>
      <c r="IZU80" s="12"/>
      <c r="IZV80" s="12"/>
      <c r="IZW80" s="12"/>
      <c r="IZX80" s="12"/>
      <c r="IZY80" s="12"/>
      <c r="IZZ80" s="12"/>
      <c r="JAA80" s="12"/>
      <c r="JAB80" s="12"/>
      <c r="JAC80" s="12"/>
      <c r="JAD80" s="12"/>
      <c r="JAE80" s="12"/>
      <c r="JAF80" s="12"/>
      <c r="JAG80" s="12"/>
      <c r="JAH80" s="12"/>
      <c r="JAI80" s="12"/>
      <c r="JAJ80" s="12"/>
      <c r="JAK80" s="12"/>
      <c r="JAL80" s="12"/>
      <c r="JAM80" s="12"/>
      <c r="JAN80" s="12"/>
      <c r="JAO80" s="12"/>
      <c r="JAP80" s="12"/>
      <c r="JAQ80" s="12"/>
      <c r="JAR80" s="12"/>
      <c r="JAS80" s="12"/>
      <c r="JAT80" s="12"/>
      <c r="JAU80" s="12"/>
      <c r="JAV80" s="12"/>
      <c r="JAW80" s="12"/>
      <c r="JAX80" s="12"/>
      <c r="JAY80" s="12"/>
      <c r="JAZ80" s="12"/>
      <c r="JBA80" s="12"/>
      <c r="JBB80" s="12"/>
      <c r="JBC80" s="12"/>
      <c r="JBD80" s="12"/>
      <c r="JBE80" s="12"/>
      <c r="JBF80" s="12"/>
      <c r="JBG80" s="12"/>
      <c r="JBH80" s="12"/>
      <c r="JBI80" s="12"/>
      <c r="JBJ80" s="12"/>
      <c r="JBK80" s="12"/>
      <c r="JBL80" s="12"/>
      <c r="JBM80" s="12"/>
      <c r="JBN80" s="12"/>
      <c r="JBO80" s="12"/>
      <c r="JBP80" s="12"/>
      <c r="JBQ80" s="12"/>
      <c r="JBR80" s="12"/>
      <c r="JBS80" s="12"/>
      <c r="JBT80" s="12"/>
      <c r="JBU80" s="12"/>
      <c r="JBV80" s="12"/>
      <c r="JBW80" s="12"/>
      <c r="JBX80" s="12"/>
      <c r="JBY80" s="12"/>
      <c r="JBZ80" s="12"/>
      <c r="JCA80" s="12"/>
      <c r="JCB80" s="12"/>
      <c r="JCC80" s="12"/>
      <c r="JCD80" s="12"/>
      <c r="JCE80" s="12"/>
      <c r="JCF80" s="12"/>
      <c r="JCG80" s="12"/>
      <c r="JCH80" s="12"/>
      <c r="JCI80" s="12"/>
      <c r="JCJ80" s="12"/>
      <c r="JCK80" s="12"/>
      <c r="JCL80" s="12"/>
      <c r="JCM80" s="12"/>
      <c r="JCN80" s="12"/>
      <c r="JCO80" s="12"/>
      <c r="JCP80" s="12"/>
      <c r="JCQ80" s="12"/>
      <c r="JCR80" s="12"/>
      <c r="JCS80" s="12"/>
      <c r="JCT80" s="12"/>
      <c r="JCU80" s="12"/>
      <c r="JCV80" s="12"/>
      <c r="JCW80" s="12"/>
      <c r="JCX80" s="12"/>
      <c r="JCY80" s="12"/>
      <c r="JCZ80" s="12"/>
      <c r="JDA80" s="12"/>
      <c r="JDB80" s="12"/>
      <c r="JDC80" s="12"/>
      <c r="JDD80" s="12"/>
      <c r="JDE80" s="12"/>
      <c r="JDF80" s="12"/>
      <c r="JDG80" s="12"/>
      <c r="JDH80" s="12"/>
      <c r="JDI80" s="12"/>
      <c r="JDJ80" s="12"/>
      <c r="JDK80" s="12"/>
      <c r="JDL80" s="12"/>
      <c r="JDM80" s="12"/>
      <c r="JDN80" s="12"/>
      <c r="JDO80" s="12"/>
      <c r="JDP80" s="12"/>
      <c r="JDQ80" s="12"/>
      <c r="JDR80" s="12"/>
      <c r="JDS80" s="12"/>
      <c r="JDT80" s="12"/>
      <c r="JDU80" s="12"/>
      <c r="JDV80" s="12"/>
      <c r="JDW80" s="12"/>
      <c r="JDX80" s="12"/>
      <c r="JDY80" s="12"/>
      <c r="JDZ80" s="12"/>
      <c r="JEA80" s="12"/>
      <c r="JEB80" s="12"/>
      <c r="JEC80" s="12"/>
      <c r="JED80" s="12"/>
      <c r="JEE80" s="12"/>
      <c r="JEF80" s="12"/>
      <c r="JEG80" s="12"/>
      <c r="JEH80" s="12"/>
      <c r="JEI80" s="12"/>
      <c r="JEJ80" s="12"/>
      <c r="JEK80" s="12"/>
      <c r="JEL80" s="12"/>
      <c r="JEM80" s="12"/>
      <c r="JEN80" s="12"/>
      <c r="JEO80" s="12"/>
      <c r="JEP80" s="12"/>
      <c r="JEQ80" s="12"/>
      <c r="JER80" s="12"/>
      <c r="JES80" s="12"/>
      <c r="JET80" s="12"/>
      <c r="JEU80" s="12"/>
      <c r="JEV80" s="12"/>
      <c r="JEW80" s="12"/>
      <c r="JEX80" s="12"/>
      <c r="JEY80" s="12"/>
      <c r="JEZ80" s="12"/>
      <c r="JFA80" s="12"/>
      <c r="JFB80" s="12"/>
      <c r="JFC80" s="12"/>
      <c r="JFD80" s="12"/>
      <c r="JFE80" s="12"/>
      <c r="JFF80" s="12"/>
      <c r="JFG80" s="12"/>
      <c r="JFH80" s="12"/>
      <c r="JFI80" s="12"/>
      <c r="JFJ80" s="12"/>
      <c r="JFK80" s="12"/>
      <c r="JFL80" s="12"/>
      <c r="JFM80" s="12"/>
      <c r="JFN80" s="12"/>
      <c r="JFO80" s="12"/>
      <c r="JFP80" s="12"/>
      <c r="JFQ80" s="12"/>
      <c r="JFR80" s="12"/>
      <c r="JFS80" s="12"/>
      <c r="JFT80" s="12"/>
      <c r="JFU80" s="12"/>
      <c r="JFV80" s="12"/>
      <c r="JFW80" s="12"/>
      <c r="JFX80" s="12"/>
      <c r="JFY80" s="12"/>
      <c r="JFZ80" s="12"/>
      <c r="JGA80" s="12"/>
      <c r="JGB80" s="12"/>
      <c r="JGC80" s="12"/>
      <c r="JGD80" s="12"/>
      <c r="JGE80" s="12"/>
      <c r="JGF80" s="12"/>
      <c r="JGG80" s="12"/>
      <c r="JGH80" s="12"/>
      <c r="JGI80" s="12"/>
      <c r="JGJ80" s="12"/>
      <c r="JGK80" s="12"/>
      <c r="JGL80" s="12"/>
      <c r="JGM80" s="12"/>
      <c r="JGN80" s="12"/>
      <c r="JGO80" s="12"/>
      <c r="JGP80" s="12"/>
      <c r="JGQ80" s="12"/>
      <c r="JGR80" s="12"/>
      <c r="JGS80" s="12"/>
      <c r="JGT80" s="12"/>
      <c r="JGU80" s="12"/>
      <c r="JGV80" s="12"/>
      <c r="JGW80" s="12"/>
      <c r="JGX80" s="12"/>
      <c r="JGY80" s="12"/>
      <c r="JGZ80" s="12"/>
      <c r="JHA80" s="12"/>
      <c r="JHB80" s="12"/>
      <c r="JHC80" s="12"/>
      <c r="JHD80" s="12"/>
      <c r="JHE80" s="12"/>
      <c r="JHF80" s="12"/>
      <c r="JHG80" s="12"/>
      <c r="JHH80" s="12"/>
      <c r="JHI80" s="12"/>
      <c r="JHJ80" s="12"/>
      <c r="JHK80" s="12"/>
      <c r="JHL80" s="12"/>
      <c r="JHM80" s="12"/>
      <c r="JHN80" s="12"/>
      <c r="JHO80" s="12"/>
      <c r="JHP80" s="12"/>
      <c r="JHQ80" s="12"/>
      <c r="JHR80" s="12"/>
      <c r="JHS80" s="12"/>
      <c r="JHT80" s="12"/>
      <c r="JHU80" s="12"/>
      <c r="JHV80" s="12"/>
      <c r="JHW80" s="12"/>
      <c r="JHX80" s="12"/>
      <c r="JHY80" s="12"/>
      <c r="JHZ80" s="12"/>
      <c r="JIA80" s="12"/>
      <c r="JIB80" s="12"/>
      <c r="JIC80" s="12"/>
      <c r="JID80" s="12"/>
      <c r="JIE80" s="12"/>
      <c r="JIF80" s="12"/>
      <c r="JIG80" s="12"/>
      <c r="JIH80" s="12"/>
      <c r="JII80" s="12"/>
      <c r="JIJ80" s="12"/>
      <c r="JIK80" s="12"/>
      <c r="JIL80" s="12"/>
      <c r="JIM80" s="12"/>
      <c r="JIN80" s="12"/>
      <c r="JIO80" s="12"/>
      <c r="JIP80" s="12"/>
      <c r="JIQ80" s="12"/>
      <c r="JIR80" s="12"/>
      <c r="JIS80" s="12"/>
      <c r="JIT80" s="12"/>
      <c r="JIU80" s="12"/>
      <c r="JIV80" s="12"/>
      <c r="JIW80" s="12"/>
      <c r="JIX80" s="12"/>
      <c r="JIY80" s="12"/>
      <c r="JIZ80" s="12"/>
      <c r="JJA80" s="12"/>
      <c r="JJB80" s="12"/>
      <c r="JJC80" s="12"/>
      <c r="JJD80" s="12"/>
      <c r="JJE80" s="12"/>
      <c r="JJF80" s="12"/>
      <c r="JJG80" s="12"/>
      <c r="JJH80" s="12"/>
      <c r="JJI80" s="12"/>
      <c r="JJJ80" s="12"/>
      <c r="JJK80" s="12"/>
      <c r="JJL80" s="12"/>
      <c r="JJM80" s="12"/>
      <c r="JJN80" s="12"/>
      <c r="JJO80" s="12"/>
      <c r="JJP80" s="12"/>
      <c r="JJQ80" s="12"/>
      <c r="JJR80" s="12"/>
      <c r="JJS80" s="12"/>
      <c r="JJT80" s="12"/>
      <c r="JJU80" s="12"/>
      <c r="JJV80" s="12"/>
      <c r="JJW80" s="12"/>
      <c r="JJX80" s="12"/>
      <c r="JJY80" s="12"/>
      <c r="JJZ80" s="12"/>
      <c r="JKA80" s="12"/>
      <c r="JKB80" s="12"/>
      <c r="JKC80" s="12"/>
      <c r="JKD80" s="12"/>
      <c r="JKE80" s="12"/>
      <c r="JKF80" s="12"/>
      <c r="JKG80" s="12"/>
      <c r="JKH80" s="12"/>
      <c r="JKI80" s="12"/>
      <c r="JKJ80" s="12"/>
      <c r="JKK80" s="12"/>
      <c r="JKL80" s="12"/>
      <c r="JKM80" s="12"/>
      <c r="JKN80" s="12"/>
      <c r="JKO80" s="12"/>
      <c r="JKP80" s="12"/>
      <c r="JKQ80" s="12"/>
      <c r="JKR80" s="12"/>
      <c r="JKS80" s="12"/>
      <c r="JKT80" s="12"/>
      <c r="JKU80" s="12"/>
      <c r="JKV80" s="12"/>
      <c r="JKW80" s="12"/>
      <c r="JKX80" s="12"/>
      <c r="JKY80" s="12"/>
      <c r="JKZ80" s="12"/>
      <c r="JLA80" s="12"/>
      <c r="JLB80" s="12"/>
      <c r="JLC80" s="12"/>
      <c r="JLD80" s="12"/>
      <c r="JLE80" s="12"/>
      <c r="JLF80" s="12"/>
      <c r="JLG80" s="12"/>
      <c r="JLH80" s="12"/>
      <c r="JLI80" s="12"/>
      <c r="JLJ80" s="12"/>
      <c r="JLK80" s="12"/>
      <c r="JLL80" s="12"/>
      <c r="JLM80" s="12"/>
      <c r="JLN80" s="12"/>
      <c r="JLO80" s="12"/>
      <c r="JLP80" s="12"/>
      <c r="JLQ80" s="12"/>
      <c r="JLR80" s="12"/>
      <c r="JLS80" s="12"/>
      <c r="JLT80" s="12"/>
      <c r="JLU80" s="12"/>
      <c r="JLV80" s="12"/>
      <c r="JLW80" s="12"/>
      <c r="JLX80" s="12"/>
      <c r="JLY80" s="12"/>
      <c r="JLZ80" s="12"/>
      <c r="JMA80" s="12"/>
      <c r="JMB80" s="12"/>
      <c r="JMC80" s="12"/>
      <c r="JMD80" s="12"/>
      <c r="JME80" s="12"/>
      <c r="JMF80" s="12"/>
      <c r="JMG80" s="12"/>
      <c r="JMH80" s="12"/>
      <c r="JMI80" s="12"/>
      <c r="JMJ80" s="12"/>
      <c r="JMK80" s="12"/>
      <c r="JML80" s="12"/>
      <c r="JMM80" s="12"/>
      <c r="JMN80" s="12"/>
      <c r="JMO80" s="12"/>
      <c r="JMP80" s="12"/>
      <c r="JMQ80" s="12"/>
      <c r="JMR80" s="12"/>
      <c r="JMS80" s="12"/>
      <c r="JMT80" s="12"/>
      <c r="JMU80" s="12"/>
      <c r="JMV80" s="12"/>
      <c r="JMW80" s="12"/>
      <c r="JMX80" s="12"/>
      <c r="JMY80" s="12"/>
      <c r="JMZ80" s="12"/>
      <c r="JNA80" s="12"/>
      <c r="JNB80" s="12"/>
      <c r="JNC80" s="12"/>
      <c r="JND80" s="12"/>
      <c r="JNE80" s="12"/>
      <c r="JNF80" s="12"/>
      <c r="JNG80" s="12"/>
      <c r="JNH80" s="12"/>
      <c r="JNI80" s="12"/>
      <c r="JNJ80" s="12"/>
      <c r="JNK80" s="12"/>
      <c r="JNL80" s="12"/>
      <c r="JNM80" s="12"/>
      <c r="JNN80" s="12"/>
      <c r="JNO80" s="12"/>
      <c r="JNP80" s="12"/>
      <c r="JNQ80" s="12"/>
      <c r="JNR80" s="12"/>
      <c r="JNS80" s="12"/>
      <c r="JNT80" s="12"/>
      <c r="JNU80" s="12"/>
      <c r="JNV80" s="12"/>
      <c r="JNW80" s="12"/>
      <c r="JNX80" s="12"/>
      <c r="JNY80" s="12"/>
      <c r="JNZ80" s="12"/>
      <c r="JOA80" s="12"/>
      <c r="JOB80" s="12"/>
      <c r="JOC80" s="12"/>
      <c r="JOD80" s="12"/>
      <c r="JOE80" s="12"/>
      <c r="JOF80" s="12"/>
      <c r="JOG80" s="12"/>
      <c r="JOH80" s="12"/>
      <c r="JOI80" s="12"/>
      <c r="JOJ80" s="12"/>
      <c r="JOK80" s="12"/>
      <c r="JOL80" s="12"/>
      <c r="JOM80" s="12"/>
      <c r="JON80" s="12"/>
      <c r="JOO80" s="12"/>
      <c r="JOP80" s="12"/>
      <c r="JOQ80" s="12"/>
      <c r="JOR80" s="12"/>
      <c r="JOS80" s="12"/>
      <c r="JOT80" s="12"/>
      <c r="JOU80" s="12"/>
      <c r="JOV80" s="12"/>
      <c r="JOW80" s="12"/>
      <c r="JOX80" s="12"/>
      <c r="JOY80" s="12"/>
      <c r="JOZ80" s="12"/>
      <c r="JPA80" s="12"/>
      <c r="JPB80" s="12"/>
      <c r="JPC80" s="12"/>
      <c r="JPD80" s="12"/>
      <c r="JPE80" s="12"/>
      <c r="JPF80" s="12"/>
      <c r="JPG80" s="12"/>
      <c r="JPH80" s="12"/>
      <c r="JPI80" s="12"/>
      <c r="JPJ80" s="12"/>
      <c r="JPK80" s="12"/>
      <c r="JPL80" s="12"/>
      <c r="JPM80" s="12"/>
      <c r="JPN80" s="12"/>
      <c r="JPO80" s="12"/>
      <c r="JPP80" s="12"/>
      <c r="JPQ80" s="12"/>
      <c r="JPR80" s="12"/>
      <c r="JPS80" s="12"/>
      <c r="JPT80" s="12"/>
      <c r="JPU80" s="12"/>
      <c r="JPV80" s="12"/>
      <c r="JPW80" s="12"/>
      <c r="JPX80" s="12"/>
      <c r="JPY80" s="12"/>
      <c r="JPZ80" s="12"/>
      <c r="JQA80" s="12"/>
      <c r="JQB80" s="12"/>
      <c r="JQC80" s="12"/>
      <c r="JQD80" s="12"/>
      <c r="JQE80" s="12"/>
      <c r="JQF80" s="12"/>
      <c r="JQG80" s="12"/>
      <c r="JQH80" s="12"/>
      <c r="JQI80" s="12"/>
      <c r="JQJ80" s="12"/>
      <c r="JQK80" s="12"/>
      <c r="JQL80" s="12"/>
      <c r="JQM80" s="12"/>
      <c r="JQN80" s="12"/>
      <c r="JQO80" s="12"/>
      <c r="JQP80" s="12"/>
      <c r="JQQ80" s="12"/>
      <c r="JQR80" s="12"/>
      <c r="JQS80" s="12"/>
      <c r="JQT80" s="12"/>
      <c r="JQU80" s="12"/>
      <c r="JQV80" s="12"/>
      <c r="JQW80" s="12"/>
      <c r="JQX80" s="12"/>
      <c r="JQY80" s="12"/>
      <c r="JQZ80" s="12"/>
      <c r="JRA80" s="12"/>
      <c r="JRB80" s="12"/>
      <c r="JRC80" s="12"/>
      <c r="JRD80" s="12"/>
      <c r="JRE80" s="12"/>
      <c r="JRF80" s="12"/>
      <c r="JRG80" s="12"/>
      <c r="JRH80" s="12"/>
      <c r="JRI80" s="12"/>
      <c r="JRJ80" s="12"/>
      <c r="JRK80" s="12"/>
      <c r="JRL80" s="12"/>
      <c r="JRM80" s="12"/>
      <c r="JRN80" s="12"/>
      <c r="JRO80" s="12"/>
      <c r="JRP80" s="12"/>
      <c r="JRQ80" s="12"/>
      <c r="JRR80" s="12"/>
      <c r="JRS80" s="12"/>
      <c r="JRT80" s="12"/>
      <c r="JRU80" s="12"/>
      <c r="JRV80" s="12"/>
      <c r="JRW80" s="12"/>
      <c r="JRX80" s="12"/>
      <c r="JRY80" s="12"/>
      <c r="JRZ80" s="12"/>
      <c r="JSA80" s="12"/>
      <c r="JSB80" s="12"/>
      <c r="JSC80" s="12"/>
      <c r="JSD80" s="12"/>
      <c r="JSE80" s="12"/>
      <c r="JSF80" s="12"/>
      <c r="JSG80" s="12"/>
      <c r="JSH80" s="12"/>
      <c r="JSI80" s="12"/>
      <c r="JSJ80" s="12"/>
      <c r="JSK80" s="12"/>
      <c r="JSL80" s="12"/>
      <c r="JSM80" s="12"/>
      <c r="JSN80" s="12"/>
      <c r="JSO80" s="12"/>
      <c r="JSP80" s="12"/>
      <c r="JSQ80" s="12"/>
      <c r="JSR80" s="12"/>
      <c r="JSS80" s="12"/>
      <c r="JST80" s="12"/>
      <c r="JSU80" s="12"/>
      <c r="JSV80" s="12"/>
      <c r="JSW80" s="12"/>
      <c r="JSX80" s="12"/>
      <c r="JSY80" s="12"/>
      <c r="JSZ80" s="12"/>
      <c r="JTA80" s="12"/>
      <c r="JTB80" s="12"/>
      <c r="JTC80" s="12"/>
      <c r="JTD80" s="12"/>
      <c r="JTE80" s="12"/>
      <c r="JTF80" s="12"/>
      <c r="JTG80" s="12"/>
      <c r="JTH80" s="12"/>
      <c r="JTI80" s="12"/>
      <c r="JTJ80" s="12"/>
      <c r="JTK80" s="12"/>
      <c r="JTL80" s="12"/>
      <c r="JTM80" s="12"/>
      <c r="JTN80" s="12"/>
      <c r="JTO80" s="12"/>
      <c r="JTP80" s="12"/>
      <c r="JTQ80" s="12"/>
      <c r="JTR80" s="12"/>
      <c r="JTS80" s="12"/>
      <c r="JTT80" s="12"/>
      <c r="JTU80" s="12"/>
      <c r="JTV80" s="12"/>
      <c r="JTW80" s="12"/>
      <c r="JTX80" s="12"/>
      <c r="JTY80" s="12"/>
      <c r="JTZ80" s="12"/>
      <c r="JUA80" s="12"/>
      <c r="JUB80" s="12"/>
      <c r="JUC80" s="12"/>
      <c r="JUD80" s="12"/>
      <c r="JUE80" s="12"/>
      <c r="JUF80" s="12"/>
      <c r="JUG80" s="12"/>
      <c r="JUH80" s="12"/>
      <c r="JUI80" s="12"/>
      <c r="JUJ80" s="12"/>
      <c r="JUK80" s="12"/>
      <c r="JUL80" s="12"/>
      <c r="JUM80" s="12"/>
      <c r="JUN80" s="12"/>
      <c r="JUO80" s="12"/>
      <c r="JUP80" s="12"/>
      <c r="JUQ80" s="12"/>
      <c r="JUR80" s="12"/>
      <c r="JUS80" s="12"/>
      <c r="JUT80" s="12"/>
      <c r="JUU80" s="12"/>
      <c r="JUV80" s="12"/>
      <c r="JUW80" s="12"/>
      <c r="JUX80" s="12"/>
      <c r="JUY80" s="12"/>
      <c r="JUZ80" s="12"/>
      <c r="JVA80" s="12"/>
      <c r="JVB80" s="12"/>
      <c r="JVC80" s="12"/>
      <c r="JVD80" s="12"/>
      <c r="JVE80" s="12"/>
      <c r="JVF80" s="12"/>
      <c r="JVG80" s="12"/>
      <c r="JVH80" s="12"/>
      <c r="JVI80" s="12"/>
      <c r="JVJ80" s="12"/>
      <c r="JVK80" s="12"/>
      <c r="JVL80" s="12"/>
      <c r="JVM80" s="12"/>
      <c r="JVN80" s="12"/>
      <c r="JVO80" s="12"/>
      <c r="JVP80" s="12"/>
      <c r="JVQ80" s="12"/>
      <c r="JVR80" s="12"/>
      <c r="JVS80" s="12"/>
      <c r="JVT80" s="12"/>
      <c r="JVU80" s="12"/>
      <c r="JVV80" s="12"/>
      <c r="JVW80" s="12"/>
      <c r="JVX80" s="12"/>
      <c r="JVY80" s="12"/>
      <c r="JVZ80" s="12"/>
      <c r="JWA80" s="12"/>
      <c r="JWB80" s="12"/>
      <c r="JWC80" s="12"/>
      <c r="JWD80" s="12"/>
      <c r="JWE80" s="12"/>
      <c r="JWF80" s="12"/>
      <c r="JWG80" s="12"/>
      <c r="JWH80" s="12"/>
      <c r="JWI80" s="12"/>
      <c r="JWJ80" s="12"/>
      <c r="JWK80" s="12"/>
      <c r="JWL80" s="12"/>
      <c r="JWM80" s="12"/>
      <c r="JWN80" s="12"/>
      <c r="JWO80" s="12"/>
      <c r="JWP80" s="12"/>
      <c r="JWQ80" s="12"/>
      <c r="JWR80" s="12"/>
      <c r="JWS80" s="12"/>
      <c r="JWT80" s="12"/>
      <c r="JWU80" s="12"/>
      <c r="JWV80" s="12"/>
      <c r="JWW80" s="12"/>
      <c r="JWX80" s="12"/>
      <c r="JWY80" s="12"/>
      <c r="JWZ80" s="12"/>
      <c r="JXA80" s="12"/>
      <c r="JXB80" s="12"/>
      <c r="JXC80" s="12"/>
      <c r="JXD80" s="12"/>
      <c r="JXE80" s="12"/>
      <c r="JXF80" s="12"/>
      <c r="JXG80" s="12"/>
      <c r="JXH80" s="12"/>
      <c r="JXI80" s="12"/>
      <c r="JXJ80" s="12"/>
      <c r="JXK80" s="12"/>
      <c r="JXL80" s="12"/>
      <c r="JXM80" s="12"/>
      <c r="JXN80" s="12"/>
      <c r="JXO80" s="12"/>
      <c r="JXP80" s="12"/>
      <c r="JXQ80" s="12"/>
      <c r="JXR80" s="12"/>
      <c r="JXS80" s="12"/>
      <c r="JXT80" s="12"/>
      <c r="JXU80" s="12"/>
      <c r="JXV80" s="12"/>
      <c r="JXW80" s="12"/>
      <c r="JXX80" s="12"/>
      <c r="JXY80" s="12"/>
      <c r="JXZ80" s="12"/>
      <c r="JYA80" s="12"/>
      <c r="JYB80" s="12"/>
      <c r="JYC80" s="12"/>
      <c r="JYD80" s="12"/>
      <c r="JYE80" s="12"/>
      <c r="JYF80" s="12"/>
      <c r="JYG80" s="12"/>
      <c r="JYH80" s="12"/>
      <c r="JYI80" s="12"/>
      <c r="JYJ80" s="12"/>
      <c r="JYK80" s="12"/>
      <c r="JYL80" s="12"/>
      <c r="JYM80" s="12"/>
      <c r="JYN80" s="12"/>
      <c r="JYO80" s="12"/>
      <c r="JYP80" s="12"/>
      <c r="JYQ80" s="12"/>
      <c r="JYR80" s="12"/>
      <c r="JYS80" s="12"/>
      <c r="JYT80" s="12"/>
      <c r="JYU80" s="12"/>
      <c r="JYV80" s="12"/>
      <c r="JYW80" s="12"/>
      <c r="JYX80" s="12"/>
      <c r="JYY80" s="12"/>
      <c r="JYZ80" s="12"/>
      <c r="JZA80" s="12"/>
      <c r="JZB80" s="12"/>
      <c r="JZC80" s="12"/>
      <c r="JZD80" s="12"/>
      <c r="JZE80" s="12"/>
      <c r="JZF80" s="12"/>
      <c r="JZG80" s="12"/>
      <c r="JZH80" s="12"/>
      <c r="JZI80" s="12"/>
      <c r="JZJ80" s="12"/>
      <c r="JZK80" s="12"/>
      <c r="JZL80" s="12"/>
      <c r="JZM80" s="12"/>
      <c r="JZN80" s="12"/>
      <c r="JZO80" s="12"/>
      <c r="JZP80" s="12"/>
      <c r="JZQ80" s="12"/>
      <c r="JZR80" s="12"/>
      <c r="JZS80" s="12"/>
      <c r="JZT80" s="12"/>
      <c r="JZU80" s="12"/>
      <c r="JZV80" s="12"/>
      <c r="JZW80" s="12"/>
      <c r="JZX80" s="12"/>
      <c r="JZY80" s="12"/>
      <c r="JZZ80" s="12"/>
      <c r="KAA80" s="12"/>
      <c r="KAB80" s="12"/>
      <c r="KAC80" s="12"/>
      <c r="KAD80" s="12"/>
      <c r="KAE80" s="12"/>
      <c r="KAF80" s="12"/>
      <c r="KAG80" s="12"/>
      <c r="KAH80" s="12"/>
      <c r="KAI80" s="12"/>
      <c r="KAJ80" s="12"/>
      <c r="KAK80" s="12"/>
      <c r="KAL80" s="12"/>
      <c r="KAM80" s="12"/>
      <c r="KAN80" s="12"/>
      <c r="KAO80" s="12"/>
      <c r="KAP80" s="12"/>
      <c r="KAQ80" s="12"/>
      <c r="KAR80" s="12"/>
      <c r="KAS80" s="12"/>
      <c r="KAT80" s="12"/>
      <c r="KAU80" s="12"/>
      <c r="KAV80" s="12"/>
      <c r="KAW80" s="12"/>
      <c r="KAX80" s="12"/>
      <c r="KAY80" s="12"/>
      <c r="KAZ80" s="12"/>
      <c r="KBA80" s="12"/>
      <c r="KBB80" s="12"/>
      <c r="KBC80" s="12"/>
      <c r="KBD80" s="12"/>
      <c r="KBE80" s="12"/>
      <c r="KBF80" s="12"/>
      <c r="KBG80" s="12"/>
      <c r="KBH80" s="12"/>
      <c r="KBI80" s="12"/>
      <c r="KBJ80" s="12"/>
      <c r="KBK80" s="12"/>
      <c r="KBL80" s="12"/>
      <c r="KBM80" s="12"/>
      <c r="KBN80" s="12"/>
      <c r="KBO80" s="12"/>
      <c r="KBP80" s="12"/>
      <c r="KBQ80" s="12"/>
      <c r="KBR80" s="12"/>
      <c r="KBS80" s="12"/>
      <c r="KBT80" s="12"/>
      <c r="KBU80" s="12"/>
      <c r="KBV80" s="12"/>
      <c r="KBW80" s="12"/>
      <c r="KBX80" s="12"/>
      <c r="KBY80" s="12"/>
      <c r="KBZ80" s="12"/>
      <c r="KCA80" s="12"/>
      <c r="KCB80" s="12"/>
      <c r="KCC80" s="12"/>
      <c r="KCD80" s="12"/>
      <c r="KCE80" s="12"/>
      <c r="KCF80" s="12"/>
      <c r="KCG80" s="12"/>
      <c r="KCH80" s="12"/>
      <c r="KCI80" s="12"/>
      <c r="KCJ80" s="12"/>
      <c r="KCK80" s="12"/>
      <c r="KCL80" s="12"/>
      <c r="KCM80" s="12"/>
      <c r="KCN80" s="12"/>
      <c r="KCO80" s="12"/>
      <c r="KCP80" s="12"/>
      <c r="KCQ80" s="12"/>
      <c r="KCR80" s="12"/>
      <c r="KCS80" s="12"/>
      <c r="KCT80" s="12"/>
      <c r="KCU80" s="12"/>
      <c r="KCV80" s="12"/>
      <c r="KCW80" s="12"/>
      <c r="KCX80" s="12"/>
      <c r="KCY80" s="12"/>
      <c r="KCZ80" s="12"/>
      <c r="KDA80" s="12"/>
      <c r="KDB80" s="12"/>
      <c r="KDC80" s="12"/>
      <c r="KDD80" s="12"/>
      <c r="KDE80" s="12"/>
      <c r="KDF80" s="12"/>
      <c r="KDG80" s="12"/>
      <c r="KDH80" s="12"/>
      <c r="KDI80" s="12"/>
      <c r="KDJ80" s="12"/>
      <c r="KDK80" s="12"/>
      <c r="KDL80" s="12"/>
      <c r="KDM80" s="12"/>
      <c r="KDN80" s="12"/>
      <c r="KDO80" s="12"/>
      <c r="KDP80" s="12"/>
      <c r="KDQ80" s="12"/>
      <c r="KDR80" s="12"/>
      <c r="KDS80" s="12"/>
      <c r="KDT80" s="12"/>
      <c r="KDU80" s="12"/>
      <c r="KDV80" s="12"/>
      <c r="KDW80" s="12"/>
      <c r="KDX80" s="12"/>
      <c r="KDY80" s="12"/>
      <c r="KDZ80" s="12"/>
      <c r="KEA80" s="12"/>
      <c r="KEB80" s="12"/>
      <c r="KEC80" s="12"/>
      <c r="KED80" s="12"/>
      <c r="KEE80" s="12"/>
      <c r="KEF80" s="12"/>
      <c r="KEG80" s="12"/>
      <c r="KEH80" s="12"/>
      <c r="KEI80" s="12"/>
      <c r="KEJ80" s="12"/>
      <c r="KEK80" s="12"/>
      <c r="KEL80" s="12"/>
      <c r="KEM80" s="12"/>
      <c r="KEN80" s="12"/>
      <c r="KEO80" s="12"/>
      <c r="KEP80" s="12"/>
      <c r="KEQ80" s="12"/>
      <c r="KER80" s="12"/>
      <c r="KES80" s="12"/>
      <c r="KET80" s="12"/>
      <c r="KEU80" s="12"/>
      <c r="KEV80" s="12"/>
      <c r="KEW80" s="12"/>
      <c r="KEX80" s="12"/>
      <c r="KEY80" s="12"/>
      <c r="KEZ80" s="12"/>
      <c r="KFA80" s="12"/>
      <c r="KFB80" s="12"/>
      <c r="KFC80" s="12"/>
      <c r="KFD80" s="12"/>
      <c r="KFE80" s="12"/>
      <c r="KFF80" s="12"/>
      <c r="KFG80" s="12"/>
      <c r="KFH80" s="12"/>
      <c r="KFI80" s="12"/>
      <c r="KFJ80" s="12"/>
      <c r="KFK80" s="12"/>
      <c r="KFL80" s="12"/>
      <c r="KFM80" s="12"/>
      <c r="KFN80" s="12"/>
      <c r="KFO80" s="12"/>
      <c r="KFP80" s="12"/>
      <c r="KFQ80" s="12"/>
      <c r="KFR80" s="12"/>
      <c r="KFS80" s="12"/>
      <c r="KFT80" s="12"/>
      <c r="KFU80" s="12"/>
      <c r="KFV80" s="12"/>
      <c r="KFW80" s="12"/>
      <c r="KFX80" s="12"/>
      <c r="KFY80" s="12"/>
      <c r="KFZ80" s="12"/>
      <c r="KGA80" s="12"/>
      <c r="KGB80" s="12"/>
      <c r="KGC80" s="12"/>
      <c r="KGD80" s="12"/>
      <c r="KGE80" s="12"/>
      <c r="KGF80" s="12"/>
      <c r="KGG80" s="12"/>
      <c r="KGH80" s="12"/>
      <c r="KGI80" s="12"/>
      <c r="KGJ80" s="12"/>
      <c r="KGK80" s="12"/>
      <c r="KGL80" s="12"/>
      <c r="KGM80" s="12"/>
      <c r="KGN80" s="12"/>
      <c r="KGO80" s="12"/>
      <c r="KGP80" s="12"/>
      <c r="KGQ80" s="12"/>
      <c r="KGR80" s="12"/>
      <c r="KGS80" s="12"/>
      <c r="KGT80" s="12"/>
      <c r="KGU80" s="12"/>
      <c r="KGV80" s="12"/>
      <c r="KGW80" s="12"/>
      <c r="KGX80" s="12"/>
      <c r="KGY80" s="12"/>
      <c r="KGZ80" s="12"/>
      <c r="KHA80" s="12"/>
      <c r="KHB80" s="12"/>
      <c r="KHC80" s="12"/>
      <c r="KHD80" s="12"/>
      <c r="KHE80" s="12"/>
      <c r="KHF80" s="12"/>
      <c r="KHG80" s="12"/>
      <c r="KHH80" s="12"/>
      <c r="KHI80" s="12"/>
      <c r="KHJ80" s="12"/>
      <c r="KHK80" s="12"/>
      <c r="KHL80" s="12"/>
      <c r="KHM80" s="12"/>
      <c r="KHN80" s="12"/>
      <c r="KHO80" s="12"/>
      <c r="KHP80" s="12"/>
      <c r="KHQ80" s="12"/>
      <c r="KHR80" s="12"/>
      <c r="KHS80" s="12"/>
      <c r="KHT80" s="12"/>
      <c r="KHU80" s="12"/>
      <c r="KHV80" s="12"/>
      <c r="KHW80" s="12"/>
      <c r="KHX80" s="12"/>
      <c r="KHY80" s="12"/>
      <c r="KHZ80" s="12"/>
      <c r="KIA80" s="12"/>
      <c r="KIB80" s="12"/>
      <c r="KIC80" s="12"/>
      <c r="KID80" s="12"/>
      <c r="KIE80" s="12"/>
      <c r="KIF80" s="12"/>
      <c r="KIG80" s="12"/>
      <c r="KIH80" s="12"/>
      <c r="KII80" s="12"/>
      <c r="KIJ80" s="12"/>
      <c r="KIK80" s="12"/>
      <c r="KIL80" s="12"/>
      <c r="KIM80" s="12"/>
      <c r="KIN80" s="12"/>
      <c r="KIO80" s="12"/>
      <c r="KIP80" s="12"/>
      <c r="KIQ80" s="12"/>
      <c r="KIR80" s="12"/>
      <c r="KIS80" s="12"/>
      <c r="KIT80" s="12"/>
      <c r="KIU80" s="12"/>
      <c r="KIV80" s="12"/>
      <c r="KIW80" s="12"/>
      <c r="KIX80" s="12"/>
      <c r="KIY80" s="12"/>
      <c r="KIZ80" s="12"/>
      <c r="KJA80" s="12"/>
      <c r="KJB80" s="12"/>
      <c r="KJC80" s="12"/>
      <c r="KJD80" s="12"/>
      <c r="KJE80" s="12"/>
      <c r="KJF80" s="12"/>
      <c r="KJG80" s="12"/>
      <c r="KJH80" s="12"/>
      <c r="KJI80" s="12"/>
      <c r="KJJ80" s="12"/>
      <c r="KJK80" s="12"/>
      <c r="KJL80" s="12"/>
      <c r="KJM80" s="12"/>
      <c r="KJN80" s="12"/>
      <c r="KJO80" s="12"/>
      <c r="KJP80" s="12"/>
      <c r="KJQ80" s="12"/>
      <c r="KJR80" s="12"/>
      <c r="KJS80" s="12"/>
      <c r="KJT80" s="12"/>
      <c r="KJU80" s="12"/>
      <c r="KJV80" s="12"/>
      <c r="KJW80" s="12"/>
      <c r="KJX80" s="12"/>
      <c r="KJY80" s="12"/>
      <c r="KJZ80" s="12"/>
      <c r="KKA80" s="12"/>
      <c r="KKB80" s="12"/>
      <c r="KKC80" s="12"/>
      <c r="KKD80" s="12"/>
      <c r="KKE80" s="12"/>
      <c r="KKF80" s="12"/>
      <c r="KKG80" s="12"/>
      <c r="KKH80" s="12"/>
      <c r="KKI80" s="12"/>
      <c r="KKJ80" s="12"/>
      <c r="KKK80" s="12"/>
      <c r="KKL80" s="12"/>
      <c r="KKM80" s="12"/>
      <c r="KKN80" s="12"/>
      <c r="KKO80" s="12"/>
      <c r="KKP80" s="12"/>
      <c r="KKQ80" s="12"/>
      <c r="KKR80" s="12"/>
      <c r="KKS80" s="12"/>
      <c r="KKT80" s="12"/>
      <c r="KKU80" s="12"/>
      <c r="KKV80" s="12"/>
      <c r="KKW80" s="12"/>
      <c r="KKX80" s="12"/>
      <c r="KKY80" s="12"/>
      <c r="KKZ80" s="12"/>
      <c r="KLA80" s="12"/>
      <c r="KLB80" s="12"/>
      <c r="KLC80" s="12"/>
      <c r="KLD80" s="12"/>
      <c r="KLE80" s="12"/>
      <c r="KLF80" s="12"/>
      <c r="KLG80" s="12"/>
      <c r="KLH80" s="12"/>
      <c r="KLI80" s="12"/>
      <c r="KLJ80" s="12"/>
      <c r="KLK80" s="12"/>
      <c r="KLL80" s="12"/>
      <c r="KLM80" s="12"/>
      <c r="KLN80" s="12"/>
      <c r="KLO80" s="12"/>
      <c r="KLP80" s="12"/>
      <c r="KLQ80" s="12"/>
      <c r="KLR80" s="12"/>
      <c r="KLS80" s="12"/>
      <c r="KLT80" s="12"/>
      <c r="KLU80" s="12"/>
      <c r="KLV80" s="12"/>
      <c r="KLW80" s="12"/>
      <c r="KLX80" s="12"/>
      <c r="KLY80" s="12"/>
      <c r="KLZ80" s="12"/>
      <c r="KMA80" s="12"/>
      <c r="KMB80" s="12"/>
      <c r="KMC80" s="12"/>
      <c r="KMD80" s="12"/>
      <c r="KME80" s="12"/>
      <c r="KMF80" s="12"/>
      <c r="KMG80" s="12"/>
      <c r="KMH80" s="12"/>
      <c r="KMI80" s="12"/>
      <c r="KMJ80" s="12"/>
      <c r="KMK80" s="12"/>
      <c r="KML80" s="12"/>
      <c r="KMM80" s="12"/>
      <c r="KMN80" s="12"/>
      <c r="KMO80" s="12"/>
      <c r="KMP80" s="12"/>
      <c r="KMQ80" s="12"/>
      <c r="KMR80" s="12"/>
      <c r="KMS80" s="12"/>
      <c r="KMT80" s="12"/>
      <c r="KMU80" s="12"/>
      <c r="KMV80" s="12"/>
      <c r="KMW80" s="12"/>
      <c r="KMX80" s="12"/>
      <c r="KMY80" s="12"/>
      <c r="KMZ80" s="12"/>
      <c r="KNA80" s="12"/>
      <c r="KNB80" s="12"/>
      <c r="KNC80" s="12"/>
      <c r="KND80" s="12"/>
      <c r="KNE80" s="12"/>
      <c r="KNF80" s="12"/>
      <c r="KNG80" s="12"/>
      <c r="KNH80" s="12"/>
      <c r="KNI80" s="12"/>
      <c r="KNJ80" s="12"/>
      <c r="KNK80" s="12"/>
      <c r="KNL80" s="12"/>
      <c r="KNM80" s="12"/>
      <c r="KNN80" s="12"/>
      <c r="KNO80" s="12"/>
      <c r="KNP80" s="12"/>
      <c r="KNQ80" s="12"/>
      <c r="KNR80" s="12"/>
      <c r="KNS80" s="12"/>
      <c r="KNT80" s="12"/>
      <c r="KNU80" s="12"/>
      <c r="KNV80" s="12"/>
      <c r="KNW80" s="12"/>
      <c r="KNX80" s="12"/>
      <c r="KNY80" s="12"/>
      <c r="KNZ80" s="12"/>
      <c r="KOA80" s="12"/>
      <c r="KOB80" s="12"/>
      <c r="KOC80" s="12"/>
      <c r="KOD80" s="12"/>
      <c r="KOE80" s="12"/>
      <c r="KOF80" s="12"/>
      <c r="KOG80" s="12"/>
      <c r="KOH80" s="12"/>
      <c r="KOI80" s="12"/>
      <c r="KOJ80" s="12"/>
      <c r="KOK80" s="12"/>
      <c r="KOL80" s="12"/>
      <c r="KOM80" s="12"/>
      <c r="KON80" s="12"/>
      <c r="KOO80" s="12"/>
      <c r="KOP80" s="12"/>
      <c r="KOQ80" s="12"/>
      <c r="KOR80" s="12"/>
      <c r="KOS80" s="12"/>
      <c r="KOT80" s="12"/>
      <c r="KOU80" s="12"/>
      <c r="KOV80" s="12"/>
      <c r="KOW80" s="12"/>
      <c r="KOX80" s="12"/>
      <c r="KOY80" s="12"/>
      <c r="KOZ80" s="12"/>
      <c r="KPA80" s="12"/>
      <c r="KPB80" s="12"/>
      <c r="KPC80" s="12"/>
      <c r="KPD80" s="12"/>
      <c r="KPE80" s="12"/>
      <c r="KPF80" s="12"/>
      <c r="KPG80" s="12"/>
      <c r="KPH80" s="12"/>
      <c r="KPI80" s="12"/>
      <c r="KPJ80" s="12"/>
      <c r="KPK80" s="12"/>
      <c r="KPL80" s="12"/>
      <c r="KPM80" s="12"/>
      <c r="KPN80" s="12"/>
      <c r="KPO80" s="12"/>
      <c r="KPP80" s="12"/>
      <c r="KPQ80" s="12"/>
      <c r="KPR80" s="12"/>
      <c r="KPS80" s="12"/>
      <c r="KPT80" s="12"/>
      <c r="KPU80" s="12"/>
      <c r="KPV80" s="12"/>
      <c r="KPW80" s="12"/>
      <c r="KPX80" s="12"/>
      <c r="KPY80" s="12"/>
      <c r="KPZ80" s="12"/>
      <c r="KQA80" s="12"/>
      <c r="KQB80" s="12"/>
      <c r="KQC80" s="12"/>
      <c r="KQD80" s="12"/>
      <c r="KQE80" s="12"/>
      <c r="KQF80" s="12"/>
      <c r="KQG80" s="12"/>
      <c r="KQH80" s="12"/>
      <c r="KQI80" s="12"/>
      <c r="KQJ80" s="12"/>
      <c r="KQK80" s="12"/>
      <c r="KQL80" s="12"/>
      <c r="KQM80" s="12"/>
      <c r="KQN80" s="12"/>
      <c r="KQO80" s="12"/>
      <c r="KQP80" s="12"/>
      <c r="KQQ80" s="12"/>
      <c r="KQR80" s="12"/>
      <c r="KQS80" s="12"/>
      <c r="KQT80" s="12"/>
      <c r="KQU80" s="12"/>
      <c r="KQV80" s="12"/>
      <c r="KQW80" s="12"/>
      <c r="KQX80" s="12"/>
      <c r="KQY80" s="12"/>
      <c r="KQZ80" s="12"/>
      <c r="KRA80" s="12"/>
      <c r="KRB80" s="12"/>
      <c r="KRC80" s="12"/>
      <c r="KRD80" s="12"/>
      <c r="KRE80" s="12"/>
      <c r="KRF80" s="12"/>
      <c r="KRG80" s="12"/>
      <c r="KRH80" s="12"/>
      <c r="KRI80" s="12"/>
      <c r="KRJ80" s="12"/>
      <c r="KRK80" s="12"/>
      <c r="KRL80" s="12"/>
      <c r="KRM80" s="12"/>
      <c r="KRN80" s="12"/>
      <c r="KRO80" s="12"/>
      <c r="KRP80" s="12"/>
      <c r="KRQ80" s="12"/>
      <c r="KRR80" s="12"/>
      <c r="KRS80" s="12"/>
      <c r="KRT80" s="12"/>
      <c r="KRU80" s="12"/>
      <c r="KRV80" s="12"/>
      <c r="KRW80" s="12"/>
      <c r="KRX80" s="12"/>
      <c r="KRY80" s="12"/>
      <c r="KRZ80" s="12"/>
      <c r="KSA80" s="12"/>
      <c r="KSB80" s="12"/>
      <c r="KSC80" s="12"/>
      <c r="KSD80" s="12"/>
      <c r="KSE80" s="12"/>
      <c r="KSF80" s="12"/>
      <c r="KSG80" s="12"/>
      <c r="KSH80" s="12"/>
      <c r="KSI80" s="12"/>
      <c r="KSJ80" s="12"/>
      <c r="KSK80" s="12"/>
      <c r="KSL80" s="12"/>
      <c r="KSM80" s="12"/>
      <c r="KSN80" s="12"/>
      <c r="KSO80" s="12"/>
      <c r="KSP80" s="12"/>
      <c r="KSQ80" s="12"/>
      <c r="KSR80" s="12"/>
      <c r="KSS80" s="12"/>
      <c r="KST80" s="12"/>
      <c r="KSU80" s="12"/>
      <c r="KSV80" s="12"/>
      <c r="KSW80" s="12"/>
      <c r="KSX80" s="12"/>
      <c r="KSY80" s="12"/>
      <c r="KSZ80" s="12"/>
      <c r="KTA80" s="12"/>
      <c r="KTB80" s="12"/>
      <c r="KTC80" s="12"/>
      <c r="KTD80" s="12"/>
      <c r="KTE80" s="12"/>
      <c r="KTF80" s="12"/>
      <c r="KTG80" s="12"/>
      <c r="KTH80" s="12"/>
      <c r="KTI80" s="12"/>
      <c r="KTJ80" s="12"/>
      <c r="KTK80" s="12"/>
      <c r="KTL80" s="12"/>
      <c r="KTM80" s="12"/>
      <c r="KTN80" s="12"/>
      <c r="KTO80" s="12"/>
      <c r="KTP80" s="12"/>
      <c r="KTQ80" s="12"/>
      <c r="KTR80" s="12"/>
      <c r="KTS80" s="12"/>
      <c r="KTT80" s="12"/>
      <c r="KTU80" s="12"/>
      <c r="KTV80" s="12"/>
      <c r="KTW80" s="12"/>
      <c r="KTX80" s="12"/>
      <c r="KTY80" s="12"/>
      <c r="KTZ80" s="12"/>
      <c r="KUA80" s="12"/>
      <c r="KUB80" s="12"/>
      <c r="KUC80" s="12"/>
      <c r="KUD80" s="12"/>
      <c r="KUE80" s="12"/>
      <c r="KUF80" s="12"/>
      <c r="KUG80" s="12"/>
      <c r="KUH80" s="12"/>
      <c r="KUI80" s="12"/>
      <c r="KUJ80" s="12"/>
      <c r="KUK80" s="12"/>
      <c r="KUL80" s="12"/>
      <c r="KUM80" s="12"/>
      <c r="KUN80" s="12"/>
      <c r="KUO80" s="12"/>
      <c r="KUP80" s="12"/>
      <c r="KUQ80" s="12"/>
      <c r="KUR80" s="12"/>
      <c r="KUS80" s="12"/>
      <c r="KUT80" s="12"/>
      <c r="KUU80" s="12"/>
      <c r="KUV80" s="12"/>
      <c r="KUW80" s="12"/>
      <c r="KUX80" s="12"/>
      <c r="KUY80" s="12"/>
      <c r="KUZ80" s="12"/>
      <c r="KVA80" s="12"/>
      <c r="KVB80" s="12"/>
      <c r="KVC80" s="12"/>
      <c r="KVD80" s="12"/>
      <c r="KVE80" s="12"/>
      <c r="KVF80" s="12"/>
      <c r="KVG80" s="12"/>
      <c r="KVH80" s="12"/>
      <c r="KVI80" s="12"/>
      <c r="KVJ80" s="12"/>
      <c r="KVK80" s="12"/>
      <c r="KVL80" s="12"/>
      <c r="KVM80" s="12"/>
      <c r="KVN80" s="12"/>
      <c r="KVO80" s="12"/>
      <c r="KVP80" s="12"/>
      <c r="KVQ80" s="12"/>
      <c r="KVR80" s="12"/>
      <c r="KVS80" s="12"/>
      <c r="KVT80" s="12"/>
      <c r="KVU80" s="12"/>
      <c r="KVV80" s="12"/>
      <c r="KVW80" s="12"/>
      <c r="KVX80" s="12"/>
      <c r="KVY80" s="12"/>
      <c r="KVZ80" s="12"/>
      <c r="KWA80" s="12"/>
      <c r="KWB80" s="12"/>
      <c r="KWC80" s="12"/>
      <c r="KWD80" s="12"/>
      <c r="KWE80" s="12"/>
      <c r="KWF80" s="12"/>
      <c r="KWG80" s="12"/>
      <c r="KWH80" s="12"/>
      <c r="KWI80" s="12"/>
      <c r="KWJ80" s="12"/>
      <c r="KWK80" s="12"/>
      <c r="KWL80" s="12"/>
      <c r="KWM80" s="12"/>
      <c r="KWN80" s="12"/>
      <c r="KWO80" s="12"/>
      <c r="KWP80" s="12"/>
      <c r="KWQ80" s="12"/>
      <c r="KWR80" s="12"/>
      <c r="KWS80" s="12"/>
      <c r="KWT80" s="12"/>
      <c r="KWU80" s="12"/>
      <c r="KWV80" s="12"/>
      <c r="KWW80" s="12"/>
      <c r="KWX80" s="12"/>
      <c r="KWY80" s="12"/>
      <c r="KWZ80" s="12"/>
      <c r="KXA80" s="12"/>
      <c r="KXB80" s="12"/>
      <c r="KXC80" s="12"/>
      <c r="KXD80" s="12"/>
      <c r="KXE80" s="12"/>
      <c r="KXF80" s="12"/>
      <c r="KXG80" s="12"/>
      <c r="KXH80" s="12"/>
      <c r="KXI80" s="12"/>
      <c r="KXJ80" s="12"/>
      <c r="KXK80" s="12"/>
      <c r="KXL80" s="12"/>
      <c r="KXM80" s="12"/>
      <c r="KXN80" s="12"/>
      <c r="KXO80" s="12"/>
      <c r="KXP80" s="12"/>
      <c r="KXQ80" s="12"/>
      <c r="KXR80" s="12"/>
      <c r="KXS80" s="12"/>
      <c r="KXT80" s="12"/>
      <c r="KXU80" s="12"/>
      <c r="KXV80" s="12"/>
      <c r="KXW80" s="12"/>
      <c r="KXX80" s="12"/>
      <c r="KXY80" s="12"/>
      <c r="KXZ80" s="12"/>
      <c r="KYA80" s="12"/>
      <c r="KYB80" s="12"/>
      <c r="KYC80" s="12"/>
      <c r="KYD80" s="12"/>
      <c r="KYE80" s="12"/>
      <c r="KYF80" s="12"/>
      <c r="KYG80" s="12"/>
      <c r="KYH80" s="12"/>
      <c r="KYI80" s="12"/>
      <c r="KYJ80" s="12"/>
      <c r="KYK80" s="12"/>
      <c r="KYL80" s="12"/>
      <c r="KYM80" s="12"/>
      <c r="KYN80" s="12"/>
      <c r="KYO80" s="12"/>
      <c r="KYP80" s="12"/>
      <c r="KYQ80" s="12"/>
      <c r="KYR80" s="12"/>
      <c r="KYS80" s="12"/>
      <c r="KYT80" s="12"/>
      <c r="KYU80" s="12"/>
      <c r="KYV80" s="12"/>
      <c r="KYW80" s="12"/>
      <c r="KYX80" s="12"/>
      <c r="KYY80" s="12"/>
      <c r="KYZ80" s="12"/>
      <c r="KZA80" s="12"/>
      <c r="KZB80" s="12"/>
      <c r="KZC80" s="12"/>
      <c r="KZD80" s="12"/>
      <c r="KZE80" s="12"/>
      <c r="KZF80" s="12"/>
      <c r="KZG80" s="12"/>
      <c r="KZH80" s="12"/>
      <c r="KZI80" s="12"/>
      <c r="KZJ80" s="12"/>
      <c r="KZK80" s="12"/>
      <c r="KZL80" s="12"/>
      <c r="KZM80" s="12"/>
      <c r="KZN80" s="12"/>
      <c r="KZO80" s="12"/>
      <c r="KZP80" s="12"/>
      <c r="KZQ80" s="12"/>
      <c r="KZR80" s="12"/>
      <c r="KZS80" s="12"/>
      <c r="KZT80" s="12"/>
      <c r="KZU80" s="12"/>
      <c r="KZV80" s="12"/>
      <c r="KZW80" s="12"/>
      <c r="KZX80" s="12"/>
      <c r="KZY80" s="12"/>
      <c r="KZZ80" s="12"/>
      <c r="LAA80" s="12"/>
      <c r="LAB80" s="12"/>
      <c r="LAC80" s="12"/>
      <c r="LAD80" s="12"/>
      <c r="LAE80" s="12"/>
      <c r="LAF80" s="12"/>
      <c r="LAG80" s="12"/>
      <c r="LAH80" s="12"/>
      <c r="LAI80" s="12"/>
      <c r="LAJ80" s="12"/>
      <c r="LAK80" s="12"/>
      <c r="LAL80" s="12"/>
      <c r="LAM80" s="12"/>
      <c r="LAN80" s="12"/>
      <c r="LAO80" s="12"/>
      <c r="LAP80" s="12"/>
      <c r="LAQ80" s="12"/>
      <c r="LAR80" s="12"/>
      <c r="LAS80" s="12"/>
      <c r="LAT80" s="12"/>
      <c r="LAU80" s="12"/>
      <c r="LAV80" s="12"/>
      <c r="LAW80" s="12"/>
      <c r="LAX80" s="12"/>
      <c r="LAY80" s="12"/>
      <c r="LAZ80" s="12"/>
      <c r="LBA80" s="12"/>
      <c r="LBB80" s="12"/>
      <c r="LBC80" s="12"/>
      <c r="LBD80" s="12"/>
      <c r="LBE80" s="12"/>
      <c r="LBF80" s="12"/>
      <c r="LBG80" s="12"/>
      <c r="LBH80" s="12"/>
      <c r="LBI80" s="12"/>
      <c r="LBJ80" s="12"/>
      <c r="LBK80" s="12"/>
      <c r="LBL80" s="12"/>
      <c r="LBM80" s="12"/>
      <c r="LBN80" s="12"/>
      <c r="LBO80" s="12"/>
      <c r="LBP80" s="12"/>
      <c r="LBQ80" s="12"/>
      <c r="LBR80" s="12"/>
      <c r="LBS80" s="12"/>
      <c r="LBT80" s="12"/>
      <c r="LBU80" s="12"/>
      <c r="LBV80" s="12"/>
      <c r="LBW80" s="12"/>
      <c r="LBX80" s="12"/>
      <c r="LBY80" s="12"/>
      <c r="LBZ80" s="12"/>
      <c r="LCA80" s="12"/>
      <c r="LCB80" s="12"/>
      <c r="LCC80" s="12"/>
      <c r="LCD80" s="12"/>
      <c r="LCE80" s="12"/>
      <c r="LCF80" s="12"/>
      <c r="LCG80" s="12"/>
      <c r="LCH80" s="12"/>
      <c r="LCI80" s="12"/>
      <c r="LCJ80" s="12"/>
      <c r="LCK80" s="12"/>
      <c r="LCL80" s="12"/>
      <c r="LCM80" s="12"/>
      <c r="LCN80" s="12"/>
      <c r="LCO80" s="12"/>
      <c r="LCP80" s="12"/>
      <c r="LCQ80" s="12"/>
      <c r="LCR80" s="12"/>
      <c r="LCS80" s="12"/>
      <c r="LCT80" s="12"/>
      <c r="LCU80" s="12"/>
      <c r="LCV80" s="12"/>
      <c r="LCW80" s="12"/>
      <c r="LCX80" s="12"/>
      <c r="LCY80" s="12"/>
      <c r="LCZ80" s="12"/>
      <c r="LDA80" s="12"/>
      <c r="LDB80" s="12"/>
      <c r="LDC80" s="12"/>
      <c r="LDD80" s="12"/>
      <c r="LDE80" s="12"/>
      <c r="LDF80" s="12"/>
      <c r="LDG80" s="12"/>
      <c r="LDH80" s="12"/>
      <c r="LDI80" s="12"/>
      <c r="LDJ80" s="12"/>
      <c r="LDK80" s="12"/>
      <c r="LDL80" s="12"/>
      <c r="LDM80" s="12"/>
      <c r="LDN80" s="12"/>
      <c r="LDO80" s="12"/>
      <c r="LDP80" s="12"/>
      <c r="LDQ80" s="12"/>
      <c r="LDR80" s="12"/>
      <c r="LDS80" s="12"/>
      <c r="LDT80" s="12"/>
      <c r="LDU80" s="12"/>
      <c r="LDV80" s="12"/>
      <c r="LDW80" s="12"/>
      <c r="LDX80" s="12"/>
      <c r="LDY80" s="12"/>
      <c r="LDZ80" s="12"/>
      <c r="LEA80" s="12"/>
      <c r="LEB80" s="12"/>
      <c r="LEC80" s="12"/>
      <c r="LED80" s="12"/>
      <c r="LEE80" s="12"/>
      <c r="LEF80" s="12"/>
      <c r="LEG80" s="12"/>
      <c r="LEH80" s="12"/>
      <c r="LEI80" s="12"/>
      <c r="LEJ80" s="12"/>
      <c r="LEK80" s="12"/>
      <c r="LEL80" s="12"/>
      <c r="LEM80" s="12"/>
      <c r="LEN80" s="12"/>
      <c r="LEO80" s="12"/>
      <c r="LEP80" s="12"/>
      <c r="LEQ80" s="12"/>
      <c r="LER80" s="12"/>
      <c r="LES80" s="12"/>
      <c r="LET80" s="12"/>
      <c r="LEU80" s="12"/>
      <c r="LEV80" s="12"/>
      <c r="LEW80" s="12"/>
      <c r="LEX80" s="12"/>
      <c r="LEY80" s="12"/>
      <c r="LEZ80" s="12"/>
      <c r="LFA80" s="12"/>
      <c r="LFB80" s="12"/>
      <c r="LFC80" s="12"/>
      <c r="LFD80" s="12"/>
      <c r="LFE80" s="12"/>
      <c r="LFF80" s="12"/>
      <c r="LFG80" s="12"/>
      <c r="LFH80" s="12"/>
      <c r="LFI80" s="12"/>
      <c r="LFJ80" s="12"/>
      <c r="LFK80" s="12"/>
      <c r="LFL80" s="12"/>
      <c r="LFM80" s="12"/>
      <c r="LFN80" s="12"/>
      <c r="LFO80" s="12"/>
      <c r="LFP80" s="12"/>
      <c r="LFQ80" s="12"/>
      <c r="LFR80" s="12"/>
      <c r="LFS80" s="12"/>
      <c r="LFT80" s="12"/>
      <c r="LFU80" s="12"/>
      <c r="LFV80" s="12"/>
      <c r="LFW80" s="12"/>
      <c r="LFX80" s="12"/>
      <c r="LFY80" s="12"/>
      <c r="LFZ80" s="12"/>
      <c r="LGA80" s="12"/>
      <c r="LGB80" s="12"/>
      <c r="LGC80" s="12"/>
      <c r="LGD80" s="12"/>
      <c r="LGE80" s="12"/>
      <c r="LGF80" s="12"/>
      <c r="LGG80" s="12"/>
      <c r="LGH80" s="12"/>
      <c r="LGI80" s="12"/>
      <c r="LGJ80" s="12"/>
      <c r="LGK80" s="12"/>
      <c r="LGL80" s="12"/>
      <c r="LGM80" s="12"/>
      <c r="LGN80" s="12"/>
      <c r="LGO80" s="12"/>
      <c r="LGP80" s="12"/>
      <c r="LGQ80" s="12"/>
      <c r="LGR80" s="12"/>
      <c r="LGS80" s="12"/>
      <c r="LGT80" s="12"/>
      <c r="LGU80" s="12"/>
      <c r="LGV80" s="12"/>
      <c r="LGW80" s="12"/>
      <c r="LGX80" s="12"/>
      <c r="LGY80" s="12"/>
      <c r="LGZ80" s="12"/>
      <c r="LHA80" s="12"/>
      <c r="LHB80" s="12"/>
      <c r="LHC80" s="12"/>
      <c r="LHD80" s="12"/>
      <c r="LHE80" s="12"/>
      <c r="LHF80" s="12"/>
      <c r="LHG80" s="12"/>
      <c r="LHH80" s="12"/>
      <c r="LHI80" s="12"/>
      <c r="LHJ80" s="12"/>
      <c r="LHK80" s="12"/>
      <c r="LHL80" s="12"/>
      <c r="LHM80" s="12"/>
      <c r="LHN80" s="12"/>
      <c r="LHO80" s="12"/>
      <c r="LHP80" s="12"/>
      <c r="LHQ80" s="12"/>
      <c r="LHR80" s="12"/>
      <c r="LHS80" s="12"/>
      <c r="LHT80" s="12"/>
      <c r="LHU80" s="12"/>
      <c r="LHV80" s="12"/>
      <c r="LHW80" s="12"/>
      <c r="LHX80" s="12"/>
      <c r="LHY80" s="12"/>
      <c r="LHZ80" s="12"/>
      <c r="LIA80" s="12"/>
      <c r="LIB80" s="12"/>
      <c r="LIC80" s="12"/>
      <c r="LID80" s="12"/>
      <c r="LIE80" s="12"/>
      <c r="LIF80" s="12"/>
      <c r="LIG80" s="12"/>
      <c r="LIH80" s="12"/>
      <c r="LII80" s="12"/>
      <c r="LIJ80" s="12"/>
      <c r="LIK80" s="12"/>
      <c r="LIL80" s="12"/>
      <c r="LIM80" s="12"/>
      <c r="LIN80" s="12"/>
      <c r="LIO80" s="12"/>
      <c r="LIP80" s="12"/>
      <c r="LIQ80" s="12"/>
      <c r="LIR80" s="12"/>
      <c r="LIS80" s="12"/>
      <c r="LIT80" s="12"/>
      <c r="LIU80" s="12"/>
      <c r="LIV80" s="12"/>
      <c r="LIW80" s="12"/>
      <c r="LIX80" s="12"/>
      <c r="LIY80" s="12"/>
      <c r="LIZ80" s="12"/>
      <c r="LJA80" s="12"/>
      <c r="LJB80" s="12"/>
      <c r="LJC80" s="12"/>
      <c r="LJD80" s="12"/>
      <c r="LJE80" s="12"/>
      <c r="LJF80" s="12"/>
      <c r="LJG80" s="12"/>
      <c r="LJH80" s="12"/>
      <c r="LJI80" s="12"/>
      <c r="LJJ80" s="12"/>
      <c r="LJK80" s="12"/>
      <c r="LJL80" s="12"/>
      <c r="LJM80" s="12"/>
      <c r="LJN80" s="12"/>
      <c r="LJO80" s="12"/>
      <c r="LJP80" s="12"/>
      <c r="LJQ80" s="12"/>
      <c r="LJR80" s="12"/>
      <c r="LJS80" s="12"/>
      <c r="LJT80" s="12"/>
      <c r="LJU80" s="12"/>
      <c r="LJV80" s="12"/>
      <c r="LJW80" s="12"/>
      <c r="LJX80" s="12"/>
      <c r="LJY80" s="12"/>
      <c r="LJZ80" s="12"/>
      <c r="LKA80" s="12"/>
      <c r="LKB80" s="12"/>
      <c r="LKC80" s="12"/>
      <c r="LKD80" s="12"/>
      <c r="LKE80" s="12"/>
      <c r="LKF80" s="12"/>
      <c r="LKG80" s="12"/>
      <c r="LKH80" s="12"/>
      <c r="LKI80" s="12"/>
      <c r="LKJ80" s="12"/>
      <c r="LKK80" s="12"/>
      <c r="LKL80" s="12"/>
      <c r="LKM80" s="12"/>
      <c r="LKN80" s="12"/>
      <c r="LKO80" s="12"/>
      <c r="LKP80" s="12"/>
      <c r="LKQ80" s="12"/>
      <c r="LKR80" s="12"/>
      <c r="LKS80" s="12"/>
      <c r="LKT80" s="12"/>
      <c r="LKU80" s="12"/>
      <c r="LKV80" s="12"/>
      <c r="LKW80" s="12"/>
      <c r="LKX80" s="12"/>
      <c r="LKY80" s="12"/>
      <c r="LKZ80" s="12"/>
      <c r="LLA80" s="12"/>
      <c r="LLB80" s="12"/>
      <c r="LLC80" s="12"/>
      <c r="LLD80" s="12"/>
      <c r="LLE80" s="12"/>
      <c r="LLF80" s="12"/>
      <c r="LLG80" s="12"/>
      <c r="LLH80" s="12"/>
      <c r="LLI80" s="12"/>
      <c r="LLJ80" s="12"/>
      <c r="LLK80" s="12"/>
      <c r="LLL80" s="12"/>
      <c r="LLM80" s="12"/>
      <c r="LLN80" s="12"/>
      <c r="LLO80" s="12"/>
      <c r="LLP80" s="12"/>
      <c r="LLQ80" s="12"/>
      <c r="LLR80" s="12"/>
      <c r="LLS80" s="12"/>
      <c r="LLT80" s="12"/>
      <c r="LLU80" s="12"/>
      <c r="LLV80" s="12"/>
      <c r="LLW80" s="12"/>
      <c r="LLX80" s="12"/>
      <c r="LLY80" s="12"/>
      <c r="LLZ80" s="12"/>
      <c r="LMA80" s="12"/>
      <c r="LMB80" s="12"/>
      <c r="LMC80" s="12"/>
      <c r="LMD80" s="12"/>
      <c r="LME80" s="12"/>
      <c r="LMF80" s="12"/>
      <c r="LMG80" s="12"/>
      <c r="LMH80" s="12"/>
      <c r="LMI80" s="12"/>
      <c r="LMJ80" s="12"/>
      <c r="LMK80" s="12"/>
      <c r="LML80" s="12"/>
      <c r="LMM80" s="12"/>
      <c r="LMN80" s="12"/>
      <c r="LMO80" s="12"/>
      <c r="LMP80" s="12"/>
      <c r="LMQ80" s="12"/>
      <c r="LMR80" s="12"/>
      <c r="LMS80" s="12"/>
      <c r="LMT80" s="12"/>
      <c r="LMU80" s="12"/>
      <c r="LMV80" s="12"/>
      <c r="LMW80" s="12"/>
      <c r="LMX80" s="12"/>
      <c r="LMY80" s="12"/>
      <c r="LMZ80" s="12"/>
      <c r="LNA80" s="12"/>
      <c r="LNB80" s="12"/>
      <c r="LNC80" s="12"/>
      <c r="LND80" s="12"/>
      <c r="LNE80" s="12"/>
      <c r="LNF80" s="12"/>
      <c r="LNG80" s="12"/>
      <c r="LNH80" s="12"/>
      <c r="LNI80" s="12"/>
      <c r="LNJ80" s="12"/>
      <c r="LNK80" s="12"/>
      <c r="LNL80" s="12"/>
      <c r="LNM80" s="12"/>
      <c r="LNN80" s="12"/>
      <c r="LNO80" s="12"/>
      <c r="LNP80" s="12"/>
      <c r="LNQ80" s="12"/>
      <c r="LNR80" s="12"/>
      <c r="LNS80" s="12"/>
      <c r="LNT80" s="12"/>
      <c r="LNU80" s="12"/>
      <c r="LNV80" s="12"/>
      <c r="LNW80" s="12"/>
      <c r="LNX80" s="12"/>
      <c r="LNY80" s="12"/>
      <c r="LNZ80" s="12"/>
      <c r="LOA80" s="12"/>
      <c r="LOB80" s="12"/>
      <c r="LOC80" s="12"/>
      <c r="LOD80" s="12"/>
      <c r="LOE80" s="12"/>
      <c r="LOF80" s="12"/>
      <c r="LOG80" s="12"/>
      <c r="LOH80" s="12"/>
      <c r="LOI80" s="12"/>
      <c r="LOJ80" s="12"/>
      <c r="LOK80" s="12"/>
      <c r="LOL80" s="12"/>
      <c r="LOM80" s="12"/>
      <c r="LON80" s="12"/>
      <c r="LOO80" s="12"/>
      <c r="LOP80" s="12"/>
      <c r="LOQ80" s="12"/>
      <c r="LOR80" s="12"/>
      <c r="LOS80" s="12"/>
      <c r="LOT80" s="12"/>
      <c r="LOU80" s="12"/>
      <c r="LOV80" s="12"/>
      <c r="LOW80" s="12"/>
      <c r="LOX80" s="12"/>
      <c r="LOY80" s="12"/>
      <c r="LOZ80" s="12"/>
      <c r="LPA80" s="12"/>
      <c r="LPB80" s="12"/>
      <c r="LPC80" s="12"/>
      <c r="LPD80" s="12"/>
      <c r="LPE80" s="12"/>
      <c r="LPF80" s="12"/>
      <c r="LPG80" s="12"/>
      <c r="LPH80" s="12"/>
      <c r="LPI80" s="12"/>
      <c r="LPJ80" s="12"/>
      <c r="LPK80" s="12"/>
      <c r="LPL80" s="12"/>
      <c r="LPM80" s="12"/>
      <c r="LPN80" s="12"/>
      <c r="LPO80" s="12"/>
      <c r="LPP80" s="12"/>
      <c r="LPQ80" s="12"/>
      <c r="LPR80" s="12"/>
      <c r="LPS80" s="12"/>
      <c r="LPT80" s="12"/>
      <c r="LPU80" s="12"/>
      <c r="LPV80" s="12"/>
      <c r="LPW80" s="12"/>
      <c r="LPX80" s="12"/>
      <c r="LPY80" s="12"/>
      <c r="LPZ80" s="12"/>
      <c r="LQA80" s="12"/>
      <c r="LQB80" s="12"/>
      <c r="LQC80" s="12"/>
      <c r="LQD80" s="12"/>
      <c r="LQE80" s="12"/>
      <c r="LQF80" s="12"/>
      <c r="LQG80" s="12"/>
      <c r="LQH80" s="12"/>
      <c r="LQI80" s="12"/>
      <c r="LQJ80" s="12"/>
      <c r="LQK80" s="12"/>
      <c r="LQL80" s="12"/>
      <c r="LQM80" s="12"/>
      <c r="LQN80" s="12"/>
      <c r="LQO80" s="12"/>
      <c r="LQP80" s="12"/>
      <c r="LQQ80" s="12"/>
      <c r="LQR80" s="12"/>
      <c r="LQS80" s="12"/>
      <c r="LQT80" s="12"/>
      <c r="LQU80" s="12"/>
      <c r="LQV80" s="12"/>
      <c r="LQW80" s="12"/>
      <c r="LQX80" s="12"/>
      <c r="LQY80" s="12"/>
      <c r="LQZ80" s="12"/>
      <c r="LRA80" s="12"/>
      <c r="LRB80" s="12"/>
      <c r="LRC80" s="12"/>
      <c r="LRD80" s="12"/>
      <c r="LRE80" s="12"/>
      <c r="LRF80" s="12"/>
      <c r="LRG80" s="12"/>
      <c r="LRH80" s="12"/>
      <c r="LRI80" s="12"/>
      <c r="LRJ80" s="12"/>
      <c r="LRK80" s="12"/>
      <c r="LRL80" s="12"/>
      <c r="LRM80" s="12"/>
      <c r="LRN80" s="12"/>
      <c r="LRO80" s="12"/>
      <c r="LRP80" s="12"/>
      <c r="LRQ80" s="12"/>
      <c r="LRR80" s="12"/>
      <c r="LRS80" s="12"/>
      <c r="LRT80" s="12"/>
      <c r="LRU80" s="12"/>
      <c r="LRV80" s="12"/>
      <c r="LRW80" s="12"/>
      <c r="LRX80" s="12"/>
      <c r="LRY80" s="12"/>
      <c r="LRZ80" s="12"/>
      <c r="LSA80" s="12"/>
      <c r="LSB80" s="12"/>
      <c r="LSC80" s="12"/>
      <c r="LSD80" s="12"/>
      <c r="LSE80" s="12"/>
      <c r="LSF80" s="12"/>
      <c r="LSG80" s="12"/>
      <c r="LSH80" s="12"/>
      <c r="LSI80" s="12"/>
      <c r="LSJ80" s="12"/>
      <c r="LSK80" s="12"/>
      <c r="LSL80" s="12"/>
      <c r="LSM80" s="12"/>
      <c r="LSN80" s="12"/>
      <c r="LSO80" s="12"/>
      <c r="LSP80" s="12"/>
      <c r="LSQ80" s="12"/>
      <c r="LSR80" s="12"/>
      <c r="LSS80" s="12"/>
      <c r="LST80" s="12"/>
      <c r="LSU80" s="12"/>
      <c r="LSV80" s="12"/>
      <c r="LSW80" s="12"/>
      <c r="LSX80" s="12"/>
      <c r="LSY80" s="12"/>
      <c r="LSZ80" s="12"/>
      <c r="LTA80" s="12"/>
      <c r="LTB80" s="12"/>
      <c r="LTC80" s="12"/>
      <c r="LTD80" s="12"/>
      <c r="LTE80" s="12"/>
      <c r="LTF80" s="12"/>
      <c r="LTG80" s="12"/>
      <c r="LTH80" s="12"/>
      <c r="LTI80" s="12"/>
      <c r="LTJ80" s="12"/>
      <c r="LTK80" s="12"/>
      <c r="LTL80" s="12"/>
      <c r="LTM80" s="12"/>
      <c r="LTN80" s="12"/>
      <c r="LTO80" s="12"/>
      <c r="LTP80" s="12"/>
      <c r="LTQ80" s="12"/>
      <c r="LTR80" s="12"/>
      <c r="LTS80" s="12"/>
      <c r="LTT80" s="12"/>
      <c r="LTU80" s="12"/>
      <c r="LTV80" s="12"/>
      <c r="LTW80" s="12"/>
      <c r="LTX80" s="12"/>
      <c r="LTY80" s="12"/>
      <c r="LTZ80" s="12"/>
      <c r="LUA80" s="12"/>
      <c r="LUB80" s="12"/>
      <c r="LUC80" s="12"/>
      <c r="LUD80" s="12"/>
      <c r="LUE80" s="12"/>
      <c r="LUF80" s="12"/>
      <c r="LUG80" s="12"/>
      <c r="LUH80" s="12"/>
      <c r="LUI80" s="12"/>
      <c r="LUJ80" s="12"/>
      <c r="LUK80" s="12"/>
      <c r="LUL80" s="12"/>
      <c r="LUM80" s="12"/>
      <c r="LUN80" s="12"/>
      <c r="LUO80" s="12"/>
      <c r="LUP80" s="12"/>
      <c r="LUQ80" s="12"/>
      <c r="LUR80" s="12"/>
      <c r="LUS80" s="12"/>
      <c r="LUT80" s="12"/>
      <c r="LUU80" s="12"/>
      <c r="LUV80" s="12"/>
      <c r="LUW80" s="12"/>
      <c r="LUX80" s="12"/>
      <c r="LUY80" s="12"/>
      <c r="LUZ80" s="12"/>
      <c r="LVA80" s="12"/>
      <c r="LVB80" s="12"/>
      <c r="LVC80" s="12"/>
      <c r="LVD80" s="12"/>
      <c r="LVE80" s="12"/>
      <c r="LVF80" s="12"/>
      <c r="LVG80" s="12"/>
      <c r="LVH80" s="12"/>
      <c r="LVI80" s="12"/>
      <c r="LVJ80" s="12"/>
      <c r="LVK80" s="12"/>
      <c r="LVL80" s="12"/>
      <c r="LVM80" s="12"/>
      <c r="LVN80" s="12"/>
      <c r="LVO80" s="12"/>
      <c r="LVP80" s="12"/>
      <c r="LVQ80" s="12"/>
      <c r="LVR80" s="12"/>
      <c r="LVS80" s="12"/>
      <c r="LVT80" s="12"/>
      <c r="LVU80" s="12"/>
      <c r="LVV80" s="12"/>
      <c r="LVW80" s="12"/>
      <c r="LVX80" s="12"/>
      <c r="LVY80" s="12"/>
      <c r="LVZ80" s="12"/>
      <c r="LWA80" s="12"/>
      <c r="LWB80" s="12"/>
      <c r="LWC80" s="12"/>
      <c r="LWD80" s="12"/>
      <c r="LWE80" s="12"/>
      <c r="LWF80" s="12"/>
      <c r="LWG80" s="12"/>
      <c r="LWH80" s="12"/>
      <c r="LWI80" s="12"/>
      <c r="LWJ80" s="12"/>
      <c r="LWK80" s="12"/>
      <c r="LWL80" s="12"/>
      <c r="LWM80" s="12"/>
      <c r="LWN80" s="12"/>
      <c r="LWO80" s="12"/>
      <c r="LWP80" s="12"/>
      <c r="LWQ80" s="12"/>
      <c r="LWR80" s="12"/>
      <c r="LWS80" s="12"/>
      <c r="LWT80" s="12"/>
      <c r="LWU80" s="12"/>
      <c r="LWV80" s="12"/>
      <c r="LWW80" s="12"/>
      <c r="LWX80" s="12"/>
      <c r="LWY80" s="12"/>
      <c r="LWZ80" s="12"/>
      <c r="LXA80" s="12"/>
      <c r="LXB80" s="12"/>
      <c r="LXC80" s="12"/>
      <c r="LXD80" s="12"/>
      <c r="LXE80" s="12"/>
      <c r="LXF80" s="12"/>
      <c r="LXG80" s="12"/>
      <c r="LXH80" s="12"/>
      <c r="LXI80" s="12"/>
      <c r="LXJ80" s="12"/>
      <c r="LXK80" s="12"/>
      <c r="LXL80" s="12"/>
      <c r="LXM80" s="12"/>
      <c r="LXN80" s="12"/>
      <c r="LXO80" s="12"/>
      <c r="LXP80" s="12"/>
      <c r="LXQ80" s="12"/>
      <c r="LXR80" s="12"/>
      <c r="LXS80" s="12"/>
      <c r="LXT80" s="12"/>
      <c r="LXU80" s="12"/>
      <c r="LXV80" s="12"/>
      <c r="LXW80" s="12"/>
      <c r="LXX80" s="12"/>
      <c r="LXY80" s="12"/>
      <c r="LXZ80" s="12"/>
      <c r="LYA80" s="12"/>
      <c r="LYB80" s="12"/>
      <c r="LYC80" s="12"/>
      <c r="LYD80" s="12"/>
      <c r="LYE80" s="12"/>
      <c r="LYF80" s="12"/>
      <c r="LYG80" s="12"/>
      <c r="LYH80" s="12"/>
      <c r="LYI80" s="12"/>
      <c r="LYJ80" s="12"/>
      <c r="LYK80" s="12"/>
      <c r="LYL80" s="12"/>
      <c r="LYM80" s="12"/>
      <c r="LYN80" s="12"/>
      <c r="LYO80" s="12"/>
      <c r="LYP80" s="12"/>
      <c r="LYQ80" s="12"/>
      <c r="LYR80" s="12"/>
      <c r="LYS80" s="12"/>
      <c r="LYT80" s="12"/>
      <c r="LYU80" s="12"/>
      <c r="LYV80" s="12"/>
      <c r="LYW80" s="12"/>
      <c r="LYX80" s="12"/>
      <c r="LYY80" s="12"/>
      <c r="LYZ80" s="12"/>
      <c r="LZA80" s="12"/>
      <c r="LZB80" s="12"/>
      <c r="LZC80" s="12"/>
      <c r="LZD80" s="12"/>
      <c r="LZE80" s="12"/>
      <c r="LZF80" s="12"/>
      <c r="LZG80" s="12"/>
      <c r="LZH80" s="12"/>
      <c r="LZI80" s="12"/>
      <c r="LZJ80" s="12"/>
      <c r="LZK80" s="12"/>
      <c r="LZL80" s="12"/>
      <c r="LZM80" s="12"/>
      <c r="LZN80" s="12"/>
      <c r="LZO80" s="12"/>
      <c r="LZP80" s="12"/>
      <c r="LZQ80" s="12"/>
      <c r="LZR80" s="12"/>
      <c r="LZS80" s="12"/>
      <c r="LZT80" s="12"/>
      <c r="LZU80" s="12"/>
      <c r="LZV80" s="12"/>
      <c r="LZW80" s="12"/>
      <c r="LZX80" s="12"/>
      <c r="LZY80" s="12"/>
      <c r="LZZ80" s="12"/>
      <c r="MAA80" s="12"/>
      <c r="MAB80" s="12"/>
      <c r="MAC80" s="12"/>
      <c r="MAD80" s="12"/>
      <c r="MAE80" s="12"/>
      <c r="MAF80" s="12"/>
      <c r="MAG80" s="12"/>
      <c r="MAH80" s="12"/>
      <c r="MAI80" s="12"/>
      <c r="MAJ80" s="12"/>
      <c r="MAK80" s="12"/>
      <c r="MAL80" s="12"/>
      <c r="MAM80" s="12"/>
      <c r="MAN80" s="12"/>
      <c r="MAO80" s="12"/>
      <c r="MAP80" s="12"/>
      <c r="MAQ80" s="12"/>
      <c r="MAR80" s="12"/>
      <c r="MAS80" s="12"/>
      <c r="MAT80" s="12"/>
      <c r="MAU80" s="12"/>
      <c r="MAV80" s="12"/>
      <c r="MAW80" s="12"/>
      <c r="MAX80" s="12"/>
      <c r="MAY80" s="12"/>
      <c r="MAZ80" s="12"/>
      <c r="MBA80" s="12"/>
      <c r="MBB80" s="12"/>
      <c r="MBC80" s="12"/>
      <c r="MBD80" s="12"/>
      <c r="MBE80" s="12"/>
      <c r="MBF80" s="12"/>
      <c r="MBG80" s="12"/>
      <c r="MBH80" s="12"/>
      <c r="MBI80" s="12"/>
      <c r="MBJ80" s="12"/>
      <c r="MBK80" s="12"/>
      <c r="MBL80" s="12"/>
      <c r="MBM80" s="12"/>
      <c r="MBN80" s="12"/>
      <c r="MBO80" s="12"/>
      <c r="MBP80" s="12"/>
      <c r="MBQ80" s="12"/>
      <c r="MBR80" s="12"/>
      <c r="MBS80" s="12"/>
      <c r="MBT80" s="12"/>
      <c r="MBU80" s="12"/>
      <c r="MBV80" s="12"/>
      <c r="MBW80" s="12"/>
      <c r="MBX80" s="12"/>
      <c r="MBY80" s="12"/>
      <c r="MBZ80" s="12"/>
      <c r="MCA80" s="12"/>
      <c r="MCB80" s="12"/>
      <c r="MCC80" s="12"/>
      <c r="MCD80" s="12"/>
      <c r="MCE80" s="12"/>
      <c r="MCF80" s="12"/>
      <c r="MCG80" s="12"/>
      <c r="MCH80" s="12"/>
      <c r="MCI80" s="12"/>
      <c r="MCJ80" s="12"/>
      <c r="MCK80" s="12"/>
      <c r="MCL80" s="12"/>
      <c r="MCM80" s="12"/>
      <c r="MCN80" s="12"/>
      <c r="MCO80" s="12"/>
      <c r="MCP80" s="12"/>
      <c r="MCQ80" s="12"/>
      <c r="MCR80" s="12"/>
      <c r="MCS80" s="12"/>
      <c r="MCT80" s="12"/>
      <c r="MCU80" s="12"/>
      <c r="MCV80" s="12"/>
      <c r="MCW80" s="12"/>
      <c r="MCX80" s="12"/>
      <c r="MCY80" s="12"/>
      <c r="MCZ80" s="12"/>
      <c r="MDA80" s="12"/>
      <c r="MDB80" s="12"/>
      <c r="MDC80" s="12"/>
      <c r="MDD80" s="12"/>
      <c r="MDE80" s="12"/>
      <c r="MDF80" s="12"/>
      <c r="MDG80" s="12"/>
      <c r="MDH80" s="12"/>
      <c r="MDI80" s="12"/>
      <c r="MDJ80" s="12"/>
      <c r="MDK80" s="12"/>
      <c r="MDL80" s="12"/>
      <c r="MDM80" s="12"/>
      <c r="MDN80" s="12"/>
      <c r="MDO80" s="12"/>
      <c r="MDP80" s="12"/>
      <c r="MDQ80" s="12"/>
      <c r="MDR80" s="12"/>
      <c r="MDS80" s="12"/>
      <c r="MDT80" s="12"/>
      <c r="MDU80" s="12"/>
      <c r="MDV80" s="12"/>
      <c r="MDW80" s="12"/>
      <c r="MDX80" s="12"/>
      <c r="MDY80" s="12"/>
      <c r="MDZ80" s="12"/>
      <c r="MEA80" s="12"/>
      <c r="MEB80" s="12"/>
      <c r="MEC80" s="12"/>
      <c r="MED80" s="12"/>
      <c r="MEE80" s="12"/>
      <c r="MEF80" s="12"/>
      <c r="MEG80" s="12"/>
      <c r="MEH80" s="12"/>
      <c r="MEI80" s="12"/>
      <c r="MEJ80" s="12"/>
      <c r="MEK80" s="12"/>
      <c r="MEL80" s="12"/>
      <c r="MEM80" s="12"/>
      <c r="MEN80" s="12"/>
      <c r="MEO80" s="12"/>
      <c r="MEP80" s="12"/>
      <c r="MEQ80" s="12"/>
      <c r="MER80" s="12"/>
      <c r="MES80" s="12"/>
      <c r="MET80" s="12"/>
      <c r="MEU80" s="12"/>
      <c r="MEV80" s="12"/>
      <c r="MEW80" s="12"/>
      <c r="MEX80" s="12"/>
      <c r="MEY80" s="12"/>
      <c r="MEZ80" s="12"/>
      <c r="MFA80" s="12"/>
      <c r="MFB80" s="12"/>
      <c r="MFC80" s="12"/>
      <c r="MFD80" s="12"/>
      <c r="MFE80" s="12"/>
      <c r="MFF80" s="12"/>
      <c r="MFG80" s="12"/>
      <c r="MFH80" s="12"/>
      <c r="MFI80" s="12"/>
      <c r="MFJ80" s="12"/>
      <c r="MFK80" s="12"/>
      <c r="MFL80" s="12"/>
      <c r="MFM80" s="12"/>
      <c r="MFN80" s="12"/>
      <c r="MFO80" s="12"/>
      <c r="MFP80" s="12"/>
      <c r="MFQ80" s="12"/>
      <c r="MFR80" s="12"/>
      <c r="MFS80" s="12"/>
      <c r="MFT80" s="12"/>
      <c r="MFU80" s="12"/>
      <c r="MFV80" s="12"/>
      <c r="MFW80" s="12"/>
      <c r="MFX80" s="12"/>
      <c r="MFY80" s="12"/>
      <c r="MFZ80" s="12"/>
      <c r="MGA80" s="12"/>
      <c r="MGB80" s="12"/>
      <c r="MGC80" s="12"/>
      <c r="MGD80" s="12"/>
      <c r="MGE80" s="12"/>
      <c r="MGF80" s="12"/>
      <c r="MGG80" s="12"/>
      <c r="MGH80" s="12"/>
      <c r="MGI80" s="12"/>
      <c r="MGJ80" s="12"/>
      <c r="MGK80" s="12"/>
      <c r="MGL80" s="12"/>
      <c r="MGM80" s="12"/>
      <c r="MGN80" s="12"/>
      <c r="MGO80" s="12"/>
      <c r="MGP80" s="12"/>
      <c r="MGQ80" s="12"/>
      <c r="MGR80" s="12"/>
      <c r="MGS80" s="12"/>
      <c r="MGT80" s="12"/>
      <c r="MGU80" s="12"/>
      <c r="MGV80" s="12"/>
      <c r="MGW80" s="12"/>
      <c r="MGX80" s="12"/>
      <c r="MGY80" s="12"/>
      <c r="MGZ80" s="12"/>
      <c r="MHA80" s="12"/>
      <c r="MHB80" s="12"/>
      <c r="MHC80" s="12"/>
      <c r="MHD80" s="12"/>
      <c r="MHE80" s="12"/>
      <c r="MHF80" s="12"/>
      <c r="MHG80" s="12"/>
      <c r="MHH80" s="12"/>
      <c r="MHI80" s="12"/>
      <c r="MHJ80" s="12"/>
      <c r="MHK80" s="12"/>
      <c r="MHL80" s="12"/>
      <c r="MHM80" s="12"/>
      <c r="MHN80" s="12"/>
      <c r="MHO80" s="12"/>
      <c r="MHP80" s="12"/>
      <c r="MHQ80" s="12"/>
      <c r="MHR80" s="12"/>
      <c r="MHS80" s="12"/>
      <c r="MHT80" s="12"/>
      <c r="MHU80" s="12"/>
      <c r="MHV80" s="12"/>
      <c r="MHW80" s="12"/>
      <c r="MHX80" s="12"/>
      <c r="MHY80" s="12"/>
      <c r="MHZ80" s="12"/>
      <c r="MIA80" s="12"/>
      <c r="MIB80" s="12"/>
      <c r="MIC80" s="12"/>
      <c r="MID80" s="12"/>
      <c r="MIE80" s="12"/>
      <c r="MIF80" s="12"/>
      <c r="MIG80" s="12"/>
      <c r="MIH80" s="12"/>
      <c r="MII80" s="12"/>
      <c r="MIJ80" s="12"/>
      <c r="MIK80" s="12"/>
      <c r="MIL80" s="12"/>
      <c r="MIM80" s="12"/>
      <c r="MIN80" s="12"/>
      <c r="MIO80" s="12"/>
      <c r="MIP80" s="12"/>
      <c r="MIQ80" s="12"/>
      <c r="MIR80" s="12"/>
      <c r="MIS80" s="12"/>
      <c r="MIT80" s="12"/>
      <c r="MIU80" s="12"/>
      <c r="MIV80" s="12"/>
      <c r="MIW80" s="12"/>
      <c r="MIX80" s="12"/>
      <c r="MIY80" s="12"/>
      <c r="MIZ80" s="12"/>
      <c r="MJA80" s="12"/>
      <c r="MJB80" s="12"/>
      <c r="MJC80" s="12"/>
      <c r="MJD80" s="12"/>
      <c r="MJE80" s="12"/>
      <c r="MJF80" s="12"/>
      <c r="MJG80" s="12"/>
      <c r="MJH80" s="12"/>
      <c r="MJI80" s="12"/>
      <c r="MJJ80" s="12"/>
      <c r="MJK80" s="12"/>
      <c r="MJL80" s="12"/>
      <c r="MJM80" s="12"/>
      <c r="MJN80" s="12"/>
      <c r="MJO80" s="12"/>
      <c r="MJP80" s="12"/>
      <c r="MJQ80" s="12"/>
      <c r="MJR80" s="12"/>
      <c r="MJS80" s="12"/>
      <c r="MJT80" s="12"/>
      <c r="MJU80" s="12"/>
      <c r="MJV80" s="12"/>
      <c r="MJW80" s="12"/>
      <c r="MJX80" s="12"/>
      <c r="MJY80" s="12"/>
      <c r="MJZ80" s="12"/>
      <c r="MKA80" s="12"/>
      <c r="MKB80" s="12"/>
      <c r="MKC80" s="12"/>
      <c r="MKD80" s="12"/>
      <c r="MKE80" s="12"/>
      <c r="MKF80" s="12"/>
      <c r="MKG80" s="12"/>
      <c r="MKH80" s="12"/>
      <c r="MKI80" s="12"/>
      <c r="MKJ80" s="12"/>
      <c r="MKK80" s="12"/>
      <c r="MKL80" s="12"/>
      <c r="MKM80" s="12"/>
      <c r="MKN80" s="12"/>
      <c r="MKO80" s="12"/>
      <c r="MKP80" s="12"/>
      <c r="MKQ80" s="12"/>
      <c r="MKR80" s="12"/>
      <c r="MKS80" s="12"/>
      <c r="MKT80" s="12"/>
      <c r="MKU80" s="12"/>
      <c r="MKV80" s="12"/>
      <c r="MKW80" s="12"/>
      <c r="MKX80" s="12"/>
      <c r="MKY80" s="12"/>
      <c r="MKZ80" s="12"/>
      <c r="MLA80" s="12"/>
      <c r="MLB80" s="12"/>
      <c r="MLC80" s="12"/>
      <c r="MLD80" s="12"/>
      <c r="MLE80" s="12"/>
      <c r="MLF80" s="12"/>
      <c r="MLG80" s="12"/>
      <c r="MLH80" s="12"/>
      <c r="MLI80" s="12"/>
      <c r="MLJ80" s="12"/>
      <c r="MLK80" s="12"/>
      <c r="MLL80" s="12"/>
      <c r="MLM80" s="12"/>
      <c r="MLN80" s="12"/>
      <c r="MLO80" s="12"/>
      <c r="MLP80" s="12"/>
      <c r="MLQ80" s="12"/>
      <c r="MLR80" s="12"/>
      <c r="MLS80" s="12"/>
      <c r="MLT80" s="12"/>
      <c r="MLU80" s="12"/>
      <c r="MLV80" s="12"/>
      <c r="MLW80" s="12"/>
      <c r="MLX80" s="12"/>
      <c r="MLY80" s="12"/>
      <c r="MLZ80" s="12"/>
      <c r="MMA80" s="12"/>
      <c r="MMB80" s="12"/>
      <c r="MMC80" s="12"/>
      <c r="MMD80" s="12"/>
      <c r="MME80" s="12"/>
      <c r="MMF80" s="12"/>
      <c r="MMG80" s="12"/>
      <c r="MMH80" s="12"/>
      <c r="MMI80" s="12"/>
      <c r="MMJ80" s="12"/>
      <c r="MMK80" s="12"/>
      <c r="MML80" s="12"/>
      <c r="MMM80" s="12"/>
      <c r="MMN80" s="12"/>
      <c r="MMO80" s="12"/>
      <c r="MMP80" s="12"/>
      <c r="MMQ80" s="12"/>
      <c r="MMR80" s="12"/>
      <c r="MMS80" s="12"/>
      <c r="MMT80" s="12"/>
      <c r="MMU80" s="12"/>
      <c r="MMV80" s="12"/>
      <c r="MMW80" s="12"/>
      <c r="MMX80" s="12"/>
      <c r="MMY80" s="12"/>
      <c r="MMZ80" s="12"/>
      <c r="MNA80" s="12"/>
      <c r="MNB80" s="12"/>
      <c r="MNC80" s="12"/>
      <c r="MND80" s="12"/>
      <c r="MNE80" s="12"/>
      <c r="MNF80" s="12"/>
      <c r="MNG80" s="12"/>
      <c r="MNH80" s="12"/>
      <c r="MNI80" s="12"/>
      <c r="MNJ80" s="12"/>
      <c r="MNK80" s="12"/>
      <c r="MNL80" s="12"/>
      <c r="MNM80" s="12"/>
      <c r="MNN80" s="12"/>
      <c r="MNO80" s="12"/>
      <c r="MNP80" s="12"/>
      <c r="MNQ80" s="12"/>
      <c r="MNR80" s="12"/>
      <c r="MNS80" s="12"/>
      <c r="MNT80" s="12"/>
      <c r="MNU80" s="12"/>
      <c r="MNV80" s="12"/>
      <c r="MNW80" s="12"/>
      <c r="MNX80" s="12"/>
      <c r="MNY80" s="12"/>
      <c r="MNZ80" s="12"/>
      <c r="MOA80" s="12"/>
      <c r="MOB80" s="12"/>
      <c r="MOC80" s="12"/>
      <c r="MOD80" s="12"/>
      <c r="MOE80" s="12"/>
      <c r="MOF80" s="12"/>
      <c r="MOG80" s="12"/>
      <c r="MOH80" s="12"/>
      <c r="MOI80" s="12"/>
      <c r="MOJ80" s="12"/>
      <c r="MOK80" s="12"/>
      <c r="MOL80" s="12"/>
      <c r="MOM80" s="12"/>
      <c r="MON80" s="12"/>
      <c r="MOO80" s="12"/>
      <c r="MOP80" s="12"/>
      <c r="MOQ80" s="12"/>
      <c r="MOR80" s="12"/>
      <c r="MOS80" s="12"/>
      <c r="MOT80" s="12"/>
      <c r="MOU80" s="12"/>
      <c r="MOV80" s="12"/>
      <c r="MOW80" s="12"/>
      <c r="MOX80" s="12"/>
      <c r="MOY80" s="12"/>
      <c r="MOZ80" s="12"/>
      <c r="MPA80" s="12"/>
      <c r="MPB80" s="12"/>
      <c r="MPC80" s="12"/>
      <c r="MPD80" s="12"/>
      <c r="MPE80" s="12"/>
      <c r="MPF80" s="12"/>
      <c r="MPG80" s="12"/>
      <c r="MPH80" s="12"/>
      <c r="MPI80" s="12"/>
      <c r="MPJ80" s="12"/>
      <c r="MPK80" s="12"/>
      <c r="MPL80" s="12"/>
      <c r="MPM80" s="12"/>
      <c r="MPN80" s="12"/>
      <c r="MPO80" s="12"/>
      <c r="MPP80" s="12"/>
      <c r="MPQ80" s="12"/>
      <c r="MPR80" s="12"/>
      <c r="MPS80" s="12"/>
      <c r="MPT80" s="12"/>
      <c r="MPU80" s="12"/>
      <c r="MPV80" s="12"/>
      <c r="MPW80" s="12"/>
      <c r="MPX80" s="12"/>
      <c r="MPY80" s="12"/>
      <c r="MPZ80" s="12"/>
      <c r="MQA80" s="12"/>
      <c r="MQB80" s="12"/>
      <c r="MQC80" s="12"/>
      <c r="MQD80" s="12"/>
      <c r="MQE80" s="12"/>
      <c r="MQF80" s="12"/>
      <c r="MQG80" s="12"/>
      <c r="MQH80" s="12"/>
      <c r="MQI80" s="12"/>
      <c r="MQJ80" s="12"/>
      <c r="MQK80" s="12"/>
      <c r="MQL80" s="12"/>
      <c r="MQM80" s="12"/>
      <c r="MQN80" s="12"/>
      <c r="MQO80" s="12"/>
      <c r="MQP80" s="12"/>
      <c r="MQQ80" s="12"/>
      <c r="MQR80" s="12"/>
      <c r="MQS80" s="12"/>
      <c r="MQT80" s="12"/>
      <c r="MQU80" s="12"/>
      <c r="MQV80" s="12"/>
      <c r="MQW80" s="12"/>
      <c r="MQX80" s="12"/>
      <c r="MQY80" s="12"/>
      <c r="MQZ80" s="12"/>
      <c r="MRA80" s="12"/>
      <c r="MRB80" s="12"/>
      <c r="MRC80" s="12"/>
      <c r="MRD80" s="12"/>
      <c r="MRE80" s="12"/>
      <c r="MRF80" s="12"/>
      <c r="MRG80" s="12"/>
      <c r="MRH80" s="12"/>
      <c r="MRI80" s="12"/>
      <c r="MRJ80" s="12"/>
      <c r="MRK80" s="12"/>
      <c r="MRL80" s="12"/>
      <c r="MRM80" s="12"/>
      <c r="MRN80" s="12"/>
      <c r="MRO80" s="12"/>
      <c r="MRP80" s="12"/>
      <c r="MRQ80" s="12"/>
      <c r="MRR80" s="12"/>
      <c r="MRS80" s="12"/>
      <c r="MRT80" s="12"/>
      <c r="MRU80" s="12"/>
      <c r="MRV80" s="12"/>
      <c r="MRW80" s="12"/>
      <c r="MRX80" s="12"/>
      <c r="MRY80" s="12"/>
      <c r="MRZ80" s="12"/>
      <c r="MSA80" s="12"/>
      <c r="MSB80" s="12"/>
      <c r="MSC80" s="12"/>
      <c r="MSD80" s="12"/>
      <c r="MSE80" s="12"/>
      <c r="MSF80" s="12"/>
      <c r="MSG80" s="12"/>
      <c r="MSH80" s="12"/>
      <c r="MSI80" s="12"/>
      <c r="MSJ80" s="12"/>
      <c r="MSK80" s="12"/>
      <c r="MSL80" s="12"/>
      <c r="MSM80" s="12"/>
      <c r="MSN80" s="12"/>
      <c r="MSO80" s="12"/>
      <c r="MSP80" s="12"/>
      <c r="MSQ80" s="12"/>
      <c r="MSR80" s="12"/>
      <c r="MSS80" s="12"/>
      <c r="MST80" s="12"/>
      <c r="MSU80" s="12"/>
      <c r="MSV80" s="12"/>
      <c r="MSW80" s="12"/>
      <c r="MSX80" s="12"/>
      <c r="MSY80" s="12"/>
      <c r="MSZ80" s="12"/>
      <c r="MTA80" s="12"/>
      <c r="MTB80" s="12"/>
      <c r="MTC80" s="12"/>
      <c r="MTD80" s="12"/>
      <c r="MTE80" s="12"/>
      <c r="MTF80" s="12"/>
      <c r="MTG80" s="12"/>
      <c r="MTH80" s="12"/>
      <c r="MTI80" s="12"/>
      <c r="MTJ80" s="12"/>
      <c r="MTK80" s="12"/>
      <c r="MTL80" s="12"/>
      <c r="MTM80" s="12"/>
      <c r="MTN80" s="12"/>
      <c r="MTO80" s="12"/>
      <c r="MTP80" s="12"/>
      <c r="MTQ80" s="12"/>
      <c r="MTR80" s="12"/>
      <c r="MTS80" s="12"/>
      <c r="MTT80" s="12"/>
      <c r="MTU80" s="12"/>
      <c r="MTV80" s="12"/>
      <c r="MTW80" s="12"/>
      <c r="MTX80" s="12"/>
      <c r="MTY80" s="12"/>
      <c r="MTZ80" s="12"/>
      <c r="MUA80" s="12"/>
      <c r="MUB80" s="12"/>
      <c r="MUC80" s="12"/>
      <c r="MUD80" s="12"/>
      <c r="MUE80" s="12"/>
      <c r="MUF80" s="12"/>
      <c r="MUG80" s="12"/>
      <c r="MUH80" s="12"/>
      <c r="MUI80" s="12"/>
      <c r="MUJ80" s="12"/>
      <c r="MUK80" s="12"/>
      <c r="MUL80" s="12"/>
      <c r="MUM80" s="12"/>
      <c r="MUN80" s="12"/>
      <c r="MUO80" s="12"/>
      <c r="MUP80" s="12"/>
      <c r="MUQ80" s="12"/>
      <c r="MUR80" s="12"/>
      <c r="MUS80" s="12"/>
      <c r="MUT80" s="12"/>
      <c r="MUU80" s="12"/>
      <c r="MUV80" s="12"/>
      <c r="MUW80" s="12"/>
      <c r="MUX80" s="12"/>
      <c r="MUY80" s="12"/>
      <c r="MUZ80" s="12"/>
      <c r="MVA80" s="12"/>
      <c r="MVB80" s="12"/>
      <c r="MVC80" s="12"/>
      <c r="MVD80" s="12"/>
      <c r="MVE80" s="12"/>
      <c r="MVF80" s="12"/>
      <c r="MVG80" s="12"/>
      <c r="MVH80" s="12"/>
      <c r="MVI80" s="12"/>
      <c r="MVJ80" s="12"/>
      <c r="MVK80" s="12"/>
      <c r="MVL80" s="12"/>
      <c r="MVM80" s="12"/>
      <c r="MVN80" s="12"/>
      <c r="MVO80" s="12"/>
      <c r="MVP80" s="12"/>
      <c r="MVQ80" s="12"/>
      <c r="MVR80" s="12"/>
      <c r="MVS80" s="12"/>
      <c r="MVT80" s="12"/>
      <c r="MVU80" s="12"/>
      <c r="MVV80" s="12"/>
      <c r="MVW80" s="12"/>
      <c r="MVX80" s="12"/>
      <c r="MVY80" s="12"/>
      <c r="MVZ80" s="12"/>
      <c r="MWA80" s="12"/>
      <c r="MWB80" s="12"/>
      <c r="MWC80" s="12"/>
      <c r="MWD80" s="12"/>
      <c r="MWE80" s="12"/>
      <c r="MWF80" s="12"/>
      <c r="MWG80" s="12"/>
      <c r="MWH80" s="12"/>
      <c r="MWI80" s="12"/>
      <c r="MWJ80" s="12"/>
      <c r="MWK80" s="12"/>
      <c r="MWL80" s="12"/>
      <c r="MWM80" s="12"/>
      <c r="MWN80" s="12"/>
      <c r="MWO80" s="12"/>
      <c r="MWP80" s="12"/>
      <c r="MWQ80" s="12"/>
      <c r="MWR80" s="12"/>
      <c r="MWS80" s="12"/>
      <c r="MWT80" s="12"/>
      <c r="MWU80" s="12"/>
      <c r="MWV80" s="12"/>
      <c r="MWW80" s="12"/>
      <c r="MWX80" s="12"/>
      <c r="MWY80" s="12"/>
      <c r="MWZ80" s="12"/>
      <c r="MXA80" s="12"/>
      <c r="MXB80" s="12"/>
      <c r="MXC80" s="12"/>
      <c r="MXD80" s="12"/>
      <c r="MXE80" s="12"/>
      <c r="MXF80" s="12"/>
      <c r="MXG80" s="12"/>
      <c r="MXH80" s="12"/>
      <c r="MXI80" s="12"/>
      <c r="MXJ80" s="12"/>
      <c r="MXK80" s="12"/>
      <c r="MXL80" s="12"/>
      <c r="MXM80" s="12"/>
      <c r="MXN80" s="12"/>
      <c r="MXO80" s="12"/>
      <c r="MXP80" s="12"/>
      <c r="MXQ80" s="12"/>
      <c r="MXR80" s="12"/>
      <c r="MXS80" s="12"/>
      <c r="MXT80" s="12"/>
      <c r="MXU80" s="12"/>
      <c r="MXV80" s="12"/>
      <c r="MXW80" s="12"/>
      <c r="MXX80" s="12"/>
      <c r="MXY80" s="12"/>
      <c r="MXZ80" s="12"/>
      <c r="MYA80" s="12"/>
      <c r="MYB80" s="12"/>
      <c r="MYC80" s="12"/>
      <c r="MYD80" s="12"/>
      <c r="MYE80" s="12"/>
      <c r="MYF80" s="12"/>
      <c r="MYG80" s="12"/>
      <c r="MYH80" s="12"/>
      <c r="MYI80" s="12"/>
      <c r="MYJ80" s="12"/>
      <c r="MYK80" s="12"/>
      <c r="MYL80" s="12"/>
      <c r="MYM80" s="12"/>
      <c r="MYN80" s="12"/>
      <c r="MYO80" s="12"/>
      <c r="MYP80" s="12"/>
      <c r="MYQ80" s="12"/>
      <c r="MYR80" s="12"/>
      <c r="MYS80" s="12"/>
      <c r="MYT80" s="12"/>
      <c r="MYU80" s="12"/>
      <c r="MYV80" s="12"/>
      <c r="MYW80" s="12"/>
      <c r="MYX80" s="12"/>
      <c r="MYY80" s="12"/>
      <c r="MYZ80" s="12"/>
      <c r="MZA80" s="12"/>
      <c r="MZB80" s="12"/>
      <c r="MZC80" s="12"/>
      <c r="MZD80" s="12"/>
      <c r="MZE80" s="12"/>
      <c r="MZF80" s="12"/>
      <c r="MZG80" s="12"/>
      <c r="MZH80" s="12"/>
      <c r="MZI80" s="12"/>
      <c r="MZJ80" s="12"/>
      <c r="MZK80" s="12"/>
      <c r="MZL80" s="12"/>
      <c r="MZM80" s="12"/>
      <c r="MZN80" s="12"/>
      <c r="MZO80" s="12"/>
      <c r="MZP80" s="12"/>
      <c r="MZQ80" s="12"/>
      <c r="MZR80" s="12"/>
      <c r="MZS80" s="12"/>
      <c r="MZT80" s="12"/>
      <c r="MZU80" s="12"/>
      <c r="MZV80" s="12"/>
      <c r="MZW80" s="12"/>
      <c r="MZX80" s="12"/>
      <c r="MZY80" s="12"/>
      <c r="MZZ80" s="12"/>
      <c r="NAA80" s="12"/>
      <c r="NAB80" s="12"/>
      <c r="NAC80" s="12"/>
      <c r="NAD80" s="12"/>
      <c r="NAE80" s="12"/>
      <c r="NAF80" s="12"/>
      <c r="NAG80" s="12"/>
      <c r="NAH80" s="12"/>
      <c r="NAI80" s="12"/>
      <c r="NAJ80" s="12"/>
      <c r="NAK80" s="12"/>
      <c r="NAL80" s="12"/>
      <c r="NAM80" s="12"/>
      <c r="NAN80" s="12"/>
      <c r="NAO80" s="12"/>
      <c r="NAP80" s="12"/>
      <c r="NAQ80" s="12"/>
      <c r="NAR80" s="12"/>
      <c r="NAS80" s="12"/>
      <c r="NAT80" s="12"/>
      <c r="NAU80" s="12"/>
      <c r="NAV80" s="12"/>
      <c r="NAW80" s="12"/>
      <c r="NAX80" s="12"/>
      <c r="NAY80" s="12"/>
      <c r="NAZ80" s="12"/>
      <c r="NBA80" s="12"/>
      <c r="NBB80" s="12"/>
      <c r="NBC80" s="12"/>
      <c r="NBD80" s="12"/>
      <c r="NBE80" s="12"/>
      <c r="NBF80" s="12"/>
      <c r="NBG80" s="12"/>
      <c r="NBH80" s="12"/>
      <c r="NBI80" s="12"/>
      <c r="NBJ80" s="12"/>
      <c r="NBK80" s="12"/>
      <c r="NBL80" s="12"/>
      <c r="NBM80" s="12"/>
      <c r="NBN80" s="12"/>
      <c r="NBO80" s="12"/>
      <c r="NBP80" s="12"/>
      <c r="NBQ80" s="12"/>
      <c r="NBR80" s="12"/>
      <c r="NBS80" s="12"/>
      <c r="NBT80" s="12"/>
      <c r="NBU80" s="12"/>
      <c r="NBV80" s="12"/>
      <c r="NBW80" s="12"/>
      <c r="NBX80" s="12"/>
      <c r="NBY80" s="12"/>
      <c r="NBZ80" s="12"/>
      <c r="NCA80" s="12"/>
      <c r="NCB80" s="12"/>
      <c r="NCC80" s="12"/>
      <c r="NCD80" s="12"/>
      <c r="NCE80" s="12"/>
      <c r="NCF80" s="12"/>
      <c r="NCG80" s="12"/>
      <c r="NCH80" s="12"/>
      <c r="NCI80" s="12"/>
      <c r="NCJ80" s="12"/>
      <c r="NCK80" s="12"/>
      <c r="NCL80" s="12"/>
      <c r="NCM80" s="12"/>
      <c r="NCN80" s="12"/>
      <c r="NCO80" s="12"/>
      <c r="NCP80" s="12"/>
      <c r="NCQ80" s="12"/>
      <c r="NCR80" s="12"/>
      <c r="NCS80" s="12"/>
      <c r="NCT80" s="12"/>
      <c r="NCU80" s="12"/>
      <c r="NCV80" s="12"/>
      <c r="NCW80" s="12"/>
      <c r="NCX80" s="12"/>
      <c r="NCY80" s="12"/>
      <c r="NCZ80" s="12"/>
      <c r="NDA80" s="12"/>
      <c r="NDB80" s="12"/>
      <c r="NDC80" s="12"/>
      <c r="NDD80" s="12"/>
      <c r="NDE80" s="12"/>
      <c r="NDF80" s="12"/>
      <c r="NDG80" s="12"/>
      <c r="NDH80" s="12"/>
      <c r="NDI80" s="12"/>
      <c r="NDJ80" s="12"/>
      <c r="NDK80" s="12"/>
      <c r="NDL80" s="12"/>
      <c r="NDM80" s="12"/>
      <c r="NDN80" s="12"/>
      <c r="NDO80" s="12"/>
      <c r="NDP80" s="12"/>
      <c r="NDQ80" s="12"/>
      <c r="NDR80" s="12"/>
      <c r="NDS80" s="12"/>
      <c r="NDT80" s="12"/>
      <c r="NDU80" s="12"/>
      <c r="NDV80" s="12"/>
      <c r="NDW80" s="12"/>
      <c r="NDX80" s="12"/>
      <c r="NDY80" s="12"/>
      <c r="NDZ80" s="12"/>
      <c r="NEA80" s="12"/>
      <c r="NEB80" s="12"/>
      <c r="NEC80" s="12"/>
      <c r="NED80" s="12"/>
      <c r="NEE80" s="12"/>
      <c r="NEF80" s="12"/>
      <c r="NEG80" s="12"/>
      <c r="NEH80" s="12"/>
      <c r="NEI80" s="12"/>
      <c r="NEJ80" s="12"/>
      <c r="NEK80" s="12"/>
      <c r="NEL80" s="12"/>
      <c r="NEM80" s="12"/>
      <c r="NEN80" s="12"/>
      <c r="NEO80" s="12"/>
      <c r="NEP80" s="12"/>
      <c r="NEQ80" s="12"/>
      <c r="NER80" s="12"/>
      <c r="NES80" s="12"/>
      <c r="NET80" s="12"/>
      <c r="NEU80" s="12"/>
      <c r="NEV80" s="12"/>
      <c r="NEW80" s="12"/>
      <c r="NEX80" s="12"/>
      <c r="NEY80" s="12"/>
      <c r="NEZ80" s="12"/>
      <c r="NFA80" s="12"/>
      <c r="NFB80" s="12"/>
      <c r="NFC80" s="12"/>
      <c r="NFD80" s="12"/>
      <c r="NFE80" s="12"/>
      <c r="NFF80" s="12"/>
      <c r="NFG80" s="12"/>
      <c r="NFH80" s="12"/>
      <c r="NFI80" s="12"/>
      <c r="NFJ80" s="12"/>
      <c r="NFK80" s="12"/>
      <c r="NFL80" s="12"/>
      <c r="NFM80" s="12"/>
      <c r="NFN80" s="12"/>
      <c r="NFO80" s="12"/>
      <c r="NFP80" s="12"/>
      <c r="NFQ80" s="12"/>
      <c r="NFR80" s="12"/>
      <c r="NFS80" s="12"/>
      <c r="NFT80" s="12"/>
      <c r="NFU80" s="12"/>
      <c r="NFV80" s="12"/>
      <c r="NFW80" s="12"/>
      <c r="NFX80" s="12"/>
      <c r="NFY80" s="12"/>
      <c r="NFZ80" s="12"/>
      <c r="NGA80" s="12"/>
      <c r="NGB80" s="12"/>
      <c r="NGC80" s="12"/>
      <c r="NGD80" s="12"/>
      <c r="NGE80" s="12"/>
      <c r="NGF80" s="12"/>
      <c r="NGG80" s="12"/>
      <c r="NGH80" s="12"/>
      <c r="NGI80" s="12"/>
      <c r="NGJ80" s="12"/>
      <c r="NGK80" s="12"/>
      <c r="NGL80" s="12"/>
      <c r="NGM80" s="12"/>
      <c r="NGN80" s="12"/>
      <c r="NGO80" s="12"/>
      <c r="NGP80" s="12"/>
      <c r="NGQ80" s="12"/>
      <c r="NGR80" s="12"/>
      <c r="NGS80" s="12"/>
      <c r="NGT80" s="12"/>
      <c r="NGU80" s="12"/>
      <c r="NGV80" s="12"/>
      <c r="NGW80" s="12"/>
      <c r="NGX80" s="12"/>
      <c r="NGY80" s="12"/>
      <c r="NGZ80" s="12"/>
      <c r="NHA80" s="12"/>
      <c r="NHB80" s="12"/>
      <c r="NHC80" s="12"/>
      <c r="NHD80" s="12"/>
      <c r="NHE80" s="12"/>
      <c r="NHF80" s="12"/>
      <c r="NHG80" s="12"/>
      <c r="NHH80" s="12"/>
      <c r="NHI80" s="12"/>
      <c r="NHJ80" s="12"/>
      <c r="NHK80" s="12"/>
      <c r="NHL80" s="12"/>
      <c r="NHM80" s="12"/>
      <c r="NHN80" s="12"/>
      <c r="NHO80" s="12"/>
      <c r="NHP80" s="12"/>
      <c r="NHQ80" s="12"/>
      <c r="NHR80" s="12"/>
      <c r="NHS80" s="12"/>
      <c r="NHT80" s="12"/>
      <c r="NHU80" s="12"/>
      <c r="NHV80" s="12"/>
      <c r="NHW80" s="12"/>
      <c r="NHX80" s="12"/>
      <c r="NHY80" s="12"/>
      <c r="NHZ80" s="12"/>
      <c r="NIA80" s="12"/>
      <c r="NIB80" s="12"/>
      <c r="NIC80" s="12"/>
      <c r="NID80" s="12"/>
      <c r="NIE80" s="12"/>
      <c r="NIF80" s="12"/>
      <c r="NIG80" s="12"/>
      <c r="NIH80" s="12"/>
      <c r="NII80" s="12"/>
      <c r="NIJ80" s="12"/>
      <c r="NIK80" s="12"/>
      <c r="NIL80" s="12"/>
      <c r="NIM80" s="12"/>
      <c r="NIN80" s="12"/>
      <c r="NIO80" s="12"/>
      <c r="NIP80" s="12"/>
      <c r="NIQ80" s="12"/>
      <c r="NIR80" s="12"/>
      <c r="NIS80" s="12"/>
      <c r="NIT80" s="12"/>
      <c r="NIU80" s="12"/>
      <c r="NIV80" s="12"/>
      <c r="NIW80" s="12"/>
      <c r="NIX80" s="12"/>
      <c r="NIY80" s="12"/>
      <c r="NIZ80" s="12"/>
      <c r="NJA80" s="12"/>
      <c r="NJB80" s="12"/>
      <c r="NJC80" s="12"/>
      <c r="NJD80" s="12"/>
      <c r="NJE80" s="12"/>
      <c r="NJF80" s="12"/>
      <c r="NJG80" s="12"/>
      <c r="NJH80" s="12"/>
      <c r="NJI80" s="12"/>
      <c r="NJJ80" s="12"/>
      <c r="NJK80" s="12"/>
      <c r="NJL80" s="12"/>
      <c r="NJM80" s="12"/>
      <c r="NJN80" s="12"/>
      <c r="NJO80" s="12"/>
      <c r="NJP80" s="12"/>
      <c r="NJQ80" s="12"/>
      <c r="NJR80" s="12"/>
      <c r="NJS80" s="12"/>
      <c r="NJT80" s="12"/>
      <c r="NJU80" s="12"/>
      <c r="NJV80" s="12"/>
      <c r="NJW80" s="12"/>
      <c r="NJX80" s="12"/>
      <c r="NJY80" s="12"/>
      <c r="NJZ80" s="12"/>
      <c r="NKA80" s="12"/>
      <c r="NKB80" s="12"/>
      <c r="NKC80" s="12"/>
      <c r="NKD80" s="12"/>
      <c r="NKE80" s="12"/>
      <c r="NKF80" s="12"/>
      <c r="NKG80" s="12"/>
      <c r="NKH80" s="12"/>
      <c r="NKI80" s="12"/>
      <c r="NKJ80" s="12"/>
      <c r="NKK80" s="12"/>
      <c r="NKL80" s="12"/>
      <c r="NKM80" s="12"/>
      <c r="NKN80" s="12"/>
      <c r="NKO80" s="12"/>
      <c r="NKP80" s="12"/>
      <c r="NKQ80" s="12"/>
      <c r="NKR80" s="12"/>
      <c r="NKS80" s="12"/>
      <c r="NKT80" s="12"/>
      <c r="NKU80" s="12"/>
      <c r="NKV80" s="12"/>
      <c r="NKW80" s="12"/>
      <c r="NKX80" s="12"/>
      <c r="NKY80" s="12"/>
      <c r="NKZ80" s="12"/>
      <c r="NLA80" s="12"/>
      <c r="NLB80" s="12"/>
      <c r="NLC80" s="12"/>
      <c r="NLD80" s="12"/>
      <c r="NLE80" s="12"/>
      <c r="NLF80" s="12"/>
      <c r="NLG80" s="12"/>
      <c r="NLH80" s="12"/>
      <c r="NLI80" s="12"/>
      <c r="NLJ80" s="12"/>
      <c r="NLK80" s="12"/>
      <c r="NLL80" s="12"/>
      <c r="NLM80" s="12"/>
      <c r="NLN80" s="12"/>
      <c r="NLO80" s="12"/>
      <c r="NLP80" s="12"/>
      <c r="NLQ80" s="12"/>
      <c r="NLR80" s="12"/>
      <c r="NLS80" s="12"/>
      <c r="NLT80" s="12"/>
      <c r="NLU80" s="12"/>
      <c r="NLV80" s="12"/>
      <c r="NLW80" s="12"/>
      <c r="NLX80" s="12"/>
      <c r="NLY80" s="12"/>
      <c r="NLZ80" s="12"/>
      <c r="NMA80" s="12"/>
      <c r="NMB80" s="12"/>
      <c r="NMC80" s="12"/>
      <c r="NMD80" s="12"/>
      <c r="NME80" s="12"/>
      <c r="NMF80" s="12"/>
      <c r="NMG80" s="12"/>
      <c r="NMH80" s="12"/>
      <c r="NMI80" s="12"/>
      <c r="NMJ80" s="12"/>
      <c r="NMK80" s="12"/>
      <c r="NML80" s="12"/>
      <c r="NMM80" s="12"/>
      <c r="NMN80" s="12"/>
      <c r="NMO80" s="12"/>
      <c r="NMP80" s="12"/>
      <c r="NMQ80" s="12"/>
      <c r="NMR80" s="12"/>
      <c r="NMS80" s="12"/>
      <c r="NMT80" s="12"/>
      <c r="NMU80" s="12"/>
      <c r="NMV80" s="12"/>
      <c r="NMW80" s="12"/>
      <c r="NMX80" s="12"/>
      <c r="NMY80" s="12"/>
      <c r="NMZ80" s="12"/>
      <c r="NNA80" s="12"/>
      <c r="NNB80" s="12"/>
      <c r="NNC80" s="12"/>
      <c r="NND80" s="12"/>
      <c r="NNE80" s="12"/>
      <c r="NNF80" s="12"/>
      <c r="NNG80" s="12"/>
      <c r="NNH80" s="12"/>
      <c r="NNI80" s="12"/>
      <c r="NNJ80" s="12"/>
      <c r="NNK80" s="12"/>
      <c r="NNL80" s="12"/>
      <c r="NNM80" s="12"/>
      <c r="NNN80" s="12"/>
      <c r="NNO80" s="12"/>
      <c r="NNP80" s="12"/>
      <c r="NNQ80" s="12"/>
      <c r="NNR80" s="12"/>
      <c r="NNS80" s="12"/>
      <c r="NNT80" s="12"/>
      <c r="NNU80" s="12"/>
      <c r="NNV80" s="12"/>
      <c r="NNW80" s="12"/>
      <c r="NNX80" s="12"/>
      <c r="NNY80" s="12"/>
      <c r="NNZ80" s="12"/>
      <c r="NOA80" s="12"/>
      <c r="NOB80" s="12"/>
      <c r="NOC80" s="12"/>
      <c r="NOD80" s="12"/>
      <c r="NOE80" s="12"/>
      <c r="NOF80" s="12"/>
      <c r="NOG80" s="12"/>
      <c r="NOH80" s="12"/>
      <c r="NOI80" s="12"/>
      <c r="NOJ80" s="12"/>
      <c r="NOK80" s="12"/>
      <c r="NOL80" s="12"/>
      <c r="NOM80" s="12"/>
      <c r="NON80" s="12"/>
      <c r="NOO80" s="12"/>
      <c r="NOP80" s="12"/>
      <c r="NOQ80" s="12"/>
      <c r="NOR80" s="12"/>
      <c r="NOS80" s="12"/>
      <c r="NOT80" s="12"/>
      <c r="NOU80" s="12"/>
      <c r="NOV80" s="12"/>
      <c r="NOW80" s="12"/>
      <c r="NOX80" s="12"/>
      <c r="NOY80" s="12"/>
      <c r="NOZ80" s="12"/>
      <c r="NPA80" s="12"/>
      <c r="NPB80" s="12"/>
      <c r="NPC80" s="12"/>
      <c r="NPD80" s="12"/>
      <c r="NPE80" s="12"/>
      <c r="NPF80" s="12"/>
      <c r="NPG80" s="12"/>
      <c r="NPH80" s="12"/>
      <c r="NPI80" s="12"/>
      <c r="NPJ80" s="12"/>
      <c r="NPK80" s="12"/>
      <c r="NPL80" s="12"/>
      <c r="NPM80" s="12"/>
      <c r="NPN80" s="12"/>
      <c r="NPO80" s="12"/>
      <c r="NPP80" s="12"/>
      <c r="NPQ80" s="12"/>
      <c r="NPR80" s="12"/>
      <c r="NPS80" s="12"/>
      <c r="NPT80" s="12"/>
      <c r="NPU80" s="12"/>
      <c r="NPV80" s="12"/>
      <c r="NPW80" s="12"/>
      <c r="NPX80" s="12"/>
      <c r="NPY80" s="12"/>
      <c r="NPZ80" s="12"/>
      <c r="NQA80" s="12"/>
      <c r="NQB80" s="12"/>
      <c r="NQC80" s="12"/>
      <c r="NQD80" s="12"/>
      <c r="NQE80" s="12"/>
      <c r="NQF80" s="12"/>
      <c r="NQG80" s="12"/>
      <c r="NQH80" s="12"/>
      <c r="NQI80" s="12"/>
      <c r="NQJ80" s="12"/>
      <c r="NQK80" s="12"/>
      <c r="NQL80" s="12"/>
      <c r="NQM80" s="12"/>
      <c r="NQN80" s="12"/>
      <c r="NQO80" s="12"/>
      <c r="NQP80" s="12"/>
      <c r="NQQ80" s="12"/>
      <c r="NQR80" s="12"/>
      <c r="NQS80" s="12"/>
      <c r="NQT80" s="12"/>
      <c r="NQU80" s="12"/>
      <c r="NQV80" s="12"/>
      <c r="NQW80" s="12"/>
      <c r="NQX80" s="12"/>
      <c r="NQY80" s="12"/>
      <c r="NQZ80" s="12"/>
      <c r="NRA80" s="12"/>
      <c r="NRB80" s="12"/>
      <c r="NRC80" s="12"/>
      <c r="NRD80" s="12"/>
      <c r="NRE80" s="12"/>
      <c r="NRF80" s="12"/>
      <c r="NRG80" s="12"/>
      <c r="NRH80" s="12"/>
      <c r="NRI80" s="12"/>
      <c r="NRJ80" s="12"/>
      <c r="NRK80" s="12"/>
      <c r="NRL80" s="12"/>
      <c r="NRM80" s="12"/>
      <c r="NRN80" s="12"/>
      <c r="NRO80" s="12"/>
      <c r="NRP80" s="12"/>
      <c r="NRQ80" s="12"/>
      <c r="NRR80" s="12"/>
      <c r="NRS80" s="12"/>
      <c r="NRT80" s="12"/>
      <c r="NRU80" s="12"/>
      <c r="NRV80" s="12"/>
      <c r="NRW80" s="12"/>
      <c r="NRX80" s="12"/>
      <c r="NRY80" s="12"/>
      <c r="NRZ80" s="12"/>
      <c r="NSA80" s="12"/>
      <c r="NSB80" s="12"/>
      <c r="NSC80" s="12"/>
      <c r="NSD80" s="12"/>
      <c r="NSE80" s="12"/>
      <c r="NSF80" s="12"/>
      <c r="NSG80" s="12"/>
      <c r="NSH80" s="12"/>
      <c r="NSI80" s="12"/>
      <c r="NSJ80" s="12"/>
      <c r="NSK80" s="12"/>
      <c r="NSL80" s="12"/>
      <c r="NSM80" s="12"/>
      <c r="NSN80" s="12"/>
      <c r="NSO80" s="12"/>
      <c r="NSP80" s="12"/>
      <c r="NSQ80" s="12"/>
      <c r="NSR80" s="12"/>
      <c r="NSS80" s="12"/>
      <c r="NST80" s="12"/>
      <c r="NSU80" s="12"/>
      <c r="NSV80" s="12"/>
      <c r="NSW80" s="12"/>
      <c r="NSX80" s="12"/>
      <c r="NSY80" s="12"/>
      <c r="NSZ80" s="12"/>
      <c r="NTA80" s="12"/>
      <c r="NTB80" s="12"/>
      <c r="NTC80" s="12"/>
      <c r="NTD80" s="12"/>
      <c r="NTE80" s="12"/>
      <c r="NTF80" s="12"/>
      <c r="NTG80" s="12"/>
      <c r="NTH80" s="12"/>
      <c r="NTI80" s="12"/>
      <c r="NTJ80" s="12"/>
      <c r="NTK80" s="12"/>
      <c r="NTL80" s="12"/>
      <c r="NTM80" s="12"/>
      <c r="NTN80" s="12"/>
      <c r="NTO80" s="12"/>
      <c r="NTP80" s="12"/>
      <c r="NTQ80" s="12"/>
      <c r="NTR80" s="12"/>
      <c r="NTS80" s="12"/>
      <c r="NTT80" s="12"/>
      <c r="NTU80" s="12"/>
      <c r="NTV80" s="12"/>
      <c r="NTW80" s="12"/>
      <c r="NTX80" s="12"/>
      <c r="NTY80" s="12"/>
      <c r="NTZ80" s="12"/>
      <c r="NUA80" s="12"/>
      <c r="NUB80" s="12"/>
      <c r="NUC80" s="12"/>
      <c r="NUD80" s="12"/>
      <c r="NUE80" s="12"/>
      <c r="NUF80" s="12"/>
      <c r="NUG80" s="12"/>
      <c r="NUH80" s="12"/>
      <c r="NUI80" s="12"/>
      <c r="NUJ80" s="12"/>
      <c r="NUK80" s="12"/>
      <c r="NUL80" s="12"/>
      <c r="NUM80" s="12"/>
      <c r="NUN80" s="12"/>
      <c r="NUO80" s="12"/>
      <c r="NUP80" s="12"/>
      <c r="NUQ80" s="12"/>
      <c r="NUR80" s="12"/>
      <c r="NUS80" s="12"/>
      <c r="NUT80" s="12"/>
      <c r="NUU80" s="12"/>
      <c r="NUV80" s="12"/>
      <c r="NUW80" s="12"/>
      <c r="NUX80" s="12"/>
      <c r="NUY80" s="12"/>
      <c r="NUZ80" s="12"/>
      <c r="NVA80" s="12"/>
      <c r="NVB80" s="12"/>
      <c r="NVC80" s="12"/>
      <c r="NVD80" s="12"/>
      <c r="NVE80" s="12"/>
      <c r="NVF80" s="12"/>
      <c r="NVG80" s="12"/>
      <c r="NVH80" s="12"/>
      <c r="NVI80" s="12"/>
      <c r="NVJ80" s="12"/>
      <c r="NVK80" s="12"/>
      <c r="NVL80" s="12"/>
      <c r="NVM80" s="12"/>
      <c r="NVN80" s="12"/>
      <c r="NVO80" s="12"/>
      <c r="NVP80" s="12"/>
      <c r="NVQ80" s="12"/>
      <c r="NVR80" s="12"/>
      <c r="NVS80" s="12"/>
      <c r="NVT80" s="12"/>
      <c r="NVU80" s="12"/>
      <c r="NVV80" s="12"/>
      <c r="NVW80" s="12"/>
      <c r="NVX80" s="12"/>
      <c r="NVY80" s="12"/>
      <c r="NVZ80" s="12"/>
      <c r="NWA80" s="12"/>
      <c r="NWB80" s="12"/>
      <c r="NWC80" s="12"/>
      <c r="NWD80" s="12"/>
      <c r="NWE80" s="12"/>
      <c r="NWF80" s="12"/>
      <c r="NWG80" s="12"/>
      <c r="NWH80" s="12"/>
      <c r="NWI80" s="12"/>
      <c r="NWJ80" s="12"/>
      <c r="NWK80" s="12"/>
      <c r="NWL80" s="12"/>
      <c r="NWM80" s="12"/>
      <c r="NWN80" s="12"/>
      <c r="NWO80" s="12"/>
      <c r="NWP80" s="12"/>
      <c r="NWQ80" s="12"/>
      <c r="NWR80" s="12"/>
      <c r="NWS80" s="12"/>
      <c r="NWT80" s="12"/>
      <c r="NWU80" s="12"/>
      <c r="NWV80" s="12"/>
      <c r="NWW80" s="12"/>
      <c r="NWX80" s="12"/>
      <c r="NWY80" s="12"/>
      <c r="NWZ80" s="12"/>
      <c r="NXA80" s="12"/>
      <c r="NXB80" s="12"/>
      <c r="NXC80" s="12"/>
      <c r="NXD80" s="12"/>
      <c r="NXE80" s="12"/>
      <c r="NXF80" s="12"/>
      <c r="NXG80" s="12"/>
      <c r="NXH80" s="12"/>
      <c r="NXI80" s="12"/>
      <c r="NXJ80" s="12"/>
      <c r="NXK80" s="12"/>
      <c r="NXL80" s="12"/>
      <c r="NXM80" s="12"/>
      <c r="NXN80" s="12"/>
      <c r="NXO80" s="12"/>
      <c r="NXP80" s="12"/>
      <c r="NXQ80" s="12"/>
      <c r="NXR80" s="12"/>
      <c r="NXS80" s="12"/>
      <c r="NXT80" s="12"/>
      <c r="NXU80" s="12"/>
      <c r="NXV80" s="12"/>
      <c r="NXW80" s="12"/>
      <c r="NXX80" s="12"/>
      <c r="NXY80" s="12"/>
      <c r="NXZ80" s="12"/>
      <c r="NYA80" s="12"/>
      <c r="NYB80" s="12"/>
      <c r="NYC80" s="12"/>
      <c r="NYD80" s="12"/>
      <c r="NYE80" s="12"/>
      <c r="NYF80" s="12"/>
      <c r="NYG80" s="12"/>
      <c r="NYH80" s="12"/>
      <c r="NYI80" s="12"/>
      <c r="NYJ80" s="12"/>
      <c r="NYK80" s="12"/>
      <c r="NYL80" s="12"/>
      <c r="NYM80" s="12"/>
      <c r="NYN80" s="12"/>
      <c r="NYO80" s="12"/>
      <c r="NYP80" s="12"/>
      <c r="NYQ80" s="12"/>
      <c r="NYR80" s="12"/>
      <c r="NYS80" s="12"/>
      <c r="NYT80" s="12"/>
      <c r="NYU80" s="12"/>
      <c r="NYV80" s="12"/>
      <c r="NYW80" s="12"/>
      <c r="NYX80" s="12"/>
      <c r="NYY80" s="12"/>
      <c r="NYZ80" s="12"/>
      <c r="NZA80" s="12"/>
      <c r="NZB80" s="12"/>
      <c r="NZC80" s="12"/>
      <c r="NZD80" s="12"/>
      <c r="NZE80" s="12"/>
      <c r="NZF80" s="12"/>
      <c r="NZG80" s="12"/>
      <c r="NZH80" s="12"/>
      <c r="NZI80" s="12"/>
      <c r="NZJ80" s="12"/>
      <c r="NZK80" s="12"/>
      <c r="NZL80" s="12"/>
      <c r="NZM80" s="12"/>
      <c r="NZN80" s="12"/>
      <c r="NZO80" s="12"/>
      <c r="NZP80" s="12"/>
      <c r="NZQ80" s="12"/>
      <c r="NZR80" s="12"/>
      <c r="NZS80" s="12"/>
      <c r="NZT80" s="12"/>
      <c r="NZU80" s="12"/>
      <c r="NZV80" s="12"/>
      <c r="NZW80" s="12"/>
      <c r="NZX80" s="12"/>
      <c r="NZY80" s="12"/>
      <c r="NZZ80" s="12"/>
      <c r="OAA80" s="12"/>
      <c r="OAB80" s="12"/>
      <c r="OAC80" s="12"/>
      <c r="OAD80" s="12"/>
      <c r="OAE80" s="12"/>
      <c r="OAF80" s="12"/>
      <c r="OAG80" s="12"/>
      <c r="OAH80" s="12"/>
      <c r="OAI80" s="12"/>
      <c r="OAJ80" s="12"/>
      <c r="OAK80" s="12"/>
      <c r="OAL80" s="12"/>
      <c r="OAM80" s="12"/>
      <c r="OAN80" s="12"/>
      <c r="OAO80" s="12"/>
      <c r="OAP80" s="12"/>
      <c r="OAQ80" s="12"/>
      <c r="OAR80" s="12"/>
      <c r="OAS80" s="12"/>
      <c r="OAT80" s="12"/>
      <c r="OAU80" s="12"/>
      <c r="OAV80" s="12"/>
      <c r="OAW80" s="12"/>
      <c r="OAX80" s="12"/>
      <c r="OAY80" s="12"/>
      <c r="OAZ80" s="12"/>
      <c r="OBA80" s="12"/>
      <c r="OBB80" s="12"/>
      <c r="OBC80" s="12"/>
      <c r="OBD80" s="12"/>
      <c r="OBE80" s="12"/>
      <c r="OBF80" s="12"/>
      <c r="OBG80" s="12"/>
      <c r="OBH80" s="12"/>
      <c r="OBI80" s="12"/>
      <c r="OBJ80" s="12"/>
      <c r="OBK80" s="12"/>
      <c r="OBL80" s="12"/>
      <c r="OBM80" s="12"/>
      <c r="OBN80" s="12"/>
      <c r="OBO80" s="12"/>
      <c r="OBP80" s="12"/>
      <c r="OBQ80" s="12"/>
      <c r="OBR80" s="12"/>
      <c r="OBS80" s="12"/>
      <c r="OBT80" s="12"/>
      <c r="OBU80" s="12"/>
      <c r="OBV80" s="12"/>
      <c r="OBW80" s="12"/>
      <c r="OBX80" s="12"/>
      <c r="OBY80" s="12"/>
      <c r="OBZ80" s="12"/>
      <c r="OCA80" s="12"/>
      <c r="OCB80" s="12"/>
      <c r="OCC80" s="12"/>
      <c r="OCD80" s="12"/>
      <c r="OCE80" s="12"/>
      <c r="OCF80" s="12"/>
      <c r="OCG80" s="12"/>
      <c r="OCH80" s="12"/>
      <c r="OCI80" s="12"/>
      <c r="OCJ80" s="12"/>
      <c r="OCK80" s="12"/>
      <c r="OCL80" s="12"/>
      <c r="OCM80" s="12"/>
      <c r="OCN80" s="12"/>
      <c r="OCO80" s="12"/>
      <c r="OCP80" s="12"/>
      <c r="OCQ80" s="12"/>
      <c r="OCR80" s="12"/>
      <c r="OCS80" s="12"/>
      <c r="OCT80" s="12"/>
      <c r="OCU80" s="12"/>
      <c r="OCV80" s="12"/>
      <c r="OCW80" s="12"/>
      <c r="OCX80" s="12"/>
      <c r="OCY80" s="12"/>
      <c r="OCZ80" s="12"/>
      <c r="ODA80" s="12"/>
      <c r="ODB80" s="12"/>
      <c r="ODC80" s="12"/>
      <c r="ODD80" s="12"/>
      <c r="ODE80" s="12"/>
      <c r="ODF80" s="12"/>
      <c r="ODG80" s="12"/>
      <c r="ODH80" s="12"/>
      <c r="ODI80" s="12"/>
      <c r="ODJ80" s="12"/>
      <c r="ODK80" s="12"/>
      <c r="ODL80" s="12"/>
      <c r="ODM80" s="12"/>
      <c r="ODN80" s="12"/>
      <c r="ODO80" s="12"/>
      <c r="ODP80" s="12"/>
      <c r="ODQ80" s="12"/>
      <c r="ODR80" s="12"/>
      <c r="ODS80" s="12"/>
      <c r="ODT80" s="12"/>
      <c r="ODU80" s="12"/>
      <c r="ODV80" s="12"/>
      <c r="ODW80" s="12"/>
      <c r="ODX80" s="12"/>
      <c r="ODY80" s="12"/>
      <c r="ODZ80" s="12"/>
      <c r="OEA80" s="12"/>
      <c r="OEB80" s="12"/>
      <c r="OEC80" s="12"/>
      <c r="OED80" s="12"/>
      <c r="OEE80" s="12"/>
      <c r="OEF80" s="12"/>
      <c r="OEG80" s="12"/>
      <c r="OEH80" s="12"/>
      <c r="OEI80" s="12"/>
      <c r="OEJ80" s="12"/>
      <c r="OEK80" s="12"/>
      <c r="OEL80" s="12"/>
      <c r="OEM80" s="12"/>
      <c r="OEN80" s="12"/>
      <c r="OEO80" s="12"/>
      <c r="OEP80" s="12"/>
      <c r="OEQ80" s="12"/>
      <c r="OER80" s="12"/>
      <c r="OES80" s="12"/>
      <c r="OET80" s="12"/>
      <c r="OEU80" s="12"/>
      <c r="OEV80" s="12"/>
      <c r="OEW80" s="12"/>
      <c r="OEX80" s="12"/>
      <c r="OEY80" s="12"/>
      <c r="OEZ80" s="12"/>
      <c r="OFA80" s="12"/>
      <c r="OFB80" s="12"/>
      <c r="OFC80" s="12"/>
      <c r="OFD80" s="12"/>
      <c r="OFE80" s="12"/>
      <c r="OFF80" s="12"/>
      <c r="OFG80" s="12"/>
      <c r="OFH80" s="12"/>
      <c r="OFI80" s="12"/>
      <c r="OFJ80" s="12"/>
      <c r="OFK80" s="12"/>
      <c r="OFL80" s="12"/>
      <c r="OFM80" s="12"/>
      <c r="OFN80" s="12"/>
      <c r="OFO80" s="12"/>
      <c r="OFP80" s="12"/>
      <c r="OFQ80" s="12"/>
      <c r="OFR80" s="12"/>
      <c r="OFS80" s="12"/>
      <c r="OFT80" s="12"/>
      <c r="OFU80" s="12"/>
      <c r="OFV80" s="12"/>
      <c r="OFW80" s="12"/>
      <c r="OFX80" s="12"/>
      <c r="OFY80" s="12"/>
      <c r="OFZ80" s="12"/>
      <c r="OGA80" s="12"/>
      <c r="OGB80" s="12"/>
      <c r="OGC80" s="12"/>
      <c r="OGD80" s="12"/>
      <c r="OGE80" s="12"/>
      <c r="OGF80" s="12"/>
      <c r="OGG80" s="12"/>
      <c r="OGH80" s="12"/>
      <c r="OGI80" s="12"/>
      <c r="OGJ80" s="12"/>
      <c r="OGK80" s="12"/>
      <c r="OGL80" s="12"/>
      <c r="OGM80" s="12"/>
      <c r="OGN80" s="12"/>
      <c r="OGO80" s="12"/>
      <c r="OGP80" s="12"/>
      <c r="OGQ80" s="12"/>
      <c r="OGR80" s="12"/>
      <c r="OGS80" s="12"/>
      <c r="OGT80" s="12"/>
      <c r="OGU80" s="12"/>
      <c r="OGV80" s="12"/>
      <c r="OGW80" s="12"/>
      <c r="OGX80" s="12"/>
      <c r="OGY80" s="12"/>
      <c r="OGZ80" s="12"/>
      <c r="OHA80" s="12"/>
      <c r="OHB80" s="12"/>
      <c r="OHC80" s="12"/>
      <c r="OHD80" s="12"/>
      <c r="OHE80" s="12"/>
      <c r="OHF80" s="12"/>
      <c r="OHG80" s="12"/>
      <c r="OHH80" s="12"/>
      <c r="OHI80" s="12"/>
      <c r="OHJ80" s="12"/>
      <c r="OHK80" s="12"/>
      <c r="OHL80" s="12"/>
      <c r="OHM80" s="12"/>
      <c r="OHN80" s="12"/>
      <c r="OHO80" s="12"/>
      <c r="OHP80" s="12"/>
      <c r="OHQ80" s="12"/>
      <c r="OHR80" s="12"/>
      <c r="OHS80" s="12"/>
      <c r="OHT80" s="12"/>
      <c r="OHU80" s="12"/>
      <c r="OHV80" s="12"/>
      <c r="OHW80" s="12"/>
      <c r="OHX80" s="12"/>
      <c r="OHY80" s="12"/>
      <c r="OHZ80" s="12"/>
      <c r="OIA80" s="12"/>
      <c r="OIB80" s="12"/>
      <c r="OIC80" s="12"/>
      <c r="OID80" s="12"/>
      <c r="OIE80" s="12"/>
      <c r="OIF80" s="12"/>
      <c r="OIG80" s="12"/>
      <c r="OIH80" s="12"/>
      <c r="OII80" s="12"/>
      <c r="OIJ80" s="12"/>
      <c r="OIK80" s="12"/>
      <c r="OIL80" s="12"/>
      <c r="OIM80" s="12"/>
      <c r="OIN80" s="12"/>
      <c r="OIO80" s="12"/>
      <c r="OIP80" s="12"/>
      <c r="OIQ80" s="12"/>
      <c r="OIR80" s="12"/>
      <c r="OIS80" s="12"/>
      <c r="OIT80" s="12"/>
      <c r="OIU80" s="12"/>
      <c r="OIV80" s="12"/>
      <c r="OIW80" s="12"/>
      <c r="OIX80" s="12"/>
      <c r="OIY80" s="12"/>
      <c r="OIZ80" s="12"/>
      <c r="OJA80" s="12"/>
      <c r="OJB80" s="12"/>
      <c r="OJC80" s="12"/>
      <c r="OJD80" s="12"/>
      <c r="OJE80" s="12"/>
      <c r="OJF80" s="12"/>
      <c r="OJG80" s="12"/>
      <c r="OJH80" s="12"/>
      <c r="OJI80" s="12"/>
      <c r="OJJ80" s="12"/>
      <c r="OJK80" s="12"/>
      <c r="OJL80" s="12"/>
      <c r="OJM80" s="12"/>
      <c r="OJN80" s="12"/>
      <c r="OJO80" s="12"/>
      <c r="OJP80" s="12"/>
      <c r="OJQ80" s="12"/>
      <c r="OJR80" s="12"/>
      <c r="OJS80" s="12"/>
      <c r="OJT80" s="12"/>
      <c r="OJU80" s="12"/>
      <c r="OJV80" s="12"/>
      <c r="OJW80" s="12"/>
      <c r="OJX80" s="12"/>
      <c r="OJY80" s="12"/>
      <c r="OJZ80" s="12"/>
      <c r="OKA80" s="12"/>
      <c r="OKB80" s="12"/>
      <c r="OKC80" s="12"/>
      <c r="OKD80" s="12"/>
      <c r="OKE80" s="12"/>
      <c r="OKF80" s="12"/>
      <c r="OKG80" s="12"/>
      <c r="OKH80" s="12"/>
      <c r="OKI80" s="12"/>
      <c r="OKJ80" s="12"/>
      <c r="OKK80" s="12"/>
      <c r="OKL80" s="12"/>
      <c r="OKM80" s="12"/>
      <c r="OKN80" s="12"/>
      <c r="OKO80" s="12"/>
      <c r="OKP80" s="12"/>
      <c r="OKQ80" s="12"/>
      <c r="OKR80" s="12"/>
      <c r="OKS80" s="12"/>
      <c r="OKT80" s="12"/>
      <c r="OKU80" s="12"/>
      <c r="OKV80" s="12"/>
      <c r="OKW80" s="12"/>
      <c r="OKX80" s="12"/>
      <c r="OKY80" s="12"/>
      <c r="OKZ80" s="12"/>
      <c r="OLA80" s="12"/>
      <c r="OLB80" s="12"/>
      <c r="OLC80" s="12"/>
      <c r="OLD80" s="12"/>
      <c r="OLE80" s="12"/>
      <c r="OLF80" s="12"/>
      <c r="OLG80" s="12"/>
      <c r="OLH80" s="12"/>
      <c r="OLI80" s="12"/>
      <c r="OLJ80" s="12"/>
      <c r="OLK80" s="12"/>
      <c r="OLL80" s="12"/>
      <c r="OLM80" s="12"/>
      <c r="OLN80" s="12"/>
      <c r="OLO80" s="12"/>
      <c r="OLP80" s="12"/>
      <c r="OLQ80" s="12"/>
      <c r="OLR80" s="12"/>
      <c r="OLS80" s="12"/>
      <c r="OLT80" s="12"/>
      <c r="OLU80" s="12"/>
      <c r="OLV80" s="12"/>
      <c r="OLW80" s="12"/>
      <c r="OLX80" s="12"/>
      <c r="OLY80" s="12"/>
      <c r="OLZ80" s="12"/>
      <c r="OMA80" s="12"/>
      <c r="OMB80" s="12"/>
      <c r="OMC80" s="12"/>
      <c r="OMD80" s="12"/>
      <c r="OME80" s="12"/>
      <c r="OMF80" s="12"/>
      <c r="OMG80" s="12"/>
      <c r="OMH80" s="12"/>
      <c r="OMI80" s="12"/>
      <c r="OMJ80" s="12"/>
      <c r="OMK80" s="12"/>
      <c r="OML80" s="12"/>
      <c r="OMM80" s="12"/>
      <c r="OMN80" s="12"/>
      <c r="OMO80" s="12"/>
      <c r="OMP80" s="12"/>
      <c r="OMQ80" s="12"/>
      <c r="OMR80" s="12"/>
      <c r="OMS80" s="12"/>
      <c r="OMT80" s="12"/>
      <c r="OMU80" s="12"/>
      <c r="OMV80" s="12"/>
      <c r="OMW80" s="12"/>
      <c r="OMX80" s="12"/>
      <c r="OMY80" s="12"/>
      <c r="OMZ80" s="12"/>
      <c r="ONA80" s="12"/>
      <c r="ONB80" s="12"/>
      <c r="ONC80" s="12"/>
      <c r="OND80" s="12"/>
      <c r="ONE80" s="12"/>
      <c r="ONF80" s="12"/>
      <c r="ONG80" s="12"/>
      <c r="ONH80" s="12"/>
      <c r="ONI80" s="12"/>
      <c r="ONJ80" s="12"/>
      <c r="ONK80" s="12"/>
      <c r="ONL80" s="12"/>
      <c r="ONM80" s="12"/>
      <c r="ONN80" s="12"/>
      <c r="ONO80" s="12"/>
      <c r="ONP80" s="12"/>
      <c r="ONQ80" s="12"/>
      <c r="ONR80" s="12"/>
      <c r="ONS80" s="12"/>
      <c r="ONT80" s="12"/>
      <c r="ONU80" s="12"/>
      <c r="ONV80" s="12"/>
      <c r="ONW80" s="12"/>
      <c r="ONX80" s="12"/>
      <c r="ONY80" s="12"/>
      <c r="ONZ80" s="12"/>
      <c r="OOA80" s="12"/>
      <c r="OOB80" s="12"/>
      <c r="OOC80" s="12"/>
      <c r="OOD80" s="12"/>
      <c r="OOE80" s="12"/>
      <c r="OOF80" s="12"/>
      <c r="OOG80" s="12"/>
      <c r="OOH80" s="12"/>
      <c r="OOI80" s="12"/>
      <c r="OOJ80" s="12"/>
      <c r="OOK80" s="12"/>
      <c r="OOL80" s="12"/>
      <c r="OOM80" s="12"/>
      <c r="OON80" s="12"/>
      <c r="OOO80" s="12"/>
      <c r="OOP80" s="12"/>
      <c r="OOQ80" s="12"/>
      <c r="OOR80" s="12"/>
      <c r="OOS80" s="12"/>
      <c r="OOT80" s="12"/>
      <c r="OOU80" s="12"/>
      <c r="OOV80" s="12"/>
      <c r="OOW80" s="12"/>
      <c r="OOX80" s="12"/>
      <c r="OOY80" s="12"/>
      <c r="OOZ80" s="12"/>
      <c r="OPA80" s="12"/>
      <c r="OPB80" s="12"/>
      <c r="OPC80" s="12"/>
      <c r="OPD80" s="12"/>
      <c r="OPE80" s="12"/>
      <c r="OPF80" s="12"/>
      <c r="OPG80" s="12"/>
      <c r="OPH80" s="12"/>
      <c r="OPI80" s="12"/>
      <c r="OPJ80" s="12"/>
      <c r="OPK80" s="12"/>
      <c r="OPL80" s="12"/>
      <c r="OPM80" s="12"/>
      <c r="OPN80" s="12"/>
      <c r="OPO80" s="12"/>
      <c r="OPP80" s="12"/>
      <c r="OPQ80" s="12"/>
      <c r="OPR80" s="12"/>
      <c r="OPS80" s="12"/>
      <c r="OPT80" s="12"/>
      <c r="OPU80" s="12"/>
      <c r="OPV80" s="12"/>
      <c r="OPW80" s="12"/>
      <c r="OPX80" s="12"/>
      <c r="OPY80" s="12"/>
      <c r="OPZ80" s="12"/>
      <c r="OQA80" s="12"/>
      <c r="OQB80" s="12"/>
      <c r="OQC80" s="12"/>
      <c r="OQD80" s="12"/>
      <c r="OQE80" s="12"/>
      <c r="OQF80" s="12"/>
      <c r="OQG80" s="12"/>
      <c r="OQH80" s="12"/>
      <c r="OQI80" s="12"/>
      <c r="OQJ80" s="12"/>
      <c r="OQK80" s="12"/>
      <c r="OQL80" s="12"/>
      <c r="OQM80" s="12"/>
      <c r="OQN80" s="12"/>
      <c r="OQO80" s="12"/>
      <c r="OQP80" s="12"/>
      <c r="OQQ80" s="12"/>
      <c r="OQR80" s="12"/>
      <c r="OQS80" s="12"/>
      <c r="OQT80" s="12"/>
      <c r="OQU80" s="12"/>
      <c r="OQV80" s="12"/>
      <c r="OQW80" s="12"/>
      <c r="OQX80" s="12"/>
      <c r="OQY80" s="12"/>
      <c r="OQZ80" s="12"/>
      <c r="ORA80" s="12"/>
      <c r="ORB80" s="12"/>
      <c r="ORC80" s="12"/>
      <c r="ORD80" s="12"/>
      <c r="ORE80" s="12"/>
      <c r="ORF80" s="12"/>
      <c r="ORG80" s="12"/>
      <c r="ORH80" s="12"/>
      <c r="ORI80" s="12"/>
      <c r="ORJ80" s="12"/>
      <c r="ORK80" s="12"/>
      <c r="ORL80" s="12"/>
      <c r="ORM80" s="12"/>
      <c r="ORN80" s="12"/>
      <c r="ORO80" s="12"/>
      <c r="ORP80" s="12"/>
      <c r="ORQ80" s="12"/>
      <c r="ORR80" s="12"/>
      <c r="ORS80" s="12"/>
      <c r="ORT80" s="12"/>
      <c r="ORU80" s="12"/>
      <c r="ORV80" s="12"/>
      <c r="ORW80" s="12"/>
      <c r="ORX80" s="12"/>
      <c r="ORY80" s="12"/>
      <c r="ORZ80" s="12"/>
      <c r="OSA80" s="12"/>
      <c r="OSB80" s="12"/>
      <c r="OSC80" s="12"/>
      <c r="OSD80" s="12"/>
      <c r="OSE80" s="12"/>
      <c r="OSF80" s="12"/>
      <c r="OSG80" s="12"/>
      <c r="OSH80" s="12"/>
      <c r="OSI80" s="12"/>
      <c r="OSJ80" s="12"/>
      <c r="OSK80" s="12"/>
      <c r="OSL80" s="12"/>
      <c r="OSM80" s="12"/>
      <c r="OSN80" s="12"/>
      <c r="OSO80" s="12"/>
      <c r="OSP80" s="12"/>
      <c r="OSQ80" s="12"/>
      <c r="OSR80" s="12"/>
      <c r="OSS80" s="12"/>
      <c r="OST80" s="12"/>
      <c r="OSU80" s="12"/>
      <c r="OSV80" s="12"/>
      <c r="OSW80" s="12"/>
      <c r="OSX80" s="12"/>
      <c r="OSY80" s="12"/>
      <c r="OSZ80" s="12"/>
      <c r="OTA80" s="12"/>
      <c r="OTB80" s="12"/>
      <c r="OTC80" s="12"/>
      <c r="OTD80" s="12"/>
      <c r="OTE80" s="12"/>
      <c r="OTF80" s="12"/>
      <c r="OTG80" s="12"/>
      <c r="OTH80" s="12"/>
      <c r="OTI80" s="12"/>
      <c r="OTJ80" s="12"/>
      <c r="OTK80" s="12"/>
      <c r="OTL80" s="12"/>
      <c r="OTM80" s="12"/>
      <c r="OTN80" s="12"/>
      <c r="OTO80" s="12"/>
      <c r="OTP80" s="12"/>
      <c r="OTQ80" s="12"/>
      <c r="OTR80" s="12"/>
      <c r="OTS80" s="12"/>
      <c r="OTT80" s="12"/>
      <c r="OTU80" s="12"/>
      <c r="OTV80" s="12"/>
      <c r="OTW80" s="12"/>
      <c r="OTX80" s="12"/>
      <c r="OTY80" s="12"/>
      <c r="OTZ80" s="12"/>
      <c r="OUA80" s="12"/>
      <c r="OUB80" s="12"/>
      <c r="OUC80" s="12"/>
      <c r="OUD80" s="12"/>
      <c r="OUE80" s="12"/>
      <c r="OUF80" s="12"/>
      <c r="OUG80" s="12"/>
      <c r="OUH80" s="12"/>
      <c r="OUI80" s="12"/>
      <c r="OUJ80" s="12"/>
      <c r="OUK80" s="12"/>
      <c r="OUL80" s="12"/>
      <c r="OUM80" s="12"/>
      <c r="OUN80" s="12"/>
      <c r="OUO80" s="12"/>
      <c r="OUP80" s="12"/>
      <c r="OUQ80" s="12"/>
      <c r="OUR80" s="12"/>
      <c r="OUS80" s="12"/>
      <c r="OUT80" s="12"/>
      <c r="OUU80" s="12"/>
      <c r="OUV80" s="12"/>
      <c r="OUW80" s="12"/>
      <c r="OUX80" s="12"/>
      <c r="OUY80" s="12"/>
      <c r="OUZ80" s="12"/>
      <c r="OVA80" s="12"/>
      <c r="OVB80" s="12"/>
      <c r="OVC80" s="12"/>
      <c r="OVD80" s="12"/>
      <c r="OVE80" s="12"/>
      <c r="OVF80" s="12"/>
      <c r="OVG80" s="12"/>
      <c r="OVH80" s="12"/>
      <c r="OVI80" s="12"/>
      <c r="OVJ80" s="12"/>
      <c r="OVK80" s="12"/>
      <c r="OVL80" s="12"/>
      <c r="OVM80" s="12"/>
      <c r="OVN80" s="12"/>
      <c r="OVO80" s="12"/>
      <c r="OVP80" s="12"/>
      <c r="OVQ80" s="12"/>
      <c r="OVR80" s="12"/>
      <c r="OVS80" s="12"/>
      <c r="OVT80" s="12"/>
      <c r="OVU80" s="12"/>
      <c r="OVV80" s="12"/>
      <c r="OVW80" s="12"/>
      <c r="OVX80" s="12"/>
      <c r="OVY80" s="12"/>
      <c r="OVZ80" s="12"/>
      <c r="OWA80" s="12"/>
      <c r="OWB80" s="12"/>
      <c r="OWC80" s="12"/>
      <c r="OWD80" s="12"/>
      <c r="OWE80" s="12"/>
      <c r="OWF80" s="12"/>
      <c r="OWG80" s="12"/>
      <c r="OWH80" s="12"/>
      <c r="OWI80" s="12"/>
      <c r="OWJ80" s="12"/>
      <c r="OWK80" s="12"/>
      <c r="OWL80" s="12"/>
      <c r="OWM80" s="12"/>
      <c r="OWN80" s="12"/>
      <c r="OWO80" s="12"/>
      <c r="OWP80" s="12"/>
      <c r="OWQ80" s="12"/>
      <c r="OWR80" s="12"/>
      <c r="OWS80" s="12"/>
      <c r="OWT80" s="12"/>
      <c r="OWU80" s="12"/>
      <c r="OWV80" s="12"/>
      <c r="OWW80" s="12"/>
      <c r="OWX80" s="12"/>
      <c r="OWY80" s="12"/>
      <c r="OWZ80" s="12"/>
      <c r="OXA80" s="12"/>
      <c r="OXB80" s="12"/>
      <c r="OXC80" s="12"/>
      <c r="OXD80" s="12"/>
      <c r="OXE80" s="12"/>
      <c r="OXF80" s="12"/>
      <c r="OXG80" s="12"/>
      <c r="OXH80" s="12"/>
      <c r="OXI80" s="12"/>
      <c r="OXJ80" s="12"/>
      <c r="OXK80" s="12"/>
      <c r="OXL80" s="12"/>
      <c r="OXM80" s="12"/>
      <c r="OXN80" s="12"/>
      <c r="OXO80" s="12"/>
      <c r="OXP80" s="12"/>
      <c r="OXQ80" s="12"/>
      <c r="OXR80" s="12"/>
      <c r="OXS80" s="12"/>
      <c r="OXT80" s="12"/>
      <c r="OXU80" s="12"/>
      <c r="OXV80" s="12"/>
      <c r="OXW80" s="12"/>
      <c r="OXX80" s="12"/>
      <c r="OXY80" s="12"/>
      <c r="OXZ80" s="12"/>
      <c r="OYA80" s="12"/>
      <c r="OYB80" s="12"/>
      <c r="OYC80" s="12"/>
      <c r="OYD80" s="12"/>
      <c r="OYE80" s="12"/>
      <c r="OYF80" s="12"/>
      <c r="OYG80" s="12"/>
      <c r="OYH80" s="12"/>
      <c r="OYI80" s="12"/>
      <c r="OYJ80" s="12"/>
      <c r="OYK80" s="12"/>
      <c r="OYL80" s="12"/>
      <c r="OYM80" s="12"/>
      <c r="OYN80" s="12"/>
      <c r="OYO80" s="12"/>
      <c r="OYP80" s="12"/>
      <c r="OYQ80" s="12"/>
      <c r="OYR80" s="12"/>
      <c r="OYS80" s="12"/>
      <c r="OYT80" s="12"/>
      <c r="OYU80" s="12"/>
      <c r="OYV80" s="12"/>
      <c r="OYW80" s="12"/>
      <c r="OYX80" s="12"/>
      <c r="OYY80" s="12"/>
      <c r="OYZ80" s="12"/>
      <c r="OZA80" s="12"/>
      <c r="OZB80" s="12"/>
      <c r="OZC80" s="12"/>
      <c r="OZD80" s="12"/>
      <c r="OZE80" s="12"/>
      <c r="OZF80" s="12"/>
      <c r="OZG80" s="12"/>
      <c r="OZH80" s="12"/>
      <c r="OZI80" s="12"/>
      <c r="OZJ80" s="12"/>
      <c r="OZK80" s="12"/>
      <c r="OZL80" s="12"/>
      <c r="OZM80" s="12"/>
      <c r="OZN80" s="12"/>
      <c r="OZO80" s="12"/>
      <c r="OZP80" s="12"/>
      <c r="OZQ80" s="12"/>
      <c r="OZR80" s="12"/>
      <c r="OZS80" s="12"/>
      <c r="OZT80" s="12"/>
      <c r="OZU80" s="12"/>
      <c r="OZV80" s="12"/>
      <c r="OZW80" s="12"/>
      <c r="OZX80" s="12"/>
      <c r="OZY80" s="12"/>
      <c r="OZZ80" s="12"/>
      <c r="PAA80" s="12"/>
      <c r="PAB80" s="12"/>
      <c r="PAC80" s="12"/>
      <c r="PAD80" s="12"/>
      <c r="PAE80" s="12"/>
      <c r="PAF80" s="12"/>
      <c r="PAG80" s="12"/>
      <c r="PAH80" s="12"/>
      <c r="PAI80" s="12"/>
      <c r="PAJ80" s="12"/>
      <c r="PAK80" s="12"/>
      <c r="PAL80" s="12"/>
      <c r="PAM80" s="12"/>
      <c r="PAN80" s="12"/>
      <c r="PAO80" s="12"/>
      <c r="PAP80" s="12"/>
      <c r="PAQ80" s="12"/>
      <c r="PAR80" s="12"/>
      <c r="PAS80" s="12"/>
      <c r="PAT80" s="12"/>
      <c r="PAU80" s="12"/>
      <c r="PAV80" s="12"/>
      <c r="PAW80" s="12"/>
      <c r="PAX80" s="12"/>
      <c r="PAY80" s="12"/>
      <c r="PAZ80" s="12"/>
      <c r="PBA80" s="12"/>
      <c r="PBB80" s="12"/>
      <c r="PBC80" s="12"/>
      <c r="PBD80" s="12"/>
      <c r="PBE80" s="12"/>
      <c r="PBF80" s="12"/>
      <c r="PBG80" s="12"/>
      <c r="PBH80" s="12"/>
      <c r="PBI80" s="12"/>
      <c r="PBJ80" s="12"/>
      <c r="PBK80" s="12"/>
      <c r="PBL80" s="12"/>
      <c r="PBM80" s="12"/>
      <c r="PBN80" s="12"/>
      <c r="PBO80" s="12"/>
      <c r="PBP80" s="12"/>
      <c r="PBQ80" s="12"/>
      <c r="PBR80" s="12"/>
      <c r="PBS80" s="12"/>
      <c r="PBT80" s="12"/>
      <c r="PBU80" s="12"/>
      <c r="PBV80" s="12"/>
      <c r="PBW80" s="12"/>
      <c r="PBX80" s="12"/>
      <c r="PBY80" s="12"/>
      <c r="PBZ80" s="12"/>
      <c r="PCA80" s="12"/>
      <c r="PCB80" s="12"/>
      <c r="PCC80" s="12"/>
      <c r="PCD80" s="12"/>
      <c r="PCE80" s="12"/>
      <c r="PCF80" s="12"/>
      <c r="PCG80" s="12"/>
      <c r="PCH80" s="12"/>
      <c r="PCI80" s="12"/>
      <c r="PCJ80" s="12"/>
      <c r="PCK80" s="12"/>
      <c r="PCL80" s="12"/>
      <c r="PCM80" s="12"/>
      <c r="PCN80" s="12"/>
      <c r="PCO80" s="12"/>
      <c r="PCP80" s="12"/>
      <c r="PCQ80" s="12"/>
      <c r="PCR80" s="12"/>
      <c r="PCS80" s="12"/>
      <c r="PCT80" s="12"/>
      <c r="PCU80" s="12"/>
      <c r="PCV80" s="12"/>
      <c r="PCW80" s="12"/>
      <c r="PCX80" s="12"/>
      <c r="PCY80" s="12"/>
      <c r="PCZ80" s="12"/>
      <c r="PDA80" s="12"/>
      <c r="PDB80" s="12"/>
      <c r="PDC80" s="12"/>
      <c r="PDD80" s="12"/>
      <c r="PDE80" s="12"/>
      <c r="PDF80" s="12"/>
      <c r="PDG80" s="12"/>
      <c r="PDH80" s="12"/>
      <c r="PDI80" s="12"/>
      <c r="PDJ80" s="12"/>
      <c r="PDK80" s="12"/>
      <c r="PDL80" s="12"/>
      <c r="PDM80" s="12"/>
      <c r="PDN80" s="12"/>
      <c r="PDO80" s="12"/>
      <c r="PDP80" s="12"/>
      <c r="PDQ80" s="12"/>
      <c r="PDR80" s="12"/>
      <c r="PDS80" s="12"/>
      <c r="PDT80" s="12"/>
      <c r="PDU80" s="12"/>
      <c r="PDV80" s="12"/>
      <c r="PDW80" s="12"/>
      <c r="PDX80" s="12"/>
      <c r="PDY80" s="12"/>
      <c r="PDZ80" s="12"/>
      <c r="PEA80" s="12"/>
      <c r="PEB80" s="12"/>
      <c r="PEC80" s="12"/>
      <c r="PED80" s="12"/>
      <c r="PEE80" s="12"/>
      <c r="PEF80" s="12"/>
      <c r="PEG80" s="12"/>
      <c r="PEH80" s="12"/>
      <c r="PEI80" s="12"/>
      <c r="PEJ80" s="12"/>
      <c r="PEK80" s="12"/>
      <c r="PEL80" s="12"/>
      <c r="PEM80" s="12"/>
      <c r="PEN80" s="12"/>
      <c r="PEO80" s="12"/>
      <c r="PEP80" s="12"/>
      <c r="PEQ80" s="12"/>
      <c r="PER80" s="12"/>
      <c r="PES80" s="12"/>
      <c r="PET80" s="12"/>
      <c r="PEU80" s="12"/>
      <c r="PEV80" s="12"/>
      <c r="PEW80" s="12"/>
      <c r="PEX80" s="12"/>
      <c r="PEY80" s="12"/>
      <c r="PEZ80" s="12"/>
      <c r="PFA80" s="12"/>
      <c r="PFB80" s="12"/>
      <c r="PFC80" s="12"/>
      <c r="PFD80" s="12"/>
      <c r="PFE80" s="12"/>
      <c r="PFF80" s="12"/>
      <c r="PFG80" s="12"/>
      <c r="PFH80" s="12"/>
      <c r="PFI80" s="12"/>
      <c r="PFJ80" s="12"/>
      <c r="PFK80" s="12"/>
      <c r="PFL80" s="12"/>
      <c r="PFM80" s="12"/>
      <c r="PFN80" s="12"/>
      <c r="PFO80" s="12"/>
      <c r="PFP80" s="12"/>
      <c r="PFQ80" s="12"/>
      <c r="PFR80" s="12"/>
      <c r="PFS80" s="12"/>
      <c r="PFT80" s="12"/>
      <c r="PFU80" s="12"/>
      <c r="PFV80" s="12"/>
      <c r="PFW80" s="12"/>
      <c r="PFX80" s="12"/>
      <c r="PFY80" s="12"/>
      <c r="PFZ80" s="12"/>
      <c r="PGA80" s="12"/>
      <c r="PGB80" s="12"/>
      <c r="PGC80" s="12"/>
      <c r="PGD80" s="12"/>
      <c r="PGE80" s="12"/>
      <c r="PGF80" s="12"/>
      <c r="PGG80" s="12"/>
      <c r="PGH80" s="12"/>
      <c r="PGI80" s="12"/>
      <c r="PGJ80" s="12"/>
      <c r="PGK80" s="12"/>
      <c r="PGL80" s="12"/>
      <c r="PGM80" s="12"/>
      <c r="PGN80" s="12"/>
      <c r="PGO80" s="12"/>
      <c r="PGP80" s="12"/>
      <c r="PGQ80" s="12"/>
      <c r="PGR80" s="12"/>
      <c r="PGS80" s="12"/>
      <c r="PGT80" s="12"/>
      <c r="PGU80" s="12"/>
      <c r="PGV80" s="12"/>
      <c r="PGW80" s="12"/>
      <c r="PGX80" s="12"/>
      <c r="PGY80" s="12"/>
      <c r="PGZ80" s="12"/>
      <c r="PHA80" s="12"/>
      <c r="PHB80" s="12"/>
      <c r="PHC80" s="12"/>
      <c r="PHD80" s="12"/>
      <c r="PHE80" s="12"/>
      <c r="PHF80" s="12"/>
      <c r="PHG80" s="12"/>
      <c r="PHH80" s="12"/>
      <c r="PHI80" s="12"/>
      <c r="PHJ80" s="12"/>
      <c r="PHK80" s="12"/>
      <c r="PHL80" s="12"/>
      <c r="PHM80" s="12"/>
      <c r="PHN80" s="12"/>
      <c r="PHO80" s="12"/>
      <c r="PHP80" s="12"/>
      <c r="PHQ80" s="12"/>
      <c r="PHR80" s="12"/>
      <c r="PHS80" s="12"/>
      <c r="PHT80" s="12"/>
      <c r="PHU80" s="12"/>
      <c r="PHV80" s="12"/>
      <c r="PHW80" s="12"/>
      <c r="PHX80" s="12"/>
      <c r="PHY80" s="12"/>
      <c r="PHZ80" s="12"/>
      <c r="PIA80" s="12"/>
      <c r="PIB80" s="12"/>
      <c r="PIC80" s="12"/>
      <c r="PID80" s="12"/>
      <c r="PIE80" s="12"/>
      <c r="PIF80" s="12"/>
      <c r="PIG80" s="12"/>
      <c r="PIH80" s="12"/>
      <c r="PII80" s="12"/>
      <c r="PIJ80" s="12"/>
      <c r="PIK80" s="12"/>
      <c r="PIL80" s="12"/>
      <c r="PIM80" s="12"/>
      <c r="PIN80" s="12"/>
      <c r="PIO80" s="12"/>
      <c r="PIP80" s="12"/>
      <c r="PIQ80" s="12"/>
      <c r="PIR80" s="12"/>
      <c r="PIS80" s="12"/>
      <c r="PIT80" s="12"/>
      <c r="PIU80" s="12"/>
      <c r="PIV80" s="12"/>
      <c r="PIW80" s="12"/>
      <c r="PIX80" s="12"/>
      <c r="PIY80" s="12"/>
      <c r="PIZ80" s="12"/>
      <c r="PJA80" s="12"/>
      <c r="PJB80" s="12"/>
      <c r="PJC80" s="12"/>
      <c r="PJD80" s="12"/>
      <c r="PJE80" s="12"/>
      <c r="PJF80" s="12"/>
      <c r="PJG80" s="12"/>
      <c r="PJH80" s="12"/>
      <c r="PJI80" s="12"/>
      <c r="PJJ80" s="12"/>
      <c r="PJK80" s="12"/>
      <c r="PJL80" s="12"/>
      <c r="PJM80" s="12"/>
      <c r="PJN80" s="12"/>
      <c r="PJO80" s="12"/>
      <c r="PJP80" s="12"/>
      <c r="PJQ80" s="12"/>
      <c r="PJR80" s="12"/>
      <c r="PJS80" s="12"/>
      <c r="PJT80" s="12"/>
      <c r="PJU80" s="12"/>
      <c r="PJV80" s="12"/>
      <c r="PJW80" s="12"/>
      <c r="PJX80" s="12"/>
      <c r="PJY80" s="12"/>
      <c r="PJZ80" s="12"/>
      <c r="PKA80" s="12"/>
      <c r="PKB80" s="12"/>
      <c r="PKC80" s="12"/>
      <c r="PKD80" s="12"/>
      <c r="PKE80" s="12"/>
      <c r="PKF80" s="12"/>
      <c r="PKG80" s="12"/>
      <c r="PKH80" s="12"/>
      <c r="PKI80" s="12"/>
      <c r="PKJ80" s="12"/>
      <c r="PKK80" s="12"/>
      <c r="PKL80" s="12"/>
      <c r="PKM80" s="12"/>
      <c r="PKN80" s="12"/>
      <c r="PKO80" s="12"/>
      <c r="PKP80" s="12"/>
      <c r="PKQ80" s="12"/>
      <c r="PKR80" s="12"/>
      <c r="PKS80" s="12"/>
      <c r="PKT80" s="12"/>
      <c r="PKU80" s="12"/>
      <c r="PKV80" s="12"/>
      <c r="PKW80" s="12"/>
      <c r="PKX80" s="12"/>
      <c r="PKY80" s="12"/>
      <c r="PKZ80" s="12"/>
      <c r="PLA80" s="12"/>
      <c r="PLB80" s="12"/>
      <c r="PLC80" s="12"/>
      <c r="PLD80" s="12"/>
      <c r="PLE80" s="12"/>
      <c r="PLF80" s="12"/>
      <c r="PLG80" s="12"/>
      <c r="PLH80" s="12"/>
      <c r="PLI80" s="12"/>
      <c r="PLJ80" s="12"/>
      <c r="PLK80" s="12"/>
      <c r="PLL80" s="12"/>
      <c r="PLM80" s="12"/>
      <c r="PLN80" s="12"/>
      <c r="PLO80" s="12"/>
      <c r="PLP80" s="12"/>
      <c r="PLQ80" s="12"/>
      <c r="PLR80" s="12"/>
      <c r="PLS80" s="12"/>
      <c r="PLT80" s="12"/>
      <c r="PLU80" s="12"/>
      <c r="PLV80" s="12"/>
      <c r="PLW80" s="12"/>
      <c r="PLX80" s="12"/>
      <c r="PLY80" s="12"/>
      <c r="PLZ80" s="12"/>
      <c r="PMA80" s="12"/>
      <c r="PMB80" s="12"/>
      <c r="PMC80" s="12"/>
      <c r="PMD80" s="12"/>
      <c r="PME80" s="12"/>
      <c r="PMF80" s="12"/>
      <c r="PMG80" s="12"/>
      <c r="PMH80" s="12"/>
      <c r="PMI80" s="12"/>
      <c r="PMJ80" s="12"/>
      <c r="PMK80" s="12"/>
      <c r="PML80" s="12"/>
      <c r="PMM80" s="12"/>
      <c r="PMN80" s="12"/>
      <c r="PMO80" s="12"/>
      <c r="PMP80" s="12"/>
      <c r="PMQ80" s="12"/>
      <c r="PMR80" s="12"/>
      <c r="PMS80" s="12"/>
      <c r="PMT80" s="12"/>
      <c r="PMU80" s="12"/>
      <c r="PMV80" s="12"/>
      <c r="PMW80" s="12"/>
      <c r="PMX80" s="12"/>
      <c r="PMY80" s="12"/>
      <c r="PMZ80" s="12"/>
      <c r="PNA80" s="12"/>
      <c r="PNB80" s="12"/>
      <c r="PNC80" s="12"/>
      <c r="PND80" s="12"/>
      <c r="PNE80" s="12"/>
      <c r="PNF80" s="12"/>
      <c r="PNG80" s="12"/>
      <c r="PNH80" s="12"/>
      <c r="PNI80" s="12"/>
      <c r="PNJ80" s="12"/>
      <c r="PNK80" s="12"/>
      <c r="PNL80" s="12"/>
      <c r="PNM80" s="12"/>
      <c r="PNN80" s="12"/>
      <c r="PNO80" s="12"/>
      <c r="PNP80" s="12"/>
      <c r="PNQ80" s="12"/>
      <c r="PNR80" s="12"/>
      <c r="PNS80" s="12"/>
      <c r="PNT80" s="12"/>
      <c r="PNU80" s="12"/>
      <c r="PNV80" s="12"/>
      <c r="PNW80" s="12"/>
      <c r="PNX80" s="12"/>
      <c r="PNY80" s="12"/>
      <c r="PNZ80" s="12"/>
      <c r="POA80" s="12"/>
      <c r="POB80" s="12"/>
      <c r="POC80" s="12"/>
      <c r="POD80" s="12"/>
      <c r="POE80" s="12"/>
      <c r="POF80" s="12"/>
      <c r="POG80" s="12"/>
      <c r="POH80" s="12"/>
      <c r="POI80" s="12"/>
      <c r="POJ80" s="12"/>
      <c r="POK80" s="12"/>
      <c r="POL80" s="12"/>
      <c r="POM80" s="12"/>
      <c r="PON80" s="12"/>
      <c r="POO80" s="12"/>
      <c r="POP80" s="12"/>
      <c r="POQ80" s="12"/>
      <c r="POR80" s="12"/>
      <c r="POS80" s="12"/>
      <c r="POT80" s="12"/>
      <c r="POU80" s="12"/>
      <c r="POV80" s="12"/>
      <c r="POW80" s="12"/>
      <c r="POX80" s="12"/>
      <c r="POY80" s="12"/>
      <c r="POZ80" s="12"/>
      <c r="PPA80" s="12"/>
      <c r="PPB80" s="12"/>
      <c r="PPC80" s="12"/>
      <c r="PPD80" s="12"/>
      <c r="PPE80" s="12"/>
      <c r="PPF80" s="12"/>
      <c r="PPG80" s="12"/>
      <c r="PPH80" s="12"/>
      <c r="PPI80" s="12"/>
      <c r="PPJ80" s="12"/>
      <c r="PPK80" s="12"/>
      <c r="PPL80" s="12"/>
      <c r="PPM80" s="12"/>
      <c r="PPN80" s="12"/>
      <c r="PPO80" s="12"/>
      <c r="PPP80" s="12"/>
      <c r="PPQ80" s="12"/>
      <c r="PPR80" s="12"/>
      <c r="PPS80" s="12"/>
      <c r="PPT80" s="12"/>
      <c r="PPU80" s="12"/>
      <c r="PPV80" s="12"/>
      <c r="PPW80" s="12"/>
      <c r="PPX80" s="12"/>
      <c r="PPY80" s="12"/>
      <c r="PPZ80" s="12"/>
      <c r="PQA80" s="12"/>
      <c r="PQB80" s="12"/>
      <c r="PQC80" s="12"/>
      <c r="PQD80" s="12"/>
      <c r="PQE80" s="12"/>
      <c r="PQF80" s="12"/>
      <c r="PQG80" s="12"/>
      <c r="PQH80" s="12"/>
      <c r="PQI80" s="12"/>
      <c r="PQJ80" s="12"/>
      <c r="PQK80" s="12"/>
      <c r="PQL80" s="12"/>
      <c r="PQM80" s="12"/>
      <c r="PQN80" s="12"/>
      <c r="PQO80" s="12"/>
      <c r="PQP80" s="12"/>
      <c r="PQQ80" s="12"/>
      <c r="PQR80" s="12"/>
      <c r="PQS80" s="12"/>
      <c r="PQT80" s="12"/>
      <c r="PQU80" s="12"/>
      <c r="PQV80" s="12"/>
      <c r="PQW80" s="12"/>
      <c r="PQX80" s="12"/>
      <c r="PQY80" s="12"/>
      <c r="PQZ80" s="12"/>
      <c r="PRA80" s="12"/>
      <c r="PRB80" s="12"/>
      <c r="PRC80" s="12"/>
      <c r="PRD80" s="12"/>
      <c r="PRE80" s="12"/>
      <c r="PRF80" s="12"/>
      <c r="PRG80" s="12"/>
      <c r="PRH80" s="12"/>
      <c r="PRI80" s="12"/>
      <c r="PRJ80" s="12"/>
      <c r="PRK80" s="12"/>
      <c r="PRL80" s="12"/>
      <c r="PRM80" s="12"/>
      <c r="PRN80" s="12"/>
      <c r="PRO80" s="12"/>
      <c r="PRP80" s="12"/>
      <c r="PRQ80" s="12"/>
      <c r="PRR80" s="12"/>
      <c r="PRS80" s="12"/>
      <c r="PRT80" s="12"/>
      <c r="PRU80" s="12"/>
      <c r="PRV80" s="12"/>
      <c r="PRW80" s="12"/>
      <c r="PRX80" s="12"/>
      <c r="PRY80" s="12"/>
      <c r="PRZ80" s="12"/>
      <c r="PSA80" s="12"/>
      <c r="PSB80" s="12"/>
      <c r="PSC80" s="12"/>
      <c r="PSD80" s="12"/>
      <c r="PSE80" s="12"/>
      <c r="PSF80" s="12"/>
      <c r="PSG80" s="12"/>
      <c r="PSH80" s="12"/>
      <c r="PSI80" s="12"/>
      <c r="PSJ80" s="12"/>
      <c r="PSK80" s="12"/>
      <c r="PSL80" s="12"/>
      <c r="PSM80" s="12"/>
      <c r="PSN80" s="12"/>
      <c r="PSO80" s="12"/>
      <c r="PSP80" s="12"/>
      <c r="PSQ80" s="12"/>
      <c r="PSR80" s="12"/>
      <c r="PSS80" s="12"/>
      <c r="PST80" s="12"/>
      <c r="PSU80" s="12"/>
      <c r="PSV80" s="12"/>
      <c r="PSW80" s="12"/>
      <c r="PSX80" s="12"/>
      <c r="PSY80" s="12"/>
      <c r="PSZ80" s="12"/>
      <c r="PTA80" s="12"/>
      <c r="PTB80" s="12"/>
      <c r="PTC80" s="12"/>
      <c r="PTD80" s="12"/>
      <c r="PTE80" s="12"/>
      <c r="PTF80" s="12"/>
      <c r="PTG80" s="12"/>
      <c r="PTH80" s="12"/>
      <c r="PTI80" s="12"/>
      <c r="PTJ80" s="12"/>
      <c r="PTK80" s="12"/>
      <c r="PTL80" s="12"/>
      <c r="PTM80" s="12"/>
      <c r="PTN80" s="12"/>
      <c r="PTO80" s="12"/>
      <c r="PTP80" s="12"/>
      <c r="PTQ80" s="12"/>
      <c r="PTR80" s="12"/>
      <c r="PTS80" s="12"/>
      <c r="PTT80" s="12"/>
      <c r="PTU80" s="12"/>
      <c r="PTV80" s="12"/>
      <c r="PTW80" s="12"/>
      <c r="PTX80" s="12"/>
      <c r="PTY80" s="12"/>
      <c r="PTZ80" s="12"/>
      <c r="PUA80" s="12"/>
      <c r="PUB80" s="12"/>
      <c r="PUC80" s="12"/>
      <c r="PUD80" s="12"/>
      <c r="PUE80" s="12"/>
      <c r="PUF80" s="12"/>
      <c r="PUG80" s="12"/>
      <c r="PUH80" s="12"/>
      <c r="PUI80" s="12"/>
      <c r="PUJ80" s="12"/>
      <c r="PUK80" s="12"/>
      <c r="PUL80" s="12"/>
      <c r="PUM80" s="12"/>
      <c r="PUN80" s="12"/>
      <c r="PUO80" s="12"/>
      <c r="PUP80" s="12"/>
      <c r="PUQ80" s="12"/>
      <c r="PUR80" s="12"/>
      <c r="PUS80" s="12"/>
      <c r="PUT80" s="12"/>
      <c r="PUU80" s="12"/>
      <c r="PUV80" s="12"/>
      <c r="PUW80" s="12"/>
      <c r="PUX80" s="12"/>
      <c r="PUY80" s="12"/>
      <c r="PUZ80" s="12"/>
      <c r="PVA80" s="12"/>
      <c r="PVB80" s="12"/>
      <c r="PVC80" s="12"/>
      <c r="PVD80" s="12"/>
      <c r="PVE80" s="12"/>
      <c r="PVF80" s="12"/>
      <c r="PVG80" s="12"/>
      <c r="PVH80" s="12"/>
      <c r="PVI80" s="12"/>
      <c r="PVJ80" s="12"/>
      <c r="PVK80" s="12"/>
      <c r="PVL80" s="12"/>
      <c r="PVM80" s="12"/>
      <c r="PVN80" s="12"/>
      <c r="PVO80" s="12"/>
      <c r="PVP80" s="12"/>
      <c r="PVQ80" s="12"/>
      <c r="PVR80" s="12"/>
      <c r="PVS80" s="12"/>
      <c r="PVT80" s="12"/>
      <c r="PVU80" s="12"/>
      <c r="PVV80" s="12"/>
      <c r="PVW80" s="12"/>
      <c r="PVX80" s="12"/>
      <c r="PVY80" s="12"/>
      <c r="PVZ80" s="12"/>
      <c r="PWA80" s="12"/>
      <c r="PWB80" s="12"/>
      <c r="PWC80" s="12"/>
      <c r="PWD80" s="12"/>
      <c r="PWE80" s="12"/>
      <c r="PWF80" s="12"/>
      <c r="PWG80" s="12"/>
      <c r="PWH80" s="12"/>
      <c r="PWI80" s="12"/>
      <c r="PWJ80" s="12"/>
      <c r="PWK80" s="12"/>
      <c r="PWL80" s="12"/>
      <c r="PWM80" s="12"/>
      <c r="PWN80" s="12"/>
      <c r="PWO80" s="12"/>
      <c r="PWP80" s="12"/>
      <c r="PWQ80" s="12"/>
      <c r="PWR80" s="12"/>
      <c r="PWS80" s="12"/>
      <c r="PWT80" s="12"/>
      <c r="PWU80" s="12"/>
      <c r="PWV80" s="12"/>
      <c r="PWW80" s="12"/>
      <c r="PWX80" s="12"/>
      <c r="PWY80" s="12"/>
      <c r="PWZ80" s="12"/>
      <c r="PXA80" s="12"/>
      <c r="PXB80" s="12"/>
      <c r="PXC80" s="12"/>
      <c r="PXD80" s="12"/>
      <c r="PXE80" s="12"/>
      <c r="PXF80" s="12"/>
      <c r="PXG80" s="12"/>
      <c r="PXH80" s="12"/>
      <c r="PXI80" s="12"/>
      <c r="PXJ80" s="12"/>
      <c r="PXK80" s="12"/>
      <c r="PXL80" s="12"/>
      <c r="PXM80" s="12"/>
      <c r="PXN80" s="12"/>
      <c r="PXO80" s="12"/>
      <c r="PXP80" s="12"/>
      <c r="PXQ80" s="12"/>
      <c r="PXR80" s="12"/>
      <c r="PXS80" s="12"/>
      <c r="PXT80" s="12"/>
      <c r="PXU80" s="12"/>
      <c r="PXV80" s="12"/>
      <c r="PXW80" s="12"/>
      <c r="PXX80" s="12"/>
      <c r="PXY80" s="12"/>
      <c r="PXZ80" s="12"/>
      <c r="PYA80" s="12"/>
      <c r="PYB80" s="12"/>
      <c r="PYC80" s="12"/>
      <c r="PYD80" s="12"/>
      <c r="PYE80" s="12"/>
      <c r="PYF80" s="12"/>
      <c r="PYG80" s="12"/>
      <c r="PYH80" s="12"/>
      <c r="PYI80" s="12"/>
      <c r="PYJ80" s="12"/>
      <c r="PYK80" s="12"/>
      <c r="PYL80" s="12"/>
      <c r="PYM80" s="12"/>
      <c r="PYN80" s="12"/>
      <c r="PYO80" s="12"/>
      <c r="PYP80" s="12"/>
      <c r="PYQ80" s="12"/>
      <c r="PYR80" s="12"/>
      <c r="PYS80" s="12"/>
      <c r="PYT80" s="12"/>
      <c r="PYU80" s="12"/>
      <c r="PYV80" s="12"/>
      <c r="PYW80" s="12"/>
      <c r="PYX80" s="12"/>
      <c r="PYY80" s="12"/>
      <c r="PYZ80" s="12"/>
      <c r="PZA80" s="12"/>
      <c r="PZB80" s="12"/>
      <c r="PZC80" s="12"/>
      <c r="PZD80" s="12"/>
      <c r="PZE80" s="12"/>
      <c r="PZF80" s="12"/>
      <c r="PZG80" s="12"/>
      <c r="PZH80" s="12"/>
      <c r="PZI80" s="12"/>
      <c r="PZJ80" s="12"/>
      <c r="PZK80" s="12"/>
      <c r="PZL80" s="12"/>
      <c r="PZM80" s="12"/>
      <c r="PZN80" s="12"/>
      <c r="PZO80" s="12"/>
      <c r="PZP80" s="12"/>
      <c r="PZQ80" s="12"/>
      <c r="PZR80" s="12"/>
      <c r="PZS80" s="12"/>
      <c r="PZT80" s="12"/>
      <c r="PZU80" s="12"/>
      <c r="PZV80" s="12"/>
      <c r="PZW80" s="12"/>
      <c r="PZX80" s="12"/>
      <c r="PZY80" s="12"/>
      <c r="PZZ80" s="12"/>
      <c r="QAA80" s="12"/>
      <c r="QAB80" s="12"/>
      <c r="QAC80" s="12"/>
      <c r="QAD80" s="12"/>
      <c r="QAE80" s="12"/>
      <c r="QAF80" s="12"/>
      <c r="QAG80" s="12"/>
      <c r="QAH80" s="12"/>
      <c r="QAI80" s="12"/>
      <c r="QAJ80" s="12"/>
      <c r="QAK80" s="12"/>
      <c r="QAL80" s="12"/>
      <c r="QAM80" s="12"/>
      <c r="QAN80" s="12"/>
      <c r="QAO80" s="12"/>
      <c r="QAP80" s="12"/>
      <c r="QAQ80" s="12"/>
      <c r="QAR80" s="12"/>
      <c r="QAS80" s="12"/>
      <c r="QAT80" s="12"/>
      <c r="QAU80" s="12"/>
      <c r="QAV80" s="12"/>
      <c r="QAW80" s="12"/>
      <c r="QAX80" s="12"/>
      <c r="QAY80" s="12"/>
      <c r="QAZ80" s="12"/>
      <c r="QBA80" s="12"/>
      <c r="QBB80" s="12"/>
      <c r="QBC80" s="12"/>
      <c r="QBD80" s="12"/>
      <c r="QBE80" s="12"/>
      <c r="QBF80" s="12"/>
      <c r="QBG80" s="12"/>
      <c r="QBH80" s="12"/>
      <c r="QBI80" s="12"/>
      <c r="QBJ80" s="12"/>
      <c r="QBK80" s="12"/>
      <c r="QBL80" s="12"/>
      <c r="QBM80" s="12"/>
      <c r="QBN80" s="12"/>
      <c r="QBO80" s="12"/>
      <c r="QBP80" s="12"/>
      <c r="QBQ80" s="12"/>
      <c r="QBR80" s="12"/>
      <c r="QBS80" s="12"/>
      <c r="QBT80" s="12"/>
      <c r="QBU80" s="12"/>
      <c r="QBV80" s="12"/>
      <c r="QBW80" s="12"/>
      <c r="QBX80" s="12"/>
      <c r="QBY80" s="12"/>
      <c r="QBZ80" s="12"/>
      <c r="QCA80" s="12"/>
      <c r="QCB80" s="12"/>
      <c r="QCC80" s="12"/>
      <c r="QCD80" s="12"/>
      <c r="QCE80" s="12"/>
      <c r="QCF80" s="12"/>
      <c r="QCG80" s="12"/>
      <c r="QCH80" s="12"/>
      <c r="QCI80" s="12"/>
      <c r="QCJ80" s="12"/>
      <c r="QCK80" s="12"/>
      <c r="QCL80" s="12"/>
      <c r="QCM80" s="12"/>
      <c r="QCN80" s="12"/>
      <c r="QCO80" s="12"/>
      <c r="QCP80" s="12"/>
      <c r="QCQ80" s="12"/>
      <c r="QCR80" s="12"/>
      <c r="QCS80" s="12"/>
      <c r="QCT80" s="12"/>
      <c r="QCU80" s="12"/>
      <c r="QCV80" s="12"/>
      <c r="QCW80" s="12"/>
      <c r="QCX80" s="12"/>
      <c r="QCY80" s="12"/>
      <c r="QCZ80" s="12"/>
      <c r="QDA80" s="12"/>
      <c r="QDB80" s="12"/>
      <c r="QDC80" s="12"/>
      <c r="QDD80" s="12"/>
      <c r="QDE80" s="12"/>
      <c r="QDF80" s="12"/>
      <c r="QDG80" s="12"/>
      <c r="QDH80" s="12"/>
      <c r="QDI80" s="12"/>
      <c r="QDJ80" s="12"/>
      <c r="QDK80" s="12"/>
      <c r="QDL80" s="12"/>
      <c r="QDM80" s="12"/>
      <c r="QDN80" s="12"/>
      <c r="QDO80" s="12"/>
      <c r="QDP80" s="12"/>
      <c r="QDQ80" s="12"/>
      <c r="QDR80" s="12"/>
      <c r="QDS80" s="12"/>
      <c r="QDT80" s="12"/>
      <c r="QDU80" s="12"/>
      <c r="QDV80" s="12"/>
      <c r="QDW80" s="12"/>
      <c r="QDX80" s="12"/>
      <c r="QDY80" s="12"/>
      <c r="QDZ80" s="12"/>
      <c r="QEA80" s="12"/>
      <c r="QEB80" s="12"/>
      <c r="QEC80" s="12"/>
      <c r="QED80" s="12"/>
      <c r="QEE80" s="12"/>
      <c r="QEF80" s="12"/>
      <c r="QEG80" s="12"/>
      <c r="QEH80" s="12"/>
      <c r="QEI80" s="12"/>
      <c r="QEJ80" s="12"/>
      <c r="QEK80" s="12"/>
      <c r="QEL80" s="12"/>
      <c r="QEM80" s="12"/>
      <c r="QEN80" s="12"/>
      <c r="QEO80" s="12"/>
      <c r="QEP80" s="12"/>
      <c r="QEQ80" s="12"/>
      <c r="QER80" s="12"/>
      <c r="QES80" s="12"/>
      <c r="QET80" s="12"/>
      <c r="QEU80" s="12"/>
      <c r="QEV80" s="12"/>
      <c r="QEW80" s="12"/>
      <c r="QEX80" s="12"/>
      <c r="QEY80" s="12"/>
      <c r="QEZ80" s="12"/>
      <c r="QFA80" s="12"/>
      <c r="QFB80" s="12"/>
      <c r="QFC80" s="12"/>
      <c r="QFD80" s="12"/>
      <c r="QFE80" s="12"/>
      <c r="QFF80" s="12"/>
      <c r="QFG80" s="12"/>
      <c r="QFH80" s="12"/>
      <c r="QFI80" s="12"/>
      <c r="QFJ80" s="12"/>
      <c r="QFK80" s="12"/>
      <c r="QFL80" s="12"/>
      <c r="QFM80" s="12"/>
      <c r="QFN80" s="12"/>
      <c r="QFO80" s="12"/>
      <c r="QFP80" s="12"/>
      <c r="QFQ80" s="12"/>
      <c r="QFR80" s="12"/>
      <c r="QFS80" s="12"/>
      <c r="QFT80" s="12"/>
      <c r="QFU80" s="12"/>
      <c r="QFV80" s="12"/>
      <c r="QFW80" s="12"/>
      <c r="QFX80" s="12"/>
      <c r="QFY80" s="12"/>
      <c r="QFZ80" s="12"/>
      <c r="QGA80" s="12"/>
      <c r="QGB80" s="12"/>
      <c r="QGC80" s="12"/>
      <c r="QGD80" s="12"/>
      <c r="QGE80" s="12"/>
      <c r="QGF80" s="12"/>
      <c r="QGG80" s="12"/>
      <c r="QGH80" s="12"/>
      <c r="QGI80" s="12"/>
      <c r="QGJ80" s="12"/>
      <c r="QGK80" s="12"/>
      <c r="QGL80" s="12"/>
      <c r="QGM80" s="12"/>
      <c r="QGN80" s="12"/>
      <c r="QGO80" s="12"/>
      <c r="QGP80" s="12"/>
      <c r="QGQ80" s="12"/>
      <c r="QGR80" s="12"/>
      <c r="QGS80" s="12"/>
      <c r="QGT80" s="12"/>
      <c r="QGU80" s="12"/>
      <c r="QGV80" s="12"/>
      <c r="QGW80" s="12"/>
      <c r="QGX80" s="12"/>
      <c r="QGY80" s="12"/>
      <c r="QGZ80" s="12"/>
      <c r="QHA80" s="12"/>
      <c r="QHB80" s="12"/>
      <c r="QHC80" s="12"/>
      <c r="QHD80" s="12"/>
      <c r="QHE80" s="12"/>
      <c r="QHF80" s="12"/>
      <c r="QHG80" s="12"/>
      <c r="QHH80" s="12"/>
      <c r="QHI80" s="12"/>
      <c r="QHJ80" s="12"/>
      <c r="QHK80" s="12"/>
      <c r="QHL80" s="12"/>
      <c r="QHM80" s="12"/>
      <c r="QHN80" s="12"/>
      <c r="QHO80" s="12"/>
      <c r="QHP80" s="12"/>
      <c r="QHQ80" s="12"/>
      <c r="QHR80" s="12"/>
      <c r="QHS80" s="12"/>
      <c r="QHT80" s="12"/>
      <c r="QHU80" s="12"/>
      <c r="QHV80" s="12"/>
      <c r="QHW80" s="12"/>
      <c r="QHX80" s="12"/>
      <c r="QHY80" s="12"/>
      <c r="QHZ80" s="12"/>
      <c r="QIA80" s="12"/>
      <c r="QIB80" s="12"/>
      <c r="QIC80" s="12"/>
      <c r="QID80" s="12"/>
      <c r="QIE80" s="12"/>
      <c r="QIF80" s="12"/>
      <c r="QIG80" s="12"/>
      <c r="QIH80" s="12"/>
      <c r="QII80" s="12"/>
      <c r="QIJ80" s="12"/>
      <c r="QIK80" s="12"/>
      <c r="QIL80" s="12"/>
      <c r="QIM80" s="12"/>
      <c r="QIN80" s="12"/>
      <c r="QIO80" s="12"/>
      <c r="QIP80" s="12"/>
      <c r="QIQ80" s="12"/>
      <c r="QIR80" s="12"/>
      <c r="QIS80" s="12"/>
      <c r="QIT80" s="12"/>
      <c r="QIU80" s="12"/>
      <c r="QIV80" s="12"/>
      <c r="QIW80" s="12"/>
      <c r="QIX80" s="12"/>
      <c r="QIY80" s="12"/>
      <c r="QIZ80" s="12"/>
      <c r="QJA80" s="12"/>
      <c r="QJB80" s="12"/>
      <c r="QJC80" s="12"/>
      <c r="QJD80" s="12"/>
      <c r="QJE80" s="12"/>
      <c r="QJF80" s="12"/>
      <c r="QJG80" s="12"/>
      <c r="QJH80" s="12"/>
      <c r="QJI80" s="12"/>
      <c r="QJJ80" s="12"/>
      <c r="QJK80" s="12"/>
      <c r="QJL80" s="12"/>
      <c r="QJM80" s="12"/>
      <c r="QJN80" s="12"/>
      <c r="QJO80" s="12"/>
      <c r="QJP80" s="12"/>
      <c r="QJQ80" s="12"/>
      <c r="QJR80" s="12"/>
      <c r="QJS80" s="12"/>
      <c r="QJT80" s="12"/>
      <c r="QJU80" s="12"/>
      <c r="QJV80" s="12"/>
      <c r="QJW80" s="12"/>
      <c r="QJX80" s="12"/>
      <c r="QJY80" s="12"/>
      <c r="QJZ80" s="12"/>
      <c r="QKA80" s="12"/>
      <c r="QKB80" s="12"/>
      <c r="QKC80" s="12"/>
      <c r="QKD80" s="12"/>
      <c r="QKE80" s="12"/>
      <c r="QKF80" s="12"/>
      <c r="QKG80" s="12"/>
      <c r="QKH80" s="12"/>
      <c r="QKI80" s="12"/>
      <c r="QKJ80" s="12"/>
      <c r="QKK80" s="12"/>
      <c r="QKL80" s="12"/>
      <c r="QKM80" s="12"/>
      <c r="QKN80" s="12"/>
      <c r="QKO80" s="12"/>
      <c r="QKP80" s="12"/>
      <c r="QKQ80" s="12"/>
      <c r="QKR80" s="12"/>
      <c r="QKS80" s="12"/>
      <c r="QKT80" s="12"/>
      <c r="QKU80" s="12"/>
      <c r="QKV80" s="12"/>
      <c r="QKW80" s="12"/>
      <c r="QKX80" s="12"/>
      <c r="QKY80" s="12"/>
      <c r="QKZ80" s="12"/>
      <c r="QLA80" s="12"/>
      <c r="QLB80" s="12"/>
      <c r="QLC80" s="12"/>
      <c r="QLD80" s="12"/>
      <c r="QLE80" s="12"/>
      <c r="QLF80" s="12"/>
      <c r="QLG80" s="12"/>
      <c r="QLH80" s="12"/>
      <c r="QLI80" s="12"/>
      <c r="QLJ80" s="12"/>
      <c r="QLK80" s="12"/>
      <c r="QLL80" s="12"/>
      <c r="QLM80" s="12"/>
      <c r="QLN80" s="12"/>
      <c r="QLO80" s="12"/>
      <c r="QLP80" s="12"/>
      <c r="QLQ80" s="12"/>
      <c r="QLR80" s="12"/>
      <c r="QLS80" s="12"/>
      <c r="QLT80" s="12"/>
      <c r="QLU80" s="12"/>
      <c r="QLV80" s="12"/>
      <c r="QLW80" s="12"/>
      <c r="QLX80" s="12"/>
      <c r="QLY80" s="12"/>
      <c r="QLZ80" s="12"/>
      <c r="QMA80" s="12"/>
      <c r="QMB80" s="12"/>
      <c r="QMC80" s="12"/>
      <c r="QMD80" s="12"/>
      <c r="QME80" s="12"/>
      <c r="QMF80" s="12"/>
      <c r="QMG80" s="12"/>
      <c r="QMH80" s="12"/>
      <c r="QMI80" s="12"/>
      <c r="QMJ80" s="12"/>
      <c r="QMK80" s="12"/>
      <c r="QML80" s="12"/>
      <c r="QMM80" s="12"/>
      <c r="QMN80" s="12"/>
      <c r="QMO80" s="12"/>
      <c r="QMP80" s="12"/>
      <c r="QMQ80" s="12"/>
      <c r="QMR80" s="12"/>
      <c r="QMS80" s="12"/>
      <c r="QMT80" s="12"/>
      <c r="QMU80" s="12"/>
      <c r="QMV80" s="12"/>
      <c r="QMW80" s="12"/>
      <c r="QMX80" s="12"/>
      <c r="QMY80" s="12"/>
      <c r="QMZ80" s="12"/>
      <c r="QNA80" s="12"/>
      <c r="QNB80" s="12"/>
      <c r="QNC80" s="12"/>
      <c r="QND80" s="12"/>
      <c r="QNE80" s="12"/>
      <c r="QNF80" s="12"/>
      <c r="QNG80" s="12"/>
      <c r="QNH80" s="12"/>
      <c r="QNI80" s="12"/>
      <c r="QNJ80" s="12"/>
      <c r="QNK80" s="12"/>
      <c r="QNL80" s="12"/>
      <c r="QNM80" s="12"/>
      <c r="QNN80" s="12"/>
      <c r="QNO80" s="12"/>
      <c r="QNP80" s="12"/>
      <c r="QNQ80" s="12"/>
      <c r="QNR80" s="12"/>
      <c r="QNS80" s="12"/>
      <c r="QNT80" s="12"/>
      <c r="QNU80" s="12"/>
      <c r="QNV80" s="12"/>
      <c r="QNW80" s="12"/>
      <c r="QNX80" s="12"/>
      <c r="QNY80" s="12"/>
      <c r="QNZ80" s="12"/>
      <c r="QOA80" s="12"/>
      <c r="QOB80" s="12"/>
      <c r="QOC80" s="12"/>
      <c r="QOD80" s="12"/>
      <c r="QOE80" s="12"/>
      <c r="QOF80" s="12"/>
      <c r="QOG80" s="12"/>
      <c r="QOH80" s="12"/>
      <c r="QOI80" s="12"/>
      <c r="QOJ80" s="12"/>
      <c r="QOK80" s="12"/>
      <c r="QOL80" s="12"/>
      <c r="QOM80" s="12"/>
      <c r="QON80" s="12"/>
      <c r="QOO80" s="12"/>
      <c r="QOP80" s="12"/>
      <c r="QOQ80" s="12"/>
      <c r="QOR80" s="12"/>
      <c r="QOS80" s="12"/>
      <c r="QOT80" s="12"/>
      <c r="QOU80" s="12"/>
      <c r="QOV80" s="12"/>
      <c r="QOW80" s="12"/>
      <c r="QOX80" s="12"/>
      <c r="QOY80" s="12"/>
      <c r="QOZ80" s="12"/>
      <c r="QPA80" s="12"/>
      <c r="QPB80" s="12"/>
      <c r="QPC80" s="12"/>
      <c r="QPD80" s="12"/>
      <c r="QPE80" s="12"/>
      <c r="QPF80" s="12"/>
      <c r="QPG80" s="12"/>
      <c r="QPH80" s="12"/>
      <c r="QPI80" s="12"/>
      <c r="QPJ80" s="12"/>
      <c r="QPK80" s="12"/>
      <c r="QPL80" s="12"/>
      <c r="QPM80" s="12"/>
      <c r="QPN80" s="12"/>
      <c r="QPO80" s="12"/>
      <c r="QPP80" s="12"/>
      <c r="QPQ80" s="12"/>
      <c r="QPR80" s="12"/>
      <c r="QPS80" s="12"/>
      <c r="QPT80" s="12"/>
      <c r="QPU80" s="12"/>
      <c r="QPV80" s="12"/>
      <c r="QPW80" s="12"/>
      <c r="QPX80" s="12"/>
      <c r="QPY80" s="12"/>
      <c r="QPZ80" s="12"/>
      <c r="QQA80" s="12"/>
      <c r="QQB80" s="12"/>
      <c r="QQC80" s="12"/>
      <c r="QQD80" s="12"/>
      <c r="QQE80" s="12"/>
      <c r="QQF80" s="12"/>
      <c r="QQG80" s="12"/>
      <c r="QQH80" s="12"/>
      <c r="QQI80" s="12"/>
      <c r="QQJ80" s="12"/>
      <c r="QQK80" s="12"/>
      <c r="QQL80" s="12"/>
      <c r="QQM80" s="12"/>
      <c r="QQN80" s="12"/>
      <c r="QQO80" s="12"/>
      <c r="QQP80" s="12"/>
      <c r="QQQ80" s="12"/>
      <c r="QQR80" s="12"/>
      <c r="QQS80" s="12"/>
      <c r="QQT80" s="12"/>
      <c r="QQU80" s="12"/>
      <c r="QQV80" s="12"/>
      <c r="QQW80" s="12"/>
      <c r="QQX80" s="12"/>
      <c r="QQY80" s="12"/>
      <c r="QQZ80" s="12"/>
      <c r="QRA80" s="12"/>
      <c r="QRB80" s="12"/>
      <c r="QRC80" s="12"/>
      <c r="QRD80" s="12"/>
      <c r="QRE80" s="12"/>
      <c r="QRF80" s="12"/>
      <c r="QRG80" s="12"/>
      <c r="QRH80" s="12"/>
      <c r="QRI80" s="12"/>
      <c r="QRJ80" s="12"/>
      <c r="QRK80" s="12"/>
      <c r="QRL80" s="12"/>
      <c r="QRM80" s="12"/>
      <c r="QRN80" s="12"/>
      <c r="QRO80" s="12"/>
      <c r="QRP80" s="12"/>
      <c r="QRQ80" s="12"/>
      <c r="QRR80" s="12"/>
      <c r="QRS80" s="12"/>
      <c r="QRT80" s="12"/>
      <c r="QRU80" s="12"/>
      <c r="QRV80" s="12"/>
      <c r="QRW80" s="12"/>
      <c r="QRX80" s="12"/>
      <c r="QRY80" s="12"/>
      <c r="QRZ80" s="12"/>
      <c r="QSA80" s="12"/>
      <c r="QSB80" s="12"/>
      <c r="QSC80" s="12"/>
      <c r="QSD80" s="12"/>
      <c r="QSE80" s="12"/>
      <c r="QSF80" s="12"/>
      <c r="QSG80" s="12"/>
      <c r="QSH80" s="12"/>
      <c r="QSI80" s="12"/>
      <c r="QSJ80" s="12"/>
      <c r="QSK80" s="12"/>
      <c r="QSL80" s="12"/>
      <c r="QSM80" s="12"/>
      <c r="QSN80" s="12"/>
      <c r="QSO80" s="12"/>
      <c r="QSP80" s="12"/>
      <c r="QSQ80" s="12"/>
      <c r="QSR80" s="12"/>
      <c r="QSS80" s="12"/>
      <c r="QST80" s="12"/>
      <c r="QSU80" s="12"/>
      <c r="QSV80" s="12"/>
      <c r="QSW80" s="12"/>
      <c r="QSX80" s="12"/>
      <c r="QSY80" s="12"/>
      <c r="QSZ80" s="12"/>
      <c r="QTA80" s="12"/>
      <c r="QTB80" s="12"/>
      <c r="QTC80" s="12"/>
      <c r="QTD80" s="12"/>
      <c r="QTE80" s="12"/>
      <c r="QTF80" s="12"/>
      <c r="QTG80" s="12"/>
      <c r="QTH80" s="12"/>
      <c r="QTI80" s="12"/>
      <c r="QTJ80" s="12"/>
      <c r="QTK80" s="12"/>
      <c r="QTL80" s="12"/>
      <c r="QTM80" s="12"/>
      <c r="QTN80" s="12"/>
      <c r="QTO80" s="12"/>
      <c r="QTP80" s="12"/>
      <c r="QTQ80" s="12"/>
      <c r="QTR80" s="12"/>
      <c r="QTS80" s="12"/>
      <c r="QTT80" s="12"/>
      <c r="QTU80" s="12"/>
      <c r="QTV80" s="12"/>
      <c r="QTW80" s="12"/>
      <c r="QTX80" s="12"/>
      <c r="QTY80" s="12"/>
      <c r="QTZ80" s="12"/>
      <c r="QUA80" s="12"/>
      <c r="QUB80" s="12"/>
      <c r="QUC80" s="12"/>
      <c r="QUD80" s="12"/>
      <c r="QUE80" s="12"/>
      <c r="QUF80" s="12"/>
      <c r="QUG80" s="12"/>
      <c r="QUH80" s="12"/>
      <c r="QUI80" s="12"/>
      <c r="QUJ80" s="12"/>
      <c r="QUK80" s="12"/>
      <c r="QUL80" s="12"/>
      <c r="QUM80" s="12"/>
      <c r="QUN80" s="12"/>
      <c r="QUO80" s="12"/>
      <c r="QUP80" s="12"/>
      <c r="QUQ80" s="12"/>
      <c r="QUR80" s="12"/>
      <c r="QUS80" s="12"/>
      <c r="QUT80" s="12"/>
      <c r="QUU80" s="12"/>
      <c r="QUV80" s="12"/>
      <c r="QUW80" s="12"/>
      <c r="QUX80" s="12"/>
      <c r="QUY80" s="12"/>
      <c r="QUZ80" s="12"/>
      <c r="QVA80" s="12"/>
      <c r="QVB80" s="12"/>
      <c r="QVC80" s="12"/>
      <c r="QVD80" s="12"/>
      <c r="QVE80" s="12"/>
      <c r="QVF80" s="12"/>
      <c r="QVG80" s="12"/>
      <c r="QVH80" s="12"/>
      <c r="QVI80" s="12"/>
      <c r="QVJ80" s="12"/>
      <c r="QVK80" s="12"/>
      <c r="QVL80" s="12"/>
      <c r="QVM80" s="12"/>
      <c r="QVN80" s="12"/>
      <c r="QVO80" s="12"/>
      <c r="QVP80" s="12"/>
      <c r="QVQ80" s="12"/>
      <c r="QVR80" s="12"/>
      <c r="QVS80" s="12"/>
      <c r="QVT80" s="12"/>
      <c r="QVU80" s="12"/>
      <c r="QVV80" s="12"/>
      <c r="QVW80" s="12"/>
      <c r="QVX80" s="12"/>
      <c r="QVY80" s="12"/>
      <c r="QVZ80" s="12"/>
      <c r="QWA80" s="12"/>
      <c r="QWB80" s="12"/>
      <c r="QWC80" s="12"/>
      <c r="QWD80" s="12"/>
      <c r="QWE80" s="12"/>
      <c r="QWF80" s="12"/>
      <c r="QWG80" s="12"/>
      <c r="QWH80" s="12"/>
      <c r="QWI80" s="12"/>
      <c r="QWJ80" s="12"/>
      <c r="QWK80" s="12"/>
      <c r="QWL80" s="12"/>
      <c r="QWM80" s="12"/>
      <c r="QWN80" s="12"/>
      <c r="QWO80" s="12"/>
      <c r="QWP80" s="12"/>
      <c r="QWQ80" s="12"/>
      <c r="QWR80" s="12"/>
      <c r="QWS80" s="12"/>
      <c r="QWT80" s="12"/>
      <c r="QWU80" s="12"/>
      <c r="QWV80" s="12"/>
      <c r="QWW80" s="12"/>
      <c r="QWX80" s="12"/>
      <c r="QWY80" s="12"/>
      <c r="QWZ80" s="12"/>
      <c r="QXA80" s="12"/>
      <c r="QXB80" s="12"/>
      <c r="QXC80" s="12"/>
      <c r="QXD80" s="12"/>
      <c r="QXE80" s="12"/>
      <c r="QXF80" s="12"/>
      <c r="QXG80" s="12"/>
      <c r="QXH80" s="12"/>
      <c r="QXI80" s="12"/>
      <c r="QXJ80" s="12"/>
      <c r="QXK80" s="12"/>
      <c r="QXL80" s="12"/>
      <c r="QXM80" s="12"/>
      <c r="QXN80" s="12"/>
      <c r="QXO80" s="12"/>
      <c r="QXP80" s="12"/>
      <c r="QXQ80" s="12"/>
      <c r="QXR80" s="12"/>
      <c r="QXS80" s="12"/>
      <c r="QXT80" s="12"/>
      <c r="QXU80" s="12"/>
      <c r="QXV80" s="12"/>
      <c r="QXW80" s="12"/>
      <c r="QXX80" s="12"/>
      <c r="QXY80" s="12"/>
      <c r="QXZ80" s="12"/>
      <c r="QYA80" s="12"/>
      <c r="QYB80" s="12"/>
      <c r="QYC80" s="12"/>
      <c r="QYD80" s="12"/>
      <c r="QYE80" s="12"/>
      <c r="QYF80" s="12"/>
      <c r="QYG80" s="12"/>
      <c r="QYH80" s="12"/>
      <c r="QYI80" s="12"/>
      <c r="QYJ80" s="12"/>
      <c r="QYK80" s="12"/>
      <c r="QYL80" s="12"/>
      <c r="QYM80" s="12"/>
      <c r="QYN80" s="12"/>
      <c r="QYO80" s="12"/>
      <c r="QYP80" s="12"/>
      <c r="QYQ80" s="12"/>
      <c r="QYR80" s="12"/>
      <c r="QYS80" s="12"/>
      <c r="QYT80" s="12"/>
      <c r="QYU80" s="12"/>
      <c r="QYV80" s="12"/>
      <c r="QYW80" s="12"/>
      <c r="QYX80" s="12"/>
      <c r="QYY80" s="12"/>
      <c r="QYZ80" s="12"/>
      <c r="QZA80" s="12"/>
      <c r="QZB80" s="12"/>
      <c r="QZC80" s="12"/>
      <c r="QZD80" s="12"/>
      <c r="QZE80" s="12"/>
      <c r="QZF80" s="12"/>
      <c r="QZG80" s="12"/>
      <c r="QZH80" s="12"/>
      <c r="QZI80" s="12"/>
      <c r="QZJ80" s="12"/>
      <c r="QZK80" s="12"/>
      <c r="QZL80" s="12"/>
      <c r="QZM80" s="12"/>
      <c r="QZN80" s="12"/>
      <c r="QZO80" s="12"/>
      <c r="QZP80" s="12"/>
      <c r="QZQ80" s="12"/>
      <c r="QZR80" s="12"/>
      <c r="QZS80" s="12"/>
      <c r="QZT80" s="12"/>
      <c r="QZU80" s="12"/>
      <c r="QZV80" s="12"/>
      <c r="QZW80" s="12"/>
      <c r="QZX80" s="12"/>
      <c r="QZY80" s="12"/>
      <c r="QZZ80" s="12"/>
      <c r="RAA80" s="12"/>
      <c r="RAB80" s="12"/>
      <c r="RAC80" s="12"/>
      <c r="RAD80" s="12"/>
      <c r="RAE80" s="12"/>
      <c r="RAF80" s="12"/>
      <c r="RAG80" s="12"/>
      <c r="RAH80" s="12"/>
      <c r="RAI80" s="12"/>
      <c r="RAJ80" s="12"/>
      <c r="RAK80" s="12"/>
      <c r="RAL80" s="12"/>
      <c r="RAM80" s="12"/>
      <c r="RAN80" s="12"/>
      <c r="RAO80" s="12"/>
      <c r="RAP80" s="12"/>
      <c r="RAQ80" s="12"/>
      <c r="RAR80" s="12"/>
      <c r="RAS80" s="12"/>
      <c r="RAT80" s="12"/>
      <c r="RAU80" s="12"/>
      <c r="RAV80" s="12"/>
      <c r="RAW80" s="12"/>
      <c r="RAX80" s="12"/>
      <c r="RAY80" s="12"/>
      <c r="RAZ80" s="12"/>
      <c r="RBA80" s="12"/>
      <c r="RBB80" s="12"/>
      <c r="RBC80" s="12"/>
      <c r="RBD80" s="12"/>
      <c r="RBE80" s="12"/>
      <c r="RBF80" s="12"/>
      <c r="RBG80" s="12"/>
      <c r="RBH80" s="12"/>
      <c r="RBI80" s="12"/>
      <c r="RBJ80" s="12"/>
      <c r="RBK80" s="12"/>
      <c r="RBL80" s="12"/>
      <c r="RBM80" s="12"/>
      <c r="RBN80" s="12"/>
      <c r="RBO80" s="12"/>
      <c r="RBP80" s="12"/>
      <c r="RBQ80" s="12"/>
      <c r="RBR80" s="12"/>
      <c r="RBS80" s="12"/>
      <c r="RBT80" s="12"/>
      <c r="RBU80" s="12"/>
      <c r="RBV80" s="12"/>
      <c r="RBW80" s="12"/>
      <c r="RBX80" s="12"/>
      <c r="RBY80" s="12"/>
      <c r="RBZ80" s="12"/>
      <c r="RCA80" s="12"/>
      <c r="RCB80" s="12"/>
      <c r="RCC80" s="12"/>
      <c r="RCD80" s="12"/>
      <c r="RCE80" s="12"/>
      <c r="RCF80" s="12"/>
      <c r="RCG80" s="12"/>
      <c r="RCH80" s="12"/>
      <c r="RCI80" s="12"/>
      <c r="RCJ80" s="12"/>
      <c r="RCK80" s="12"/>
      <c r="RCL80" s="12"/>
      <c r="RCM80" s="12"/>
      <c r="RCN80" s="12"/>
      <c r="RCO80" s="12"/>
      <c r="RCP80" s="12"/>
      <c r="RCQ80" s="12"/>
      <c r="RCR80" s="12"/>
      <c r="RCS80" s="12"/>
      <c r="RCT80" s="12"/>
      <c r="RCU80" s="12"/>
      <c r="RCV80" s="12"/>
      <c r="RCW80" s="12"/>
      <c r="RCX80" s="12"/>
      <c r="RCY80" s="12"/>
      <c r="RCZ80" s="12"/>
      <c r="RDA80" s="12"/>
      <c r="RDB80" s="12"/>
      <c r="RDC80" s="12"/>
      <c r="RDD80" s="12"/>
      <c r="RDE80" s="12"/>
      <c r="RDF80" s="12"/>
      <c r="RDG80" s="12"/>
      <c r="RDH80" s="12"/>
      <c r="RDI80" s="12"/>
      <c r="RDJ80" s="12"/>
      <c r="RDK80" s="12"/>
      <c r="RDL80" s="12"/>
      <c r="RDM80" s="12"/>
      <c r="RDN80" s="12"/>
      <c r="RDO80" s="12"/>
      <c r="RDP80" s="12"/>
      <c r="RDQ80" s="12"/>
      <c r="RDR80" s="12"/>
      <c r="RDS80" s="12"/>
      <c r="RDT80" s="12"/>
      <c r="RDU80" s="12"/>
      <c r="RDV80" s="12"/>
      <c r="RDW80" s="12"/>
      <c r="RDX80" s="12"/>
      <c r="RDY80" s="12"/>
      <c r="RDZ80" s="12"/>
      <c r="REA80" s="12"/>
      <c r="REB80" s="12"/>
      <c r="REC80" s="12"/>
      <c r="RED80" s="12"/>
      <c r="REE80" s="12"/>
      <c r="REF80" s="12"/>
      <c r="REG80" s="12"/>
      <c r="REH80" s="12"/>
      <c r="REI80" s="12"/>
      <c r="REJ80" s="12"/>
      <c r="REK80" s="12"/>
      <c r="REL80" s="12"/>
      <c r="REM80" s="12"/>
      <c r="REN80" s="12"/>
      <c r="REO80" s="12"/>
      <c r="REP80" s="12"/>
      <c r="REQ80" s="12"/>
      <c r="RER80" s="12"/>
      <c r="RES80" s="12"/>
      <c r="RET80" s="12"/>
      <c r="REU80" s="12"/>
      <c r="REV80" s="12"/>
      <c r="REW80" s="12"/>
      <c r="REX80" s="12"/>
      <c r="REY80" s="12"/>
      <c r="REZ80" s="12"/>
      <c r="RFA80" s="12"/>
      <c r="RFB80" s="12"/>
      <c r="RFC80" s="12"/>
      <c r="RFD80" s="12"/>
      <c r="RFE80" s="12"/>
      <c r="RFF80" s="12"/>
      <c r="RFG80" s="12"/>
      <c r="RFH80" s="12"/>
      <c r="RFI80" s="12"/>
      <c r="RFJ80" s="12"/>
      <c r="RFK80" s="12"/>
      <c r="RFL80" s="12"/>
      <c r="RFM80" s="12"/>
      <c r="RFN80" s="12"/>
      <c r="RFO80" s="12"/>
      <c r="RFP80" s="12"/>
      <c r="RFQ80" s="12"/>
      <c r="RFR80" s="12"/>
      <c r="RFS80" s="12"/>
      <c r="RFT80" s="12"/>
      <c r="RFU80" s="12"/>
      <c r="RFV80" s="12"/>
      <c r="RFW80" s="12"/>
      <c r="RFX80" s="12"/>
      <c r="RFY80" s="12"/>
      <c r="RFZ80" s="12"/>
      <c r="RGA80" s="12"/>
      <c r="RGB80" s="12"/>
      <c r="RGC80" s="12"/>
      <c r="RGD80" s="12"/>
      <c r="RGE80" s="12"/>
      <c r="RGF80" s="12"/>
      <c r="RGG80" s="12"/>
      <c r="RGH80" s="12"/>
      <c r="RGI80" s="12"/>
      <c r="RGJ80" s="12"/>
      <c r="RGK80" s="12"/>
      <c r="RGL80" s="12"/>
      <c r="RGM80" s="12"/>
      <c r="RGN80" s="12"/>
      <c r="RGO80" s="12"/>
      <c r="RGP80" s="12"/>
      <c r="RGQ80" s="12"/>
      <c r="RGR80" s="12"/>
      <c r="RGS80" s="12"/>
      <c r="RGT80" s="12"/>
      <c r="RGU80" s="12"/>
      <c r="RGV80" s="12"/>
      <c r="RGW80" s="12"/>
      <c r="RGX80" s="12"/>
      <c r="RGY80" s="12"/>
      <c r="RGZ80" s="12"/>
      <c r="RHA80" s="12"/>
      <c r="RHB80" s="12"/>
      <c r="RHC80" s="12"/>
      <c r="RHD80" s="12"/>
      <c r="RHE80" s="12"/>
      <c r="RHF80" s="12"/>
      <c r="RHG80" s="12"/>
      <c r="RHH80" s="12"/>
      <c r="RHI80" s="12"/>
      <c r="RHJ80" s="12"/>
      <c r="RHK80" s="12"/>
      <c r="RHL80" s="12"/>
      <c r="RHM80" s="12"/>
      <c r="RHN80" s="12"/>
      <c r="RHO80" s="12"/>
      <c r="RHP80" s="12"/>
      <c r="RHQ80" s="12"/>
      <c r="RHR80" s="12"/>
      <c r="RHS80" s="12"/>
      <c r="RHT80" s="12"/>
      <c r="RHU80" s="12"/>
      <c r="RHV80" s="12"/>
      <c r="RHW80" s="12"/>
      <c r="RHX80" s="12"/>
      <c r="RHY80" s="12"/>
      <c r="RHZ80" s="12"/>
      <c r="RIA80" s="12"/>
      <c r="RIB80" s="12"/>
      <c r="RIC80" s="12"/>
      <c r="RID80" s="12"/>
      <c r="RIE80" s="12"/>
      <c r="RIF80" s="12"/>
      <c r="RIG80" s="12"/>
      <c r="RIH80" s="12"/>
      <c r="RII80" s="12"/>
      <c r="RIJ80" s="12"/>
      <c r="RIK80" s="12"/>
      <c r="RIL80" s="12"/>
      <c r="RIM80" s="12"/>
      <c r="RIN80" s="12"/>
      <c r="RIO80" s="12"/>
      <c r="RIP80" s="12"/>
      <c r="RIQ80" s="12"/>
      <c r="RIR80" s="12"/>
      <c r="RIS80" s="12"/>
      <c r="RIT80" s="12"/>
      <c r="RIU80" s="12"/>
      <c r="RIV80" s="12"/>
      <c r="RIW80" s="12"/>
      <c r="RIX80" s="12"/>
      <c r="RIY80" s="12"/>
      <c r="RIZ80" s="12"/>
      <c r="RJA80" s="12"/>
      <c r="RJB80" s="12"/>
      <c r="RJC80" s="12"/>
      <c r="RJD80" s="12"/>
      <c r="RJE80" s="12"/>
      <c r="RJF80" s="12"/>
      <c r="RJG80" s="12"/>
      <c r="RJH80" s="12"/>
      <c r="RJI80" s="12"/>
      <c r="RJJ80" s="12"/>
      <c r="RJK80" s="12"/>
      <c r="RJL80" s="12"/>
      <c r="RJM80" s="12"/>
      <c r="RJN80" s="12"/>
      <c r="RJO80" s="12"/>
      <c r="RJP80" s="12"/>
      <c r="RJQ80" s="12"/>
      <c r="RJR80" s="12"/>
      <c r="RJS80" s="12"/>
      <c r="RJT80" s="12"/>
      <c r="RJU80" s="12"/>
      <c r="RJV80" s="12"/>
      <c r="RJW80" s="12"/>
      <c r="RJX80" s="12"/>
      <c r="RJY80" s="12"/>
      <c r="RJZ80" s="12"/>
      <c r="RKA80" s="12"/>
      <c r="RKB80" s="12"/>
      <c r="RKC80" s="12"/>
      <c r="RKD80" s="12"/>
      <c r="RKE80" s="12"/>
      <c r="RKF80" s="12"/>
      <c r="RKG80" s="12"/>
      <c r="RKH80" s="12"/>
      <c r="RKI80" s="12"/>
      <c r="RKJ80" s="12"/>
      <c r="RKK80" s="12"/>
      <c r="RKL80" s="12"/>
      <c r="RKM80" s="12"/>
      <c r="RKN80" s="12"/>
      <c r="RKO80" s="12"/>
      <c r="RKP80" s="12"/>
      <c r="RKQ80" s="12"/>
      <c r="RKR80" s="12"/>
      <c r="RKS80" s="12"/>
      <c r="RKT80" s="12"/>
      <c r="RKU80" s="12"/>
      <c r="RKV80" s="12"/>
      <c r="RKW80" s="12"/>
      <c r="RKX80" s="12"/>
      <c r="RKY80" s="12"/>
      <c r="RKZ80" s="12"/>
      <c r="RLA80" s="12"/>
      <c r="RLB80" s="12"/>
      <c r="RLC80" s="12"/>
      <c r="RLD80" s="12"/>
      <c r="RLE80" s="12"/>
      <c r="RLF80" s="12"/>
      <c r="RLG80" s="12"/>
      <c r="RLH80" s="12"/>
      <c r="RLI80" s="12"/>
      <c r="RLJ80" s="12"/>
      <c r="RLK80" s="12"/>
      <c r="RLL80" s="12"/>
      <c r="RLM80" s="12"/>
      <c r="RLN80" s="12"/>
      <c r="RLO80" s="12"/>
      <c r="RLP80" s="12"/>
      <c r="RLQ80" s="12"/>
      <c r="RLR80" s="12"/>
      <c r="RLS80" s="12"/>
      <c r="RLT80" s="12"/>
      <c r="RLU80" s="12"/>
      <c r="RLV80" s="12"/>
      <c r="RLW80" s="12"/>
      <c r="RLX80" s="12"/>
      <c r="RLY80" s="12"/>
      <c r="RLZ80" s="12"/>
      <c r="RMA80" s="12"/>
      <c r="RMB80" s="12"/>
      <c r="RMC80" s="12"/>
      <c r="RMD80" s="12"/>
      <c r="RME80" s="12"/>
      <c r="RMF80" s="12"/>
      <c r="RMG80" s="12"/>
      <c r="RMH80" s="12"/>
      <c r="RMI80" s="12"/>
      <c r="RMJ80" s="12"/>
      <c r="RMK80" s="12"/>
      <c r="RML80" s="12"/>
      <c r="RMM80" s="12"/>
      <c r="RMN80" s="12"/>
      <c r="RMO80" s="12"/>
      <c r="RMP80" s="12"/>
      <c r="RMQ80" s="12"/>
      <c r="RMR80" s="12"/>
      <c r="RMS80" s="12"/>
      <c r="RMT80" s="12"/>
      <c r="RMU80" s="12"/>
      <c r="RMV80" s="12"/>
      <c r="RMW80" s="12"/>
      <c r="RMX80" s="12"/>
      <c r="RMY80" s="12"/>
      <c r="RMZ80" s="12"/>
      <c r="RNA80" s="12"/>
      <c r="RNB80" s="12"/>
      <c r="RNC80" s="12"/>
      <c r="RND80" s="12"/>
      <c r="RNE80" s="12"/>
      <c r="RNF80" s="12"/>
      <c r="RNG80" s="12"/>
      <c r="RNH80" s="12"/>
      <c r="RNI80" s="12"/>
      <c r="RNJ80" s="12"/>
      <c r="RNK80" s="12"/>
      <c r="RNL80" s="12"/>
      <c r="RNM80" s="12"/>
      <c r="RNN80" s="12"/>
      <c r="RNO80" s="12"/>
      <c r="RNP80" s="12"/>
      <c r="RNQ80" s="12"/>
      <c r="RNR80" s="12"/>
      <c r="RNS80" s="12"/>
      <c r="RNT80" s="12"/>
      <c r="RNU80" s="12"/>
      <c r="RNV80" s="12"/>
      <c r="RNW80" s="12"/>
      <c r="RNX80" s="12"/>
      <c r="RNY80" s="12"/>
      <c r="RNZ80" s="12"/>
      <c r="ROA80" s="12"/>
      <c r="ROB80" s="12"/>
      <c r="ROC80" s="12"/>
      <c r="ROD80" s="12"/>
      <c r="ROE80" s="12"/>
      <c r="ROF80" s="12"/>
      <c r="ROG80" s="12"/>
      <c r="ROH80" s="12"/>
      <c r="ROI80" s="12"/>
      <c r="ROJ80" s="12"/>
      <c r="ROK80" s="12"/>
      <c r="ROL80" s="12"/>
      <c r="ROM80" s="12"/>
      <c r="RON80" s="12"/>
      <c r="ROO80" s="12"/>
      <c r="ROP80" s="12"/>
      <c r="ROQ80" s="12"/>
      <c r="ROR80" s="12"/>
      <c r="ROS80" s="12"/>
      <c r="ROT80" s="12"/>
      <c r="ROU80" s="12"/>
      <c r="ROV80" s="12"/>
      <c r="ROW80" s="12"/>
      <c r="ROX80" s="12"/>
      <c r="ROY80" s="12"/>
      <c r="ROZ80" s="12"/>
      <c r="RPA80" s="12"/>
      <c r="RPB80" s="12"/>
      <c r="RPC80" s="12"/>
      <c r="RPD80" s="12"/>
      <c r="RPE80" s="12"/>
      <c r="RPF80" s="12"/>
      <c r="RPG80" s="12"/>
      <c r="RPH80" s="12"/>
      <c r="RPI80" s="12"/>
      <c r="RPJ80" s="12"/>
      <c r="RPK80" s="12"/>
      <c r="RPL80" s="12"/>
      <c r="RPM80" s="12"/>
      <c r="RPN80" s="12"/>
      <c r="RPO80" s="12"/>
      <c r="RPP80" s="12"/>
      <c r="RPQ80" s="12"/>
      <c r="RPR80" s="12"/>
      <c r="RPS80" s="12"/>
      <c r="RPT80" s="12"/>
      <c r="RPU80" s="12"/>
      <c r="RPV80" s="12"/>
      <c r="RPW80" s="12"/>
      <c r="RPX80" s="12"/>
      <c r="RPY80" s="12"/>
      <c r="RPZ80" s="12"/>
      <c r="RQA80" s="12"/>
      <c r="RQB80" s="12"/>
      <c r="RQC80" s="12"/>
      <c r="RQD80" s="12"/>
      <c r="RQE80" s="12"/>
      <c r="RQF80" s="12"/>
      <c r="RQG80" s="12"/>
      <c r="RQH80" s="12"/>
      <c r="RQI80" s="12"/>
      <c r="RQJ80" s="12"/>
      <c r="RQK80" s="12"/>
      <c r="RQL80" s="12"/>
      <c r="RQM80" s="12"/>
      <c r="RQN80" s="12"/>
      <c r="RQO80" s="12"/>
      <c r="RQP80" s="12"/>
      <c r="RQQ80" s="12"/>
      <c r="RQR80" s="12"/>
      <c r="RQS80" s="12"/>
      <c r="RQT80" s="12"/>
      <c r="RQU80" s="12"/>
      <c r="RQV80" s="12"/>
      <c r="RQW80" s="12"/>
      <c r="RQX80" s="12"/>
      <c r="RQY80" s="12"/>
      <c r="RQZ80" s="12"/>
      <c r="RRA80" s="12"/>
      <c r="RRB80" s="12"/>
      <c r="RRC80" s="12"/>
      <c r="RRD80" s="12"/>
      <c r="RRE80" s="12"/>
      <c r="RRF80" s="12"/>
      <c r="RRG80" s="12"/>
      <c r="RRH80" s="12"/>
      <c r="RRI80" s="12"/>
      <c r="RRJ80" s="12"/>
      <c r="RRK80" s="12"/>
      <c r="RRL80" s="12"/>
      <c r="RRM80" s="12"/>
      <c r="RRN80" s="12"/>
      <c r="RRO80" s="12"/>
      <c r="RRP80" s="12"/>
      <c r="RRQ80" s="12"/>
      <c r="RRR80" s="12"/>
      <c r="RRS80" s="12"/>
      <c r="RRT80" s="12"/>
      <c r="RRU80" s="12"/>
      <c r="RRV80" s="12"/>
      <c r="RRW80" s="12"/>
      <c r="RRX80" s="12"/>
      <c r="RRY80" s="12"/>
      <c r="RRZ80" s="12"/>
      <c r="RSA80" s="12"/>
      <c r="RSB80" s="12"/>
      <c r="RSC80" s="12"/>
      <c r="RSD80" s="12"/>
      <c r="RSE80" s="12"/>
      <c r="RSF80" s="12"/>
      <c r="RSG80" s="12"/>
      <c r="RSH80" s="12"/>
      <c r="RSI80" s="12"/>
      <c r="RSJ80" s="12"/>
      <c r="RSK80" s="12"/>
      <c r="RSL80" s="12"/>
      <c r="RSM80" s="12"/>
      <c r="RSN80" s="12"/>
      <c r="RSO80" s="12"/>
      <c r="RSP80" s="12"/>
      <c r="RSQ80" s="12"/>
      <c r="RSR80" s="12"/>
      <c r="RSS80" s="12"/>
      <c r="RST80" s="12"/>
      <c r="RSU80" s="12"/>
      <c r="RSV80" s="12"/>
      <c r="RSW80" s="12"/>
      <c r="RSX80" s="12"/>
      <c r="RSY80" s="12"/>
      <c r="RSZ80" s="12"/>
      <c r="RTA80" s="12"/>
      <c r="RTB80" s="12"/>
      <c r="RTC80" s="12"/>
      <c r="RTD80" s="12"/>
      <c r="RTE80" s="12"/>
      <c r="RTF80" s="12"/>
      <c r="RTG80" s="12"/>
      <c r="RTH80" s="12"/>
      <c r="RTI80" s="12"/>
      <c r="RTJ80" s="12"/>
      <c r="RTK80" s="12"/>
      <c r="RTL80" s="12"/>
      <c r="RTM80" s="12"/>
      <c r="RTN80" s="12"/>
      <c r="RTO80" s="12"/>
      <c r="RTP80" s="12"/>
      <c r="RTQ80" s="12"/>
      <c r="RTR80" s="12"/>
      <c r="RTS80" s="12"/>
      <c r="RTT80" s="12"/>
      <c r="RTU80" s="12"/>
      <c r="RTV80" s="12"/>
      <c r="RTW80" s="12"/>
      <c r="RTX80" s="12"/>
      <c r="RTY80" s="12"/>
      <c r="RTZ80" s="12"/>
      <c r="RUA80" s="12"/>
      <c r="RUB80" s="12"/>
      <c r="RUC80" s="12"/>
      <c r="RUD80" s="12"/>
      <c r="RUE80" s="12"/>
      <c r="RUF80" s="12"/>
      <c r="RUG80" s="12"/>
      <c r="RUH80" s="12"/>
      <c r="RUI80" s="12"/>
      <c r="RUJ80" s="12"/>
      <c r="RUK80" s="12"/>
      <c r="RUL80" s="12"/>
      <c r="RUM80" s="12"/>
      <c r="RUN80" s="12"/>
      <c r="RUO80" s="12"/>
      <c r="RUP80" s="12"/>
      <c r="RUQ80" s="12"/>
      <c r="RUR80" s="12"/>
      <c r="RUS80" s="12"/>
      <c r="RUT80" s="12"/>
      <c r="RUU80" s="12"/>
      <c r="RUV80" s="12"/>
      <c r="RUW80" s="12"/>
      <c r="RUX80" s="12"/>
      <c r="RUY80" s="12"/>
      <c r="RUZ80" s="12"/>
      <c r="RVA80" s="12"/>
      <c r="RVB80" s="12"/>
      <c r="RVC80" s="12"/>
      <c r="RVD80" s="12"/>
      <c r="RVE80" s="12"/>
      <c r="RVF80" s="12"/>
      <c r="RVG80" s="12"/>
      <c r="RVH80" s="12"/>
      <c r="RVI80" s="12"/>
      <c r="RVJ80" s="12"/>
      <c r="RVK80" s="12"/>
      <c r="RVL80" s="12"/>
      <c r="RVM80" s="12"/>
      <c r="RVN80" s="12"/>
      <c r="RVO80" s="12"/>
      <c r="RVP80" s="12"/>
      <c r="RVQ80" s="12"/>
      <c r="RVR80" s="12"/>
      <c r="RVS80" s="12"/>
      <c r="RVT80" s="12"/>
      <c r="RVU80" s="12"/>
      <c r="RVV80" s="12"/>
      <c r="RVW80" s="12"/>
      <c r="RVX80" s="12"/>
      <c r="RVY80" s="12"/>
      <c r="RVZ80" s="12"/>
      <c r="RWA80" s="12"/>
      <c r="RWB80" s="12"/>
      <c r="RWC80" s="12"/>
      <c r="RWD80" s="12"/>
      <c r="RWE80" s="12"/>
      <c r="RWF80" s="12"/>
      <c r="RWG80" s="12"/>
      <c r="RWH80" s="12"/>
      <c r="RWI80" s="12"/>
      <c r="RWJ80" s="12"/>
      <c r="RWK80" s="12"/>
      <c r="RWL80" s="12"/>
      <c r="RWM80" s="12"/>
      <c r="RWN80" s="12"/>
      <c r="RWO80" s="12"/>
      <c r="RWP80" s="12"/>
      <c r="RWQ80" s="12"/>
      <c r="RWR80" s="12"/>
      <c r="RWS80" s="12"/>
      <c r="RWT80" s="12"/>
      <c r="RWU80" s="12"/>
      <c r="RWV80" s="12"/>
      <c r="RWW80" s="12"/>
      <c r="RWX80" s="12"/>
      <c r="RWY80" s="12"/>
      <c r="RWZ80" s="12"/>
      <c r="RXA80" s="12"/>
      <c r="RXB80" s="12"/>
      <c r="RXC80" s="12"/>
      <c r="RXD80" s="12"/>
      <c r="RXE80" s="12"/>
      <c r="RXF80" s="12"/>
      <c r="RXG80" s="12"/>
      <c r="RXH80" s="12"/>
      <c r="RXI80" s="12"/>
      <c r="RXJ80" s="12"/>
      <c r="RXK80" s="12"/>
      <c r="RXL80" s="12"/>
      <c r="RXM80" s="12"/>
      <c r="RXN80" s="12"/>
      <c r="RXO80" s="12"/>
      <c r="RXP80" s="12"/>
      <c r="RXQ80" s="12"/>
      <c r="RXR80" s="12"/>
      <c r="RXS80" s="12"/>
      <c r="RXT80" s="12"/>
      <c r="RXU80" s="12"/>
      <c r="RXV80" s="12"/>
      <c r="RXW80" s="12"/>
      <c r="RXX80" s="12"/>
      <c r="RXY80" s="12"/>
      <c r="RXZ80" s="12"/>
      <c r="RYA80" s="12"/>
      <c r="RYB80" s="12"/>
      <c r="RYC80" s="12"/>
      <c r="RYD80" s="12"/>
      <c r="RYE80" s="12"/>
      <c r="RYF80" s="12"/>
      <c r="RYG80" s="12"/>
      <c r="RYH80" s="12"/>
      <c r="RYI80" s="12"/>
      <c r="RYJ80" s="12"/>
      <c r="RYK80" s="12"/>
      <c r="RYL80" s="12"/>
      <c r="RYM80" s="12"/>
      <c r="RYN80" s="12"/>
      <c r="RYO80" s="12"/>
      <c r="RYP80" s="12"/>
      <c r="RYQ80" s="12"/>
      <c r="RYR80" s="12"/>
      <c r="RYS80" s="12"/>
      <c r="RYT80" s="12"/>
      <c r="RYU80" s="12"/>
      <c r="RYV80" s="12"/>
      <c r="RYW80" s="12"/>
      <c r="RYX80" s="12"/>
      <c r="RYY80" s="12"/>
      <c r="RYZ80" s="12"/>
      <c r="RZA80" s="12"/>
      <c r="RZB80" s="12"/>
      <c r="RZC80" s="12"/>
      <c r="RZD80" s="12"/>
      <c r="RZE80" s="12"/>
      <c r="RZF80" s="12"/>
      <c r="RZG80" s="12"/>
      <c r="RZH80" s="12"/>
      <c r="RZI80" s="12"/>
      <c r="RZJ80" s="12"/>
      <c r="RZK80" s="12"/>
      <c r="RZL80" s="12"/>
      <c r="RZM80" s="12"/>
      <c r="RZN80" s="12"/>
      <c r="RZO80" s="12"/>
      <c r="RZP80" s="12"/>
      <c r="RZQ80" s="12"/>
      <c r="RZR80" s="12"/>
      <c r="RZS80" s="12"/>
      <c r="RZT80" s="12"/>
      <c r="RZU80" s="12"/>
      <c r="RZV80" s="12"/>
      <c r="RZW80" s="12"/>
      <c r="RZX80" s="12"/>
      <c r="RZY80" s="12"/>
      <c r="RZZ80" s="12"/>
      <c r="SAA80" s="12"/>
      <c r="SAB80" s="12"/>
      <c r="SAC80" s="12"/>
      <c r="SAD80" s="12"/>
      <c r="SAE80" s="12"/>
      <c r="SAF80" s="12"/>
      <c r="SAG80" s="12"/>
      <c r="SAH80" s="12"/>
      <c r="SAI80" s="12"/>
      <c r="SAJ80" s="12"/>
      <c r="SAK80" s="12"/>
      <c r="SAL80" s="12"/>
      <c r="SAM80" s="12"/>
      <c r="SAN80" s="12"/>
      <c r="SAO80" s="12"/>
      <c r="SAP80" s="12"/>
      <c r="SAQ80" s="12"/>
      <c r="SAR80" s="12"/>
      <c r="SAS80" s="12"/>
      <c r="SAT80" s="12"/>
      <c r="SAU80" s="12"/>
      <c r="SAV80" s="12"/>
      <c r="SAW80" s="12"/>
      <c r="SAX80" s="12"/>
      <c r="SAY80" s="12"/>
      <c r="SAZ80" s="12"/>
      <c r="SBA80" s="12"/>
      <c r="SBB80" s="12"/>
      <c r="SBC80" s="12"/>
      <c r="SBD80" s="12"/>
      <c r="SBE80" s="12"/>
      <c r="SBF80" s="12"/>
      <c r="SBG80" s="12"/>
      <c r="SBH80" s="12"/>
      <c r="SBI80" s="12"/>
      <c r="SBJ80" s="12"/>
      <c r="SBK80" s="12"/>
      <c r="SBL80" s="12"/>
      <c r="SBM80" s="12"/>
      <c r="SBN80" s="12"/>
      <c r="SBO80" s="12"/>
      <c r="SBP80" s="12"/>
      <c r="SBQ80" s="12"/>
      <c r="SBR80" s="12"/>
      <c r="SBS80" s="12"/>
      <c r="SBT80" s="12"/>
      <c r="SBU80" s="12"/>
      <c r="SBV80" s="12"/>
      <c r="SBW80" s="12"/>
      <c r="SBX80" s="12"/>
      <c r="SBY80" s="12"/>
      <c r="SBZ80" s="12"/>
      <c r="SCA80" s="12"/>
      <c r="SCB80" s="12"/>
      <c r="SCC80" s="12"/>
      <c r="SCD80" s="12"/>
      <c r="SCE80" s="12"/>
      <c r="SCF80" s="12"/>
      <c r="SCG80" s="12"/>
      <c r="SCH80" s="12"/>
      <c r="SCI80" s="12"/>
      <c r="SCJ80" s="12"/>
      <c r="SCK80" s="12"/>
      <c r="SCL80" s="12"/>
      <c r="SCM80" s="12"/>
      <c r="SCN80" s="12"/>
      <c r="SCO80" s="12"/>
      <c r="SCP80" s="12"/>
      <c r="SCQ80" s="12"/>
      <c r="SCR80" s="12"/>
      <c r="SCS80" s="12"/>
      <c r="SCT80" s="12"/>
      <c r="SCU80" s="12"/>
      <c r="SCV80" s="12"/>
      <c r="SCW80" s="12"/>
      <c r="SCX80" s="12"/>
      <c r="SCY80" s="12"/>
      <c r="SCZ80" s="12"/>
      <c r="SDA80" s="12"/>
      <c r="SDB80" s="12"/>
      <c r="SDC80" s="12"/>
      <c r="SDD80" s="12"/>
      <c r="SDE80" s="12"/>
      <c r="SDF80" s="12"/>
      <c r="SDG80" s="12"/>
      <c r="SDH80" s="12"/>
      <c r="SDI80" s="12"/>
      <c r="SDJ80" s="12"/>
      <c r="SDK80" s="12"/>
      <c r="SDL80" s="12"/>
      <c r="SDM80" s="12"/>
      <c r="SDN80" s="12"/>
      <c r="SDO80" s="12"/>
      <c r="SDP80" s="12"/>
      <c r="SDQ80" s="12"/>
      <c r="SDR80" s="12"/>
      <c r="SDS80" s="12"/>
      <c r="SDT80" s="12"/>
      <c r="SDU80" s="12"/>
      <c r="SDV80" s="12"/>
      <c r="SDW80" s="12"/>
      <c r="SDX80" s="12"/>
      <c r="SDY80" s="12"/>
      <c r="SDZ80" s="12"/>
      <c r="SEA80" s="12"/>
      <c r="SEB80" s="12"/>
      <c r="SEC80" s="12"/>
      <c r="SED80" s="12"/>
      <c r="SEE80" s="12"/>
      <c r="SEF80" s="12"/>
      <c r="SEG80" s="12"/>
      <c r="SEH80" s="12"/>
      <c r="SEI80" s="12"/>
      <c r="SEJ80" s="12"/>
      <c r="SEK80" s="12"/>
      <c r="SEL80" s="12"/>
      <c r="SEM80" s="12"/>
      <c r="SEN80" s="12"/>
      <c r="SEO80" s="12"/>
      <c r="SEP80" s="12"/>
      <c r="SEQ80" s="12"/>
      <c r="SER80" s="12"/>
      <c r="SES80" s="12"/>
      <c r="SET80" s="12"/>
      <c r="SEU80" s="12"/>
      <c r="SEV80" s="12"/>
      <c r="SEW80" s="12"/>
      <c r="SEX80" s="12"/>
      <c r="SEY80" s="12"/>
      <c r="SEZ80" s="12"/>
      <c r="SFA80" s="12"/>
      <c r="SFB80" s="12"/>
      <c r="SFC80" s="12"/>
      <c r="SFD80" s="12"/>
      <c r="SFE80" s="12"/>
      <c r="SFF80" s="12"/>
      <c r="SFG80" s="12"/>
      <c r="SFH80" s="12"/>
      <c r="SFI80" s="12"/>
      <c r="SFJ80" s="12"/>
      <c r="SFK80" s="12"/>
      <c r="SFL80" s="12"/>
      <c r="SFM80" s="12"/>
      <c r="SFN80" s="12"/>
      <c r="SFO80" s="12"/>
      <c r="SFP80" s="12"/>
      <c r="SFQ80" s="12"/>
      <c r="SFR80" s="12"/>
      <c r="SFS80" s="12"/>
      <c r="SFT80" s="12"/>
      <c r="SFU80" s="12"/>
      <c r="SFV80" s="12"/>
      <c r="SFW80" s="12"/>
      <c r="SFX80" s="12"/>
      <c r="SFY80" s="12"/>
      <c r="SFZ80" s="12"/>
      <c r="SGA80" s="12"/>
      <c r="SGB80" s="12"/>
      <c r="SGC80" s="12"/>
      <c r="SGD80" s="12"/>
      <c r="SGE80" s="12"/>
      <c r="SGF80" s="12"/>
      <c r="SGG80" s="12"/>
      <c r="SGH80" s="12"/>
      <c r="SGI80" s="12"/>
      <c r="SGJ80" s="12"/>
      <c r="SGK80" s="12"/>
      <c r="SGL80" s="12"/>
      <c r="SGM80" s="12"/>
      <c r="SGN80" s="12"/>
      <c r="SGO80" s="12"/>
      <c r="SGP80" s="12"/>
      <c r="SGQ80" s="12"/>
      <c r="SGR80" s="12"/>
      <c r="SGS80" s="12"/>
      <c r="SGT80" s="12"/>
      <c r="SGU80" s="12"/>
      <c r="SGV80" s="12"/>
      <c r="SGW80" s="12"/>
      <c r="SGX80" s="12"/>
      <c r="SGY80" s="12"/>
      <c r="SGZ80" s="12"/>
      <c r="SHA80" s="12"/>
      <c r="SHB80" s="12"/>
      <c r="SHC80" s="12"/>
      <c r="SHD80" s="12"/>
      <c r="SHE80" s="12"/>
      <c r="SHF80" s="12"/>
      <c r="SHG80" s="12"/>
      <c r="SHH80" s="12"/>
      <c r="SHI80" s="12"/>
      <c r="SHJ80" s="12"/>
      <c r="SHK80" s="12"/>
      <c r="SHL80" s="12"/>
      <c r="SHM80" s="12"/>
      <c r="SHN80" s="12"/>
      <c r="SHO80" s="12"/>
      <c r="SHP80" s="12"/>
      <c r="SHQ80" s="12"/>
      <c r="SHR80" s="12"/>
      <c r="SHS80" s="12"/>
      <c r="SHT80" s="12"/>
      <c r="SHU80" s="12"/>
      <c r="SHV80" s="12"/>
      <c r="SHW80" s="12"/>
      <c r="SHX80" s="12"/>
      <c r="SHY80" s="12"/>
      <c r="SHZ80" s="12"/>
      <c r="SIA80" s="12"/>
      <c r="SIB80" s="12"/>
      <c r="SIC80" s="12"/>
      <c r="SID80" s="12"/>
      <c r="SIE80" s="12"/>
      <c r="SIF80" s="12"/>
      <c r="SIG80" s="12"/>
      <c r="SIH80" s="12"/>
      <c r="SII80" s="12"/>
      <c r="SIJ80" s="12"/>
      <c r="SIK80" s="12"/>
      <c r="SIL80" s="12"/>
      <c r="SIM80" s="12"/>
      <c r="SIN80" s="12"/>
      <c r="SIO80" s="12"/>
      <c r="SIP80" s="12"/>
      <c r="SIQ80" s="12"/>
      <c r="SIR80" s="12"/>
      <c r="SIS80" s="12"/>
      <c r="SIT80" s="12"/>
      <c r="SIU80" s="12"/>
      <c r="SIV80" s="12"/>
      <c r="SIW80" s="12"/>
      <c r="SIX80" s="12"/>
      <c r="SIY80" s="12"/>
      <c r="SIZ80" s="12"/>
      <c r="SJA80" s="12"/>
      <c r="SJB80" s="12"/>
      <c r="SJC80" s="12"/>
      <c r="SJD80" s="12"/>
      <c r="SJE80" s="12"/>
      <c r="SJF80" s="12"/>
      <c r="SJG80" s="12"/>
      <c r="SJH80" s="12"/>
      <c r="SJI80" s="12"/>
      <c r="SJJ80" s="12"/>
      <c r="SJK80" s="12"/>
      <c r="SJL80" s="12"/>
      <c r="SJM80" s="12"/>
      <c r="SJN80" s="12"/>
      <c r="SJO80" s="12"/>
      <c r="SJP80" s="12"/>
      <c r="SJQ80" s="12"/>
      <c r="SJR80" s="12"/>
      <c r="SJS80" s="12"/>
      <c r="SJT80" s="12"/>
      <c r="SJU80" s="12"/>
      <c r="SJV80" s="12"/>
      <c r="SJW80" s="12"/>
      <c r="SJX80" s="12"/>
      <c r="SJY80" s="12"/>
      <c r="SJZ80" s="12"/>
      <c r="SKA80" s="12"/>
      <c r="SKB80" s="12"/>
      <c r="SKC80" s="12"/>
      <c r="SKD80" s="12"/>
      <c r="SKE80" s="12"/>
      <c r="SKF80" s="12"/>
      <c r="SKG80" s="12"/>
      <c r="SKH80" s="12"/>
      <c r="SKI80" s="12"/>
      <c r="SKJ80" s="12"/>
      <c r="SKK80" s="12"/>
      <c r="SKL80" s="12"/>
      <c r="SKM80" s="12"/>
      <c r="SKN80" s="12"/>
      <c r="SKO80" s="12"/>
      <c r="SKP80" s="12"/>
      <c r="SKQ80" s="12"/>
      <c r="SKR80" s="12"/>
      <c r="SKS80" s="12"/>
      <c r="SKT80" s="12"/>
      <c r="SKU80" s="12"/>
      <c r="SKV80" s="12"/>
      <c r="SKW80" s="12"/>
      <c r="SKX80" s="12"/>
      <c r="SKY80" s="12"/>
      <c r="SKZ80" s="12"/>
      <c r="SLA80" s="12"/>
      <c r="SLB80" s="12"/>
      <c r="SLC80" s="12"/>
      <c r="SLD80" s="12"/>
      <c r="SLE80" s="12"/>
      <c r="SLF80" s="12"/>
      <c r="SLG80" s="12"/>
      <c r="SLH80" s="12"/>
      <c r="SLI80" s="12"/>
      <c r="SLJ80" s="12"/>
      <c r="SLK80" s="12"/>
      <c r="SLL80" s="12"/>
      <c r="SLM80" s="12"/>
      <c r="SLN80" s="12"/>
      <c r="SLO80" s="12"/>
      <c r="SLP80" s="12"/>
      <c r="SLQ80" s="12"/>
      <c r="SLR80" s="12"/>
      <c r="SLS80" s="12"/>
      <c r="SLT80" s="12"/>
      <c r="SLU80" s="12"/>
      <c r="SLV80" s="12"/>
      <c r="SLW80" s="12"/>
      <c r="SLX80" s="12"/>
      <c r="SLY80" s="12"/>
      <c r="SLZ80" s="12"/>
      <c r="SMA80" s="12"/>
      <c r="SMB80" s="12"/>
      <c r="SMC80" s="12"/>
      <c r="SMD80" s="12"/>
      <c r="SME80" s="12"/>
      <c r="SMF80" s="12"/>
      <c r="SMG80" s="12"/>
      <c r="SMH80" s="12"/>
      <c r="SMI80" s="12"/>
      <c r="SMJ80" s="12"/>
      <c r="SMK80" s="12"/>
      <c r="SML80" s="12"/>
      <c r="SMM80" s="12"/>
      <c r="SMN80" s="12"/>
      <c r="SMO80" s="12"/>
      <c r="SMP80" s="12"/>
      <c r="SMQ80" s="12"/>
      <c r="SMR80" s="12"/>
      <c r="SMS80" s="12"/>
      <c r="SMT80" s="12"/>
      <c r="SMU80" s="12"/>
      <c r="SMV80" s="12"/>
      <c r="SMW80" s="12"/>
      <c r="SMX80" s="12"/>
      <c r="SMY80" s="12"/>
      <c r="SMZ80" s="12"/>
      <c r="SNA80" s="12"/>
      <c r="SNB80" s="12"/>
      <c r="SNC80" s="12"/>
      <c r="SND80" s="12"/>
      <c r="SNE80" s="12"/>
      <c r="SNF80" s="12"/>
      <c r="SNG80" s="12"/>
      <c r="SNH80" s="12"/>
      <c r="SNI80" s="12"/>
      <c r="SNJ80" s="12"/>
      <c r="SNK80" s="12"/>
      <c r="SNL80" s="12"/>
      <c r="SNM80" s="12"/>
      <c r="SNN80" s="12"/>
      <c r="SNO80" s="12"/>
      <c r="SNP80" s="12"/>
      <c r="SNQ80" s="12"/>
      <c r="SNR80" s="12"/>
      <c r="SNS80" s="12"/>
      <c r="SNT80" s="12"/>
      <c r="SNU80" s="12"/>
      <c r="SNV80" s="12"/>
      <c r="SNW80" s="12"/>
      <c r="SNX80" s="12"/>
      <c r="SNY80" s="12"/>
      <c r="SNZ80" s="12"/>
      <c r="SOA80" s="12"/>
      <c r="SOB80" s="12"/>
      <c r="SOC80" s="12"/>
      <c r="SOD80" s="12"/>
      <c r="SOE80" s="12"/>
      <c r="SOF80" s="12"/>
      <c r="SOG80" s="12"/>
      <c r="SOH80" s="12"/>
      <c r="SOI80" s="12"/>
      <c r="SOJ80" s="12"/>
      <c r="SOK80" s="12"/>
      <c r="SOL80" s="12"/>
      <c r="SOM80" s="12"/>
      <c r="SON80" s="12"/>
      <c r="SOO80" s="12"/>
      <c r="SOP80" s="12"/>
      <c r="SOQ80" s="12"/>
      <c r="SOR80" s="12"/>
      <c r="SOS80" s="12"/>
      <c r="SOT80" s="12"/>
      <c r="SOU80" s="12"/>
      <c r="SOV80" s="12"/>
      <c r="SOW80" s="12"/>
      <c r="SOX80" s="12"/>
      <c r="SOY80" s="12"/>
      <c r="SOZ80" s="12"/>
      <c r="SPA80" s="12"/>
      <c r="SPB80" s="12"/>
      <c r="SPC80" s="12"/>
      <c r="SPD80" s="12"/>
      <c r="SPE80" s="12"/>
      <c r="SPF80" s="12"/>
      <c r="SPG80" s="12"/>
      <c r="SPH80" s="12"/>
      <c r="SPI80" s="12"/>
      <c r="SPJ80" s="12"/>
      <c r="SPK80" s="12"/>
      <c r="SPL80" s="12"/>
      <c r="SPM80" s="12"/>
      <c r="SPN80" s="12"/>
      <c r="SPO80" s="12"/>
      <c r="SPP80" s="12"/>
      <c r="SPQ80" s="12"/>
      <c r="SPR80" s="12"/>
      <c r="SPS80" s="12"/>
      <c r="SPT80" s="12"/>
      <c r="SPU80" s="12"/>
      <c r="SPV80" s="12"/>
      <c r="SPW80" s="12"/>
      <c r="SPX80" s="12"/>
      <c r="SPY80" s="12"/>
      <c r="SPZ80" s="12"/>
      <c r="SQA80" s="12"/>
      <c r="SQB80" s="12"/>
      <c r="SQC80" s="12"/>
      <c r="SQD80" s="12"/>
      <c r="SQE80" s="12"/>
      <c r="SQF80" s="12"/>
      <c r="SQG80" s="12"/>
      <c r="SQH80" s="12"/>
      <c r="SQI80" s="12"/>
      <c r="SQJ80" s="12"/>
      <c r="SQK80" s="12"/>
      <c r="SQL80" s="12"/>
      <c r="SQM80" s="12"/>
      <c r="SQN80" s="12"/>
      <c r="SQO80" s="12"/>
      <c r="SQP80" s="12"/>
      <c r="SQQ80" s="12"/>
      <c r="SQR80" s="12"/>
      <c r="SQS80" s="12"/>
      <c r="SQT80" s="12"/>
      <c r="SQU80" s="12"/>
      <c r="SQV80" s="12"/>
      <c r="SQW80" s="12"/>
      <c r="SQX80" s="12"/>
      <c r="SQY80" s="12"/>
      <c r="SQZ80" s="12"/>
      <c r="SRA80" s="12"/>
      <c r="SRB80" s="12"/>
      <c r="SRC80" s="12"/>
      <c r="SRD80" s="12"/>
      <c r="SRE80" s="12"/>
      <c r="SRF80" s="12"/>
      <c r="SRG80" s="12"/>
      <c r="SRH80" s="12"/>
      <c r="SRI80" s="12"/>
      <c r="SRJ80" s="12"/>
      <c r="SRK80" s="12"/>
      <c r="SRL80" s="12"/>
      <c r="SRM80" s="12"/>
      <c r="SRN80" s="12"/>
      <c r="SRO80" s="12"/>
      <c r="SRP80" s="12"/>
      <c r="SRQ80" s="12"/>
      <c r="SRR80" s="12"/>
      <c r="SRS80" s="12"/>
      <c r="SRT80" s="12"/>
      <c r="SRU80" s="12"/>
      <c r="SRV80" s="12"/>
      <c r="SRW80" s="12"/>
      <c r="SRX80" s="12"/>
      <c r="SRY80" s="12"/>
      <c r="SRZ80" s="12"/>
      <c r="SSA80" s="12"/>
      <c r="SSB80" s="12"/>
      <c r="SSC80" s="12"/>
      <c r="SSD80" s="12"/>
      <c r="SSE80" s="12"/>
      <c r="SSF80" s="12"/>
      <c r="SSG80" s="12"/>
      <c r="SSH80" s="12"/>
      <c r="SSI80" s="12"/>
      <c r="SSJ80" s="12"/>
      <c r="SSK80" s="12"/>
      <c r="SSL80" s="12"/>
      <c r="SSM80" s="12"/>
      <c r="SSN80" s="12"/>
      <c r="SSO80" s="12"/>
      <c r="SSP80" s="12"/>
      <c r="SSQ80" s="12"/>
      <c r="SSR80" s="12"/>
      <c r="SSS80" s="12"/>
      <c r="SST80" s="12"/>
      <c r="SSU80" s="12"/>
      <c r="SSV80" s="12"/>
      <c r="SSW80" s="12"/>
      <c r="SSX80" s="12"/>
      <c r="SSY80" s="12"/>
      <c r="SSZ80" s="12"/>
      <c r="STA80" s="12"/>
      <c r="STB80" s="12"/>
      <c r="STC80" s="12"/>
      <c r="STD80" s="12"/>
      <c r="STE80" s="12"/>
      <c r="STF80" s="12"/>
      <c r="STG80" s="12"/>
      <c r="STH80" s="12"/>
      <c r="STI80" s="12"/>
      <c r="STJ80" s="12"/>
      <c r="STK80" s="12"/>
      <c r="STL80" s="12"/>
      <c r="STM80" s="12"/>
      <c r="STN80" s="12"/>
      <c r="STO80" s="12"/>
      <c r="STP80" s="12"/>
      <c r="STQ80" s="12"/>
      <c r="STR80" s="12"/>
      <c r="STS80" s="12"/>
      <c r="STT80" s="12"/>
      <c r="STU80" s="12"/>
      <c r="STV80" s="12"/>
      <c r="STW80" s="12"/>
      <c r="STX80" s="12"/>
      <c r="STY80" s="12"/>
      <c r="STZ80" s="12"/>
      <c r="SUA80" s="12"/>
      <c r="SUB80" s="12"/>
      <c r="SUC80" s="12"/>
      <c r="SUD80" s="12"/>
      <c r="SUE80" s="12"/>
      <c r="SUF80" s="12"/>
      <c r="SUG80" s="12"/>
      <c r="SUH80" s="12"/>
      <c r="SUI80" s="12"/>
      <c r="SUJ80" s="12"/>
      <c r="SUK80" s="12"/>
      <c r="SUL80" s="12"/>
      <c r="SUM80" s="12"/>
      <c r="SUN80" s="12"/>
      <c r="SUO80" s="12"/>
      <c r="SUP80" s="12"/>
      <c r="SUQ80" s="12"/>
      <c r="SUR80" s="12"/>
      <c r="SUS80" s="12"/>
      <c r="SUT80" s="12"/>
      <c r="SUU80" s="12"/>
      <c r="SUV80" s="12"/>
      <c r="SUW80" s="12"/>
      <c r="SUX80" s="12"/>
      <c r="SUY80" s="12"/>
      <c r="SUZ80" s="12"/>
      <c r="SVA80" s="12"/>
      <c r="SVB80" s="12"/>
      <c r="SVC80" s="12"/>
      <c r="SVD80" s="12"/>
      <c r="SVE80" s="12"/>
      <c r="SVF80" s="12"/>
      <c r="SVG80" s="12"/>
      <c r="SVH80" s="12"/>
      <c r="SVI80" s="12"/>
      <c r="SVJ80" s="12"/>
      <c r="SVK80" s="12"/>
      <c r="SVL80" s="12"/>
      <c r="SVM80" s="12"/>
      <c r="SVN80" s="12"/>
      <c r="SVO80" s="12"/>
      <c r="SVP80" s="12"/>
      <c r="SVQ80" s="12"/>
      <c r="SVR80" s="12"/>
      <c r="SVS80" s="12"/>
      <c r="SVT80" s="12"/>
      <c r="SVU80" s="12"/>
      <c r="SVV80" s="12"/>
      <c r="SVW80" s="12"/>
      <c r="SVX80" s="12"/>
      <c r="SVY80" s="12"/>
      <c r="SVZ80" s="12"/>
      <c r="SWA80" s="12"/>
      <c r="SWB80" s="12"/>
      <c r="SWC80" s="12"/>
      <c r="SWD80" s="12"/>
      <c r="SWE80" s="12"/>
      <c r="SWF80" s="12"/>
      <c r="SWG80" s="12"/>
      <c r="SWH80" s="12"/>
      <c r="SWI80" s="12"/>
      <c r="SWJ80" s="12"/>
      <c r="SWK80" s="12"/>
      <c r="SWL80" s="12"/>
      <c r="SWM80" s="12"/>
      <c r="SWN80" s="12"/>
      <c r="SWO80" s="12"/>
      <c r="SWP80" s="12"/>
      <c r="SWQ80" s="12"/>
      <c r="SWR80" s="12"/>
      <c r="SWS80" s="12"/>
      <c r="SWT80" s="12"/>
      <c r="SWU80" s="12"/>
      <c r="SWV80" s="12"/>
      <c r="SWW80" s="12"/>
      <c r="SWX80" s="12"/>
      <c r="SWY80" s="12"/>
      <c r="SWZ80" s="12"/>
      <c r="SXA80" s="12"/>
      <c r="SXB80" s="12"/>
      <c r="SXC80" s="12"/>
      <c r="SXD80" s="12"/>
      <c r="SXE80" s="12"/>
      <c r="SXF80" s="12"/>
      <c r="SXG80" s="12"/>
      <c r="SXH80" s="12"/>
      <c r="SXI80" s="12"/>
      <c r="SXJ80" s="12"/>
      <c r="SXK80" s="12"/>
      <c r="SXL80" s="12"/>
      <c r="SXM80" s="12"/>
      <c r="SXN80" s="12"/>
      <c r="SXO80" s="12"/>
      <c r="SXP80" s="12"/>
      <c r="SXQ80" s="12"/>
      <c r="SXR80" s="12"/>
      <c r="SXS80" s="12"/>
      <c r="SXT80" s="12"/>
      <c r="SXU80" s="12"/>
      <c r="SXV80" s="12"/>
      <c r="SXW80" s="12"/>
      <c r="SXX80" s="12"/>
      <c r="SXY80" s="12"/>
      <c r="SXZ80" s="12"/>
      <c r="SYA80" s="12"/>
      <c r="SYB80" s="12"/>
      <c r="SYC80" s="12"/>
      <c r="SYD80" s="12"/>
      <c r="SYE80" s="12"/>
      <c r="SYF80" s="12"/>
      <c r="SYG80" s="12"/>
      <c r="SYH80" s="12"/>
      <c r="SYI80" s="12"/>
      <c r="SYJ80" s="12"/>
      <c r="SYK80" s="12"/>
      <c r="SYL80" s="12"/>
      <c r="SYM80" s="12"/>
      <c r="SYN80" s="12"/>
      <c r="SYO80" s="12"/>
      <c r="SYP80" s="12"/>
      <c r="SYQ80" s="12"/>
      <c r="SYR80" s="12"/>
      <c r="SYS80" s="12"/>
      <c r="SYT80" s="12"/>
      <c r="SYU80" s="12"/>
      <c r="SYV80" s="12"/>
      <c r="SYW80" s="12"/>
      <c r="SYX80" s="12"/>
      <c r="SYY80" s="12"/>
      <c r="SYZ80" s="12"/>
      <c r="SZA80" s="12"/>
      <c r="SZB80" s="12"/>
      <c r="SZC80" s="12"/>
      <c r="SZD80" s="12"/>
      <c r="SZE80" s="12"/>
      <c r="SZF80" s="12"/>
      <c r="SZG80" s="12"/>
      <c r="SZH80" s="12"/>
      <c r="SZI80" s="12"/>
      <c r="SZJ80" s="12"/>
      <c r="SZK80" s="12"/>
      <c r="SZL80" s="12"/>
      <c r="SZM80" s="12"/>
      <c r="SZN80" s="12"/>
      <c r="SZO80" s="12"/>
      <c r="SZP80" s="12"/>
      <c r="SZQ80" s="12"/>
      <c r="SZR80" s="12"/>
      <c r="SZS80" s="12"/>
      <c r="SZT80" s="12"/>
      <c r="SZU80" s="12"/>
      <c r="SZV80" s="12"/>
      <c r="SZW80" s="12"/>
      <c r="SZX80" s="12"/>
      <c r="SZY80" s="12"/>
      <c r="SZZ80" s="12"/>
      <c r="TAA80" s="12"/>
      <c r="TAB80" s="12"/>
      <c r="TAC80" s="12"/>
      <c r="TAD80" s="12"/>
      <c r="TAE80" s="12"/>
      <c r="TAF80" s="12"/>
      <c r="TAG80" s="12"/>
      <c r="TAH80" s="12"/>
      <c r="TAI80" s="12"/>
      <c r="TAJ80" s="12"/>
      <c r="TAK80" s="12"/>
      <c r="TAL80" s="12"/>
      <c r="TAM80" s="12"/>
      <c r="TAN80" s="12"/>
      <c r="TAO80" s="12"/>
      <c r="TAP80" s="12"/>
      <c r="TAQ80" s="12"/>
      <c r="TAR80" s="12"/>
      <c r="TAS80" s="12"/>
      <c r="TAT80" s="12"/>
      <c r="TAU80" s="12"/>
      <c r="TAV80" s="12"/>
      <c r="TAW80" s="12"/>
      <c r="TAX80" s="12"/>
      <c r="TAY80" s="12"/>
      <c r="TAZ80" s="12"/>
      <c r="TBA80" s="12"/>
      <c r="TBB80" s="12"/>
      <c r="TBC80" s="12"/>
      <c r="TBD80" s="12"/>
      <c r="TBE80" s="12"/>
      <c r="TBF80" s="12"/>
      <c r="TBG80" s="12"/>
      <c r="TBH80" s="12"/>
      <c r="TBI80" s="12"/>
      <c r="TBJ80" s="12"/>
      <c r="TBK80" s="12"/>
      <c r="TBL80" s="12"/>
      <c r="TBM80" s="12"/>
      <c r="TBN80" s="12"/>
      <c r="TBO80" s="12"/>
      <c r="TBP80" s="12"/>
      <c r="TBQ80" s="12"/>
      <c r="TBR80" s="12"/>
      <c r="TBS80" s="12"/>
      <c r="TBT80" s="12"/>
      <c r="TBU80" s="12"/>
      <c r="TBV80" s="12"/>
      <c r="TBW80" s="12"/>
      <c r="TBX80" s="12"/>
      <c r="TBY80" s="12"/>
      <c r="TBZ80" s="12"/>
      <c r="TCA80" s="12"/>
      <c r="TCB80" s="12"/>
      <c r="TCC80" s="12"/>
      <c r="TCD80" s="12"/>
      <c r="TCE80" s="12"/>
      <c r="TCF80" s="12"/>
      <c r="TCG80" s="12"/>
      <c r="TCH80" s="12"/>
      <c r="TCI80" s="12"/>
      <c r="TCJ80" s="12"/>
      <c r="TCK80" s="12"/>
      <c r="TCL80" s="12"/>
      <c r="TCM80" s="12"/>
      <c r="TCN80" s="12"/>
      <c r="TCO80" s="12"/>
      <c r="TCP80" s="12"/>
      <c r="TCQ80" s="12"/>
      <c r="TCR80" s="12"/>
      <c r="TCS80" s="12"/>
      <c r="TCT80" s="12"/>
      <c r="TCU80" s="12"/>
      <c r="TCV80" s="12"/>
      <c r="TCW80" s="12"/>
      <c r="TCX80" s="12"/>
      <c r="TCY80" s="12"/>
      <c r="TCZ80" s="12"/>
      <c r="TDA80" s="12"/>
      <c r="TDB80" s="12"/>
      <c r="TDC80" s="12"/>
      <c r="TDD80" s="12"/>
      <c r="TDE80" s="12"/>
      <c r="TDF80" s="12"/>
      <c r="TDG80" s="12"/>
      <c r="TDH80" s="12"/>
      <c r="TDI80" s="12"/>
      <c r="TDJ80" s="12"/>
      <c r="TDK80" s="12"/>
      <c r="TDL80" s="12"/>
      <c r="TDM80" s="12"/>
      <c r="TDN80" s="12"/>
      <c r="TDO80" s="12"/>
      <c r="TDP80" s="12"/>
      <c r="TDQ80" s="12"/>
      <c r="TDR80" s="12"/>
      <c r="TDS80" s="12"/>
      <c r="TDT80" s="12"/>
      <c r="TDU80" s="12"/>
      <c r="TDV80" s="12"/>
      <c r="TDW80" s="12"/>
      <c r="TDX80" s="12"/>
      <c r="TDY80" s="12"/>
      <c r="TDZ80" s="12"/>
      <c r="TEA80" s="12"/>
      <c r="TEB80" s="12"/>
      <c r="TEC80" s="12"/>
      <c r="TED80" s="12"/>
      <c r="TEE80" s="12"/>
      <c r="TEF80" s="12"/>
      <c r="TEG80" s="12"/>
      <c r="TEH80" s="12"/>
      <c r="TEI80" s="12"/>
      <c r="TEJ80" s="12"/>
      <c r="TEK80" s="12"/>
      <c r="TEL80" s="12"/>
      <c r="TEM80" s="12"/>
      <c r="TEN80" s="12"/>
      <c r="TEO80" s="12"/>
      <c r="TEP80" s="12"/>
      <c r="TEQ80" s="12"/>
      <c r="TER80" s="12"/>
      <c r="TES80" s="12"/>
      <c r="TET80" s="12"/>
      <c r="TEU80" s="12"/>
      <c r="TEV80" s="12"/>
      <c r="TEW80" s="12"/>
      <c r="TEX80" s="12"/>
      <c r="TEY80" s="12"/>
      <c r="TEZ80" s="12"/>
      <c r="TFA80" s="12"/>
      <c r="TFB80" s="12"/>
      <c r="TFC80" s="12"/>
      <c r="TFD80" s="12"/>
      <c r="TFE80" s="12"/>
      <c r="TFF80" s="12"/>
      <c r="TFG80" s="12"/>
      <c r="TFH80" s="12"/>
      <c r="TFI80" s="12"/>
      <c r="TFJ80" s="12"/>
      <c r="TFK80" s="12"/>
      <c r="TFL80" s="12"/>
      <c r="TFM80" s="12"/>
      <c r="TFN80" s="12"/>
      <c r="TFO80" s="12"/>
      <c r="TFP80" s="12"/>
      <c r="TFQ80" s="12"/>
      <c r="TFR80" s="12"/>
      <c r="TFS80" s="12"/>
      <c r="TFT80" s="12"/>
      <c r="TFU80" s="12"/>
      <c r="TFV80" s="12"/>
      <c r="TFW80" s="12"/>
      <c r="TFX80" s="12"/>
      <c r="TFY80" s="12"/>
      <c r="TFZ80" s="12"/>
      <c r="TGA80" s="12"/>
      <c r="TGB80" s="12"/>
      <c r="TGC80" s="12"/>
      <c r="TGD80" s="12"/>
      <c r="TGE80" s="12"/>
      <c r="TGF80" s="12"/>
      <c r="TGG80" s="12"/>
      <c r="TGH80" s="12"/>
      <c r="TGI80" s="12"/>
      <c r="TGJ80" s="12"/>
      <c r="TGK80" s="12"/>
      <c r="TGL80" s="12"/>
      <c r="TGM80" s="12"/>
      <c r="TGN80" s="12"/>
      <c r="TGO80" s="12"/>
      <c r="TGP80" s="12"/>
      <c r="TGQ80" s="12"/>
      <c r="TGR80" s="12"/>
      <c r="TGS80" s="12"/>
      <c r="TGT80" s="12"/>
      <c r="TGU80" s="12"/>
      <c r="TGV80" s="12"/>
      <c r="TGW80" s="12"/>
      <c r="TGX80" s="12"/>
      <c r="TGY80" s="12"/>
      <c r="TGZ80" s="12"/>
      <c r="THA80" s="12"/>
      <c r="THB80" s="12"/>
      <c r="THC80" s="12"/>
      <c r="THD80" s="12"/>
      <c r="THE80" s="12"/>
      <c r="THF80" s="12"/>
      <c r="THG80" s="12"/>
      <c r="THH80" s="12"/>
      <c r="THI80" s="12"/>
      <c r="THJ80" s="12"/>
      <c r="THK80" s="12"/>
      <c r="THL80" s="12"/>
      <c r="THM80" s="12"/>
      <c r="THN80" s="12"/>
      <c r="THO80" s="12"/>
      <c r="THP80" s="12"/>
      <c r="THQ80" s="12"/>
      <c r="THR80" s="12"/>
      <c r="THS80" s="12"/>
      <c r="THT80" s="12"/>
      <c r="THU80" s="12"/>
      <c r="THV80" s="12"/>
      <c r="THW80" s="12"/>
      <c r="THX80" s="12"/>
      <c r="THY80" s="12"/>
      <c r="THZ80" s="12"/>
      <c r="TIA80" s="12"/>
      <c r="TIB80" s="12"/>
      <c r="TIC80" s="12"/>
      <c r="TID80" s="12"/>
      <c r="TIE80" s="12"/>
      <c r="TIF80" s="12"/>
      <c r="TIG80" s="12"/>
      <c r="TIH80" s="12"/>
      <c r="TII80" s="12"/>
      <c r="TIJ80" s="12"/>
      <c r="TIK80" s="12"/>
      <c r="TIL80" s="12"/>
      <c r="TIM80" s="12"/>
      <c r="TIN80" s="12"/>
      <c r="TIO80" s="12"/>
      <c r="TIP80" s="12"/>
      <c r="TIQ80" s="12"/>
      <c r="TIR80" s="12"/>
      <c r="TIS80" s="12"/>
      <c r="TIT80" s="12"/>
      <c r="TIU80" s="12"/>
      <c r="TIV80" s="12"/>
      <c r="TIW80" s="12"/>
      <c r="TIX80" s="12"/>
      <c r="TIY80" s="12"/>
      <c r="TIZ80" s="12"/>
      <c r="TJA80" s="12"/>
      <c r="TJB80" s="12"/>
      <c r="TJC80" s="12"/>
      <c r="TJD80" s="12"/>
      <c r="TJE80" s="12"/>
      <c r="TJF80" s="12"/>
      <c r="TJG80" s="12"/>
      <c r="TJH80" s="12"/>
      <c r="TJI80" s="12"/>
      <c r="TJJ80" s="12"/>
      <c r="TJK80" s="12"/>
      <c r="TJL80" s="12"/>
      <c r="TJM80" s="12"/>
      <c r="TJN80" s="12"/>
      <c r="TJO80" s="12"/>
      <c r="TJP80" s="12"/>
      <c r="TJQ80" s="12"/>
      <c r="TJR80" s="12"/>
      <c r="TJS80" s="12"/>
      <c r="TJT80" s="12"/>
      <c r="TJU80" s="12"/>
      <c r="TJV80" s="12"/>
      <c r="TJW80" s="12"/>
      <c r="TJX80" s="12"/>
      <c r="TJY80" s="12"/>
      <c r="TJZ80" s="12"/>
      <c r="TKA80" s="12"/>
      <c r="TKB80" s="12"/>
      <c r="TKC80" s="12"/>
      <c r="TKD80" s="12"/>
      <c r="TKE80" s="12"/>
      <c r="TKF80" s="12"/>
      <c r="TKG80" s="12"/>
      <c r="TKH80" s="12"/>
      <c r="TKI80" s="12"/>
      <c r="TKJ80" s="12"/>
      <c r="TKK80" s="12"/>
      <c r="TKL80" s="12"/>
      <c r="TKM80" s="12"/>
      <c r="TKN80" s="12"/>
      <c r="TKO80" s="12"/>
      <c r="TKP80" s="12"/>
      <c r="TKQ80" s="12"/>
      <c r="TKR80" s="12"/>
      <c r="TKS80" s="12"/>
      <c r="TKT80" s="12"/>
      <c r="TKU80" s="12"/>
      <c r="TKV80" s="12"/>
      <c r="TKW80" s="12"/>
      <c r="TKX80" s="12"/>
      <c r="TKY80" s="12"/>
      <c r="TKZ80" s="12"/>
      <c r="TLA80" s="12"/>
      <c r="TLB80" s="12"/>
      <c r="TLC80" s="12"/>
      <c r="TLD80" s="12"/>
      <c r="TLE80" s="12"/>
      <c r="TLF80" s="12"/>
      <c r="TLG80" s="12"/>
      <c r="TLH80" s="12"/>
      <c r="TLI80" s="12"/>
      <c r="TLJ80" s="12"/>
      <c r="TLK80" s="12"/>
      <c r="TLL80" s="12"/>
      <c r="TLM80" s="12"/>
      <c r="TLN80" s="12"/>
      <c r="TLO80" s="12"/>
      <c r="TLP80" s="12"/>
      <c r="TLQ80" s="12"/>
      <c r="TLR80" s="12"/>
      <c r="TLS80" s="12"/>
      <c r="TLT80" s="12"/>
      <c r="TLU80" s="12"/>
      <c r="TLV80" s="12"/>
      <c r="TLW80" s="12"/>
      <c r="TLX80" s="12"/>
      <c r="TLY80" s="12"/>
      <c r="TLZ80" s="12"/>
      <c r="TMA80" s="12"/>
      <c r="TMB80" s="12"/>
      <c r="TMC80" s="12"/>
      <c r="TMD80" s="12"/>
      <c r="TME80" s="12"/>
      <c r="TMF80" s="12"/>
      <c r="TMG80" s="12"/>
      <c r="TMH80" s="12"/>
      <c r="TMI80" s="12"/>
      <c r="TMJ80" s="12"/>
      <c r="TMK80" s="12"/>
      <c r="TML80" s="12"/>
      <c r="TMM80" s="12"/>
      <c r="TMN80" s="12"/>
      <c r="TMO80" s="12"/>
      <c r="TMP80" s="12"/>
      <c r="TMQ80" s="12"/>
      <c r="TMR80" s="12"/>
      <c r="TMS80" s="12"/>
      <c r="TMT80" s="12"/>
      <c r="TMU80" s="12"/>
      <c r="TMV80" s="12"/>
      <c r="TMW80" s="12"/>
      <c r="TMX80" s="12"/>
      <c r="TMY80" s="12"/>
      <c r="TMZ80" s="12"/>
      <c r="TNA80" s="12"/>
      <c r="TNB80" s="12"/>
      <c r="TNC80" s="12"/>
      <c r="TND80" s="12"/>
      <c r="TNE80" s="12"/>
      <c r="TNF80" s="12"/>
      <c r="TNG80" s="12"/>
      <c r="TNH80" s="12"/>
      <c r="TNI80" s="12"/>
      <c r="TNJ80" s="12"/>
      <c r="TNK80" s="12"/>
      <c r="TNL80" s="12"/>
      <c r="TNM80" s="12"/>
      <c r="TNN80" s="12"/>
      <c r="TNO80" s="12"/>
      <c r="TNP80" s="12"/>
      <c r="TNQ80" s="12"/>
      <c r="TNR80" s="12"/>
      <c r="TNS80" s="12"/>
      <c r="TNT80" s="12"/>
      <c r="TNU80" s="12"/>
      <c r="TNV80" s="12"/>
      <c r="TNW80" s="12"/>
      <c r="TNX80" s="12"/>
      <c r="TNY80" s="12"/>
      <c r="TNZ80" s="12"/>
      <c r="TOA80" s="12"/>
      <c r="TOB80" s="12"/>
      <c r="TOC80" s="12"/>
      <c r="TOD80" s="12"/>
      <c r="TOE80" s="12"/>
      <c r="TOF80" s="12"/>
      <c r="TOG80" s="12"/>
      <c r="TOH80" s="12"/>
      <c r="TOI80" s="12"/>
      <c r="TOJ80" s="12"/>
      <c r="TOK80" s="12"/>
      <c r="TOL80" s="12"/>
      <c r="TOM80" s="12"/>
      <c r="TON80" s="12"/>
      <c r="TOO80" s="12"/>
      <c r="TOP80" s="12"/>
      <c r="TOQ80" s="12"/>
      <c r="TOR80" s="12"/>
      <c r="TOS80" s="12"/>
      <c r="TOT80" s="12"/>
      <c r="TOU80" s="12"/>
      <c r="TOV80" s="12"/>
      <c r="TOW80" s="12"/>
      <c r="TOX80" s="12"/>
      <c r="TOY80" s="12"/>
      <c r="TOZ80" s="12"/>
      <c r="TPA80" s="12"/>
      <c r="TPB80" s="12"/>
      <c r="TPC80" s="12"/>
      <c r="TPD80" s="12"/>
      <c r="TPE80" s="12"/>
      <c r="TPF80" s="12"/>
      <c r="TPG80" s="12"/>
      <c r="TPH80" s="12"/>
      <c r="TPI80" s="12"/>
      <c r="TPJ80" s="12"/>
      <c r="TPK80" s="12"/>
      <c r="TPL80" s="12"/>
      <c r="TPM80" s="12"/>
      <c r="TPN80" s="12"/>
      <c r="TPO80" s="12"/>
      <c r="TPP80" s="12"/>
      <c r="TPQ80" s="12"/>
      <c r="TPR80" s="12"/>
      <c r="TPS80" s="12"/>
      <c r="TPT80" s="12"/>
      <c r="TPU80" s="12"/>
      <c r="TPV80" s="12"/>
      <c r="TPW80" s="12"/>
      <c r="TPX80" s="12"/>
      <c r="TPY80" s="12"/>
      <c r="TPZ80" s="12"/>
      <c r="TQA80" s="12"/>
      <c r="TQB80" s="12"/>
      <c r="TQC80" s="12"/>
      <c r="TQD80" s="12"/>
      <c r="TQE80" s="12"/>
      <c r="TQF80" s="12"/>
      <c r="TQG80" s="12"/>
      <c r="TQH80" s="12"/>
      <c r="TQI80" s="12"/>
      <c r="TQJ80" s="12"/>
      <c r="TQK80" s="12"/>
      <c r="TQL80" s="12"/>
      <c r="TQM80" s="12"/>
      <c r="TQN80" s="12"/>
      <c r="TQO80" s="12"/>
      <c r="TQP80" s="12"/>
      <c r="TQQ80" s="12"/>
      <c r="TQR80" s="12"/>
      <c r="TQS80" s="12"/>
      <c r="TQT80" s="12"/>
      <c r="TQU80" s="12"/>
      <c r="TQV80" s="12"/>
      <c r="TQW80" s="12"/>
      <c r="TQX80" s="12"/>
      <c r="TQY80" s="12"/>
      <c r="TQZ80" s="12"/>
      <c r="TRA80" s="12"/>
      <c r="TRB80" s="12"/>
      <c r="TRC80" s="12"/>
      <c r="TRD80" s="12"/>
      <c r="TRE80" s="12"/>
      <c r="TRF80" s="12"/>
      <c r="TRG80" s="12"/>
      <c r="TRH80" s="12"/>
      <c r="TRI80" s="12"/>
      <c r="TRJ80" s="12"/>
      <c r="TRK80" s="12"/>
      <c r="TRL80" s="12"/>
      <c r="TRM80" s="12"/>
      <c r="TRN80" s="12"/>
      <c r="TRO80" s="12"/>
      <c r="TRP80" s="12"/>
      <c r="TRQ80" s="12"/>
      <c r="TRR80" s="12"/>
      <c r="TRS80" s="12"/>
      <c r="TRT80" s="12"/>
      <c r="TRU80" s="12"/>
      <c r="TRV80" s="12"/>
      <c r="TRW80" s="12"/>
      <c r="TRX80" s="12"/>
      <c r="TRY80" s="12"/>
      <c r="TRZ80" s="12"/>
      <c r="TSA80" s="12"/>
      <c r="TSB80" s="12"/>
      <c r="TSC80" s="12"/>
      <c r="TSD80" s="12"/>
      <c r="TSE80" s="12"/>
      <c r="TSF80" s="12"/>
      <c r="TSG80" s="12"/>
      <c r="TSH80" s="12"/>
      <c r="TSI80" s="12"/>
      <c r="TSJ80" s="12"/>
      <c r="TSK80" s="12"/>
      <c r="TSL80" s="12"/>
      <c r="TSM80" s="12"/>
      <c r="TSN80" s="12"/>
      <c r="TSO80" s="12"/>
      <c r="TSP80" s="12"/>
      <c r="TSQ80" s="12"/>
      <c r="TSR80" s="12"/>
      <c r="TSS80" s="12"/>
      <c r="TST80" s="12"/>
      <c r="TSU80" s="12"/>
      <c r="TSV80" s="12"/>
      <c r="TSW80" s="12"/>
      <c r="TSX80" s="12"/>
      <c r="TSY80" s="12"/>
      <c r="TSZ80" s="12"/>
      <c r="TTA80" s="12"/>
      <c r="TTB80" s="12"/>
      <c r="TTC80" s="12"/>
      <c r="TTD80" s="12"/>
      <c r="TTE80" s="12"/>
      <c r="TTF80" s="12"/>
      <c r="TTG80" s="12"/>
      <c r="TTH80" s="12"/>
      <c r="TTI80" s="12"/>
      <c r="TTJ80" s="12"/>
      <c r="TTK80" s="12"/>
      <c r="TTL80" s="12"/>
      <c r="TTM80" s="12"/>
      <c r="TTN80" s="12"/>
      <c r="TTO80" s="12"/>
      <c r="TTP80" s="12"/>
      <c r="TTQ80" s="12"/>
      <c r="TTR80" s="12"/>
      <c r="TTS80" s="12"/>
      <c r="TTT80" s="12"/>
      <c r="TTU80" s="12"/>
      <c r="TTV80" s="12"/>
      <c r="TTW80" s="12"/>
      <c r="TTX80" s="12"/>
      <c r="TTY80" s="12"/>
      <c r="TTZ80" s="12"/>
      <c r="TUA80" s="12"/>
      <c r="TUB80" s="12"/>
      <c r="TUC80" s="12"/>
      <c r="TUD80" s="12"/>
      <c r="TUE80" s="12"/>
      <c r="TUF80" s="12"/>
      <c r="TUG80" s="12"/>
      <c r="TUH80" s="12"/>
      <c r="TUI80" s="12"/>
      <c r="TUJ80" s="12"/>
      <c r="TUK80" s="12"/>
      <c r="TUL80" s="12"/>
      <c r="TUM80" s="12"/>
      <c r="TUN80" s="12"/>
      <c r="TUO80" s="12"/>
      <c r="TUP80" s="12"/>
      <c r="TUQ80" s="12"/>
      <c r="TUR80" s="12"/>
      <c r="TUS80" s="12"/>
      <c r="TUT80" s="12"/>
      <c r="TUU80" s="12"/>
      <c r="TUV80" s="12"/>
      <c r="TUW80" s="12"/>
      <c r="TUX80" s="12"/>
      <c r="TUY80" s="12"/>
      <c r="TUZ80" s="12"/>
      <c r="TVA80" s="12"/>
      <c r="TVB80" s="12"/>
      <c r="TVC80" s="12"/>
      <c r="TVD80" s="12"/>
      <c r="TVE80" s="12"/>
      <c r="TVF80" s="12"/>
      <c r="TVG80" s="12"/>
      <c r="TVH80" s="12"/>
      <c r="TVI80" s="12"/>
      <c r="TVJ80" s="12"/>
      <c r="TVK80" s="12"/>
      <c r="TVL80" s="12"/>
      <c r="TVM80" s="12"/>
      <c r="TVN80" s="12"/>
      <c r="TVO80" s="12"/>
      <c r="TVP80" s="12"/>
      <c r="TVQ80" s="12"/>
      <c r="TVR80" s="12"/>
      <c r="TVS80" s="12"/>
      <c r="TVT80" s="12"/>
      <c r="TVU80" s="12"/>
      <c r="TVV80" s="12"/>
      <c r="TVW80" s="12"/>
      <c r="TVX80" s="12"/>
      <c r="TVY80" s="12"/>
      <c r="TVZ80" s="12"/>
      <c r="TWA80" s="12"/>
      <c r="TWB80" s="12"/>
      <c r="TWC80" s="12"/>
      <c r="TWD80" s="12"/>
      <c r="TWE80" s="12"/>
      <c r="TWF80" s="12"/>
      <c r="TWG80" s="12"/>
      <c r="TWH80" s="12"/>
      <c r="TWI80" s="12"/>
      <c r="TWJ80" s="12"/>
      <c r="TWK80" s="12"/>
      <c r="TWL80" s="12"/>
      <c r="TWM80" s="12"/>
      <c r="TWN80" s="12"/>
      <c r="TWO80" s="12"/>
      <c r="TWP80" s="12"/>
      <c r="TWQ80" s="12"/>
      <c r="TWR80" s="12"/>
      <c r="TWS80" s="12"/>
      <c r="TWT80" s="12"/>
      <c r="TWU80" s="12"/>
      <c r="TWV80" s="12"/>
      <c r="TWW80" s="12"/>
      <c r="TWX80" s="12"/>
      <c r="TWY80" s="12"/>
      <c r="TWZ80" s="12"/>
      <c r="TXA80" s="12"/>
      <c r="TXB80" s="12"/>
      <c r="TXC80" s="12"/>
      <c r="TXD80" s="12"/>
      <c r="TXE80" s="12"/>
      <c r="TXF80" s="12"/>
      <c r="TXG80" s="12"/>
      <c r="TXH80" s="12"/>
      <c r="TXI80" s="12"/>
      <c r="TXJ80" s="12"/>
      <c r="TXK80" s="12"/>
      <c r="TXL80" s="12"/>
      <c r="TXM80" s="12"/>
      <c r="TXN80" s="12"/>
      <c r="TXO80" s="12"/>
      <c r="TXP80" s="12"/>
      <c r="TXQ80" s="12"/>
      <c r="TXR80" s="12"/>
      <c r="TXS80" s="12"/>
      <c r="TXT80" s="12"/>
      <c r="TXU80" s="12"/>
      <c r="TXV80" s="12"/>
      <c r="TXW80" s="12"/>
      <c r="TXX80" s="12"/>
      <c r="TXY80" s="12"/>
      <c r="TXZ80" s="12"/>
      <c r="TYA80" s="12"/>
      <c r="TYB80" s="12"/>
      <c r="TYC80" s="12"/>
      <c r="TYD80" s="12"/>
      <c r="TYE80" s="12"/>
      <c r="TYF80" s="12"/>
      <c r="TYG80" s="12"/>
      <c r="TYH80" s="12"/>
      <c r="TYI80" s="12"/>
      <c r="TYJ80" s="12"/>
      <c r="TYK80" s="12"/>
      <c r="TYL80" s="12"/>
      <c r="TYM80" s="12"/>
      <c r="TYN80" s="12"/>
      <c r="TYO80" s="12"/>
      <c r="TYP80" s="12"/>
      <c r="TYQ80" s="12"/>
      <c r="TYR80" s="12"/>
      <c r="TYS80" s="12"/>
      <c r="TYT80" s="12"/>
      <c r="TYU80" s="12"/>
      <c r="TYV80" s="12"/>
      <c r="TYW80" s="12"/>
      <c r="TYX80" s="12"/>
      <c r="TYY80" s="12"/>
      <c r="TYZ80" s="12"/>
      <c r="TZA80" s="12"/>
      <c r="TZB80" s="12"/>
      <c r="TZC80" s="12"/>
      <c r="TZD80" s="12"/>
      <c r="TZE80" s="12"/>
      <c r="TZF80" s="12"/>
      <c r="TZG80" s="12"/>
      <c r="TZH80" s="12"/>
      <c r="TZI80" s="12"/>
      <c r="TZJ80" s="12"/>
      <c r="TZK80" s="12"/>
      <c r="TZL80" s="12"/>
      <c r="TZM80" s="12"/>
      <c r="TZN80" s="12"/>
      <c r="TZO80" s="12"/>
      <c r="TZP80" s="12"/>
      <c r="TZQ80" s="12"/>
      <c r="TZR80" s="12"/>
      <c r="TZS80" s="12"/>
      <c r="TZT80" s="12"/>
      <c r="TZU80" s="12"/>
      <c r="TZV80" s="12"/>
      <c r="TZW80" s="12"/>
      <c r="TZX80" s="12"/>
      <c r="TZY80" s="12"/>
      <c r="TZZ80" s="12"/>
      <c r="UAA80" s="12"/>
      <c r="UAB80" s="12"/>
      <c r="UAC80" s="12"/>
      <c r="UAD80" s="12"/>
      <c r="UAE80" s="12"/>
      <c r="UAF80" s="12"/>
      <c r="UAG80" s="12"/>
      <c r="UAH80" s="12"/>
      <c r="UAI80" s="12"/>
      <c r="UAJ80" s="12"/>
      <c r="UAK80" s="12"/>
      <c r="UAL80" s="12"/>
      <c r="UAM80" s="12"/>
      <c r="UAN80" s="12"/>
      <c r="UAO80" s="12"/>
      <c r="UAP80" s="12"/>
      <c r="UAQ80" s="12"/>
      <c r="UAR80" s="12"/>
      <c r="UAS80" s="12"/>
      <c r="UAT80" s="12"/>
      <c r="UAU80" s="12"/>
      <c r="UAV80" s="12"/>
      <c r="UAW80" s="12"/>
      <c r="UAX80" s="12"/>
      <c r="UAY80" s="12"/>
      <c r="UAZ80" s="12"/>
      <c r="UBA80" s="12"/>
      <c r="UBB80" s="12"/>
      <c r="UBC80" s="12"/>
      <c r="UBD80" s="12"/>
      <c r="UBE80" s="12"/>
      <c r="UBF80" s="12"/>
      <c r="UBG80" s="12"/>
      <c r="UBH80" s="12"/>
      <c r="UBI80" s="12"/>
      <c r="UBJ80" s="12"/>
      <c r="UBK80" s="12"/>
      <c r="UBL80" s="12"/>
      <c r="UBM80" s="12"/>
      <c r="UBN80" s="12"/>
      <c r="UBO80" s="12"/>
      <c r="UBP80" s="12"/>
      <c r="UBQ80" s="12"/>
      <c r="UBR80" s="12"/>
      <c r="UBS80" s="12"/>
      <c r="UBT80" s="12"/>
      <c r="UBU80" s="12"/>
      <c r="UBV80" s="12"/>
      <c r="UBW80" s="12"/>
      <c r="UBX80" s="12"/>
      <c r="UBY80" s="12"/>
      <c r="UBZ80" s="12"/>
      <c r="UCA80" s="12"/>
      <c r="UCB80" s="12"/>
      <c r="UCC80" s="12"/>
      <c r="UCD80" s="12"/>
      <c r="UCE80" s="12"/>
      <c r="UCF80" s="12"/>
      <c r="UCG80" s="12"/>
      <c r="UCH80" s="12"/>
      <c r="UCI80" s="12"/>
      <c r="UCJ80" s="12"/>
      <c r="UCK80" s="12"/>
      <c r="UCL80" s="12"/>
      <c r="UCM80" s="12"/>
      <c r="UCN80" s="12"/>
      <c r="UCO80" s="12"/>
      <c r="UCP80" s="12"/>
      <c r="UCQ80" s="12"/>
      <c r="UCR80" s="12"/>
      <c r="UCS80" s="12"/>
      <c r="UCT80" s="12"/>
      <c r="UCU80" s="12"/>
      <c r="UCV80" s="12"/>
      <c r="UCW80" s="12"/>
      <c r="UCX80" s="12"/>
      <c r="UCY80" s="12"/>
      <c r="UCZ80" s="12"/>
      <c r="UDA80" s="12"/>
      <c r="UDB80" s="12"/>
      <c r="UDC80" s="12"/>
      <c r="UDD80" s="12"/>
      <c r="UDE80" s="12"/>
      <c r="UDF80" s="12"/>
      <c r="UDG80" s="12"/>
      <c r="UDH80" s="12"/>
      <c r="UDI80" s="12"/>
      <c r="UDJ80" s="12"/>
      <c r="UDK80" s="12"/>
      <c r="UDL80" s="12"/>
      <c r="UDM80" s="12"/>
      <c r="UDN80" s="12"/>
      <c r="UDO80" s="12"/>
      <c r="UDP80" s="12"/>
      <c r="UDQ80" s="12"/>
      <c r="UDR80" s="12"/>
      <c r="UDS80" s="12"/>
      <c r="UDT80" s="12"/>
      <c r="UDU80" s="12"/>
      <c r="UDV80" s="12"/>
      <c r="UDW80" s="12"/>
      <c r="UDX80" s="12"/>
      <c r="UDY80" s="12"/>
      <c r="UDZ80" s="12"/>
      <c r="UEA80" s="12"/>
      <c r="UEB80" s="12"/>
      <c r="UEC80" s="12"/>
      <c r="UED80" s="12"/>
      <c r="UEE80" s="12"/>
      <c r="UEF80" s="12"/>
      <c r="UEG80" s="12"/>
      <c r="UEH80" s="12"/>
      <c r="UEI80" s="12"/>
      <c r="UEJ80" s="12"/>
      <c r="UEK80" s="12"/>
      <c r="UEL80" s="12"/>
      <c r="UEM80" s="12"/>
      <c r="UEN80" s="12"/>
      <c r="UEO80" s="12"/>
      <c r="UEP80" s="12"/>
      <c r="UEQ80" s="12"/>
      <c r="UER80" s="12"/>
      <c r="UES80" s="12"/>
      <c r="UET80" s="12"/>
      <c r="UEU80" s="12"/>
      <c r="UEV80" s="12"/>
      <c r="UEW80" s="12"/>
      <c r="UEX80" s="12"/>
      <c r="UEY80" s="12"/>
      <c r="UEZ80" s="12"/>
      <c r="UFA80" s="12"/>
      <c r="UFB80" s="12"/>
      <c r="UFC80" s="12"/>
      <c r="UFD80" s="12"/>
      <c r="UFE80" s="12"/>
      <c r="UFF80" s="12"/>
      <c r="UFG80" s="12"/>
      <c r="UFH80" s="12"/>
      <c r="UFI80" s="12"/>
      <c r="UFJ80" s="12"/>
      <c r="UFK80" s="12"/>
      <c r="UFL80" s="12"/>
      <c r="UFM80" s="12"/>
      <c r="UFN80" s="12"/>
      <c r="UFO80" s="12"/>
      <c r="UFP80" s="12"/>
      <c r="UFQ80" s="12"/>
      <c r="UFR80" s="12"/>
      <c r="UFS80" s="12"/>
      <c r="UFT80" s="12"/>
      <c r="UFU80" s="12"/>
      <c r="UFV80" s="12"/>
      <c r="UFW80" s="12"/>
      <c r="UFX80" s="12"/>
      <c r="UFY80" s="12"/>
      <c r="UFZ80" s="12"/>
      <c r="UGA80" s="12"/>
      <c r="UGB80" s="12"/>
      <c r="UGC80" s="12"/>
      <c r="UGD80" s="12"/>
      <c r="UGE80" s="12"/>
      <c r="UGF80" s="12"/>
      <c r="UGG80" s="12"/>
      <c r="UGH80" s="12"/>
      <c r="UGI80" s="12"/>
      <c r="UGJ80" s="12"/>
      <c r="UGK80" s="12"/>
      <c r="UGL80" s="12"/>
      <c r="UGM80" s="12"/>
      <c r="UGN80" s="12"/>
      <c r="UGO80" s="12"/>
      <c r="UGP80" s="12"/>
      <c r="UGQ80" s="12"/>
      <c r="UGR80" s="12"/>
      <c r="UGS80" s="12"/>
      <c r="UGT80" s="12"/>
      <c r="UGU80" s="12"/>
      <c r="UGV80" s="12"/>
      <c r="UGW80" s="12"/>
      <c r="UGX80" s="12"/>
      <c r="UGY80" s="12"/>
      <c r="UGZ80" s="12"/>
      <c r="UHA80" s="12"/>
      <c r="UHB80" s="12"/>
      <c r="UHC80" s="12"/>
      <c r="UHD80" s="12"/>
      <c r="UHE80" s="12"/>
      <c r="UHF80" s="12"/>
      <c r="UHG80" s="12"/>
      <c r="UHH80" s="12"/>
      <c r="UHI80" s="12"/>
      <c r="UHJ80" s="12"/>
      <c r="UHK80" s="12"/>
      <c r="UHL80" s="12"/>
      <c r="UHM80" s="12"/>
      <c r="UHN80" s="12"/>
      <c r="UHO80" s="12"/>
      <c r="UHP80" s="12"/>
      <c r="UHQ80" s="12"/>
      <c r="UHR80" s="12"/>
      <c r="UHS80" s="12"/>
      <c r="UHT80" s="12"/>
      <c r="UHU80" s="12"/>
      <c r="UHV80" s="12"/>
      <c r="UHW80" s="12"/>
      <c r="UHX80" s="12"/>
      <c r="UHY80" s="12"/>
      <c r="UHZ80" s="12"/>
      <c r="UIA80" s="12"/>
      <c r="UIB80" s="12"/>
      <c r="UIC80" s="12"/>
      <c r="UID80" s="12"/>
      <c r="UIE80" s="12"/>
      <c r="UIF80" s="12"/>
      <c r="UIG80" s="12"/>
      <c r="UIH80" s="12"/>
      <c r="UII80" s="12"/>
      <c r="UIJ80" s="12"/>
      <c r="UIK80" s="12"/>
      <c r="UIL80" s="12"/>
      <c r="UIM80" s="12"/>
      <c r="UIN80" s="12"/>
      <c r="UIO80" s="12"/>
      <c r="UIP80" s="12"/>
      <c r="UIQ80" s="12"/>
      <c r="UIR80" s="12"/>
      <c r="UIS80" s="12"/>
      <c r="UIT80" s="12"/>
      <c r="UIU80" s="12"/>
      <c r="UIV80" s="12"/>
      <c r="UIW80" s="12"/>
      <c r="UIX80" s="12"/>
      <c r="UIY80" s="12"/>
      <c r="UIZ80" s="12"/>
      <c r="UJA80" s="12"/>
      <c r="UJB80" s="12"/>
      <c r="UJC80" s="12"/>
      <c r="UJD80" s="12"/>
      <c r="UJE80" s="12"/>
      <c r="UJF80" s="12"/>
      <c r="UJG80" s="12"/>
      <c r="UJH80" s="12"/>
      <c r="UJI80" s="12"/>
      <c r="UJJ80" s="12"/>
      <c r="UJK80" s="12"/>
      <c r="UJL80" s="12"/>
      <c r="UJM80" s="12"/>
      <c r="UJN80" s="12"/>
      <c r="UJO80" s="12"/>
      <c r="UJP80" s="12"/>
      <c r="UJQ80" s="12"/>
      <c r="UJR80" s="12"/>
      <c r="UJS80" s="12"/>
      <c r="UJT80" s="12"/>
      <c r="UJU80" s="12"/>
      <c r="UJV80" s="12"/>
      <c r="UJW80" s="12"/>
      <c r="UJX80" s="12"/>
      <c r="UJY80" s="12"/>
      <c r="UJZ80" s="12"/>
      <c r="UKA80" s="12"/>
      <c r="UKB80" s="12"/>
      <c r="UKC80" s="12"/>
      <c r="UKD80" s="12"/>
      <c r="UKE80" s="12"/>
      <c r="UKF80" s="12"/>
      <c r="UKG80" s="12"/>
      <c r="UKH80" s="12"/>
      <c r="UKI80" s="12"/>
      <c r="UKJ80" s="12"/>
      <c r="UKK80" s="12"/>
      <c r="UKL80" s="12"/>
      <c r="UKM80" s="12"/>
      <c r="UKN80" s="12"/>
      <c r="UKO80" s="12"/>
      <c r="UKP80" s="12"/>
      <c r="UKQ80" s="12"/>
      <c r="UKR80" s="12"/>
      <c r="UKS80" s="12"/>
      <c r="UKT80" s="12"/>
      <c r="UKU80" s="12"/>
      <c r="UKV80" s="12"/>
      <c r="UKW80" s="12"/>
      <c r="UKX80" s="12"/>
      <c r="UKY80" s="12"/>
      <c r="UKZ80" s="12"/>
      <c r="ULA80" s="12"/>
      <c r="ULB80" s="12"/>
      <c r="ULC80" s="12"/>
      <c r="ULD80" s="12"/>
      <c r="ULE80" s="12"/>
      <c r="ULF80" s="12"/>
      <c r="ULG80" s="12"/>
      <c r="ULH80" s="12"/>
      <c r="ULI80" s="12"/>
      <c r="ULJ80" s="12"/>
      <c r="ULK80" s="12"/>
      <c r="ULL80" s="12"/>
      <c r="ULM80" s="12"/>
      <c r="ULN80" s="12"/>
      <c r="ULO80" s="12"/>
      <c r="ULP80" s="12"/>
      <c r="ULQ80" s="12"/>
      <c r="ULR80" s="12"/>
      <c r="ULS80" s="12"/>
      <c r="ULT80" s="12"/>
      <c r="ULU80" s="12"/>
      <c r="ULV80" s="12"/>
      <c r="ULW80" s="12"/>
      <c r="ULX80" s="12"/>
      <c r="ULY80" s="12"/>
      <c r="ULZ80" s="12"/>
      <c r="UMA80" s="12"/>
      <c r="UMB80" s="12"/>
      <c r="UMC80" s="12"/>
      <c r="UMD80" s="12"/>
      <c r="UME80" s="12"/>
      <c r="UMF80" s="12"/>
      <c r="UMG80" s="12"/>
      <c r="UMH80" s="12"/>
      <c r="UMI80" s="12"/>
      <c r="UMJ80" s="12"/>
      <c r="UMK80" s="12"/>
      <c r="UML80" s="12"/>
      <c r="UMM80" s="12"/>
      <c r="UMN80" s="12"/>
      <c r="UMO80" s="12"/>
      <c r="UMP80" s="12"/>
      <c r="UMQ80" s="12"/>
      <c r="UMR80" s="12"/>
      <c r="UMS80" s="12"/>
      <c r="UMT80" s="12"/>
      <c r="UMU80" s="12"/>
      <c r="UMV80" s="12"/>
      <c r="UMW80" s="12"/>
      <c r="UMX80" s="12"/>
      <c r="UMY80" s="12"/>
      <c r="UMZ80" s="12"/>
      <c r="UNA80" s="12"/>
      <c r="UNB80" s="12"/>
      <c r="UNC80" s="12"/>
      <c r="UND80" s="12"/>
      <c r="UNE80" s="12"/>
      <c r="UNF80" s="12"/>
      <c r="UNG80" s="12"/>
      <c r="UNH80" s="12"/>
      <c r="UNI80" s="12"/>
      <c r="UNJ80" s="12"/>
      <c r="UNK80" s="12"/>
      <c r="UNL80" s="12"/>
      <c r="UNM80" s="12"/>
      <c r="UNN80" s="12"/>
      <c r="UNO80" s="12"/>
      <c r="UNP80" s="12"/>
      <c r="UNQ80" s="12"/>
      <c r="UNR80" s="12"/>
      <c r="UNS80" s="12"/>
      <c r="UNT80" s="12"/>
      <c r="UNU80" s="12"/>
      <c r="UNV80" s="12"/>
      <c r="UNW80" s="12"/>
      <c r="UNX80" s="12"/>
      <c r="UNY80" s="12"/>
      <c r="UNZ80" s="12"/>
      <c r="UOA80" s="12"/>
      <c r="UOB80" s="12"/>
      <c r="UOC80" s="12"/>
      <c r="UOD80" s="12"/>
      <c r="UOE80" s="12"/>
      <c r="UOF80" s="12"/>
      <c r="UOG80" s="12"/>
      <c r="UOH80" s="12"/>
      <c r="UOI80" s="12"/>
      <c r="UOJ80" s="12"/>
      <c r="UOK80" s="12"/>
      <c r="UOL80" s="12"/>
      <c r="UOM80" s="12"/>
      <c r="UON80" s="12"/>
      <c r="UOO80" s="12"/>
      <c r="UOP80" s="12"/>
      <c r="UOQ80" s="12"/>
      <c r="UOR80" s="12"/>
      <c r="UOS80" s="12"/>
      <c r="UOT80" s="12"/>
      <c r="UOU80" s="12"/>
      <c r="UOV80" s="12"/>
      <c r="UOW80" s="12"/>
      <c r="UOX80" s="12"/>
      <c r="UOY80" s="12"/>
      <c r="UOZ80" s="12"/>
      <c r="UPA80" s="12"/>
      <c r="UPB80" s="12"/>
      <c r="UPC80" s="12"/>
      <c r="UPD80" s="12"/>
      <c r="UPE80" s="12"/>
      <c r="UPF80" s="12"/>
      <c r="UPG80" s="12"/>
      <c r="UPH80" s="12"/>
      <c r="UPI80" s="12"/>
      <c r="UPJ80" s="12"/>
      <c r="UPK80" s="12"/>
      <c r="UPL80" s="12"/>
      <c r="UPM80" s="12"/>
      <c r="UPN80" s="12"/>
      <c r="UPO80" s="12"/>
      <c r="UPP80" s="12"/>
      <c r="UPQ80" s="12"/>
      <c r="UPR80" s="12"/>
      <c r="UPS80" s="12"/>
      <c r="UPT80" s="12"/>
      <c r="UPU80" s="12"/>
      <c r="UPV80" s="12"/>
      <c r="UPW80" s="12"/>
      <c r="UPX80" s="12"/>
      <c r="UPY80" s="12"/>
      <c r="UPZ80" s="12"/>
      <c r="UQA80" s="12"/>
      <c r="UQB80" s="12"/>
      <c r="UQC80" s="12"/>
      <c r="UQD80" s="12"/>
      <c r="UQE80" s="12"/>
      <c r="UQF80" s="12"/>
      <c r="UQG80" s="12"/>
      <c r="UQH80" s="12"/>
      <c r="UQI80" s="12"/>
      <c r="UQJ80" s="12"/>
      <c r="UQK80" s="12"/>
      <c r="UQL80" s="12"/>
      <c r="UQM80" s="12"/>
      <c r="UQN80" s="12"/>
      <c r="UQO80" s="12"/>
      <c r="UQP80" s="12"/>
      <c r="UQQ80" s="12"/>
      <c r="UQR80" s="12"/>
      <c r="UQS80" s="12"/>
      <c r="UQT80" s="12"/>
      <c r="UQU80" s="12"/>
      <c r="UQV80" s="12"/>
      <c r="UQW80" s="12"/>
      <c r="UQX80" s="12"/>
      <c r="UQY80" s="12"/>
      <c r="UQZ80" s="12"/>
      <c r="URA80" s="12"/>
      <c r="URB80" s="12"/>
      <c r="URC80" s="12"/>
      <c r="URD80" s="12"/>
      <c r="URE80" s="12"/>
      <c r="URF80" s="12"/>
      <c r="URG80" s="12"/>
      <c r="URH80" s="12"/>
      <c r="URI80" s="12"/>
      <c r="URJ80" s="12"/>
      <c r="URK80" s="12"/>
      <c r="URL80" s="12"/>
      <c r="URM80" s="12"/>
      <c r="URN80" s="12"/>
      <c r="URO80" s="12"/>
      <c r="URP80" s="12"/>
      <c r="URQ80" s="12"/>
      <c r="URR80" s="12"/>
      <c r="URS80" s="12"/>
      <c r="URT80" s="12"/>
      <c r="URU80" s="12"/>
      <c r="URV80" s="12"/>
      <c r="URW80" s="12"/>
      <c r="URX80" s="12"/>
      <c r="URY80" s="12"/>
      <c r="URZ80" s="12"/>
      <c r="USA80" s="12"/>
      <c r="USB80" s="12"/>
      <c r="USC80" s="12"/>
      <c r="USD80" s="12"/>
      <c r="USE80" s="12"/>
      <c r="USF80" s="12"/>
      <c r="USG80" s="12"/>
      <c r="USH80" s="12"/>
      <c r="USI80" s="12"/>
      <c r="USJ80" s="12"/>
      <c r="USK80" s="12"/>
      <c r="USL80" s="12"/>
      <c r="USM80" s="12"/>
      <c r="USN80" s="12"/>
      <c r="USO80" s="12"/>
      <c r="USP80" s="12"/>
      <c r="USQ80" s="12"/>
      <c r="USR80" s="12"/>
      <c r="USS80" s="12"/>
      <c r="UST80" s="12"/>
      <c r="USU80" s="12"/>
      <c r="USV80" s="12"/>
      <c r="USW80" s="12"/>
      <c r="USX80" s="12"/>
      <c r="USY80" s="12"/>
      <c r="USZ80" s="12"/>
      <c r="UTA80" s="12"/>
      <c r="UTB80" s="12"/>
      <c r="UTC80" s="12"/>
      <c r="UTD80" s="12"/>
      <c r="UTE80" s="12"/>
      <c r="UTF80" s="12"/>
      <c r="UTG80" s="12"/>
      <c r="UTH80" s="12"/>
      <c r="UTI80" s="12"/>
      <c r="UTJ80" s="12"/>
      <c r="UTK80" s="12"/>
      <c r="UTL80" s="12"/>
      <c r="UTM80" s="12"/>
      <c r="UTN80" s="12"/>
      <c r="UTO80" s="12"/>
      <c r="UTP80" s="12"/>
      <c r="UTQ80" s="12"/>
      <c r="UTR80" s="12"/>
      <c r="UTS80" s="12"/>
      <c r="UTT80" s="12"/>
      <c r="UTU80" s="12"/>
      <c r="UTV80" s="12"/>
      <c r="UTW80" s="12"/>
      <c r="UTX80" s="12"/>
      <c r="UTY80" s="12"/>
      <c r="UTZ80" s="12"/>
      <c r="UUA80" s="12"/>
      <c r="UUB80" s="12"/>
      <c r="UUC80" s="12"/>
      <c r="UUD80" s="12"/>
      <c r="UUE80" s="12"/>
      <c r="UUF80" s="12"/>
      <c r="UUG80" s="12"/>
      <c r="UUH80" s="12"/>
      <c r="UUI80" s="12"/>
      <c r="UUJ80" s="12"/>
      <c r="UUK80" s="12"/>
      <c r="UUL80" s="12"/>
      <c r="UUM80" s="12"/>
      <c r="UUN80" s="12"/>
      <c r="UUO80" s="12"/>
      <c r="UUP80" s="12"/>
      <c r="UUQ80" s="12"/>
      <c r="UUR80" s="12"/>
      <c r="UUS80" s="12"/>
      <c r="UUT80" s="12"/>
      <c r="UUU80" s="12"/>
      <c r="UUV80" s="12"/>
      <c r="UUW80" s="12"/>
      <c r="UUX80" s="12"/>
      <c r="UUY80" s="12"/>
      <c r="UUZ80" s="12"/>
      <c r="UVA80" s="12"/>
      <c r="UVB80" s="12"/>
      <c r="UVC80" s="12"/>
      <c r="UVD80" s="12"/>
      <c r="UVE80" s="12"/>
      <c r="UVF80" s="12"/>
      <c r="UVG80" s="12"/>
      <c r="UVH80" s="12"/>
      <c r="UVI80" s="12"/>
      <c r="UVJ80" s="12"/>
      <c r="UVK80" s="12"/>
      <c r="UVL80" s="12"/>
      <c r="UVM80" s="12"/>
      <c r="UVN80" s="12"/>
      <c r="UVO80" s="12"/>
      <c r="UVP80" s="12"/>
      <c r="UVQ80" s="12"/>
      <c r="UVR80" s="12"/>
      <c r="UVS80" s="12"/>
      <c r="UVT80" s="12"/>
      <c r="UVU80" s="12"/>
      <c r="UVV80" s="12"/>
      <c r="UVW80" s="12"/>
      <c r="UVX80" s="12"/>
      <c r="UVY80" s="12"/>
      <c r="UVZ80" s="12"/>
      <c r="UWA80" s="12"/>
      <c r="UWB80" s="12"/>
      <c r="UWC80" s="12"/>
      <c r="UWD80" s="12"/>
      <c r="UWE80" s="12"/>
      <c r="UWF80" s="12"/>
      <c r="UWG80" s="12"/>
      <c r="UWH80" s="12"/>
      <c r="UWI80" s="12"/>
      <c r="UWJ80" s="12"/>
      <c r="UWK80" s="12"/>
      <c r="UWL80" s="12"/>
      <c r="UWM80" s="12"/>
      <c r="UWN80" s="12"/>
      <c r="UWO80" s="12"/>
      <c r="UWP80" s="12"/>
      <c r="UWQ80" s="12"/>
      <c r="UWR80" s="12"/>
      <c r="UWS80" s="12"/>
      <c r="UWT80" s="12"/>
      <c r="UWU80" s="12"/>
      <c r="UWV80" s="12"/>
      <c r="UWW80" s="12"/>
      <c r="UWX80" s="12"/>
      <c r="UWY80" s="12"/>
      <c r="UWZ80" s="12"/>
      <c r="UXA80" s="12"/>
      <c r="UXB80" s="12"/>
      <c r="UXC80" s="12"/>
      <c r="UXD80" s="12"/>
      <c r="UXE80" s="12"/>
      <c r="UXF80" s="12"/>
      <c r="UXG80" s="12"/>
      <c r="UXH80" s="12"/>
      <c r="UXI80" s="12"/>
      <c r="UXJ80" s="12"/>
      <c r="UXK80" s="12"/>
      <c r="UXL80" s="12"/>
      <c r="UXM80" s="12"/>
      <c r="UXN80" s="12"/>
      <c r="UXO80" s="12"/>
      <c r="UXP80" s="12"/>
      <c r="UXQ80" s="12"/>
      <c r="UXR80" s="12"/>
      <c r="UXS80" s="12"/>
      <c r="UXT80" s="12"/>
      <c r="UXU80" s="12"/>
      <c r="UXV80" s="12"/>
      <c r="UXW80" s="12"/>
      <c r="UXX80" s="12"/>
      <c r="UXY80" s="12"/>
      <c r="UXZ80" s="12"/>
      <c r="UYA80" s="12"/>
      <c r="UYB80" s="12"/>
      <c r="UYC80" s="12"/>
      <c r="UYD80" s="12"/>
      <c r="UYE80" s="12"/>
      <c r="UYF80" s="12"/>
      <c r="UYG80" s="12"/>
      <c r="UYH80" s="12"/>
      <c r="UYI80" s="12"/>
      <c r="UYJ80" s="12"/>
      <c r="UYK80" s="12"/>
      <c r="UYL80" s="12"/>
      <c r="UYM80" s="12"/>
      <c r="UYN80" s="12"/>
      <c r="UYO80" s="12"/>
      <c r="UYP80" s="12"/>
      <c r="UYQ80" s="12"/>
      <c r="UYR80" s="12"/>
      <c r="UYS80" s="12"/>
      <c r="UYT80" s="12"/>
      <c r="UYU80" s="12"/>
      <c r="UYV80" s="12"/>
      <c r="UYW80" s="12"/>
      <c r="UYX80" s="12"/>
      <c r="UYY80" s="12"/>
      <c r="UYZ80" s="12"/>
      <c r="UZA80" s="12"/>
      <c r="UZB80" s="12"/>
      <c r="UZC80" s="12"/>
      <c r="UZD80" s="12"/>
      <c r="UZE80" s="12"/>
      <c r="UZF80" s="12"/>
      <c r="UZG80" s="12"/>
      <c r="UZH80" s="12"/>
      <c r="UZI80" s="12"/>
      <c r="UZJ80" s="12"/>
      <c r="UZK80" s="12"/>
      <c r="UZL80" s="12"/>
      <c r="UZM80" s="12"/>
      <c r="UZN80" s="12"/>
      <c r="UZO80" s="12"/>
      <c r="UZP80" s="12"/>
      <c r="UZQ80" s="12"/>
      <c r="UZR80" s="12"/>
      <c r="UZS80" s="12"/>
      <c r="UZT80" s="12"/>
      <c r="UZU80" s="12"/>
      <c r="UZV80" s="12"/>
      <c r="UZW80" s="12"/>
      <c r="UZX80" s="12"/>
      <c r="UZY80" s="12"/>
      <c r="UZZ80" s="12"/>
      <c r="VAA80" s="12"/>
      <c r="VAB80" s="12"/>
      <c r="VAC80" s="12"/>
      <c r="VAD80" s="12"/>
      <c r="VAE80" s="12"/>
      <c r="VAF80" s="12"/>
      <c r="VAG80" s="12"/>
      <c r="VAH80" s="12"/>
      <c r="VAI80" s="12"/>
      <c r="VAJ80" s="12"/>
      <c r="VAK80" s="12"/>
      <c r="VAL80" s="12"/>
      <c r="VAM80" s="12"/>
      <c r="VAN80" s="12"/>
      <c r="VAO80" s="12"/>
      <c r="VAP80" s="12"/>
      <c r="VAQ80" s="12"/>
      <c r="VAR80" s="12"/>
      <c r="VAS80" s="12"/>
      <c r="VAT80" s="12"/>
      <c r="VAU80" s="12"/>
      <c r="VAV80" s="12"/>
      <c r="VAW80" s="12"/>
      <c r="VAX80" s="12"/>
      <c r="VAY80" s="12"/>
      <c r="VAZ80" s="12"/>
      <c r="VBA80" s="12"/>
      <c r="VBB80" s="12"/>
      <c r="VBC80" s="12"/>
      <c r="VBD80" s="12"/>
      <c r="VBE80" s="12"/>
      <c r="VBF80" s="12"/>
      <c r="VBG80" s="12"/>
      <c r="VBH80" s="12"/>
      <c r="VBI80" s="12"/>
      <c r="VBJ80" s="12"/>
      <c r="VBK80" s="12"/>
      <c r="VBL80" s="12"/>
      <c r="VBM80" s="12"/>
      <c r="VBN80" s="12"/>
      <c r="VBO80" s="12"/>
      <c r="VBP80" s="12"/>
      <c r="VBQ80" s="12"/>
      <c r="VBR80" s="12"/>
      <c r="VBS80" s="12"/>
      <c r="VBT80" s="12"/>
      <c r="VBU80" s="12"/>
      <c r="VBV80" s="12"/>
      <c r="VBW80" s="12"/>
      <c r="VBX80" s="12"/>
      <c r="VBY80" s="12"/>
      <c r="VBZ80" s="12"/>
      <c r="VCA80" s="12"/>
      <c r="VCB80" s="12"/>
      <c r="VCC80" s="12"/>
      <c r="VCD80" s="12"/>
      <c r="VCE80" s="12"/>
      <c r="VCF80" s="12"/>
      <c r="VCG80" s="12"/>
      <c r="VCH80" s="12"/>
      <c r="VCI80" s="12"/>
      <c r="VCJ80" s="12"/>
      <c r="VCK80" s="12"/>
      <c r="VCL80" s="12"/>
      <c r="VCM80" s="12"/>
      <c r="VCN80" s="12"/>
      <c r="VCO80" s="12"/>
      <c r="VCP80" s="12"/>
      <c r="VCQ80" s="12"/>
      <c r="VCR80" s="12"/>
      <c r="VCS80" s="12"/>
      <c r="VCT80" s="12"/>
      <c r="VCU80" s="12"/>
      <c r="VCV80" s="12"/>
      <c r="VCW80" s="12"/>
      <c r="VCX80" s="12"/>
      <c r="VCY80" s="12"/>
      <c r="VCZ80" s="12"/>
      <c r="VDA80" s="12"/>
      <c r="VDB80" s="12"/>
      <c r="VDC80" s="12"/>
      <c r="VDD80" s="12"/>
      <c r="VDE80" s="12"/>
      <c r="VDF80" s="12"/>
      <c r="VDG80" s="12"/>
      <c r="VDH80" s="12"/>
      <c r="VDI80" s="12"/>
      <c r="VDJ80" s="12"/>
      <c r="VDK80" s="12"/>
      <c r="VDL80" s="12"/>
      <c r="VDM80" s="12"/>
      <c r="VDN80" s="12"/>
      <c r="VDO80" s="12"/>
      <c r="VDP80" s="12"/>
      <c r="VDQ80" s="12"/>
      <c r="VDR80" s="12"/>
      <c r="VDS80" s="12"/>
      <c r="VDT80" s="12"/>
      <c r="VDU80" s="12"/>
      <c r="VDV80" s="12"/>
      <c r="VDW80" s="12"/>
      <c r="VDX80" s="12"/>
      <c r="VDY80" s="12"/>
      <c r="VDZ80" s="12"/>
      <c r="VEA80" s="12"/>
      <c r="VEB80" s="12"/>
      <c r="VEC80" s="12"/>
      <c r="VED80" s="12"/>
      <c r="VEE80" s="12"/>
      <c r="VEF80" s="12"/>
      <c r="VEG80" s="12"/>
      <c r="VEH80" s="12"/>
      <c r="VEI80" s="12"/>
      <c r="VEJ80" s="12"/>
      <c r="VEK80" s="12"/>
      <c r="VEL80" s="12"/>
      <c r="VEM80" s="12"/>
      <c r="VEN80" s="12"/>
      <c r="VEO80" s="12"/>
      <c r="VEP80" s="12"/>
      <c r="VEQ80" s="12"/>
      <c r="VER80" s="12"/>
      <c r="VES80" s="12"/>
      <c r="VET80" s="12"/>
      <c r="VEU80" s="12"/>
      <c r="VEV80" s="12"/>
      <c r="VEW80" s="12"/>
      <c r="VEX80" s="12"/>
      <c r="VEY80" s="12"/>
      <c r="VEZ80" s="12"/>
      <c r="VFA80" s="12"/>
      <c r="VFB80" s="12"/>
      <c r="VFC80" s="12"/>
      <c r="VFD80" s="12"/>
      <c r="VFE80" s="12"/>
      <c r="VFF80" s="12"/>
      <c r="VFG80" s="12"/>
      <c r="VFH80" s="12"/>
      <c r="VFI80" s="12"/>
      <c r="VFJ80" s="12"/>
      <c r="VFK80" s="12"/>
      <c r="VFL80" s="12"/>
      <c r="VFM80" s="12"/>
      <c r="VFN80" s="12"/>
      <c r="VFO80" s="12"/>
      <c r="VFP80" s="12"/>
      <c r="VFQ80" s="12"/>
      <c r="VFR80" s="12"/>
      <c r="VFS80" s="12"/>
      <c r="VFT80" s="12"/>
      <c r="VFU80" s="12"/>
      <c r="VFV80" s="12"/>
      <c r="VFW80" s="12"/>
      <c r="VFX80" s="12"/>
      <c r="VFY80" s="12"/>
      <c r="VFZ80" s="12"/>
      <c r="VGA80" s="12"/>
      <c r="VGB80" s="12"/>
      <c r="VGC80" s="12"/>
      <c r="VGD80" s="12"/>
      <c r="VGE80" s="12"/>
      <c r="VGF80" s="12"/>
      <c r="VGG80" s="12"/>
      <c r="VGH80" s="12"/>
      <c r="VGI80" s="12"/>
      <c r="VGJ80" s="12"/>
      <c r="VGK80" s="12"/>
      <c r="VGL80" s="12"/>
      <c r="VGM80" s="12"/>
      <c r="VGN80" s="12"/>
      <c r="VGO80" s="12"/>
      <c r="VGP80" s="12"/>
      <c r="VGQ80" s="12"/>
      <c r="VGR80" s="12"/>
      <c r="VGS80" s="12"/>
      <c r="VGT80" s="12"/>
      <c r="VGU80" s="12"/>
      <c r="VGV80" s="12"/>
      <c r="VGW80" s="12"/>
      <c r="VGX80" s="12"/>
      <c r="VGY80" s="12"/>
      <c r="VGZ80" s="12"/>
      <c r="VHA80" s="12"/>
      <c r="VHB80" s="12"/>
      <c r="VHC80" s="12"/>
      <c r="VHD80" s="12"/>
      <c r="VHE80" s="12"/>
      <c r="VHF80" s="12"/>
      <c r="VHG80" s="12"/>
      <c r="VHH80" s="12"/>
      <c r="VHI80" s="12"/>
      <c r="VHJ80" s="12"/>
      <c r="VHK80" s="12"/>
      <c r="VHL80" s="12"/>
      <c r="VHM80" s="12"/>
      <c r="VHN80" s="12"/>
      <c r="VHO80" s="12"/>
      <c r="VHP80" s="12"/>
      <c r="VHQ80" s="12"/>
      <c r="VHR80" s="12"/>
      <c r="VHS80" s="12"/>
      <c r="VHT80" s="12"/>
      <c r="VHU80" s="12"/>
      <c r="VHV80" s="12"/>
      <c r="VHW80" s="12"/>
      <c r="VHX80" s="12"/>
      <c r="VHY80" s="12"/>
      <c r="VHZ80" s="12"/>
      <c r="VIA80" s="12"/>
      <c r="VIB80" s="12"/>
      <c r="VIC80" s="12"/>
      <c r="VID80" s="12"/>
      <c r="VIE80" s="12"/>
      <c r="VIF80" s="12"/>
      <c r="VIG80" s="12"/>
      <c r="VIH80" s="12"/>
      <c r="VII80" s="12"/>
      <c r="VIJ80" s="12"/>
      <c r="VIK80" s="12"/>
      <c r="VIL80" s="12"/>
      <c r="VIM80" s="12"/>
      <c r="VIN80" s="12"/>
      <c r="VIO80" s="12"/>
      <c r="VIP80" s="12"/>
      <c r="VIQ80" s="12"/>
      <c r="VIR80" s="12"/>
      <c r="VIS80" s="12"/>
      <c r="VIT80" s="12"/>
      <c r="VIU80" s="12"/>
      <c r="VIV80" s="12"/>
      <c r="VIW80" s="12"/>
      <c r="VIX80" s="12"/>
      <c r="VIY80" s="12"/>
      <c r="VIZ80" s="12"/>
      <c r="VJA80" s="12"/>
      <c r="VJB80" s="12"/>
      <c r="VJC80" s="12"/>
      <c r="VJD80" s="12"/>
      <c r="VJE80" s="12"/>
      <c r="VJF80" s="12"/>
      <c r="VJG80" s="12"/>
      <c r="VJH80" s="12"/>
      <c r="VJI80" s="12"/>
      <c r="VJJ80" s="12"/>
      <c r="VJK80" s="12"/>
      <c r="VJL80" s="12"/>
      <c r="VJM80" s="12"/>
      <c r="VJN80" s="12"/>
      <c r="VJO80" s="12"/>
      <c r="VJP80" s="12"/>
      <c r="VJQ80" s="12"/>
      <c r="VJR80" s="12"/>
      <c r="VJS80" s="12"/>
      <c r="VJT80" s="12"/>
      <c r="VJU80" s="12"/>
      <c r="VJV80" s="12"/>
      <c r="VJW80" s="12"/>
      <c r="VJX80" s="12"/>
      <c r="VJY80" s="12"/>
      <c r="VJZ80" s="12"/>
      <c r="VKA80" s="12"/>
      <c r="VKB80" s="12"/>
      <c r="VKC80" s="12"/>
      <c r="VKD80" s="12"/>
      <c r="VKE80" s="12"/>
      <c r="VKF80" s="12"/>
      <c r="VKG80" s="12"/>
      <c r="VKH80" s="12"/>
      <c r="VKI80" s="12"/>
      <c r="VKJ80" s="12"/>
      <c r="VKK80" s="12"/>
      <c r="VKL80" s="12"/>
      <c r="VKM80" s="12"/>
      <c r="VKN80" s="12"/>
      <c r="VKO80" s="12"/>
      <c r="VKP80" s="12"/>
      <c r="VKQ80" s="12"/>
      <c r="VKR80" s="12"/>
      <c r="VKS80" s="12"/>
      <c r="VKT80" s="12"/>
      <c r="VKU80" s="12"/>
      <c r="VKV80" s="12"/>
      <c r="VKW80" s="12"/>
      <c r="VKX80" s="12"/>
      <c r="VKY80" s="12"/>
      <c r="VKZ80" s="12"/>
      <c r="VLA80" s="12"/>
      <c r="VLB80" s="12"/>
      <c r="VLC80" s="12"/>
      <c r="VLD80" s="12"/>
      <c r="VLE80" s="12"/>
      <c r="VLF80" s="12"/>
      <c r="VLG80" s="12"/>
      <c r="VLH80" s="12"/>
      <c r="VLI80" s="12"/>
      <c r="VLJ80" s="12"/>
      <c r="VLK80" s="12"/>
      <c r="VLL80" s="12"/>
      <c r="VLM80" s="12"/>
      <c r="VLN80" s="12"/>
      <c r="VLO80" s="12"/>
      <c r="VLP80" s="12"/>
      <c r="VLQ80" s="12"/>
      <c r="VLR80" s="12"/>
      <c r="VLS80" s="12"/>
      <c r="VLT80" s="12"/>
      <c r="VLU80" s="12"/>
      <c r="VLV80" s="12"/>
      <c r="VLW80" s="12"/>
      <c r="VLX80" s="12"/>
      <c r="VLY80" s="12"/>
      <c r="VLZ80" s="12"/>
      <c r="VMA80" s="12"/>
      <c r="VMB80" s="12"/>
      <c r="VMC80" s="12"/>
      <c r="VMD80" s="12"/>
      <c r="VME80" s="12"/>
      <c r="VMF80" s="12"/>
      <c r="VMG80" s="12"/>
      <c r="VMH80" s="12"/>
      <c r="VMI80" s="12"/>
      <c r="VMJ80" s="12"/>
      <c r="VMK80" s="12"/>
      <c r="VML80" s="12"/>
      <c r="VMM80" s="12"/>
      <c r="VMN80" s="12"/>
      <c r="VMO80" s="12"/>
      <c r="VMP80" s="12"/>
      <c r="VMQ80" s="12"/>
      <c r="VMR80" s="12"/>
      <c r="VMS80" s="12"/>
      <c r="VMT80" s="12"/>
      <c r="VMU80" s="12"/>
      <c r="VMV80" s="12"/>
      <c r="VMW80" s="12"/>
      <c r="VMX80" s="12"/>
      <c r="VMY80" s="12"/>
      <c r="VMZ80" s="12"/>
      <c r="VNA80" s="12"/>
      <c r="VNB80" s="12"/>
      <c r="VNC80" s="12"/>
      <c r="VND80" s="12"/>
      <c r="VNE80" s="12"/>
      <c r="VNF80" s="12"/>
      <c r="VNG80" s="12"/>
      <c r="VNH80" s="12"/>
      <c r="VNI80" s="12"/>
      <c r="VNJ80" s="12"/>
      <c r="VNK80" s="12"/>
      <c r="VNL80" s="12"/>
      <c r="VNM80" s="12"/>
      <c r="VNN80" s="12"/>
      <c r="VNO80" s="12"/>
      <c r="VNP80" s="12"/>
      <c r="VNQ80" s="12"/>
      <c r="VNR80" s="12"/>
      <c r="VNS80" s="12"/>
      <c r="VNT80" s="12"/>
      <c r="VNU80" s="12"/>
      <c r="VNV80" s="12"/>
      <c r="VNW80" s="12"/>
      <c r="VNX80" s="12"/>
      <c r="VNY80" s="12"/>
      <c r="VNZ80" s="12"/>
      <c r="VOA80" s="12"/>
      <c r="VOB80" s="12"/>
      <c r="VOC80" s="12"/>
      <c r="VOD80" s="12"/>
      <c r="VOE80" s="12"/>
      <c r="VOF80" s="12"/>
      <c r="VOG80" s="12"/>
      <c r="VOH80" s="12"/>
      <c r="VOI80" s="12"/>
      <c r="VOJ80" s="12"/>
      <c r="VOK80" s="12"/>
      <c r="VOL80" s="12"/>
      <c r="VOM80" s="12"/>
      <c r="VON80" s="12"/>
      <c r="VOO80" s="12"/>
      <c r="VOP80" s="12"/>
      <c r="VOQ80" s="12"/>
      <c r="VOR80" s="12"/>
      <c r="VOS80" s="12"/>
      <c r="VOT80" s="12"/>
      <c r="VOU80" s="12"/>
      <c r="VOV80" s="12"/>
      <c r="VOW80" s="12"/>
      <c r="VOX80" s="12"/>
      <c r="VOY80" s="12"/>
      <c r="VOZ80" s="12"/>
      <c r="VPA80" s="12"/>
      <c r="VPB80" s="12"/>
      <c r="VPC80" s="12"/>
      <c r="VPD80" s="12"/>
      <c r="VPE80" s="12"/>
      <c r="VPF80" s="12"/>
      <c r="VPG80" s="12"/>
      <c r="VPH80" s="12"/>
      <c r="VPI80" s="12"/>
      <c r="VPJ80" s="12"/>
      <c r="VPK80" s="12"/>
      <c r="VPL80" s="12"/>
      <c r="VPM80" s="12"/>
      <c r="VPN80" s="12"/>
      <c r="VPO80" s="12"/>
      <c r="VPP80" s="12"/>
      <c r="VPQ80" s="12"/>
      <c r="VPR80" s="12"/>
      <c r="VPS80" s="12"/>
      <c r="VPT80" s="12"/>
      <c r="VPU80" s="12"/>
      <c r="VPV80" s="12"/>
      <c r="VPW80" s="12"/>
      <c r="VPX80" s="12"/>
      <c r="VPY80" s="12"/>
      <c r="VPZ80" s="12"/>
      <c r="VQA80" s="12"/>
      <c r="VQB80" s="12"/>
      <c r="VQC80" s="12"/>
      <c r="VQD80" s="12"/>
      <c r="VQE80" s="12"/>
      <c r="VQF80" s="12"/>
      <c r="VQG80" s="12"/>
      <c r="VQH80" s="12"/>
      <c r="VQI80" s="12"/>
      <c r="VQJ80" s="12"/>
      <c r="VQK80" s="12"/>
      <c r="VQL80" s="12"/>
      <c r="VQM80" s="12"/>
      <c r="VQN80" s="12"/>
      <c r="VQO80" s="12"/>
      <c r="VQP80" s="12"/>
      <c r="VQQ80" s="12"/>
      <c r="VQR80" s="12"/>
      <c r="VQS80" s="12"/>
      <c r="VQT80" s="12"/>
      <c r="VQU80" s="12"/>
      <c r="VQV80" s="12"/>
      <c r="VQW80" s="12"/>
      <c r="VQX80" s="12"/>
      <c r="VQY80" s="12"/>
      <c r="VQZ80" s="12"/>
      <c r="VRA80" s="12"/>
      <c r="VRB80" s="12"/>
      <c r="VRC80" s="12"/>
      <c r="VRD80" s="12"/>
      <c r="VRE80" s="12"/>
      <c r="VRF80" s="12"/>
      <c r="VRG80" s="12"/>
      <c r="VRH80" s="12"/>
      <c r="VRI80" s="12"/>
      <c r="VRJ80" s="12"/>
      <c r="VRK80" s="12"/>
      <c r="VRL80" s="12"/>
      <c r="VRM80" s="12"/>
      <c r="VRN80" s="12"/>
      <c r="VRO80" s="12"/>
      <c r="VRP80" s="12"/>
      <c r="VRQ80" s="12"/>
      <c r="VRR80" s="12"/>
      <c r="VRS80" s="12"/>
      <c r="VRT80" s="12"/>
      <c r="VRU80" s="12"/>
      <c r="VRV80" s="12"/>
      <c r="VRW80" s="12"/>
      <c r="VRX80" s="12"/>
      <c r="VRY80" s="12"/>
      <c r="VRZ80" s="12"/>
      <c r="VSA80" s="12"/>
      <c r="VSB80" s="12"/>
      <c r="VSC80" s="12"/>
      <c r="VSD80" s="12"/>
      <c r="VSE80" s="12"/>
      <c r="VSF80" s="12"/>
      <c r="VSG80" s="12"/>
      <c r="VSH80" s="12"/>
      <c r="VSI80" s="12"/>
      <c r="VSJ80" s="12"/>
      <c r="VSK80" s="12"/>
      <c r="VSL80" s="12"/>
      <c r="VSM80" s="12"/>
      <c r="VSN80" s="12"/>
      <c r="VSO80" s="12"/>
      <c r="VSP80" s="12"/>
      <c r="VSQ80" s="12"/>
      <c r="VSR80" s="12"/>
      <c r="VSS80" s="12"/>
      <c r="VST80" s="12"/>
      <c r="VSU80" s="12"/>
      <c r="VSV80" s="12"/>
      <c r="VSW80" s="12"/>
      <c r="VSX80" s="12"/>
      <c r="VSY80" s="12"/>
      <c r="VSZ80" s="12"/>
      <c r="VTA80" s="12"/>
      <c r="VTB80" s="12"/>
      <c r="VTC80" s="12"/>
      <c r="VTD80" s="12"/>
      <c r="VTE80" s="12"/>
      <c r="VTF80" s="12"/>
      <c r="VTG80" s="12"/>
      <c r="VTH80" s="12"/>
      <c r="VTI80" s="12"/>
      <c r="VTJ80" s="12"/>
      <c r="VTK80" s="12"/>
      <c r="VTL80" s="12"/>
      <c r="VTM80" s="12"/>
      <c r="VTN80" s="12"/>
      <c r="VTO80" s="12"/>
      <c r="VTP80" s="12"/>
      <c r="VTQ80" s="12"/>
      <c r="VTR80" s="12"/>
      <c r="VTS80" s="12"/>
      <c r="VTT80" s="12"/>
      <c r="VTU80" s="12"/>
      <c r="VTV80" s="12"/>
      <c r="VTW80" s="12"/>
      <c r="VTX80" s="12"/>
      <c r="VTY80" s="12"/>
      <c r="VTZ80" s="12"/>
      <c r="VUA80" s="12"/>
      <c r="VUB80" s="12"/>
      <c r="VUC80" s="12"/>
      <c r="VUD80" s="12"/>
      <c r="VUE80" s="12"/>
      <c r="VUF80" s="12"/>
      <c r="VUG80" s="12"/>
      <c r="VUH80" s="12"/>
      <c r="VUI80" s="12"/>
      <c r="VUJ80" s="12"/>
      <c r="VUK80" s="12"/>
      <c r="VUL80" s="12"/>
      <c r="VUM80" s="12"/>
      <c r="VUN80" s="12"/>
      <c r="VUO80" s="12"/>
      <c r="VUP80" s="12"/>
      <c r="VUQ80" s="12"/>
      <c r="VUR80" s="12"/>
      <c r="VUS80" s="12"/>
      <c r="VUT80" s="12"/>
      <c r="VUU80" s="12"/>
      <c r="VUV80" s="12"/>
      <c r="VUW80" s="12"/>
      <c r="VUX80" s="12"/>
      <c r="VUY80" s="12"/>
      <c r="VUZ80" s="12"/>
      <c r="VVA80" s="12"/>
      <c r="VVB80" s="12"/>
      <c r="VVC80" s="12"/>
      <c r="VVD80" s="12"/>
      <c r="VVE80" s="12"/>
      <c r="VVF80" s="12"/>
      <c r="VVG80" s="12"/>
      <c r="VVH80" s="12"/>
      <c r="VVI80" s="12"/>
      <c r="VVJ80" s="12"/>
      <c r="VVK80" s="12"/>
      <c r="VVL80" s="12"/>
      <c r="VVM80" s="12"/>
      <c r="VVN80" s="12"/>
      <c r="VVO80" s="12"/>
      <c r="VVP80" s="12"/>
      <c r="VVQ80" s="12"/>
      <c r="VVR80" s="12"/>
      <c r="VVS80" s="12"/>
      <c r="VVT80" s="12"/>
      <c r="VVU80" s="12"/>
      <c r="VVV80" s="12"/>
      <c r="VVW80" s="12"/>
      <c r="VVX80" s="12"/>
      <c r="VVY80" s="12"/>
      <c r="VVZ80" s="12"/>
      <c r="VWA80" s="12"/>
      <c r="VWB80" s="12"/>
      <c r="VWC80" s="12"/>
      <c r="VWD80" s="12"/>
      <c r="VWE80" s="12"/>
      <c r="VWF80" s="12"/>
      <c r="VWG80" s="12"/>
      <c r="VWH80" s="12"/>
      <c r="VWI80" s="12"/>
      <c r="VWJ80" s="12"/>
      <c r="VWK80" s="12"/>
      <c r="VWL80" s="12"/>
      <c r="VWM80" s="12"/>
      <c r="VWN80" s="12"/>
      <c r="VWO80" s="12"/>
      <c r="VWP80" s="12"/>
      <c r="VWQ80" s="12"/>
      <c r="VWR80" s="12"/>
      <c r="VWS80" s="12"/>
      <c r="VWT80" s="12"/>
      <c r="VWU80" s="12"/>
      <c r="VWV80" s="12"/>
      <c r="VWW80" s="12"/>
      <c r="VWX80" s="12"/>
      <c r="VWY80" s="12"/>
      <c r="VWZ80" s="12"/>
      <c r="VXA80" s="12"/>
      <c r="VXB80" s="12"/>
      <c r="VXC80" s="12"/>
      <c r="VXD80" s="12"/>
      <c r="VXE80" s="12"/>
      <c r="VXF80" s="12"/>
      <c r="VXG80" s="12"/>
      <c r="VXH80" s="12"/>
      <c r="VXI80" s="12"/>
      <c r="VXJ80" s="12"/>
      <c r="VXK80" s="12"/>
      <c r="VXL80" s="12"/>
      <c r="VXM80" s="12"/>
      <c r="VXN80" s="12"/>
      <c r="VXO80" s="12"/>
      <c r="VXP80" s="12"/>
      <c r="VXQ80" s="12"/>
      <c r="VXR80" s="12"/>
      <c r="VXS80" s="12"/>
      <c r="VXT80" s="12"/>
      <c r="VXU80" s="12"/>
      <c r="VXV80" s="12"/>
      <c r="VXW80" s="12"/>
      <c r="VXX80" s="12"/>
      <c r="VXY80" s="12"/>
      <c r="VXZ80" s="12"/>
      <c r="VYA80" s="12"/>
      <c r="VYB80" s="12"/>
      <c r="VYC80" s="12"/>
      <c r="VYD80" s="12"/>
      <c r="VYE80" s="12"/>
      <c r="VYF80" s="12"/>
      <c r="VYG80" s="12"/>
      <c r="VYH80" s="12"/>
      <c r="VYI80" s="12"/>
      <c r="VYJ80" s="12"/>
      <c r="VYK80" s="12"/>
      <c r="VYL80" s="12"/>
      <c r="VYM80" s="12"/>
      <c r="VYN80" s="12"/>
      <c r="VYO80" s="12"/>
      <c r="VYP80" s="12"/>
      <c r="VYQ80" s="12"/>
      <c r="VYR80" s="12"/>
      <c r="VYS80" s="12"/>
      <c r="VYT80" s="12"/>
      <c r="VYU80" s="12"/>
      <c r="VYV80" s="12"/>
      <c r="VYW80" s="12"/>
      <c r="VYX80" s="12"/>
      <c r="VYY80" s="12"/>
      <c r="VYZ80" s="12"/>
      <c r="VZA80" s="12"/>
      <c r="VZB80" s="12"/>
      <c r="VZC80" s="12"/>
      <c r="VZD80" s="12"/>
      <c r="VZE80" s="12"/>
      <c r="VZF80" s="12"/>
      <c r="VZG80" s="12"/>
      <c r="VZH80" s="12"/>
      <c r="VZI80" s="12"/>
      <c r="VZJ80" s="12"/>
      <c r="VZK80" s="12"/>
      <c r="VZL80" s="12"/>
      <c r="VZM80" s="12"/>
      <c r="VZN80" s="12"/>
      <c r="VZO80" s="12"/>
      <c r="VZP80" s="12"/>
      <c r="VZQ80" s="12"/>
      <c r="VZR80" s="12"/>
      <c r="VZS80" s="12"/>
      <c r="VZT80" s="12"/>
      <c r="VZU80" s="12"/>
      <c r="VZV80" s="12"/>
      <c r="VZW80" s="12"/>
      <c r="VZX80" s="12"/>
      <c r="VZY80" s="12"/>
      <c r="VZZ80" s="12"/>
      <c r="WAA80" s="12"/>
      <c r="WAB80" s="12"/>
      <c r="WAC80" s="12"/>
      <c r="WAD80" s="12"/>
      <c r="WAE80" s="12"/>
      <c r="WAF80" s="12"/>
      <c r="WAG80" s="12"/>
      <c r="WAH80" s="12"/>
      <c r="WAI80" s="12"/>
      <c r="WAJ80" s="12"/>
      <c r="WAK80" s="12"/>
      <c r="WAL80" s="12"/>
      <c r="WAM80" s="12"/>
      <c r="WAN80" s="12"/>
      <c r="WAO80" s="12"/>
      <c r="WAP80" s="12"/>
      <c r="WAQ80" s="12"/>
      <c r="WAR80" s="12"/>
      <c r="WAS80" s="12"/>
      <c r="WAT80" s="12"/>
      <c r="WAU80" s="12"/>
      <c r="WAV80" s="12"/>
      <c r="WAW80" s="12"/>
      <c r="WAX80" s="12"/>
      <c r="WAY80" s="12"/>
      <c r="WAZ80" s="12"/>
      <c r="WBA80" s="12"/>
      <c r="WBB80" s="12"/>
      <c r="WBC80" s="12"/>
      <c r="WBD80" s="12"/>
      <c r="WBE80" s="12"/>
      <c r="WBF80" s="12"/>
      <c r="WBG80" s="12"/>
      <c r="WBH80" s="12"/>
      <c r="WBI80" s="12"/>
      <c r="WBJ80" s="12"/>
      <c r="WBK80" s="12"/>
      <c r="WBL80" s="12"/>
      <c r="WBM80" s="12"/>
      <c r="WBN80" s="12"/>
      <c r="WBO80" s="12"/>
      <c r="WBP80" s="12"/>
      <c r="WBQ80" s="12"/>
      <c r="WBR80" s="12"/>
      <c r="WBS80" s="12"/>
      <c r="WBT80" s="12"/>
      <c r="WBU80" s="12"/>
      <c r="WBV80" s="12"/>
      <c r="WBW80" s="12"/>
      <c r="WBX80" s="12"/>
      <c r="WBY80" s="12"/>
      <c r="WBZ80" s="12"/>
      <c r="WCA80" s="12"/>
      <c r="WCB80" s="12"/>
      <c r="WCC80" s="12"/>
      <c r="WCD80" s="12"/>
      <c r="WCE80" s="12"/>
      <c r="WCF80" s="12"/>
      <c r="WCG80" s="12"/>
      <c r="WCH80" s="12"/>
      <c r="WCI80" s="12"/>
      <c r="WCJ80" s="12"/>
      <c r="WCK80" s="12"/>
      <c r="WCL80" s="12"/>
      <c r="WCM80" s="12"/>
      <c r="WCN80" s="12"/>
      <c r="WCO80" s="12"/>
      <c r="WCP80" s="12"/>
      <c r="WCQ80" s="12"/>
      <c r="WCR80" s="12"/>
      <c r="WCS80" s="12"/>
      <c r="WCT80" s="12"/>
      <c r="WCU80" s="12"/>
      <c r="WCV80" s="12"/>
      <c r="WCW80" s="12"/>
      <c r="WCX80" s="12"/>
      <c r="WCY80" s="12"/>
      <c r="WCZ80" s="12"/>
      <c r="WDA80" s="12"/>
      <c r="WDB80" s="12"/>
      <c r="WDC80" s="12"/>
      <c r="WDD80" s="12"/>
      <c r="WDE80" s="12"/>
      <c r="WDF80" s="12"/>
      <c r="WDG80" s="12"/>
      <c r="WDH80" s="12"/>
      <c r="WDI80" s="12"/>
      <c r="WDJ80" s="12"/>
      <c r="WDK80" s="12"/>
      <c r="WDL80" s="12"/>
      <c r="WDM80" s="12"/>
      <c r="WDN80" s="12"/>
      <c r="WDO80" s="12"/>
      <c r="WDP80" s="12"/>
      <c r="WDQ80" s="12"/>
      <c r="WDR80" s="12"/>
      <c r="WDS80" s="12"/>
      <c r="WDT80" s="12"/>
      <c r="WDU80" s="12"/>
      <c r="WDV80" s="12"/>
      <c r="WDW80" s="12"/>
      <c r="WDX80" s="12"/>
      <c r="WDY80" s="12"/>
      <c r="WDZ80" s="12"/>
      <c r="WEA80" s="12"/>
      <c r="WEB80" s="12"/>
      <c r="WEC80" s="12"/>
      <c r="WED80" s="12"/>
      <c r="WEE80" s="12"/>
      <c r="WEF80" s="12"/>
      <c r="WEG80" s="12"/>
      <c r="WEH80" s="12"/>
      <c r="WEI80" s="12"/>
      <c r="WEJ80" s="12"/>
      <c r="WEK80" s="12"/>
      <c r="WEL80" s="12"/>
      <c r="WEM80" s="12"/>
      <c r="WEN80" s="12"/>
      <c r="WEO80" s="12"/>
      <c r="WEP80" s="12"/>
      <c r="WEQ80" s="12"/>
      <c r="WER80" s="12"/>
      <c r="WES80" s="12"/>
      <c r="WET80" s="12"/>
      <c r="WEU80" s="12"/>
      <c r="WEV80" s="12"/>
      <c r="WEW80" s="12"/>
      <c r="WEX80" s="12"/>
      <c r="WEY80" s="12"/>
      <c r="WEZ80" s="12"/>
      <c r="WFA80" s="12"/>
      <c r="WFB80" s="12"/>
      <c r="WFC80" s="12"/>
      <c r="WFD80" s="12"/>
      <c r="WFE80" s="12"/>
      <c r="WFF80" s="12"/>
      <c r="WFG80" s="12"/>
      <c r="WFH80" s="12"/>
      <c r="WFI80" s="12"/>
      <c r="WFJ80" s="12"/>
      <c r="WFK80" s="12"/>
      <c r="WFL80" s="12"/>
      <c r="WFM80" s="12"/>
      <c r="WFN80" s="12"/>
      <c r="WFO80" s="12"/>
      <c r="WFP80" s="12"/>
      <c r="WFQ80" s="12"/>
      <c r="WFR80" s="12"/>
      <c r="WFS80" s="12"/>
      <c r="WFT80" s="12"/>
      <c r="WFU80" s="12"/>
      <c r="WFV80" s="12"/>
      <c r="WFW80" s="12"/>
      <c r="WFX80" s="12"/>
      <c r="WFY80" s="12"/>
      <c r="WFZ80" s="12"/>
      <c r="WGA80" s="12"/>
      <c r="WGB80" s="12"/>
      <c r="WGC80" s="12"/>
      <c r="WGD80" s="12"/>
      <c r="WGE80" s="12"/>
      <c r="WGF80" s="12"/>
      <c r="WGG80" s="12"/>
      <c r="WGH80" s="12"/>
      <c r="WGI80" s="12"/>
      <c r="WGJ80" s="12"/>
      <c r="WGK80" s="12"/>
      <c r="WGL80" s="12"/>
      <c r="WGM80" s="12"/>
      <c r="WGN80" s="12"/>
      <c r="WGO80" s="12"/>
      <c r="WGP80" s="12"/>
      <c r="WGQ80" s="12"/>
      <c r="WGR80" s="12"/>
      <c r="WGS80" s="12"/>
      <c r="WGT80" s="12"/>
      <c r="WGU80" s="12"/>
      <c r="WGV80" s="12"/>
      <c r="WGW80" s="12"/>
      <c r="WGX80" s="12"/>
      <c r="WGY80" s="12"/>
      <c r="WGZ80" s="12"/>
      <c r="WHA80" s="12"/>
      <c r="WHB80" s="12"/>
      <c r="WHC80" s="12"/>
      <c r="WHD80" s="12"/>
      <c r="WHE80" s="12"/>
      <c r="WHF80" s="12"/>
      <c r="WHG80" s="12"/>
      <c r="WHH80" s="12"/>
      <c r="WHI80" s="12"/>
      <c r="WHJ80" s="12"/>
      <c r="WHK80" s="12"/>
      <c r="WHL80" s="12"/>
      <c r="WHM80" s="12"/>
      <c r="WHN80" s="12"/>
      <c r="WHO80" s="12"/>
      <c r="WHP80" s="12"/>
      <c r="WHQ80" s="12"/>
      <c r="WHR80" s="12"/>
      <c r="WHS80" s="12"/>
      <c r="WHT80" s="12"/>
      <c r="WHU80" s="12"/>
      <c r="WHV80" s="12"/>
      <c r="WHW80" s="12"/>
      <c r="WHX80" s="12"/>
      <c r="WHY80" s="12"/>
      <c r="WHZ80" s="12"/>
      <c r="WIA80" s="12"/>
      <c r="WIB80" s="12"/>
      <c r="WIC80" s="12"/>
      <c r="WID80" s="12"/>
      <c r="WIE80" s="12"/>
      <c r="WIF80" s="12"/>
      <c r="WIG80" s="12"/>
      <c r="WIH80" s="12"/>
      <c r="WII80" s="12"/>
      <c r="WIJ80" s="12"/>
      <c r="WIK80" s="12"/>
      <c r="WIL80" s="12"/>
      <c r="WIM80" s="12"/>
      <c r="WIN80" s="12"/>
      <c r="WIO80" s="12"/>
      <c r="WIP80" s="12"/>
      <c r="WIQ80" s="12"/>
      <c r="WIR80" s="12"/>
      <c r="WIS80" s="12"/>
      <c r="WIT80" s="12"/>
      <c r="WIU80" s="12"/>
      <c r="WIV80" s="12"/>
      <c r="WIW80" s="12"/>
      <c r="WIX80" s="12"/>
      <c r="WIY80" s="12"/>
      <c r="WIZ80" s="12"/>
      <c r="WJA80" s="12"/>
      <c r="WJB80" s="12"/>
      <c r="WJC80" s="12"/>
      <c r="WJD80" s="12"/>
      <c r="WJE80" s="12"/>
      <c r="WJF80" s="12"/>
      <c r="WJG80" s="12"/>
      <c r="WJH80" s="12"/>
      <c r="WJI80" s="12"/>
      <c r="WJJ80" s="12"/>
      <c r="WJK80" s="12"/>
      <c r="WJL80" s="12"/>
      <c r="WJM80" s="12"/>
      <c r="WJN80" s="12"/>
      <c r="WJO80" s="12"/>
      <c r="WJP80" s="12"/>
      <c r="WJQ80" s="12"/>
      <c r="WJR80" s="12"/>
      <c r="WJS80" s="12"/>
      <c r="WJT80" s="12"/>
      <c r="WJU80" s="12"/>
      <c r="WJV80" s="12"/>
      <c r="WJW80" s="12"/>
      <c r="WJX80" s="12"/>
      <c r="WJY80" s="12"/>
      <c r="WJZ80" s="12"/>
      <c r="WKA80" s="12"/>
      <c r="WKB80" s="12"/>
      <c r="WKC80" s="12"/>
      <c r="WKD80" s="12"/>
      <c r="WKE80" s="12"/>
      <c r="WKF80" s="12"/>
      <c r="WKG80" s="12"/>
      <c r="WKH80" s="12"/>
      <c r="WKI80" s="12"/>
      <c r="WKJ80" s="12"/>
      <c r="WKK80" s="12"/>
      <c r="WKL80" s="12"/>
      <c r="WKM80" s="12"/>
      <c r="WKN80" s="12"/>
      <c r="WKO80" s="12"/>
      <c r="WKP80" s="12"/>
      <c r="WKQ80" s="12"/>
      <c r="WKR80" s="12"/>
      <c r="WKS80" s="12"/>
      <c r="WKT80" s="12"/>
      <c r="WKU80" s="12"/>
      <c r="WKV80" s="12"/>
      <c r="WKW80" s="12"/>
      <c r="WKX80" s="12"/>
      <c r="WKY80" s="12"/>
      <c r="WKZ80" s="12"/>
      <c r="WLA80" s="12"/>
      <c r="WLB80" s="12"/>
      <c r="WLC80" s="12"/>
      <c r="WLD80" s="12"/>
      <c r="WLE80" s="12"/>
      <c r="WLF80" s="12"/>
      <c r="WLG80" s="12"/>
      <c r="WLH80" s="12"/>
      <c r="WLI80" s="12"/>
      <c r="WLJ80" s="12"/>
      <c r="WLK80" s="12"/>
      <c r="WLL80" s="12"/>
      <c r="WLM80" s="12"/>
      <c r="WLN80" s="12"/>
      <c r="WLO80" s="12"/>
      <c r="WLP80" s="12"/>
      <c r="WLQ80" s="12"/>
      <c r="WLR80" s="12"/>
      <c r="WLS80" s="12"/>
      <c r="WLT80" s="12"/>
      <c r="WLU80" s="12"/>
      <c r="WLV80" s="12"/>
      <c r="WLW80" s="12"/>
      <c r="WLX80" s="12"/>
      <c r="WLY80" s="12"/>
      <c r="WLZ80" s="12"/>
      <c r="WMA80" s="12"/>
      <c r="WMB80" s="12"/>
      <c r="WMC80" s="12"/>
      <c r="WMD80" s="12"/>
      <c r="WME80" s="12"/>
      <c r="WMF80" s="12"/>
      <c r="WMG80" s="12"/>
      <c r="WMH80" s="12"/>
      <c r="WMI80" s="12"/>
      <c r="WMJ80" s="12"/>
      <c r="WMK80" s="12"/>
      <c r="WML80" s="12"/>
      <c r="WMM80" s="12"/>
      <c r="WMN80" s="12"/>
      <c r="WMO80" s="12"/>
      <c r="WMP80" s="12"/>
      <c r="WMQ80" s="12"/>
      <c r="WMR80" s="12"/>
      <c r="WMS80" s="12"/>
      <c r="WMT80" s="12"/>
      <c r="WMU80" s="12"/>
      <c r="WMV80" s="12"/>
      <c r="WMW80" s="12"/>
      <c r="WMX80" s="12"/>
      <c r="WMY80" s="12"/>
      <c r="WMZ80" s="12"/>
      <c r="WNA80" s="12"/>
      <c r="WNB80" s="12"/>
      <c r="WNC80" s="12"/>
      <c r="WND80" s="12"/>
      <c r="WNE80" s="12"/>
      <c r="WNF80" s="12"/>
      <c r="WNG80" s="12"/>
      <c r="WNH80" s="12"/>
      <c r="WNI80" s="12"/>
      <c r="WNJ80" s="12"/>
      <c r="WNK80" s="12"/>
      <c r="WNL80" s="12"/>
      <c r="WNM80" s="12"/>
      <c r="WNN80" s="12"/>
      <c r="WNO80" s="12"/>
      <c r="WNP80" s="12"/>
      <c r="WNQ80" s="12"/>
      <c r="WNR80" s="12"/>
      <c r="WNS80" s="12"/>
      <c r="WNT80" s="12"/>
      <c r="WNU80" s="12"/>
      <c r="WNV80" s="12"/>
      <c r="WNW80" s="12"/>
      <c r="WNX80" s="12"/>
      <c r="WNY80" s="12"/>
      <c r="WNZ80" s="12"/>
      <c r="WOA80" s="12"/>
      <c r="WOB80" s="12"/>
      <c r="WOC80" s="12"/>
      <c r="WOD80" s="12"/>
      <c r="WOE80" s="12"/>
      <c r="WOF80" s="12"/>
      <c r="WOG80" s="12"/>
      <c r="WOH80" s="12"/>
      <c r="WOI80" s="12"/>
      <c r="WOJ80" s="12"/>
      <c r="WOK80" s="12"/>
      <c r="WOL80" s="12"/>
      <c r="WOM80" s="12"/>
      <c r="WON80" s="12"/>
      <c r="WOO80" s="12"/>
      <c r="WOP80" s="12"/>
      <c r="WOQ80" s="12"/>
      <c r="WOR80" s="12"/>
      <c r="WOS80" s="12"/>
      <c r="WOT80" s="12"/>
      <c r="WOU80" s="12"/>
      <c r="WOV80" s="12"/>
      <c r="WOW80" s="12"/>
      <c r="WOX80" s="12"/>
      <c r="WOY80" s="12"/>
      <c r="WOZ80" s="12"/>
      <c r="WPA80" s="12"/>
      <c r="WPB80" s="12"/>
      <c r="WPC80" s="12"/>
      <c r="WPD80" s="12"/>
      <c r="WPE80" s="12"/>
      <c r="WPF80" s="12"/>
      <c r="WPG80" s="12"/>
      <c r="WPH80" s="12"/>
      <c r="WPI80" s="12"/>
      <c r="WPJ80" s="12"/>
      <c r="WPK80" s="12"/>
      <c r="WPL80" s="12"/>
      <c r="WPM80" s="12"/>
      <c r="WPN80" s="12"/>
      <c r="WPO80" s="12"/>
      <c r="WPP80" s="12"/>
      <c r="WPQ80" s="12"/>
      <c r="WPR80" s="12"/>
      <c r="WPS80" s="12"/>
      <c r="WPT80" s="12"/>
      <c r="WPU80" s="12"/>
      <c r="WPV80" s="12"/>
      <c r="WPW80" s="12"/>
      <c r="WPX80" s="12"/>
      <c r="WPY80" s="12"/>
      <c r="WPZ80" s="12"/>
      <c r="WQA80" s="12"/>
      <c r="WQB80" s="12"/>
      <c r="WQC80" s="12"/>
      <c r="WQD80" s="12"/>
      <c r="WQE80" s="12"/>
      <c r="WQF80" s="12"/>
      <c r="WQG80" s="12"/>
      <c r="WQH80" s="12"/>
      <c r="WQI80" s="12"/>
      <c r="WQJ80" s="12"/>
      <c r="WQK80" s="12"/>
      <c r="WQL80" s="12"/>
      <c r="WQM80" s="12"/>
      <c r="WQN80" s="12"/>
      <c r="WQO80" s="12"/>
      <c r="WQP80" s="12"/>
      <c r="WQQ80" s="12"/>
      <c r="WQR80" s="12"/>
      <c r="WQS80" s="12"/>
      <c r="WQT80" s="12"/>
      <c r="WQU80" s="12"/>
      <c r="WQV80" s="12"/>
      <c r="WQW80" s="12"/>
      <c r="WQX80" s="12"/>
      <c r="WQY80" s="12"/>
      <c r="WQZ80" s="12"/>
      <c r="WRA80" s="12"/>
      <c r="WRB80" s="12"/>
      <c r="WRC80" s="12"/>
      <c r="WRD80" s="12"/>
      <c r="WRE80" s="12"/>
      <c r="WRF80" s="12"/>
      <c r="WRG80" s="12"/>
      <c r="WRH80" s="12"/>
      <c r="WRI80" s="12"/>
      <c r="WRJ80" s="12"/>
      <c r="WRK80" s="12"/>
      <c r="WRL80" s="12"/>
      <c r="WRM80" s="12"/>
      <c r="WRN80" s="12"/>
      <c r="WRO80" s="12"/>
      <c r="WRP80" s="12"/>
      <c r="WRQ80" s="12"/>
      <c r="WRR80" s="12"/>
      <c r="WRS80" s="12"/>
      <c r="WRT80" s="12"/>
      <c r="WRU80" s="12"/>
      <c r="WRV80" s="12"/>
      <c r="WRW80" s="12"/>
      <c r="WRX80" s="12"/>
      <c r="WRY80" s="12"/>
      <c r="WRZ80" s="12"/>
      <c r="WSA80" s="12"/>
      <c r="WSB80" s="12"/>
      <c r="WSC80" s="12"/>
      <c r="WSD80" s="12"/>
      <c r="WSE80" s="12"/>
      <c r="WSF80" s="12"/>
      <c r="WSG80" s="12"/>
      <c r="WSH80" s="12"/>
      <c r="WSI80" s="12"/>
      <c r="WSJ80" s="12"/>
      <c r="WSK80" s="12"/>
      <c r="WSL80" s="12"/>
      <c r="WSM80" s="12"/>
      <c r="WSN80" s="12"/>
      <c r="WSO80" s="12"/>
      <c r="WSP80" s="12"/>
      <c r="WSQ80" s="12"/>
      <c r="WSR80" s="12"/>
      <c r="WSS80" s="12"/>
      <c r="WST80" s="12"/>
      <c r="WSU80" s="12"/>
      <c r="WSV80" s="12"/>
      <c r="WSW80" s="12"/>
      <c r="WSX80" s="12"/>
      <c r="WSY80" s="12"/>
      <c r="WSZ80" s="12"/>
      <c r="WTA80" s="12"/>
      <c r="WTB80" s="12"/>
      <c r="WTC80" s="12"/>
      <c r="WTD80" s="12"/>
      <c r="WTE80" s="12"/>
      <c r="WTF80" s="12"/>
      <c r="WTG80" s="12"/>
      <c r="WTH80" s="12"/>
      <c r="WTI80" s="12"/>
      <c r="WTJ80" s="12"/>
      <c r="WTK80" s="12"/>
      <c r="WTL80" s="12"/>
      <c r="WTM80" s="12"/>
      <c r="WTN80" s="12"/>
      <c r="WTO80" s="12"/>
      <c r="WTP80" s="12"/>
      <c r="WTQ80" s="12"/>
      <c r="WTR80" s="12"/>
      <c r="WTS80" s="12"/>
      <c r="WTT80" s="12"/>
      <c r="WTU80" s="12"/>
      <c r="WTV80" s="12"/>
      <c r="WTW80" s="12"/>
      <c r="WTX80" s="12"/>
      <c r="WTY80" s="12"/>
      <c r="WTZ80" s="12"/>
      <c r="WUA80" s="12"/>
      <c r="WUB80" s="12"/>
      <c r="WUC80" s="12"/>
      <c r="WUD80" s="12"/>
      <c r="WUE80" s="12"/>
      <c r="WUF80" s="12"/>
      <c r="WUG80" s="12"/>
      <c r="WUH80" s="12"/>
      <c r="WUI80" s="12"/>
      <c r="WUJ80" s="12"/>
      <c r="WUK80" s="12"/>
      <c r="WUL80" s="12"/>
      <c r="WUM80" s="12"/>
      <c r="WUN80" s="12"/>
      <c r="WUO80" s="12"/>
      <c r="WUP80" s="12"/>
      <c r="WUQ80" s="12"/>
      <c r="WUR80" s="12"/>
      <c r="WUS80" s="12"/>
      <c r="WUT80" s="12"/>
      <c r="WUU80" s="12"/>
      <c r="WUV80" s="12"/>
      <c r="WUW80" s="12"/>
      <c r="WUX80" s="12"/>
      <c r="WUY80" s="12"/>
      <c r="WUZ80" s="12"/>
      <c r="WVA80" s="12"/>
      <c r="WVB80" s="12"/>
      <c r="WVC80" s="12"/>
      <c r="WVD80" s="12"/>
      <c r="WVE80" s="12"/>
      <c r="WVF80" s="12"/>
      <c r="WVG80" s="12"/>
      <c r="WVH80" s="12"/>
      <c r="WVI80" s="12"/>
      <c r="WVJ80" s="12"/>
      <c r="WVK80" s="12"/>
      <c r="WVL80" s="12"/>
      <c r="WVM80" s="12"/>
      <c r="WVN80" s="12"/>
      <c r="WVO80" s="12"/>
      <c r="WVP80" s="12"/>
      <c r="WVQ80" s="12"/>
      <c r="WVR80" s="12"/>
      <c r="WVS80" s="12"/>
      <c r="WVT80" s="12"/>
      <c r="WVU80" s="12"/>
      <c r="WVV80" s="12"/>
      <c r="WVW80" s="12"/>
      <c r="WVX80" s="12"/>
      <c r="WVY80" s="12"/>
      <c r="WVZ80" s="12"/>
      <c r="WWA80" s="12"/>
      <c r="WWB80" s="12"/>
      <c r="WWC80" s="12"/>
      <c r="WWD80" s="12"/>
      <c r="WWE80" s="12"/>
      <c r="WWF80" s="12"/>
      <c r="WWG80" s="12"/>
      <c r="WWH80" s="12"/>
      <c r="WWI80" s="12"/>
      <c r="WWJ80" s="12"/>
      <c r="WWK80" s="12"/>
      <c r="WWL80" s="12"/>
      <c r="WWM80" s="12"/>
      <c r="WWN80" s="12"/>
      <c r="WWO80" s="12"/>
      <c r="WWP80" s="12"/>
      <c r="WWQ80" s="12"/>
      <c r="WWR80" s="12"/>
      <c r="WWS80" s="12"/>
      <c r="WWT80" s="12"/>
      <c r="WWU80" s="12"/>
      <c r="WWV80" s="12"/>
      <c r="WWW80" s="12"/>
      <c r="WWX80" s="12"/>
      <c r="WWY80" s="12"/>
      <c r="WWZ80" s="12"/>
      <c r="WXA80" s="12"/>
      <c r="WXB80" s="12"/>
      <c r="WXC80" s="12"/>
      <c r="WXD80" s="12"/>
      <c r="WXE80" s="12"/>
      <c r="WXF80" s="12"/>
      <c r="WXG80" s="12"/>
      <c r="WXH80" s="12"/>
      <c r="WXI80" s="12"/>
      <c r="WXJ80" s="12"/>
      <c r="WXK80" s="12"/>
      <c r="WXL80" s="12"/>
      <c r="WXM80" s="12"/>
      <c r="WXN80" s="12"/>
      <c r="WXO80" s="12"/>
      <c r="WXP80" s="12"/>
      <c r="WXQ80" s="12"/>
      <c r="WXR80" s="12"/>
      <c r="WXS80" s="12"/>
      <c r="WXT80" s="12"/>
      <c r="WXU80" s="12"/>
      <c r="WXV80" s="12"/>
      <c r="WXW80" s="12"/>
      <c r="WXX80" s="12"/>
      <c r="WXY80" s="12"/>
      <c r="WXZ80" s="12"/>
      <c r="WYA80" s="12"/>
      <c r="WYB80" s="12"/>
      <c r="WYC80" s="12"/>
      <c r="WYD80" s="12"/>
      <c r="WYE80" s="12"/>
      <c r="WYF80" s="12"/>
      <c r="WYG80" s="12"/>
      <c r="WYH80" s="12"/>
      <c r="WYI80" s="12"/>
      <c r="WYJ80" s="12"/>
      <c r="WYK80" s="12"/>
      <c r="WYL80" s="12"/>
      <c r="WYM80" s="12"/>
      <c r="WYN80" s="12"/>
      <c r="WYO80" s="12"/>
      <c r="WYP80" s="12"/>
      <c r="WYQ80" s="12"/>
      <c r="WYR80" s="12"/>
      <c r="WYS80" s="12"/>
      <c r="WYT80" s="12"/>
      <c r="WYU80" s="12"/>
      <c r="WYV80" s="12"/>
      <c r="WYW80" s="12"/>
      <c r="WYX80" s="12"/>
      <c r="WYY80" s="12"/>
      <c r="WYZ80" s="12"/>
      <c r="WZA80" s="12"/>
      <c r="WZB80" s="12"/>
      <c r="WZC80" s="12"/>
      <c r="WZD80" s="12"/>
      <c r="WZE80" s="12"/>
      <c r="WZF80" s="12"/>
      <c r="WZG80" s="12"/>
      <c r="WZH80" s="12"/>
      <c r="WZI80" s="12"/>
      <c r="WZJ80" s="12"/>
      <c r="WZK80" s="12"/>
      <c r="WZL80" s="12"/>
      <c r="WZM80" s="12"/>
      <c r="WZN80" s="12"/>
      <c r="WZO80" s="12"/>
      <c r="WZP80" s="12"/>
      <c r="WZQ80" s="12"/>
      <c r="WZR80" s="12"/>
      <c r="WZS80" s="12"/>
      <c r="WZT80" s="12"/>
      <c r="WZU80" s="12"/>
      <c r="WZV80" s="12"/>
      <c r="WZW80" s="12"/>
      <c r="WZX80" s="12"/>
      <c r="WZY80" s="12"/>
      <c r="WZZ80" s="12"/>
      <c r="XAA80" s="12"/>
      <c r="XAB80" s="12"/>
      <c r="XAC80" s="12"/>
      <c r="XAD80" s="12"/>
      <c r="XAE80" s="12"/>
      <c r="XAF80" s="12"/>
      <c r="XAG80" s="12"/>
      <c r="XAH80" s="12"/>
      <c r="XAI80" s="12"/>
      <c r="XAJ80" s="12"/>
      <c r="XAK80" s="12"/>
      <c r="XAL80" s="12"/>
      <c r="XAM80" s="12"/>
      <c r="XAN80" s="12"/>
      <c r="XAO80" s="12"/>
      <c r="XAP80" s="12"/>
      <c r="XAQ80" s="12"/>
      <c r="XAR80" s="12"/>
      <c r="XAS80" s="12"/>
      <c r="XAT80" s="12"/>
      <c r="XAU80" s="12"/>
      <c r="XAV80" s="12"/>
      <c r="XAW80" s="12"/>
      <c r="XAX80" s="12"/>
      <c r="XAY80" s="12"/>
      <c r="XAZ80" s="12"/>
      <c r="XBA80" s="12"/>
      <c r="XBB80" s="12"/>
      <c r="XBC80" s="12"/>
      <c r="XBD80" s="12"/>
      <c r="XBE80" s="12"/>
      <c r="XBF80" s="12"/>
      <c r="XBG80" s="12"/>
      <c r="XBH80" s="12"/>
      <c r="XBI80" s="12"/>
      <c r="XBJ80" s="12"/>
      <c r="XBK80" s="12"/>
      <c r="XBL80" s="12"/>
      <c r="XBM80" s="12"/>
      <c r="XBN80" s="12"/>
      <c r="XBO80" s="12"/>
      <c r="XBP80" s="12"/>
      <c r="XBQ80" s="12"/>
      <c r="XBR80" s="12"/>
      <c r="XBS80" s="12"/>
      <c r="XBT80" s="12"/>
      <c r="XBU80" s="12"/>
      <c r="XBV80" s="12"/>
      <c r="XBW80" s="12"/>
      <c r="XBX80" s="12"/>
      <c r="XBY80" s="12"/>
      <c r="XBZ80" s="12"/>
      <c r="XCA80" s="12"/>
      <c r="XCB80" s="12"/>
      <c r="XCC80" s="12"/>
      <c r="XCD80" s="12"/>
      <c r="XCE80" s="12"/>
      <c r="XCF80" s="12"/>
      <c r="XCG80" s="12"/>
      <c r="XCH80" s="12"/>
      <c r="XCI80" s="12"/>
      <c r="XCJ80" s="12"/>
      <c r="XCK80" s="12"/>
      <c r="XCL80" s="12"/>
      <c r="XCM80" s="12"/>
      <c r="XCN80" s="12"/>
      <c r="XCO80" s="12"/>
      <c r="XCP80" s="12"/>
      <c r="XCQ80" s="12"/>
      <c r="XCR80" s="12"/>
      <c r="XCS80" s="12"/>
      <c r="XCT80" s="12"/>
      <c r="XCU80" s="12"/>
      <c r="XCV80" s="12"/>
      <c r="XCW80" s="12"/>
      <c r="XCX80" s="12"/>
      <c r="XCY80" s="12"/>
      <c r="XCZ80" s="12"/>
      <c r="XDA80" s="12"/>
      <c r="XDB80" s="12"/>
      <c r="XDC80" s="12"/>
      <c r="XDD80" s="12"/>
      <c r="XDE80" s="12"/>
      <c r="XDF80" s="12"/>
      <c r="XDG80" s="12"/>
      <c r="XDH80" s="12"/>
      <c r="XDI80" s="12"/>
      <c r="XDJ80" s="12"/>
      <c r="XDK80" s="12"/>
      <c r="XDL80" s="12"/>
      <c r="XDM80" s="12"/>
      <c r="XDN80" s="12"/>
      <c r="XDO80" s="12"/>
      <c r="XDP80" s="12"/>
      <c r="XDQ80" s="12"/>
      <c r="XDR80" s="12"/>
      <c r="XDS80" s="12"/>
      <c r="XDT80" s="12"/>
      <c r="XDU80" s="12"/>
      <c r="XDV80" s="12"/>
      <c r="XDW80" s="12"/>
      <c r="XDX80" s="12"/>
      <c r="XDY80" s="12"/>
      <c r="XDZ80" s="12"/>
      <c r="XEA80" s="12"/>
      <c r="XEB80" s="12"/>
      <c r="XEC80" s="12"/>
      <c r="XED80" s="12"/>
      <c r="XEE80" s="12"/>
      <c r="XEF80" s="12"/>
      <c r="XEG80" s="12"/>
      <c r="XEH80" s="12"/>
    </row>
    <row r="81" spans="1:17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</row>
    <row r="82" spans="1:17">
      <c r="A82" s="469"/>
      <c r="B82" s="469"/>
      <c r="C82" s="469"/>
      <c r="D82" s="469" t="s">
        <v>11</v>
      </c>
      <c r="E82" s="493">
        <f>SUM(E4:E79)/1000</f>
        <v>72.687174999999982</v>
      </c>
      <c r="F82" s="494"/>
      <c r="G82" s="495"/>
      <c r="H82" s="494"/>
      <c r="I82" s="494"/>
      <c r="J82" s="493">
        <f>SUM(J4:J79)/1000</f>
        <v>69.230614999999986</v>
      </c>
      <c r="K82" s="494"/>
      <c r="L82" s="494"/>
      <c r="M82" s="493">
        <f>SUM(M4:M79)/1000</f>
        <v>54.470014999999989</v>
      </c>
      <c r="N82" s="494"/>
      <c r="O82" s="494"/>
      <c r="P82" s="494"/>
      <c r="Q82" s="494"/>
    </row>
  </sheetData>
  <conditionalFormatting sqref="B83:B1048576 B1:B2">
    <cfRule type="duplicateValues" dxfId="644" priority="4"/>
  </conditionalFormatting>
  <conditionalFormatting sqref="C3:C80">
    <cfRule type="duplicateValues" dxfId="643" priority="9"/>
  </conditionalFormatting>
  <conditionalFormatting sqref="C32">
    <cfRule type="duplicateValues" dxfId="642" priority="5"/>
  </conditionalFormatting>
  <conditionalFormatting sqref="C39">
    <cfRule type="duplicateValues" dxfId="641" priority="6"/>
  </conditionalFormatting>
  <conditionalFormatting sqref="C81:C82">
    <cfRule type="duplicateValues" dxfId="640" priority="7"/>
  </conditionalFormatting>
  <conditionalFormatting sqref="D33:D63 D66:D80 D3:D31">
    <cfRule type="duplicateValues" dxfId="639" priority="8"/>
  </conditionalFormatting>
  <conditionalFormatting sqref="D64">
    <cfRule type="duplicateValues" dxfId="638" priority="2"/>
  </conditionalFormatting>
  <conditionalFormatting sqref="D65">
    <cfRule type="duplicateValues" dxfId="637" priority="3"/>
  </conditionalFormatting>
  <conditionalFormatting sqref="D81:D82">
    <cfRule type="duplicateValues" dxfId="636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AC949-F473-42AA-8953-36DDB90BD982}">
  <dimension ref="A1:P656"/>
  <sheetViews>
    <sheetView topLeftCell="A584" workbookViewId="0">
      <selection activeCell="L600" sqref="L600"/>
    </sheetView>
  </sheetViews>
  <sheetFormatPr defaultRowHeight="15.5"/>
  <cols>
    <col min="2" max="2" width="15.1796875" bestFit="1" customWidth="1"/>
    <col min="3" max="3" width="11.7265625" style="439" bestFit="1" customWidth="1"/>
    <col min="4" max="4" width="11" bestFit="1" customWidth="1"/>
    <col min="5" max="5" width="10.1796875" bestFit="1" customWidth="1"/>
    <col min="8" max="8" width="14.81640625" customWidth="1"/>
    <col min="10" max="10" width="20.81640625" customWidth="1"/>
    <col min="11" max="11" width="10.453125" bestFit="1" customWidth="1"/>
    <col min="12" max="12" width="29.1796875" bestFit="1" customWidth="1"/>
  </cols>
  <sheetData>
    <row r="1" spans="1:16" ht="22" thickTop="1" thickBot="1">
      <c r="A1" s="528" t="s">
        <v>164</v>
      </c>
      <c r="B1" s="529"/>
      <c r="C1" s="529"/>
      <c r="D1" s="529"/>
      <c r="E1" s="529"/>
      <c r="F1" s="529"/>
      <c r="G1" s="529"/>
      <c r="H1" s="529"/>
      <c r="I1" s="529"/>
      <c r="J1" s="529"/>
      <c r="K1" s="529"/>
      <c r="L1" s="530"/>
      <c r="M1" s="31"/>
      <c r="N1" s="31"/>
    </row>
    <row r="2" spans="1:16" ht="53" thickTop="1" thickBot="1">
      <c r="A2" s="40" t="s">
        <v>165</v>
      </c>
      <c r="B2" s="40" t="s">
        <v>166</v>
      </c>
      <c r="C2" s="436" t="s">
        <v>167</v>
      </c>
      <c r="D2" s="40" t="s">
        <v>168</v>
      </c>
      <c r="E2" s="40" t="s">
        <v>169</v>
      </c>
      <c r="F2" s="40" t="s">
        <v>272</v>
      </c>
      <c r="G2" s="40" t="s">
        <v>170</v>
      </c>
      <c r="H2" s="40" t="s">
        <v>171</v>
      </c>
      <c r="I2" s="40" t="s">
        <v>172</v>
      </c>
      <c r="J2" s="40" t="s">
        <v>173</v>
      </c>
      <c r="K2" s="40" t="s">
        <v>174</v>
      </c>
      <c r="L2" s="40" t="s">
        <v>73</v>
      </c>
      <c r="M2" s="31"/>
      <c r="N2" s="31"/>
    </row>
    <row r="3" spans="1:16" ht="16.5" thickTop="1" thickBot="1">
      <c r="A3" s="95" t="s">
        <v>175</v>
      </c>
      <c r="B3" s="95" t="s">
        <v>176</v>
      </c>
      <c r="C3" s="96">
        <v>302</v>
      </c>
      <c r="D3" s="96">
        <v>302</v>
      </c>
      <c r="E3" s="96">
        <v>302</v>
      </c>
      <c r="F3" s="96">
        <f>C3-D3</f>
        <v>0</v>
      </c>
      <c r="G3" s="96">
        <v>0</v>
      </c>
      <c r="H3" s="96">
        <v>0</v>
      </c>
      <c r="I3" s="96">
        <v>0</v>
      </c>
      <c r="J3" s="96">
        <f>E3+I3</f>
        <v>302</v>
      </c>
      <c r="K3" s="96">
        <f>D3+G3-J3</f>
        <v>0</v>
      </c>
      <c r="L3" s="140"/>
      <c r="M3" s="45"/>
      <c r="N3" s="31"/>
    </row>
    <row r="4" spans="1:16" ht="16.5" thickTop="1" thickBot="1">
      <c r="A4" s="95" t="s">
        <v>10</v>
      </c>
      <c r="B4" s="95" t="s">
        <v>176</v>
      </c>
      <c r="C4" s="96">
        <v>302</v>
      </c>
      <c r="D4" s="96">
        <v>302</v>
      </c>
      <c r="E4" s="96">
        <v>302</v>
      </c>
      <c r="F4" s="96">
        <f>C4-D4</f>
        <v>0</v>
      </c>
      <c r="G4" s="96">
        <v>0</v>
      </c>
      <c r="H4" s="96">
        <v>0</v>
      </c>
      <c r="I4" s="96">
        <v>0</v>
      </c>
      <c r="J4" s="96">
        <f>E4+I4</f>
        <v>302</v>
      </c>
      <c r="K4" s="96">
        <f>D4+G4-J4</f>
        <v>0</v>
      </c>
      <c r="L4" s="140"/>
      <c r="M4" s="45"/>
      <c r="N4" s="31"/>
    </row>
    <row r="5" spans="1:16" ht="16" thickTop="1">
      <c r="A5" s="31"/>
      <c r="B5" s="31"/>
      <c r="C5" s="437"/>
      <c r="D5" s="31"/>
      <c r="E5" s="31"/>
      <c r="F5" s="31"/>
      <c r="G5" s="31"/>
      <c r="H5" s="31"/>
      <c r="I5" s="31"/>
      <c r="J5" s="31"/>
      <c r="K5" s="31"/>
      <c r="L5" s="31"/>
      <c r="M5" s="45"/>
      <c r="N5" s="31"/>
    </row>
    <row r="6" spans="1:16">
      <c r="A6" s="31"/>
      <c r="B6" s="31"/>
      <c r="C6" s="437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</row>
    <row r="7" spans="1:16" ht="21">
      <c r="A7" s="592" t="s">
        <v>177</v>
      </c>
      <c r="B7" s="593"/>
      <c r="C7" s="593"/>
      <c r="D7" s="593"/>
      <c r="E7" s="593"/>
      <c r="F7" s="593"/>
      <c r="G7" s="593"/>
      <c r="H7" s="593"/>
      <c r="I7" s="593"/>
      <c r="J7" s="593"/>
      <c r="K7" s="593"/>
      <c r="L7" s="593"/>
      <c r="M7" s="593"/>
      <c r="N7" s="594"/>
    </row>
    <row r="8" spans="1:16" ht="52.5" thickBot="1">
      <c r="A8" s="72" t="s">
        <v>165</v>
      </c>
      <c r="B8" s="72" t="s">
        <v>166</v>
      </c>
      <c r="C8" s="438" t="s">
        <v>167</v>
      </c>
      <c r="D8" s="72" t="s">
        <v>168</v>
      </c>
      <c r="E8" s="72" t="s">
        <v>178</v>
      </c>
      <c r="F8" s="72" t="s">
        <v>179</v>
      </c>
      <c r="G8" s="72" t="s">
        <v>180</v>
      </c>
      <c r="H8" s="72" t="s">
        <v>181</v>
      </c>
      <c r="I8" s="72" t="s">
        <v>182</v>
      </c>
      <c r="J8" s="72" t="s">
        <v>183</v>
      </c>
      <c r="K8" s="72" t="s">
        <v>184</v>
      </c>
      <c r="L8" s="73" t="s">
        <v>185</v>
      </c>
      <c r="M8" s="595" t="s">
        <v>73</v>
      </c>
      <c r="N8" s="596"/>
    </row>
    <row r="9" spans="1:16" ht="30" thickTop="1" thickBot="1">
      <c r="A9" s="91" t="s">
        <v>186</v>
      </c>
      <c r="B9" s="91" t="s">
        <v>187</v>
      </c>
      <c r="C9" s="421">
        <v>115.134</v>
      </c>
      <c r="D9" s="92">
        <v>115.134</v>
      </c>
      <c r="E9" s="92">
        <v>115.134</v>
      </c>
      <c r="F9" s="92">
        <v>115.134</v>
      </c>
      <c r="G9" s="92">
        <v>0</v>
      </c>
      <c r="H9" s="92">
        <v>0</v>
      </c>
      <c r="I9" s="92">
        <v>0</v>
      </c>
      <c r="J9" s="93">
        <v>0</v>
      </c>
      <c r="K9" s="94">
        <v>0</v>
      </c>
      <c r="L9" s="94">
        <f>E9+K9</f>
        <v>115.134</v>
      </c>
      <c r="M9" s="543"/>
      <c r="N9" s="544"/>
    </row>
    <row r="10" spans="1:16" ht="30" thickTop="1" thickBot="1">
      <c r="A10" s="91" t="s">
        <v>161</v>
      </c>
      <c r="B10" s="91" t="s">
        <v>187</v>
      </c>
      <c r="C10" s="421">
        <v>115.134</v>
      </c>
      <c r="D10" s="92">
        <v>115.134</v>
      </c>
      <c r="E10" s="92">
        <v>115.134</v>
      </c>
      <c r="F10" s="92">
        <v>115.134</v>
      </c>
      <c r="G10" s="92">
        <v>0</v>
      </c>
      <c r="H10" s="92">
        <v>0</v>
      </c>
      <c r="I10" s="92">
        <v>0</v>
      </c>
      <c r="J10" s="93">
        <v>0</v>
      </c>
      <c r="K10" s="94">
        <v>0</v>
      </c>
      <c r="L10" s="94">
        <f>E10+K10</f>
        <v>115.134</v>
      </c>
      <c r="M10" s="543"/>
      <c r="N10" s="544"/>
    </row>
    <row r="11" spans="1:16" ht="16" thickTop="1"/>
    <row r="12" spans="1:16" ht="31">
      <c r="A12" s="271" t="s">
        <v>188</v>
      </c>
      <c r="B12" s="271" t="s">
        <v>59</v>
      </c>
      <c r="C12" s="440" t="s">
        <v>57</v>
      </c>
      <c r="D12" s="271" t="s">
        <v>162</v>
      </c>
      <c r="E12" s="271" t="s">
        <v>189</v>
      </c>
      <c r="F12" s="271" t="s">
        <v>190</v>
      </c>
      <c r="G12" s="597" t="s">
        <v>71</v>
      </c>
      <c r="H12" s="597"/>
      <c r="I12" s="597"/>
      <c r="J12" s="597"/>
      <c r="K12" s="271" t="s">
        <v>191</v>
      </c>
      <c r="L12" s="271" t="s">
        <v>192</v>
      </c>
      <c r="M12" s="271" t="s">
        <v>193</v>
      </c>
      <c r="N12" s="597" t="s">
        <v>194</v>
      </c>
      <c r="O12" s="597"/>
      <c r="P12" s="597"/>
    </row>
    <row r="13" spans="1:16">
      <c r="A13" s="235">
        <v>1</v>
      </c>
      <c r="B13" s="214" t="s">
        <v>441</v>
      </c>
      <c r="C13" s="441" t="s">
        <v>195</v>
      </c>
      <c r="D13" s="247" t="s">
        <v>699</v>
      </c>
      <c r="E13" s="250">
        <v>45406</v>
      </c>
      <c r="F13" s="260">
        <v>37.64</v>
      </c>
      <c r="G13" s="589" t="s">
        <v>55</v>
      </c>
      <c r="H13" s="590"/>
      <c r="I13" s="590"/>
      <c r="J13" s="591"/>
      <c r="K13" s="258">
        <v>45418</v>
      </c>
      <c r="L13" s="264" t="s">
        <v>723</v>
      </c>
      <c r="M13" s="270"/>
      <c r="N13" s="270"/>
      <c r="O13" s="270"/>
      <c r="P13" s="270"/>
    </row>
    <row r="14" spans="1:16">
      <c r="A14" s="75">
        <v>2</v>
      </c>
      <c r="B14" s="215" t="s">
        <v>462</v>
      </c>
      <c r="C14" s="442" t="s">
        <v>224</v>
      </c>
      <c r="D14" s="236" t="s">
        <v>699</v>
      </c>
      <c r="E14" s="251">
        <v>45413</v>
      </c>
      <c r="F14" s="260">
        <v>41.37</v>
      </c>
      <c r="G14" s="589" t="s">
        <v>55</v>
      </c>
      <c r="H14" s="590"/>
      <c r="I14" s="590"/>
      <c r="J14" s="591"/>
      <c r="K14" s="259">
        <v>45422</v>
      </c>
      <c r="L14" s="264" t="s">
        <v>723</v>
      </c>
      <c r="M14" s="76"/>
      <c r="N14" s="76"/>
      <c r="O14" s="76"/>
      <c r="P14" s="76"/>
    </row>
    <row r="15" spans="1:16">
      <c r="A15" s="75">
        <v>3</v>
      </c>
      <c r="B15" s="215" t="s">
        <v>467</v>
      </c>
      <c r="C15" s="442" t="s">
        <v>195</v>
      </c>
      <c r="D15" s="236" t="s">
        <v>699</v>
      </c>
      <c r="E15" s="251">
        <v>45421</v>
      </c>
      <c r="F15" s="260">
        <v>37.64</v>
      </c>
      <c r="G15" s="589" t="s">
        <v>55</v>
      </c>
      <c r="H15" s="590"/>
      <c r="I15" s="590"/>
      <c r="J15" s="591"/>
      <c r="K15" s="259">
        <v>45426</v>
      </c>
      <c r="L15" s="264" t="s">
        <v>723</v>
      </c>
      <c r="M15" s="76"/>
      <c r="N15" s="76"/>
      <c r="O15" s="76"/>
      <c r="P15" s="76"/>
    </row>
    <row r="16" spans="1:16">
      <c r="A16" s="75">
        <v>4</v>
      </c>
      <c r="B16" s="215" t="s">
        <v>457</v>
      </c>
      <c r="C16" s="442" t="s">
        <v>224</v>
      </c>
      <c r="D16" s="236" t="s">
        <v>699</v>
      </c>
      <c r="E16" s="251">
        <v>45425</v>
      </c>
      <c r="F16" s="260">
        <v>41.37</v>
      </c>
      <c r="G16" s="589" t="s">
        <v>55</v>
      </c>
      <c r="H16" s="590"/>
      <c r="I16" s="590"/>
      <c r="J16" s="591"/>
      <c r="K16" s="259">
        <v>45430</v>
      </c>
      <c r="L16" s="264" t="s">
        <v>723</v>
      </c>
      <c r="M16" s="76"/>
      <c r="N16" s="76"/>
      <c r="O16" s="76"/>
      <c r="P16" s="76"/>
    </row>
    <row r="17" spans="1:16">
      <c r="A17" s="75">
        <v>5</v>
      </c>
      <c r="B17" s="215" t="s">
        <v>442</v>
      </c>
      <c r="C17" s="442" t="s">
        <v>195</v>
      </c>
      <c r="D17" s="236" t="s">
        <v>699</v>
      </c>
      <c r="E17" s="251">
        <v>45428</v>
      </c>
      <c r="F17" s="260">
        <v>37.64</v>
      </c>
      <c r="G17" s="589" t="s">
        <v>55</v>
      </c>
      <c r="H17" s="590"/>
      <c r="I17" s="590"/>
      <c r="J17" s="591"/>
      <c r="K17" s="259">
        <v>45433</v>
      </c>
      <c r="L17" s="264" t="s">
        <v>723</v>
      </c>
      <c r="M17" s="76"/>
      <c r="N17" s="76"/>
      <c r="O17" s="76"/>
      <c r="P17" s="76"/>
    </row>
    <row r="18" spans="1:16">
      <c r="A18" s="75">
        <v>6</v>
      </c>
      <c r="B18" s="215" t="s">
        <v>471</v>
      </c>
      <c r="C18" s="442" t="s">
        <v>224</v>
      </c>
      <c r="D18" s="236" t="s">
        <v>699</v>
      </c>
      <c r="E18" s="251">
        <v>45434</v>
      </c>
      <c r="F18" s="260">
        <v>41.37</v>
      </c>
      <c r="G18" s="589" t="s">
        <v>55</v>
      </c>
      <c r="H18" s="590"/>
      <c r="I18" s="590"/>
      <c r="J18" s="591"/>
      <c r="K18" s="259">
        <v>45440</v>
      </c>
      <c r="L18" s="264" t="s">
        <v>723</v>
      </c>
      <c r="M18" s="76"/>
      <c r="N18" s="76"/>
      <c r="O18" s="76"/>
      <c r="P18" s="76"/>
    </row>
    <row r="19" spans="1:16">
      <c r="A19" s="75">
        <v>7</v>
      </c>
      <c r="B19" s="215" t="s">
        <v>443</v>
      </c>
      <c r="C19" s="442" t="s">
        <v>195</v>
      </c>
      <c r="D19" s="236" t="s">
        <v>699</v>
      </c>
      <c r="E19" s="251">
        <v>45440</v>
      </c>
      <c r="F19" s="260">
        <v>37.64</v>
      </c>
      <c r="G19" s="589" t="s">
        <v>55</v>
      </c>
      <c r="H19" s="590"/>
      <c r="I19" s="590"/>
      <c r="J19" s="591"/>
      <c r="K19" s="259">
        <v>45447</v>
      </c>
      <c r="L19" s="265" t="s">
        <v>724</v>
      </c>
      <c r="M19" s="76"/>
      <c r="N19" s="76"/>
      <c r="O19" s="76"/>
      <c r="P19" s="76"/>
    </row>
    <row r="20" spans="1:16">
      <c r="A20" s="75">
        <v>8</v>
      </c>
      <c r="B20" s="215" t="s">
        <v>487</v>
      </c>
      <c r="C20" s="442" t="s">
        <v>224</v>
      </c>
      <c r="D20" s="236" t="s">
        <v>699</v>
      </c>
      <c r="E20" s="251">
        <v>45443</v>
      </c>
      <c r="F20" s="260">
        <v>41.37</v>
      </c>
      <c r="G20" s="589" t="s">
        <v>55</v>
      </c>
      <c r="H20" s="590"/>
      <c r="I20" s="590"/>
      <c r="J20" s="591"/>
      <c r="K20" s="259">
        <v>45446</v>
      </c>
      <c r="L20" s="264" t="s">
        <v>723</v>
      </c>
      <c r="M20" s="76"/>
      <c r="N20" s="76"/>
      <c r="O20" s="76"/>
      <c r="P20" s="76"/>
    </row>
    <row r="21" spans="1:16">
      <c r="A21" s="75">
        <v>9</v>
      </c>
      <c r="B21" s="215" t="s">
        <v>502</v>
      </c>
      <c r="C21" s="442" t="s">
        <v>224</v>
      </c>
      <c r="D21" s="236" t="s">
        <v>699</v>
      </c>
      <c r="E21" s="251">
        <v>45443</v>
      </c>
      <c r="F21" s="260">
        <v>41.37</v>
      </c>
      <c r="G21" s="589" t="s">
        <v>55</v>
      </c>
      <c r="H21" s="590"/>
      <c r="I21" s="590"/>
      <c r="J21" s="591"/>
      <c r="K21" s="259">
        <v>45449</v>
      </c>
      <c r="L21" s="264" t="s">
        <v>723</v>
      </c>
      <c r="M21" s="76"/>
      <c r="N21" s="76"/>
      <c r="O21" s="76"/>
      <c r="P21" s="76"/>
    </row>
    <row r="22" spans="1:16">
      <c r="A22" s="75">
        <v>10</v>
      </c>
      <c r="B22" s="215" t="s">
        <v>493</v>
      </c>
      <c r="C22" s="442" t="s">
        <v>195</v>
      </c>
      <c r="D22" s="236" t="s">
        <v>699</v>
      </c>
      <c r="E22" s="251">
        <v>45447</v>
      </c>
      <c r="F22" s="260">
        <v>37.64</v>
      </c>
      <c r="G22" s="589" t="s">
        <v>55</v>
      </c>
      <c r="H22" s="590"/>
      <c r="I22" s="590"/>
      <c r="J22" s="591"/>
      <c r="K22" s="259">
        <v>45452</v>
      </c>
      <c r="L22" s="264" t="s">
        <v>723</v>
      </c>
      <c r="M22" s="76"/>
      <c r="N22" s="76"/>
      <c r="O22" s="76"/>
      <c r="P22" s="76"/>
    </row>
    <row r="23" spans="1:16">
      <c r="A23" s="75">
        <v>11</v>
      </c>
      <c r="B23" s="215" t="s">
        <v>445</v>
      </c>
      <c r="C23" s="442" t="s">
        <v>195</v>
      </c>
      <c r="D23" s="236" t="s">
        <v>699</v>
      </c>
      <c r="E23" s="251">
        <v>45447</v>
      </c>
      <c r="F23" s="260">
        <v>37.64</v>
      </c>
      <c r="G23" s="589" t="s">
        <v>55</v>
      </c>
      <c r="H23" s="590"/>
      <c r="I23" s="590"/>
      <c r="J23" s="591"/>
      <c r="K23" s="259">
        <v>45451</v>
      </c>
      <c r="L23" s="265" t="s">
        <v>724</v>
      </c>
      <c r="M23" s="76"/>
      <c r="N23" s="76"/>
      <c r="O23" s="76"/>
      <c r="P23" s="76"/>
    </row>
    <row r="24" spans="1:16">
      <c r="A24" s="75">
        <v>12</v>
      </c>
      <c r="B24" s="215" t="s">
        <v>459</v>
      </c>
      <c r="C24" s="442" t="s">
        <v>224</v>
      </c>
      <c r="D24" s="238" t="s">
        <v>700</v>
      </c>
      <c r="E24" s="251">
        <v>45449</v>
      </c>
      <c r="F24" s="260">
        <v>49.03</v>
      </c>
      <c r="G24" s="589" t="s">
        <v>55</v>
      </c>
      <c r="H24" s="590"/>
      <c r="I24" s="590"/>
      <c r="J24" s="591"/>
      <c r="K24" s="259">
        <v>45455</v>
      </c>
      <c r="L24" s="265" t="s">
        <v>725</v>
      </c>
      <c r="M24" s="76"/>
      <c r="N24" s="76"/>
      <c r="O24" s="76"/>
      <c r="P24" s="76"/>
    </row>
    <row r="25" spans="1:16">
      <c r="A25" s="75">
        <v>13</v>
      </c>
      <c r="B25" s="216" t="s">
        <v>658</v>
      </c>
      <c r="C25" s="442" t="s">
        <v>225</v>
      </c>
      <c r="D25" s="236" t="s">
        <v>699</v>
      </c>
      <c r="E25" s="251">
        <v>45450</v>
      </c>
      <c r="F25" s="260">
        <v>37.64</v>
      </c>
      <c r="G25" s="589" t="s">
        <v>55</v>
      </c>
      <c r="H25" s="590"/>
      <c r="I25" s="590"/>
      <c r="J25" s="591"/>
      <c r="K25" s="251">
        <v>45454</v>
      </c>
      <c r="L25" s="264" t="s">
        <v>723</v>
      </c>
      <c r="M25" s="76"/>
      <c r="N25" s="76"/>
      <c r="O25" s="76"/>
      <c r="P25" s="76"/>
    </row>
    <row r="26" spans="1:16">
      <c r="A26" s="75">
        <v>14</v>
      </c>
      <c r="B26" s="216" t="s">
        <v>451</v>
      </c>
      <c r="C26" s="442" t="s">
        <v>224</v>
      </c>
      <c r="D26" s="236" t="s">
        <v>699</v>
      </c>
      <c r="E26" s="251">
        <v>45451</v>
      </c>
      <c r="F26" s="260">
        <v>41.37</v>
      </c>
      <c r="G26" s="589" t="s">
        <v>55</v>
      </c>
      <c r="H26" s="590"/>
      <c r="I26" s="590"/>
      <c r="J26" s="591"/>
      <c r="K26" s="259">
        <v>45456</v>
      </c>
      <c r="L26" s="265" t="s">
        <v>724</v>
      </c>
      <c r="M26" s="76"/>
      <c r="N26" s="76"/>
      <c r="O26" s="76"/>
      <c r="P26" s="76"/>
    </row>
    <row r="27" spans="1:16">
      <c r="A27" s="75">
        <v>15</v>
      </c>
      <c r="B27" s="216" t="s">
        <v>506</v>
      </c>
      <c r="C27" s="442" t="s">
        <v>224</v>
      </c>
      <c r="D27" s="236" t="s">
        <v>699</v>
      </c>
      <c r="E27" s="251">
        <v>45453</v>
      </c>
      <c r="F27" s="260">
        <v>41.37</v>
      </c>
      <c r="G27" s="589" t="s">
        <v>55</v>
      </c>
      <c r="H27" s="590"/>
      <c r="I27" s="590"/>
      <c r="J27" s="591"/>
      <c r="K27" s="259">
        <v>45457</v>
      </c>
      <c r="L27" s="264" t="s">
        <v>723</v>
      </c>
      <c r="M27" s="76"/>
      <c r="N27" s="76"/>
      <c r="O27" s="76"/>
      <c r="P27" s="76"/>
    </row>
    <row r="28" spans="1:16">
      <c r="A28" s="75">
        <v>16</v>
      </c>
      <c r="B28" s="216" t="s">
        <v>448</v>
      </c>
      <c r="C28" s="442" t="s">
        <v>224</v>
      </c>
      <c r="D28" s="236" t="s">
        <v>699</v>
      </c>
      <c r="E28" s="251">
        <v>45455</v>
      </c>
      <c r="F28" s="260">
        <v>41.37</v>
      </c>
      <c r="G28" s="589" t="s">
        <v>55</v>
      </c>
      <c r="H28" s="590"/>
      <c r="I28" s="590"/>
      <c r="J28" s="591"/>
      <c r="K28" s="259">
        <v>45462</v>
      </c>
      <c r="L28" s="265" t="s">
        <v>724</v>
      </c>
      <c r="M28" s="76"/>
      <c r="N28" s="76"/>
      <c r="O28" s="76"/>
      <c r="P28" s="76"/>
    </row>
    <row r="29" spans="1:16">
      <c r="A29" s="75">
        <v>17</v>
      </c>
      <c r="B29" s="216" t="s">
        <v>553</v>
      </c>
      <c r="C29" s="442" t="s">
        <v>224</v>
      </c>
      <c r="D29" s="236" t="s">
        <v>699</v>
      </c>
      <c r="E29" s="251">
        <v>45456</v>
      </c>
      <c r="F29" s="260">
        <v>41.37</v>
      </c>
      <c r="G29" s="589" t="s">
        <v>55</v>
      </c>
      <c r="H29" s="590"/>
      <c r="I29" s="590"/>
      <c r="J29" s="591"/>
      <c r="K29" s="259">
        <v>45466</v>
      </c>
      <c r="L29" s="265" t="s">
        <v>726</v>
      </c>
      <c r="M29" s="76"/>
      <c r="N29" s="76"/>
      <c r="O29" s="76"/>
      <c r="P29" s="76"/>
    </row>
    <row r="30" spans="1:16">
      <c r="A30" s="75">
        <v>18</v>
      </c>
      <c r="B30" s="216" t="s">
        <v>446</v>
      </c>
      <c r="C30" s="442" t="s">
        <v>195</v>
      </c>
      <c r="D30" s="236" t="s">
        <v>699</v>
      </c>
      <c r="E30" s="251">
        <v>45456</v>
      </c>
      <c r="F30" s="260">
        <v>37.64</v>
      </c>
      <c r="G30" s="589" t="s">
        <v>55</v>
      </c>
      <c r="H30" s="590"/>
      <c r="I30" s="590"/>
      <c r="J30" s="591"/>
      <c r="K30" s="259">
        <v>45465</v>
      </c>
      <c r="L30" s="266" t="s">
        <v>725</v>
      </c>
      <c r="M30" s="76"/>
      <c r="N30" s="76"/>
      <c r="O30" s="76"/>
      <c r="P30" s="76"/>
    </row>
    <row r="31" spans="1:16">
      <c r="A31" s="75">
        <v>19</v>
      </c>
      <c r="B31" s="216" t="s">
        <v>591</v>
      </c>
      <c r="C31" s="442" t="s">
        <v>225</v>
      </c>
      <c r="D31" s="236" t="s">
        <v>699</v>
      </c>
      <c r="E31" s="251">
        <v>45456</v>
      </c>
      <c r="F31" s="260">
        <v>37.64</v>
      </c>
      <c r="G31" s="589" t="s">
        <v>55</v>
      </c>
      <c r="H31" s="590"/>
      <c r="I31" s="590"/>
      <c r="J31" s="591"/>
      <c r="K31" s="259">
        <v>45460</v>
      </c>
      <c r="L31" s="264" t="s">
        <v>723</v>
      </c>
      <c r="M31" s="76"/>
      <c r="N31" s="76"/>
      <c r="O31" s="76"/>
      <c r="P31" s="76"/>
    </row>
    <row r="32" spans="1:16">
      <c r="A32" s="75">
        <v>20</v>
      </c>
      <c r="B32" s="216" t="s">
        <v>482</v>
      </c>
      <c r="C32" s="442" t="s">
        <v>225</v>
      </c>
      <c r="D32" s="236" t="s">
        <v>699</v>
      </c>
      <c r="E32" s="251">
        <v>45456</v>
      </c>
      <c r="F32" s="260">
        <v>37.64</v>
      </c>
      <c r="G32" s="589" t="s">
        <v>55</v>
      </c>
      <c r="H32" s="590"/>
      <c r="I32" s="590"/>
      <c r="J32" s="591"/>
      <c r="K32" s="259">
        <v>45463</v>
      </c>
      <c r="L32" s="264" t="s">
        <v>723</v>
      </c>
      <c r="M32" s="76"/>
      <c r="N32" s="76"/>
      <c r="O32" s="76"/>
      <c r="P32" s="76"/>
    </row>
    <row r="33" spans="1:16">
      <c r="A33" s="75">
        <v>21</v>
      </c>
      <c r="B33" s="216" t="s">
        <v>454</v>
      </c>
      <c r="C33" s="442" t="s">
        <v>224</v>
      </c>
      <c r="D33" s="236" t="s">
        <v>699</v>
      </c>
      <c r="E33" s="251">
        <v>45463</v>
      </c>
      <c r="F33" s="260">
        <v>41.37</v>
      </c>
      <c r="G33" s="589" t="s">
        <v>55</v>
      </c>
      <c r="H33" s="590"/>
      <c r="I33" s="590"/>
      <c r="J33" s="591"/>
      <c r="K33" s="259">
        <v>45468</v>
      </c>
      <c r="L33" s="266" t="s">
        <v>724</v>
      </c>
      <c r="M33" s="76"/>
      <c r="N33" s="76"/>
      <c r="O33" s="76"/>
      <c r="P33" s="76"/>
    </row>
    <row r="34" spans="1:16">
      <c r="A34" s="75">
        <v>22</v>
      </c>
      <c r="B34" s="216" t="s">
        <v>450</v>
      </c>
      <c r="C34" s="442" t="s">
        <v>225</v>
      </c>
      <c r="D34" s="236" t="s">
        <v>699</v>
      </c>
      <c r="E34" s="251">
        <v>45464</v>
      </c>
      <c r="F34" s="260">
        <v>37.64</v>
      </c>
      <c r="G34" s="589" t="s">
        <v>55</v>
      </c>
      <c r="H34" s="590"/>
      <c r="I34" s="590"/>
      <c r="J34" s="591"/>
      <c r="K34" s="259">
        <v>45470</v>
      </c>
      <c r="L34" s="265" t="s">
        <v>725</v>
      </c>
      <c r="M34" s="76"/>
      <c r="N34" s="76"/>
      <c r="O34" s="76"/>
      <c r="P34" s="76"/>
    </row>
    <row r="35" spans="1:16">
      <c r="A35" s="75">
        <v>23</v>
      </c>
      <c r="B35" s="216" t="s">
        <v>594</v>
      </c>
      <c r="C35" s="442" t="s">
        <v>224</v>
      </c>
      <c r="D35" s="238" t="s">
        <v>700</v>
      </c>
      <c r="E35" s="251">
        <v>45465</v>
      </c>
      <c r="F35" s="260">
        <v>49.03</v>
      </c>
      <c r="G35" s="589" t="s">
        <v>55</v>
      </c>
      <c r="H35" s="590"/>
      <c r="I35" s="590"/>
      <c r="J35" s="591"/>
      <c r="K35" s="259">
        <v>45473</v>
      </c>
      <c r="L35" s="266" t="s">
        <v>726</v>
      </c>
      <c r="M35" s="76"/>
      <c r="N35" s="76"/>
      <c r="O35" s="76"/>
      <c r="P35" s="76"/>
    </row>
    <row r="36" spans="1:16">
      <c r="A36" s="75">
        <v>24</v>
      </c>
      <c r="B36" s="216" t="s">
        <v>99</v>
      </c>
      <c r="C36" s="442" t="s">
        <v>224</v>
      </c>
      <c r="D36" s="238" t="s">
        <v>700</v>
      </c>
      <c r="E36" s="251">
        <v>45474</v>
      </c>
      <c r="F36" s="260">
        <v>49.03</v>
      </c>
      <c r="G36" s="589" t="s">
        <v>55</v>
      </c>
      <c r="H36" s="590"/>
      <c r="I36" s="590"/>
      <c r="J36" s="591"/>
      <c r="K36" s="259">
        <v>45484</v>
      </c>
      <c r="L36" s="266" t="s">
        <v>726</v>
      </c>
      <c r="M36" s="76"/>
      <c r="N36" s="76"/>
      <c r="O36" s="76"/>
      <c r="P36" s="76"/>
    </row>
    <row r="37" spans="1:16">
      <c r="A37" s="75">
        <v>25</v>
      </c>
      <c r="B37" s="216" t="s">
        <v>452</v>
      </c>
      <c r="C37" s="442" t="s">
        <v>225</v>
      </c>
      <c r="D37" s="236" t="s">
        <v>699</v>
      </c>
      <c r="E37" s="251">
        <v>45481</v>
      </c>
      <c r="F37" s="260">
        <v>37.64</v>
      </c>
      <c r="G37" s="589" t="s">
        <v>55</v>
      </c>
      <c r="H37" s="590"/>
      <c r="I37" s="590"/>
      <c r="J37" s="591"/>
      <c r="K37" s="253">
        <v>45488</v>
      </c>
      <c r="L37" s="266" t="s">
        <v>727</v>
      </c>
      <c r="M37" s="76"/>
      <c r="N37" s="76"/>
      <c r="O37" s="76"/>
      <c r="P37" s="76"/>
    </row>
    <row r="38" spans="1:16">
      <c r="A38" s="75">
        <v>26</v>
      </c>
      <c r="B38" s="216" t="s">
        <v>331</v>
      </c>
      <c r="C38" s="442" t="s">
        <v>224</v>
      </c>
      <c r="D38" s="238" t="s">
        <v>700</v>
      </c>
      <c r="E38" s="251">
        <v>45484</v>
      </c>
      <c r="F38" s="260">
        <v>49.03</v>
      </c>
      <c r="G38" s="589" t="s">
        <v>55</v>
      </c>
      <c r="H38" s="590"/>
      <c r="I38" s="590"/>
      <c r="J38" s="591"/>
      <c r="K38" s="259">
        <v>45491</v>
      </c>
      <c r="L38" s="266" t="s">
        <v>726</v>
      </c>
      <c r="M38" s="76"/>
      <c r="N38" s="76"/>
      <c r="O38" s="76"/>
      <c r="P38" s="76"/>
    </row>
    <row r="39" spans="1:16">
      <c r="A39" s="75">
        <v>27</v>
      </c>
      <c r="B39" s="216" t="s">
        <v>577</v>
      </c>
      <c r="C39" s="442" t="s">
        <v>225</v>
      </c>
      <c r="D39" s="236" t="s">
        <v>699</v>
      </c>
      <c r="E39" s="251">
        <v>45485</v>
      </c>
      <c r="F39" s="260">
        <v>37.64</v>
      </c>
      <c r="G39" s="589" t="s">
        <v>55</v>
      </c>
      <c r="H39" s="590"/>
      <c r="I39" s="590"/>
      <c r="J39" s="591"/>
      <c r="K39" s="253">
        <v>45496</v>
      </c>
      <c r="L39" s="266" t="s">
        <v>728</v>
      </c>
      <c r="M39" s="76"/>
      <c r="N39" s="76"/>
      <c r="O39" s="76"/>
      <c r="P39" s="76"/>
    </row>
    <row r="40" spans="1:16">
      <c r="A40" s="75">
        <v>28</v>
      </c>
      <c r="B40" s="216" t="s">
        <v>455</v>
      </c>
      <c r="C40" s="442" t="s">
        <v>224</v>
      </c>
      <c r="D40" s="236" t="s">
        <v>699</v>
      </c>
      <c r="E40" s="251">
        <v>45486</v>
      </c>
      <c r="F40" s="260">
        <v>41.37</v>
      </c>
      <c r="G40" s="589" t="s">
        <v>55</v>
      </c>
      <c r="H40" s="590"/>
      <c r="I40" s="590"/>
      <c r="J40" s="591"/>
      <c r="K40" s="259">
        <v>45493</v>
      </c>
      <c r="L40" s="266" t="s">
        <v>729</v>
      </c>
      <c r="M40" s="76"/>
      <c r="N40" s="76"/>
      <c r="O40" s="76"/>
      <c r="P40" s="76"/>
    </row>
    <row r="41" spans="1:16">
      <c r="A41" s="75">
        <v>29</v>
      </c>
      <c r="B41" s="216" t="s">
        <v>460</v>
      </c>
      <c r="C41" s="442" t="s">
        <v>224</v>
      </c>
      <c r="D41" s="238" t="s">
        <v>700</v>
      </c>
      <c r="E41" s="251">
        <v>45488</v>
      </c>
      <c r="F41" s="260">
        <v>49.03</v>
      </c>
      <c r="G41" s="589" t="s">
        <v>55</v>
      </c>
      <c r="H41" s="590"/>
      <c r="I41" s="590"/>
      <c r="J41" s="591"/>
      <c r="K41" s="259">
        <v>45498</v>
      </c>
      <c r="L41" s="266" t="s">
        <v>726</v>
      </c>
      <c r="M41" s="76"/>
      <c r="N41" s="76"/>
      <c r="O41" s="76"/>
      <c r="P41" s="76"/>
    </row>
    <row r="42" spans="1:16">
      <c r="A42" s="75">
        <v>30</v>
      </c>
      <c r="B42" s="216" t="s">
        <v>481</v>
      </c>
      <c r="C42" s="442" t="s">
        <v>224</v>
      </c>
      <c r="D42" s="238" t="s">
        <v>701</v>
      </c>
      <c r="E42" s="252">
        <v>45493</v>
      </c>
      <c r="F42" s="260">
        <v>61.059999999999995</v>
      </c>
      <c r="G42" s="589" t="s">
        <v>55</v>
      </c>
      <c r="H42" s="590"/>
      <c r="I42" s="590"/>
      <c r="J42" s="591"/>
      <c r="K42" s="253">
        <v>45504</v>
      </c>
      <c r="L42" s="266" t="s">
        <v>726</v>
      </c>
      <c r="M42" s="76"/>
      <c r="N42" s="76"/>
      <c r="O42" s="76"/>
      <c r="P42" s="76"/>
    </row>
    <row r="43" spans="1:16">
      <c r="A43" s="75">
        <v>31</v>
      </c>
      <c r="B43" s="216" t="s">
        <v>584</v>
      </c>
      <c r="C43" s="442" t="s">
        <v>225</v>
      </c>
      <c r="D43" s="236" t="s">
        <v>699</v>
      </c>
      <c r="E43" s="252">
        <v>45493</v>
      </c>
      <c r="F43" s="260">
        <v>37.64</v>
      </c>
      <c r="G43" s="589" t="s">
        <v>55</v>
      </c>
      <c r="H43" s="590"/>
      <c r="I43" s="590"/>
      <c r="J43" s="591"/>
      <c r="K43" s="253">
        <v>45503</v>
      </c>
      <c r="L43" s="266" t="s">
        <v>727</v>
      </c>
      <c r="M43" s="76"/>
      <c r="N43" s="76"/>
      <c r="O43" s="76"/>
      <c r="P43" s="76"/>
    </row>
    <row r="44" spans="1:16">
      <c r="A44" s="75">
        <v>32</v>
      </c>
      <c r="B44" s="216" t="s">
        <v>444</v>
      </c>
      <c r="C44" s="442" t="s">
        <v>195</v>
      </c>
      <c r="D44" s="236" t="s">
        <v>699</v>
      </c>
      <c r="E44" s="252">
        <v>45493</v>
      </c>
      <c r="F44" s="260">
        <v>37.64</v>
      </c>
      <c r="G44" s="589" t="s">
        <v>55</v>
      </c>
      <c r="H44" s="590"/>
      <c r="I44" s="590"/>
      <c r="J44" s="591"/>
      <c r="K44" s="253">
        <v>45502</v>
      </c>
      <c r="L44" s="266" t="s">
        <v>730</v>
      </c>
      <c r="M44" s="76"/>
      <c r="N44" s="76"/>
      <c r="O44" s="76"/>
      <c r="P44" s="76"/>
    </row>
    <row r="45" spans="1:16">
      <c r="A45" s="75">
        <v>33</v>
      </c>
      <c r="B45" s="216" t="s">
        <v>453</v>
      </c>
      <c r="C45" s="442" t="s">
        <v>224</v>
      </c>
      <c r="D45" s="236" t="s">
        <v>699</v>
      </c>
      <c r="E45" s="251">
        <v>45495</v>
      </c>
      <c r="F45" s="260">
        <v>41.37</v>
      </c>
      <c r="G45" s="589" t="s">
        <v>55</v>
      </c>
      <c r="H45" s="590"/>
      <c r="I45" s="590"/>
      <c r="J45" s="591"/>
      <c r="K45" s="259">
        <v>45501</v>
      </c>
      <c r="L45" s="266" t="s">
        <v>729</v>
      </c>
      <c r="M45" s="76"/>
      <c r="N45" s="76"/>
      <c r="O45" s="76"/>
      <c r="P45" s="76"/>
    </row>
    <row r="46" spans="1:16">
      <c r="A46" s="75">
        <v>34</v>
      </c>
      <c r="B46" s="216" t="s">
        <v>501</v>
      </c>
      <c r="C46" s="442" t="s">
        <v>224</v>
      </c>
      <c r="D46" s="236" t="s">
        <v>699</v>
      </c>
      <c r="E46" s="251">
        <v>45501</v>
      </c>
      <c r="F46" s="260">
        <v>41.37</v>
      </c>
      <c r="G46" s="589" t="s">
        <v>55</v>
      </c>
      <c r="H46" s="590"/>
      <c r="I46" s="590"/>
      <c r="J46" s="591"/>
      <c r="K46" s="253">
        <v>45508</v>
      </c>
      <c r="L46" s="266" t="s">
        <v>728</v>
      </c>
      <c r="M46" s="76"/>
      <c r="N46" s="76"/>
      <c r="O46" s="76"/>
      <c r="P46" s="76"/>
    </row>
    <row r="47" spans="1:16">
      <c r="A47" s="75">
        <v>35</v>
      </c>
      <c r="B47" s="216" t="s">
        <v>456</v>
      </c>
      <c r="C47" s="442" t="s">
        <v>224</v>
      </c>
      <c r="D47" s="236" t="s">
        <v>699</v>
      </c>
      <c r="E47" s="251">
        <v>45501</v>
      </c>
      <c r="F47" s="260">
        <v>41.37</v>
      </c>
      <c r="G47" s="589" t="s">
        <v>55</v>
      </c>
      <c r="H47" s="590"/>
      <c r="I47" s="590"/>
      <c r="J47" s="591"/>
      <c r="K47" s="253">
        <v>45513</v>
      </c>
      <c r="L47" s="266" t="s">
        <v>729</v>
      </c>
      <c r="M47" s="76"/>
      <c r="N47" s="76"/>
      <c r="O47" s="76"/>
      <c r="P47" s="76"/>
    </row>
    <row r="48" spans="1:16">
      <c r="A48" s="75">
        <v>36</v>
      </c>
      <c r="B48" s="216" t="s">
        <v>447</v>
      </c>
      <c r="C48" s="442" t="s">
        <v>224</v>
      </c>
      <c r="D48" s="236" t="s">
        <v>699</v>
      </c>
      <c r="E48" s="251">
        <v>45503</v>
      </c>
      <c r="F48" s="260">
        <v>41.37</v>
      </c>
      <c r="G48" s="589" t="s">
        <v>55</v>
      </c>
      <c r="H48" s="590"/>
      <c r="I48" s="590"/>
      <c r="J48" s="591"/>
      <c r="K48" s="253">
        <v>45507</v>
      </c>
      <c r="L48" s="266" t="s">
        <v>730</v>
      </c>
      <c r="M48" s="76"/>
      <c r="N48" s="76"/>
      <c r="O48" s="76"/>
      <c r="P48" s="76"/>
    </row>
    <row r="49" spans="1:16">
      <c r="A49" s="75">
        <v>37</v>
      </c>
      <c r="B49" s="216" t="s">
        <v>466</v>
      </c>
      <c r="C49" s="442" t="s">
        <v>195</v>
      </c>
      <c r="D49" s="238" t="s">
        <v>700</v>
      </c>
      <c r="E49" s="252">
        <v>45870</v>
      </c>
      <c r="F49" s="260">
        <v>46.16</v>
      </c>
      <c r="G49" s="589" t="s">
        <v>55</v>
      </c>
      <c r="H49" s="590"/>
      <c r="I49" s="590"/>
      <c r="J49" s="591"/>
      <c r="K49" s="253">
        <v>45512</v>
      </c>
      <c r="L49" s="266" t="s">
        <v>726</v>
      </c>
      <c r="M49" s="76"/>
      <c r="N49" s="76"/>
      <c r="O49" s="76"/>
      <c r="P49" s="76"/>
    </row>
    <row r="50" spans="1:16">
      <c r="A50" s="75">
        <v>38</v>
      </c>
      <c r="B50" s="216" t="s">
        <v>449</v>
      </c>
      <c r="C50" s="442" t="s">
        <v>224</v>
      </c>
      <c r="D50" s="236" t="s">
        <v>699</v>
      </c>
      <c r="E50" s="252">
        <v>45509</v>
      </c>
      <c r="F50" s="260">
        <v>41.37</v>
      </c>
      <c r="G50" s="589" t="s">
        <v>55</v>
      </c>
      <c r="H50" s="590"/>
      <c r="I50" s="590"/>
      <c r="J50" s="591"/>
      <c r="K50" s="253">
        <v>45514</v>
      </c>
      <c r="L50" s="266" t="s">
        <v>730</v>
      </c>
      <c r="M50" s="76"/>
      <c r="N50" s="76"/>
      <c r="O50" s="76"/>
      <c r="P50" s="76"/>
    </row>
    <row r="51" spans="1:16">
      <c r="A51" s="75">
        <v>39</v>
      </c>
      <c r="B51" s="216" t="s">
        <v>593</v>
      </c>
      <c r="C51" s="442" t="s">
        <v>225</v>
      </c>
      <c r="D51" s="236" t="s">
        <v>699</v>
      </c>
      <c r="E51" s="252">
        <v>45512</v>
      </c>
      <c r="F51" s="260">
        <v>37.64</v>
      </c>
      <c r="G51" s="589" t="s">
        <v>55</v>
      </c>
      <c r="H51" s="590"/>
      <c r="I51" s="590"/>
      <c r="J51" s="591"/>
      <c r="K51" s="253">
        <v>45518</v>
      </c>
      <c r="L51" s="266" t="s">
        <v>726</v>
      </c>
      <c r="M51" s="76"/>
      <c r="N51" s="76"/>
      <c r="O51" s="76"/>
      <c r="P51" s="76"/>
    </row>
    <row r="52" spans="1:16">
      <c r="A52" s="75">
        <v>40</v>
      </c>
      <c r="B52" s="217" t="s">
        <v>468</v>
      </c>
      <c r="C52" s="443" t="s">
        <v>195</v>
      </c>
      <c r="D52" s="236" t="s">
        <v>699</v>
      </c>
      <c r="E52" s="252">
        <v>45514</v>
      </c>
      <c r="F52" s="260">
        <v>37.64</v>
      </c>
      <c r="G52" s="589" t="s">
        <v>55</v>
      </c>
      <c r="H52" s="590"/>
      <c r="I52" s="590"/>
      <c r="J52" s="591"/>
      <c r="K52" s="253">
        <v>45525</v>
      </c>
      <c r="L52" s="266" t="s">
        <v>729</v>
      </c>
      <c r="M52" s="76"/>
      <c r="N52" s="76"/>
      <c r="O52" s="76"/>
      <c r="P52" s="76"/>
    </row>
    <row r="53" spans="1:16">
      <c r="A53" s="75">
        <v>41</v>
      </c>
      <c r="B53" s="218" t="s">
        <v>598</v>
      </c>
      <c r="C53" s="443" t="s">
        <v>225</v>
      </c>
      <c r="D53" s="236" t="s">
        <v>699</v>
      </c>
      <c r="E53" s="252">
        <v>45516</v>
      </c>
      <c r="F53" s="260">
        <v>37.64</v>
      </c>
      <c r="G53" s="589" t="s">
        <v>55</v>
      </c>
      <c r="H53" s="590"/>
      <c r="I53" s="590"/>
      <c r="J53" s="591"/>
      <c r="K53" s="253">
        <v>45522</v>
      </c>
      <c r="L53" s="266" t="s">
        <v>730</v>
      </c>
      <c r="M53" s="76"/>
      <c r="N53" s="76"/>
      <c r="O53" s="76"/>
      <c r="P53" s="76"/>
    </row>
    <row r="54" spans="1:16">
      <c r="A54" s="75">
        <v>42</v>
      </c>
      <c r="B54" s="218" t="s">
        <v>569</v>
      </c>
      <c r="C54" s="443" t="s">
        <v>225</v>
      </c>
      <c r="D54" s="236" t="s">
        <v>699</v>
      </c>
      <c r="E54" s="252">
        <v>45516</v>
      </c>
      <c r="F54" s="260">
        <v>37.64</v>
      </c>
      <c r="G54" s="589" t="s">
        <v>55</v>
      </c>
      <c r="H54" s="590"/>
      <c r="I54" s="590"/>
      <c r="J54" s="591"/>
      <c r="K54" s="253">
        <v>45528</v>
      </c>
      <c r="L54" s="266" t="s">
        <v>728</v>
      </c>
      <c r="M54" s="76"/>
      <c r="N54" s="76"/>
      <c r="O54" s="76"/>
      <c r="P54" s="76"/>
    </row>
    <row r="55" spans="1:16">
      <c r="A55" s="75">
        <v>43</v>
      </c>
      <c r="B55" s="27" t="s">
        <v>510</v>
      </c>
      <c r="C55" s="443" t="s">
        <v>224</v>
      </c>
      <c r="D55" s="236" t="s">
        <v>699</v>
      </c>
      <c r="E55" s="252">
        <v>45520</v>
      </c>
      <c r="F55" s="260">
        <v>41.37</v>
      </c>
      <c r="G55" s="589" t="s">
        <v>55</v>
      </c>
      <c r="H55" s="590"/>
      <c r="I55" s="590"/>
      <c r="J55" s="591"/>
      <c r="K55" s="253">
        <v>45535</v>
      </c>
      <c r="L55" s="266" t="s">
        <v>731</v>
      </c>
      <c r="M55" s="76"/>
      <c r="N55" s="76"/>
      <c r="O55" s="76"/>
      <c r="P55" s="76"/>
    </row>
    <row r="56" spans="1:16">
      <c r="A56" s="75">
        <v>44</v>
      </c>
      <c r="B56" s="216" t="s">
        <v>607</v>
      </c>
      <c r="C56" s="442" t="s">
        <v>225</v>
      </c>
      <c r="D56" s="236" t="s">
        <v>699</v>
      </c>
      <c r="E56" s="252">
        <v>45527</v>
      </c>
      <c r="F56" s="260">
        <v>37.64</v>
      </c>
      <c r="G56" s="589" t="s">
        <v>55</v>
      </c>
      <c r="H56" s="590"/>
      <c r="I56" s="590"/>
      <c r="J56" s="591"/>
      <c r="K56" s="253">
        <v>45535</v>
      </c>
      <c r="L56" s="266" t="s">
        <v>730</v>
      </c>
      <c r="M56" s="76"/>
      <c r="N56" s="76"/>
      <c r="O56" s="76"/>
      <c r="P56" s="76"/>
    </row>
    <row r="57" spans="1:16">
      <c r="A57" s="75">
        <v>45</v>
      </c>
      <c r="B57" s="216" t="s">
        <v>491</v>
      </c>
      <c r="C57" s="443" t="s">
        <v>224</v>
      </c>
      <c r="D57" s="236" t="s">
        <v>699</v>
      </c>
      <c r="E57" s="252">
        <v>45527</v>
      </c>
      <c r="F57" s="260">
        <v>41.37</v>
      </c>
      <c r="G57" s="589" t="s">
        <v>55</v>
      </c>
      <c r="H57" s="590"/>
      <c r="I57" s="590"/>
      <c r="J57" s="591"/>
      <c r="K57" s="253">
        <v>45535</v>
      </c>
      <c r="L57" s="266" t="s">
        <v>732</v>
      </c>
      <c r="M57" s="76"/>
      <c r="N57" s="76"/>
      <c r="O57" s="76"/>
      <c r="P57" s="76"/>
    </row>
    <row r="58" spans="1:16">
      <c r="A58" s="75">
        <v>46</v>
      </c>
      <c r="B58" s="216" t="s">
        <v>464</v>
      </c>
      <c r="C58" s="443" t="s">
        <v>195</v>
      </c>
      <c r="D58" s="236" t="s">
        <v>699</v>
      </c>
      <c r="E58" s="252">
        <v>45528</v>
      </c>
      <c r="F58" s="260">
        <v>37.64</v>
      </c>
      <c r="G58" s="589" t="s">
        <v>55</v>
      </c>
      <c r="H58" s="590"/>
      <c r="I58" s="590"/>
      <c r="J58" s="591"/>
      <c r="K58" s="253">
        <v>45534</v>
      </c>
      <c r="L58" s="266" t="s">
        <v>729</v>
      </c>
      <c r="M58" s="76"/>
      <c r="N58" s="76"/>
      <c r="O58" s="76"/>
      <c r="P58" s="76"/>
    </row>
    <row r="59" spans="1:16">
      <c r="A59" s="75">
        <v>47</v>
      </c>
      <c r="B59" s="219" t="s">
        <v>571</v>
      </c>
      <c r="C59" s="444" t="s">
        <v>224</v>
      </c>
      <c r="D59" s="236" t="s">
        <v>699</v>
      </c>
      <c r="E59" s="252">
        <v>45528</v>
      </c>
      <c r="F59" s="260">
        <v>41.37</v>
      </c>
      <c r="G59" s="589" t="s">
        <v>55</v>
      </c>
      <c r="H59" s="590"/>
      <c r="I59" s="590"/>
      <c r="J59" s="591"/>
      <c r="K59" s="253">
        <v>45544</v>
      </c>
      <c r="L59" s="266" t="s">
        <v>733</v>
      </c>
      <c r="M59" s="76"/>
      <c r="N59" s="76"/>
      <c r="O59" s="76"/>
      <c r="P59" s="76"/>
    </row>
    <row r="60" spans="1:16">
      <c r="A60" s="75">
        <v>48</v>
      </c>
      <c r="B60" s="220" t="s">
        <v>542</v>
      </c>
      <c r="C60" s="445" t="s">
        <v>224</v>
      </c>
      <c r="D60" s="238" t="s">
        <v>701</v>
      </c>
      <c r="E60" s="252">
        <v>45528</v>
      </c>
      <c r="F60" s="260">
        <v>61.059999999999995</v>
      </c>
      <c r="G60" s="589" t="s">
        <v>55</v>
      </c>
      <c r="H60" s="590"/>
      <c r="I60" s="590"/>
      <c r="J60" s="591"/>
      <c r="K60" s="253">
        <v>45543</v>
      </c>
      <c r="L60" s="266" t="s">
        <v>734</v>
      </c>
      <c r="M60" s="76"/>
      <c r="N60" s="76"/>
      <c r="O60" s="76"/>
      <c r="P60" s="76"/>
    </row>
    <row r="61" spans="1:16">
      <c r="A61" s="75">
        <v>49</v>
      </c>
      <c r="B61" s="27" t="s">
        <v>474</v>
      </c>
      <c r="C61" s="443" t="s">
        <v>195</v>
      </c>
      <c r="D61" s="236" t="s">
        <v>699</v>
      </c>
      <c r="E61" s="252">
        <v>45528</v>
      </c>
      <c r="F61" s="260">
        <v>37.64</v>
      </c>
      <c r="G61" s="589" t="s">
        <v>55</v>
      </c>
      <c r="H61" s="590"/>
      <c r="I61" s="590"/>
      <c r="J61" s="591"/>
      <c r="K61" s="253">
        <v>45565</v>
      </c>
      <c r="L61" s="266" t="s">
        <v>735</v>
      </c>
      <c r="M61" s="76"/>
      <c r="N61" s="76"/>
      <c r="O61" s="76"/>
      <c r="P61" s="76"/>
    </row>
    <row r="62" spans="1:16">
      <c r="A62" s="75">
        <v>50</v>
      </c>
      <c r="B62" s="27" t="s">
        <v>458</v>
      </c>
      <c r="C62" s="443" t="s">
        <v>224</v>
      </c>
      <c r="D62" s="236" t="s">
        <v>699</v>
      </c>
      <c r="E62" s="252">
        <v>45528</v>
      </c>
      <c r="F62" s="260">
        <v>41.37</v>
      </c>
      <c r="G62" s="589" t="s">
        <v>55</v>
      </c>
      <c r="H62" s="590"/>
      <c r="I62" s="590"/>
      <c r="J62" s="591"/>
      <c r="K62" s="253">
        <v>45540</v>
      </c>
      <c r="L62" s="266" t="s">
        <v>736</v>
      </c>
      <c r="M62" s="76"/>
      <c r="N62" s="76"/>
      <c r="O62" s="76"/>
      <c r="P62" s="76"/>
    </row>
    <row r="63" spans="1:16">
      <c r="A63" s="75">
        <v>51</v>
      </c>
      <c r="B63" s="216" t="s">
        <v>463</v>
      </c>
      <c r="C63" s="443" t="s">
        <v>195</v>
      </c>
      <c r="D63" s="236" t="s">
        <v>699</v>
      </c>
      <c r="E63" s="252">
        <v>45528</v>
      </c>
      <c r="F63" s="260">
        <v>37.64</v>
      </c>
      <c r="G63" s="589" t="s">
        <v>55</v>
      </c>
      <c r="H63" s="590"/>
      <c r="I63" s="590"/>
      <c r="J63" s="591"/>
      <c r="K63" s="253">
        <v>45557</v>
      </c>
      <c r="L63" s="266" t="s">
        <v>737</v>
      </c>
      <c r="M63" s="76"/>
      <c r="N63" s="76"/>
      <c r="O63" s="76"/>
      <c r="P63" s="76"/>
    </row>
    <row r="64" spans="1:16">
      <c r="A64" s="75">
        <v>52</v>
      </c>
      <c r="B64" s="216" t="s">
        <v>564</v>
      </c>
      <c r="C64" s="443" t="s">
        <v>224</v>
      </c>
      <c r="D64" s="236" t="s">
        <v>699</v>
      </c>
      <c r="E64" s="252">
        <v>45528</v>
      </c>
      <c r="F64" s="260">
        <v>41.37</v>
      </c>
      <c r="G64" s="589" t="s">
        <v>55</v>
      </c>
      <c r="H64" s="590"/>
      <c r="I64" s="590"/>
      <c r="J64" s="591"/>
      <c r="K64" s="253">
        <v>45555</v>
      </c>
      <c r="L64" s="266" t="s">
        <v>733</v>
      </c>
      <c r="M64" s="76"/>
      <c r="N64" s="76"/>
      <c r="O64" s="76"/>
      <c r="P64" s="76"/>
    </row>
    <row r="65" spans="1:16">
      <c r="A65" s="75">
        <v>53</v>
      </c>
      <c r="B65" s="216" t="s">
        <v>111</v>
      </c>
      <c r="C65" s="443" t="s">
        <v>225</v>
      </c>
      <c r="D65" s="238" t="s">
        <v>701</v>
      </c>
      <c r="E65" s="252">
        <v>45528</v>
      </c>
      <c r="F65" s="260">
        <v>58.51</v>
      </c>
      <c r="G65" s="589" t="s">
        <v>55</v>
      </c>
      <c r="H65" s="590"/>
      <c r="I65" s="590"/>
      <c r="J65" s="591"/>
      <c r="K65" s="253">
        <v>45543</v>
      </c>
      <c r="L65" s="266" t="s">
        <v>738</v>
      </c>
      <c r="M65" s="76"/>
      <c r="N65" s="76"/>
      <c r="O65" s="76"/>
      <c r="P65" s="76"/>
    </row>
    <row r="66" spans="1:16">
      <c r="A66" s="75">
        <v>54</v>
      </c>
      <c r="B66" s="216" t="s">
        <v>619</v>
      </c>
      <c r="C66" s="443" t="s">
        <v>195</v>
      </c>
      <c r="D66" s="236" t="s">
        <v>699</v>
      </c>
      <c r="E66" s="252">
        <v>45528</v>
      </c>
      <c r="F66" s="260">
        <v>37.64</v>
      </c>
      <c r="G66" s="589" t="s">
        <v>55</v>
      </c>
      <c r="H66" s="590"/>
      <c r="I66" s="590"/>
      <c r="J66" s="591"/>
      <c r="K66" s="253">
        <v>45546</v>
      </c>
      <c r="L66" s="266" t="s">
        <v>739</v>
      </c>
      <c r="M66" s="76"/>
      <c r="N66" s="76"/>
      <c r="O66" s="76"/>
      <c r="P66" s="76"/>
    </row>
    <row r="67" spans="1:16">
      <c r="A67" s="75">
        <v>55</v>
      </c>
      <c r="B67" s="216" t="s">
        <v>578</v>
      </c>
      <c r="C67" s="443" t="s">
        <v>224</v>
      </c>
      <c r="D67" s="238" t="s">
        <v>701</v>
      </c>
      <c r="E67" s="252">
        <v>45533</v>
      </c>
      <c r="F67" s="260">
        <v>61.059999999999995</v>
      </c>
      <c r="G67" s="589" t="s">
        <v>55</v>
      </c>
      <c r="H67" s="590"/>
      <c r="I67" s="590"/>
      <c r="J67" s="591"/>
      <c r="K67" s="253">
        <v>45543</v>
      </c>
      <c r="L67" s="266" t="s">
        <v>724</v>
      </c>
      <c r="M67" s="76"/>
      <c r="N67" s="76"/>
      <c r="O67" s="76"/>
      <c r="P67" s="76"/>
    </row>
    <row r="68" spans="1:16">
      <c r="A68" s="75">
        <v>56</v>
      </c>
      <c r="B68" s="216" t="s">
        <v>565</v>
      </c>
      <c r="C68" s="442" t="s">
        <v>226</v>
      </c>
      <c r="D68" s="236" t="s">
        <v>699</v>
      </c>
      <c r="E68" s="252">
        <v>45534</v>
      </c>
      <c r="F68" s="260">
        <v>41.37</v>
      </c>
      <c r="G68" s="589" t="s">
        <v>55</v>
      </c>
      <c r="H68" s="590"/>
      <c r="I68" s="590"/>
      <c r="J68" s="591"/>
      <c r="K68" s="253">
        <v>45557</v>
      </c>
      <c r="L68" s="266" t="s">
        <v>728</v>
      </c>
      <c r="M68" s="76"/>
      <c r="N68" s="76"/>
      <c r="O68" s="76"/>
      <c r="P68" s="76"/>
    </row>
    <row r="69" spans="1:16">
      <c r="A69" s="75">
        <v>57</v>
      </c>
      <c r="B69" s="216" t="s">
        <v>610</v>
      </c>
      <c r="C69" s="443" t="s">
        <v>225</v>
      </c>
      <c r="D69" s="236" t="s">
        <v>699</v>
      </c>
      <c r="E69" s="252">
        <v>45536</v>
      </c>
      <c r="F69" s="260">
        <v>37.64</v>
      </c>
      <c r="G69" s="589" t="s">
        <v>55</v>
      </c>
      <c r="H69" s="590"/>
      <c r="I69" s="590"/>
      <c r="J69" s="591"/>
      <c r="K69" s="253">
        <v>45544</v>
      </c>
      <c r="L69" s="266" t="s">
        <v>731</v>
      </c>
      <c r="M69" s="76"/>
      <c r="N69" s="76"/>
      <c r="O69" s="76"/>
      <c r="P69" s="76"/>
    </row>
    <row r="70" spans="1:16">
      <c r="A70" s="75">
        <v>58</v>
      </c>
      <c r="B70" s="216" t="s">
        <v>500</v>
      </c>
      <c r="C70" s="443" t="s">
        <v>224</v>
      </c>
      <c r="D70" s="236" t="s">
        <v>699</v>
      </c>
      <c r="E70" s="252">
        <v>45536</v>
      </c>
      <c r="F70" s="260">
        <v>41.37</v>
      </c>
      <c r="G70" s="589" t="s">
        <v>55</v>
      </c>
      <c r="H70" s="590"/>
      <c r="I70" s="590"/>
      <c r="J70" s="591"/>
      <c r="K70" s="253">
        <v>45543</v>
      </c>
      <c r="L70" s="266" t="s">
        <v>729</v>
      </c>
      <c r="M70" s="76"/>
      <c r="N70" s="76"/>
      <c r="O70" s="76"/>
      <c r="P70" s="76"/>
    </row>
    <row r="71" spans="1:16">
      <c r="A71" s="75">
        <v>59</v>
      </c>
      <c r="B71" s="216" t="s">
        <v>489</v>
      </c>
      <c r="C71" s="443" t="s">
        <v>224</v>
      </c>
      <c r="D71" s="236" t="s">
        <v>699</v>
      </c>
      <c r="E71" s="253">
        <v>45543</v>
      </c>
      <c r="F71" s="260">
        <v>41.37</v>
      </c>
      <c r="G71" s="589" t="s">
        <v>55</v>
      </c>
      <c r="H71" s="590"/>
      <c r="I71" s="590"/>
      <c r="J71" s="591"/>
      <c r="K71" s="253">
        <v>45559</v>
      </c>
      <c r="L71" s="266" t="s">
        <v>729</v>
      </c>
      <c r="M71" s="76"/>
      <c r="N71" s="76"/>
      <c r="O71" s="76"/>
      <c r="P71" s="76"/>
    </row>
    <row r="72" spans="1:16">
      <c r="A72" s="75">
        <v>60</v>
      </c>
      <c r="B72" s="216" t="s">
        <v>605</v>
      </c>
      <c r="C72" s="443" t="s">
        <v>225</v>
      </c>
      <c r="D72" s="236" t="s">
        <v>699</v>
      </c>
      <c r="E72" s="253">
        <v>45543</v>
      </c>
      <c r="F72" s="260">
        <v>37.64</v>
      </c>
      <c r="G72" s="589" t="s">
        <v>55</v>
      </c>
      <c r="H72" s="590"/>
      <c r="I72" s="590"/>
      <c r="J72" s="591"/>
      <c r="K72" s="253">
        <v>45546</v>
      </c>
      <c r="L72" s="266" t="s">
        <v>730</v>
      </c>
      <c r="M72" s="76"/>
      <c r="N72" s="76"/>
      <c r="O72" s="76"/>
      <c r="P72" s="76"/>
    </row>
    <row r="73" spans="1:16">
      <c r="A73" s="75">
        <v>61</v>
      </c>
      <c r="B73" s="216" t="s">
        <v>581</v>
      </c>
      <c r="C73" s="443" t="s">
        <v>195</v>
      </c>
      <c r="D73" s="236" t="s">
        <v>699</v>
      </c>
      <c r="E73" s="253">
        <v>45543</v>
      </c>
      <c r="F73" s="260">
        <v>37.64</v>
      </c>
      <c r="G73" s="589" t="s">
        <v>55</v>
      </c>
      <c r="H73" s="590"/>
      <c r="I73" s="590"/>
      <c r="J73" s="591"/>
      <c r="K73" s="253">
        <v>45557</v>
      </c>
      <c r="L73" s="266" t="s">
        <v>736</v>
      </c>
      <c r="M73" s="76"/>
      <c r="N73" s="76"/>
      <c r="O73" s="76"/>
      <c r="P73" s="76"/>
    </row>
    <row r="74" spans="1:16">
      <c r="A74" s="75">
        <v>62</v>
      </c>
      <c r="B74" s="216" t="s">
        <v>102</v>
      </c>
      <c r="C74" s="443" t="s">
        <v>195</v>
      </c>
      <c r="D74" s="236" t="s">
        <v>699</v>
      </c>
      <c r="E74" s="253">
        <v>45544</v>
      </c>
      <c r="F74" s="260">
        <v>37.64</v>
      </c>
      <c r="G74" s="589" t="s">
        <v>55</v>
      </c>
      <c r="H74" s="590"/>
      <c r="I74" s="590"/>
      <c r="J74" s="591"/>
      <c r="K74" s="253">
        <v>45555</v>
      </c>
      <c r="L74" s="266" t="s">
        <v>724</v>
      </c>
      <c r="M74" s="76"/>
      <c r="N74" s="76"/>
      <c r="O74" s="76"/>
      <c r="P74" s="76"/>
    </row>
    <row r="75" spans="1:16">
      <c r="A75" s="75">
        <v>63</v>
      </c>
      <c r="B75" s="216" t="s">
        <v>611</v>
      </c>
      <c r="C75" s="443" t="s">
        <v>225</v>
      </c>
      <c r="D75" s="236" t="s">
        <v>699</v>
      </c>
      <c r="E75" s="253">
        <v>45544</v>
      </c>
      <c r="F75" s="260">
        <v>37.64</v>
      </c>
      <c r="G75" s="589" t="s">
        <v>55</v>
      </c>
      <c r="H75" s="590"/>
      <c r="I75" s="590"/>
      <c r="J75" s="591"/>
      <c r="K75" s="253">
        <v>45565</v>
      </c>
      <c r="L75" s="266" t="s">
        <v>732</v>
      </c>
      <c r="M75" s="76"/>
      <c r="N75" s="76"/>
      <c r="O75" s="76"/>
      <c r="P75" s="76"/>
    </row>
    <row r="76" spans="1:16">
      <c r="A76" s="75">
        <v>64</v>
      </c>
      <c r="B76" s="216" t="s">
        <v>5</v>
      </c>
      <c r="C76" s="443" t="s">
        <v>224</v>
      </c>
      <c r="D76" s="236" t="s">
        <v>699</v>
      </c>
      <c r="E76" s="253">
        <v>45544</v>
      </c>
      <c r="F76" s="260">
        <v>41.37</v>
      </c>
      <c r="G76" s="589" t="s">
        <v>55</v>
      </c>
      <c r="H76" s="590"/>
      <c r="I76" s="590"/>
      <c r="J76" s="591"/>
      <c r="K76" s="253">
        <v>45564</v>
      </c>
      <c r="L76" s="266" t="s">
        <v>738</v>
      </c>
      <c r="M76" s="76"/>
      <c r="N76" s="76"/>
      <c r="O76" s="76"/>
      <c r="P76" s="76"/>
    </row>
    <row r="77" spans="1:16">
      <c r="A77" s="75">
        <v>65</v>
      </c>
      <c r="B77" s="216" t="s">
        <v>617</v>
      </c>
      <c r="C77" s="443" t="s">
        <v>195</v>
      </c>
      <c r="D77" s="236" t="s">
        <v>699</v>
      </c>
      <c r="E77" s="253">
        <v>45546</v>
      </c>
      <c r="F77" s="260">
        <v>37.64</v>
      </c>
      <c r="G77" s="589" t="s">
        <v>55</v>
      </c>
      <c r="H77" s="590"/>
      <c r="I77" s="590"/>
      <c r="J77" s="591"/>
      <c r="K77" s="253">
        <v>45555</v>
      </c>
      <c r="L77" s="266" t="s">
        <v>730</v>
      </c>
      <c r="M77" s="76"/>
      <c r="N77" s="76"/>
      <c r="O77" s="76"/>
      <c r="P77" s="76"/>
    </row>
    <row r="78" spans="1:16">
      <c r="A78" s="75">
        <v>66</v>
      </c>
      <c r="B78" s="216" t="s">
        <v>573</v>
      </c>
      <c r="C78" s="443" t="s">
        <v>225</v>
      </c>
      <c r="D78" s="236" t="s">
        <v>699</v>
      </c>
      <c r="E78" s="253">
        <v>45554</v>
      </c>
      <c r="F78" s="260">
        <v>37.64</v>
      </c>
      <c r="G78" s="589" t="s">
        <v>55</v>
      </c>
      <c r="H78" s="590"/>
      <c r="I78" s="590"/>
      <c r="J78" s="591"/>
      <c r="K78" s="253">
        <v>45559</v>
      </c>
      <c r="L78" s="266" t="s">
        <v>740</v>
      </c>
      <c r="M78" s="76"/>
      <c r="N78" s="76"/>
      <c r="O78" s="76"/>
      <c r="P78" s="76"/>
    </row>
    <row r="79" spans="1:16">
      <c r="A79" s="75">
        <v>67</v>
      </c>
      <c r="B79" s="216" t="s">
        <v>88</v>
      </c>
      <c r="C79" s="442" t="s">
        <v>225</v>
      </c>
      <c r="D79" s="236" t="s">
        <v>699</v>
      </c>
      <c r="E79" s="254">
        <v>45554</v>
      </c>
      <c r="F79" s="260">
        <v>37.64</v>
      </c>
      <c r="G79" s="589" t="s">
        <v>55</v>
      </c>
      <c r="H79" s="590"/>
      <c r="I79" s="590"/>
      <c r="J79" s="591"/>
      <c r="K79" s="253">
        <v>45561</v>
      </c>
      <c r="L79" s="266" t="s">
        <v>734</v>
      </c>
      <c r="M79" s="76"/>
      <c r="N79" s="76"/>
      <c r="O79" s="76"/>
      <c r="P79" s="76"/>
    </row>
    <row r="80" spans="1:16">
      <c r="A80" s="75">
        <v>68</v>
      </c>
      <c r="B80" s="216" t="s">
        <v>103</v>
      </c>
      <c r="C80" s="442" t="s">
        <v>224</v>
      </c>
      <c r="D80" s="236" t="s">
        <v>699</v>
      </c>
      <c r="E80" s="254">
        <v>45554</v>
      </c>
      <c r="F80" s="260">
        <v>41.37</v>
      </c>
      <c r="G80" s="589" t="s">
        <v>55</v>
      </c>
      <c r="H80" s="590"/>
      <c r="I80" s="590"/>
      <c r="J80" s="591"/>
      <c r="K80" s="253">
        <v>45561</v>
      </c>
      <c r="L80" s="266" t="s">
        <v>724</v>
      </c>
      <c r="M80" s="76"/>
      <c r="N80" s="76"/>
      <c r="O80" s="76"/>
      <c r="P80" s="76"/>
    </row>
    <row r="81" spans="1:16">
      <c r="A81" s="75">
        <v>69</v>
      </c>
      <c r="B81" s="216" t="s">
        <v>601</v>
      </c>
      <c r="C81" s="442" t="s">
        <v>225</v>
      </c>
      <c r="D81" s="236" t="s">
        <v>699</v>
      </c>
      <c r="E81" s="254">
        <v>45554</v>
      </c>
      <c r="F81" s="260">
        <v>37.64</v>
      </c>
      <c r="G81" s="589" t="s">
        <v>55</v>
      </c>
      <c r="H81" s="590"/>
      <c r="I81" s="590"/>
      <c r="J81" s="591"/>
      <c r="K81" s="253">
        <v>45559</v>
      </c>
      <c r="L81" s="266" t="s">
        <v>733</v>
      </c>
      <c r="M81" s="76"/>
      <c r="N81" s="76"/>
      <c r="O81" s="76"/>
      <c r="P81" s="76"/>
    </row>
    <row r="82" spans="1:16">
      <c r="A82" s="75">
        <v>70</v>
      </c>
      <c r="B82" s="216" t="s">
        <v>498</v>
      </c>
      <c r="C82" s="442" t="s">
        <v>195</v>
      </c>
      <c r="D82" s="236" t="s">
        <v>699</v>
      </c>
      <c r="E82" s="254">
        <v>45555</v>
      </c>
      <c r="F82" s="260">
        <v>37.64</v>
      </c>
      <c r="G82" s="589" t="s">
        <v>55</v>
      </c>
      <c r="H82" s="590"/>
      <c r="I82" s="590"/>
      <c r="J82" s="591"/>
      <c r="K82" s="253">
        <v>45561</v>
      </c>
      <c r="L82" s="266" t="s">
        <v>732</v>
      </c>
      <c r="M82" s="76"/>
      <c r="N82" s="76"/>
      <c r="O82" s="76"/>
      <c r="P82" s="76"/>
    </row>
    <row r="83" spans="1:16">
      <c r="A83" s="75">
        <v>71</v>
      </c>
      <c r="B83" s="216" t="s">
        <v>638</v>
      </c>
      <c r="C83" s="442" t="s">
        <v>227</v>
      </c>
      <c r="D83" s="236" t="s">
        <v>699</v>
      </c>
      <c r="E83" s="254">
        <v>45557</v>
      </c>
      <c r="F83" s="260">
        <v>41.37</v>
      </c>
      <c r="G83" s="589" t="s">
        <v>55</v>
      </c>
      <c r="H83" s="590"/>
      <c r="I83" s="590"/>
      <c r="J83" s="591"/>
      <c r="K83" s="253">
        <v>45561</v>
      </c>
      <c r="L83" s="266" t="s">
        <v>730</v>
      </c>
      <c r="M83" s="76"/>
      <c r="N83" s="76"/>
      <c r="O83" s="76"/>
      <c r="P83" s="76"/>
    </row>
    <row r="84" spans="1:16">
      <c r="A84" s="75">
        <v>72</v>
      </c>
      <c r="B84" s="216" t="s">
        <v>530</v>
      </c>
      <c r="C84" s="442" t="s">
        <v>224</v>
      </c>
      <c r="D84" s="236" t="s">
        <v>699</v>
      </c>
      <c r="E84" s="254">
        <v>45557</v>
      </c>
      <c r="F84" s="260">
        <v>41.37</v>
      </c>
      <c r="G84" s="589" t="s">
        <v>55</v>
      </c>
      <c r="H84" s="590"/>
      <c r="I84" s="590"/>
      <c r="J84" s="591"/>
      <c r="K84" s="253">
        <v>45565</v>
      </c>
      <c r="L84" s="266" t="s">
        <v>736</v>
      </c>
      <c r="M84" s="76"/>
      <c r="N84" s="76"/>
      <c r="O84" s="76"/>
      <c r="P84" s="76"/>
    </row>
    <row r="85" spans="1:16">
      <c r="A85" s="75">
        <v>73</v>
      </c>
      <c r="B85" s="216" t="s">
        <v>599</v>
      </c>
      <c r="C85" s="442" t="s">
        <v>225</v>
      </c>
      <c r="D85" s="236" t="s">
        <v>699</v>
      </c>
      <c r="E85" s="254">
        <v>45558</v>
      </c>
      <c r="F85" s="260">
        <v>37.64</v>
      </c>
      <c r="G85" s="589" t="s">
        <v>55</v>
      </c>
      <c r="H85" s="590"/>
      <c r="I85" s="590"/>
      <c r="J85" s="591"/>
      <c r="K85" s="253">
        <v>45565</v>
      </c>
      <c r="L85" s="266" t="s">
        <v>731</v>
      </c>
      <c r="M85" s="76"/>
      <c r="N85" s="76"/>
      <c r="O85" s="76"/>
      <c r="P85" s="76"/>
    </row>
    <row r="86" spans="1:16">
      <c r="A86" s="75">
        <v>74</v>
      </c>
      <c r="B86" s="216" t="s">
        <v>585</v>
      </c>
      <c r="C86" s="442" t="s">
        <v>225</v>
      </c>
      <c r="D86" s="236" t="s">
        <v>699</v>
      </c>
      <c r="E86" s="254">
        <v>45560</v>
      </c>
      <c r="F86" s="260">
        <v>37.64</v>
      </c>
      <c r="G86" s="589" t="s">
        <v>55</v>
      </c>
      <c r="H86" s="590"/>
      <c r="I86" s="590"/>
      <c r="J86" s="591"/>
      <c r="K86" s="253">
        <v>45565</v>
      </c>
      <c r="L86" s="266" t="s">
        <v>729</v>
      </c>
      <c r="M86" s="76"/>
      <c r="N86" s="76"/>
      <c r="O86" s="76"/>
      <c r="P86" s="76"/>
    </row>
    <row r="87" spans="1:16">
      <c r="A87" s="75">
        <v>75</v>
      </c>
      <c r="B87" s="216" t="s">
        <v>613</v>
      </c>
      <c r="C87" s="443" t="s">
        <v>227</v>
      </c>
      <c r="D87" s="236" t="s">
        <v>699</v>
      </c>
      <c r="E87" s="254">
        <v>45561</v>
      </c>
      <c r="F87" s="260">
        <v>41.37</v>
      </c>
      <c r="G87" s="589" t="s">
        <v>55</v>
      </c>
      <c r="H87" s="590"/>
      <c r="I87" s="590"/>
      <c r="J87" s="591"/>
      <c r="K87" s="253">
        <v>45565</v>
      </c>
      <c r="L87" s="266" t="s">
        <v>730</v>
      </c>
      <c r="M87" s="76"/>
      <c r="N87" s="76"/>
      <c r="O87" s="76"/>
      <c r="P87" s="76"/>
    </row>
    <row r="88" spans="1:16">
      <c r="A88" s="75">
        <v>76</v>
      </c>
      <c r="B88" s="216" t="s">
        <v>631</v>
      </c>
      <c r="C88" s="443" t="s">
        <v>225</v>
      </c>
      <c r="D88" s="236" t="s">
        <v>699</v>
      </c>
      <c r="E88" s="254">
        <v>45562</v>
      </c>
      <c r="F88" s="260">
        <v>37.64</v>
      </c>
      <c r="G88" s="589" t="s">
        <v>55</v>
      </c>
      <c r="H88" s="590"/>
      <c r="I88" s="590"/>
      <c r="J88" s="591"/>
      <c r="K88" s="253">
        <v>45571</v>
      </c>
      <c r="L88" s="266" t="s">
        <v>731</v>
      </c>
      <c r="M88" s="76"/>
      <c r="N88" s="76"/>
      <c r="O88" s="76"/>
      <c r="P88" s="76"/>
    </row>
    <row r="89" spans="1:16">
      <c r="A89" s="75">
        <v>77</v>
      </c>
      <c r="B89" s="216" t="s">
        <v>6</v>
      </c>
      <c r="C89" s="443" t="s">
        <v>195</v>
      </c>
      <c r="D89" s="236" t="s">
        <v>699</v>
      </c>
      <c r="E89" s="253">
        <v>45544</v>
      </c>
      <c r="F89" s="260">
        <v>37.64</v>
      </c>
      <c r="G89" s="589" t="s">
        <v>55</v>
      </c>
      <c r="H89" s="590"/>
      <c r="I89" s="590"/>
      <c r="J89" s="591"/>
      <c r="K89" s="253">
        <v>45575</v>
      </c>
      <c r="L89" s="266" t="s">
        <v>738</v>
      </c>
      <c r="M89" s="76"/>
      <c r="N89" s="76"/>
      <c r="O89" s="76"/>
      <c r="P89" s="76"/>
    </row>
    <row r="90" spans="1:16">
      <c r="A90" s="75">
        <v>78</v>
      </c>
      <c r="B90" s="216" t="s">
        <v>87</v>
      </c>
      <c r="C90" s="442" t="s">
        <v>224</v>
      </c>
      <c r="D90" s="236" t="s">
        <v>699</v>
      </c>
      <c r="E90" s="254">
        <v>45555</v>
      </c>
      <c r="F90" s="260">
        <v>41.37</v>
      </c>
      <c r="G90" s="589" t="s">
        <v>55</v>
      </c>
      <c r="H90" s="590"/>
      <c r="I90" s="590"/>
      <c r="J90" s="591"/>
      <c r="K90" s="253">
        <v>45566</v>
      </c>
      <c r="L90" s="266" t="s">
        <v>741</v>
      </c>
      <c r="M90" s="76"/>
      <c r="N90" s="76"/>
      <c r="O90" s="76"/>
      <c r="P90" s="76"/>
    </row>
    <row r="91" spans="1:16">
      <c r="A91" s="75">
        <v>79</v>
      </c>
      <c r="B91" s="216" t="s">
        <v>37</v>
      </c>
      <c r="C91" s="442" t="s">
        <v>224</v>
      </c>
      <c r="D91" s="236" t="s">
        <v>699</v>
      </c>
      <c r="E91" s="254">
        <v>45560</v>
      </c>
      <c r="F91" s="260">
        <v>41.37</v>
      </c>
      <c r="G91" s="589" t="s">
        <v>55</v>
      </c>
      <c r="H91" s="590"/>
      <c r="I91" s="590"/>
      <c r="J91" s="591"/>
      <c r="K91" s="253">
        <v>45568</v>
      </c>
      <c r="L91" s="266" t="s">
        <v>739</v>
      </c>
      <c r="M91" s="76"/>
      <c r="N91" s="76"/>
      <c r="O91" s="76"/>
      <c r="P91" s="76"/>
    </row>
    <row r="92" spans="1:16">
      <c r="A92" s="75">
        <v>80</v>
      </c>
      <c r="B92" s="216" t="s">
        <v>579</v>
      </c>
      <c r="C92" s="442" t="s">
        <v>225</v>
      </c>
      <c r="D92" s="236" t="s">
        <v>699</v>
      </c>
      <c r="E92" s="254">
        <v>45561</v>
      </c>
      <c r="F92" s="260">
        <v>37.64</v>
      </c>
      <c r="G92" s="589" t="s">
        <v>55</v>
      </c>
      <c r="H92" s="590"/>
      <c r="I92" s="590"/>
      <c r="J92" s="591"/>
      <c r="K92" s="253">
        <v>45571</v>
      </c>
      <c r="L92" s="266" t="s">
        <v>733</v>
      </c>
      <c r="M92" s="76"/>
      <c r="N92" s="76"/>
      <c r="O92" s="76"/>
      <c r="P92" s="76"/>
    </row>
    <row r="93" spans="1:16">
      <c r="A93" s="75">
        <v>81</v>
      </c>
      <c r="B93" s="216" t="s">
        <v>520</v>
      </c>
      <c r="C93" s="442" t="s">
        <v>224</v>
      </c>
      <c r="D93" s="236" t="s">
        <v>699</v>
      </c>
      <c r="E93" s="254">
        <v>45561</v>
      </c>
      <c r="F93" s="260">
        <v>41.37</v>
      </c>
      <c r="G93" s="589" t="s">
        <v>55</v>
      </c>
      <c r="H93" s="590"/>
      <c r="I93" s="590"/>
      <c r="J93" s="591"/>
      <c r="K93" s="253">
        <v>45568</v>
      </c>
      <c r="L93" s="266" t="s">
        <v>742</v>
      </c>
      <c r="M93" s="76"/>
      <c r="N93" s="76"/>
      <c r="O93" s="76"/>
      <c r="P93" s="76"/>
    </row>
    <row r="94" spans="1:16">
      <c r="A94" s="75">
        <v>82</v>
      </c>
      <c r="B94" s="216" t="s">
        <v>89</v>
      </c>
      <c r="C94" s="442" t="s">
        <v>195</v>
      </c>
      <c r="D94" s="236" t="s">
        <v>699</v>
      </c>
      <c r="E94" s="254">
        <v>45562</v>
      </c>
      <c r="F94" s="260">
        <v>37.64</v>
      </c>
      <c r="G94" s="589" t="s">
        <v>55</v>
      </c>
      <c r="H94" s="590"/>
      <c r="I94" s="590"/>
      <c r="J94" s="591"/>
      <c r="K94" s="253">
        <v>45566</v>
      </c>
      <c r="L94" s="266" t="s">
        <v>734</v>
      </c>
      <c r="M94" s="76"/>
      <c r="N94" s="76"/>
      <c r="O94" s="76"/>
      <c r="P94" s="76"/>
    </row>
    <row r="95" spans="1:16">
      <c r="A95" s="75">
        <v>83</v>
      </c>
      <c r="B95" s="9" t="s">
        <v>566</v>
      </c>
      <c r="C95" s="443" t="s">
        <v>195</v>
      </c>
      <c r="D95" s="236" t="s">
        <v>699</v>
      </c>
      <c r="E95" s="254">
        <v>45566</v>
      </c>
      <c r="F95" s="260">
        <v>37.64</v>
      </c>
      <c r="G95" s="589" t="s">
        <v>55</v>
      </c>
      <c r="H95" s="590"/>
      <c r="I95" s="590"/>
      <c r="J95" s="591"/>
      <c r="K95" s="253">
        <v>45569</v>
      </c>
      <c r="L95" s="266" t="s">
        <v>730</v>
      </c>
      <c r="M95" s="76"/>
      <c r="N95" s="76"/>
      <c r="O95" s="76"/>
      <c r="P95" s="76"/>
    </row>
    <row r="96" spans="1:16">
      <c r="A96" s="75">
        <v>84</v>
      </c>
      <c r="B96" s="221" t="s">
        <v>495</v>
      </c>
      <c r="C96" s="443" t="s">
        <v>224</v>
      </c>
      <c r="D96" s="236" t="s">
        <v>699</v>
      </c>
      <c r="E96" s="253">
        <v>45566</v>
      </c>
      <c r="F96" s="260">
        <v>41.37</v>
      </c>
      <c r="G96" s="589" t="s">
        <v>55</v>
      </c>
      <c r="H96" s="590"/>
      <c r="I96" s="590"/>
      <c r="J96" s="591"/>
      <c r="K96" s="253">
        <v>45572</v>
      </c>
      <c r="L96" s="266" t="s">
        <v>729</v>
      </c>
      <c r="M96" s="76"/>
      <c r="N96" s="76"/>
      <c r="O96" s="76"/>
      <c r="P96" s="76"/>
    </row>
    <row r="97" spans="1:16">
      <c r="A97" s="75">
        <v>85</v>
      </c>
      <c r="B97" s="210" t="s">
        <v>595</v>
      </c>
      <c r="C97" s="442" t="s">
        <v>225</v>
      </c>
      <c r="D97" s="236" t="s">
        <v>699</v>
      </c>
      <c r="E97" s="253">
        <v>45566</v>
      </c>
      <c r="F97" s="260">
        <v>37.64</v>
      </c>
      <c r="G97" s="589" t="s">
        <v>55</v>
      </c>
      <c r="H97" s="590"/>
      <c r="I97" s="590"/>
      <c r="J97" s="591"/>
      <c r="K97" s="253">
        <v>45572</v>
      </c>
      <c r="L97" s="10" t="s">
        <v>736</v>
      </c>
      <c r="M97" s="76"/>
      <c r="N97" s="76"/>
      <c r="O97" s="76"/>
      <c r="P97" s="76"/>
    </row>
    <row r="98" spans="1:16">
      <c r="A98" s="75">
        <v>86</v>
      </c>
      <c r="B98" s="210" t="s">
        <v>494</v>
      </c>
      <c r="C98" s="442" t="s">
        <v>195</v>
      </c>
      <c r="D98" s="236" t="s">
        <v>699</v>
      </c>
      <c r="E98" s="253">
        <v>45568</v>
      </c>
      <c r="F98" s="260">
        <v>37.64</v>
      </c>
      <c r="G98" s="589" t="s">
        <v>55</v>
      </c>
      <c r="H98" s="590"/>
      <c r="I98" s="590"/>
      <c r="J98" s="591"/>
      <c r="K98" s="253">
        <v>45572</v>
      </c>
      <c r="L98" s="10" t="s">
        <v>740</v>
      </c>
      <c r="M98" s="76"/>
      <c r="N98" s="76"/>
      <c r="O98" s="76"/>
      <c r="P98" s="76"/>
    </row>
    <row r="99" spans="1:16">
      <c r="A99" s="75">
        <v>87</v>
      </c>
      <c r="B99" s="210" t="s">
        <v>583</v>
      </c>
      <c r="C99" s="443" t="s">
        <v>224</v>
      </c>
      <c r="D99" s="236" t="s">
        <v>699</v>
      </c>
      <c r="E99" s="253">
        <v>45569</v>
      </c>
      <c r="F99" s="260">
        <v>41.37</v>
      </c>
      <c r="G99" s="589" t="s">
        <v>55</v>
      </c>
      <c r="H99" s="590"/>
      <c r="I99" s="590"/>
      <c r="J99" s="591"/>
      <c r="K99" s="253">
        <v>45573</v>
      </c>
      <c r="L99" s="10" t="s">
        <v>730</v>
      </c>
      <c r="M99" s="76"/>
      <c r="N99" s="76"/>
      <c r="O99" s="76"/>
      <c r="P99" s="76"/>
    </row>
    <row r="100" spans="1:16">
      <c r="A100" s="75">
        <v>88</v>
      </c>
      <c r="B100" s="222" t="s">
        <v>95</v>
      </c>
      <c r="C100" s="442" t="s">
        <v>224</v>
      </c>
      <c r="D100" s="236" t="s">
        <v>699</v>
      </c>
      <c r="E100" s="253">
        <v>45569</v>
      </c>
      <c r="F100" s="260">
        <v>41.37</v>
      </c>
      <c r="G100" s="589" t="s">
        <v>55</v>
      </c>
      <c r="H100" s="590"/>
      <c r="I100" s="590"/>
      <c r="J100" s="591"/>
      <c r="K100" s="253">
        <v>45575</v>
      </c>
      <c r="L100" s="266" t="s">
        <v>734</v>
      </c>
      <c r="M100" s="76"/>
      <c r="N100" s="76"/>
      <c r="O100" s="76"/>
      <c r="P100" s="76"/>
    </row>
    <row r="101" spans="1:16">
      <c r="A101" s="75">
        <v>89</v>
      </c>
      <c r="B101" s="211" t="s">
        <v>587</v>
      </c>
      <c r="C101" s="442" t="s">
        <v>225</v>
      </c>
      <c r="D101" s="236" t="s">
        <v>699</v>
      </c>
      <c r="E101" s="253">
        <v>45569</v>
      </c>
      <c r="F101" s="260">
        <v>37.64</v>
      </c>
      <c r="G101" s="589" t="s">
        <v>55</v>
      </c>
      <c r="H101" s="590"/>
      <c r="I101" s="590"/>
      <c r="J101" s="591"/>
      <c r="K101" s="253">
        <v>45573</v>
      </c>
      <c r="L101" s="266" t="s">
        <v>724</v>
      </c>
      <c r="M101" s="76"/>
      <c r="N101" s="76"/>
      <c r="O101" s="76"/>
      <c r="P101" s="76"/>
    </row>
    <row r="102" spans="1:16">
      <c r="A102" s="75">
        <v>90</v>
      </c>
      <c r="B102" s="216" t="s">
        <v>524</v>
      </c>
      <c r="C102" s="442" t="s">
        <v>195</v>
      </c>
      <c r="D102" s="236" t="s">
        <v>699</v>
      </c>
      <c r="E102" s="253">
        <v>45569</v>
      </c>
      <c r="F102" s="260">
        <v>37.64</v>
      </c>
      <c r="G102" s="589" t="s">
        <v>55</v>
      </c>
      <c r="H102" s="590"/>
      <c r="I102" s="590"/>
      <c r="J102" s="591"/>
      <c r="K102" s="253">
        <v>45573</v>
      </c>
      <c r="L102" s="266" t="s">
        <v>742</v>
      </c>
      <c r="M102" s="76"/>
      <c r="N102" s="76"/>
      <c r="O102" s="76"/>
      <c r="P102" s="76"/>
    </row>
    <row r="103" spans="1:16">
      <c r="A103" s="75">
        <v>91</v>
      </c>
      <c r="B103" s="216" t="s">
        <v>18</v>
      </c>
      <c r="C103" s="443" t="s">
        <v>224</v>
      </c>
      <c r="D103" s="236" t="s">
        <v>699</v>
      </c>
      <c r="E103" s="253">
        <v>45569</v>
      </c>
      <c r="F103" s="260">
        <v>41.37</v>
      </c>
      <c r="G103" s="589" t="s">
        <v>55</v>
      </c>
      <c r="H103" s="590"/>
      <c r="I103" s="590"/>
      <c r="J103" s="591"/>
      <c r="K103" s="253">
        <v>45575</v>
      </c>
      <c r="L103" s="266" t="s">
        <v>741</v>
      </c>
      <c r="M103" s="76"/>
      <c r="N103" s="76"/>
      <c r="O103" s="76"/>
      <c r="P103" s="76"/>
    </row>
    <row r="104" spans="1:16">
      <c r="A104" s="75">
        <v>92</v>
      </c>
      <c r="B104" s="216" t="s">
        <v>86</v>
      </c>
      <c r="C104" s="442" t="s">
        <v>225</v>
      </c>
      <c r="D104" s="236" t="s">
        <v>699</v>
      </c>
      <c r="E104" s="253">
        <v>45569</v>
      </c>
      <c r="F104" s="260">
        <v>37.64</v>
      </c>
      <c r="G104" s="589" t="s">
        <v>55</v>
      </c>
      <c r="H104" s="590"/>
      <c r="I104" s="590"/>
      <c r="J104" s="591"/>
      <c r="K104" s="253">
        <v>45575</v>
      </c>
      <c r="L104" s="266" t="s">
        <v>743</v>
      </c>
      <c r="M104" s="76"/>
      <c r="N104" s="76"/>
      <c r="O104" s="76"/>
      <c r="P104" s="76"/>
    </row>
    <row r="105" spans="1:16">
      <c r="A105" s="75">
        <v>93</v>
      </c>
      <c r="B105" s="216" t="s">
        <v>505</v>
      </c>
      <c r="C105" s="442" t="s">
        <v>195</v>
      </c>
      <c r="D105" s="236" t="s">
        <v>699</v>
      </c>
      <c r="E105" s="253">
        <v>45573</v>
      </c>
      <c r="F105" s="260">
        <v>37.64</v>
      </c>
      <c r="G105" s="589" t="s">
        <v>55</v>
      </c>
      <c r="H105" s="590"/>
      <c r="I105" s="590"/>
      <c r="J105" s="591"/>
      <c r="K105" s="253">
        <v>45575</v>
      </c>
      <c r="L105" s="266" t="s">
        <v>740</v>
      </c>
      <c r="M105" s="76"/>
      <c r="N105" s="76"/>
      <c r="O105" s="76"/>
      <c r="P105" s="76"/>
    </row>
    <row r="106" spans="1:16">
      <c r="A106" s="75">
        <v>94</v>
      </c>
      <c r="B106" s="216" t="s">
        <v>17</v>
      </c>
      <c r="C106" s="443" t="s">
        <v>224</v>
      </c>
      <c r="D106" s="236" t="s">
        <v>699</v>
      </c>
      <c r="E106" s="253">
        <v>45573</v>
      </c>
      <c r="F106" s="260">
        <v>41.37</v>
      </c>
      <c r="G106" s="589" t="s">
        <v>55</v>
      </c>
      <c r="H106" s="590"/>
      <c r="I106" s="590"/>
      <c r="J106" s="591"/>
      <c r="K106" s="253">
        <v>45578</v>
      </c>
      <c r="L106" s="266" t="s">
        <v>742</v>
      </c>
      <c r="M106" s="76"/>
      <c r="N106" s="76"/>
      <c r="O106" s="76"/>
      <c r="P106" s="76"/>
    </row>
    <row r="107" spans="1:16">
      <c r="A107" s="75">
        <v>95</v>
      </c>
      <c r="B107" s="216" t="s">
        <v>504</v>
      </c>
      <c r="C107" s="443" t="s">
        <v>224</v>
      </c>
      <c r="D107" s="236" t="s">
        <v>699</v>
      </c>
      <c r="E107" s="253">
        <v>45575</v>
      </c>
      <c r="F107" s="260">
        <v>41.37</v>
      </c>
      <c r="G107" s="589" t="s">
        <v>55</v>
      </c>
      <c r="H107" s="590"/>
      <c r="I107" s="590"/>
      <c r="J107" s="591"/>
      <c r="K107" s="253">
        <v>45578</v>
      </c>
      <c r="L107" s="266" t="s">
        <v>729</v>
      </c>
      <c r="M107" s="76"/>
      <c r="N107" s="76"/>
      <c r="O107" s="76"/>
      <c r="P107" s="76"/>
    </row>
    <row r="108" spans="1:16">
      <c r="A108" s="75">
        <v>96</v>
      </c>
      <c r="B108" s="216" t="s">
        <v>472</v>
      </c>
      <c r="C108" s="442" t="s">
        <v>225</v>
      </c>
      <c r="D108" s="236" t="s">
        <v>699</v>
      </c>
      <c r="E108" s="253">
        <v>45575</v>
      </c>
      <c r="F108" s="260">
        <v>37.64</v>
      </c>
      <c r="G108" s="589" t="s">
        <v>55</v>
      </c>
      <c r="H108" s="590"/>
      <c r="I108" s="590"/>
      <c r="J108" s="591"/>
      <c r="K108" s="253">
        <v>45579</v>
      </c>
      <c r="L108" s="266" t="s">
        <v>731</v>
      </c>
      <c r="M108" s="76"/>
      <c r="N108" s="76"/>
      <c r="O108" s="76"/>
      <c r="P108" s="76"/>
    </row>
    <row r="109" spans="1:16">
      <c r="A109" s="75">
        <v>97</v>
      </c>
      <c r="B109" s="216" t="s">
        <v>537</v>
      </c>
      <c r="C109" s="442" t="s">
        <v>225</v>
      </c>
      <c r="D109" s="236" t="s">
        <v>699</v>
      </c>
      <c r="E109" s="253">
        <v>45575</v>
      </c>
      <c r="F109" s="260">
        <v>37.64</v>
      </c>
      <c r="G109" s="589" t="s">
        <v>55</v>
      </c>
      <c r="H109" s="590"/>
      <c r="I109" s="590"/>
      <c r="J109" s="591"/>
      <c r="K109" s="253">
        <v>45579</v>
      </c>
      <c r="L109" s="10" t="s">
        <v>730</v>
      </c>
      <c r="M109" s="76"/>
      <c r="N109" s="76"/>
      <c r="O109" s="76"/>
      <c r="P109" s="76"/>
    </row>
    <row r="110" spans="1:16">
      <c r="A110" s="75">
        <v>98</v>
      </c>
      <c r="B110" s="216" t="s">
        <v>588</v>
      </c>
      <c r="C110" s="442" t="s">
        <v>225</v>
      </c>
      <c r="D110" s="236" t="s">
        <v>699</v>
      </c>
      <c r="E110" s="253">
        <v>45575</v>
      </c>
      <c r="F110" s="260">
        <v>37.64</v>
      </c>
      <c r="G110" s="589" t="s">
        <v>55</v>
      </c>
      <c r="H110" s="590"/>
      <c r="I110" s="590"/>
      <c r="J110" s="591"/>
      <c r="K110" s="253">
        <v>45579</v>
      </c>
      <c r="L110" s="266" t="s">
        <v>736</v>
      </c>
      <c r="M110" s="76"/>
      <c r="N110" s="76"/>
      <c r="O110" s="76"/>
      <c r="P110" s="76"/>
    </row>
    <row r="111" spans="1:16">
      <c r="A111" s="75">
        <v>99</v>
      </c>
      <c r="B111" s="216" t="s">
        <v>533</v>
      </c>
      <c r="C111" s="442" t="s">
        <v>195</v>
      </c>
      <c r="D111" s="236" t="s">
        <v>699</v>
      </c>
      <c r="E111" s="253">
        <v>45575</v>
      </c>
      <c r="F111" s="260">
        <v>37.64</v>
      </c>
      <c r="G111" s="589" t="s">
        <v>55</v>
      </c>
      <c r="H111" s="590"/>
      <c r="I111" s="590"/>
      <c r="J111" s="591"/>
      <c r="K111" s="253">
        <v>45581</v>
      </c>
      <c r="L111" s="266" t="s">
        <v>740</v>
      </c>
      <c r="M111" s="76"/>
      <c r="N111" s="76"/>
      <c r="O111" s="76"/>
      <c r="P111" s="76"/>
    </row>
    <row r="112" spans="1:16">
      <c r="A112" s="75">
        <v>100</v>
      </c>
      <c r="B112" s="216" t="s">
        <v>515</v>
      </c>
      <c r="C112" s="442" t="s">
        <v>195</v>
      </c>
      <c r="D112" s="236" t="s">
        <v>699</v>
      </c>
      <c r="E112" s="253">
        <v>45577</v>
      </c>
      <c r="F112" s="260">
        <v>37.64</v>
      </c>
      <c r="G112" s="589" t="s">
        <v>55</v>
      </c>
      <c r="H112" s="590"/>
      <c r="I112" s="590"/>
      <c r="J112" s="591"/>
      <c r="K112" s="253">
        <v>45586</v>
      </c>
      <c r="L112" s="266" t="s">
        <v>728</v>
      </c>
      <c r="M112" s="76"/>
      <c r="N112" s="76"/>
      <c r="O112" s="76"/>
      <c r="P112" s="76"/>
    </row>
    <row r="113" spans="1:16">
      <c r="A113" s="75">
        <v>101</v>
      </c>
      <c r="B113" s="216" t="s">
        <v>509</v>
      </c>
      <c r="C113" s="442" t="s">
        <v>195</v>
      </c>
      <c r="D113" s="236" t="s">
        <v>699</v>
      </c>
      <c r="E113" s="253">
        <v>45577</v>
      </c>
      <c r="F113" s="260">
        <v>37.64</v>
      </c>
      <c r="G113" s="589" t="s">
        <v>55</v>
      </c>
      <c r="H113" s="590"/>
      <c r="I113" s="590"/>
      <c r="J113" s="591"/>
      <c r="K113" s="253">
        <v>45581</v>
      </c>
      <c r="L113" s="266" t="s">
        <v>733</v>
      </c>
      <c r="M113" s="76"/>
      <c r="N113" s="76"/>
      <c r="O113" s="76"/>
      <c r="P113" s="76"/>
    </row>
    <row r="114" spans="1:16">
      <c r="A114" s="75">
        <v>102</v>
      </c>
      <c r="B114" s="216" t="s">
        <v>94</v>
      </c>
      <c r="C114" s="442" t="s">
        <v>225</v>
      </c>
      <c r="D114" s="236" t="s">
        <v>699</v>
      </c>
      <c r="E114" s="253">
        <v>45577</v>
      </c>
      <c r="F114" s="260">
        <v>37.64</v>
      </c>
      <c r="G114" s="589" t="s">
        <v>55</v>
      </c>
      <c r="H114" s="590"/>
      <c r="I114" s="590"/>
      <c r="J114" s="591"/>
      <c r="K114" s="253">
        <v>45586</v>
      </c>
      <c r="L114" s="266" t="s">
        <v>734</v>
      </c>
      <c r="M114" s="76"/>
      <c r="N114" s="76"/>
      <c r="O114" s="76"/>
      <c r="P114" s="76"/>
    </row>
    <row r="115" spans="1:16">
      <c r="A115" s="75">
        <v>103</v>
      </c>
      <c r="B115" s="216" t="s">
        <v>592</v>
      </c>
      <c r="C115" s="442" t="s">
        <v>225</v>
      </c>
      <c r="D115" s="238" t="s">
        <v>701</v>
      </c>
      <c r="E115" s="253">
        <v>45578</v>
      </c>
      <c r="F115" s="260">
        <v>58.51</v>
      </c>
      <c r="G115" s="589" t="s">
        <v>55</v>
      </c>
      <c r="H115" s="590"/>
      <c r="I115" s="590"/>
      <c r="J115" s="591"/>
      <c r="K115" s="253">
        <v>45587</v>
      </c>
      <c r="L115" s="266" t="s">
        <v>724</v>
      </c>
      <c r="M115" s="76"/>
      <c r="N115" s="76"/>
      <c r="O115" s="76"/>
      <c r="P115" s="76"/>
    </row>
    <row r="116" spans="1:16">
      <c r="A116" s="75">
        <v>104</v>
      </c>
      <c r="B116" s="216" t="s">
        <v>473</v>
      </c>
      <c r="C116" s="442" t="s">
        <v>195</v>
      </c>
      <c r="D116" s="236" t="s">
        <v>699</v>
      </c>
      <c r="E116" s="253">
        <v>45578</v>
      </c>
      <c r="F116" s="260">
        <v>37.64</v>
      </c>
      <c r="G116" s="589" t="s">
        <v>55</v>
      </c>
      <c r="H116" s="590"/>
      <c r="I116" s="590"/>
      <c r="J116" s="591"/>
      <c r="K116" s="253">
        <v>45585</v>
      </c>
      <c r="L116" s="266" t="s">
        <v>729</v>
      </c>
      <c r="M116" s="76"/>
      <c r="N116" s="76"/>
      <c r="O116" s="76"/>
      <c r="P116" s="76"/>
    </row>
    <row r="117" spans="1:16">
      <c r="A117" s="75">
        <v>105</v>
      </c>
      <c r="B117" s="216" t="s">
        <v>84</v>
      </c>
      <c r="C117" s="443" t="s">
        <v>224</v>
      </c>
      <c r="D117" s="236" t="s">
        <v>699</v>
      </c>
      <c r="E117" s="253">
        <v>45578</v>
      </c>
      <c r="F117" s="260">
        <v>41.37</v>
      </c>
      <c r="G117" s="589" t="s">
        <v>55</v>
      </c>
      <c r="H117" s="590"/>
      <c r="I117" s="590"/>
      <c r="J117" s="591"/>
      <c r="K117" s="253">
        <v>45583</v>
      </c>
      <c r="L117" s="266" t="s">
        <v>742</v>
      </c>
      <c r="M117" s="76"/>
      <c r="N117" s="76"/>
      <c r="O117" s="76"/>
      <c r="P117" s="76"/>
    </row>
    <row r="118" spans="1:16">
      <c r="A118" s="75">
        <v>106</v>
      </c>
      <c r="B118" s="216" t="s">
        <v>74</v>
      </c>
      <c r="C118" s="442" t="s">
        <v>225</v>
      </c>
      <c r="D118" s="236" t="s">
        <v>699</v>
      </c>
      <c r="E118" s="253">
        <v>45578</v>
      </c>
      <c r="F118" s="260">
        <v>37.64</v>
      </c>
      <c r="G118" s="589" t="s">
        <v>55</v>
      </c>
      <c r="H118" s="590"/>
      <c r="I118" s="590"/>
      <c r="J118" s="591"/>
      <c r="K118" s="253">
        <v>45581</v>
      </c>
      <c r="L118" s="266" t="s">
        <v>743</v>
      </c>
      <c r="M118" s="76"/>
      <c r="N118" s="76"/>
      <c r="O118" s="76"/>
      <c r="P118" s="76"/>
    </row>
    <row r="119" spans="1:16">
      <c r="A119" s="75">
        <v>107</v>
      </c>
      <c r="B119" s="216" t="s">
        <v>16</v>
      </c>
      <c r="C119" s="443" t="s">
        <v>224</v>
      </c>
      <c r="D119" s="236" t="s">
        <v>699</v>
      </c>
      <c r="E119" s="253">
        <v>45578</v>
      </c>
      <c r="F119" s="260">
        <v>41.37</v>
      </c>
      <c r="G119" s="589" t="s">
        <v>55</v>
      </c>
      <c r="H119" s="590"/>
      <c r="I119" s="590"/>
      <c r="J119" s="591"/>
      <c r="K119" s="253">
        <v>45586</v>
      </c>
      <c r="L119" s="266" t="s">
        <v>741</v>
      </c>
      <c r="M119" s="76"/>
      <c r="N119" s="76"/>
      <c r="O119" s="76"/>
      <c r="P119" s="76"/>
    </row>
    <row r="120" spans="1:16">
      <c r="A120" s="75">
        <v>108</v>
      </c>
      <c r="B120" s="216" t="s">
        <v>541</v>
      </c>
      <c r="C120" s="442" t="s">
        <v>225</v>
      </c>
      <c r="D120" s="236" t="s">
        <v>699</v>
      </c>
      <c r="E120" s="253">
        <v>45578</v>
      </c>
      <c r="F120" s="260">
        <v>37.64</v>
      </c>
      <c r="G120" s="589" t="s">
        <v>55</v>
      </c>
      <c r="H120" s="590"/>
      <c r="I120" s="590"/>
      <c r="J120" s="591"/>
      <c r="K120" s="253">
        <v>45583</v>
      </c>
      <c r="L120" s="266" t="s">
        <v>730</v>
      </c>
      <c r="M120" s="76"/>
      <c r="N120" s="76"/>
      <c r="O120" s="76"/>
      <c r="P120" s="76"/>
    </row>
    <row r="121" spans="1:16">
      <c r="A121" s="75">
        <v>109</v>
      </c>
      <c r="B121" s="216" t="s">
        <v>483</v>
      </c>
      <c r="C121" s="443" t="s">
        <v>224</v>
      </c>
      <c r="D121" s="236" t="s">
        <v>699</v>
      </c>
      <c r="E121" s="253">
        <v>45581</v>
      </c>
      <c r="F121" s="260">
        <v>41.37</v>
      </c>
      <c r="G121" s="589" t="s">
        <v>55</v>
      </c>
      <c r="H121" s="590"/>
      <c r="I121" s="590"/>
      <c r="J121" s="591"/>
      <c r="K121" s="253">
        <v>45585</v>
      </c>
      <c r="L121" s="266" t="s">
        <v>740</v>
      </c>
      <c r="M121" s="76"/>
      <c r="N121" s="76"/>
      <c r="O121" s="76"/>
      <c r="P121" s="76"/>
    </row>
    <row r="122" spans="1:16">
      <c r="A122" s="75">
        <v>110</v>
      </c>
      <c r="B122" s="216" t="s">
        <v>75</v>
      </c>
      <c r="C122" s="442" t="s">
        <v>225</v>
      </c>
      <c r="D122" s="236" t="s">
        <v>699</v>
      </c>
      <c r="E122" s="253">
        <v>45581</v>
      </c>
      <c r="F122" s="260">
        <v>37.64</v>
      </c>
      <c r="G122" s="589" t="s">
        <v>55</v>
      </c>
      <c r="H122" s="590"/>
      <c r="I122" s="590"/>
      <c r="J122" s="591"/>
      <c r="K122" s="253">
        <v>45585</v>
      </c>
      <c r="L122" s="266" t="s">
        <v>743</v>
      </c>
      <c r="M122" s="76"/>
      <c r="N122" s="76"/>
      <c r="O122" s="76"/>
      <c r="P122" s="76"/>
    </row>
    <row r="123" spans="1:16">
      <c r="A123" s="75">
        <v>111</v>
      </c>
      <c r="B123" s="216" t="s">
        <v>465</v>
      </c>
      <c r="C123" s="443" t="s">
        <v>224</v>
      </c>
      <c r="D123" s="236" t="s">
        <v>699</v>
      </c>
      <c r="E123" s="253">
        <v>45582</v>
      </c>
      <c r="F123" s="260">
        <v>41.37</v>
      </c>
      <c r="G123" s="589" t="s">
        <v>55</v>
      </c>
      <c r="H123" s="590"/>
      <c r="I123" s="590"/>
      <c r="J123" s="591"/>
      <c r="K123" s="253">
        <v>45588</v>
      </c>
      <c r="L123" s="266" t="s">
        <v>731</v>
      </c>
      <c r="M123" s="76"/>
      <c r="N123" s="76"/>
      <c r="O123" s="76"/>
      <c r="P123" s="76"/>
    </row>
    <row r="124" spans="1:16">
      <c r="A124" s="75">
        <v>112</v>
      </c>
      <c r="B124" s="216" t="s">
        <v>546</v>
      </c>
      <c r="C124" s="443" t="s">
        <v>224</v>
      </c>
      <c r="D124" s="236" t="s">
        <v>699</v>
      </c>
      <c r="E124" s="253">
        <v>45582</v>
      </c>
      <c r="F124" s="260">
        <v>41.37</v>
      </c>
      <c r="G124" s="589" t="s">
        <v>55</v>
      </c>
      <c r="H124" s="590"/>
      <c r="I124" s="590"/>
      <c r="J124" s="591"/>
      <c r="K124" s="253">
        <v>45591</v>
      </c>
      <c r="L124" s="266" t="s">
        <v>736</v>
      </c>
      <c r="M124" s="76"/>
      <c r="N124" s="76"/>
      <c r="O124" s="76"/>
      <c r="P124" s="76"/>
    </row>
    <row r="125" spans="1:16">
      <c r="A125" s="75">
        <v>113</v>
      </c>
      <c r="B125" s="216" t="s">
        <v>636</v>
      </c>
      <c r="C125" s="443" t="s">
        <v>224</v>
      </c>
      <c r="D125" s="236" t="s">
        <v>699</v>
      </c>
      <c r="E125" s="253">
        <v>45582</v>
      </c>
      <c r="F125" s="260">
        <v>41.37</v>
      </c>
      <c r="G125" s="589" t="s">
        <v>55</v>
      </c>
      <c r="H125" s="590"/>
      <c r="I125" s="590"/>
      <c r="J125" s="591"/>
      <c r="K125" s="253">
        <v>45589</v>
      </c>
      <c r="L125" s="266" t="s">
        <v>732</v>
      </c>
      <c r="M125" s="76"/>
      <c r="N125" s="76"/>
      <c r="O125" s="76"/>
      <c r="P125" s="76"/>
    </row>
    <row r="126" spans="1:16">
      <c r="A126" s="75">
        <v>114</v>
      </c>
      <c r="B126" s="216" t="s">
        <v>519</v>
      </c>
      <c r="C126" s="443" t="s">
        <v>224</v>
      </c>
      <c r="D126" s="236" t="s">
        <v>699</v>
      </c>
      <c r="E126" s="253">
        <v>45582</v>
      </c>
      <c r="F126" s="260">
        <v>41.37</v>
      </c>
      <c r="G126" s="589" t="s">
        <v>55</v>
      </c>
      <c r="H126" s="590"/>
      <c r="I126" s="590"/>
      <c r="J126" s="591"/>
      <c r="K126" s="253">
        <v>45589</v>
      </c>
      <c r="L126" s="266" t="s">
        <v>730</v>
      </c>
      <c r="M126" s="76"/>
      <c r="N126" s="76"/>
      <c r="O126" s="76"/>
      <c r="P126" s="76"/>
    </row>
    <row r="127" spans="1:16">
      <c r="A127" s="75">
        <v>115</v>
      </c>
      <c r="B127" s="223" t="s">
        <v>78</v>
      </c>
      <c r="C127" s="443" t="s">
        <v>224</v>
      </c>
      <c r="D127" s="236" t="s">
        <v>699</v>
      </c>
      <c r="E127" s="253">
        <v>45582</v>
      </c>
      <c r="F127" s="260">
        <v>41.37</v>
      </c>
      <c r="G127" s="589" t="s">
        <v>55</v>
      </c>
      <c r="H127" s="590"/>
      <c r="I127" s="590"/>
      <c r="J127" s="591"/>
      <c r="K127" s="253">
        <v>45589</v>
      </c>
      <c r="L127" s="266" t="s">
        <v>738</v>
      </c>
      <c r="M127" s="76"/>
      <c r="N127" s="76"/>
      <c r="O127" s="76"/>
      <c r="P127" s="76"/>
    </row>
    <row r="128" spans="1:16">
      <c r="A128" s="75">
        <v>116</v>
      </c>
      <c r="B128" s="221" t="s">
        <v>83</v>
      </c>
      <c r="C128" s="443" t="s">
        <v>224</v>
      </c>
      <c r="D128" s="236" t="s">
        <v>699</v>
      </c>
      <c r="E128" s="253">
        <v>45582</v>
      </c>
      <c r="F128" s="260">
        <v>41.37</v>
      </c>
      <c r="G128" s="589" t="s">
        <v>55</v>
      </c>
      <c r="H128" s="590"/>
      <c r="I128" s="590"/>
      <c r="J128" s="591"/>
      <c r="K128" s="253">
        <v>45588</v>
      </c>
      <c r="L128" s="266" t="s">
        <v>742</v>
      </c>
      <c r="M128" s="76"/>
      <c r="N128" s="76"/>
      <c r="O128" s="76"/>
      <c r="P128" s="76"/>
    </row>
    <row r="129" spans="1:16">
      <c r="A129" s="75">
        <v>117</v>
      </c>
      <c r="B129" s="221" t="s">
        <v>19</v>
      </c>
      <c r="C129" s="443" t="s">
        <v>224</v>
      </c>
      <c r="D129" s="236" t="s">
        <v>699</v>
      </c>
      <c r="E129" s="253">
        <v>45582</v>
      </c>
      <c r="F129" s="260">
        <v>41.37</v>
      </c>
      <c r="G129" s="589" t="s">
        <v>55</v>
      </c>
      <c r="H129" s="590"/>
      <c r="I129" s="590"/>
      <c r="J129" s="591"/>
      <c r="K129" s="253">
        <v>45589</v>
      </c>
      <c r="L129" s="266" t="s">
        <v>733</v>
      </c>
      <c r="M129" s="76"/>
      <c r="N129" s="76"/>
      <c r="O129" s="76"/>
      <c r="P129" s="76"/>
    </row>
    <row r="130" spans="1:16">
      <c r="A130" s="75">
        <v>118</v>
      </c>
      <c r="B130" s="221" t="s">
        <v>477</v>
      </c>
      <c r="C130" s="446" t="s">
        <v>224</v>
      </c>
      <c r="D130" s="236" t="s">
        <v>699</v>
      </c>
      <c r="E130" s="253">
        <v>45584</v>
      </c>
      <c r="F130" s="260">
        <v>41.37</v>
      </c>
      <c r="G130" s="589" t="s">
        <v>55</v>
      </c>
      <c r="H130" s="590"/>
      <c r="I130" s="590"/>
      <c r="J130" s="591"/>
      <c r="K130" s="253">
        <v>45590</v>
      </c>
      <c r="L130" s="266" t="s">
        <v>744</v>
      </c>
      <c r="M130" s="76"/>
      <c r="N130" s="76"/>
      <c r="O130" s="76"/>
      <c r="P130" s="76"/>
    </row>
    <row r="131" spans="1:16">
      <c r="A131" s="75">
        <v>119</v>
      </c>
      <c r="B131" s="223" t="s">
        <v>476</v>
      </c>
      <c r="C131" s="442" t="s">
        <v>195</v>
      </c>
      <c r="D131" s="236" t="s">
        <v>699</v>
      </c>
      <c r="E131" s="253">
        <v>45586</v>
      </c>
      <c r="F131" s="260">
        <v>37.64</v>
      </c>
      <c r="G131" s="589" t="s">
        <v>55</v>
      </c>
      <c r="H131" s="590"/>
      <c r="I131" s="590"/>
      <c r="J131" s="591"/>
      <c r="K131" s="253">
        <v>45589</v>
      </c>
      <c r="L131" s="266" t="s">
        <v>729</v>
      </c>
      <c r="M131" s="76"/>
      <c r="N131" s="76"/>
      <c r="O131" s="76"/>
      <c r="P131" s="76"/>
    </row>
    <row r="132" spans="1:16">
      <c r="A132" s="75">
        <v>120</v>
      </c>
      <c r="B132" s="223" t="s">
        <v>562</v>
      </c>
      <c r="C132" s="442" t="s">
        <v>225</v>
      </c>
      <c r="D132" s="236" t="s">
        <v>699</v>
      </c>
      <c r="E132" s="253">
        <v>45587</v>
      </c>
      <c r="F132" s="260">
        <v>37.64</v>
      </c>
      <c r="G132" s="589" t="s">
        <v>55</v>
      </c>
      <c r="H132" s="590"/>
      <c r="I132" s="590"/>
      <c r="J132" s="591"/>
      <c r="K132" s="253">
        <v>45590</v>
      </c>
      <c r="L132" s="266" t="s">
        <v>740</v>
      </c>
      <c r="M132" s="76"/>
      <c r="N132" s="76"/>
      <c r="O132" s="76"/>
      <c r="P132" s="76"/>
    </row>
    <row r="133" spans="1:16">
      <c r="A133" s="75">
        <v>121</v>
      </c>
      <c r="B133" s="224" t="s">
        <v>76</v>
      </c>
      <c r="C133" s="446" t="s">
        <v>224</v>
      </c>
      <c r="D133" s="236" t="s">
        <v>699</v>
      </c>
      <c r="E133" s="253">
        <v>45587</v>
      </c>
      <c r="F133" s="260">
        <v>41.37</v>
      </c>
      <c r="G133" s="589" t="s">
        <v>55</v>
      </c>
      <c r="H133" s="590"/>
      <c r="I133" s="590"/>
      <c r="J133" s="591"/>
      <c r="K133" s="253">
        <v>45591</v>
      </c>
      <c r="L133" s="266" t="s">
        <v>743</v>
      </c>
      <c r="M133" s="76"/>
      <c r="N133" s="76"/>
      <c r="O133" s="76"/>
      <c r="P133" s="76"/>
    </row>
    <row r="134" spans="1:16">
      <c r="A134" s="75">
        <v>122</v>
      </c>
      <c r="B134" s="221" t="s">
        <v>82</v>
      </c>
      <c r="C134" s="442" t="s">
        <v>195</v>
      </c>
      <c r="D134" s="236" t="s">
        <v>699</v>
      </c>
      <c r="E134" s="253">
        <v>45589</v>
      </c>
      <c r="F134" s="260">
        <v>37.64</v>
      </c>
      <c r="G134" s="589" t="s">
        <v>55</v>
      </c>
      <c r="H134" s="590"/>
      <c r="I134" s="590"/>
      <c r="J134" s="591"/>
      <c r="K134" s="253">
        <v>45591</v>
      </c>
      <c r="L134" s="266" t="s">
        <v>742</v>
      </c>
      <c r="M134" s="76"/>
      <c r="N134" s="76"/>
      <c r="O134" s="76"/>
      <c r="P134" s="76"/>
    </row>
    <row r="135" spans="1:16">
      <c r="A135" s="75">
        <v>123</v>
      </c>
      <c r="B135" s="221" t="s">
        <v>93</v>
      </c>
      <c r="C135" s="446" t="s">
        <v>224</v>
      </c>
      <c r="D135" s="236" t="s">
        <v>699</v>
      </c>
      <c r="E135" s="253">
        <v>45589</v>
      </c>
      <c r="F135" s="260">
        <v>41.37</v>
      </c>
      <c r="G135" s="589" t="s">
        <v>55</v>
      </c>
      <c r="H135" s="590"/>
      <c r="I135" s="590"/>
      <c r="J135" s="591"/>
      <c r="K135" s="253">
        <v>45591</v>
      </c>
      <c r="L135" s="266" t="s">
        <v>734</v>
      </c>
      <c r="M135" s="76"/>
      <c r="N135" s="76"/>
      <c r="O135" s="76"/>
      <c r="P135" s="76"/>
    </row>
    <row r="136" spans="1:16">
      <c r="A136" s="75">
        <v>124</v>
      </c>
      <c r="B136" s="225" t="s">
        <v>469</v>
      </c>
      <c r="C136" s="442" t="s">
        <v>195</v>
      </c>
      <c r="D136" s="236" t="s">
        <v>699</v>
      </c>
      <c r="E136" s="253">
        <v>45589</v>
      </c>
      <c r="F136" s="260">
        <v>37.64</v>
      </c>
      <c r="G136" s="589" t="s">
        <v>55</v>
      </c>
      <c r="H136" s="590"/>
      <c r="I136" s="590"/>
      <c r="J136" s="591"/>
      <c r="K136" s="253">
        <v>45592</v>
      </c>
      <c r="L136" s="266" t="s">
        <v>731</v>
      </c>
      <c r="M136" s="76"/>
      <c r="N136" s="76"/>
      <c r="O136" s="76"/>
      <c r="P136" s="76"/>
    </row>
    <row r="137" spans="1:16">
      <c r="A137" s="75">
        <v>125</v>
      </c>
      <c r="B137" s="225" t="s">
        <v>529</v>
      </c>
      <c r="C137" s="442" t="s">
        <v>195</v>
      </c>
      <c r="D137" s="236" t="s">
        <v>699</v>
      </c>
      <c r="E137" s="253">
        <v>45589</v>
      </c>
      <c r="F137" s="260">
        <v>37.64</v>
      </c>
      <c r="G137" s="589" t="s">
        <v>55</v>
      </c>
      <c r="H137" s="590"/>
      <c r="I137" s="590"/>
      <c r="J137" s="591"/>
      <c r="K137" s="253">
        <v>45592</v>
      </c>
      <c r="L137" s="266" t="s">
        <v>744</v>
      </c>
      <c r="M137" s="76"/>
      <c r="N137" s="76"/>
      <c r="O137" s="76"/>
      <c r="P137" s="76"/>
    </row>
    <row r="138" spans="1:16">
      <c r="A138" s="75">
        <v>126</v>
      </c>
      <c r="B138" s="226" t="s">
        <v>461</v>
      </c>
      <c r="C138" s="446" t="s">
        <v>224</v>
      </c>
      <c r="D138" s="236" t="s">
        <v>699</v>
      </c>
      <c r="E138" s="253">
        <v>45589</v>
      </c>
      <c r="F138" s="260">
        <v>41.37</v>
      </c>
      <c r="G138" s="589" t="s">
        <v>55</v>
      </c>
      <c r="H138" s="590"/>
      <c r="I138" s="590"/>
      <c r="J138" s="591"/>
      <c r="K138" s="253">
        <v>45597</v>
      </c>
      <c r="L138" s="266" t="s">
        <v>729</v>
      </c>
      <c r="M138" s="76"/>
      <c r="N138" s="76"/>
      <c r="O138" s="76"/>
      <c r="P138" s="76"/>
    </row>
    <row r="139" spans="1:16">
      <c r="A139" s="75">
        <v>127</v>
      </c>
      <c r="B139" s="227" t="s">
        <v>499</v>
      </c>
      <c r="C139" s="446" t="s">
        <v>224</v>
      </c>
      <c r="D139" s="236" t="s">
        <v>699</v>
      </c>
      <c r="E139" s="253">
        <v>45589</v>
      </c>
      <c r="F139" s="260">
        <v>41.37</v>
      </c>
      <c r="G139" s="589" t="s">
        <v>55</v>
      </c>
      <c r="H139" s="590"/>
      <c r="I139" s="590"/>
      <c r="J139" s="591"/>
      <c r="K139" s="253">
        <v>45597</v>
      </c>
      <c r="L139" s="266" t="s">
        <v>740</v>
      </c>
      <c r="M139" s="76"/>
      <c r="N139" s="76"/>
      <c r="O139" s="76"/>
      <c r="P139" s="76"/>
    </row>
    <row r="140" spans="1:16">
      <c r="A140" s="75">
        <v>128</v>
      </c>
      <c r="B140" s="227" t="s">
        <v>512</v>
      </c>
      <c r="C140" s="442" t="s">
        <v>195</v>
      </c>
      <c r="D140" s="236" t="s">
        <v>699</v>
      </c>
      <c r="E140" s="253">
        <v>45589</v>
      </c>
      <c r="F140" s="260">
        <v>37.64</v>
      </c>
      <c r="G140" s="589" t="s">
        <v>55</v>
      </c>
      <c r="H140" s="590"/>
      <c r="I140" s="590"/>
      <c r="J140" s="591"/>
      <c r="K140" s="253">
        <v>45597</v>
      </c>
      <c r="L140" s="266" t="s">
        <v>730</v>
      </c>
      <c r="M140" s="76"/>
      <c r="N140" s="76"/>
      <c r="O140" s="76"/>
      <c r="P140" s="76"/>
    </row>
    <row r="141" spans="1:16">
      <c r="A141" s="75">
        <v>129</v>
      </c>
      <c r="B141" s="226" t="s">
        <v>597</v>
      </c>
      <c r="C141" s="446" t="s">
        <v>224</v>
      </c>
      <c r="D141" s="238" t="s">
        <v>701</v>
      </c>
      <c r="E141" s="253">
        <v>45589</v>
      </c>
      <c r="F141" s="260">
        <v>61.059999999999995</v>
      </c>
      <c r="G141" s="589" t="s">
        <v>55</v>
      </c>
      <c r="H141" s="590"/>
      <c r="I141" s="590"/>
      <c r="J141" s="591"/>
      <c r="K141" s="253">
        <v>45597</v>
      </c>
      <c r="L141" s="266" t="s">
        <v>724</v>
      </c>
      <c r="M141" s="76"/>
      <c r="N141" s="76"/>
      <c r="O141" s="76"/>
      <c r="P141" s="76"/>
    </row>
    <row r="142" spans="1:16">
      <c r="A142" s="75">
        <v>130</v>
      </c>
      <c r="B142" s="226" t="s">
        <v>522</v>
      </c>
      <c r="C142" s="442" t="s">
        <v>225</v>
      </c>
      <c r="D142" s="236" t="s">
        <v>699</v>
      </c>
      <c r="E142" s="253">
        <v>45589</v>
      </c>
      <c r="F142" s="260">
        <v>37.64</v>
      </c>
      <c r="G142" s="589" t="s">
        <v>55</v>
      </c>
      <c r="H142" s="590"/>
      <c r="I142" s="590"/>
      <c r="J142" s="591"/>
      <c r="K142" s="253">
        <v>45597</v>
      </c>
      <c r="L142" s="266" t="s">
        <v>728</v>
      </c>
      <c r="M142" s="76"/>
      <c r="N142" s="76"/>
      <c r="O142" s="76"/>
      <c r="P142" s="76"/>
    </row>
    <row r="143" spans="1:16">
      <c r="A143" s="75">
        <v>131</v>
      </c>
      <c r="B143" s="226" t="s">
        <v>90</v>
      </c>
      <c r="C143" s="442" t="s">
        <v>195</v>
      </c>
      <c r="D143" s="236" t="s">
        <v>699</v>
      </c>
      <c r="E143" s="253">
        <v>45590</v>
      </c>
      <c r="F143" s="260">
        <v>37.64</v>
      </c>
      <c r="G143" s="589" t="s">
        <v>55</v>
      </c>
      <c r="H143" s="590"/>
      <c r="I143" s="590"/>
      <c r="J143" s="591"/>
      <c r="K143" s="253">
        <v>45606</v>
      </c>
      <c r="L143" s="266" t="s">
        <v>741</v>
      </c>
      <c r="M143" s="76"/>
      <c r="N143" s="76"/>
      <c r="O143" s="76"/>
      <c r="P143" s="76"/>
    </row>
    <row r="144" spans="1:16">
      <c r="A144" s="75">
        <v>132</v>
      </c>
      <c r="B144" s="226" t="s">
        <v>77</v>
      </c>
      <c r="C144" s="442" t="s">
        <v>225</v>
      </c>
      <c r="D144" s="236" t="s">
        <v>699</v>
      </c>
      <c r="E144" s="253">
        <v>45590</v>
      </c>
      <c r="F144" s="260">
        <v>37.64</v>
      </c>
      <c r="G144" s="589" t="s">
        <v>55</v>
      </c>
      <c r="H144" s="590"/>
      <c r="I144" s="590"/>
      <c r="J144" s="591"/>
      <c r="K144" s="253">
        <v>45598</v>
      </c>
      <c r="L144" s="266" t="s">
        <v>743</v>
      </c>
      <c r="M144" s="76"/>
      <c r="N144" s="76"/>
      <c r="O144" s="76"/>
      <c r="P144" s="76"/>
    </row>
    <row r="145" spans="1:16">
      <c r="A145" s="75">
        <v>133</v>
      </c>
      <c r="B145" s="226" t="s">
        <v>91</v>
      </c>
      <c r="C145" s="446" t="s">
        <v>224</v>
      </c>
      <c r="D145" s="236" t="s">
        <v>699</v>
      </c>
      <c r="E145" s="253">
        <v>45590</v>
      </c>
      <c r="F145" s="260">
        <v>41.37</v>
      </c>
      <c r="G145" s="589" t="s">
        <v>55</v>
      </c>
      <c r="H145" s="590"/>
      <c r="I145" s="590"/>
      <c r="J145" s="591"/>
      <c r="K145" s="253">
        <v>45598</v>
      </c>
      <c r="L145" s="266" t="s">
        <v>734</v>
      </c>
      <c r="M145" s="76"/>
      <c r="N145" s="76"/>
      <c r="O145" s="76"/>
      <c r="P145" s="76"/>
    </row>
    <row r="146" spans="1:16">
      <c r="A146" s="75">
        <v>134</v>
      </c>
      <c r="B146" s="212" t="s">
        <v>538</v>
      </c>
      <c r="C146" s="442" t="s">
        <v>225</v>
      </c>
      <c r="D146" s="236" t="s">
        <v>699</v>
      </c>
      <c r="E146" s="253">
        <v>45599</v>
      </c>
      <c r="F146" s="260">
        <v>37.64</v>
      </c>
      <c r="G146" s="589" t="s">
        <v>55</v>
      </c>
      <c r="H146" s="590"/>
      <c r="I146" s="590"/>
      <c r="J146" s="591"/>
      <c r="K146" s="253">
        <v>45601</v>
      </c>
      <c r="L146" s="266" t="s">
        <v>736</v>
      </c>
      <c r="M146" s="76"/>
      <c r="N146" s="76"/>
      <c r="O146" s="76"/>
      <c r="P146" s="76"/>
    </row>
    <row r="147" spans="1:16">
      <c r="A147" s="75">
        <v>135</v>
      </c>
      <c r="B147" s="226" t="s">
        <v>507</v>
      </c>
      <c r="C147" s="447" t="s">
        <v>248</v>
      </c>
      <c r="D147" s="236" t="s">
        <v>699</v>
      </c>
      <c r="E147" s="253">
        <v>45599</v>
      </c>
      <c r="F147" s="260">
        <v>58.25</v>
      </c>
      <c r="G147" s="589" t="s">
        <v>55</v>
      </c>
      <c r="H147" s="590"/>
      <c r="I147" s="590"/>
      <c r="J147" s="591"/>
      <c r="K147" s="257">
        <v>45609</v>
      </c>
      <c r="L147" s="266" t="s">
        <v>732</v>
      </c>
      <c r="M147" s="76"/>
      <c r="N147" s="76"/>
      <c r="O147" s="76"/>
      <c r="P147" s="76"/>
    </row>
    <row r="148" spans="1:16">
      <c r="A148" s="75">
        <v>136</v>
      </c>
      <c r="B148" s="226" t="s">
        <v>480</v>
      </c>
      <c r="C148" s="442" t="s">
        <v>195</v>
      </c>
      <c r="D148" s="236" t="s">
        <v>699</v>
      </c>
      <c r="E148" s="253">
        <v>45599</v>
      </c>
      <c r="F148" s="260">
        <v>37.64</v>
      </c>
      <c r="G148" s="589" t="s">
        <v>55</v>
      </c>
      <c r="H148" s="590"/>
      <c r="I148" s="590"/>
      <c r="J148" s="591"/>
      <c r="K148" s="253">
        <v>45607</v>
      </c>
      <c r="L148" s="266" t="s">
        <v>744</v>
      </c>
      <c r="M148" s="76"/>
      <c r="N148" s="76"/>
      <c r="O148" s="76"/>
      <c r="P148" s="76"/>
    </row>
    <row r="149" spans="1:16">
      <c r="A149" s="75">
        <v>137</v>
      </c>
      <c r="B149" s="228" t="s">
        <v>518</v>
      </c>
      <c r="C149" s="442" t="s">
        <v>195</v>
      </c>
      <c r="D149" s="236" t="s">
        <v>699</v>
      </c>
      <c r="E149" s="253">
        <v>45599</v>
      </c>
      <c r="F149" s="260">
        <v>37.64</v>
      </c>
      <c r="G149" s="589" t="s">
        <v>55</v>
      </c>
      <c r="H149" s="590"/>
      <c r="I149" s="590"/>
      <c r="J149" s="591"/>
      <c r="K149" s="253">
        <v>45609</v>
      </c>
      <c r="L149" s="266" t="s">
        <v>728</v>
      </c>
      <c r="M149" s="76"/>
      <c r="N149" s="76"/>
      <c r="O149" s="76"/>
      <c r="P149" s="76"/>
    </row>
    <row r="150" spans="1:16">
      <c r="A150" s="75">
        <v>138</v>
      </c>
      <c r="B150" s="226" t="s">
        <v>488</v>
      </c>
      <c r="C150" s="442" t="s">
        <v>225</v>
      </c>
      <c r="D150" s="236" t="s">
        <v>699</v>
      </c>
      <c r="E150" s="253">
        <v>45599</v>
      </c>
      <c r="F150" s="260">
        <v>37.64</v>
      </c>
      <c r="G150" s="589" t="s">
        <v>55</v>
      </c>
      <c r="H150" s="590"/>
      <c r="I150" s="590"/>
      <c r="J150" s="591"/>
      <c r="K150" s="253">
        <v>45605</v>
      </c>
      <c r="L150" s="266" t="s">
        <v>740</v>
      </c>
      <c r="M150" s="76"/>
      <c r="N150" s="76"/>
      <c r="O150" s="76"/>
      <c r="P150" s="76"/>
    </row>
    <row r="151" spans="1:16">
      <c r="A151" s="75">
        <v>139</v>
      </c>
      <c r="B151" s="221" t="s">
        <v>555</v>
      </c>
      <c r="C151" s="442" t="s">
        <v>225</v>
      </c>
      <c r="D151" s="236" t="s">
        <v>699</v>
      </c>
      <c r="E151" s="253">
        <v>45599</v>
      </c>
      <c r="F151" s="260">
        <v>37.64</v>
      </c>
      <c r="G151" s="589" t="s">
        <v>55</v>
      </c>
      <c r="H151" s="590"/>
      <c r="I151" s="590"/>
      <c r="J151" s="591"/>
      <c r="K151" s="253">
        <v>45609</v>
      </c>
      <c r="L151" s="266" t="s">
        <v>736</v>
      </c>
      <c r="M151" s="76"/>
      <c r="N151" s="76"/>
      <c r="O151" s="76"/>
      <c r="P151" s="76"/>
    </row>
    <row r="152" spans="1:16">
      <c r="A152" s="75">
        <v>140</v>
      </c>
      <c r="B152" s="221" t="s">
        <v>81</v>
      </c>
      <c r="C152" s="446" t="s">
        <v>224</v>
      </c>
      <c r="D152" s="236" t="s">
        <v>699</v>
      </c>
      <c r="E152" s="253">
        <v>45599</v>
      </c>
      <c r="F152" s="260">
        <v>41.37</v>
      </c>
      <c r="G152" s="589" t="s">
        <v>55</v>
      </c>
      <c r="H152" s="590"/>
      <c r="I152" s="590"/>
      <c r="J152" s="591"/>
      <c r="K152" s="253">
        <v>45607</v>
      </c>
      <c r="L152" s="266" t="s">
        <v>742</v>
      </c>
      <c r="M152" s="76"/>
      <c r="N152" s="76"/>
      <c r="O152" s="76"/>
      <c r="P152" s="76"/>
    </row>
    <row r="153" spans="1:16">
      <c r="A153" s="75">
        <v>141</v>
      </c>
      <c r="B153" s="226" t="s">
        <v>79</v>
      </c>
      <c r="C153" s="446" t="s">
        <v>224</v>
      </c>
      <c r="D153" s="236" t="s">
        <v>699</v>
      </c>
      <c r="E153" s="253">
        <v>45599</v>
      </c>
      <c r="F153" s="260">
        <v>41.37</v>
      </c>
      <c r="G153" s="589" t="s">
        <v>55</v>
      </c>
      <c r="H153" s="590"/>
      <c r="I153" s="590"/>
      <c r="J153" s="591"/>
      <c r="K153" s="253">
        <v>45604</v>
      </c>
      <c r="L153" s="266" t="s">
        <v>738</v>
      </c>
      <c r="M153" s="76"/>
      <c r="N153" s="76"/>
      <c r="O153" s="76"/>
      <c r="P153" s="76"/>
    </row>
    <row r="154" spans="1:16">
      <c r="A154" s="75">
        <v>142</v>
      </c>
      <c r="B154" s="221" t="s">
        <v>268</v>
      </c>
      <c r="C154" s="447" t="s">
        <v>248</v>
      </c>
      <c r="D154" s="236" t="s">
        <v>699</v>
      </c>
      <c r="E154" s="253">
        <v>45599</v>
      </c>
      <c r="F154" s="260">
        <v>58.25</v>
      </c>
      <c r="G154" s="589" t="s">
        <v>55</v>
      </c>
      <c r="H154" s="590"/>
      <c r="I154" s="590"/>
      <c r="J154" s="591"/>
      <c r="K154" s="257">
        <v>45605</v>
      </c>
      <c r="L154" s="266" t="s">
        <v>743</v>
      </c>
      <c r="M154" s="76"/>
      <c r="N154" s="76"/>
      <c r="O154" s="76"/>
      <c r="P154" s="76"/>
    </row>
    <row r="155" spans="1:16">
      <c r="A155" s="75">
        <v>143</v>
      </c>
      <c r="B155" s="221" t="s">
        <v>492</v>
      </c>
      <c r="C155" s="446" t="s">
        <v>224</v>
      </c>
      <c r="D155" s="236" t="s">
        <v>699</v>
      </c>
      <c r="E155" s="253">
        <v>45602</v>
      </c>
      <c r="F155" s="260">
        <v>41.37</v>
      </c>
      <c r="G155" s="589" t="s">
        <v>55</v>
      </c>
      <c r="H155" s="590"/>
      <c r="I155" s="590"/>
      <c r="J155" s="591"/>
      <c r="K155" s="253">
        <v>45609</v>
      </c>
      <c r="L155" s="266" t="s">
        <v>730</v>
      </c>
      <c r="M155" s="76"/>
      <c r="N155" s="76"/>
      <c r="O155" s="76"/>
      <c r="P155" s="76"/>
    </row>
    <row r="156" spans="1:16">
      <c r="A156" s="75">
        <v>144</v>
      </c>
      <c r="B156" s="221" t="s">
        <v>497</v>
      </c>
      <c r="C156" s="442" t="s">
        <v>195</v>
      </c>
      <c r="D156" s="236" t="s">
        <v>699</v>
      </c>
      <c r="E156" s="253">
        <v>45602</v>
      </c>
      <c r="F156" s="260">
        <v>37.64</v>
      </c>
      <c r="G156" s="589" t="s">
        <v>55</v>
      </c>
      <c r="H156" s="590"/>
      <c r="I156" s="590"/>
      <c r="J156" s="591"/>
      <c r="K156" s="253">
        <v>45606</v>
      </c>
      <c r="L156" s="266" t="s">
        <v>729</v>
      </c>
      <c r="M156" s="76"/>
      <c r="N156" s="76"/>
      <c r="O156" s="76"/>
      <c r="P156" s="76"/>
    </row>
    <row r="157" spans="1:16">
      <c r="A157" s="75">
        <v>145</v>
      </c>
      <c r="B157" s="221" t="s">
        <v>470</v>
      </c>
      <c r="C157" s="442" t="s">
        <v>195</v>
      </c>
      <c r="D157" s="236" t="s">
        <v>699</v>
      </c>
      <c r="E157" s="253">
        <v>45602</v>
      </c>
      <c r="F157" s="260">
        <v>37.64</v>
      </c>
      <c r="G157" s="589" t="s">
        <v>55</v>
      </c>
      <c r="H157" s="590"/>
      <c r="I157" s="590"/>
      <c r="J157" s="591"/>
      <c r="K157" s="253">
        <v>45607</v>
      </c>
      <c r="L157" s="266" t="s">
        <v>730</v>
      </c>
      <c r="M157" s="76"/>
      <c r="N157" s="76"/>
      <c r="O157" s="76"/>
      <c r="P157" s="76"/>
    </row>
    <row r="158" spans="1:16">
      <c r="A158" s="75">
        <v>146</v>
      </c>
      <c r="B158" s="221" t="s">
        <v>490</v>
      </c>
      <c r="C158" s="446" t="s">
        <v>224</v>
      </c>
      <c r="D158" s="236" t="s">
        <v>699</v>
      </c>
      <c r="E158" s="253">
        <v>45602</v>
      </c>
      <c r="F158" s="260">
        <v>41.37</v>
      </c>
      <c r="G158" s="589" t="s">
        <v>55</v>
      </c>
      <c r="H158" s="590"/>
      <c r="I158" s="590"/>
      <c r="J158" s="591"/>
      <c r="K158" s="253">
        <v>45611</v>
      </c>
      <c r="L158" s="266" t="s">
        <v>744</v>
      </c>
      <c r="M158" s="76"/>
      <c r="N158" s="76"/>
      <c r="O158" s="76"/>
      <c r="P158" s="76"/>
    </row>
    <row r="159" spans="1:16">
      <c r="A159" s="75">
        <v>147</v>
      </c>
      <c r="B159" s="9" t="s">
        <v>80</v>
      </c>
      <c r="C159" s="446" t="s">
        <v>224</v>
      </c>
      <c r="D159" s="236" t="s">
        <v>699</v>
      </c>
      <c r="E159" s="253">
        <v>45602</v>
      </c>
      <c r="F159" s="260">
        <v>41.37</v>
      </c>
      <c r="G159" s="589" t="s">
        <v>55</v>
      </c>
      <c r="H159" s="590"/>
      <c r="I159" s="590"/>
      <c r="J159" s="591"/>
      <c r="K159" s="253">
        <v>45611</v>
      </c>
      <c r="L159" s="266" t="s">
        <v>742</v>
      </c>
      <c r="M159" s="76"/>
      <c r="N159" s="76"/>
      <c r="O159" s="76"/>
      <c r="P159" s="76"/>
    </row>
    <row r="160" spans="1:16">
      <c r="A160" s="75">
        <v>148</v>
      </c>
      <c r="B160" s="9" t="s">
        <v>321</v>
      </c>
      <c r="C160" s="446" t="s">
        <v>377</v>
      </c>
      <c r="D160" s="236" t="s">
        <v>699</v>
      </c>
      <c r="E160" s="253">
        <v>45604</v>
      </c>
      <c r="F160" s="260">
        <v>71.039999999999992</v>
      </c>
      <c r="G160" s="589" t="s">
        <v>55</v>
      </c>
      <c r="H160" s="590"/>
      <c r="I160" s="590"/>
      <c r="J160" s="591"/>
      <c r="K160" s="253">
        <v>45612</v>
      </c>
      <c r="L160" s="266" t="s">
        <v>740</v>
      </c>
      <c r="M160" s="76"/>
      <c r="N160" s="76"/>
      <c r="O160" s="76"/>
      <c r="P160" s="76"/>
    </row>
    <row r="161" spans="1:16">
      <c r="A161" s="75">
        <v>149</v>
      </c>
      <c r="B161" s="221" t="s">
        <v>558</v>
      </c>
      <c r="C161" s="442" t="s">
        <v>225</v>
      </c>
      <c r="D161" s="236" t="s">
        <v>699</v>
      </c>
      <c r="E161" s="253">
        <v>45605</v>
      </c>
      <c r="F161" s="260">
        <v>37.64</v>
      </c>
      <c r="G161" s="589" t="s">
        <v>55</v>
      </c>
      <c r="H161" s="590"/>
      <c r="I161" s="590"/>
      <c r="J161" s="591"/>
      <c r="K161" s="253">
        <v>45614</v>
      </c>
      <c r="L161" s="266" t="s">
        <v>729</v>
      </c>
      <c r="M161" s="76"/>
      <c r="N161" s="76"/>
      <c r="O161" s="76"/>
      <c r="P161" s="76"/>
    </row>
    <row r="162" spans="1:16">
      <c r="A162" s="75">
        <v>150</v>
      </c>
      <c r="B162" s="221" t="s">
        <v>478</v>
      </c>
      <c r="C162" s="442" t="s">
        <v>225</v>
      </c>
      <c r="D162" s="236" t="s">
        <v>699</v>
      </c>
      <c r="E162" s="253">
        <v>45606</v>
      </c>
      <c r="F162" s="260">
        <v>37.64</v>
      </c>
      <c r="G162" s="589" t="s">
        <v>55</v>
      </c>
      <c r="H162" s="590"/>
      <c r="I162" s="590"/>
      <c r="J162" s="591"/>
      <c r="K162" s="253">
        <v>45614</v>
      </c>
      <c r="L162" s="266" t="s">
        <v>730</v>
      </c>
      <c r="M162" s="76"/>
      <c r="N162" s="76"/>
      <c r="O162" s="76"/>
      <c r="P162" s="76"/>
    </row>
    <row r="163" spans="1:16">
      <c r="A163" s="75">
        <v>151</v>
      </c>
      <c r="B163" s="221" t="s">
        <v>543</v>
      </c>
      <c r="C163" s="446" t="s">
        <v>224</v>
      </c>
      <c r="D163" s="239" t="s">
        <v>702</v>
      </c>
      <c r="E163" s="253">
        <v>45608</v>
      </c>
      <c r="F163" s="260">
        <v>71.430000000000007</v>
      </c>
      <c r="G163" s="589" t="s">
        <v>55</v>
      </c>
      <c r="H163" s="590"/>
      <c r="I163" s="590"/>
      <c r="J163" s="591"/>
      <c r="K163" s="257">
        <v>45616</v>
      </c>
      <c r="L163" s="266" t="s">
        <v>743</v>
      </c>
      <c r="M163" s="76"/>
      <c r="N163" s="76"/>
      <c r="O163" s="76"/>
      <c r="P163" s="76"/>
    </row>
    <row r="164" spans="1:16">
      <c r="A164" s="75">
        <v>152</v>
      </c>
      <c r="B164" s="221" t="s">
        <v>561</v>
      </c>
      <c r="C164" s="446" t="s">
        <v>226</v>
      </c>
      <c r="D164" s="236" t="s">
        <v>699</v>
      </c>
      <c r="E164" s="253">
        <v>45610</v>
      </c>
      <c r="F164" s="260">
        <v>41.37</v>
      </c>
      <c r="G164" s="589" t="s">
        <v>55</v>
      </c>
      <c r="H164" s="590"/>
      <c r="I164" s="590"/>
      <c r="J164" s="591"/>
      <c r="K164" s="253">
        <v>45617</v>
      </c>
      <c r="L164" s="266" t="s">
        <v>736</v>
      </c>
      <c r="M164" s="76"/>
      <c r="N164" s="76"/>
      <c r="O164" s="76"/>
      <c r="P164" s="76"/>
    </row>
    <row r="165" spans="1:16">
      <c r="A165" s="75">
        <v>153</v>
      </c>
      <c r="B165" s="229" t="s">
        <v>475</v>
      </c>
      <c r="C165" s="442" t="s">
        <v>195</v>
      </c>
      <c r="D165" s="236" t="s">
        <v>699</v>
      </c>
      <c r="E165" s="253">
        <v>45610</v>
      </c>
      <c r="F165" s="260">
        <v>37.64</v>
      </c>
      <c r="G165" s="589" t="s">
        <v>55</v>
      </c>
      <c r="H165" s="590"/>
      <c r="I165" s="590"/>
      <c r="J165" s="591"/>
      <c r="K165" s="253">
        <v>45617</v>
      </c>
      <c r="L165" s="266" t="s">
        <v>745</v>
      </c>
      <c r="M165" s="76"/>
      <c r="N165" s="76"/>
      <c r="O165" s="76"/>
      <c r="P165" s="76"/>
    </row>
    <row r="166" spans="1:16">
      <c r="A166" s="75">
        <v>154</v>
      </c>
      <c r="B166" s="221" t="s">
        <v>362</v>
      </c>
      <c r="C166" s="442" t="s">
        <v>322</v>
      </c>
      <c r="D166" s="236" t="s">
        <v>699</v>
      </c>
      <c r="E166" s="253">
        <v>45610</v>
      </c>
      <c r="F166" s="260">
        <v>77.81</v>
      </c>
      <c r="G166" s="589" t="s">
        <v>55</v>
      </c>
      <c r="H166" s="590"/>
      <c r="I166" s="590"/>
      <c r="J166" s="591"/>
      <c r="K166" s="253">
        <v>45617</v>
      </c>
      <c r="L166" s="266" t="s">
        <v>742</v>
      </c>
      <c r="M166" s="76"/>
      <c r="N166" s="76"/>
      <c r="O166" s="76"/>
      <c r="P166" s="76"/>
    </row>
    <row r="167" spans="1:16">
      <c r="A167" s="75">
        <v>155</v>
      </c>
      <c r="B167" s="221" t="s">
        <v>486</v>
      </c>
      <c r="C167" s="442" t="s">
        <v>195</v>
      </c>
      <c r="D167" s="236" t="s">
        <v>699</v>
      </c>
      <c r="E167" s="253">
        <v>45614</v>
      </c>
      <c r="F167" s="260">
        <v>37.64</v>
      </c>
      <c r="G167" s="589" t="s">
        <v>55</v>
      </c>
      <c r="H167" s="590"/>
      <c r="I167" s="590"/>
      <c r="J167" s="591"/>
      <c r="K167" s="253">
        <v>45617</v>
      </c>
      <c r="L167" s="266" t="s">
        <v>730</v>
      </c>
      <c r="M167" s="76"/>
      <c r="N167" s="76"/>
      <c r="O167" s="76"/>
      <c r="P167" s="76"/>
    </row>
    <row r="168" spans="1:16">
      <c r="A168" s="75">
        <v>156</v>
      </c>
      <c r="B168" s="221" t="s">
        <v>589</v>
      </c>
      <c r="C168" s="442" t="s">
        <v>195</v>
      </c>
      <c r="D168" s="236" t="s">
        <v>699</v>
      </c>
      <c r="E168" s="253">
        <v>45614</v>
      </c>
      <c r="F168" s="260">
        <v>37.64</v>
      </c>
      <c r="G168" s="589" t="s">
        <v>55</v>
      </c>
      <c r="H168" s="590"/>
      <c r="I168" s="590"/>
      <c r="J168" s="591"/>
      <c r="K168" s="253">
        <v>45617</v>
      </c>
      <c r="L168" s="266" t="s">
        <v>741</v>
      </c>
      <c r="M168" s="76"/>
      <c r="N168" s="76"/>
      <c r="O168" s="76"/>
      <c r="P168" s="76"/>
    </row>
    <row r="169" spans="1:16">
      <c r="A169" s="75">
        <v>157</v>
      </c>
      <c r="B169" s="221" t="s">
        <v>130</v>
      </c>
      <c r="C169" s="442" t="s">
        <v>227</v>
      </c>
      <c r="D169" s="238" t="s">
        <v>702</v>
      </c>
      <c r="E169" s="253">
        <v>45612</v>
      </c>
      <c r="F169" s="260">
        <v>71.430000000000007</v>
      </c>
      <c r="G169" s="589" t="s">
        <v>55</v>
      </c>
      <c r="H169" s="590"/>
      <c r="I169" s="590"/>
      <c r="J169" s="591"/>
      <c r="K169" s="257">
        <v>45619</v>
      </c>
      <c r="L169" s="266" t="s">
        <v>724</v>
      </c>
      <c r="M169" s="76"/>
      <c r="N169" s="76"/>
      <c r="O169" s="76"/>
      <c r="P169" s="76"/>
    </row>
    <row r="170" spans="1:16">
      <c r="A170" s="75">
        <v>158</v>
      </c>
      <c r="B170" s="221" t="s">
        <v>514</v>
      </c>
      <c r="C170" s="447" t="s">
        <v>248</v>
      </c>
      <c r="D170" s="236" t="s">
        <v>699</v>
      </c>
      <c r="E170" s="253">
        <v>45614</v>
      </c>
      <c r="F170" s="260">
        <v>58.25</v>
      </c>
      <c r="G170" s="589" t="s">
        <v>55</v>
      </c>
      <c r="H170" s="590"/>
      <c r="I170" s="590"/>
      <c r="J170" s="591"/>
      <c r="K170" s="257">
        <v>45618</v>
      </c>
      <c r="L170" s="266" t="s">
        <v>732</v>
      </c>
      <c r="M170" s="76"/>
      <c r="N170" s="76"/>
      <c r="O170" s="76"/>
      <c r="P170" s="76"/>
    </row>
    <row r="171" spans="1:16">
      <c r="A171" s="75">
        <v>159</v>
      </c>
      <c r="B171" s="221" t="s">
        <v>531</v>
      </c>
      <c r="C171" s="442" t="s">
        <v>225</v>
      </c>
      <c r="D171" s="236" t="s">
        <v>699</v>
      </c>
      <c r="E171" s="253">
        <v>45614</v>
      </c>
      <c r="F171" s="260">
        <v>37.64</v>
      </c>
      <c r="G171" s="589" t="s">
        <v>55</v>
      </c>
      <c r="H171" s="590"/>
      <c r="I171" s="590"/>
      <c r="J171" s="591"/>
      <c r="K171" s="257">
        <v>45618</v>
      </c>
      <c r="L171" s="266" t="s">
        <v>734</v>
      </c>
      <c r="M171" s="76"/>
      <c r="N171" s="76"/>
      <c r="O171" s="76"/>
      <c r="P171" s="76"/>
    </row>
    <row r="172" spans="1:16">
      <c r="A172" s="75">
        <v>160</v>
      </c>
      <c r="B172" s="221" t="s">
        <v>547</v>
      </c>
      <c r="C172" s="442" t="s">
        <v>225</v>
      </c>
      <c r="D172" s="236" t="s">
        <v>699</v>
      </c>
      <c r="E172" s="253">
        <v>45614</v>
      </c>
      <c r="F172" s="260">
        <v>37.64</v>
      </c>
      <c r="G172" s="589" t="s">
        <v>55</v>
      </c>
      <c r="H172" s="590"/>
      <c r="I172" s="590"/>
      <c r="J172" s="591"/>
      <c r="K172" s="253">
        <v>45620</v>
      </c>
      <c r="L172" s="266" t="s">
        <v>728</v>
      </c>
      <c r="M172" s="76"/>
      <c r="N172" s="76"/>
      <c r="O172" s="76"/>
      <c r="P172" s="76"/>
    </row>
    <row r="173" spans="1:16">
      <c r="A173" s="75">
        <v>161</v>
      </c>
      <c r="B173" s="9" t="s">
        <v>549</v>
      </c>
      <c r="C173" s="446" t="s">
        <v>224</v>
      </c>
      <c r="D173" s="239" t="s">
        <v>702</v>
      </c>
      <c r="E173" s="253">
        <v>45616</v>
      </c>
      <c r="F173" s="260">
        <v>71.430000000000007</v>
      </c>
      <c r="G173" s="589" t="s">
        <v>55</v>
      </c>
      <c r="H173" s="590"/>
      <c r="I173" s="590"/>
      <c r="J173" s="591"/>
      <c r="K173" s="253">
        <v>45625</v>
      </c>
      <c r="L173" s="266" t="s">
        <v>738</v>
      </c>
      <c r="M173" s="76"/>
      <c r="N173" s="76"/>
      <c r="O173" s="76"/>
      <c r="P173" s="76"/>
    </row>
    <row r="174" spans="1:16">
      <c r="A174" s="75">
        <v>162</v>
      </c>
      <c r="B174" s="216" t="s">
        <v>570</v>
      </c>
      <c r="C174" s="442" t="s">
        <v>225</v>
      </c>
      <c r="D174" s="236" t="s">
        <v>699</v>
      </c>
      <c r="E174" s="253">
        <v>45618</v>
      </c>
      <c r="F174" s="260">
        <v>37.64</v>
      </c>
      <c r="G174" s="589" t="s">
        <v>55</v>
      </c>
      <c r="H174" s="590"/>
      <c r="I174" s="590"/>
      <c r="J174" s="591"/>
      <c r="K174" s="257">
        <v>45622</v>
      </c>
      <c r="L174" s="266" t="s">
        <v>743</v>
      </c>
      <c r="M174" s="76"/>
      <c r="N174" s="76"/>
      <c r="O174" s="76"/>
      <c r="P174" s="76"/>
    </row>
    <row r="175" spans="1:16">
      <c r="A175" s="75">
        <v>163</v>
      </c>
      <c r="B175" s="216" t="s">
        <v>282</v>
      </c>
      <c r="C175" s="446" t="s">
        <v>349</v>
      </c>
      <c r="D175" s="236" t="s">
        <v>699</v>
      </c>
      <c r="E175" s="253">
        <v>45618</v>
      </c>
      <c r="F175" s="260">
        <v>70.25</v>
      </c>
      <c r="G175" s="589" t="s">
        <v>55</v>
      </c>
      <c r="H175" s="590"/>
      <c r="I175" s="590"/>
      <c r="J175" s="591"/>
      <c r="K175" s="253">
        <v>45625</v>
      </c>
      <c r="L175" s="266" t="s">
        <v>742</v>
      </c>
      <c r="M175" s="76"/>
      <c r="N175" s="76"/>
      <c r="O175" s="76"/>
      <c r="P175" s="76"/>
    </row>
    <row r="176" spans="1:16">
      <c r="A176" s="75">
        <v>164</v>
      </c>
      <c r="B176" s="216" t="s">
        <v>350</v>
      </c>
      <c r="C176" s="448" t="s">
        <v>318</v>
      </c>
      <c r="D176" s="236" t="s">
        <v>699</v>
      </c>
      <c r="E176" s="253">
        <v>45618</v>
      </c>
      <c r="F176" s="260">
        <v>65.713999999999999</v>
      </c>
      <c r="G176" s="589" t="s">
        <v>55</v>
      </c>
      <c r="H176" s="590"/>
      <c r="I176" s="590"/>
      <c r="J176" s="591"/>
      <c r="K176" s="257">
        <v>45623</v>
      </c>
      <c r="L176" s="266" t="s">
        <v>733</v>
      </c>
      <c r="M176" s="76"/>
      <c r="N176" s="76"/>
      <c r="O176" s="76"/>
      <c r="P176" s="76"/>
    </row>
    <row r="177" spans="1:16">
      <c r="A177" s="75">
        <v>165</v>
      </c>
      <c r="B177" s="216" t="s">
        <v>535</v>
      </c>
      <c r="C177" s="446" t="s">
        <v>227</v>
      </c>
      <c r="D177" s="236" t="s">
        <v>699</v>
      </c>
      <c r="E177" s="253">
        <v>45618</v>
      </c>
      <c r="F177" s="260">
        <v>41.37</v>
      </c>
      <c r="G177" s="589" t="s">
        <v>55</v>
      </c>
      <c r="H177" s="590"/>
      <c r="I177" s="590"/>
      <c r="J177" s="591"/>
      <c r="K177" s="257">
        <v>45623</v>
      </c>
      <c r="L177" s="266" t="s">
        <v>734</v>
      </c>
      <c r="M177" s="76"/>
      <c r="N177" s="76"/>
      <c r="O177" s="76"/>
      <c r="P177" s="76"/>
    </row>
    <row r="178" spans="1:16">
      <c r="A178" s="75">
        <v>166</v>
      </c>
      <c r="B178" s="216" t="s">
        <v>479</v>
      </c>
      <c r="C178" s="447" t="s">
        <v>224</v>
      </c>
      <c r="D178" s="236" t="s">
        <v>699</v>
      </c>
      <c r="E178" s="253">
        <v>45618</v>
      </c>
      <c r="F178" s="260">
        <v>41.37</v>
      </c>
      <c r="G178" s="589" t="s">
        <v>55</v>
      </c>
      <c r="H178" s="590"/>
      <c r="I178" s="590"/>
      <c r="J178" s="591"/>
      <c r="K178" s="257">
        <v>45625</v>
      </c>
      <c r="L178" s="266" t="s">
        <v>745</v>
      </c>
      <c r="M178" s="76"/>
      <c r="N178" s="76"/>
      <c r="O178" s="76"/>
      <c r="P178" s="76"/>
    </row>
    <row r="179" spans="1:16">
      <c r="A179" s="75">
        <v>167</v>
      </c>
      <c r="B179" s="216" t="s">
        <v>544</v>
      </c>
      <c r="C179" s="446" t="s">
        <v>226</v>
      </c>
      <c r="D179" s="236" t="s">
        <v>699</v>
      </c>
      <c r="E179" s="253">
        <v>45618</v>
      </c>
      <c r="F179" s="260">
        <v>41.37</v>
      </c>
      <c r="G179" s="589" t="s">
        <v>55</v>
      </c>
      <c r="H179" s="590"/>
      <c r="I179" s="590"/>
      <c r="J179" s="591"/>
      <c r="K179" s="257">
        <v>45625</v>
      </c>
      <c r="L179" s="266" t="s">
        <v>736</v>
      </c>
      <c r="M179" s="76"/>
      <c r="N179" s="76"/>
      <c r="O179" s="76"/>
      <c r="P179" s="76"/>
    </row>
    <row r="180" spans="1:16">
      <c r="A180" s="75">
        <v>168</v>
      </c>
      <c r="B180" s="216" t="s">
        <v>539</v>
      </c>
      <c r="C180" s="446" t="s">
        <v>225</v>
      </c>
      <c r="D180" s="236" t="s">
        <v>699</v>
      </c>
      <c r="E180" s="253">
        <v>45618</v>
      </c>
      <c r="F180" s="260">
        <v>37.64</v>
      </c>
      <c r="G180" s="589" t="s">
        <v>55</v>
      </c>
      <c r="H180" s="590"/>
      <c r="I180" s="590"/>
      <c r="J180" s="591"/>
      <c r="K180" s="257">
        <v>45622</v>
      </c>
      <c r="L180" s="266" t="s">
        <v>740</v>
      </c>
      <c r="M180" s="76"/>
      <c r="N180" s="76"/>
      <c r="O180" s="76"/>
      <c r="P180" s="76"/>
    </row>
    <row r="181" spans="1:16">
      <c r="A181" s="75">
        <v>169</v>
      </c>
      <c r="B181" s="216" t="s">
        <v>485</v>
      </c>
      <c r="C181" s="446" t="s">
        <v>224</v>
      </c>
      <c r="D181" s="236" t="s">
        <v>699</v>
      </c>
      <c r="E181" s="253">
        <v>45618</v>
      </c>
      <c r="F181" s="260">
        <v>41.37</v>
      </c>
      <c r="G181" s="589" t="s">
        <v>55</v>
      </c>
      <c r="H181" s="590"/>
      <c r="I181" s="590"/>
      <c r="J181" s="591"/>
      <c r="K181" s="257">
        <v>45625</v>
      </c>
      <c r="L181" s="266" t="s">
        <v>740</v>
      </c>
      <c r="M181" s="76"/>
      <c r="N181" s="76"/>
      <c r="O181" s="76"/>
      <c r="P181" s="76"/>
    </row>
    <row r="182" spans="1:16">
      <c r="A182" s="75">
        <v>170</v>
      </c>
      <c r="B182" s="216" t="s">
        <v>572</v>
      </c>
      <c r="C182" s="446" t="s">
        <v>314</v>
      </c>
      <c r="D182" s="236" t="s">
        <v>699</v>
      </c>
      <c r="E182" s="253">
        <v>45618</v>
      </c>
      <c r="F182" s="260">
        <v>58.25</v>
      </c>
      <c r="G182" s="589" t="s">
        <v>55</v>
      </c>
      <c r="H182" s="590"/>
      <c r="I182" s="590"/>
      <c r="J182" s="591"/>
      <c r="K182" s="257">
        <v>45626</v>
      </c>
      <c r="L182" s="266" t="s">
        <v>729</v>
      </c>
      <c r="M182" s="76"/>
      <c r="N182" s="76"/>
      <c r="O182" s="76"/>
      <c r="P182" s="76"/>
    </row>
    <row r="183" spans="1:16">
      <c r="A183" s="75">
        <v>171</v>
      </c>
      <c r="B183" s="216" t="s">
        <v>525</v>
      </c>
      <c r="C183" s="446" t="s">
        <v>318</v>
      </c>
      <c r="D183" s="236" t="s">
        <v>699</v>
      </c>
      <c r="E183" s="253">
        <v>45618</v>
      </c>
      <c r="F183" s="260">
        <v>65.713999999999999</v>
      </c>
      <c r="G183" s="589" t="s">
        <v>55</v>
      </c>
      <c r="H183" s="590"/>
      <c r="I183" s="590"/>
      <c r="J183" s="591"/>
      <c r="K183" s="253">
        <v>45625</v>
      </c>
      <c r="L183" s="266" t="s">
        <v>730</v>
      </c>
      <c r="M183" s="76"/>
      <c r="N183" s="76"/>
      <c r="O183" s="76"/>
      <c r="P183" s="76"/>
    </row>
    <row r="184" spans="1:16">
      <c r="A184" s="75">
        <v>172</v>
      </c>
      <c r="B184" s="230" t="s">
        <v>131</v>
      </c>
      <c r="C184" s="447" t="s">
        <v>225</v>
      </c>
      <c r="D184" s="239" t="s">
        <v>702</v>
      </c>
      <c r="E184" s="253">
        <v>45616</v>
      </c>
      <c r="F184" s="260">
        <v>68.849999999999994</v>
      </c>
      <c r="G184" s="589" t="s">
        <v>55</v>
      </c>
      <c r="H184" s="590"/>
      <c r="I184" s="590"/>
      <c r="J184" s="591"/>
      <c r="K184" s="257">
        <v>45627</v>
      </c>
      <c r="L184" s="266" t="s">
        <v>724</v>
      </c>
      <c r="M184" s="76"/>
      <c r="N184" s="76"/>
      <c r="O184" s="76"/>
      <c r="P184" s="76"/>
    </row>
    <row r="185" spans="1:16">
      <c r="A185" s="75">
        <v>173</v>
      </c>
      <c r="B185" s="216" t="s">
        <v>364</v>
      </c>
      <c r="C185" s="446" t="s">
        <v>318</v>
      </c>
      <c r="D185" s="236" t="s">
        <v>699</v>
      </c>
      <c r="E185" s="253">
        <v>45618</v>
      </c>
      <c r="F185" s="260">
        <v>65.713999999999999</v>
      </c>
      <c r="G185" s="589" t="s">
        <v>55</v>
      </c>
      <c r="H185" s="590"/>
      <c r="I185" s="590"/>
      <c r="J185" s="591"/>
      <c r="K185" s="257">
        <v>45628</v>
      </c>
      <c r="L185" s="266" t="s">
        <v>743</v>
      </c>
      <c r="M185" s="76"/>
      <c r="N185" s="76"/>
      <c r="O185" s="76"/>
      <c r="P185" s="76"/>
    </row>
    <row r="186" spans="1:16">
      <c r="A186" s="75">
        <v>174</v>
      </c>
      <c r="B186" s="216" t="s">
        <v>521</v>
      </c>
      <c r="C186" s="446" t="s">
        <v>195</v>
      </c>
      <c r="D186" s="236" t="s">
        <v>699</v>
      </c>
      <c r="E186" s="253">
        <v>45621</v>
      </c>
      <c r="F186" s="260">
        <v>37.64</v>
      </c>
      <c r="G186" s="589" t="s">
        <v>55</v>
      </c>
      <c r="H186" s="590"/>
      <c r="I186" s="590"/>
      <c r="J186" s="591"/>
      <c r="K186" s="257">
        <v>45629</v>
      </c>
      <c r="L186" s="266" t="s">
        <v>734</v>
      </c>
      <c r="M186" s="76"/>
      <c r="N186" s="76"/>
      <c r="O186" s="76"/>
      <c r="P186" s="76"/>
    </row>
    <row r="187" spans="1:16">
      <c r="A187" s="75">
        <v>175</v>
      </c>
      <c r="B187" s="213" t="s">
        <v>660</v>
      </c>
      <c r="C187" s="449" t="s">
        <v>319</v>
      </c>
      <c r="D187" s="236" t="s">
        <v>699</v>
      </c>
      <c r="E187" s="253">
        <v>45625</v>
      </c>
      <c r="F187" s="260">
        <v>65.912000000000006</v>
      </c>
      <c r="G187" s="589" t="s">
        <v>55</v>
      </c>
      <c r="H187" s="590"/>
      <c r="I187" s="590"/>
      <c r="J187" s="591"/>
      <c r="K187" s="257">
        <v>45630</v>
      </c>
      <c r="L187" s="266" t="s">
        <v>730</v>
      </c>
      <c r="M187" s="76"/>
      <c r="N187" s="76"/>
      <c r="O187" s="76"/>
      <c r="P187" s="76"/>
    </row>
    <row r="188" spans="1:16">
      <c r="A188" s="75">
        <v>176</v>
      </c>
      <c r="B188" s="216" t="s">
        <v>523</v>
      </c>
      <c r="C188" s="442" t="s">
        <v>195</v>
      </c>
      <c r="D188" s="236" t="s">
        <v>699</v>
      </c>
      <c r="E188" s="253">
        <v>45626</v>
      </c>
      <c r="F188" s="260">
        <v>37.64</v>
      </c>
      <c r="G188" s="589" t="s">
        <v>55</v>
      </c>
      <c r="H188" s="590"/>
      <c r="I188" s="590"/>
      <c r="J188" s="591"/>
      <c r="K188" s="257">
        <v>45630</v>
      </c>
      <c r="L188" s="266" t="s">
        <v>740</v>
      </c>
      <c r="M188" s="76"/>
      <c r="N188" s="76"/>
      <c r="O188" s="76"/>
      <c r="P188" s="76"/>
    </row>
    <row r="189" spans="1:16">
      <c r="A189" s="75">
        <v>177</v>
      </c>
      <c r="B189" s="216" t="s">
        <v>484</v>
      </c>
      <c r="C189" s="446" t="s">
        <v>224</v>
      </c>
      <c r="D189" s="236" t="s">
        <v>699</v>
      </c>
      <c r="E189" s="253">
        <v>45626</v>
      </c>
      <c r="F189" s="260">
        <v>41.37</v>
      </c>
      <c r="G189" s="589" t="s">
        <v>55</v>
      </c>
      <c r="H189" s="590"/>
      <c r="I189" s="590"/>
      <c r="J189" s="591"/>
      <c r="K189" s="257">
        <v>45632</v>
      </c>
      <c r="L189" s="266" t="s">
        <v>745</v>
      </c>
      <c r="M189" s="76"/>
      <c r="N189" s="76"/>
      <c r="O189" s="76"/>
      <c r="P189" s="76"/>
    </row>
    <row r="190" spans="1:16">
      <c r="A190" s="75">
        <v>178</v>
      </c>
      <c r="B190" s="216" t="s">
        <v>536</v>
      </c>
      <c r="C190" s="446" t="s">
        <v>224</v>
      </c>
      <c r="D190" s="236" t="s">
        <v>699</v>
      </c>
      <c r="E190" s="253">
        <v>45629</v>
      </c>
      <c r="F190" s="260">
        <v>41.37</v>
      </c>
      <c r="G190" s="589" t="s">
        <v>55</v>
      </c>
      <c r="H190" s="590"/>
      <c r="I190" s="590"/>
      <c r="J190" s="591"/>
      <c r="K190" s="257">
        <v>45635</v>
      </c>
      <c r="L190" s="266" t="s">
        <v>732</v>
      </c>
      <c r="M190" s="76"/>
      <c r="N190" s="76"/>
      <c r="O190" s="76"/>
      <c r="P190" s="76"/>
    </row>
    <row r="191" spans="1:16">
      <c r="A191" s="75">
        <v>179</v>
      </c>
      <c r="B191" s="216" t="s">
        <v>517</v>
      </c>
      <c r="C191" s="442" t="s">
        <v>195</v>
      </c>
      <c r="D191" s="236" t="s">
        <v>699</v>
      </c>
      <c r="E191" s="253">
        <v>45629</v>
      </c>
      <c r="F191" s="260">
        <v>37.64</v>
      </c>
      <c r="G191" s="589" t="s">
        <v>55</v>
      </c>
      <c r="H191" s="590"/>
      <c r="I191" s="590"/>
      <c r="J191" s="591"/>
      <c r="K191" s="257">
        <v>45635</v>
      </c>
      <c r="L191" s="266" t="s">
        <v>740</v>
      </c>
      <c r="M191" s="76"/>
      <c r="N191" s="76"/>
      <c r="O191" s="76"/>
      <c r="P191" s="76"/>
    </row>
    <row r="192" spans="1:16">
      <c r="A192" s="75">
        <v>180</v>
      </c>
      <c r="B192" s="216" t="s">
        <v>496</v>
      </c>
      <c r="C192" s="442" t="s">
        <v>195</v>
      </c>
      <c r="D192" s="236" t="s">
        <v>699</v>
      </c>
      <c r="E192" s="253">
        <v>45629</v>
      </c>
      <c r="F192" s="260">
        <v>37.64</v>
      </c>
      <c r="G192" s="589" t="s">
        <v>55</v>
      </c>
      <c r="H192" s="590"/>
      <c r="I192" s="590"/>
      <c r="J192" s="591"/>
      <c r="K192" s="257">
        <v>45635</v>
      </c>
      <c r="L192" s="266" t="s">
        <v>736</v>
      </c>
      <c r="M192" s="76"/>
      <c r="N192" s="76"/>
      <c r="O192" s="76"/>
      <c r="P192" s="76"/>
    </row>
    <row r="193" spans="1:16">
      <c r="A193" s="75">
        <v>181</v>
      </c>
      <c r="B193" s="216" t="s">
        <v>516</v>
      </c>
      <c r="C193" s="446" t="s">
        <v>224</v>
      </c>
      <c r="D193" s="236" t="s">
        <v>699</v>
      </c>
      <c r="E193" s="253">
        <v>45629</v>
      </c>
      <c r="F193" s="260">
        <v>41.37</v>
      </c>
      <c r="G193" s="589" t="s">
        <v>55</v>
      </c>
      <c r="H193" s="590"/>
      <c r="I193" s="590"/>
      <c r="J193" s="591"/>
      <c r="K193" s="257">
        <v>45635</v>
      </c>
      <c r="L193" s="266" t="s">
        <v>734</v>
      </c>
      <c r="M193" s="76"/>
      <c r="N193" s="76"/>
      <c r="O193" s="76"/>
      <c r="P193" s="76"/>
    </row>
    <row r="194" spans="1:16">
      <c r="A194" s="75">
        <v>182</v>
      </c>
      <c r="B194" s="216" t="s">
        <v>661</v>
      </c>
      <c r="C194" s="446" t="s">
        <v>703</v>
      </c>
      <c r="D194" s="236" t="s">
        <v>699</v>
      </c>
      <c r="E194" s="253">
        <v>45629</v>
      </c>
      <c r="F194" s="260">
        <v>65.912000000000006</v>
      </c>
      <c r="G194" s="589" t="s">
        <v>55</v>
      </c>
      <c r="H194" s="590"/>
      <c r="I194" s="590"/>
      <c r="J194" s="591"/>
      <c r="K194" s="257">
        <v>45635</v>
      </c>
      <c r="L194" s="266" t="s">
        <v>729</v>
      </c>
      <c r="M194" s="76"/>
      <c r="N194" s="76"/>
      <c r="O194" s="76"/>
      <c r="P194" s="76"/>
    </row>
    <row r="195" spans="1:16">
      <c r="A195" s="75">
        <v>183</v>
      </c>
      <c r="B195" s="216" t="s">
        <v>627</v>
      </c>
      <c r="C195" s="446" t="s">
        <v>357</v>
      </c>
      <c r="D195" s="236" t="s">
        <v>699</v>
      </c>
      <c r="E195" s="253">
        <v>45630</v>
      </c>
      <c r="F195" s="260">
        <v>77.070000000000007</v>
      </c>
      <c r="G195" s="589" t="s">
        <v>55</v>
      </c>
      <c r="H195" s="590"/>
      <c r="I195" s="590"/>
      <c r="J195" s="591"/>
      <c r="K195" s="257">
        <v>45636</v>
      </c>
      <c r="L195" s="266" t="s">
        <v>730</v>
      </c>
      <c r="M195" s="76"/>
      <c r="N195" s="76"/>
      <c r="O195" s="76"/>
      <c r="P195" s="76"/>
    </row>
    <row r="196" spans="1:16">
      <c r="A196" s="75">
        <v>184</v>
      </c>
      <c r="B196" s="216" t="s">
        <v>615</v>
      </c>
      <c r="C196" s="446" t="s">
        <v>225</v>
      </c>
      <c r="D196" s="239" t="s">
        <v>701</v>
      </c>
      <c r="E196" s="253">
        <v>45630</v>
      </c>
      <c r="F196" s="260">
        <v>58.51</v>
      </c>
      <c r="G196" s="589" t="s">
        <v>55</v>
      </c>
      <c r="H196" s="590"/>
      <c r="I196" s="590"/>
      <c r="J196" s="591"/>
      <c r="K196" s="257">
        <v>45636</v>
      </c>
      <c r="L196" s="266" t="s">
        <v>742</v>
      </c>
      <c r="M196" s="76"/>
      <c r="N196" s="76"/>
      <c r="O196" s="76"/>
      <c r="P196" s="76"/>
    </row>
    <row r="197" spans="1:16">
      <c r="A197" s="75">
        <v>185</v>
      </c>
      <c r="B197" s="216" t="s">
        <v>602</v>
      </c>
      <c r="C197" s="446" t="s">
        <v>225</v>
      </c>
      <c r="D197" s="239" t="s">
        <v>701</v>
      </c>
      <c r="E197" s="253">
        <v>45627</v>
      </c>
      <c r="F197" s="260">
        <v>58.51</v>
      </c>
      <c r="G197" s="589" t="s">
        <v>55</v>
      </c>
      <c r="H197" s="590"/>
      <c r="I197" s="590"/>
      <c r="J197" s="591"/>
      <c r="K197" s="257">
        <v>45637</v>
      </c>
      <c r="L197" s="266" t="s">
        <v>741</v>
      </c>
      <c r="M197" s="76"/>
      <c r="N197" s="76"/>
      <c r="O197" s="76"/>
      <c r="P197" s="76"/>
    </row>
    <row r="198" spans="1:16">
      <c r="A198" s="75">
        <v>186</v>
      </c>
      <c r="B198" s="216" t="s">
        <v>134</v>
      </c>
      <c r="C198" s="446" t="s">
        <v>225</v>
      </c>
      <c r="D198" s="239" t="s">
        <v>701</v>
      </c>
      <c r="E198" s="253">
        <v>45628</v>
      </c>
      <c r="F198" s="260">
        <v>58.51</v>
      </c>
      <c r="G198" s="589" t="s">
        <v>55</v>
      </c>
      <c r="H198" s="590"/>
      <c r="I198" s="590"/>
      <c r="J198" s="591"/>
      <c r="K198" s="257">
        <v>45637</v>
      </c>
      <c r="L198" s="267" t="s">
        <v>724</v>
      </c>
      <c r="M198" s="76"/>
      <c r="N198" s="76"/>
      <c r="O198" s="76"/>
      <c r="P198" s="76"/>
    </row>
    <row r="199" spans="1:16">
      <c r="A199" s="75">
        <v>187</v>
      </c>
      <c r="B199" s="216" t="s">
        <v>511</v>
      </c>
      <c r="C199" s="446" t="s">
        <v>224</v>
      </c>
      <c r="D199" s="236" t="s">
        <v>699</v>
      </c>
      <c r="E199" s="253">
        <v>45635</v>
      </c>
      <c r="F199" s="260">
        <v>41.37</v>
      </c>
      <c r="G199" s="589" t="s">
        <v>55</v>
      </c>
      <c r="H199" s="590"/>
      <c r="I199" s="590"/>
      <c r="J199" s="591"/>
      <c r="K199" s="257">
        <v>45639</v>
      </c>
      <c r="L199" s="266" t="s">
        <v>740</v>
      </c>
      <c r="M199" s="76"/>
      <c r="N199" s="76"/>
      <c r="O199" s="76"/>
      <c r="P199" s="76"/>
    </row>
    <row r="200" spans="1:16">
      <c r="A200" s="75">
        <v>188</v>
      </c>
      <c r="B200" s="216" t="s">
        <v>327</v>
      </c>
      <c r="C200" s="446" t="s">
        <v>704</v>
      </c>
      <c r="D200" s="239" t="s">
        <v>701</v>
      </c>
      <c r="E200" s="253">
        <v>45635</v>
      </c>
      <c r="F200" s="260">
        <v>113.26</v>
      </c>
      <c r="G200" s="589" t="s">
        <v>55</v>
      </c>
      <c r="H200" s="590"/>
      <c r="I200" s="590"/>
      <c r="J200" s="591"/>
      <c r="K200" s="257">
        <v>45641</v>
      </c>
      <c r="L200" s="266" t="s">
        <v>743</v>
      </c>
      <c r="M200" s="76"/>
      <c r="N200" s="76"/>
      <c r="O200" s="76"/>
      <c r="P200" s="76"/>
    </row>
    <row r="201" spans="1:16">
      <c r="A201" s="75">
        <v>189</v>
      </c>
      <c r="B201" s="216" t="s">
        <v>586</v>
      </c>
      <c r="C201" s="446" t="s">
        <v>225</v>
      </c>
      <c r="D201" s="236" t="s">
        <v>699</v>
      </c>
      <c r="E201" s="253">
        <v>45635</v>
      </c>
      <c r="F201" s="260">
        <v>37.64</v>
      </c>
      <c r="G201" s="589" t="s">
        <v>55</v>
      </c>
      <c r="H201" s="590"/>
      <c r="I201" s="590"/>
      <c r="J201" s="591"/>
      <c r="K201" s="257">
        <v>45642</v>
      </c>
      <c r="L201" s="266" t="s">
        <v>745</v>
      </c>
      <c r="M201" s="76"/>
      <c r="N201" s="76"/>
      <c r="O201" s="76"/>
      <c r="P201" s="76"/>
    </row>
    <row r="202" spans="1:16">
      <c r="A202" s="75">
        <v>190</v>
      </c>
      <c r="B202" s="216" t="s">
        <v>503</v>
      </c>
      <c r="C202" s="446" t="s">
        <v>195</v>
      </c>
      <c r="D202" s="236" t="s">
        <v>699</v>
      </c>
      <c r="E202" s="253">
        <v>45635</v>
      </c>
      <c r="F202" s="260">
        <v>37.64</v>
      </c>
      <c r="G202" s="589" t="s">
        <v>55</v>
      </c>
      <c r="H202" s="590"/>
      <c r="I202" s="590"/>
      <c r="J202" s="591"/>
      <c r="K202" s="257">
        <v>45642</v>
      </c>
      <c r="L202" s="266" t="s">
        <v>736</v>
      </c>
      <c r="M202" s="76"/>
      <c r="N202" s="76"/>
      <c r="O202" s="76"/>
      <c r="P202" s="76"/>
    </row>
    <row r="203" spans="1:16">
      <c r="A203" s="75">
        <v>191</v>
      </c>
      <c r="B203" s="216" t="s">
        <v>534</v>
      </c>
      <c r="C203" s="446" t="s">
        <v>224</v>
      </c>
      <c r="D203" s="236" t="s">
        <v>699</v>
      </c>
      <c r="E203" s="253">
        <v>45635</v>
      </c>
      <c r="F203" s="260">
        <v>41.37</v>
      </c>
      <c r="G203" s="589" t="s">
        <v>55</v>
      </c>
      <c r="H203" s="590"/>
      <c r="I203" s="590"/>
      <c r="J203" s="591"/>
      <c r="K203" s="257">
        <v>45642</v>
      </c>
      <c r="L203" s="266" t="s">
        <v>732</v>
      </c>
      <c r="M203" s="76"/>
      <c r="N203" s="76"/>
      <c r="O203" s="76"/>
      <c r="P203" s="76"/>
    </row>
    <row r="204" spans="1:16">
      <c r="A204" s="75">
        <v>192</v>
      </c>
      <c r="B204" s="216" t="s">
        <v>559</v>
      </c>
      <c r="C204" s="446" t="s">
        <v>560</v>
      </c>
      <c r="D204" s="236" t="s">
        <v>699</v>
      </c>
      <c r="E204" s="253">
        <v>45635</v>
      </c>
      <c r="F204" s="260">
        <v>94.55</v>
      </c>
      <c r="G204" s="589" t="s">
        <v>55</v>
      </c>
      <c r="H204" s="590"/>
      <c r="I204" s="590"/>
      <c r="J204" s="591"/>
      <c r="K204" s="257">
        <v>45643</v>
      </c>
      <c r="L204" s="266" t="s">
        <v>730</v>
      </c>
      <c r="M204" s="76"/>
      <c r="N204" s="76"/>
      <c r="O204" s="76"/>
      <c r="P204" s="76"/>
    </row>
    <row r="205" spans="1:16">
      <c r="A205" s="75">
        <v>193</v>
      </c>
      <c r="B205" s="216" t="s">
        <v>657</v>
      </c>
      <c r="C205" s="446" t="s">
        <v>225</v>
      </c>
      <c r="D205" s="239" t="s">
        <v>702</v>
      </c>
      <c r="E205" s="253">
        <v>45635</v>
      </c>
      <c r="F205" s="260">
        <v>68.849999999999994</v>
      </c>
      <c r="G205" s="589" t="s">
        <v>55</v>
      </c>
      <c r="H205" s="590"/>
      <c r="I205" s="590"/>
      <c r="J205" s="591"/>
      <c r="K205" s="257">
        <v>45643</v>
      </c>
      <c r="L205" s="10" t="s">
        <v>742</v>
      </c>
      <c r="M205" s="76"/>
      <c r="N205" s="76"/>
      <c r="O205" s="76"/>
      <c r="P205" s="76"/>
    </row>
    <row r="206" spans="1:16">
      <c r="A206" s="75">
        <v>194</v>
      </c>
      <c r="B206" s="216" t="s">
        <v>563</v>
      </c>
      <c r="C206" s="446" t="s">
        <v>225</v>
      </c>
      <c r="D206" s="239" t="s">
        <v>702</v>
      </c>
      <c r="E206" s="253">
        <v>45635</v>
      </c>
      <c r="F206" s="260">
        <v>68.849999999999994</v>
      </c>
      <c r="G206" s="589" t="s">
        <v>55</v>
      </c>
      <c r="H206" s="590"/>
      <c r="I206" s="590"/>
      <c r="J206" s="591"/>
      <c r="K206" s="257">
        <v>45643</v>
      </c>
      <c r="L206" s="268" t="s">
        <v>738</v>
      </c>
      <c r="M206" s="76"/>
      <c r="N206" s="76"/>
      <c r="O206" s="76"/>
      <c r="P206" s="76"/>
    </row>
    <row r="207" spans="1:16">
      <c r="A207" s="75">
        <v>195</v>
      </c>
      <c r="B207" s="216" t="s">
        <v>438</v>
      </c>
      <c r="C207" s="446" t="s">
        <v>226</v>
      </c>
      <c r="D207" s="239" t="s">
        <v>702</v>
      </c>
      <c r="E207" s="253">
        <v>45635</v>
      </c>
      <c r="F207" s="260">
        <v>71.430000000000007</v>
      </c>
      <c r="G207" s="589" t="s">
        <v>55</v>
      </c>
      <c r="H207" s="590"/>
      <c r="I207" s="590"/>
      <c r="J207" s="591"/>
      <c r="K207" s="257">
        <v>45644</v>
      </c>
      <c r="L207" s="266" t="s">
        <v>733</v>
      </c>
      <c r="M207" s="76"/>
      <c r="N207" s="76"/>
      <c r="O207" s="76"/>
      <c r="P207" s="76"/>
    </row>
    <row r="208" spans="1:16">
      <c r="A208" s="75">
        <v>196</v>
      </c>
      <c r="B208" s="216" t="s">
        <v>528</v>
      </c>
      <c r="C208" s="446" t="s">
        <v>318</v>
      </c>
      <c r="D208" s="236" t="s">
        <v>699</v>
      </c>
      <c r="E208" s="253">
        <v>45636</v>
      </c>
      <c r="F208" s="260">
        <v>65.713999999999999</v>
      </c>
      <c r="G208" s="589" t="s">
        <v>55</v>
      </c>
      <c r="H208" s="590"/>
      <c r="I208" s="590"/>
      <c r="J208" s="591"/>
      <c r="K208" s="253">
        <v>45646</v>
      </c>
      <c r="L208" s="266" t="s">
        <v>740</v>
      </c>
      <c r="M208" s="76"/>
      <c r="N208" s="76"/>
      <c r="O208" s="76"/>
      <c r="P208" s="76"/>
    </row>
    <row r="209" spans="1:16">
      <c r="A209" s="75">
        <v>197</v>
      </c>
      <c r="B209" s="216" t="s">
        <v>526</v>
      </c>
      <c r="C209" s="446" t="s">
        <v>318</v>
      </c>
      <c r="D209" s="236" t="s">
        <v>699</v>
      </c>
      <c r="E209" s="253">
        <v>45636</v>
      </c>
      <c r="F209" s="260">
        <v>65.713999999999999</v>
      </c>
      <c r="G209" s="589" t="s">
        <v>55</v>
      </c>
      <c r="H209" s="590"/>
      <c r="I209" s="590"/>
      <c r="J209" s="591"/>
      <c r="K209" s="253">
        <v>45646</v>
      </c>
      <c r="L209" s="266" t="s">
        <v>734</v>
      </c>
      <c r="M209" s="76"/>
      <c r="N209" s="76"/>
      <c r="O209" s="76"/>
      <c r="P209" s="76"/>
    </row>
    <row r="210" spans="1:16">
      <c r="A210" s="75">
        <v>198</v>
      </c>
      <c r="B210" s="216" t="s">
        <v>8</v>
      </c>
      <c r="C210" s="446" t="s">
        <v>225</v>
      </c>
      <c r="D210" s="236" t="s">
        <v>699</v>
      </c>
      <c r="E210" s="253">
        <v>45641</v>
      </c>
      <c r="F210" s="260">
        <v>37.64</v>
      </c>
      <c r="G210" s="589" t="s">
        <v>55</v>
      </c>
      <c r="H210" s="590"/>
      <c r="I210" s="590"/>
      <c r="J210" s="591"/>
      <c r="K210" s="253">
        <v>45646</v>
      </c>
      <c r="L210" s="266" t="s">
        <v>743</v>
      </c>
      <c r="M210" s="76"/>
      <c r="N210" s="76"/>
      <c r="O210" s="76"/>
      <c r="P210" s="76"/>
    </row>
    <row r="211" spans="1:16">
      <c r="A211" s="75">
        <v>199</v>
      </c>
      <c r="B211" s="216" t="s">
        <v>372</v>
      </c>
      <c r="C211" s="442" t="s">
        <v>704</v>
      </c>
      <c r="D211" s="236" t="s">
        <v>699</v>
      </c>
      <c r="E211" s="253">
        <v>45636</v>
      </c>
      <c r="F211" s="260">
        <v>77.81</v>
      </c>
      <c r="G211" s="589" t="s">
        <v>55</v>
      </c>
      <c r="H211" s="590"/>
      <c r="I211" s="590"/>
      <c r="J211" s="591"/>
      <c r="K211" s="253">
        <v>45647</v>
      </c>
      <c r="L211" s="266" t="s">
        <v>741</v>
      </c>
      <c r="M211" s="76"/>
      <c r="N211" s="76"/>
      <c r="O211" s="76"/>
      <c r="P211" s="76"/>
    </row>
    <row r="212" spans="1:16">
      <c r="A212" s="75">
        <v>200</v>
      </c>
      <c r="B212" s="216" t="s">
        <v>140</v>
      </c>
      <c r="C212" s="446" t="s">
        <v>195</v>
      </c>
      <c r="D212" s="239" t="s">
        <v>701</v>
      </c>
      <c r="E212" s="253">
        <v>45636</v>
      </c>
      <c r="F212" s="260">
        <v>58.51</v>
      </c>
      <c r="G212" s="589" t="s">
        <v>55</v>
      </c>
      <c r="H212" s="590"/>
      <c r="I212" s="590"/>
      <c r="J212" s="591"/>
      <c r="K212" s="253">
        <v>45648</v>
      </c>
      <c r="L212" s="267" t="s">
        <v>724</v>
      </c>
      <c r="M212" s="76"/>
      <c r="N212" s="76"/>
      <c r="O212" s="76"/>
      <c r="P212" s="76"/>
    </row>
    <row r="213" spans="1:16">
      <c r="A213" s="75">
        <v>201</v>
      </c>
      <c r="B213" s="216" t="s">
        <v>550</v>
      </c>
      <c r="C213" s="442" t="s">
        <v>703</v>
      </c>
      <c r="D213" s="236" t="s">
        <v>699</v>
      </c>
      <c r="E213" s="253">
        <v>45636</v>
      </c>
      <c r="F213" s="260">
        <v>65.912000000000006</v>
      </c>
      <c r="G213" s="589" t="s">
        <v>55</v>
      </c>
      <c r="H213" s="590"/>
      <c r="I213" s="590"/>
      <c r="J213" s="591"/>
      <c r="K213" s="253">
        <v>45650</v>
      </c>
      <c r="L213" s="266" t="s">
        <v>730</v>
      </c>
      <c r="M213" s="76"/>
      <c r="N213" s="76"/>
      <c r="O213" s="76"/>
      <c r="P213" s="76"/>
    </row>
    <row r="214" spans="1:16">
      <c r="A214" s="75">
        <v>202</v>
      </c>
      <c r="B214" s="216" t="s">
        <v>527</v>
      </c>
      <c r="C214" s="442" t="s">
        <v>224</v>
      </c>
      <c r="D214" s="236" t="s">
        <v>699</v>
      </c>
      <c r="E214" s="253">
        <v>45643</v>
      </c>
      <c r="F214" s="260">
        <v>41.37</v>
      </c>
      <c r="G214" s="589" t="s">
        <v>55</v>
      </c>
      <c r="H214" s="590"/>
      <c r="I214" s="590"/>
      <c r="J214" s="591"/>
      <c r="K214" s="253">
        <v>45650</v>
      </c>
      <c r="L214" s="266" t="s">
        <v>745</v>
      </c>
      <c r="M214" s="76"/>
      <c r="N214" s="76"/>
      <c r="O214" s="76"/>
      <c r="P214" s="76"/>
    </row>
    <row r="215" spans="1:16">
      <c r="A215" s="75">
        <v>203</v>
      </c>
      <c r="B215" s="216" t="s">
        <v>606</v>
      </c>
      <c r="C215" s="442" t="s">
        <v>225</v>
      </c>
      <c r="D215" s="236" t="s">
        <v>699</v>
      </c>
      <c r="E215" s="253">
        <v>45645</v>
      </c>
      <c r="F215" s="260">
        <v>37.64</v>
      </c>
      <c r="G215" s="589" t="s">
        <v>55</v>
      </c>
      <c r="H215" s="590"/>
      <c r="I215" s="590"/>
      <c r="J215" s="591"/>
      <c r="K215" s="253">
        <v>45653</v>
      </c>
      <c r="L215" s="266" t="s">
        <v>733</v>
      </c>
      <c r="M215" s="76"/>
      <c r="N215" s="76"/>
      <c r="O215" s="76"/>
      <c r="P215" s="76"/>
    </row>
    <row r="216" spans="1:16">
      <c r="A216" s="75">
        <v>204</v>
      </c>
      <c r="B216" s="216" t="s">
        <v>540</v>
      </c>
      <c r="C216" s="442" t="s">
        <v>248</v>
      </c>
      <c r="D216" s="236" t="s">
        <v>699</v>
      </c>
      <c r="E216" s="253">
        <v>45646</v>
      </c>
      <c r="F216" s="260">
        <v>58.25</v>
      </c>
      <c r="G216" s="589" t="s">
        <v>55</v>
      </c>
      <c r="H216" s="590"/>
      <c r="I216" s="590"/>
      <c r="J216" s="591"/>
      <c r="K216" s="253">
        <v>45653</v>
      </c>
      <c r="L216" s="266" t="s">
        <v>732</v>
      </c>
      <c r="M216" s="76"/>
      <c r="N216" s="76"/>
      <c r="O216" s="76"/>
      <c r="P216" s="76"/>
    </row>
    <row r="217" spans="1:16">
      <c r="A217" s="75">
        <v>205</v>
      </c>
      <c r="B217" s="216" t="s">
        <v>439</v>
      </c>
      <c r="C217" s="442" t="s">
        <v>226</v>
      </c>
      <c r="D217" s="238" t="s">
        <v>702</v>
      </c>
      <c r="E217" s="253">
        <v>45616</v>
      </c>
      <c r="F217" s="260">
        <v>71.430000000000007</v>
      </c>
      <c r="G217" s="589" t="s">
        <v>55</v>
      </c>
      <c r="H217" s="590"/>
      <c r="I217" s="590"/>
      <c r="J217" s="591"/>
      <c r="K217" s="253">
        <v>45653</v>
      </c>
      <c r="L217" s="10" t="s">
        <v>742</v>
      </c>
      <c r="M217" s="76"/>
      <c r="N217" s="76"/>
      <c r="O217" s="76"/>
      <c r="P217" s="76"/>
    </row>
    <row r="218" spans="1:16">
      <c r="A218" s="75">
        <v>206</v>
      </c>
      <c r="B218" s="216" t="s">
        <v>276</v>
      </c>
      <c r="C218" s="442" t="s">
        <v>318</v>
      </c>
      <c r="D218" s="236" t="s">
        <v>699</v>
      </c>
      <c r="E218" s="253">
        <v>45644</v>
      </c>
      <c r="F218" s="260">
        <v>65.713999999999999</v>
      </c>
      <c r="G218" s="589" t="s">
        <v>55</v>
      </c>
      <c r="H218" s="590"/>
      <c r="I218" s="590"/>
      <c r="J218" s="591"/>
      <c r="K218" s="253">
        <v>45654</v>
      </c>
      <c r="L218" s="268" t="s">
        <v>738</v>
      </c>
      <c r="M218" s="76"/>
      <c r="N218" s="76"/>
      <c r="O218" s="76"/>
      <c r="P218" s="76"/>
    </row>
    <row r="219" spans="1:16">
      <c r="A219" s="75">
        <v>207</v>
      </c>
      <c r="B219" s="216" t="s">
        <v>545</v>
      </c>
      <c r="C219" s="442" t="s">
        <v>195</v>
      </c>
      <c r="D219" s="236" t="s">
        <v>699</v>
      </c>
      <c r="E219" s="252">
        <v>45649</v>
      </c>
      <c r="F219" s="260">
        <v>37.64</v>
      </c>
      <c r="G219" s="589" t="s">
        <v>55</v>
      </c>
      <c r="H219" s="590"/>
      <c r="I219" s="590"/>
      <c r="J219" s="591"/>
      <c r="K219" s="253">
        <v>45657</v>
      </c>
      <c r="L219" s="266" t="s">
        <v>745</v>
      </c>
      <c r="M219" s="76"/>
      <c r="N219" s="76"/>
      <c r="O219" s="76"/>
      <c r="P219" s="76"/>
    </row>
    <row r="220" spans="1:16">
      <c r="A220" s="75">
        <v>208</v>
      </c>
      <c r="B220" s="216" t="s">
        <v>376</v>
      </c>
      <c r="C220" s="442" t="s">
        <v>351</v>
      </c>
      <c r="D220" s="238" t="s">
        <v>701</v>
      </c>
      <c r="E220" s="252">
        <v>45649</v>
      </c>
      <c r="F220" s="260">
        <v>82.51</v>
      </c>
      <c r="G220" s="589" t="s">
        <v>55</v>
      </c>
      <c r="H220" s="590"/>
      <c r="I220" s="590"/>
      <c r="J220" s="591"/>
      <c r="K220" s="253">
        <v>45657</v>
      </c>
      <c r="L220" s="266" t="s">
        <v>724</v>
      </c>
      <c r="M220" s="76"/>
      <c r="N220" s="76"/>
      <c r="O220" s="76"/>
      <c r="P220" s="76"/>
    </row>
    <row r="221" spans="1:16">
      <c r="A221" s="75">
        <v>209</v>
      </c>
      <c r="B221" s="216" t="s">
        <v>620</v>
      </c>
      <c r="C221" s="442" t="s">
        <v>225</v>
      </c>
      <c r="D221" s="238" t="s">
        <v>701</v>
      </c>
      <c r="E221" s="253">
        <v>45620</v>
      </c>
      <c r="F221" s="260">
        <v>58.51</v>
      </c>
      <c r="G221" s="589" t="s">
        <v>55</v>
      </c>
      <c r="H221" s="590"/>
      <c r="I221" s="590"/>
      <c r="J221" s="591"/>
      <c r="K221" s="253">
        <v>45659</v>
      </c>
      <c r="L221" s="266" t="s">
        <v>746</v>
      </c>
      <c r="M221" s="76"/>
      <c r="N221" s="76"/>
      <c r="O221" s="76"/>
      <c r="P221" s="76"/>
    </row>
    <row r="222" spans="1:16">
      <c r="A222" s="75">
        <v>210</v>
      </c>
      <c r="B222" s="216" t="s">
        <v>690</v>
      </c>
      <c r="C222" s="442" t="s">
        <v>195</v>
      </c>
      <c r="D222" s="238" t="s">
        <v>701</v>
      </c>
      <c r="E222" s="253">
        <v>45620</v>
      </c>
      <c r="F222" s="260">
        <v>58.51</v>
      </c>
      <c r="G222" s="589" t="s">
        <v>55</v>
      </c>
      <c r="H222" s="590"/>
      <c r="I222" s="590"/>
      <c r="J222" s="591"/>
      <c r="K222" s="253">
        <v>45659</v>
      </c>
      <c r="L222" s="266" t="s">
        <v>743</v>
      </c>
      <c r="M222" s="76"/>
      <c r="N222" s="76"/>
      <c r="O222" s="76"/>
      <c r="P222" s="76"/>
    </row>
    <row r="223" spans="1:16">
      <c r="A223" s="75">
        <v>211</v>
      </c>
      <c r="B223" s="216" t="s">
        <v>603</v>
      </c>
      <c r="C223" s="442" t="s">
        <v>705</v>
      </c>
      <c r="D223" s="236" t="s">
        <v>699</v>
      </c>
      <c r="E223" s="253">
        <v>45643</v>
      </c>
      <c r="F223" s="260">
        <v>77.81</v>
      </c>
      <c r="G223" s="589" t="s">
        <v>55</v>
      </c>
      <c r="H223" s="590"/>
      <c r="I223" s="590"/>
      <c r="J223" s="591"/>
      <c r="K223" s="253">
        <v>45660</v>
      </c>
      <c r="L223" s="266" t="s">
        <v>729</v>
      </c>
      <c r="M223" s="76"/>
      <c r="N223" s="76"/>
      <c r="O223" s="76"/>
      <c r="P223" s="76"/>
    </row>
    <row r="224" spans="1:16">
      <c r="A224" s="75">
        <v>212</v>
      </c>
      <c r="B224" s="216" t="s">
        <v>575</v>
      </c>
      <c r="C224" s="442" t="s">
        <v>225</v>
      </c>
      <c r="D224" s="238" t="s">
        <v>701</v>
      </c>
      <c r="E224" s="253">
        <v>45620</v>
      </c>
      <c r="F224" s="260">
        <v>58.51</v>
      </c>
      <c r="G224" s="589" t="s">
        <v>55</v>
      </c>
      <c r="H224" s="590"/>
      <c r="I224" s="590"/>
      <c r="J224" s="591"/>
      <c r="K224" s="253">
        <v>45660</v>
      </c>
      <c r="L224" s="266" t="s">
        <v>741</v>
      </c>
      <c r="M224" s="76"/>
      <c r="N224" s="76"/>
      <c r="O224" s="76"/>
      <c r="P224" s="76"/>
    </row>
    <row r="225" spans="1:16">
      <c r="A225" s="75">
        <v>213</v>
      </c>
      <c r="B225" s="216" t="s">
        <v>576</v>
      </c>
      <c r="C225" s="442" t="s">
        <v>380</v>
      </c>
      <c r="D225" s="236" t="s">
        <v>699</v>
      </c>
      <c r="E225" s="253">
        <v>45616</v>
      </c>
      <c r="F225" s="260">
        <v>169.70999999999998</v>
      </c>
      <c r="G225" s="589" t="s">
        <v>55</v>
      </c>
      <c r="H225" s="590"/>
      <c r="I225" s="590"/>
      <c r="J225" s="591"/>
      <c r="K225" s="253">
        <v>45666</v>
      </c>
      <c r="L225" s="266" t="s">
        <v>736</v>
      </c>
      <c r="M225" s="76"/>
      <c r="N225" s="76"/>
      <c r="O225" s="76"/>
      <c r="P225" s="76"/>
    </row>
    <row r="226" spans="1:16">
      <c r="A226" s="75">
        <v>214</v>
      </c>
      <c r="B226" s="216" t="s">
        <v>532</v>
      </c>
      <c r="C226" s="442" t="s">
        <v>248</v>
      </c>
      <c r="D226" s="236" t="s">
        <v>699</v>
      </c>
      <c r="E226" s="252">
        <v>45655</v>
      </c>
      <c r="F226" s="260">
        <v>58.25</v>
      </c>
      <c r="G226" s="589" t="s">
        <v>55</v>
      </c>
      <c r="H226" s="590"/>
      <c r="I226" s="590"/>
      <c r="J226" s="591"/>
      <c r="K226" s="253">
        <v>45666</v>
      </c>
      <c r="L226" s="266" t="s">
        <v>732</v>
      </c>
      <c r="M226" s="76"/>
      <c r="N226" s="76"/>
      <c r="O226" s="76"/>
      <c r="P226" s="76"/>
    </row>
    <row r="227" spans="1:16">
      <c r="A227" s="75">
        <v>215</v>
      </c>
      <c r="B227" s="216" t="s">
        <v>437</v>
      </c>
      <c r="C227" s="442" t="s">
        <v>318</v>
      </c>
      <c r="D227" s="238" t="s">
        <v>701</v>
      </c>
      <c r="E227" s="252">
        <v>45660</v>
      </c>
      <c r="F227" s="260">
        <v>95.47</v>
      </c>
      <c r="G227" s="589" t="s">
        <v>55</v>
      </c>
      <c r="H227" s="590"/>
      <c r="I227" s="590"/>
      <c r="J227" s="591"/>
      <c r="K227" s="253">
        <v>45667</v>
      </c>
      <c r="L227" s="266" t="s">
        <v>740</v>
      </c>
      <c r="M227" s="76"/>
      <c r="N227" s="76"/>
      <c r="O227" s="76"/>
      <c r="P227" s="76"/>
    </row>
    <row r="228" spans="1:16">
      <c r="A228" s="75">
        <v>216</v>
      </c>
      <c r="B228" s="216" t="s">
        <v>554</v>
      </c>
      <c r="C228" s="442" t="s">
        <v>224</v>
      </c>
      <c r="D228" s="238" t="s">
        <v>701</v>
      </c>
      <c r="E228" s="252">
        <v>45660</v>
      </c>
      <c r="F228" s="260">
        <v>61.059999999999995</v>
      </c>
      <c r="G228" s="589" t="s">
        <v>55</v>
      </c>
      <c r="H228" s="590"/>
      <c r="I228" s="590"/>
      <c r="J228" s="591"/>
      <c r="K228" s="253">
        <v>45668</v>
      </c>
      <c r="L228" s="266" t="s">
        <v>746</v>
      </c>
      <c r="M228" s="76"/>
      <c r="N228" s="76"/>
      <c r="O228" s="76"/>
      <c r="P228" s="76"/>
    </row>
    <row r="229" spans="1:16">
      <c r="A229" s="75">
        <v>217</v>
      </c>
      <c r="B229" s="216" t="s">
        <v>359</v>
      </c>
      <c r="C229" s="442" t="s">
        <v>560</v>
      </c>
      <c r="D229" s="238" t="s">
        <v>701</v>
      </c>
      <c r="E229" s="252">
        <v>45660</v>
      </c>
      <c r="F229" s="260">
        <v>139.03</v>
      </c>
      <c r="G229" s="589" t="s">
        <v>55</v>
      </c>
      <c r="H229" s="590"/>
      <c r="I229" s="590"/>
      <c r="J229" s="591"/>
      <c r="K229" s="253">
        <v>45668</v>
      </c>
      <c r="L229" s="266" t="s">
        <v>742</v>
      </c>
      <c r="M229" s="76"/>
      <c r="N229" s="76"/>
      <c r="O229" s="76"/>
      <c r="P229" s="76"/>
    </row>
    <row r="230" spans="1:16">
      <c r="A230" s="75">
        <v>218</v>
      </c>
      <c r="B230" s="216" t="s">
        <v>691</v>
      </c>
      <c r="C230" s="442" t="s">
        <v>224</v>
      </c>
      <c r="D230" s="239" t="s">
        <v>702</v>
      </c>
      <c r="E230" s="252">
        <v>45660</v>
      </c>
      <c r="F230" s="260">
        <v>71.430000000000007</v>
      </c>
      <c r="G230" s="589" t="s">
        <v>55</v>
      </c>
      <c r="H230" s="590"/>
      <c r="I230" s="590"/>
      <c r="J230" s="591"/>
      <c r="K230" s="253">
        <v>45668</v>
      </c>
      <c r="L230" s="266" t="s">
        <v>743</v>
      </c>
      <c r="M230" s="76"/>
      <c r="N230" s="76"/>
      <c r="O230" s="76"/>
      <c r="P230" s="76"/>
    </row>
    <row r="231" spans="1:16">
      <c r="A231" s="75">
        <v>219</v>
      </c>
      <c r="B231" s="216" t="s">
        <v>361</v>
      </c>
      <c r="C231" s="442" t="s">
        <v>704</v>
      </c>
      <c r="D231" s="236" t="s">
        <v>699</v>
      </c>
      <c r="E231" s="252">
        <v>45660</v>
      </c>
      <c r="F231" s="260">
        <v>77.81</v>
      </c>
      <c r="G231" s="589" t="s">
        <v>55</v>
      </c>
      <c r="H231" s="590"/>
      <c r="I231" s="590"/>
      <c r="J231" s="591"/>
      <c r="K231" s="253">
        <v>45668</v>
      </c>
      <c r="L231" s="266" t="s">
        <v>738</v>
      </c>
      <c r="M231" s="76"/>
      <c r="N231" s="76"/>
      <c r="O231" s="76"/>
      <c r="P231" s="76"/>
    </row>
    <row r="232" spans="1:16">
      <c r="A232" s="75">
        <v>220</v>
      </c>
      <c r="B232" s="216" t="s">
        <v>371</v>
      </c>
      <c r="C232" s="442" t="s">
        <v>630</v>
      </c>
      <c r="D232" s="236" t="s">
        <v>699</v>
      </c>
      <c r="E232" s="252">
        <v>45661</v>
      </c>
      <c r="F232" s="260">
        <v>94.55</v>
      </c>
      <c r="G232" s="589" t="s">
        <v>55</v>
      </c>
      <c r="H232" s="590"/>
      <c r="I232" s="590"/>
      <c r="J232" s="591"/>
      <c r="K232" s="253">
        <v>45669</v>
      </c>
      <c r="L232" s="266" t="s">
        <v>741</v>
      </c>
      <c r="M232" s="76"/>
      <c r="N232" s="76"/>
      <c r="O232" s="76"/>
      <c r="P232" s="76"/>
    </row>
    <row r="233" spans="1:16">
      <c r="A233" s="75">
        <v>221</v>
      </c>
      <c r="B233" s="216" t="s">
        <v>640</v>
      </c>
      <c r="C233" s="442" t="s">
        <v>380</v>
      </c>
      <c r="D233" s="236" t="s">
        <v>706</v>
      </c>
      <c r="E233" s="252">
        <v>45654</v>
      </c>
      <c r="F233" s="260">
        <v>326.61999999999995</v>
      </c>
      <c r="G233" s="589" t="s">
        <v>55</v>
      </c>
      <c r="H233" s="590"/>
      <c r="I233" s="590"/>
      <c r="J233" s="591"/>
      <c r="K233" s="253">
        <v>45669</v>
      </c>
      <c r="L233" s="266" t="s">
        <v>730</v>
      </c>
      <c r="M233" s="76"/>
      <c r="N233" s="76"/>
      <c r="O233" s="76"/>
      <c r="P233" s="76"/>
    </row>
    <row r="234" spans="1:16">
      <c r="A234" s="75">
        <v>222</v>
      </c>
      <c r="B234" s="216" t="s">
        <v>590</v>
      </c>
      <c r="C234" s="442" t="s">
        <v>380</v>
      </c>
      <c r="D234" s="236" t="s">
        <v>699</v>
      </c>
      <c r="E234" s="253">
        <v>45652</v>
      </c>
      <c r="F234" s="260">
        <v>169.70999999999998</v>
      </c>
      <c r="G234" s="589" t="s">
        <v>55</v>
      </c>
      <c r="H234" s="590"/>
      <c r="I234" s="590"/>
      <c r="J234" s="591"/>
      <c r="K234" s="253">
        <v>45671</v>
      </c>
      <c r="L234" s="266" t="s">
        <v>734</v>
      </c>
      <c r="M234" s="76"/>
      <c r="N234" s="76"/>
      <c r="O234" s="76"/>
      <c r="P234" s="76"/>
    </row>
    <row r="235" spans="1:16">
      <c r="A235" s="75">
        <v>223</v>
      </c>
      <c r="B235" s="216" t="s">
        <v>580</v>
      </c>
      <c r="C235" s="442" t="s">
        <v>224</v>
      </c>
      <c r="D235" s="236" t="s">
        <v>699</v>
      </c>
      <c r="E235" s="253">
        <v>45667</v>
      </c>
      <c r="F235" s="260">
        <v>41.37</v>
      </c>
      <c r="G235" s="589" t="s">
        <v>55</v>
      </c>
      <c r="H235" s="590"/>
      <c r="I235" s="590"/>
      <c r="J235" s="591"/>
      <c r="K235" s="253">
        <v>45671</v>
      </c>
      <c r="L235" s="266" t="s">
        <v>729</v>
      </c>
      <c r="M235" s="76"/>
      <c r="N235" s="76"/>
      <c r="O235" s="76"/>
      <c r="P235" s="76"/>
    </row>
    <row r="236" spans="1:16">
      <c r="A236" s="75">
        <v>224</v>
      </c>
      <c r="B236" s="216" t="s">
        <v>373</v>
      </c>
      <c r="C236" s="442" t="s">
        <v>349</v>
      </c>
      <c r="D236" s="238" t="s">
        <v>701</v>
      </c>
      <c r="E236" s="252">
        <v>45660</v>
      </c>
      <c r="F236" s="260">
        <v>98.56</v>
      </c>
      <c r="G236" s="589" t="s">
        <v>55</v>
      </c>
      <c r="H236" s="590"/>
      <c r="I236" s="590"/>
      <c r="J236" s="591"/>
      <c r="K236" s="253">
        <v>45672</v>
      </c>
      <c r="L236" s="266" t="s">
        <v>733</v>
      </c>
      <c r="M236" s="76"/>
      <c r="N236" s="76"/>
      <c r="O236" s="76"/>
      <c r="P236" s="76"/>
    </row>
    <row r="237" spans="1:16">
      <c r="A237" s="75">
        <v>225</v>
      </c>
      <c r="B237" s="216" t="s">
        <v>622</v>
      </c>
      <c r="C237" s="442" t="s">
        <v>224</v>
      </c>
      <c r="D237" s="238" t="s">
        <v>701</v>
      </c>
      <c r="E237" s="253">
        <v>45667</v>
      </c>
      <c r="F237" s="260">
        <v>61.059999999999995</v>
      </c>
      <c r="G237" s="589" t="s">
        <v>55</v>
      </c>
      <c r="H237" s="590"/>
      <c r="I237" s="590"/>
      <c r="J237" s="591"/>
      <c r="K237" s="253">
        <v>45675</v>
      </c>
      <c r="L237" s="266" t="s">
        <v>740</v>
      </c>
      <c r="M237" s="76"/>
      <c r="N237" s="76"/>
      <c r="O237" s="76"/>
      <c r="P237" s="76"/>
    </row>
    <row r="238" spans="1:16">
      <c r="A238" s="75">
        <v>226</v>
      </c>
      <c r="B238" s="216" t="s">
        <v>582</v>
      </c>
      <c r="C238" s="442" t="s">
        <v>225</v>
      </c>
      <c r="D238" s="236" t="s">
        <v>699</v>
      </c>
      <c r="E238" s="253">
        <v>45669</v>
      </c>
      <c r="F238" s="260">
        <v>37.64</v>
      </c>
      <c r="G238" s="589" t="s">
        <v>55</v>
      </c>
      <c r="H238" s="590"/>
      <c r="I238" s="590"/>
      <c r="J238" s="591"/>
      <c r="K238" s="253">
        <v>45677</v>
      </c>
      <c r="L238" s="268" t="s">
        <v>738</v>
      </c>
      <c r="M238" s="76"/>
      <c r="N238" s="76"/>
      <c r="O238" s="76"/>
      <c r="P238" s="76"/>
    </row>
    <row r="239" spans="1:16">
      <c r="A239" s="75">
        <v>227</v>
      </c>
      <c r="B239" s="216" t="s">
        <v>556</v>
      </c>
      <c r="C239" s="442" t="s">
        <v>224</v>
      </c>
      <c r="D239" s="236" t="s">
        <v>699</v>
      </c>
      <c r="E239" s="253">
        <v>45667</v>
      </c>
      <c r="F239" s="260">
        <v>41.37</v>
      </c>
      <c r="G239" s="589" t="s">
        <v>55</v>
      </c>
      <c r="H239" s="590"/>
      <c r="I239" s="590"/>
      <c r="J239" s="591"/>
      <c r="K239" s="253">
        <v>45677</v>
      </c>
      <c r="L239" s="266" t="s">
        <v>736</v>
      </c>
      <c r="M239" s="76"/>
      <c r="N239" s="76"/>
      <c r="O239" s="76"/>
      <c r="P239" s="76"/>
    </row>
    <row r="240" spans="1:16">
      <c r="A240" s="75">
        <v>228</v>
      </c>
      <c r="B240" s="216" t="s">
        <v>317</v>
      </c>
      <c r="C240" s="442" t="s">
        <v>349</v>
      </c>
      <c r="D240" s="236" t="s">
        <v>702</v>
      </c>
      <c r="E240" s="252">
        <v>45661</v>
      </c>
      <c r="F240" s="260">
        <v>111.17</v>
      </c>
      <c r="G240" s="589" t="s">
        <v>55</v>
      </c>
      <c r="H240" s="590"/>
      <c r="I240" s="590"/>
      <c r="J240" s="591"/>
      <c r="K240" s="253">
        <v>45679</v>
      </c>
      <c r="L240" s="266" t="s">
        <v>724</v>
      </c>
      <c r="M240" s="76"/>
      <c r="N240" s="76"/>
      <c r="O240" s="76"/>
      <c r="P240" s="76"/>
    </row>
    <row r="241" spans="1:16">
      <c r="A241" s="75">
        <v>229</v>
      </c>
      <c r="B241" s="221" t="s">
        <v>642</v>
      </c>
      <c r="C241" s="446" t="s">
        <v>224</v>
      </c>
      <c r="D241" s="238" t="s">
        <v>701</v>
      </c>
      <c r="E241" s="253">
        <v>45669</v>
      </c>
      <c r="F241" s="260">
        <v>61.059999999999995</v>
      </c>
      <c r="G241" s="589" t="s">
        <v>55</v>
      </c>
      <c r="H241" s="590"/>
      <c r="I241" s="590"/>
      <c r="J241" s="591"/>
      <c r="K241" s="253">
        <v>45680</v>
      </c>
      <c r="L241" s="266" t="s">
        <v>746</v>
      </c>
      <c r="M241" s="76"/>
      <c r="N241" s="76"/>
      <c r="O241" s="76"/>
      <c r="P241" s="76"/>
    </row>
    <row r="242" spans="1:16">
      <c r="A242" s="75">
        <v>230</v>
      </c>
      <c r="B242" s="215" t="s">
        <v>616</v>
      </c>
      <c r="C242" s="446" t="s">
        <v>380</v>
      </c>
      <c r="D242" s="236" t="s">
        <v>707</v>
      </c>
      <c r="E242" s="253">
        <v>45669</v>
      </c>
      <c r="F242" s="260">
        <v>169.70999999999998</v>
      </c>
      <c r="G242" s="589" t="s">
        <v>55</v>
      </c>
      <c r="H242" s="590"/>
      <c r="I242" s="590"/>
      <c r="J242" s="591"/>
      <c r="K242" s="253">
        <v>45681</v>
      </c>
      <c r="L242" s="266" t="s">
        <v>743</v>
      </c>
      <c r="M242" s="76"/>
      <c r="N242" s="76"/>
      <c r="O242" s="76"/>
      <c r="P242" s="76"/>
    </row>
    <row r="243" spans="1:16">
      <c r="A243" s="75">
        <v>231</v>
      </c>
      <c r="B243" s="216" t="s">
        <v>629</v>
      </c>
      <c r="C243" s="442" t="s">
        <v>225</v>
      </c>
      <c r="D243" s="238" t="s">
        <v>701</v>
      </c>
      <c r="E243" s="253">
        <v>45675</v>
      </c>
      <c r="F243" s="260">
        <v>58.51</v>
      </c>
      <c r="G243" s="589" t="s">
        <v>55</v>
      </c>
      <c r="H243" s="590"/>
      <c r="I243" s="590"/>
      <c r="J243" s="591"/>
      <c r="K243" s="253">
        <v>45682</v>
      </c>
      <c r="L243" s="266" t="s">
        <v>740</v>
      </c>
      <c r="M243" s="76"/>
      <c r="N243" s="76"/>
      <c r="O243" s="76"/>
      <c r="P243" s="76"/>
    </row>
    <row r="244" spans="1:16">
      <c r="A244" s="75">
        <v>232</v>
      </c>
      <c r="B244" s="216" t="s">
        <v>422</v>
      </c>
      <c r="C244" s="442" t="s">
        <v>639</v>
      </c>
      <c r="D244" s="236" t="s">
        <v>706</v>
      </c>
      <c r="E244" s="252">
        <v>45671</v>
      </c>
      <c r="F244" s="260">
        <v>331.82</v>
      </c>
      <c r="G244" s="589" t="s">
        <v>55</v>
      </c>
      <c r="H244" s="590"/>
      <c r="I244" s="590"/>
      <c r="J244" s="591"/>
      <c r="K244" s="253">
        <v>45686</v>
      </c>
      <c r="L244" s="266" t="s">
        <v>730</v>
      </c>
      <c r="M244" s="76"/>
      <c r="N244" s="76"/>
      <c r="O244" s="76"/>
      <c r="P244" s="76"/>
    </row>
    <row r="245" spans="1:16">
      <c r="A245" s="75">
        <v>233</v>
      </c>
      <c r="B245" s="223" t="s">
        <v>4</v>
      </c>
      <c r="C245" s="446" t="s">
        <v>224</v>
      </c>
      <c r="D245" s="240" t="s">
        <v>699</v>
      </c>
      <c r="E245" s="253">
        <v>45678</v>
      </c>
      <c r="F245" s="260">
        <v>41.37</v>
      </c>
      <c r="G245" s="589" t="s">
        <v>55</v>
      </c>
      <c r="H245" s="590"/>
      <c r="I245" s="590"/>
      <c r="J245" s="591"/>
      <c r="K245" s="253">
        <v>45687</v>
      </c>
      <c r="L245" s="266" t="s">
        <v>741</v>
      </c>
      <c r="M245" s="76"/>
      <c r="N245" s="76"/>
      <c r="O245" s="76"/>
      <c r="P245" s="76"/>
    </row>
    <row r="246" spans="1:16">
      <c r="A246" s="75">
        <v>234</v>
      </c>
      <c r="B246" s="221" t="s">
        <v>637</v>
      </c>
      <c r="C246" s="446" t="s">
        <v>224</v>
      </c>
      <c r="D246" s="240" t="s">
        <v>699</v>
      </c>
      <c r="E246" s="253">
        <v>45682</v>
      </c>
      <c r="F246" s="260">
        <v>41.37</v>
      </c>
      <c r="G246" s="589" t="s">
        <v>55</v>
      </c>
      <c r="H246" s="590"/>
      <c r="I246" s="590"/>
      <c r="J246" s="591"/>
      <c r="K246" s="253">
        <v>45688</v>
      </c>
      <c r="L246" s="266" t="s">
        <v>746</v>
      </c>
      <c r="M246" s="76"/>
      <c r="N246" s="76"/>
      <c r="O246" s="76"/>
      <c r="P246" s="76"/>
    </row>
    <row r="247" spans="1:16">
      <c r="A247" s="75">
        <v>235</v>
      </c>
      <c r="B247" s="216" t="s">
        <v>557</v>
      </c>
      <c r="C247" s="442" t="s">
        <v>224</v>
      </c>
      <c r="D247" s="238" t="s">
        <v>701</v>
      </c>
      <c r="E247" s="253">
        <v>45678</v>
      </c>
      <c r="F247" s="260">
        <v>61.059999999999995</v>
      </c>
      <c r="G247" s="589" t="s">
        <v>55</v>
      </c>
      <c r="H247" s="590"/>
      <c r="I247" s="590"/>
      <c r="J247" s="591"/>
      <c r="K247" s="253">
        <v>45688</v>
      </c>
      <c r="L247" s="266" t="s">
        <v>733</v>
      </c>
      <c r="M247" s="76"/>
      <c r="N247" s="76"/>
      <c r="O247" s="76"/>
      <c r="P247" s="76"/>
    </row>
    <row r="248" spans="1:16">
      <c r="A248" s="75">
        <v>236</v>
      </c>
      <c r="B248" s="221" t="s">
        <v>289</v>
      </c>
      <c r="C248" s="446" t="s">
        <v>318</v>
      </c>
      <c r="D248" s="240" t="s">
        <v>702</v>
      </c>
      <c r="E248" s="253">
        <v>45672</v>
      </c>
      <c r="F248" s="260">
        <v>119.63500000000001</v>
      </c>
      <c r="G248" s="589" t="s">
        <v>55</v>
      </c>
      <c r="H248" s="590"/>
      <c r="I248" s="590"/>
      <c r="J248" s="591"/>
      <c r="K248" s="253">
        <v>45688</v>
      </c>
      <c r="L248" s="266" t="s">
        <v>742</v>
      </c>
      <c r="M248" s="76"/>
      <c r="N248" s="76"/>
      <c r="O248" s="76"/>
      <c r="P248" s="76"/>
    </row>
    <row r="249" spans="1:16">
      <c r="A249" s="75">
        <v>237</v>
      </c>
      <c r="B249" s="216" t="s">
        <v>608</v>
      </c>
      <c r="C249" s="442" t="s">
        <v>225</v>
      </c>
      <c r="D249" s="236" t="s">
        <v>699</v>
      </c>
      <c r="E249" s="253">
        <v>45680</v>
      </c>
      <c r="F249" s="260">
        <v>37.64</v>
      </c>
      <c r="G249" s="589" t="s">
        <v>55</v>
      </c>
      <c r="H249" s="590"/>
      <c r="I249" s="590"/>
      <c r="J249" s="591"/>
      <c r="K249" s="253">
        <v>45688</v>
      </c>
      <c r="L249" s="266" t="s">
        <v>729</v>
      </c>
      <c r="M249" s="76"/>
      <c r="N249" s="76"/>
      <c r="O249" s="76"/>
      <c r="P249" s="76"/>
    </row>
    <row r="250" spans="1:16">
      <c r="A250" s="75">
        <v>238</v>
      </c>
      <c r="B250" s="216" t="s">
        <v>614</v>
      </c>
      <c r="C250" s="442" t="s">
        <v>225</v>
      </c>
      <c r="D250" s="236" t="s">
        <v>699</v>
      </c>
      <c r="E250" s="253">
        <v>45681</v>
      </c>
      <c r="F250" s="260">
        <v>37.64</v>
      </c>
      <c r="G250" s="589" t="s">
        <v>55</v>
      </c>
      <c r="H250" s="590"/>
      <c r="I250" s="590"/>
      <c r="J250" s="591"/>
      <c r="K250" s="253">
        <v>45688</v>
      </c>
      <c r="L250" s="266" t="s">
        <v>736</v>
      </c>
      <c r="M250" s="76"/>
      <c r="N250" s="76"/>
      <c r="O250" s="76"/>
      <c r="P250" s="76"/>
    </row>
    <row r="251" spans="1:16">
      <c r="A251" s="75">
        <v>239</v>
      </c>
      <c r="B251" s="216" t="s">
        <v>600</v>
      </c>
      <c r="C251" s="442" t="s">
        <v>226</v>
      </c>
      <c r="D251" s="238" t="s">
        <v>701</v>
      </c>
      <c r="E251" s="253">
        <v>45683</v>
      </c>
      <c r="F251" s="260">
        <v>61.059999999999995</v>
      </c>
      <c r="G251" s="589" t="s">
        <v>55</v>
      </c>
      <c r="H251" s="590"/>
      <c r="I251" s="590"/>
      <c r="J251" s="591"/>
      <c r="K251" s="253">
        <v>45691</v>
      </c>
      <c r="L251" s="266" t="s">
        <v>740</v>
      </c>
      <c r="M251" s="76"/>
      <c r="N251" s="76"/>
      <c r="O251" s="76"/>
      <c r="P251" s="76"/>
    </row>
    <row r="252" spans="1:16">
      <c r="A252" s="75">
        <v>240</v>
      </c>
      <c r="B252" s="216" t="s">
        <v>643</v>
      </c>
      <c r="C252" s="442" t="s">
        <v>633</v>
      </c>
      <c r="D252" s="236" t="s">
        <v>699</v>
      </c>
      <c r="E252" s="253">
        <v>45675</v>
      </c>
      <c r="F252" s="260">
        <v>165.36</v>
      </c>
      <c r="G252" s="589" t="s">
        <v>55</v>
      </c>
      <c r="H252" s="590"/>
      <c r="I252" s="590"/>
      <c r="J252" s="591"/>
      <c r="K252" s="253">
        <v>45692</v>
      </c>
      <c r="L252" s="266" t="s">
        <v>734</v>
      </c>
      <c r="M252" s="76"/>
      <c r="N252" s="76"/>
      <c r="O252" s="76"/>
      <c r="P252" s="76"/>
    </row>
    <row r="253" spans="1:16">
      <c r="A253" s="75">
        <v>241</v>
      </c>
      <c r="B253" s="231" t="s">
        <v>316</v>
      </c>
      <c r="C253" s="446" t="s">
        <v>626</v>
      </c>
      <c r="D253" s="236" t="s">
        <v>699</v>
      </c>
      <c r="E253" s="253">
        <v>45680</v>
      </c>
      <c r="F253" s="260">
        <v>165.36</v>
      </c>
      <c r="G253" s="589" t="s">
        <v>55</v>
      </c>
      <c r="H253" s="590"/>
      <c r="I253" s="590"/>
      <c r="J253" s="591"/>
      <c r="K253" s="253">
        <v>45693</v>
      </c>
      <c r="L253" s="266" t="s">
        <v>724</v>
      </c>
      <c r="M253" s="76"/>
      <c r="N253" s="76"/>
      <c r="O253" s="76"/>
      <c r="P253" s="76"/>
    </row>
    <row r="254" spans="1:16">
      <c r="A254" s="75">
        <v>242</v>
      </c>
      <c r="B254" s="231" t="s">
        <v>92</v>
      </c>
      <c r="C254" s="446" t="s">
        <v>195</v>
      </c>
      <c r="D254" s="236" t="s">
        <v>699</v>
      </c>
      <c r="E254" s="253">
        <v>45689</v>
      </c>
      <c r="F254" s="260">
        <v>37.64</v>
      </c>
      <c r="G254" s="589" t="s">
        <v>55</v>
      </c>
      <c r="H254" s="590"/>
      <c r="I254" s="590"/>
      <c r="J254" s="591"/>
      <c r="K254" s="253">
        <v>45694</v>
      </c>
      <c r="L254" s="266" t="s">
        <v>741</v>
      </c>
      <c r="M254" s="76"/>
      <c r="N254" s="76"/>
      <c r="O254" s="76"/>
      <c r="P254" s="76"/>
    </row>
    <row r="255" spans="1:16">
      <c r="A255" s="75">
        <v>243</v>
      </c>
      <c r="B255" s="221" t="s">
        <v>623</v>
      </c>
      <c r="C255" s="446" t="s">
        <v>315</v>
      </c>
      <c r="D255" s="236" t="s">
        <v>699</v>
      </c>
      <c r="E255" s="253">
        <v>45689</v>
      </c>
      <c r="F255" s="260">
        <v>65.912000000000006</v>
      </c>
      <c r="G255" s="589" t="s">
        <v>55</v>
      </c>
      <c r="H255" s="590"/>
      <c r="I255" s="590"/>
      <c r="J255" s="591"/>
      <c r="K255" s="253">
        <v>45695</v>
      </c>
      <c r="L255" s="266" t="s">
        <v>746</v>
      </c>
      <c r="M255" s="76"/>
      <c r="N255" s="76"/>
      <c r="O255" s="76"/>
      <c r="P255" s="76"/>
    </row>
    <row r="256" spans="1:16">
      <c r="A256" s="75">
        <v>244</v>
      </c>
      <c r="B256" s="223" t="s">
        <v>141</v>
      </c>
      <c r="C256" s="442" t="s">
        <v>224</v>
      </c>
      <c r="D256" s="238" t="s">
        <v>701</v>
      </c>
      <c r="E256" s="253">
        <v>45689</v>
      </c>
      <c r="F256" s="260">
        <v>61.059999999999995</v>
      </c>
      <c r="G256" s="589" t="s">
        <v>55</v>
      </c>
      <c r="H256" s="590"/>
      <c r="I256" s="590"/>
      <c r="J256" s="591"/>
      <c r="K256" s="253">
        <v>45695</v>
      </c>
      <c r="L256" s="266" t="s">
        <v>745</v>
      </c>
      <c r="M256" s="76"/>
      <c r="N256" s="76"/>
      <c r="O256" s="76"/>
      <c r="P256" s="76"/>
    </row>
    <row r="257" spans="1:16">
      <c r="A257" s="75">
        <v>245</v>
      </c>
      <c r="B257" s="216" t="s">
        <v>568</v>
      </c>
      <c r="C257" s="442" t="s">
        <v>227</v>
      </c>
      <c r="D257" s="236" t="s">
        <v>699</v>
      </c>
      <c r="E257" s="253">
        <v>45689</v>
      </c>
      <c r="F257" s="260">
        <v>41.37</v>
      </c>
      <c r="G257" s="589" t="s">
        <v>55</v>
      </c>
      <c r="H257" s="590"/>
      <c r="I257" s="590"/>
      <c r="J257" s="591"/>
      <c r="K257" s="253">
        <v>45697</v>
      </c>
      <c r="L257" s="266" t="s">
        <v>736</v>
      </c>
      <c r="M257" s="76"/>
      <c r="N257" s="76"/>
      <c r="O257" s="76"/>
      <c r="P257" s="76"/>
    </row>
    <row r="258" spans="1:16">
      <c r="A258" s="75">
        <v>246</v>
      </c>
      <c r="B258" s="223" t="s">
        <v>656</v>
      </c>
      <c r="C258" s="446" t="s">
        <v>633</v>
      </c>
      <c r="D258" s="236" t="s">
        <v>699</v>
      </c>
      <c r="E258" s="253">
        <v>45687</v>
      </c>
      <c r="F258" s="260">
        <v>165.36</v>
      </c>
      <c r="G258" s="589" t="s">
        <v>55</v>
      </c>
      <c r="H258" s="590"/>
      <c r="I258" s="590"/>
      <c r="J258" s="591"/>
      <c r="K258" s="253">
        <v>45697</v>
      </c>
      <c r="L258" s="266" t="s">
        <v>730</v>
      </c>
      <c r="M258" s="76"/>
      <c r="N258" s="76"/>
      <c r="O258" s="76"/>
      <c r="P258" s="76"/>
    </row>
    <row r="259" spans="1:16">
      <c r="A259" s="75">
        <v>247</v>
      </c>
      <c r="B259" s="224" t="s">
        <v>574</v>
      </c>
      <c r="C259" s="446" t="s">
        <v>225</v>
      </c>
      <c r="D259" s="238" t="s">
        <v>701</v>
      </c>
      <c r="E259" s="253">
        <v>45689</v>
      </c>
      <c r="F259" s="260">
        <v>58.51</v>
      </c>
      <c r="G259" s="589" t="s">
        <v>55</v>
      </c>
      <c r="H259" s="590"/>
      <c r="I259" s="590"/>
      <c r="J259" s="591"/>
      <c r="K259" s="253">
        <v>45698</v>
      </c>
      <c r="L259" s="268" t="s">
        <v>738</v>
      </c>
      <c r="M259" s="76"/>
      <c r="N259" s="76"/>
      <c r="O259" s="76"/>
      <c r="P259" s="76"/>
    </row>
    <row r="260" spans="1:16">
      <c r="A260" s="75">
        <v>248</v>
      </c>
      <c r="B260" s="224" t="s">
        <v>567</v>
      </c>
      <c r="C260" s="446" t="s">
        <v>225</v>
      </c>
      <c r="D260" s="238" t="s">
        <v>701</v>
      </c>
      <c r="E260" s="253">
        <v>45690</v>
      </c>
      <c r="F260" s="260">
        <v>58.51</v>
      </c>
      <c r="G260" s="589" t="s">
        <v>55</v>
      </c>
      <c r="H260" s="590"/>
      <c r="I260" s="590"/>
      <c r="J260" s="591"/>
      <c r="K260" s="253">
        <v>45703</v>
      </c>
      <c r="L260" s="266" t="s">
        <v>733</v>
      </c>
      <c r="M260" s="76"/>
      <c r="N260" s="76"/>
      <c r="O260" s="76"/>
      <c r="P260" s="76"/>
    </row>
    <row r="261" spans="1:16" ht="31">
      <c r="A261" s="75">
        <v>249</v>
      </c>
      <c r="B261" s="221" t="s">
        <v>320</v>
      </c>
      <c r="C261" s="442" t="s">
        <v>708</v>
      </c>
      <c r="D261" s="240" t="s">
        <v>699</v>
      </c>
      <c r="E261" s="253">
        <v>45690</v>
      </c>
      <c r="F261" s="260">
        <v>173.792</v>
      </c>
      <c r="G261" s="589" t="s">
        <v>55</v>
      </c>
      <c r="H261" s="590"/>
      <c r="I261" s="590"/>
      <c r="J261" s="591"/>
      <c r="K261" s="253">
        <v>45703</v>
      </c>
      <c r="L261" s="266" t="s">
        <v>742</v>
      </c>
      <c r="M261" s="76"/>
      <c r="N261" s="76"/>
      <c r="O261" s="76"/>
      <c r="P261" s="76"/>
    </row>
    <row r="262" spans="1:16">
      <c r="A262" s="75">
        <v>250</v>
      </c>
      <c r="B262" s="221" t="s">
        <v>292</v>
      </c>
      <c r="C262" s="446" t="s">
        <v>360</v>
      </c>
      <c r="D262" s="238" t="s">
        <v>701</v>
      </c>
      <c r="E262" s="253">
        <v>45690</v>
      </c>
      <c r="F262" s="260">
        <v>253.37</v>
      </c>
      <c r="G262" s="589" t="s">
        <v>55</v>
      </c>
      <c r="H262" s="590"/>
      <c r="I262" s="590"/>
      <c r="J262" s="591"/>
      <c r="K262" s="253">
        <v>45703</v>
      </c>
      <c r="L262" s="266" t="s">
        <v>743</v>
      </c>
      <c r="M262" s="76"/>
      <c r="N262" s="76"/>
      <c r="O262" s="76"/>
      <c r="P262" s="76"/>
    </row>
    <row r="263" spans="1:16">
      <c r="A263" s="75">
        <v>251</v>
      </c>
      <c r="B263" s="216" t="s">
        <v>618</v>
      </c>
      <c r="C263" s="442" t="s">
        <v>225</v>
      </c>
      <c r="D263" s="238" t="s">
        <v>701</v>
      </c>
      <c r="E263" s="253">
        <v>45690</v>
      </c>
      <c r="F263" s="260">
        <v>58.51</v>
      </c>
      <c r="G263" s="589" t="s">
        <v>55</v>
      </c>
      <c r="H263" s="590"/>
      <c r="I263" s="590"/>
      <c r="J263" s="591"/>
      <c r="K263" s="253">
        <v>45703</v>
      </c>
      <c r="L263" s="266" t="s">
        <v>729</v>
      </c>
      <c r="M263" s="76"/>
      <c r="N263" s="76"/>
      <c r="O263" s="76"/>
      <c r="P263" s="76"/>
    </row>
    <row r="264" spans="1:16">
      <c r="A264" s="75">
        <v>252</v>
      </c>
      <c r="B264" s="221" t="s">
        <v>421</v>
      </c>
      <c r="C264" s="446" t="s">
        <v>709</v>
      </c>
      <c r="D264" s="238" t="s">
        <v>701</v>
      </c>
      <c r="E264" s="253">
        <v>45697</v>
      </c>
      <c r="F264" s="260">
        <v>85.98</v>
      </c>
      <c r="G264" s="589" t="s">
        <v>55</v>
      </c>
      <c r="H264" s="590"/>
      <c r="I264" s="590"/>
      <c r="J264" s="591"/>
      <c r="K264" s="253">
        <v>45705</v>
      </c>
      <c r="L264" s="266" t="s">
        <v>746</v>
      </c>
      <c r="M264" s="76"/>
      <c r="N264" s="76"/>
      <c r="O264" s="76"/>
      <c r="P264" s="76"/>
    </row>
    <row r="265" spans="1:16">
      <c r="A265" s="75">
        <v>253</v>
      </c>
      <c r="B265" s="221" t="s">
        <v>662</v>
      </c>
      <c r="C265" s="446" t="s">
        <v>633</v>
      </c>
      <c r="D265" s="236" t="s">
        <v>699</v>
      </c>
      <c r="E265" s="253">
        <v>45694</v>
      </c>
      <c r="F265" s="260">
        <v>165.36</v>
      </c>
      <c r="G265" s="589" t="s">
        <v>55</v>
      </c>
      <c r="H265" s="590"/>
      <c r="I265" s="590"/>
      <c r="J265" s="591"/>
      <c r="K265" s="253">
        <v>45706</v>
      </c>
      <c r="L265" s="266" t="s">
        <v>734</v>
      </c>
      <c r="M265" s="76"/>
      <c r="N265" s="76"/>
      <c r="O265" s="76"/>
      <c r="P265" s="76"/>
    </row>
    <row r="266" spans="1:16">
      <c r="A266" s="75">
        <v>254</v>
      </c>
      <c r="B266" s="221" t="s">
        <v>654</v>
      </c>
      <c r="C266" s="446" t="s">
        <v>349</v>
      </c>
      <c r="D266" s="238" t="s">
        <v>701</v>
      </c>
      <c r="E266" s="253">
        <v>45694</v>
      </c>
      <c r="F266" s="260">
        <v>98.56</v>
      </c>
      <c r="G266" s="589" t="s">
        <v>55</v>
      </c>
      <c r="H266" s="590"/>
      <c r="I266" s="590"/>
      <c r="J266" s="591"/>
      <c r="K266" s="253">
        <v>45706</v>
      </c>
      <c r="L266" s="266" t="s">
        <v>740</v>
      </c>
      <c r="M266" s="76"/>
      <c r="N266" s="76"/>
      <c r="O266" s="76"/>
      <c r="P266" s="76"/>
    </row>
    <row r="267" spans="1:16">
      <c r="A267" s="75">
        <v>255</v>
      </c>
      <c r="B267" s="221" t="s">
        <v>692</v>
      </c>
      <c r="C267" s="446" t="s">
        <v>195</v>
      </c>
      <c r="D267" s="240" t="s">
        <v>699</v>
      </c>
      <c r="E267" s="253">
        <v>45698</v>
      </c>
      <c r="F267" s="260">
        <v>37.64</v>
      </c>
      <c r="G267" s="589" t="s">
        <v>55</v>
      </c>
      <c r="H267" s="590"/>
      <c r="I267" s="590"/>
      <c r="J267" s="591"/>
      <c r="K267" s="253">
        <v>45708</v>
      </c>
      <c r="L267" s="266" t="s">
        <v>741</v>
      </c>
      <c r="M267" s="76"/>
      <c r="N267" s="76"/>
      <c r="O267" s="76"/>
      <c r="P267" s="76"/>
    </row>
    <row r="268" spans="1:16">
      <c r="A268" s="75">
        <v>256</v>
      </c>
      <c r="B268" s="221" t="s">
        <v>625</v>
      </c>
      <c r="C268" s="442" t="s">
        <v>626</v>
      </c>
      <c r="D268" s="236" t="s">
        <v>699</v>
      </c>
      <c r="E268" s="253">
        <v>45698</v>
      </c>
      <c r="F268" s="260">
        <v>165.36</v>
      </c>
      <c r="G268" s="589" t="s">
        <v>55</v>
      </c>
      <c r="H268" s="590"/>
      <c r="I268" s="590"/>
      <c r="J268" s="591"/>
      <c r="K268" s="253">
        <v>45709</v>
      </c>
      <c r="L268" s="266" t="s">
        <v>730</v>
      </c>
      <c r="M268" s="76"/>
      <c r="N268" s="76"/>
      <c r="O268" s="76"/>
      <c r="P268" s="76"/>
    </row>
    <row r="269" spans="1:16">
      <c r="A269" s="75">
        <v>257</v>
      </c>
      <c r="B269" s="221" t="s">
        <v>129</v>
      </c>
      <c r="C269" s="446" t="s">
        <v>224</v>
      </c>
      <c r="D269" s="238" t="s">
        <v>701</v>
      </c>
      <c r="E269" s="253">
        <v>45699</v>
      </c>
      <c r="F269" s="260">
        <v>61.059999999999995</v>
      </c>
      <c r="G269" s="589" t="s">
        <v>55</v>
      </c>
      <c r="H269" s="590"/>
      <c r="I269" s="590"/>
      <c r="J269" s="591"/>
      <c r="K269" s="253">
        <v>45709</v>
      </c>
      <c r="L269" s="268" t="s">
        <v>738</v>
      </c>
      <c r="M269" s="76"/>
      <c r="N269" s="76"/>
      <c r="O269" s="76"/>
      <c r="P269" s="76"/>
    </row>
    <row r="270" spans="1:16" ht="31">
      <c r="A270" s="75">
        <v>258</v>
      </c>
      <c r="B270" s="221" t="s">
        <v>271</v>
      </c>
      <c r="C270" s="442" t="s">
        <v>710</v>
      </c>
      <c r="D270" s="240" t="s">
        <v>699</v>
      </c>
      <c r="E270" s="253">
        <v>45694</v>
      </c>
      <c r="F270" s="260">
        <v>177.25200000000001</v>
      </c>
      <c r="G270" s="589" t="s">
        <v>55</v>
      </c>
      <c r="H270" s="590"/>
      <c r="I270" s="590"/>
      <c r="J270" s="591"/>
      <c r="K270" s="253">
        <v>45709</v>
      </c>
      <c r="L270" s="266" t="s">
        <v>724</v>
      </c>
      <c r="M270" s="76"/>
      <c r="N270" s="76"/>
      <c r="O270" s="76"/>
      <c r="P270" s="76"/>
    </row>
    <row r="271" spans="1:16" ht="46.5">
      <c r="A271" s="598">
        <v>259</v>
      </c>
      <c r="B271" s="221" t="s">
        <v>548</v>
      </c>
      <c r="C271" s="442" t="s">
        <v>711</v>
      </c>
      <c r="D271" s="236" t="s">
        <v>699</v>
      </c>
      <c r="E271" s="253">
        <v>45698</v>
      </c>
      <c r="F271" s="260">
        <v>20.684999999999999</v>
      </c>
      <c r="G271" s="589" t="s">
        <v>55</v>
      </c>
      <c r="H271" s="590"/>
      <c r="I271" s="590"/>
      <c r="J271" s="591"/>
      <c r="K271" s="253">
        <v>45710</v>
      </c>
      <c r="L271" s="266" t="s">
        <v>736</v>
      </c>
      <c r="M271" s="76"/>
      <c r="N271" s="76"/>
      <c r="O271" s="76"/>
      <c r="P271" s="76"/>
    </row>
    <row r="272" spans="1:16" ht="46.5">
      <c r="A272" s="599"/>
      <c r="B272" s="221" t="s">
        <v>548</v>
      </c>
      <c r="C272" s="442" t="s">
        <v>712</v>
      </c>
      <c r="D272" s="236" t="s">
        <v>699</v>
      </c>
      <c r="E272" s="253">
        <v>45698</v>
      </c>
      <c r="F272" s="260">
        <v>27.164999999999999</v>
      </c>
      <c r="G272" s="589" t="s">
        <v>55</v>
      </c>
      <c r="H272" s="590"/>
      <c r="I272" s="590"/>
      <c r="J272" s="591"/>
      <c r="K272" s="253">
        <v>45710</v>
      </c>
      <c r="L272" s="266" t="s">
        <v>736</v>
      </c>
      <c r="M272" s="76"/>
      <c r="N272" s="76"/>
      <c r="O272" s="76"/>
      <c r="P272" s="76"/>
    </row>
    <row r="273" spans="1:16">
      <c r="A273" s="75">
        <v>260</v>
      </c>
      <c r="B273" s="232" t="s">
        <v>142</v>
      </c>
      <c r="C273" s="450" t="s">
        <v>225</v>
      </c>
      <c r="D273" s="241" t="s">
        <v>701</v>
      </c>
      <c r="E273" s="253">
        <v>45698</v>
      </c>
      <c r="F273" s="260">
        <v>58.51</v>
      </c>
      <c r="G273" s="589" t="s">
        <v>55</v>
      </c>
      <c r="H273" s="590"/>
      <c r="I273" s="590"/>
      <c r="J273" s="591"/>
      <c r="K273" s="253">
        <v>45711</v>
      </c>
      <c r="L273" s="268" t="s">
        <v>745</v>
      </c>
      <c r="M273" s="76"/>
      <c r="N273" s="76"/>
      <c r="O273" s="76"/>
      <c r="P273" s="76"/>
    </row>
    <row r="274" spans="1:16" ht="31">
      <c r="A274" s="75">
        <v>261</v>
      </c>
      <c r="B274" s="233" t="s">
        <v>270</v>
      </c>
      <c r="C274" s="451" t="s">
        <v>713</v>
      </c>
      <c r="D274" s="242" t="s">
        <v>699</v>
      </c>
      <c r="E274" s="255">
        <v>45704</v>
      </c>
      <c r="F274" s="261">
        <v>173.792</v>
      </c>
      <c r="G274" s="589" t="s">
        <v>55</v>
      </c>
      <c r="H274" s="590"/>
      <c r="I274" s="590"/>
      <c r="J274" s="591"/>
      <c r="K274" s="255">
        <v>45713</v>
      </c>
      <c r="L274" s="269" t="s">
        <v>742</v>
      </c>
      <c r="M274" s="76"/>
      <c r="N274" s="76"/>
      <c r="O274" s="76"/>
      <c r="P274" s="76"/>
    </row>
    <row r="275" spans="1:16">
      <c r="A275" s="75">
        <v>262</v>
      </c>
      <c r="B275" s="221" t="s">
        <v>329</v>
      </c>
      <c r="C275" s="442" t="s">
        <v>275</v>
      </c>
      <c r="D275" s="243" t="s">
        <v>701</v>
      </c>
      <c r="E275" s="253">
        <v>45707</v>
      </c>
      <c r="F275" s="262">
        <v>100.37</v>
      </c>
      <c r="G275" s="589" t="s">
        <v>55</v>
      </c>
      <c r="H275" s="590"/>
      <c r="I275" s="590"/>
      <c r="J275" s="591"/>
      <c r="K275" s="253">
        <v>45715</v>
      </c>
      <c r="L275" s="10" t="s">
        <v>740</v>
      </c>
      <c r="M275" s="76"/>
      <c r="N275" s="76"/>
      <c r="O275" s="76"/>
      <c r="P275" s="76"/>
    </row>
    <row r="276" spans="1:16">
      <c r="A276" s="75">
        <v>263</v>
      </c>
      <c r="B276" s="221" t="s">
        <v>651</v>
      </c>
      <c r="C276" s="446" t="s">
        <v>714</v>
      </c>
      <c r="D276" s="236" t="s">
        <v>699</v>
      </c>
      <c r="E276" s="253">
        <v>45707</v>
      </c>
      <c r="F276" s="260">
        <v>59.55</v>
      </c>
      <c r="G276" s="589" t="s">
        <v>55</v>
      </c>
      <c r="H276" s="590"/>
      <c r="I276" s="590"/>
      <c r="J276" s="591"/>
      <c r="K276" s="253">
        <v>45716</v>
      </c>
      <c r="L276" s="266" t="s">
        <v>729</v>
      </c>
      <c r="M276" s="76"/>
      <c r="N276" s="76"/>
      <c r="O276" s="76"/>
      <c r="P276" s="76"/>
    </row>
    <row r="277" spans="1:16">
      <c r="A277" s="75">
        <v>264</v>
      </c>
      <c r="B277" s="221" t="s">
        <v>290</v>
      </c>
      <c r="C277" s="442" t="s">
        <v>626</v>
      </c>
      <c r="D277" s="243" t="s">
        <v>701</v>
      </c>
      <c r="E277" s="253">
        <v>45707</v>
      </c>
      <c r="F277" s="260">
        <v>243.46</v>
      </c>
      <c r="G277" s="589" t="s">
        <v>55</v>
      </c>
      <c r="H277" s="590"/>
      <c r="I277" s="590"/>
      <c r="J277" s="591"/>
      <c r="K277" s="253">
        <v>45716</v>
      </c>
      <c r="L277" s="266" t="s">
        <v>743</v>
      </c>
      <c r="M277" s="76"/>
      <c r="N277" s="76"/>
      <c r="O277" s="76"/>
      <c r="P277" s="76"/>
    </row>
    <row r="278" spans="1:16">
      <c r="A278" s="75">
        <v>265</v>
      </c>
      <c r="B278" s="221" t="s">
        <v>429</v>
      </c>
      <c r="C278" s="446" t="s">
        <v>226</v>
      </c>
      <c r="D278" s="243" t="s">
        <v>701</v>
      </c>
      <c r="E278" s="253">
        <v>45708</v>
      </c>
      <c r="F278" s="260">
        <v>61.059999999999995</v>
      </c>
      <c r="G278" s="589" t="s">
        <v>55</v>
      </c>
      <c r="H278" s="590"/>
      <c r="I278" s="590"/>
      <c r="J278" s="591"/>
      <c r="K278" s="253">
        <v>45716</v>
      </c>
      <c r="L278" s="266" t="s">
        <v>733</v>
      </c>
      <c r="M278" s="76"/>
      <c r="N278" s="76"/>
      <c r="O278" s="76"/>
      <c r="P278" s="76"/>
    </row>
    <row r="279" spans="1:16">
      <c r="A279" s="75">
        <v>266</v>
      </c>
      <c r="B279" s="221" t="s">
        <v>628</v>
      </c>
      <c r="C279" s="452" t="s">
        <v>224</v>
      </c>
      <c r="D279" s="240" t="s">
        <v>699</v>
      </c>
      <c r="E279" s="253">
        <v>45714</v>
      </c>
      <c r="F279" s="260">
        <v>41.37</v>
      </c>
      <c r="G279" s="589" t="s">
        <v>55</v>
      </c>
      <c r="H279" s="590"/>
      <c r="I279" s="590"/>
      <c r="J279" s="591"/>
      <c r="K279" s="253">
        <v>45716</v>
      </c>
      <c r="L279" s="10" t="s">
        <v>730</v>
      </c>
      <c r="M279" s="76"/>
      <c r="N279" s="76"/>
      <c r="O279" s="76"/>
      <c r="P279" s="76"/>
    </row>
    <row r="280" spans="1:16">
      <c r="A280" s="75">
        <v>267</v>
      </c>
      <c r="B280" s="221" t="s">
        <v>641</v>
      </c>
      <c r="C280" s="446" t="s">
        <v>635</v>
      </c>
      <c r="D280" s="240" t="s">
        <v>699</v>
      </c>
      <c r="E280" s="253">
        <v>45714</v>
      </c>
      <c r="F280" s="262">
        <v>165.36</v>
      </c>
      <c r="G280" s="589" t="s">
        <v>55</v>
      </c>
      <c r="H280" s="590"/>
      <c r="I280" s="590"/>
      <c r="J280" s="591"/>
      <c r="K280" s="253">
        <v>45719</v>
      </c>
      <c r="L280" s="266" t="s">
        <v>746</v>
      </c>
      <c r="M280" s="76"/>
      <c r="N280" s="76"/>
      <c r="O280" s="76"/>
      <c r="P280" s="76"/>
    </row>
    <row r="281" spans="1:16">
      <c r="A281" s="75">
        <v>268</v>
      </c>
      <c r="B281" s="221" t="s">
        <v>428</v>
      </c>
      <c r="C281" s="446" t="s">
        <v>715</v>
      </c>
      <c r="D281" s="240" t="s">
        <v>699</v>
      </c>
      <c r="E281" s="253">
        <v>45714</v>
      </c>
      <c r="F281" s="262">
        <v>90.44</v>
      </c>
      <c r="G281" s="589" t="s">
        <v>55</v>
      </c>
      <c r="H281" s="590"/>
      <c r="I281" s="590"/>
      <c r="J281" s="591"/>
      <c r="K281" s="253">
        <v>45720</v>
      </c>
      <c r="L281" s="10" t="s">
        <v>741</v>
      </c>
      <c r="M281" s="76"/>
      <c r="N281" s="76"/>
      <c r="O281" s="76"/>
      <c r="P281" s="76"/>
    </row>
    <row r="282" spans="1:16">
      <c r="A282" s="75">
        <v>269</v>
      </c>
      <c r="B282" s="221" t="s">
        <v>435</v>
      </c>
      <c r="C282" s="446" t="s">
        <v>716</v>
      </c>
      <c r="D282" s="240" t="s">
        <v>699</v>
      </c>
      <c r="E282" s="253">
        <v>45717</v>
      </c>
      <c r="F282" s="262">
        <v>100.19</v>
      </c>
      <c r="G282" s="589" t="s">
        <v>55</v>
      </c>
      <c r="H282" s="590"/>
      <c r="I282" s="590"/>
      <c r="J282" s="591"/>
      <c r="K282" s="253">
        <v>45724</v>
      </c>
      <c r="L282" s="10" t="s">
        <v>730</v>
      </c>
      <c r="M282" s="76"/>
      <c r="N282" s="76"/>
      <c r="O282" s="76"/>
      <c r="P282" s="76"/>
    </row>
    <row r="283" spans="1:16">
      <c r="A283" s="75">
        <v>270</v>
      </c>
      <c r="B283" s="221" t="s">
        <v>294</v>
      </c>
      <c r="C283" s="446" t="s">
        <v>717</v>
      </c>
      <c r="D283" s="243" t="s">
        <v>701</v>
      </c>
      <c r="E283" s="253">
        <v>45715</v>
      </c>
      <c r="F283" s="260">
        <v>141.75</v>
      </c>
      <c r="G283" s="589" t="s">
        <v>55</v>
      </c>
      <c r="H283" s="590"/>
      <c r="I283" s="590"/>
      <c r="J283" s="591"/>
      <c r="K283" s="253">
        <v>45724</v>
      </c>
      <c r="L283" s="266" t="s">
        <v>740</v>
      </c>
      <c r="M283" s="76"/>
      <c r="N283" s="76"/>
      <c r="O283" s="76"/>
      <c r="P283" s="76"/>
    </row>
    <row r="284" spans="1:16">
      <c r="A284" s="75">
        <v>271</v>
      </c>
      <c r="B284" s="221" t="s">
        <v>634</v>
      </c>
      <c r="C284" s="446" t="s">
        <v>635</v>
      </c>
      <c r="D284" s="240" t="s">
        <v>699</v>
      </c>
      <c r="E284" s="253">
        <v>45720</v>
      </c>
      <c r="F284" s="262">
        <v>165.36</v>
      </c>
      <c r="G284" s="589" t="s">
        <v>55</v>
      </c>
      <c r="H284" s="590"/>
      <c r="I284" s="590"/>
      <c r="J284" s="591"/>
      <c r="K284" s="253">
        <v>45725</v>
      </c>
      <c r="L284" s="10" t="s">
        <v>746</v>
      </c>
      <c r="M284" s="76"/>
      <c r="N284" s="76"/>
      <c r="O284" s="76"/>
      <c r="P284" s="76"/>
    </row>
    <row r="285" spans="1:16">
      <c r="A285" s="75">
        <v>272</v>
      </c>
      <c r="B285" s="221" t="s">
        <v>621</v>
      </c>
      <c r="C285" s="446" t="s">
        <v>195</v>
      </c>
      <c r="D285" s="240" t="s">
        <v>699</v>
      </c>
      <c r="E285" s="253">
        <v>45720</v>
      </c>
      <c r="F285" s="260">
        <v>37.64</v>
      </c>
      <c r="G285" s="589" t="s">
        <v>55</v>
      </c>
      <c r="H285" s="590"/>
      <c r="I285" s="590"/>
      <c r="J285" s="591"/>
      <c r="K285" s="253">
        <v>45725</v>
      </c>
      <c r="L285" s="10" t="s">
        <v>741</v>
      </c>
      <c r="M285" s="76"/>
      <c r="N285" s="76"/>
      <c r="O285" s="76"/>
      <c r="P285" s="76"/>
    </row>
    <row r="286" spans="1:16">
      <c r="A286" s="75">
        <v>273</v>
      </c>
      <c r="B286" s="232" t="s">
        <v>646</v>
      </c>
      <c r="C286" s="450" t="s">
        <v>718</v>
      </c>
      <c r="D286" s="244" t="s">
        <v>699</v>
      </c>
      <c r="E286" s="253">
        <v>45717</v>
      </c>
      <c r="F286" s="260">
        <v>68.11</v>
      </c>
      <c r="G286" s="589" t="s">
        <v>55</v>
      </c>
      <c r="H286" s="590"/>
      <c r="I286" s="590"/>
      <c r="J286" s="591"/>
      <c r="K286" s="253">
        <v>45726</v>
      </c>
      <c r="L286" s="268" t="s">
        <v>736</v>
      </c>
      <c r="M286" s="76"/>
      <c r="N286" s="76"/>
      <c r="O286" s="76"/>
      <c r="P286" s="76"/>
    </row>
    <row r="287" spans="1:16">
      <c r="A287" s="75">
        <v>274</v>
      </c>
      <c r="B287" s="221" t="s">
        <v>609</v>
      </c>
      <c r="C287" s="442" t="s">
        <v>225</v>
      </c>
      <c r="D287" s="243" t="s">
        <v>701</v>
      </c>
      <c r="E287" s="253">
        <v>45717</v>
      </c>
      <c r="F287" s="262">
        <v>58.51</v>
      </c>
      <c r="G287" s="589" t="s">
        <v>55</v>
      </c>
      <c r="H287" s="590"/>
      <c r="I287" s="590"/>
      <c r="J287" s="591"/>
      <c r="K287" s="253">
        <v>45727</v>
      </c>
      <c r="L287" s="268" t="s">
        <v>745</v>
      </c>
      <c r="M287" s="76"/>
      <c r="N287" s="76"/>
      <c r="O287" s="76"/>
      <c r="P287" s="76"/>
    </row>
    <row r="288" spans="1:16">
      <c r="A288" s="75">
        <v>275</v>
      </c>
      <c r="B288" s="9" t="s">
        <v>299</v>
      </c>
      <c r="C288" s="446" t="s">
        <v>635</v>
      </c>
      <c r="D288" s="243" t="s">
        <v>701</v>
      </c>
      <c r="E288" s="253">
        <v>45717</v>
      </c>
      <c r="F288" s="262">
        <v>243.46</v>
      </c>
      <c r="G288" s="589" t="s">
        <v>55</v>
      </c>
      <c r="H288" s="590"/>
      <c r="I288" s="590"/>
      <c r="J288" s="591"/>
      <c r="K288" s="253">
        <v>45736</v>
      </c>
      <c r="L288" s="10" t="s">
        <v>743</v>
      </c>
      <c r="M288" s="76"/>
      <c r="N288" s="76"/>
      <c r="O288" s="76"/>
      <c r="P288" s="76"/>
    </row>
    <row r="289" spans="1:16">
      <c r="A289" s="75">
        <v>276</v>
      </c>
      <c r="B289" s="9" t="s">
        <v>693</v>
      </c>
      <c r="C289" s="446" t="s">
        <v>635</v>
      </c>
      <c r="D289" s="243" t="s">
        <v>701</v>
      </c>
      <c r="E289" s="253">
        <v>45717</v>
      </c>
      <c r="F289" s="262">
        <v>243.46</v>
      </c>
      <c r="G289" s="589" t="s">
        <v>55</v>
      </c>
      <c r="H289" s="590"/>
      <c r="I289" s="590"/>
      <c r="J289" s="591"/>
      <c r="K289" s="253">
        <v>45736</v>
      </c>
      <c r="L289" s="10" t="s">
        <v>742</v>
      </c>
      <c r="M289" s="76"/>
      <c r="N289" s="76"/>
      <c r="O289" s="76"/>
      <c r="P289" s="76"/>
    </row>
    <row r="290" spans="1:16">
      <c r="A290" s="75">
        <v>277</v>
      </c>
      <c r="B290" s="9" t="s">
        <v>128</v>
      </c>
      <c r="C290" s="446" t="s">
        <v>277</v>
      </c>
      <c r="D290" s="243" t="s">
        <v>701</v>
      </c>
      <c r="E290" s="253">
        <v>45717</v>
      </c>
      <c r="F290" s="260">
        <v>82.51</v>
      </c>
      <c r="G290" s="589" t="s">
        <v>55</v>
      </c>
      <c r="H290" s="590"/>
      <c r="I290" s="590"/>
      <c r="J290" s="591"/>
      <c r="K290" s="253">
        <v>45738</v>
      </c>
      <c r="L290" s="10" t="s">
        <v>738</v>
      </c>
      <c r="M290" s="76"/>
      <c r="N290" s="76"/>
      <c r="O290" s="76"/>
      <c r="P290" s="76"/>
    </row>
    <row r="291" spans="1:16">
      <c r="A291" s="75">
        <v>278</v>
      </c>
      <c r="B291" s="9" t="s">
        <v>645</v>
      </c>
      <c r="C291" s="446" t="s">
        <v>277</v>
      </c>
      <c r="D291" s="240" t="s">
        <v>699</v>
      </c>
      <c r="E291" s="253">
        <v>45736</v>
      </c>
      <c r="F291" s="260">
        <v>58.25</v>
      </c>
      <c r="G291" s="589" t="s">
        <v>55</v>
      </c>
      <c r="H291" s="590"/>
      <c r="I291" s="590"/>
      <c r="J291" s="591"/>
      <c r="K291" s="253">
        <v>45741</v>
      </c>
      <c r="L291" s="10" t="s">
        <v>746</v>
      </c>
      <c r="M291" s="76"/>
      <c r="N291" s="76"/>
      <c r="O291" s="76"/>
      <c r="P291" s="76"/>
    </row>
    <row r="292" spans="1:16">
      <c r="A292" s="75">
        <v>279</v>
      </c>
      <c r="B292" s="221" t="s">
        <v>433</v>
      </c>
      <c r="C292" s="446" t="s">
        <v>225</v>
      </c>
      <c r="D292" s="243" t="s">
        <v>701</v>
      </c>
      <c r="E292" s="253">
        <v>45736</v>
      </c>
      <c r="F292" s="260">
        <v>58.51</v>
      </c>
      <c r="G292" s="589" t="s">
        <v>55</v>
      </c>
      <c r="H292" s="590"/>
      <c r="I292" s="590"/>
      <c r="J292" s="591"/>
      <c r="K292" s="253">
        <v>45742</v>
      </c>
      <c r="L292" s="266" t="s">
        <v>740</v>
      </c>
      <c r="M292" s="76"/>
      <c r="N292" s="76"/>
      <c r="O292" s="76"/>
      <c r="P292" s="76"/>
    </row>
    <row r="293" spans="1:16">
      <c r="A293" s="75">
        <v>280</v>
      </c>
      <c r="B293" s="232" t="s">
        <v>436</v>
      </c>
      <c r="C293" s="446" t="s">
        <v>195</v>
      </c>
      <c r="D293" s="243" t="s">
        <v>701</v>
      </c>
      <c r="E293" s="253">
        <v>45736</v>
      </c>
      <c r="F293" s="260">
        <v>58.51</v>
      </c>
      <c r="G293" s="589" t="s">
        <v>55</v>
      </c>
      <c r="H293" s="590"/>
      <c r="I293" s="590"/>
      <c r="J293" s="591"/>
      <c r="K293" s="253">
        <v>45742</v>
      </c>
      <c r="L293" s="266" t="s">
        <v>733</v>
      </c>
      <c r="M293" s="76"/>
      <c r="N293" s="76"/>
      <c r="O293" s="76"/>
      <c r="P293" s="76"/>
    </row>
    <row r="294" spans="1:16">
      <c r="A294" s="75">
        <v>281</v>
      </c>
      <c r="B294" s="232" t="s">
        <v>328</v>
      </c>
      <c r="C294" s="446" t="s">
        <v>719</v>
      </c>
      <c r="D294" s="243" t="s">
        <v>701</v>
      </c>
      <c r="E294" s="253">
        <v>45736</v>
      </c>
      <c r="F294" s="260">
        <v>132.22999999999999</v>
      </c>
      <c r="G294" s="589" t="s">
        <v>55</v>
      </c>
      <c r="H294" s="590"/>
      <c r="I294" s="590"/>
      <c r="J294" s="591"/>
      <c r="K294" s="253">
        <v>45743</v>
      </c>
      <c r="L294" s="10" t="s">
        <v>743</v>
      </c>
      <c r="M294" s="76"/>
      <c r="N294" s="76"/>
      <c r="O294" s="76"/>
      <c r="P294" s="76"/>
    </row>
    <row r="295" spans="1:16">
      <c r="A295" s="75">
        <v>282</v>
      </c>
      <c r="B295" s="9" t="s">
        <v>659</v>
      </c>
      <c r="C295" s="452" t="s">
        <v>322</v>
      </c>
      <c r="D295" s="245" t="s">
        <v>699</v>
      </c>
      <c r="E295" s="253">
        <v>45741</v>
      </c>
      <c r="F295" s="263">
        <v>77.81</v>
      </c>
      <c r="G295" s="589" t="s">
        <v>55</v>
      </c>
      <c r="H295" s="590"/>
      <c r="I295" s="590"/>
      <c r="J295" s="591"/>
      <c r="K295" s="253">
        <v>45746</v>
      </c>
      <c r="L295" s="10" t="s">
        <v>746</v>
      </c>
      <c r="M295" s="76"/>
      <c r="N295" s="76"/>
      <c r="O295" s="76"/>
      <c r="P295" s="76"/>
    </row>
    <row r="296" spans="1:16">
      <c r="A296" s="75">
        <v>283</v>
      </c>
      <c r="B296" s="9" t="s">
        <v>143</v>
      </c>
      <c r="C296" s="446" t="s">
        <v>225</v>
      </c>
      <c r="D296" s="246" t="s">
        <v>701</v>
      </c>
      <c r="E296" s="253">
        <v>45741</v>
      </c>
      <c r="F296" s="263">
        <v>58.51</v>
      </c>
      <c r="G296" s="589" t="s">
        <v>55</v>
      </c>
      <c r="H296" s="590"/>
      <c r="I296" s="590"/>
      <c r="J296" s="591"/>
      <c r="K296" s="253">
        <v>45749</v>
      </c>
      <c r="L296" s="10" t="s">
        <v>741</v>
      </c>
      <c r="M296" s="76"/>
      <c r="N296" s="76"/>
      <c r="O296" s="76"/>
      <c r="P296" s="76"/>
    </row>
    <row r="297" spans="1:16">
      <c r="A297" s="75">
        <v>284</v>
      </c>
      <c r="B297" s="221" t="s">
        <v>431</v>
      </c>
      <c r="C297" s="446" t="s">
        <v>195</v>
      </c>
      <c r="D297" s="246" t="s">
        <v>701</v>
      </c>
      <c r="E297" s="253">
        <v>45741</v>
      </c>
      <c r="F297" s="262">
        <v>58.51</v>
      </c>
      <c r="G297" s="589" t="s">
        <v>55</v>
      </c>
      <c r="H297" s="590"/>
      <c r="I297" s="590"/>
      <c r="J297" s="591"/>
      <c r="K297" s="253">
        <v>45749</v>
      </c>
      <c r="L297" s="10" t="s">
        <v>745</v>
      </c>
      <c r="M297" s="76"/>
      <c r="N297" s="76"/>
      <c r="O297" s="76"/>
      <c r="P297" s="76"/>
    </row>
    <row r="298" spans="1:16">
      <c r="A298" s="75">
        <v>285</v>
      </c>
      <c r="B298" s="232" t="s">
        <v>632</v>
      </c>
      <c r="C298" s="450" t="s">
        <v>225</v>
      </c>
      <c r="D298" s="247" t="s">
        <v>699</v>
      </c>
      <c r="E298" s="256">
        <v>45747</v>
      </c>
      <c r="F298" s="260">
        <v>37.64</v>
      </c>
      <c r="G298" s="589" t="s">
        <v>55</v>
      </c>
      <c r="H298" s="590"/>
      <c r="I298" s="590"/>
      <c r="J298" s="591"/>
      <c r="K298" s="253">
        <v>45750</v>
      </c>
      <c r="L298" s="10" t="s">
        <v>746</v>
      </c>
      <c r="M298" s="76"/>
      <c r="N298" s="76"/>
      <c r="O298" s="76"/>
      <c r="P298" s="76"/>
    </row>
    <row r="299" spans="1:16">
      <c r="A299" s="598">
        <v>286</v>
      </c>
      <c r="B299" s="216" t="s">
        <v>694</v>
      </c>
      <c r="C299" s="453" t="s">
        <v>380</v>
      </c>
      <c r="D299" s="236" t="s">
        <v>706</v>
      </c>
      <c r="E299" s="253">
        <v>45741</v>
      </c>
      <c r="F299" s="260">
        <v>163.30999999999997</v>
      </c>
      <c r="G299" s="589" t="s">
        <v>55</v>
      </c>
      <c r="H299" s="590"/>
      <c r="I299" s="590"/>
      <c r="J299" s="591"/>
      <c r="K299" s="253">
        <v>45757</v>
      </c>
      <c r="L299" s="266" t="s">
        <v>724</v>
      </c>
      <c r="M299" s="76"/>
      <c r="N299" s="76"/>
      <c r="O299" s="76"/>
      <c r="P299" s="76"/>
    </row>
    <row r="300" spans="1:16" ht="31">
      <c r="A300" s="599"/>
      <c r="B300" s="216" t="s">
        <v>695</v>
      </c>
      <c r="C300" s="453" t="s">
        <v>720</v>
      </c>
      <c r="D300" s="236" t="s">
        <v>706</v>
      </c>
      <c r="E300" s="253">
        <v>45741</v>
      </c>
      <c r="F300" s="260">
        <v>164.49499999999998</v>
      </c>
      <c r="G300" s="589" t="s">
        <v>55</v>
      </c>
      <c r="H300" s="590"/>
      <c r="I300" s="590"/>
      <c r="J300" s="591"/>
      <c r="K300" s="253">
        <v>45757</v>
      </c>
      <c r="L300" s="266" t="s">
        <v>724</v>
      </c>
      <c r="M300" s="76"/>
      <c r="N300" s="76"/>
      <c r="O300" s="76"/>
      <c r="P300" s="76"/>
    </row>
    <row r="301" spans="1:16">
      <c r="A301" s="75">
        <v>287</v>
      </c>
      <c r="B301" s="234" t="s">
        <v>649</v>
      </c>
      <c r="C301" s="450" t="s">
        <v>721</v>
      </c>
      <c r="D301" s="247" t="s">
        <v>699</v>
      </c>
      <c r="E301" s="253">
        <v>45751</v>
      </c>
      <c r="F301" s="260">
        <v>68.11</v>
      </c>
      <c r="G301" s="589" t="s">
        <v>55</v>
      </c>
      <c r="H301" s="590"/>
      <c r="I301" s="590"/>
      <c r="J301" s="591"/>
      <c r="K301" s="253">
        <v>45757</v>
      </c>
      <c r="L301" s="10" t="s">
        <v>746</v>
      </c>
      <c r="M301" s="76"/>
      <c r="N301" s="76"/>
      <c r="O301" s="76"/>
      <c r="P301" s="76"/>
    </row>
    <row r="302" spans="1:16">
      <c r="A302" s="75">
        <v>288</v>
      </c>
      <c r="B302" s="216" t="s">
        <v>696</v>
      </c>
      <c r="C302" s="442" t="s">
        <v>635</v>
      </c>
      <c r="D302" s="243" t="s">
        <v>701</v>
      </c>
      <c r="E302" s="253">
        <v>45751</v>
      </c>
      <c r="F302" s="262">
        <v>243.46</v>
      </c>
      <c r="G302" s="589" t="s">
        <v>55</v>
      </c>
      <c r="H302" s="590"/>
      <c r="I302" s="590"/>
      <c r="J302" s="591"/>
      <c r="K302" s="253">
        <v>45764</v>
      </c>
      <c r="L302" s="10" t="s">
        <v>742</v>
      </c>
      <c r="M302" s="76"/>
      <c r="N302" s="76"/>
      <c r="O302" s="76"/>
      <c r="P302" s="76"/>
    </row>
    <row r="303" spans="1:16">
      <c r="A303" s="75">
        <v>289</v>
      </c>
      <c r="B303" s="216" t="s">
        <v>596</v>
      </c>
      <c r="C303" s="442" t="s">
        <v>224</v>
      </c>
      <c r="D303" s="243" t="s">
        <v>701</v>
      </c>
      <c r="E303" s="253">
        <v>45764</v>
      </c>
      <c r="F303" s="260">
        <v>61.059999999999995</v>
      </c>
      <c r="G303" s="589" t="s">
        <v>55</v>
      </c>
      <c r="H303" s="590"/>
      <c r="I303" s="590"/>
      <c r="J303" s="591"/>
      <c r="K303" s="253">
        <v>45768</v>
      </c>
      <c r="L303" s="10" t="s">
        <v>730</v>
      </c>
      <c r="M303" s="76"/>
      <c r="N303" s="76"/>
      <c r="O303" s="76"/>
      <c r="P303" s="76"/>
    </row>
    <row r="304" spans="1:16">
      <c r="A304" s="75">
        <v>290</v>
      </c>
      <c r="B304" s="216" t="s">
        <v>365</v>
      </c>
      <c r="C304" s="442" t="s">
        <v>639</v>
      </c>
      <c r="D304" s="236" t="s">
        <v>706</v>
      </c>
      <c r="E304" s="253">
        <v>45751</v>
      </c>
      <c r="F304" s="260">
        <v>331.82</v>
      </c>
      <c r="G304" s="589" t="s">
        <v>55</v>
      </c>
      <c r="H304" s="590"/>
      <c r="I304" s="590"/>
      <c r="J304" s="591"/>
      <c r="K304" s="253">
        <v>45768</v>
      </c>
      <c r="L304" s="266" t="s">
        <v>740</v>
      </c>
      <c r="M304" s="76"/>
      <c r="N304" s="76"/>
      <c r="O304" s="76"/>
      <c r="P304" s="76"/>
    </row>
    <row r="305" spans="1:16">
      <c r="A305" s="75">
        <v>291</v>
      </c>
      <c r="B305" s="216" t="s">
        <v>58</v>
      </c>
      <c r="C305" s="442" t="s">
        <v>275</v>
      </c>
      <c r="D305" s="236" t="s">
        <v>699</v>
      </c>
      <c r="E305" s="253">
        <v>45769</v>
      </c>
      <c r="F305" s="260">
        <v>71.039999999999992</v>
      </c>
      <c r="G305" s="589" t="s">
        <v>55</v>
      </c>
      <c r="H305" s="590"/>
      <c r="I305" s="590"/>
      <c r="J305" s="591"/>
      <c r="K305" s="253">
        <v>45774</v>
      </c>
      <c r="L305" s="10" t="s">
        <v>730</v>
      </c>
      <c r="M305" s="76"/>
      <c r="N305" s="76"/>
      <c r="O305" s="76"/>
      <c r="P305" s="76"/>
    </row>
    <row r="306" spans="1:16">
      <c r="A306" s="75">
        <v>292</v>
      </c>
      <c r="B306" s="216" t="s">
        <v>644</v>
      </c>
      <c r="C306" s="442" t="s">
        <v>380</v>
      </c>
      <c r="D306" s="236" t="s">
        <v>706</v>
      </c>
      <c r="E306" s="253">
        <v>45758</v>
      </c>
      <c r="F306" s="260">
        <v>326.61999999999995</v>
      </c>
      <c r="G306" s="589" t="s">
        <v>55</v>
      </c>
      <c r="H306" s="590"/>
      <c r="I306" s="590"/>
      <c r="J306" s="591"/>
      <c r="K306" s="253">
        <v>45775</v>
      </c>
      <c r="L306" s="266" t="s">
        <v>724</v>
      </c>
      <c r="M306" s="76"/>
      <c r="N306" s="76"/>
      <c r="O306" s="76"/>
      <c r="P306" s="76"/>
    </row>
    <row r="307" spans="1:16">
      <c r="A307" s="75">
        <v>293</v>
      </c>
      <c r="B307" s="216" t="s">
        <v>652</v>
      </c>
      <c r="C307" s="442" t="s">
        <v>653</v>
      </c>
      <c r="D307" s="236" t="s">
        <v>699</v>
      </c>
      <c r="E307" s="253">
        <v>45769</v>
      </c>
      <c r="F307" s="260">
        <v>94.55</v>
      </c>
      <c r="G307" s="589" t="s">
        <v>55</v>
      </c>
      <c r="H307" s="590"/>
      <c r="I307" s="590"/>
      <c r="J307" s="591"/>
      <c r="K307" s="253">
        <v>45776</v>
      </c>
      <c r="L307" s="266" t="s">
        <v>734</v>
      </c>
      <c r="M307" s="76"/>
      <c r="N307" s="76"/>
      <c r="O307" s="76"/>
      <c r="P307" s="76"/>
    </row>
    <row r="308" spans="1:16">
      <c r="A308" s="75">
        <v>294</v>
      </c>
      <c r="B308" s="216" t="s">
        <v>697</v>
      </c>
      <c r="C308" s="442" t="s">
        <v>380</v>
      </c>
      <c r="D308" s="243" t="s">
        <v>701</v>
      </c>
      <c r="E308" s="253">
        <v>45764</v>
      </c>
      <c r="F308" s="260">
        <v>249.38</v>
      </c>
      <c r="G308" s="589" t="s">
        <v>55</v>
      </c>
      <c r="H308" s="590"/>
      <c r="I308" s="590"/>
      <c r="J308" s="591"/>
      <c r="K308" s="253">
        <v>45777</v>
      </c>
      <c r="L308" s="266" t="s">
        <v>733</v>
      </c>
      <c r="M308" s="76"/>
      <c r="N308" s="76"/>
      <c r="O308" s="76"/>
      <c r="P308" s="76"/>
    </row>
    <row r="309" spans="1:16">
      <c r="A309" s="75">
        <v>295</v>
      </c>
      <c r="B309" s="216" t="s">
        <v>434</v>
      </c>
      <c r="C309" s="454" t="s">
        <v>195</v>
      </c>
      <c r="D309" s="248" t="s">
        <v>699</v>
      </c>
      <c r="E309" s="253">
        <v>45774</v>
      </c>
      <c r="F309" s="260">
        <v>37.64</v>
      </c>
      <c r="G309" s="589" t="s">
        <v>55</v>
      </c>
      <c r="H309" s="590"/>
      <c r="I309" s="590"/>
      <c r="J309" s="591"/>
      <c r="K309" s="253">
        <v>45777</v>
      </c>
      <c r="L309" s="10" t="s">
        <v>730</v>
      </c>
      <c r="M309" s="76"/>
      <c r="N309" s="76"/>
      <c r="O309" s="76"/>
      <c r="P309" s="76"/>
    </row>
    <row r="310" spans="1:16">
      <c r="A310" s="75">
        <v>296</v>
      </c>
      <c r="B310" s="216" t="s">
        <v>274</v>
      </c>
      <c r="C310" s="442" t="s">
        <v>380</v>
      </c>
      <c r="D310" s="236" t="s">
        <v>706</v>
      </c>
      <c r="E310" s="253">
        <v>45772</v>
      </c>
      <c r="F310" s="260">
        <v>326.61999999999995</v>
      </c>
      <c r="G310" s="589" t="s">
        <v>55</v>
      </c>
      <c r="H310" s="590"/>
      <c r="I310" s="590"/>
      <c r="J310" s="591"/>
      <c r="K310" s="257">
        <v>45788</v>
      </c>
      <c r="L310" s="266" t="s">
        <v>740</v>
      </c>
      <c r="M310" s="76"/>
      <c r="N310" s="76"/>
      <c r="O310" s="76"/>
      <c r="P310" s="76"/>
    </row>
    <row r="311" spans="1:16">
      <c r="A311" s="75">
        <v>297</v>
      </c>
      <c r="B311" s="216" t="s">
        <v>612</v>
      </c>
      <c r="C311" s="442" t="s">
        <v>224</v>
      </c>
      <c r="D311" s="243" t="s">
        <v>701</v>
      </c>
      <c r="E311" s="257">
        <v>45782</v>
      </c>
      <c r="F311" s="260">
        <v>61.059999999999995</v>
      </c>
      <c r="G311" s="589" t="s">
        <v>55</v>
      </c>
      <c r="H311" s="590"/>
      <c r="I311" s="590"/>
      <c r="J311" s="591"/>
      <c r="K311" s="257">
        <v>45788</v>
      </c>
      <c r="L311" s="10" t="s">
        <v>730</v>
      </c>
      <c r="M311" s="76"/>
      <c r="N311" s="76"/>
      <c r="O311" s="76"/>
      <c r="P311" s="76"/>
    </row>
    <row r="312" spans="1:16">
      <c r="A312" s="75">
        <v>298</v>
      </c>
      <c r="B312" s="216" t="s">
        <v>418</v>
      </c>
      <c r="C312" s="442" t="s">
        <v>722</v>
      </c>
      <c r="D312" s="243" t="s">
        <v>701</v>
      </c>
      <c r="E312" s="257">
        <v>45782</v>
      </c>
      <c r="F312" s="260">
        <v>118.54</v>
      </c>
      <c r="G312" s="589" t="s">
        <v>55</v>
      </c>
      <c r="H312" s="590"/>
      <c r="I312" s="590"/>
      <c r="J312" s="591"/>
      <c r="K312" s="257">
        <v>45794</v>
      </c>
      <c r="L312" s="266" t="s">
        <v>734</v>
      </c>
      <c r="M312" s="76"/>
      <c r="N312" s="76"/>
      <c r="O312" s="76"/>
      <c r="P312" s="76"/>
    </row>
    <row r="313" spans="1:16">
      <c r="A313" s="75">
        <v>299</v>
      </c>
      <c r="B313" s="222" t="s">
        <v>698</v>
      </c>
      <c r="C313" s="441" t="s">
        <v>357</v>
      </c>
      <c r="D313" s="249" t="s">
        <v>701</v>
      </c>
      <c r="E313" s="257">
        <v>45783</v>
      </c>
      <c r="F313" s="260">
        <v>110.03</v>
      </c>
      <c r="G313" s="589" t="s">
        <v>55</v>
      </c>
      <c r="H313" s="590"/>
      <c r="I313" s="590"/>
      <c r="J313" s="591"/>
      <c r="K313" s="257">
        <v>45796</v>
      </c>
      <c r="L313" s="268" t="s">
        <v>733</v>
      </c>
      <c r="M313" s="76"/>
      <c r="N313" s="76"/>
      <c r="O313" s="76"/>
      <c r="P313" s="76"/>
    </row>
    <row r="314" spans="1:16">
      <c r="A314" s="75">
        <v>300</v>
      </c>
      <c r="B314" s="216" t="s">
        <v>288</v>
      </c>
      <c r="C314" s="442" t="s">
        <v>716</v>
      </c>
      <c r="D314" s="236" t="s">
        <v>706</v>
      </c>
      <c r="E314" s="257">
        <v>45788</v>
      </c>
      <c r="F314" s="260">
        <v>261.19600000000003</v>
      </c>
      <c r="G314" s="589" t="s">
        <v>55</v>
      </c>
      <c r="H314" s="590"/>
      <c r="I314" s="590"/>
      <c r="J314" s="591"/>
      <c r="K314" s="257">
        <v>45800</v>
      </c>
      <c r="L314" s="10" t="s">
        <v>730</v>
      </c>
      <c r="M314" s="76"/>
      <c r="N314" s="76"/>
      <c r="O314" s="76"/>
      <c r="P314" s="76"/>
    </row>
    <row r="315" spans="1:16">
      <c r="A315" s="75">
        <v>301</v>
      </c>
      <c r="B315" s="216" t="s">
        <v>440</v>
      </c>
      <c r="C315" s="455" t="s">
        <v>380</v>
      </c>
      <c r="D315" s="243" t="s">
        <v>701</v>
      </c>
      <c r="E315" s="257">
        <v>45791</v>
      </c>
      <c r="F315" s="260">
        <v>249.38</v>
      </c>
      <c r="G315" s="589" t="s">
        <v>55</v>
      </c>
      <c r="H315" s="590"/>
      <c r="I315" s="590"/>
      <c r="J315" s="591"/>
      <c r="K315" s="257">
        <v>45805</v>
      </c>
      <c r="L315" s="10" t="s">
        <v>742</v>
      </c>
      <c r="M315" s="76"/>
      <c r="N315" s="76"/>
      <c r="O315" s="76"/>
      <c r="P315" s="76"/>
    </row>
    <row r="316" spans="1:16">
      <c r="A316" s="75">
        <v>302</v>
      </c>
      <c r="B316" s="216" t="s">
        <v>425</v>
      </c>
      <c r="C316" s="442" t="s">
        <v>716</v>
      </c>
      <c r="D316" s="236" t="s">
        <v>706</v>
      </c>
      <c r="E316" s="257">
        <v>45797</v>
      </c>
      <c r="F316" s="260">
        <v>261.19600000000003</v>
      </c>
      <c r="G316" s="589" t="s">
        <v>55</v>
      </c>
      <c r="H316" s="590"/>
      <c r="I316" s="590"/>
      <c r="J316" s="591"/>
      <c r="K316" s="257">
        <v>45811</v>
      </c>
      <c r="L316" s="266" t="s">
        <v>734</v>
      </c>
      <c r="M316" s="76"/>
      <c r="N316" s="76"/>
      <c r="O316" s="76"/>
      <c r="P316" s="76"/>
    </row>
    <row r="318" spans="1:16" ht="31.5" thickBot="1">
      <c r="A318" s="30" t="s">
        <v>197</v>
      </c>
      <c r="B318" s="30" t="s">
        <v>59</v>
      </c>
      <c r="C318" s="456" t="s">
        <v>57</v>
      </c>
      <c r="D318" s="30" t="s">
        <v>162</v>
      </c>
      <c r="E318" s="30" t="s">
        <v>189</v>
      </c>
      <c r="F318" s="30" t="s">
        <v>163</v>
      </c>
      <c r="G318" s="558" t="s">
        <v>71</v>
      </c>
      <c r="H318" s="559"/>
      <c r="I318" s="559"/>
      <c r="J318" s="560"/>
      <c r="K318" s="30" t="s">
        <v>191</v>
      </c>
      <c r="L318" s="30" t="s">
        <v>192</v>
      </c>
      <c r="M318" s="30" t="s">
        <v>193</v>
      </c>
      <c r="N318" s="558" t="s">
        <v>194</v>
      </c>
      <c r="O318" s="559"/>
      <c r="P318" s="560"/>
    </row>
    <row r="319" spans="1:16" ht="18.5">
      <c r="A319" s="10">
        <v>1</v>
      </c>
      <c r="B319" s="190" t="s">
        <v>441</v>
      </c>
      <c r="C319" s="447" t="s">
        <v>195</v>
      </c>
      <c r="D319" s="10"/>
      <c r="E319" s="202">
        <v>45536</v>
      </c>
      <c r="F319" s="23">
        <v>43.775756000000008</v>
      </c>
      <c r="G319" s="556" t="s">
        <v>196</v>
      </c>
      <c r="H319" s="556"/>
      <c r="I319" s="556"/>
      <c r="J319" s="556"/>
      <c r="K319" s="202">
        <v>45551</v>
      </c>
      <c r="L319" s="203" t="s">
        <v>664</v>
      </c>
      <c r="M319" s="10"/>
      <c r="N319" s="557"/>
      <c r="O319" s="557"/>
      <c r="P319" s="557"/>
    </row>
    <row r="320" spans="1:16" ht="18.5">
      <c r="A320" s="10">
        <v>2</v>
      </c>
      <c r="B320" s="190" t="s">
        <v>442</v>
      </c>
      <c r="C320" s="447" t="s">
        <v>195</v>
      </c>
      <c r="D320" s="10"/>
      <c r="E320" s="202">
        <v>45551</v>
      </c>
      <c r="F320" s="23">
        <v>43.775756000000008</v>
      </c>
      <c r="G320" s="556" t="s">
        <v>196</v>
      </c>
      <c r="H320" s="556"/>
      <c r="I320" s="556"/>
      <c r="J320" s="556"/>
      <c r="K320" s="202">
        <v>45564</v>
      </c>
      <c r="L320" s="203" t="s">
        <v>664</v>
      </c>
      <c r="M320" s="10"/>
      <c r="N320" s="557"/>
      <c r="O320" s="557"/>
      <c r="P320" s="557"/>
    </row>
    <row r="321" spans="1:16">
      <c r="A321" s="10">
        <v>3</v>
      </c>
      <c r="B321" s="27" t="s">
        <v>443</v>
      </c>
      <c r="C321" s="447" t="s">
        <v>195</v>
      </c>
      <c r="D321" s="10"/>
      <c r="E321" s="202">
        <v>45551</v>
      </c>
      <c r="F321" s="23">
        <v>43.775756000000008</v>
      </c>
      <c r="G321" s="556" t="s">
        <v>196</v>
      </c>
      <c r="H321" s="556"/>
      <c r="I321" s="556"/>
      <c r="J321" s="556"/>
      <c r="K321" s="202">
        <v>45566</v>
      </c>
      <c r="L321" s="203" t="s">
        <v>665</v>
      </c>
      <c r="M321" s="10"/>
      <c r="N321" s="557"/>
      <c r="O321" s="557"/>
      <c r="P321" s="557"/>
    </row>
    <row r="322" spans="1:16">
      <c r="A322" s="10">
        <v>4</v>
      </c>
      <c r="B322" s="27" t="s">
        <v>444</v>
      </c>
      <c r="C322" s="447" t="s">
        <v>195</v>
      </c>
      <c r="D322" s="10"/>
      <c r="E322" s="202">
        <v>45566</v>
      </c>
      <c r="F322" s="23">
        <v>43.775756000000008</v>
      </c>
      <c r="G322" s="556" t="s">
        <v>196</v>
      </c>
      <c r="H322" s="556"/>
      <c r="I322" s="556"/>
      <c r="J322" s="556"/>
      <c r="K322" s="202">
        <v>45572</v>
      </c>
      <c r="L322" s="203" t="s">
        <v>664</v>
      </c>
      <c r="M322" s="10"/>
      <c r="N322" s="557"/>
      <c r="O322" s="557"/>
      <c r="P322" s="557"/>
    </row>
    <row r="323" spans="1:16">
      <c r="A323" s="10">
        <v>5</v>
      </c>
      <c r="B323" s="27" t="s">
        <v>445</v>
      </c>
      <c r="C323" s="447" t="s">
        <v>195</v>
      </c>
      <c r="D323" s="10"/>
      <c r="E323" s="202">
        <v>45568</v>
      </c>
      <c r="F323" s="23">
        <v>43.775756000000008</v>
      </c>
      <c r="G323" s="556" t="s">
        <v>196</v>
      </c>
      <c r="H323" s="556"/>
      <c r="I323" s="556"/>
      <c r="J323" s="556"/>
      <c r="K323" s="202">
        <v>45580</v>
      </c>
      <c r="L323" s="203" t="s">
        <v>665</v>
      </c>
      <c r="M323" s="10"/>
      <c r="N323" s="557"/>
      <c r="O323" s="557"/>
      <c r="P323" s="557"/>
    </row>
    <row r="324" spans="1:16">
      <c r="A324" s="10">
        <v>6</v>
      </c>
      <c r="B324" s="27" t="s">
        <v>446</v>
      </c>
      <c r="C324" s="447" t="s">
        <v>195</v>
      </c>
      <c r="D324" s="10"/>
      <c r="E324" s="202">
        <v>45573</v>
      </c>
      <c r="F324" s="23">
        <v>43.775756000000008</v>
      </c>
      <c r="G324" s="556" t="s">
        <v>196</v>
      </c>
      <c r="H324" s="556"/>
      <c r="I324" s="556"/>
      <c r="J324" s="556"/>
      <c r="K324" s="202">
        <v>45578</v>
      </c>
      <c r="L324" s="203" t="s">
        <v>664</v>
      </c>
      <c r="M324" s="10"/>
      <c r="N324" s="557"/>
      <c r="O324" s="557"/>
      <c r="P324" s="557"/>
    </row>
    <row r="325" spans="1:16">
      <c r="A325" s="10">
        <v>7</v>
      </c>
      <c r="B325" s="27" t="s">
        <v>447</v>
      </c>
      <c r="C325" s="447" t="s">
        <v>224</v>
      </c>
      <c r="D325" s="10"/>
      <c r="E325" s="202">
        <v>45579</v>
      </c>
      <c r="F325" s="23">
        <v>46.049156000000004</v>
      </c>
      <c r="G325" s="556" t="s">
        <v>196</v>
      </c>
      <c r="H325" s="556"/>
      <c r="I325" s="556"/>
      <c r="J325" s="556"/>
      <c r="K325" s="202">
        <v>45584</v>
      </c>
      <c r="L325" s="203" t="s">
        <v>664</v>
      </c>
      <c r="M325" s="10"/>
      <c r="N325" s="557"/>
      <c r="O325" s="557"/>
      <c r="P325" s="557"/>
    </row>
    <row r="326" spans="1:16">
      <c r="A326" s="10">
        <v>8</v>
      </c>
      <c r="B326" s="27" t="s">
        <v>448</v>
      </c>
      <c r="C326" s="447" t="s">
        <v>224</v>
      </c>
      <c r="D326" s="10"/>
      <c r="E326" s="202">
        <v>45580</v>
      </c>
      <c r="F326" s="23">
        <v>46.049156000000004</v>
      </c>
      <c r="G326" s="556" t="s">
        <v>196</v>
      </c>
      <c r="H326" s="556"/>
      <c r="I326" s="556"/>
      <c r="J326" s="556"/>
      <c r="K326" s="202">
        <v>45589</v>
      </c>
      <c r="L326" s="203" t="s">
        <v>665</v>
      </c>
      <c r="M326" s="10"/>
      <c r="N326" s="557"/>
      <c r="O326" s="557"/>
      <c r="P326" s="557"/>
    </row>
    <row r="327" spans="1:16">
      <c r="A327" s="10">
        <v>9</v>
      </c>
      <c r="B327" s="27" t="s">
        <v>449</v>
      </c>
      <c r="C327" s="447" t="s">
        <v>224</v>
      </c>
      <c r="D327" s="10"/>
      <c r="E327" s="202">
        <v>45585</v>
      </c>
      <c r="F327" s="23">
        <v>46.049156000000004</v>
      </c>
      <c r="G327" s="556" t="s">
        <v>196</v>
      </c>
      <c r="H327" s="556"/>
      <c r="I327" s="556"/>
      <c r="J327" s="556"/>
      <c r="K327" s="202">
        <v>45589</v>
      </c>
      <c r="L327" s="203" t="s">
        <v>664</v>
      </c>
      <c r="M327" s="10"/>
      <c r="N327" s="557"/>
      <c r="O327" s="557"/>
      <c r="P327" s="557"/>
    </row>
    <row r="328" spans="1:16">
      <c r="A328" s="10">
        <v>10</v>
      </c>
      <c r="B328" s="27" t="s">
        <v>450</v>
      </c>
      <c r="C328" s="447" t="s">
        <v>225</v>
      </c>
      <c r="D328" s="10"/>
      <c r="E328" s="202">
        <v>45589</v>
      </c>
      <c r="F328" s="23">
        <v>42.374236000000003</v>
      </c>
      <c r="G328" s="556" t="s">
        <v>196</v>
      </c>
      <c r="H328" s="556"/>
      <c r="I328" s="556"/>
      <c r="J328" s="556"/>
      <c r="K328" s="202">
        <v>45594</v>
      </c>
      <c r="L328" s="203" t="s">
        <v>664</v>
      </c>
      <c r="M328" s="10"/>
      <c r="N328" s="557"/>
      <c r="O328" s="557"/>
      <c r="P328" s="557"/>
    </row>
    <row r="329" spans="1:16">
      <c r="A329" s="10">
        <v>11</v>
      </c>
      <c r="B329" s="27" t="s">
        <v>451</v>
      </c>
      <c r="C329" s="447" t="s">
        <v>224</v>
      </c>
      <c r="D329" s="10"/>
      <c r="E329" s="202">
        <v>45589</v>
      </c>
      <c r="F329" s="23">
        <v>46.049156000000004</v>
      </c>
      <c r="G329" s="556" t="s">
        <v>196</v>
      </c>
      <c r="H329" s="556"/>
      <c r="I329" s="556"/>
      <c r="J329" s="556"/>
      <c r="K329" s="202">
        <v>45596</v>
      </c>
      <c r="L329" s="203" t="s">
        <v>665</v>
      </c>
      <c r="M329" s="10"/>
      <c r="N329" s="557"/>
      <c r="O329" s="557"/>
      <c r="P329" s="557"/>
    </row>
    <row r="330" spans="1:16">
      <c r="A330" s="10">
        <v>12</v>
      </c>
      <c r="B330" s="27" t="s">
        <v>452</v>
      </c>
      <c r="C330" s="447" t="s">
        <v>225</v>
      </c>
      <c r="D330" s="10"/>
      <c r="E330" s="202">
        <v>45597</v>
      </c>
      <c r="F330" s="23">
        <v>42.374236000000003</v>
      </c>
      <c r="G330" s="556" t="s">
        <v>196</v>
      </c>
      <c r="H330" s="556"/>
      <c r="I330" s="556"/>
      <c r="J330" s="556"/>
      <c r="K330" s="202">
        <v>45600</v>
      </c>
      <c r="L330" s="203" t="s">
        <v>664</v>
      </c>
      <c r="M330" s="10"/>
      <c r="N330" s="557"/>
      <c r="O330" s="557"/>
      <c r="P330" s="557"/>
    </row>
    <row r="331" spans="1:16">
      <c r="A331" s="10">
        <v>13</v>
      </c>
      <c r="B331" s="27" t="s">
        <v>453</v>
      </c>
      <c r="C331" s="447" t="s">
        <v>224</v>
      </c>
      <c r="D331" s="10"/>
      <c r="E331" s="202">
        <v>45601</v>
      </c>
      <c r="F331" s="23">
        <v>46.049156000000004</v>
      </c>
      <c r="G331" s="556" t="s">
        <v>196</v>
      </c>
      <c r="H331" s="556"/>
      <c r="I331" s="556"/>
      <c r="J331" s="556"/>
      <c r="K331" s="202">
        <v>45606</v>
      </c>
      <c r="L331" s="203" t="s">
        <v>664</v>
      </c>
      <c r="M331" s="10"/>
      <c r="N331" s="557"/>
      <c r="O331" s="557"/>
      <c r="P331" s="557"/>
    </row>
    <row r="332" spans="1:16">
      <c r="A332" s="10">
        <v>14</v>
      </c>
      <c r="B332" s="27" t="s">
        <v>454</v>
      </c>
      <c r="C332" s="447" t="s">
        <v>224</v>
      </c>
      <c r="D332" s="10"/>
      <c r="E332" s="202">
        <v>45597</v>
      </c>
      <c r="F332" s="23">
        <v>46.049156000000004</v>
      </c>
      <c r="G332" s="556" t="s">
        <v>196</v>
      </c>
      <c r="H332" s="556"/>
      <c r="I332" s="556"/>
      <c r="J332" s="556"/>
      <c r="K332" s="202" t="s">
        <v>663</v>
      </c>
      <c r="L332" s="203" t="s">
        <v>665</v>
      </c>
      <c r="M332" s="10"/>
      <c r="N332" s="557"/>
      <c r="O332" s="557"/>
      <c r="P332" s="557"/>
    </row>
    <row r="333" spans="1:16">
      <c r="A333" s="10">
        <v>15</v>
      </c>
      <c r="B333" s="27" t="s">
        <v>455</v>
      </c>
      <c r="C333" s="447" t="s">
        <v>224</v>
      </c>
      <c r="D333" s="10"/>
      <c r="E333" s="202">
        <v>45606</v>
      </c>
      <c r="F333" s="23">
        <v>46.049156000000004</v>
      </c>
      <c r="G333" s="556" t="s">
        <v>196</v>
      </c>
      <c r="H333" s="556"/>
      <c r="I333" s="556"/>
      <c r="J333" s="556"/>
      <c r="K333" s="202">
        <v>45613</v>
      </c>
      <c r="L333" s="203" t="s">
        <v>664</v>
      </c>
      <c r="M333" s="10"/>
      <c r="N333" s="557"/>
      <c r="O333" s="557"/>
      <c r="P333" s="557"/>
    </row>
    <row r="334" spans="1:16">
      <c r="A334" s="10">
        <v>16</v>
      </c>
      <c r="B334" s="27" t="s">
        <v>456</v>
      </c>
      <c r="C334" s="447" t="s">
        <v>224</v>
      </c>
      <c r="D334" s="10"/>
      <c r="E334" s="202">
        <v>45613</v>
      </c>
      <c r="F334" s="23">
        <v>46.049156000000004</v>
      </c>
      <c r="G334" s="556" t="s">
        <v>196</v>
      </c>
      <c r="H334" s="556"/>
      <c r="I334" s="556"/>
      <c r="J334" s="556"/>
      <c r="K334" s="202">
        <v>45618</v>
      </c>
      <c r="L334" s="203" t="s">
        <v>664</v>
      </c>
      <c r="M334" s="10"/>
      <c r="N334" s="557"/>
      <c r="O334" s="557"/>
      <c r="P334" s="557"/>
    </row>
    <row r="335" spans="1:16">
      <c r="A335" s="10">
        <v>17</v>
      </c>
      <c r="B335" s="27" t="s">
        <v>457</v>
      </c>
      <c r="C335" s="447" t="s">
        <v>224</v>
      </c>
      <c r="D335" s="10"/>
      <c r="E335" s="202">
        <v>45606</v>
      </c>
      <c r="F335" s="23">
        <v>46.049156000000004</v>
      </c>
      <c r="G335" s="556" t="s">
        <v>196</v>
      </c>
      <c r="H335" s="556"/>
      <c r="I335" s="556"/>
      <c r="J335" s="556"/>
      <c r="K335" s="202">
        <v>45620</v>
      </c>
      <c r="L335" s="203" t="s">
        <v>666</v>
      </c>
      <c r="M335" s="10"/>
      <c r="N335" s="557"/>
      <c r="O335" s="557"/>
      <c r="P335" s="557"/>
    </row>
    <row r="336" spans="1:16">
      <c r="A336" s="10">
        <v>18</v>
      </c>
      <c r="B336" s="27" t="s">
        <v>458</v>
      </c>
      <c r="C336" s="447" t="s">
        <v>224</v>
      </c>
      <c r="D336" s="10"/>
      <c r="E336" s="202">
        <v>45606</v>
      </c>
      <c r="F336" s="23">
        <v>46.049156000000004</v>
      </c>
      <c r="G336" s="556" t="s">
        <v>196</v>
      </c>
      <c r="H336" s="556"/>
      <c r="I336" s="556"/>
      <c r="J336" s="556"/>
      <c r="K336" s="202">
        <v>45622</v>
      </c>
      <c r="L336" s="203" t="s">
        <v>420</v>
      </c>
      <c r="M336" s="10"/>
      <c r="N336" s="557"/>
      <c r="O336" s="557"/>
      <c r="P336" s="557"/>
    </row>
    <row r="337" spans="1:16">
      <c r="A337" s="10">
        <v>19</v>
      </c>
      <c r="B337" s="27" t="s">
        <v>459</v>
      </c>
      <c r="C337" s="447" t="s">
        <v>224</v>
      </c>
      <c r="D337" s="10"/>
      <c r="E337" s="202">
        <v>45610</v>
      </c>
      <c r="F337" s="23">
        <v>46.049156000000004</v>
      </c>
      <c r="G337" s="556" t="s">
        <v>196</v>
      </c>
      <c r="H337" s="556"/>
      <c r="I337" s="556"/>
      <c r="J337" s="556"/>
      <c r="K337" s="202">
        <v>45621</v>
      </c>
      <c r="L337" s="203" t="s">
        <v>667</v>
      </c>
      <c r="M337" s="10"/>
      <c r="N337" s="557"/>
      <c r="O337" s="557"/>
      <c r="P337" s="557"/>
    </row>
    <row r="338" spans="1:16">
      <c r="A338" s="10">
        <v>20</v>
      </c>
      <c r="B338" s="27" t="s">
        <v>460</v>
      </c>
      <c r="C338" s="447" t="s">
        <v>224</v>
      </c>
      <c r="D338" s="10"/>
      <c r="E338" s="202">
        <v>45606</v>
      </c>
      <c r="F338" s="23">
        <v>46.049156000000004</v>
      </c>
      <c r="G338" s="556" t="s">
        <v>196</v>
      </c>
      <c r="H338" s="556"/>
      <c r="I338" s="556"/>
      <c r="J338" s="556"/>
      <c r="K338" s="202">
        <v>45621</v>
      </c>
      <c r="L338" s="203" t="s">
        <v>665</v>
      </c>
      <c r="M338" s="10"/>
      <c r="N338" s="557"/>
      <c r="O338" s="557"/>
      <c r="P338" s="557"/>
    </row>
    <row r="339" spans="1:16">
      <c r="A339" s="10">
        <v>21</v>
      </c>
      <c r="B339" s="27" t="s">
        <v>461</v>
      </c>
      <c r="C339" s="447" t="s">
        <v>224</v>
      </c>
      <c r="D339" s="10"/>
      <c r="E339" s="202">
        <v>45618</v>
      </c>
      <c r="F339" s="23">
        <v>46.049156000000004</v>
      </c>
      <c r="G339" s="556" t="s">
        <v>196</v>
      </c>
      <c r="H339" s="556"/>
      <c r="I339" s="556"/>
      <c r="J339" s="556"/>
      <c r="K339" s="202">
        <v>45624</v>
      </c>
      <c r="L339" s="203" t="s">
        <v>664</v>
      </c>
      <c r="M339" s="10"/>
      <c r="N339" s="561"/>
      <c r="O339" s="561"/>
      <c r="P339" s="561"/>
    </row>
    <row r="340" spans="1:16">
      <c r="A340" s="10">
        <v>22</v>
      </c>
      <c r="B340" s="27" t="s">
        <v>102</v>
      </c>
      <c r="C340" s="447" t="s">
        <v>195</v>
      </c>
      <c r="D340" s="10"/>
      <c r="E340" s="202">
        <v>45606</v>
      </c>
      <c r="F340" s="23">
        <v>43.775756000000008</v>
      </c>
      <c r="G340" s="556" t="s">
        <v>196</v>
      </c>
      <c r="H340" s="556"/>
      <c r="I340" s="556"/>
      <c r="J340" s="556"/>
      <c r="K340" s="202">
        <v>45625</v>
      </c>
      <c r="L340" s="203" t="s">
        <v>668</v>
      </c>
      <c r="M340" s="10"/>
      <c r="N340" s="562"/>
      <c r="O340" s="562"/>
      <c r="P340" s="562"/>
    </row>
    <row r="341" spans="1:16">
      <c r="A341" s="10">
        <v>23</v>
      </c>
      <c r="B341" s="27" t="s">
        <v>462</v>
      </c>
      <c r="C341" s="447" t="s">
        <v>224</v>
      </c>
      <c r="D341" s="10"/>
      <c r="E341" s="202">
        <v>45622</v>
      </c>
      <c r="F341" s="23">
        <v>46.049156000000004</v>
      </c>
      <c r="G341" s="556" t="s">
        <v>196</v>
      </c>
      <c r="H341" s="556"/>
      <c r="I341" s="556"/>
      <c r="J341" s="556"/>
      <c r="K341" s="202">
        <v>45629</v>
      </c>
      <c r="L341" s="203" t="s">
        <v>666</v>
      </c>
      <c r="M341" s="10"/>
      <c r="N341" s="557"/>
      <c r="O341" s="557"/>
      <c r="P341" s="557"/>
    </row>
    <row r="342" spans="1:16">
      <c r="A342" s="10">
        <v>24</v>
      </c>
      <c r="B342" s="27" t="s">
        <v>463</v>
      </c>
      <c r="C342" s="447" t="s">
        <v>195</v>
      </c>
      <c r="D342" s="10"/>
      <c r="E342" s="202">
        <v>45624</v>
      </c>
      <c r="F342" s="23">
        <v>43.775756000000008</v>
      </c>
      <c r="G342" s="556" t="s">
        <v>196</v>
      </c>
      <c r="H342" s="556"/>
      <c r="I342" s="556"/>
      <c r="J342" s="556"/>
      <c r="K342" s="202">
        <v>45631</v>
      </c>
      <c r="L342" s="203" t="s">
        <v>420</v>
      </c>
      <c r="M342" s="10"/>
      <c r="N342" s="557"/>
      <c r="O342" s="557"/>
      <c r="P342" s="557"/>
    </row>
    <row r="343" spans="1:16">
      <c r="A343" s="10">
        <v>25</v>
      </c>
      <c r="B343" s="27" t="s">
        <v>464</v>
      </c>
      <c r="C343" s="447" t="s">
        <v>195</v>
      </c>
      <c r="D343" s="10"/>
      <c r="E343" s="202">
        <v>45625</v>
      </c>
      <c r="F343" s="23">
        <v>43.775756000000008</v>
      </c>
      <c r="G343" s="556" t="s">
        <v>196</v>
      </c>
      <c r="H343" s="556"/>
      <c r="I343" s="556"/>
      <c r="J343" s="556"/>
      <c r="K343" s="202">
        <v>45631</v>
      </c>
      <c r="L343" s="203" t="s">
        <v>664</v>
      </c>
      <c r="M343" s="10"/>
      <c r="N343" s="561"/>
      <c r="O343" s="561"/>
      <c r="P343" s="561"/>
    </row>
    <row r="344" spans="1:16">
      <c r="A344" s="10">
        <v>26</v>
      </c>
      <c r="B344" s="27" t="s">
        <v>465</v>
      </c>
      <c r="C344" s="447" t="s">
        <v>224</v>
      </c>
      <c r="D344" s="10"/>
      <c r="E344" s="202">
        <v>45624</v>
      </c>
      <c r="F344" s="23">
        <v>46.049156000000004</v>
      </c>
      <c r="G344" s="556" t="s">
        <v>196</v>
      </c>
      <c r="H344" s="556"/>
      <c r="I344" s="556"/>
      <c r="J344" s="556"/>
      <c r="K344" s="202">
        <v>45631</v>
      </c>
      <c r="L344" s="203" t="s">
        <v>667</v>
      </c>
      <c r="M344" s="10"/>
      <c r="N344" s="561"/>
      <c r="O344" s="561"/>
      <c r="P344" s="561"/>
    </row>
    <row r="345" spans="1:16">
      <c r="A345" s="10">
        <v>27</v>
      </c>
      <c r="B345" s="27" t="s">
        <v>466</v>
      </c>
      <c r="C345" s="447" t="s">
        <v>195</v>
      </c>
      <c r="D345" s="10"/>
      <c r="E345" s="202">
        <v>45625</v>
      </c>
      <c r="F345" s="23">
        <v>43.775756000000008</v>
      </c>
      <c r="G345" s="556" t="s">
        <v>196</v>
      </c>
      <c r="H345" s="556"/>
      <c r="I345" s="556"/>
      <c r="J345" s="556"/>
      <c r="K345" s="202">
        <v>45632</v>
      </c>
      <c r="L345" s="203" t="s">
        <v>665</v>
      </c>
      <c r="M345" s="10"/>
      <c r="N345" s="561"/>
      <c r="O345" s="561"/>
      <c r="P345" s="561"/>
    </row>
    <row r="346" spans="1:16">
      <c r="A346" s="10">
        <v>28</v>
      </c>
      <c r="B346" s="27" t="s">
        <v>467</v>
      </c>
      <c r="C346" s="447" t="s">
        <v>195</v>
      </c>
      <c r="D346" s="10"/>
      <c r="E346" s="202">
        <v>45627</v>
      </c>
      <c r="F346" s="23">
        <v>43.775756000000008</v>
      </c>
      <c r="G346" s="556" t="s">
        <v>196</v>
      </c>
      <c r="H346" s="556"/>
      <c r="I346" s="556"/>
      <c r="J346" s="556"/>
      <c r="K346" s="202">
        <v>45635</v>
      </c>
      <c r="L346" s="203" t="s">
        <v>666</v>
      </c>
      <c r="M346" s="10"/>
      <c r="N346" s="561"/>
      <c r="O346" s="561"/>
      <c r="P346" s="561"/>
    </row>
    <row r="347" spans="1:16">
      <c r="A347" s="10">
        <v>29</v>
      </c>
      <c r="B347" s="27" t="s">
        <v>103</v>
      </c>
      <c r="C347" s="447" t="s">
        <v>224</v>
      </c>
      <c r="D347" s="10"/>
      <c r="E347" s="202">
        <v>45626</v>
      </c>
      <c r="F347" s="23">
        <v>46.049156000000004</v>
      </c>
      <c r="G347" s="556" t="s">
        <v>196</v>
      </c>
      <c r="H347" s="556"/>
      <c r="I347" s="556"/>
      <c r="J347" s="556"/>
      <c r="K347" s="202">
        <v>45636</v>
      </c>
      <c r="L347" s="203" t="s">
        <v>668</v>
      </c>
      <c r="M347" s="10"/>
      <c r="N347" s="561"/>
      <c r="O347" s="561"/>
      <c r="P347" s="561"/>
    </row>
    <row r="348" spans="1:16">
      <c r="A348" s="10">
        <v>30</v>
      </c>
      <c r="B348" s="27" t="s">
        <v>468</v>
      </c>
      <c r="C348" s="447" t="s">
        <v>195</v>
      </c>
      <c r="D348" s="10"/>
      <c r="E348" s="202">
        <v>45632</v>
      </c>
      <c r="F348" s="23">
        <v>43.775756000000008</v>
      </c>
      <c r="G348" s="556" t="s">
        <v>196</v>
      </c>
      <c r="H348" s="556"/>
      <c r="I348" s="556"/>
      <c r="J348" s="556"/>
      <c r="K348" s="202">
        <v>45638</v>
      </c>
      <c r="L348" s="203" t="s">
        <v>664</v>
      </c>
      <c r="M348" s="10"/>
      <c r="N348" s="561"/>
      <c r="O348" s="561"/>
      <c r="P348" s="561"/>
    </row>
    <row r="349" spans="1:16">
      <c r="A349" s="10">
        <v>31</v>
      </c>
      <c r="B349" s="27" t="s">
        <v>469</v>
      </c>
      <c r="C349" s="447" t="s">
        <v>195</v>
      </c>
      <c r="D349" s="10"/>
      <c r="E349" s="202">
        <v>45632</v>
      </c>
      <c r="F349" s="23">
        <v>43.775756000000008</v>
      </c>
      <c r="G349" s="556" t="s">
        <v>196</v>
      </c>
      <c r="H349" s="556"/>
      <c r="I349" s="556"/>
      <c r="J349" s="556"/>
      <c r="K349" s="202">
        <v>45638</v>
      </c>
      <c r="L349" s="203" t="s">
        <v>667</v>
      </c>
      <c r="M349" s="10"/>
      <c r="N349" s="561"/>
      <c r="O349" s="561"/>
      <c r="P349" s="561"/>
    </row>
    <row r="350" spans="1:16">
      <c r="A350" s="10">
        <v>32</v>
      </c>
      <c r="B350" s="27" t="s">
        <v>470</v>
      </c>
      <c r="C350" s="447" t="s">
        <v>195</v>
      </c>
      <c r="D350" s="10"/>
      <c r="E350" s="202">
        <v>45632</v>
      </c>
      <c r="F350" s="23">
        <v>43.775756000000008</v>
      </c>
      <c r="G350" s="556" t="s">
        <v>196</v>
      </c>
      <c r="H350" s="556"/>
      <c r="I350" s="556"/>
      <c r="J350" s="556"/>
      <c r="K350" s="202">
        <v>45639</v>
      </c>
      <c r="L350" s="203" t="s">
        <v>420</v>
      </c>
      <c r="M350" s="10"/>
      <c r="N350" s="561"/>
      <c r="O350" s="561"/>
      <c r="P350" s="561"/>
    </row>
    <row r="351" spans="1:16">
      <c r="A351" s="10">
        <v>33</v>
      </c>
      <c r="B351" s="27" t="s">
        <v>471</v>
      </c>
      <c r="C351" s="447" t="s">
        <v>224</v>
      </c>
      <c r="D351" s="10"/>
      <c r="E351" s="202">
        <v>45636</v>
      </c>
      <c r="F351" s="23">
        <v>46.049156000000004</v>
      </c>
      <c r="G351" s="556" t="s">
        <v>196</v>
      </c>
      <c r="H351" s="556"/>
      <c r="I351" s="556"/>
      <c r="J351" s="556"/>
      <c r="K351" s="202">
        <v>45642</v>
      </c>
      <c r="L351" s="203" t="s">
        <v>666</v>
      </c>
      <c r="M351" s="10"/>
      <c r="N351" s="561"/>
      <c r="O351" s="561"/>
      <c r="P351" s="561"/>
    </row>
    <row r="352" spans="1:16">
      <c r="A352" s="10">
        <v>34</v>
      </c>
      <c r="B352" s="27" t="s">
        <v>472</v>
      </c>
      <c r="C352" s="447" t="s">
        <v>225</v>
      </c>
      <c r="D352" s="10"/>
      <c r="E352" s="202">
        <v>45638</v>
      </c>
      <c r="F352" s="23">
        <v>42.374236000000003</v>
      </c>
      <c r="G352" s="556" t="s">
        <v>196</v>
      </c>
      <c r="H352" s="556"/>
      <c r="I352" s="556"/>
      <c r="J352" s="556"/>
      <c r="K352" s="202">
        <v>45642</v>
      </c>
      <c r="L352" s="203" t="s">
        <v>667</v>
      </c>
      <c r="M352" s="10"/>
      <c r="N352" s="561"/>
      <c r="O352" s="561"/>
      <c r="P352" s="561"/>
    </row>
    <row r="353" spans="1:16">
      <c r="A353" s="10">
        <v>35</v>
      </c>
      <c r="B353" s="27" t="s">
        <v>473</v>
      </c>
      <c r="C353" s="447" t="s">
        <v>195</v>
      </c>
      <c r="D353" s="10"/>
      <c r="E353" s="202">
        <v>45638</v>
      </c>
      <c r="F353" s="23">
        <v>43.775756000000008</v>
      </c>
      <c r="G353" s="556" t="s">
        <v>196</v>
      </c>
      <c r="H353" s="556"/>
      <c r="I353" s="556"/>
      <c r="J353" s="556"/>
      <c r="K353" s="202">
        <v>45643</v>
      </c>
      <c r="L353" s="203" t="s">
        <v>664</v>
      </c>
      <c r="M353" s="10"/>
      <c r="N353" s="561"/>
      <c r="O353" s="561"/>
      <c r="P353" s="561"/>
    </row>
    <row r="354" spans="1:16">
      <c r="A354" s="10">
        <v>36</v>
      </c>
      <c r="B354" s="27" t="s">
        <v>331</v>
      </c>
      <c r="C354" s="447" t="s">
        <v>224</v>
      </c>
      <c r="D354" s="10"/>
      <c r="E354" s="202">
        <v>45632</v>
      </c>
      <c r="F354" s="23">
        <v>46.049156000000004</v>
      </c>
      <c r="G354" s="556" t="s">
        <v>196</v>
      </c>
      <c r="H354" s="556"/>
      <c r="I354" s="556"/>
      <c r="J354" s="556"/>
      <c r="K354" s="202">
        <v>45645</v>
      </c>
      <c r="L354" s="203" t="s">
        <v>665</v>
      </c>
      <c r="M354" s="10"/>
      <c r="N354" s="561"/>
      <c r="O354" s="561"/>
      <c r="P354" s="561"/>
    </row>
    <row r="355" spans="1:16">
      <c r="A355" s="10">
        <v>37</v>
      </c>
      <c r="B355" s="27" t="s">
        <v>111</v>
      </c>
      <c r="C355" s="447" t="s">
        <v>225</v>
      </c>
      <c r="D355" s="10"/>
      <c r="E355" s="202">
        <v>45636</v>
      </c>
      <c r="F355" s="23">
        <v>42.374236000000003</v>
      </c>
      <c r="G355" s="556" t="s">
        <v>196</v>
      </c>
      <c r="H355" s="556"/>
      <c r="I355" s="556"/>
      <c r="J355" s="556"/>
      <c r="K355" s="202">
        <v>45646</v>
      </c>
      <c r="L355" s="203" t="s">
        <v>668</v>
      </c>
      <c r="M355" s="10"/>
      <c r="N355" s="561"/>
      <c r="O355" s="561"/>
      <c r="P355" s="561"/>
    </row>
    <row r="356" spans="1:16">
      <c r="A356" s="10">
        <v>38</v>
      </c>
      <c r="B356" s="27" t="s">
        <v>474</v>
      </c>
      <c r="C356" s="447" t="s">
        <v>195</v>
      </c>
      <c r="D356" s="10"/>
      <c r="E356" s="202">
        <v>45639</v>
      </c>
      <c r="F356" s="23">
        <v>43.775756000000008</v>
      </c>
      <c r="G356" s="556" t="s">
        <v>196</v>
      </c>
      <c r="H356" s="556"/>
      <c r="I356" s="556"/>
      <c r="J356" s="556"/>
      <c r="K356" s="202">
        <v>45647</v>
      </c>
      <c r="L356" s="203" t="s">
        <v>420</v>
      </c>
      <c r="M356" s="10"/>
      <c r="N356" s="561"/>
      <c r="O356" s="561"/>
      <c r="P356" s="561"/>
    </row>
    <row r="357" spans="1:16">
      <c r="A357" s="10">
        <v>39</v>
      </c>
      <c r="B357" s="27" t="s">
        <v>475</v>
      </c>
      <c r="C357" s="447" t="s">
        <v>195</v>
      </c>
      <c r="D357" s="10"/>
      <c r="E357" s="202">
        <v>45643</v>
      </c>
      <c r="F357" s="23">
        <v>43.775756000000008</v>
      </c>
      <c r="G357" s="556" t="s">
        <v>196</v>
      </c>
      <c r="H357" s="556"/>
      <c r="I357" s="556"/>
      <c r="J357" s="556"/>
      <c r="K357" s="202">
        <v>45648</v>
      </c>
      <c r="L357" s="203" t="s">
        <v>667</v>
      </c>
      <c r="M357" s="10"/>
      <c r="N357" s="561"/>
      <c r="O357" s="561"/>
      <c r="P357" s="561"/>
    </row>
    <row r="358" spans="1:16" ht="18.5">
      <c r="A358" s="10">
        <v>40</v>
      </c>
      <c r="B358" s="27" t="s">
        <v>476</v>
      </c>
      <c r="C358" s="447" t="s">
        <v>195</v>
      </c>
      <c r="D358" s="10"/>
      <c r="E358" s="202">
        <v>45644</v>
      </c>
      <c r="F358" s="23">
        <v>43.775756000000008</v>
      </c>
      <c r="G358" s="556" t="s">
        <v>196</v>
      </c>
      <c r="H358" s="556"/>
      <c r="I358" s="556"/>
      <c r="J358" s="556"/>
      <c r="K358" s="202">
        <v>45649</v>
      </c>
      <c r="L358" s="204" t="s">
        <v>664</v>
      </c>
      <c r="M358" s="10"/>
      <c r="N358" s="563"/>
      <c r="O358" s="563"/>
      <c r="P358" s="563"/>
    </row>
    <row r="359" spans="1:16" ht="28.5">
      <c r="A359" s="10">
        <v>41</v>
      </c>
      <c r="B359" s="27" t="s">
        <v>477</v>
      </c>
      <c r="C359" s="447" t="s">
        <v>224</v>
      </c>
      <c r="D359" s="10"/>
      <c r="E359" s="202">
        <v>45644</v>
      </c>
      <c r="F359" s="23">
        <v>46.049156000000004</v>
      </c>
      <c r="G359" s="556" t="s">
        <v>196</v>
      </c>
      <c r="H359" s="556"/>
      <c r="I359" s="556"/>
      <c r="J359" s="556"/>
      <c r="K359" s="202">
        <v>45649</v>
      </c>
      <c r="L359" s="203" t="s">
        <v>666</v>
      </c>
      <c r="M359" s="10"/>
      <c r="N359" s="564"/>
      <c r="O359" s="564"/>
      <c r="P359" s="564"/>
    </row>
    <row r="360" spans="1:16" ht="28.5">
      <c r="A360" s="10">
        <v>42</v>
      </c>
      <c r="B360" s="27" t="s">
        <v>5</v>
      </c>
      <c r="C360" s="447" t="s">
        <v>224</v>
      </c>
      <c r="D360" s="10"/>
      <c r="E360" s="202">
        <v>45647</v>
      </c>
      <c r="F360" s="23">
        <v>46.049156000000004</v>
      </c>
      <c r="G360" s="556" t="s">
        <v>196</v>
      </c>
      <c r="H360" s="556"/>
      <c r="I360" s="556"/>
      <c r="J360" s="556"/>
      <c r="K360" s="202">
        <v>45653</v>
      </c>
      <c r="L360" s="203" t="s">
        <v>668</v>
      </c>
      <c r="M360" s="10"/>
      <c r="N360" s="564"/>
      <c r="O360" s="564"/>
      <c r="P360" s="564"/>
    </row>
    <row r="361" spans="1:16" ht="28.5">
      <c r="A361" s="10">
        <v>43</v>
      </c>
      <c r="B361" s="27" t="s">
        <v>478</v>
      </c>
      <c r="C361" s="447" t="s">
        <v>225</v>
      </c>
      <c r="D361" s="10"/>
      <c r="E361" s="202">
        <v>45648</v>
      </c>
      <c r="F361" s="23">
        <v>42.374236000000003</v>
      </c>
      <c r="G361" s="556" t="s">
        <v>196</v>
      </c>
      <c r="H361" s="556"/>
      <c r="I361" s="556"/>
      <c r="J361" s="556"/>
      <c r="K361" s="202">
        <v>45653</v>
      </c>
      <c r="L361" s="203" t="s">
        <v>420</v>
      </c>
      <c r="M361" s="10"/>
      <c r="N361" s="564"/>
      <c r="O361" s="564"/>
      <c r="P361" s="564"/>
    </row>
    <row r="362" spans="1:16" ht="21">
      <c r="A362" s="10">
        <v>44</v>
      </c>
      <c r="B362" s="27" t="s">
        <v>479</v>
      </c>
      <c r="C362" s="447" t="s">
        <v>224</v>
      </c>
      <c r="D362" s="10"/>
      <c r="E362" s="202">
        <v>45650</v>
      </c>
      <c r="F362" s="23">
        <v>46.049156000000004</v>
      </c>
      <c r="G362" s="556" t="s">
        <v>196</v>
      </c>
      <c r="H362" s="556"/>
      <c r="I362" s="556"/>
      <c r="J362" s="556"/>
      <c r="K362" s="202">
        <v>45653</v>
      </c>
      <c r="L362" s="203" t="s">
        <v>667</v>
      </c>
      <c r="M362" s="10"/>
      <c r="N362" s="565"/>
      <c r="O362" s="565"/>
      <c r="P362" s="565"/>
    </row>
    <row r="363" spans="1:16" ht="21">
      <c r="A363" s="10">
        <v>45</v>
      </c>
      <c r="B363" s="27" t="s">
        <v>480</v>
      </c>
      <c r="C363" s="447" t="s">
        <v>195</v>
      </c>
      <c r="D363" s="10"/>
      <c r="E363" s="202">
        <v>45650</v>
      </c>
      <c r="F363" s="23">
        <v>43.775756000000008</v>
      </c>
      <c r="G363" s="556" t="s">
        <v>196</v>
      </c>
      <c r="H363" s="556"/>
      <c r="I363" s="556"/>
      <c r="J363" s="556"/>
      <c r="K363" s="202">
        <v>45656</v>
      </c>
      <c r="L363" s="203" t="s">
        <v>666</v>
      </c>
      <c r="M363" s="10"/>
      <c r="N363" s="565"/>
      <c r="O363" s="565"/>
      <c r="P363" s="565"/>
    </row>
    <row r="364" spans="1:16" ht="21">
      <c r="A364" s="10">
        <v>46</v>
      </c>
      <c r="B364" s="27" t="s">
        <v>481</v>
      </c>
      <c r="C364" s="447" t="s">
        <v>224</v>
      </c>
      <c r="D364" s="10"/>
      <c r="E364" s="202">
        <v>45646</v>
      </c>
      <c r="F364" s="23">
        <v>46.049156000000004</v>
      </c>
      <c r="G364" s="556" t="s">
        <v>196</v>
      </c>
      <c r="H364" s="556"/>
      <c r="I364" s="556"/>
      <c r="J364" s="556"/>
      <c r="K364" s="202">
        <v>45657</v>
      </c>
      <c r="L364" s="203" t="s">
        <v>665</v>
      </c>
      <c r="M364" s="10"/>
      <c r="N364" s="565"/>
      <c r="O364" s="565"/>
      <c r="P364" s="565"/>
    </row>
    <row r="365" spans="1:16" ht="21">
      <c r="A365" s="10">
        <v>47</v>
      </c>
      <c r="B365" s="27" t="s">
        <v>482</v>
      </c>
      <c r="C365" s="447" t="s">
        <v>225</v>
      </c>
      <c r="D365" s="10"/>
      <c r="E365" s="202">
        <v>45650</v>
      </c>
      <c r="F365" s="23">
        <v>42.374236000000003</v>
      </c>
      <c r="G365" s="556" t="s">
        <v>196</v>
      </c>
      <c r="H365" s="556"/>
      <c r="I365" s="556"/>
      <c r="J365" s="556"/>
      <c r="K365" s="202">
        <v>45657</v>
      </c>
      <c r="L365" s="203" t="s">
        <v>664</v>
      </c>
      <c r="M365" s="10"/>
      <c r="N365" s="565"/>
      <c r="O365" s="565"/>
      <c r="P365" s="565"/>
    </row>
    <row r="366" spans="1:16" ht="21">
      <c r="A366" s="10">
        <v>48</v>
      </c>
      <c r="B366" s="27" t="s">
        <v>483</v>
      </c>
      <c r="C366" s="447" t="s">
        <v>224</v>
      </c>
      <c r="D366" s="10"/>
      <c r="E366" s="202">
        <v>45650</v>
      </c>
      <c r="F366" s="23">
        <v>46.049156000000004</v>
      </c>
      <c r="G366" s="556" t="s">
        <v>196</v>
      </c>
      <c r="H366" s="556"/>
      <c r="I366" s="556"/>
      <c r="J366" s="556"/>
      <c r="K366" s="202">
        <v>45660</v>
      </c>
      <c r="L366" s="203" t="s">
        <v>669</v>
      </c>
      <c r="M366" s="10"/>
      <c r="N366" s="565"/>
      <c r="O366" s="565"/>
      <c r="P366" s="565"/>
    </row>
    <row r="367" spans="1:16" ht="26">
      <c r="A367" s="10">
        <v>49</v>
      </c>
      <c r="B367" s="27" t="s">
        <v>484</v>
      </c>
      <c r="C367" s="447" t="s">
        <v>224</v>
      </c>
      <c r="D367" s="10"/>
      <c r="E367" s="202">
        <v>45654</v>
      </c>
      <c r="F367" s="23">
        <v>46.049156000000004</v>
      </c>
      <c r="G367" s="556" t="s">
        <v>196</v>
      </c>
      <c r="H367" s="556"/>
      <c r="I367" s="556"/>
      <c r="J367" s="556"/>
      <c r="K367" s="202">
        <v>45660</v>
      </c>
      <c r="L367" s="203" t="s">
        <v>667</v>
      </c>
      <c r="M367" s="10"/>
      <c r="N367" s="566"/>
      <c r="O367" s="566"/>
      <c r="P367" s="566"/>
    </row>
    <row r="368" spans="1:16" ht="26">
      <c r="A368" s="10">
        <v>50</v>
      </c>
      <c r="B368" s="27" t="s">
        <v>6</v>
      </c>
      <c r="C368" s="447" t="s">
        <v>195</v>
      </c>
      <c r="D368" s="10"/>
      <c r="E368" s="202">
        <v>45654</v>
      </c>
      <c r="F368" s="23">
        <v>43.775756000000008</v>
      </c>
      <c r="G368" s="556" t="s">
        <v>196</v>
      </c>
      <c r="H368" s="556"/>
      <c r="I368" s="556"/>
      <c r="J368" s="556"/>
      <c r="K368" s="202">
        <v>45661</v>
      </c>
      <c r="L368" s="203" t="s">
        <v>668</v>
      </c>
      <c r="M368" s="10"/>
      <c r="N368" s="566"/>
      <c r="O368" s="566"/>
      <c r="P368" s="566"/>
    </row>
    <row r="369" spans="1:16" ht="26">
      <c r="A369" s="10">
        <v>51</v>
      </c>
      <c r="B369" s="27" t="s">
        <v>485</v>
      </c>
      <c r="C369" s="447" t="s">
        <v>224</v>
      </c>
      <c r="D369" s="10"/>
      <c r="E369" s="202">
        <v>45657</v>
      </c>
      <c r="F369" s="23">
        <v>46.049156000000004</v>
      </c>
      <c r="G369" s="556" t="s">
        <v>196</v>
      </c>
      <c r="H369" s="556"/>
      <c r="I369" s="556"/>
      <c r="J369" s="556"/>
      <c r="K369" s="202">
        <v>45664</v>
      </c>
      <c r="L369" s="203" t="s">
        <v>666</v>
      </c>
      <c r="M369" s="10"/>
      <c r="N369" s="566"/>
      <c r="O369" s="566"/>
      <c r="P369" s="566"/>
    </row>
    <row r="370" spans="1:16" ht="26">
      <c r="A370" s="10">
        <v>52</v>
      </c>
      <c r="B370" s="27" t="s">
        <v>486</v>
      </c>
      <c r="C370" s="447" t="s">
        <v>195</v>
      </c>
      <c r="D370" s="10"/>
      <c r="E370" s="202">
        <v>45654</v>
      </c>
      <c r="F370" s="23">
        <v>43.775756000000008</v>
      </c>
      <c r="G370" s="556" t="s">
        <v>196</v>
      </c>
      <c r="H370" s="556"/>
      <c r="I370" s="556"/>
      <c r="J370" s="556"/>
      <c r="K370" s="202">
        <v>45665</v>
      </c>
      <c r="L370" s="203" t="s">
        <v>420</v>
      </c>
      <c r="M370" s="10"/>
      <c r="N370" s="566"/>
      <c r="O370" s="566"/>
      <c r="P370" s="566"/>
    </row>
    <row r="371" spans="1:16" ht="26">
      <c r="A371" s="10">
        <v>53</v>
      </c>
      <c r="B371" s="27" t="s">
        <v>487</v>
      </c>
      <c r="C371" s="447" t="s">
        <v>224</v>
      </c>
      <c r="D371" s="10"/>
      <c r="E371" s="202">
        <v>45658</v>
      </c>
      <c r="F371" s="23">
        <v>46.049156000000004</v>
      </c>
      <c r="G371" s="556" t="s">
        <v>196</v>
      </c>
      <c r="H371" s="556"/>
      <c r="I371" s="556"/>
      <c r="J371" s="556"/>
      <c r="K371" s="202">
        <v>45667</v>
      </c>
      <c r="L371" s="203" t="s">
        <v>664</v>
      </c>
      <c r="M371" s="10"/>
      <c r="N371" s="566"/>
      <c r="O371" s="566"/>
      <c r="P371" s="566"/>
    </row>
    <row r="372" spans="1:16" ht="26">
      <c r="A372" s="10">
        <v>54</v>
      </c>
      <c r="B372" s="193" t="s">
        <v>488</v>
      </c>
      <c r="C372" s="447" t="s">
        <v>225</v>
      </c>
      <c r="D372" s="10"/>
      <c r="E372" s="202">
        <v>45661</v>
      </c>
      <c r="F372" s="23">
        <v>42.374236000000003</v>
      </c>
      <c r="G372" s="556" t="s">
        <v>196</v>
      </c>
      <c r="H372" s="556"/>
      <c r="I372" s="556"/>
      <c r="J372" s="556"/>
      <c r="K372" s="202">
        <v>45668</v>
      </c>
      <c r="L372" s="203" t="s">
        <v>669</v>
      </c>
      <c r="M372" s="10"/>
      <c r="N372" s="566"/>
      <c r="O372" s="566"/>
      <c r="P372" s="566"/>
    </row>
    <row r="373" spans="1:16" ht="26">
      <c r="A373" s="10">
        <v>55</v>
      </c>
      <c r="B373" s="193" t="s">
        <v>489</v>
      </c>
      <c r="C373" s="447" t="s">
        <v>224</v>
      </c>
      <c r="D373" s="10"/>
      <c r="E373" s="202">
        <v>45660</v>
      </c>
      <c r="F373" s="23">
        <v>46.049156000000004</v>
      </c>
      <c r="G373" s="556" t="s">
        <v>196</v>
      </c>
      <c r="H373" s="556"/>
      <c r="I373" s="556"/>
      <c r="J373" s="556"/>
      <c r="K373" s="202">
        <v>45668</v>
      </c>
      <c r="L373" s="203" t="s">
        <v>667</v>
      </c>
      <c r="M373" s="10"/>
      <c r="N373" s="566"/>
      <c r="O373" s="566"/>
      <c r="P373" s="566"/>
    </row>
    <row r="374" spans="1:16" ht="26">
      <c r="A374" s="10">
        <v>56</v>
      </c>
      <c r="B374" s="193" t="s">
        <v>490</v>
      </c>
      <c r="C374" s="447" t="s">
        <v>224</v>
      </c>
      <c r="D374" s="10"/>
      <c r="E374" s="202">
        <v>45665</v>
      </c>
      <c r="F374" s="23">
        <v>46.049156000000004</v>
      </c>
      <c r="G374" s="556" t="s">
        <v>196</v>
      </c>
      <c r="H374" s="556"/>
      <c r="I374" s="556"/>
      <c r="J374" s="556"/>
      <c r="K374" s="202">
        <v>45671</v>
      </c>
      <c r="L374" s="203" t="s">
        <v>666</v>
      </c>
      <c r="M374" s="10"/>
      <c r="N374" s="566"/>
      <c r="O374" s="566"/>
      <c r="P374" s="566"/>
    </row>
    <row r="375" spans="1:16" ht="26">
      <c r="A375" s="10">
        <v>57</v>
      </c>
      <c r="B375" s="193" t="s">
        <v>491</v>
      </c>
      <c r="C375" s="447" t="s">
        <v>224</v>
      </c>
      <c r="D375" s="10"/>
      <c r="E375" s="202">
        <v>45664</v>
      </c>
      <c r="F375" s="23">
        <v>46.049156000000004</v>
      </c>
      <c r="G375" s="556" t="s">
        <v>196</v>
      </c>
      <c r="H375" s="556"/>
      <c r="I375" s="556"/>
      <c r="J375" s="556"/>
      <c r="K375" s="202">
        <v>45672</v>
      </c>
      <c r="L375" s="203" t="s">
        <v>668</v>
      </c>
      <c r="M375" s="10"/>
      <c r="N375" s="566"/>
      <c r="O375" s="566"/>
      <c r="P375" s="566"/>
    </row>
    <row r="376" spans="1:16" ht="26">
      <c r="A376" s="10">
        <v>58</v>
      </c>
      <c r="B376" s="193" t="s">
        <v>99</v>
      </c>
      <c r="C376" s="447" t="s">
        <v>224</v>
      </c>
      <c r="D376" s="10"/>
      <c r="E376" s="202">
        <v>45664</v>
      </c>
      <c r="F376" s="23">
        <v>46.049156000000004</v>
      </c>
      <c r="G376" s="556" t="s">
        <v>196</v>
      </c>
      <c r="H376" s="556"/>
      <c r="I376" s="556"/>
      <c r="J376" s="556"/>
      <c r="K376" s="202">
        <v>45674</v>
      </c>
      <c r="L376" s="203" t="s">
        <v>665</v>
      </c>
      <c r="M376" s="10"/>
      <c r="N376" s="566"/>
      <c r="O376" s="566"/>
      <c r="P376" s="566"/>
    </row>
    <row r="377" spans="1:16" ht="26">
      <c r="A377" s="10">
        <v>59</v>
      </c>
      <c r="B377" s="193" t="s">
        <v>492</v>
      </c>
      <c r="C377" s="447" t="s">
        <v>224</v>
      </c>
      <c r="D377" s="10"/>
      <c r="E377" s="202">
        <v>45666</v>
      </c>
      <c r="F377" s="23">
        <v>46.049156000000004</v>
      </c>
      <c r="G377" s="556" t="s">
        <v>196</v>
      </c>
      <c r="H377" s="556"/>
      <c r="I377" s="556"/>
      <c r="J377" s="556"/>
      <c r="K377" s="202">
        <v>45674</v>
      </c>
      <c r="L377" s="203" t="s">
        <v>420</v>
      </c>
      <c r="M377" s="10"/>
      <c r="N377" s="566"/>
      <c r="O377" s="566"/>
      <c r="P377" s="566"/>
    </row>
    <row r="378" spans="1:16" ht="26">
      <c r="A378" s="10">
        <v>60</v>
      </c>
      <c r="B378" s="193" t="s">
        <v>493</v>
      </c>
      <c r="C378" s="447" t="s">
        <v>195</v>
      </c>
      <c r="D378" s="10"/>
      <c r="E378" s="202">
        <v>45667</v>
      </c>
      <c r="F378" s="23">
        <v>43.775756000000008</v>
      </c>
      <c r="G378" s="556" t="s">
        <v>196</v>
      </c>
      <c r="H378" s="556"/>
      <c r="I378" s="556"/>
      <c r="J378" s="556"/>
      <c r="K378" s="202">
        <v>45674</v>
      </c>
      <c r="L378" s="203" t="s">
        <v>664</v>
      </c>
      <c r="M378" s="10"/>
      <c r="N378" s="566"/>
      <c r="O378" s="566"/>
      <c r="P378" s="566"/>
    </row>
    <row r="379" spans="1:16" ht="26">
      <c r="A379" s="10">
        <v>61</v>
      </c>
      <c r="B379" s="193" t="s">
        <v>494</v>
      </c>
      <c r="C379" s="447" t="s">
        <v>195</v>
      </c>
      <c r="D379" s="10"/>
      <c r="E379" s="202">
        <v>45668</v>
      </c>
      <c r="F379" s="23">
        <v>43.775756000000008</v>
      </c>
      <c r="G379" s="556" t="s">
        <v>196</v>
      </c>
      <c r="H379" s="556"/>
      <c r="I379" s="556"/>
      <c r="J379" s="556"/>
      <c r="K379" s="202">
        <v>45676</v>
      </c>
      <c r="L379" s="203" t="s">
        <v>669</v>
      </c>
      <c r="M379" s="10"/>
      <c r="N379" s="566"/>
      <c r="O379" s="566"/>
      <c r="P379" s="566"/>
    </row>
    <row r="380" spans="1:16" ht="26">
      <c r="A380" s="10">
        <v>62</v>
      </c>
      <c r="B380" s="193" t="s">
        <v>495</v>
      </c>
      <c r="C380" s="447" t="s">
        <v>224</v>
      </c>
      <c r="D380" s="10"/>
      <c r="E380" s="202">
        <v>45669</v>
      </c>
      <c r="F380" s="23">
        <v>46.049156000000004</v>
      </c>
      <c r="G380" s="556" t="s">
        <v>196</v>
      </c>
      <c r="H380" s="556"/>
      <c r="I380" s="556"/>
      <c r="J380" s="556"/>
      <c r="K380" s="202">
        <v>45678</v>
      </c>
      <c r="L380" s="203" t="s">
        <v>667</v>
      </c>
      <c r="M380" s="10"/>
      <c r="N380" s="566"/>
      <c r="O380" s="566"/>
      <c r="P380" s="566"/>
    </row>
    <row r="381" spans="1:16" ht="26">
      <c r="A381" s="10">
        <v>63</v>
      </c>
      <c r="B381" s="193" t="s">
        <v>496</v>
      </c>
      <c r="C381" s="447" t="s">
        <v>195</v>
      </c>
      <c r="D381" s="10"/>
      <c r="E381" s="202">
        <v>45672</v>
      </c>
      <c r="F381" s="23">
        <v>43.775756000000008</v>
      </c>
      <c r="G381" s="556" t="s">
        <v>196</v>
      </c>
      <c r="H381" s="556"/>
      <c r="I381" s="556"/>
      <c r="J381" s="556"/>
      <c r="K381" s="202">
        <v>45679</v>
      </c>
      <c r="L381" s="203" t="s">
        <v>666</v>
      </c>
      <c r="M381" s="10"/>
      <c r="N381" s="566"/>
      <c r="O381" s="566"/>
      <c r="P381" s="566"/>
    </row>
    <row r="382" spans="1:16">
      <c r="A382" s="10">
        <v>64</v>
      </c>
      <c r="B382" s="193" t="s">
        <v>497</v>
      </c>
      <c r="C382" s="447" t="s">
        <v>195</v>
      </c>
      <c r="D382" s="10"/>
      <c r="E382" s="202">
        <v>45674</v>
      </c>
      <c r="F382" s="23">
        <v>43.775756000000008</v>
      </c>
      <c r="G382" s="556" t="s">
        <v>196</v>
      </c>
      <c r="H382" s="556"/>
      <c r="I382" s="556"/>
      <c r="J382" s="556"/>
      <c r="K382" s="202">
        <v>45680</v>
      </c>
      <c r="L382" s="203" t="s">
        <v>664</v>
      </c>
      <c r="M382" s="10"/>
      <c r="N382" s="567"/>
      <c r="O382" s="567"/>
      <c r="P382" s="567"/>
    </row>
    <row r="383" spans="1:16">
      <c r="A383" s="10">
        <v>65</v>
      </c>
      <c r="B383" s="193" t="s">
        <v>498</v>
      </c>
      <c r="C383" s="447" t="s">
        <v>195</v>
      </c>
      <c r="D383" s="10"/>
      <c r="E383" s="202">
        <v>45672</v>
      </c>
      <c r="F383" s="23">
        <v>43.775756000000008</v>
      </c>
      <c r="G383" s="556" t="s">
        <v>196</v>
      </c>
      <c r="H383" s="556"/>
      <c r="I383" s="556"/>
      <c r="J383" s="556"/>
      <c r="K383" s="202">
        <v>45681</v>
      </c>
      <c r="L383" s="203" t="s">
        <v>668</v>
      </c>
      <c r="M383" s="10"/>
      <c r="N383" s="567"/>
      <c r="O383" s="567"/>
      <c r="P383" s="567"/>
    </row>
    <row r="384" spans="1:16" ht="26">
      <c r="A384" s="10">
        <v>66</v>
      </c>
      <c r="B384" s="193" t="s">
        <v>499</v>
      </c>
      <c r="C384" s="447" t="s">
        <v>224</v>
      </c>
      <c r="D384" s="10"/>
      <c r="E384" s="202">
        <v>45677</v>
      </c>
      <c r="F384" s="23">
        <v>46.049156000000004</v>
      </c>
      <c r="G384" s="556" t="s">
        <v>196</v>
      </c>
      <c r="H384" s="556"/>
      <c r="I384" s="556"/>
      <c r="J384" s="556"/>
      <c r="K384" s="202">
        <v>45682</v>
      </c>
      <c r="L384" s="203" t="s">
        <v>669</v>
      </c>
      <c r="M384" s="10"/>
      <c r="N384" s="566"/>
      <c r="O384" s="566"/>
      <c r="P384" s="566"/>
    </row>
    <row r="385" spans="1:16" ht="26">
      <c r="A385" s="10">
        <v>67</v>
      </c>
      <c r="B385" s="193" t="s">
        <v>500</v>
      </c>
      <c r="C385" s="447" t="s">
        <v>224</v>
      </c>
      <c r="D385" s="10"/>
      <c r="E385" s="202">
        <v>45678</v>
      </c>
      <c r="F385" s="23">
        <v>46.049156000000004</v>
      </c>
      <c r="G385" s="556" t="s">
        <v>196</v>
      </c>
      <c r="H385" s="556"/>
      <c r="I385" s="556"/>
      <c r="J385" s="556"/>
      <c r="K385" s="202">
        <v>45682</v>
      </c>
      <c r="L385" s="203" t="s">
        <v>667</v>
      </c>
      <c r="M385" s="10"/>
      <c r="N385" s="566"/>
      <c r="O385" s="566"/>
      <c r="P385" s="566"/>
    </row>
    <row r="386" spans="1:16" ht="26">
      <c r="A386" s="10">
        <v>68</v>
      </c>
      <c r="B386" s="193" t="s">
        <v>501</v>
      </c>
      <c r="C386" s="447" t="s">
        <v>224</v>
      </c>
      <c r="D386" s="10"/>
      <c r="E386" s="202">
        <v>45673</v>
      </c>
      <c r="F386" s="23">
        <v>46.049156000000004</v>
      </c>
      <c r="G386" s="556" t="s">
        <v>196</v>
      </c>
      <c r="H386" s="556"/>
      <c r="I386" s="556"/>
      <c r="J386" s="556"/>
      <c r="K386" s="202">
        <v>45684</v>
      </c>
      <c r="L386" s="203" t="s">
        <v>420</v>
      </c>
      <c r="M386" s="10"/>
      <c r="N386" s="566"/>
      <c r="O386" s="566"/>
      <c r="P386" s="566"/>
    </row>
    <row r="387" spans="1:16" ht="26">
      <c r="A387" s="10">
        <v>69</v>
      </c>
      <c r="B387" s="193" t="s">
        <v>87</v>
      </c>
      <c r="C387" s="447" t="s">
        <v>224</v>
      </c>
      <c r="D387" s="10"/>
      <c r="E387" s="202">
        <v>45673</v>
      </c>
      <c r="F387" s="23">
        <v>46.049156000000004</v>
      </c>
      <c r="G387" s="556" t="s">
        <v>196</v>
      </c>
      <c r="H387" s="556"/>
      <c r="I387" s="556"/>
      <c r="J387" s="556"/>
      <c r="K387" s="202">
        <v>45685</v>
      </c>
      <c r="L387" s="203" t="s">
        <v>665</v>
      </c>
      <c r="M387" s="10"/>
      <c r="N387" s="566"/>
      <c r="O387" s="566"/>
      <c r="P387" s="566"/>
    </row>
    <row r="388" spans="1:16" ht="26">
      <c r="A388" s="10">
        <v>70</v>
      </c>
      <c r="B388" s="193" t="s">
        <v>502</v>
      </c>
      <c r="C388" s="447" t="s">
        <v>224</v>
      </c>
      <c r="D388" s="10"/>
      <c r="E388" s="202">
        <v>45681</v>
      </c>
      <c r="F388" s="23">
        <v>46.049156000000004</v>
      </c>
      <c r="G388" s="556" t="s">
        <v>196</v>
      </c>
      <c r="H388" s="556"/>
      <c r="I388" s="556"/>
      <c r="J388" s="556"/>
      <c r="K388" s="202">
        <v>45686</v>
      </c>
      <c r="L388" s="203" t="s">
        <v>664</v>
      </c>
      <c r="M388" s="10"/>
      <c r="N388" s="195"/>
      <c r="O388" s="195"/>
      <c r="P388" s="195"/>
    </row>
    <row r="389" spans="1:16" ht="26">
      <c r="A389" s="10">
        <v>71</v>
      </c>
      <c r="B389" s="193" t="s">
        <v>503</v>
      </c>
      <c r="C389" s="447" t="s">
        <v>195</v>
      </c>
      <c r="D389" s="10"/>
      <c r="E389" s="202">
        <v>45678</v>
      </c>
      <c r="F389" s="23">
        <v>43.775756000000008</v>
      </c>
      <c r="G389" s="556" t="s">
        <v>196</v>
      </c>
      <c r="H389" s="556"/>
      <c r="I389" s="556"/>
      <c r="J389" s="556"/>
      <c r="K389" s="202">
        <v>45687</v>
      </c>
      <c r="L389" s="203" t="s">
        <v>666</v>
      </c>
      <c r="M389" s="10"/>
      <c r="N389" s="195"/>
      <c r="O389" s="195"/>
      <c r="P389" s="195"/>
    </row>
    <row r="390" spans="1:16" ht="26">
      <c r="A390" s="10">
        <v>72</v>
      </c>
      <c r="B390" s="193" t="s">
        <v>19</v>
      </c>
      <c r="C390" s="447" t="s">
        <v>224</v>
      </c>
      <c r="D390" s="10"/>
      <c r="E390" s="202">
        <v>45682</v>
      </c>
      <c r="F390" s="23">
        <v>46.049156000000004</v>
      </c>
      <c r="G390" s="556" t="s">
        <v>196</v>
      </c>
      <c r="H390" s="556"/>
      <c r="I390" s="556"/>
      <c r="J390" s="556"/>
      <c r="K390" s="202">
        <v>45687</v>
      </c>
      <c r="L390" s="203" t="s">
        <v>668</v>
      </c>
      <c r="M390" s="10"/>
      <c r="N390" s="566"/>
      <c r="O390" s="566"/>
      <c r="P390" s="566"/>
    </row>
    <row r="391" spans="1:16" ht="26">
      <c r="A391" s="10">
        <v>73</v>
      </c>
      <c r="B391" s="193" t="s">
        <v>83</v>
      </c>
      <c r="C391" s="447" t="s">
        <v>224</v>
      </c>
      <c r="D391" s="10"/>
      <c r="E391" s="202">
        <v>45678</v>
      </c>
      <c r="F391" s="23">
        <v>46.049156000000004</v>
      </c>
      <c r="G391" s="556" t="s">
        <v>196</v>
      </c>
      <c r="H391" s="556"/>
      <c r="I391" s="556"/>
      <c r="J391" s="556"/>
      <c r="K391" s="202">
        <v>45688</v>
      </c>
      <c r="L391" s="203" t="s">
        <v>670</v>
      </c>
      <c r="M391" s="10"/>
      <c r="N391" s="566"/>
      <c r="O391" s="566"/>
      <c r="P391" s="566"/>
    </row>
    <row r="392" spans="1:16" ht="26">
      <c r="A392" s="10">
        <v>74</v>
      </c>
      <c r="B392" s="193" t="s">
        <v>504</v>
      </c>
      <c r="C392" s="447" t="s">
        <v>224</v>
      </c>
      <c r="D392" s="10"/>
      <c r="E392" s="202">
        <v>45682</v>
      </c>
      <c r="F392" s="23">
        <v>46.049156000000004</v>
      </c>
      <c r="G392" s="556" t="s">
        <v>196</v>
      </c>
      <c r="H392" s="556"/>
      <c r="I392" s="556"/>
      <c r="J392" s="556"/>
      <c r="K392" s="202">
        <v>45689</v>
      </c>
      <c r="L392" s="203" t="s">
        <v>667</v>
      </c>
      <c r="M392" s="10"/>
      <c r="N392" s="195"/>
      <c r="O392" s="195"/>
      <c r="P392" s="195"/>
    </row>
    <row r="393" spans="1:16" ht="26">
      <c r="A393" s="10">
        <v>75</v>
      </c>
      <c r="B393" s="193" t="s">
        <v>505</v>
      </c>
      <c r="C393" s="447" t="s">
        <v>195</v>
      </c>
      <c r="D393" s="10"/>
      <c r="E393" s="202">
        <v>45682</v>
      </c>
      <c r="F393" s="23">
        <v>43.775756000000008</v>
      </c>
      <c r="G393" s="556" t="s">
        <v>196</v>
      </c>
      <c r="H393" s="556"/>
      <c r="I393" s="556"/>
      <c r="J393" s="556"/>
      <c r="K393" s="202">
        <v>45690</v>
      </c>
      <c r="L393" s="203" t="s">
        <v>669</v>
      </c>
      <c r="M393" s="10"/>
      <c r="N393" s="195"/>
      <c r="O393" s="195"/>
      <c r="P393" s="195"/>
    </row>
    <row r="394" spans="1:16" ht="26">
      <c r="A394" s="10">
        <v>76</v>
      </c>
      <c r="B394" s="193" t="s">
        <v>506</v>
      </c>
      <c r="C394" s="447" t="s">
        <v>224</v>
      </c>
      <c r="D394" s="10"/>
      <c r="E394" s="202">
        <v>45687</v>
      </c>
      <c r="F394" s="23">
        <v>46.049156000000004</v>
      </c>
      <c r="G394" s="556" t="s">
        <v>196</v>
      </c>
      <c r="H394" s="556"/>
      <c r="I394" s="556"/>
      <c r="J394" s="556"/>
      <c r="K394" s="202">
        <v>45693</v>
      </c>
      <c r="L394" s="203" t="s">
        <v>664</v>
      </c>
      <c r="M394" s="10"/>
      <c r="N394" s="195"/>
      <c r="O394" s="195"/>
      <c r="P394" s="195"/>
    </row>
    <row r="395" spans="1:16" ht="26">
      <c r="A395" s="10">
        <v>77</v>
      </c>
      <c r="B395" s="193" t="s">
        <v>507</v>
      </c>
      <c r="C395" s="447" t="s">
        <v>508</v>
      </c>
      <c r="D395" s="10"/>
      <c r="E395" s="202">
        <v>45685</v>
      </c>
      <c r="F395" s="23">
        <v>64.481662</v>
      </c>
      <c r="G395" s="556" t="s">
        <v>196</v>
      </c>
      <c r="H395" s="556"/>
      <c r="I395" s="556"/>
      <c r="J395" s="556"/>
      <c r="K395" s="202">
        <v>45694</v>
      </c>
      <c r="L395" s="203" t="s">
        <v>420</v>
      </c>
      <c r="M395" s="10"/>
      <c r="N395" s="195"/>
      <c r="O395" s="195"/>
      <c r="P395" s="195"/>
    </row>
    <row r="396" spans="1:16">
      <c r="A396" s="10">
        <v>78</v>
      </c>
      <c r="B396" s="193" t="s">
        <v>509</v>
      </c>
      <c r="C396" s="447" t="s">
        <v>195</v>
      </c>
      <c r="D396" s="10"/>
      <c r="E396" s="202">
        <v>45690</v>
      </c>
      <c r="F396" s="23">
        <v>43.775756000000008</v>
      </c>
      <c r="G396" s="556" t="s">
        <v>196</v>
      </c>
      <c r="H396" s="556"/>
      <c r="I396" s="556"/>
      <c r="J396" s="556"/>
      <c r="K396" s="202">
        <v>45695</v>
      </c>
      <c r="L396" s="203" t="s">
        <v>668</v>
      </c>
      <c r="M396" s="10">
        <v>27</v>
      </c>
      <c r="N396" s="568"/>
      <c r="O396" s="569"/>
      <c r="P396" s="569"/>
    </row>
    <row r="397" spans="1:16">
      <c r="A397" s="10">
        <v>79</v>
      </c>
      <c r="B397" s="193" t="s">
        <v>510</v>
      </c>
      <c r="C397" s="447" t="s">
        <v>224</v>
      </c>
      <c r="D397" s="10"/>
      <c r="E397" s="202">
        <v>45690</v>
      </c>
      <c r="F397" s="23">
        <v>46.049156000000004</v>
      </c>
      <c r="G397" s="556" t="s">
        <v>196</v>
      </c>
      <c r="H397" s="556"/>
      <c r="I397" s="556"/>
      <c r="J397" s="556"/>
      <c r="K397" s="202">
        <v>45696</v>
      </c>
      <c r="L397" s="203" t="s">
        <v>667</v>
      </c>
      <c r="M397" s="10"/>
      <c r="N397" s="568"/>
      <c r="O397" s="569"/>
      <c r="P397" s="569"/>
    </row>
    <row r="398" spans="1:16" ht="26">
      <c r="A398" s="10">
        <v>80</v>
      </c>
      <c r="B398" s="193" t="s">
        <v>511</v>
      </c>
      <c r="C398" s="447" t="s">
        <v>224</v>
      </c>
      <c r="D398" s="10"/>
      <c r="E398" s="202">
        <v>45686</v>
      </c>
      <c r="F398" s="23">
        <v>46.049156000000004</v>
      </c>
      <c r="G398" s="556" t="s">
        <v>196</v>
      </c>
      <c r="H398" s="556"/>
      <c r="I398" s="556"/>
      <c r="J398" s="556"/>
      <c r="K398" s="202">
        <v>45697</v>
      </c>
      <c r="L398" s="203" t="s">
        <v>666</v>
      </c>
      <c r="M398" s="10"/>
      <c r="N398" s="195"/>
      <c r="O398" s="195"/>
      <c r="P398" s="195"/>
    </row>
    <row r="399" spans="1:16" ht="26">
      <c r="A399" s="10">
        <v>81</v>
      </c>
      <c r="B399" s="193" t="s">
        <v>512</v>
      </c>
      <c r="C399" s="447" t="s">
        <v>195</v>
      </c>
      <c r="D399" s="10"/>
      <c r="E399" s="202">
        <v>45691</v>
      </c>
      <c r="F399" s="23">
        <v>43.775756000000008</v>
      </c>
      <c r="G399" s="556" t="s">
        <v>196</v>
      </c>
      <c r="H399" s="556"/>
      <c r="I399" s="556"/>
      <c r="J399" s="556"/>
      <c r="K399" s="202">
        <v>45698</v>
      </c>
      <c r="L399" s="203" t="s">
        <v>669</v>
      </c>
      <c r="M399" s="10">
        <v>23</v>
      </c>
      <c r="N399" s="195"/>
      <c r="O399" s="195"/>
      <c r="P399" s="195"/>
    </row>
    <row r="400" spans="1:16" ht="26">
      <c r="A400" s="10">
        <v>82</v>
      </c>
      <c r="B400" s="193" t="s">
        <v>282</v>
      </c>
      <c r="C400" s="447" t="s">
        <v>513</v>
      </c>
      <c r="D400" s="10"/>
      <c r="E400" s="202">
        <v>45686</v>
      </c>
      <c r="F400" s="23">
        <v>73.425832</v>
      </c>
      <c r="G400" s="556" t="s">
        <v>196</v>
      </c>
      <c r="H400" s="556"/>
      <c r="I400" s="556"/>
      <c r="J400" s="556"/>
      <c r="K400" s="202">
        <v>45699</v>
      </c>
      <c r="L400" s="203" t="s">
        <v>665</v>
      </c>
      <c r="M400" s="10"/>
      <c r="N400" s="195"/>
      <c r="O400" s="195"/>
      <c r="P400" s="195"/>
    </row>
    <row r="401" spans="1:16" ht="26">
      <c r="A401" s="10">
        <v>83</v>
      </c>
      <c r="B401" s="193" t="s">
        <v>84</v>
      </c>
      <c r="C401" s="447" t="s">
        <v>224</v>
      </c>
      <c r="D401" s="10"/>
      <c r="E401" s="202">
        <v>45690</v>
      </c>
      <c r="F401" s="23">
        <v>46.049156000000004</v>
      </c>
      <c r="G401" s="556" t="s">
        <v>196</v>
      </c>
      <c r="H401" s="556"/>
      <c r="I401" s="556"/>
      <c r="J401" s="556"/>
      <c r="K401" s="202">
        <v>45700</v>
      </c>
      <c r="L401" s="203" t="s">
        <v>670</v>
      </c>
      <c r="M401" s="10"/>
      <c r="N401" s="195"/>
      <c r="O401" s="195"/>
      <c r="P401" s="195"/>
    </row>
    <row r="402" spans="1:16">
      <c r="A402" s="10">
        <v>84</v>
      </c>
      <c r="B402" s="193" t="s">
        <v>514</v>
      </c>
      <c r="C402" s="447" t="s">
        <v>508</v>
      </c>
      <c r="D402" s="10"/>
      <c r="E402" s="202">
        <v>45694</v>
      </c>
      <c r="F402" s="23">
        <v>64.481662</v>
      </c>
      <c r="G402" s="556" t="s">
        <v>196</v>
      </c>
      <c r="H402" s="556"/>
      <c r="I402" s="556"/>
      <c r="J402" s="556"/>
      <c r="K402" s="202">
        <v>45701</v>
      </c>
      <c r="L402" s="203" t="s">
        <v>664</v>
      </c>
      <c r="M402" s="10"/>
      <c r="N402" s="568"/>
      <c r="O402" s="569"/>
      <c r="P402" s="569"/>
    </row>
    <row r="403" spans="1:16">
      <c r="A403" s="10">
        <v>85</v>
      </c>
      <c r="B403" s="193" t="s">
        <v>515</v>
      </c>
      <c r="C403" s="447" t="s">
        <v>195</v>
      </c>
      <c r="D403" s="10"/>
      <c r="E403" s="202">
        <v>45695</v>
      </c>
      <c r="F403" s="23">
        <v>43.775756000000008</v>
      </c>
      <c r="G403" s="556" t="s">
        <v>196</v>
      </c>
      <c r="H403" s="556"/>
      <c r="I403" s="556"/>
      <c r="J403" s="556"/>
      <c r="K403" s="202">
        <v>45701</v>
      </c>
      <c r="L403" s="203" t="s">
        <v>420</v>
      </c>
      <c r="M403" s="10"/>
      <c r="N403" s="568"/>
      <c r="O403" s="569"/>
      <c r="P403" s="569"/>
    </row>
    <row r="404" spans="1:16">
      <c r="A404" s="10">
        <v>86</v>
      </c>
      <c r="B404" s="193" t="s">
        <v>95</v>
      </c>
      <c r="C404" s="447" t="s">
        <v>224</v>
      </c>
      <c r="D404" s="10"/>
      <c r="E404" s="202">
        <v>45696</v>
      </c>
      <c r="F404" s="23">
        <v>46.049156000000004</v>
      </c>
      <c r="G404" s="556" t="s">
        <v>196</v>
      </c>
      <c r="H404" s="556"/>
      <c r="I404" s="556"/>
      <c r="J404" s="556"/>
      <c r="K404" s="202">
        <v>45703</v>
      </c>
      <c r="L404" s="203" t="s">
        <v>668</v>
      </c>
      <c r="M404" s="10"/>
      <c r="N404" s="568"/>
      <c r="O404" s="569"/>
      <c r="P404" s="569"/>
    </row>
    <row r="405" spans="1:16">
      <c r="A405" s="10">
        <v>87</v>
      </c>
      <c r="B405" s="193" t="s">
        <v>516</v>
      </c>
      <c r="C405" s="447" t="s">
        <v>224</v>
      </c>
      <c r="D405" s="10"/>
      <c r="E405" s="202">
        <v>45697</v>
      </c>
      <c r="F405" s="23">
        <v>46.049156000000004</v>
      </c>
      <c r="G405" s="556" t="s">
        <v>196</v>
      </c>
      <c r="H405" s="556"/>
      <c r="I405" s="556"/>
      <c r="J405" s="556"/>
      <c r="K405" s="202">
        <v>45703</v>
      </c>
      <c r="L405" s="203" t="s">
        <v>667</v>
      </c>
      <c r="M405" s="10"/>
      <c r="N405" s="568"/>
      <c r="O405" s="569"/>
      <c r="P405" s="569"/>
    </row>
    <row r="406" spans="1:16">
      <c r="A406" s="10">
        <v>88</v>
      </c>
      <c r="B406" s="193" t="s">
        <v>517</v>
      </c>
      <c r="C406" s="447" t="s">
        <v>195</v>
      </c>
      <c r="D406" s="10"/>
      <c r="E406" s="202">
        <v>45698</v>
      </c>
      <c r="F406" s="23">
        <v>43.775756000000008</v>
      </c>
      <c r="G406" s="556" t="s">
        <v>196</v>
      </c>
      <c r="H406" s="556"/>
      <c r="I406" s="556"/>
      <c r="J406" s="556"/>
      <c r="K406" s="202">
        <v>45706</v>
      </c>
      <c r="L406" s="203" t="s">
        <v>666</v>
      </c>
      <c r="M406" s="10"/>
      <c r="N406" s="197"/>
      <c r="O406" s="198"/>
      <c r="P406" s="198"/>
    </row>
    <row r="407" spans="1:16">
      <c r="A407" s="10">
        <v>89</v>
      </c>
      <c r="B407" s="193" t="s">
        <v>518</v>
      </c>
      <c r="C407" s="447" t="s">
        <v>195</v>
      </c>
      <c r="D407" s="10"/>
      <c r="E407" s="202">
        <v>45700</v>
      </c>
      <c r="F407" s="23">
        <v>43.775756000000008</v>
      </c>
      <c r="G407" s="556" t="s">
        <v>196</v>
      </c>
      <c r="H407" s="556"/>
      <c r="I407" s="556"/>
      <c r="J407" s="556"/>
      <c r="K407" s="202">
        <v>45707</v>
      </c>
      <c r="L407" s="203" t="s">
        <v>420</v>
      </c>
      <c r="M407" s="10"/>
      <c r="N407" s="197"/>
      <c r="O407" s="198"/>
      <c r="P407" s="198"/>
    </row>
    <row r="408" spans="1:16">
      <c r="A408" s="10">
        <v>90</v>
      </c>
      <c r="B408" s="193" t="s">
        <v>519</v>
      </c>
      <c r="C408" s="447" t="s">
        <v>224</v>
      </c>
      <c r="D408" s="10"/>
      <c r="E408" s="202">
        <v>45699</v>
      </c>
      <c r="F408" s="23">
        <v>46.049156000000004</v>
      </c>
      <c r="G408" s="556" t="s">
        <v>196</v>
      </c>
      <c r="H408" s="556"/>
      <c r="I408" s="556"/>
      <c r="J408" s="556"/>
      <c r="K408" s="202">
        <v>45708</v>
      </c>
      <c r="L408" s="203" t="s">
        <v>669</v>
      </c>
      <c r="M408" s="10"/>
      <c r="N408" s="197"/>
      <c r="O408" s="198"/>
      <c r="P408" s="198"/>
    </row>
    <row r="409" spans="1:16">
      <c r="A409" s="10">
        <v>91</v>
      </c>
      <c r="B409" s="193" t="s">
        <v>520</v>
      </c>
      <c r="C409" s="447" t="s">
        <v>224</v>
      </c>
      <c r="D409" s="10"/>
      <c r="E409" s="202">
        <v>45700</v>
      </c>
      <c r="F409" s="23">
        <v>46.049156000000004</v>
      </c>
      <c r="G409" s="556" t="s">
        <v>196</v>
      </c>
      <c r="H409" s="556"/>
      <c r="I409" s="556"/>
      <c r="J409" s="556"/>
      <c r="K409" s="202">
        <v>45708</v>
      </c>
      <c r="L409" s="203" t="s">
        <v>665</v>
      </c>
      <c r="M409" s="10"/>
      <c r="N409" s="197"/>
      <c r="O409" s="198"/>
      <c r="P409" s="198"/>
    </row>
    <row r="410" spans="1:16">
      <c r="A410" s="10">
        <v>92</v>
      </c>
      <c r="B410" s="193" t="s">
        <v>79</v>
      </c>
      <c r="C410" s="447" t="s">
        <v>224</v>
      </c>
      <c r="D410" s="10"/>
      <c r="E410" s="202">
        <v>45702</v>
      </c>
      <c r="F410" s="23">
        <v>46.049156000000004</v>
      </c>
      <c r="G410" s="556" t="s">
        <v>196</v>
      </c>
      <c r="H410" s="556"/>
      <c r="I410" s="556"/>
      <c r="J410" s="556"/>
      <c r="K410" s="202">
        <v>45708</v>
      </c>
      <c r="L410" s="203" t="s">
        <v>664</v>
      </c>
      <c r="M410" s="10"/>
      <c r="N410" s="197"/>
      <c r="O410" s="198"/>
      <c r="P410" s="198"/>
    </row>
    <row r="411" spans="1:16">
      <c r="A411" s="10">
        <v>93</v>
      </c>
      <c r="B411" s="193" t="s">
        <v>521</v>
      </c>
      <c r="C411" s="447" t="s">
        <v>195</v>
      </c>
      <c r="D411" s="10"/>
      <c r="E411" s="202">
        <v>45704</v>
      </c>
      <c r="F411" s="23">
        <v>43.775756000000008</v>
      </c>
      <c r="G411" s="556" t="s">
        <v>196</v>
      </c>
      <c r="H411" s="556"/>
      <c r="I411" s="556"/>
      <c r="J411" s="556"/>
      <c r="K411" s="202">
        <v>45709</v>
      </c>
      <c r="L411" s="203" t="s">
        <v>667</v>
      </c>
      <c r="M411" s="10"/>
      <c r="N411" s="197"/>
      <c r="O411" s="198"/>
      <c r="P411" s="198"/>
    </row>
    <row r="412" spans="1:16">
      <c r="A412" s="10">
        <v>94</v>
      </c>
      <c r="B412" s="193" t="s">
        <v>93</v>
      </c>
      <c r="C412" s="447" t="s">
        <v>224</v>
      </c>
      <c r="D412" s="10"/>
      <c r="E412" s="202">
        <v>45704</v>
      </c>
      <c r="F412" s="23">
        <v>46.049156000000004</v>
      </c>
      <c r="G412" s="556" t="s">
        <v>196</v>
      </c>
      <c r="H412" s="556"/>
      <c r="I412" s="556"/>
      <c r="J412" s="556"/>
      <c r="K412" s="202">
        <v>45709</v>
      </c>
      <c r="L412" s="203" t="s">
        <v>668</v>
      </c>
      <c r="M412" s="10"/>
      <c r="N412" s="197"/>
      <c r="O412" s="198"/>
      <c r="P412" s="198"/>
    </row>
    <row r="413" spans="1:16">
      <c r="A413" s="10">
        <v>95</v>
      </c>
      <c r="B413" s="193" t="s">
        <v>82</v>
      </c>
      <c r="C413" s="447" t="s">
        <v>195</v>
      </c>
      <c r="D413" s="10"/>
      <c r="E413" s="202">
        <v>45702</v>
      </c>
      <c r="F413" s="23">
        <v>43.775756000000008</v>
      </c>
      <c r="G413" s="556" t="s">
        <v>196</v>
      </c>
      <c r="H413" s="556"/>
      <c r="I413" s="556"/>
      <c r="J413" s="556"/>
      <c r="K413" s="202">
        <v>45710</v>
      </c>
      <c r="L413" s="203" t="s">
        <v>670</v>
      </c>
      <c r="M413" s="10"/>
      <c r="N413" s="197"/>
      <c r="O413" s="198"/>
      <c r="P413" s="198"/>
    </row>
    <row r="414" spans="1:16">
      <c r="A414" s="10">
        <v>96</v>
      </c>
      <c r="B414" s="193" t="s">
        <v>522</v>
      </c>
      <c r="C414" s="447" t="s">
        <v>225</v>
      </c>
      <c r="D414" s="10"/>
      <c r="E414" s="202">
        <v>45708</v>
      </c>
      <c r="F414" s="23">
        <v>42.374236000000003</v>
      </c>
      <c r="G414" s="556" t="s">
        <v>196</v>
      </c>
      <c r="H414" s="556"/>
      <c r="I414" s="556"/>
      <c r="J414" s="556"/>
      <c r="K414" s="202">
        <v>45713</v>
      </c>
      <c r="L414" s="203" t="s">
        <v>420</v>
      </c>
      <c r="M414" s="10"/>
      <c r="N414" s="197"/>
      <c r="O414" s="198"/>
      <c r="P414" s="198"/>
    </row>
    <row r="415" spans="1:16">
      <c r="A415" s="10">
        <v>97</v>
      </c>
      <c r="B415" s="193" t="s">
        <v>80</v>
      </c>
      <c r="C415" s="447" t="s">
        <v>224</v>
      </c>
      <c r="D415" s="10"/>
      <c r="E415" s="202">
        <v>45709</v>
      </c>
      <c r="F415" s="23">
        <v>46.049156000000004</v>
      </c>
      <c r="G415" s="556" t="s">
        <v>196</v>
      </c>
      <c r="H415" s="556"/>
      <c r="I415" s="556"/>
      <c r="J415" s="556"/>
      <c r="K415" s="202">
        <v>45713</v>
      </c>
      <c r="L415" s="203" t="s">
        <v>664</v>
      </c>
      <c r="M415" s="10"/>
      <c r="N415" s="197"/>
      <c r="O415" s="198"/>
      <c r="P415" s="198"/>
    </row>
    <row r="416" spans="1:16">
      <c r="A416" s="10">
        <v>98</v>
      </c>
      <c r="B416" s="193" t="s">
        <v>523</v>
      </c>
      <c r="C416" s="447" t="s">
        <v>195</v>
      </c>
      <c r="D416" s="10"/>
      <c r="E416" s="202">
        <v>45707</v>
      </c>
      <c r="F416" s="23">
        <v>43.775756000000008</v>
      </c>
      <c r="G416" s="556" t="s">
        <v>196</v>
      </c>
      <c r="H416" s="556"/>
      <c r="I416" s="556"/>
      <c r="J416" s="556"/>
      <c r="K416" s="202">
        <v>45713</v>
      </c>
      <c r="L416" s="203" t="s">
        <v>666</v>
      </c>
      <c r="M416" s="10"/>
      <c r="N416" s="197"/>
      <c r="O416" s="198"/>
      <c r="P416" s="198"/>
    </row>
    <row r="417" spans="1:16">
      <c r="A417" s="10">
        <v>99</v>
      </c>
      <c r="B417" s="193" t="s">
        <v>524</v>
      </c>
      <c r="C417" s="447" t="s">
        <v>195</v>
      </c>
      <c r="D417" s="10"/>
      <c r="E417" s="202">
        <v>45709</v>
      </c>
      <c r="F417" s="23">
        <v>43.775756000000008</v>
      </c>
      <c r="G417" s="556" t="s">
        <v>196</v>
      </c>
      <c r="H417" s="556"/>
      <c r="I417" s="556"/>
      <c r="J417" s="556"/>
      <c r="K417" s="202">
        <v>45715</v>
      </c>
      <c r="L417" s="203" t="s">
        <v>665</v>
      </c>
      <c r="M417" s="10"/>
      <c r="N417" s="197"/>
      <c r="O417" s="198"/>
      <c r="P417" s="198"/>
    </row>
    <row r="418" spans="1:16">
      <c r="A418" s="10">
        <v>100</v>
      </c>
      <c r="B418" s="193" t="s">
        <v>90</v>
      </c>
      <c r="C418" s="447" t="s">
        <v>195</v>
      </c>
      <c r="D418" s="10"/>
      <c r="E418" s="202">
        <v>45708</v>
      </c>
      <c r="F418" s="23">
        <v>43.775756000000008</v>
      </c>
      <c r="G418" s="556" t="s">
        <v>196</v>
      </c>
      <c r="H418" s="556"/>
      <c r="I418" s="556"/>
      <c r="J418" s="556"/>
      <c r="K418" s="202">
        <v>45715</v>
      </c>
      <c r="L418" s="203" t="s">
        <v>668</v>
      </c>
      <c r="M418" s="10"/>
      <c r="N418" s="197"/>
      <c r="O418" s="198"/>
      <c r="P418" s="198"/>
    </row>
    <row r="419" spans="1:16">
      <c r="A419" s="10">
        <v>101</v>
      </c>
      <c r="B419" s="193" t="s">
        <v>525</v>
      </c>
      <c r="C419" s="447" t="s">
        <v>508</v>
      </c>
      <c r="D419" s="10"/>
      <c r="E419" s="202">
        <v>45707</v>
      </c>
      <c r="F419" s="23">
        <v>64.481662</v>
      </c>
      <c r="G419" s="556" t="s">
        <v>196</v>
      </c>
      <c r="H419" s="556"/>
      <c r="I419" s="556"/>
      <c r="J419" s="556"/>
      <c r="K419" s="202">
        <v>45716</v>
      </c>
      <c r="L419" s="203" t="s">
        <v>669</v>
      </c>
      <c r="M419" s="10"/>
      <c r="N419" s="197"/>
      <c r="O419" s="198"/>
      <c r="P419" s="198"/>
    </row>
    <row r="420" spans="1:16">
      <c r="A420" s="10">
        <v>102</v>
      </c>
      <c r="B420" s="193" t="s">
        <v>526</v>
      </c>
      <c r="C420" s="447" t="s">
        <v>508</v>
      </c>
      <c r="D420" s="10"/>
      <c r="E420" s="202">
        <v>45710</v>
      </c>
      <c r="F420" s="23">
        <v>64.481662</v>
      </c>
      <c r="G420" s="556" t="s">
        <v>196</v>
      </c>
      <c r="H420" s="556"/>
      <c r="I420" s="556"/>
      <c r="J420" s="556"/>
      <c r="K420" s="202">
        <v>45716</v>
      </c>
      <c r="L420" s="203" t="s">
        <v>667</v>
      </c>
      <c r="M420" s="10"/>
      <c r="N420" s="197"/>
      <c r="O420" s="198"/>
      <c r="P420" s="198"/>
    </row>
    <row r="421" spans="1:16">
      <c r="A421" s="10">
        <v>103</v>
      </c>
      <c r="B421" s="193" t="s">
        <v>76</v>
      </c>
      <c r="C421" s="447" t="s">
        <v>224</v>
      </c>
      <c r="D421" s="10"/>
      <c r="E421" s="202">
        <v>45714</v>
      </c>
      <c r="F421" s="23">
        <v>46.049156000000004</v>
      </c>
      <c r="G421" s="556" t="s">
        <v>196</v>
      </c>
      <c r="H421" s="556"/>
      <c r="I421" s="556"/>
      <c r="J421" s="556"/>
      <c r="K421" s="202">
        <v>45718</v>
      </c>
      <c r="L421" s="203" t="s">
        <v>664</v>
      </c>
      <c r="M421" s="10"/>
      <c r="N421" s="197"/>
      <c r="O421" s="198"/>
      <c r="P421" s="198"/>
    </row>
    <row r="422" spans="1:16">
      <c r="A422" s="10">
        <v>104</v>
      </c>
      <c r="B422" s="193" t="s">
        <v>91</v>
      </c>
      <c r="C422" s="447" t="s">
        <v>224</v>
      </c>
      <c r="D422" s="10"/>
      <c r="E422" s="202">
        <v>45715</v>
      </c>
      <c r="F422" s="23">
        <v>46.049156000000004</v>
      </c>
      <c r="G422" s="556" t="s">
        <v>196</v>
      </c>
      <c r="H422" s="556"/>
      <c r="I422" s="556"/>
      <c r="J422" s="556"/>
      <c r="K422" s="202">
        <v>45719</v>
      </c>
      <c r="L422" s="203" t="s">
        <v>668</v>
      </c>
      <c r="M422" s="10"/>
      <c r="N422" s="197"/>
      <c r="O422" s="198"/>
      <c r="P422" s="198"/>
    </row>
    <row r="423" spans="1:16">
      <c r="A423" s="10">
        <v>105</v>
      </c>
      <c r="B423" s="193" t="s">
        <v>527</v>
      </c>
      <c r="C423" s="447" t="s">
        <v>224</v>
      </c>
      <c r="D423" s="10"/>
      <c r="E423" s="202">
        <v>45717</v>
      </c>
      <c r="F423" s="23">
        <v>46.049156000000004</v>
      </c>
      <c r="G423" s="556" t="s">
        <v>196</v>
      </c>
      <c r="H423" s="556"/>
      <c r="I423" s="556"/>
      <c r="J423" s="556"/>
      <c r="K423" s="202">
        <v>45721</v>
      </c>
      <c r="L423" s="203" t="s">
        <v>420</v>
      </c>
      <c r="M423" s="10"/>
      <c r="N423" s="197"/>
      <c r="O423" s="198"/>
      <c r="P423" s="198"/>
    </row>
    <row r="424" spans="1:16">
      <c r="A424" s="10">
        <v>106</v>
      </c>
      <c r="B424" s="193" t="s">
        <v>81</v>
      </c>
      <c r="C424" s="447" t="s">
        <v>224</v>
      </c>
      <c r="D424" s="10"/>
      <c r="E424" s="202">
        <v>45719</v>
      </c>
      <c r="F424" s="23">
        <v>46.049156000000004</v>
      </c>
      <c r="G424" s="556" t="s">
        <v>196</v>
      </c>
      <c r="H424" s="556"/>
      <c r="I424" s="556"/>
      <c r="J424" s="556"/>
      <c r="K424" s="202">
        <v>45723</v>
      </c>
      <c r="L424" s="203" t="s">
        <v>664</v>
      </c>
      <c r="M424" s="10"/>
      <c r="N424" s="197"/>
      <c r="O424" s="198"/>
      <c r="P424" s="198"/>
    </row>
    <row r="425" spans="1:16">
      <c r="A425" s="10">
        <v>107</v>
      </c>
      <c r="B425" s="193" t="s">
        <v>528</v>
      </c>
      <c r="C425" s="447" t="s">
        <v>508</v>
      </c>
      <c r="D425" s="10"/>
      <c r="E425" s="202">
        <v>45715</v>
      </c>
      <c r="F425" s="23">
        <v>64.481662</v>
      </c>
      <c r="G425" s="556" t="s">
        <v>196</v>
      </c>
      <c r="H425" s="556"/>
      <c r="I425" s="556"/>
      <c r="J425" s="556"/>
      <c r="K425" s="202">
        <v>45724</v>
      </c>
      <c r="L425" s="203" t="s">
        <v>666</v>
      </c>
      <c r="M425" s="10"/>
      <c r="N425" s="197"/>
      <c r="O425" s="198"/>
      <c r="P425" s="198"/>
    </row>
    <row r="426" spans="1:16">
      <c r="A426" s="10">
        <v>108</v>
      </c>
      <c r="B426" s="193" t="s">
        <v>529</v>
      </c>
      <c r="C426" s="447" t="s">
        <v>195</v>
      </c>
      <c r="D426" s="10"/>
      <c r="E426" s="202">
        <v>45717</v>
      </c>
      <c r="F426" s="23">
        <v>43.775756000000008</v>
      </c>
      <c r="G426" s="556" t="s">
        <v>196</v>
      </c>
      <c r="H426" s="556"/>
      <c r="I426" s="556"/>
      <c r="J426" s="556"/>
      <c r="K426" s="202">
        <v>45724</v>
      </c>
      <c r="L426" s="203" t="s">
        <v>667</v>
      </c>
      <c r="M426" s="10"/>
      <c r="N426" s="197"/>
      <c r="O426" s="198"/>
      <c r="P426" s="198"/>
    </row>
    <row r="427" spans="1:16">
      <c r="A427" s="10">
        <v>109</v>
      </c>
      <c r="B427" s="193" t="s">
        <v>89</v>
      </c>
      <c r="C427" s="447" t="s">
        <v>195</v>
      </c>
      <c r="D427" s="10"/>
      <c r="E427" s="202">
        <v>45716</v>
      </c>
      <c r="F427" s="23">
        <v>43.775756000000008</v>
      </c>
      <c r="G427" s="556" t="s">
        <v>196</v>
      </c>
      <c r="H427" s="556"/>
      <c r="I427" s="556"/>
      <c r="J427" s="556"/>
      <c r="K427" s="202">
        <v>45724</v>
      </c>
      <c r="L427" s="203" t="s">
        <v>665</v>
      </c>
      <c r="M427" s="10"/>
      <c r="N427" s="197"/>
      <c r="O427" s="198"/>
      <c r="P427" s="198"/>
    </row>
    <row r="428" spans="1:16">
      <c r="A428" s="10">
        <v>110</v>
      </c>
      <c r="B428" s="193" t="s">
        <v>530</v>
      </c>
      <c r="C428" s="447" t="s">
        <v>224</v>
      </c>
      <c r="D428" s="10"/>
      <c r="E428" s="202">
        <v>45717</v>
      </c>
      <c r="F428" s="23">
        <v>46.049156000000004</v>
      </c>
      <c r="G428" s="556" t="s">
        <v>196</v>
      </c>
      <c r="H428" s="556"/>
      <c r="I428" s="556"/>
      <c r="J428" s="556"/>
      <c r="K428" s="202">
        <v>45725</v>
      </c>
      <c r="L428" s="203" t="s">
        <v>669</v>
      </c>
      <c r="M428" s="10"/>
      <c r="N428" s="197"/>
      <c r="O428" s="198"/>
      <c r="P428" s="198"/>
    </row>
    <row r="429" spans="1:16">
      <c r="A429" s="10">
        <v>111</v>
      </c>
      <c r="B429" s="193" t="s">
        <v>16</v>
      </c>
      <c r="C429" s="447" t="s">
        <v>224</v>
      </c>
      <c r="D429" s="10"/>
      <c r="E429" s="202">
        <v>45717</v>
      </c>
      <c r="F429" s="23">
        <v>46.049156000000004</v>
      </c>
      <c r="G429" s="556" t="s">
        <v>196</v>
      </c>
      <c r="H429" s="556"/>
      <c r="I429" s="556"/>
      <c r="J429" s="556"/>
      <c r="K429" s="202">
        <v>45727</v>
      </c>
      <c r="L429" s="203" t="s">
        <v>670</v>
      </c>
      <c r="M429" s="10"/>
      <c r="N429" s="197"/>
      <c r="O429" s="198"/>
      <c r="P429" s="198"/>
    </row>
    <row r="430" spans="1:16">
      <c r="A430" s="10">
        <v>112</v>
      </c>
      <c r="B430" s="193" t="s">
        <v>77</v>
      </c>
      <c r="C430" s="447" t="s">
        <v>225</v>
      </c>
      <c r="D430" s="10"/>
      <c r="E430" s="202">
        <v>45724</v>
      </c>
      <c r="F430" s="23">
        <v>42.374236000000003</v>
      </c>
      <c r="G430" s="556" t="s">
        <v>196</v>
      </c>
      <c r="H430" s="556"/>
      <c r="I430" s="556"/>
      <c r="J430" s="556"/>
      <c r="K430" s="202">
        <v>45727</v>
      </c>
      <c r="L430" s="203" t="s">
        <v>664</v>
      </c>
      <c r="M430" s="10"/>
      <c r="N430" s="197"/>
      <c r="O430" s="198"/>
      <c r="P430" s="198"/>
    </row>
    <row r="431" spans="1:16">
      <c r="A431" s="10">
        <v>113</v>
      </c>
      <c r="B431" s="193" t="s">
        <v>531</v>
      </c>
      <c r="C431" s="447" t="s">
        <v>225</v>
      </c>
      <c r="D431" s="10"/>
      <c r="E431" s="202">
        <v>45724</v>
      </c>
      <c r="F431" s="23">
        <v>42.374236000000003</v>
      </c>
      <c r="G431" s="556" t="s">
        <v>196</v>
      </c>
      <c r="H431" s="556"/>
      <c r="I431" s="556"/>
      <c r="J431" s="556"/>
      <c r="K431" s="202">
        <v>45728</v>
      </c>
      <c r="L431" s="203" t="s">
        <v>667</v>
      </c>
      <c r="M431" s="10"/>
      <c r="N431" s="197"/>
      <c r="O431" s="198"/>
      <c r="P431" s="198"/>
    </row>
    <row r="432" spans="1:16">
      <c r="A432" s="10">
        <v>114</v>
      </c>
      <c r="B432" s="193" t="s">
        <v>532</v>
      </c>
      <c r="C432" s="447" t="s">
        <v>508</v>
      </c>
      <c r="D432" s="10"/>
      <c r="E432" s="202">
        <v>45717</v>
      </c>
      <c r="F432" s="23">
        <v>64.481662</v>
      </c>
      <c r="G432" s="556" t="s">
        <v>196</v>
      </c>
      <c r="H432" s="556"/>
      <c r="I432" s="556"/>
      <c r="J432" s="556"/>
      <c r="K432" s="202">
        <v>45729</v>
      </c>
      <c r="L432" s="203" t="s">
        <v>420</v>
      </c>
      <c r="M432" s="10"/>
      <c r="N432" s="197"/>
      <c r="O432" s="198"/>
      <c r="P432" s="198"/>
    </row>
    <row r="433" spans="1:16">
      <c r="A433" s="10">
        <v>115</v>
      </c>
      <c r="B433" s="193" t="s">
        <v>533</v>
      </c>
      <c r="C433" s="447" t="s">
        <v>195</v>
      </c>
      <c r="D433" s="10"/>
      <c r="E433" s="202">
        <v>45726</v>
      </c>
      <c r="F433" s="23">
        <v>43.775756000000008</v>
      </c>
      <c r="G433" s="556" t="s">
        <v>196</v>
      </c>
      <c r="H433" s="556"/>
      <c r="I433" s="556"/>
      <c r="J433" s="556"/>
      <c r="K433" s="202">
        <v>45732</v>
      </c>
      <c r="L433" s="203" t="s">
        <v>669</v>
      </c>
      <c r="M433" s="10"/>
      <c r="N433" s="197"/>
      <c r="O433" s="198"/>
      <c r="P433" s="198"/>
    </row>
    <row r="434" spans="1:16">
      <c r="A434" s="10">
        <v>116</v>
      </c>
      <c r="B434" s="193" t="s">
        <v>92</v>
      </c>
      <c r="C434" s="447" t="s">
        <v>195</v>
      </c>
      <c r="D434" s="10"/>
      <c r="E434" s="202">
        <v>45726</v>
      </c>
      <c r="F434" s="23">
        <v>43.775756000000008</v>
      </c>
      <c r="G434" s="556" t="s">
        <v>196</v>
      </c>
      <c r="H434" s="556"/>
      <c r="I434" s="556"/>
      <c r="J434" s="556"/>
      <c r="K434" s="202">
        <v>45734</v>
      </c>
      <c r="L434" s="203" t="s">
        <v>665</v>
      </c>
      <c r="M434" s="10"/>
      <c r="N434" s="197"/>
      <c r="O434" s="198"/>
      <c r="P434" s="198"/>
    </row>
    <row r="435" spans="1:16">
      <c r="A435" s="10">
        <v>117</v>
      </c>
      <c r="B435" s="193" t="s">
        <v>74</v>
      </c>
      <c r="C435" s="447" t="s">
        <v>225</v>
      </c>
      <c r="D435" s="10"/>
      <c r="E435" s="202">
        <v>45728</v>
      </c>
      <c r="F435" s="23">
        <v>42.374236000000003</v>
      </c>
      <c r="G435" s="556" t="s">
        <v>196</v>
      </c>
      <c r="H435" s="556"/>
      <c r="I435" s="556"/>
      <c r="J435" s="556"/>
      <c r="K435" s="202">
        <v>45734</v>
      </c>
      <c r="L435" s="203" t="s">
        <v>664</v>
      </c>
      <c r="M435" s="10"/>
      <c r="N435" s="197"/>
      <c r="O435" s="198"/>
      <c r="P435" s="198"/>
    </row>
    <row r="436" spans="1:16">
      <c r="A436" s="10">
        <v>118</v>
      </c>
      <c r="B436" s="193" t="s">
        <v>534</v>
      </c>
      <c r="C436" s="447" t="s">
        <v>224</v>
      </c>
      <c r="D436" s="10"/>
      <c r="E436" s="202">
        <v>45725</v>
      </c>
      <c r="F436" s="23">
        <v>46.049156000000004</v>
      </c>
      <c r="G436" s="556" t="s">
        <v>196</v>
      </c>
      <c r="H436" s="556"/>
      <c r="I436" s="556"/>
      <c r="J436" s="556"/>
      <c r="K436" s="202">
        <v>45735</v>
      </c>
      <c r="L436" s="203" t="s">
        <v>666</v>
      </c>
      <c r="M436" s="10"/>
      <c r="N436" s="197"/>
      <c r="O436" s="198"/>
      <c r="P436" s="198"/>
    </row>
    <row r="437" spans="1:16">
      <c r="A437" s="10">
        <v>119</v>
      </c>
      <c r="B437" s="193" t="s">
        <v>535</v>
      </c>
      <c r="C437" s="447" t="s">
        <v>227</v>
      </c>
      <c r="D437" s="10"/>
      <c r="E437" s="202">
        <v>45729</v>
      </c>
      <c r="F437" s="23">
        <v>55.338726999999999</v>
      </c>
      <c r="G437" s="556" t="s">
        <v>196</v>
      </c>
      <c r="H437" s="556"/>
      <c r="I437" s="556"/>
      <c r="J437" s="556"/>
      <c r="K437" s="202">
        <v>45737</v>
      </c>
      <c r="L437" s="203" t="s">
        <v>667</v>
      </c>
      <c r="M437" s="10"/>
      <c r="N437" s="197"/>
      <c r="O437" s="198"/>
      <c r="P437" s="198"/>
    </row>
    <row r="438" spans="1:16">
      <c r="A438" s="10">
        <v>120</v>
      </c>
      <c r="B438" s="193" t="s">
        <v>536</v>
      </c>
      <c r="C438" s="447" t="s">
        <v>224</v>
      </c>
      <c r="D438" s="10"/>
      <c r="E438" s="202">
        <v>45732</v>
      </c>
      <c r="F438" s="23">
        <v>46.049156000000004</v>
      </c>
      <c r="G438" s="556" t="s">
        <v>196</v>
      </c>
      <c r="H438" s="556"/>
      <c r="I438" s="556"/>
      <c r="J438" s="556"/>
      <c r="K438" s="202">
        <v>45737</v>
      </c>
      <c r="L438" s="203" t="s">
        <v>420</v>
      </c>
      <c r="M438" s="10"/>
      <c r="N438" s="197"/>
      <c r="O438" s="198"/>
      <c r="P438" s="198"/>
    </row>
    <row r="439" spans="1:16">
      <c r="A439" s="10">
        <v>121</v>
      </c>
      <c r="B439" s="193" t="s">
        <v>537</v>
      </c>
      <c r="C439" s="447" t="s">
        <v>225</v>
      </c>
      <c r="D439" s="10"/>
      <c r="E439" s="202">
        <v>45732</v>
      </c>
      <c r="F439" s="23">
        <v>42.374236000000003</v>
      </c>
      <c r="G439" s="556" t="s">
        <v>196</v>
      </c>
      <c r="H439" s="556"/>
      <c r="I439" s="556"/>
      <c r="J439" s="556"/>
      <c r="K439" s="202">
        <v>45739</v>
      </c>
      <c r="L439" s="203" t="s">
        <v>669</v>
      </c>
      <c r="M439" s="10"/>
      <c r="N439" s="197"/>
      <c r="O439" s="198"/>
      <c r="P439" s="198"/>
    </row>
    <row r="440" spans="1:16">
      <c r="A440" s="10">
        <v>122</v>
      </c>
      <c r="B440" s="193" t="s">
        <v>75</v>
      </c>
      <c r="C440" s="447" t="s">
        <v>225</v>
      </c>
      <c r="D440" s="10"/>
      <c r="E440" s="202">
        <v>45735</v>
      </c>
      <c r="F440" s="23">
        <v>42.374236000000003</v>
      </c>
      <c r="G440" s="556" t="s">
        <v>196</v>
      </c>
      <c r="H440" s="556"/>
      <c r="I440" s="556"/>
      <c r="J440" s="556"/>
      <c r="K440" s="202">
        <v>45739</v>
      </c>
      <c r="L440" s="203" t="s">
        <v>664</v>
      </c>
      <c r="M440" s="10"/>
      <c r="N440" s="197"/>
      <c r="O440" s="198"/>
      <c r="P440" s="198"/>
    </row>
    <row r="441" spans="1:16">
      <c r="A441" s="10">
        <v>123</v>
      </c>
      <c r="B441" s="193" t="s">
        <v>538</v>
      </c>
      <c r="C441" s="447" t="s">
        <v>225</v>
      </c>
      <c r="D441" s="10"/>
      <c r="E441" s="202">
        <v>45738</v>
      </c>
      <c r="F441" s="23">
        <v>42.374236000000003</v>
      </c>
      <c r="G441" s="556" t="s">
        <v>196</v>
      </c>
      <c r="H441" s="556"/>
      <c r="I441" s="556"/>
      <c r="J441" s="556"/>
      <c r="K441" s="202">
        <v>45742</v>
      </c>
      <c r="L441" s="203" t="s">
        <v>667</v>
      </c>
      <c r="M441" s="10"/>
      <c r="N441" s="197"/>
      <c r="O441" s="198"/>
      <c r="P441" s="198"/>
    </row>
    <row r="442" spans="1:16">
      <c r="A442" s="10">
        <v>124</v>
      </c>
      <c r="B442" s="193" t="s">
        <v>539</v>
      </c>
      <c r="C442" s="447" t="s">
        <v>225</v>
      </c>
      <c r="D442" s="10"/>
      <c r="E442" s="202">
        <v>45736</v>
      </c>
      <c r="F442" s="23">
        <v>42.374236000000003</v>
      </c>
      <c r="G442" s="556" t="s">
        <v>196</v>
      </c>
      <c r="H442" s="556"/>
      <c r="I442" s="556"/>
      <c r="J442" s="556"/>
      <c r="K442" s="202">
        <v>45743</v>
      </c>
      <c r="L442" s="203" t="s">
        <v>666</v>
      </c>
      <c r="M442" s="10"/>
      <c r="N442" s="197"/>
      <c r="O442" s="198"/>
      <c r="P442" s="198"/>
    </row>
    <row r="443" spans="1:16">
      <c r="A443" s="10">
        <v>125</v>
      </c>
      <c r="B443" s="193" t="s">
        <v>540</v>
      </c>
      <c r="C443" s="447" t="s">
        <v>508</v>
      </c>
      <c r="D443" s="10"/>
      <c r="E443" s="202">
        <v>45738</v>
      </c>
      <c r="F443" s="23">
        <v>64.481662</v>
      </c>
      <c r="G443" s="556" t="s">
        <v>196</v>
      </c>
      <c r="H443" s="556"/>
      <c r="I443" s="556"/>
      <c r="J443" s="556"/>
      <c r="K443" s="202">
        <v>45745</v>
      </c>
      <c r="L443" s="203" t="s">
        <v>420</v>
      </c>
      <c r="M443" s="10"/>
      <c r="N443" s="197"/>
      <c r="O443" s="198"/>
      <c r="P443" s="198"/>
    </row>
    <row r="444" spans="1:16">
      <c r="A444" s="10">
        <v>126</v>
      </c>
      <c r="B444" s="193" t="s">
        <v>88</v>
      </c>
      <c r="C444" s="447" t="s">
        <v>225</v>
      </c>
      <c r="D444" s="10"/>
      <c r="E444" s="202">
        <v>45736</v>
      </c>
      <c r="F444" s="23">
        <v>42.374236000000003</v>
      </c>
      <c r="G444" s="556" t="s">
        <v>196</v>
      </c>
      <c r="H444" s="556"/>
      <c r="I444" s="556"/>
      <c r="J444" s="556"/>
      <c r="K444" s="202">
        <v>45746</v>
      </c>
      <c r="L444" s="203" t="s">
        <v>665</v>
      </c>
      <c r="M444" s="10"/>
      <c r="N444" s="197"/>
      <c r="O444" s="198"/>
      <c r="P444" s="198"/>
    </row>
    <row r="445" spans="1:16">
      <c r="A445" s="10">
        <v>127</v>
      </c>
      <c r="B445" s="193" t="s">
        <v>541</v>
      </c>
      <c r="C445" s="447" t="s">
        <v>225</v>
      </c>
      <c r="D445" s="10"/>
      <c r="E445" s="202">
        <v>45740</v>
      </c>
      <c r="F445" s="23">
        <v>42.374236000000003</v>
      </c>
      <c r="G445" s="556" t="s">
        <v>196</v>
      </c>
      <c r="H445" s="556"/>
      <c r="I445" s="556"/>
      <c r="J445" s="556"/>
      <c r="K445" s="202">
        <v>45746</v>
      </c>
      <c r="L445" s="203" t="s">
        <v>669</v>
      </c>
      <c r="M445" s="10"/>
      <c r="N445" s="197"/>
      <c r="O445" s="198"/>
      <c r="P445" s="198"/>
    </row>
    <row r="446" spans="1:16">
      <c r="A446" s="10">
        <v>128</v>
      </c>
      <c r="B446" s="193" t="s">
        <v>268</v>
      </c>
      <c r="C446" s="447" t="s">
        <v>508</v>
      </c>
      <c r="D446" s="10"/>
      <c r="E446" s="202">
        <v>45740</v>
      </c>
      <c r="F446" s="23">
        <v>64.481662</v>
      </c>
      <c r="G446" s="556" t="s">
        <v>196</v>
      </c>
      <c r="H446" s="556"/>
      <c r="I446" s="556"/>
      <c r="J446" s="556"/>
      <c r="K446" s="202">
        <v>45747</v>
      </c>
      <c r="L446" s="203" t="s">
        <v>664</v>
      </c>
      <c r="M446" s="10"/>
      <c r="N446" s="197"/>
      <c r="O446" s="198"/>
      <c r="P446" s="198"/>
    </row>
    <row r="447" spans="1:16">
      <c r="A447" s="10">
        <v>129</v>
      </c>
      <c r="B447" s="193" t="s">
        <v>542</v>
      </c>
      <c r="C447" s="447" t="s">
        <v>224</v>
      </c>
      <c r="D447" s="10"/>
      <c r="E447" s="202">
        <v>45737</v>
      </c>
      <c r="F447" s="23">
        <v>46.049156000000004</v>
      </c>
      <c r="G447" s="556" t="s">
        <v>196</v>
      </c>
      <c r="H447" s="556"/>
      <c r="I447" s="556"/>
      <c r="J447" s="556"/>
      <c r="K447" s="202">
        <v>45747</v>
      </c>
      <c r="L447" s="203" t="s">
        <v>671</v>
      </c>
      <c r="M447" s="10"/>
      <c r="N447" s="197"/>
      <c r="O447" s="198"/>
      <c r="P447" s="198"/>
    </row>
    <row r="448" spans="1:16">
      <c r="A448" s="10">
        <v>130</v>
      </c>
      <c r="B448" s="193" t="s">
        <v>94</v>
      </c>
      <c r="C448" s="447" t="s">
        <v>225</v>
      </c>
      <c r="D448" s="10"/>
      <c r="E448" s="202">
        <v>45738</v>
      </c>
      <c r="F448" s="23">
        <v>42.374236000000003</v>
      </c>
      <c r="G448" s="556" t="s">
        <v>196</v>
      </c>
      <c r="H448" s="556"/>
      <c r="I448" s="556"/>
      <c r="J448" s="556"/>
      <c r="K448" s="202">
        <v>45747</v>
      </c>
      <c r="L448" s="203" t="s">
        <v>668</v>
      </c>
      <c r="M448" s="10"/>
      <c r="N448" s="197"/>
      <c r="O448" s="198"/>
      <c r="P448" s="198"/>
    </row>
    <row r="449" spans="1:16">
      <c r="A449" s="10">
        <v>131</v>
      </c>
      <c r="B449" s="193" t="s">
        <v>543</v>
      </c>
      <c r="C449" s="447" t="s">
        <v>224</v>
      </c>
      <c r="D449" s="10"/>
      <c r="E449" s="202">
        <v>45740</v>
      </c>
      <c r="F449" s="23">
        <v>46.049156000000004</v>
      </c>
      <c r="G449" s="556" t="s">
        <v>196</v>
      </c>
      <c r="H449" s="556"/>
      <c r="I449" s="556"/>
      <c r="J449" s="556"/>
      <c r="K449" s="202">
        <v>45747</v>
      </c>
      <c r="L449" s="203" t="s">
        <v>672</v>
      </c>
      <c r="M449" s="10"/>
      <c r="N449" s="197"/>
      <c r="O449" s="198"/>
      <c r="P449" s="198"/>
    </row>
    <row r="450" spans="1:16">
      <c r="A450" s="10">
        <v>132</v>
      </c>
      <c r="B450" s="193" t="s">
        <v>544</v>
      </c>
      <c r="C450" s="447" t="s">
        <v>226</v>
      </c>
      <c r="D450" s="10"/>
      <c r="E450" s="202">
        <v>45740</v>
      </c>
      <c r="F450" s="23">
        <v>53.323913999999995</v>
      </c>
      <c r="G450" s="556" t="s">
        <v>196</v>
      </c>
      <c r="H450" s="556"/>
      <c r="I450" s="556"/>
      <c r="J450" s="556"/>
      <c r="K450" s="202">
        <v>45747</v>
      </c>
      <c r="L450" s="203" t="s">
        <v>667</v>
      </c>
      <c r="M450" s="10"/>
      <c r="N450" s="197"/>
      <c r="O450" s="198"/>
      <c r="P450" s="198"/>
    </row>
    <row r="451" spans="1:16">
      <c r="A451" s="10">
        <v>133</v>
      </c>
      <c r="B451" s="193" t="s">
        <v>545</v>
      </c>
      <c r="C451" s="447" t="s">
        <v>195</v>
      </c>
      <c r="D451" s="10"/>
      <c r="E451" s="202">
        <v>45744</v>
      </c>
      <c r="F451" s="23">
        <v>43.775756000000008</v>
      </c>
      <c r="G451" s="556" t="s">
        <v>196</v>
      </c>
      <c r="H451" s="556"/>
      <c r="I451" s="556"/>
      <c r="J451" s="556"/>
      <c r="K451" s="202">
        <v>45752</v>
      </c>
      <c r="L451" s="203" t="s">
        <v>420</v>
      </c>
      <c r="M451" s="10"/>
      <c r="N451" s="197"/>
      <c r="O451" s="198"/>
      <c r="P451" s="198"/>
    </row>
    <row r="452" spans="1:16">
      <c r="A452" s="10">
        <v>134</v>
      </c>
      <c r="B452" s="193" t="s">
        <v>546</v>
      </c>
      <c r="C452" s="447" t="s">
        <v>224</v>
      </c>
      <c r="D452" s="10"/>
      <c r="E452" s="202">
        <v>45744</v>
      </c>
      <c r="F452" s="23">
        <v>46.049156000000004</v>
      </c>
      <c r="G452" s="556" t="s">
        <v>196</v>
      </c>
      <c r="H452" s="556"/>
      <c r="I452" s="556"/>
      <c r="J452" s="556"/>
      <c r="K452" s="202">
        <v>45754</v>
      </c>
      <c r="L452" s="203" t="s">
        <v>667</v>
      </c>
      <c r="M452" s="10"/>
      <c r="N452" s="197"/>
      <c r="O452" s="198"/>
      <c r="P452" s="198"/>
    </row>
    <row r="453" spans="1:16">
      <c r="A453" s="10">
        <v>135</v>
      </c>
      <c r="B453" s="193" t="s">
        <v>547</v>
      </c>
      <c r="C453" s="447" t="s">
        <v>225</v>
      </c>
      <c r="D453" s="10"/>
      <c r="E453" s="202">
        <v>45747</v>
      </c>
      <c r="F453" s="23">
        <v>42.374236000000003</v>
      </c>
      <c r="G453" s="556" t="s">
        <v>196</v>
      </c>
      <c r="H453" s="556"/>
      <c r="I453" s="556"/>
      <c r="J453" s="556"/>
      <c r="K453" s="202">
        <v>45755</v>
      </c>
      <c r="L453" s="203" t="s">
        <v>673</v>
      </c>
      <c r="M453" s="10"/>
      <c r="N453" s="197"/>
      <c r="O453" s="198"/>
      <c r="P453" s="198"/>
    </row>
    <row r="454" spans="1:16">
      <c r="A454" s="10">
        <v>136</v>
      </c>
      <c r="B454" s="193" t="s">
        <v>86</v>
      </c>
      <c r="C454" s="447" t="s">
        <v>225</v>
      </c>
      <c r="D454" s="10"/>
      <c r="E454" s="202">
        <v>45750</v>
      </c>
      <c r="F454" s="23">
        <v>42.374236000000003</v>
      </c>
      <c r="G454" s="556" t="s">
        <v>196</v>
      </c>
      <c r="H454" s="556"/>
      <c r="I454" s="556"/>
      <c r="J454" s="556"/>
      <c r="K454" s="202">
        <v>45757</v>
      </c>
      <c r="L454" s="203" t="s">
        <v>664</v>
      </c>
      <c r="M454" s="10"/>
      <c r="N454" s="197"/>
      <c r="O454" s="198"/>
      <c r="P454" s="198"/>
    </row>
    <row r="455" spans="1:16">
      <c r="A455" s="10">
        <v>137</v>
      </c>
      <c r="B455" s="193" t="s">
        <v>548</v>
      </c>
      <c r="C455" s="447" t="s">
        <v>224</v>
      </c>
      <c r="D455" s="10"/>
      <c r="E455" s="202">
        <v>45747</v>
      </c>
      <c r="F455" s="23">
        <v>46.049156000000004</v>
      </c>
      <c r="G455" s="556" t="s">
        <v>196</v>
      </c>
      <c r="H455" s="556"/>
      <c r="I455" s="556"/>
      <c r="J455" s="556"/>
      <c r="K455" s="202">
        <v>45758</v>
      </c>
      <c r="L455" s="203" t="s">
        <v>674</v>
      </c>
      <c r="M455" s="10"/>
      <c r="N455" s="197"/>
      <c r="O455" s="198"/>
      <c r="P455" s="198"/>
    </row>
    <row r="456" spans="1:16">
      <c r="A456" s="10">
        <v>138</v>
      </c>
      <c r="B456" s="193" t="s">
        <v>549</v>
      </c>
      <c r="C456" s="447" t="s">
        <v>224</v>
      </c>
      <c r="D456" s="10"/>
      <c r="E456" s="202">
        <v>45748</v>
      </c>
      <c r="F456" s="23">
        <v>46.049156000000004</v>
      </c>
      <c r="G456" s="556" t="s">
        <v>196</v>
      </c>
      <c r="H456" s="556"/>
      <c r="I456" s="556"/>
      <c r="J456" s="556"/>
      <c r="K456" s="202">
        <v>45758</v>
      </c>
      <c r="L456" s="203" t="s">
        <v>671</v>
      </c>
      <c r="M456" s="10"/>
      <c r="N456" s="197"/>
      <c r="O456" s="198"/>
      <c r="P456" s="198"/>
    </row>
    <row r="457" spans="1:16">
      <c r="A457" s="10">
        <v>139</v>
      </c>
      <c r="B457" s="193" t="s">
        <v>550</v>
      </c>
      <c r="C457" s="447" t="s">
        <v>551</v>
      </c>
      <c r="D457" s="10"/>
      <c r="E457" s="202">
        <v>45748</v>
      </c>
      <c r="F457" s="23">
        <v>75.858397999999994</v>
      </c>
      <c r="G457" s="556" t="s">
        <v>196</v>
      </c>
      <c r="H457" s="556"/>
      <c r="I457" s="556"/>
      <c r="J457" s="556"/>
      <c r="K457" s="202">
        <v>45758</v>
      </c>
      <c r="L457" s="203" t="s">
        <v>675</v>
      </c>
      <c r="M457" s="10"/>
      <c r="N457" s="197"/>
      <c r="O457" s="198"/>
      <c r="P457" s="198"/>
    </row>
    <row r="458" spans="1:16">
      <c r="A458" s="10">
        <v>140</v>
      </c>
      <c r="B458" s="193" t="s">
        <v>321</v>
      </c>
      <c r="C458" s="447" t="s">
        <v>552</v>
      </c>
      <c r="D458" s="10"/>
      <c r="E458" s="202">
        <v>45748</v>
      </c>
      <c r="F458" s="23">
        <v>87.011570000000006</v>
      </c>
      <c r="G458" s="556" t="s">
        <v>196</v>
      </c>
      <c r="H458" s="556"/>
      <c r="I458" s="556"/>
      <c r="J458" s="556"/>
      <c r="K458" s="202">
        <v>45758</v>
      </c>
      <c r="L458" s="203" t="s">
        <v>669</v>
      </c>
      <c r="M458" s="10"/>
      <c r="N458" s="197"/>
      <c r="O458" s="198"/>
      <c r="P458" s="198"/>
    </row>
    <row r="459" spans="1:16">
      <c r="A459" s="10">
        <v>141</v>
      </c>
      <c r="B459" s="193" t="s">
        <v>553</v>
      </c>
      <c r="C459" s="447" t="s">
        <v>224</v>
      </c>
      <c r="D459" s="10"/>
      <c r="E459" s="202">
        <v>45748</v>
      </c>
      <c r="F459" s="23">
        <v>46.049156000000004</v>
      </c>
      <c r="G459" s="556" t="s">
        <v>196</v>
      </c>
      <c r="H459" s="556"/>
      <c r="I459" s="556"/>
      <c r="J459" s="556"/>
      <c r="K459" s="202">
        <v>45759</v>
      </c>
      <c r="L459" s="203" t="s">
        <v>672</v>
      </c>
      <c r="M459" s="10"/>
      <c r="N459" s="197"/>
      <c r="O459" s="198"/>
      <c r="P459" s="198"/>
    </row>
    <row r="460" spans="1:16">
      <c r="A460" s="10">
        <v>142</v>
      </c>
      <c r="B460" s="193" t="s">
        <v>554</v>
      </c>
      <c r="C460" s="447" t="s">
        <v>224</v>
      </c>
      <c r="D460" s="10"/>
      <c r="E460" s="202">
        <v>45748</v>
      </c>
      <c r="F460" s="23">
        <v>46.049156000000004</v>
      </c>
      <c r="G460" s="556" t="s">
        <v>196</v>
      </c>
      <c r="H460" s="556"/>
      <c r="I460" s="556"/>
      <c r="J460" s="556"/>
      <c r="K460" s="202">
        <v>45759</v>
      </c>
      <c r="L460" s="203" t="s">
        <v>665</v>
      </c>
      <c r="M460" s="10"/>
      <c r="N460" s="197"/>
      <c r="O460" s="198"/>
      <c r="P460" s="198"/>
    </row>
    <row r="461" spans="1:16">
      <c r="A461" s="10">
        <v>143</v>
      </c>
      <c r="B461" s="193" t="s">
        <v>555</v>
      </c>
      <c r="C461" s="447" t="s">
        <v>225</v>
      </c>
      <c r="D461" s="10"/>
      <c r="E461" s="202">
        <v>45755</v>
      </c>
      <c r="F461" s="23">
        <v>42.374236000000003</v>
      </c>
      <c r="G461" s="556" t="s">
        <v>196</v>
      </c>
      <c r="H461" s="556"/>
      <c r="I461" s="556"/>
      <c r="J461" s="556"/>
      <c r="K461" s="202">
        <v>45760</v>
      </c>
      <c r="L461" s="203" t="s">
        <v>667</v>
      </c>
      <c r="M461" s="10"/>
      <c r="N461" s="197"/>
      <c r="O461" s="198"/>
      <c r="P461" s="198"/>
    </row>
    <row r="462" spans="1:16">
      <c r="A462" s="10">
        <v>144</v>
      </c>
      <c r="B462" s="193" t="s">
        <v>350</v>
      </c>
      <c r="C462" s="447" t="s">
        <v>508</v>
      </c>
      <c r="D462" s="10"/>
      <c r="E462" s="202">
        <v>45749</v>
      </c>
      <c r="F462" s="23">
        <v>64.481662</v>
      </c>
      <c r="G462" s="556" t="s">
        <v>196</v>
      </c>
      <c r="H462" s="556"/>
      <c r="I462" s="556"/>
      <c r="J462" s="556"/>
      <c r="K462" s="202">
        <v>45761</v>
      </c>
      <c r="L462" s="203" t="s">
        <v>668</v>
      </c>
      <c r="M462" s="10"/>
      <c r="N462" s="197"/>
      <c r="O462" s="198"/>
      <c r="P462" s="198"/>
    </row>
    <row r="463" spans="1:16">
      <c r="A463" s="10">
        <v>145</v>
      </c>
      <c r="B463" s="193" t="s">
        <v>556</v>
      </c>
      <c r="C463" s="447" t="s">
        <v>224</v>
      </c>
      <c r="D463" s="10"/>
      <c r="E463" s="202">
        <v>45756</v>
      </c>
      <c r="F463" s="23">
        <v>46.049156000000004</v>
      </c>
      <c r="G463" s="556" t="s">
        <v>196</v>
      </c>
      <c r="H463" s="556"/>
      <c r="I463" s="556"/>
      <c r="J463" s="556"/>
      <c r="K463" s="202">
        <v>45762</v>
      </c>
      <c r="L463" s="203" t="s">
        <v>673</v>
      </c>
      <c r="M463" s="10"/>
      <c r="N463" s="197"/>
      <c r="O463" s="198"/>
      <c r="P463" s="198"/>
    </row>
    <row r="464" spans="1:16">
      <c r="A464" s="10">
        <v>146</v>
      </c>
      <c r="B464" s="193" t="s">
        <v>557</v>
      </c>
      <c r="C464" s="447" t="s">
        <v>224</v>
      </c>
      <c r="D464" s="10"/>
      <c r="E464" s="202">
        <v>45752</v>
      </c>
      <c r="F464" s="23">
        <v>46.049156000000004</v>
      </c>
      <c r="G464" s="556" t="s">
        <v>196</v>
      </c>
      <c r="H464" s="556"/>
      <c r="I464" s="556"/>
      <c r="J464" s="556"/>
      <c r="K464" s="202">
        <v>45763</v>
      </c>
      <c r="L464" s="203" t="s">
        <v>676</v>
      </c>
      <c r="M464" s="10"/>
      <c r="N464" s="197"/>
      <c r="O464" s="198"/>
      <c r="P464" s="198"/>
    </row>
    <row r="465" spans="1:16">
      <c r="A465" s="10">
        <v>147</v>
      </c>
      <c r="B465" s="193" t="s">
        <v>558</v>
      </c>
      <c r="C465" s="447" t="s">
        <v>225</v>
      </c>
      <c r="D465" s="10"/>
      <c r="E465" s="202">
        <v>45759</v>
      </c>
      <c r="F465" s="23">
        <v>42.374236000000003</v>
      </c>
      <c r="G465" s="556" t="s">
        <v>196</v>
      </c>
      <c r="H465" s="556"/>
      <c r="I465" s="556"/>
      <c r="J465" s="556"/>
      <c r="K465" s="202">
        <v>45763</v>
      </c>
      <c r="L465" s="203" t="s">
        <v>675</v>
      </c>
      <c r="M465" s="10"/>
      <c r="N465" s="197"/>
      <c r="O465" s="198"/>
      <c r="P465" s="198"/>
    </row>
    <row r="466" spans="1:16">
      <c r="A466" s="10">
        <v>148</v>
      </c>
      <c r="B466" s="193" t="s">
        <v>559</v>
      </c>
      <c r="C466" s="447" t="s">
        <v>560</v>
      </c>
      <c r="D466" s="10"/>
      <c r="E466" s="202">
        <v>45753</v>
      </c>
      <c r="F466" s="23">
        <v>86.256192999999996</v>
      </c>
      <c r="G466" s="556" t="s">
        <v>196</v>
      </c>
      <c r="H466" s="556"/>
      <c r="I466" s="556"/>
      <c r="J466" s="556"/>
      <c r="K466" s="202">
        <v>45764</v>
      </c>
      <c r="L466" s="203" t="s">
        <v>420</v>
      </c>
      <c r="M466" s="10"/>
      <c r="N466" s="197"/>
      <c r="O466" s="198"/>
      <c r="P466" s="198"/>
    </row>
    <row r="467" spans="1:16">
      <c r="A467" s="10">
        <v>149</v>
      </c>
      <c r="B467" s="193" t="s">
        <v>364</v>
      </c>
      <c r="C467" s="447" t="s">
        <v>508</v>
      </c>
      <c r="D467" s="10"/>
      <c r="E467" s="202">
        <v>45759</v>
      </c>
      <c r="F467" s="23">
        <v>64.481662</v>
      </c>
      <c r="G467" s="556" t="s">
        <v>196</v>
      </c>
      <c r="H467" s="556"/>
      <c r="I467" s="556"/>
      <c r="J467" s="556"/>
      <c r="K467" s="202">
        <v>45766</v>
      </c>
      <c r="L467" s="203" t="s">
        <v>672</v>
      </c>
      <c r="M467" s="10"/>
      <c r="N467" s="197"/>
      <c r="O467" s="198"/>
      <c r="P467" s="198"/>
    </row>
    <row r="468" spans="1:16">
      <c r="A468" s="10">
        <v>150</v>
      </c>
      <c r="B468" s="193" t="s">
        <v>561</v>
      </c>
      <c r="C468" s="447" t="s">
        <v>226</v>
      </c>
      <c r="D468" s="10"/>
      <c r="E468" s="202">
        <v>45761</v>
      </c>
      <c r="F468" s="23">
        <v>53.323913999999995</v>
      </c>
      <c r="G468" s="556" t="s">
        <v>196</v>
      </c>
      <c r="H468" s="556"/>
      <c r="I468" s="556"/>
      <c r="J468" s="556"/>
      <c r="K468" s="202">
        <v>45768</v>
      </c>
      <c r="L468" s="203" t="s">
        <v>677</v>
      </c>
      <c r="M468" s="10"/>
      <c r="N468" s="197"/>
      <c r="O468" s="198"/>
      <c r="P468" s="198"/>
    </row>
    <row r="469" spans="1:16">
      <c r="A469" s="10">
        <v>151</v>
      </c>
      <c r="B469" s="193" t="s">
        <v>562</v>
      </c>
      <c r="C469" s="447" t="s">
        <v>225</v>
      </c>
      <c r="D469" s="10"/>
      <c r="E469" s="202">
        <v>45759</v>
      </c>
      <c r="F469" s="23">
        <v>42.374236000000003</v>
      </c>
      <c r="G469" s="556" t="s">
        <v>196</v>
      </c>
      <c r="H469" s="556"/>
      <c r="I469" s="556"/>
      <c r="J469" s="556"/>
      <c r="K469" s="202">
        <v>45768</v>
      </c>
      <c r="L469" s="203" t="s">
        <v>669</v>
      </c>
      <c r="M469" s="10"/>
      <c r="N469" s="197"/>
      <c r="O469" s="198"/>
      <c r="P469" s="198"/>
    </row>
    <row r="470" spans="1:16">
      <c r="A470" s="10">
        <v>152</v>
      </c>
      <c r="B470" s="193" t="s">
        <v>362</v>
      </c>
      <c r="C470" s="447" t="s">
        <v>552</v>
      </c>
      <c r="D470" s="10"/>
      <c r="E470" s="202">
        <v>45759</v>
      </c>
      <c r="F470" s="23">
        <v>87.011570000000006</v>
      </c>
      <c r="G470" s="556" t="s">
        <v>196</v>
      </c>
      <c r="H470" s="556"/>
      <c r="I470" s="556"/>
      <c r="J470" s="556"/>
      <c r="K470" s="202">
        <v>45769</v>
      </c>
      <c r="L470" s="203" t="s">
        <v>664</v>
      </c>
      <c r="M470" s="10"/>
      <c r="N470" s="197"/>
      <c r="O470" s="198"/>
      <c r="P470" s="198"/>
    </row>
    <row r="471" spans="1:16">
      <c r="A471" s="10">
        <v>153</v>
      </c>
      <c r="B471" s="193" t="s">
        <v>563</v>
      </c>
      <c r="C471" s="447" t="s">
        <v>225</v>
      </c>
      <c r="D471" s="10"/>
      <c r="E471" s="202">
        <v>45759</v>
      </c>
      <c r="F471" s="23">
        <v>42.374236000000003</v>
      </c>
      <c r="G471" s="556" t="s">
        <v>196</v>
      </c>
      <c r="H471" s="556"/>
      <c r="I471" s="556"/>
      <c r="J471" s="556"/>
      <c r="K471" s="202">
        <v>45769</v>
      </c>
      <c r="L471" s="203" t="s">
        <v>671</v>
      </c>
      <c r="M471" s="10"/>
      <c r="N471" s="197"/>
      <c r="O471" s="198"/>
      <c r="P471" s="198"/>
    </row>
    <row r="472" spans="1:16">
      <c r="A472" s="10">
        <v>154</v>
      </c>
      <c r="B472" s="193" t="s">
        <v>564</v>
      </c>
      <c r="C472" s="447" t="s">
        <v>224</v>
      </c>
      <c r="D472" s="10"/>
      <c r="E472" s="202">
        <v>45759</v>
      </c>
      <c r="F472" s="23">
        <v>46.049156000000004</v>
      </c>
      <c r="G472" s="556" t="s">
        <v>196</v>
      </c>
      <c r="H472" s="556"/>
      <c r="I472" s="556"/>
      <c r="J472" s="556"/>
      <c r="K472" s="202">
        <v>45769</v>
      </c>
      <c r="L472" s="203" t="s">
        <v>668</v>
      </c>
      <c r="M472" s="10"/>
      <c r="N472" s="197"/>
      <c r="O472" s="198"/>
      <c r="P472" s="198"/>
    </row>
    <row r="473" spans="1:16">
      <c r="A473" s="10">
        <v>155</v>
      </c>
      <c r="B473" s="193" t="s">
        <v>565</v>
      </c>
      <c r="C473" s="447" t="s">
        <v>226</v>
      </c>
      <c r="D473" s="10"/>
      <c r="E473" s="202">
        <v>45763</v>
      </c>
      <c r="F473" s="23">
        <v>53.323913999999995</v>
      </c>
      <c r="G473" s="556" t="s">
        <v>196</v>
      </c>
      <c r="H473" s="556"/>
      <c r="I473" s="556"/>
      <c r="J473" s="556"/>
      <c r="K473" s="202">
        <v>45769</v>
      </c>
      <c r="L473" s="203" t="s">
        <v>673</v>
      </c>
      <c r="M473" s="10"/>
      <c r="N473" s="197"/>
      <c r="O473" s="198"/>
      <c r="P473" s="198"/>
    </row>
    <row r="474" spans="1:16">
      <c r="A474" s="10">
        <v>156</v>
      </c>
      <c r="B474" s="193" t="s">
        <v>566</v>
      </c>
      <c r="C474" s="447" t="s">
        <v>195</v>
      </c>
      <c r="D474" s="10"/>
      <c r="E474" s="202">
        <v>45762</v>
      </c>
      <c r="F474" s="23">
        <v>43.775756000000008</v>
      </c>
      <c r="G474" s="556" t="s">
        <v>196</v>
      </c>
      <c r="H474" s="556"/>
      <c r="I474" s="556"/>
      <c r="J474" s="556"/>
      <c r="K474" s="202">
        <v>45770</v>
      </c>
      <c r="L474" s="203" t="s">
        <v>670</v>
      </c>
      <c r="M474" s="10"/>
      <c r="N474" s="197"/>
      <c r="O474" s="198"/>
      <c r="P474" s="198"/>
    </row>
    <row r="475" spans="1:16">
      <c r="A475" s="10">
        <v>157</v>
      </c>
      <c r="B475" s="193" t="s">
        <v>567</v>
      </c>
      <c r="C475" s="447" t="s">
        <v>225</v>
      </c>
      <c r="D475" s="10"/>
      <c r="E475" s="202">
        <v>45764</v>
      </c>
      <c r="F475" s="23">
        <v>42.374236000000003</v>
      </c>
      <c r="G475" s="556" t="s">
        <v>196</v>
      </c>
      <c r="H475" s="556"/>
      <c r="I475" s="556"/>
      <c r="J475" s="556"/>
      <c r="K475" s="202">
        <v>45772</v>
      </c>
      <c r="L475" s="203" t="s">
        <v>676</v>
      </c>
      <c r="M475" s="10"/>
      <c r="N475" s="197"/>
      <c r="O475" s="198"/>
      <c r="P475" s="198"/>
    </row>
    <row r="476" spans="1:16">
      <c r="A476" s="10">
        <v>158</v>
      </c>
      <c r="B476" s="193" t="s">
        <v>568</v>
      </c>
      <c r="C476" s="447" t="s">
        <v>227</v>
      </c>
      <c r="D476" s="10"/>
      <c r="E476" s="202">
        <v>45759</v>
      </c>
      <c r="F476" s="23">
        <v>55.338726999999999</v>
      </c>
      <c r="G476" s="556" t="s">
        <v>196</v>
      </c>
      <c r="H476" s="556"/>
      <c r="I476" s="556"/>
      <c r="J476" s="556"/>
      <c r="K476" s="202">
        <v>45773</v>
      </c>
      <c r="L476" s="203" t="s">
        <v>674</v>
      </c>
      <c r="M476" s="10"/>
      <c r="N476" s="197"/>
      <c r="O476" s="198"/>
      <c r="P476" s="198"/>
    </row>
    <row r="477" spans="1:16">
      <c r="A477" s="10">
        <v>159</v>
      </c>
      <c r="B477" s="193" t="s">
        <v>569</v>
      </c>
      <c r="C477" s="447" t="s">
        <v>225</v>
      </c>
      <c r="D477" s="10"/>
      <c r="E477" s="202">
        <v>45770</v>
      </c>
      <c r="F477" s="23">
        <v>42.374236000000003</v>
      </c>
      <c r="G477" s="556" t="s">
        <v>196</v>
      </c>
      <c r="H477" s="556"/>
      <c r="I477" s="556"/>
      <c r="J477" s="556"/>
      <c r="K477" s="202">
        <v>45773</v>
      </c>
      <c r="L477" s="203" t="s">
        <v>673</v>
      </c>
      <c r="M477" s="10"/>
      <c r="N477" s="197"/>
      <c r="O477" s="198"/>
      <c r="P477" s="198"/>
    </row>
    <row r="478" spans="1:16">
      <c r="A478" s="10">
        <v>160</v>
      </c>
      <c r="B478" s="193" t="s">
        <v>570</v>
      </c>
      <c r="C478" s="447" t="s">
        <v>225</v>
      </c>
      <c r="D478" s="10"/>
      <c r="E478" s="202">
        <v>45767</v>
      </c>
      <c r="F478" s="23">
        <v>42.374236000000003</v>
      </c>
      <c r="G478" s="556" t="s">
        <v>196</v>
      </c>
      <c r="H478" s="556"/>
      <c r="I478" s="556"/>
      <c r="J478" s="556"/>
      <c r="K478" s="202">
        <v>45773</v>
      </c>
      <c r="L478" s="203" t="s">
        <v>672</v>
      </c>
      <c r="M478" s="10"/>
      <c r="N478" s="197"/>
      <c r="O478" s="198"/>
      <c r="P478" s="198"/>
    </row>
    <row r="479" spans="1:16">
      <c r="A479" s="10">
        <v>161</v>
      </c>
      <c r="B479" s="193" t="s">
        <v>571</v>
      </c>
      <c r="C479" s="447" t="s">
        <v>224</v>
      </c>
      <c r="D479" s="10"/>
      <c r="E479" s="202">
        <v>45770</v>
      </c>
      <c r="F479" s="23">
        <v>46.049156000000004</v>
      </c>
      <c r="G479" s="556" t="s">
        <v>196</v>
      </c>
      <c r="H479" s="556"/>
      <c r="I479" s="556"/>
      <c r="J479" s="556"/>
      <c r="K479" s="202">
        <v>45775</v>
      </c>
      <c r="L479" s="203" t="s">
        <v>668</v>
      </c>
      <c r="M479" s="10"/>
      <c r="N479" s="197"/>
      <c r="O479" s="198"/>
      <c r="P479" s="198"/>
    </row>
    <row r="480" spans="1:16">
      <c r="A480" s="10">
        <v>162</v>
      </c>
      <c r="B480" s="193" t="s">
        <v>17</v>
      </c>
      <c r="C480" s="447" t="s">
        <v>224</v>
      </c>
      <c r="D480" s="10"/>
      <c r="E480" s="202">
        <v>45770</v>
      </c>
      <c r="F480" s="23">
        <v>46.049156000000004</v>
      </c>
      <c r="G480" s="556" t="s">
        <v>196</v>
      </c>
      <c r="H480" s="556"/>
      <c r="I480" s="556"/>
      <c r="J480" s="556"/>
      <c r="K480" s="202">
        <v>45775</v>
      </c>
      <c r="L480" s="203" t="s">
        <v>664</v>
      </c>
      <c r="M480" s="10"/>
      <c r="N480" s="197"/>
      <c r="O480" s="198"/>
      <c r="P480" s="198"/>
    </row>
    <row r="481" spans="1:16">
      <c r="A481" s="10">
        <v>163</v>
      </c>
      <c r="B481" s="193" t="s">
        <v>572</v>
      </c>
      <c r="C481" s="447" t="s">
        <v>363</v>
      </c>
      <c r="D481" s="10"/>
      <c r="E481" s="202">
        <v>45764</v>
      </c>
      <c r="F481" s="23">
        <v>78.677549999999997</v>
      </c>
      <c r="G481" s="556" t="s">
        <v>196</v>
      </c>
      <c r="H481" s="556"/>
      <c r="I481" s="556"/>
      <c r="J481" s="556"/>
      <c r="K481" s="202">
        <v>45775</v>
      </c>
      <c r="L481" s="203" t="s">
        <v>675</v>
      </c>
      <c r="M481" s="10"/>
      <c r="N481" s="197"/>
      <c r="O481" s="198"/>
      <c r="P481" s="198"/>
    </row>
    <row r="482" spans="1:16">
      <c r="A482" s="10">
        <v>164</v>
      </c>
      <c r="B482" s="193" t="s">
        <v>573</v>
      </c>
      <c r="C482" s="447" t="s">
        <v>225</v>
      </c>
      <c r="D482" s="10"/>
      <c r="E482" s="202">
        <v>45769</v>
      </c>
      <c r="F482" s="23">
        <v>42.374236000000003</v>
      </c>
      <c r="G482" s="556" t="s">
        <v>196</v>
      </c>
      <c r="H482" s="556"/>
      <c r="I482" s="556"/>
      <c r="J482" s="556"/>
      <c r="K482" s="202">
        <v>45775</v>
      </c>
      <c r="L482" s="203" t="s">
        <v>669</v>
      </c>
      <c r="M482" s="10"/>
      <c r="N482" s="197"/>
      <c r="O482" s="198"/>
      <c r="P482" s="198"/>
    </row>
    <row r="483" spans="1:16">
      <c r="A483" s="10">
        <v>165</v>
      </c>
      <c r="B483" s="193" t="s">
        <v>574</v>
      </c>
      <c r="C483" s="447" t="s">
        <v>225</v>
      </c>
      <c r="D483" s="10"/>
      <c r="E483" s="202">
        <v>45773</v>
      </c>
      <c r="F483" s="23">
        <v>42.374236000000003</v>
      </c>
      <c r="G483" s="556" t="s">
        <v>196</v>
      </c>
      <c r="H483" s="556"/>
      <c r="I483" s="556"/>
      <c r="J483" s="556"/>
      <c r="K483" s="202">
        <v>45776</v>
      </c>
      <c r="L483" s="203" t="s">
        <v>676</v>
      </c>
      <c r="M483" s="10"/>
      <c r="N483" s="197"/>
      <c r="O483" s="198"/>
      <c r="P483" s="198"/>
    </row>
    <row r="484" spans="1:16">
      <c r="A484" s="10">
        <v>166</v>
      </c>
      <c r="B484" s="193" t="s">
        <v>575</v>
      </c>
      <c r="C484" s="447" t="s">
        <v>225</v>
      </c>
      <c r="D484" s="10"/>
      <c r="E484" s="202">
        <v>45770</v>
      </c>
      <c r="F484" s="23">
        <v>42.374236000000003</v>
      </c>
      <c r="G484" s="556" t="s">
        <v>196</v>
      </c>
      <c r="H484" s="556"/>
      <c r="I484" s="556"/>
      <c r="J484" s="556"/>
      <c r="K484" s="202">
        <v>45809</v>
      </c>
      <c r="L484" s="203" t="s">
        <v>671</v>
      </c>
      <c r="M484" s="10"/>
      <c r="N484" s="197"/>
      <c r="O484" s="198"/>
      <c r="P484" s="198"/>
    </row>
    <row r="485" spans="1:16">
      <c r="A485" s="10">
        <v>167</v>
      </c>
      <c r="B485" s="193" t="s">
        <v>576</v>
      </c>
      <c r="C485" s="447" t="s">
        <v>380</v>
      </c>
      <c r="D485" s="10"/>
      <c r="E485" s="202">
        <v>45769</v>
      </c>
      <c r="F485" s="23">
        <v>97.228551999999993</v>
      </c>
      <c r="G485" s="556" t="s">
        <v>196</v>
      </c>
      <c r="H485" s="556"/>
      <c r="I485" s="556"/>
      <c r="J485" s="556"/>
      <c r="K485" s="202">
        <v>45777</v>
      </c>
      <c r="L485" s="203" t="s">
        <v>667</v>
      </c>
      <c r="M485" s="10"/>
      <c r="N485" s="197"/>
      <c r="O485" s="198"/>
      <c r="P485" s="198"/>
    </row>
    <row r="486" spans="1:16">
      <c r="A486" s="10">
        <v>168</v>
      </c>
      <c r="B486" s="193" t="s">
        <v>577</v>
      </c>
      <c r="C486" s="447" t="s">
        <v>225</v>
      </c>
      <c r="D486" s="10"/>
      <c r="E486" s="202">
        <v>45774</v>
      </c>
      <c r="F486" s="23">
        <v>42.374236000000003</v>
      </c>
      <c r="G486" s="556" t="s">
        <v>196</v>
      </c>
      <c r="H486" s="556"/>
      <c r="I486" s="556"/>
      <c r="J486" s="556"/>
      <c r="K486" s="202">
        <v>45777</v>
      </c>
      <c r="L486" s="203" t="s">
        <v>673</v>
      </c>
      <c r="M486" s="10"/>
      <c r="N486" s="197"/>
      <c r="O486" s="198"/>
      <c r="P486" s="198"/>
    </row>
    <row r="487" spans="1:16">
      <c r="A487" s="10">
        <v>169</v>
      </c>
      <c r="B487" s="193" t="s">
        <v>18</v>
      </c>
      <c r="C487" s="447" t="s">
        <v>224</v>
      </c>
      <c r="D487" s="10"/>
      <c r="E487" s="202">
        <v>45776</v>
      </c>
      <c r="F487" s="23">
        <v>46.049156000000004</v>
      </c>
      <c r="G487" s="556" t="s">
        <v>196</v>
      </c>
      <c r="H487" s="556"/>
      <c r="I487" s="556"/>
      <c r="J487" s="556"/>
      <c r="K487" s="202">
        <v>45780</v>
      </c>
      <c r="L487" s="203" t="s">
        <v>664</v>
      </c>
      <c r="M487" s="10"/>
      <c r="N487" s="197"/>
      <c r="O487" s="198"/>
      <c r="P487" s="198"/>
    </row>
    <row r="488" spans="1:16">
      <c r="A488" s="10">
        <v>170</v>
      </c>
      <c r="B488" s="193" t="s">
        <v>578</v>
      </c>
      <c r="C488" s="447" t="s">
        <v>224</v>
      </c>
      <c r="D488" s="10"/>
      <c r="E488" s="202">
        <v>45776</v>
      </c>
      <c r="F488" s="23">
        <v>46.049156000000004</v>
      </c>
      <c r="G488" s="556" t="s">
        <v>196</v>
      </c>
      <c r="H488" s="556"/>
      <c r="I488" s="556"/>
      <c r="J488" s="556"/>
      <c r="K488" s="202">
        <v>45781</v>
      </c>
      <c r="L488" s="203" t="s">
        <v>672</v>
      </c>
      <c r="M488" s="10"/>
      <c r="N488" s="197"/>
      <c r="O488" s="198"/>
      <c r="P488" s="198"/>
    </row>
    <row r="489" spans="1:16">
      <c r="A489" s="10">
        <v>171</v>
      </c>
      <c r="B489" s="193" t="s">
        <v>579</v>
      </c>
      <c r="C489" s="447" t="s">
        <v>225</v>
      </c>
      <c r="D489" s="10"/>
      <c r="E489" s="202">
        <v>45776</v>
      </c>
      <c r="F489" s="23">
        <v>42.374236000000003</v>
      </c>
      <c r="G489" s="556" t="s">
        <v>196</v>
      </c>
      <c r="H489" s="556"/>
      <c r="I489" s="556"/>
      <c r="J489" s="556"/>
      <c r="K489" s="202">
        <v>45782</v>
      </c>
      <c r="L489" s="203" t="s">
        <v>668</v>
      </c>
      <c r="M489" s="10"/>
      <c r="N489" s="197"/>
      <c r="O489" s="198"/>
      <c r="P489" s="198"/>
    </row>
    <row r="490" spans="1:16">
      <c r="A490" s="10">
        <v>172</v>
      </c>
      <c r="B490" s="193" t="s">
        <v>580</v>
      </c>
      <c r="C490" s="447" t="s">
        <v>224</v>
      </c>
      <c r="D490" s="10"/>
      <c r="E490" s="202">
        <v>45777</v>
      </c>
      <c r="F490" s="23">
        <v>46.049156000000004</v>
      </c>
      <c r="G490" s="556" t="s">
        <v>196</v>
      </c>
      <c r="H490" s="556"/>
      <c r="I490" s="556"/>
      <c r="J490" s="556"/>
      <c r="K490" s="202">
        <v>45783</v>
      </c>
      <c r="L490" s="203" t="s">
        <v>673</v>
      </c>
      <c r="M490" s="10"/>
      <c r="N490" s="197"/>
      <c r="O490" s="198"/>
      <c r="P490" s="198"/>
    </row>
    <row r="491" spans="1:16">
      <c r="A491" s="10">
        <v>173</v>
      </c>
      <c r="B491" s="193" t="s">
        <v>581</v>
      </c>
      <c r="C491" s="447" t="s">
        <v>195</v>
      </c>
      <c r="D491" s="10"/>
      <c r="E491" s="202">
        <v>45777</v>
      </c>
      <c r="F491" s="23">
        <v>43.775756000000008</v>
      </c>
      <c r="G491" s="556" t="s">
        <v>196</v>
      </c>
      <c r="H491" s="556"/>
      <c r="I491" s="556"/>
      <c r="J491" s="556"/>
      <c r="K491" s="202">
        <v>45783</v>
      </c>
      <c r="L491" s="203" t="s">
        <v>669</v>
      </c>
      <c r="M491" s="10"/>
      <c r="N491" s="197"/>
      <c r="O491" s="198"/>
      <c r="P491" s="198"/>
    </row>
    <row r="492" spans="1:16">
      <c r="A492" s="10">
        <v>174</v>
      </c>
      <c r="B492" s="193" t="s">
        <v>582</v>
      </c>
      <c r="C492" s="447" t="s">
        <v>225</v>
      </c>
      <c r="D492" s="10"/>
      <c r="E492" s="202">
        <v>45777</v>
      </c>
      <c r="F492" s="23">
        <v>42.374236000000003</v>
      </c>
      <c r="G492" s="556" t="s">
        <v>196</v>
      </c>
      <c r="H492" s="556"/>
      <c r="I492" s="556"/>
      <c r="J492" s="556"/>
      <c r="K492" s="202">
        <v>45783</v>
      </c>
      <c r="L492" s="203" t="s">
        <v>676</v>
      </c>
      <c r="M492" s="10"/>
      <c r="N492" s="197"/>
      <c r="O492" s="198"/>
      <c r="P492" s="198"/>
    </row>
    <row r="493" spans="1:16">
      <c r="A493" s="10">
        <v>175</v>
      </c>
      <c r="B493" s="193" t="s">
        <v>583</v>
      </c>
      <c r="C493" s="447" t="s">
        <v>224</v>
      </c>
      <c r="D493" s="10"/>
      <c r="E493" s="202">
        <v>45777</v>
      </c>
      <c r="F493" s="23">
        <v>46.049156000000004</v>
      </c>
      <c r="G493" s="556" t="s">
        <v>196</v>
      </c>
      <c r="H493" s="556"/>
      <c r="I493" s="556"/>
      <c r="J493" s="556"/>
      <c r="K493" s="202">
        <v>45784</v>
      </c>
      <c r="L493" s="203" t="s">
        <v>670</v>
      </c>
      <c r="M493" s="10"/>
      <c r="N493" s="197"/>
      <c r="O493" s="198"/>
      <c r="P493" s="198"/>
    </row>
    <row r="494" spans="1:16">
      <c r="A494" s="10">
        <v>176</v>
      </c>
      <c r="B494" s="193" t="s">
        <v>584</v>
      </c>
      <c r="C494" s="447" t="s">
        <v>225</v>
      </c>
      <c r="D494" s="10"/>
      <c r="E494" s="202">
        <v>45783</v>
      </c>
      <c r="F494" s="23">
        <v>42.374236000000003</v>
      </c>
      <c r="G494" s="556" t="s">
        <v>196</v>
      </c>
      <c r="H494" s="556"/>
      <c r="I494" s="556"/>
      <c r="J494" s="556"/>
      <c r="K494" s="202">
        <v>45786</v>
      </c>
      <c r="L494" s="203" t="s">
        <v>673</v>
      </c>
      <c r="M494" s="10"/>
      <c r="N494" s="197"/>
      <c r="O494" s="198"/>
      <c r="P494" s="198"/>
    </row>
    <row r="495" spans="1:16">
      <c r="A495" s="10">
        <v>177</v>
      </c>
      <c r="B495" s="193" t="s">
        <v>585</v>
      </c>
      <c r="C495" s="447" t="s">
        <v>225</v>
      </c>
      <c r="D495" s="10"/>
      <c r="E495" s="202">
        <v>45781</v>
      </c>
      <c r="F495" s="23">
        <v>42.374236000000003</v>
      </c>
      <c r="G495" s="556" t="s">
        <v>196</v>
      </c>
      <c r="H495" s="556"/>
      <c r="I495" s="556"/>
      <c r="J495" s="556"/>
      <c r="K495" s="202">
        <v>45787</v>
      </c>
      <c r="L495" s="203" t="s">
        <v>675</v>
      </c>
      <c r="M495" s="10"/>
      <c r="N495" s="197"/>
      <c r="O495" s="198"/>
      <c r="P495" s="198"/>
    </row>
    <row r="496" spans="1:16">
      <c r="A496" s="10">
        <v>178</v>
      </c>
      <c r="B496" s="193" t="s">
        <v>586</v>
      </c>
      <c r="C496" s="447" t="s">
        <v>225</v>
      </c>
      <c r="D496" s="10"/>
      <c r="E496" s="202">
        <v>45781</v>
      </c>
      <c r="F496" s="23">
        <v>42.374236000000003</v>
      </c>
      <c r="G496" s="556" t="s">
        <v>196</v>
      </c>
      <c r="H496" s="556"/>
      <c r="I496" s="556"/>
      <c r="J496" s="556"/>
      <c r="K496" s="202">
        <v>45788</v>
      </c>
      <c r="L496" s="203" t="s">
        <v>420</v>
      </c>
      <c r="M496" s="10"/>
      <c r="N496" s="197"/>
      <c r="O496" s="198"/>
      <c r="P496" s="198"/>
    </row>
    <row r="497" spans="1:16">
      <c r="A497" s="10">
        <v>179</v>
      </c>
      <c r="B497" s="193" t="s">
        <v>587</v>
      </c>
      <c r="C497" s="447" t="s">
        <v>225</v>
      </c>
      <c r="D497" s="10"/>
      <c r="E497" s="202">
        <v>45782</v>
      </c>
      <c r="F497" s="23">
        <v>42.374236000000003</v>
      </c>
      <c r="G497" s="556" t="s">
        <v>196</v>
      </c>
      <c r="H497" s="556"/>
      <c r="I497" s="556"/>
      <c r="J497" s="556"/>
      <c r="K497" s="202">
        <v>45788</v>
      </c>
      <c r="L497" s="203" t="s">
        <v>672</v>
      </c>
      <c r="M497" s="10"/>
      <c r="N497" s="197"/>
      <c r="O497" s="198"/>
      <c r="P497" s="198"/>
    </row>
    <row r="498" spans="1:16">
      <c r="A498" s="10">
        <v>180</v>
      </c>
      <c r="B498" s="193" t="s">
        <v>129</v>
      </c>
      <c r="C498" s="447" t="s">
        <v>224</v>
      </c>
      <c r="D498" s="10"/>
      <c r="E498" s="202">
        <v>45784</v>
      </c>
      <c r="F498" s="23">
        <v>46.049156000000004</v>
      </c>
      <c r="G498" s="556" t="s">
        <v>196</v>
      </c>
      <c r="H498" s="556"/>
      <c r="I498" s="556"/>
      <c r="J498" s="556"/>
      <c r="K498" s="202">
        <v>45789</v>
      </c>
      <c r="L498" s="203" t="s">
        <v>676</v>
      </c>
      <c r="M498" s="10"/>
      <c r="N498" s="197"/>
      <c r="O498" s="198"/>
      <c r="P498" s="198"/>
    </row>
    <row r="499" spans="1:16">
      <c r="A499" s="10">
        <v>181</v>
      </c>
      <c r="B499" s="193" t="s">
        <v>588</v>
      </c>
      <c r="C499" s="447" t="s">
        <v>225</v>
      </c>
      <c r="D499" s="10"/>
      <c r="E499" s="202">
        <v>45784</v>
      </c>
      <c r="F499" s="23">
        <v>42.374236000000003</v>
      </c>
      <c r="G499" s="556" t="s">
        <v>196</v>
      </c>
      <c r="H499" s="556"/>
      <c r="I499" s="556"/>
      <c r="J499" s="556"/>
      <c r="K499" s="202">
        <v>45790</v>
      </c>
      <c r="L499" s="203" t="s">
        <v>669</v>
      </c>
      <c r="M499" s="10"/>
      <c r="N499" s="197"/>
      <c r="O499" s="198"/>
      <c r="P499" s="198"/>
    </row>
    <row r="500" spans="1:16">
      <c r="A500" s="10">
        <v>182</v>
      </c>
      <c r="B500" s="193" t="s">
        <v>589</v>
      </c>
      <c r="C500" s="447" t="s">
        <v>195</v>
      </c>
      <c r="D500" s="10"/>
      <c r="E500" s="202">
        <v>45784</v>
      </c>
      <c r="F500" s="23">
        <v>43.775756000000008</v>
      </c>
      <c r="G500" s="556" t="s">
        <v>196</v>
      </c>
      <c r="H500" s="556"/>
      <c r="I500" s="556"/>
      <c r="J500" s="556"/>
      <c r="K500" s="202">
        <v>45790</v>
      </c>
      <c r="L500" s="203" t="s">
        <v>668</v>
      </c>
      <c r="M500" s="10"/>
      <c r="N500" s="197"/>
      <c r="O500" s="198"/>
      <c r="P500" s="198"/>
    </row>
    <row r="501" spans="1:16">
      <c r="A501" s="10">
        <v>183</v>
      </c>
      <c r="B501" s="193" t="s">
        <v>141</v>
      </c>
      <c r="C501" s="447" t="s">
        <v>224</v>
      </c>
      <c r="D501" s="10"/>
      <c r="E501" s="202">
        <v>45784</v>
      </c>
      <c r="F501" s="23">
        <v>46.049156000000004</v>
      </c>
      <c r="G501" s="556" t="s">
        <v>196</v>
      </c>
      <c r="H501" s="556"/>
      <c r="I501" s="556"/>
      <c r="J501" s="556"/>
      <c r="K501" s="202">
        <v>45791</v>
      </c>
      <c r="L501" s="203" t="s">
        <v>664</v>
      </c>
      <c r="M501" s="10"/>
      <c r="N501" s="197"/>
      <c r="O501" s="198"/>
      <c r="P501" s="198"/>
    </row>
    <row r="502" spans="1:16">
      <c r="A502" s="10">
        <v>184</v>
      </c>
      <c r="B502" s="193" t="s">
        <v>590</v>
      </c>
      <c r="C502" s="447" t="s">
        <v>380</v>
      </c>
      <c r="D502" s="10"/>
      <c r="E502" s="202">
        <v>45782</v>
      </c>
      <c r="F502" s="23">
        <v>97.228551999999993</v>
      </c>
      <c r="G502" s="556" t="s">
        <v>196</v>
      </c>
      <c r="H502" s="556"/>
      <c r="I502" s="556"/>
      <c r="J502" s="556"/>
      <c r="K502" s="202">
        <v>45791</v>
      </c>
      <c r="L502" s="203" t="s">
        <v>667</v>
      </c>
      <c r="M502" s="10"/>
      <c r="N502" s="197"/>
      <c r="O502" s="198"/>
      <c r="P502" s="198"/>
    </row>
    <row r="503" spans="1:16">
      <c r="A503" s="10">
        <v>185</v>
      </c>
      <c r="B503" s="193" t="s">
        <v>591</v>
      </c>
      <c r="C503" s="447" t="s">
        <v>225</v>
      </c>
      <c r="D503" s="10"/>
      <c r="E503" s="202">
        <v>45788</v>
      </c>
      <c r="F503" s="23">
        <v>42.374236000000003</v>
      </c>
      <c r="G503" s="556" t="s">
        <v>196</v>
      </c>
      <c r="H503" s="556"/>
      <c r="I503" s="556"/>
      <c r="J503" s="556"/>
      <c r="K503" s="202">
        <v>45792</v>
      </c>
      <c r="L503" s="203" t="s">
        <v>673</v>
      </c>
      <c r="M503" s="10"/>
      <c r="N503" s="197"/>
      <c r="O503" s="198"/>
      <c r="P503" s="198"/>
    </row>
    <row r="504" spans="1:16">
      <c r="A504" s="10">
        <v>186</v>
      </c>
      <c r="B504" s="193" t="s">
        <v>592</v>
      </c>
      <c r="C504" s="447" t="s">
        <v>225</v>
      </c>
      <c r="D504" s="10"/>
      <c r="E504" s="202">
        <v>45790</v>
      </c>
      <c r="F504" s="23">
        <v>42.374236000000003</v>
      </c>
      <c r="G504" s="556" t="s">
        <v>196</v>
      </c>
      <c r="H504" s="556"/>
      <c r="I504" s="556"/>
      <c r="J504" s="556"/>
      <c r="K504" s="202">
        <v>45794</v>
      </c>
      <c r="L504" s="203" t="s">
        <v>676</v>
      </c>
      <c r="M504" s="10"/>
      <c r="N504" s="197"/>
      <c r="O504" s="198"/>
      <c r="P504" s="198"/>
    </row>
    <row r="505" spans="1:16">
      <c r="A505" s="10">
        <v>187</v>
      </c>
      <c r="B505" s="193" t="s">
        <v>140</v>
      </c>
      <c r="C505" s="447" t="s">
        <v>195</v>
      </c>
      <c r="D505" s="10"/>
      <c r="E505" s="202">
        <v>45791</v>
      </c>
      <c r="F505" s="23">
        <v>43.775756000000008</v>
      </c>
      <c r="G505" s="556" t="s">
        <v>196</v>
      </c>
      <c r="H505" s="556"/>
      <c r="I505" s="556"/>
      <c r="J505" s="556"/>
      <c r="K505" s="202">
        <v>45796</v>
      </c>
      <c r="L505" s="203" t="s">
        <v>664</v>
      </c>
      <c r="M505" s="10"/>
      <c r="N505" s="197"/>
      <c r="O505" s="198"/>
      <c r="P505" s="198"/>
    </row>
    <row r="506" spans="1:16">
      <c r="A506" s="10">
        <v>188</v>
      </c>
      <c r="B506" s="193" t="s">
        <v>593</v>
      </c>
      <c r="C506" s="447" t="s">
        <v>225</v>
      </c>
      <c r="D506" s="10"/>
      <c r="E506" s="202">
        <v>45791</v>
      </c>
      <c r="F506" s="23">
        <v>42.374236000000003</v>
      </c>
      <c r="G506" s="556" t="s">
        <v>196</v>
      </c>
      <c r="H506" s="556"/>
      <c r="I506" s="556"/>
      <c r="J506" s="556"/>
      <c r="K506" s="202">
        <v>45796</v>
      </c>
      <c r="L506" s="203" t="s">
        <v>668</v>
      </c>
      <c r="M506" s="10"/>
      <c r="N506" s="197"/>
      <c r="O506" s="198"/>
      <c r="P506" s="198"/>
    </row>
    <row r="507" spans="1:16">
      <c r="A507" s="10">
        <v>189</v>
      </c>
      <c r="B507" s="193" t="s">
        <v>594</v>
      </c>
      <c r="C507" s="447" t="s">
        <v>224</v>
      </c>
      <c r="D507" s="10"/>
      <c r="E507" s="202">
        <v>45789</v>
      </c>
      <c r="F507" s="23">
        <v>46.049156000000004</v>
      </c>
      <c r="G507" s="556" t="s">
        <v>196</v>
      </c>
      <c r="H507" s="556"/>
      <c r="I507" s="556"/>
      <c r="J507" s="556"/>
      <c r="K507" s="202">
        <v>45796</v>
      </c>
      <c r="L507" s="203" t="s">
        <v>672</v>
      </c>
      <c r="M507" s="10"/>
      <c r="N507" s="197"/>
      <c r="O507" s="198"/>
      <c r="P507" s="198"/>
    </row>
    <row r="508" spans="1:16">
      <c r="A508" s="10">
        <v>190</v>
      </c>
      <c r="B508" s="193" t="s">
        <v>595</v>
      </c>
      <c r="C508" s="447" t="s">
        <v>225</v>
      </c>
      <c r="D508" s="10"/>
      <c r="E508" s="202">
        <v>45791</v>
      </c>
      <c r="F508" s="23">
        <v>42.374236000000003</v>
      </c>
      <c r="G508" s="556" t="s">
        <v>196</v>
      </c>
      <c r="H508" s="556"/>
      <c r="I508" s="556"/>
      <c r="J508" s="556"/>
      <c r="K508" s="202">
        <v>45797</v>
      </c>
      <c r="L508" s="203" t="s">
        <v>669</v>
      </c>
      <c r="M508" s="10"/>
      <c r="N508" s="197"/>
      <c r="O508" s="198"/>
      <c r="P508" s="198"/>
    </row>
    <row r="509" spans="1:16">
      <c r="A509" s="10">
        <v>191</v>
      </c>
      <c r="B509" s="193" t="s">
        <v>596</v>
      </c>
      <c r="C509" s="447" t="s">
        <v>224</v>
      </c>
      <c r="D509" s="10"/>
      <c r="E509" s="202">
        <v>45789</v>
      </c>
      <c r="F509" s="23">
        <v>46.049156000000004</v>
      </c>
      <c r="G509" s="556" t="s">
        <v>196</v>
      </c>
      <c r="H509" s="556"/>
      <c r="I509" s="556"/>
      <c r="J509" s="556"/>
      <c r="K509" s="202">
        <v>45798</v>
      </c>
      <c r="L509" s="203" t="s">
        <v>420</v>
      </c>
      <c r="M509" s="10"/>
      <c r="N509" s="197"/>
      <c r="O509" s="198"/>
      <c r="P509" s="198"/>
    </row>
    <row r="510" spans="1:16">
      <c r="A510" s="10">
        <v>192</v>
      </c>
      <c r="B510" s="193" t="s">
        <v>597</v>
      </c>
      <c r="C510" s="447" t="s">
        <v>224</v>
      </c>
      <c r="D510" s="10"/>
      <c r="E510" s="202">
        <v>45793</v>
      </c>
      <c r="F510" s="23">
        <v>46.049156000000004</v>
      </c>
      <c r="G510" s="556" t="s">
        <v>196</v>
      </c>
      <c r="H510" s="556"/>
      <c r="I510" s="556"/>
      <c r="J510" s="556"/>
      <c r="K510" s="202">
        <v>45798</v>
      </c>
      <c r="L510" s="203" t="s">
        <v>676</v>
      </c>
      <c r="M510" s="10"/>
      <c r="N510" s="197"/>
      <c r="O510" s="198"/>
      <c r="P510" s="198"/>
    </row>
    <row r="511" spans="1:16">
      <c r="A511" s="10">
        <v>193</v>
      </c>
      <c r="B511" s="193" t="s">
        <v>598</v>
      </c>
      <c r="C511" s="447" t="s">
        <v>225</v>
      </c>
      <c r="D511" s="10"/>
      <c r="E511" s="202">
        <v>45792</v>
      </c>
      <c r="F511" s="23">
        <v>42.374236000000003</v>
      </c>
      <c r="G511" s="556" t="s">
        <v>196</v>
      </c>
      <c r="H511" s="556"/>
      <c r="I511" s="556"/>
      <c r="J511" s="556"/>
      <c r="K511" s="202">
        <v>45799</v>
      </c>
      <c r="L511" s="203" t="s">
        <v>667</v>
      </c>
      <c r="M511" s="10"/>
      <c r="N511" s="197"/>
      <c r="O511" s="198"/>
      <c r="P511" s="198"/>
    </row>
    <row r="512" spans="1:16">
      <c r="A512" s="10">
        <v>194</v>
      </c>
      <c r="B512" s="193" t="s">
        <v>599</v>
      </c>
      <c r="C512" s="447" t="s">
        <v>225</v>
      </c>
      <c r="D512" s="10"/>
      <c r="E512" s="202">
        <v>45788</v>
      </c>
      <c r="F512" s="23">
        <v>42.374236000000003</v>
      </c>
      <c r="G512" s="556" t="s">
        <v>196</v>
      </c>
      <c r="H512" s="556"/>
      <c r="I512" s="556"/>
      <c r="J512" s="556"/>
      <c r="K512" s="202">
        <v>45799</v>
      </c>
      <c r="L512" s="203" t="s">
        <v>675</v>
      </c>
      <c r="M512" s="10"/>
      <c r="N512" s="197"/>
      <c r="O512" s="198"/>
      <c r="P512" s="198"/>
    </row>
    <row r="513" spans="1:16">
      <c r="A513" s="10">
        <v>195</v>
      </c>
      <c r="B513" s="193" t="s">
        <v>600</v>
      </c>
      <c r="C513" s="447" t="s">
        <v>226</v>
      </c>
      <c r="D513" s="10"/>
      <c r="E513" s="202">
        <v>45789</v>
      </c>
      <c r="F513" s="23">
        <v>53.323913999999995</v>
      </c>
      <c r="G513" s="556" t="s">
        <v>196</v>
      </c>
      <c r="H513" s="556"/>
      <c r="I513" s="556"/>
      <c r="J513" s="556"/>
      <c r="K513" s="202">
        <v>45799</v>
      </c>
      <c r="L513" s="203" t="s">
        <v>678</v>
      </c>
      <c r="M513" s="10"/>
      <c r="N513" s="197"/>
      <c r="O513" s="198"/>
      <c r="P513" s="198"/>
    </row>
    <row r="514" spans="1:16">
      <c r="A514" s="10">
        <v>196</v>
      </c>
      <c r="B514" s="193" t="s">
        <v>601</v>
      </c>
      <c r="C514" s="447" t="s">
        <v>225</v>
      </c>
      <c r="D514" s="10"/>
      <c r="E514" s="202">
        <v>45797</v>
      </c>
      <c r="F514" s="23">
        <v>42.374236000000003</v>
      </c>
      <c r="G514" s="556" t="s">
        <v>196</v>
      </c>
      <c r="H514" s="556"/>
      <c r="I514" s="556"/>
      <c r="J514" s="556"/>
      <c r="K514" s="202">
        <v>45801</v>
      </c>
      <c r="L514" s="203" t="s">
        <v>668</v>
      </c>
      <c r="M514" s="10"/>
      <c r="N514" s="197"/>
      <c r="O514" s="198"/>
      <c r="P514" s="198"/>
    </row>
    <row r="515" spans="1:16">
      <c r="A515" s="10">
        <v>197</v>
      </c>
      <c r="B515" s="193" t="s">
        <v>602</v>
      </c>
      <c r="C515" s="447" t="s">
        <v>225</v>
      </c>
      <c r="D515" s="10"/>
      <c r="E515" s="202">
        <v>45797</v>
      </c>
      <c r="F515" s="23">
        <v>42.374236000000003</v>
      </c>
      <c r="G515" s="556" t="s">
        <v>196</v>
      </c>
      <c r="H515" s="556"/>
      <c r="I515" s="556"/>
      <c r="J515" s="556"/>
      <c r="K515" s="202">
        <v>45801</v>
      </c>
      <c r="L515" s="203" t="s">
        <v>672</v>
      </c>
      <c r="M515" s="10"/>
      <c r="N515" s="197"/>
      <c r="O515" s="198"/>
      <c r="P515" s="198"/>
    </row>
    <row r="516" spans="1:16">
      <c r="A516" s="10">
        <v>198</v>
      </c>
      <c r="B516" s="193" t="s">
        <v>142</v>
      </c>
      <c r="C516" s="447" t="s">
        <v>225</v>
      </c>
      <c r="D516" s="10"/>
      <c r="E516" s="202">
        <v>45797</v>
      </c>
      <c r="F516" s="23">
        <v>42.374236000000003</v>
      </c>
      <c r="G516" s="556" t="s">
        <v>196</v>
      </c>
      <c r="H516" s="556"/>
      <c r="I516" s="556"/>
      <c r="J516" s="556"/>
      <c r="K516" s="202">
        <v>45801</v>
      </c>
      <c r="L516" s="203" t="s">
        <v>664</v>
      </c>
      <c r="M516" s="10"/>
      <c r="N516" s="197"/>
      <c r="O516" s="198"/>
      <c r="P516" s="198"/>
    </row>
    <row r="517" spans="1:16">
      <c r="A517" s="10">
        <v>199</v>
      </c>
      <c r="B517" s="193" t="s">
        <v>603</v>
      </c>
      <c r="C517" s="447" t="s">
        <v>604</v>
      </c>
      <c r="D517" s="10"/>
      <c r="E517" s="202">
        <v>45793</v>
      </c>
      <c r="F517" s="23">
        <v>78.073216000000002</v>
      </c>
      <c r="G517" s="556" t="s">
        <v>196</v>
      </c>
      <c r="H517" s="556"/>
      <c r="I517" s="556"/>
      <c r="J517" s="556"/>
      <c r="K517" s="202">
        <v>45802</v>
      </c>
      <c r="L517" s="203" t="s">
        <v>673</v>
      </c>
      <c r="M517" s="10"/>
      <c r="N517" s="197"/>
      <c r="O517" s="198"/>
      <c r="P517" s="198"/>
    </row>
    <row r="518" spans="1:16">
      <c r="A518" s="10">
        <v>200</v>
      </c>
      <c r="B518" s="193" t="s">
        <v>605</v>
      </c>
      <c r="C518" s="447" t="s">
        <v>225</v>
      </c>
      <c r="D518" s="10"/>
      <c r="E518" s="202">
        <v>45787</v>
      </c>
      <c r="F518" s="23">
        <v>42.374236000000003</v>
      </c>
      <c r="G518" s="556" t="s">
        <v>196</v>
      </c>
      <c r="H518" s="556"/>
      <c r="I518" s="556"/>
      <c r="J518" s="556"/>
      <c r="K518" s="202">
        <v>45804</v>
      </c>
      <c r="L518" s="203" t="s">
        <v>670</v>
      </c>
      <c r="M518" s="10"/>
      <c r="N518" s="197"/>
      <c r="O518" s="198"/>
      <c r="P518" s="198"/>
    </row>
    <row r="519" spans="1:16">
      <c r="A519" s="10">
        <v>201</v>
      </c>
      <c r="B519" s="193" t="s">
        <v>606</v>
      </c>
      <c r="C519" s="447" t="s">
        <v>225</v>
      </c>
      <c r="D519" s="10"/>
      <c r="E519" s="202">
        <v>45799</v>
      </c>
      <c r="F519" s="23">
        <v>42.374236000000003</v>
      </c>
      <c r="G519" s="556" t="s">
        <v>196</v>
      </c>
      <c r="H519" s="556"/>
      <c r="I519" s="556"/>
      <c r="J519" s="556"/>
      <c r="K519" s="202">
        <v>45804</v>
      </c>
      <c r="L519" s="203" t="s">
        <v>676</v>
      </c>
      <c r="M519" s="10"/>
      <c r="N519" s="197"/>
      <c r="O519" s="198"/>
      <c r="P519" s="198"/>
    </row>
    <row r="520" spans="1:16">
      <c r="A520" s="10">
        <v>202</v>
      </c>
      <c r="B520" s="193" t="s">
        <v>607</v>
      </c>
      <c r="C520" s="447" t="s">
        <v>225</v>
      </c>
      <c r="D520" s="10"/>
      <c r="E520" s="202">
        <v>45800</v>
      </c>
      <c r="F520" s="23">
        <v>42.374236000000003</v>
      </c>
      <c r="G520" s="556" t="s">
        <v>196</v>
      </c>
      <c r="H520" s="556"/>
      <c r="I520" s="556"/>
      <c r="J520" s="556"/>
      <c r="K520" s="202">
        <v>45805</v>
      </c>
      <c r="L520" s="203" t="s">
        <v>667</v>
      </c>
      <c r="M520" s="10"/>
      <c r="N520" s="197"/>
      <c r="O520" s="198"/>
      <c r="P520" s="198"/>
    </row>
    <row r="521" spans="1:16">
      <c r="A521" s="10">
        <v>203</v>
      </c>
      <c r="B521" s="193" t="s">
        <v>608</v>
      </c>
      <c r="C521" s="447" t="s">
        <v>225</v>
      </c>
      <c r="D521" s="10"/>
      <c r="E521" s="202">
        <v>45800</v>
      </c>
      <c r="F521" s="23">
        <v>42.374236000000003</v>
      </c>
      <c r="G521" s="556" t="s">
        <v>196</v>
      </c>
      <c r="H521" s="556"/>
      <c r="I521" s="556"/>
      <c r="J521" s="556"/>
      <c r="K521" s="202">
        <v>45807</v>
      </c>
      <c r="L521" s="203" t="s">
        <v>420</v>
      </c>
      <c r="M521" s="10"/>
      <c r="N521" s="197"/>
      <c r="O521" s="198"/>
      <c r="P521" s="198"/>
    </row>
    <row r="522" spans="1:16">
      <c r="A522" s="10">
        <v>204</v>
      </c>
      <c r="B522" s="193" t="s">
        <v>609</v>
      </c>
      <c r="C522" s="447" t="s">
        <v>225</v>
      </c>
      <c r="D522" s="10"/>
      <c r="E522" s="202">
        <v>45800</v>
      </c>
      <c r="F522" s="23">
        <v>42.374236000000003</v>
      </c>
      <c r="G522" s="556" t="s">
        <v>196</v>
      </c>
      <c r="H522" s="556"/>
      <c r="I522" s="556"/>
      <c r="J522" s="556"/>
      <c r="K522" s="202">
        <v>45807</v>
      </c>
      <c r="L522" s="203" t="s">
        <v>664</v>
      </c>
      <c r="M522" s="10"/>
      <c r="N522" s="197"/>
      <c r="O522" s="198"/>
      <c r="P522" s="198"/>
    </row>
    <row r="523" spans="1:16">
      <c r="A523" s="10">
        <v>205</v>
      </c>
      <c r="B523" s="193" t="s">
        <v>610</v>
      </c>
      <c r="C523" s="447" t="s">
        <v>225</v>
      </c>
      <c r="D523" s="10"/>
      <c r="E523" s="202">
        <v>45803</v>
      </c>
      <c r="F523" s="23">
        <v>42.374236000000003</v>
      </c>
      <c r="G523" s="556" t="s">
        <v>196</v>
      </c>
      <c r="H523" s="556"/>
      <c r="I523" s="556"/>
      <c r="J523" s="556"/>
      <c r="K523" s="202">
        <v>45808</v>
      </c>
      <c r="L523" s="203" t="s">
        <v>673</v>
      </c>
      <c r="M523" s="10"/>
      <c r="N523" s="197"/>
      <c r="O523" s="198"/>
      <c r="P523" s="198"/>
    </row>
    <row r="524" spans="1:16">
      <c r="A524" s="10">
        <v>206</v>
      </c>
      <c r="B524" s="193" t="s">
        <v>611</v>
      </c>
      <c r="C524" s="447" t="s">
        <v>225</v>
      </c>
      <c r="D524" s="10"/>
      <c r="E524" s="202">
        <v>45802</v>
      </c>
      <c r="F524" s="23">
        <v>42.374236000000003</v>
      </c>
      <c r="G524" s="556" t="s">
        <v>196</v>
      </c>
      <c r="H524" s="556"/>
      <c r="I524" s="556"/>
      <c r="J524" s="556"/>
      <c r="K524" s="202">
        <v>45808</v>
      </c>
      <c r="L524" s="203" t="s">
        <v>668</v>
      </c>
      <c r="M524" s="10"/>
      <c r="N524" s="197"/>
      <c r="O524" s="198"/>
      <c r="P524" s="198"/>
    </row>
    <row r="525" spans="1:16">
      <c r="A525" s="10">
        <v>207</v>
      </c>
      <c r="B525" s="193" t="s">
        <v>612</v>
      </c>
      <c r="C525" s="447" t="s">
        <v>224</v>
      </c>
      <c r="D525" s="10"/>
      <c r="E525" s="202">
        <v>45805</v>
      </c>
      <c r="F525" s="23">
        <v>46.049156000000004</v>
      </c>
      <c r="G525" s="556" t="s">
        <v>196</v>
      </c>
      <c r="H525" s="556"/>
      <c r="I525" s="556"/>
      <c r="J525" s="556"/>
      <c r="K525" s="202">
        <v>45810</v>
      </c>
      <c r="L525" s="203" t="s">
        <v>672</v>
      </c>
      <c r="M525" s="10"/>
      <c r="N525" s="197"/>
      <c r="O525" s="198"/>
      <c r="P525" s="198"/>
    </row>
    <row r="526" spans="1:16">
      <c r="A526" s="10">
        <v>208</v>
      </c>
      <c r="B526" s="193" t="s">
        <v>613</v>
      </c>
      <c r="C526" s="447" t="s">
        <v>227</v>
      </c>
      <c r="D526" s="10"/>
      <c r="E526" s="202">
        <v>45805</v>
      </c>
      <c r="F526" s="23">
        <v>55.338726999999999</v>
      </c>
      <c r="G526" s="556" t="s">
        <v>196</v>
      </c>
      <c r="H526" s="556"/>
      <c r="I526" s="556"/>
      <c r="J526" s="556"/>
      <c r="K526" s="202">
        <v>45811</v>
      </c>
      <c r="L526" s="203" t="s">
        <v>667</v>
      </c>
      <c r="M526" s="10"/>
      <c r="N526" s="197"/>
      <c r="O526" s="198"/>
      <c r="P526" s="198"/>
    </row>
    <row r="527" spans="1:16">
      <c r="A527" s="10">
        <v>209</v>
      </c>
      <c r="B527" s="193" t="s">
        <v>614</v>
      </c>
      <c r="C527" s="447" t="s">
        <v>225</v>
      </c>
      <c r="D527" s="10"/>
      <c r="E527" s="202">
        <v>45802</v>
      </c>
      <c r="F527" s="23">
        <v>42.374236000000003</v>
      </c>
      <c r="G527" s="556" t="s">
        <v>196</v>
      </c>
      <c r="H527" s="556"/>
      <c r="I527" s="556"/>
      <c r="J527" s="556"/>
      <c r="K527" s="202">
        <v>45812</v>
      </c>
      <c r="L527" s="203" t="s">
        <v>420</v>
      </c>
      <c r="M527" s="10"/>
      <c r="N527" s="197"/>
      <c r="O527" s="198"/>
      <c r="P527" s="198"/>
    </row>
    <row r="528" spans="1:16">
      <c r="A528" s="10">
        <v>210</v>
      </c>
      <c r="B528" s="193" t="s">
        <v>615</v>
      </c>
      <c r="C528" s="447" t="s">
        <v>225</v>
      </c>
      <c r="D528" s="10"/>
      <c r="E528" s="202">
        <v>45807</v>
      </c>
      <c r="F528" s="23">
        <v>42.374236000000003</v>
      </c>
      <c r="G528" s="556" t="s">
        <v>196</v>
      </c>
      <c r="H528" s="556"/>
      <c r="I528" s="556"/>
      <c r="J528" s="556"/>
      <c r="K528" s="202">
        <v>45812</v>
      </c>
      <c r="L528" s="203" t="s">
        <v>664</v>
      </c>
      <c r="M528" s="10"/>
      <c r="N528" s="197"/>
      <c r="O528" s="198"/>
      <c r="P528" s="198"/>
    </row>
    <row r="529" spans="1:16">
      <c r="A529" s="10">
        <v>211</v>
      </c>
      <c r="B529" s="193" t="s">
        <v>616</v>
      </c>
      <c r="C529" s="447" t="s">
        <v>380</v>
      </c>
      <c r="D529" s="10"/>
      <c r="E529" s="202">
        <v>45804</v>
      </c>
      <c r="F529" s="23">
        <v>97.228551999999993</v>
      </c>
      <c r="G529" s="556" t="s">
        <v>196</v>
      </c>
      <c r="H529" s="556"/>
      <c r="I529" s="556"/>
      <c r="J529" s="556"/>
      <c r="K529" s="202">
        <v>45815</v>
      </c>
      <c r="L529" s="203" t="s">
        <v>676</v>
      </c>
      <c r="M529" s="10"/>
      <c r="N529" s="197"/>
      <c r="O529" s="198"/>
      <c r="P529" s="198"/>
    </row>
    <row r="530" spans="1:16">
      <c r="A530" s="10">
        <v>212</v>
      </c>
      <c r="B530" s="193" t="s">
        <v>617</v>
      </c>
      <c r="C530" s="447" t="s">
        <v>195</v>
      </c>
      <c r="D530" s="10"/>
      <c r="E530" s="202">
        <v>45812</v>
      </c>
      <c r="F530" s="23">
        <v>43.775756000000008</v>
      </c>
      <c r="G530" s="556" t="s">
        <v>196</v>
      </c>
      <c r="H530" s="556"/>
      <c r="I530" s="556"/>
      <c r="J530" s="556"/>
      <c r="K530" s="202">
        <v>45817</v>
      </c>
      <c r="L530" s="203" t="s">
        <v>667</v>
      </c>
      <c r="M530" s="10"/>
      <c r="N530" s="197"/>
      <c r="O530" s="198"/>
      <c r="P530" s="198"/>
    </row>
    <row r="531" spans="1:16">
      <c r="A531" s="10">
        <v>213</v>
      </c>
      <c r="B531" s="193" t="s">
        <v>78</v>
      </c>
      <c r="C531" s="447" t="s">
        <v>224</v>
      </c>
      <c r="D531" s="10"/>
      <c r="E531" s="202">
        <v>45810</v>
      </c>
      <c r="F531" s="23">
        <v>46.049156000000004</v>
      </c>
      <c r="G531" s="556" t="s">
        <v>196</v>
      </c>
      <c r="H531" s="556"/>
      <c r="I531" s="556"/>
      <c r="J531" s="556"/>
      <c r="K531" s="202">
        <v>45818</v>
      </c>
      <c r="L531" s="203" t="s">
        <v>668</v>
      </c>
      <c r="M531" s="10"/>
      <c r="N531" s="197"/>
      <c r="O531" s="198"/>
      <c r="P531" s="198"/>
    </row>
    <row r="532" spans="1:16">
      <c r="A532" s="10">
        <v>214</v>
      </c>
      <c r="B532" s="193" t="s">
        <v>618</v>
      </c>
      <c r="C532" s="447" t="s">
        <v>225</v>
      </c>
      <c r="D532" s="10"/>
      <c r="E532" s="202">
        <v>45812</v>
      </c>
      <c r="F532" s="23">
        <v>42.374236000000003</v>
      </c>
      <c r="G532" s="556" t="s">
        <v>196</v>
      </c>
      <c r="H532" s="556"/>
      <c r="I532" s="556"/>
      <c r="J532" s="556"/>
      <c r="K532" s="202">
        <v>45819</v>
      </c>
      <c r="L532" s="203" t="s">
        <v>420</v>
      </c>
      <c r="M532" s="10"/>
      <c r="N532" s="197"/>
      <c r="O532" s="198"/>
      <c r="P532" s="198"/>
    </row>
    <row r="533" spans="1:16">
      <c r="A533" s="10">
        <v>215</v>
      </c>
      <c r="B533" s="193" t="s">
        <v>619</v>
      </c>
      <c r="C533" s="447" t="s">
        <v>195</v>
      </c>
      <c r="D533" s="10"/>
      <c r="E533" s="202">
        <v>45816</v>
      </c>
      <c r="F533" s="23">
        <v>43.775756000000008</v>
      </c>
      <c r="G533" s="556" t="s">
        <v>196</v>
      </c>
      <c r="H533" s="556"/>
      <c r="I533" s="556"/>
      <c r="J533" s="556"/>
      <c r="K533" s="202">
        <v>45821</v>
      </c>
      <c r="L533" s="203" t="s">
        <v>676</v>
      </c>
      <c r="M533" s="10"/>
      <c r="N533" s="197"/>
      <c r="O533" s="198"/>
      <c r="P533" s="198"/>
    </row>
    <row r="534" spans="1:16">
      <c r="A534" s="10">
        <v>216</v>
      </c>
      <c r="B534" s="193" t="s">
        <v>620</v>
      </c>
      <c r="C534" s="447" t="s">
        <v>225</v>
      </c>
      <c r="D534" s="10"/>
      <c r="E534" s="202">
        <v>45810</v>
      </c>
      <c r="F534" s="23">
        <v>42.374236000000003</v>
      </c>
      <c r="G534" s="556" t="s">
        <v>196</v>
      </c>
      <c r="H534" s="556"/>
      <c r="I534" s="556"/>
      <c r="J534" s="556"/>
      <c r="K534" s="202">
        <v>45822</v>
      </c>
      <c r="L534" s="203" t="s">
        <v>679</v>
      </c>
      <c r="M534" s="10"/>
      <c r="N534" s="197"/>
      <c r="O534" s="198"/>
      <c r="P534" s="198"/>
    </row>
    <row r="535" spans="1:16">
      <c r="A535" s="10">
        <v>217</v>
      </c>
      <c r="B535" s="193" t="s">
        <v>621</v>
      </c>
      <c r="C535" s="447" t="s">
        <v>195</v>
      </c>
      <c r="D535" s="10"/>
      <c r="E535" s="202">
        <v>45820</v>
      </c>
      <c r="F535" s="23">
        <v>43.775756000000008</v>
      </c>
      <c r="G535" s="556" t="s">
        <v>196</v>
      </c>
      <c r="H535" s="556"/>
      <c r="I535" s="556"/>
      <c r="J535" s="556"/>
      <c r="K535" s="202">
        <v>45826</v>
      </c>
      <c r="L535" s="203" t="s">
        <v>668</v>
      </c>
      <c r="M535" s="10"/>
      <c r="N535" s="197"/>
      <c r="O535" s="198"/>
      <c r="P535" s="198"/>
    </row>
    <row r="536" spans="1:16">
      <c r="A536" s="10">
        <v>218</v>
      </c>
      <c r="B536" s="193" t="s">
        <v>622</v>
      </c>
      <c r="C536" s="447" t="s">
        <v>224</v>
      </c>
      <c r="D536" s="10"/>
      <c r="E536" s="202">
        <v>45818</v>
      </c>
      <c r="F536" s="23">
        <v>46.049156000000004</v>
      </c>
      <c r="G536" s="556" t="s">
        <v>196</v>
      </c>
      <c r="H536" s="556"/>
      <c r="I536" s="556"/>
      <c r="J536" s="556"/>
      <c r="K536" s="202">
        <v>45826</v>
      </c>
      <c r="L536" s="203" t="s">
        <v>678</v>
      </c>
      <c r="M536" s="10"/>
      <c r="N536" s="197"/>
      <c r="O536" s="198"/>
      <c r="P536" s="198"/>
    </row>
    <row r="537" spans="1:16">
      <c r="A537" s="10">
        <v>219</v>
      </c>
      <c r="B537" s="193" t="s">
        <v>623</v>
      </c>
      <c r="C537" s="447" t="s">
        <v>624</v>
      </c>
      <c r="D537" s="10"/>
      <c r="E537" s="202">
        <v>45820</v>
      </c>
      <c r="F537" s="23">
        <v>67.112016999999994</v>
      </c>
      <c r="G537" s="556" t="s">
        <v>196</v>
      </c>
      <c r="H537" s="556"/>
      <c r="I537" s="556"/>
      <c r="J537" s="556"/>
      <c r="K537" s="202">
        <v>45828</v>
      </c>
      <c r="L537" s="203" t="s">
        <v>667</v>
      </c>
      <c r="M537" s="10"/>
      <c r="N537" s="197"/>
      <c r="O537" s="198"/>
      <c r="P537" s="198"/>
    </row>
    <row r="538" spans="1:16">
      <c r="A538" s="10">
        <v>220</v>
      </c>
      <c r="B538" s="193" t="s">
        <v>625</v>
      </c>
      <c r="C538" s="447" t="s">
        <v>626</v>
      </c>
      <c r="D538" s="10"/>
      <c r="E538" s="202">
        <v>45802</v>
      </c>
      <c r="F538" s="23">
        <v>143.46209800000003</v>
      </c>
      <c r="G538" s="556" t="s">
        <v>196</v>
      </c>
      <c r="H538" s="556"/>
      <c r="I538" s="556"/>
      <c r="J538" s="556"/>
      <c r="K538" s="202">
        <v>45829</v>
      </c>
      <c r="L538" s="203" t="s">
        <v>669</v>
      </c>
      <c r="M538" s="10"/>
      <c r="N538" s="197"/>
      <c r="O538" s="198"/>
      <c r="P538" s="198"/>
    </row>
    <row r="539" spans="1:16">
      <c r="A539" s="10">
        <v>221</v>
      </c>
      <c r="B539" s="193" t="s">
        <v>627</v>
      </c>
      <c r="C539" s="447" t="s">
        <v>513</v>
      </c>
      <c r="D539" s="10"/>
      <c r="E539" s="202">
        <v>45820</v>
      </c>
      <c r="F539" s="23">
        <v>73.425832</v>
      </c>
      <c r="G539" s="556" t="s">
        <v>196</v>
      </c>
      <c r="H539" s="556"/>
      <c r="I539" s="556"/>
      <c r="J539" s="556"/>
      <c r="K539" s="202">
        <v>45831</v>
      </c>
      <c r="L539" s="203" t="s">
        <v>420</v>
      </c>
      <c r="M539" s="10"/>
      <c r="N539" s="197"/>
      <c r="O539" s="198"/>
      <c r="P539" s="198"/>
    </row>
    <row r="540" spans="1:16">
      <c r="A540" s="10">
        <v>222</v>
      </c>
      <c r="B540" s="193" t="s">
        <v>628</v>
      </c>
      <c r="C540" s="447" t="s">
        <v>224</v>
      </c>
      <c r="D540" s="10"/>
      <c r="E540" s="202">
        <v>45829</v>
      </c>
      <c r="F540" s="23">
        <v>46.049156000000004</v>
      </c>
      <c r="G540" s="556" t="s">
        <v>196</v>
      </c>
      <c r="H540" s="556"/>
      <c r="I540" s="556"/>
      <c r="J540" s="556"/>
      <c r="K540" s="202">
        <v>45834</v>
      </c>
      <c r="L540" s="203" t="s">
        <v>667</v>
      </c>
      <c r="M540" s="10"/>
      <c r="N540" s="197"/>
      <c r="O540" s="198"/>
      <c r="P540" s="198"/>
    </row>
    <row r="541" spans="1:16">
      <c r="A541" s="10">
        <v>223</v>
      </c>
      <c r="B541" s="193" t="s">
        <v>4</v>
      </c>
      <c r="C541" s="447" t="s">
        <v>224</v>
      </c>
      <c r="D541" s="10"/>
      <c r="E541" s="202">
        <v>45818</v>
      </c>
      <c r="F541" s="23">
        <v>46.049156000000004</v>
      </c>
      <c r="G541" s="556" t="s">
        <v>196</v>
      </c>
      <c r="H541" s="556"/>
      <c r="I541" s="556"/>
      <c r="J541" s="556"/>
      <c r="K541" s="202">
        <v>45835</v>
      </c>
      <c r="L541" s="203" t="s">
        <v>671</v>
      </c>
      <c r="M541" s="10"/>
      <c r="N541" s="197"/>
      <c r="O541" s="198"/>
      <c r="P541" s="198"/>
    </row>
    <row r="542" spans="1:16">
      <c r="A542" s="10">
        <v>224</v>
      </c>
      <c r="B542" s="193" t="s">
        <v>629</v>
      </c>
      <c r="C542" s="447" t="s">
        <v>224</v>
      </c>
      <c r="D542" s="10"/>
      <c r="E542" s="202">
        <v>45828</v>
      </c>
      <c r="F542" s="23">
        <v>46.049156000000004</v>
      </c>
      <c r="G542" s="556" t="s">
        <v>196</v>
      </c>
      <c r="H542" s="556"/>
      <c r="I542" s="556"/>
      <c r="J542" s="556"/>
      <c r="K542" s="202">
        <v>45837</v>
      </c>
      <c r="L542" s="203" t="s">
        <v>678</v>
      </c>
      <c r="M542" s="10"/>
      <c r="N542" s="197"/>
      <c r="O542" s="198"/>
      <c r="P542" s="198"/>
    </row>
    <row r="543" spans="1:16">
      <c r="A543" s="10">
        <v>225</v>
      </c>
      <c r="B543" s="193" t="s">
        <v>371</v>
      </c>
      <c r="C543" s="447" t="s">
        <v>630</v>
      </c>
      <c r="D543" s="10"/>
      <c r="E543" s="202">
        <v>45823</v>
      </c>
      <c r="F543" s="23">
        <v>104.866553</v>
      </c>
      <c r="G543" s="556" t="s">
        <v>196</v>
      </c>
      <c r="H543" s="556"/>
      <c r="I543" s="556"/>
      <c r="J543" s="556"/>
      <c r="K543" s="202">
        <v>45837</v>
      </c>
      <c r="L543" s="203" t="s">
        <v>676</v>
      </c>
      <c r="M543" s="10"/>
      <c r="N543" s="197"/>
      <c r="O543" s="198"/>
      <c r="P543" s="198"/>
    </row>
    <row r="544" spans="1:16">
      <c r="A544" s="10">
        <v>226</v>
      </c>
      <c r="B544" s="193" t="s">
        <v>631</v>
      </c>
      <c r="C544" s="447" t="s">
        <v>225</v>
      </c>
      <c r="D544" s="10"/>
      <c r="E544" s="202">
        <v>45832</v>
      </c>
      <c r="F544" s="23">
        <v>42.374236000000003</v>
      </c>
      <c r="G544" s="556" t="s">
        <v>196</v>
      </c>
      <c r="H544" s="556"/>
      <c r="I544" s="556"/>
      <c r="J544" s="556"/>
      <c r="K544" s="202">
        <v>45838</v>
      </c>
      <c r="L544" s="203" t="s">
        <v>420</v>
      </c>
      <c r="M544" s="10"/>
      <c r="N544" s="197"/>
      <c r="O544" s="198"/>
      <c r="P544" s="198"/>
    </row>
    <row r="545" spans="1:16">
      <c r="A545" s="10">
        <v>227</v>
      </c>
      <c r="B545" s="193" t="s">
        <v>632</v>
      </c>
      <c r="C545" s="447" t="s">
        <v>225</v>
      </c>
      <c r="D545" s="10"/>
      <c r="E545" s="202">
        <v>45835</v>
      </c>
      <c r="F545" s="23">
        <v>42.374236000000003</v>
      </c>
      <c r="G545" s="556" t="s">
        <v>196</v>
      </c>
      <c r="H545" s="556"/>
      <c r="I545" s="556"/>
      <c r="J545" s="556"/>
      <c r="K545" s="202">
        <v>45838</v>
      </c>
      <c r="L545" s="203" t="s">
        <v>667</v>
      </c>
      <c r="M545" s="10"/>
      <c r="N545" s="197"/>
      <c r="O545" s="198"/>
      <c r="P545" s="198"/>
    </row>
    <row r="546" spans="1:16">
      <c r="A546" s="10">
        <v>228</v>
      </c>
      <c r="B546" s="193" t="s">
        <v>320</v>
      </c>
      <c r="C546" s="447" t="s">
        <v>633</v>
      </c>
      <c r="D546" s="10"/>
      <c r="E546" s="202">
        <v>45812</v>
      </c>
      <c r="F546" s="23">
        <v>161.35518400000001</v>
      </c>
      <c r="G546" s="556" t="s">
        <v>196</v>
      </c>
      <c r="H546" s="556"/>
      <c r="I546" s="556"/>
      <c r="J546" s="556"/>
      <c r="K546" s="202">
        <v>45838</v>
      </c>
      <c r="L546" s="203" t="s">
        <v>672</v>
      </c>
      <c r="M546" s="10"/>
      <c r="N546" s="197"/>
      <c r="O546" s="198"/>
      <c r="P546" s="198"/>
    </row>
    <row r="547" spans="1:16">
      <c r="A547" s="10">
        <v>229</v>
      </c>
      <c r="B547" s="193" t="s">
        <v>634</v>
      </c>
      <c r="C547" s="447" t="s">
        <v>635</v>
      </c>
      <c r="D547" s="10"/>
      <c r="E547" s="202">
        <v>45809</v>
      </c>
      <c r="F547" s="23">
        <v>188.37786399999996</v>
      </c>
      <c r="G547" s="556" t="s">
        <v>196</v>
      </c>
      <c r="H547" s="556"/>
      <c r="I547" s="556"/>
      <c r="J547" s="556"/>
      <c r="K547" s="202">
        <v>45838</v>
      </c>
      <c r="L547" s="203" t="s">
        <v>673</v>
      </c>
      <c r="M547" s="10"/>
      <c r="N547" s="197"/>
      <c r="O547" s="198"/>
      <c r="P547" s="198"/>
    </row>
    <row r="548" spans="1:16">
      <c r="A548" s="10">
        <v>230</v>
      </c>
      <c r="B548" s="193" t="s">
        <v>636</v>
      </c>
      <c r="C548" s="447" t="s">
        <v>224</v>
      </c>
      <c r="D548" s="10"/>
      <c r="E548" s="202">
        <v>45832</v>
      </c>
      <c r="F548" s="23">
        <v>46.049156000000004</v>
      </c>
      <c r="G548" s="556" t="s">
        <v>196</v>
      </c>
      <c r="H548" s="556"/>
      <c r="I548" s="556"/>
      <c r="J548" s="556"/>
      <c r="K548" s="202">
        <v>45843</v>
      </c>
      <c r="L548" s="203" t="s">
        <v>669</v>
      </c>
      <c r="M548" s="10"/>
      <c r="N548" s="197"/>
      <c r="O548" s="198"/>
      <c r="P548" s="198"/>
    </row>
    <row r="549" spans="1:16">
      <c r="A549" s="10">
        <v>231</v>
      </c>
      <c r="B549" s="193" t="s">
        <v>637</v>
      </c>
      <c r="C549" s="447" t="s">
        <v>224</v>
      </c>
      <c r="D549" s="10"/>
      <c r="E549" s="202">
        <v>45839</v>
      </c>
      <c r="F549" s="23">
        <v>46.049156000000004</v>
      </c>
      <c r="G549" s="556" t="s">
        <v>196</v>
      </c>
      <c r="H549" s="556"/>
      <c r="I549" s="556"/>
      <c r="J549" s="556"/>
      <c r="K549" s="202">
        <v>45845</v>
      </c>
      <c r="L549" s="203" t="s">
        <v>667</v>
      </c>
      <c r="M549" s="10"/>
      <c r="N549" s="197"/>
      <c r="O549" s="198"/>
      <c r="P549" s="198"/>
    </row>
    <row r="550" spans="1:16">
      <c r="A550" s="10">
        <v>232</v>
      </c>
      <c r="B550" s="193" t="s">
        <v>638</v>
      </c>
      <c r="C550" s="447" t="s">
        <v>227</v>
      </c>
      <c r="D550" s="10"/>
      <c r="E550" s="202">
        <v>45839</v>
      </c>
      <c r="F550" s="23">
        <v>55.338726999999999</v>
      </c>
      <c r="G550" s="556" t="s">
        <v>196</v>
      </c>
      <c r="H550" s="556"/>
      <c r="I550" s="556"/>
      <c r="J550" s="556"/>
      <c r="K550" s="202">
        <v>45850</v>
      </c>
      <c r="L550" s="203" t="s">
        <v>420</v>
      </c>
      <c r="M550" s="10"/>
      <c r="N550" s="197"/>
      <c r="O550" s="198"/>
      <c r="P550" s="198"/>
    </row>
    <row r="551" spans="1:16">
      <c r="A551" s="10">
        <v>233</v>
      </c>
      <c r="B551" s="193" t="s">
        <v>365</v>
      </c>
      <c r="C551" s="447" t="s">
        <v>639</v>
      </c>
      <c r="D551" s="10"/>
      <c r="E551" s="202">
        <v>45843</v>
      </c>
      <c r="F551" s="23">
        <v>101.69198999999999</v>
      </c>
      <c r="G551" s="556" t="s">
        <v>196</v>
      </c>
      <c r="H551" s="556"/>
      <c r="I551" s="556"/>
      <c r="J551" s="556"/>
      <c r="K551" s="202">
        <v>45856</v>
      </c>
      <c r="L551" s="205" t="s">
        <v>672</v>
      </c>
      <c r="M551" s="10"/>
      <c r="N551" s="197"/>
      <c r="O551" s="198"/>
      <c r="P551" s="198"/>
    </row>
    <row r="552" spans="1:16">
      <c r="A552" s="10">
        <v>234</v>
      </c>
      <c r="B552" s="193" t="s">
        <v>359</v>
      </c>
      <c r="C552" s="447" t="s">
        <v>560</v>
      </c>
      <c r="D552" s="10"/>
      <c r="E552" s="202">
        <v>45836</v>
      </c>
      <c r="F552" s="23">
        <v>86.256192999999996</v>
      </c>
      <c r="G552" s="556" t="s">
        <v>196</v>
      </c>
      <c r="H552" s="556"/>
      <c r="I552" s="556"/>
      <c r="J552" s="556"/>
      <c r="K552" s="202">
        <v>45860</v>
      </c>
      <c r="L552" s="205" t="s">
        <v>680</v>
      </c>
      <c r="M552" s="10"/>
      <c r="N552" s="197"/>
      <c r="O552" s="198"/>
      <c r="P552" s="198"/>
    </row>
    <row r="553" spans="1:16">
      <c r="A553" s="10">
        <v>235</v>
      </c>
      <c r="B553" s="193" t="s">
        <v>640</v>
      </c>
      <c r="C553" s="447" t="s">
        <v>380</v>
      </c>
      <c r="D553" s="10"/>
      <c r="E553" s="202">
        <v>45846</v>
      </c>
      <c r="F553" s="23">
        <v>97.228551999999993</v>
      </c>
      <c r="G553" s="556" t="s">
        <v>196</v>
      </c>
      <c r="H553" s="556"/>
      <c r="I553" s="556"/>
      <c r="J553" s="556"/>
      <c r="K553" s="202">
        <v>45869</v>
      </c>
      <c r="L553" s="203" t="s">
        <v>420</v>
      </c>
      <c r="M553" s="10"/>
      <c r="N553" s="197"/>
      <c r="O553" s="198"/>
      <c r="P553" s="198"/>
    </row>
    <row r="554" spans="1:16">
      <c r="A554" s="10">
        <v>236</v>
      </c>
      <c r="B554" s="193" t="s">
        <v>270</v>
      </c>
      <c r="C554" s="447" t="s">
        <v>626</v>
      </c>
      <c r="D554" s="10"/>
      <c r="E554" s="202">
        <v>45858</v>
      </c>
      <c r="F554" s="23">
        <v>143.46209800000003</v>
      </c>
      <c r="G554" s="556" t="s">
        <v>196</v>
      </c>
      <c r="H554" s="556"/>
      <c r="I554" s="556"/>
      <c r="J554" s="556"/>
      <c r="K554" s="202">
        <v>45877</v>
      </c>
      <c r="L554" s="205" t="s">
        <v>672</v>
      </c>
      <c r="M554" s="10"/>
      <c r="N554" s="197"/>
      <c r="O554" s="198"/>
      <c r="P554" s="198"/>
    </row>
    <row r="555" spans="1:16">
      <c r="A555" s="10">
        <v>237</v>
      </c>
      <c r="B555" s="193" t="s">
        <v>641</v>
      </c>
      <c r="C555" s="447" t="s">
        <v>635</v>
      </c>
      <c r="D555" s="10"/>
      <c r="E555" s="202">
        <v>45847</v>
      </c>
      <c r="F555" s="23">
        <v>188.37786399999996</v>
      </c>
      <c r="G555" s="556" t="s">
        <v>196</v>
      </c>
      <c r="H555" s="556"/>
      <c r="I555" s="556"/>
      <c r="J555" s="556"/>
      <c r="K555" s="202">
        <v>45880</v>
      </c>
      <c r="L555" s="203" t="s">
        <v>673</v>
      </c>
      <c r="M555" s="10"/>
      <c r="N555" s="197"/>
      <c r="O555" s="198"/>
      <c r="P555" s="198"/>
    </row>
    <row r="556" spans="1:16">
      <c r="A556" s="10">
        <v>238</v>
      </c>
      <c r="B556" s="193" t="s">
        <v>642</v>
      </c>
      <c r="C556" s="447" t="s">
        <v>224</v>
      </c>
      <c r="D556" s="10"/>
      <c r="E556" s="202">
        <v>45865</v>
      </c>
      <c r="F556" s="23">
        <v>46.049156000000004</v>
      </c>
      <c r="G556" s="556" t="s">
        <v>196</v>
      </c>
      <c r="H556" s="556"/>
      <c r="I556" s="556"/>
      <c r="J556" s="556"/>
      <c r="K556" s="202">
        <v>45886</v>
      </c>
      <c r="L556" s="203" t="s">
        <v>681</v>
      </c>
      <c r="M556" s="10"/>
      <c r="N556" s="197"/>
      <c r="O556" s="198"/>
      <c r="P556" s="198"/>
    </row>
    <row r="557" spans="1:16">
      <c r="A557" s="10">
        <v>239</v>
      </c>
      <c r="B557" s="193" t="s">
        <v>37</v>
      </c>
      <c r="C557" s="447" t="s">
        <v>224</v>
      </c>
      <c r="D557" s="10"/>
      <c r="E557" s="202">
        <v>45883</v>
      </c>
      <c r="F557" s="23">
        <v>46.049156000000004</v>
      </c>
      <c r="G557" s="556" t="s">
        <v>196</v>
      </c>
      <c r="H557" s="556"/>
      <c r="I557" s="556"/>
      <c r="J557" s="556"/>
      <c r="K557" s="202">
        <v>45895</v>
      </c>
      <c r="L557" s="203" t="s">
        <v>682</v>
      </c>
      <c r="M557" s="10"/>
      <c r="N557" s="197"/>
      <c r="O557" s="198"/>
      <c r="P557" s="198"/>
    </row>
    <row r="558" spans="1:16">
      <c r="A558" s="10">
        <v>240</v>
      </c>
      <c r="B558" s="193" t="s">
        <v>643</v>
      </c>
      <c r="C558" s="447" t="s">
        <v>633</v>
      </c>
      <c r="D558" s="10"/>
      <c r="E558" s="202">
        <v>45864</v>
      </c>
      <c r="F558" s="23">
        <v>161.35518400000001</v>
      </c>
      <c r="G558" s="556" t="s">
        <v>196</v>
      </c>
      <c r="H558" s="556"/>
      <c r="I558" s="556"/>
      <c r="J558" s="556"/>
      <c r="K558" s="202">
        <v>45896</v>
      </c>
      <c r="L558" s="203" t="s">
        <v>683</v>
      </c>
      <c r="M558" s="10"/>
      <c r="N558" s="197"/>
      <c r="O558" s="198"/>
      <c r="P558" s="198"/>
    </row>
    <row r="559" spans="1:16">
      <c r="A559" s="10">
        <v>241</v>
      </c>
      <c r="B559" s="193" t="s">
        <v>644</v>
      </c>
      <c r="C559" s="447" t="s">
        <v>380</v>
      </c>
      <c r="D559" s="10"/>
      <c r="E559" s="202">
        <v>45871</v>
      </c>
      <c r="F559" s="23">
        <v>97.228551999999993</v>
      </c>
      <c r="G559" s="556" t="s">
        <v>196</v>
      </c>
      <c r="H559" s="556"/>
      <c r="I559" s="556"/>
      <c r="J559" s="556"/>
      <c r="K559" s="202">
        <v>45899</v>
      </c>
      <c r="L559" s="203" t="s">
        <v>684</v>
      </c>
      <c r="M559" s="10"/>
      <c r="N559" s="197"/>
      <c r="O559" s="198"/>
      <c r="P559" s="198"/>
    </row>
    <row r="560" spans="1:16">
      <c r="A560" s="10">
        <v>242</v>
      </c>
      <c r="B560" s="193" t="s">
        <v>645</v>
      </c>
      <c r="C560" s="447" t="s">
        <v>551</v>
      </c>
      <c r="D560" s="10"/>
      <c r="E560" s="202">
        <v>45873</v>
      </c>
      <c r="F560" s="23">
        <v>75.858397999999994</v>
      </c>
      <c r="G560" s="556" t="s">
        <v>196</v>
      </c>
      <c r="H560" s="556"/>
      <c r="I560" s="556"/>
      <c r="J560" s="556"/>
      <c r="K560" s="202">
        <v>45899</v>
      </c>
      <c r="L560" s="203" t="s">
        <v>685</v>
      </c>
      <c r="M560" s="10"/>
      <c r="N560" s="197"/>
      <c r="O560" s="198"/>
      <c r="P560" s="198"/>
    </row>
    <row r="561" spans="1:16">
      <c r="A561" s="10">
        <v>243</v>
      </c>
      <c r="B561" s="193" t="s">
        <v>58</v>
      </c>
      <c r="C561" s="447" t="s">
        <v>604</v>
      </c>
      <c r="D561" s="10"/>
      <c r="E561" s="202">
        <v>45878</v>
      </c>
      <c r="F561" s="23">
        <v>78.073216000000002</v>
      </c>
      <c r="G561" s="556" t="s">
        <v>196</v>
      </c>
      <c r="H561" s="556"/>
      <c r="I561" s="556"/>
      <c r="J561" s="556"/>
      <c r="K561" s="202">
        <v>45899</v>
      </c>
      <c r="L561" s="206" t="s">
        <v>686</v>
      </c>
      <c r="M561" s="10"/>
      <c r="N561" s="197"/>
      <c r="O561" s="198"/>
      <c r="P561" s="198"/>
    </row>
    <row r="562" spans="1:16">
      <c r="A562" s="10">
        <v>244</v>
      </c>
      <c r="B562" s="193" t="s">
        <v>646</v>
      </c>
      <c r="C562" s="447" t="s">
        <v>647</v>
      </c>
      <c r="D562" s="10"/>
      <c r="E562" s="202">
        <v>45881</v>
      </c>
      <c r="F562" s="23">
        <v>97.653418000000016</v>
      </c>
      <c r="G562" s="556" t="s">
        <v>196</v>
      </c>
      <c r="H562" s="556"/>
      <c r="I562" s="556"/>
      <c r="J562" s="556"/>
      <c r="K562" s="202">
        <v>45902</v>
      </c>
      <c r="L562" s="203" t="s">
        <v>673</v>
      </c>
      <c r="M562" s="10"/>
      <c r="N562" s="197"/>
      <c r="O562" s="198"/>
      <c r="P562" s="198"/>
    </row>
    <row r="563" spans="1:16">
      <c r="A563" s="10">
        <v>245</v>
      </c>
      <c r="B563" s="193" t="s">
        <v>130</v>
      </c>
      <c r="C563" s="447" t="s">
        <v>227</v>
      </c>
      <c r="D563" s="10"/>
      <c r="E563" s="202">
        <v>45887</v>
      </c>
      <c r="F563" s="23">
        <v>55.338726999999999</v>
      </c>
      <c r="G563" s="556" t="s">
        <v>196</v>
      </c>
      <c r="H563" s="556"/>
      <c r="I563" s="556"/>
      <c r="J563" s="556"/>
      <c r="K563" s="202">
        <v>45904</v>
      </c>
      <c r="L563" s="203" t="s">
        <v>681</v>
      </c>
      <c r="M563" s="10"/>
      <c r="N563" s="197"/>
      <c r="O563" s="198"/>
      <c r="P563" s="198"/>
    </row>
    <row r="564" spans="1:16">
      <c r="A564" s="10">
        <v>246</v>
      </c>
      <c r="B564" s="193" t="s">
        <v>271</v>
      </c>
      <c r="C564" s="447" t="s">
        <v>648</v>
      </c>
      <c r="D564" s="10"/>
      <c r="E564" s="202">
        <v>45879</v>
      </c>
      <c r="F564" s="23">
        <v>118.43025200000001</v>
      </c>
      <c r="G564" s="556" t="s">
        <v>196</v>
      </c>
      <c r="H564" s="556"/>
      <c r="I564" s="556"/>
      <c r="J564" s="556"/>
      <c r="K564" s="202">
        <v>45906</v>
      </c>
      <c r="L564" s="205" t="s">
        <v>672</v>
      </c>
      <c r="M564" s="10"/>
      <c r="N564" s="197"/>
      <c r="O564" s="198"/>
      <c r="P564" s="198"/>
    </row>
    <row r="565" spans="1:16">
      <c r="A565" s="10">
        <v>247</v>
      </c>
      <c r="B565" s="193" t="s">
        <v>649</v>
      </c>
      <c r="C565" s="447" t="s">
        <v>650</v>
      </c>
      <c r="D565" s="10"/>
      <c r="E565" s="202">
        <v>45885</v>
      </c>
      <c r="F565" s="23">
        <v>110.625505</v>
      </c>
      <c r="G565" s="556" t="s">
        <v>196</v>
      </c>
      <c r="H565" s="556"/>
      <c r="I565" s="556"/>
      <c r="J565" s="556"/>
      <c r="K565" s="202">
        <v>45914</v>
      </c>
      <c r="L565" s="203" t="s">
        <v>426</v>
      </c>
      <c r="M565" s="10"/>
      <c r="N565" s="197"/>
      <c r="O565" s="198"/>
      <c r="P565" s="198"/>
    </row>
    <row r="566" spans="1:16">
      <c r="A566" s="10">
        <v>248</v>
      </c>
      <c r="B566" s="193" t="s">
        <v>651</v>
      </c>
      <c r="C566" s="447" t="s">
        <v>647</v>
      </c>
      <c r="D566" s="10"/>
      <c r="E566" s="202">
        <v>45893</v>
      </c>
      <c r="F566" s="23">
        <v>97.653418000000016</v>
      </c>
      <c r="G566" s="556" t="s">
        <v>196</v>
      </c>
      <c r="H566" s="556"/>
      <c r="I566" s="556"/>
      <c r="J566" s="556"/>
      <c r="K566" s="202">
        <v>45914</v>
      </c>
      <c r="L566" s="203" t="s">
        <v>687</v>
      </c>
      <c r="M566" s="10"/>
      <c r="N566" s="197"/>
      <c r="O566" s="198"/>
      <c r="P566" s="198"/>
    </row>
    <row r="567" spans="1:16">
      <c r="A567" s="10">
        <v>249</v>
      </c>
      <c r="B567" s="193" t="s">
        <v>652</v>
      </c>
      <c r="C567" s="447" t="s">
        <v>653</v>
      </c>
      <c r="D567" s="10"/>
      <c r="E567" s="202">
        <v>45903</v>
      </c>
      <c r="F567" s="23">
        <v>89.717756999999978</v>
      </c>
      <c r="G567" s="556" t="s">
        <v>196</v>
      </c>
      <c r="H567" s="556"/>
      <c r="I567" s="556"/>
      <c r="J567" s="556"/>
      <c r="K567" s="202">
        <v>45921</v>
      </c>
      <c r="L567" s="206" t="s">
        <v>686</v>
      </c>
      <c r="M567" s="10"/>
      <c r="N567" s="197"/>
      <c r="O567" s="198"/>
      <c r="P567" s="198"/>
    </row>
    <row r="568" spans="1:16">
      <c r="A568" s="10">
        <v>250</v>
      </c>
      <c r="B568" s="193" t="s">
        <v>654</v>
      </c>
      <c r="C568" s="447" t="s">
        <v>513</v>
      </c>
      <c r="D568" s="10"/>
      <c r="E568" s="202">
        <v>45900</v>
      </c>
      <c r="F568" s="23">
        <v>73.425832</v>
      </c>
      <c r="G568" s="556" t="s">
        <v>196</v>
      </c>
      <c r="H568" s="556"/>
      <c r="I568" s="556"/>
      <c r="J568" s="556"/>
      <c r="K568" s="202">
        <v>45922</v>
      </c>
      <c r="L568" s="203" t="s">
        <v>684</v>
      </c>
      <c r="M568" s="10"/>
      <c r="N568" s="197"/>
      <c r="O568" s="198"/>
      <c r="P568" s="198"/>
    </row>
    <row r="569" spans="1:16">
      <c r="A569" s="10">
        <v>251</v>
      </c>
      <c r="B569" s="193" t="s">
        <v>361</v>
      </c>
      <c r="C569" s="447" t="s">
        <v>655</v>
      </c>
      <c r="D569" s="10"/>
      <c r="E569" s="202">
        <v>45905</v>
      </c>
      <c r="F569" s="23">
        <v>90.125158999999982</v>
      </c>
      <c r="G569" s="556" t="s">
        <v>196</v>
      </c>
      <c r="H569" s="556"/>
      <c r="I569" s="556"/>
      <c r="J569" s="556"/>
      <c r="K569" s="202">
        <v>45922</v>
      </c>
      <c r="L569" s="203" t="s">
        <v>681</v>
      </c>
      <c r="M569" s="10"/>
      <c r="N569" s="197"/>
      <c r="O569" s="198"/>
      <c r="P569" s="198"/>
    </row>
    <row r="570" spans="1:16">
      <c r="A570" s="10">
        <v>252</v>
      </c>
      <c r="B570" s="193" t="s">
        <v>372</v>
      </c>
      <c r="C570" s="447" t="s">
        <v>655</v>
      </c>
      <c r="D570" s="10"/>
      <c r="E570" s="202">
        <v>45907</v>
      </c>
      <c r="F570" s="23">
        <v>90.125158999999982</v>
      </c>
      <c r="G570" s="556" t="s">
        <v>196</v>
      </c>
      <c r="H570" s="556"/>
      <c r="I570" s="556"/>
      <c r="J570" s="556"/>
      <c r="K570" s="202">
        <v>45922</v>
      </c>
      <c r="L570" s="205" t="s">
        <v>672</v>
      </c>
      <c r="M570" s="10"/>
      <c r="N570" s="197"/>
      <c r="O570" s="198"/>
      <c r="P570" s="198"/>
    </row>
    <row r="571" spans="1:16">
      <c r="A571" s="10">
        <v>253</v>
      </c>
      <c r="B571" s="193" t="s">
        <v>656</v>
      </c>
      <c r="C571" s="447" t="s">
        <v>633</v>
      </c>
      <c r="D571" s="10"/>
      <c r="E571" s="202">
        <v>45875</v>
      </c>
      <c r="F571" s="23">
        <v>161.35518400000001</v>
      </c>
      <c r="G571" s="556" t="s">
        <v>196</v>
      </c>
      <c r="H571" s="556"/>
      <c r="I571" s="556"/>
      <c r="J571" s="556"/>
      <c r="K571" s="202">
        <v>45922</v>
      </c>
      <c r="L571" s="203" t="s">
        <v>420</v>
      </c>
      <c r="M571" s="10"/>
      <c r="N571" s="197"/>
      <c r="O571" s="198"/>
      <c r="P571" s="198"/>
    </row>
    <row r="572" spans="1:16">
      <c r="A572" s="10">
        <v>254</v>
      </c>
      <c r="B572" s="193" t="s">
        <v>657</v>
      </c>
      <c r="C572" s="447" t="s">
        <v>225</v>
      </c>
      <c r="D572" s="10"/>
      <c r="E572" s="202">
        <v>45887</v>
      </c>
      <c r="F572" s="23">
        <v>42.374236000000003</v>
      </c>
      <c r="G572" s="556" t="s">
        <v>196</v>
      </c>
      <c r="H572" s="556"/>
      <c r="I572" s="556"/>
      <c r="J572" s="556"/>
      <c r="K572" s="202">
        <v>45924</v>
      </c>
      <c r="L572" s="203" t="s">
        <v>688</v>
      </c>
      <c r="M572" s="10"/>
      <c r="N572" s="197"/>
      <c r="O572" s="198"/>
      <c r="P572" s="198"/>
    </row>
    <row r="573" spans="1:16">
      <c r="A573" s="10">
        <v>255</v>
      </c>
      <c r="B573" s="193" t="s">
        <v>8</v>
      </c>
      <c r="C573" s="447" t="s">
        <v>225</v>
      </c>
      <c r="D573" s="10"/>
      <c r="E573" s="202">
        <v>45915</v>
      </c>
      <c r="F573" s="23">
        <v>42.374236000000003</v>
      </c>
      <c r="G573" s="556" t="s">
        <v>196</v>
      </c>
      <c r="H573" s="556"/>
      <c r="I573" s="556"/>
      <c r="J573" s="556"/>
      <c r="K573" s="202">
        <v>45923</v>
      </c>
      <c r="L573" s="203" t="s">
        <v>689</v>
      </c>
      <c r="M573" s="10"/>
      <c r="N573" s="197"/>
      <c r="O573" s="198"/>
      <c r="P573" s="198"/>
    </row>
    <row r="574" spans="1:16">
      <c r="A574" s="10">
        <v>256</v>
      </c>
      <c r="B574" s="193" t="s">
        <v>658</v>
      </c>
      <c r="C574" s="447" t="s">
        <v>225</v>
      </c>
      <c r="D574" s="10"/>
      <c r="E574" s="202">
        <v>45915</v>
      </c>
      <c r="F574" s="23">
        <v>42.374236000000003</v>
      </c>
      <c r="G574" s="556" t="s">
        <v>196</v>
      </c>
      <c r="H574" s="556"/>
      <c r="I574" s="556"/>
      <c r="J574" s="556"/>
      <c r="K574" s="202">
        <v>45924</v>
      </c>
      <c r="L574" s="203" t="s">
        <v>426</v>
      </c>
      <c r="M574" s="10"/>
      <c r="N574" s="197"/>
      <c r="O574" s="198"/>
      <c r="P574" s="198"/>
    </row>
    <row r="575" spans="1:16">
      <c r="A575" s="10">
        <v>257</v>
      </c>
      <c r="B575" s="193" t="s">
        <v>659</v>
      </c>
      <c r="C575" s="447" t="s">
        <v>552</v>
      </c>
      <c r="D575" s="10"/>
      <c r="E575" s="202">
        <v>45900</v>
      </c>
      <c r="F575" s="23">
        <v>87.011570000000006</v>
      </c>
      <c r="G575" s="556" t="s">
        <v>196</v>
      </c>
      <c r="H575" s="556"/>
      <c r="I575" s="556"/>
      <c r="J575" s="556"/>
      <c r="K575" s="202">
        <v>45924</v>
      </c>
      <c r="L575" s="203" t="s">
        <v>685</v>
      </c>
      <c r="M575" s="10"/>
      <c r="N575" s="197"/>
      <c r="O575" s="198"/>
      <c r="P575" s="198"/>
    </row>
    <row r="576" spans="1:16">
      <c r="A576" s="10">
        <v>258</v>
      </c>
      <c r="B576" s="193" t="s">
        <v>660</v>
      </c>
      <c r="C576" s="447" t="s">
        <v>363</v>
      </c>
      <c r="D576" s="10"/>
      <c r="E576" s="202">
        <v>45915</v>
      </c>
      <c r="F576" s="23">
        <v>78.677549999999997</v>
      </c>
      <c r="G576" s="556" t="s">
        <v>196</v>
      </c>
      <c r="H576" s="556"/>
      <c r="I576" s="556"/>
      <c r="J576" s="556"/>
      <c r="K576" s="202">
        <v>45925</v>
      </c>
      <c r="L576" s="203" t="s">
        <v>687</v>
      </c>
      <c r="M576" s="10"/>
      <c r="N576" s="197"/>
      <c r="O576" s="198"/>
      <c r="P576" s="198"/>
    </row>
    <row r="577" spans="1:16">
      <c r="A577" s="10">
        <v>259</v>
      </c>
      <c r="B577" s="193" t="s">
        <v>661</v>
      </c>
      <c r="C577" s="447" t="s">
        <v>551</v>
      </c>
      <c r="D577" s="10"/>
      <c r="E577" s="202">
        <v>45911</v>
      </c>
      <c r="F577" s="23">
        <v>75.858397999999994</v>
      </c>
      <c r="G577" s="556" t="s">
        <v>196</v>
      </c>
      <c r="H577" s="556"/>
      <c r="I577" s="556"/>
      <c r="J577" s="556"/>
      <c r="K577" s="202">
        <v>45928</v>
      </c>
      <c r="L577" s="205" t="s">
        <v>417</v>
      </c>
      <c r="M577" s="10"/>
      <c r="N577" s="197"/>
      <c r="O577" s="198"/>
      <c r="P577" s="198"/>
    </row>
    <row r="578" spans="1:16">
      <c r="A578" s="10">
        <v>260</v>
      </c>
      <c r="B578" s="193" t="s">
        <v>662</v>
      </c>
      <c r="C578" s="447" t="s">
        <v>633</v>
      </c>
      <c r="D578" s="10"/>
      <c r="E578" s="202">
        <v>45897</v>
      </c>
      <c r="F578" s="23">
        <v>161.35518400000001</v>
      </c>
      <c r="G578" s="556" t="s">
        <v>196</v>
      </c>
      <c r="H578" s="556"/>
      <c r="I578" s="556"/>
      <c r="J578" s="556"/>
      <c r="K578" s="202">
        <v>45929</v>
      </c>
      <c r="L578" s="203" t="s">
        <v>747</v>
      </c>
      <c r="M578" s="10"/>
      <c r="N578" s="197"/>
      <c r="O578" s="198"/>
      <c r="P578" s="198"/>
    </row>
    <row r="579" spans="1:16">
      <c r="A579" s="10">
        <v>261</v>
      </c>
      <c r="B579" s="272" t="s">
        <v>433</v>
      </c>
      <c r="C579" s="457" t="s">
        <v>225</v>
      </c>
      <c r="D579" s="10"/>
      <c r="E579" s="202">
        <v>45924</v>
      </c>
      <c r="F579" s="23">
        <v>42.374000000000002</v>
      </c>
      <c r="G579" s="556" t="s">
        <v>196</v>
      </c>
      <c r="H579" s="556"/>
      <c r="I579" s="556"/>
      <c r="J579" s="556"/>
      <c r="K579" s="202">
        <v>45937</v>
      </c>
      <c r="L579" s="203" t="s">
        <v>747</v>
      </c>
      <c r="M579" s="10"/>
      <c r="N579" s="197"/>
      <c r="O579" s="198"/>
      <c r="P579" s="198"/>
    </row>
    <row r="580" spans="1:16">
      <c r="A580" s="10">
        <v>262</v>
      </c>
      <c r="B580" s="272" t="s">
        <v>376</v>
      </c>
      <c r="C580" s="457" t="s">
        <v>624</v>
      </c>
      <c r="D580" s="10"/>
      <c r="E580" s="202">
        <v>45925</v>
      </c>
      <c r="F580" s="23">
        <v>67.111999999999995</v>
      </c>
      <c r="G580" s="556" t="s">
        <v>196</v>
      </c>
      <c r="H580" s="556"/>
      <c r="I580" s="556"/>
      <c r="J580" s="556"/>
      <c r="K580" s="202">
        <v>45937</v>
      </c>
      <c r="L580" s="203" t="s">
        <v>681</v>
      </c>
      <c r="M580" s="10"/>
      <c r="N580" s="197"/>
      <c r="O580" s="198"/>
      <c r="P580" s="198"/>
    </row>
    <row r="581" spans="1:16">
      <c r="A581" s="10">
        <v>263</v>
      </c>
      <c r="B581" s="272" t="s">
        <v>276</v>
      </c>
      <c r="C581" s="457" t="s">
        <v>508</v>
      </c>
      <c r="D581" s="10"/>
      <c r="E581" s="202">
        <v>45925</v>
      </c>
      <c r="F581" s="23">
        <v>64.481662</v>
      </c>
      <c r="G581" s="556" t="s">
        <v>196</v>
      </c>
      <c r="H581" s="556"/>
      <c r="I581" s="556"/>
      <c r="J581" s="556"/>
      <c r="K581" s="202">
        <v>45938</v>
      </c>
      <c r="L581" s="203" t="s">
        <v>752</v>
      </c>
      <c r="M581" s="10"/>
      <c r="N581" s="197"/>
      <c r="O581" s="198"/>
      <c r="P581" s="198"/>
    </row>
    <row r="582" spans="1:16">
      <c r="A582" s="10">
        <v>264</v>
      </c>
      <c r="B582" s="272" t="s">
        <v>329</v>
      </c>
      <c r="C582" s="457" t="s">
        <v>604</v>
      </c>
      <c r="D582" s="10"/>
      <c r="E582" s="191">
        <v>45931</v>
      </c>
      <c r="F582" s="23">
        <v>78.073216000000002</v>
      </c>
      <c r="G582" s="556" t="s">
        <v>196</v>
      </c>
      <c r="H582" s="556"/>
      <c r="I582" s="556"/>
      <c r="J582" s="556"/>
      <c r="K582" s="202">
        <v>45942</v>
      </c>
      <c r="L582" s="203" t="s">
        <v>432</v>
      </c>
      <c r="M582" s="10"/>
      <c r="N582" s="197"/>
      <c r="O582" s="198"/>
      <c r="P582" s="198"/>
    </row>
    <row r="583" spans="1:16">
      <c r="A583" s="10">
        <v>265</v>
      </c>
      <c r="B583" s="272" t="s">
        <v>422</v>
      </c>
      <c r="C583" s="457" t="s">
        <v>639</v>
      </c>
      <c r="D583" s="10"/>
      <c r="E583" s="191">
        <v>45922</v>
      </c>
      <c r="F583" s="23">
        <v>101.69198999999999</v>
      </c>
      <c r="G583" s="556" t="s">
        <v>196</v>
      </c>
      <c r="H583" s="556"/>
      <c r="I583" s="556"/>
      <c r="J583" s="556"/>
      <c r="K583" s="202">
        <v>45942</v>
      </c>
      <c r="L583" s="203" t="s">
        <v>420</v>
      </c>
      <c r="M583" s="10"/>
      <c r="N583" s="197"/>
      <c r="O583" s="198"/>
      <c r="P583" s="198"/>
    </row>
    <row r="584" spans="1:16" ht="15.75" customHeight="1">
      <c r="A584" s="10">
        <v>266</v>
      </c>
      <c r="B584" s="272" t="s">
        <v>429</v>
      </c>
      <c r="C584" s="457" t="s">
        <v>226</v>
      </c>
      <c r="D584" s="10"/>
      <c r="E584" s="202">
        <v>45918</v>
      </c>
      <c r="F584" s="23">
        <v>53.323913999999995</v>
      </c>
      <c r="G584" s="556" t="s">
        <v>196</v>
      </c>
      <c r="H584" s="556"/>
      <c r="I584" s="556"/>
      <c r="J584" s="556"/>
      <c r="K584" s="202">
        <v>45943</v>
      </c>
      <c r="L584" s="203" t="s">
        <v>749</v>
      </c>
      <c r="M584" s="10"/>
      <c r="N584" s="197"/>
      <c r="O584" s="198"/>
      <c r="P584" s="198"/>
    </row>
    <row r="585" spans="1:16" ht="15.75" customHeight="1">
      <c r="A585" s="10">
        <v>267</v>
      </c>
      <c r="B585" s="272" t="s">
        <v>316</v>
      </c>
      <c r="C585" s="457" t="s">
        <v>626</v>
      </c>
      <c r="D585" s="10"/>
      <c r="E585" s="202">
        <v>45923</v>
      </c>
      <c r="F585" s="23">
        <v>143.46209800000003</v>
      </c>
      <c r="G585" s="556" t="s">
        <v>196</v>
      </c>
      <c r="H585" s="556"/>
      <c r="I585" s="556"/>
      <c r="J585" s="556"/>
      <c r="K585" s="202">
        <v>45944</v>
      </c>
      <c r="L585" s="203" t="s">
        <v>689</v>
      </c>
      <c r="M585" s="10"/>
      <c r="N585" s="197"/>
      <c r="O585" s="198"/>
      <c r="P585" s="198"/>
    </row>
    <row r="586" spans="1:16" ht="15.75" customHeight="1">
      <c r="A586" s="10">
        <v>268</v>
      </c>
      <c r="B586" s="272" t="s">
        <v>428</v>
      </c>
      <c r="C586" s="457" t="s">
        <v>748</v>
      </c>
      <c r="D586" s="10"/>
      <c r="E586" s="202">
        <v>45925</v>
      </c>
      <c r="F586" s="23">
        <v>110.69581699999999</v>
      </c>
      <c r="G586" s="556" t="s">
        <v>196</v>
      </c>
      <c r="H586" s="556"/>
      <c r="I586" s="556"/>
      <c r="J586" s="556"/>
      <c r="K586" s="202">
        <v>45944</v>
      </c>
      <c r="L586" s="203" t="s">
        <v>751</v>
      </c>
      <c r="M586" s="10"/>
      <c r="N586" s="197"/>
      <c r="O586" s="198"/>
      <c r="P586" s="198"/>
    </row>
    <row r="587" spans="1:16" ht="15.75" customHeight="1">
      <c r="A587" s="10">
        <v>269</v>
      </c>
      <c r="B587" s="272" t="s">
        <v>373</v>
      </c>
      <c r="C587" s="457" t="s">
        <v>513</v>
      </c>
      <c r="D587" s="10"/>
      <c r="E587" s="202">
        <v>45926</v>
      </c>
      <c r="F587" s="23">
        <v>73.425832</v>
      </c>
      <c r="G587" s="556" t="s">
        <v>196</v>
      </c>
      <c r="H587" s="556"/>
      <c r="I587" s="556"/>
      <c r="J587" s="556"/>
      <c r="K587" s="202">
        <v>45944</v>
      </c>
      <c r="L587" s="203" t="s">
        <v>685</v>
      </c>
      <c r="M587" s="10"/>
      <c r="N587" s="197"/>
      <c r="O587" s="198"/>
      <c r="P587" s="198"/>
    </row>
    <row r="588" spans="1:16" ht="15.75" customHeight="1">
      <c r="A588" s="10">
        <v>270</v>
      </c>
      <c r="B588" s="272" t="s">
        <v>131</v>
      </c>
      <c r="C588" s="457" t="s">
        <v>225</v>
      </c>
      <c r="D588" s="10"/>
      <c r="E588" s="202">
        <v>45938</v>
      </c>
      <c r="F588" s="23">
        <v>42.374236000000003</v>
      </c>
      <c r="G588" s="556" t="s">
        <v>196</v>
      </c>
      <c r="H588" s="556"/>
      <c r="I588" s="556"/>
      <c r="J588" s="556"/>
      <c r="K588" s="202">
        <v>45952</v>
      </c>
      <c r="L588" s="203" t="s">
        <v>753</v>
      </c>
      <c r="M588" s="10"/>
      <c r="N588" s="197"/>
      <c r="O588" s="198"/>
      <c r="P588" s="198"/>
    </row>
    <row r="589" spans="1:16" ht="15.75" customHeight="1">
      <c r="A589" s="10">
        <v>271</v>
      </c>
      <c r="B589" s="272" t="s">
        <v>425</v>
      </c>
      <c r="C589" s="457" t="s">
        <v>748</v>
      </c>
      <c r="D589" s="10"/>
      <c r="E589" s="202">
        <v>45937</v>
      </c>
      <c r="F589" s="23">
        <v>110.69581699999999</v>
      </c>
      <c r="G589" s="556" t="s">
        <v>196</v>
      </c>
      <c r="H589" s="556"/>
      <c r="I589" s="556"/>
      <c r="J589" s="556"/>
      <c r="K589" s="202">
        <v>45955</v>
      </c>
      <c r="L589" s="203" t="s">
        <v>424</v>
      </c>
      <c r="M589" s="10"/>
      <c r="N589" s="197"/>
      <c r="O589" s="198"/>
      <c r="P589" s="198"/>
    </row>
    <row r="590" spans="1:16" ht="15.75" customHeight="1">
      <c r="A590" s="10">
        <v>272</v>
      </c>
      <c r="B590" s="272" t="s">
        <v>418</v>
      </c>
      <c r="C590" s="457" t="s">
        <v>722</v>
      </c>
      <c r="D590" s="10"/>
      <c r="E590" s="202">
        <v>45933</v>
      </c>
      <c r="F590" s="23">
        <v>97.833781999999985</v>
      </c>
      <c r="G590" s="556" t="s">
        <v>196</v>
      </c>
      <c r="H590" s="556"/>
      <c r="I590" s="556"/>
      <c r="J590" s="556"/>
      <c r="K590" s="202">
        <v>45958</v>
      </c>
      <c r="L590" s="205" t="s">
        <v>417</v>
      </c>
      <c r="M590" s="10"/>
      <c r="N590" s="197"/>
      <c r="O590" s="198"/>
      <c r="P590" s="198"/>
    </row>
    <row r="591" spans="1:16" ht="15.75" customHeight="1">
      <c r="A591" s="10">
        <v>273</v>
      </c>
      <c r="B591" s="272" t="s">
        <v>288</v>
      </c>
      <c r="C591" s="457" t="s">
        <v>748</v>
      </c>
      <c r="D591" s="10"/>
      <c r="E591" s="202">
        <v>45923</v>
      </c>
      <c r="F591" s="23">
        <v>110.69581699999999</v>
      </c>
      <c r="G591" s="556" t="s">
        <v>196</v>
      </c>
      <c r="H591" s="556"/>
      <c r="I591" s="556"/>
      <c r="J591" s="556"/>
      <c r="K591" s="202">
        <v>45961</v>
      </c>
      <c r="L591" s="203" t="s">
        <v>423</v>
      </c>
      <c r="M591" s="10"/>
      <c r="N591" s="197"/>
      <c r="O591" s="198"/>
      <c r="P591" s="198"/>
    </row>
    <row r="592" spans="1:16" ht="15.75" customHeight="1">
      <c r="A592" s="10">
        <v>274</v>
      </c>
      <c r="B592" s="272" t="s">
        <v>317</v>
      </c>
      <c r="C592" s="457" t="s">
        <v>513</v>
      </c>
      <c r="D592" s="202"/>
      <c r="E592" s="202">
        <v>45953</v>
      </c>
      <c r="F592" s="23">
        <v>73.425832</v>
      </c>
      <c r="G592" s="556" t="s">
        <v>196</v>
      </c>
      <c r="H592" s="556"/>
      <c r="I592" s="556"/>
      <c r="J592" s="556"/>
      <c r="K592" s="202">
        <v>45968</v>
      </c>
      <c r="L592" s="203" t="s">
        <v>753</v>
      </c>
      <c r="M592" s="10"/>
      <c r="N592" s="197"/>
      <c r="O592" s="198"/>
      <c r="P592" s="198"/>
    </row>
    <row r="593" spans="1:16" ht="15.75" customHeight="1">
      <c r="A593" s="10">
        <v>275</v>
      </c>
      <c r="B593" s="193" t="s">
        <v>274</v>
      </c>
      <c r="C593" s="457" t="s">
        <v>380</v>
      </c>
      <c r="D593" s="10"/>
      <c r="E593" s="202">
        <v>45939</v>
      </c>
      <c r="F593" s="23">
        <v>97.228551999999993</v>
      </c>
      <c r="G593" s="556" t="s">
        <v>196</v>
      </c>
      <c r="H593" s="556"/>
      <c r="I593" s="556"/>
      <c r="J593" s="556"/>
      <c r="K593" s="202">
        <v>45968</v>
      </c>
      <c r="L593" s="203" t="s">
        <v>752</v>
      </c>
      <c r="M593" s="10"/>
      <c r="N593" s="197"/>
      <c r="O593" s="198"/>
      <c r="P593" s="198"/>
    </row>
    <row r="594" spans="1:16" ht="15.75" customHeight="1">
      <c r="A594" s="10">
        <v>276</v>
      </c>
      <c r="B594" s="193" t="s">
        <v>128</v>
      </c>
      <c r="C594" s="447" t="s">
        <v>551</v>
      </c>
      <c r="D594" s="10"/>
      <c r="E594" s="202">
        <v>45956</v>
      </c>
      <c r="F594" s="23">
        <v>75.858397999999994</v>
      </c>
      <c r="G594" s="556" t="s">
        <v>196</v>
      </c>
      <c r="H594" s="556"/>
      <c r="I594" s="556"/>
      <c r="J594" s="556"/>
      <c r="K594" s="202">
        <v>45971</v>
      </c>
      <c r="L594" s="203" t="s">
        <v>424</v>
      </c>
      <c r="M594" s="10"/>
      <c r="N594" s="197"/>
      <c r="O594" s="198"/>
      <c r="P594" s="198"/>
    </row>
    <row r="595" spans="1:16" ht="15.75" customHeight="1">
      <c r="A595" s="10">
        <v>277</v>
      </c>
      <c r="B595" s="273" t="s">
        <v>431</v>
      </c>
      <c r="C595" s="457" t="s">
        <v>195</v>
      </c>
      <c r="D595" s="10"/>
      <c r="E595" s="202">
        <v>45924</v>
      </c>
      <c r="F595" s="23">
        <v>43.775756000000008</v>
      </c>
      <c r="G595" s="574" t="s">
        <v>220</v>
      </c>
      <c r="H595" s="575"/>
      <c r="I595" s="575"/>
      <c r="J595" s="576"/>
      <c r="K595" s="202"/>
      <c r="L595" s="203" t="s">
        <v>1043</v>
      </c>
      <c r="M595" s="10"/>
      <c r="N595" s="197"/>
      <c r="O595" s="198"/>
      <c r="P595" s="198"/>
    </row>
    <row r="596" spans="1:16" ht="15.75" customHeight="1">
      <c r="A596" s="10">
        <v>278</v>
      </c>
      <c r="B596" s="273" t="s">
        <v>299</v>
      </c>
      <c r="C596" s="457" t="s">
        <v>635</v>
      </c>
      <c r="D596" s="10"/>
      <c r="E596" s="202">
        <v>45925</v>
      </c>
      <c r="F596" s="23">
        <v>188.37786399999996</v>
      </c>
      <c r="G596" s="574" t="s">
        <v>220</v>
      </c>
      <c r="H596" s="575"/>
      <c r="I596" s="575"/>
      <c r="J596" s="576"/>
      <c r="K596" s="202"/>
      <c r="L596" s="203" t="s">
        <v>750</v>
      </c>
      <c r="M596" s="10"/>
      <c r="N596" s="197"/>
      <c r="O596" s="198"/>
      <c r="P596" s="198"/>
    </row>
    <row r="597" spans="1:16" ht="15.75" customHeight="1">
      <c r="A597" s="10">
        <v>279</v>
      </c>
      <c r="B597" s="273" t="s">
        <v>421</v>
      </c>
      <c r="C597" s="457" t="s">
        <v>650</v>
      </c>
      <c r="D597" s="10"/>
      <c r="E597" s="202">
        <v>45927</v>
      </c>
      <c r="F597" s="23">
        <v>110.625505</v>
      </c>
      <c r="G597" s="574" t="s">
        <v>220</v>
      </c>
      <c r="H597" s="575"/>
      <c r="I597" s="575"/>
      <c r="J597" s="576"/>
      <c r="K597" s="202"/>
      <c r="L597" s="203" t="s">
        <v>687</v>
      </c>
      <c r="M597" s="10"/>
      <c r="N597" s="197"/>
      <c r="O597" s="198"/>
      <c r="P597" s="198"/>
    </row>
    <row r="598" spans="1:16" ht="15.75" customHeight="1">
      <c r="A598" s="10">
        <v>280</v>
      </c>
      <c r="B598" s="273" t="s">
        <v>440</v>
      </c>
      <c r="C598" s="457" t="s">
        <v>380</v>
      </c>
      <c r="D598" s="10"/>
      <c r="E598" s="202">
        <v>45938</v>
      </c>
      <c r="F598" s="23">
        <v>97.228551999999993</v>
      </c>
      <c r="G598" s="574" t="s">
        <v>220</v>
      </c>
      <c r="H598" s="575"/>
      <c r="I598" s="575"/>
      <c r="J598" s="576"/>
      <c r="K598" s="202"/>
      <c r="L598" s="203" t="s">
        <v>683</v>
      </c>
      <c r="M598" s="10"/>
      <c r="N598" s="197"/>
      <c r="O598" s="198"/>
      <c r="P598" s="198"/>
    </row>
    <row r="599" spans="1:16" ht="15.75" customHeight="1">
      <c r="A599" s="10">
        <v>281</v>
      </c>
      <c r="B599" s="273" t="s">
        <v>327</v>
      </c>
      <c r="C599" s="457" t="s">
        <v>655</v>
      </c>
      <c r="D599" s="202"/>
      <c r="E599" s="202">
        <v>45945</v>
      </c>
      <c r="F599" s="23">
        <v>90.125</v>
      </c>
      <c r="G599" s="574" t="s">
        <v>220</v>
      </c>
      <c r="H599" s="575"/>
      <c r="I599" s="575"/>
      <c r="J599" s="576"/>
      <c r="K599" s="202"/>
      <c r="L599" s="203" t="s">
        <v>751</v>
      </c>
      <c r="M599" s="10"/>
      <c r="N599" s="197"/>
      <c r="O599" s="198"/>
      <c r="P599" s="198"/>
    </row>
    <row r="600" spans="1:16" ht="15.75" customHeight="1">
      <c r="A600" s="10">
        <v>282</v>
      </c>
      <c r="B600" s="149" t="s">
        <v>434</v>
      </c>
      <c r="C600" s="447" t="s">
        <v>195</v>
      </c>
      <c r="D600" s="10"/>
      <c r="E600" s="202">
        <v>45959</v>
      </c>
      <c r="F600" s="23">
        <v>43.775756000000008</v>
      </c>
      <c r="G600" s="574" t="s">
        <v>220</v>
      </c>
      <c r="H600" s="575"/>
      <c r="I600" s="575"/>
      <c r="J600" s="576"/>
      <c r="K600" s="202"/>
      <c r="L600" s="203" t="s">
        <v>1111</v>
      </c>
      <c r="M600" s="10"/>
      <c r="N600" s="197"/>
      <c r="O600" s="198"/>
      <c r="P600" s="198"/>
    </row>
    <row r="601" spans="1:16" ht="15.75" customHeight="1">
      <c r="A601" s="10">
        <v>283</v>
      </c>
      <c r="B601" s="149" t="s">
        <v>134</v>
      </c>
      <c r="C601" s="447" t="s">
        <v>225</v>
      </c>
      <c r="D601" s="10"/>
      <c r="E601" s="202">
        <v>45959</v>
      </c>
      <c r="F601" s="23">
        <v>43.775756000000008</v>
      </c>
      <c r="G601" s="574" t="s">
        <v>220</v>
      </c>
      <c r="H601" s="575"/>
      <c r="I601" s="575"/>
      <c r="J601" s="576"/>
      <c r="K601" s="202"/>
      <c r="L601" s="203" t="s">
        <v>753</v>
      </c>
      <c r="M601" s="10"/>
      <c r="N601" s="197"/>
      <c r="O601" s="198"/>
      <c r="P601" s="198"/>
    </row>
    <row r="602" spans="1:16" ht="15.75" customHeight="1">
      <c r="A602" s="10">
        <v>284</v>
      </c>
      <c r="B602" s="149" t="s">
        <v>690</v>
      </c>
      <c r="C602" s="447" t="s">
        <v>195</v>
      </c>
      <c r="D602" s="10"/>
      <c r="E602" s="202">
        <v>45967</v>
      </c>
      <c r="F602" s="23">
        <v>43.775756000000008</v>
      </c>
      <c r="G602" s="574" t="s">
        <v>220</v>
      </c>
      <c r="H602" s="575"/>
      <c r="I602" s="575"/>
      <c r="J602" s="576"/>
      <c r="K602" s="202"/>
      <c r="L602" s="203" t="s">
        <v>1052</v>
      </c>
      <c r="M602" s="10"/>
      <c r="N602" s="197"/>
      <c r="O602" s="198"/>
      <c r="P602" s="198"/>
    </row>
    <row r="603" spans="1:16" ht="15.75" customHeight="1">
      <c r="A603" s="10">
        <v>285</v>
      </c>
      <c r="B603" s="149" t="s">
        <v>294</v>
      </c>
      <c r="C603" s="447" t="s">
        <v>717</v>
      </c>
      <c r="D603" s="10"/>
      <c r="E603" s="202">
        <v>45969</v>
      </c>
      <c r="F603" s="23">
        <v>101.93300000000001</v>
      </c>
      <c r="G603" s="574" t="s">
        <v>220</v>
      </c>
      <c r="H603" s="575"/>
      <c r="I603" s="575"/>
      <c r="J603" s="576"/>
      <c r="K603" s="202"/>
      <c r="L603" s="203" t="s">
        <v>752</v>
      </c>
      <c r="M603" s="10"/>
      <c r="N603" s="197"/>
      <c r="O603" s="198"/>
      <c r="P603" s="198"/>
    </row>
    <row r="604" spans="1:16">
      <c r="A604" s="10">
        <v>286</v>
      </c>
      <c r="B604" s="149" t="s">
        <v>328</v>
      </c>
      <c r="C604" s="447" t="s">
        <v>1053</v>
      </c>
      <c r="D604" s="10"/>
      <c r="E604" s="202">
        <v>45971</v>
      </c>
      <c r="F604" s="23">
        <v>124.03700000000001</v>
      </c>
      <c r="G604" s="574" t="s">
        <v>220</v>
      </c>
      <c r="H604" s="575"/>
      <c r="I604" s="575"/>
      <c r="J604" s="576"/>
      <c r="K604" s="202"/>
      <c r="L604" s="203" t="s">
        <v>424</v>
      </c>
      <c r="M604" s="10"/>
      <c r="N604" s="197"/>
      <c r="O604" s="198"/>
      <c r="P604" s="198"/>
    </row>
    <row r="610" spans="1:10" ht="21">
      <c r="A610" s="580" t="s">
        <v>65</v>
      </c>
      <c r="B610" s="581"/>
      <c r="C610" s="581"/>
      <c r="D610" s="581"/>
      <c r="E610" s="581"/>
      <c r="F610" s="581"/>
      <c r="G610" s="581"/>
      <c r="H610" s="581"/>
      <c r="I610" s="581"/>
      <c r="J610" s="582"/>
    </row>
    <row r="611" spans="1:10" ht="26.5" thickBot="1">
      <c r="A611" s="30" t="s">
        <v>188</v>
      </c>
      <c r="B611" s="30" t="s">
        <v>70</v>
      </c>
      <c r="C611" s="456" t="s">
        <v>198</v>
      </c>
      <c r="D611" s="583" t="s">
        <v>71</v>
      </c>
      <c r="E611" s="584"/>
      <c r="F611" s="584"/>
      <c r="G611" s="585"/>
      <c r="H611" s="30" t="s">
        <v>192</v>
      </c>
      <c r="I611" s="30" t="s">
        <v>193</v>
      </c>
      <c r="J611" s="30" t="s">
        <v>73</v>
      </c>
    </row>
    <row r="612" spans="1:10">
      <c r="A612" s="10">
        <v>1</v>
      </c>
      <c r="B612" s="274" t="s">
        <v>756</v>
      </c>
      <c r="C612" s="422">
        <v>4.8187499999999996</v>
      </c>
      <c r="D612" s="573" t="s">
        <v>196</v>
      </c>
      <c r="E612" s="573"/>
      <c r="F612" s="573"/>
      <c r="G612" s="573"/>
      <c r="H612" s="280" t="s">
        <v>775</v>
      </c>
      <c r="I612" s="10"/>
      <c r="J612" s="28"/>
    </row>
    <row r="613" spans="1:10">
      <c r="A613" s="10">
        <v>2</v>
      </c>
      <c r="B613" s="274" t="s">
        <v>757</v>
      </c>
      <c r="C613" s="422">
        <v>1.23428</v>
      </c>
      <c r="D613" s="573" t="s">
        <v>196</v>
      </c>
      <c r="E613" s="573"/>
      <c r="F613" s="573"/>
      <c r="G613" s="573"/>
      <c r="H613" s="280" t="s">
        <v>775</v>
      </c>
      <c r="I613" s="10"/>
      <c r="J613" s="28"/>
    </row>
    <row r="614" spans="1:10">
      <c r="A614" s="10">
        <v>3</v>
      </c>
      <c r="B614" s="274" t="s">
        <v>758</v>
      </c>
      <c r="C614" s="422">
        <v>3.9570500000000002</v>
      </c>
      <c r="D614" s="573" t="s">
        <v>196</v>
      </c>
      <c r="E614" s="573"/>
      <c r="F614" s="573"/>
      <c r="G614" s="573"/>
      <c r="H614" s="280" t="s">
        <v>776</v>
      </c>
      <c r="I614" s="10"/>
      <c r="J614" s="28"/>
    </row>
    <row r="615" spans="1:10">
      <c r="A615" s="10">
        <v>4</v>
      </c>
      <c r="B615" s="274" t="s">
        <v>759</v>
      </c>
      <c r="C615" s="422">
        <v>2.0167199999999998</v>
      </c>
      <c r="D615" s="573" t="s">
        <v>196</v>
      </c>
      <c r="E615" s="573"/>
      <c r="F615" s="573"/>
      <c r="G615" s="573"/>
      <c r="H615" s="280" t="s">
        <v>775</v>
      </c>
      <c r="I615" s="10"/>
      <c r="J615" s="28"/>
    </row>
    <row r="616" spans="1:10">
      <c r="A616" s="10">
        <v>5</v>
      </c>
      <c r="B616" s="275" t="s">
        <v>760</v>
      </c>
      <c r="C616" s="423">
        <v>4.2836699999999999</v>
      </c>
      <c r="D616" s="573" t="s">
        <v>196</v>
      </c>
      <c r="E616" s="573"/>
      <c r="F616" s="573"/>
      <c r="G616" s="573"/>
      <c r="H616" s="280" t="s">
        <v>776</v>
      </c>
      <c r="I616" s="10"/>
      <c r="J616" s="28"/>
    </row>
    <row r="617" spans="1:10">
      <c r="A617" s="10">
        <v>6</v>
      </c>
      <c r="B617" s="276" t="s">
        <v>761</v>
      </c>
      <c r="C617" s="424">
        <v>0.22361</v>
      </c>
      <c r="D617" s="573" t="s">
        <v>196</v>
      </c>
      <c r="E617" s="573"/>
      <c r="F617" s="573"/>
      <c r="G617" s="573"/>
      <c r="H617" s="280" t="s">
        <v>775</v>
      </c>
      <c r="I617" s="10"/>
      <c r="J617" s="28" t="s">
        <v>1046</v>
      </c>
    </row>
    <row r="618" spans="1:10">
      <c r="A618" s="10">
        <v>7</v>
      </c>
      <c r="B618" s="276" t="s">
        <v>762</v>
      </c>
      <c r="C618" s="424">
        <v>0.40717000000000003</v>
      </c>
      <c r="D618" s="573" t="s">
        <v>196</v>
      </c>
      <c r="E618" s="573"/>
      <c r="F618" s="573"/>
      <c r="G618" s="573"/>
      <c r="H618" s="280" t="s">
        <v>776</v>
      </c>
      <c r="I618" s="10"/>
      <c r="J618" s="28"/>
    </row>
    <row r="619" spans="1:10">
      <c r="A619" s="10">
        <v>8</v>
      </c>
      <c r="B619" s="274" t="s">
        <v>763</v>
      </c>
      <c r="C619" s="423">
        <v>2.2262199999999996</v>
      </c>
      <c r="D619" s="573" t="s">
        <v>196</v>
      </c>
      <c r="E619" s="573"/>
      <c r="F619" s="573"/>
      <c r="G619" s="573"/>
      <c r="H619" s="280" t="s">
        <v>775</v>
      </c>
      <c r="I619" s="10"/>
      <c r="J619" s="28"/>
    </row>
    <row r="620" spans="1:10">
      <c r="A620" s="10">
        <v>9</v>
      </c>
      <c r="B620" s="274" t="s">
        <v>764</v>
      </c>
      <c r="C620" s="423">
        <v>4.7815000000000003</v>
      </c>
      <c r="D620" s="573" t="s">
        <v>196</v>
      </c>
      <c r="E620" s="573"/>
      <c r="F620" s="573"/>
      <c r="G620" s="573"/>
      <c r="H620" s="280" t="s">
        <v>776</v>
      </c>
      <c r="I620" s="10"/>
      <c r="J620" s="28"/>
    </row>
    <row r="621" spans="1:10">
      <c r="A621" s="10">
        <v>10</v>
      </c>
      <c r="B621" s="274" t="s">
        <v>765</v>
      </c>
      <c r="C621" s="423">
        <v>0.72357000000000005</v>
      </c>
      <c r="D621" s="573" t="s">
        <v>196</v>
      </c>
      <c r="E621" s="573"/>
      <c r="F621" s="573"/>
      <c r="G621" s="573"/>
      <c r="H621" s="280" t="s">
        <v>775</v>
      </c>
      <c r="I621" s="10"/>
      <c r="J621" s="28"/>
    </row>
    <row r="622" spans="1:10">
      <c r="A622" s="10">
        <v>11</v>
      </c>
      <c r="B622" s="276" t="s">
        <v>766</v>
      </c>
      <c r="C622" s="425">
        <v>0.28343000000000002</v>
      </c>
      <c r="D622" s="573" t="s">
        <v>196</v>
      </c>
      <c r="E622" s="573"/>
      <c r="F622" s="573"/>
      <c r="G622" s="573"/>
      <c r="H622" s="280" t="s">
        <v>775</v>
      </c>
      <c r="I622" s="10"/>
      <c r="J622" s="466" t="s">
        <v>1045</v>
      </c>
    </row>
    <row r="623" spans="1:10">
      <c r="A623" s="10">
        <v>12</v>
      </c>
      <c r="B623" s="274" t="s">
        <v>767</v>
      </c>
      <c r="C623" s="423">
        <v>3.1932300000000002</v>
      </c>
      <c r="D623" s="573" t="s">
        <v>196</v>
      </c>
      <c r="E623" s="573"/>
      <c r="F623" s="573"/>
      <c r="G623" s="573"/>
      <c r="H623" s="280" t="s">
        <v>776</v>
      </c>
      <c r="I623" s="10"/>
      <c r="J623" s="28"/>
    </row>
    <row r="624" spans="1:10">
      <c r="A624" s="10">
        <v>13</v>
      </c>
      <c r="B624" s="274" t="s">
        <v>768</v>
      </c>
      <c r="C624" s="423">
        <v>4.4157450000000003</v>
      </c>
      <c r="D624" s="573" t="s">
        <v>196</v>
      </c>
      <c r="E624" s="573"/>
      <c r="F624" s="573"/>
      <c r="G624" s="573"/>
      <c r="H624" s="280" t="s">
        <v>775</v>
      </c>
      <c r="I624" s="10"/>
      <c r="J624" s="28"/>
    </row>
    <row r="625" spans="1:13">
      <c r="A625" s="10">
        <v>14</v>
      </c>
      <c r="B625" s="274" t="s">
        <v>769</v>
      </c>
      <c r="C625" s="423">
        <v>3.6110000000000002</v>
      </c>
      <c r="D625" s="573" t="s">
        <v>196</v>
      </c>
      <c r="E625" s="573"/>
      <c r="F625" s="573"/>
      <c r="G625" s="573"/>
      <c r="H625" s="280" t="s">
        <v>775</v>
      </c>
      <c r="I625" s="10"/>
      <c r="J625" s="28"/>
      <c r="M625" s="459"/>
    </row>
    <row r="626" spans="1:13">
      <c r="A626" s="10">
        <v>15</v>
      </c>
      <c r="B626" s="276" t="s">
        <v>770</v>
      </c>
      <c r="C626" s="425">
        <v>0.28000000000000003</v>
      </c>
      <c r="D626" s="573" t="s">
        <v>196</v>
      </c>
      <c r="E626" s="573"/>
      <c r="F626" s="573"/>
      <c r="G626" s="573"/>
      <c r="H626" s="280" t="s">
        <v>775</v>
      </c>
      <c r="I626" s="279"/>
      <c r="J626" s="466" t="s">
        <v>1045</v>
      </c>
      <c r="M626" s="459"/>
    </row>
    <row r="627" spans="1:13">
      <c r="A627" s="10">
        <v>16</v>
      </c>
      <c r="B627" s="274" t="s">
        <v>771</v>
      </c>
      <c r="C627" s="423">
        <v>2.75</v>
      </c>
      <c r="D627" s="573" t="s">
        <v>196</v>
      </c>
      <c r="E627" s="573"/>
      <c r="F627" s="573"/>
      <c r="G627" s="573"/>
      <c r="H627" s="280" t="s">
        <v>776</v>
      </c>
      <c r="I627" s="279"/>
      <c r="J627" s="29"/>
      <c r="M627" s="459"/>
    </row>
    <row r="628" spans="1:13">
      <c r="A628" s="11">
        <v>17</v>
      </c>
      <c r="B628" s="277" t="s">
        <v>772</v>
      </c>
      <c r="C628" s="423">
        <v>4.9580000000000002</v>
      </c>
      <c r="D628" s="573" t="s">
        <v>196</v>
      </c>
      <c r="E628" s="573"/>
      <c r="F628" s="573"/>
      <c r="G628" s="573"/>
      <c r="H628" s="281" t="s">
        <v>777</v>
      </c>
      <c r="I628" s="279"/>
      <c r="J628" s="76"/>
      <c r="M628" s="459"/>
    </row>
    <row r="629" spans="1:13">
      <c r="A629" s="11">
        <v>18</v>
      </c>
      <c r="B629" s="277" t="s">
        <v>773</v>
      </c>
      <c r="C629" s="423">
        <v>4.9470000000000001</v>
      </c>
      <c r="D629" s="570" t="s">
        <v>774</v>
      </c>
      <c r="E629" s="571"/>
      <c r="F629" s="571"/>
      <c r="G629" s="572"/>
      <c r="H629" s="280" t="s">
        <v>776</v>
      </c>
      <c r="I629" s="279"/>
      <c r="J629" s="76"/>
      <c r="M629" s="459"/>
    </row>
    <row r="630" spans="1:13" ht="15.75" customHeight="1">
      <c r="A630" s="11">
        <v>19</v>
      </c>
      <c r="B630" s="277" t="s">
        <v>1018</v>
      </c>
      <c r="C630" s="423">
        <v>3.919</v>
      </c>
      <c r="D630" s="573" t="s">
        <v>196</v>
      </c>
      <c r="E630" s="573"/>
      <c r="F630" s="573"/>
      <c r="G630" s="573"/>
      <c r="H630" s="280" t="s">
        <v>775</v>
      </c>
      <c r="I630" s="279"/>
      <c r="J630" s="76"/>
      <c r="M630" s="459"/>
    </row>
    <row r="631" spans="1:13" ht="15.75" customHeight="1">
      <c r="A631" s="11">
        <v>20</v>
      </c>
      <c r="B631" s="277" t="s">
        <v>1019</v>
      </c>
      <c r="C631" s="423">
        <v>1.6060000000000001</v>
      </c>
      <c r="D631" s="573" t="s">
        <v>196</v>
      </c>
      <c r="E631" s="573"/>
      <c r="F631" s="573"/>
      <c r="G631" s="573"/>
      <c r="H631" s="281" t="s">
        <v>777</v>
      </c>
      <c r="I631" s="279"/>
      <c r="J631" s="76"/>
      <c r="M631" s="459"/>
    </row>
    <row r="632" spans="1:13" ht="15.75" customHeight="1">
      <c r="A632" s="11">
        <v>21</v>
      </c>
      <c r="B632" s="277" t="s">
        <v>1020</v>
      </c>
      <c r="C632" s="423">
        <v>4.431</v>
      </c>
      <c r="D632" s="573" t="s">
        <v>196</v>
      </c>
      <c r="E632" s="573"/>
      <c r="F632" s="573"/>
      <c r="G632" s="573"/>
      <c r="H632" s="280" t="s">
        <v>776</v>
      </c>
      <c r="I632" s="279"/>
      <c r="J632" s="76"/>
    </row>
    <row r="633" spans="1:13">
      <c r="A633" s="11">
        <v>22</v>
      </c>
      <c r="B633" s="277" t="s">
        <v>1027</v>
      </c>
      <c r="C633" s="423">
        <v>3.4319999999999999</v>
      </c>
      <c r="D633" s="570" t="s">
        <v>1028</v>
      </c>
      <c r="E633" s="571"/>
      <c r="F633" s="571"/>
      <c r="G633" s="572"/>
      <c r="H633" s="280" t="s">
        <v>775</v>
      </c>
      <c r="I633" s="76"/>
      <c r="J633" s="76"/>
    </row>
    <row r="634" spans="1:13" ht="50.25" customHeight="1">
      <c r="A634" s="11">
        <v>23</v>
      </c>
      <c r="B634" s="277" t="s">
        <v>1029</v>
      </c>
      <c r="C634" s="423">
        <v>4.8230000000000004</v>
      </c>
      <c r="D634" s="570" t="s">
        <v>774</v>
      </c>
      <c r="E634" s="571"/>
      <c r="F634" s="571"/>
      <c r="G634" s="572"/>
      <c r="H634" s="280" t="s">
        <v>776</v>
      </c>
      <c r="I634" s="76"/>
      <c r="J634" s="499" t="s">
        <v>1116</v>
      </c>
    </row>
    <row r="635" spans="1:13">
      <c r="A635" s="11">
        <v>24</v>
      </c>
      <c r="B635" s="277" t="s">
        <v>1038</v>
      </c>
      <c r="C635" s="465">
        <v>4.9370000000000003</v>
      </c>
      <c r="D635" s="570" t="s">
        <v>1051</v>
      </c>
      <c r="E635" s="571"/>
      <c r="F635" s="571"/>
      <c r="G635" s="572"/>
      <c r="H635" s="281" t="s">
        <v>777</v>
      </c>
      <c r="I635" s="76"/>
      <c r="J635" s="76"/>
    </row>
    <row r="636" spans="1:13" ht="15.75" customHeight="1">
      <c r="A636" s="11">
        <v>25</v>
      </c>
      <c r="B636" s="467" t="s">
        <v>1044</v>
      </c>
      <c r="C636" s="468">
        <v>0.31913000000000002</v>
      </c>
      <c r="D636" s="573" t="s">
        <v>196</v>
      </c>
      <c r="E636" s="573"/>
      <c r="F636" s="573"/>
      <c r="G636" s="573"/>
      <c r="H636" s="280" t="s">
        <v>775</v>
      </c>
      <c r="I636" s="76"/>
      <c r="J636" s="466" t="s">
        <v>1045</v>
      </c>
    </row>
    <row r="637" spans="1:13">
      <c r="A637" s="11">
        <v>26</v>
      </c>
      <c r="B637" s="274"/>
      <c r="C637" s="423"/>
      <c r="D637" s="433"/>
      <c r="E637" s="434"/>
      <c r="F637" s="434"/>
      <c r="G637" s="278"/>
      <c r="H637" s="76"/>
      <c r="I637" s="76"/>
      <c r="J637" s="76"/>
    </row>
    <row r="638" spans="1:13">
      <c r="A638" s="11">
        <v>27</v>
      </c>
      <c r="B638" s="274"/>
      <c r="C638" s="423"/>
      <c r="D638" s="433"/>
      <c r="E638" s="434"/>
      <c r="F638" s="434"/>
      <c r="G638" s="278"/>
      <c r="H638" s="76"/>
      <c r="I638" s="76"/>
      <c r="J638" s="76"/>
    </row>
    <row r="639" spans="1:13">
      <c r="A639" s="11">
        <v>28</v>
      </c>
      <c r="B639" s="274"/>
      <c r="C639" s="423"/>
      <c r="D639" s="433"/>
      <c r="E639" s="434"/>
      <c r="F639" s="434"/>
      <c r="G639" s="278"/>
      <c r="H639" s="76"/>
      <c r="I639" s="76"/>
      <c r="J639" s="76"/>
    </row>
    <row r="640" spans="1:13">
      <c r="A640" s="11"/>
      <c r="B640" s="274"/>
      <c r="C640" s="423"/>
      <c r="D640" s="433"/>
      <c r="E640" s="434"/>
      <c r="F640" s="434"/>
      <c r="G640" s="278"/>
      <c r="H640" s="76"/>
      <c r="I640" s="76"/>
      <c r="J640" s="76"/>
    </row>
    <row r="641" spans="1:12">
      <c r="A641" s="76"/>
      <c r="B641" s="274"/>
      <c r="C641" s="423"/>
      <c r="D641" s="586"/>
      <c r="E641" s="587"/>
      <c r="F641" s="587"/>
      <c r="G641" s="588"/>
      <c r="H641" s="76"/>
      <c r="I641" s="76"/>
      <c r="J641" s="76"/>
    </row>
    <row r="642" spans="1:12" ht="21">
      <c r="A642" s="580" t="s">
        <v>199</v>
      </c>
      <c r="B642" s="581"/>
      <c r="C642" s="581"/>
      <c r="D642" s="581"/>
      <c r="E642" s="581"/>
      <c r="F642" s="581"/>
      <c r="G642" s="581"/>
      <c r="H642" s="581"/>
      <c r="I642" s="581"/>
      <c r="J642" s="582"/>
    </row>
    <row r="643" spans="1:12" ht="31.5" thickBot="1">
      <c r="A643" s="30" t="s">
        <v>188</v>
      </c>
      <c r="B643" s="30" t="s">
        <v>70</v>
      </c>
      <c r="C643" s="456" t="s">
        <v>1025</v>
      </c>
      <c r="D643" s="583" t="s">
        <v>71</v>
      </c>
      <c r="E643" s="584"/>
      <c r="F643" s="584"/>
      <c r="G643" s="585"/>
      <c r="H643" s="30" t="s">
        <v>192</v>
      </c>
      <c r="I643" s="30" t="s">
        <v>193</v>
      </c>
      <c r="J643" s="30" t="s">
        <v>1032</v>
      </c>
    </row>
    <row r="644" spans="1:12" ht="26">
      <c r="A644" s="211">
        <v>1</v>
      </c>
      <c r="B644" s="226" t="s">
        <v>1024</v>
      </c>
      <c r="C644" s="460">
        <v>4415.75</v>
      </c>
      <c r="D644" s="573" t="s">
        <v>196</v>
      </c>
      <c r="E644" s="573"/>
      <c r="F644" s="573"/>
      <c r="G644" s="573"/>
      <c r="H644" s="427" t="s">
        <v>1026</v>
      </c>
      <c r="I644" s="211"/>
      <c r="J644" s="464" t="s">
        <v>1033</v>
      </c>
      <c r="K644" s="432">
        <v>45944</v>
      </c>
      <c r="L644" s="432">
        <v>45948</v>
      </c>
    </row>
    <row r="645" spans="1:12" ht="25.5" customHeight="1">
      <c r="A645" s="211">
        <v>2</v>
      </c>
      <c r="B645" s="226" t="s">
        <v>1030</v>
      </c>
      <c r="C645" s="460">
        <v>4340.9399999999996</v>
      </c>
      <c r="D645" s="573" t="s">
        <v>196</v>
      </c>
      <c r="E645" s="573"/>
      <c r="F645" s="573"/>
      <c r="G645" s="573"/>
      <c r="H645" s="427" t="s">
        <v>1026</v>
      </c>
      <c r="I645" s="211"/>
      <c r="J645" s="464" t="s">
        <v>1034</v>
      </c>
      <c r="K645" s="432">
        <v>45952</v>
      </c>
      <c r="L645" s="432">
        <v>45954</v>
      </c>
    </row>
    <row r="646" spans="1:12" ht="25.5" customHeight="1">
      <c r="A646" s="211">
        <v>3</v>
      </c>
      <c r="B646" s="226" t="s">
        <v>1031</v>
      </c>
      <c r="C646" s="460">
        <v>4675.9799999999996</v>
      </c>
      <c r="D646" s="573" t="s">
        <v>196</v>
      </c>
      <c r="E646" s="573"/>
      <c r="F646" s="573"/>
      <c r="G646" s="573"/>
      <c r="H646" s="427" t="s">
        <v>1026</v>
      </c>
      <c r="I646" s="211"/>
      <c r="J646" s="464" t="s">
        <v>1035</v>
      </c>
      <c r="K646" s="432">
        <v>45955</v>
      </c>
      <c r="L646" s="432">
        <v>45956</v>
      </c>
    </row>
    <row r="647" spans="1:12" ht="26">
      <c r="A647" s="211">
        <v>4</v>
      </c>
      <c r="B647" s="226" t="s">
        <v>1039</v>
      </c>
      <c r="C647" s="460">
        <v>3193.2280000000001</v>
      </c>
      <c r="D647" s="573" t="s">
        <v>196</v>
      </c>
      <c r="E647" s="573"/>
      <c r="F647" s="573"/>
      <c r="G647" s="573"/>
      <c r="H647" s="427" t="s">
        <v>1026</v>
      </c>
      <c r="I647" s="211"/>
      <c r="J647" s="464" t="s">
        <v>1040</v>
      </c>
      <c r="K647" s="432">
        <v>45958</v>
      </c>
      <c r="L647" s="432">
        <v>45961</v>
      </c>
    </row>
    <row r="648" spans="1:12" ht="26">
      <c r="A648" s="211">
        <v>5</v>
      </c>
      <c r="B648" s="226" t="s">
        <v>1041</v>
      </c>
      <c r="C648" s="460">
        <v>3957.049</v>
      </c>
      <c r="D648" s="573" t="s">
        <v>196</v>
      </c>
      <c r="E648" s="573"/>
      <c r="F648" s="573"/>
      <c r="G648" s="573"/>
      <c r="H648" s="427" t="s">
        <v>1026</v>
      </c>
      <c r="I648" s="211"/>
      <c r="J648" s="464" t="s">
        <v>1042</v>
      </c>
      <c r="K648" s="432">
        <v>45962</v>
      </c>
      <c r="L648" s="432">
        <v>45964</v>
      </c>
    </row>
    <row r="649" spans="1:12" ht="26">
      <c r="A649" s="211">
        <v>6</v>
      </c>
      <c r="B649" s="226" t="s">
        <v>1047</v>
      </c>
      <c r="C649" s="460">
        <v>4780.4960000000001</v>
      </c>
      <c r="D649" s="573" t="s">
        <v>196</v>
      </c>
      <c r="E649" s="573"/>
      <c r="F649" s="573"/>
      <c r="G649" s="573"/>
      <c r="H649" s="427" t="s">
        <v>1026</v>
      </c>
      <c r="I649" s="211"/>
      <c r="J649" s="464" t="s">
        <v>1049</v>
      </c>
      <c r="K649" s="432">
        <v>45965</v>
      </c>
      <c r="L649" s="432">
        <v>45967</v>
      </c>
    </row>
    <row r="650" spans="1:12" ht="26">
      <c r="A650" s="211">
        <v>7</v>
      </c>
      <c r="B650" s="226" t="s">
        <v>1048</v>
      </c>
      <c r="C650" s="460">
        <v>4690.8360000000002</v>
      </c>
      <c r="D650" s="573" t="s">
        <v>1023</v>
      </c>
      <c r="E650" s="573"/>
      <c r="F650" s="573"/>
      <c r="G650" s="573"/>
      <c r="H650" s="427" t="s">
        <v>1026</v>
      </c>
      <c r="I650" s="211">
        <v>14</v>
      </c>
      <c r="J650" s="464" t="s">
        <v>1050</v>
      </c>
      <c r="K650" s="432">
        <v>45968</v>
      </c>
      <c r="L650" s="432">
        <v>45972</v>
      </c>
    </row>
    <row r="651" spans="1:12">
      <c r="A651" s="211"/>
      <c r="B651" s="226"/>
      <c r="C651" s="460"/>
      <c r="D651" s="461"/>
      <c r="E651" s="462"/>
      <c r="F651" s="462"/>
      <c r="G651" s="463"/>
      <c r="H651" s="427"/>
      <c r="I651" s="211"/>
      <c r="J651" s="428"/>
      <c r="K651" s="432"/>
      <c r="L651" s="432"/>
    </row>
    <row r="652" spans="1:12">
      <c r="A652" s="211"/>
      <c r="B652" s="226"/>
      <c r="C652" s="460"/>
      <c r="D652" s="461"/>
      <c r="E652" s="462"/>
      <c r="F652" s="462"/>
      <c r="G652" s="463"/>
      <c r="H652" s="427"/>
      <c r="I652" s="211"/>
      <c r="J652" s="428"/>
      <c r="K652" s="432"/>
      <c r="L652" s="432"/>
    </row>
    <row r="653" spans="1:12">
      <c r="A653" s="211"/>
      <c r="B653" s="226"/>
      <c r="C653" s="460"/>
      <c r="D653" s="461"/>
      <c r="E653" s="462"/>
      <c r="F653" s="462"/>
      <c r="G653" s="463"/>
      <c r="H653" s="427"/>
      <c r="I653" s="211"/>
      <c r="J653" s="428"/>
      <c r="K653" s="432"/>
      <c r="L653" s="432"/>
    </row>
    <row r="654" spans="1:12">
      <c r="A654" s="211"/>
      <c r="B654" s="226"/>
      <c r="C654" s="460"/>
      <c r="D654" s="461"/>
      <c r="E654" s="462"/>
      <c r="F654" s="462"/>
      <c r="G654" s="463"/>
      <c r="H654" s="427"/>
      <c r="I654" s="211"/>
      <c r="J654" s="428"/>
      <c r="K654" s="432"/>
      <c r="L654" s="432"/>
    </row>
    <row r="655" spans="1:12" ht="14.5">
      <c r="A655" s="211"/>
      <c r="B655" s="226"/>
      <c r="C655" s="426"/>
      <c r="D655" s="577"/>
      <c r="E655" s="578"/>
      <c r="F655" s="578"/>
      <c r="G655" s="579"/>
      <c r="H655" s="427"/>
      <c r="I655" s="211"/>
      <c r="J655" s="428"/>
    </row>
    <row r="656" spans="1:12" ht="14.5">
      <c r="A656" s="211"/>
      <c r="B656" s="227"/>
      <c r="C656" s="458">
        <f>SUM(C644:C655)</f>
        <v>30054.278999999995</v>
      </c>
      <c r="D656" s="577"/>
      <c r="E656" s="578"/>
      <c r="F656" s="578"/>
      <c r="G656" s="579"/>
      <c r="H656" s="429"/>
      <c r="I656" s="430"/>
      <c r="J656" s="431"/>
    </row>
  </sheetData>
  <mergeCells count="717">
    <mergeCell ref="G104:J104"/>
    <mergeCell ref="G105:J105"/>
    <mergeCell ref="G106:J106"/>
    <mergeCell ref="D646:G646"/>
    <mergeCell ref="G598:J598"/>
    <mergeCell ref="G12:J12"/>
    <mergeCell ref="N12:P12"/>
    <mergeCell ref="A271:A272"/>
    <mergeCell ref="A299:A300"/>
    <mergeCell ref="G581:J581"/>
    <mergeCell ref="G43:J43"/>
    <mergeCell ref="G44:J44"/>
    <mergeCell ref="G45:J45"/>
    <mergeCell ref="G46:J46"/>
    <mergeCell ref="G41:J41"/>
    <mergeCell ref="G42:J42"/>
    <mergeCell ref="G31:J31"/>
    <mergeCell ref="G32:J32"/>
    <mergeCell ref="G33:J33"/>
    <mergeCell ref="G34:J34"/>
    <mergeCell ref="G67:J67"/>
    <mergeCell ref="G68:J68"/>
    <mergeCell ref="G69:J69"/>
    <mergeCell ref="G75:J75"/>
    <mergeCell ref="G19:J19"/>
    <mergeCell ref="G20:J20"/>
    <mergeCell ref="G21:J21"/>
    <mergeCell ref="G22:J22"/>
    <mergeCell ref="G91:J91"/>
    <mergeCell ref="G92:J92"/>
    <mergeCell ref="G93:J93"/>
    <mergeCell ref="G94:J94"/>
    <mergeCell ref="G89:J89"/>
    <mergeCell ref="G90:J90"/>
    <mergeCell ref="G79:J79"/>
    <mergeCell ref="G80:J80"/>
    <mergeCell ref="G81:J81"/>
    <mergeCell ref="G82:J82"/>
    <mergeCell ref="G84:J84"/>
    <mergeCell ref="G85:J85"/>
    <mergeCell ref="G86:J86"/>
    <mergeCell ref="G87:J87"/>
    <mergeCell ref="G88:J88"/>
    <mergeCell ref="G76:J76"/>
    <mergeCell ref="G77:J77"/>
    <mergeCell ref="G78:J78"/>
    <mergeCell ref="G35:J35"/>
    <mergeCell ref="G39:J39"/>
    <mergeCell ref="G183:J183"/>
    <mergeCell ref="G184:J184"/>
    <mergeCell ref="G36:J36"/>
    <mergeCell ref="G109:J109"/>
    <mergeCell ref="G110:J110"/>
    <mergeCell ref="G111:J111"/>
    <mergeCell ref="G112:J112"/>
    <mergeCell ref="G139:J139"/>
    <mergeCell ref="G140:J140"/>
    <mergeCell ref="G141:J141"/>
    <mergeCell ref="G142:J142"/>
    <mergeCell ref="G137:J137"/>
    <mergeCell ref="G138:J138"/>
    <mergeCell ref="G127:J127"/>
    <mergeCell ref="G128:J128"/>
    <mergeCell ref="G129:J129"/>
    <mergeCell ref="G130:J130"/>
    <mergeCell ref="G132:J132"/>
    <mergeCell ref="G133:J133"/>
    <mergeCell ref="G134:J134"/>
    <mergeCell ref="G135:J135"/>
    <mergeCell ref="G136:J136"/>
    <mergeCell ref="G108:J108"/>
    <mergeCell ref="G107:J107"/>
    <mergeCell ref="G173:J173"/>
    <mergeCell ref="G174:J174"/>
    <mergeCell ref="G163:J163"/>
    <mergeCell ref="G164:J164"/>
    <mergeCell ref="G165:J165"/>
    <mergeCell ref="G166:J166"/>
    <mergeCell ref="G161:J161"/>
    <mergeCell ref="G228:J228"/>
    <mergeCell ref="G229:J229"/>
    <mergeCell ref="G162:J162"/>
    <mergeCell ref="G226:J226"/>
    <mergeCell ref="G187:J187"/>
    <mergeCell ref="G188:J188"/>
    <mergeCell ref="G189:J189"/>
    <mergeCell ref="G190:J190"/>
    <mergeCell ref="G185:J185"/>
    <mergeCell ref="G186:J186"/>
    <mergeCell ref="G175:J175"/>
    <mergeCell ref="G176:J176"/>
    <mergeCell ref="G177:J177"/>
    <mergeCell ref="G178:J178"/>
    <mergeCell ref="G180:J180"/>
    <mergeCell ref="G181:J181"/>
    <mergeCell ref="G182:J182"/>
    <mergeCell ref="G230:J230"/>
    <mergeCell ref="G231:J231"/>
    <mergeCell ref="G232:J232"/>
    <mergeCell ref="G255:J255"/>
    <mergeCell ref="G239:J239"/>
    <mergeCell ref="G240:J240"/>
    <mergeCell ref="G241:J241"/>
    <mergeCell ref="G242:J242"/>
    <mergeCell ref="G243:J243"/>
    <mergeCell ref="G244:J244"/>
    <mergeCell ref="G249:J249"/>
    <mergeCell ref="G250:J250"/>
    <mergeCell ref="G245:J245"/>
    <mergeCell ref="G246:J246"/>
    <mergeCell ref="G251:J251"/>
    <mergeCell ref="G252:J252"/>
    <mergeCell ref="G253:J253"/>
    <mergeCell ref="G254:J254"/>
    <mergeCell ref="G237:J237"/>
    <mergeCell ref="G238:J238"/>
    <mergeCell ref="G233:J233"/>
    <mergeCell ref="G234:J234"/>
    <mergeCell ref="G259:J259"/>
    <mergeCell ref="G260:J260"/>
    <mergeCell ref="G261:J261"/>
    <mergeCell ref="G295:J295"/>
    <mergeCell ref="G296:J296"/>
    <mergeCell ref="G297:J297"/>
    <mergeCell ref="G298:J298"/>
    <mergeCell ref="G293:J293"/>
    <mergeCell ref="G294:J294"/>
    <mergeCell ref="G263:J263"/>
    <mergeCell ref="G264:J264"/>
    <mergeCell ref="G265:J265"/>
    <mergeCell ref="G266:J266"/>
    <mergeCell ref="G267:J267"/>
    <mergeCell ref="G268:J268"/>
    <mergeCell ref="G269:J269"/>
    <mergeCell ref="G270:J270"/>
    <mergeCell ref="G262:J262"/>
    <mergeCell ref="G292:J292"/>
    <mergeCell ref="G275:J275"/>
    <mergeCell ref="G276:J276"/>
    <mergeCell ref="G277:J277"/>
    <mergeCell ref="G278:J278"/>
    <mergeCell ref="G279:J279"/>
    <mergeCell ref="G280:J280"/>
    <mergeCell ref="G287:J287"/>
    <mergeCell ref="G288:J288"/>
    <mergeCell ref="G289:J289"/>
    <mergeCell ref="G290:J290"/>
    <mergeCell ref="G291:J291"/>
    <mergeCell ref="G283:J283"/>
    <mergeCell ref="G284:J284"/>
    <mergeCell ref="G285:J285"/>
    <mergeCell ref="G286:J286"/>
    <mergeCell ref="G281:J281"/>
    <mergeCell ref="G282:J282"/>
    <mergeCell ref="G271:J271"/>
    <mergeCell ref="G272:J272"/>
    <mergeCell ref="G273:J273"/>
    <mergeCell ref="G274:J274"/>
    <mergeCell ref="G70:J70"/>
    <mergeCell ref="G65:J65"/>
    <mergeCell ref="G256:J256"/>
    <mergeCell ref="G13:J13"/>
    <mergeCell ref="G14:J14"/>
    <mergeCell ref="G15:J15"/>
    <mergeCell ref="G16:J16"/>
    <mergeCell ref="G17:J17"/>
    <mergeCell ref="G18:J18"/>
    <mergeCell ref="G200:J200"/>
    <mergeCell ref="G201:J201"/>
    <mergeCell ref="G202:J202"/>
    <mergeCell ref="G203:J203"/>
    <mergeCell ref="G204:J204"/>
    <mergeCell ref="G205:J205"/>
    <mergeCell ref="G206:J206"/>
    <mergeCell ref="G207:J207"/>
    <mergeCell ref="G208:J208"/>
    <mergeCell ref="G235:J235"/>
    <mergeCell ref="G236:J236"/>
    <mergeCell ref="G40:J40"/>
    <mergeCell ref="G23:J23"/>
    <mergeCell ref="G24:J24"/>
    <mergeCell ref="G25:J25"/>
    <mergeCell ref="G26:J26"/>
    <mergeCell ref="G27:J27"/>
    <mergeCell ref="G28:J28"/>
    <mergeCell ref="G29:J29"/>
    <mergeCell ref="G30:J30"/>
    <mergeCell ref="G37:J37"/>
    <mergeCell ref="G38:J38"/>
    <mergeCell ref="G47:J47"/>
    <mergeCell ref="G48:J48"/>
    <mergeCell ref="G49:J49"/>
    <mergeCell ref="G50:J50"/>
    <mergeCell ref="G51:J51"/>
    <mergeCell ref="G52:J52"/>
    <mergeCell ref="G53:J53"/>
    <mergeCell ref="G54:J54"/>
    <mergeCell ref="G83:J83"/>
    <mergeCell ref="G66:J66"/>
    <mergeCell ref="G55:J55"/>
    <mergeCell ref="G56:J56"/>
    <mergeCell ref="G57:J57"/>
    <mergeCell ref="G58:J58"/>
    <mergeCell ref="G59:J59"/>
    <mergeCell ref="G60:J60"/>
    <mergeCell ref="G61:J61"/>
    <mergeCell ref="G62:J62"/>
    <mergeCell ref="G63:J63"/>
    <mergeCell ref="G64:J64"/>
    <mergeCell ref="G71:J71"/>
    <mergeCell ref="G72:J72"/>
    <mergeCell ref="G73:J73"/>
    <mergeCell ref="G74:J74"/>
    <mergeCell ref="G95:J95"/>
    <mergeCell ref="G96:J96"/>
    <mergeCell ref="G97:J97"/>
    <mergeCell ref="G98:J98"/>
    <mergeCell ref="G99:J99"/>
    <mergeCell ref="G100:J100"/>
    <mergeCell ref="G101:J101"/>
    <mergeCell ref="G102:J102"/>
    <mergeCell ref="G131:J131"/>
    <mergeCell ref="G119:J119"/>
    <mergeCell ref="G120:J120"/>
    <mergeCell ref="G121:J121"/>
    <mergeCell ref="G122:J122"/>
    <mergeCell ref="G123:J123"/>
    <mergeCell ref="G124:J124"/>
    <mergeCell ref="G125:J125"/>
    <mergeCell ref="G126:J126"/>
    <mergeCell ref="G115:J115"/>
    <mergeCell ref="G116:J116"/>
    <mergeCell ref="G117:J117"/>
    <mergeCell ref="G118:J118"/>
    <mergeCell ref="G113:J113"/>
    <mergeCell ref="G114:J114"/>
    <mergeCell ref="G103:J103"/>
    <mergeCell ref="G151:J151"/>
    <mergeCell ref="G152:J152"/>
    <mergeCell ref="G153:J153"/>
    <mergeCell ref="G154:J154"/>
    <mergeCell ref="G155:J155"/>
    <mergeCell ref="G156:J156"/>
    <mergeCell ref="G157:J157"/>
    <mergeCell ref="G158:J158"/>
    <mergeCell ref="G159:J159"/>
    <mergeCell ref="G160:J160"/>
    <mergeCell ref="G195:J195"/>
    <mergeCell ref="G196:J196"/>
    <mergeCell ref="G197:J197"/>
    <mergeCell ref="G198:J198"/>
    <mergeCell ref="G227:J227"/>
    <mergeCell ref="G215:J215"/>
    <mergeCell ref="G216:J216"/>
    <mergeCell ref="G217:J217"/>
    <mergeCell ref="G218:J218"/>
    <mergeCell ref="G222:J222"/>
    <mergeCell ref="G211:J211"/>
    <mergeCell ref="G212:J212"/>
    <mergeCell ref="G213:J213"/>
    <mergeCell ref="G214:J214"/>
    <mergeCell ref="G209:J209"/>
    <mergeCell ref="G210:J210"/>
    <mergeCell ref="G199:J199"/>
    <mergeCell ref="G223:J223"/>
    <mergeCell ref="G220:J220"/>
    <mergeCell ref="G221:J221"/>
    <mergeCell ref="G219:J219"/>
    <mergeCell ref="G224:J224"/>
    <mergeCell ref="G225:J225"/>
    <mergeCell ref="A1:L1"/>
    <mergeCell ref="A7:N7"/>
    <mergeCell ref="M8:N8"/>
    <mergeCell ref="M9:N9"/>
    <mergeCell ref="M10:N10"/>
    <mergeCell ref="G191:J191"/>
    <mergeCell ref="G192:J192"/>
    <mergeCell ref="G193:J193"/>
    <mergeCell ref="G194:J194"/>
    <mergeCell ref="G143:J143"/>
    <mergeCell ref="G144:J144"/>
    <mergeCell ref="G145:J145"/>
    <mergeCell ref="G146:J146"/>
    <mergeCell ref="G147:J147"/>
    <mergeCell ref="G148:J148"/>
    <mergeCell ref="G149:J149"/>
    <mergeCell ref="G150:J150"/>
    <mergeCell ref="G179:J179"/>
    <mergeCell ref="G167:J167"/>
    <mergeCell ref="G168:J168"/>
    <mergeCell ref="G169:J169"/>
    <mergeCell ref="G170:J170"/>
    <mergeCell ref="G171:J171"/>
    <mergeCell ref="G172:J172"/>
    <mergeCell ref="G299:J299"/>
    <mergeCell ref="G300:J300"/>
    <mergeCell ref="G301:J301"/>
    <mergeCell ref="G302:J302"/>
    <mergeCell ref="G303:J303"/>
    <mergeCell ref="G304:J304"/>
    <mergeCell ref="G310:J310"/>
    <mergeCell ref="G305:J305"/>
    <mergeCell ref="G306:J306"/>
    <mergeCell ref="G307:J307"/>
    <mergeCell ref="G308:J308"/>
    <mergeCell ref="G309:J309"/>
    <mergeCell ref="G257:J257"/>
    <mergeCell ref="G258:J258"/>
    <mergeCell ref="G247:J247"/>
    <mergeCell ref="G248:J248"/>
    <mergeCell ref="G322:J322"/>
    <mergeCell ref="N322:P322"/>
    <mergeCell ref="G323:J323"/>
    <mergeCell ref="N323:P323"/>
    <mergeCell ref="G324:J324"/>
    <mergeCell ref="N324:P324"/>
    <mergeCell ref="G319:J319"/>
    <mergeCell ref="N319:P319"/>
    <mergeCell ref="G320:J320"/>
    <mergeCell ref="N320:P320"/>
    <mergeCell ref="G321:J321"/>
    <mergeCell ref="N321:P321"/>
    <mergeCell ref="G318:J318"/>
    <mergeCell ref="N318:P318"/>
    <mergeCell ref="G311:J311"/>
    <mergeCell ref="G312:J312"/>
    <mergeCell ref="G313:J313"/>
    <mergeCell ref="G314:J314"/>
    <mergeCell ref="G315:J315"/>
    <mergeCell ref="G316:J316"/>
    <mergeCell ref="G328:J328"/>
    <mergeCell ref="N328:P328"/>
    <mergeCell ref="G329:J329"/>
    <mergeCell ref="N329:P329"/>
    <mergeCell ref="G330:J330"/>
    <mergeCell ref="N330:P330"/>
    <mergeCell ref="G325:J325"/>
    <mergeCell ref="N325:P325"/>
    <mergeCell ref="G326:J326"/>
    <mergeCell ref="N326:P326"/>
    <mergeCell ref="G327:J327"/>
    <mergeCell ref="N327:P327"/>
    <mergeCell ref="G334:J334"/>
    <mergeCell ref="N334:P334"/>
    <mergeCell ref="G335:J335"/>
    <mergeCell ref="N335:P335"/>
    <mergeCell ref="G336:J336"/>
    <mergeCell ref="N336:P336"/>
    <mergeCell ref="G331:J331"/>
    <mergeCell ref="N331:P331"/>
    <mergeCell ref="G332:J332"/>
    <mergeCell ref="N332:P332"/>
    <mergeCell ref="G333:J333"/>
    <mergeCell ref="N333:P333"/>
    <mergeCell ref="G340:J340"/>
    <mergeCell ref="N340:P340"/>
    <mergeCell ref="G341:J341"/>
    <mergeCell ref="N341:P341"/>
    <mergeCell ref="G342:J342"/>
    <mergeCell ref="N342:P342"/>
    <mergeCell ref="G337:J337"/>
    <mergeCell ref="N337:P337"/>
    <mergeCell ref="G338:J338"/>
    <mergeCell ref="N338:P338"/>
    <mergeCell ref="G339:J339"/>
    <mergeCell ref="N339:P339"/>
    <mergeCell ref="G346:J346"/>
    <mergeCell ref="N346:P346"/>
    <mergeCell ref="G347:J347"/>
    <mergeCell ref="N347:P347"/>
    <mergeCell ref="G348:J348"/>
    <mergeCell ref="N348:P348"/>
    <mergeCell ref="G343:J343"/>
    <mergeCell ref="N343:P343"/>
    <mergeCell ref="G344:J344"/>
    <mergeCell ref="N344:P344"/>
    <mergeCell ref="G345:J345"/>
    <mergeCell ref="N345:P345"/>
    <mergeCell ref="G352:J352"/>
    <mergeCell ref="N352:P352"/>
    <mergeCell ref="G353:J353"/>
    <mergeCell ref="N353:P353"/>
    <mergeCell ref="G354:J354"/>
    <mergeCell ref="N354:P354"/>
    <mergeCell ref="G349:J349"/>
    <mergeCell ref="N349:P349"/>
    <mergeCell ref="G350:J350"/>
    <mergeCell ref="N350:P350"/>
    <mergeCell ref="G351:J351"/>
    <mergeCell ref="N351:P351"/>
    <mergeCell ref="G358:J358"/>
    <mergeCell ref="N358:P358"/>
    <mergeCell ref="G359:J359"/>
    <mergeCell ref="N359:P359"/>
    <mergeCell ref="G360:J360"/>
    <mergeCell ref="N360:P360"/>
    <mergeCell ref="G355:J355"/>
    <mergeCell ref="N355:P355"/>
    <mergeCell ref="G356:J356"/>
    <mergeCell ref="N356:P356"/>
    <mergeCell ref="G357:J357"/>
    <mergeCell ref="N357:P357"/>
    <mergeCell ref="G364:J364"/>
    <mergeCell ref="N364:P364"/>
    <mergeCell ref="G365:J365"/>
    <mergeCell ref="N365:P365"/>
    <mergeCell ref="G366:J366"/>
    <mergeCell ref="N366:P366"/>
    <mergeCell ref="G361:J361"/>
    <mergeCell ref="N361:P361"/>
    <mergeCell ref="G362:J362"/>
    <mergeCell ref="N362:P362"/>
    <mergeCell ref="G363:J363"/>
    <mergeCell ref="N363:P363"/>
    <mergeCell ref="G370:J370"/>
    <mergeCell ref="N370:P370"/>
    <mergeCell ref="G371:J371"/>
    <mergeCell ref="N371:P371"/>
    <mergeCell ref="G372:J372"/>
    <mergeCell ref="N372:P372"/>
    <mergeCell ref="G367:J367"/>
    <mergeCell ref="N367:P367"/>
    <mergeCell ref="G368:J368"/>
    <mergeCell ref="N368:P368"/>
    <mergeCell ref="G369:J369"/>
    <mergeCell ref="N369:P369"/>
    <mergeCell ref="G376:J376"/>
    <mergeCell ref="N376:P376"/>
    <mergeCell ref="G377:J377"/>
    <mergeCell ref="N377:P377"/>
    <mergeCell ref="G378:J378"/>
    <mergeCell ref="N378:P378"/>
    <mergeCell ref="G373:J373"/>
    <mergeCell ref="N373:P373"/>
    <mergeCell ref="G374:J374"/>
    <mergeCell ref="N374:P374"/>
    <mergeCell ref="G375:J375"/>
    <mergeCell ref="N375:P375"/>
    <mergeCell ref="G382:J382"/>
    <mergeCell ref="N382:P382"/>
    <mergeCell ref="G383:J383"/>
    <mergeCell ref="N383:P383"/>
    <mergeCell ref="G384:J384"/>
    <mergeCell ref="N384:P384"/>
    <mergeCell ref="G379:J379"/>
    <mergeCell ref="N379:P379"/>
    <mergeCell ref="G380:J380"/>
    <mergeCell ref="N380:P380"/>
    <mergeCell ref="G381:J381"/>
    <mergeCell ref="N381:P381"/>
    <mergeCell ref="G388:J388"/>
    <mergeCell ref="G389:J389"/>
    <mergeCell ref="G390:J390"/>
    <mergeCell ref="N390:P390"/>
    <mergeCell ref="G391:J391"/>
    <mergeCell ref="N391:P391"/>
    <mergeCell ref="G385:J385"/>
    <mergeCell ref="N385:P385"/>
    <mergeCell ref="G386:J386"/>
    <mergeCell ref="N386:P386"/>
    <mergeCell ref="G387:J387"/>
    <mergeCell ref="N387:P387"/>
    <mergeCell ref="G397:J397"/>
    <mergeCell ref="N397:P397"/>
    <mergeCell ref="G398:J398"/>
    <mergeCell ref="G399:J399"/>
    <mergeCell ref="G400:J400"/>
    <mergeCell ref="G401:J401"/>
    <mergeCell ref="G392:J392"/>
    <mergeCell ref="G393:J393"/>
    <mergeCell ref="G394:J394"/>
    <mergeCell ref="G395:J395"/>
    <mergeCell ref="G396:J396"/>
    <mergeCell ref="N396:P396"/>
    <mergeCell ref="G405:J405"/>
    <mergeCell ref="N405:P405"/>
    <mergeCell ref="G406:J406"/>
    <mergeCell ref="G407:J407"/>
    <mergeCell ref="G408:J408"/>
    <mergeCell ref="G409:J409"/>
    <mergeCell ref="G402:J402"/>
    <mergeCell ref="N402:P402"/>
    <mergeCell ref="G403:J403"/>
    <mergeCell ref="N403:P403"/>
    <mergeCell ref="G404:J404"/>
    <mergeCell ref="N404:P404"/>
    <mergeCell ref="G416:J416"/>
    <mergeCell ref="G417:J417"/>
    <mergeCell ref="G418:J418"/>
    <mergeCell ref="G419:J419"/>
    <mergeCell ref="G420:J420"/>
    <mergeCell ref="G421:J421"/>
    <mergeCell ref="G410:J410"/>
    <mergeCell ref="G411:J411"/>
    <mergeCell ref="G412:J412"/>
    <mergeCell ref="G413:J413"/>
    <mergeCell ref="G414:J414"/>
    <mergeCell ref="G415:J415"/>
    <mergeCell ref="G428:J428"/>
    <mergeCell ref="G429:J429"/>
    <mergeCell ref="G430:J430"/>
    <mergeCell ref="G431:J431"/>
    <mergeCell ref="G432:J432"/>
    <mergeCell ref="G433:J433"/>
    <mergeCell ref="G422:J422"/>
    <mergeCell ref="G423:J423"/>
    <mergeCell ref="G424:J424"/>
    <mergeCell ref="G425:J425"/>
    <mergeCell ref="G426:J426"/>
    <mergeCell ref="G427:J427"/>
    <mergeCell ref="G440:J440"/>
    <mergeCell ref="G441:J441"/>
    <mergeCell ref="G442:J442"/>
    <mergeCell ref="G443:J443"/>
    <mergeCell ref="G444:J444"/>
    <mergeCell ref="G445:J445"/>
    <mergeCell ref="G434:J434"/>
    <mergeCell ref="G435:J435"/>
    <mergeCell ref="G436:J436"/>
    <mergeCell ref="G437:J437"/>
    <mergeCell ref="G438:J438"/>
    <mergeCell ref="G439:J439"/>
    <mergeCell ref="G452:J452"/>
    <mergeCell ref="G453:J453"/>
    <mergeCell ref="G454:J454"/>
    <mergeCell ref="G455:J455"/>
    <mergeCell ref="G456:J456"/>
    <mergeCell ref="G457:J457"/>
    <mergeCell ref="G446:J446"/>
    <mergeCell ref="G447:J447"/>
    <mergeCell ref="G448:J448"/>
    <mergeCell ref="G449:J449"/>
    <mergeCell ref="G450:J450"/>
    <mergeCell ref="G451:J451"/>
    <mergeCell ref="G464:J464"/>
    <mergeCell ref="G465:J465"/>
    <mergeCell ref="G466:J466"/>
    <mergeCell ref="G467:J467"/>
    <mergeCell ref="G468:J468"/>
    <mergeCell ref="G469:J469"/>
    <mergeCell ref="G458:J458"/>
    <mergeCell ref="G459:J459"/>
    <mergeCell ref="G460:J460"/>
    <mergeCell ref="G461:J461"/>
    <mergeCell ref="G462:J462"/>
    <mergeCell ref="G463:J463"/>
    <mergeCell ref="G476:J476"/>
    <mergeCell ref="G477:J477"/>
    <mergeCell ref="G478:J478"/>
    <mergeCell ref="G479:J479"/>
    <mergeCell ref="G480:J480"/>
    <mergeCell ref="G481:J481"/>
    <mergeCell ref="G470:J470"/>
    <mergeCell ref="G471:J471"/>
    <mergeCell ref="G472:J472"/>
    <mergeCell ref="G473:J473"/>
    <mergeCell ref="G474:J474"/>
    <mergeCell ref="G475:J475"/>
    <mergeCell ref="G488:J488"/>
    <mergeCell ref="G489:J489"/>
    <mergeCell ref="G490:J490"/>
    <mergeCell ref="G491:J491"/>
    <mergeCell ref="G492:J492"/>
    <mergeCell ref="G493:J493"/>
    <mergeCell ref="G482:J482"/>
    <mergeCell ref="G483:J483"/>
    <mergeCell ref="G484:J484"/>
    <mergeCell ref="G485:J485"/>
    <mergeCell ref="G486:J486"/>
    <mergeCell ref="G487:J487"/>
    <mergeCell ref="G500:J500"/>
    <mergeCell ref="G501:J501"/>
    <mergeCell ref="G502:J502"/>
    <mergeCell ref="G503:J503"/>
    <mergeCell ref="G504:J504"/>
    <mergeCell ref="G505:J505"/>
    <mergeCell ref="G494:J494"/>
    <mergeCell ref="G495:J495"/>
    <mergeCell ref="G496:J496"/>
    <mergeCell ref="G497:J497"/>
    <mergeCell ref="G498:J498"/>
    <mergeCell ref="G499:J499"/>
    <mergeCell ref="G512:J512"/>
    <mergeCell ref="G513:J513"/>
    <mergeCell ref="G514:J514"/>
    <mergeCell ref="G515:J515"/>
    <mergeCell ref="G516:J516"/>
    <mergeCell ref="G517:J517"/>
    <mergeCell ref="G506:J506"/>
    <mergeCell ref="G507:J507"/>
    <mergeCell ref="G508:J508"/>
    <mergeCell ref="G509:J509"/>
    <mergeCell ref="G510:J510"/>
    <mergeCell ref="G511:J511"/>
    <mergeCell ref="G524:J524"/>
    <mergeCell ref="G525:J525"/>
    <mergeCell ref="G526:J526"/>
    <mergeCell ref="G527:J527"/>
    <mergeCell ref="G528:J528"/>
    <mergeCell ref="G529:J529"/>
    <mergeCell ref="G518:J518"/>
    <mergeCell ref="G519:J519"/>
    <mergeCell ref="G520:J520"/>
    <mergeCell ref="G521:J521"/>
    <mergeCell ref="G522:J522"/>
    <mergeCell ref="G523:J523"/>
    <mergeCell ref="G536:J536"/>
    <mergeCell ref="G537:J537"/>
    <mergeCell ref="G538:J538"/>
    <mergeCell ref="G539:J539"/>
    <mergeCell ref="G540:J540"/>
    <mergeCell ref="G541:J541"/>
    <mergeCell ref="G530:J530"/>
    <mergeCell ref="G531:J531"/>
    <mergeCell ref="G532:J532"/>
    <mergeCell ref="G533:J533"/>
    <mergeCell ref="G534:J534"/>
    <mergeCell ref="G535:J535"/>
    <mergeCell ref="G548:J548"/>
    <mergeCell ref="G549:J549"/>
    <mergeCell ref="G550:J550"/>
    <mergeCell ref="G551:J551"/>
    <mergeCell ref="G552:J552"/>
    <mergeCell ref="G553:J553"/>
    <mergeCell ref="G542:J542"/>
    <mergeCell ref="G543:J543"/>
    <mergeCell ref="G544:J544"/>
    <mergeCell ref="G545:J545"/>
    <mergeCell ref="G546:J546"/>
    <mergeCell ref="G547:J547"/>
    <mergeCell ref="G554:J554"/>
    <mergeCell ref="G555:J555"/>
    <mergeCell ref="G556:J556"/>
    <mergeCell ref="G557:J557"/>
    <mergeCell ref="G558:J558"/>
    <mergeCell ref="G559:J559"/>
    <mergeCell ref="G582:J582"/>
    <mergeCell ref="G572:J572"/>
    <mergeCell ref="G573:J573"/>
    <mergeCell ref="G574:J574"/>
    <mergeCell ref="G575:J575"/>
    <mergeCell ref="G576:J576"/>
    <mergeCell ref="G577:J577"/>
    <mergeCell ref="G566:J566"/>
    <mergeCell ref="G567:J567"/>
    <mergeCell ref="G568:J568"/>
    <mergeCell ref="G569:J569"/>
    <mergeCell ref="G560:J560"/>
    <mergeCell ref="G561:J561"/>
    <mergeCell ref="G562:J562"/>
    <mergeCell ref="G563:J563"/>
    <mergeCell ref="G564:J564"/>
    <mergeCell ref="G565:J565"/>
    <mergeCell ref="G570:J570"/>
    <mergeCell ref="G571:J571"/>
    <mergeCell ref="D630:G630"/>
    <mergeCell ref="D633:G633"/>
    <mergeCell ref="D641:G641"/>
    <mergeCell ref="G578:J578"/>
    <mergeCell ref="A610:J610"/>
    <mergeCell ref="D611:G611"/>
    <mergeCell ref="D612:G612"/>
    <mergeCell ref="D613:G613"/>
    <mergeCell ref="D626:G626"/>
    <mergeCell ref="G587:J587"/>
    <mergeCell ref="G593:J593"/>
    <mergeCell ref="G596:J596"/>
    <mergeCell ref="D631:G631"/>
    <mergeCell ref="D632:G632"/>
    <mergeCell ref="D628:G628"/>
    <mergeCell ref="D614:G614"/>
    <mergeCell ref="D615:G615"/>
    <mergeCell ref="G597:J597"/>
    <mergeCell ref="G600:J600"/>
    <mergeCell ref="G602:J602"/>
    <mergeCell ref="G603:J603"/>
    <mergeCell ref="G579:J579"/>
    <mergeCell ref="G580:J580"/>
    <mergeCell ref="G584:J584"/>
    <mergeCell ref="G588:J588"/>
    <mergeCell ref="G585:J585"/>
    <mergeCell ref="G589:J589"/>
    <mergeCell ref="G591:J591"/>
    <mergeCell ref="G586:J586"/>
    <mergeCell ref="G583:J583"/>
    <mergeCell ref="G592:J592"/>
    <mergeCell ref="D627:G627"/>
    <mergeCell ref="D620:G620"/>
    <mergeCell ref="D622:G622"/>
    <mergeCell ref="D623:G623"/>
    <mergeCell ref="G590:J590"/>
    <mergeCell ref="D621:G621"/>
    <mergeCell ref="G594:J594"/>
    <mergeCell ref="D625:G625"/>
    <mergeCell ref="D619:G619"/>
    <mergeCell ref="G595:J595"/>
    <mergeCell ref="G599:J599"/>
    <mergeCell ref="D634:G634"/>
    <mergeCell ref="D616:G616"/>
    <mergeCell ref="D624:G624"/>
    <mergeCell ref="D617:G617"/>
    <mergeCell ref="D618:G618"/>
    <mergeCell ref="G601:J601"/>
    <mergeCell ref="G604:J604"/>
    <mergeCell ref="D656:G656"/>
    <mergeCell ref="A642:J642"/>
    <mergeCell ref="D643:G643"/>
    <mergeCell ref="D644:G644"/>
    <mergeCell ref="D645:G645"/>
    <mergeCell ref="D655:G655"/>
    <mergeCell ref="D629:G629"/>
    <mergeCell ref="D635:G635"/>
    <mergeCell ref="D636:G636"/>
    <mergeCell ref="D650:G650"/>
    <mergeCell ref="D649:G649"/>
    <mergeCell ref="D647:G647"/>
    <mergeCell ref="D648:G648"/>
  </mergeCells>
  <phoneticPr fontId="83" type="noConversion"/>
  <conditionalFormatting sqref="B13:B51 B56:B59 B63:B83 B88:B90 B195 B197 B199:B240 B243:B244 B247 B249:B252 B257 B263">
    <cfRule type="expression" dxfId="635" priority="6688" stopIfTrue="1">
      <formula>AND(COUNTIF($D$608:$D$65539, B13)+COUNTIF($D$563:$D$564, B13)+COUNTIF($D$525:$D$526, B13)+COUNTIF($D$483:$D$486, B13)+COUNTIF($D$460:$D$461, B13)+COUNTIF($D$433:$D$434, B13)+COUNTIF($D$412:$D$412, B13)+COUNTIF($D$397:$D$398, B13)+COUNTIF($D$372:$D$372, B13)+COUNTIF($D$361:$D$362, B13)+COUNTIF($D$342:$D$343, B13)+COUNTIF($D$316:$D$325, B13)+COUNTIF($D$327:$D$329, B13)+COUNTIF($D$1:$D$315, B13)&gt;1,NOT(ISBLANK(B13)))</formula>
    </cfRule>
    <cfRule type="expression" dxfId="634" priority="6687" stopIfTrue="1">
      <formula>AND(COUNTIF($D$191:$D$65539, B13)+COUNTIF($D$1:$D$79, B13)&gt;1,NOT(ISBLANK(B13)))</formula>
    </cfRule>
  </conditionalFormatting>
  <conditionalFormatting sqref="B13:B51 B56:B59 B63:B94 B100:B126 B174:B240 B243:B244 B247 B249:B252 B257 B263">
    <cfRule type="expression" dxfId="633" priority="6735" stopIfTrue="1">
      <formula>AND(COUNTIF($D$171:$D$65539, B13)+COUNTIF($D$1:$D$122, B13)&gt;1,NOT(ISBLANK(B13)))</formula>
    </cfRule>
  </conditionalFormatting>
  <conditionalFormatting sqref="B13:B51 B56:B59 B63:B94 B100:B287 B292:B294 B297:B316">
    <cfRule type="expression" dxfId="632" priority="6714" stopIfTrue="1">
      <formula>AND(COUNTIF($D$1:$D$313, B13)+COUNTIF($D$314:$D$65539, B13)&gt;1,NOT(ISBLANK(B13)))</formula>
    </cfRule>
    <cfRule type="expression" dxfId="631" priority="6713" stopIfTrue="1">
      <formula>AND(COUNTIF($D$1:$D$313, B13)+COUNTIF($D$314:$D$65539, B13)&gt;1,NOT(ISBLANK(B13)))</formula>
    </cfRule>
    <cfRule type="expression" dxfId="630" priority="6712" stopIfTrue="1">
      <formula>AND(COUNTIF($D$1:$D$313, B13)+COUNTIF($D$314:$D$65539, B13)&gt;1,NOT(ISBLANK(B13)))</formula>
    </cfRule>
    <cfRule type="expression" dxfId="629" priority="6711" stopIfTrue="1">
      <formula>AND(COUNTIF($D$1:$D$313, B13)+COUNTIF($D$314:$D$65539, B13)&gt;1,NOT(ISBLANK(B13)))</formula>
    </cfRule>
  </conditionalFormatting>
  <conditionalFormatting sqref="B13:B287 B293:B294 B297:B316">
    <cfRule type="duplicateValues" dxfId="628" priority="610"/>
  </conditionalFormatting>
  <conditionalFormatting sqref="B52">
    <cfRule type="expression" dxfId="627" priority="6749" stopIfTrue="1">
      <formula>AND(COUNTIF($E$314:$E$65382, B52)+COUNTIF($E$279:$E$299, B52)+COUNTIF($E$219:$E$220, B52)+COUNTIF($E$174:$E$177, B52)+COUNTIF($E$152:$E$153, B52)+COUNTIF($E$125:$E$126, B52)+COUNTIF($E$104:$E$104, B52)+COUNTIF($E$84:$E$85, B52)+COUNTIF($E$66:$E$66, B52)+COUNTIF($E$52:$E$59, B52)+COUNTIF(#REF!, B52)+COUNTIF($E$4:$E$27, B52)+COUNTIF(#REF!, B52)+COUNTIF($E$1:$E$3, B52)&gt;1,NOT(ISBLANK(B52)))</formula>
    </cfRule>
    <cfRule type="expression" dxfId="626" priority="6748" stopIfTrue="1">
      <formula>AND(COUNTIF($E$1:$E$65392, B52)+COUNTIF(#REF!, B52)&gt;1,NOT(ISBLANK(B52)))</formula>
    </cfRule>
    <cfRule type="expression" dxfId="625" priority="6747" stopIfTrue="1">
      <formula>AND(COUNTIF($E$314:$E$65392, B52)+COUNTIF($E$306:$E$307, B52)+COUNTIF(#REF!, B52)+COUNTIF($E$184:$E$187, B52)+COUNTIF($E$162:$E$163, B52)+COUNTIF($E$135:$E$136, B52)+COUNTIF($E$114:$E$114, B52)+COUNTIF($E$99:$E$100, B52)+COUNTIF($E$74:$E$74, B52)+COUNTIF($E$65:$E$66, B52)+COUNTIF($E$46:$E$47, B52)+COUNTIF($E$6:$E$44, B52)+COUNTIF(#REF!, B52)+COUNTIF($E$1:$E$39, B52)&gt;1,NOT(ISBLANK(B52)))</formula>
    </cfRule>
    <cfRule type="expression" dxfId="624" priority="6746" stopIfTrue="1">
      <formula>AND(COUNTIF($E$1:$E$65382, B52)+COUNTIF(#REF!, B52)&gt;1,NOT(ISBLANK(B52)))</formula>
    </cfRule>
    <cfRule type="duplicateValues" dxfId="623" priority="6745"/>
  </conditionalFormatting>
  <conditionalFormatting sqref="B53:B54">
    <cfRule type="duplicateValues" dxfId="622" priority="6750"/>
    <cfRule type="expression" dxfId="621" priority="6751" stopIfTrue="1">
      <formula>AND(COUNTIF($C$249:$C$65388, B53)+COUNTIF($C$219:$C$220, B53)+COUNTIF($C$178:$C$179, B53)+COUNTIF($C$137:$C$140, B53)+COUNTIF($C$114:$C$115, B53)+COUNTIF($C$89:$C$90, B53)+COUNTIF($C$68:$C$68, B53)+COUNTIF($C$57:$C$58, B53)+COUNTIF(#REF!, B53)+COUNTIF($C$26:$C$27, B53)+COUNTIF($C$6:$C$6, B53)+COUNTIF($C$4:$C$29, B53)+COUNTIF(#REF!, B53)+COUNTIF($C$1:$C$2, B53)&gt;1,NOT(ISBLANK(B53)))</formula>
    </cfRule>
    <cfRule type="expression" dxfId="620" priority="6752" stopIfTrue="1">
      <formula>AND(COUNTIF($C$1:$C$65388, B53)+COUNTIF(#REF!, B53)&gt;1,NOT(ISBLANK(B53)))</formula>
    </cfRule>
  </conditionalFormatting>
  <conditionalFormatting sqref="B54 B60">
    <cfRule type="expression" dxfId="619" priority="6756" stopIfTrue="1">
      <formula>AND(COUNTIF($E$314:$E$65382, B54)+COUNTIF($E$279:$E$299, B54)+COUNTIF($E$219:$E$220, B54)+COUNTIF($E$174:$E$177, B54)+COUNTIF($E$152:$E$153, B54)+COUNTIF($E$125:$E$126, B54)+COUNTIF($E$104:$E$104, B54)+COUNTIF($E$84:$E$85, B54)+COUNTIF($E$66:$E$66, B54)+COUNTIF($E$52:$E$59, B54)+COUNTIF(#REF!, B54)+COUNTIF($E$4:$E$27, B54)+COUNTIF(#REF!, B54)+COUNTIF($E$1:$E$3, B54)&gt;1,NOT(ISBLANK(B54)))</formula>
    </cfRule>
    <cfRule type="expression" dxfId="618" priority="6755" stopIfTrue="1">
      <formula>AND(COUNTIF($E$1:$E$65382, B54)+COUNTIF(#REF!, B54)&gt;1,NOT(ISBLANK(B54)))</formula>
    </cfRule>
    <cfRule type="expression" dxfId="617" priority="6754" stopIfTrue="1">
      <formula>AND(COUNTIF($C$1:$C$65388, B54)+COUNTIF(#REF!, B54)&gt;1,NOT(ISBLANK(B54)))</formula>
    </cfRule>
    <cfRule type="expression" dxfId="616" priority="6753" stopIfTrue="1">
      <formula>AND(COUNTIF($C$249:$C$65388, B54)+COUNTIF($C$219:$C$220, B54)+COUNTIF($C$178:$C$179, B54)+COUNTIF($C$137:$C$140, B54)+COUNTIF($C$114:$C$115, B54)+COUNTIF($C$89:$C$90, B54)+COUNTIF($C$68:$C$68, B54)+COUNTIF($C$57:$C$58, B54)+COUNTIF(#REF!, B54)+COUNTIF($C$26:$C$27, B54)+COUNTIF($C$6:$C$6, B54)+COUNTIF($C$4:$C$29, B54)+COUNTIF(#REF!, B54)+COUNTIF($C$1:$C$2, B54)&gt;1,NOT(ISBLANK(B54)))</formula>
    </cfRule>
  </conditionalFormatting>
  <conditionalFormatting sqref="B55:B60">
    <cfRule type="expression" dxfId="615" priority="6762" stopIfTrue="1">
      <formula>AND(COUNTIF($C$1:$C$65407, B55)+COUNTIF(#REF!, B55)&gt;1,NOT(ISBLANK(B55)))</formula>
    </cfRule>
    <cfRule type="expression" dxfId="614" priority="6761" stopIfTrue="1">
      <formula>AND(COUNTIF($C$308:$C$65407, B55)+COUNTIF($C$248:$C$249, B55)+COUNTIF($C$197:$C$198, B55)+COUNTIF($C$156:$C$159, B55)+COUNTIF($C$133:$C$134, B55)+COUNTIF($C$106:$C$107, B55)+COUNTIF($C$87:$C$87, B55)+COUNTIF($C$72:$C$73, B55)+COUNTIF($C$47:$C$47, B55)+COUNTIF($C$39:$C$39, B55)+COUNTIF($C$27:$C$27, B55)+COUNTIF($C$6:$C$6, B55)+COUNTIF($B$8:$B$22, B55)+COUNTIF($C$1:$C$5, B55)&gt;1,NOT(ISBLANK(B55)))</formula>
    </cfRule>
  </conditionalFormatting>
  <conditionalFormatting sqref="B56:B59 B13:B51 B63:B94 B100:B132 B134:B240 B243:B244 B247 B249:B252 B257 B263">
    <cfRule type="expression" dxfId="613" priority="6763" stopIfTrue="1">
      <formula>AND(COUNTIF($D$130:$D$65539, B13)+COUNTIF($D$1:$D$128, B13)&gt;1,NOT(ISBLANK(B13)))</formula>
    </cfRule>
  </conditionalFormatting>
  <conditionalFormatting sqref="B60 B54">
    <cfRule type="duplicateValues" dxfId="612" priority="678"/>
  </conditionalFormatting>
  <conditionalFormatting sqref="B84:B87 B91:B94 B100:B126 B174:B194 B196 B198">
    <cfRule type="expression" dxfId="611" priority="6773" stopIfTrue="1">
      <formula>AND(COUNTIF($D$575:$D$65539, B84)+COUNTIF($D$555:$D$556, B84)+COUNTIF($D$517:$D$518, B84)+COUNTIF($D$475:$D$478, B84)+COUNTIF($D$452:$D$453, B84)+COUNTIF($D$425:$D$426, B84)+COUNTIF($D$404:$D$404, B84)+COUNTIF($D$389:$D$390, B84)+COUNTIF($D$364:$D$364, B84)+COUNTIF($D$353:$D$354, B84)+COUNTIF($D$334:$D$335, B84)+COUNTIF($D$204:$D$318, B84)+COUNTIF($D$319:$D$321, B84)+COUNTIF($D$1:$D$202, B84)&gt;1,NOT(ISBLANK(B84)))</formula>
    </cfRule>
  </conditionalFormatting>
  <conditionalFormatting sqref="B127">
    <cfRule type="duplicateValues" dxfId="610" priority="591"/>
    <cfRule type="duplicateValues" dxfId="609" priority="592"/>
  </conditionalFormatting>
  <conditionalFormatting sqref="B127:B132 B134:B145 B147:B148">
    <cfRule type="expression" dxfId="608" priority="590" stopIfTrue="1">
      <formula>AND(COUNTIF($D$130:$D$144, B127)+COUNTIF($D$123:$D$128, B127)&gt;1,NOT(ISBLANK(B127)))</formula>
    </cfRule>
  </conditionalFormatting>
  <conditionalFormatting sqref="B127:B132 B134:B157 B159:B172">
    <cfRule type="expression" dxfId="607" priority="589" stopIfTrue="1">
      <formula>AND(COUNTIF($B$8:$B$38, B127)+COUNTIF($B$41:$B$57, B127)&gt;1,NOT(ISBLANK(B127)))</formula>
    </cfRule>
    <cfRule type="expression" dxfId="606" priority="541" stopIfTrue="1">
      <formula>AND(COUNTIF($B$8:$B$38, B127)+COUNTIF($B$41:$B$57, B127)&gt;1,NOT(ISBLANK(B127)))</formula>
    </cfRule>
  </conditionalFormatting>
  <conditionalFormatting sqref="B127:B132 B134:B174">
    <cfRule type="expression" dxfId="605" priority="588" stopIfTrue="1">
      <formula>AND(COUNTIF($D$130:$D$170, B127)+COUNTIF($D$123:$D$128, B127)&gt;1,NOT(ISBLANK(B127)))</formula>
    </cfRule>
  </conditionalFormatting>
  <conditionalFormatting sqref="B127:B157 B159:B172">
    <cfRule type="expression" dxfId="604" priority="6779" stopIfTrue="1">
      <formula>AND(COUNTIF($C$502:$C$65539, B127)+COUNTIF($C$482:$C$483, B127)+COUNTIF($C$444:$C$445, B127)+COUNTIF($C$402:$C$405, B127)+COUNTIF($C$379:$C$380, B127)+COUNTIF($C$352:$C$353, B127)+COUNTIF($C$331:$C$331, B127)+COUNTIF(#REF!, B127)+COUNTIF(#REF!, B127)+COUNTIF($C$318:$C$318, B127)+COUNTIF($C$204:$C$205, B127)+COUNTIF($C$132:$C$187, B127)+COUNTIF($C$189:$C$191, B127)+COUNTIF($C$1:$C$131, B127)&gt;1,NOT(ISBLANK(B127)))</formula>
    </cfRule>
  </conditionalFormatting>
  <conditionalFormatting sqref="B128">
    <cfRule type="duplicateValues" dxfId="603" priority="586"/>
    <cfRule type="duplicateValues" dxfId="602" priority="585"/>
  </conditionalFormatting>
  <conditionalFormatting sqref="B129">
    <cfRule type="duplicateValues" dxfId="601" priority="584"/>
  </conditionalFormatting>
  <conditionalFormatting sqref="B129:B130">
    <cfRule type="duplicateValues" dxfId="600" priority="583"/>
    <cfRule type="duplicateValues" dxfId="599" priority="582"/>
  </conditionalFormatting>
  <conditionalFormatting sqref="B129:B132 B134:B155">
    <cfRule type="expression" dxfId="598" priority="581" stopIfTrue="1">
      <formula>AND(COUNTIF($B$36:$B$36, B129)+COUNTIF($B$10:$B$34, B129)&gt;1,NOT(ISBLANK(B129)))</formula>
    </cfRule>
  </conditionalFormatting>
  <conditionalFormatting sqref="B130">
    <cfRule type="duplicateValues" dxfId="597" priority="580"/>
    <cfRule type="duplicateValues" dxfId="596" priority="579"/>
  </conditionalFormatting>
  <conditionalFormatting sqref="B131 B134">
    <cfRule type="expression" dxfId="595" priority="578" stopIfTrue="1">
      <formula>AND(COUNTIF($B$16:$B$16, B131)+COUNTIF($B$12:$B$16, B131)&gt;1,NOT(ISBLANK(B131)))</formula>
    </cfRule>
  </conditionalFormatting>
  <conditionalFormatting sqref="B131 B134:B155">
    <cfRule type="expression" dxfId="594" priority="577" stopIfTrue="1">
      <formula>AND(COUNTIF($B$12:$B$12, B131)+COUNTIF($B$36:$B$36, B131)+COUNTIF($B$14:$B$34, B131)&gt;1,NOT(ISBLANK(B131)))</formula>
    </cfRule>
  </conditionalFormatting>
  <conditionalFormatting sqref="B131">
    <cfRule type="duplicateValues" dxfId="593" priority="576"/>
    <cfRule type="duplicateValues" dxfId="592" priority="575"/>
  </conditionalFormatting>
  <conditionalFormatting sqref="B131:B132 B134:B135 B142">
    <cfRule type="expression" dxfId="591" priority="574" stopIfTrue="1">
      <formula>AND(COUNTIF($B$24:$B$24, B131)+COUNTIF(#REF!, B131)&gt;1,NOT(ISBLANK(B131)))</formula>
    </cfRule>
  </conditionalFormatting>
  <conditionalFormatting sqref="B131:B132 B134:B135">
    <cfRule type="expression" dxfId="590" priority="573" stopIfTrue="1">
      <formula>AND(COUNTIF($D$130:$D$131, B131)+COUNTIF($D$127:$D$128, B131)&gt;1,NOT(ISBLANK(B131)))</formula>
    </cfRule>
  </conditionalFormatting>
  <conditionalFormatting sqref="B131:B132 B134:B145 B147:B148">
    <cfRule type="expression" dxfId="589" priority="572" stopIfTrue="1">
      <formula>AND(COUNTIF($D$130:$D$144, B131)+COUNTIF($D$127:$D$128, B131)&gt;1,NOT(ISBLANK(B131)))</formula>
    </cfRule>
  </conditionalFormatting>
  <conditionalFormatting sqref="B131:B132">
    <cfRule type="duplicateValues" dxfId="588" priority="571"/>
  </conditionalFormatting>
  <conditionalFormatting sqref="B132 B127:B130 B159:B172">
    <cfRule type="expression" dxfId="587" priority="569" stopIfTrue="1">
      <formula>AND(COUNTIF($B$13:$B$59, B127)+COUNTIF($B$8:$B$11, B127)&gt;1,NOT(ISBLANK(B127)))</formula>
    </cfRule>
  </conditionalFormatting>
  <conditionalFormatting sqref="B132 B134:B135">
    <cfRule type="expression" dxfId="586" priority="570" stopIfTrue="1">
      <formula>AND(COUNTIF($D$130:$D$131, B132)+COUNTIF($D$128:$D$128, B132)&gt;1,NOT(ISBLANK(B132)))</formula>
    </cfRule>
  </conditionalFormatting>
  <conditionalFormatting sqref="B132 B134:B157 B159:B172">
    <cfRule type="expression" dxfId="585" priority="540" stopIfTrue="1">
      <formula>AND(COUNTIF(#REF!, B132)+COUNTIF($B$13:$B$59, B132)&gt;1,NOT(ISBLANK(B132)))</formula>
    </cfRule>
  </conditionalFormatting>
  <conditionalFormatting sqref="B132 B142 B135">
    <cfRule type="expression" dxfId="584" priority="519" stopIfTrue="1">
      <formula>AND(COUNTIF($B$24:$B$24, B132)+COUNTIF($B$13:$B$14, B132)+COUNTIF($B$17:$B$17, B132)&gt;1,NOT(ISBLANK(B132)))</formula>
    </cfRule>
  </conditionalFormatting>
  <conditionalFormatting sqref="B132">
    <cfRule type="duplicateValues" dxfId="583" priority="567"/>
    <cfRule type="duplicateValues" dxfId="582" priority="568"/>
  </conditionalFormatting>
  <conditionalFormatting sqref="B133">
    <cfRule type="duplicateValues" dxfId="581" priority="564"/>
    <cfRule type="duplicateValues" dxfId="580" priority="563"/>
    <cfRule type="duplicateValues" dxfId="579" priority="546" stopIfTrue="1"/>
    <cfRule type="duplicateValues" dxfId="578" priority="547" stopIfTrue="1"/>
    <cfRule type="duplicateValues" dxfId="577" priority="548"/>
    <cfRule type="duplicateValues" dxfId="576" priority="549"/>
    <cfRule type="duplicateValues" dxfId="575" priority="550"/>
    <cfRule type="duplicateValues" dxfId="574" priority="562"/>
    <cfRule type="expression" dxfId="573" priority="560" stopIfTrue="1">
      <formula>AND(COUNTIF($B$12:$B$12, B133)+COUNTIF($B$36:$B$36, B133)+COUNTIF($B$14:$B$34, B133)&gt;1,NOT(ISBLANK(B133)))</formula>
    </cfRule>
    <cfRule type="expression" dxfId="572" priority="559" stopIfTrue="1">
      <formula>AND(COUNTIF($B$8:$B$38, B133)+COUNTIF($B$41:$B$57, B133)&gt;1,NOT(ISBLANK(B133)))</formula>
    </cfRule>
    <cfRule type="expression" dxfId="571" priority="558" stopIfTrue="1">
      <formula>AND(COUNTIF($B$8:$B$38, B133)+COUNTIF($B$41:$B$57, B133)&gt;1,NOT(ISBLANK(B133)))</formula>
    </cfRule>
    <cfRule type="expression" dxfId="570" priority="561" stopIfTrue="1">
      <formula>AND(COUNTIF($B$36:$B$36, B133)+COUNTIF($B$10:$B$34, B133)&gt;1,NOT(ISBLANK(B133)))</formula>
    </cfRule>
    <cfRule type="duplicateValues" dxfId="569" priority="551"/>
    <cfRule type="expression" dxfId="568" priority="552" stopIfTrue="1">
      <formula>AND(COUNTIF($B$24:$B$24, B133)+COUNTIF($B$13:$B$14, B133)+COUNTIF(#REF!, B133)&gt;1,NOT(ISBLANK(B133)))</formula>
    </cfRule>
    <cfRule type="expression" dxfId="567" priority="553" stopIfTrue="1">
      <formula>AND(COUNTIF($B$24:$B$24, B133)+COUNTIF($B$14:$B$14, B133)+COUNTIF(#REF!, B133)&gt;1,NOT(ISBLANK(B133)))</formula>
    </cfRule>
    <cfRule type="expression" dxfId="566" priority="554" stopIfTrue="1">
      <formula>AND(COUNTIF($B$24:$B$24, B133)+COUNTIF($B$13:$B$14, B133)+COUNTIF($B$17:$B$17, B133)&gt;1,NOT(ISBLANK(B133)))</formula>
    </cfRule>
    <cfRule type="expression" dxfId="565" priority="555" stopIfTrue="1">
      <formula>AND(COUNTIF($B$24:$B$24, B133)+COUNTIF(#REF!, B133)&gt;1,NOT(ISBLANK(B133)))</formula>
    </cfRule>
    <cfRule type="expression" dxfId="564" priority="556" stopIfTrue="1">
      <formula>AND(COUNTIF(#REF!, B133)+COUNTIF($B$13:$B$59, B133)&gt;1,NOT(ISBLANK(B133)))</formula>
    </cfRule>
    <cfRule type="duplicateValues" dxfId="563" priority="566"/>
    <cfRule type="duplicateValues" dxfId="562" priority="565"/>
  </conditionalFormatting>
  <conditionalFormatting sqref="B133:B157">
    <cfRule type="expression" dxfId="561" priority="557" stopIfTrue="1">
      <formula>AND(COUNTIF($B$13:$B$59, B133)+COUNTIF($B$8:$B$11, B133)&gt;1,NOT(ISBLANK(B133)))</formula>
    </cfRule>
  </conditionalFormatting>
  <conditionalFormatting sqref="B134">
    <cfRule type="duplicateValues" dxfId="560" priority="545"/>
  </conditionalFormatting>
  <conditionalFormatting sqref="B134:B135">
    <cfRule type="expression" dxfId="559" priority="542" stopIfTrue="1">
      <formula>AND(COUNTIF(#REF!, B134)+COUNTIF($B$16:$B$17, B134)&gt;1,NOT(ISBLANK(B134)))</formula>
    </cfRule>
    <cfRule type="duplicateValues" dxfId="558" priority="543"/>
    <cfRule type="duplicateValues" dxfId="557" priority="544"/>
  </conditionalFormatting>
  <conditionalFormatting sqref="B135 B132">
    <cfRule type="expression" dxfId="556" priority="539" stopIfTrue="1">
      <formula>AND(COUNTIF(#REF!, B132)+COUNTIF($B$17:$B$17, B132)+COUNTIF($B$13:$B$13, B132)&gt;1,NOT(ISBLANK(B132)))</formula>
    </cfRule>
  </conditionalFormatting>
  <conditionalFormatting sqref="B135">
    <cfRule type="expression" dxfId="555" priority="538" stopIfTrue="1">
      <formula>AND(COUNTIF(#REF!, B135)+COUNTIF($B$17:$B$17, B135)&gt;1,NOT(ISBLANK(B135)))</formula>
    </cfRule>
  </conditionalFormatting>
  <conditionalFormatting sqref="B136">
    <cfRule type="duplicateValues" dxfId="554" priority="537"/>
  </conditionalFormatting>
  <conditionalFormatting sqref="B136:B137 B142">
    <cfRule type="expression" dxfId="553" priority="536" stopIfTrue="1">
      <formula>AND(COUNTIF(#REF!, B136)+COUNTIF($B$18:$B$24, B136)&gt;1,NOT(ISBLANK(B136)))</formula>
    </cfRule>
  </conditionalFormatting>
  <conditionalFormatting sqref="B136:B137">
    <cfRule type="duplicateValues" dxfId="552" priority="533"/>
    <cfRule type="duplicateValues" dxfId="551" priority="534"/>
    <cfRule type="duplicateValues" dxfId="550" priority="535"/>
  </conditionalFormatting>
  <conditionalFormatting sqref="B136:B145 B147:B148">
    <cfRule type="duplicateValues" dxfId="549" priority="532"/>
  </conditionalFormatting>
  <conditionalFormatting sqref="B137">
    <cfRule type="duplicateValues" dxfId="548" priority="531"/>
  </conditionalFormatting>
  <conditionalFormatting sqref="B138">
    <cfRule type="duplicateValues" dxfId="547" priority="530"/>
  </conditionalFormatting>
  <conditionalFormatting sqref="B138:B140">
    <cfRule type="duplicateValues" dxfId="546" priority="528"/>
    <cfRule type="duplicateValues" dxfId="545" priority="529"/>
  </conditionalFormatting>
  <conditionalFormatting sqref="B138:B146">
    <cfRule type="expression" dxfId="544" priority="527" stopIfTrue="1">
      <formula>AND(COUNTIF($B$26:$B$26, B138)+COUNTIF($B$20:$B$23, B138)&gt;1,NOT(ISBLANK(B138)))</formula>
    </cfRule>
  </conditionalFormatting>
  <conditionalFormatting sqref="B138:B147">
    <cfRule type="expression" dxfId="543" priority="526" stopIfTrue="1">
      <formula>AND(COUNTIF($B$26:$B$27, B138)+COUNTIF($B$20:$B$23, B138)&gt;1,NOT(ISBLANK(B138)))</formula>
    </cfRule>
  </conditionalFormatting>
  <conditionalFormatting sqref="B138:B148">
    <cfRule type="expression" dxfId="542" priority="525" stopIfTrue="1">
      <formula>AND(COUNTIF($B$25:$B$28, B138)+COUNTIF($B$20:$B$23, B138)&gt;1,NOT(ISBLANK(B138)))</formula>
    </cfRule>
  </conditionalFormatting>
  <conditionalFormatting sqref="B138:B155">
    <cfRule type="expression" dxfId="541" priority="524" stopIfTrue="1">
      <formula>AND(COUNTIF($B$36:$B$36, B138)+COUNTIF($B$20:$B$34, B138)&gt;1,NOT(ISBLANK(B138)))</formula>
    </cfRule>
  </conditionalFormatting>
  <conditionalFormatting sqref="B139:B140">
    <cfRule type="duplicateValues" dxfId="540" priority="522"/>
    <cfRule type="duplicateValues" dxfId="539" priority="523"/>
  </conditionalFormatting>
  <conditionalFormatting sqref="B140:B141">
    <cfRule type="duplicateValues" dxfId="538" priority="521"/>
    <cfRule type="duplicateValues" dxfId="537" priority="520"/>
  </conditionalFormatting>
  <conditionalFormatting sqref="B142 B132">
    <cfRule type="expression" dxfId="536" priority="518" stopIfTrue="1">
      <formula>AND(COUNTIF($B$24:$B$24, B132)+COUNTIF($B$13:$B$14, B132)+COUNTIF(#REF!, B132)&gt;1,NOT(ISBLANK(B132)))</formula>
    </cfRule>
  </conditionalFormatting>
  <conditionalFormatting sqref="B142">
    <cfRule type="expression" dxfId="535" priority="517" stopIfTrue="1">
      <formula>AND(COUNTIF($B$24:$B$24, B142)+COUNTIF($B$14:$B$14, B142)+COUNTIF(#REF!, B142)&gt;1,NOT(ISBLANK(B142)))</formula>
    </cfRule>
  </conditionalFormatting>
  <conditionalFormatting sqref="B142:B144">
    <cfRule type="duplicateValues" dxfId="534" priority="516"/>
  </conditionalFormatting>
  <conditionalFormatting sqref="B142:B145 B147">
    <cfRule type="duplicateValues" dxfId="533" priority="515"/>
  </conditionalFormatting>
  <conditionalFormatting sqref="B143:B145 B147">
    <cfRule type="duplicateValues" dxfId="532" priority="514"/>
    <cfRule type="duplicateValues" dxfId="531" priority="513"/>
    <cfRule type="duplicateValues" dxfId="530" priority="512"/>
  </conditionalFormatting>
  <conditionalFormatting sqref="B145 B147">
    <cfRule type="duplicateValues" dxfId="529" priority="511"/>
    <cfRule type="duplicateValues" dxfId="528" priority="510"/>
  </conditionalFormatting>
  <conditionalFormatting sqref="B145 B147:B149">
    <cfRule type="duplicateValues" dxfId="527" priority="509"/>
  </conditionalFormatting>
  <conditionalFormatting sqref="B146 B148:B149">
    <cfRule type="duplicateValues" dxfId="526" priority="508"/>
  </conditionalFormatting>
  <conditionalFormatting sqref="B147:B148">
    <cfRule type="expression" dxfId="525" priority="503" stopIfTrue="1">
      <formula>AND(COUNTIF(#REF!, B147)+COUNTIF($B$18:$B$24, B147)&gt;1,NOT(ISBLANK(B147)))</formula>
    </cfRule>
    <cfRule type="expression" dxfId="524" priority="507" stopIfTrue="1">
      <formula>AND(COUNTIF($B$24:$B$24, B147)+COUNTIF(#REF!, B147)&gt;1,NOT(ISBLANK(B147)))</formula>
    </cfRule>
    <cfRule type="expression" dxfId="523" priority="506" stopIfTrue="1">
      <formula>AND(COUNTIF($B$24:$B$24, B147)+COUNTIF($B$13:$B$14, B147)+COUNTIF($B$17:$B$17, B147)&gt;1,NOT(ISBLANK(B147)))</formula>
    </cfRule>
    <cfRule type="expression" dxfId="522" priority="505" stopIfTrue="1">
      <formula>AND(COUNTIF($B$24:$B$24, B147)+COUNTIF($B$14:$B$14, B147)+COUNTIF(#REF!, B147)&gt;1,NOT(ISBLANK(B147)))</formula>
    </cfRule>
    <cfRule type="expression" dxfId="521" priority="504" stopIfTrue="1">
      <formula>AND(COUNTIF($B$24:$B$24, B147)+COUNTIF($B$13:$B$14, B147)+COUNTIF(#REF!, B147)&gt;1,NOT(ISBLANK(B147)))</formula>
    </cfRule>
    <cfRule type="duplicateValues" dxfId="520" priority="502"/>
  </conditionalFormatting>
  <conditionalFormatting sqref="B148:B149">
    <cfRule type="duplicateValues" dxfId="519" priority="501"/>
  </conditionalFormatting>
  <conditionalFormatting sqref="B148:B157 B159:B172 B146">
    <cfRule type="expression" dxfId="518" priority="500" stopIfTrue="1">
      <formula>AND(COUNTIF($B$29:$B$38, B146)+COUNTIF($B$41:$B$57, B146)&gt;1,NOT(ISBLANK(B146)))</formula>
    </cfRule>
  </conditionalFormatting>
  <conditionalFormatting sqref="B149:B151">
    <cfRule type="duplicateValues" dxfId="517" priority="499"/>
  </conditionalFormatting>
  <conditionalFormatting sqref="B149:B155">
    <cfRule type="expression" dxfId="516" priority="498" stopIfTrue="1">
      <formula>AND(COUNTIF($B$36:$B$36, B149)+COUNTIF($B$32:$B$38, B149)&gt;1,NOT(ISBLANK(B149)))</formula>
    </cfRule>
  </conditionalFormatting>
  <conditionalFormatting sqref="B149:B156">
    <cfRule type="expression" dxfId="515" priority="497" stopIfTrue="1">
      <formula>AND(COUNTIF($B$35:$B$37, B149)+COUNTIF($B$32:$B$38, B149)&gt;1,NOT(ISBLANK(B149)))</formula>
    </cfRule>
  </conditionalFormatting>
  <conditionalFormatting sqref="B150:B152">
    <cfRule type="duplicateValues" dxfId="514" priority="496"/>
    <cfRule type="duplicateValues" dxfId="513" priority="495"/>
  </conditionalFormatting>
  <conditionalFormatting sqref="B150:B153">
    <cfRule type="duplicateValues" dxfId="512" priority="494"/>
  </conditionalFormatting>
  <conditionalFormatting sqref="B151:B153">
    <cfRule type="duplicateValues" dxfId="511" priority="493"/>
    <cfRule type="duplicateValues" dxfId="510" priority="492"/>
  </conditionalFormatting>
  <conditionalFormatting sqref="B152:B156">
    <cfRule type="duplicateValues" dxfId="509" priority="491"/>
  </conditionalFormatting>
  <conditionalFormatting sqref="B152:B157 B159:B172">
    <cfRule type="expression" dxfId="508" priority="490" stopIfTrue="1">
      <formula>AND(COUNTIF($B$35:$B$38, B152)+COUNTIF($B$41:$B$57, B152)&gt;1,NOT(ISBLANK(B152)))</formula>
    </cfRule>
  </conditionalFormatting>
  <conditionalFormatting sqref="B153:B155">
    <cfRule type="duplicateValues" dxfId="507" priority="489"/>
  </conditionalFormatting>
  <conditionalFormatting sqref="B153:B157 B159:B160">
    <cfRule type="expression" dxfId="506" priority="488" stopIfTrue="1">
      <formula>AND(COUNTIF($B$38:$B$47, B153)+COUNTIF($B$37:$B$37, B153)&gt;1,NOT(ISBLANK(B153)))</formula>
    </cfRule>
  </conditionalFormatting>
  <conditionalFormatting sqref="B153:B157 B159:B172">
    <cfRule type="expression" dxfId="505" priority="487" stopIfTrue="1">
      <formula>AND(COUNTIF($B$38:$B$59, B153)+COUNTIF($B$37:$B$37, B153)&gt;1,NOT(ISBLANK(B153)))</formula>
    </cfRule>
  </conditionalFormatting>
  <conditionalFormatting sqref="B153:B157">
    <cfRule type="expression" dxfId="504" priority="486" stopIfTrue="1">
      <formula>AND(COUNTIF($B$38:$B$38, B153)+COUNTIF($B$37:$B$37, B153)&gt;1,NOT(ISBLANK(B153)))</formula>
    </cfRule>
  </conditionalFormatting>
  <conditionalFormatting sqref="B154:B157">
    <cfRule type="duplicateValues" dxfId="503" priority="484"/>
    <cfRule type="duplicateValues" dxfId="502" priority="485"/>
  </conditionalFormatting>
  <conditionalFormatting sqref="B159:B160">
    <cfRule type="expression" dxfId="501" priority="483" stopIfTrue="1">
      <formula>AND(COUNTIF($B$41:$B$41, B159)+COUNTIF(#REF!, B159)&gt;1,NOT(ISBLANK(B159)))</formula>
    </cfRule>
  </conditionalFormatting>
  <conditionalFormatting sqref="B159:B172 B151:B157">
    <cfRule type="expression" dxfId="500" priority="482" stopIfTrue="1">
      <formula>AND(COUNTIF($B$34:$B$38, B151)+COUNTIF($B$41:$B$57, B151)&gt;1,NOT(ISBLANK(B151)))</formula>
    </cfRule>
  </conditionalFormatting>
  <conditionalFormatting sqref="B159:B172">
    <cfRule type="expression" dxfId="499" priority="481" stopIfTrue="1">
      <formula>AND(COUNTIF($B$41:$B$59, B159)+COUNTIF(#REF!, B159)&gt;1,NOT(ISBLANK(B159)))</formula>
    </cfRule>
  </conditionalFormatting>
  <conditionalFormatting sqref="B160:B172">
    <cfRule type="expression" dxfId="498" priority="480" stopIfTrue="1">
      <formula>AND(COUNTIF($B$58:$B$59, B160)+COUNTIF(#REF!, B160)&gt;1,NOT(ISBLANK(B160)))</formula>
    </cfRule>
  </conditionalFormatting>
  <conditionalFormatting sqref="B173:B174 B171">
    <cfRule type="expression" dxfId="497" priority="479" stopIfTrue="1">
      <formula>AND(COUNTIF($B$59:$B$59, B171)+COUNTIF($B$58:$B$58, B171)&gt;1,NOT(ISBLANK(B171)))</formula>
    </cfRule>
  </conditionalFormatting>
  <conditionalFormatting sqref="B173:B174">
    <cfRule type="duplicateValues" dxfId="496" priority="478"/>
    <cfRule type="expression" dxfId="495" priority="477" stopIfTrue="1">
      <formula>AND(COUNTIF(#REF!, B173)+COUNTIF(#REF!, B173)&gt;1,NOT(ISBLANK(B173)))</formula>
    </cfRule>
  </conditionalFormatting>
  <conditionalFormatting sqref="B174:B194 B84:B87 B91:B94 B100:B126 B196 B198">
    <cfRule type="expression" dxfId="494" priority="476" stopIfTrue="1">
      <formula>AND(COUNTIF($D$171:$D$190, B84)+COUNTIF($D$80:$D$122, B84)&gt;1,NOT(ISBLANK(B84)))</formula>
    </cfRule>
  </conditionalFormatting>
  <conditionalFormatting sqref="B184:B186">
    <cfRule type="expression" dxfId="493" priority="475" stopIfTrue="1">
      <formula>AND(COUNTIF($D$130:$D$170, B184)+COUNTIF($D$123:$D$128, B184)&gt;1,NOT(ISBLANK(B184)))</formula>
    </cfRule>
    <cfRule type="expression" dxfId="492" priority="474" stopIfTrue="1">
      <formula>AND(COUNTIF($B$59:$B$59, B184)+COUNTIF($B$58:$B$58, B184)&gt;1,NOT(ISBLANK(B184)))</formula>
    </cfRule>
  </conditionalFormatting>
  <conditionalFormatting sqref="B241">
    <cfRule type="duplicateValues" dxfId="491" priority="473"/>
    <cfRule type="duplicateValues" dxfId="490" priority="472"/>
  </conditionalFormatting>
  <conditionalFormatting sqref="B241:B242 B245:B246 B248 B253:B256 B258:B262 B264:B287 B292:B294 B297:B298 B301">
    <cfRule type="expression" dxfId="489" priority="6781" stopIfTrue="1">
      <formula>AND(COUNTIF($C$8:$C$24, B241)+COUNTIF(#REF!, B241)&gt;1,NOT(ISBLANK(B241)))</formula>
    </cfRule>
    <cfRule type="expression" dxfId="488" priority="6782" stopIfTrue="1">
      <formula>AND(COUNTIF($C$149:$C$149, B241)+COUNTIF($C$172:$C$65539, B241)+COUNTIF($C$1:$C$24, B241)+COUNTIF(#REF!, B241)+COUNTIF($C$44:$C$93, B241)+COUNTIF(#REF!, B241)&gt;1,NOT(ISBLANK(B241)))</formula>
    </cfRule>
    <cfRule type="expression" dxfId="487" priority="6783" stopIfTrue="1">
      <formula>AND(COUNTIF($C$8:$C$24, B241)+COUNTIF(#REF!, B241)+COUNTIF(#REF!, B241)+COUNTIF(#REF!, B241)&gt;1,NOT(ISBLANK(B241)))</formula>
    </cfRule>
    <cfRule type="expression" dxfId="486" priority="6784" stopIfTrue="1">
      <formula>AND(COUNTIF($D$415:$D$65539, B241)+COUNTIF($D$395:$D$396, B241)+COUNTIF($D$357:$D$358, B241)+COUNTIF(#REF!, B241)+COUNTIF(#REF!, B241)+COUNTIF(#REF!, B241)+COUNTIF(#REF!, B241)+COUNTIF($D$237:$D$237, B241)+COUNTIF($D$222:$D$222, B241)+COUNTIF($D$208:$D$209, B241)+COUNTIF($D$189:$D$190, B241)+COUNTIF($D$117:$D$172, B241)+COUNTIF($D$174:$D$176, B241)+COUNTIF($D$1:$D$116, B241)&gt;1,NOT(ISBLANK(B241)))</formula>
    </cfRule>
  </conditionalFormatting>
  <conditionalFormatting sqref="B241:B242 B245:B246 B248 B253:B256 B258:B262 B264:B287 B297:B316 B292:B294">
    <cfRule type="expression" dxfId="485" priority="467" stopIfTrue="1">
      <formula>AND(COUNTIF($D$237:$D$313, B241)+COUNTIF(#REF!, B241)&gt;1,NOT(ISBLANK(B241)))</formula>
    </cfRule>
  </conditionalFormatting>
  <conditionalFormatting sqref="B242">
    <cfRule type="duplicateValues" dxfId="484" priority="466"/>
    <cfRule type="duplicateValues" dxfId="483" priority="465"/>
  </conditionalFormatting>
  <conditionalFormatting sqref="B245">
    <cfRule type="duplicateValues" dxfId="482" priority="464"/>
    <cfRule type="duplicateValues" dxfId="481" priority="463"/>
    <cfRule type="duplicateValues" dxfId="480" priority="462"/>
  </conditionalFormatting>
  <conditionalFormatting sqref="B245:B246">
    <cfRule type="expression" dxfId="479" priority="461" stopIfTrue="1">
      <formula>AND(COUNTIF($C$12:$C$24, B245)+COUNTIF(#REF!, B245)+COUNTIF(#REF!, B245)+COUNTIF(#REF!, B245)&gt;1,NOT(ISBLANK(B245)))</formula>
    </cfRule>
    <cfRule type="expression" dxfId="478" priority="460" stopIfTrue="1">
      <formula>AND(COUNTIF(#REF!, B245)+COUNTIF($C$17:$C$17, B245)+COUNTIF($C$13:$C$13, B245)&gt;1,NOT(ISBLANK(B245)))</formula>
    </cfRule>
    <cfRule type="expression" dxfId="477" priority="459" stopIfTrue="1">
      <formula>AND(COUNTIF($C$24:$C$24, B245)+COUNTIF(#REF!, B245)&gt;1,NOT(ISBLANK(B245)))</formula>
    </cfRule>
    <cfRule type="expression" dxfId="476" priority="458" stopIfTrue="1">
      <formula>AND(COUNTIF($C$24:$C$24, B245)+COUNTIF($C$13:$C$14, B245)+COUNTIF($C$17:$C$17, B245)&gt;1,NOT(ISBLANK(B245)))</formula>
    </cfRule>
    <cfRule type="expression" dxfId="475" priority="457" stopIfTrue="1">
      <formula>AND(COUNTIF($C$24:$C$24, B245)+COUNTIF($C$13:$C$14, B245)+COUNTIF(#REF!, B245)&gt;1,NOT(ISBLANK(B245)))</formula>
    </cfRule>
    <cfRule type="expression" dxfId="474" priority="456" stopIfTrue="1">
      <formula>AND(COUNTIF(#REF!, B245)+COUNTIF($C$13:$C$24, B245)&gt;1,NOT(ISBLANK(B245)))</formula>
    </cfRule>
  </conditionalFormatting>
  <conditionalFormatting sqref="B246 B248">
    <cfRule type="duplicateValues" dxfId="473" priority="455"/>
    <cfRule type="duplicateValues" dxfId="472" priority="454"/>
    <cfRule type="duplicateValues" dxfId="471" priority="453"/>
  </conditionalFormatting>
  <conditionalFormatting sqref="B253:B254 B258:B262 B264:B282 B284:B287 B297:B298 B301">
    <cfRule type="duplicateValues" dxfId="470" priority="452"/>
  </conditionalFormatting>
  <conditionalFormatting sqref="B253:B254 B259:B262 B264:B282 B284:B287 B297:B298 B301">
    <cfRule type="duplicateValues" dxfId="469" priority="451"/>
  </conditionalFormatting>
  <conditionalFormatting sqref="B253:B287 B297:B302 B241:B246 B248">
    <cfRule type="expression" dxfId="468" priority="448" stopIfTrue="1">
      <formula>AND(COUNTIF($C$13:$C$24, B241)+COUNTIF($C$8:$C$11, B241)&gt;1,NOT(ISBLANK(B241)))</formula>
    </cfRule>
  </conditionalFormatting>
  <conditionalFormatting sqref="B253:B287 B297:B302 B242:B246 B248 B293:B294">
    <cfRule type="expression" dxfId="467" priority="450" stopIfTrue="1">
      <formula>AND(COUNTIF(#REF!, B242)+COUNTIF($C$10:$C$24, B242)&gt;1,NOT(ISBLANK(B242)))</formula>
    </cfRule>
  </conditionalFormatting>
  <conditionalFormatting sqref="B253:B287 B297:B302">
    <cfRule type="expression" dxfId="466" priority="446" stopIfTrue="1">
      <formula>AND(COUNTIF($C$24:$C$24, B253)+COUNTIF(#REF!, B253)&gt;1,NOT(ISBLANK(B253)))</formula>
    </cfRule>
    <cfRule type="expression" dxfId="465" priority="445" stopIfTrue="1">
      <formula>AND(COUNTIF($C$24:$C$24, B253)+COUNTIF($C$13:$C$14, B253)+COUNTIF($C$17:$C$17, B253)&gt;1,NOT(ISBLANK(B253)))</formula>
    </cfRule>
    <cfRule type="expression" dxfId="464" priority="449" stopIfTrue="1">
      <formula>AND(COUNTIF($C$12:$C$24, B253)+COUNTIF(#REF!, B253)+COUNTIF(#REF!, B253)+COUNTIF(#REF!, B253)&gt;1,NOT(ISBLANK(B253)))</formula>
    </cfRule>
    <cfRule type="expression" dxfId="463" priority="447" stopIfTrue="1">
      <formula>AND(COUNTIF($C$12:$C$12, B253)+COUNTIF(#REF!, B253)+COUNTIF($C$14:$C$24, B253)&gt;1,NOT(ISBLANK(B253)))</formula>
    </cfRule>
    <cfRule type="expression" dxfId="462" priority="442" stopIfTrue="1">
      <formula>AND(COUNTIF(#REF!, B253)+COUNTIF($C$13:$C$24, B253)&gt;1,NOT(ISBLANK(B253)))</formula>
    </cfRule>
    <cfRule type="expression" dxfId="461" priority="443" stopIfTrue="1">
      <formula>AND(COUNTIF($C$24:$C$24, B253)+COUNTIF($C$13:$C$14, B253)+COUNTIF(#REF!, B253)&gt;1,NOT(ISBLANK(B253)))</formula>
    </cfRule>
    <cfRule type="expression" dxfId="460" priority="444" stopIfTrue="1">
      <formula>AND(COUNTIF($C$24:$C$24, B253)+COUNTIF($C$14:$C$14, B253)+COUNTIF(#REF!, B253)&gt;1,NOT(ISBLANK(B253)))</formula>
    </cfRule>
  </conditionalFormatting>
  <conditionalFormatting sqref="B255 B242">
    <cfRule type="duplicateValues" dxfId="459" priority="441"/>
    <cfRule type="duplicateValues" dxfId="458" priority="440"/>
  </conditionalFormatting>
  <conditionalFormatting sqref="B255">
    <cfRule type="duplicateValues" dxfId="457" priority="439"/>
  </conditionalFormatting>
  <conditionalFormatting sqref="B256 B253:B254 B258:B262 B264:B282 B284:B287 B297:B298 B301">
    <cfRule type="duplicateValues" dxfId="456" priority="438"/>
  </conditionalFormatting>
  <conditionalFormatting sqref="B256 B261">
    <cfRule type="expression" dxfId="455" priority="437" stopIfTrue="1">
      <formula>AND(COUNTIF($C$16:$C$16, B256)+COUNTIF($C$12:$C$16, B256)&gt;1,NOT(ISBLANK(B256)))</formula>
    </cfRule>
  </conditionalFormatting>
  <conditionalFormatting sqref="B256">
    <cfRule type="duplicateValues" dxfId="454" priority="436"/>
    <cfRule type="duplicateValues" dxfId="453" priority="435"/>
  </conditionalFormatting>
  <conditionalFormatting sqref="B258">
    <cfRule type="duplicateValues" dxfId="452" priority="433"/>
  </conditionalFormatting>
  <conditionalFormatting sqref="B258:B287 B297:B302">
    <cfRule type="expression" dxfId="451" priority="432" stopIfTrue="1">
      <formula>AND(COUNTIF(#REF!, B258)+COUNTIF($C$17:$C$17, B258)+COUNTIF($C$13:$C$13, B258)&gt;1,NOT(ISBLANK(B258)))</formula>
    </cfRule>
  </conditionalFormatting>
  <conditionalFormatting sqref="B260">
    <cfRule type="expression" dxfId="450" priority="431" stopIfTrue="1">
      <formula>AND(COUNTIF($C$24:$C$24, B260)+COUNTIF($C$14:$C$14, B260)+COUNTIF(#REF!, B260)&gt;1,NOT(ISBLANK(B260)))</formula>
    </cfRule>
    <cfRule type="expression" dxfId="449" priority="430" stopIfTrue="1">
      <formula>AND(COUNTIF($C$24:$C$24, B260)+COUNTIF($C$13:$C$14, B260)+COUNTIF(#REF!, B260)&gt;1,NOT(ISBLANK(B260)))</formula>
    </cfRule>
    <cfRule type="duplicateValues" dxfId="448" priority="429"/>
    <cfRule type="duplicateValues" dxfId="447" priority="428"/>
    <cfRule type="duplicateValues" dxfId="446" priority="426"/>
    <cfRule type="duplicateValues" dxfId="445" priority="427"/>
  </conditionalFormatting>
  <conditionalFormatting sqref="B261">
    <cfRule type="duplicateValues" dxfId="444" priority="425"/>
  </conditionalFormatting>
  <conditionalFormatting sqref="B261:B262 B264:B282 B284:B287 B297:B298">
    <cfRule type="duplicateValues" dxfId="443" priority="424"/>
  </conditionalFormatting>
  <conditionalFormatting sqref="B261:B262 B264:B287 B297:B302">
    <cfRule type="expression" dxfId="442" priority="423" stopIfTrue="1">
      <formula>AND(COUNTIF(#REF!, B261)+COUNTIF($C$16:$C$17, B261)&gt;1,NOT(ISBLANK(B261)))</formula>
    </cfRule>
  </conditionalFormatting>
  <conditionalFormatting sqref="B264:B287 B261:B262 B297:B302">
    <cfRule type="expression" dxfId="441" priority="422" stopIfTrue="1">
      <formula>AND(COUNTIF(#REF!, B261)+COUNTIF($C$17:$C$17, B261)&gt;1,NOT(ISBLANK(B261)))</formula>
    </cfRule>
  </conditionalFormatting>
  <conditionalFormatting sqref="B283">
    <cfRule type="duplicateValues" dxfId="440" priority="418"/>
    <cfRule type="duplicateValues" dxfId="439" priority="419"/>
    <cfRule type="duplicateValues" dxfId="438" priority="420"/>
    <cfRule type="expression" dxfId="437" priority="421" stopIfTrue="1">
      <formula>AND(COUNTIF(#REF!, B283)+COUNTIF($C$18:$C$24, B283)&gt;1,NOT(ISBLANK(B283)))</formula>
    </cfRule>
    <cfRule type="duplicateValues" dxfId="436" priority="417"/>
  </conditionalFormatting>
  <conditionalFormatting sqref="B292">
    <cfRule type="duplicateValues" dxfId="435" priority="409"/>
    <cfRule type="expression" dxfId="434" priority="406" stopIfTrue="1">
      <formula>AND(COUNTIF(#REF!, B292)+COUNTIF($C$10:$C$24, B292)&gt;1,NOT(ISBLANK(B292)))</formula>
    </cfRule>
    <cfRule type="duplicateValues" dxfId="433" priority="407"/>
    <cfRule type="expression" dxfId="432" priority="403" stopIfTrue="1">
      <formula>AND(COUNTIF(#REF!, B292)+COUNTIF($C$18:$C$24, B292)&gt;1,NOT(ISBLANK(B292)))</formula>
    </cfRule>
    <cfRule type="duplicateValues" dxfId="431" priority="416"/>
    <cfRule type="expression" dxfId="430" priority="415" stopIfTrue="1">
      <formula>AND(COUNTIF($C$21:$C$24, B292)+COUNTIF(#REF!, B292)+COUNTIF(#REF!, B292)+COUNTIF(#REF!, B292)&gt;1,NOT(ISBLANK(B292)))</formula>
    </cfRule>
    <cfRule type="expression" dxfId="429" priority="414" stopIfTrue="1">
      <formula>AND(COUNTIF($C$21:$C$24, B292)+COUNTIF(#REF!, B292)+COUNTIF(#REF!, B292)+COUNTIF(#REF!, B292)&gt;1,NOT(ISBLANK(B292)))</formula>
    </cfRule>
    <cfRule type="expression" dxfId="428" priority="412" stopIfTrue="1">
      <formula>AND(COUNTIF($C$18:$C$24, B292)+COUNTIF(#REF!, B292)+COUNTIF(#REF!, B292)+COUNTIF(#REF!, B292)&gt;1,NOT(ISBLANK(B292)))</formula>
    </cfRule>
    <cfRule type="expression" dxfId="427" priority="411" stopIfTrue="1">
      <formula>AND(COUNTIF($C$20:$C$24, B292)+COUNTIF(#REF!, B292)+COUNTIF(#REF!, B292)+COUNTIF(#REF!, B292)&gt;1,NOT(ISBLANK(B292)))</formula>
    </cfRule>
    <cfRule type="expression" dxfId="426" priority="410" stopIfTrue="1">
      <formula>AND(COUNTIF($C$20:$C$24, B292)+COUNTIF(#REF!, B292)+COUNTIF(#REF!, B292)+COUNTIF(#REF!, B292)&gt;1,NOT(ISBLANK(B292)))</formula>
    </cfRule>
    <cfRule type="duplicateValues" dxfId="425" priority="408"/>
    <cfRule type="expression" dxfId="424" priority="404" stopIfTrue="1">
      <formula>AND(COUNTIF(#REF!, B292)+COUNTIF($C$20:$C$23, B292)&gt;1,NOT(ISBLANK(B292)))</formula>
    </cfRule>
  </conditionalFormatting>
  <conditionalFormatting sqref="B292:B294 B264:B287 B253:B256 B258:B262 B297:B302 B241:B242 B245:B246 B248">
    <cfRule type="expression" dxfId="423" priority="402" stopIfTrue="1">
      <formula>AND(COUNTIF($C$8:$C$24, B241)+COUNTIF(#REF!, B241)&gt;1,NOT(ISBLANK(B241)))</formula>
    </cfRule>
  </conditionalFormatting>
  <conditionalFormatting sqref="B292:B294">
    <cfRule type="expression" dxfId="422" priority="405" stopIfTrue="1">
      <formula>AND(COUNTIF($C$12:$C$12, B292)+COUNTIF(#REF!, B292)+COUNTIF($C$14:$C$24, B292)&gt;1,NOT(ISBLANK(B292)))</formula>
    </cfRule>
    <cfRule type="expression" dxfId="421" priority="398" stopIfTrue="1">
      <formula>AND(COUNTIF(#REF!, B292)+COUNTIF($C$20:$C$24, B292)&gt;1,NOT(ISBLANK(B292)))</formula>
    </cfRule>
    <cfRule type="expression" dxfId="420" priority="399" stopIfTrue="1">
      <formula>AND(COUNTIF(#REF!, B292)+COUNTIF($C$13:$C$24, B292)&gt;1,NOT(ISBLANK(B292)))</formula>
    </cfRule>
    <cfRule type="expression" dxfId="419" priority="400" stopIfTrue="1">
      <formula>AND(COUNTIF($C$13:$C$24, B292)+COUNTIF($C$8:$C$11, B292)&gt;1,NOT(ISBLANK(B292)))</formula>
    </cfRule>
    <cfRule type="expression" dxfId="418" priority="401" stopIfTrue="1">
      <formula>AND(COUNTIF(#REF!, B292)+COUNTIF($C$20:$C$23, B292)&gt;1,NOT(ISBLANK(B292)))</formula>
    </cfRule>
    <cfRule type="expression" dxfId="417" priority="413" stopIfTrue="1">
      <formula>AND(COUNTIF($C$12:$C$24, B292)+COUNTIF(#REF!, B292)+COUNTIF(#REF!, B292)+COUNTIF(#REF!, B292)&gt;1,NOT(ISBLANK(B292)))</formula>
    </cfRule>
  </conditionalFormatting>
  <conditionalFormatting sqref="B293:B294 B283">
    <cfRule type="expression" dxfId="416" priority="397" stopIfTrue="1">
      <formula>AND(COUNTIF($C$18:$C$24, B283)+COUNTIF(#REF!, B283)+COUNTIF(#REF!, B283)+COUNTIF(#REF!, B283)&gt;1,NOT(ISBLANK(B283)))</formula>
    </cfRule>
  </conditionalFormatting>
  <conditionalFormatting sqref="B293:B294">
    <cfRule type="expression" dxfId="415" priority="395" stopIfTrue="1">
      <formula>AND(COUNTIF(#REF!, B293)+COUNTIF($C$18:$C$24, B293)&gt;1,NOT(ISBLANK(B293)))</formula>
    </cfRule>
    <cfRule type="expression" dxfId="414" priority="389" stopIfTrue="1">
      <formula>AND(COUNTIF($C$20:$C$24, B293)+COUNTIF(#REF!, B293)+COUNTIF(#REF!, B293)+COUNTIF(#REF!, B293)&gt;1,NOT(ISBLANK(B293)))</formula>
    </cfRule>
    <cfRule type="duplicateValues" dxfId="413" priority="391"/>
    <cfRule type="expression" dxfId="412" priority="388" stopIfTrue="1">
      <formula>AND(COUNTIF(#REF!, B293)+COUNTIF($C$20:$C$23, B293)&gt;1,NOT(ISBLANK(B293)))</formula>
    </cfRule>
    <cfRule type="expression" dxfId="411" priority="390" stopIfTrue="1">
      <formula>AND(COUNTIF($C$20:$C$24, B293)+COUNTIF(#REF!, B293)+COUNTIF(#REF!, B293)+COUNTIF(#REF!, B293)&gt;1,NOT(ISBLANK(B293)))</formula>
    </cfRule>
    <cfRule type="duplicateValues" dxfId="410" priority="392"/>
    <cfRule type="duplicateValues" dxfId="409" priority="393"/>
    <cfRule type="duplicateValues" dxfId="408" priority="394"/>
    <cfRule type="duplicateValues" dxfId="407" priority="396"/>
  </conditionalFormatting>
  <conditionalFormatting sqref="B299:B300 B302:B304 B306:B316">
    <cfRule type="expression" dxfId="406" priority="6817" stopIfTrue="1">
      <formula>AND(COUNTIF($C$25:$C$32, B299)+COUNTIF($C$34:$C$41, B299)&gt;1,NOT(ISBLANK(B299)))</formula>
    </cfRule>
    <cfRule type="expression" dxfId="405" priority="6818" stopIfTrue="1">
      <formula>AND(COUNTIF($E$505:$E$65539, B299)+COUNTIF($E$485:$E$486, B299)+COUNTIF($E$447:$E$448, B299)+COUNTIF($E$405:$E$408, B299)+COUNTIF($E$382:$E$383, B299)+COUNTIF($E$355:$E$356, B299)+COUNTIF($E$334:$E$334, B299)+COUNTIF($E$319:$E$319, B299)+COUNTIF(#REF!, B299)+COUNTIF(#REF!, B299)+COUNTIF(#REF!, B299)+COUNTIF($E$206:$E$312, B299)+COUNTIF($E$306:$E$307, B299)+COUNTIF($E$1:$E$204, B299)&gt;1,NOT(ISBLANK(B299)))</formula>
    </cfRule>
  </conditionalFormatting>
  <conditionalFormatting sqref="B301 B253:B254 B258:B259 B261">
    <cfRule type="duplicateValues" dxfId="404" priority="384"/>
    <cfRule type="duplicateValues" dxfId="403" priority="385"/>
  </conditionalFormatting>
  <conditionalFormatting sqref="B301 B256 B253:B254 B258:B259 B261">
    <cfRule type="duplicateValues" dxfId="402" priority="383"/>
  </conditionalFormatting>
  <conditionalFormatting sqref="B301 B261 B259 B253:B254">
    <cfRule type="duplicateValues" dxfId="401" priority="382"/>
  </conditionalFormatting>
  <conditionalFormatting sqref="B305">
    <cfRule type="duplicateValues" dxfId="400" priority="6825" stopIfTrue="1"/>
    <cfRule type="expression" dxfId="399" priority="6826" stopIfTrue="1">
      <formula>AND(COUNTIF($E$524:$E$65539, B305)+COUNTIF($E$504:$E$505, B305)+COUNTIF($E$466:$E$467, B305)+COUNTIF($E$424:$E$427, B305)+COUNTIF($E$401:$E$402, B305)+COUNTIF($E$374:$E$375, B305)+COUNTIF($E$353:$E$353, B305)+COUNTIF($E$338:$E$339, B305)+COUNTIF(#REF!, B305)+COUNTIF(#REF!, B305)+COUNTIF(#REF!, B305)+COUNTIF($E$232:$E$313, B305)+COUNTIF($E$315:$E$315, B305)+COUNTIF($E$1:$E$227, B305)&gt;1,NOT(ISBLANK(B305)))</formula>
    </cfRule>
    <cfRule type="duplicateValues" dxfId="398" priority="6824" stopIfTrue="1"/>
    <cfRule type="duplicateValues" dxfId="397" priority="6823" stopIfTrue="1"/>
  </conditionalFormatting>
  <conditionalFormatting sqref="B579:B580">
    <cfRule type="duplicateValues" dxfId="396" priority="6834" stopIfTrue="1"/>
    <cfRule type="duplicateValues" dxfId="395" priority="6835" stopIfTrue="1"/>
    <cfRule type="expression" dxfId="394" priority="6836" stopIfTrue="1">
      <formula>AND(COUNTIF($D$10:$D$22, B579)+COUNTIF(#REF!, B579)&gt;1,NOT(ISBLANK(B579)))</formula>
    </cfRule>
    <cfRule type="duplicateValues" dxfId="393" priority="6827" stopIfTrue="1"/>
    <cfRule type="duplicateValues" dxfId="392" priority="6828" stopIfTrue="1"/>
    <cfRule type="duplicateValues" dxfId="391" priority="6829" stopIfTrue="1"/>
    <cfRule type="expression" dxfId="390" priority="6830" stopIfTrue="1">
      <formula>AND(COUNTIF($D$26:$D$65701, B579)+COUNTIF(#REF!, B579)+COUNTIF(#REF!, B579)+COUNTIF(#REF!, B579)+COUNTIF(#REF!, B579)+COUNTIF($D$25:$D$25, B579)+COUNTIF(#REF!, B579)+COUNTIF(#REF!, B579)+COUNTIF(#REF!, B579)+COUNTIF($D$1:$D$22, B579)+COUNTIF(#REF!, B579)+COUNTIF(#REF!, B579)+COUNTIF(#REF!, B579)+COUNTIF(#REF!, B579)&gt;1,NOT(ISBLANK(B579)))</formula>
    </cfRule>
    <cfRule type="expression" dxfId="389" priority="6831" stopIfTrue="1">
      <formula>AND(COUNTIF($D$26:$D$65701, B579)+COUNTIF(#REF!, B579)+COUNTIF(#REF!, B579)+COUNTIF(#REF!, B579)+COUNTIF($D$25:$D$25, B579)+COUNTIF(#REF!, B579)+COUNTIF(#REF!, B579)+COUNTIF(#REF!, B579)+COUNTIF($D$1:$D$22, B579)+COUNTIF(#REF!, B579)+COUNTIF(#REF!, B579)+COUNTIF(#REF!, B579)+COUNTIF(#REF!, B579)&gt;1,NOT(ISBLANK(B579)))</formula>
    </cfRule>
    <cfRule type="expression" dxfId="388" priority="6832" stopIfTrue="1">
      <formula>AND(COUNTIF($D$26:$D$65701, B579)+COUNTIF($D$1:$D$22, B579)+COUNTIF(#REF!, B579)+COUNTIF(#REF!, B579)+COUNTIF($D$25:$D$25, B579)+COUNTIF(#REF!, B579)+COUNTIF(#REF!, B579)&gt;1,NOT(ISBLANK(B579)))</formula>
    </cfRule>
    <cfRule type="duplicateValues" dxfId="387" priority="6833" stopIfTrue="1"/>
  </conditionalFormatting>
  <conditionalFormatting sqref="B579:B581 B584:B591 B593 B595:B598">
    <cfRule type="expression" dxfId="386" priority="6843" stopIfTrue="1">
      <formula>AND(COUNTIF($D$26:$D$65704, B579)+COUNTIF(#REF!, B579)+COUNTIF(#REF!, B579)+COUNTIF(#REF!, B579)+COUNTIF(#REF!, B579)+COUNTIF($D$25:$D$25, B579)+COUNTIF(#REF!, B579)+COUNTIF(#REF!, B579)+COUNTIF(#REF!, B579)+COUNTIF($D$1:$D$22, B579)+COUNTIF(#REF!, B579)+COUNTIF(#REF!, B579)+COUNTIF(#REF!, B579)+COUNTIF(#REF!, B579)&gt;1,NOT(ISBLANK(B579)))</formula>
    </cfRule>
    <cfRule type="expression" dxfId="385" priority="6837" stopIfTrue="1">
      <formula>AND(COUNTIF($D$26:$D$65704, B579)+COUNTIF(#REF!, B579)+COUNTIF(#REF!, B579)+COUNTIF(#REF!, B579)+COUNTIF($D$25:$D$25, B579)+COUNTIF(#REF!, B579)+COUNTIF(#REF!, B579)+COUNTIF(#REF!, B579)+COUNTIF($D$1:$D$22, B579)+COUNTIF(#REF!, B579)+COUNTIF(#REF!, B579)+COUNTIF(#REF!, B579)+COUNTIF(#REF!, B579)&gt;1,NOT(ISBLANK(B579)))</formula>
    </cfRule>
    <cfRule type="expression" dxfId="384" priority="6838" stopIfTrue="1">
      <formula>AND(COUNTIF($D$26:$D$65704, B579)+COUNTIF($D$1:$D$22, B579)+COUNTIF(#REF!, B579)+COUNTIF(#REF!, B579)+COUNTIF($D$25:$D$25, B579)+COUNTIF(#REF!, B579)+COUNTIF(#REF!, B579)&gt;1,NOT(ISBLANK(B579)))</formula>
    </cfRule>
  </conditionalFormatting>
  <conditionalFormatting sqref="B581 B584:B591 B595:B598 B593">
    <cfRule type="duplicateValues" dxfId="383" priority="6846" stopIfTrue="1"/>
    <cfRule type="duplicateValues" dxfId="382" priority="6847" stopIfTrue="1"/>
    <cfRule type="duplicateValues" dxfId="381" priority="6848" stopIfTrue="1"/>
  </conditionalFormatting>
  <conditionalFormatting sqref="B581">
    <cfRule type="expression" dxfId="380" priority="68" stopIfTrue="1">
      <formula>AND(COUNTIF($D$10:$D$22, B581)+COUNTIF(#REF!, B581)&gt;1,NOT(ISBLANK(B581)))</formula>
    </cfRule>
    <cfRule type="duplicateValues" dxfId="379" priority="6855" stopIfTrue="1"/>
    <cfRule type="duplicateValues" dxfId="378" priority="6857" stopIfTrue="1"/>
    <cfRule type="expression" dxfId="377" priority="6858" stopIfTrue="1">
      <formula>AND(COUNTIF($D$26:$D$65701, B581)+COUNTIF(#REF!, B581)+COUNTIF(#REF!, B581)+COUNTIF(#REF!, B581)+COUNTIF(#REF!, B581)+COUNTIF($D$25:$D$25, B581)+COUNTIF(#REF!, B581)+COUNTIF(#REF!, B581)+COUNTIF(#REF!, B581)+COUNTIF($D$1:$D$22, B581)+COUNTIF(#REF!, B581)+COUNTIF(#REF!, B581)+COUNTIF(#REF!, B581)+COUNTIF(#REF!, B581)&gt;1,NOT(ISBLANK(B581)))</formula>
    </cfRule>
    <cfRule type="expression" dxfId="376" priority="6859" stopIfTrue="1">
      <formula>AND(COUNTIF($D$26:$D$65701, B581)+COUNTIF(#REF!, B581)+COUNTIF(#REF!, B581)+COUNTIF(#REF!, B581)+COUNTIF($D$25:$D$25, B581)+COUNTIF(#REF!, B581)+COUNTIF(#REF!, B581)+COUNTIF(#REF!, B581)+COUNTIF($D$1:$D$22, B581)+COUNTIF(#REF!, B581)+COUNTIF(#REF!, B581)+COUNTIF(#REF!, B581)+COUNTIF(#REF!, B581)&gt;1,NOT(ISBLANK(B581)))</formula>
    </cfRule>
    <cfRule type="expression" dxfId="375" priority="6860" stopIfTrue="1">
      <formula>AND(COUNTIF($D$26:$D$65701, B581)+COUNTIF($D$1:$D$22, B581)+COUNTIF(#REF!, B581)+COUNTIF(#REF!, B581)+COUNTIF($D$25:$D$25, B581)+COUNTIF(#REF!, B581)+COUNTIF(#REF!, B581)&gt;1,NOT(ISBLANK(B581)))</formula>
    </cfRule>
    <cfRule type="duplicateValues" dxfId="374" priority="6856" stopIfTrue="1"/>
  </conditionalFormatting>
  <conditionalFormatting sqref="B582:B583">
    <cfRule type="expression" dxfId="373" priority="6870" stopIfTrue="1">
      <formula>AND(COUNTIF($D$10:$D$22, B582)+COUNTIF(#REF!, B582)&gt;1,NOT(ISBLANK(B582)))</formula>
    </cfRule>
    <cfRule type="expression" dxfId="372" priority="6873" stopIfTrue="1">
      <formula>AND(COUNTIF($D$26:$D$65689, B582)+COUNTIF($D$1:$D$22, B582)+COUNTIF(#REF!, B582)+COUNTIF(#REF!, B582)+COUNTIF($D$25:$D$25, B582)+COUNTIF(#REF!, B582)+COUNTIF(#REF!, B582)&gt;1,NOT(ISBLANK(B582)))</formula>
    </cfRule>
    <cfRule type="expression" dxfId="371" priority="6872" stopIfTrue="1">
      <formula>AND(COUNTIF($D$26:$D$65689, B582)+COUNTIF(#REF!, B582)+COUNTIF(#REF!, B582)+COUNTIF(#REF!, B582)+COUNTIF($D$25:$D$25, B582)+COUNTIF(#REF!, B582)+COUNTIF(#REF!, B582)+COUNTIF(#REF!, B582)+COUNTIF($D$1:$D$22, B582)+COUNTIF(#REF!, B582)+COUNTIF(#REF!, B582)+COUNTIF(#REF!, B582)+COUNTIF(#REF!, B582)&gt;1,NOT(ISBLANK(B582)))</formula>
    </cfRule>
    <cfRule type="expression" dxfId="370" priority="6871" stopIfTrue="1">
      <formula>AND(COUNTIF($D$26:$D$65689, B582)+COUNTIF(#REF!, B582)+COUNTIF(#REF!, B582)+COUNTIF(#REF!, B582)+COUNTIF(#REF!, B582)+COUNTIF($D$25:$D$25, B582)+COUNTIF(#REF!, B582)+COUNTIF(#REF!, B582)+COUNTIF(#REF!, B582)+COUNTIF($D$1:$D$22, B582)+COUNTIF(#REF!, B582)+COUNTIF(#REF!, B582)+COUNTIF(#REF!, B582)+COUNTIF(#REF!, B582)&gt;1,NOT(ISBLANK(B582)))</formula>
    </cfRule>
    <cfRule type="duplicateValues" dxfId="369" priority="6869" stopIfTrue="1"/>
    <cfRule type="duplicateValues" dxfId="368" priority="6868" stopIfTrue="1"/>
    <cfRule type="duplicateValues" dxfId="367" priority="6862" stopIfTrue="1"/>
    <cfRule type="duplicateValues" dxfId="366" priority="6863" stopIfTrue="1"/>
    <cfRule type="expression" dxfId="365" priority="6864" stopIfTrue="1">
      <formula>AND(COUNTIF($D$26:$D$65686, B582)+COUNTIF(#REF!, B582)+COUNTIF(#REF!, B582)+COUNTIF(#REF!, B582)+COUNTIF(#REF!, B582)+COUNTIF($D$25:$D$25, B582)+COUNTIF(#REF!, B582)+COUNTIF(#REF!, B582)+COUNTIF(#REF!, B582)+COUNTIF($D$1:$D$22, B582)+COUNTIF(#REF!, B582)+COUNTIF(#REF!, B582)+COUNTIF(#REF!, B582)+COUNTIF(#REF!, B582)&gt;1,NOT(ISBLANK(B582)))</formula>
    </cfRule>
    <cfRule type="expression" dxfId="364" priority="6865" stopIfTrue="1">
      <formula>AND(COUNTIF($D$26:$D$65686, B582)+COUNTIF(#REF!, B582)+COUNTIF(#REF!, B582)+COUNTIF(#REF!, B582)+COUNTIF($D$25:$D$25, B582)+COUNTIF(#REF!, B582)+COUNTIF(#REF!, B582)+COUNTIF(#REF!, B582)+COUNTIF($D$1:$D$22, B582)+COUNTIF(#REF!, B582)+COUNTIF(#REF!, B582)+COUNTIF(#REF!, B582)+COUNTIF(#REF!, B582)&gt;1,NOT(ISBLANK(B582)))</formula>
    </cfRule>
    <cfRule type="expression" dxfId="363" priority="6866" stopIfTrue="1">
      <formula>AND(COUNTIF($D$26:$D$65686, B582)+COUNTIF($D$1:$D$22, B582)+COUNTIF(#REF!, B582)+COUNTIF(#REF!, B582)+COUNTIF($D$25:$D$25, B582)+COUNTIF(#REF!, B582)+COUNTIF(#REF!, B582)&gt;1,NOT(ISBLANK(B582)))</formula>
    </cfRule>
    <cfRule type="duplicateValues" dxfId="362" priority="6867" stopIfTrue="1"/>
    <cfRule type="duplicateValues" dxfId="361" priority="6861" stopIfTrue="1"/>
  </conditionalFormatting>
  <conditionalFormatting sqref="B584:B598">
    <cfRule type="expression" dxfId="360" priority="23" stopIfTrue="1">
      <formula>AND(COUNTIF($D$10:$D$22, B584)+COUNTIF(#REF!, B584)&gt;1,NOT(ISBLANK(B584)))</formula>
    </cfRule>
  </conditionalFormatting>
  <conditionalFormatting sqref="B585:B591 B593 B595:B598">
    <cfRule type="expression" dxfId="359" priority="6877" stopIfTrue="1">
      <formula>AND(COUNTIF($D$26:$D$65701, B585)+COUNTIF(#REF!, B585)+COUNTIF(#REF!, B585)+COUNTIF(#REF!, B585)+COUNTIF(#REF!, B585)+COUNTIF($D$25:$D$25, B585)+COUNTIF(#REF!, B585)+COUNTIF(#REF!, B585)+COUNTIF(#REF!, B585)+COUNTIF($D$1:$D$22, B585)+COUNTIF(#REF!, B585)+COUNTIF(#REF!, B585)+COUNTIF(#REF!, B585)+COUNTIF(#REF!, B585)&gt;1,NOT(ISBLANK(B585)))</formula>
    </cfRule>
    <cfRule type="expression" dxfId="358" priority="6879" stopIfTrue="1">
      <formula>AND(COUNTIF($D$26:$D$65701, B585)+COUNTIF($D$1:$D$22, B585)+COUNTIF(#REF!, B585)+COUNTIF(#REF!, B585)+COUNTIF($D$25:$D$25, B585)+COUNTIF(#REF!, B585)+COUNTIF(#REF!, B585)&gt;1,NOT(ISBLANK(B585)))</formula>
    </cfRule>
    <cfRule type="expression" dxfId="357" priority="6878" stopIfTrue="1">
      <formula>AND(COUNTIF($D$26:$D$65701, B585)+COUNTIF(#REF!, B585)+COUNTIF(#REF!, B585)+COUNTIF(#REF!, B585)+COUNTIF($D$25:$D$25, B585)+COUNTIF(#REF!, B585)+COUNTIF(#REF!, B585)+COUNTIF(#REF!, B585)+COUNTIF($D$1:$D$22, B585)+COUNTIF(#REF!, B585)+COUNTIF(#REF!, B585)+COUNTIF(#REF!, B585)+COUNTIF(#REF!, B585)&gt;1,NOT(ISBLANK(B585)))</formula>
    </cfRule>
  </conditionalFormatting>
  <conditionalFormatting sqref="B585:B591 B595:B598 B593">
    <cfRule type="duplicateValues" dxfId="356" priority="6874" stopIfTrue="1"/>
    <cfRule type="duplicateValues" dxfId="355" priority="6875" stopIfTrue="1"/>
    <cfRule type="duplicateValues" dxfId="354" priority="6876" stopIfTrue="1"/>
  </conditionalFormatting>
  <conditionalFormatting sqref="B592">
    <cfRule type="expression" dxfId="353" priority="6897" stopIfTrue="1">
      <formula>AND(COUNTIF($D$26:$D$65688, B592)+COUNTIF($D$1:$D$22, B592)+COUNTIF(#REF!, B592)+COUNTIF(#REF!, B592)+COUNTIF($D$25:$D$25, B592)+COUNTIF(#REF!, B592)+COUNTIF(#REF!, B592)&gt;1,NOT(ISBLANK(B592)))</formula>
    </cfRule>
    <cfRule type="expression" dxfId="352" priority="6893" stopIfTrue="1">
      <formula>AND(COUNTIF($D$26:$D$65685, B592)+COUNTIF(#REF!, B592)+COUNTIF(#REF!, B592)+COUNTIF(#REF!, B592)+COUNTIF($D$25:$D$25, B592)+COUNTIF(#REF!, B592)+COUNTIF(#REF!, B592)+COUNTIF(#REF!, B592)+COUNTIF($D$1:$D$22, B592)+COUNTIF(#REF!, B592)+COUNTIF(#REF!, B592)+COUNTIF(#REF!, B592)+COUNTIF(#REF!, B592)&gt;1,NOT(ISBLANK(B592)))</formula>
    </cfRule>
    <cfRule type="duplicateValues" dxfId="351" priority="6889" stopIfTrue="1"/>
    <cfRule type="duplicateValues" dxfId="350" priority="6890" stopIfTrue="1"/>
    <cfRule type="duplicateValues" dxfId="349" priority="6891" stopIfTrue="1"/>
    <cfRule type="expression" dxfId="348" priority="6892" stopIfTrue="1">
      <formula>AND(COUNTIF($D$26:$D$65685, B592)+COUNTIF(#REF!, B592)+COUNTIF(#REF!, B592)+COUNTIF(#REF!, B592)+COUNTIF(#REF!, B592)+COUNTIF($D$25:$D$25, B592)+COUNTIF(#REF!, B592)+COUNTIF(#REF!, B592)+COUNTIF(#REF!, B592)+COUNTIF($D$1:$D$22, B592)+COUNTIF(#REF!, B592)+COUNTIF(#REF!, B592)+COUNTIF(#REF!, B592)+COUNTIF(#REF!, B592)&gt;1,NOT(ISBLANK(B592)))</formula>
    </cfRule>
    <cfRule type="duplicateValues" dxfId="347" priority="6888" stopIfTrue="1"/>
    <cfRule type="expression" dxfId="346" priority="6896" stopIfTrue="1">
      <formula>AND(COUNTIF($D$26:$D$65688, B592)+COUNTIF(#REF!, B592)+COUNTIF(#REF!, B592)+COUNTIF(#REF!, B592)+COUNTIF($D$25:$D$25, B592)+COUNTIF(#REF!, B592)+COUNTIF(#REF!, B592)+COUNTIF(#REF!, B592)+COUNTIF($D$1:$D$22, B592)+COUNTIF(#REF!, B592)+COUNTIF(#REF!, B592)+COUNTIF(#REF!, B592)+COUNTIF(#REF!, B592)&gt;1,NOT(ISBLANK(B592)))</formula>
    </cfRule>
    <cfRule type="expression" dxfId="345" priority="6895" stopIfTrue="1">
      <formula>AND(COUNTIF($D$26:$D$65688, B592)+COUNTIF(#REF!, B592)+COUNTIF(#REF!, B592)+COUNTIF(#REF!, B592)+COUNTIF(#REF!, B592)+COUNTIF($D$25:$D$25, B592)+COUNTIF(#REF!, B592)+COUNTIF(#REF!, B592)+COUNTIF(#REF!, B592)+COUNTIF($D$1:$D$22, B592)+COUNTIF(#REF!, B592)+COUNTIF(#REF!, B592)+COUNTIF(#REF!, B592)+COUNTIF(#REF!, B592)&gt;1,NOT(ISBLANK(B592)))</formula>
    </cfRule>
    <cfRule type="expression" dxfId="344" priority="6894" stopIfTrue="1">
      <formula>AND(COUNTIF($D$26:$D$65685, B592)+COUNTIF($D$1:$D$22, B592)+COUNTIF(#REF!, B592)+COUNTIF(#REF!, B592)+COUNTIF($D$25:$D$25, B592)+COUNTIF(#REF!, B592)+COUNTIF(#REF!, B592)&gt;1,NOT(ISBLANK(B592)))</formula>
    </cfRule>
    <cfRule type="duplicateValues" dxfId="343" priority="6887" stopIfTrue="1"/>
    <cfRule type="duplicateValues" dxfId="342" priority="6886" stopIfTrue="1"/>
  </conditionalFormatting>
  <conditionalFormatting sqref="B593">
    <cfRule type="expression" dxfId="341" priority="7717" stopIfTrue="1">
      <formula>AND(COUNTIF($D$26:$D$65688, B593)+COUNTIF($D$1:$D$22, B593)+COUNTIF(#REF!, B593)+COUNTIF(#REF!, B593)+COUNTIF($D$25:$D$25, B593)+COUNTIF(#REF!, B593)+COUNTIF(#REF!, B593)&gt;1,NOT(ISBLANK(B593)))</formula>
    </cfRule>
    <cfRule type="expression" dxfId="340" priority="7711" stopIfTrue="1">
      <formula>AND(COUNTIF($D$26:$D$65685, B593)+COUNTIF(#REF!, B593)+COUNTIF(#REF!, B593)+COUNTIF(#REF!, B593)+COUNTIF(#REF!, B593)+COUNTIF($D$25:$D$25, B593)+COUNTIF(#REF!, B593)+COUNTIF(#REF!, B593)+COUNTIF(#REF!, B593)+COUNTIF($D$1:$D$22, B593)+COUNTIF(#REF!, B593)+COUNTIF(#REF!, B593)+COUNTIF(#REF!, B593)+COUNTIF(#REF!, B593)&gt;1,NOT(ISBLANK(B593)))</formula>
    </cfRule>
    <cfRule type="expression" dxfId="339" priority="7712" stopIfTrue="1">
      <formula>AND(COUNTIF($D$26:$D$65685, B593)+COUNTIF(#REF!, B593)+COUNTIF(#REF!, B593)+COUNTIF(#REF!, B593)+COUNTIF($D$25:$D$25, B593)+COUNTIF(#REF!, B593)+COUNTIF(#REF!, B593)+COUNTIF(#REF!, B593)+COUNTIF($D$1:$D$22, B593)+COUNTIF(#REF!, B593)+COUNTIF(#REF!, B593)+COUNTIF(#REF!, B593)+COUNTIF(#REF!, B593)&gt;1,NOT(ISBLANK(B593)))</formula>
    </cfRule>
    <cfRule type="expression" dxfId="338" priority="7713" stopIfTrue="1">
      <formula>AND(COUNTIF($D$26:$D$65685, B593)+COUNTIF($D$1:$D$22, B593)+COUNTIF(#REF!, B593)+COUNTIF(#REF!, B593)+COUNTIF($D$25:$D$25, B593)+COUNTIF(#REF!, B593)+COUNTIF(#REF!, B593)&gt;1,NOT(ISBLANK(B593)))</formula>
    </cfRule>
    <cfRule type="expression" dxfId="337" priority="7714" stopIfTrue="1">
      <formula>AND(COUNTIF($D$10:$D$22, B593)+COUNTIF(#REF!, B593)&gt;1,NOT(ISBLANK(B593)))</formula>
    </cfRule>
    <cfRule type="expression" dxfId="336" priority="7715" stopIfTrue="1">
      <formula>AND(COUNTIF($D$26:$D$65688, B593)+COUNTIF(#REF!, B593)+COUNTIF(#REF!, B593)+COUNTIF(#REF!, B593)+COUNTIF(#REF!, B593)+COUNTIF($D$25:$D$25, B593)+COUNTIF(#REF!, B593)+COUNTIF(#REF!, B593)+COUNTIF(#REF!, B593)+COUNTIF($D$1:$D$22, B593)+COUNTIF(#REF!, B593)+COUNTIF(#REF!, B593)+COUNTIF(#REF!, B593)+COUNTIF(#REF!, B593)&gt;1,NOT(ISBLANK(B593)))</formula>
    </cfRule>
    <cfRule type="expression" dxfId="335" priority="7716" stopIfTrue="1">
      <formula>AND(COUNTIF($D$26:$D$65688, B593)+COUNTIF(#REF!, B593)+COUNTIF(#REF!, B593)+COUNTIF(#REF!, B593)+COUNTIF($D$25:$D$25, B593)+COUNTIF(#REF!, B593)+COUNTIF(#REF!, B593)+COUNTIF(#REF!, B593)+COUNTIF($D$1:$D$22, B593)+COUNTIF(#REF!, B593)+COUNTIF(#REF!, B593)+COUNTIF(#REF!, B593)+COUNTIF(#REF!, B593)&gt;1,NOT(ISBLANK(B593)))</formula>
    </cfRule>
    <cfRule type="duplicateValues" dxfId="334" priority="7710" stopIfTrue="1"/>
    <cfRule type="duplicateValues" dxfId="333" priority="7705" stopIfTrue="1"/>
    <cfRule type="duplicateValues" dxfId="332" priority="7706" stopIfTrue="1"/>
    <cfRule type="duplicateValues" dxfId="331" priority="7707" stopIfTrue="1"/>
    <cfRule type="duplicateValues" dxfId="330" priority="7708" stopIfTrue="1"/>
    <cfRule type="duplicateValues" dxfId="329" priority="7709" stopIfTrue="1"/>
  </conditionalFormatting>
  <conditionalFormatting sqref="B598:B599">
    <cfRule type="duplicateValues" dxfId="328" priority="6903" stopIfTrue="1"/>
    <cfRule type="duplicateValues" dxfId="327" priority="6902" stopIfTrue="1"/>
    <cfRule type="expression" dxfId="326" priority="6907" stopIfTrue="1">
      <formula>AND(COUNTIF($D$10:$D$22, B598)+COUNTIF(#REF!, B598)&gt;1,NOT(ISBLANK(B598)))</formula>
    </cfRule>
    <cfRule type="expression" dxfId="325" priority="6909" stopIfTrue="1">
      <formula>AND(COUNTIF($D$26:$D$65688, B598)+COUNTIF(#REF!, B598)+COUNTIF(#REF!, B598)+COUNTIF(#REF!, B598)+COUNTIF($D$25:$D$25, B598)+COUNTIF(#REF!, B598)+COUNTIF(#REF!, B598)+COUNTIF(#REF!, B598)+COUNTIF($D$1:$D$22, B598)+COUNTIF(#REF!, B598)+COUNTIF(#REF!, B598)+COUNTIF(#REF!, B598)+COUNTIF(#REF!, B598)&gt;1,NOT(ISBLANK(B598)))</formula>
    </cfRule>
    <cfRule type="expression" dxfId="324" priority="6904" stopIfTrue="1">
      <formula>AND(COUNTIF($D$26:$D$65685, B598)+COUNTIF(#REF!, B598)+COUNTIF(#REF!, B598)+COUNTIF(#REF!, B598)+COUNTIF(#REF!, B598)+COUNTIF($D$25:$D$25, B598)+COUNTIF(#REF!, B598)+COUNTIF(#REF!, B598)+COUNTIF(#REF!, B598)+COUNTIF($D$1:$D$22, B598)+COUNTIF(#REF!, B598)+COUNTIF(#REF!, B598)+COUNTIF(#REF!, B598)+COUNTIF(#REF!, B598)&gt;1,NOT(ISBLANK(B598)))</formula>
    </cfRule>
    <cfRule type="expression" dxfId="323" priority="6908" stopIfTrue="1">
      <formula>AND(COUNTIF($D$26:$D$65688, B598)+COUNTIF(#REF!, B598)+COUNTIF(#REF!, B598)+COUNTIF(#REF!, B598)+COUNTIF(#REF!, B598)+COUNTIF($D$25:$D$25, B598)+COUNTIF(#REF!, B598)+COUNTIF(#REF!, B598)+COUNTIF(#REF!, B598)+COUNTIF($D$1:$D$22, B598)+COUNTIF(#REF!, B598)+COUNTIF(#REF!, B598)+COUNTIF(#REF!, B598)+COUNTIF(#REF!, B598)&gt;1,NOT(ISBLANK(B598)))</formula>
    </cfRule>
    <cfRule type="expression" dxfId="322" priority="6910" stopIfTrue="1">
      <formula>AND(COUNTIF($D$26:$D$65688, B598)+COUNTIF($D$1:$D$22, B598)+COUNTIF(#REF!, B598)+COUNTIF(#REF!, B598)+COUNTIF($D$25:$D$25, B598)+COUNTIF(#REF!, B598)+COUNTIF(#REF!, B598)&gt;1,NOT(ISBLANK(B598)))</formula>
    </cfRule>
    <cfRule type="duplicateValues" dxfId="321" priority="6898" stopIfTrue="1"/>
    <cfRule type="duplicateValues" dxfId="320" priority="6899" stopIfTrue="1"/>
    <cfRule type="duplicateValues" dxfId="319" priority="6900" stopIfTrue="1"/>
    <cfRule type="duplicateValues" dxfId="318" priority="6901" stopIfTrue="1"/>
    <cfRule type="expression" dxfId="317" priority="6906" stopIfTrue="1">
      <formula>AND(COUNTIF($D$26:$D$65685, B598)+COUNTIF($D$1:$D$22, B598)+COUNTIF(#REF!, B598)+COUNTIF(#REF!, B598)+COUNTIF($D$25:$D$25, B598)+COUNTIF(#REF!, B598)+COUNTIF(#REF!, B598)&gt;1,NOT(ISBLANK(B598)))</formula>
    </cfRule>
    <cfRule type="expression" dxfId="316" priority="6905" stopIfTrue="1">
      <formula>AND(COUNTIF($D$26:$D$65685, B598)+COUNTIF(#REF!, B598)+COUNTIF(#REF!, B598)+COUNTIF(#REF!, B598)+COUNTIF($D$25:$D$25, B598)+COUNTIF(#REF!, B598)+COUNTIF(#REF!, B598)+COUNTIF(#REF!, B598)+COUNTIF($D$1:$D$22, B598)+COUNTIF(#REF!, B598)+COUNTIF(#REF!, B598)+COUNTIF(#REF!, B598)+COUNTIF(#REF!, B598)&gt;1,NOT(ISBLANK(B598)))</formula>
    </cfRule>
  </conditionalFormatting>
  <conditionalFormatting sqref="B612:B626">
    <cfRule type="duplicateValues" dxfId="315" priority="89" stopIfTrue="1"/>
    <cfRule type="duplicateValues" dxfId="314" priority="90" stopIfTrue="1"/>
  </conditionalFormatting>
  <conditionalFormatting sqref="B626:B627">
    <cfRule type="duplicateValues" dxfId="313" priority="92" stopIfTrue="1"/>
    <cfRule type="duplicateValues" dxfId="312" priority="91" stopIfTrue="1"/>
  </conditionalFormatting>
  <conditionalFormatting sqref="B644:B655">
    <cfRule type="duplicateValues" dxfId="311" priority="86" stopIfTrue="1"/>
    <cfRule type="duplicateValues" dxfId="310" priority="85" stopIfTrue="1"/>
  </conditionalFormatting>
  <conditionalFormatting sqref="B656">
    <cfRule type="duplicateValues" dxfId="309" priority="87" stopIfTrue="1"/>
    <cfRule type="duplicateValues" dxfId="308" priority="88" stopIfTrue="1"/>
  </conditionalFormatting>
  <conditionalFormatting sqref="C13:C51 C56 C59 C68 C79:C86 C90:C94 C188 C191:C192 C196 C198 C210:C240 C243:C244 C247 C249:C252 C256:C257 C263">
    <cfRule type="expression" dxfId="307" priority="7053" stopIfTrue="1">
      <formula>AND(COUNTIF($E$563:$E$65539, C13)+COUNTIF($E$1:$E$315, C13)+COUNTIF($E$525:$E$526, C13)+COUNTIF(#REF!, C13)+COUNTIF($E$483:$E$486,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  <cfRule type="expression" dxfId="306" priority="6959" stopIfTrue="1">
      <formula>AND(COUNTIF($E$525:$E$65539, C13)+COUNTIF($E$1:$E$315, C13)+COUNTIF(#REF!, C13)+COUNTIF($E$483:$E$486,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  <cfRule type="expression" dxfId="305" priority="6958" stopIfTrue="1">
      <formula>AND(COUNTIF($E$608:$E$65539, C13)+COUNTIF(#REF!, C13)+COUNTIF($E$1:$E$315, C13)+COUNTIF($E$563:$E$564, C13)+COUNTIF($E$525:$E$526, C13)+COUNTIF($E$483:$E$486,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  <cfRule type="expression" dxfId="304" priority="6957" stopIfTrue="1">
      <formula>AND(COUNTIF($E$483:$E$65539, C13)+COUNTIF(#REF!, C13)+COUNTIF($E$1:$E$315,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  <cfRule type="expression" dxfId="303" priority="6956" stopIfTrue="1">
      <formula>AND(COUNTIF($E$460:$E$65539, C13)+COUNTIF($E$433:$E$434, C13)+COUNTIF($E$412:$E$412, C13)+COUNTIF($E$397:$E$398, C13)+COUNTIF($E$1:$E$315, C13)+COUNTIF(#REF!, C13)+COUNTIF($E$372:$E$372, C13)+COUNTIF($E$361:$E$362, C13)+COUNTIF(#REF!, C13)+COUNTIF($E$342:$E$343, C13)+COUNTIF($E$319:$E$319, C13)+COUNTIF($E$322:$E$329, C13)+COUNTIF(#REF!, C13)&gt;1,NOT(ISBLANK(C13)))</formula>
    </cfRule>
    <cfRule type="expression" dxfId="302" priority="6955" stopIfTrue="1">
      <formula>AND(COUNTIF($E$483:$E$65539, C13)+COUNTIF($E$460:$E$461, C13)+COUNTIF($E$433:$E$434, C13)+COUNTIF($E$412:$E$412, C13)+COUNTIF($E$397:$E$398, C13)+COUNTIF($E$1:$E$315, C13)+COUNTIF(#REF!, C13)+COUNTIF($E$372:$E$372, C13)+COUNTIF($E$361:$E$362, C13)+COUNTIF(#REF!, C13)+COUNTIF($E$342:$E$343, C13)+COUNTIF($E$319:$E$319, C13)+COUNTIF($E$322:$E$329, C13)+COUNTIF(#REF!, C13)&gt;1,NOT(ISBLANK(C13)))</formula>
    </cfRule>
  </conditionalFormatting>
  <conditionalFormatting sqref="C52 C56:C60">
    <cfRule type="expression" dxfId="301" priority="371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300" priority="370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299" priority="369" stopIfTrue="1">
      <formula>AND(COUNTIF(#REF!,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298" priority="368" stopIfTrue="1">
      <formula>AND(COUNTIF(#REF!,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</conditionalFormatting>
  <conditionalFormatting sqref="C52:C62">
    <cfRule type="expression" dxfId="297" priority="366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296" priority="365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295" priority="367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</conditionalFormatting>
  <conditionalFormatting sqref="C53 C61:C62 C69:C74 C88:C89">
    <cfRule type="expression" dxfId="294" priority="364" stopIfTrue="1">
      <formula>AND(COUNTIF(#REF!,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93" priority="363" stopIfTrue="1">
      <formula>AND(COUNTIF(#REF!,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</conditionalFormatting>
  <conditionalFormatting sqref="C53 C61:C62 C70:C74 C88:C89">
    <cfRule type="expression" dxfId="292" priority="362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91" priority="361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</conditionalFormatting>
  <conditionalFormatting sqref="C53:C54">
    <cfRule type="expression" dxfId="290" priority="360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9" priority="359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8" priority="358" stopIfTrue="1">
      <formula>AND(COUNTIF(#REF!,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7" priority="357" stopIfTrue="1">
      <formula>AND(COUNTIF(#REF!,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6" priority="356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5" priority="355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4" priority="354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</conditionalFormatting>
  <conditionalFormatting sqref="C54">
    <cfRule type="expression" dxfId="283" priority="353" stopIfTrue="1">
      <formula>AND(COUNTIF(#REF!, C54)+COUNTIF(#REF!, C54)+COUNTIF(#REF!, C54)+COUNTIF(#REF!, C54)+COUNTIF(#REF!, C54)+COUNTIF(#REF!, C54)+COUNTIF(#REF!, C54)+COUNTIF(#REF!, C54)+COUNTIF(#REF!, C54)+COUNTIF(#REF!, C54)+COUNTIF(#REF!, C54)+COUNTIF(#REF!, C54)+COUNTIF(#REF!, C54)&gt;1,NOT(ISBLANK(C54)))</formula>
    </cfRule>
    <cfRule type="expression" dxfId="282" priority="352" stopIfTrue="1">
      <formula>AND(COUNTIF(#REF!, C54)+COUNTIF(#REF!, C54)+COUNTIF(#REF!, C54)+COUNTIF(#REF!, C54)+COUNTIF(#REF!, C54)+COUNTIF(#REF!, C54)+COUNTIF(#REF!, C54)+COUNTIF(#REF!, C54)+COUNTIF(#REF!, C54)+COUNTIF(#REF!, C54)+COUNTIF(#REF!, C54)+COUNTIF(#REF!, C54)+COUNTIF(#REF!, C54)+COUNTIF(#REF!, C54)&gt;1,NOT(ISBLANK(C54)))</formula>
    </cfRule>
  </conditionalFormatting>
  <conditionalFormatting sqref="C54:C59">
    <cfRule type="expression" dxfId="281" priority="351" stopIfTrue="1">
      <formula>AND(COUNTIF(#REF!, C54)+COUNTIF(#REF!, C54)+COUNTIF(#REF!, C54)+COUNTIF(#REF!, C54)+COUNTIF(#REF!, C54)+COUNTIF(#REF!, C54)+COUNTIF(#REF!, C54)+COUNTIF(#REF!, C54)+COUNTIF(#REF!, C54)+COUNTIF(#REF!, C54)+COUNTIF(#REF!, C54)&gt;1,NOT(ISBLANK(C54)))</formula>
    </cfRule>
    <cfRule type="expression" dxfId="280" priority="350" stopIfTrue="1">
      <formula>AND(COUNTIF(#REF!, C54)+COUNTIF(#REF!, C54)+COUNTIF(#REF!, C54)+COUNTIF(#REF!, C54)+COUNTIF(#REF!, C54)+COUNTIF(#REF!, C54)+COUNTIF(#REF!, C54)+COUNTIF(#REF!, C54)+COUNTIF(#REF!, C54)+COUNTIF(#REF!, C54)+COUNTIF(#REF!, C54)+COUNTIF(#REF!, C54)&gt;1,NOT(ISBLANK(C54)))</formula>
    </cfRule>
  </conditionalFormatting>
  <conditionalFormatting sqref="C55 C60 C62">
    <cfRule type="expression" dxfId="279" priority="7040" stopIfTrue="1">
      <formula>AND(COUNTIF($G$170:$G$65401, C55)+COUNTIF($G$145:$G$145, C55)+COUNTIF($G$123:$G$123, C55)+COUNTIF($G$108:$G$109, C55)+COUNTIF($G$1:$G$29, C55)+COUNTIF(#REF!, C55)+COUNTIF($G$87:$G$87, C55)+COUNTIF($G$72:$G$73, C55)+COUNTIF(#REF!, C55)+COUNTIF($G$52:$G$59, C55)+COUNTIF(#REF!, C55)+COUNTIF($G$38:$G$42, C55)+COUNTIF(#REF!, C55)&gt;1,NOT(ISBLANK(C55)))</formula>
    </cfRule>
    <cfRule type="expression" dxfId="278" priority="7081" stopIfTrue="1">
      <formula>AND(COUNTIF($G$314:$G$65401, C55)+COUNTIF($G$1:$G$29, C55)+COUNTIF(#REF!, C55)+COUNTIF(#REF!, C55)+COUNTIF(#REF!, C55)+COUNTIF($G$248:$G$249, C55)+COUNTIF($G$193:$G$196, C55)+COUNTIF($G$170:$G$171, C55)+COUNTIF($G$145:$G$145, C55)+COUNTIF($G$123:$G$123, C55)+COUNTIF($G$108:$G$109, C55)+COUNTIF($G$87:$G$87, C55)+COUNTIF($G$72:$G$73, C55)+COUNTIF($G$52:$G$59, C55)+COUNTIF($G$40:$G$42, C55)&gt;1,NOT(ISBLANK(C55)))</formula>
    </cfRule>
    <cfRule type="expression" dxfId="277" priority="7037" stopIfTrue="1">
      <formula>AND(COUNTIF($G$248:$G$65401, C55)+COUNTIF($G$1:$G$29, C55)+COUNTIF(#REF!, C55)+COUNTIF($G$193:$G$196, C55)+COUNTIF($G$170:$G$171, C55)+COUNTIF($G$145:$G$145, C55)+COUNTIF($G$123:$G$123, C55)+COUNTIF($G$108:$G$109, C55)+COUNTIF($G$87:$G$87, C55)+COUNTIF($G$72:$G$73, C55)+COUNTIF($G$52:$G$59, C55)+COUNTIF($G$40:$G$42, C55)&gt;1,NOT(ISBLANK(C55)))</formula>
    </cfRule>
    <cfRule type="expression" dxfId="276" priority="7036" stopIfTrue="1">
      <formula>AND(COUNTIF($G$314:$G$65401, C55)+COUNTIF($G$1:$G$29, C55)+COUNTIF($G$248:$G$249, C55)+COUNTIF(#REF!, C55)+COUNTIF($G$193:$G$196, C55)+COUNTIF($G$170:$G$171, C55)+COUNTIF($G$145:$G$145, C55)+COUNTIF($G$123:$G$123, C55)+COUNTIF($G$108:$G$109, C55)+COUNTIF($G$87:$G$87, C55)+COUNTIF($G$72:$G$73, C55)+COUNTIF($G$52:$G$59, C55)+COUNTIF($G$40:$G$42, C55)&gt;1,NOT(ISBLANK(C55)))</formula>
    </cfRule>
    <cfRule type="expression" dxfId="275" priority="7038" stopIfTrue="1">
      <formula>AND(COUNTIF($G$193:$G$65401, C55)+COUNTIF(#REF!, C55)+COUNTIF($G$1:$G$29, C55)+COUNTIF($G$170:$G$171, C55)+COUNTIF($G$145:$G$145, C55)+COUNTIF($G$123:$G$123, C55)+COUNTIF($G$108:$G$109, C55)+COUNTIF($G$87:$G$87, C55)+COUNTIF($G$72:$G$73, C55)+COUNTIF($G$52:$G$59, C55)+COUNTIF($G$40:$G$42, C55)&gt;1,NOT(ISBLANK(C55)))</formula>
    </cfRule>
    <cfRule type="expression" dxfId="274" priority="7039" stopIfTrue="1">
      <formula>AND(COUNTIF($G$193:$G$65401, C55)+COUNTIF($G$170:$G$171, C55)+COUNTIF($G$145:$G$145, C55)+COUNTIF($G$123:$G$123, C55)+COUNTIF($G$108:$G$109, C55)+COUNTIF($G$1:$G$29, C55)+COUNTIF(#REF!, C55)+COUNTIF($G$87:$G$87, C55)+COUNTIF($G$72:$G$73, C55)+COUNTIF(#REF!, C55)+COUNTIF($G$52:$G$59, C55)+COUNTIF(#REF!, C55)+COUNTIF($G$38:$G$42, C55)+COUNTIF(#REF!, C55)&gt;1,NOT(ISBLANK(C55)))</formula>
    </cfRule>
  </conditionalFormatting>
  <conditionalFormatting sqref="C55:C59">
    <cfRule type="expression" dxfId="273" priority="343" stopIfTrue="1">
      <formula>AND(COUNTIF(#REF!, C55)+COUNTIF(#REF!, C55)+COUNTIF(#REF!, C55)+COUNTIF(#REF!, C55)+COUNTIF(#REF!, C55)+COUNTIF(#REF!, C55)+COUNTIF(#REF!, C55)+COUNTIF(#REF!, C55)+COUNTIF(#REF!, C55)+COUNTIF(#REF!, C55)+COUNTIF(#REF!, C55)+COUNTIF(#REF!, C55)+COUNTIF(#REF!, C55)&gt;1,NOT(ISBLANK(C55)))</formula>
    </cfRule>
    <cfRule type="expression" dxfId="272" priority="342" stopIfTrue="1">
      <formula>AND(COUNTIF(#REF!, C55)+COUNTIF(#REF!, C55)+COUNTIF(#REF!, C55)+COUNTIF(#REF!, C55)+COUNTIF(#REF!, C55)+COUNTIF(#REF!, C55)+COUNTIF(#REF!, C55)+COUNTIF(#REF!, C55)+COUNTIF(#REF!, C55)+COUNTIF(#REF!, C55)+COUNTIF(#REF!, C55)+COUNTIF(#REF!, C55)+COUNTIF(#REF!, C55)+COUNTIF(#REF!, C55)&gt;1,NOT(ISBLANK(C55)))</formula>
    </cfRule>
  </conditionalFormatting>
  <conditionalFormatting sqref="C56 C59 C13:C51 C68 C79:C86 C90:C94 C97:C98 C100:C102 C104:C105 C108:C116 C118 C120 C122 C131:C132 C134 C136:C137 C140 C142:C144 C146 C148:C159 C161:C172 C188 C191:C192 C196 C198 C210:C240 C243:C244 C247 C249:C252 C256:C257 C263">
    <cfRule type="expression" dxfId="271" priority="6924" stopIfTrue="1">
      <formula>AND(COUNTIF($E$658:$E$65539, C13)+COUNTIF($E$1:$E$315, C13)+COUNTIF(#REF!, C13)+COUNTIF($E$608:$E$609, C13)+COUNTIF($E$563:$E$564, C13)+COUNTIF($E$525:$E$526, C13)+COUNTIF($E$483:$E$486,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</conditionalFormatting>
  <conditionalFormatting sqref="C57:C58">
    <cfRule type="expression" dxfId="270" priority="7072" stopIfTrue="1">
      <formula>AND(COUNTIF($G$314:$G$65401, C57)+COUNTIF(#REF!, C57)+COUNTIF($G$1:$G$29, C57)+COUNTIF(#REF!, C57)+COUNTIF($G$248:$G$249, C57)+COUNTIF($G$193:$G$196,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69" priority="7080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8" priority="7078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7" priority="7077" stopIfTrue="1">
      <formula>AND(COUNTIF($G$170:$G$65401, C57)+COUNTIF($G$145:$G$145, C57)+COUNTIF($G$123:$G$123, C57)+COUNTIF($G$108:$G$109, C57)+COUNTIF($G$1:$G$29, C57)+COUNTIF(#REF!, C57)+COUNTIF($G$87:$G$87, C57)+COUNTIF($G$72:$G$73, C57)+COUNTIF(#REF!, C57)+COUNTIF($G$52:$G$59, C57)+COUNTIF(#REF!, C57)+COUNTIF($G$38:$G$42, C57)+COUNTIF(#REF!, C57)&gt;1,NOT(ISBLANK(C57)))</formula>
    </cfRule>
    <cfRule type="expression" dxfId="266" priority="7076" stopIfTrue="1">
      <formula>AND(COUNTIF($G$193:$G$65401, C57)+COUNTIF($G$170:$G$171, C57)+COUNTIF($G$145:$G$145, C57)+COUNTIF($G$123:$G$123, C57)+COUNTIF($G$108:$G$109, C57)+COUNTIF($G$1:$G$29, C57)+COUNTIF(#REF!, C57)+COUNTIF($G$87:$G$87, C57)+COUNTIF($G$72:$G$73, C57)+COUNTIF(#REF!, C57)+COUNTIF($G$52:$G$59, C57)+COUNTIF(#REF!, C57)+COUNTIF($G$38:$G$42, C57)+COUNTIF(#REF!, C57)&gt;1,NOT(ISBLANK(C57)))</formula>
    </cfRule>
    <cfRule type="expression" dxfId="265" priority="7075" stopIfTrue="1">
      <formula>AND(COUNTIF($G$193:$G$65401, C57)+COUNTIF(#REF!, C57)+COUNTIF($G$1:$G$29,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64" priority="7074" stopIfTrue="1">
      <formula>AND(COUNTIF($G$248:$G$65401, C57)+COUNTIF($G$1:$G$29, C57)+COUNTIF(#REF!, C57)+COUNTIF($G$193:$G$196,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63" priority="7073" stopIfTrue="1">
      <formula>AND(COUNTIF($G$314:$G$65401, C57)+COUNTIF($G$1:$G$29, C57)+COUNTIF($G$248:$G$249, C57)+COUNTIF(#REF!, C57)+COUNTIF($G$193:$G$196,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62" priority="7071" stopIfTrue="1">
      <formula>AND(COUNTIF($G$314:$G$65401, C57)+COUNTIF($G$1:$G$29, C57)+COUNTIF(#REF!, C57)+COUNTIF(#REF!, C57)+COUNTIF(#REF!, C57)+COUNTIF($G$248:$G$249, C57)+COUNTIF($G$193:$G$196,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61" priority="7070" stopIfTrue="1">
      <formula>AND(COUNTIF(#REF!,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0" priority="7069" stopIfTrue="1">
      <formula>AND(COUNTIF(#REF!,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59" priority="7079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</conditionalFormatting>
  <conditionalFormatting sqref="C57:C59 C61 C63:C64">
    <cfRule type="expression" dxfId="258" priority="327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57" priority="328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</conditionalFormatting>
  <conditionalFormatting sqref="C58:C59 C61 C63:C64 C69:C74 C88:C89">
    <cfRule type="expression" dxfId="256" priority="326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</conditionalFormatting>
  <conditionalFormatting sqref="C58:C59">
    <cfRule type="expression" dxfId="255" priority="319" stopIfTrue="1">
      <formula>AND(COUNTIF(#REF!,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4" priority="318" stopIfTrue="1">
      <formula>AND(COUNTIF(#REF!,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3" priority="325" stopIfTrue="1">
      <formula>AND(COUNTIF(#REF!,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2" priority="324" stopIfTrue="1">
      <formula>AND(COUNTIF(#REF!,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1" priority="323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0" priority="322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49" priority="321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48" priority="320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</conditionalFormatting>
  <conditionalFormatting sqref="C60 C55 C62">
    <cfRule type="expression" dxfId="247" priority="7035" stopIfTrue="1">
      <formula>AND(COUNTIF($G$314:$G$65401, C55)+COUNTIF(#REF!, C55)+COUNTIF($G$1:$G$29, C55)+COUNTIF(#REF!, C55)+COUNTIF($G$248:$G$249, C55)+COUNTIF($G$193:$G$196, C55)+COUNTIF($G$170:$G$171, C55)+COUNTIF($G$145:$G$145, C55)+COUNTIF($G$123:$G$123, C55)+COUNTIF($G$108:$G$109, C55)+COUNTIF($G$87:$G$87, C55)+COUNTIF($G$72:$G$73, C55)+COUNTIF($G$52:$G$59, C55)+COUNTIF($G$40:$G$42, C55)&gt;1,NOT(ISBLANK(C55)))</formula>
    </cfRule>
  </conditionalFormatting>
  <conditionalFormatting sqref="C61">
    <cfRule type="expression" dxfId="246" priority="313" stopIfTrue="1">
      <formula>AND(COUNTIF(#REF!, C61)+COUNTIF(#REF!, C61)+COUNTIF(#REF!, C61)+COUNTIF(#REF!, C61)+COUNTIF(#REF!, C61)+COUNTIF(#REF!, C61)+COUNTIF(#REF!, C61)+COUNTIF(#REF!, C61)+COUNTIF(#REF!, C61)+COUNTIF(#REF!, C61)+COUNTIF(#REF!, C61)+COUNTIF(#REF!, C61)&gt;1,NOT(ISBLANK(C61)))</formula>
    </cfRule>
    <cfRule type="expression" dxfId="245" priority="314" stopIfTrue="1">
      <formula>AND(COUNTIF(#REF!, C61)+COUNTIF(#REF!, C61)+COUNTIF(#REF!, C61)+COUNTIF(#REF!, C61)+COUNTIF(#REF!, C61)+COUNTIF(#REF!, C61)+COUNTIF(#REF!, C61)+COUNTIF(#REF!, C61)+COUNTIF(#REF!, C61)+COUNTIF(#REF!, C61)+COUNTIF(#REF!, C61)&gt;1,NOT(ISBLANK(C61)))</formula>
    </cfRule>
    <cfRule type="expression" dxfId="244" priority="315" stopIfTrue="1">
      <formula>AND(COUNTIF(#REF!, C61)+COUNTIF(#REF!, C61)+COUNTIF(#REF!, C61)+COUNTIF(#REF!, C61)+COUNTIF(#REF!, C61)+COUNTIF(#REF!, C61)+COUNTIF(#REF!, C61)+COUNTIF(#REF!, C61)+COUNTIF(#REF!, C61)+COUNTIF(#REF!, C61)+COUNTIF(#REF!, C61)+COUNTIF(#REF!, C61)+COUNTIF(#REF!, C61)+COUNTIF(#REF!, C61)&gt;1,NOT(ISBLANK(C61)))</formula>
    </cfRule>
    <cfRule type="expression" dxfId="243" priority="316" stopIfTrue="1">
      <formula>AND(COUNTIF(#REF!, C61)+COUNTIF(#REF!, C61)+COUNTIF(#REF!, C61)+COUNTIF(#REF!, C61)+COUNTIF(#REF!, C61)+COUNTIF(#REF!, C61)+COUNTIF(#REF!, C61)+COUNTIF(#REF!, C61)+COUNTIF(#REF!, C61)+COUNTIF(#REF!, C61)+COUNTIF(#REF!, C61)+COUNTIF(#REF!, C61)+COUNTIF(#REF!, C61)&gt;1,NOT(ISBLANK(C61)))</formula>
    </cfRule>
  </conditionalFormatting>
  <conditionalFormatting sqref="C63">
    <cfRule type="expression" dxfId="242" priority="305" stopIfTrue="1">
      <formula>AND(COUNTIF(#REF!,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41" priority="306" stopIfTrue="1">
      <formula>AND(COUNTIF(#REF!,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40" priority="307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9" priority="308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</conditionalFormatting>
  <conditionalFormatting sqref="C63:C64">
    <cfRule type="expression" dxfId="238" priority="309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7" priority="310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6" priority="311" stopIfTrue="1">
      <formula>AND(COUNTIF(#REF!,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5" priority="312" stopIfTrue="1">
      <formula>AND(COUNTIF(#REF!, C63)+COUNTIF(#REF!, C63)+COUNTIF(#REF!, C63)+COUNTIF(#REF!, C63)+COUNTIF(#REF!, C63)+COUNTIF(#REF!, C63)+COUNTIF(#REF!, C63)+COUNTIF(#REF!, C63)+COUNTIF(#REF!, C63)+COUNTIF(#REF!, C63)+COUNTIF(#REF!, C63)&gt;1,NOT(ISBLANK(C63)))</formula>
    </cfRule>
  </conditionalFormatting>
  <conditionalFormatting sqref="C63:C65">
    <cfRule type="expression" dxfId="234" priority="302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3" priority="303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2" priority="304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</conditionalFormatting>
  <conditionalFormatting sqref="C64:C65">
    <cfRule type="expression" dxfId="231" priority="7089" stopIfTrue="1">
      <formula>AND(COUNTIF($G$193:$G$65401, C64)+COUNTIF($G$170:$G$171, C64)+COUNTIF($G$145:$G$145, C64)+COUNTIF($G$123:$G$123, C64)+COUNTIF($G$108:$G$109, C64)+COUNTIF($G$1:$G$29, C64)+COUNTIF(#REF!, C64)+COUNTIF($G$87:$G$87, C64)+COUNTIF($G$72:$G$73, C64)+COUNTIF(#REF!, C64)+COUNTIF($G$52:$G$59, C64)+COUNTIF(#REF!, C64)+COUNTIF($G$38:$G$42, C64)+COUNTIF(#REF!, C64)&gt;1,NOT(ISBLANK(C64)))</formula>
    </cfRule>
    <cfRule type="expression" dxfId="230" priority="7090" stopIfTrue="1">
      <formula>AND(COUNTIF($G$170:$G$65401, C64)+COUNTIF($G$145:$G$145, C64)+COUNTIF($G$123:$G$123, C64)+COUNTIF($G$108:$G$109, C64)+COUNTIF($G$1:$G$29, C64)+COUNTIF(#REF!, C64)+COUNTIF($G$87:$G$87, C64)+COUNTIF($G$72:$G$73, C64)+COUNTIF(#REF!, C64)+COUNTIF($G$52:$G$59, C64)+COUNTIF(#REF!, C64)+COUNTIF($G$38:$G$42, C64)+COUNTIF(#REF!, C64)&gt;1,NOT(ISBLANK(C64)))</formula>
    </cfRule>
    <cfRule type="expression" dxfId="229" priority="7091" stopIfTrue="1">
      <formula>AND(COUNTIF(#REF!, C64)+COUNTIF(#REF!, C64)+COUNTIF(#REF!,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28" priority="7092" stopIfTrue="1">
      <formula>AND(COUNTIF(#REF!, C64)+COUNTIF(#REF!,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27" priority="7094" stopIfTrue="1">
      <formula>AND(COUNTIF(#REF!,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26" priority="7093" stopIfTrue="1">
      <formula>AND(COUNTIF(#REF!,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25" priority="7084" stopIfTrue="1">
      <formula>AND(COUNTIF($G$314:$G$65401, C64)+COUNTIF($G$1:$G$29, C64)+COUNTIF(#REF!, C64)+COUNTIF(#REF!, C64)+COUNTIF(#REF!, C64)+COUNTIF($G$248:$G$249, C64)+COUNTIF($G$193:$G$196,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24" priority="7085" stopIfTrue="1">
      <formula>AND(COUNTIF($G$314:$G$65401, C64)+COUNTIF(#REF!, C64)+COUNTIF($G$1:$G$29, C64)+COUNTIF(#REF!, C64)+COUNTIF($G$248:$G$249, C64)+COUNTIF($G$193:$G$196,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23" priority="7086" stopIfTrue="1">
      <formula>AND(COUNTIF($G$314:$G$65401, C64)+COUNTIF($G$1:$G$29, C64)+COUNTIF($G$248:$G$249, C64)+COUNTIF(#REF!, C64)+COUNTIF($G$193:$G$196,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22" priority="7087" stopIfTrue="1">
      <formula>AND(COUNTIF($G$248:$G$65401, C64)+COUNTIF($G$1:$G$29, C64)+COUNTIF(#REF!, C64)+COUNTIF($G$193:$G$196,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21" priority="7088" stopIfTrue="1">
      <formula>AND(COUNTIF($G$193:$G$65401, C64)+COUNTIF(#REF!, C64)+COUNTIF($G$1:$G$29, C64)+COUNTIF($G$170:$G$171, C64)+COUNTIF($G$145:$G$145, C64)+COUNTIF($G$123:$G$123, C64)+COUNTIF($G$108:$G$109, C64)+COUNTIF($G$87:$G$87, C64)+COUNTIF($G$72:$G$73, C64)+COUNTIF($G$52:$G$59, C64)+COUNTIF($G$40:$G$42, C64)&gt;1,NOT(ISBLANK(C64)))</formula>
    </cfRule>
  </conditionalFormatting>
  <conditionalFormatting sqref="C64:C66">
    <cfRule type="expression" dxfId="220" priority="289" stopIfTrue="1">
      <formula>AND(COUNTIF(#REF!, C64)+COUNTIF(#REF!, C64)+COUNTIF(#REF!,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19" priority="288" stopIfTrue="1">
      <formula>AND(COUNTIF(#REF!,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18" priority="287" stopIfTrue="1">
      <formula>AND(COUNTIF(#REF!,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17" priority="290" stopIfTrue="1">
      <formula>AND(COUNTIF(#REF!, C64)+COUNTIF(#REF!,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</conditionalFormatting>
  <conditionalFormatting sqref="C65:C66">
    <cfRule type="expression" dxfId="216" priority="286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5" priority="285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4" priority="284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3" priority="283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2" priority="282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1" priority="281" stopIfTrue="1">
      <formula>AND(COUNTIF(#REF!,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0" priority="280" stopIfTrue="1">
      <formula>AND(COUNTIF(#REF!,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</conditionalFormatting>
  <conditionalFormatting sqref="C65:C67">
    <cfRule type="expression" dxfId="209" priority="279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08" priority="278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07" priority="277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</conditionalFormatting>
  <conditionalFormatting sqref="C66:C67">
    <cfRule type="expression" dxfId="206" priority="276" stopIfTrue="1">
      <formula>AND(COUNTIF(#REF!,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5" priority="273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4" priority="272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3" priority="271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2" priority="270" stopIfTrue="1">
      <formula>AND(COUNTIF(#REF!,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1" priority="269" stopIfTrue="1">
      <formula>AND(COUNTIF(#REF!,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0" priority="268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199" priority="267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198" priority="275" stopIfTrue="1">
      <formula>AND(COUNTIF(#REF!,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197" priority="266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196" priority="274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</conditionalFormatting>
  <conditionalFormatting sqref="C69">
    <cfRule type="expression" dxfId="195" priority="263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4" priority="258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3" priority="259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2" priority="260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1" priority="261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0" priority="264" stopIfTrue="1">
      <formula>AND(COUNTIF(#REF!,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9" priority="265" stopIfTrue="1">
      <formula>AND(COUNTIF(#REF!,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8" priority="250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7" priority="262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6" priority="252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5" priority="253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4" priority="251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3" priority="254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2" priority="255" stopIfTrue="1">
      <formula>AND(COUNTIF(#REF!,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1" priority="256" stopIfTrue="1">
      <formula>AND(COUNTIF(#REF!,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0" priority="257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</conditionalFormatting>
  <conditionalFormatting sqref="C69:C76 C78">
    <cfRule type="expression" dxfId="179" priority="7096" stopIfTrue="1">
      <formula>AND(COUNTIF($G$314:$G$65401, C69)+COUNTIF(#REF!, C69)+COUNTIF($G$1:$G$29, C69)+COUNTIF(#REF!, C69)+COUNTIF($G$248:$G$249, C69)+COUNTIF($G$193:$G$196,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178" priority="7101" stopIfTrue="1">
      <formula>AND(COUNTIF($G$170:$G$65401, C69)+COUNTIF($G$145:$G$145, C69)+COUNTIF($G$123:$G$123, C69)+COUNTIF($G$108:$G$109, C69)+COUNTIF($G$1:$G$29, C69)+COUNTIF(#REF!, C69)+COUNTIF($G$87:$G$87, C69)+COUNTIF($G$72:$G$73, C69)+COUNTIF(#REF!, C69)+COUNTIF($G$52:$G$59, C69)+COUNTIF(#REF!, C69)+COUNTIF($G$38:$G$42, C69)+COUNTIF(#REF!, C69)&gt;1,NOT(ISBLANK(C69)))</formula>
    </cfRule>
    <cfRule type="expression" dxfId="177" priority="7099" stopIfTrue="1">
      <formula>AND(COUNTIF($G$193:$G$65401, C69)+COUNTIF(#REF!, C69)+COUNTIF($G$1:$G$29,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176" priority="7100" stopIfTrue="1">
      <formula>AND(COUNTIF($G$193:$G$65401, C69)+COUNTIF($G$170:$G$171, C69)+COUNTIF($G$145:$G$145, C69)+COUNTIF($G$123:$G$123, C69)+COUNTIF($G$108:$G$109, C69)+COUNTIF($G$1:$G$29, C69)+COUNTIF(#REF!, C69)+COUNTIF($G$87:$G$87, C69)+COUNTIF($G$72:$G$73, C69)+COUNTIF(#REF!, C69)+COUNTIF($G$52:$G$59, C69)+COUNTIF(#REF!, C69)+COUNTIF($G$38:$G$42, C69)+COUNTIF(#REF!, C69)&gt;1,NOT(ISBLANK(C69)))</formula>
    </cfRule>
    <cfRule type="expression" dxfId="175" priority="7098" stopIfTrue="1">
      <formula>AND(COUNTIF($G$248:$G$65401, C69)+COUNTIF($G$1:$G$29, C69)+COUNTIF(#REF!, C69)+COUNTIF($G$193:$G$196,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174" priority="7097" stopIfTrue="1">
      <formula>AND(COUNTIF($G$314:$G$65401, C69)+COUNTIF($G$1:$G$29, C69)+COUNTIF($G$248:$G$249, C69)+COUNTIF(#REF!, C69)+COUNTIF($G$193:$G$196,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173" priority="7095" stopIfTrue="1">
      <formula>AND(COUNTIF($G$314:$G$65401, C69)+COUNTIF($G$1:$G$29, C69)+COUNTIF(#REF!, C69)+COUNTIF(#REF!, C69)+COUNTIF(#REF!, C69)+COUNTIF($G$248:$G$249, C69)+COUNTIF($G$193:$G$196, C69)+COUNTIF($G$170:$G$171, C69)+COUNTIF($G$145:$G$145, C69)+COUNTIF($G$123:$G$123, C69)+COUNTIF($G$108:$G$109, C69)+COUNTIF($G$87:$G$87, C69)+COUNTIF($G$72:$G$73, C69)+COUNTIF($G$52:$G$59, C69)+COUNTIF($G$40:$G$42, C69)&gt;1,NOT(ISBLANK(C69)))</formula>
    </cfRule>
  </conditionalFormatting>
  <conditionalFormatting sqref="C69:C78">
    <cfRule type="expression" dxfId="172" priority="241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71" priority="242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</conditionalFormatting>
  <conditionalFormatting sqref="C72:C74 C87:C89">
    <cfRule type="expression" dxfId="170" priority="237" stopIfTrue="1">
      <formula>AND(COUNTIF(#REF!,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9" priority="239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8" priority="238" stopIfTrue="1">
      <formula>AND(COUNTIF(#REF!,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7" priority="240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</conditionalFormatting>
  <conditionalFormatting sqref="C72:C74 C88:C89">
    <cfRule type="expression" dxfId="166" priority="236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</conditionalFormatting>
  <conditionalFormatting sqref="C72:C75 C87:C89">
    <cfRule type="expression" dxfId="165" priority="233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4" priority="234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3" priority="235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</conditionalFormatting>
  <conditionalFormatting sqref="C72:C78">
    <cfRule type="expression" dxfId="162" priority="232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1" priority="231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0" priority="229" stopIfTrue="1">
      <formula>AND(COUNTIF(#REF!,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59" priority="228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58" priority="230" stopIfTrue="1">
      <formula>AND(COUNTIF(#REF!, C72)+COUNTIF(#REF!, C72)+COUNTIF(#REF!, C72)+COUNTIF(#REF!, C72)+COUNTIF(#REF!, C72)+COUNTIF(#REF!, C72)+COUNTIF(#REF!, C72)+COUNTIF(#REF!, C72)+COUNTIF(#REF!, C72)+COUNTIF(#REF!, C72)+COUNTIF(#REF!, C72)&gt;1,NOT(ISBLANK(C72)))</formula>
    </cfRule>
  </conditionalFormatting>
  <conditionalFormatting sqref="C75 C78">
    <cfRule type="expression" dxfId="157" priority="225" stopIfTrue="1">
      <formula>AND(COUNTIF(#REF!,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6" priority="224" stopIfTrue="1">
      <formula>AND(COUNTIF(#REF!,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5" priority="221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4" priority="222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3" priority="226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2" priority="227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1" priority="223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</conditionalFormatting>
  <conditionalFormatting sqref="C75">
    <cfRule type="expression" dxfId="150" priority="220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49" priority="219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48" priority="218" stopIfTrue="1">
      <formula>AND(COUNTIF(#REF!, C75)+COUNTIF(#REF!, C75)+COUNTIF(#REF!, C75)+COUNTIF(#REF!, C75)+COUNTIF(#REF!, C75)+COUNTIF(#REF!, C75)+COUNTIF(#REF!, C75)+COUNTIF(#REF!, C75)+COUNTIF(#REF!, C75)+COUNTIF(#REF!, C75)+COUNTIF(#REF!, C75)&gt;1,NOT(ISBLANK(C75)))</formula>
    </cfRule>
  </conditionalFormatting>
  <conditionalFormatting sqref="C77 C87">
    <cfRule type="expression" dxfId="147" priority="212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46" priority="213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45" priority="214" stopIfTrue="1">
      <formula>AND(COUNTIF(#REF!,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77 C87:C89">
    <cfRule type="expression" dxfId="144" priority="7110" stopIfTrue="1">
      <formula>AND(COUNTIF($G$314:$G$65401, C77)+COUNTIF($G$1:$G$29, C77)+COUNTIF(#REF!, C77)+COUNTIF(#REF!, C77)+COUNTIF(#REF!, C77)+COUNTIF($G$248:$G$249, C77)+COUNTIF($G$193:$G$196,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43" priority="7111" stopIfTrue="1">
      <formula>AND(COUNTIF($G$314:$G$65401, C77)+COUNTIF(#REF!, C77)+COUNTIF($G$1:$G$29, C77)+COUNTIF(#REF!, C77)+COUNTIF($G$248:$G$249, C77)+COUNTIF($G$193:$G$196,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42" priority="7112" stopIfTrue="1">
      <formula>AND(COUNTIF($G$314:$G$65401, C77)+COUNTIF($G$1:$G$29, C77)+COUNTIF($G$248:$G$249, C77)+COUNTIF(#REF!, C77)+COUNTIF($G$193:$G$196,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41" priority="7113" stopIfTrue="1">
      <formula>AND(COUNTIF($G$248:$G$65401, C77)+COUNTIF($G$1:$G$29, C77)+COUNTIF(#REF!, C77)+COUNTIF($G$193:$G$196,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40" priority="7114" stopIfTrue="1">
      <formula>AND(COUNTIF($G$193:$G$65401, C77)+COUNTIF(#REF!, C77)+COUNTIF($G$1:$G$29,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39" priority="7116" stopIfTrue="1">
      <formula>AND(COUNTIF($G$170:$G$65401, C77)+COUNTIF($G$145:$G$145, C77)+COUNTIF($G$123:$G$123, C77)+COUNTIF($G$108:$G$109, C77)+COUNTIF($G$1:$G$29, C77)+COUNTIF(#REF!, C77)+COUNTIF($G$87:$G$87, C77)+COUNTIF($G$72:$G$73, C77)+COUNTIF(#REF!, C77)+COUNTIF($G$52:$G$59, C77)+COUNTIF(#REF!, C77)+COUNTIF($G$38:$G$42, C77)+COUNTIF(#REF!, C77)&gt;1,NOT(ISBLANK(C77)))</formula>
    </cfRule>
    <cfRule type="expression" dxfId="138" priority="7109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37" priority="7115" stopIfTrue="1">
      <formula>AND(COUNTIF($G$193:$G$65401, C77)+COUNTIF($G$170:$G$171, C77)+COUNTIF($G$145:$G$145, C77)+COUNTIF($G$123:$G$123, C77)+COUNTIF($G$108:$G$109, C77)+COUNTIF($G$1:$G$29, C77)+COUNTIF(#REF!, C77)+COUNTIF($G$87:$G$87, C77)+COUNTIF($G$72:$G$73, C77)+COUNTIF(#REF!, C77)+COUNTIF($G$52:$G$59, C77)+COUNTIF(#REF!, C77)+COUNTIF($G$38:$G$42, C77)+COUNTIF(#REF!, C77)&gt;1,NOT(ISBLANK(C77)))</formula>
    </cfRule>
  </conditionalFormatting>
  <conditionalFormatting sqref="C77:C78 C75">
    <cfRule type="expression" dxfId="136" priority="198" stopIfTrue="1">
      <formula>AND(COUNTIF(#REF!,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</conditionalFormatting>
  <conditionalFormatting sqref="C77:C78 C87">
    <cfRule type="expression" dxfId="135" priority="217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34" priority="216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33" priority="215" stopIfTrue="1">
      <formula>AND(COUNTIF(#REF!,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77:C78 C87:C89">
    <cfRule type="expression" dxfId="132" priority="194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77:C78">
    <cfRule type="expression" dxfId="131" priority="196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30" priority="197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87:C89 C77">
    <cfRule type="expression" dxfId="129" priority="202" stopIfTrue="1">
      <formula>AND(COUNTIF(#REF!,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28" priority="978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87:C89">
    <cfRule type="expression" dxfId="127" priority="199" stopIfTrue="1">
      <formula>AND(COUNTIF(#REF!, C87)+COUNTIF(#REF!, C87)+COUNTIF(#REF!, C87)+COUNTIF(#REF!, C87)+COUNTIF(#REF!, C87)+COUNTIF(#REF!, C87)+COUNTIF(#REF!, C87)+COUNTIF(#REF!, C87)+COUNTIF(#REF!, C87)+COUNTIF(#REF!, C87)+COUNTIF(#REF!, C87)+COUNTIF(#REF!, C87)+COUNTIF(#REF!, C87)+COUNTIF(#REF!, C87)&gt;1,NOT(ISBLANK(C87)))</formula>
    </cfRule>
    <cfRule type="expression" dxfId="126" priority="201" stopIfTrue="1">
      <formula>AND(COUNTIF(#REF!, C87)+COUNTIF(#REF!, C87)+COUNTIF(#REF!, C87)+COUNTIF(#REF!, C87)+COUNTIF(#REF!, C87)+COUNTIF(#REF!, C87)+COUNTIF(#REF!, C87)+COUNTIF(#REF!, C87)+COUNTIF(#REF!, C87)+COUNTIF(#REF!, C87)+COUNTIF(#REF!, C87)+COUNTIF(#REF!, C87)&gt;1,NOT(ISBLANK(C87)))</formula>
    </cfRule>
    <cfRule type="expression" dxfId="125" priority="200" stopIfTrue="1">
      <formula>AND(COUNTIF(#REF!, C87)+COUNTIF(#REF!, C87)+COUNTIF(#REF!, C87)+COUNTIF(#REF!, C87)+COUNTIF(#REF!, C87)+COUNTIF(#REF!, C87)+COUNTIF(#REF!, C87)+COUNTIF(#REF!, C87)+COUNTIF(#REF!, C87)+COUNTIF(#REF!, C87)+COUNTIF(#REF!, C87)+COUNTIF(#REF!, C87)+COUNTIF(#REF!, C87)&gt;1,NOT(ISBLANK(C87)))</formula>
    </cfRule>
  </conditionalFormatting>
  <conditionalFormatting sqref="C95:C96 C99 C103 C106:C107 C117 C119 C121 C123:C129">
    <cfRule type="expression" dxfId="124" priority="7136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3" priority="7137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2" priority="7138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1" priority="7139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0" priority="7140" stopIfTrue="1">
      <formula>AND(COUNTIF(#REF!,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9" priority="7141" stopIfTrue="1">
      <formula>AND(COUNTIF(#REF!,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8" priority="7142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7" priority="7143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6" priority="7144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5" priority="7145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4" priority="7146" stopIfTrue="1">
      <formula>AND(COUNTIF($G$314:$G$65401, C95)+COUNTIF($G$1:$G$29, C95)+COUNTIF(#REF!, C95)+COUNTIF(#REF!, C95)+COUNTIF(#REF!, C95)+COUNTIF($G$248:$G$249, C95)+COUNTIF($G$193:$G$196,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13" priority="7147" stopIfTrue="1">
      <formula>AND(COUNTIF($G$314:$G$65401, C95)+COUNTIF(#REF!, C95)+COUNTIF($G$1:$G$29, C95)+COUNTIF(#REF!, C95)+COUNTIF($G$248:$G$249, C95)+COUNTIF($G$193:$G$196,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12" priority="7148" stopIfTrue="1">
      <formula>AND(COUNTIF($G$314:$G$65401, C95)+COUNTIF($G$1:$G$29, C95)+COUNTIF($G$248:$G$249, C95)+COUNTIF(#REF!, C95)+COUNTIF($G$193:$G$196,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11" priority="7149" stopIfTrue="1">
      <formula>AND(COUNTIF($G$248:$G$65401, C95)+COUNTIF($G$1:$G$29, C95)+COUNTIF(#REF!, C95)+COUNTIF($G$193:$G$196,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10" priority="7150" stopIfTrue="1">
      <formula>AND(COUNTIF($G$193:$G$65401, C95)+COUNTIF(#REF!, C95)+COUNTIF($G$1:$G$29,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09" priority="7151" stopIfTrue="1">
      <formula>AND(COUNTIF($G$193:$G$65401, C95)+COUNTIF($G$170:$G$171, C95)+COUNTIF($G$145:$G$145, C95)+COUNTIF($G$123:$G$123, C95)+COUNTIF($G$108:$G$109, C95)+COUNTIF($G$1:$G$29, C95)+COUNTIF(#REF!, C95)+COUNTIF($G$87:$G$87, C95)+COUNTIF($G$72:$G$73, C95)+COUNTIF(#REF!, C95)+COUNTIF($G$52:$G$59, C95)+COUNTIF(#REF!, C95)+COUNTIF($G$38:$G$42, C95)+COUNTIF(#REF!, C95)&gt;1,NOT(ISBLANK(C95)))</formula>
    </cfRule>
    <cfRule type="expression" dxfId="108" priority="7152" stopIfTrue="1">
      <formula>AND(COUNTIF($G$170:$G$65401, C95)+COUNTIF($G$145:$G$145, C95)+COUNTIF($G$123:$G$123, C95)+COUNTIF($G$108:$G$109, C95)+COUNTIF($G$1:$G$29, C95)+COUNTIF(#REF!, C95)+COUNTIF($G$87:$G$87, C95)+COUNTIF($G$72:$G$73, C95)+COUNTIF(#REF!, C95)+COUNTIF($G$52:$G$59, C95)+COUNTIF(#REF!, C95)+COUNTIF($G$38:$G$42, C95)+COUNTIF(#REF!, C95)&gt;1,NOT(ISBLANK(C95)))</formula>
    </cfRule>
    <cfRule type="expression" dxfId="107" priority="7125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6" priority="7126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5" priority="7127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4" priority="7128" stopIfTrue="1">
      <formula>AND(COUNTIF(#REF!,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3" priority="7129" stopIfTrue="1">
      <formula>AND(COUNTIF(#REF!,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2" priority="7130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1" priority="7131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0" priority="7132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99" priority="7133" stopIfTrue="1">
      <formula>AND(COUNTIF(#REF!,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98" priority="7134" stopIfTrue="1">
      <formula>AND(COUNTIF(#REF!,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97" priority="7135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</conditionalFormatting>
  <conditionalFormatting sqref="C97:C98 C100:C102 C104:C105 C108:C116 C118 C120 C122 C131:C132 C134 C136:C137 C140 C142:C144 C146 C148:C159 C161:C172">
    <cfRule type="expression" dxfId="96" priority="7353" stopIfTrue="1">
      <formula>AND(COUNTIF($E$483:$E$65539, C97)+COUNTIF($E$460:$E$461, C97)+COUNTIF($E$433:$E$434, C97)+COUNTIF($E$412:$E$412, C97)+COUNTIF($E$397:$E$398, C97)+COUNTIF($E$1:$E$315, C97)+COUNTIF(#REF!, C97)+COUNTIF($E$372:$E$372, C97)+COUNTIF($E$361:$E$362, C97)+COUNTIF(#REF!, C97)+COUNTIF($E$342:$E$343, C97)+COUNTIF($E$319:$E$319, C97)+COUNTIF($E$322:$E$329, C97)+COUNTIF(#REF!, C97)&gt;1,NOT(ISBLANK(C97)))</formula>
    </cfRule>
    <cfRule type="expression" dxfId="95" priority="7354" stopIfTrue="1">
      <formula>AND(COUNTIF($E$460:$E$65539, C97)+COUNTIF($E$433:$E$434, C97)+COUNTIF($E$412:$E$412, C97)+COUNTIF($E$397:$E$398, C97)+COUNTIF($E$1:$E$315, C97)+COUNTIF(#REF!, C97)+COUNTIF($E$372:$E$372, C97)+COUNTIF($E$361:$E$362, C97)+COUNTIF(#REF!, C97)+COUNTIF($E$342:$E$343, C97)+COUNTIF($E$319:$E$319, C97)+COUNTIF($E$322:$E$329, C97)+COUNTIF(#REF!, C97)&gt;1,NOT(ISBLANK(C97)))</formula>
    </cfRule>
    <cfRule type="expression" dxfId="94" priority="7351" stopIfTrue="1">
      <formula>AND(COUNTIF($E$525:$E$65539, C97)+COUNTIF($E$1:$E$315, C97)+COUNTIF(#REF!, C97)+COUNTIF($E$483:$E$486, C97)+COUNTIF($E$460:$E$461, C97)+COUNTIF($E$433:$E$434, C97)+COUNTIF($E$412:$E$412, C97)+COUNTIF($E$397:$E$398, C97)+COUNTIF($E$372:$E$372, C97)+COUNTIF($E$361:$E$362, C97)+COUNTIF($E$342:$E$343, C97)+COUNTIF($E$327:$E$329, C97)&gt;1,NOT(ISBLANK(C97)))</formula>
    </cfRule>
    <cfRule type="expression" dxfId="93" priority="7350" stopIfTrue="1">
      <formula>AND(COUNTIF($E$563:$E$65539, C97)+COUNTIF($E$1:$E$315, C97)+COUNTIF($E$525:$E$526, C97)+COUNTIF(#REF!, C97)+COUNTIF($E$483:$E$486, C97)+COUNTIF($E$460:$E$461, C97)+COUNTIF($E$433:$E$434, C97)+COUNTIF($E$412:$E$412, C97)+COUNTIF($E$397:$E$398, C97)+COUNTIF($E$372:$E$372, C97)+COUNTIF($E$361:$E$362, C97)+COUNTIF($E$342:$E$343, C97)+COUNTIF($E$327:$E$329, C97)&gt;1,NOT(ISBLANK(C97)))</formula>
    </cfRule>
    <cfRule type="expression" dxfId="92" priority="7349" stopIfTrue="1">
      <formula>AND(COUNTIF($E$608:$E$65539, C97)+COUNTIF(#REF!, C97)+COUNTIF($E$1:$E$315, C97)+COUNTIF($E$563:$E$564, C97)+COUNTIF($E$525:$E$526, C97)+COUNTIF($E$483:$E$486, C97)+COUNTIF($E$460:$E$461, C97)+COUNTIF($E$433:$E$434, C97)+COUNTIF($E$412:$E$412, C97)+COUNTIF($E$397:$E$398, C97)+COUNTIF($E$372:$E$372, C97)+COUNTIF($E$361:$E$362, C97)+COUNTIF($E$342:$E$343, C97)+COUNTIF($E$327:$E$329, C97)&gt;1,NOT(ISBLANK(C97)))</formula>
    </cfRule>
    <cfRule type="expression" dxfId="91" priority="7352" stopIfTrue="1">
      <formula>AND(COUNTIF($E$483:$E$65539, C97)+COUNTIF(#REF!, C97)+COUNTIF($E$1:$E$315, C97)+COUNTIF($E$460:$E$461, C97)+COUNTIF($E$433:$E$434, C97)+COUNTIF($E$412:$E$412, C97)+COUNTIF($E$397:$E$398, C97)+COUNTIF($E$372:$E$372, C97)+COUNTIF($E$361:$E$362, C97)+COUNTIF($E$342:$E$343, C97)+COUNTIF($E$327:$E$329, C97)&gt;1,NOT(ISBLANK(C97)))</formula>
    </cfRule>
  </conditionalFormatting>
  <conditionalFormatting sqref="C130 C133 C135 C138:C139 C141:C172 C191:C192 C196 C198 C188">
    <cfRule type="expression" dxfId="90" priority="7487" stopIfTrue="1">
      <formula>AND(COUNTIF($D$519:$D$65539, C130)+COUNTIF($D$1:$D$131, C130)+COUNTIF($D$132:$D$133, C130)+COUNTIF($D$502:$D$503, C130)+COUNTIF($D$482:$D$483, C130)+COUNTIF($D$444:$D$445, C130)+COUNTIF($D$402:$D$405, C130)+COUNTIF($D$379:$D$380, C130)+COUNTIF($D$352:$D$353, C130)+COUNTIF($D$331:$D$331, C130)+COUNTIF(#REF!, C130)+COUNTIF(#REF!, C130)+COUNTIF($D$318:$D$318, C130)+COUNTIF($D$204:$D$205, C130)+COUNTIF($D$189:$D$191, C130)&gt;1,NOT(ISBLANK(C130)))</formula>
    </cfRule>
  </conditionalFormatting>
  <conditionalFormatting sqref="C130 C133 C135 C138:C139 C141:C172 C191:C192 C196 C198">
    <cfRule type="expression" dxfId="89" priority="7444" stopIfTrue="1">
      <formula>AND(COUNTIF($D$444:$D$65539, C130)+COUNTIF($D$1:$D$131, C130)+COUNTIF($D$132:$D$133, C130)+COUNTIF($D$402:$D$405, C130)+COUNTIF($D$379:$D$380, C130)+COUNTIF($D$352:$D$353, C130)+COUNTIF($D$331:$D$331, C130)+COUNTIF(#REF!, C130)+COUNTIF(#REF!, C130)+COUNTIF($D$318:$D$318, C130)+COUNTIF($D$204:$D$205, C130)+COUNTIF($D$189:$D$191, C130)&gt;1,NOT(ISBLANK(C130)))</formula>
    </cfRule>
    <cfRule type="expression" dxfId="88" priority="7443" stopIfTrue="1">
      <formula>AND(COUNTIF($D$482:$D$65539, C130)+COUNTIF($D$1:$D$131, C130)+COUNTIF($D$444:$D$445, C130)+COUNTIF($D$132:$D$133, C130)+COUNTIF($D$402:$D$405, C130)+COUNTIF($D$379:$D$380, C130)+COUNTIF($D$352:$D$353, C130)+COUNTIF($D$331:$D$331, C130)+COUNTIF(#REF!, C130)+COUNTIF(#REF!, C130)+COUNTIF($D$318:$D$318, C130)+COUNTIF($D$204:$D$205, C130)+COUNTIF($D$189:$D$191, C130)&gt;1,NOT(ISBLANK(C130)))</formula>
    </cfRule>
    <cfRule type="expression" dxfId="87" priority="7440" stopIfTrue="1">
      <formula>AND(COUNTIF($D$402:$D$65539, C130)+COUNTIF($D$379:$D$380, C130)+COUNTIF($D$352:$D$353, C130)+COUNTIF($D$331:$D$331, C130)+COUNTIF(#REF!, C130)+COUNTIF($D$1:$D$131, C130)+COUNTIF(#REF!, C130)+COUNTIF(#REF!, C130)+COUNTIF($D$318:$D$318, C130)+COUNTIF(#REF!, C130)+COUNTIF($D$204:$D$205, C130)+COUNTIF($D$182:$D$182, C130)+COUNTIF($D$184:$D$191, C130)+COUNTIF($D$132:$D$133, C130)&gt;1,NOT(ISBLANK(C130)))</formula>
    </cfRule>
    <cfRule type="expression" dxfId="86" priority="7441" stopIfTrue="1">
      <formula>AND(COUNTIF($D$379:$D$65539, C130)+COUNTIF($D$352:$D$353, C130)+COUNTIF($D$331:$D$331, C130)+COUNTIF(#REF!, C130)+COUNTIF($D$1:$D$131, C130)+COUNTIF(#REF!, C130)+COUNTIF(#REF!, C130)+COUNTIF($D$318:$D$318, C130)+COUNTIF(#REF!, C130)+COUNTIF($D$204:$D$205, C130)+COUNTIF($D$182:$D$182, C130)+COUNTIF($D$184:$D$191, C130)+COUNTIF($D$132:$D$133, C130)&gt;1,NOT(ISBLANK(C130)))</formula>
    </cfRule>
    <cfRule type="expression" dxfId="85" priority="7442" stopIfTrue="1">
      <formula>AND(COUNTIF($D$502:$D$65539, C130)+COUNTIF($D$132:$D$133, C130)+COUNTIF($D$1:$D$131, C130)+COUNTIF($D$482:$D$483, C130)+COUNTIF($D$444:$D$445, C130)+COUNTIF($D$402:$D$405, C130)+COUNTIF($D$379:$D$380, C130)+COUNTIF($D$352:$D$353, C130)+COUNTIF($D$331:$D$331, C130)+COUNTIF(#REF!, C130)+COUNTIF(#REF!, C130)+COUNTIF($D$318:$D$318, C130)+COUNTIF($D$204:$D$205, C130)+COUNTIF($D$189:$D$191, C130)&gt;1,NOT(ISBLANK(C130)))</formula>
    </cfRule>
  </conditionalFormatting>
  <conditionalFormatting sqref="C141:C172 C191:C192 C196 C198 C130 C133 C135 C138:C139">
    <cfRule type="expression" dxfId="84" priority="7439" stopIfTrue="1">
      <formula>AND(COUNTIF($D$402:$D$65539, C130)+COUNTIF($D$132:$D$133, C130)+COUNTIF($D$1:$D$131, C130)+COUNTIF($D$379:$D$380, C130)+COUNTIF($D$352:$D$353, C130)+COUNTIF($D$331:$D$331, C130)+COUNTIF(#REF!, C130)+COUNTIF(#REF!, C130)+COUNTIF($D$318:$D$318, C130)+COUNTIF($D$204:$D$205, C130)+COUNTIF($D$189:$D$191, C130)&gt;1,NOT(ISBLANK(C130)))</formula>
    </cfRule>
  </conditionalFormatting>
  <conditionalFormatting sqref="C174:C177">
    <cfRule type="expression" dxfId="83" priority="7496" stopIfTrue="1">
      <formula>AND(COUNTIF($E$641:$E$65539, C174)+COUNTIF($E$1:$E$202, C174)+COUNTIF($E$204:$E$205, C174)+COUNTIF($E$575:$E$576, C174)+COUNTIF($E$555:$E$556, C174)+COUNTIF($E$517:$E$518, C174)+COUNTIF($E$475:$E$478,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82" priority="7497" stopIfTrue="1">
      <formula>AND(COUNTIF($E$575:$E$65539, C174)+COUNTIF($E$204:$E$205, C174)+COUNTIF($E$1:$E$202, C174)+COUNTIF($E$555:$E$556, C174)+COUNTIF($E$517:$E$518, C174)+COUNTIF($E$475:$E$478,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81" priority="7498" stopIfTrue="1">
      <formula>AND(COUNTIF($E$555:$E$65539, C174)+COUNTIF($E$1:$E$202, C174)+COUNTIF($E$517:$E$518, C174)+COUNTIF($E$204:$E$205, C174)+COUNTIF($E$475:$E$478,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80" priority="7499" stopIfTrue="1">
      <formula>AND(COUNTIF($E$517:$E$65539, C174)+COUNTIF($E$1:$E$202, C174)+COUNTIF($E$204:$E$205, C174)+COUNTIF($E$475:$E$478,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79" priority="7500" stopIfTrue="1">
      <formula>AND(COUNTIF($E$475:$E$65539, C174)+COUNTIF($E$204:$E$205, C174)+COUNTIF($E$1:$E$202,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78" priority="7501" stopIfTrue="1">
      <formula>AND(COUNTIF($E$475:$E$65539, C174)+COUNTIF($E$452:$E$453, C174)+COUNTIF($E$425:$E$426, C174)+COUNTIF($E$404:$E$404, C174)+COUNTIF($E$389:$E$390, C174)+COUNTIF($E$1:$E$202, C174)+COUNTIF(#REF!, C174)+COUNTIF($E$364:$E$364, C174)+COUNTIF($E$353:$E$354, C174)+COUNTIF(#REF!, C174)+COUNTIF($E$334:$E$335, C174)+COUNTIF(#REF!, C174)+COUNTIF($E$319:$E$321, C174)+COUNTIF($E$204:$E$205, C174)&gt;1,NOT(ISBLANK(C174)))</formula>
    </cfRule>
    <cfRule type="expression" dxfId="77" priority="7502" stopIfTrue="1">
      <formula>AND(COUNTIF($E$452:$E$65539, C174)+COUNTIF($E$425:$E$426, C174)+COUNTIF($E$404:$E$404, C174)+COUNTIF($E$389:$E$390, C174)+COUNTIF($E$1:$E$202, C174)+COUNTIF(#REF!, C174)+COUNTIF($E$364:$E$364, C174)+COUNTIF($E$353:$E$354, C174)+COUNTIF(#REF!, C174)+COUNTIF($E$334:$E$335, C174)+COUNTIF(#REF!, C174)+COUNTIF($E$319:$E$321, C174)+COUNTIF($E$204:$E$205, C174)&gt;1,NOT(ISBLANK(C174)))</formula>
    </cfRule>
  </conditionalFormatting>
  <conditionalFormatting sqref="C174:C187 C189:C190 C193:C196 C198:C200 C203:C205 C208:C209">
    <cfRule type="expression" dxfId="76" priority="7504" stopIfTrue="1">
      <formula>AND(COUNTIF($D$371:$D$65539, C174)+COUNTIF($D$101:$D$102, C174)+COUNTIF($D$1:$D$100, C174)+COUNTIF($D$348:$D$349, C174)+COUNTIF($D$321:$D$322, C174)+COUNTIF(#REF!, C174)+COUNTIF(#REF!, C174)+COUNTIF($D$201:$D$201, C174)+COUNTIF($D$192:$D$193, C174)+COUNTIF($D$173:$D$174, C174)+COUNTIF($D$159:$D$161, C174)&gt;1,NOT(ISBLANK(C174)))</formula>
    </cfRule>
    <cfRule type="expression" dxfId="75" priority="7505" stopIfTrue="1">
      <formula>AND(COUNTIF($D$371:$D$65539, C174)+COUNTIF($D$348:$D$349, C174)+COUNTIF($D$321:$D$322, C174)+COUNTIF(#REF!, C174)+COUNTIF(#REF!, C174)+COUNTIF($D$1:$D$100, C174)+COUNTIF(#REF!, C174)+COUNTIF($D$201:$D$201, C174)+COUNTIF($D$192:$D$193, C174)+COUNTIF(#REF!, C174)+COUNTIF($D$173:$D$174, C174)+COUNTIF($D$152:$D$152, C174)+COUNTIF($D$154:$D$161, C174)+COUNTIF($D$101:$D$102, C174)&gt;1,NOT(ISBLANK(C174)))</formula>
    </cfRule>
    <cfRule type="expression" dxfId="74" priority="7506" stopIfTrue="1">
      <formula>AND(COUNTIF($D$348:$D$65539, C174)+COUNTIF($D$321:$D$322, C174)+COUNTIF(#REF!, C174)+COUNTIF(#REF!, C174)+COUNTIF($D$1:$D$100, C174)+COUNTIF(#REF!, C174)+COUNTIF($D$201:$D$201, C174)+COUNTIF($D$192:$D$193, C174)+COUNTIF(#REF!, C174)+COUNTIF($D$173:$D$174, C174)+COUNTIF($D$152:$D$152, C174)+COUNTIF($D$154:$D$161, C174)+COUNTIF($D$101:$D$102, C174)&gt;1,NOT(ISBLANK(C174)))</formula>
    </cfRule>
    <cfRule type="expression" dxfId="73" priority="7507" stopIfTrue="1">
      <formula>AND(COUNTIF($D$488:$D$65539, C174)+COUNTIF($D$1:$D$100, C174)+COUNTIF($D$101:$D$102, C174)+COUNTIF($D$471:$D$472, C174)+COUNTIF($D$451:$D$452, C174)+COUNTIF($D$413:$D$414, C174)+COUNTIF($D$371:$D$374, C174)+COUNTIF($D$348:$D$349, C174)+COUNTIF($D$321:$D$322, C174)+COUNTIF(#REF!, C174)+COUNTIF(#REF!, C174)+COUNTIF($D$201:$D$201, C174)+COUNTIF($D$192:$D$193, C174)+COUNTIF($D$173:$D$174, C174)+COUNTIF($D$159:$D$161, C174)&gt;1,NOT(ISBLANK(C174)))</formula>
    </cfRule>
    <cfRule type="expression" dxfId="72" priority="7539" stopIfTrue="1">
      <formula>AND(COUNTIF($D$451:$D$65539, C174)+COUNTIF($D$1:$D$100, C174)+COUNTIF($D$413:$D$414, C174)+COUNTIF($D$101:$D$102, C174)+COUNTIF($D$371:$D$374, C174)+COUNTIF($D$348:$D$349, C174)+COUNTIF($D$321:$D$322, C174)+COUNTIF(#REF!, C174)+COUNTIF(#REF!, C174)+COUNTIF($D$201:$D$201, C174)+COUNTIF($D$192:$D$193, C174)+COUNTIF($D$173:$D$174, C174)+COUNTIF($D$159:$D$161, C174)&gt;1,NOT(ISBLANK(C174)))</formula>
    </cfRule>
    <cfRule type="expression" dxfId="71" priority="7508" stopIfTrue="1">
      <formula>AND(COUNTIF($D$471:$D$65539, C174)+COUNTIF($D$101:$D$102, C174)+COUNTIF($D$1:$D$100, C174)+COUNTIF($D$451:$D$452, C174)+COUNTIF($D$413:$D$414, C174)+COUNTIF($D$371:$D$374, C174)+COUNTIF($D$348:$D$349, C174)+COUNTIF($D$321:$D$322, C174)+COUNTIF(#REF!, C174)+COUNTIF(#REF!, C174)+COUNTIF($D$201:$D$201, C174)+COUNTIF($D$192:$D$193, C174)+COUNTIF($D$173:$D$174, C174)+COUNTIF($D$159:$D$161, C174)&gt;1,NOT(ISBLANK(C174)))</formula>
    </cfRule>
  </conditionalFormatting>
  <conditionalFormatting sqref="C174:C187 C193:C196 C198:C200 C189:C190 C203:C205 C208:C209">
    <cfRule type="expression" dxfId="70" priority="7503" stopIfTrue="1">
      <formula>AND(COUNTIF($D$413:$D$65539, C174)+COUNTIF($D$1:$D$100, C174)+COUNTIF($D$101:$D$102, C174)+COUNTIF($D$371:$D$374, C174)+COUNTIF($D$348:$D$349, C174)+COUNTIF($D$321:$D$322, C174)+COUNTIF(#REF!, C174)+COUNTIF(#REF!, C174)+COUNTIF($D$201:$D$201, C174)+COUNTIF($D$192:$D$193, C174)+COUNTIF($D$173:$D$174, C174)+COUNTIF($D$159:$D$161, C174)&gt;1,NOT(ISBLANK(C174)))</formula>
    </cfRule>
  </conditionalFormatting>
  <conditionalFormatting sqref="C175:C187 C189:C190 C193 C196:C199 C201:C202">
    <cfRule type="expression" dxfId="69" priority="7548" stopIfTrue="1">
      <formula>AND(COUNTIF($D$369:$D$65539, C175)+COUNTIF($D$346:$D$347, C175)+COUNTIF($D$319:$D$319, C175)+COUNTIF(#REF!, C175)+COUNTIF(#REF!, C175)+COUNTIF($D$1:$D$98, C175)+COUNTIF(#REF!, C175)+COUNTIF($D$200:$D$200, C175)+COUNTIF($D$190:$D$191, C175)+COUNTIF(#REF!, C175)+COUNTIF($D$171:$D$172, C175)+COUNTIF($D$150:$D$150, C175)+COUNTIF($D$152:$D$159, C175)+COUNTIF($D$99:$D$100, C175)&gt;1,NOT(ISBLANK(C175)))</formula>
    </cfRule>
    <cfRule type="expression" dxfId="68" priority="7547" stopIfTrue="1">
      <formula>AND(COUNTIF($D$369:$D$65539, C175)+COUNTIF($D$99:$D$100, C175)+COUNTIF($D$1:$D$98,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67" priority="7546" stopIfTrue="1">
      <formula>AND(COUNTIF($D$411:$D$65539, C175)+COUNTIF($D$1:$D$98, C175)+COUNTIF($D$99:$D$100, C175)+COUNTIF($D$369:$D$372,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66" priority="7545" stopIfTrue="1">
      <formula>AND(COUNTIF($D$449:$D$65539, C175)+COUNTIF($D$1:$D$98, C175)+COUNTIF($D$411:$D$412, C175)+COUNTIF($D$99:$D$100, C175)+COUNTIF($D$369:$D$372,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65" priority="7550" stopIfTrue="1">
      <formula>AND(COUNTIF($D$469:$D$65539, C175)+COUNTIF($D$99:$D$100, C175)+COUNTIF($D$1:$D$98, C175)+COUNTIF($D$449:$D$450, C175)+COUNTIF($D$411:$D$412, C175)+COUNTIF($D$369:$D$372,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64" priority="7551" stopIfTrue="1">
      <formula>AND(COUNTIF($D$486:$D$65539, C175)+COUNTIF($D$1:$D$98, C175)+COUNTIF($D$99:$D$100, C175)+COUNTIF($D$469:$D$470, C175)+COUNTIF($D$449:$D$450, C175)+COUNTIF($D$411:$D$412, C175)+COUNTIF($D$369:$D$372,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63" priority="7549" stopIfTrue="1">
      <formula>AND(COUNTIF($D$346:$D$65539, C175)+COUNTIF($D$319:$D$319, C175)+COUNTIF(#REF!, C175)+COUNTIF(#REF!, C175)+COUNTIF($D$1:$D$98, C175)+COUNTIF(#REF!, C175)+COUNTIF($D$200:$D$200, C175)+COUNTIF($D$190:$D$191, C175)+COUNTIF(#REF!, C175)+COUNTIF($D$171:$D$172, C175)+COUNTIF($D$150:$D$150, C175)+COUNTIF($D$152:$D$159, C175)+COUNTIF($D$99:$D$100, C175)&gt;1,NOT(ISBLANK(C175)))</formula>
    </cfRule>
  </conditionalFormatting>
  <conditionalFormatting sqref="C188">
    <cfRule type="expression" dxfId="62" priority="7581" stopIfTrue="1">
      <formula>AND(COUNTIF($D$482:$D$65539, C188)+COUNTIF($D$1:$D$131, C188)+COUNTIF($D$444:$D$445, C188)+COUNTIF($D$132:$D$133, C188)+COUNTIF($D$402:$D$405, C188)+COUNTIF($D$379:$D$380, C188)+COUNTIF($D$352:$D$353, C188)+COUNTIF($D$331:$D$331, C188)+COUNTIF(#REF!, C188)+COUNTIF(#REF!, C188)+COUNTIF($D$318:$D$318, C188)+COUNTIF($D$204:$D$205, C188)+COUNTIF($D$189:$D$191, C188)&gt;1,NOT(ISBLANK(C188)))</formula>
    </cfRule>
    <cfRule type="expression" dxfId="61" priority="7582" stopIfTrue="1">
      <formula>AND(COUNTIF($D$444:$D$65539, C188)+COUNTIF($D$1:$D$131, C188)+COUNTIF($D$132:$D$133, C188)+COUNTIF($D$402:$D$405, C188)+COUNTIF($D$379:$D$380, C188)+COUNTIF($D$352:$D$353, C188)+COUNTIF($D$331:$D$331, C188)+COUNTIF(#REF!, C188)+COUNTIF(#REF!, C188)+COUNTIF($D$318:$D$318, C188)+COUNTIF($D$204:$D$205, C188)+COUNTIF($D$189:$D$191, C188)&gt;1,NOT(ISBLANK(C188)))</formula>
    </cfRule>
    <cfRule type="expression" dxfId="60" priority="7583" stopIfTrue="1">
      <formula>AND(COUNTIF($D$402:$D$65539, C188)+COUNTIF($D$132:$D$133, C188)+COUNTIF($D$1:$D$131, C188)+COUNTIF($D$379:$D$380, C188)+COUNTIF($D$352:$D$353, C188)+COUNTIF($D$331:$D$331, C188)+COUNTIF(#REF!, C188)+COUNTIF(#REF!, C188)+COUNTIF($D$318:$D$318, C188)+COUNTIF($D$204:$D$205, C188)+COUNTIF($D$189:$D$191, C188)&gt;1,NOT(ISBLANK(C188)))</formula>
    </cfRule>
    <cfRule type="expression" dxfId="59" priority="7584" stopIfTrue="1">
      <formula>AND(COUNTIF($D$402:$D$65539, C188)+COUNTIF($D$379:$D$380, C188)+COUNTIF($D$352:$D$353, C188)+COUNTIF($D$331:$D$331, C188)+COUNTIF(#REF!, C188)+COUNTIF($D$1:$D$131, C188)+COUNTIF(#REF!, C188)+COUNTIF(#REF!, C188)+COUNTIF($D$318:$D$318, C188)+COUNTIF(#REF!, C188)+COUNTIF($D$204:$D$205, C188)+COUNTIF($D$182:$D$182, C188)+COUNTIF($D$184:$D$191, C188)+COUNTIF($D$132:$D$133, C188)&gt;1,NOT(ISBLANK(C188)))</formula>
    </cfRule>
    <cfRule type="expression" dxfId="58" priority="7585" stopIfTrue="1">
      <formula>AND(COUNTIF($D$379:$D$65539, C188)+COUNTIF($D$352:$D$353, C188)+COUNTIF($D$331:$D$331, C188)+COUNTIF(#REF!, C188)+COUNTIF($D$1:$D$131, C188)+COUNTIF(#REF!, C188)+COUNTIF(#REF!, C188)+COUNTIF($D$318:$D$318, C188)+COUNTIF(#REF!, C188)+COUNTIF($D$204:$D$205, C188)+COUNTIF($D$182:$D$182, C188)+COUNTIF($D$184:$D$191, C188)+COUNTIF($D$132:$D$133, C188)&gt;1,NOT(ISBLANK(C188)))</formula>
    </cfRule>
    <cfRule type="expression" dxfId="57" priority="7580" stopIfTrue="1">
      <formula>AND(COUNTIF($D$502:$D$65539, C188)+COUNTIF($D$132:$D$133, C188)+COUNTIF($D$1:$D$131, C188)+COUNTIF($D$482:$D$483, C188)+COUNTIF($D$444:$D$445, C188)+COUNTIF($D$402:$D$405, C188)+COUNTIF($D$379:$D$380, C188)+COUNTIF($D$352:$D$353, C188)+COUNTIF($D$331:$D$331, C188)+COUNTIF(#REF!, C188)+COUNTIF(#REF!, C188)+COUNTIF($D$318:$D$318, C188)+COUNTIF($D$204:$D$205, C188)+COUNTIF($D$189:$D$191, C188)&gt;1,NOT(ISBLANK(C188)))</formula>
    </cfRule>
  </conditionalFormatting>
  <conditionalFormatting sqref="C206:C212 C215 C218 C222:C223 C225">
    <cfRule type="expression" dxfId="56" priority="7590" stopIfTrue="1">
      <formula>AND(COUNTIF($D$369:$D$65539, C206)+COUNTIF($D$99:$D$100, C206)+COUNTIF($D$1:$D$98,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55" priority="7591" stopIfTrue="1">
      <formula>AND(COUNTIF($D$369:$D$65539, C206)+COUNTIF($D$346:$D$347, C206)+COUNTIF($D$319:$D$319, C206)+COUNTIF(#REF!, C206)+COUNTIF(#REF!, C206)+COUNTIF($D$1:$D$98, C206)+COUNTIF(#REF!, C206)+COUNTIF($D$200:$D$200, C206)+COUNTIF($D$190:$D$191, C206)+COUNTIF(#REF!, C206)+COUNTIF($D$171:$D$172, C206)+COUNTIF($D$150:$D$150, C206)+COUNTIF($D$152:$D$159, C206)+COUNTIF($D$99:$D$100, C206)&gt;1,NOT(ISBLANK(C206)))</formula>
    </cfRule>
    <cfRule type="expression" dxfId="54" priority="7592" stopIfTrue="1">
      <formula>AND(COUNTIF($D$346:$D$65539, C206)+COUNTIF($D$319:$D$319, C206)+COUNTIF(#REF!, C206)+COUNTIF(#REF!, C206)+COUNTIF($D$1:$D$98, C206)+COUNTIF(#REF!, C206)+COUNTIF($D$200:$D$200, C206)+COUNTIF($D$190:$D$191, C206)+COUNTIF(#REF!, C206)+COUNTIF($D$171:$D$172, C206)+COUNTIF($D$150:$D$150, C206)+COUNTIF($D$152:$D$159, C206)+COUNTIF($D$99:$D$100, C206)&gt;1,NOT(ISBLANK(C206)))</formula>
    </cfRule>
    <cfRule type="expression" dxfId="53" priority="7586" stopIfTrue="1">
      <formula>AND(COUNTIF($D$486:$D$65539, C206)+COUNTIF($D$1:$D$98, C206)+COUNTIF($D$99:$D$100, C206)+COUNTIF($D$469:$D$470, C206)+COUNTIF($D$449:$D$450, C206)+COUNTIF($D$411:$D$412, C206)+COUNTIF($D$369:$D$372,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52" priority="7587" stopIfTrue="1">
      <formula>AND(COUNTIF($D$469:$D$65539, C206)+COUNTIF($D$99:$D$100, C206)+COUNTIF($D$1:$D$98, C206)+COUNTIF($D$449:$D$450, C206)+COUNTIF($D$411:$D$412, C206)+COUNTIF($D$369:$D$372,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51" priority="7588" stopIfTrue="1">
      <formula>AND(COUNTIF($D$449:$D$65539, C206)+COUNTIF($D$1:$D$98, C206)+COUNTIF($D$411:$D$412, C206)+COUNTIF($D$99:$D$100, C206)+COUNTIF($D$369:$D$372,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50" priority="7589" stopIfTrue="1">
      <formula>AND(COUNTIF($D$411:$D$65539, C206)+COUNTIF($D$1:$D$98, C206)+COUNTIF($D$99:$D$100, C206)+COUNTIF($D$369:$D$372, C206)+COUNTIF($D$346:$D$347, C206)+COUNTIF($D$319:$D$319, C206)+COUNTIF(#REF!, C206)+COUNTIF(#REF!, C206)+COUNTIF($D$200:$D$200, C206)+COUNTIF($D$190:$D$191, C206)+COUNTIF($D$171:$D$172, C206)+COUNTIF($D$157:$D$159, C206)&gt;1,NOT(ISBLANK(C206)))</formula>
    </cfRule>
  </conditionalFormatting>
  <conditionalFormatting sqref="C241:C242 C245:C246 C248 C253:C255 C258:C262 C264:C289 C297:C298 C301">
    <cfRule type="expression" dxfId="49" priority="7622" stopIfTrue="1">
      <formula>AND(COUNTIF($E$432:$E$65539, C241)+COUNTIF($E$1:$E$116, C241)+COUNTIF($E$117:$E$118, C241)+COUNTIF($E$415:$E$416, C241)+COUNTIF($E$395:$E$396, C241)+COUNTIF($E$357:$E$358, C241)+COUNTIF(#REF!,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48" priority="7623" stopIfTrue="1">
      <formula>AND(COUNTIF($E$415:$E$65539, C241)+COUNTIF($E$117:$E$118, C241)+COUNTIF($E$1:$E$116, C241)+COUNTIF($E$395:$E$396, C241)+COUNTIF($E$357:$E$358, C241)+COUNTIF(#REF!,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47" priority="7624" stopIfTrue="1">
      <formula>AND(COUNTIF($E$395:$E$65539, C241)+COUNTIF($E$1:$E$116, C241)+COUNTIF($E$357:$E$358, C241)+COUNTIF($E$117:$E$118, C241)+COUNTIF(#REF!,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46" priority="7625" stopIfTrue="1">
      <formula>AND(COUNTIF($E$357:$E$65539, C241)+COUNTIF($E$1:$E$116, C241)+COUNTIF($E$117:$E$118, C241)+COUNTIF(#REF!,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45" priority="7626" stopIfTrue="1">
      <formula>AND(COUNTIF($E$319:$E$65539, C241)+COUNTIF($E$117:$E$118, C241)+COUNTIF($E$1:$E$116,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44" priority="7627" stopIfTrue="1">
      <formula>AND(COUNTIF($E$319:$E$65539, C241)+COUNTIF(#REF!, C241)+COUNTIF(#REF!, C241)+COUNTIF(#REF!, C241)+COUNTIF($E$237:$E$237, C241)+COUNTIF($E$1:$E$116, C241)+COUNTIF(#REF!, C241)+COUNTIF($E$222:$E$222, C241)+COUNTIF($E$208:$E$209, C241)+COUNTIF(#REF!, C241)+COUNTIF($E$189:$E$190, C241)+COUNTIF($E$167:$E$167, C241)+COUNTIF($E$169:$E$176, C241)+COUNTIF($E$117:$E$118, C241)&gt;1,NOT(ISBLANK(C241)))</formula>
    </cfRule>
    <cfRule type="expression" dxfId="43" priority="7621" stopIfTrue="1">
      <formula>AND(COUNTIF($E$319:$E$65539, C241)+COUNTIF(#REF!, C241)+COUNTIF(#REF!, C241)+COUNTIF($E$237:$E$237, C241)+COUNTIF($E$1:$E$116, C241)+COUNTIF(#REF!, C241)+COUNTIF($E$222:$E$222, C241)+COUNTIF($E$208:$E$209, C241)+COUNTIF(#REF!, C241)+COUNTIF($E$189:$E$190, C241)+COUNTIF($E$167:$E$167, C241)+COUNTIF($E$169:$E$176, C241)+COUNTIF($E$117:$E$118, C241)&gt;1,NOT(ISBLANK(C241)))</formula>
    </cfRule>
  </conditionalFormatting>
  <conditionalFormatting sqref="C299:C300 C302:C304 C306:C316">
    <cfRule type="expression" dxfId="42" priority="7681" stopIfTrue="1">
      <formula>AND(COUNTIF($F$405:$F$65539, C299)+COUNTIF($F$206:$F$207, C299)+COUNTIF($F$1:$F$204,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41" priority="7682" stopIfTrue="1">
      <formula>AND(COUNTIF($F$405:$F$65539, C299)+COUNTIF($F$382:$F$383, C299)+COUNTIF($F$355:$F$356, C299)+COUNTIF($F$334:$F$334, C299)+COUNTIF($F$319:$F$319, C299)+COUNTIF($F$1:$F$204, C299)+COUNTIF(#REF!, C299)+COUNTIF(#REF!, C299)+COUNTIF(#REF!, C299)+COUNTIF(#REF!, C299)+COUNTIF(#REF!, C299)+COUNTIF($F$290:$F$290, C299)+COUNTIF($F$298:$F$312, C299)+COUNTIF($F$206:$F$207, C299)&gt;1,NOT(ISBLANK(C299)))</formula>
    </cfRule>
    <cfRule type="expression" dxfId="40" priority="7683" stopIfTrue="1">
      <formula>AND(COUNTIF($F$382:$F$65539, C299)+COUNTIF($F$355:$F$356, C299)+COUNTIF($F$334:$F$334, C299)+COUNTIF($F$319:$F$319, C299)+COUNTIF($F$1:$F$204, C299)+COUNTIF(#REF!, C299)+COUNTIF(#REF!, C299)+COUNTIF(#REF!, C299)+COUNTIF(#REF!, C299)+COUNTIF(#REF!, C299)+COUNTIF($F$290:$F$290, C299)+COUNTIF($F$298:$F$312, C299)+COUNTIF($F$206:$F$207, C299)&gt;1,NOT(ISBLANK(C299)))</formula>
    </cfRule>
    <cfRule type="expression" dxfId="39" priority="7679" stopIfTrue="1">
      <formula>AND(COUNTIF($F$485:$F$65539, C299)+COUNTIF($F$1:$F$204, C299)+COUNTIF($F$447:$F$448, C299)+COUNTIF($F$206:$F$207, C299)+COUNTIF($F$405:$F$408,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38" priority="7677" stopIfTrue="1">
      <formula>AND(COUNTIF($F$522:$F$65539, C299)+COUNTIF($F$1:$F$204, C299)+COUNTIF($F$206:$F$207, C299)+COUNTIF($F$505:$F$506, C299)+COUNTIF($F$485:$F$486, C299)+COUNTIF($F$447:$F$448, C299)+COUNTIF($F$405:$F$408,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37" priority="7678" stopIfTrue="1">
      <formula>AND(COUNTIF($F$505:$F$65539, C299)+COUNTIF($F$206:$F$207, C299)+COUNTIF($F$1:$F$204, C299)+COUNTIF($F$485:$F$486, C299)+COUNTIF($F$447:$F$448, C299)+COUNTIF($F$405:$F$408,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36" priority="7680" stopIfTrue="1">
      <formula>AND(COUNTIF($F$447:$F$65539, C299)+COUNTIF($F$1:$F$204, C299)+COUNTIF($F$206:$F$207, C299)+COUNTIF($F$405:$F$408, C299)+COUNTIF($F$382:$F$383, C299)+COUNTIF($F$355:$F$356, C299)+COUNTIF($F$334:$F$334, C299)+COUNTIF($F$319:$F$319, C299)+COUNTIF(#REF!, C299)+COUNTIF(#REF!, C299)+COUNTIF(#REF!, C299)+COUNTIF($F$306:$F$307, C299)&gt;1,NOT(ISBLANK(C299)))</formula>
    </cfRule>
  </conditionalFormatting>
  <conditionalFormatting sqref="C305">
    <cfRule type="expression" dxfId="35" priority="7698" stopIfTrue="1">
      <formula>AND(COUNTIF($F$541:$F$65539, C305)+COUNTIF($F$1:$F$227, C305)+COUNTIF($F$232:$F$232, C305)+COUNTIF($F$524:$F$525, C305)+COUNTIF($F$504:$F$505, C305)+COUNTIF($F$466:$F$467, C305)+COUNTIF($F$424:$F$427,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34" priority="7699" stopIfTrue="1">
      <formula>AND(COUNTIF($F$524:$F$65539, C305)+COUNTIF($F$232:$F$232, C305)+COUNTIF($F$1:$F$227, C305)+COUNTIF($F$504:$F$505, C305)+COUNTIF($F$466:$F$467, C305)+COUNTIF($F$424:$F$427,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33" priority="7700" stopIfTrue="1">
      <formula>AND(COUNTIF($F$504:$F$65539, C305)+COUNTIF($F$1:$F$227, C305)+COUNTIF($F$466:$F$467, C305)+COUNTIF($F$232:$F$232, C305)+COUNTIF($F$424:$F$427,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32" priority="7702" stopIfTrue="1">
      <formula>AND(COUNTIF($F$424:$F$65539, C305)+COUNTIF($F$232:$F$232, C305)+COUNTIF($F$1:$F$227,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31" priority="7703" stopIfTrue="1">
      <formula>AND(COUNTIF($F$424:$F$65539, C305)+COUNTIF($F$401:$F$402, C305)+COUNTIF($F$374:$F$375, C305)+COUNTIF($F$353:$F$353, C305)+COUNTIF($F$338:$F$339, C305)+COUNTIF($F$1:$F$227, C305)+COUNTIF(#REF!, C305)+COUNTIF(#REF!, C305)+COUNTIF(#REF!, C305)+COUNTIF(#REF!, C305)+COUNTIF(#REF!, C305)+COUNTIF(#REF!, C305)+COUNTIF($F$314:$F$315, C305)+COUNTIF($F$232:$F$232, C305)&gt;1,NOT(ISBLANK(C305)))</formula>
    </cfRule>
    <cfRule type="expression" dxfId="30" priority="7704" stopIfTrue="1">
      <formula>AND(COUNTIF($F$401:$F$65539, C305)+COUNTIF($F$374:$F$375, C305)+COUNTIF($F$353:$F$353, C305)+COUNTIF($F$338:$F$339, C305)+COUNTIF($F$1:$F$227, C305)+COUNTIF(#REF!, C305)+COUNTIF(#REF!, C305)+COUNTIF(#REF!, C305)+COUNTIF(#REF!, C305)+COUNTIF(#REF!, C305)+COUNTIF(#REF!, C305)+COUNTIF($F$314:$F$315, C305)+COUNTIF($F$232:$F$232, C305)&gt;1,NOT(ISBLANK(C305)))</formula>
    </cfRule>
    <cfRule type="expression" dxfId="29" priority="7701" stopIfTrue="1">
      <formula>AND(COUNTIF($F$466:$F$65539, C305)+COUNTIF($F$1:$F$227, C305)+COUNTIF($F$232:$F$232, C305)+COUNTIF($F$424:$F$427, C305)+COUNTIF($F$401:$F$402, C305)+COUNTIF($F$374:$F$375, C305)+COUNTIF($F$353:$F$353, C305)+COUNTIF($F$338:$F$339, C305)+COUNTIF(#REF!, C305)+COUNTIF(#REF!, C305)+COUNTIF(#REF!, C305)+COUNTIF($F$315:$F$315, C305)&gt;1,NOT(ISBLANK(C305)))</formula>
    </cfRule>
  </conditionalFormatting>
  <conditionalFormatting sqref="C3:K4">
    <cfRule type="cellIs" dxfId="28" priority="93" stopIfTrue="1" operator="greaterThan">
      <formula>600</formula>
    </cfRule>
  </conditionalFormatting>
  <conditionalFormatting sqref="D6">
    <cfRule type="cellIs" dxfId="27" priority="94" stopIfTrue="1" operator="greaterThan">
      <formula>600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0A0DB-FA02-4FE4-912F-6B9F3378ABBA}">
  <dimension ref="A1:BD367"/>
  <sheetViews>
    <sheetView topLeftCell="A9" zoomScale="80" zoomScaleNormal="80" workbookViewId="0">
      <selection activeCell="AP13" sqref="AP13:AR13"/>
    </sheetView>
  </sheetViews>
  <sheetFormatPr defaultRowHeight="14.5"/>
  <cols>
    <col min="1" max="48" width="3.7265625" customWidth="1"/>
    <col min="49" max="49" width="11.54296875" customWidth="1"/>
    <col min="50" max="115" width="3.7265625" customWidth="1"/>
  </cols>
  <sheetData>
    <row r="1" spans="1:46" ht="23.5">
      <c r="A1" s="677" t="s">
        <v>778</v>
      </c>
      <c r="B1" s="678"/>
      <c r="C1" s="678"/>
      <c r="D1" s="678"/>
      <c r="E1" s="678"/>
      <c r="F1" s="678"/>
      <c r="G1" s="678"/>
      <c r="H1" s="678"/>
      <c r="I1" s="678"/>
      <c r="J1" s="678"/>
      <c r="K1" s="678"/>
      <c r="L1" s="678"/>
      <c r="M1" s="678"/>
      <c r="N1" s="678"/>
      <c r="O1" s="678"/>
      <c r="P1" s="678"/>
      <c r="Q1" s="678"/>
      <c r="R1" s="678"/>
      <c r="S1" s="678"/>
      <c r="T1" s="678"/>
      <c r="U1" s="678"/>
      <c r="V1" s="678"/>
      <c r="W1" s="678"/>
      <c r="X1" s="678"/>
      <c r="Y1" s="678"/>
      <c r="Z1" s="678"/>
      <c r="AA1" s="678"/>
      <c r="AB1" s="678"/>
      <c r="AC1" s="678"/>
      <c r="AD1" s="678"/>
      <c r="AE1" s="678"/>
      <c r="AF1" s="678"/>
      <c r="AG1" s="678"/>
      <c r="AH1" s="678"/>
      <c r="AI1" s="678"/>
      <c r="AJ1" s="678"/>
      <c r="AK1" s="678"/>
      <c r="AL1" s="678"/>
      <c r="AM1" s="678"/>
      <c r="AN1" s="678"/>
      <c r="AO1" s="678"/>
      <c r="AP1" s="678"/>
      <c r="AQ1" s="678"/>
      <c r="AR1" s="678"/>
      <c r="AS1" s="678"/>
      <c r="AT1" s="679"/>
    </row>
    <row r="2" spans="1:46">
      <c r="A2" s="282"/>
      <c r="AT2" s="283"/>
    </row>
    <row r="3" spans="1:46" ht="15.5">
      <c r="A3" s="284"/>
      <c r="B3" s="285"/>
      <c r="C3" s="285"/>
      <c r="D3" s="285"/>
      <c r="E3" s="285"/>
      <c r="F3" s="285"/>
      <c r="G3" s="285"/>
      <c r="I3" s="286" t="s">
        <v>779</v>
      </c>
      <c r="J3" s="285"/>
      <c r="K3" s="285"/>
      <c r="L3" s="287"/>
      <c r="AM3" s="680" t="s">
        <v>780</v>
      </c>
      <c r="AN3" s="680"/>
      <c r="AO3" s="681">
        <f ca="1">TODAY()</f>
        <v>45972</v>
      </c>
      <c r="AP3" s="682"/>
      <c r="AQ3" s="682"/>
      <c r="AR3" s="682"/>
      <c r="AS3" s="682"/>
      <c r="AT3" s="683"/>
    </row>
    <row r="4" spans="1:46" ht="15.5">
      <c r="A4" s="282"/>
      <c r="G4" s="287"/>
      <c r="I4" s="288"/>
      <c r="J4" s="288"/>
      <c r="K4" s="289"/>
      <c r="M4" s="287"/>
      <c r="AT4" s="283"/>
    </row>
    <row r="5" spans="1:46" ht="15.5">
      <c r="A5" s="284"/>
      <c r="B5" s="288"/>
      <c r="C5" s="288"/>
      <c r="D5" s="289"/>
      <c r="E5" s="290"/>
      <c r="F5" s="290"/>
      <c r="G5" s="290"/>
      <c r="H5" s="290"/>
      <c r="I5" s="290"/>
      <c r="J5" s="285"/>
      <c r="K5" s="285"/>
      <c r="L5" s="285"/>
      <c r="AT5" s="283"/>
    </row>
    <row r="6" spans="1:46" ht="16" thickBot="1">
      <c r="A6" s="284"/>
      <c r="B6" s="288"/>
      <c r="C6" s="288"/>
      <c r="D6" s="291"/>
      <c r="E6" s="290"/>
      <c r="F6" s="290"/>
      <c r="G6" s="290"/>
      <c r="H6" s="290"/>
      <c r="I6" s="290"/>
      <c r="AT6" s="283"/>
    </row>
    <row r="7" spans="1:46" ht="15.75" customHeight="1" thickBot="1">
      <c r="A7" s="282"/>
      <c r="L7" s="684" t="s">
        <v>781</v>
      </c>
      <c r="M7" s="685"/>
      <c r="N7" s="685"/>
      <c r="O7" s="686"/>
      <c r="R7" t="s">
        <v>199</v>
      </c>
      <c r="AA7" s="687" t="s">
        <v>782</v>
      </c>
      <c r="AB7" s="688"/>
      <c r="AC7" s="688"/>
      <c r="AD7" s="688"/>
      <c r="AE7" s="688"/>
      <c r="AF7" s="689"/>
      <c r="AG7" s="696" t="s">
        <v>783</v>
      </c>
      <c r="AH7" s="697"/>
      <c r="AI7" s="698"/>
      <c r="AJ7" s="705" t="s">
        <v>784</v>
      </c>
      <c r="AK7" s="697"/>
      <c r="AL7" s="706"/>
      <c r="AM7" s="696" t="s">
        <v>785</v>
      </c>
      <c r="AN7" s="697"/>
      <c r="AO7" s="706"/>
      <c r="AP7" s="705" t="s">
        <v>786</v>
      </c>
      <c r="AQ7" s="697"/>
      <c r="AR7" s="706"/>
      <c r="AT7" s="283"/>
    </row>
    <row r="8" spans="1:46" ht="15" customHeight="1">
      <c r="A8" s="282"/>
      <c r="E8" t="s">
        <v>787</v>
      </c>
      <c r="S8" t="s">
        <v>59</v>
      </c>
      <c r="AA8" s="690"/>
      <c r="AB8" s="691"/>
      <c r="AC8" s="691"/>
      <c r="AD8" s="691"/>
      <c r="AE8" s="691"/>
      <c r="AF8" s="692"/>
      <c r="AG8" s="699"/>
      <c r="AH8" s="700"/>
      <c r="AI8" s="701"/>
      <c r="AJ8" s="707"/>
      <c r="AK8" s="700"/>
      <c r="AL8" s="708"/>
      <c r="AM8" s="699"/>
      <c r="AN8" s="700"/>
      <c r="AO8" s="708"/>
      <c r="AP8" s="707"/>
      <c r="AQ8" s="700"/>
      <c r="AR8" s="708"/>
      <c r="AT8" s="283"/>
    </row>
    <row r="9" spans="1:46" ht="15" thickBot="1">
      <c r="A9" s="282"/>
      <c r="L9" s="292"/>
      <c r="M9" s="293"/>
      <c r="N9" s="293"/>
      <c r="O9" s="711"/>
      <c r="P9" s="712"/>
      <c r="AA9" s="693"/>
      <c r="AB9" s="694"/>
      <c r="AC9" s="694"/>
      <c r="AD9" s="694"/>
      <c r="AE9" s="694"/>
      <c r="AF9" s="695"/>
      <c r="AG9" s="702"/>
      <c r="AH9" s="703"/>
      <c r="AI9" s="704"/>
      <c r="AJ9" s="709"/>
      <c r="AK9" s="703"/>
      <c r="AL9" s="710"/>
      <c r="AM9" s="702"/>
      <c r="AN9" s="703"/>
      <c r="AO9" s="710"/>
      <c r="AP9" s="709"/>
      <c r="AQ9" s="703"/>
      <c r="AR9" s="710"/>
      <c r="AT9" s="283"/>
    </row>
    <row r="10" spans="1:46" ht="15" customHeight="1">
      <c r="A10" s="282"/>
      <c r="C10" t="s">
        <v>788</v>
      </c>
      <c r="U10" t="s">
        <v>789</v>
      </c>
      <c r="AA10" s="716" t="s">
        <v>62</v>
      </c>
      <c r="AB10" s="717"/>
      <c r="AC10" s="717"/>
      <c r="AD10" s="717"/>
      <c r="AE10" s="717"/>
      <c r="AF10" s="718"/>
      <c r="AG10" s="719">
        <v>302</v>
      </c>
      <c r="AH10" s="643"/>
      <c r="AI10" s="720"/>
      <c r="AJ10" s="721">
        <f>[14]Progress!J2</f>
        <v>302</v>
      </c>
      <c r="AK10" s="722"/>
      <c r="AL10" s="723"/>
      <c r="AM10" s="724">
        <f>[14]Progress!K2</f>
        <v>0</v>
      </c>
      <c r="AN10" s="725"/>
      <c r="AO10" s="726"/>
      <c r="AP10" s="642">
        <f t="shared" ref="AP10:AP15" si="0">AG10-AJ10</f>
        <v>0</v>
      </c>
      <c r="AQ10" s="643"/>
      <c r="AR10" s="644"/>
      <c r="AT10" s="283"/>
    </row>
    <row r="11" spans="1:46" ht="18" customHeight="1">
      <c r="A11" s="282"/>
      <c r="N11" t="s">
        <v>67</v>
      </c>
      <c r="S11" t="s">
        <v>788</v>
      </c>
      <c r="AA11" s="665" t="s">
        <v>63</v>
      </c>
      <c r="AB11" s="666"/>
      <c r="AC11" s="666"/>
      <c r="AD11" s="666"/>
      <c r="AE11" s="666"/>
      <c r="AF11" s="667"/>
      <c r="AG11" s="588">
        <v>302</v>
      </c>
      <c r="AH11" s="606"/>
      <c r="AI11" s="586"/>
      <c r="AJ11" s="713">
        <f>[14]Progress!L2</f>
        <v>302</v>
      </c>
      <c r="AK11" s="714"/>
      <c r="AL11" s="715"/>
      <c r="AM11" s="674"/>
      <c r="AN11" s="675"/>
      <c r="AO11" s="676"/>
      <c r="AP11" s="642">
        <f t="shared" si="0"/>
        <v>0</v>
      </c>
      <c r="AQ11" s="643"/>
      <c r="AR11" s="644"/>
      <c r="AT11" s="283"/>
    </row>
    <row r="12" spans="1:46" ht="15" customHeight="1">
      <c r="A12" s="282"/>
      <c r="C12" t="s">
        <v>790</v>
      </c>
      <c r="I12" s="600"/>
      <c r="J12" s="614"/>
      <c r="K12" s="296" t="s">
        <v>791</v>
      </c>
      <c r="L12" s="296" t="s">
        <v>792</v>
      </c>
      <c r="M12" s="613" t="s">
        <v>793</v>
      </c>
      <c r="N12" s="614"/>
      <c r="O12" s="294" t="s">
        <v>791</v>
      </c>
      <c r="P12" s="294" t="s">
        <v>792</v>
      </c>
      <c r="Q12" s="613"/>
      <c r="R12" s="600"/>
      <c r="AA12" s="665" t="s">
        <v>64</v>
      </c>
      <c r="AB12" s="666"/>
      <c r="AC12" s="666"/>
      <c r="AD12" s="666"/>
      <c r="AE12" s="666"/>
      <c r="AF12" s="667"/>
      <c r="AG12" s="588">
        <v>302</v>
      </c>
      <c r="AH12" s="606"/>
      <c r="AI12" s="586"/>
      <c r="AJ12" s="713">
        <f>[14]Progress!N2</f>
        <v>276</v>
      </c>
      <c r="AK12" s="714"/>
      <c r="AL12" s="715"/>
      <c r="AM12" s="674">
        <v>9</v>
      </c>
      <c r="AN12" s="675"/>
      <c r="AO12" s="676"/>
      <c r="AP12" s="642">
        <f t="shared" si="0"/>
        <v>26</v>
      </c>
      <c r="AQ12" s="643"/>
      <c r="AR12" s="644"/>
      <c r="AT12" s="283"/>
    </row>
    <row r="13" spans="1:46" ht="16.5" customHeight="1">
      <c r="A13" s="282"/>
      <c r="K13" s="296" t="s">
        <v>794</v>
      </c>
      <c r="L13" s="296" t="s">
        <v>795</v>
      </c>
      <c r="O13" s="294" t="s">
        <v>794</v>
      </c>
      <c r="P13" s="294" t="s">
        <v>795</v>
      </c>
      <c r="S13" t="s">
        <v>790</v>
      </c>
      <c r="AA13" s="665" t="s">
        <v>796</v>
      </c>
      <c r="AB13" s="666"/>
      <c r="AC13" s="666"/>
      <c r="AD13" s="666"/>
      <c r="AE13" s="666"/>
      <c r="AF13" s="667"/>
      <c r="AG13" s="588">
        <v>302</v>
      </c>
      <c r="AH13" s="606"/>
      <c r="AI13" s="586"/>
      <c r="AJ13" s="713">
        <f>[14]Progress!Q2</f>
        <v>168</v>
      </c>
      <c r="AK13" s="714"/>
      <c r="AL13" s="715"/>
      <c r="AM13" s="674"/>
      <c r="AN13" s="675"/>
      <c r="AO13" s="676"/>
      <c r="AP13" s="642">
        <f t="shared" si="0"/>
        <v>134</v>
      </c>
      <c r="AQ13" s="643"/>
      <c r="AR13" s="644"/>
      <c r="AT13" s="283"/>
    </row>
    <row r="14" spans="1:46" ht="15" customHeight="1">
      <c r="A14" s="282"/>
      <c r="C14" t="s">
        <v>797</v>
      </c>
      <c r="K14" s="605"/>
      <c r="L14" s="605"/>
      <c r="O14" s="606"/>
      <c r="P14" s="606"/>
      <c r="R14" s="298"/>
      <c r="S14" s="298"/>
      <c r="T14" s="298"/>
      <c r="U14" s="298"/>
      <c r="W14" t="s">
        <v>798</v>
      </c>
      <c r="AA14" s="665" t="s">
        <v>799</v>
      </c>
      <c r="AB14" s="666"/>
      <c r="AC14" s="666"/>
      <c r="AD14" s="666"/>
      <c r="AE14" s="666"/>
      <c r="AF14" s="667"/>
      <c r="AG14" s="668">
        <f>114.985</f>
        <v>114.985</v>
      </c>
      <c r="AH14" s="669"/>
      <c r="AI14" s="670"/>
      <c r="AJ14" s="671">
        <f>[14]Progress!S2</f>
        <v>64.714991000000012</v>
      </c>
      <c r="AK14" s="672"/>
      <c r="AL14" s="673"/>
      <c r="AM14" s="674">
        <v>8</v>
      </c>
      <c r="AN14" s="675"/>
      <c r="AO14" s="676"/>
      <c r="AP14" s="647">
        <f t="shared" si="0"/>
        <v>50.270008999999988</v>
      </c>
      <c r="AQ14" s="648"/>
      <c r="AR14" s="649"/>
      <c r="AT14" s="283"/>
    </row>
    <row r="15" spans="1:46" ht="17.25" customHeight="1" thickBot="1">
      <c r="A15" s="282"/>
      <c r="K15" s="602"/>
      <c r="L15" s="602"/>
      <c r="O15" s="2"/>
      <c r="P15" s="2"/>
      <c r="AA15" s="650" t="s">
        <v>223</v>
      </c>
      <c r="AB15" s="651"/>
      <c r="AC15" s="651"/>
      <c r="AD15" s="651"/>
      <c r="AE15" s="651"/>
      <c r="AF15" s="652"/>
      <c r="AG15" s="653">
        <v>114.985</v>
      </c>
      <c r="AH15" s="654"/>
      <c r="AI15" s="655"/>
      <c r="AJ15" s="656">
        <f>[14]Progress!T2</f>
        <v>54.468887000000009</v>
      </c>
      <c r="AK15" s="657"/>
      <c r="AL15" s="658"/>
      <c r="AM15" s="659"/>
      <c r="AN15" s="660"/>
      <c r="AO15" s="661"/>
      <c r="AP15" s="662">
        <f t="shared" si="0"/>
        <v>60.51611299999999</v>
      </c>
      <c r="AQ15" s="663"/>
      <c r="AR15" s="664"/>
      <c r="AT15" s="283"/>
    </row>
    <row r="16" spans="1:46">
      <c r="A16" s="282"/>
      <c r="F16" t="s">
        <v>14</v>
      </c>
      <c r="K16" s="645" t="s">
        <v>800</v>
      </c>
      <c r="L16" s="645"/>
      <c r="M16" s="645"/>
      <c r="N16" s="645"/>
      <c r="O16" s="645"/>
      <c r="P16" s="645"/>
      <c r="AT16" s="283"/>
    </row>
    <row r="17" spans="1:56">
      <c r="A17" s="282"/>
      <c r="AT17" s="283"/>
    </row>
    <row r="18" spans="1:56">
      <c r="A18" s="282"/>
      <c r="AT18" s="283"/>
    </row>
    <row r="19" spans="1:56" ht="15" customHeight="1">
      <c r="A19" s="282"/>
      <c r="C19" s="299"/>
      <c r="D19" s="299"/>
      <c r="G19" s="299"/>
      <c r="H19" s="299"/>
      <c r="I19" s="300"/>
      <c r="J19" s="299"/>
      <c r="M19" s="299"/>
      <c r="N19" s="301"/>
      <c r="O19" s="301"/>
      <c r="P19" s="299"/>
      <c r="Q19" s="299"/>
      <c r="R19" s="299"/>
      <c r="S19" s="299"/>
      <c r="T19" s="299"/>
      <c r="AT19" s="283"/>
    </row>
    <row r="20" spans="1:56" ht="15" customHeight="1">
      <c r="A20" s="282"/>
      <c r="C20" s="299"/>
      <c r="D20" s="299"/>
      <c r="G20" s="299"/>
      <c r="H20" s="299"/>
      <c r="I20" s="301"/>
      <c r="J20" s="301"/>
      <c r="M20" s="299"/>
      <c r="N20" s="301"/>
      <c r="O20" s="301"/>
      <c r="P20" s="299"/>
      <c r="Q20" s="299"/>
      <c r="R20" s="299"/>
      <c r="S20" s="299"/>
      <c r="T20" s="299"/>
      <c r="AT20" s="283"/>
    </row>
    <row r="21" spans="1:56">
      <c r="A21" s="282"/>
      <c r="C21" s="299"/>
      <c r="D21" s="299"/>
      <c r="G21" s="299"/>
      <c r="H21" s="299"/>
      <c r="I21" s="301"/>
      <c r="J21" s="301"/>
      <c r="M21" s="299"/>
      <c r="N21" s="299"/>
      <c r="O21" s="299"/>
      <c r="P21" s="299"/>
      <c r="Q21" s="299"/>
      <c r="R21" s="299"/>
      <c r="S21" s="299"/>
      <c r="T21" s="299"/>
      <c r="AT21" s="283"/>
    </row>
    <row r="22" spans="1:56" ht="15" customHeight="1">
      <c r="A22" s="282"/>
      <c r="C22" s="302" t="s">
        <v>801</v>
      </c>
      <c r="D22" s="302"/>
      <c r="G22" s="303" t="s">
        <v>802</v>
      </c>
      <c r="H22" s="299"/>
      <c r="I22" s="303"/>
      <c r="J22" s="303"/>
      <c r="M22" s="303"/>
      <c r="N22" s="304" t="s">
        <v>803</v>
      </c>
      <c r="O22" s="305"/>
      <c r="P22" s="305"/>
      <c r="Q22" s="305"/>
      <c r="R22" s="303" t="s">
        <v>804</v>
      </c>
      <c r="S22" s="303"/>
      <c r="T22" s="303"/>
      <c r="V22" t="s">
        <v>805</v>
      </c>
      <c r="AT22" s="283"/>
    </row>
    <row r="23" spans="1:56">
      <c r="A23" s="282"/>
      <c r="C23" s="586" t="s">
        <v>806</v>
      </c>
      <c r="D23" s="587"/>
      <c r="E23" s="587"/>
      <c r="F23" s="587"/>
      <c r="G23" s="587"/>
      <c r="H23" s="587"/>
      <c r="I23" s="587"/>
      <c r="J23" s="587"/>
      <c r="K23" s="587"/>
      <c r="L23" s="587"/>
      <c r="M23" s="587"/>
      <c r="N23" s="587"/>
      <c r="O23" s="587"/>
      <c r="P23" s="587"/>
      <c r="Q23" s="587"/>
      <c r="R23" s="587"/>
      <c r="S23" s="587"/>
      <c r="T23" s="587"/>
      <c r="U23" s="587"/>
      <c r="V23" s="587"/>
      <c r="W23" s="587"/>
      <c r="X23" s="587"/>
      <c r="Y23" s="587"/>
      <c r="Z23" s="588"/>
      <c r="AA23" s="586" t="s">
        <v>807</v>
      </c>
      <c r="AB23" s="587"/>
      <c r="AC23" s="587"/>
      <c r="AD23" s="587"/>
      <c r="AE23" s="587"/>
      <c r="AF23" s="587"/>
      <c r="AG23" s="587"/>
      <c r="AH23" s="587"/>
      <c r="AI23" s="587"/>
      <c r="AJ23" s="587"/>
      <c r="AK23" s="587"/>
      <c r="AL23" s="587"/>
      <c r="AM23" s="587"/>
      <c r="AN23" s="587"/>
      <c r="AO23" s="587"/>
      <c r="AP23" s="587"/>
      <c r="AQ23" s="587"/>
      <c r="AR23" s="588"/>
      <c r="AT23" s="283"/>
    </row>
    <row r="24" spans="1:56" ht="15.5">
      <c r="A24" s="282"/>
      <c r="B24" s="306"/>
      <c r="C24" s="306"/>
      <c r="D24" s="306"/>
      <c r="E24" s="306"/>
      <c r="F24" s="306"/>
      <c r="G24" s="306"/>
      <c r="H24" s="306"/>
      <c r="I24" s="306"/>
      <c r="J24" s="306"/>
      <c r="K24" s="306"/>
      <c r="L24" s="306"/>
      <c r="M24" s="306"/>
      <c r="N24" s="306"/>
      <c r="O24" s="306"/>
      <c r="P24" s="307"/>
      <c r="Q24" s="306"/>
      <c r="R24" s="306"/>
      <c r="S24" s="306"/>
      <c r="T24" s="306"/>
      <c r="U24" s="306"/>
      <c r="V24" s="306"/>
      <c r="W24" s="306"/>
      <c r="X24" s="306"/>
      <c r="Y24" s="306"/>
      <c r="Z24" s="306"/>
      <c r="AA24" s="306"/>
      <c r="AB24" s="306"/>
      <c r="AC24" s="306"/>
      <c r="AD24" s="306"/>
      <c r="AE24" s="306"/>
      <c r="AF24" s="306"/>
      <c r="AG24" s="306"/>
      <c r="AH24" s="306"/>
      <c r="AI24" s="306"/>
      <c r="AT24" s="283"/>
      <c r="AV24" s="600">
        <f>SUM(AV26:AW303)</f>
        <v>115133.98000000003</v>
      </c>
      <c r="AW24" s="600"/>
      <c r="AX24" s="308"/>
      <c r="AY24" s="646">
        <f>SUM(AY26:AZ303)</f>
        <v>301</v>
      </c>
      <c r="AZ24" s="646"/>
      <c r="BA24" s="309"/>
    </row>
    <row r="25" spans="1:56" s="7" customFormat="1">
      <c r="A25" s="310"/>
      <c r="B25" s="639" t="s">
        <v>418</v>
      </c>
      <c r="C25" s="639"/>
      <c r="F25" s="639" t="s">
        <v>618</v>
      </c>
      <c r="G25" s="639"/>
      <c r="J25" s="639" t="s">
        <v>608</v>
      </c>
      <c r="K25" s="639"/>
      <c r="N25" s="639" t="s">
        <v>614</v>
      </c>
      <c r="O25" s="639"/>
      <c r="R25" s="639" t="s">
        <v>568</v>
      </c>
      <c r="S25" s="639"/>
      <c r="V25" s="639" t="s">
        <v>58</v>
      </c>
      <c r="W25" s="639"/>
      <c r="Z25" s="639" t="s">
        <v>652</v>
      </c>
      <c r="AA25" s="639"/>
      <c r="AD25" s="641" t="s">
        <v>596</v>
      </c>
      <c r="AE25" s="641"/>
      <c r="AH25" s="640" t="s">
        <v>434</v>
      </c>
      <c r="AI25" s="640"/>
      <c r="AL25" s="640" t="s">
        <v>471</v>
      </c>
      <c r="AM25" s="640"/>
      <c r="AP25" s="640" t="s">
        <v>442</v>
      </c>
      <c r="AQ25" s="640"/>
      <c r="AT25" s="311"/>
    </row>
    <row r="26" spans="1:56">
      <c r="A26" s="282"/>
      <c r="AT26" s="283"/>
      <c r="BD26" s="7"/>
    </row>
    <row r="27" spans="1:56">
      <c r="A27" s="282"/>
      <c r="AT27" s="283"/>
    </row>
    <row r="28" spans="1:56">
      <c r="A28" s="282"/>
      <c r="B28" s="296" t="s">
        <v>791</v>
      </c>
      <c r="C28" s="296" t="s">
        <v>792</v>
      </c>
      <c r="D28" s="613">
        <f>VLOOKUP(B25,[14]Progress!$B$9:$D$310,3,FALSE)</f>
        <v>369</v>
      </c>
      <c r="E28" s="614"/>
      <c r="F28" s="296" t="s">
        <v>791</v>
      </c>
      <c r="G28" s="296" t="s">
        <v>792</v>
      </c>
      <c r="H28" s="613">
        <f>VLOOKUP(F25,[14]Progress!$B$9:$D$310,3,FALSE)</f>
        <v>367</v>
      </c>
      <c r="I28" s="614"/>
      <c r="J28" s="296" t="s">
        <v>791</v>
      </c>
      <c r="K28" s="296" t="s">
        <v>792</v>
      </c>
      <c r="L28" s="613">
        <f>VLOOKUP(J25,[14]Progress!$B$9:$D$310,3,FALSE)</f>
        <v>354</v>
      </c>
      <c r="M28" s="614"/>
      <c r="N28" s="296" t="s">
        <v>791</v>
      </c>
      <c r="O28" s="296" t="s">
        <v>792</v>
      </c>
      <c r="P28" s="613">
        <f>VLOOKUP(N25,[14]Progress!$B$9:$D$310,3,FALSE)</f>
        <v>381</v>
      </c>
      <c r="Q28" s="614"/>
      <c r="R28" s="296" t="s">
        <v>791</v>
      </c>
      <c r="S28" s="296" t="s">
        <v>792</v>
      </c>
      <c r="T28" s="613">
        <f>VLOOKUP(R25,[14]Progress!$B$9:$D$310,3,FALSE)</f>
        <v>450.56299999999999</v>
      </c>
      <c r="U28" s="614"/>
      <c r="V28" s="296" t="s">
        <v>791</v>
      </c>
      <c r="W28" s="296" t="s">
        <v>792</v>
      </c>
      <c r="X28" s="619">
        <f>VLOOKUP(V25,[14]Progress!$B$9:$D$310,3,FALSE)</f>
        <v>245.982</v>
      </c>
      <c r="Y28" s="620"/>
      <c r="Z28" s="296" t="s">
        <v>791</v>
      </c>
      <c r="AA28" s="296" t="s">
        <v>792</v>
      </c>
      <c r="AB28" s="613">
        <f>VLOOKUP(Z25,[14]Progress!$B$9:$D$310,3,FALSE)</f>
        <v>420</v>
      </c>
      <c r="AC28" s="614"/>
      <c r="AD28" s="296" t="s">
        <v>791</v>
      </c>
      <c r="AE28" s="296" t="s">
        <v>792</v>
      </c>
      <c r="AF28" s="613">
        <f>VLOOKUP(AD25,[14]Progress!$B$9:$D$310,3,FALSE)</f>
        <v>412</v>
      </c>
      <c r="AG28" s="614"/>
      <c r="AH28" s="296" t="s">
        <v>791</v>
      </c>
      <c r="AI28" s="296" t="s">
        <v>792</v>
      </c>
      <c r="AJ28" s="613">
        <f>VLOOKUP(AH25,[14]Progress!$B$9:$D$310,3,FALSE)</f>
        <v>413</v>
      </c>
      <c r="AK28" s="614"/>
      <c r="AL28" s="296" t="s">
        <v>791</v>
      </c>
      <c r="AM28" s="296" t="s">
        <v>792</v>
      </c>
      <c r="AN28" s="613">
        <f>VLOOKUP(AL25,[14]Progress!$B$9:$D$310,3,FALSE)</f>
        <v>415</v>
      </c>
      <c r="AO28" s="614"/>
      <c r="AP28" s="296" t="s">
        <v>791</v>
      </c>
      <c r="AQ28" s="296" t="s">
        <v>792</v>
      </c>
      <c r="AR28" s="613">
        <f>VLOOKUP(AP25,[14]Progress!$B$9:$D$310,3,FALSE)</f>
        <v>414</v>
      </c>
      <c r="AS28" s="600"/>
      <c r="AT28" s="283"/>
      <c r="AV28" s="600">
        <f>D28+H28+L28+P28+T28+X28+AB28+AF28+AJ28+AN28+AR28</f>
        <v>4241.5450000000001</v>
      </c>
      <c r="AW28" s="600"/>
      <c r="AY28">
        <v>11</v>
      </c>
    </row>
    <row r="29" spans="1:56">
      <c r="A29" s="282"/>
      <c r="B29" s="296" t="s">
        <v>794</v>
      </c>
      <c r="C29" s="296" t="s">
        <v>795</v>
      </c>
      <c r="F29" s="296" t="s">
        <v>794</v>
      </c>
      <c r="G29" s="296" t="s">
        <v>795</v>
      </c>
      <c r="J29" s="296" t="s">
        <v>794</v>
      </c>
      <c r="K29" s="296" t="s">
        <v>795</v>
      </c>
      <c r="N29" s="296" t="s">
        <v>794</v>
      </c>
      <c r="O29" s="296" t="s">
        <v>795</v>
      </c>
      <c r="R29" s="296" t="s">
        <v>794</v>
      </c>
      <c r="S29" s="296" t="s">
        <v>795</v>
      </c>
      <c r="V29" s="296" t="s">
        <v>794</v>
      </c>
      <c r="W29" s="296" t="s">
        <v>795</v>
      </c>
      <c r="Z29" s="296" t="s">
        <v>794</v>
      </c>
      <c r="AA29" s="296" t="s">
        <v>795</v>
      </c>
      <c r="AD29" s="296" t="s">
        <v>794</v>
      </c>
      <c r="AE29" s="296" t="s">
        <v>795</v>
      </c>
      <c r="AH29" s="296" t="s">
        <v>794</v>
      </c>
      <c r="AI29" s="296" t="s">
        <v>795</v>
      </c>
      <c r="AL29" s="296" t="s">
        <v>794</v>
      </c>
      <c r="AM29" s="296" t="s">
        <v>795</v>
      </c>
      <c r="AP29" s="296" t="s">
        <v>794</v>
      </c>
      <c r="AQ29" s="296" t="s">
        <v>795</v>
      </c>
      <c r="AT29" s="283"/>
      <c r="AV29" s="600"/>
      <c r="AW29" s="600"/>
    </row>
    <row r="30" spans="1:56" ht="10.5" customHeight="1">
      <c r="A30" s="282"/>
      <c r="B30" s="605"/>
      <c r="C30" s="605"/>
      <c r="F30" s="605"/>
      <c r="G30" s="605"/>
      <c r="J30" s="605"/>
      <c r="K30" s="605"/>
      <c r="N30" s="605"/>
      <c r="O30" s="605"/>
      <c r="R30" s="605"/>
      <c r="S30" s="605"/>
      <c r="V30" s="605"/>
      <c r="W30" s="605"/>
      <c r="Z30" s="605"/>
      <c r="AA30" s="605"/>
      <c r="AD30" s="605"/>
      <c r="AE30" s="605"/>
      <c r="AH30" s="605"/>
      <c r="AI30" s="605"/>
      <c r="AL30" s="605"/>
      <c r="AM30" s="605"/>
      <c r="AP30" s="605"/>
      <c r="AQ30" s="605"/>
      <c r="AT30" s="283"/>
      <c r="AV30" s="600"/>
      <c r="AW30" s="600"/>
    </row>
    <row r="31" spans="1:56">
      <c r="A31" s="282"/>
      <c r="B31" s="602" t="str">
        <f>VLOOKUP(+B25,'[14]Twr Schedule'!$B$9:$C$611,2,FALSE)</f>
        <v>TPT+0</v>
      </c>
      <c r="C31" s="602"/>
      <c r="F31" s="602" t="str">
        <f>VLOOKUP(+F25,'[14]Twr Schedule'!$B$9:$C$611,2,FALSE)</f>
        <v>DA-3</v>
      </c>
      <c r="G31" s="602"/>
      <c r="J31" s="602" t="str">
        <f>VLOOKUP(+J25,'[14]Twr Schedule'!$B$9:$C$611,2,FALSE)</f>
        <v>DA-3</v>
      </c>
      <c r="K31" s="602"/>
      <c r="N31" s="602" t="str">
        <f>VLOOKUP(+N25,'[14]Twr Schedule'!$B$9:$C$611,2,FALSE)</f>
        <v>DA-3</v>
      </c>
      <c r="O31" s="602"/>
      <c r="R31" s="602" t="str">
        <f>VLOOKUP(+R25,'[14]Twr Schedule'!$B$9:$C$611,2,FALSE)</f>
        <v>DA+9</v>
      </c>
      <c r="S31" s="602"/>
      <c r="V31" s="602" t="str">
        <f>VLOOKUP(+V25,'[14]Twr Schedule'!$B$9:$C$611,2,FALSE)</f>
        <v>DC1+3</v>
      </c>
      <c r="W31" s="602"/>
      <c r="Z31" s="602" t="str">
        <f>VLOOKUP(+Z25,'[14]Twr Schedule'!$B$9:$C$611,2,FALSE)</f>
        <v>DD45+3</v>
      </c>
      <c r="AA31" s="602"/>
      <c r="AD31" s="602" t="str">
        <f>VLOOKUP(+AD25,'[14]Twr Schedule'!$B$9:$C$611,2,FALSE)</f>
        <v>DA+3</v>
      </c>
      <c r="AE31" s="602"/>
      <c r="AH31" s="602" t="str">
        <f>VLOOKUP(+AH25,'[14]Twr Schedule'!$B$9:$C$611,2,FALSE)</f>
        <v>DA+0</v>
      </c>
      <c r="AI31" s="602"/>
      <c r="AL31" s="602" t="str">
        <f>VLOOKUP(+AL25,'[14]Twr Schedule'!$B$9:$C$611,2,FALSE)</f>
        <v>DA+3</v>
      </c>
      <c r="AM31" s="602"/>
      <c r="AP31" s="602" t="str">
        <f>VLOOKUP(+AP25,'[14]Twr Schedule'!$B$9:$C$611,2,FALSE)</f>
        <v>DA+0</v>
      </c>
      <c r="AQ31" s="602"/>
      <c r="AT31" s="283"/>
      <c r="AV31" s="600"/>
      <c r="AW31" s="600"/>
    </row>
    <row r="32" spans="1:56">
      <c r="A32" s="282"/>
      <c r="V32" s="306"/>
      <c r="X32" t="s">
        <v>808</v>
      </c>
      <c r="AH32" s="306"/>
      <c r="AT32" s="283"/>
      <c r="AV32" s="600"/>
      <c r="AW32" s="600"/>
    </row>
    <row r="33" spans="1:51">
      <c r="A33" s="282"/>
      <c r="B33" s="586" t="s">
        <v>807</v>
      </c>
      <c r="C33" s="587"/>
      <c r="D33" s="587"/>
      <c r="E33" s="587"/>
      <c r="F33" s="587"/>
      <c r="G33" s="587"/>
      <c r="H33" s="587"/>
      <c r="I33" s="587"/>
      <c r="J33" s="587"/>
      <c r="K33" s="587"/>
      <c r="L33" s="587"/>
      <c r="M33" s="587"/>
      <c r="N33" s="587"/>
      <c r="O33" s="587"/>
      <c r="P33" s="587"/>
      <c r="Q33" s="587"/>
      <c r="R33" s="587"/>
      <c r="S33" s="587"/>
      <c r="T33" s="587"/>
      <c r="U33" s="587"/>
      <c r="V33" s="588"/>
      <c r="W33" s="616" t="s">
        <v>809</v>
      </c>
      <c r="X33" s="617"/>
      <c r="Y33" s="617"/>
      <c r="Z33" s="617"/>
      <c r="AA33" s="617"/>
      <c r="AB33" s="617"/>
      <c r="AC33" s="617"/>
      <c r="AD33" s="617"/>
      <c r="AE33" s="617"/>
      <c r="AF33" s="617"/>
      <c r="AG33" s="617"/>
      <c r="AH33" s="617"/>
      <c r="AI33" s="617"/>
      <c r="AJ33" s="617"/>
      <c r="AK33" s="617"/>
      <c r="AL33" s="617"/>
      <c r="AM33" s="617"/>
      <c r="AN33" s="617"/>
      <c r="AO33" s="617"/>
      <c r="AP33" s="617"/>
      <c r="AQ33" s="617"/>
      <c r="AR33" s="618"/>
      <c r="AT33" s="283"/>
      <c r="AV33" s="600"/>
      <c r="AW33" s="600"/>
    </row>
    <row r="34" spans="1:51">
      <c r="A34" s="282"/>
      <c r="AT34" s="283"/>
      <c r="AV34" s="600"/>
      <c r="AW34" s="600"/>
    </row>
    <row r="35" spans="1:51" s="7" customFormat="1">
      <c r="A35" s="310"/>
      <c r="B35" s="640" t="s">
        <v>457</v>
      </c>
      <c r="C35" s="639"/>
      <c r="F35" s="640" t="s">
        <v>467</v>
      </c>
      <c r="G35" s="639"/>
      <c r="J35" s="640" t="s">
        <v>462</v>
      </c>
      <c r="K35" s="639"/>
      <c r="N35" s="640" t="s">
        <v>441</v>
      </c>
      <c r="O35" s="639"/>
      <c r="R35" s="639" t="s">
        <v>627</v>
      </c>
      <c r="S35" s="639"/>
      <c r="V35" s="640" t="s">
        <v>559</v>
      </c>
      <c r="W35" s="639"/>
      <c r="Z35" s="640" t="s">
        <v>548</v>
      </c>
      <c r="AA35" s="639"/>
      <c r="AD35" s="640" t="s">
        <v>472</v>
      </c>
      <c r="AE35" s="639"/>
      <c r="AH35" s="640" t="s">
        <v>465</v>
      </c>
      <c r="AI35" s="639"/>
      <c r="AL35" s="640" t="s">
        <v>469</v>
      </c>
      <c r="AM35" s="639"/>
      <c r="AP35" s="640" t="s">
        <v>484</v>
      </c>
      <c r="AQ35" s="639"/>
      <c r="AT35" s="311"/>
      <c r="AV35" s="600"/>
      <c r="AW35" s="600"/>
    </row>
    <row r="36" spans="1:51">
      <c r="A36" s="282"/>
      <c r="AT36" s="283"/>
      <c r="AV36" s="600"/>
      <c r="AW36" s="600"/>
    </row>
    <row r="37" spans="1:51">
      <c r="A37" s="282"/>
      <c r="AT37" s="283"/>
      <c r="AV37" s="600"/>
      <c r="AW37" s="600"/>
    </row>
    <row r="38" spans="1:51">
      <c r="A38" s="282"/>
      <c r="B38" s="296" t="s">
        <v>791</v>
      </c>
      <c r="C38" s="296" t="s">
        <v>792</v>
      </c>
      <c r="D38" s="613">
        <f>VLOOKUP(B35,[14]Progress!$B$9:$D$310,3,FALSE)</f>
        <v>410</v>
      </c>
      <c r="E38" s="614"/>
      <c r="F38" s="296" t="s">
        <v>791</v>
      </c>
      <c r="G38" s="296" t="s">
        <v>792</v>
      </c>
      <c r="H38" s="613">
        <f>VLOOKUP(F35,[14]Progress!$B$9:$D$310,3,FALSE)</f>
        <v>378</v>
      </c>
      <c r="I38" s="614"/>
      <c r="J38" s="296" t="s">
        <v>791</v>
      </c>
      <c r="K38" s="296" t="s">
        <v>792</v>
      </c>
      <c r="L38" s="613">
        <f>VLOOKUP(J35,[14]Progress!$B$9:$D$310,3,FALSE)</f>
        <v>420</v>
      </c>
      <c r="M38" s="614"/>
      <c r="N38" s="296" t="s">
        <v>791</v>
      </c>
      <c r="O38" s="296" t="s">
        <v>792</v>
      </c>
      <c r="P38" s="613">
        <f>VLOOKUP(N35,[14]Progress!$B$9:$D$310,3,FALSE)</f>
        <v>401.69499999999999</v>
      </c>
      <c r="Q38" s="614"/>
      <c r="R38" s="296" t="s">
        <v>791</v>
      </c>
      <c r="S38" s="296" t="s">
        <v>792</v>
      </c>
      <c r="T38" s="619">
        <f>VLOOKUP(R35,[14]Progress!$B$9:$D$310,3,FALSE)</f>
        <v>279.99700000000001</v>
      </c>
      <c r="U38" s="620"/>
      <c r="V38" s="296" t="s">
        <v>791</v>
      </c>
      <c r="W38" s="296" t="s">
        <v>792</v>
      </c>
      <c r="X38" s="613">
        <f>VLOOKUP(V35,[14]Progress!$B$9:$D$310,3,FALSE)</f>
        <v>383.06400000000002</v>
      </c>
      <c r="Y38" s="614"/>
      <c r="Z38" s="296" t="s">
        <v>791</v>
      </c>
      <c r="AA38" s="296" t="s">
        <v>792</v>
      </c>
      <c r="AB38" s="613">
        <f>VLOOKUP(Z35,[14]Progress!$B$9:$D$310,3,FALSE)</f>
        <v>400.00400000000002</v>
      </c>
      <c r="AC38" s="614"/>
      <c r="AD38" s="296" t="s">
        <v>791</v>
      </c>
      <c r="AE38" s="296" t="s">
        <v>792</v>
      </c>
      <c r="AF38" s="613">
        <f>VLOOKUP(AD35,[14]Progress!$B$9:$D$310,3,FALSE)</f>
        <v>397.00200000000001</v>
      </c>
      <c r="AG38" s="614"/>
      <c r="AH38" s="296" t="s">
        <v>791</v>
      </c>
      <c r="AI38" s="296" t="s">
        <v>792</v>
      </c>
      <c r="AJ38" s="613">
        <f>VLOOKUP(AH35,[14]Progress!$B$9:$D$310,3,FALSE)</f>
        <v>414</v>
      </c>
      <c r="AK38" s="614"/>
      <c r="AL38" s="296" t="s">
        <v>791</v>
      </c>
      <c r="AM38" s="296" t="s">
        <v>792</v>
      </c>
      <c r="AN38" s="613">
        <f>VLOOKUP(AL35,[14]Progress!$B$9:$D$310,3,FALSE)</f>
        <v>415</v>
      </c>
      <c r="AO38" s="614"/>
      <c r="AP38" s="296" t="s">
        <v>791</v>
      </c>
      <c r="AQ38" s="296" t="s">
        <v>792</v>
      </c>
      <c r="AR38" s="613">
        <f>VLOOKUP(AP35,[14]Progress!$B$9:$D$310,3,FALSE)</f>
        <v>411</v>
      </c>
      <c r="AS38" s="600"/>
      <c r="AT38" s="283"/>
      <c r="AV38" s="600">
        <f>D38+H38+L38+P38+T38+X38+AB38+AF38+AJ38+AN38+AR38</f>
        <v>4309.7619999999997</v>
      </c>
      <c r="AW38" s="600"/>
      <c r="AY38">
        <v>11</v>
      </c>
    </row>
    <row r="39" spans="1:51">
      <c r="A39" s="282"/>
      <c r="B39" s="296" t="s">
        <v>794</v>
      </c>
      <c r="C39" s="296" t="s">
        <v>795</v>
      </c>
      <c r="F39" s="296" t="s">
        <v>794</v>
      </c>
      <c r="G39" s="296" t="s">
        <v>795</v>
      </c>
      <c r="J39" s="296" t="s">
        <v>794</v>
      </c>
      <c r="K39" s="296" t="s">
        <v>795</v>
      </c>
      <c r="N39" s="296" t="s">
        <v>794</v>
      </c>
      <c r="O39" s="296" t="s">
        <v>795</v>
      </c>
      <c r="R39" s="296" t="s">
        <v>794</v>
      </c>
      <c r="S39" s="296" t="s">
        <v>795</v>
      </c>
      <c r="V39" s="296" t="s">
        <v>794</v>
      </c>
      <c r="W39" s="296" t="s">
        <v>795</v>
      </c>
      <c r="Z39" s="296" t="s">
        <v>794</v>
      </c>
      <c r="AA39" s="296" t="s">
        <v>795</v>
      </c>
      <c r="AD39" s="296" t="s">
        <v>794</v>
      </c>
      <c r="AE39" s="296" t="s">
        <v>795</v>
      </c>
      <c r="AH39" s="296" t="s">
        <v>794</v>
      </c>
      <c r="AI39" s="296" t="s">
        <v>795</v>
      </c>
      <c r="AL39" s="296" t="s">
        <v>794</v>
      </c>
      <c r="AM39" s="296" t="s">
        <v>795</v>
      </c>
      <c r="AP39" s="296" t="s">
        <v>794</v>
      </c>
      <c r="AQ39" s="296" t="s">
        <v>795</v>
      </c>
      <c r="AT39" s="283"/>
      <c r="AV39" s="600"/>
      <c r="AW39" s="600"/>
    </row>
    <row r="40" spans="1:51" ht="10.5" customHeight="1">
      <c r="A40" s="282"/>
      <c r="B40" s="605"/>
      <c r="C40" s="605"/>
      <c r="F40" s="605"/>
      <c r="G40" s="605"/>
      <c r="J40" s="605"/>
      <c r="K40" s="605"/>
      <c r="N40" s="605"/>
      <c r="O40" s="605"/>
      <c r="R40" s="605"/>
      <c r="S40" s="605"/>
      <c r="V40" s="605"/>
      <c r="W40" s="605"/>
      <c r="Z40" s="605"/>
      <c r="AA40" s="605"/>
      <c r="AD40" s="605"/>
      <c r="AE40" s="605"/>
      <c r="AH40" s="605"/>
      <c r="AI40" s="605"/>
      <c r="AL40" s="605"/>
      <c r="AM40" s="605"/>
      <c r="AP40" s="605"/>
      <c r="AQ40" s="605"/>
      <c r="AT40" s="283"/>
      <c r="AV40" s="600"/>
      <c r="AW40" s="600"/>
    </row>
    <row r="41" spans="1:51">
      <c r="A41" s="282"/>
      <c r="B41" s="602" t="str">
        <f>VLOOKUP(+B35,'[14]Twr Schedule'!$B$9:$C$611,2,FALSE)</f>
        <v>DA+3</v>
      </c>
      <c r="C41" s="602"/>
      <c r="F41" s="602" t="str">
        <f>VLOOKUP(+F35,'[14]Twr Schedule'!$B$9:$C$611,2,FALSE)</f>
        <v>DA+0</v>
      </c>
      <c r="G41" s="602"/>
      <c r="J41" s="602" t="str">
        <f>VLOOKUP(+J35,'[14]Twr Schedule'!$B$9:$C$611,2,FALSE)</f>
        <v>DA+3</v>
      </c>
      <c r="K41" s="602"/>
      <c r="N41" s="602" t="str">
        <f>VLOOKUP(+N35,'[14]Twr Schedule'!$B$9:$C$611,2,FALSE)</f>
        <v>DA+0</v>
      </c>
      <c r="O41" s="602"/>
      <c r="R41" s="602" t="str">
        <f>VLOOKUP(+R35,'[14]Twr Schedule'!$B$9:$C$611,2,FALSE)</f>
        <v>DC2+0</v>
      </c>
      <c r="S41" s="602"/>
      <c r="V41" s="602" t="str">
        <f>VLOOKUP(+V35,'[14]Twr Schedule'!$B$9:$C$611,2,FALSE)</f>
        <v>DD45+0</v>
      </c>
      <c r="W41" s="602"/>
      <c r="Z41" s="602" t="str">
        <f>VLOOKUP(+Z35,'[14]Twr Schedule'!$B$9:$C$611,2,FALSE)</f>
        <v>DA+3</v>
      </c>
      <c r="AA41" s="602"/>
      <c r="AD41" s="602" t="str">
        <f>VLOOKUP(+AD35,'[14]Twr Schedule'!$B$9:$C$611,2,FALSE)</f>
        <v>DA-3</v>
      </c>
      <c r="AE41" s="602"/>
      <c r="AH41" s="602" t="str">
        <f>VLOOKUP(+AH35,'[14]Twr Schedule'!$B$9:$C$611,2,FALSE)</f>
        <v>DA+3</v>
      </c>
      <c r="AI41" s="602"/>
      <c r="AL41" s="602" t="str">
        <f>VLOOKUP(+AL35,'[14]Twr Schedule'!$B$9:$C$611,2,FALSE)</f>
        <v>DA+0</v>
      </c>
      <c r="AM41" s="602"/>
      <c r="AP41" s="602" t="str">
        <f>VLOOKUP(+AP35,'[14]Twr Schedule'!$B$9:$C$611,2,FALSE)</f>
        <v>DA+3</v>
      </c>
      <c r="AQ41" s="602"/>
      <c r="AT41" s="283"/>
      <c r="AV41" s="600"/>
      <c r="AW41" s="600"/>
    </row>
    <row r="42" spans="1:51">
      <c r="A42" s="282"/>
      <c r="B42" s="2"/>
      <c r="C42" s="2"/>
      <c r="F42" s="2"/>
      <c r="G42" s="2"/>
      <c r="J42" s="2"/>
      <c r="K42" s="2"/>
      <c r="N42" s="2"/>
      <c r="O42" s="2"/>
      <c r="R42" s="2"/>
      <c r="S42" s="312" t="s">
        <v>810</v>
      </c>
      <c r="V42" s="2"/>
      <c r="W42" s="2"/>
      <c r="Z42" s="313" t="s">
        <v>811</v>
      </c>
      <c r="AA42" s="2"/>
      <c r="AD42" s="2"/>
      <c r="AE42" s="2"/>
      <c r="AH42" s="2"/>
      <c r="AI42" s="2"/>
      <c r="AL42" s="2"/>
      <c r="AM42" s="2"/>
      <c r="AP42" s="2"/>
      <c r="AQ42" s="2"/>
      <c r="AT42" s="283"/>
      <c r="AV42" s="600"/>
      <c r="AW42" s="600"/>
    </row>
    <row r="43" spans="1:51">
      <c r="A43" s="282"/>
      <c r="S43" t="s">
        <v>812</v>
      </c>
      <c r="AT43" s="283"/>
      <c r="AV43" s="600"/>
      <c r="AW43" s="600"/>
    </row>
    <row r="44" spans="1:51">
      <c r="A44" s="616" t="s">
        <v>809</v>
      </c>
      <c r="B44" s="617"/>
      <c r="C44" s="617"/>
      <c r="D44" s="617"/>
      <c r="E44" s="617"/>
      <c r="F44" s="617"/>
      <c r="G44" s="617"/>
      <c r="H44" s="617"/>
      <c r="I44" s="617"/>
      <c r="J44" s="617"/>
      <c r="K44" s="617"/>
      <c r="L44" s="617"/>
      <c r="M44" s="617"/>
      <c r="N44" s="617"/>
      <c r="O44" s="617"/>
      <c r="P44" s="617"/>
      <c r="Q44" s="617"/>
      <c r="R44" s="617"/>
      <c r="S44" s="617"/>
      <c r="T44" s="617"/>
      <c r="U44" s="617"/>
      <c r="V44" s="618"/>
      <c r="W44" s="616" t="s">
        <v>813</v>
      </c>
      <c r="X44" s="617"/>
      <c r="Y44" s="617"/>
      <c r="Z44" s="617"/>
      <c r="AA44" s="617"/>
      <c r="AB44" s="617"/>
      <c r="AC44" s="617"/>
      <c r="AD44" s="617"/>
      <c r="AE44" s="617"/>
      <c r="AF44" s="617"/>
      <c r="AG44" s="617"/>
      <c r="AH44" s="617"/>
      <c r="AI44" s="617"/>
      <c r="AJ44" s="617"/>
      <c r="AK44" s="617"/>
      <c r="AL44" s="617"/>
      <c r="AM44" s="617"/>
      <c r="AN44" s="617"/>
      <c r="AO44" s="617"/>
      <c r="AP44" s="617"/>
      <c r="AQ44" s="617"/>
      <c r="AR44" s="618"/>
      <c r="AT44" s="283"/>
      <c r="AV44" s="600"/>
      <c r="AW44" s="600"/>
    </row>
    <row r="45" spans="1:51" s="7" customFormat="1">
      <c r="A45" s="310"/>
      <c r="B45" s="639" t="s">
        <v>545</v>
      </c>
      <c r="C45" s="639"/>
      <c r="F45" s="639" t="s">
        <v>479</v>
      </c>
      <c r="G45" s="639"/>
      <c r="J45" s="639" t="s">
        <v>475</v>
      </c>
      <c r="K45" s="639"/>
      <c r="N45" s="639" t="s">
        <v>586</v>
      </c>
      <c r="O45" s="639"/>
      <c r="R45" s="639" t="s">
        <v>527</v>
      </c>
      <c r="S45" s="639"/>
      <c r="V45" s="639" t="s">
        <v>532</v>
      </c>
      <c r="W45" s="639"/>
      <c r="Z45" s="639" t="s">
        <v>536</v>
      </c>
      <c r="AA45" s="639"/>
      <c r="AD45" s="639" t="s">
        <v>540</v>
      </c>
      <c r="AE45" s="639"/>
      <c r="AH45" s="639" t="s">
        <v>534</v>
      </c>
      <c r="AI45" s="639"/>
      <c r="AL45" s="639" t="s">
        <v>459</v>
      </c>
      <c r="AM45" s="639"/>
      <c r="AP45" s="639" t="s">
        <v>528</v>
      </c>
      <c r="AQ45" s="639"/>
      <c r="AT45" s="311"/>
      <c r="AV45" s="600"/>
      <c r="AW45" s="600"/>
    </row>
    <row r="46" spans="1:51">
      <c r="A46" s="282"/>
      <c r="AT46" s="283"/>
      <c r="AV46" s="600"/>
      <c r="AW46" s="600"/>
    </row>
    <row r="47" spans="1:51">
      <c r="A47" s="282"/>
      <c r="AT47" s="283"/>
      <c r="AV47" s="600"/>
      <c r="AW47" s="600"/>
    </row>
    <row r="48" spans="1:51">
      <c r="A48" s="282"/>
      <c r="B48" s="296" t="s">
        <v>791</v>
      </c>
      <c r="C48" s="296" t="s">
        <v>792</v>
      </c>
      <c r="D48" s="613">
        <f>VLOOKUP(B45,[14]Progress!$B$9:$D$310,3,FALSE)</f>
        <v>416</v>
      </c>
      <c r="E48" s="614"/>
      <c r="F48" s="296" t="s">
        <v>791</v>
      </c>
      <c r="G48" s="296" t="s">
        <v>792</v>
      </c>
      <c r="H48" s="609">
        <f>VLOOKUP(F45,[14]Progress!$B$9:$D$310,3,FALSE)</f>
        <v>409.23099999999999</v>
      </c>
      <c r="I48" s="610"/>
      <c r="J48" s="314" t="s">
        <v>791</v>
      </c>
      <c r="K48" s="314" t="s">
        <v>792</v>
      </c>
      <c r="L48" s="609">
        <f>VLOOKUP(J45,[14]Progress!$B$9:$D$310,3,FALSE)</f>
        <v>378.00099999999998</v>
      </c>
      <c r="M48" s="610"/>
      <c r="N48" s="314" t="s">
        <v>791</v>
      </c>
      <c r="O48" s="314" t="s">
        <v>792</v>
      </c>
      <c r="P48" s="609">
        <f>VLOOKUP(N45,[14]Progress!$B$9:$D$310,3,FALSE)</f>
        <v>391</v>
      </c>
      <c r="Q48" s="610"/>
      <c r="R48" s="314" t="s">
        <v>791</v>
      </c>
      <c r="S48" s="314" t="s">
        <v>792</v>
      </c>
      <c r="T48" s="609">
        <f>VLOOKUP(R45,[14]Progress!$B$9:$D$310,3,FALSE)</f>
        <v>401.44299999999998</v>
      </c>
      <c r="U48" s="610"/>
      <c r="V48" s="314" t="s">
        <v>791</v>
      </c>
      <c r="W48" s="314" t="s">
        <v>792</v>
      </c>
      <c r="X48" s="609">
        <f>VLOOKUP(V45,[14]Progress!$B$9:$D$310,3,FALSE)</f>
        <v>321</v>
      </c>
      <c r="Y48" s="610"/>
      <c r="Z48" s="314" t="s">
        <v>791</v>
      </c>
      <c r="AA48" s="314" t="s">
        <v>792</v>
      </c>
      <c r="AB48" s="609">
        <f>VLOOKUP(Z45,[14]Progress!$B$9:$D$310,3,FALSE)</f>
        <v>402.56900000000002</v>
      </c>
      <c r="AC48" s="610"/>
      <c r="AD48" s="314" t="s">
        <v>791</v>
      </c>
      <c r="AE48" s="314" t="s">
        <v>792</v>
      </c>
      <c r="AF48" s="609">
        <f>VLOOKUP(AD45,[14]Progress!$B$9:$D$310,3,FALSE)</f>
        <v>408</v>
      </c>
      <c r="AG48" s="610"/>
      <c r="AH48" s="314" t="s">
        <v>791</v>
      </c>
      <c r="AI48" s="314" t="s">
        <v>792</v>
      </c>
      <c r="AJ48" s="609">
        <f>VLOOKUP(AH45,[14]Progress!$B$9:$D$310,3,FALSE)</f>
        <v>419</v>
      </c>
      <c r="AK48" s="610"/>
      <c r="AL48" s="314" t="s">
        <v>791</v>
      </c>
      <c r="AM48" s="314" t="s">
        <v>792</v>
      </c>
      <c r="AN48" s="609">
        <f>VLOOKUP(AL45,[14]Progress!$B$9:$D$310,3,FALSE)</f>
        <v>407.27499999999998</v>
      </c>
      <c r="AO48" s="610"/>
      <c r="AP48" s="296" t="s">
        <v>791</v>
      </c>
      <c r="AQ48" s="296" t="s">
        <v>792</v>
      </c>
      <c r="AR48" s="613">
        <f>VLOOKUP(AP45,[14]Progress!$B$9:$D$310,3,FALSE)</f>
        <v>414</v>
      </c>
      <c r="AS48" s="600"/>
      <c r="AT48" s="283"/>
      <c r="AV48" s="600">
        <f>D48+H48+L48+P48+T48+X48+AB48+AF48+AJ48+AN48+AR48</f>
        <v>4367.5190000000002</v>
      </c>
      <c r="AW48" s="600"/>
      <c r="AY48">
        <v>11</v>
      </c>
    </row>
    <row r="49" spans="1:51">
      <c r="A49" s="282"/>
      <c r="B49" s="296" t="s">
        <v>794</v>
      </c>
      <c r="C49" s="296" t="s">
        <v>795</v>
      </c>
      <c r="F49" s="296" t="s">
        <v>794</v>
      </c>
      <c r="G49" s="296" t="s">
        <v>795</v>
      </c>
      <c r="J49" s="296" t="s">
        <v>794</v>
      </c>
      <c r="K49" s="296" t="s">
        <v>795</v>
      </c>
      <c r="N49" s="296" t="s">
        <v>794</v>
      </c>
      <c r="O49" s="296" t="s">
        <v>795</v>
      </c>
      <c r="R49" s="296" t="s">
        <v>794</v>
      </c>
      <c r="S49" s="296" t="s">
        <v>795</v>
      </c>
      <c r="V49" s="296" t="s">
        <v>794</v>
      </c>
      <c r="W49" s="296" t="s">
        <v>795</v>
      </c>
      <c r="Z49" s="296" t="s">
        <v>794</v>
      </c>
      <c r="AA49" s="296" t="s">
        <v>795</v>
      </c>
      <c r="AD49" s="296" t="s">
        <v>794</v>
      </c>
      <c r="AE49" s="296" t="s">
        <v>795</v>
      </c>
      <c r="AH49" s="296" t="s">
        <v>794</v>
      </c>
      <c r="AI49" s="296" t="s">
        <v>795</v>
      </c>
      <c r="AL49" s="296" t="s">
        <v>794</v>
      </c>
      <c r="AM49" s="296" t="s">
        <v>795</v>
      </c>
      <c r="AP49" s="296" t="s">
        <v>794</v>
      </c>
      <c r="AQ49" s="296" t="s">
        <v>795</v>
      </c>
      <c r="AT49" s="283"/>
      <c r="AV49" s="600"/>
      <c r="AW49" s="600"/>
    </row>
    <row r="50" spans="1:51" ht="10.5" customHeight="1">
      <c r="A50" s="282"/>
      <c r="B50" s="605"/>
      <c r="C50" s="605"/>
      <c r="F50" s="605"/>
      <c r="G50" s="605"/>
      <c r="J50" s="605"/>
      <c r="K50" s="605"/>
      <c r="N50" s="605"/>
      <c r="O50" s="605"/>
      <c r="R50" s="605"/>
      <c r="S50" s="605"/>
      <c r="V50" s="605"/>
      <c r="W50" s="605"/>
      <c r="Z50" s="605"/>
      <c r="AA50" s="605"/>
      <c r="AD50" s="605"/>
      <c r="AE50" s="605"/>
      <c r="AH50" s="605"/>
      <c r="AI50" s="605"/>
      <c r="AL50" s="605"/>
      <c r="AM50" s="605"/>
      <c r="AP50" s="605"/>
      <c r="AQ50" s="605"/>
      <c r="AT50" s="283"/>
      <c r="AV50" s="600"/>
      <c r="AW50" s="600"/>
    </row>
    <row r="51" spans="1:51">
      <c r="A51" s="282"/>
      <c r="B51" s="602" t="str">
        <f>VLOOKUP(+B45,'[14]Twr Schedule'!$B$9:$C$611,2,FALSE)</f>
        <v>DA+0</v>
      </c>
      <c r="C51" s="602"/>
      <c r="F51" s="602" t="str">
        <f>VLOOKUP(+F45,'[14]Twr Schedule'!$B$9:$C$611,2,FALSE)</f>
        <v>DA+3</v>
      </c>
      <c r="G51" s="602"/>
      <c r="J51" s="602" t="str">
        <f>VLOOKUP(+J45,'[14]Twr Schedule'!$B$9:$C$611,2,FALSE)</f>
        <v>DA+0</v>
      </c>
      <c r="K51" s="602"/>
      <c r="N51" s="602" t="str">
        <f>VLOOKUP(+N45,'[14]Twr Schedule'!$B$9:$C$611,2,FALSE)</f>
        <v>DA-3</v>
      </c>
      <c r="O51" s="602"/>
      <c r="R51" s="602" t="str">
        <f>VLOOKUP(+R45,'[14]Twr Schedule'!$B$9:$C$611,2,FALSE)</f>
        <v>DA+3</v>
      </c>
      <c r="S51" s="602"/>
      <c r="V51" s="602" t="str">
        <f>VLOOKUP(+V45,'[14]Twr Schedule'!$B$9:$C$611,2,FALSE)</f>
        <v>DB1+0</v>
      </c>
      <c r="W51" s="602"/>
      <c r="Z51" s="602" t="str">
        <f>VLOOKUP(+Z45,'[14]Twr Schedule'!$B$9:$C$611,2,FALSE)</f>
        <v>DA+3</v>
      </c>
      <c r="AA51" s="602"/>
      <c r="AD51" s="602" t="str">
        <f>VLOOKUP(+AD45,'[14]Twr Schedule'!$B$9:$C$611,2,FALSE)</f>
        <v>DB1+0</v>
      </c>
      <c r="AE51" s="602"/>
      <c r="AH51" s="602" t="str">
        <f>VLOOKUP(+AH45,'[14]Twr Schedule'!$B$9:$C$611,2,FALSE)</f>
        <v>DA+3</v>
      </c>
      <c r="AI51" s="602"/>
      <c r="AL51" s="602" t="str">
        <f>VLOOKUP(+AL45,'[14]Twr Schedule'!$B$9:$C$611,2,FALSE)</f>
        <v>DA+3</v>
      </c>
      <c r="AM51" s="602"/>
      <c r="AP51" s="602" t="str">
        <f>VLOOKUP(+AP45,'[14]Twr Schedule'!$B$9:$C$611,2,FALSE)</f>
        <v>DB2+0</v>
      </c>
      <c r="AQ51" s="602"/>
      <c r="AT51" s="283"/>
      <c r="AV51" s="600"/>
      <c r="AW51" s="600"/>
    </row>
    <row r="52" spans="1:51">
      <c r="A52" s="282"/>
      <c r="AT52" s="283"/>
      <c r="AV52" s="600"/>
      <c r="AW52" s="600"/>
    </row>
    <row r="53" spans="1:51">
      <c r="A53" s="282"/>
      <c r="B53" s="616" t="s">
        <v>813</v>
      </c>
      <c r="C53" s="617"/>
      <c r="D53" s="617"/>
      <c r="E53" s="617"/>
      <c r="F53" s="617"/>
      <c r="G53" s="617"/>
      <c r="H53" s="617"/>
      <c r="I53" s="617"/>
      <c r="J53" s="617"/>
      <c r="K53" s="617"/>
      <c r="L53" s="617"/>
      <c r="M53" s="617"/>
      <c r="N53" s="617"/>
      <c r="O53" s="617"/>
      <c r="P53" s="617"/>
      <c r="Q53" s="617"/>
      <c r="R53" s="617"/>
      <c r="S53" s="617"/>
      <c r="T53" s="617"/>
      <c r="U53" s="617"/>
      <c r="V53" s="618"/>
      <c r="W53" s="616" t="s">
        <v>814</v>
      </c>
      <c r="X53" s="617"/>
      <c r="Y53" s="617"/>
      <c r="Z53" s="617"/>
      <c r="AA53" s="617"/>
      <c r="AB53" s="617"/>
      <c r="AC53" s="617"/>
      <c r="AD53" s="617"/>
      <c r="AE53" s="617"/>
      <c r="AF53" s="617"/>
      <c r="AG53" s="617"/>
      <c r="AH53" s="617"/>
      <c r="AI53" s="617"/>
      <c r="AJ53" s="617"/>
      <c r="AK53" s="617"/>
      <c r="AL53" s="617"/>
      <c r="AM53" s="617"/>
      <c r="AN53" s="617"/>
      <c r="AO53" s="617"/>
      <c r="AP53" s="617"/>
      <c r="AQ53" s="617"/>
      <c r="AR53" s="618"/>
      <c r="AT53" s="283"/>
      <c r="AV53" s="600"/>
      <c r="AW53" s="600"/>
    </row>
    <row r="54" spans="1:51">
      <c r="A54" s="282"/>
      <c r="AT54" s="283"/>
      <c r="AV54" s="600"/>
      <c r="AW54" s="600"/>
    </row>
    <row r="55" spans="1:51">
      <c r="A55" s="282"/>
      <c r="B55" s="600" t="s">
        <v>523</v>
      </c>
      <c r="C55" s="600"/>
      <c r="F55" s="600" t="s">
        <v>485</v>
      </c>
      <c r="G55" s="600"/>
      <c r="J55" s="600" t="s">
        <v>539</v>
      </c>
      <c r="K55" s="600"/>
      <c r="N55" s="600" t="s">
        <v>517</v>
      </c>
      <c r="O55" s="600"/>
      <c r="R55" s="600" t="s">
        <v>511</v>
      </c>
      <c r="S55" s="600"/>
      <c r="V55" s="600" t="s">
        <v>503</v>
      </c>
      <c r="W55" s="600"/>
      <c r="Z55" s="600" t="s">
        <v>496</v>
      </c>
      <c r="AA55" s="600"/>
      <c r="AD55" s="600" t="s">
        <v>490</v>
      </c>
      <c r="AE55" s="600"/>
      <c r="AH55" s="600" t="s">
        <v>480</v>
      </c>
      <c r="AI55" s="600"/>
      <c r="AL55" s="600" t="s">
        <v>477</v>
      </c>
      <c r="AM55" s="600"/>
      <c r="AP55" s="600" t="s">
        <v>529</v>
      </c>
      <c r="AQ55" s="600"/>
      <c r="AT55" s="283"/>
      <c r="AV55" s="600"/>
      <c r="AW55" s="600"/>
    </row>
    <row r="56" spans="1:51">
      <c r="A56" s="282"/>
      <c r="AT56" s="283"/>
      <c r="AV56" s="600"/>
      <c r="AW56" s="600"/>
    </row>
    <row r="57" spans="1:51">
      <c r="A57" s="282"/>
      <c r="AT57" s="283"/>
      <c r="AV57" s="600"/>
      <c r="AW57" s="600"/>
    </row>
    <row r="58" spans="1:51">
      <c r="A58" s="282"/>
      <c r="B58" s="296" t="s">
        <v>791</v>
      </c>
      <c r="C58" s="296" t="s">
        <v>792</v>
      </c>
      <c r="D58" s="613">
        <f>VLOOKUP(B55,[14]Progress!$B$9:$D$310,3,FALSE)</f>
        <v>419</v>
      </c>
      <c r="E58" s="614"/>
      <c r="F58" s="296" t="s">
        <v>791</v>
      </c>
      <c r="G58" s="296" t="s">
        <v>792</v>
      </c>
      <c r="H58" s="609">
        <f>VLOOKUP(F55,[14]Progress!$B$9:$D$310,3,FALSE)</f>
        <v>361.09699999999998</v>
      </c>
      <c r="I58" s="610"/>
      <c r="J58" s="314" t="s">
        <v>791</v>
      </c>
      <c r="K58" s="314" t="s">
        <v>792</v>
      </c>
      <c r="L58" s="609">
        <f>VLOOKUP(J55,[14]Progress!$B$9:$D$310,3,FALSE)</f>
        <v>361</v>
      </c>
      <c r="M58" s="610"/>
      <c r="N58" s="314" t="s">
        <v>791</v>
      </c>
      <c r="O58" s="314" t="s">
        <v>792</v>
      </c>
      <c r="P58" s="609">
        <f>VLOOKUP(N55,[14]Progress!$B$9:$D$310,3,FALSE)</f>
        <v>404</v>
      </c>
      <c r="Q58" s="610"/>
      <c r="R58" s="314" t="s">
        <v>791</v>
      </c>
      <c r="S58" s="314" t="s">
        <v>792</v>
      </c>
      <c r="T58" s="609">
        <f>VLOOKUP(R55,[14]Progress!$B$9:$D$310,3,FALSE)</f>
        <v>424</v>
      </c>
      <c r="U58" s="610"/>
      <c r="V58" s="314" t="s">
        <v>791</v>
      </c>
      <c r="W58" s="314" t="s">
        <v>792</v>
      </c>
      <c r="X58" s="609">
        <f>VLOOKUP(V55,[14]Progress!$B$9:$D$310,3,FALSE)</f>
        <v>406</v>
      </c>
      <c r="Y58" s="610"/>
      <c r="Z58" s="314" t="s">
        <v>791</v>
      </c>
      <c r="AA58" s="314" t="s">
        <v>792</v>
      </c>
      <c r="AB58" s="609">
        <f>VLOOKUP(Z55,[14]Progress!$B$9:$D$310,3,FALSE)</f>
        <v>410</v>
      </c>
      <c r="AC58" s="610"/>
      <c r="AD58" s="314" t="s">
        <v>791</v>
      </c>
      <c r="AE58" s="314" t="s">
        <v>792</v>
      </c>
      <c r="AF58" s="609">
        <f>VLOOKUP(AD55,[14]Progress!$B$9:$D$310,3,FALSE)</f>
        <v>423</v>
      </c>
      <c r="AG58" s="610"/>
      <c r="AH58" s="314" t="s">
        <v>791</v>
      </c>
      <c r="AI58" s="314" t="s">
        <v>792</v>
      </c>
      <c r="AJ58" s="609">
        <f>VLOOKUP(AH55,[14]Progress!$B$9:$D$310,3,FALSE)</f>
        <v>409</v>
      </c>
      <c r="AK58" s="610"/>
      <c r="AL58" s="314" t="s">
        <v>791</v>
      </c>
      <c r="AM58" s="314" t="s">
        <v>792</v>
      </c>
      <c r="AN58" s="609">
        <f>VLOOKUP(AL55,[14]Progress!$B$9:$D$310,3,FALSE)</f>
        <v>425</v>
      </c>
      <c r="AO58" s="610"/>
      <c r="AP58" s="314" t="s">
        <v>791</v>
      </c>
      <c r="AQ58" s="314" t="s">
        <v>792</v>
      </c>
      <c r="AR58" s="609">
        <f>VLOOKUP(AP55,[14]Progress!$B$9:$D$310,3,FALSE)</f>
        <v>362.65</v>
      </c>
      <c r="AS58" s="611"/>
      <c r="AT58" s="283"/>
      <c r="AV58" s="600">
        <f>D58+H58+L58+P58+T58+X58+AB58+AF58+AJ58+AN58+AR58</f>
        <v>4404.7469999999994</v>
      </c>
      <c r="AW58" s="600"/>
      <c r="AY58">
        <v>11</v>
      </c>
    </row>
    <row r="59" spans="1:51">
      <c r="A59" s="282"/>
      <c r="B59" s="296" t="s">
        <v>794</v>
      </c>
      <c r="C59" s="296" t="s">
        <v>795</v>
      </c>
      <c r="F59" s="296" t="s">
        <v>794</v>
      </c>
      <c r="G59" s="296" t="s">
        <v>795</v>
      </c>
      <c r="J59" s="296" t="s">
        <v>794</v>
      </c>
      <c r="K59" s="296" t="s">
        <v>795</v>
      </c>
      <c r="N59" s="296" t="s">
        <v>794</v>
      </c>
      <c r="O59" s="296" t="s">
        <v>795</v>
      </c>
      <c r="R59" s="296" t="s">
        <v>794</v>
      </c>
      <c r="S59" s="296" t="s">
        <v>795</v>
      </c>
      <c r="V59" s="296" t="s">
        <v>794</v>
      </c>
      <c r="W59" s="296" t="s">
        <v>795</v>
      </c>
      <c r="Z59" s="296" t="s">
        <v>794</v>
      </c>
      <c r="AA59" s="296" t="s">
        <v>795</v>
      </c>
      <c r="AD59" s="296" t="s">
        <v>794</v>
      </c>
      <c r="AE59" s="296" t="s">
        <v>795</v>
      </c>
      <c r="AH59" s="296" t="s">
        <v>794</v>
      </c>
      <c r="AI59" s="296" t="s">
        <v>795</v>
      </c>
      <c r="AL59" s="296" t="s">
        <v>794</v>
      </c>
      <c r="AM59" s="296" t="s">
        <v>795</v>
      </c>
      <c r="AP59" s="296" t="s">
        <v>794</v>
      </c>
      <c r="AQ59" s="296" t="s">
        <v>795</v>
      </c>
      <c r="AT59" s="283"/>
      <c r="AV59" s="600"/>
      <c r="AW59" s="600"/>
    </row>
    <row r="60" spans="1:51" ht="10.5" customHeight="1">
      <c r="A60" s="282"/>
      <c r="B60" s="605"/>
      <c r="C60" s="605"/>
      <c r="F60" s="605"/>
      <c r="G60" s="605"/>
      <c r="J60" s="605"/>
      <c r="K60" s="605"/>
      <c r="N60" s="605"/>
      <c r="O60" s="605"/>
      <c r="R60" s="605"/>
      <c r="S60" s="605"/>
      <c r="V60" s="605"/>
      <c r="W60" s="605"/>
      <c r="Z60" s="605"/>
      <c r="AA60" s="605"/>
      <c r="AD60" s="605"/>
      <c r="AE60" s="605"/>
      <c r="AH60" s="605"/>
      <c r="AI60" s="605"/>
      <c r="AL60" s="605"/>
      <c r="AM60" s="605"/>
      <c r="AP60" s="605"/>
      <c r="AQ60" s="605"/>
      <c r="AT60" s="283"/>
      <c r="AV60" s="600"/>
      <c r="AW60" s="600"/>
    </row>
    <row r="61" spans="1:51">
      <c r="A61" s="282"/>
      <c r="B61" s="602" t="str">
        <f>VLOOKUP(+B55,'[14]Twr Schedule'!$B$9:$C$611,2,FALSE)</f>
        <v>DA+0</v>
      </c>
      <c r="C61" s="602"/>
      <c r="F61" s="602" t="str">
        <f>VLOOKUP(+F55,'[14]Twr Schedule'!$B$9:$C$611,2,FALSE)</f>
        <v>DA+3</v>
      </c>
      <c r="G61" s="602"/>
      <c r="J61" s="602" t="str">
        <f>VLOOKUP(+J55,'[14]Twr Schedule'!$B$9:$C$611,2,FALSE)</f>
        <v>DA-3</v>
      </c>
      <c r="K61" s="602"/>
      <c r="N61" s="602" t="str">
        <f>VLOOKUP(+N55,'[14]Twr Schedule'!$B$9:$C$611,2,FALSE)</f>
        <v>DA+0</v>
      </c>
      <c r="O61" s="602"/>
      <c r="R61" s="602" t="str">
        <f>VLOOKUP(+R55,'[14]Twr Schedule'!$B$9:$C$611,2,FALSE)</f>
        <v>DA+3</v>
      </c>
      <c r="S61" s="602"/>
      <c r="V61" s="602" t="str">
        <f>VLOOKUP(+V55,'[14]Twr Schedule'!$B$9:$C$611,2,FALSE)</f>
        <v>DA+0</v>
      </c>
      <c r="W61" s="602"/>
      <c r="Z61" s="602" t="str">
        <f>VLOOKUP(+Z55,'[14]Twr Schedule'!$B$9:$C$611,2,FALSE)</f>
        <v>DA+0</v>
      </c>
      <c r="AA61" s="602"/>
      <c r="AD61" s="602" t="str">
        <f>VLOOKUP(+AD55,'[14]Twr Schedule'!$B$9:$C$611,2,FALSE)</f>
        <v>DA+3</v>
      </c>
      <c r="AE61" s="602"/>
      <c r="AH61" s="602" t="str">
        <f>VLOOKUP(+AH55,'[14]Twr Schedule'!$B$9:$C$611,2,FALSE)</f>
        <v>DA+0</v>
      </c>
      <c r="AI61" s="602"/>
      <c r="AL61" s="602" t="str">
        <f>VLOOKUP(+AL55,'[14]Twr Schedule'!$B$9:$C$611,2,FALSE)</f>
        <v>DA+3</v>
      </c>
      <c r="AM61" s="602"/>
      <c r="AP61" s="602" t="str">
        <f>VLOOKUP(+AP55,'[14]Twr Schedule'!$B$9:$C$611,2,FALSE)</f>
        <v>DA+0</v>
      </c>
      <c r="AQ61" s="602"/>
      <c r="AT61" s="283"/>
      <c r="AV61" s="600"/>
      <c r="AW61" s="600"/>
    </row>
    <row r="62" spans="1:51">
      <c r="A62" s="282"/>
      <c r="AT62" s="283"/>
      <c r="AV62" s="600"/>
      <c r="AW62" s="600"/>
    </row>
    <row r="63" spans="1:51">
      <c r="A63" s="282"/>
      <c r="B63" s="616" t="s">
        <v>814</v>
      </c>
      <c r="C63" s="617"/>
      <c r="D63" s="617"/>
      <c r="E63" s="617"/>
      <c r="F63" s="617"/>
      <c r="G63" s="617"/>
      <c r="H63" s="617"/>
      <c r="I63" s="617"/>
      <c r="J63" s="617"/>
      <c r="K63" s="617"/>
      <c r="L63" s="617"/>
      <c r="M63" s="617"/>
      <c r="N63" s="617"/>
      <c r="O63" s="617"/>
      <c r="P63" s="617"/>
      <c r="Q63" s="617"/>
      <c r="R63" s="617"/>
      <c r="S63" s="617"/>
      <c r="T63" s="617"/>
      <c r="U63" s="617"/>
      <c r="V63" s="617"/>
      <c r="W63" s="617"/>
      <c r="X63" s="617"/>
      <c r="Y63" s="617"/>
      <c r="Z63" s="618"/>
      <c r="AA63" s="586" t="s">
        <v>815</v>
      </c>
      <c r="AB63" s="587"/>
      <c r="AC63" s="587"/>
      <c r="AD63" s="587"/>
      <c r="AE63" s="587"/>
      <c r="AF63" s="587"/>
      <c r="AG63" s="587"/>
      <c r="AH63" s="587"/>
      <c r="AI63" s="587"/>
      <c r="AJ63" s="587"/>
      <c r="AK63" s="587"/>
      <c r="AL63" s="587"/>
      <c r="AM63" s="587"/>
      <c r="AN63" s="587"/>
      <c r="AO63" s="587"/>
      <c r="AP63" s="587"/>
      <c r="AQ63" s="587"/>
      <c r="AR63" s="588"/>
      <c r="AT63" s="283"/>
      <c r="AV63" s="600"/>
      <c r="AW63" s="600"/>
    </row>
    <row r="64" spans="1:51">
      <c r="A64" s="282"/>
      <c r="AT64" s="283"/>
      <c r="AV64" s="600"/>
      <c r="AW64" s="600"/>
    </row>
    <row r="65" spans="1:51">
      <c r="A65" s="282"/>
      <c r="B65" s="600" t="str">
        <f>'[14]Twr Schedule'!B97</f>
        <v>8/0</v>
      </c>
      <c r="C65" s="600"/>
      <c r="F65" s="600" t="str">
        <f>'[14]Twr Schedule'!B99</f>
        <v>8/1</v>
      </c>
      <c r="G65" s="600"/>
      <c r="J65" s="600" t="str">
        <f>'[14]Twr Schedule'!B101</f>
        <v>8/2</v>
      </c>
      <c r="K65" s="600"/>
      <c r="N65" s="600" t="str">
        <f>'[14]Twr Schedule'!B103</f>
        <v>8/3</v>
      </c>
      <c r="O65" s="600"/>
      <c r="R65" s="600" t="str">
        <f>'[14]Twr Schedule'!B105</f>
        <v>8/4</v>
      </c>
      <c r="S65" s="600"/>
      <c r="V65" s="600" t="str">
        <f>'[14]Twr Schedule'!B107</f>
        <v>8A/0</v>
      </c>
      <c r="W65" s="600"/>
      <c r="Z65" s="600" t="str">
        <f>'[14]Twr Schedule'!B109</f>
        <v>8B/0</v>
      </c>
      <c r="AA65" s="600"/>
      <c r="AD65" s="600" t="str">
        <f>'[14]Twr Schedule'!B111</f>
        <v>8B/1</v>
      </c>
      <c r="AE65" s="600"/>
      <c r="AH65" s="600" t="str">
        <f>'[14]Twr Schedule'!B113</f>
        <v>8B/2</v>
      </c>
      <c r="AI65" s="600"/>
      <c r="AL65" s="600" t="str">
        <f>'[14]Twr Schedule'!B115</f>
        <v>8B/3</v>
      </c>
      <c r="AM65" s="600"/>
      <c r="AP65" s="600" t="str">
        <f>'[14]Twr Schedule'!B117</f>
        <v>8B/4</v>
      </c>
      <c r="AQ65" s="600"/>
      <c r="AT65" s="283"/>
      <c r="AV65" s="600"/>
      <c r="AW65" s="600"/>
    </row>
    <row r="66" spans="1:51">
      <c r="A66" s="282"/>
      <c r="AT66" s="283"/>
      <c r="AV66" s="600"/>
      <c r="AW66" s="600"/>
    </row>
    <row r="67" spans="1:51">
      <c r="A67" s="282"/>
      <c r="AT67" s="283"/>
      <c r="AV67" s="600"/>
      <c r="AW67" s="600"/>
    </row>
    <row r="68" spans="1:51">
      <c r="A68" s="282"/>
      <c r="B68" s="296" t="s">
        <v>791</v>
      </c>
      <c r="C68" s="296" t="s">
        <v>792</v>
      </c>
      <c r="D68" s="613">
        <f>VLOOKUP(B65,[14]Progress!$B$9:$D$310,3,FALSE)</f>
        <v>416</v>
      </c>
      <c r="E68" s="614"/>
      <c r="F68" s="296" t="s">
        <v>791</v>
      </c>
      <c r="G68" s="296" t="s">
        <v>792</v>
      </c>
      <c r="H68" s="613">
        <f>VLOOKUP(F65,[14]Progress!$B$9:$D$310,3,FALSE)</f>
        <v>400</v>
      </c>
      <c r="I68" s="614"/>
      <c r="J68" s="296" t="s">
        <v>791</v>
      </c>
      <c r="K68" s="296" t="s">
        <v>792</v>
      </c>
      <c r="L68" s="613">
        <f>VLOOKUP(J65,[14]Progress!$B$9:$D$310,3,FALSE)</f>
        <v>367</v>
      </c>
      <c r="M68" s="614"/>
      <c r="N68" s="296" t="s">
        <v>791</v>
      </c>
      <c r="O68" s="296" t="s">
        <v>792</v>
      </c>
      <c r="P68" s="613">
        <f>VLOOKUP(N65,[14]Progress!$B$9:$D$310,3,FALSE)</f>
        <v>420</v>
      </c>
      <c r="Q68" s="614"/>
      <c r="R68" s="296" t="s">
        <v>791</v>
      </c>
      <c r="S68" s="296" t="s">
        <v>792</v>
      </c>
      <c r="T68" s="609">
        <f>VLOOKUP(R65,[14]Progress!$B$9:$D$310,3,FALSE)</f>
        <v>413.71600000000001</v>
      </c>
      <c r="U68" s="610"/>
      <c r="V68" s="314" t="s">
        <v>791</v>
      </c>
      <c r="W68" s="314" t="s">
        <v>792</v>
      </c>
      <c r="X68" s="607">
        <f>VLOOKUP(V65,[14]Progress!$B$9:$D$310,3,FALSE)</f>
        <v>223.61</v>
      </c>
      <c r="Y68" s="608"/>
      <c r="Z68" s="314" t="s">
        <v>791</v>
      </c>
      <c r="AA68" s="314" t="s">
        <v>792</v>
      </c>
      <c r="AB68" s="609">
        <f>VLOOKUP(Z65,[14]Progress!$B$9:$D$310,3,FALSE)</f>
        <v>341</v>
      </c>
      <c r="AC68" s="610"/>
      <c r="AD68" s="314" t="s">
        <v>791</v>
      </c>
      <c r="AE68" s="314" t="s">
        <v>792</v>
      </c>
      <c r="AF68" s="609">
        <f>VLOOKUP(AD65,[14]Progress!$B$9:$D$310,3,FALSE)</f>
        <v>332</v>
      </c>
      <c r="AG68" s="610"/>
      <c r="AH68" s="314" t="s">
        <v>791</v>
      </c>
      <c r="AI68" s="314" t="s">
        <v>792</v>
      </c>
      <c r="AJ68" s="609">
        <f>VLOOKUP(AH65,[14]Progress!$B$9:$D$310,3,FALSE)</f>
        <v>292.52600000000001</v>
      </c>
      <c r="AK68" s="610"/>
      <c r="AL68" s="314" t="s">
        <v>791</v>
      </c>
      <c r="AM68" s="314" t="s">
        <v>792</v>
      </c>
      <c r="AN68" s="609">
        <f>VLOOKUP(AL65,[14]Progress!$B$9:$D$310,3,FALSE)</f>
        <v>426.18599999999998</v>
      </c>
      <c r="AO68" s="610"/>
      <c r="AP68" s="296" t="s">
        <v>791</v>
      </c>
      <c r="AQ68" s="296" t="s">
        <v>792</v>
      </c>
      <c r="AR68" s="613">
        <f>VLOOKUP(AP65,[14]Progress!$B$9:$D$310,3,FALSE)</f>
        <v>373</v>
      </c>
      <c r="AS68" s="600"/>
      <c r="AT68" s="283"/>
      <c r="AV68" s="600">
        <f>D68+H68+L68+P68+T68+X68+AB68+AF68+AJ68+AN68+AR68</f>
        <v>4005.038</v>
      </c>
      <c r="AW68" s="600"/>
      <c r="AY68">
        <v>11</v>
      </c>
    </row>
    <row r="69" spans="1:51">
      <c r="A69" s="282"/>
      <c r="B69" s="296" t="s">
        <v>794</v>
      </c>
      <c r="C69" s="296" t="s">
        <v>795</v>
      </c>
      <c r="F69" s="296" t="s">
        <v>794</v>
      </c>
      <c r="G69" s="296" t="s">
        <v>795</v>
      </c>
      <c r="J69" s="296" t="s">
        <v>794</v>
      </c>
      <c r="K69" s="296" t="s">
        <v>795</v>
      </c>
      <c r="N69" s="296" t="s">
        <v>794</v>
      </c>
      <c r="O69" s="296" t="s">
        <v>795</v>
      </c>
      <c r="R69" s="296" t="s">
        <v>794</v>
      </c>
      <c r="S69" s="296" t="s">
        <v>795</v>
      </c>
      <c r="V69" s="296" t="s">
        <v>794</v>
      </c>
      <c r="W69" s="296" t="s">
        <v>795</v>
      </c>
      <c r="Z69" s="296" t="s">
        <v>794</v>
      </c>
      <c r="AA69" s="296" t="s">
        <v>795</v>
      </c>
      <c r="AD69" s="296" t="s">
        <v>794</v>
      </c>
      <c r="AE69" s="296" t="s">
        <v>795</v>
      </c>
      <c r="AH69" s="296" t="s">
        <v>794</v>
      </c>
      <c r="AI69" s="296" t="s">
        <v>795</v>
      </c>
      <c r="AL69" s="296" t="s">
        <v>794</v>
      </c>
      <c r="AM69" s="296" t="s">
        <v>795</v>
      </c>
      <c r="AP69" s="296" t="s">
        <v>794</v>
      </c>
      <c r="AQ69" s="296" t="s">
        <v>795</v>
      </c>
      <c r="AT69" s="283"/>
      <c r="AV69" s="600"/>
      <c r="AW69" s="600"/>
    </row>
    <row r="70" spans="1:51" ht="10.5" customHeight="1">
      <c r="A70" s="282"/>
      <c r="B70" s="605"/>
      <c r="C70" s="605"/>
      <c r="F70" s="605"/>
      <c r="G70" s="605"/>
      <c r="J70" s="605"/>
      <c r="K70" s="605"/>
      <c r="N70" s="605"/>
      <c r="O70" s="605"/>
      <c r="R70" s="605"/>
      <c r="S70" s="605"/>
      <c r="V70" s="605"/>
      <c r="W70" s="605"/>
      <c r="Z70" s="605"/>
      <c r="AA70" s="605"/>
      <c r="AD70" s="638"/>
      <c r="AE70" s="638"/>
      <c r="AH70" s="605"/>
      <c r="AI70" s="605"/>
      <c r="AL70" s="605"/>
      <c r="AM70" s="605"/>
      <c r="AP70" s="605"/>
      <c r="AQ70" s="605"/>
      <c r="AT70" s="283"/>
      <c r="AV70" s="600"/>
      <c r="AW70" s="600"/>
    </row>
    <row r="71" spans="1:51">
      <c r="A71" s="282"/>
      <c r="B71" s="602" t="str">
        <f>VLOOKUP(+B65,'[14]Twr Schedule'!$B$9:$C$611,2,FALSE)</f>
        <v>DB2+0</v>
      </c>
      <c r="C71" s="602"/>
      <c r="F71" s="602" t="str">
        <f>VLOOKUP(+F65,'[14]Twr Schedule'!$B$9:$C$611,2,FALSE)</f>
        <v>DA+3</v>
      </c>
      <c r="G71" s="602"/>
      <c r="J71" s="602" t="str">
        <f>VLOOKUP(+J65,'[14]Twr Schedule'!$B$9:$C$611,2,FALSE)</f>
        <v>DA+0</v>
      </c>
      <c r="K71" s="602"/>
      <c r="N71" s="602" t="str">
        <f>VLOOKUP(+N65,'[14]Twr Schedule'!$B$9:$C$611,2,FALSE)</f>
        <v>DA-3</v>
      </c>
      <c r="O71" s="602"/>
      <c r="R71" s="602" t="str">
        <f>VLOOKUP(+R65,'[14]Twr Schedule'!$B$9:$C$611,2,FALSE)</f>
        <v>DA+9</v>
      </c>
      <c r="S71" s="602"/>
      <c r="V71" s="602" t="str">
        <f>VLOOKUP(+V65,'[14]Twr Schedule'!$B$9:$C$611,2,FALSE)</f>
        <v>DD60+0</v>
      </c>
      <c r="W71" s="602"/>
      <c r="Z71" s="602" t="str">
        <f>VLOOKUP(+Z65,'[14]Twr Schedule'!$B$9:$C$611,2,FALSE)</f>
        <v>DD60+0</v>
      </c>
      <c r="AA71" s="602"/>
      <c r="AD71" s="602" t="str">
        <f>VLOOKUP(+AD65,'[14]Twr Schedule'!$B$9:$C$611,2,FALSE)</f>
        <v>DA-3</v>
      </c>
      <c r="AE71" s="602"/>
      <c r="AH71" s="602" t="str">
        <f>VLOOKUP(+AH65,'[14]Twr Schedule'!$B$9:$C$611,2,FALSE)</f>
        <v>DA-3</v>
      </c>
      <c r="AI71" s="602"/>
      <c r="AL71" s="602" t="str">
        <f>VLOOKUP(+AL65,'[14]Twr Schedule'!$B$9:$C$611,2,FALSE)</f>
        <v>DA+3</v>
      </c>
      <c r="AM71" s="602"/>
      <c r="AP71" s="602" t="str">
        <f>VLOOKUP(+AP65,'[14]Twr Schedule'!$B$9:$C$611,2,FALSE)</f>
        <v>DA+6</v>
      </c>
      <c r="AQ71" s="602"/>
      <c r="AT71" s="283"/>
      <c r="AV71" s="600"/>
      <c r="AW71" s="600"/>
    </row>
    <row r="72" spans="1:51">
      <c r="A72" s="282"/>
      <c r="W72" t="s">
        <v>816</v>
      </c>
      <c r="AT72" s="283"/>
      <c r="AV72" s="600"/>
      <c r="AW72" s="600"/>
    </row>
    <row r="73" spans="1:51">
      <c r="A73" s="586" t="s">
        <v>815</v>
      </c>
      <c r="B73" s="587"/>
      <c r="C73" s="587"/>
      <c r="D73" s="587"/>
      <c r="E73" s="587"/>
      <c r="F73" s="587"/>
      <c r="G73" s="587"/>
      <c r="H73" s="587"/>
      <c r="I73" s="587"/>
      <c r="J73" s="587"/>
      <c r="K73" s="587"/>
      <c r="L73" s="587"/>
      <c r="M73" s="587"/>
      <c r="N73" s="587"/>
      <c r="O73" s="587"/>
      <c r="P73" s="587"/>
      <c r="Q73" s="587"/>
      <c r="R73" s="587"/>
      <c r="S73" s="587"/>
      <c r="T73" s="587"/>
      <c r="U73" s="587"/>
      <c r="V73" s="588"/>
      <c r="W73" s="586" t="s">
        <v>817</v>
      </c>
      <c r="X73" s="587"/>
      <c r="Y73" s="587"/>
      <c r="Z73" s="587"/>
      <c r="AA73" s="587"/>
      <c r="AB73" s="587"/>
      <c r="AC73" s="587"/>
      <c r="AD73" s="587"/>
      <c r="AE73" s="587"/>
      <c r="AF73" s="587"/>
      <c r="AG73" s="587"/>
      <c r="AH73" s="587"/>
      <c r="AI73" s="587"/>
      <c r="AJ73" s="587"/>
      <c r="AK73" s="587"/>
      <c r="AL73" s="587"/>
      <c r="AM73" s="587"/>
      <c r="AN73" s="587"/>
      <c r="AO73" s="587"/>
      <c r="AP73" s="587"/>
      <c r="AQ73" s="587"/>
      <c r="AR73" s="588"/>
      <c r="AT73" s="283"/>
      <c r="AV73" s="600"/>
      <c r="AW73" s="600"/>
    </row>
    <row r="74" spans="1:51">
      <c r="A74" s="282"/>
      <c r="AT74" s="283"/>
      <c r="AV74" s="600"/>
      <c r="AW74" s="600"/>
    </row>
    <row r="75" spans="1:51">
      <c r="A75" s="282"/>
      <c r="B75" s="600" t="s">
        <v>544</v>
      </c>
      <c r="C75" s="600"/>
      <c r="F75" s="600" t="s">
        <v>550</v>
      </c>
      <c r="G75" s="600"/>
      <c r="J75" s="600" t="s">
        <v>572</v>
      </c>
      <c r="K75" s="600"/>
      <c r="N75" s="600" t="s">
        <v>558</v>
      </c>
      <c r="O75" s="600"/>
      <c r="R75" s="600" t="s">
        <v>651</v>
      </c>
      <c r="S75" s="600"/>
      <c r="V75" s="600" t="s">
        <v>646</v>
      </c>
      <c r="W75" s="600"/>
      <c r="Z75" s="600" t="s">
        <v>585</v>
      </c>
      <c r="AA75" s="600"/>
      <c r="AD75" s="600" t="s">
        <v>489</v>
      </c>
      <c r="AE75" s="600"/>
      <c r="AH75" s="600" t="s">
        <v>495</v>
      </c>
      <c r="AI75" s="600"/>
      <c r="AL75" s="600" t="s">
        <v>500</v>
      </c>
      <c r="AM75" s="600"/>
      <c r="AP75" s="600" t="s">
        <v>504</v>
      </c>
      <c r="AQ75" s="600"/>
      <c r="AT75" s="283"/>
      <c r="AV75" s="600"/>
      <c r="AW75" s="600"/>
    </row>
    <row r="76" spans="1:51">
      <c r="A76" s="282"/>
      <c r="AT76" s="283"/>
      <c r="AV76" s="600"/>
      <c r="AW76" s="600"/>
    </row>
    <row r="77" spans="1:51">
      <c r="A77" s="282"/>
      <c r="AT77" s="283"/>
      <c r="AV77" s="600"/>
      <c r="AW77" s="600"/>
    </row>
    <row r="78" spans="1:51">
      <c r="A78" s="282"/>
      <c r="B78" s="296" t="s">
        <v>791</v>
      </c>
      <c r="C78" s="296" t="s">
        <v>792</v>
      </c>
      <c r="D78" s="609">
        <f>VLOOKUP(B75,[14]Progress!$B$9:$D$310,3,FALSE)</f>
        <v>461.51</v>
      </c>
      <c r="E78" s="610"/>
      <c r="F78" s="314" t="s">
        <v>791</v>
      </c>
      <c r="G78" s="314" t="s">
        <v>792</v>
      </c>
      <c r="H78" s="607">
        <f>VLOOKUP(F75,[14]Progress!$B$9:$D$310,3,FALSE)</f>
        <v>283.43099999999998</v>
      </c>
      <c r="I78" s="608"/>
      <c r="J78" s="314" t="s">
        <v>791</v>
      </c>
      <c r="K78" s="314" t="s">
        <v>792</v>
      </c>
      <c r="L78" s="609">
        <f>VLOOKUP(J75,[14]Progress!$B$9:$D$310,3,FALSE)</f>
        <v>426</v>
      </c>
      <c r="M78" s="610"/>
      <c r="N78" s="314" t="s">
        <v>791</v>
      </c>
      <c r="O78" s="314" t="s">
        <v>792</v>
      </c>
      <c r="P78" s="609">
        <f>VLOOKUP(N75,[14]Progress!$B$9:$D$310,3,FALSE)</f>
        <v>396.09199999999998</v>
      </c>
      <c r="Q78" s="610"/>
      <c r="R78" s="314" t="s">
        <v>791</v>
      </c>
      <c r="S78" s="314" t="s">
        <v>792</v>
      </c>
      <c r="T78" s="607">
        <f>VLOOKUP(R75,[14]Progress!$B$9:$D$310,3,FALSE)</f>
        <v>312.87900000000002</v>
      </c>
      <c r="U78" s="608"/>
      <c r="V78" s="314" t="s">
        <v>791</v>
      </c>
      <c r="W78" s="314" t="s">
        <v>792</v>
      </c>
      <c r="X78" s="609">
        <f>VLOOKUP(V75,[14]Progress!$B$9:$D$310,3,FALSE)</f>
        <v>418.99900000000002</v>
      </c>
      <c r="Y78" s="610"/>
      <c r="Z78" s="314" t="s">
        <v>791</v>
      </c>
      <c r="AA78" s="314" t="s">
        <v>792</v>
      </c>
      <c r="AB78" s="609">
        <f>VLOOKUP(Z75,[14]Progress!$B$9:$D$310,3,FALSE)</f>
        <v>370.19900000000001</v>
      </c>
      <c r="AC78" s="610"/>
      <c r="AD78" s="314" t="s">
        <v>791</v>
      </c>
      <c r="AE78" s="314" t="s">
        <v>792</v>
      </c>
      <c r="AF78" s="609">
        <f>VLOOKUP(AD75,[14]Progress!$B$9:$D$310,3,FALSE)</f>
        <v>424.99599999999998</v>
      </c>
      <c r="AG78" s="610"/>
      <c r="AH78" s="314" t="s">
        <v>791</v>
      </c>
      <c r="AI78" s="314" t="s">
        <v>792</v>
      </c>
      <c r="AJ78" s="609">
        <f>VLOOKUP(AH75,[14]Progress!$B$9:$D$310,3,FALSE)</f>
        <v>404</v>
      </c>
      <c r="AK78" s="610"/>
      <c r="AL78" s="314" t="s">
        <v>791</v>
      </c>
      <c r="AM78" s="314" t="s">
        <v>792</v>
      </c>
      <c r="AN78" s="609">
        <f>VLOOKUP(AL75,[14]Progress!$B$9:$D$310,3,FALSE)</f>
        <v>428</v>
      </c>
      <c r="AO78" s="610"/>
      <c r="AP78" s="314" t="s">
        <v>791</v>
      </c>
      <c r="AQ78" s="314" t="s">
        <v>792</v>
      </c>
      <c r="AR78" s="609">
        <f>VLOOKUP(AP75,[14]Progress!$B$9:$D$310,3,FALSE)</f>
        <v>395</v>
      </c>
      <c r="AS78" s="611"/>
      <c r="AT78" s="283"/>
      <c r="AV78" s="600">
        <f>D78+H78+L78+P78+T78+X78+AB78+AF78+AJ78+AN78+AR78</f>
        <v>4321.1059999999998</v>
      </c>
      <c r="AW78" s="600"/>
      <c r="AY78">
        <v>11</v>
      </c>
    </row>
    <row r="79" spans="1:51">
      <c r="A79" s="282"/>
      <c r="B79" s="296" t="s">
        <v>794</v>
      </c>
      <c r="C79" s="296" t="s">
        <v>795</v>
      </c>
      <c r="F79" s="296" t="s">
        <v>794</v>
      </c>
      <c r="G79" s="296" t="s">
        <v>795</v>
      </c>
      <c r="J79" s="296" t="s">
        <v>794</v>
      </c>
      <c r="K79" s="296" t="s">
        <v>795</v>
      </c>
      <c r="N79" s="296" t="s">
        <v>794</v>
      </c>
      <c r="O79" s="296" t="s">
        <v>795</v>
      </c>
      <c r="R79" s="296" t="s">
        <v>794</v>
      </c>
      <c r="S79" s="296" t="s">
        <v>795</v>
      </c>
      <c r="V79" s="296" t="s">
        <v>794</v>
      </c>
      <c r="W79" s="296" t="s">
        <v>795</v>
      </c>
      <c r="Z79" s="296" t="s">
        <v>794</v>
      </c>
      <c r="AA79" s="296" t="s">
        <v>795</v>
      </c>
      <c r="AD79" s="296" t="s">
        <v>794</v>
      </c>
      <c r="AE79" s="296" t="s">
        <v>795</v>
      </c>
      <c r="AH79" s="296" t="s">
        <v>794</v>
      </c>
      <c r="AI79" s="296" t="s">
        <v>795</v>
      </c>
      <c r="AL79" s="296" t="s">
        <v>794</v>
      </c>
      <c r="AM79" s="296" t="s">
        <v>795</v>
      </c>
      <c r="AP79" s="296" t="s">
        <v>794</v>
      </c>
      <c r="AQ79" s="296" t="s">
        <v>795</v>
      </c>
      <c r="AT79" s="283"/>
      <c r="AV79" s="600"/>
      <c r="AW79" s="600"/>
    </row>
    <row r="80" spans="1:51" ht="10.5" customHeight="1">
      <c r="A80" s="282"/>
      <c r="B80" s="605"/>
      <c r="C80" s="605"/>
      <c r="F80" s="605"/>
      <c r="G80" s="605"/>
      <c r="J80" s="605"/>
      <c r="K80" s="605"/>
      <c r="N80" s="605"/>
      <c r="O80" s="605"/>
      <c r="R80" s="605"/>
      <c r="S80" s="605"/>
      <c r="V80" s="603"/>
      <c r="W80" s="604"/>
      <c r="Z80" s="605"/>
      <c r="AA80" s="605"/>
      <c r="AD80" s="605"/>
      <c r="AE80" s="605"/>
      <c r="AH80" s="605"/>
      <c r="AI80" s="605"/>
      <c r="AL80" s="605"/>
      <c r="AM80" s="605"/>
      <c r="AP80" s="605"/>
      <c r="AQ80" s="605"/>
      <c r="AT80" s="283"/>
      <c r="AV80" s="600"/>
      <c r="AW80" s="600"/>
    </row>
    <row r="81" spans="1:51">
      <c r="A81" s="282"/>
      <c r="B81" s="602" t="str">
        <f>VLOOKUP(+B75,'[14]Twr Schedule'!$B$9:$C$611,2,FALSE)</f>
        <v>DA+6</v>
      </c>
      <c r="C81" s="602"/>
      <c r="F81" s="602" t="str">
        <f>VLOOKUP(+F75,'[14]Twr Schedule'!$B$9:$C$611,2,FALSE)</f>
        <v>DB2+6</v>
      </c>
      <c r="G81" s="602"/>
      <c r="J81" s="602" t="str">
        <f>VLOOKUP(+J75,'[14]Twr Schedule'!$B$9:$C$611,2,FALSE)</f>
        <v>DB1+9</v>
      </c>
      <c r="K81" s="602"/>
      <c r="N81" s="602" t="str">
        <f>VLOOKUP(+N75,'[14]Twr Schedule'!$B$9:$C$611,2,FALSE)</f>
        <v>DA-3</v>
      </c>
      <c r="O81" s="602"/>
      <c r="R81" s="602" t="str">
        <f>VLOOKUP(+R75,'[14]Twr Schedule'!$B$9:$C$611,2,FALSE)</f>
        <v>DB1+18</v>
      </c>
      <c r="S81" s="602"/>
      <c r="V81" s="602" t="str">
        <f>VLOOKUP(+V75,'[14]Twr Schedule'!$B$9:$C$611,2,FALSE)</f>
        <v>DB2+18</v>
      </c>
      <c r="W81" s="602"/>
      <c r="Z81" s="602" t="str">
        <f>VLOOKUP(+Z75,'[14]Twr Schedule'!$B$9:$C$611,2,FALSE)</f>
        <v>DA-3</v>
      </c>
      <c r="AA81" s="602"/>
      <c r="AD81" s="602" t="str">
        <f>VLOOKUP(+AD75,'[14]Twr Schedule'!$B$9:$C$611,2,FALSE)</f>
        <v>DA+3</v>
      </c>
      <c r="AE81" s="602"/>
      <c r="AH81" s="602" t="str">
        <f>VLOOKUP(+AH75,'[14]Twr Schedule'!$B$9:$C$611,2,FALSE)</f>
        <v>DA+3</v>
      </c>
      <c r="AI81" s="602"/>
      <c r="AL81" s="602" t="str">
        <f>VLOOKUP(+AL75,'[14]Twr Schedule'!$B$9:$C$611,2,FALSE)</f>
        <v>DA+3</v>
      </c>
      <c r="AM81" s="602"/>
      <c r="AP81" s="602" t="str">
        <f>VLOOKUP(+AP75,'[14]Twr Schedule'!$B$9:$C$611,2,FALSE)</f>
        <v>DA+3</v>
      </c>
      <c r="AQ81" s="602"/>
      <c r="AT81" s="283"/>
      <c r="AV81" s="600"/>
      <c r="AW81" s="600"/>
    </row>
    <row r="82" spans="1:51">
      <c r="A82" s="282"/>
      <c r="G82" t="s">
        <v>818</v>
      </c>
      <c r="S82" t="s">
        <v>819</v>
      </c>
      <c r="AT82" s="283"/>
      <c r="AV82" s="600"/>
      <c r="AW82" s="600"/>
    </row>
    <row r="83" spans="1:51">
      <c r="A83" s="282"/>
      <c r="S83" t="s">
        <v>820</v>
      </c>
      <c r="AT83" s="283"/>
      <c r="AV83" s="600"/>
      <c r="AW83" s="600"/>
    </row>
    <row r="84" spans="1:51">
      <c r="A84" s="586" t="s">
        <v>817</v>
      </c>
      <c r="B84" s="587"/>
      <c r="C84" s="587"/>
      <c r="D84" s="587"/>
      <c r="E84" s="587"/>
      <c r="F84" s="587"/>
      <c r="G84" s="587"/>
      <c r="H84" s="587"/>
      <c r="I84" s="587"/>
      <c r="J84" s="587"/>
      <c r="K84" s="587"/>
      <c r="L84" s="587"/>
      <c r="M84" s="587"/>
      <c r="N84" s="587"/>
      <c r="O84" s="587"/>
      <c r="P84" s="587"/>
      <c r="Q84" s="587"/>
      <c r="R84" s="587"/>
      <c r="S84" s="587"/>
      <c r="T84" s="587"/>
      <c r="U84" s="587"/>
      <c r="V84" s="588"/>
      <c r="W84" s="586" t="s">
        <v>821</v>
      </c>
      <c r="X84" s="587"/>
      <c r="Y84" s="587"/>
      <c r="Z84" s="587"/>
      <c r="AA84" s="587"/>
      <c r="AB84" s="587"/>
      <c r="AC84" s="587"/>
      <c r="AD84" s="587"/>
      <c r="AE84" s="587"/>
      <c r="AF84" s="587"/>
      <c r="AG84" s="587"/>
      <c r="AH84" s="587"/>
      <c r="AI84" s="587"/>
      <c r="AJ84" s="587"/>
      <c r="AK84" s="587"/>
      <c r="AL84" s="587"/>
      <c r="AM84" s="587"/>
      <c r="AN84" s="587"/>
      <c r="AO84" s="587"/>
      <c r="AP84" s="587"/>
      <c r="AQ84" s="587"/>
      <c r="AR84" s="588"/>
      <c r="AT84" s="283"/>
      <c r="AV84" s="600"/>
      <c r="AW84" s="600"/>
    </row>
    <row r="85" spans="1:51">
      <c r="A85" s="282"/>
      <c r="B85" s="600" t="s">
        <v>599</v>
      </c>
      <c r="C85" s="600"/>
      <c r="F85" s="600" t="s">
        <v>631</v>
      </c>
      <c r="G85" s="600"/>
      <c r="J85" s="600" t="s">
        <v>610</v>
      </c>
      <c r="K85" s="600"/>
      <c r="N85" s="600" t="s">
        <v>510</v>
      </c>
      <c r="O85" s="600"/>
      <c r="R85" s="600" t="s">
        <v>641</v>
      </c>
      <c r="S85" s="600"/>
      <c r="V85" s="600" t="s">
        <v>634</v>
      </c>
      <c r="W85" s="600"/>
      <c r="Z85" s="600" t="s">
        <v>476</v>
      </c>
      <c r="AA85" s="600"/>
      <c r="AD85" s="600" t="s">
        <v>473</v>
      </c>
      <c r="AE85" s="600"/>
      <c r="AH85" s="600" t="s">
        <v>468</v>
      </c>
      <c r="AI85" s="600"/>
      <c r="AL85" s="600" t="s">
        <v>456</v>
      </c>
      <c r="AM85" s="600"/>
      <c r="AP85" s="600" t="s">
        <v>455</v>
      </c>
      <c r="AQ85" s="600"/>
      <c r="AT85" s="283"/>
      <c r="AV85" s="600"/>
      <c r="AW85" s="600"/>
    </row>
    <row r="86" spans="1:51">
      <c r="A86" s="282"/>
      <c r="AT86" s="283"/>
      <c r="AV86" s="600"/>
      <c r="AW86" s="600"/>
    </row>
    <row r="87" spans="1:51">
      <c r="A87" s="282"/>
      <c r="AT87" s="283"/>
      <c r="AV87" s="600"/>
      <c r="AW87" s="600"/>
    </row>
    <row r="88" spans="1:51">
      <c r="A88" s="282"/>
      <c r="B88" s="296" t="s">
        <v>791</v>
      </c>
      <c r="C88" s="296" t="s">
        <v>792</v>
      </c>
      <c r="D88" s="613">
        <f>VLOOKUP(B85,[14]Progress!$B$9:$D$310,3,FALSE)</f>
        <v>318</v>
      </c>
      <c r="E88" s="614"/>
      <c r="F88" s="296" t="s">
        <v>791</v>
      </c>
      <c r="G88" s="296" t="s">
        <v>792</v>
      </c>
      <c r="H88" s="613">
        <f>VLOOKUP(F85,[14]Progress!$B$9:$D$310,3,FALSE)</f>
        <v>357</v>
      </c>
      <c r="I88" s="614"/>
      <c r="J88" s="296" t="s">
        <v>791</v>
      </c>
      <c r="K88" s="296" t="s">
        <v>792</v>
      </c>
      <c r="L88" s="613">
        <f>VLOOKUP(J85,[14]Progress!$B$9:$D$310,3,FALSE)</f>
        <v>385</v>
      </c>
      <c r="M88" s="614"/>
      <c r="N88" s="296" t="s">
        <v>791</v>
      </c>
      <c r="O88" s="296" t="s">
        <v>792</v>
      </c>
      <c r="P88" s="609">
        <f>VLOOKUP(N85,[14]Progress!$B$9:$D$310,3,FALSE)</f>
        <v>418.77600000000001</v>
      </c>
      <c r="Q88" s="610"/>
      <c r="R88" s="314" t="s">
        <v>791</v>
      </c>
      <c r="S88" s="314" t="s">
        <v>792</v>
      </c>
      <c r="T88" s="607">
        <f>VLOOKUP(R85,[14]Progress!$B$9:$D$310,3,FALSE)</f>
        <v>319.13299999999998</v>
      </c>
      <c r="U88" s="608"/>
      <c r="V88" s="314" t="s">
        <v>791</v>
      </c>
      <c r="W88" s="314" t="s">
        <v>792</v>
      </c>
      <c r="X88" s="609">
        <f>VLOOKUP(V85,[14]Progress!$B$9:$D$310,3,FALSE)</f>
        <v>436</v>
      </c>
      <c r="Y88" s="610"/>
      <c r="Z88" s="314" t="s">
        <v>791</v>
      </c>
      <c r="AA88" s="314" t="s">
        <v>792</v>
      </c>
      <c r="AB88" s="609">
        <f>VLOOKUP(Z85,[14]Progress!$B$9:$D$310,3,FALSE)</f>
        <v>395</v>
      </c>
      <c r="AC88" s="610"/>
      <c r="AD88" s="314" t="s">
        <v>791</v>
      </c>
      <c r="AE88" s="314" t="s">
        <v>792</v>
      </c>
      <c r="AF88" s="609">
        <f>VLOOKUP(AD85,[14]Progress!$B$9:$D$310,3,FALSE)</f>
        <v>306</v>
      </c>
      <c r="AG88" s="610"/>
      <c r="AH88" s="296" t="s">
        <v>791</v>
      </c>
      <c r="AI88" s="296" t="s">
        <v>792</v>
      </c>
      <c r="AJ88" s="613">
        <f>VLOOKUP(AH85,[14]Progress!$B$9:$D$310,3,FALSE)</f>
        <v>412</v>
      </c>
      <c r="AK88" s="614"/>
      <c r="AL88" s="296" t="s">
        <v>791</v>
      </c>
      <c r="AM88" s="296" t="s">
        <v>792</v>
      </c>
      <c r="AN88" s="613">
        <f>VLOOKUP(AL85,[14]Progress!$B$9:$D$310,3,FALSE)</f>
        <v>414</v>
      </c>
      <c r="AO88" s="614"/>
      <c r="AP88" s="296" t="s">
        <v>791</v>
      </c>
      <c r="AQ88" s="296" t="s">
        <v>792</v>
      </c>
      <c r="AR88" s="613">
        <f>VLOOKUP(AP85,[14]Progress!$B$9:$D$310,3,FALSE)</f>
        <v>420</v>
      </c>
      <c r="AS88" s="600"/>
      <c r="AT88" s="283"/>
      <c r="AV88" s="600">
        <f>D88+H88+L88+P88+T88+X88+AB88+AF88+AJ88+AN88+AR88</f>
        <v>4180.9089999999997</v>
      </c>
      <c r="AW88" s="600"/>
      <c r="AY88">
        <v>11</v>
      </c>
    </row>
    <row r="89" spans="1:51">
      <c r="A89" s="282"/>
      <c r="B89" s="296" t="s">
        <v>794</v>
      </c>
      <c r="C89" s="296" t="s">
        <v>795</v>
      </c>
      <c r="F89" s="296" t="s">
        <v>794</v>
      </c>
      <c r="G89" s="296" t="s">
        <v>795</v>
      </c>
      <c r="J89" s="296" t="s">
        <v>794</v>
      </c>
      <c r="K89" s="296" t="s">
        <v>795</v>
      </c>
      <c r="N89" s="296" t="s">
        <v>794</v>
      </c>
      <c r="O89" s="296" t="s">
        <v>795</v>
      </c>
      <c r="R89" s="296" t="s">
        <v>794</v>
      </c>
      <c r="S89" s="296" t="s">
        <v>795</v>
      </c>
      <c r="V89" s="296" t="s">
        <v>794</v>
      </c>
      <c r="W89" s="296" t="s">
        <v>795</v>
      </c>
      <c r="Z89" s="296" t="s">
        <v>794</v>
      </c>
      <c r="AA89" s="296" t="s">
        <v>795</v>
      </c>
      <c r="AD89" s="296" t="s">
        <v>794</v>
      </c>
      <c r="AE89" s="296" t="s">
        <v>795</v>
      </c>
      <c r="AH89" s="296" t="s">
        <v>794</v>
      </c>
      <c r="AI89" s="296" t="s">
        <v>795</v>
      </c>
      <c r="AL89" s="296" t="s">
        <v>794</v>
      </c>
      <c r="AM89" s="296" t="s">
        <v>795</v>
      </c>
      <c r="AP89" s="296" t="s">
        <v>794</v>
      </c>
      <c r="AQ89" s="296" t="s">
        <v>795</v>
      </c>
      <c r="AT89" s="283"/>
      <c r="AV89" s="600"/>
      <c r="AW89" s="600"/>
    </row>
    <row r="90" spans="1:51" ht="10.5" customHeight="1">
      <c r="A90" s="282"/>
      <c r="B90" s="605"/>
      <c r="C90" s="605"/>
      <c r="F90" s="605"/>
      <c r="G90" s="605"/>
      <c r="J90" s="605"/>
      <c r="K90" s="605"/>
      <c r="N90" s="605"/>
      <c r="O90" s="605"/>
      <c r="R90" s="605"/>
      <c r="S90" s="605"/>
      <c r="V90" s="605"/>
      <c r="W90" s="605"/>
      <c r="Z90" s="605"/>
      <c r="AA90" s="605"/>
      <c r="AD90" s="605"/>
      <c r="AE90" s="605"/>
      <c r="AH90" s="605"/>
      <c r="AI90" s="605"/>
      <c r="AL90" s="605"/>
      <c r="AM90" s="605"/>
      <c r="AP90" s="605"/>
      <c r="AQ90" s="605"/>
      <c r="AT90" s="283"/>
      <c r="AV90" s="600"/>
      <c r="AW90" s="600"/>
    </row>
    <row r="91" spans="1:51">
      <c r="A91" s="282"/>
      <c r="B91" s="602" t="str">
        <f>VLOOKUP(+B85,'[14]Twr Schedule'!$B$9:$C$611,2,FALSE)</f>
        <v>DA-3</v>
      </c>
      <c r="C91" s="602"/>
      <c r="F91" s="602" t="str">
        <f>VLOOKUP(+F85,'[14]Twr Schedule'!$B$9:$C$611,2,FALSE)</f>
        <v>DA-3</v>
      </c>
      <c r="G91" s="602"/>
      <c r="J91" s="602" t="str">
        <f>VLOOKUP(+J85,'[14]Twr Schedule'!$B$9:$C$611,2,FALSE)</f>
        <v>DA-3</v>
      </c>
      <c r="K91" s="602"/>
      <c r="N91" s="602" t="str">
        <f>VLOOKUP(+N85,'[14]Twr Schedule'!$B$9:$C$611,2,FALSE)</f>
        <v>DA+3</v>
      </c>
      <c r="O91" s="602"/>
      <c r="R91" s="612" t="str">
        <f>VLOOKUP(+R85,'[14]Twr Schedule'!$B$9:$C$611,2,FALSE)</f>
        <v>DD60+30</v>
      </c>
      <c r="S91" s="612"/>
      <c r="T91" s="315"/>
      <c r="U91" s="315"/>
      <c r="V91" s="612" t="str">
        <f>VLOOKUP(+V85,'[14]Twr Schedule'!$B$9:$C$611,2,FALSE)</f>
        <v>DD60+30</v>
      </c>
      <c r="W91" s="612"/>
      <c r="Z91" s="602" t="str">
        <f>VLOOKUP(+Z85,'[14]Twr Schedule'!$B$9:$C$611,2,FALSE)</f>
        <v>DA+0</v>
      </c>
      <c r="AA91" s="602"/>
      <c r="AD91" s="602" t="str">
        <f>VLOOKUP(+AD85,'[14]Twr Schedule'!$B$9:$C$611,2,FALSE)</f>
        <v>DA+0</v>
      </c>
      <c r="AE91" s="602"/>
      <c r="AH91" s="602" t="str">
        <f>VLOOKUP(+AH85,'[14]Twr Schedule'!$B$9:$C$611,2,FALSE)</f>
        <v>DA+0</v>
      </c>
      <c r="AI91" s="602"/>
      <c r="AL91" s="602" t="str">
        <f>VLOOKUP(+AL85,'[14]Twr Schedule'!$B$9:$C$611,2,FALSE)</f>
        <v>DA+3</v>
      </c>
      <c r="AM91" s="602"/>
      <c r="AP91" s="602" t="str">
        <f>VLOOKUP(+AP85,'[14]Twr Schedule'!$B$9:$C$611,2,FALSE)</f>
        <v>DA+3</v>
      </c>
      <c r="AQ91" s="602"/>
      <c r="AT91" s="283"/>
      <c r="AV91" s="600"/>
      <c r="AW91" s="600"/>
    </row>
    <row r="92" spans="1:51">
      <c r="A92" s="282"/>
      <c r="B92" s="2"/>
      <c r="C92" s="2"/>
      <c r="F92" s="2"/>
      <c r="G92" s="2"/>
      <c r="J92" s="2"/>
      <c r="K92" s="2"/>
      <c r="N92" s="2"/>
      <c r="O92" s="2"/>
      <c r="R92" s="2"/>
      <c r="S92" s="312" t="s">
        <v>822</v>
      </c>
      <c r="V92" s="2"/>
      <c r="W92" s="2"/>
      <c r="Z92" s="2"/>
      <c r="AA92" s="2"/>
      <c r="AD92" s="2"/>
      <c r="AE92" s="2"/>
      <c r="AH92" s="2"/>
      <c r="AI92" s="2"/>
      <c r="AL92" s="2"/>
      <c r="AM92" s="2"/>
      <c r="AP92" s="2"/>
      <c r="AQ92" s="2"/>
      <c r="AT92" s="283"/>
      <c r="AV92" s="600"/>
      <c r="AW92" s="600"/>
    </row>
    <row r="93" spans="1:51">
      <c r="A93" s="586" t="s">
        <v>821</v>
      </c>
      <c r="B93" s="587"/>
      <c r="C93" s="587"/>
      <c r="D93" s="587"/>
      <c r="E93" s="587"/>
      <c r="F93" s="587"/>
      <c r="G93" s="587"/>
      <c r="H93" s="587"/>
      <c r="I93" s="587"/>
      <c r="J93" s="587"/>
      <c r="K93" s="587"/>
      <c r="L93" s="587"/>
      <c r="M93" s="587"/>
      <c r="N93" s="587"/>
      <c r="O93" s="587"/>
      <c r="P93" s="587"/>
      <c r="Q93" s="587"/>
      <c r="R93" s="587"/>
      <c r="S93" s="587"/>
      <c r="T93" s="587"/>
      <c r="U93" s="587"/>
      <c r="V93" s="588"/>
      <c r="W93" s="586" t="s">
        <v>823</v>
      </c>
      <c r="X93" s="587"/>
      <c r="Y93" s="587"/>
      <c r="Z93" s="587"/>
      <c r="AA93" s="587"/>
      <c r="AB93" s="587"/>
      <c r="AC93" s="587"/>
      <c r="AD93" s="587"/>
      <c r="AE93" s="587"/>
      <c r="AF93" s="587"/>
      <c r="AG93" s="587"/>
      <c r="AH93" s="587"/>
      <c r="AI93" s="587"/>
      <c r="AJ93" s="587"/>
      <c r="AK93" s="587"/>
      <c r="AL93" s="587"/>
      <c r="AM93" s="587"/>
      <c r="AN93" s="587"/>
      <c r="AO93" s="587"/>
      <c r="AP93" s="587"/>
      <c r="AQ93" s="587"/>
      <c r="AR93" s="588"/>
      <c r="AT93" s="283"/>
      <c r="AV93" s="600"/>
      <c r="AW93" s="600"/>
    </row>
    <row r="94" spans="1:51">
      <c r="A94" s="282"/>
      <c r="AT94" s="283"/>
      <c r="AV94" s="600"/>
      <c r="AW94" s="600"/>
    </row>
    <row r="95" spans="1:51">
      <c r="A95" s="282"/>
      <c r="B95" s="600" t="s">
        <v>453</v>
      </c>
      <c r="C95" s="600"/>
      <c r="F95" s="600" t="s">
        <v>464</v>
      </c>
      <c r="G95" s="600"/>
      <c r="J95" s="600" t="s">
        <v>461</v>
      </c>
      <c r="K95" s="600"/>
      <c r="N95" s="600" t="s">
        <v>603</v>
      </c>
      <c r="O95" s="600"/>
      <c r="R95" s="600" t="s">
        <v>649</v>
      </c>
      <c r="S95" s="600"/>
      <c r="V95" s="600" t="s">
        <v>661</v>
      </c>
      <c r="W95" s="600"/>
      <c r="Z95" s="600" t="s">
        <v>482</v>
      </c>
      <c r="AA95" s="600"/>
      <c r="AD95" s="600" t="s">
        <v>497</v>
      </c>
      <c r="AE95" s="600"/>
      <c r="AH95" s="600" t="s">
        <v>493</v>
      </c>
      <c r="AI95" s="600"/>
      <c r="AL95" s="600" t="s">
        <v>487</v>
      </c>
      <c r="AM95" s="600"/>
      <c r="AP95" s="600" t="s">
        <v>502</v>
      </c>
      <c r="AQ95" s="600"/>
      <c r="AT95" s="283"/>
      <c r="AV95" s="600"/>
      <c r="AW95" s="600"/>
    </row>
    <row r="96" spans="1:51">
      <c r="A96" s="282"/>
      <c r="AT96" s="283"/>
      <c r="AV96" s="600"/>
      <c r="AW96" s="600"/>
    </row>
    <row r="97" spans="1:51">
      <c r="A97" s="282"/>
      <c r="AT97" s="283"/>
      <c r="AV97" s="600"/>
      <c r="AW97" s="600"/>
    </row>
    <row r="98" spans="1:51">
      <c r="A98" s="282"/>
      <c r="B98" s="296" t="s">
        <v>791</v>
      </c>
      <c r="C98" s="296" t="s">
        <v>792</v>
      </c>
      <c r="D98" s="613">
        <f>VLOOKUP(B95,[14]Progress!$B$9:$D$310,3,FALSE)</f>
        <v>410</v>
      </c>
      <c r="E98" s="614"/>
      <c r="F98" s="296" t="s">
        <v>791</v>
      </c>
      <c r="G98" s="296" t="s">
        <v>792</v>
      </c>
      <c r="H98" s="613">
        <f>VLOOKUP(F95,[14]Progress!$B$9:$D$310,3,FALSE)</f>
        <v>410</v>
      </c>
      <c r="I98" s="614"/>
      <c r="J98" s="296" t="s">
        <v>791</v>
      </c>
      <c r="K98" s="296" t="s">
        <v>792</v>
      </c>
      <c r="L98" s="613">
        <f>VLOOKUP(J95,[14]Progress!$B$9:$D$310,3,FALSE)</f>
        <v>407.995</v>
      </c>
      <c r="M98" s="614"/>
      <c r="N98" s="296" t="s">
        <v>791</v>
      </c>
      <c r="O98" s="296" t="s">
        <v>792</v>
      </c>
      <c r="P98" s="607">
        <f>VLOOKUP(N95,[14]Progress!$B$9:$D$310,3,FALSE)</f>
        <v>464.74200000000002</v>
      </c>
      <c r="Q98" s="608"/>
      <c r="R98" s="296" t="s">
        <v>791</v>
      </c>
      <c r="S98" s="296" t="s">
        <v>792</v>
      </c>
      <c r="T98" s="607">
        <f>VLOOKUP(R95,[14]Progress!$B$9:$D$310,3,FALSE)</f>
        <v>264.68700000000001</v>
      </c>
      <c r="U98" s="608"/>
      <c r="V98" s="296" t="s">
        <v>791</v>
      </c>
      <c r="W98" s="296" t="s">
        <v>792</v>
      </c>
      <c r="X98" s="613">
        <f>VLOOKUP(V95,[14]Progress!$B$9:$D$310,3,FALSE)</f>
        <v>400</v>
      </c>
      <c r="Y98" s="614"/>
      <c r="Z98" s="296" t="s">
        <v>791</v>
      </c>
      <c r="AA98" s="296" t="s">
        <v>792</v>
      </c>
      <c r="AB98" s="613">
        <f>VLOOKUP(Z95,[14]Progress!$B$9:$D$310,3,FALSE)</f>
        <v>310</v>
      </c>
      <c r="AC98" s="614"/>
      <c r="AD98" s="296" t="s">
        <v>791</v>
      </c>
      <c r="AE98" s="296" t="s">
        <v>792</v>
      </c>
      <c r="AF98" s="613">
        <f>VLOOKUP(AD95,[14]Progress!$B$9:$D$310,3,FALSE)</f>
        <v>361.49700000000001</v>
      </c>
      <c r="AG98" s="614"/>
      <c r="AH98" s="296" t="s">
        <v>791</v>
      </c>
      <c r="AI98" s="296" t="s">
        <v>792</v>
      </c>
      <c r="AJ98" s="613">
        <f>VLOOKUP(AH95,[14]Progress!$B$9:$D$310,3,FALSE)</f>
        <v>366.00200000000001</v>
      </c>
      <c r="AK98" s="614"/>
      <c r="AL98" s="296" t="s">
        <v>791</v>
      </c>
      <c r="AM98" s="296" t="s">
        <v>792</v>
      </c>
      <c r="AN98" s="613">
        <f>VLOOKUP(AL95,[14]Progress!$B$9:$D$310,3,FALSE)</f>
        <v>436.99900000000002</v>
      </c>
      <c r="AO98" s="614"/>
      <c r="AP98" s="296" t="s">
        <v>791</v>
      </c>
      <c r="AQ98" s="296" t="s">
        <v>792</v>
      </c>
      <c r="AR98" s="613">
        <f>VLOOKUP(AP95,[14]Progress!$B$9:$D$310,3,FALSE)</f>
        <v>389.99900000000002</v>
      </c>
      <c r="AS98" s="600"/>
      <c r="AT98" s="283"/>
      <c r="AV98" s="600">
        <f>D98+H98+L98+P98+T98+X98+AB98+AF98+AJ98+AN98+AR98</f>
        <v>4221.9209999999994</v>
      </c>
      <c r="AW98" s="600"/>
      <c r="AY98">
        <v>11</v>
      </c>
    </row>
    <row r="99" spans="1:51">
      <c r="A99" s="282"/>
      <c r="B99" s="296" t="s">
        <v>794</v>
      </c>
      <c r="C99" s="296" t="s">
        <v>795</v>
      </c>
      <c r="F99" s="296" t="s">
        <v>794</v>
      </c>
      <c r="G99" s="296" t="s">
        <v>795</v>
      </c>
      <c r="J99" s="296" t="s">
        <v>794</v>
      </c>
      <c r="K99" s="296" t="s">
        <v>795</v>
      </c>
      <c r="N99" s="296" t="s">
        <v>794</v>
      </c>
      <c r="O99" s="296" t="s">
        <v>795</v>
      </c>
      <c r="R99" s="296" t="s">
        <v>794</v>
      </c>
      <c r="S99" s="296" t="s">
        <v>795</v>
      </c>
      <c r="V99" s="296" t="s">
        <v>794</v>
      </c>
      <c r="W99" s="296" t="s">
        <v>795</v>
      </c>
      <c r="Z99" s="296" t="s">
        <v>794</v>
      </c>
      <c r="AA99" s="296" t="s">
        <v>795</v>
      </c>
      <c r="AD99" s="296" t="s">
        <v>794</v>
      </c>
      <c r="AE99" s="296" t="s">
        <v>795</v>
      </c>
      <c r="AH99" s="296" t="s">
        <v>794</v>
      </c>
      <c r="AI99" s="296" t="s">
        <v>795</v>
      </c>
      <c r="AL99" s="296" t="s">
        <v>794</v>
      </c>
      <c r="AM99" s="296" t="s">
        <v>795</v>
      </c>
      <c r="AP99" s="296" t="s">
        <v>794</v>
      </c>
      <c r="AQ99" s="296" t="s">
        <v>795</v>
      </c>
      <c r="AT99" s="283"/>
      <c r="AV99" s="600"/>
      <c r="AW99" s="600"/>
    </row>
    <row r="100" spans="1:51" ht="10.5" customHeight="1">
      <c r="A100" s="282"/>
      <c r="B100" s="605"/>
      <c r="C100" s="605"/>
      <c r="F100" s="605"/>
      <c r="G100" s="605"/>
      <c r="J100" s="605"/>
      <c r="K100" s="605"/>
      <c r="N100" s="605"/>
      <c r="O100" s="605"/>
      <c r="R100" s="605"/>
      <c r="S100" s="605"/>
      <c r="V100" s="605"/>
      <c r="W100" s="605"/>
      <c r="Z100" s="605"/>
      <c r="AA100" s="605"/>
      <c r="AD100" s="605"/>
      <c r="AE100" s="605"/>
      <c r="AH100" s="605"/>
      <c r="AI100" s="605"/>
      <c r="AL100" s="605"/>
      <c r="AM100" s="605"/>
      <c r="AP100" s="605"/>
      <c r="AQ100" s="605"/>
      <c r="AT100" s="283"/>
      <c r="AV100" s="600"/>
      <c r="AW100" s="600"/>
    </row>
    <row r="101" spans="1:51">
      <c r="A101" s="282"/>
      <c r="B101" s="602" t="str">
        <f>VLOOKUP(+B95,'[14]Twr Schedule'!$B$9:$C$611,2,FALSE)</f>
        <v>DA+3</v>
      </c>
      <c r="C101" s="602"/>
      <c r="F101" s="602" t="str">
        <f>VLOOKUP(+F95,'[14]Twr Schedule'!$B$9:$C$611,2,FALSE)</f>
        <v>DA+0</v>
      </c>
      <c r="G101" s="602"/>
      <c r="J101" s="602" t="str">
        <f>VLOOKUP(+J95,'[14]Twr Schedule'!$B$9:$C$611,2,FALSE)</f>
        <v>DA+3</v>
      </c>
      <c r="K101" s="602"/>
      <c r="N101" s="602" t="str">
        <f>VLOOKUP(+N95,'[14]Twr Schedule'!$B$9:$C$611,2,FALSE)</f>
        <v>DC2+3</v>
      </c>
      <c r="O101" s="602"/>
      <c r="R101" s="602" t="str">
        <f>VLOOKUP(+R95,'[14]Twr Schedule'!$B$9:$C$611,2,FALSE)</f>
        <v>DB2+25</v>
      </c>
      <c r="S101" s="602"/>
      <c r="V101" s="602" t="str">
        <f>VLOOKUP(+V95,'[14]Twr Schedule'!$B$9:$C$611,2,FALSE)</f>
        <v>DB2+6</v>
      </c>
      <c r="W101" s="602"/>
      <c r="Z101" s="602" t="str">
        <f>VLOOKUP(+Z95,'[14]Twr Schedule'!$B$9:$C$611,2,FALSE)</f>
        <v>DA-3</v>
      </c>
      <c r="AA101" s="602"/>
      <c r="AD101" s="602" t="str">
        <f>VLOOKUP(+AD95,'[14]Twr Schedule'!$B$9:$C$611,2,FALSE)</f>
        <v>DA+0</v>
      </c>
      <c r="AE101" s="602"/>
      <c r="AH101" s="602" t="str">
        <f>VLOOKUP(+AH95,'[14]Twr Schedule'!$B$9:$C$611,2,FALSE)</f>
        <v>DA+0</v>
      </c>
      <c r="AI101" s="602"/>
      <c r="AL101" s="602" t="str">
        <f>VLOOKUP(+AL95,'[14]Twr Schedule'!$B$9:$C$611,2,FALSE)</f>
        <v>DA+3</v>
      </c>
      <c r="AM101" s="602"/>
      <c r="AP101" s="602" t="str">
        <f>VLOOKUP(+AP95,'[14]Twr Schedule'!$B$9:$C$611,2,FALSE)</f>
        <v>DA+3</v>
      </c>
      <c r="AQ101" s="602"/>
      <c r="AT101" s="283"/>
      <c r="AV101" s="600"/>
      <c r="AW101" s="600"/>
    </row>
    <row r="102" spans="1:51">
      <c r="A102" s="282"/>
      <c r="R102" s="316" t="s">
        <v>824</v>
      </c>
      <c r="T102" t="s">
        <v>825</v>
      </c>
      <c r="AT102" s="283"/>
      <c r="AV102" s="600"/>
      <c r="AW102" s="600"/>
    </row>
    <row r="103" spans="1:51">
      <c r="A103" s="282"/>
      <c r="N103" t="s">
        <v>826</v>
      </c>
      <c r="AT103" s="283"/>
      <c r="AV103" s="600"/>
      <c r="AW103" s="600"/>
    </row>
    <row r="104" spans="1:51">
      <c r="A104" s="586" t="s">
        <v>823</v>
      </c>
      <c r="B104" s="587"/>
      <c r="C104" s="587"/>
      <c r="D104" s="587"/>
      <c r="E104" s="587"/>
      <c r="F104" s="587"/>
      <c r="G104" s="587"/>
      <c r="H104" s="587"/>
      <c r="I104" s="587"/>
      <c r="J104" s="587"/>
      <c r="K104" s="587"/>
      <c r="L104" s="587"/>
      <c r="M104" s="587"/>
      <c r="N104" s="587"/>
      <c r="O104" s="587"/>
      <c r="P104" s="587"/>
      <c r="Q104" s="587"/>
      <c r="R104" s="588"/>
      <c r="S104" s="586" t="s">
        <v>827</v>
      </c>
      <c r="T104" s="587"/>
      <c r="U104" s="587"/>
      <c r="V104" s="587"/>
      <c r="W104" s="587"/>
      <c r="X104" s="587"/>
      <c r="Y104" s="587"/>
      <c r="Z104" s="587"/>
      <c r="AA104" s="587"/>
      <c r="AB104" s="587"/>
      <c r="AC104" s="587"/>
      <c r="AD104" s="587"/>
      <c r="AE104" s="587"/>
      <c r="AF104" s="587"/>
      <c r="AG104" s="587"/>
      <c r="AH104" s="587"/>
      <c r="AI104" s="587"/>
      <c r="AJ104" s="587"/>
      <c r="AK104" s="587"/>
      <c r="AL104" s="587"/>
      <c r="AM104" s="587"/>
      <c r="AN104" s="587"/>
      <c r="AO104" s="587"/>
      <c r="AP104" s="587"/>
      <c r="AQ104" s="587"/>
      <c r="AR104" s="588"/>
      <c r="AT104" s="283"/>
      <c r="AV104" s="600"/>
      <c r="AW104" s="600"/>
    </row>
    <row r="105" spans="1:51">
      <c r="A105" s="282"/>
      <c r="B105" s="600" t="s">
        <v>658</v>
      </c>
      <c r="C105" s="600"/>
      <c r="F105" s="600" t="s">
        <v>506</v>
      </c>
      <c r="G105" s="600"/>
      <c r="J105" s="600" t="s">
        <v>591</v>
      </c>
      <c r="K105" s="600"/>
      <c r="N105" s="600" t="s">
        <v>645</v>
      </c>
      <c r="O105" s="600"/>
      <c r="R105" s="600" t="s">
        <v>659</v>
      </c>
      <c r="S105" s="600"/>
      <c r="V105" s="600" t="s">
        <v>474</v>
      </c>
      <c r="W105" s="600"/>
      <c r="Z105" s="600" t="s">
        <v>463</v>
      </c>
      <c r="AA105" s="600"/>
      <c r="AD105" s="600" t="s">
        <v>458</v>
      </c>
      <c r="AE105" s="600"/>
      <c r="AH105" s="600" t="s">
        <v>470</v>
      </c>
      <c r="AI105" s="600"/>
      <c r="AL105" s="600" t="s">
        <v>478</v>
      </c>
      <c r="AM105" s="600"/>
      <c r="AP105" s="600" t="s">
        <v>486</v>
      </c>
      <c r="AQ105" s="600"/>
      <c r="AT105" s="283"/>
      <c r="AV105" s="600"/>
      <c r="AW105" s="600"/>
    </row>
    <row r="106" spans="1:51">
      <c r="A106" s="282"/>
      <c r="AT106" s="283"/>
      <c r="AV106" s="600"/>
      <c r="AW106" s="600"/>
    </row>
    <row r="107" spans="1:51">
      <c r="A107" s="282"/>
      <c r="AT107" s="283"/>
      <c r="AV107" s="600"/>
      <c r="AW107" s="600"/>
    </row>
    <row r="108" spans="1:51">
      <c r="A108" s="282"/>
      <c r="B108" s="296" t="s">
        <v>791</v>
      </c>
      <c r="C108" s="296" t="s">
        <v>792</v>
      </c>
      <c r="D108" s="297">
        <f>VLOOKUP(B105,[14]Progress!$B$9:$D$310,3,FALSE)</f>
        <v>400.99900000000002</v>
      </c>
      <c r="E108" s="295"/>
      <c r="F108" s="296" t="s">
        <v>791</v>
      </c>
      <c r="G108" s="296" t="s">
        <v>792</v>
      </c>
      <c r="H108" s="613">
        <f>VLOOKUP(F105,[14]Progress!$B$9:$D$310,3,FALSE)</f>
        <v>391.99900000000002</v>
      </c>
      <c r="I108" s="614"/>
      <c r="J108" s="296" t="s">
        <v>791</v>
      </c>
      <c r="K108" s="296" t="s">
        <v>792</v>
      </c>
      <c r="L108" s="609">
        <f>VLOOKUP(J105,[14]Progress!$B$9:$D$310,3,FALSE)</f>
        <v>374.07</v>
      </c>
      <c r="M108" s="610"/>
      <c r="N108" s="296" t="s">
        <v>791</v>
      </c>
      <c r="O108" s="296" t="s">
        <v>792</v>
      </c>
      <c r="P108" s="607">
        <f>VLOOKUP(N105,[14]Progress!$B$9:$D$310,3,FALSE)</f>
        <v>323.02999999999997</v>
      </c>
      <c r="Q108" s="608"/>
      <c r="R108" s="296" t="s">
        <v>791</v>
      </c>
      <c r="S108" s="296" t="s">
        <v>792</v>
      </c>
      <c r="T108" s="613">
        <f>VLOOKUP(R105,[14]Progress!$B$9:$D$310,3,FALSE)</f>
        <v>343.13</v>
      </c>
      <c r="U108" s="614"/>
      <c r="V108" s="296" t="s">
        <v>791</v>
      </c>
      <c r="W108" s="296" t="s">
        <v>792</v>
      </c>
      <c r="X108" s="613">
        <f>VLOOKUP(V105,[14]Progress!$B$9:$D$310,3,FALSE)</f>
        <v>392</v>
      </c>
      <c r="Y108" s="614"/>
      <c r="Z108" s="296" t="s">
        <v>791</v>
      </c>
      <c r="AA108" s="296" t="s">
        <v>792</v>
      </c>
      <c r="AB108" s="613">
        <f>VLOOKUP(Z105,[14]Progress!$B$9:$D$310,3,FALSE)</f>
        <v>407</v>
      </c>
      <c r="AC108" s="614"/>
      <c r="AD108" s="296" t="s">
        <v>791</v>
      </c>
      <c r="AE108" s="296" t="s">
        <v>792</v>
      </c>
      <c r="AF108" s="613">
        <f>VLOOKUP(AD105,[14]Progress!$B$9:$D$310,3,FALSE)</f>
        <v>412</v>
      </c>
      <c r="AG108" s="614"/>
      <c r="AH108" s="296" t="s">
        <v>791</v>
      </c>
      <c r="AI108" s="296" t="s">
        <v>792</v>
      </c>
      <c r="AJ108" s="613">
        <f>VLOOKUP(AH105,[14]Progress!$B$9:$D$310,3,FALSE)</f>
        <v>371</v>
      </c>
      <c r="AK108" s="614"/>
      <c r="AL108" s="296" t="s">
        <v>791</v>
      </c>
      <c r="AM108" s="296" t="s">
        <v>792</v>
      </c>
      <c r="AN108" s="613">
        <f>VLOOKUP(AL105,[14]Progress!$B$9:$D$310,3,FALSE)</f>
        <v>376</v>
      </c>
      <c r="AO108" s="614"/>
      <c r="AP108" s="296" t="s">
        <v>791</v>
      </c>
      <c r="AQ108" s="296" t="s">
        <v>792</v>
      </c>
      <c r="AR108" s="613">
        <f>VLOOKUP(AP105,[14]Progress!$B$9:$D$310,3,FALSE)</f>
        <v>421</v>
      </c>
      <c r="AS108" s="600"/>
      <c r="AT108" s="283"/>
      <c r="AV108" s="600">
        <f>D108+H108+L108+P108+T108+X108+AB108+AF108+AJ108+AN108+AR108</f>
        <v>4212.2280000000001</v>
      </c>
      <c r="AW108" s="600"/>
      <c r="AY108">
        <v>11</v>
      </c>
    </row>
    <row r="109" spans="1:51">
      <c r="A109" s="282"/>
      <c r="B109" s="296" t="s">
        <v>794</v>
      </c>
      <c r="C109" s="296" t="s">
        <v>795</v>
      </c>
      <c r="F109" s="296" t="s">
        <v>794</v>
      </c>
      <c r="G109" s="296" t="s">
        <v>795</v>
      </c>
      <c r="J109" s="296" t="s">
        <v>794</v>
      </c>
      <c r="K109" s="296" t="s">
        <v>795</v>
      </c>
      <c r="N109" s="296" t="s">
        <v>794</v>
      </c>
      <c r="O109" s="296" t="s">
        <v>795</v>
      </c>
      <c r="R109" s="296" t="s">
        <v>794</v>
      </c>
      <c r="S109" s="296" t="s">
        <v>795</v>
      </c>
      <c r="V109" s="296" t="s">
        <v>794</v>
      </c>
      <c r="W109" s="296" t="s">
        <v>795</v>
      </c>
      <c r="Z109" s="296" t="s">
        <v>794</v>
      </c>
      <c r="AA109" s="296" t="s">
        <v>795</v>
      </c>
      <c r="AD109" s="296" t="s">
        <v>794</v>
      </c>
      <c r="AE109" s="296" t="s">
        <v>795</v>
      </c>
      <c r="AH109" s="296" t="s">
        <v>794</v>
      </c>
      <c r="AI109" s="296" t="s">
        <v>795</v>
      </c>
      <c r="AL109" s="296" t="s">
        <v>794</v>
      </c>
      <c r="AM109" s="296" t="s">
        <v>795</v>
      </c>
      <c r="AP109" s="296" t="s">
        <v>794</v>
      </c>
      <c r="AQ109" s="296" t="s">
        <v>795</v>
      </c>
      <c r="AT109" s="283"/>
      <c r="AV109" s="600"/>
      <c r="AW109" s="600"/>
    </row>
    <row r="110" spans="1:51" ht="10.5" customHeight="1">
      <c r="A110" s="282"/>
      <c r="B110" s="605"/>
      <c r="C110" s="605"/>
      <c r="F110" s="605"/>
      <c r="G110" s="605"/>
      <c r="J110" s="605"/>
      <c r="K110" s="605"/>
      <c r="N110" s="605"/>
      <c r="O110" s="605"/>
      <c r="R110" s="605"/>
      <c r="S110" s="605"/>
      <c r="V110" s="605"/>
      <c r="W110" s="605"/>
      <c r="Z110" s="605"/>
      <c r="AA110" s="605"/>
      <c r="AD110" s="605"/>
      <c r="AE110" s="605"/>
      <c r="AH110" s="605"/>
      <c r="AI110" s="605"/>
      <c r="AL110" s="605"/>
      <c r="AM110" s="605"/>
      <c r="AP110" s="605"/>
      <c r="AQ110" s="605"/>
      <c r="AT110" s="283"/>
      <c r="AV110" s="600"/>
      <c r="AW110" s="600"/>
    </row>
    <row r="111" spans="1:51">
      <c r="A111" s="282"/>
      <c r="B111" s="602" t="str">
        <f>VLOOKUP(+B105,'[14]Twr Schedule'!$B$9:$C$611,2,FALSE)</f>
        <v>DA-3</v>
      </c>
      <c r="C111" s="602"/>
      <c r="F111" s="602" t="str">
        <f>VLOOKUP(+F105,'[14]Twr Schedule'!$B$9:$C$611,2,FALSE)</f>
        <v>DA+3</v>
      </c>
      <c r="G111" s="602"/>
      <c r="J111" s="602" t="str">
        <f>VLOOKUP(+J105,'[14]Twr Schedule'!$B$9:$C$611,2,FALSE)</f>
        <v>DA-3</v>
      </c>
      <c r="K111" s="602"/>
      <c r="N111" s="602" t="str">
        <f>VLOOKUP(+N105,'[14]Twr Schedule'!$B$9:$C$611,2,FALSE)</f>
        <v>DB1+6</v>
      </c>
      <c r="O111" s="602"/>
      <c r="R111" s="602" t="str">
        <f>VLOOKUP(+R105,'[14]Twr Schedule'!$B$9:$C$611,2,FALSE)</f>
        <v>DC2+6</v>
      </c>
      <c r="S111" s="602"/>
      <c r="V111" s="602" t="str">
        <f>VLOOKUP(+V105,'[14]Twr Schedule'!$B$9:$C$611,2,FALSE)</f>
        <v>DA+0</v>
      </c>
      <c r="W111" s="602"/>
      <c r="Z111" s="602" t="str">
        <f>VLOOKUP(+Z105,'[14]Twr Schedule'!$B$9:$C$611,2,FALSE)</f>
        <v>DA+0</v>
      </c>
      <c r="AA111" s="602"/>
      <c r="AD111" s="602" t="str">
        <f>VLOOKUP(+AD105,'[14]Twr Schedule'!$B$9:$C$611,2,FALSE)</f>
        <v>DA+3</v>
      </c>
      <c r="AE111" s="602"/>
      <c r="AH111" s="602" t="str">
        <f>VLOOKUP(+AH105,'[14]Twr Schedule'!$B$9:$C$611,2,FALSE)</f>
        <v>DA+0</v>
      </c>
      <c r="AI111" s="602"/>
      <c r="AL111" s="602" t="str">
        <f>VLOOKUP(+AL105,'[14]Twr Schedule'!$B$9:$C$611,2,FALSE)</f>
        <v>DA-3</v>
      </c>
      <c r="AM111" s="602"/>
      <c r="AP111" s="602" t="str">
        <f>VLOOKUP(+AP105,'[14]Twr Schedule'!$B$9:$C$611,2,FALSE)</f>
        <v>DA+0</v>
      </c>
      <c r="AQ111" s="602"/>
      <c r="AT111" s="283"/>
      <c r="AV111" s="600"/>
      <c r="AW111" s="600"/>
    </row>
    <row r="112" spans="1:51">
      <c r="A112" s="282"/>
      <c r="O112" t="s">
        <v>828</v>
      </c>
      <c r="AT112" s="283"/>
      <c r="AV112" s="600"/>
      <c r="AW112" s="600"/>
    </row>
    <row r="113" spans="1:51">
      <c r="A113" s="586" t="s">
        <v>827</v>
      </c>
      <c r="B113" s="587"/>
      <c r="C113" s="587"/>
      <c r="D113" s="587"/>
      <c r="E113" s="587"/>
      <c r="F113" s="587"/>
      <c r="G113" s="587"/>
      <c r="H113" s="587"/>
      <c r="I113" s="587"/>
      <c r="J113" s="587"/>
      <c r="K113" s="587"/>
      <c r="L113" s="587"/>
      <c r="M113" s="587"/>
      <c r="N113" s="587"/>
      <c r="O113" s="587"/>
      <c r="P113" s="587"/>
      <c r="Q113" s="587"/>
      <c r="R113" s="587"/>
      <c r="S113" s="587"/>
      <c r="T113" s="587"/>
      <c r="U113" s="587"/>
      <c r="V113" s="587"/>
      <c r="W113" s="587"/>
      <c r="X113" s="587"/>
      <c r="Y113" s="587"/>
      <c r="Z113" s="588"/>
      <c r="AA113" s="586" t="s">
        <v>829</v>
      </c>
      <c r="AB113" s="587"/>
      <c r="AC113" s="587"/>
      <c r="AD113" s="587"/>
      <c r="AE113" s="587"/>
      <c r="AF113" s="587"/>
      <c r="AG113" s="587"/>
      <c r="AH113" s="587"/>
      <c r="AI113" s="587"/>
      <c r="AJ113" s="587"/>
      <c r="AK113" s="587"/>
      <c r="AL113" s="587"/>
      <c r="AM113" s="587"/>
      <c r="AN113" s="587"/>
      <c r="AO113" s="587"/>
      <c r="AP113" s="587"/>
      <c r="AQ113" s="587"/>
      <c r="AR113" s="588"/>
      <c r="AT113" s="283"/>
      <c r="AV113" s="600"/>
      <c r="AW113" s="600"/>
    </row>
    <row r="114" spans="1:51">
      <c r="A114" s="282"/>
      <c r="Z114" s="623"/>
      <c r="AA114" s="623"/>
      <c r="AB114" s="623"/>
      <c r="AC114" s="623"/>
      <c r="AD114" s="623"/>
      <c r="AE114" s="623"/>
      <c r="AF114" s="623"/>
      <c r="AG114" s="623"/>
      <c r="AH114" s="623"/>
      <c r="AI114" s="623"/>
      <c r="AJ114" s="623"/>
      <c r="AK114" s="623"/>
      <c r="AL114" s="623"/>
      <c r="AM114" s="623"/>
      <c r="AN114" s="623"/>
      <c r="AO114" s="623"/>
      <c r="AP114" s="623"/>
      <c r="AQ114" s="623"/>
      <c r="AR114" s="623"/>
      <c r="AS114" s="623"/>
      <c r="AT114" s="283"/>
      <c r="AV114" s="600"/>
      <c r="AW114" s="600"/>
    </row>
    <row r="115" spans="1:51">
      <c r="A115" s="282"/>
      <c r="B115" s="600" t="s">
        <v>492</v>
      </c>
      <c r="C115" s="600"/>
      <c r="F115" s="600" t="s">
        <v>584</v>
      </c>
      <c r="G115" s="600"/>
      <c r="J115" s="600" t="s">
        <v>501</v>
      </c>
      <c r="K115" s="600"/>
      <c r="N115" s="600" t="s">
        <v>580</v>
      </c>
      <c r="O115" s="600"/>
      <c r="R115" s="600" t="s">
        <v>577</v>
      </c>
      <c r="S115" s="600"/>
      <c r="V115" s="600" t="s">
        <v>569</v>
      </c>
      <c r="W115" s="600"/>
      <c r="Z115" s="600" t="s">
        <v>507</v>
      </c>
      <c r="AA115" s="600"/>
      <c r="AD115" s="600" t="s">
        <v>565</v>
      </c>
      <c r="AE115" s="600"/>
      <c r="AH115" s="600" t="s">
        <v>515</v>
      </c>
      <c r="AI115" s="600"/>
      <c r="AL115" s="600" t="s">
        <v>518</v>
      </c>
      <c r="AM115" s="600"/>
      <c r="AP115" s="600" t="s">
        <v>522</v>
      </c>
      <c r="AQ115" s="600"/>
      <c r="AT115" s="283"/>
      <c r="AV115" s="600"/>
      <c r="AW115" s="600"/>
    </row>
    <row r="116" spans="1:51">
      <c r="A116" s="282"/>
      <c r="AT116" s="283"/>
      <c r="AV116" s="600"/>
      <c r="AW116" s="600"/>
    </row>
    <row r="117" spans="1:51">
      <c r="A117" s="282"/>
      <c r="AT117" s="283"/>
      <c r="AV117" s="600"/>
      <c r="AW117" s="600"/>
    </row>
    <row r="118" spans="1:51">
      <c r="A118" s="282"/>
      <c r="B118" s="296" t="s">
        <v>791</v>
      </c>
      <c r="C118" s="296" t="s">
        <v>792</v>
      </c>
      <c r="D118" s="613">
        <f>VLOOKUP(B115,[14]Progress!$B$9:$D$310,3,FALSE)</f>
        <v>387</v>
      </c>
      <c r="E118" s="614"/>
      <c r="F118" s="296" t="s">
        <v>791</v>
      </c>
      <c r="G118" s="296" t="s">
        <v>792</v>
      </c>
      <c r="H118" s="613">
        <f>VLOOKUP(F115,[14]Progress!$B$9:$D$310,3,FALSE)</f>
        <v>364</v>
      </c>
      <c r="I118" s="614"/>
      <c r="J118" s="296" t="s">
        <v>791</v>
      </c>
      <c r="K118" s="296" t="s">
        <v>792</v>
      </c>
      <c r="L118" s="613">
        <f>VLOOKUP(J115,[14]Progress!$B$9:$D$310,3,FALSE)</f>
        <v>423</v>
      </c>
      <c r="M118" s="614"/>
      <c r="N118" s="296" t="s">
        <v>791</v>
      </c>
      <c r="O118" s="296" t="s">
        <v>792</v>
      </c>
      <c r="P118" s="613">
        <f>VLOOKUP(N115,[14]Progress!$B$9:$D$310,3,FALSE)</f>
        <v>335</v>
      </c>
      <c r="Q118" s="614"/>
      <c r="R118" s="296" t="s">
        <v>791</v>
      </c>
      <c r="S118" s="296" t="s">
        <v>792</v>
      </c>
      <c r="T118" s="613">
        <f>VLOOKUP(R115,[14]Progress!$B$9:$D$310,3,FALSE)</f>
        <v>343</v>
      </c>
      <c r="U118" s="614"/>
      <c r="V118" s="296" t="s">
        <v>791</v>
      </c>
      <c r="W118" s="296" t="s">
        <v>792</v>
      </c>
      <c r="X118" s="609">
        <f>VLOOKUP(V115,[14]Progress!$B$9:$D$310,3,FALSE)</f>
        <v>362.45299999999997</v>
      </c>
      <c r="Y118" s="610"/>
      <c r="Z118" s="314" t="s">
        <v>791</v>
      </c>
      <c r="AA118" s="314" t="s">
        <v>792</v>
      </c>
      <c r="AB118" s="609">
        <f>VLOOKUP(Z115,[14]Progress!$B$9:$D$310,3,FALSE)</f>
        <v>433</v>
      </c>
      <c r="AC118" s="610"/>
      <c r="AD118" s="314" t="s">
        <v>791</v>
      </c>
      <c r="AE118" s="314" t="s">
        <v>792</v>
      </c>
      <c r="AF118" s="609">
        <f>VLOOKUP(AD115,[14]Progress!$B$9:$D$310,3,FALSE)</f>
        <v>393</v>
      </c>
      <c r="AG118" s="610"/>
      <c r="AH118" s="314" t="s">
        <v>791</v>
      </c>
      <c r="AI118" s="314" t="s">
        <v>792</v>
      </c>
      <c r="AJ118" s="609">
        <f>VLOOKUP(AH115,[14]Progress!$B$9:$D$310,3,FALSE)</f>
        <v>400</v>
      </c>
      <c r="AK118" s="610"/>
      <c r="AL118" s="314" t="s">
        <v>791</v>
      </c>
      <c r="AM118" s="314" t="s">
        <v>792</v>
      </c>
      <c r="AN118" s="609">
        <f>VLOOKUP(AL115,[14]Progress!$B$9:$D$310,3,FALSE)</f>
        <v>375.65899999999999</v>
      </c>
      <c r="AO118" s="610"/>
      <c r="AP118" s="314" t="s">
        <v>791</v>
      </c>
      <c r="AQ118" s="314" t="s">
        <v>792</v>
      </c>
      <c r="AR118" s="609">
        <f>VLOOKUP(AP115,[14]Progress!$B$9:$D$310,3,FALSE)</f>
        <v>366.46600000000001</v>
      </c>
      <c r="AS118" s="611"/>
      <c r="AT118" s="283"/>
      <c r="AV118" s="600">
        <f>D118+H118+L118+P118+T118+X118+AB118+AF118+AJ118+AN118+AR118</f>
        <v>4182.5780000000004</v>
      </c>
      <c r="AW118" s="600"/>
      <c r="AY118">
        <v>11</v>
      </c>
    </row>
    <row r="119" spans="1:51">
      <c r="A119" s="282"/>
      <c r="B119" s="296" t="s">
        <v>794</v>
      </c>
      <c r="C119" s="296" t="s">
        <v>795</v>
      </c>
      <c r="F119" s="296" t="s">
        <v>794</v>
      </c>
      <c r="G119" s="296" t="s">
        <v>795</v>
      </c>
      <c r="J119" s="296" t="s">
        <v>794</v>
      </c>
      <c r="K119" s="296" t="s">
        <v>795</v>
      </c>
      <c r="N119" s="296" t="s">
        <v>794</v>
      </c>
      <c r="O119" s="296" t="s">
        <v>795</v>
      </c>
      <c r="R119" s="296" t="s">
        <v>794</v>
      </c>
      <c r="S119" s="296" t="s">
        <v>795</v>
      </c>
      <c r="V119" s="296" t="s">
        <v>794</v>
      </c>
      <c r="W119" s="296" t="s">
        <v>795</v>
      </c>
      <c r="Z119" s="296" t="s">
        <v>794</v>
      </c>
      <c r="AA119" s="296" t="s">
        <v>795</v>
      </c>
      <c r="AD119" s="296" t="s">
        <v>794</v>
      </c>
      <c r="AE119" s="296" t="s">
        <v>795</v>
      </c>
      <c r="AH119" s="296" t="s">
        <v>794</v>
      </c>
      <c r="AI119" s="296" t="s">
        <v>795</v>
      </c>
      <c r="AL119" s="296" t="s">
        <v>794</v>
      </c>
      <c r="AM119" s="296" t="s">
        <v>795</v>
      </c>
      <c r="AP119" s="296" t="s">
        <v>794</v>
      </c>
      <c r="AQ119" s="296" t="s">
        <v>795</v>
      </c>
      <c r="AT119" s="283"/>
      <c r="AV119" s="600"/>
      <c r="AW119" s="600"/>
    </row>
    <row r="120" spans="1:51" ht="10.5" customHeight="1">
      <c r="A120" s="282"/>
      <c r="B120" s="605"/>
      <c r="C120" s="605"/>
      <c r="F120" s="605"/>
      <c r="G120" s="605"/>
      <c r="J120" s="605"/>
      <c r="K120" s="605"/>
      <c r="N120" s="605"/>
      <c r="O120" s="605"/>
      <c r="R120" s="605"/>
      <c r="S120" s="605"/>
      <c r="V120" s="605"/>
      <c r="W120" s="605"/>
      <c r="Z120" s="605"/>
      <c r="AA120" s="605"/>
      <c r="AD120" s="605"/>
      <c r="AE120" s="605"/>
      <c r="AH120" s="605"/>
      <c r="AI120" s="605"/>
      <c r="AL120" s="605"/>
      <c r="AM120" s="605"/>
      <c r="AP120" s="605"/>
      <c r="AQ120" s="605"/>
      <c r="AT120" s="283"/>
      <c r="AV120" s="600"/>
      <c r="AW120" s="600"/>
    </row>
    <row r="121" spans="1:51">
      <c r="A121" s="282"/>
      <c r="B121" s="602" t="str">
        <f>VLOOKUP(+B115,'[14]Twr Schedule'!$B$9:$C$611,2,FALSE)</f>
        <v>DA+3</v>
      </c>
      <c r="C121" s="602"/>
      <c r="F121" s="602" t="str">
        <f>VLOOKUP(+F115,'[14]Twr Schedule'!$B$9:$C$611,2,FALSE)</f>
        <v>DA-3</v>
      </c>
      <c r="G121" s="602"/>
      <c r="J121" s="602" t="str">
        <f>VLOOKUP(+J115,'[14]Twr Schedule'!$B$9:$C$611,2,FALSE)</f>
        <v>DA+3</v>
      </c>
      <c r="K121" s="602"/>
      <c r="N121" s="602" t="str">
        <f>VLOOKUP(+N115,'[14]Twr Schedule'!$B$9:$C$611,2,FALSE)</f>
        <v>DA+3</v>
      </c>
      <c r="O121" s="602"/>
      <c r="R121" s="602" t="str">
        <f>VLOOKUP(+R115,'[14]Twr Schedule'!$B$9:$C$611,2,FALSE)</f>
        <v>DA-3</v>
      </c>
      <c r="S121" s="602"/>
      <c r="V121" s="602" t="str">
        <f>VLOOKUP(+V115,'[14]Twr Schedule'!$B$9:$C$611,2,FALSE)</f>
        <v>DA-3</v>
      </c>
      <c r="W121" s="602"/>
      <c r="Z121" s="602" t="str">
        <f>VLOOKUP(+Z115,'[14]Twr Schedule'!$B$9:$C$611,2,FALSE)</f>
        <v>DB1+0</v>
      </c>
      <c r="AA121" s="602"/>
      <c r="AD121" s="602" t="str">
        <f>VLOOKUP(+AD115,'[14]Twr Schedule'!$B$9:$C$611,2,FALSE)</f>
        <v>DA+6</v>
      </c>
      <c r="AE121" s="602"/>
      <c r="AH121" s="602" t="str">
        <f>VLOOKUP(+AH115,'[14]Twr Schedule'!$B$9:$C$611,2,FALSE)</f>
        <v>DA+0</v>
      </c>
      <c r="AI121" s="602"/>
      <c r="AL121" s="602" t="str">
        <f>VLOOKUP(+AL115,'[14]Twr Schedule'!$B$9:$C$611,2,FALSE)</f>
        <v>DA+0</v>
      </c>
      <c r="AM121" s="602"/>
      <c r="AP121" s="602" t="str">
        <f>VLOOKUP(+AP115,'[14]Twr Schedule'!$B$9:$C$611,2,FALSE)</f>
        <v>DA-3</v>
      </c>
      <c r="AQ121" s="602"/>
      <c r="AT121" s="283"/>
      <c r="AV121" s="600"/>
      <c r="AW121" s="600"/>
    </row>
    <row r="122" spans="1:51">
      <c r="A122" s="282"/>
      <c r="B122" s="2"/>
      <c r="C122" s="2"/>
      <c r="F122" s="2"/>
      <c r="G122" s="2"/>
      <c r="J122" s="2"/>
      <c r="K122" s="2"/>
      <c r="N122" s="2"/>
      <c r="O122" s="2"/>
      <c r="R122" s="2"/>
      <c r="S122" s="2"/>
      <c r="V122" s="2"/>
      <c r="W122" s="2"/>
      <c r="Z122" s="2"/>
      <c r="AA122" s="2"/>
      <c r="AD122" s="2"/>
      <c r="AE122" s="2"/>
      <c r="AH122" s="2"/>
      <c r="AI122" s="2"/>
      <c r="AL122" s="2"/>
      <c r="AM122" s="2"/>
      <c r="AP122" s="2"/>
      <c r="AQ122" s="2"/>
      <c r="AT122" s="283"/>
      <c r="AV122" s="600"/>
      <c r="AW122" s="600"/>
    </row>
    <row r="123" spans="1:51">
      <c r="A123" s="635" t="s">
        <v>829</v>
      </c>
      <c r="B123" s="636"/>
      <c r="C123" s="636"/>
      <c r="D123" s="636"/>
      <c r="E123" s="636"/>
      <c r="F123" s="636"/>
      <c r="G123" s="636"/>
      <c r="H123" s="636"/>
      <c r="I123" s="636"/>
      <c r="J123" s="636"/>
      <c r="K123" s="636"/>
      <c r="L123" s="636"/>
      <c r="M123" s="636"/>
      <c r="N123" s="636"/>
      <c r="O123" s="636"/>
      <c r="P123" s="636"/>
      <c r="Q123" s="636"/>
      <c r="R123" s="636"/>
      <c r="S123" s="636"/>
      <c r="T123" s="636"/>
      <c r="U123" s="636"/>
      <c r="V123" s="636"/>
      <c r="W123" s="636"/>
      <c r="X123" s="636"/>
      <c r="Y123" s="636"/>
      <c r="Z123" s="636"/>
      <c r="AA123" s="636"/>
      <c r="AB123" s="636"/>
      <c r="AC123" s="636"/>
      <c r="AD123" s="636"/>
      <c r="AE123" s="636"/>
      <c r="AF123" s="636"/>
      <c r="AG123" s="636"/>
      <c r="AH123" s="637"/>
      <c r="AI123" s="606" t="s">
        <v>830</v>
      </c>
      <c r="AJ123" s="606"/>
      <c r="AK123" s="606"/>
      <c r="AL123" s="606"/>
      <c r="AM123" s="606"/>
      <c r="AN123" s="606"/>
      <c r="AO123" s="606"/>
      <c r="AP123" s="606"/>
      <c r="AQ123" s="606"/>
      <c r="AR123" s="606"/>
      <c r="AT123" s="283"/>
      <c r="AV123" s="600"/>
      <c r="AW123" s="600"/>
    </row>
    <row r="124" spans="1:51">
      <c r="A124" s="282"/>
      <c r="AT124" s="283"/>
      <c r="AV124" s="600"/>
      <c r="AW124" s="600"/>
    </row>
    <row r="125" spans="1:51">
      <c r="A125" s="282"/>
      <c r="B125" s="600" t="s">
        <v>449</v>
      </c>
      <c r="C125" s="600"/>
      <c r="F125" s="600" t="s">
        <v>446</v>
      </c>
      <c r="G125" s="600"/>
      <c r="J125" s="600" t="s">
        <v>450</v>
      </c>
      <c r="K125" s="600"/>
      <c r="N125" s="600" t="s">
        <v>444</v>
      </c>
      <c r="O125" s="600"/>
      <c r="R125" s="600" t="s">
        <v>447</v>
      </c>
      <c r="S125" s="600"/>
      <c r="V125" s="600" t="s">
        <v>556</v>
      </c>
      <c r="W125" s="600"/>
      <c r="Z125" s="600" t="s">
        <v>547</v>
      </c>
      <c r="AA125" s="600"/>
      <c r="AD125" s="600" t="s">
        <v>452</v>
      </c>
      <c r="AE125" s="600"/>
      <c r="AH125" s="600" t="s">
        <v>514</v>
      </c>
      <c r="AI125" s="600"/>
      <c r="AL125" s="600" t="s">
        <v>632</v>
      </c>
      <c r="AM125" s="600"/>
      <c r="AP125" s="600" t="s">
        <v>628</v>
      </c>
      <c r="AQ125" s="600"/>
      <c r="AT125" s="283"/>
      <c r="AV125" s="600"/>
      <c r="AW125" s="600"/>
    </row>
    <row r="126" spans="1:51">
      <c r="A126" s="282"/>
      <c r="AT126" s="283"/>
      <c r="AV126" s="600"/>
      <c r="AW126" s="600"/>
    </row>
    <row r="127" spans="1:51">
      <c r="A127" s="282"/>
      <c r="AT127" s="283"/>
      <c r="AV127" s="600"/>
      <c r="AW127" s="600"/>
    </row>
    <row r="128" spans="1:51">
      <c r="A128" s="282"/>
      <c r="B128" s="296" t="s">
        <v>791</v>
      </c>
      <c r="C128" s="296" t="s">
        <v>792</v>
      </c>
      <c r="D128" s="613">
        <f>VLOOKUP(B125,[14]Progress!$B$9:$D$310,3,FALSE)</f>
        <v>408</v>
      </c>
      <c r="E128" s="614"/>
      <c r="F128" s="296" t="s">
        <v>791</v>
      </c>
      <c r="G128" s="296" t="s">
        <v>792</v>
      </c>
      <c r="H128" s="613">
        <f>VLOOKUP(F125,[14]Progress!$B$9:$D$310,3,FALSE)</f>
        <v>372</v>
      </c>
      <c r="I128" s="614"/>
      <c r="J128" s="296" t="s">
        <v>791</v>
      </c>
      <c r="K128" s="296" t="s">
        <v>792</v>
      </c>
      <c r="L128" s="619">
        <f>VLOOKUP(J125,[14]Progress!$B$9:$D$310,3,FALSE)</f>
        <v>370</v>
      </c>
      <c r="M128" s="620"/>
      <c r="N128" s="296" t="s">
        <v>791</v>
      </c>
      <c r="O128" s="296" t="s">
        <v>792</v>
      </c>
      <c r="P128" s="613">
        <f>VLOOKUP(N125,[14]Progress!$B$9:$D$310,3,FALSE)</f>
        <v>400</v>
      </c>
      <c r="Q128" s="614"/>
      <c r="R128" s="296" t="s">
        <v>791</v>
      </c>
      <c r="S128" s="296" t="s">
        <v>792</v>
      </c>
      <c r="T128" s="613">
        <f>VLOOKUP(R125,[14]Progress!$B$9:$D$310,3,FALSE)</f>
        <v>426</v>
      </c>
      <c r="U128" s="614"/>
      <c r="V128" s="296" t="s">
        <v>791</v>
      </c>
      <c r="W128" s="296" t="s">
        <v>792</v>
      </c>
      <c r="X128" s="619">
        <f>VLOOKUP(V125,[14]Progress!$B$9:$D$310,3,FALSE)</f>
        <v>399</v>
      </c>
      <c r="Y128" s="620"/>
      <c r="Z128" s="296" t="s">
        <v>791</v>
      </c>
      <c r="AA128" s="296" t="s">
        <v>792</v>
      </c>
      <c r="AB128" s="613">
        <f>VLOOKUP(Z125,[14]Progress!$B$9:$D$310,3,FALSE)</f>
        <v>358</v>
      </c>
      <c r="AC128" s="614"/>
      <c r="AD128" s="296" t="s">
        <v>791</v>
      </c>
      <c r="AE128" s="296" t="s">
        <v>792</v>
      </c>
      <c r="AF128" s="609">
        <f>VLOOKUP(AD125,[14]Progress!$B$9:$D$310,3,FALSE)</f>
        <v>256.85700000000003</v>
      </c>
      <c r="AG128" s="610"/>
      <c r="AH128" s="296" t="s">
        <v>791</v>
      </c>
      <c r="AI128" s="296" t="s">
        <v>792</v>
      </c>
      <c r="AJ128" s="613">
        <f>VLOOKUP(AH125,[14]Progress!$B$9:$D$310,3,FALSE)</f>
        <v>388</v>
      </c>
      <c r="AK128" s="614"/>
      <c r="AL128" s="296" t="s">
        <v>791</v>
      </c>
      <c r="AM128" s="296" t="s">
        <v>792</v>
      </c>
      <c r="AN128" s="613">
        <f>VLOOKUP(AL125,[14]Progress!$B$9:$D$310,3,FALSE)</f>
        <v>391</v>
      </c>
      <c r="AO128" s="614"/>
      <c r="AP128" s="296" t="s">
        <v>791</v>
      </c>
      <c r="AQ128" s="296" t="s">
        <v>792</v>
      </c>
      <c r="AR128" s="613">
        <f>VLOOKUP(AP125,[14]Progress!$B$9:$D$310,3,FALSE)</f>
        <v>394</v>
      </c>
      <c r="AS128" s="600"/>
      <c r="AT128" s="283"/>
      <c r="AV128" s="600">
        <f>D128+H128+L128+P128+T128+X128+AB128+AF128+AJ128+AN128+AR128</f>
        <v>4162.857</v>
      </c>
      <c r="AW128" s="600"/>
      <c r="AY128">
        <v>11</v>
      </c>
    </row>
    <row r="129" spans="1:51">
      <c r="A129" s="282"/>
      <c r="B129" s="296" t="s">
        <v>794</v>
      </c>
      <c r="C129" s="296" t="s">
        <v>795</v>
      </c>
      <c r="F129" s="296" t="s">
        <v>794</v>
      </c>
      <c r="G129" s="296" t="s">
        <v>795</v>
      </c>
      <c r="J129" s="296" t="s">
        <v>794</v>
      </c>
      <c r="K129" s="296" t="s">
        <v>795</v>
      </c>
      <c r="N129" s="296" t="s">
        <v>794</v>
      </c>
      <c r="O129" s="296" t="s">
        <v>795</v>
      </c>
      <c r="R129" s="296" t="s">
        <v>794</v>
      </c>
      <c r="S129" s="296" t="s">
        <v>795</v>
      </c>
      <c r="V129" s="296" t="s">
        <v>794</v>
      </c>
      <c r="W129" s="296" t="s">
        <v>795</v>
      </c>
      <c r="Z129" s="296" t="s">
        <v>794</v>
      </c>
      <c r="AA129" s="296" t="s">
        <v>795</v>
      </c>
      <c r="AD129" s="296" t="s">
        <v>794</v>
      </c>
      <c r="AE129" s="296" t="s">
        <v>795</v>
      </c>
      <c r="AH129" s="296" t="s">
        <v>794</v>
      </c>
      <c r="AI129" s="296" t="s">
        <v>795</v>
      </c>
      <c r="AL129" s="296" t="s">
        <v>794</v>
      </c>
      <c r="AM129" s="296" t="s">
        <v>795</v>
      </c>
      <c r="AP129" s="296" t="s">
        <v>794</v>
      </c>
      <c r="AQ129" s="296" t="s">
        <v>795</v>
      </c>
      <c r="AT129" s="283"/>
      <c r="AV129" s="600"/>
      <c r="AW129" s="600"/>
    </row>
    <row r="130" spans="1:51" ht="10.5" customHeight="1">
      <c r="A130" s="282"/>
      <c r="B130" s="605"/>
      <c r="C130" s="605"/>
      <c r="F130" s="605"/>
      <c r="G130" s="605"/>
      <c r="J130" s="605"/>
      <c r="K130" s="605"/>
      <c r="N130" s="605"/>
      <c r="O130" s="605"/>
      <c r="R130" s="605"/>
      <c r="S130" s="605"/>
      <c r="V130" s="605"/>
      <c r="W130" s="605"/>
      <c r="Z130" s="605"/>
      <c r="AA130" s="605"/>
      <c r="AD130" s="605"/>
      <c r="AE130" s="605"/>
      <c r="AH130" s="605"/>
      <c r="AI130" s="605"/>
      <c r="AL130" s="605"/>
      <c r="AM130" s="605"/>
      <c r="AP130" s="605"/>
      <c r="AQ130" s="605"/>
      <c r="AT130" s="283"/>
      <c r="AV130" s="600"/>
      <c r="AW130" s="600"/>
    </row>
    <row r="131" spans="1:51">
      <c r="A131" s="282"/>
      <c r="B131" s="602" t="str">
        <f>VLOOKUP(+B125,'[14]Twr Schedule'!$B$9:$C$611,2,FALSE)</f>
        <v>DA+3</v>
      </c>
      <c r="C131" s="602"/>
      <c r="F131" s="602" t="str">
        <f>VLOOKUP(+F125,'[14]Twr Schedule'!$B$9:$C$611,2,FALSE)</f>
        <v>DA+0</v>
      </c>
      <c r="G131" s="602"/>
      <c r="J131" s="602" t="str">
        <f>VLOOKUP(+J125,'[14]Twr Schedule'!$B$9:$C$611,2,FALSE)</f>
        <v>DA-3</v>
      </c>
      <c r="K131" s="602"/>
      <c r="N131" s="602" t="str">
        <f>VLOOKUP(+N125,'[14]Twr Schedule'!$B$9:$C$611,2,FALSE)</f>
        <v>DA+0</v>
      </c>
      <c r="O131" s="602"/>
      <c r="R131" s="602" t="str">
        <f>VLOOKUP(+R125,'[14]Twr Schedule'!$B$9:$C$611,2,FALSE)</f>
        <v>DA+3</v>
      </c>
      <c r="S131" s="602"/>
      <c r="V131" s="602" t="str">
        <f>VLOOKUP(+V125,'[14]Twr Schedule'!$B$9:$C$611,2,FALSE)</f>
        <v>DA+3</v>
      </c>
      <c r="W131" s="602"/>
      <c r="Z131" s="602" t="str">
        <f>VLOOKUP(+Z125,'[14]Twr Schedule'!$B$9:$C$611,2,FALSE)</f>
        <v>DA-3</v>
      </c>
      <c r="AA131" s="602"/>
      <c r="AD131" s="602" t="str">
        <f>VLOOKUP(+AD125,'[14]Twr Schedule'!$B$9:$C$611,2,FALSE)</f>
        <v>DA-3</v>
      </c>
      <c r="AE131" s="602"/>
      <c r="AH131" s="602" t="str">
        <f>VLOOKUP(+AH125,'[14]Twr Schedule'!$B$9:$C$611,2,FALSE)</f>
        <v>DB1+0</v>
      </c>
      <c r="AI131" s="602"/>
      <c r="AL131" s="602" t="str">
        <f>VLOOKUP(+AL125,'[14]Twr Schedule'!$B$9:$C$611,2,FALSE)</f>
        <v>DA-3</v>
      </c>
      <c r="AM131" s="602"/>
      <c r="AP131" s="602" t="str">
        <f>VLOOKUP(+AP125,'[14]Twr Schedule'!$B$9:$C$611,2,FALSE)</f>
        <v>DA+3</v>
      </c>
      <c r="AQ131" s="602"/>
      <c r="AT131" s="283"/>
      <c r="AV131" s="600"/>
      <c r="AW131" s="600"/>
    </row>
    <row r="132" spans="1:51">
      <c r="A132" s="282"/>
      <c r="W132" t="s">
        <v>831</v>
      </c>
      <c r="AL132" s="2"/>
      <c r="AM132" s="2"/>
      <c r="AP132" s="2"/>
      <c r="AQ132" s="2"/>
      <c r="AT132" s="283"/>
      <c r="AV132" s="600"/>
      <c r="AW132" s="600"/>
    </row>
    <row r="133" spans="1:51">
      <c r="A133" s="606" t="s">
        <v>830</v>
      </c>
      <c r="B133" s="606"/>
      <c r="C133" s="606"/>
      <c r="D133" s="606"/>
      <c r="E133" s="606"/>
      <c r="F133" s="606"/>
      <c r="G133" s="606"/>
      <c r="H133" s="606"/>
      <c r="I133" s="606"/>
      <c r="J133" s="606"/>
      <c r="K133" s="606"/>
      <c r="L133" s="606"/>
      <c r="M133" s="606"/>
      <c r="N133" s="606"/>
      <c r="O133" s="606"/>
      <c r="P133" s="606"/>
      <c r="Q133" s="606"/>
      <c r="R133" s="606"/>
      <c r="S133" s="606"/>
      <c r="T133" s="606"/>
      <c r="U133" s="606"/>
      <c r="V133" s="606"/>
      <c r="W133" s="606"/>
      <c r="X133" s="606"/>
      <c r="Y133" s="606"/>
      <c r="Z133" s="606"/>
      <c r="AA133" s="606"/>
      <c r="AB133" s="606"/>
      <c r="AC133" s="606"/>
      <c r="AD133" s="606"/>
      <c r="AE133" s="606"/>
      <c r="AF133" s="606"/>
      <c r="AG133" s="606"/>
      <c r="AH133" s="606"/>
      <c r="AI133" s="606"/>
      <c r="AJ133" s="606"/>
      <c r="AK133" s="606"/>
      <c r="AL133" s="606"/>
      <c r="AM133" s="606"/>
      <c r="AN133" s="606"/>
      <c r="AO133" s="606"/>
      <c r="AP133" s="606"/>
      <c r="AQ133" s="317" t="s">
        <v>832</v>
      </c>
      <c r="AR133" s="317"/>
      <c r="AT133" s="283"/>
      <c r="AV133" s="600"/>
      <c r="AW133" s="600"/>
    </row>
    <row r="134" spans="1:51">
      <c r="A134" s="282"/>
      <c r="AT134" s="283"/>
      <c r="AV134" s="600"/>
      <c r="AW134" s="600"/>
    </row>
    <row r="135" spans="1:51">
      <c r="A135" s="282"/>
      <c r="B135" s="600" t="s">
        <v>637</v>
      </c>
      <c r="C135" s="600"/>
      <c r="F135" s="600" t="s">
        <v>623</v>
      </c>
      <c r="G135" s="600"/>
      <c r="J135" s="600" t="s">
        <v>421</v>
      </c>
      <c r="K135" s="600"/>
      <c r="N135" s="600" t="s">
        <v>435</v>
      </c>
      <c r="O135" s="600"/>
      <c r="R135" s="600" t="s">
        <v>613</v>
      </c>
      <c r="S135" s="600"/>
      <c r="V135" s="600" t="s">
        <v>617</v>
      </c>
      <c r="W135" s="600"/>
      <c r="Z135" s="600" t="s">
        <v>598</v>
      </c>
      <c r="AA135" s="600"/>
      <c r="AD135" s="600" t="s">
        <v>607</v>
      </c>
      <c r="AE135" s="600"/>
      <c r="AH135" s="600" t="s">
        <v>605</v>
      </c>
      <c r="AI135" s="600"/>
      <c r="AL135" s="600" t="s">
        <v>643</v>
      </c>
      <c r="AM135" s="600"/>
      <c r="AP135" s="600" t="s">
        <v>662</v>
      </c>
      <c r="AQ135" s="600"/>
      <c r="AT135" s="283"/>
      <c r="AV135" s="600"/>
      <c r="AW135" s="600"/>
    </row>
    <row r="136" spans="1:51">
      <c r="A136" s="282"/>
      <c r="AT136" s="283"/>
      <c r="AV136" s="600"/>
      <c r="AW136" s="600"/>
    </row>
    <row r="137" spans="1:51">
      <c r="A137" s="282"/>
      <c r="AT137" s="283"/>
      <c r="AV137" s="600"/>
      <c r="AW137" s="600"/>
    </row>
    <row r="138" spans="1:51">
      <c r="A138" s="282"/>
      <c r="B138" s="296" t="s">
        <v>791</v>
      </c>
      <c r="C138" s="296" t="s">
        <v>792</v>
      </c>
      <c r="D138" s="633">
        <f>VLOOKUP(B135,[14]Progress!$B$9:$D$310,3,FALSE)</f>
        <v>432.89800000000002</v>
      </c>
      <c r="E138" s="634"/>
      <c r="F138" s="296" t="s">
        <v>791</v>
      </c>
      <c r="G138" s="296" t="s">
        <v>792</v>
      </c>
      <c r="H138" s="607">
        <f>VLOOKUP(F135,[14]Progress!$B$9:$D$310,3,FALSE)</f>
        <v>190.94800000000001</v>
      </c>
      <c r="I138" s="608"/>
      <c r="J138" s="296" t="s">
        <v>791</v>
      </c>
      <c r="K138" s="296" t="s">
        <v>792</v>
      </c>
      <c r="L138" s="607">
        <f>VLOOKUP(J135,[14]Progress!$B$9:$D$310,3,FALSE)</f>
        <v>267.423</v>
      </c>
      <c r="M138" s="608"/>
      <c r="N138" s="296" t="s">
        <v>791</v>
      </c>
      <c r="O138" s="296" t="s">
        <v>792</v>
      </c>
      <c r="P138" s="613">
        <f>VLOOKUP(N135,[14]Progress!$B$9:$D$310,3,FALSE)</f>
        <v>371</v>
      </c>
      <c r="Q138" s="614"/>
      <c r="R138" s="296" t="s">
        <v>791</v>
      </c>
      <c r="S138" s="296" t="s">
        <v>792</v>
      </c>
      <c r="T138" s="609">
        <f>VLOOKUP(R135,[14]Progress!$B$9:$D$310,3,FALSE)</f>
        <v>438.91199999999998</v>
      </c>
      <c r="U138" s="610"/>
      <c r="V138" s="296" t="s">
        <v>791</v>
      </c>
      <c r="W138" s="296" t="s">
        <v>792</v>
      </c>
      <c r="X138" s="609">
        <f>VLOOKUP(V135,[14]Progress!$B$9:$D$310,3,FALSE)</f>
        <v>340.13200000000001</v>
      </c>
      <c r="Y138" s="610"/>
      <c r="Z138" s="296" t="s">
        <v>791</v>
      </c>
      <c r="AA138" s="296" t="s">
        <v>792</v>
      </c>
      <c r="AB138" s="613">
        <f>VLOOKUP(Z135,[14]Progress!$B$9:$D$310,3,FALSE)</f>
        <v>283.99599999999998</v>
      </c>
      <c r="AC138" s="614"/>
      <c r="AD138" s="296" t="s">
        <v>791</v>
      </c>
      <c r="AE138" s="296" t="s">
        <v>792</v>
      </c>
      <c r="AF138" s="613">
        <f>VLOOKUP(AD135,[14]Progress!$B$9:$D$310,3,FALSE)</f>
        <v>323</v>
      </c>
      <c r="AG138" s="614"/>
      <c r="AH138" s="296" t="s">
        <v>791</v>
      </c>
      <c r="AI138" s="296" t="s">
        <v>792</v>
      </c>
      <c r="AJ138" s="609">
        <f>VLOOKUP(AH135,[14]Progress!$B$9:$D$310,3,FALSE)</f>
        <v>470.22699999999998</v>
      </c>
      <c r="AK138" s="610"/>
      <c r="AL138" s="296" t="s">
        <v>791</v>
      </c>
      <c r="AM138" s="296" t="s">
        <v>792</v>
      </c>
      <c r="AN138" s="607">
        <f>VLOOKUP(AL135,[14]Progress!$B$9:$D$310,3,FALSE)</f>
        <v>231.53299999999999</v>
      </c>
      <c r="AO138" s="608"/>
      <c r="AP138" s="296" t="s">
        <v>791</v>
      </c>
      <c r="AQ138" s="296" t="s">
        <v>792</v>
      </c>
      <c r="AR138" s="613">
        <f>VLOOKUP(AP135,[14]Progress!$B$9:$D$310,3,FALSE)</f>
        <v>386</v>
      </c>
      <c r="AS138" s="600"/>
      <c r="AT138" s="283"/>
      <c r="AV138" s="600">
        <f>D138+H138+L138+P138+T138+X138+AB138+AF138+AJ138+AN138+AR138</f>
        <v>3736.069</v>
      </c>
      <c r="AW138" s="600"/>
      <c r="AY138">
        <v>11</v>
      </c>
    </row>
    <row r="139" spans="1:51">
      <c r="A139" s="282"/>
      <c r="B139" s="296" t="s">
        <v>794</v>
      </c>
      <c r="C139" s="296" t="s">
        <v>795</v>
      </c>
      <c r="F139" s="296" t="s">
        <v>794</v>
      </c>
      <c r="G139" s="296" t="s">
        <v>795</v>
      </c>
      <c r="J139" s="296" t="s">
        <v>794</v>
      </c>
      <c r="K139" s="296" t="s">
        <v>795</v>
      </c>
      <c r="N139" s="296" t="s">
        <v>794</v>
      </c>
      <c r="O139" s="296" t="s">
        <v>795</v>
      </c>
      <c r="R139" s="296" t="s">
        <v>794</v>
      </c>
      <c r="S139" s="296" t="s">
        <v>795</v>
      </c>
      <c r="V139" s="296" t="s">
        <v>794</v>
      </c>
      <c r="W139" s="296" t="s">
        <v>795</v>
      </c>
      <c r="Z139" s="296" t="s">
        <v>794</v>
      </c>
      <c r="AA139" s="296" t="s">
        <v>795</v>
      </c>
      <c r="AD139" s="296" t="s">
        <v>794</v>
      </c>
      <c r="AE139" s="296" t="s">
        <v>795</v>
      </c>
      <c r="AH139" s="296" t="s">
        <v>794</v>
      </c>
      <c r="AI139" s="296" t="s">
        <v>795</v>
      </c>
      <c r="AL139" s="296" t="s">
        <v>794</v>
      </c>
      <c r="AM139" s="296" t="s">
        <v>795</v>
      </c>
      <c r="AP139" s="296" t="s">
        <v>794</v>
      </c>
      <c r="AQ139" s="296" t="s">
        <v>795</v>
      </c>
      <c r="AT139" s="283"/>
      <c r="AV139" s="600"/>
      <c r="AW139" s="600"/>
    </row>
    <row r="140" spans="1:51" ht="10.5" customHeight="1">
      <c r="A140" s="282"/>
      <c r="B140" s="605"/>
      <c r="C140" s="605"/>
      <c r="F140" s="605"/>
      <c r="G140" s="605"/>
      <c r="J140" s="605"/>
      <c r="K140" s="605"/>
      <c r="N140" s="605"/>
      <c r="O140" s="605"/>
      <c r="R140" s="605"/>
      <c r="S140" s="605"/>
      <c r="V140" s="605"/>
      <c r="W140" s="605"/>
      <c r="Z140" s="605"/>
      <c r="AA140" s="605"/>
      <c r="AD140" s="605"/>
      <c r="AE140" s="605"/>
      <c r="AH140" s="605"/>
      <c r="AI140" s="605"/>
      <c r="AL140" s="605"/>
      <c r="AM140" s="605"/>
      <c r="AP140" s="605"/>
      <c r="AQ140" s="605"/>
      <c r="AT140" s="283"/>
      <c r="AV140" s="600"/>
      <c r="AW140" s="600"/>
    </row>
    <row r="141" spans="1:51">
      <c r="A141" s="282"/>
      <c r="B141" s="602" t="str">
        <f>VLOOKUP(+B135,'[14]Twr Schedule'!$B$9:$C$611,2,FALSE)</f>
        <v>DA+3</v>
      </c>
      <c r="C141" s="602"/>
      <c r="F141" s="602" t="str">
        <f>VLOOKUP(+F135,'[14]Twr Schedule'!$B$9:$C$611,2,FALSE)</f>
        <v>DB2+3</v>
      </c>
      <c r="G141" s="602"/>
      <c r="J141" s="602" t="str">
        <f>VLOOKUP(+J135,'[14]Twr Schedule'!$B$9:$C$611,2,FALSE)</f>
        <v>DB1+25</v>
      </c>
      <c r="K141" s="602"/>
      <c r="N141" s="602" t="str">
        <f>VLOOKUP(+N135,'[14]Twr Schedule'!$B$9:$C$611,2,FALSE)</f>
        <v>DC2+18</v>
      </c>
      <c r="O141" s="602"/>
      <c r="R141" s="602" t="str">
        <f>VLOOKUP(+R135,'[14]Twr Schedule'!$B$9:$C$611,2,FALSE)</f>
        <v>DA+9</v>
      </c>
      <c r="S141" s="602"/>
      <c r="V141" s="602" t="str">
        <f>VLOOKUP(+V135,'[14]Twr Schedule'!$B$9:$C$611,2,FALSE)</f>
        <v>DA+0</v>
      </c>
      <c r="W141" s="602"/>
      <c r="Z141" s="602" t="str">
        <f>VLOOKUP(+Z135,'[14]Twr Schedule'!$B$9:$C$611,2,FALSE)</f>
        <v>DA-3</v>
      </c>
      <c r="AA141" s="602"/>
      <c r="AD141" s="602" t="str">
        <f>VLOOKUP(+AD135,'[14]Twr Schedule'!$B$9:$C$611,2,FALSE)</f>
        <v>DA-3</v>
      </c>
      <c r="AE141" s="602"/>
      <c r="AH141" s="602" t="str">
        <f>VLOOKUP(+AH135,'[14]Twr Schedule'!$B$9:$C$611,2,FALSE)</f>
        <v>DA-3</v>
      </c>
      <c r="AI141" s="602"/>
      <c r="AL141" s="612" t="str">
        <f>VLOOKUP(+AL135,'[14]Twr Schedule'!$B$9:$C$611,2,FALSE)</f>
        <v>DD60+25</v>
      </c>
      <c r="AM141" s="612"/>
      <c r="AN141" s="315"/>
      <c r="AO141" s="315"/>
      <c r="AP141" s="612" t="str">
        <f>VLOOKUP(+AP135,'[14]Twr Schedule'!$B$9:$C$611,2,FALSE)</f>
        <v>DD60+25</v>
      </c>
      <c r="AQ141" s="612"/>
      <c r="AT141" s="283"/>
      <c r="AV141" s="600"/>
      <c r="AW141" s="600"/>
    </row>
    <row r="142" spans="1:51">
      <c r="A142" s="2"/>
      <c r="B142" s="2"/>
      <c r="C142" s="312" t="s">
        <v>833</v>
      </c>
      <c r="H142" t="s">
        <v>834</v>
      </c>
      <c r="AM142" t="s">
        <v>835</v>
      </c>
      <c r="AT142" s="283"/>
      <c r="AV142" s="600"/>
      <c r="AW142" s="600"/>
    </row>
    <row r="143" spans="1:51">
      <c r="A143" s="318" t="s">
        <v>836</v>
      </c>
      <c r="H143" t="s">
        <v>837</v>
      </c>
      <c r="AT143" s="283"/>
      <c r="AV143" s="600"/>
      <c r="AW143" s="600"/>
    </row>
    <row r="144" spans="1:51">
      <c r="A144" s="606" t="s">
        <v>832</v>
      </c>
      <c r="B144" s="606"/>
      <c r="C144" s="606"/>
      <c r="D144" s="606"/>
      <c r="E144" s="606"/>
      <c r="F144" s="606"/>
      <c r="G144" s="606"/>
      <c r="H144" s="606"/>
      <c r="I144" s="606"/>
      <c r="J144" s="606"/>
      <c r="K144" s="606"/>
      <c r="L144" s="606"/>
      <c r="M144" s="606"/>
      <c r="N144" s="606"/>
      <c r="O144" s="606"/>
      <c r="P144" s="606"/>
      <c r="Q144" s="606"/>
      <c r="R144" s="606"/>
      <c r="S144" s="606"/>
      <c r="T144" s="606"/>
      <c r="U144" s="606"/>
      <c r="V144" s="606"/>
      <c r="W144" s="606"/>
      <c r="X144" s="606"/>
      <c r="Y144" s="606"/>
      <c r="Z144" s="606"/>
      <c r="AA144" s="606"/>
      <c r="AB144" s="606"/>
      <c r="AC144" s="606"/>
      <c r="AD144" s="606"/>
      <c r="AE144" s="606"/>
      <c r="AF144" s="606"/>
      <c r="AG144" s="606"/>
      <c r="AH144" s="606"/>
      <c r="AI144" s="606" t="s">
        <v>838</v>
      </c>
      <c r="AJ144" s="606"/>
      <c r="AK144" s="606"/>
      <c r="AL144" s="606"/>
      <c r="AM144" s="606"/>
      <c r="AN144" s="606"/>
      <c r="AO144" s="606"/>
      <c r="AP144" s="606"/>
      <c r="AQ144" s="606"/>
      <c r="AR144" s="606"/>
      <c r="AT144" s="283"/>
      <c r="AV144" s="600"/>
      <c r="AW144" s="600"/>
    </row>
    <row r="145" spans="1:51">
      <c r="A145" s="282"/>
      <c r="B145" s="600" t="str">
        <f>'[14]Twr Schedule'!B273</f>
        <v>25/1</v>
      </c>
      <c r="C145" s="600"/>
      <c r="F145" s="600" t="str">
        <f>'[14]Twr Schedule'!B275</f>
        <v>25/2</v>
      </c>
      <c r="G145" s="600"/>
      <c r="J145" s="600" t="str">
        <f>'[14]Twr Schedule'!B277</f>
        <v>25/3</v>
      </c>
      <c r="K145" s="600"/>
      <c r="N145" s="600" t="str">
        <f>'[14]Twr Schedule'!B279</f>
        <v>26/0</v>
      </c>
      <c r="O145" s="600"/>
      <c r="R145" s="600" t="str">
        <f>'[14]Twr Schedule'!B281</f>
        <v>27/0</v>
      </c>
      <c r="S145" s="600"/>
      <c r="V145" s="600" t="str">
        <f>'[14]Twr Schedule'!B283</f>
        <v>28/0</v>
      </c>
      <c r="W145" s="600"/>
      <c r="Z145" s="600" t="str">
        <f>'[14]Twr Schedule'!B285</f>
        <v>28/1</v>
      </c>
      <c r="AA145" s="600"/>
      <c r="AD145" s="631" t="str">
        <f>'[14]Twr Schedule'!B287</f>
        <v>29/0</v>
      </c>
      <c r="AE145" s="600"/>
      <c r="AH145" s="600" t="str">
        <f>'[14]Twr Schedule'!B289</f>
        <v>30/0</v>
      </c>
      <c r="AI145" s="600"/>
      <c r="AL145" s="600" t="str">
        <f>'[14]Twr Schedule'!B291</f>
        <v>30/1</v>
      </c>
      <c r="AM145" s="600"/>
      <c r="AP145" s="600" t="s">
        <v>595</v>
      </c>
      <c r="AQ145" s="600"/>
      <c r="AT145" s="283"/>
      <c r="AV145" s="600"/>
      <c r="AW145" s="600"/>
    </row>
    <row r="146" spans="1:51">
      <c r="A146" s="282"/>
      <c r="AT146" s="283"/>
      <c r="AV146" s="600"/>
      <c r="AW146" s="600"/>
    </row>
    <row r="147" spans="1:51">
      <c r="A147" s="282"/>
      <c r="AT147" s="283"/>
      <c r="AV147" s="600"/>
      <c r="AW147" s="600"/>
    </row>
    <row r="148" spans="1:51">
      <c r="A148" s="282"/>
      <c r="B148" s="296" t="s">
        <v>791</v>
      </c>
      <c r="C148" s="296" t="s">
        <v>792</v>
      </c>
      <c r="D148" s="613">
        <f>VLOOKUP(B145,[14]Progress!$B$9:$D$310,3,FALSE)</f>
        <v>446</v>
      </c>
      <c r="E148" s="614"/>
      <c r="F148" s="296" t="s">
        <v>791</v>
      </c>
      <c r="G148" s="296" t="s">
        <v>792</v>
      </c>
      <c r="H148" s="613">
        <f>VLOOKUP(F145,[14]Progress!$B$9:$D$310,3,FALSE)</f>
        <v>368</v>
      </c>
      <c r="I148" s="614"/>
      <c r="J148" s="296" t="s">
        <v>791</v>
      </c>
      <c r="K148" s="296" t="s">
        <v>792</v>
      </c>
      <c r="L148" s="609">
        <f>VLOOKUP(J145,[14]Progress!$B$9:$D$310,3,FALSE)</f>
        <v>466.43099999999998</v>
      </c>
      <c r="M148" s="610"/>
      <c r="N148" s="314" t="s">
        <v>791</v>
      </c>
      <c r="O148" s="314" t="s">
        <v>792</v>
      </c>
      <c r="P148" s="609">
        <f>VLOOKUP(N145,[14]Progress!$B$9:$D$310,3,FALSE)</f>
        <v>440.83600000000001</v>
      </c>
      <c r="Q148" s="610"/>
      <c r="R148" s="314" t="s">
        <v>791</v>
      </c>
      <c r="S148" s="314" t="s">
        <v>792</v>
      </c>
      <c r="T148" s="607">
        <f>VLOOKUP(R145,[14]Progress!$B$9:$D$310,3,FALSE)</f>
        <v>299.47300000000001</v>
      </c>
      <c r="U148" s="608"/>
      <c r="V148" s="314" t="s">
        <v>791</v>
      </c>
      <c r="W148" s="314" t="s">
        <v>792</v>
      </c>
      <c r="X148" s="609">
        <f>VLOOKUP(V145,[14]Progress!$B$9:$D$310,3,FALSE)</f>
        <v>233</v>
      </c>
      <c r="Y148" s="610"/>
      <c r="Z148" s="314" t="s">
        <v>791</v>
      </c>
      <c r="AA148" s="314" t="s">
        <v>792</v>
      </c>
      <c r="AB148" s="609">
        <f>VLOOKUP(Z145,[14]Progress!$B$9:$D$310,3,FALSE)</f>
        <v>454.66899999999998</v>
      </c>
      <c r="AC148" s="610"/>
      <c r="AD148" s="314" t="s">
        <v>791</v>
      </c>
      <c r="AE148" s="314" t="s">
        <v>792</v>
      </c>
      <c r="AF148" s="609">
        <f>VLOOKUP(AD145,[14]Progress!$B$9:$D$310,3,FALSE)</f>
        <v>270.08</v>
      </c>
      <c r="AG148" s="610"/>
      <c r="AH148" s="314" t="s">
        <v>791</v>
      </c>
      <c r="AI148" s="314" t="s">
        <v>792</v>
      </c>
      <c r="AJ148" s="609">
        <f>VLOOKUP(AH145,[14]Progress!$B$9:$D$310,3,FALSE)</f>
        <v>435</v>
      </c>
      <c r="AK148" s="610"/>
      <c r="AL148" s="296" t="s">
        <v>791</v>
      </c>
      <c r="AM148" s="296" t="s">
        <v>792</v>
      </c>
      <c r="AN148" s="613">
        <f>VLOOKUP(AL145,[14]Progress!$B$9:$D$310,3,FALSE)</f>
        <v>347</v>
      </c>
      <c r="AO148" s="614"/>
      <c r="AP148" s="296" t="s">
        <v>791</v>
      </c>
      <c r="AQ148" s="296" t="s">
        <v>792</v>
      </c>
      <c r="AR148" s="613">
        <f>VLOOKUP(AP145,[14]Progress!$B$9:$D$310,3,FALSE)</f>
        <v>396</v>
      </c>
      <c r="AS148" s="600"/>
      <c r="AT148" s="283"/>
      <c r="AV148" s="600">
        <f>D148+H148+L148+P148+T148+X148+AB148+AF148+AJ148+AN148+AR148</f>
        <v>4156.4889999999996</v>
      </c>
      <c r="AW148" s="600"/>
      <c r="AY148">
        <v>11</v>
      </c>
    </row>
    <row r="149" spans="1:51">
      <c r="A149" s="282"/>
      <c r="B149" s="296" t="s">
        <v>794</v>
      </c>
      <c r="C149" s="296" t="s">
        <v>795</v>
      </c>
      <c r="F149" s="296" t="s">
        <v>794</v>
      </c>
      <c r="G149" s="296" t="s">
        <v>795</v>
      </c>
      <c r="J149" s="296" t="s">
        <v>794</v>
      </c>
      <c r="K149" s="296" t="s">
        <v>795</v>
      </c>
      <c r="N149" s="296" t="s">
        <v>794</v>
      </c>
      <c r="O149" s="296" t="s">
        <v>795</v>
      </c>
      <c r="R149" s="296" t="s">
        <v>794</v>
      </c>
      <c r="S149" s="296" t="s">
        <v>795</v>
      </c>
      <c r="V149" s="296" t="s">
        <v>794</v>
      </c>
      <c r="W149" s="296" t="s">
        <v>795</v>
      </c>
      <c r="Z149" s="296" t="s">
        <v>794</v>
      </c>
      <c r="AA149" s="296" t="s">
        <v>795</v>
      </c>
      <c r="AD149" s="296" t="s">
        <v>794</v>
      </c>
      <c r="AE149" s="296" t="s">
        <v>795</v>
      </c>
      <c r="AH149" s="296" t="s">
        <v>794</v>
      </c>
      <c r="AI149" s="296" t="s">
        <v>795</v>
      </c>
      <c r="AL149" s="296" t="s">
        <v>794</v>
      </c>
      <c r="AM149" s="296" t="s">
        <v>795</v>
      </c>
      <c r="AP149" s="296" t="s">
        <v>794</v>
      </c>
      <c r="AQ149" s="296" t="s">
        <v>795</v>
      </c>
      <c r="AT149" s="283"/>
      <c r="AV149" s="600"/>
      <c r="AW149" s="600"/>
    </row>
    <row r="150" spans="1:51" ht="10.5" customHeight="1">
      <c r="A150" s="282"/>
      <c r="B150" s="605"/>
      <c r="C150" s="605"/>
      <c r="F150" s="605"/>
      <c r="G150" s="605"/>
      <c r="J150" s="605"/>
      <c r="K150" s="605"/>
      <c r="N150" s="605"/>
      <c r="O150" s="605"/>
      <c r="R150" s="605"/>
      <c r="S150" s="605"/>
      <c r="V150" s="605"/>
      <c r="W150" s="605"/>
      <c r="Z150" s="605"/>
      <c r="AA150" s="605"/>
      <c r="AD150" s="605"/>
      <c r="AE150" s="605"/>
      <c r="AH150" s="605"/>
      <c r="AI150" s="605"/>
      <c r="AL150" s="605"/>
      <c r="AM150" s="605"/>
      <c r="AP150" s="605"/>
      <c r="AQ150" s="605"/>
      <c r="AT150" s="283"/>
      <c r="AV150" s="600"/>
      <c r="AW150" s="600"/>
    </row>
    <row r="151" spans="1:51">
      <c r="A151" s="282"/>
      <c r="B151" s="602" t="str">
        <f>VLOOKUP(+B145,'[14]Twr Schedule'!$B$9:$C$611,2,FALSE)</f>
        <v>DA+9</v>
      </c>
      <c r="C151" s="602"/>
      <c r="F151" s="602" t="str">
        <f>VLOOKUP(+F145,'[14]Twr Schedule'!$B$9:$C$611,2,FALSE)</f>
        <v>DA+0</v>
      </c>
      <c r="G151" s="602"/>
      <c r="J151" s="602" t="str">
        <f>VLOOKUP(+J145,'[14]Twr Schedule'!$B$9:$C$611,2,FALSE)</f>
        <v>DA+3</v>
      </c>
      <c r="K151" s="602"/>
      <c r="N151" s="602" t="str">
        <f>VLOOKUP(+N145,'[14]Twr Schedule'!$B$9:$C$611,2,FALSE)</f>
        <v>DB2+9</v>
      </c>
      <c r="O151" s="602"/>
      <c r="R151" s="602" t="str">
        <f>VLOOKUP(+R145,'[14]Twr Schedule'!$B$9:$C$611,2,FALSE)</f>
        <v>DD60+3</v>
      </c>
      <c r="S151" s="602"/>
      <c r="V151" s="602" t="str">
        <f>VLOOKUP(+V145,'[14]Twr Schedule'!$B$9:$C$611,2,FALSE)</f>
        <v>DD60+0</v>
      </c>
      <c r="W151" s="602"/>
      <c r="Z151" s="602" t="str">
        <f>VLOOKUP(+Z145,'[14]Twr Schedule'!$B$9:$C$611,2,FALSE)</f>
        <v>DA+3</v>
      </c>
      <c r="AA151" s="602"/>
      <c r="AD151" s="612" t="str">
        <f>VLOOKUP(+AD145,'[14]Twr Schedule'!$B$9:$C$611,2,FALSE)</f>
        <v>DD60+25</v>
      </c>
      <c r="AE151" s="612"/>
      <c r="AF151" s="315"/>
      <c r="AG151" s="315"/>
      <c r="AH151" s="612" t="str">
        <f>VLOOKUP(+AH145,'[14]Twr Schedule'!$B$9:$C$611,2,FALSE)</f>
        <v>DD60+18</v>
      </c>
      <c r="AI151" s="612"/>
      <c r="AL151" s="602" t="str">
        <f>VLOOKUP(+AL145,'[14]Twr Schedule'!$B$9:$C$611,2,FALSE)</f>
        <v>DA-3</v>
      </c>
      <c r="AM151" s="602"/>
      <c r="AP151" s="602" t="str">
        <f>VLOOKUP(+AP145,'[14]Twr Schedule'!$B$9:$C$611,2,FALSE)</f>
        <v>DA-3</v>
      </c>
      <c r="AQ151" s="602"/>
      <c r="AT151" s="283"/>
      <c r="AV151" s="600"/>
      <c r="AW151" s="600"/>
    </row>
    <row r="152" spans="1:51">
      <c r="A152" s="282"/>
      <c r="U152" s="2" t="s">
        <v>839</v>
      </c>
      <c r="AF152" s="2" t="s">
        <v>840</v>
      </c>
      <c r="AT152" s="283"/>
      <c r="AV152" s="600"/>
      <c r="AW152" s="600"/>
    </row>
    <row r="153" spans="1:51">
      <c r="A153" s="586" t="s">
        <v>838</v>
      </c>
      <c r="B153" s="587"/>
      <c r="C153" s="587"/>
      <c r="D153" s="587"/>
      <c r="E153" s="587"/>
      <c r="F153" s="587"/>
      <c r="G153" s="587"/>
      <c r="H153" s="587"/>
      <c r="I153" s="587"/>
      <c r="J153" s="587"/>
      <c r="K153" s="587"/>
      <c r="L153" s="587"/>
      <c r="M153" s="587"/>
      <c r="N153" s="587"/>
      <c r="O153" s="587"/>
      <c r="P153" s="587"/>
      <c r="Q153" s="587"/>
      <c r="R153" s="588"/>
      <c r="S153" s="632" t="s">
        <v>841</v>
      </c>
      <c r="T153" s="632"/>
      <c r="U153" s="632"/>
      <c r="V153" s="632"/>
      <c r="W153" s="632"/>
      <c r="X153" s="632"/>
      <c r="Y153" s="632"/>
      <c r="Z153" s="632"/>
      <c r="AA153" s="632"/>
      <c r="AB153" s="632"/>
      <c r="AC153" s="632"/>
      <c r="AD153" s="632"/>
      <c r="AE153" s="632"/>
      <c r="AF153" s="632"/>
      <c r="AG153" s="632"/>
      <c r="AH153" s="632"/>
      <c r="AI153" s="632"/>
      <c r="AJ153" s="632"/>
      <c r="AK153" s="632"/>
      <c r="AL153" s="632"/>
      <c r="AM153" s="632"/>
      <c r="AN153" s="632"/>
      <c r="AO153" s="632"/>
      <c r="AP153" s="632"/>
      <c r="AQ153" s="632"/>
      <c r="AR153" s="632"/>
      <c r="AT153" s="283"/>
      <c r="AV153" s="600"/>
      <c r="AW153" s="600"/>
    </row>
    <row r="154" spans="1:51">
      <c r="A154" s="282"/>
      <c r="R154" s="623"/>
      <c r="S154" s="623"/>
      <c r="T154" s="623"/>
      <c r="U154" s="623"/>
      <c r="V154" s="623"/>
      <c r="W154" s="623"/>
      <c r="X154" s="623"/>
      <c r="Y154" s="623"/>
      <c r="Z154" s="623"/>
      <c r="AA154" s="623"/>
      <c r="AB154" s="623"/>
      <c r="AC154" s="623"/>
      <c r="AD154" s="623"/>
      <c r="AE154" s="623"/>
      <c r="AF154" s="623"/>
      <c r="AG154" s="623"/>
      <c r="AH154" s="623"/>
      <c r="AI154" s="623"/>
      <c r="AJ154" s="623"/>
      <c r="AK154" s="623"/>
      <c r="AL154" s="623"/>
      <c r="AM154" s="623"/>
      <c r="AN154" s="623"/>
      <c r="AO154" s="623"/>
      <c r="AP154" s="623"/>
      <c r="AQ154" s="623"/>
      <c r="AR154" s="623"/>
      <c r="AS154" s="623"/>
      <c r="AT154" s="283"/>
      <c r="AV154" s="600"/>
      <c r="AW154" s="600"/>
    </row>
    <row r="155" spans="1:51">
      <c r="A155" s="282"/>
      <c r="B155" s="631" t="s">
        <v>581</v>
      </c>
      <c r="C155" s="600"/>
      <c r="F155" s="630" t="s">
        <v>530</v>
      </c>
      <c r="G155" s="600"/>
      <c r="J155" s="631" t="str">
        <f>'[14]Twr Schedule'!B299</f>
        <v>30/5</v>
      </c>
      <c r="K155" s="600"/>
      <c r="N155" s="631" t="str">
        <f>'[14]Twr Schedule'!B301</f>
        <v>30/6</v>
      </c>
      <c r="O155" s="600"/>
      <c r="R155" s="630" t="str">
        <f>'[14]Twr Schedule'!B303</f>
        <v>31/0</v>
      </c>
      <c r="S155" s="600"/>
      <c r="V155" s="630" t="str">
        <f>'[14]Twr Schedule'!B305</f>
        <v>31/1</v>
      </c>
      <c r="W155" s="600"/>
      <c r="Z155" s="630" t="str">
        <f>'[14]Twr Schedule'!B307</f>
        <v>31/2</v>
      </c>
      <c r="AA155" s="600"/>
      <c r="AD155" s="630" t="str">
        <f>'[14]Twr Schedule'!B309</f>
        <v>31/3</v>
      </c>
      <c r="AE155" s="600"/>
      <c r="AH155" s="630" t="str">
        <f>'[14]Twr Schedule'!B311</f>
        <v>31/4</v>
      </c>
      <c r="AI155" s="600"/>
      <c r="AL155" s="630" t="str">
        <f>'[14]Twr Schedule'!B313</f>
        <v>31/5</v>
      </c>
      <c r="AM155" s="600"/>
      <c r="AP155" s="630" t="str">
        <f>'[14]Twr Schedule'!B315</f>
        <v>31/6</v>
      </c>
      <c r="AQ155" s="600"/>
      <c r="AT155" s="283"/>
      <c r="AV155" s="600"/>
      <c r="AW155" s="600"/>
    </row>
    <row r="156" spans="1:51">
      <c r="A156" s="282"/>
      <c r="AT156" s="283"/>
      <c r="AV156" s="600"/>
      <c r="AW156" s="600"/>
    </row>
    <row r="157" spans="1:51">
      <c r="A157" s="282"/>
      <c r="AT157" s="283"/>
      <c r="AV157" s="600"/>
      <c r="AW157" s="600"/>
    </row>
    <row r="158" spans="1:51">
      <c r="A158" s="282"/>
      <c r="B158" s="296" t="s">
        <v>791</v>
      </c>
      <c r="C158" s="296" t="s">
        <v>792</v>
      </c>
      <c r="D158" s="613">
        <f>VLOOKUP(B155,[14]Progress!$B$9:$D$310,3,FALSE)</f>
        <v>410</v>
      </c>
      <c r="E158" s="614"/>
      <c r="F158" s="319" t="s">
        <v>791</v>
      </c>
      <c r="G158" s="296" t="s">
        <v>792</v>
      </c>
      <c r="H158" s="613">
        <f>VLOOKUP(F155,[14]Progress!$B$9:$D$310,3,FALSE)</f>
        <v>424</v>
      </c>
      <c r="I158" s="614"/>
      <c r="J158" s="296" t="s">
        <v>791</v>
      </c>
      <c r="K158" s="296" t="s">
        <v>792</v>
      </c>
      <c r="L158" s="613">
        <f>VLOOKUP(J155,[14]Progress!$B$9:$D$310,3,FALSE)</f>
        <v>373</v>
      </c>
      <c r="M158" s="614"/>
      <c r="N158" s="296" t="s">
        <v>791</v>
      </c>
      <c r="O158" s="296" t="s">
        <v>792</v>
      </c>
      <c r="P158" s="609">
        <f>VLOOKUP(N155,[14]Progress!$B$9:$D$310,3,FALSE)</f>
        <v>365.46100000000001</v>
      </c>
      <c r="Q158" s="610"/>
      <c r="R158" s="314" t="s">
        <v>791</v>
      </c>
      <c r="S158" s="314" t="s">
        <v>792</v>
      </c>
      <c r="T158" s="609">
        <f>VLOOKUP(R155,[14]Progress!$B$9:$D$310,3,FALSE)</f>
        <v>376</v>
      </c>
      <c r="U158" s="610"/>
      <c r="V158" s="314" t="s">
        <v>791</v>
      </c>
      <c r="W158" s="314" t="s">
        <v>792</v>
      </c>
      <c r="X158" s="609">
        <f>VLOOKUP(V155,[14]Progress!$B$9:$D$310,3,FALSE)</f>
        <v>403</v>
      </c>
      <c r="Y158" s="610"/>
      <c r="Z158" s="314" t="s">
        <v>791</v>
      </c>
      <c r="AA158" s="314" t="s">
        <v>792</v>
      </c>
      <c r="AB158" s="609">
        <f>VLOOKUP(Z155,[14]Progress!$B$9:$D$310,3,FALSE)</f>
        <v>399</v>
      </c>
      <c r="AC158" s="610"/>
      <c r="AD158" s="314" t="s">
        <v>791</v>
      </c>
      <c r="AE158" s="314" t="s">
        <v>792</v>
      </c>
      <c r="AF158" s="609">
        <f>VLOOKUP(AD155,[14]Progress!$B$9:$D$310,3,FALSE)</f>
        <v>404</v>
      </c>
      <c r="AG158" s="610"/>
      <c r="AH158" s="314" t="s">
        <v>791</v>
      </c>
      <c r="AI158" s="314" t="s">
        <v>792</v>
      </c>
      <c r="AJ158" s="609">
        <f>VLOOKUP(AH155,[14]Progress!$B$9:$D$310,3,FALSE)</f>
        <v>358</v>
      </c>
      <c r="AK158" s="610"/>
      <c r="AL158" s="314" t="s">
        <v>791</v>
      </c>
      <c r="AM158" s="314" t="s">
        <v>792</v>
      </c>
      <c r="AN158" s="609">
        <f>VLOOKUP(AL155,[14]Progress!$B$9:$D$310,3,FALSE)</f>
        <v>363</v>
      </c>
      <c r="AO158" s="610"/>
      <c r="AP158" s="314" t="s">
        <v>791</v>
      </c>
      <c r="AQ158" s="314" t="s">
        <v>792</v>
      </c>
      <c r="AR158" s="609">
        <f>VLOOKUP(AP155,[14]Progress!$B$9:$D$310,3,FALSE)</f>
        <v>407</v>
      </c>
      <c r="AS158" s="611"/>
      <c r="AT158" s="283"/>
      <c r="AV158" s="600">
        <f>D158+H158+L158+P158+T158+X158+AB158+AF158+AJ158+AN158+AR158</f>
        <v>4282.4610000000002</v>
      </c>
      <c r="AW158" s="600"/>
      <c r="AY158">
        <v>11</v>
      </c>
    </row>
    <row r="159" spans="1:51">
      <c r="A159" s="282"/>
      <c r="B159" s="296" t="s">
        <v>794</v>
      </c>
      <c r="C159" s="296" t="s">
        <v>795</v>
      </c>
      <c r="F159" s="296" t="s">
        <v>794</v>
      </c>
      <c r="G159" s="296" t="s">
        <v>795</v>
      </c>
      <c r="J159" s="296" t="s">
        <v>794</v>
      </c>
      <c r="K159" s="296" t="s">
        <v>795</v>
      </c>
      <c r="N159" s="296" t="s">
        <v>794</v>
      </c>
      <c r="O159" s="296" t="s">
        <v>795</v>
      </c>
      <c r="R159" s="296" t="s">
        <v>794</v>
      </c>
      <c r="S159" s="296" t="s">
        <v>795</v>
      </c>
      <c r="V159" s="296" t="s">
        <v>794</v>
      </c>
      <c r="W159" s="296" t="s">
        <v>795</v>
      </c>
      <c r="Z159" s="296" t="s">
        <v>794</v>
      </c>
      <c r="AA159" s="296" t="s">
        <v>795</v>
      </c>
      <c r="AD159" s="296" t="s">
        <v>794</v>
      </c>
      <c r="AE159" s="296" t="s">
        <v>795</v>
      </c>
      <c r="AH159" s="296" t="s">
        <v>794</v>
      </c>
      <c r="AI159" s="296" t="s">
        <v>795</v>
      </c>
      <c r="AL159" s="296" t="s">
        <v>794</v>
      </c>
      <c r="AM159" s="296" t="s">
        <v>795</v>
      </c>
      <c r="AP159" s="296" t="s">
        <v>794</v>
      </c>
      <c r="AQ159" s="296" t="s">
        <v>795</v>
      </c>
      <c r="AT159" s="283"/>
      <c r="AV159" s="600"/>
      <c r="AW159" s="600"/>
    </row>
    <row r="160" spans="1:51" ht="10.5" customHeight="1">
      <c r="A160" s="282"/>
      <c r="B160" s="605"/>
      <c r="C160" s="605"/>
      <c r="F160" s="605"/>
      <c r="G160" s="605"/>
      <c r="J160" s="605"/>
      <c r="K160" s="605"/>
      <c r="N160" s="605"/>
      <c r="O160" s="605"/>
      <c r="R160" s="605"/>
      <c r="S160" s="605"/>
      <c r="V160" s="605"/>
      <c r="W160" s="605"/>
      <c r="Z160" s="605"/>
      <c r="AA160" s="605"/>
      <c r="AD160" s="605"/>
      <c r="AE160" s="605"/>
      <c r="AH160" s="605"/>
      <c r="AI160" s="605"/>
      <c r="AL160" s="605"/>
      <c r="AM160" s="605"/>
      <c r="AP160" s="605"/>
      <c r="AQ160" s="605"/>
      <c r="AT160" s="283"/>
      <c r="AV160" s="600"/>
      <c r="AW160" s="600"/>
    </row>
    <row r="161" spans="1:51">
      <c r="A161" s="282"/>
      <c r="B161" s="602" t="str">
        <f>VLOOKUP(+B155,'[14]Twr Schedule'!$B$9:$C$611,2,FALSE)</f>
        <v>DA+0</v>
      </c>
      <c r="C161" s="602"/>
      <c r="F161" s="602" t="str">
        <f>VLOOKUP(+F155,'[14]Twr Schedule'!$B$9:$C$611,2,FALSE)</f>
        <v>DA+3</v>
      </c>
      <c r="G161" s="602"/>
      <c r="J161" s="602" t="str">
        <f>VLOOKUP(+J155,'[14]Twr Schedule'!$B$9:$C$611,2,FALSE)</f>
        <v>DA+0</v>
      </c>
      <c r="K161" s="602"/>
      <c r="N161" s="602" t="str">
        <f>VLOOKUP(+N155,'[14]Twr Schedule'!$B$9:$C$611,2,FALSE)</f>
        <v>DA-3</v>
      </c>
      <c r="O161" s="602"/>
      <c r="R161" s="602" t="str">
        <f>VLOOKUP(+R155,'[14]Twr Schedule'!$B$9:$C$611,2,FALSE)</f>
        <v>DB2+0</v>
      </c>
      <c r="S161" s="602"/>
      <c r="V161" s="602" t="str">
        <f>VLOOKUP(+V155,'[14]Twr Schedule'!$B$9:$C$611,2,FALSE)</f>
        <v>DA+0</v>
      </c>
      <c r="W161" s="602"/>
      <c r="Z161" s="602" t="str">
        <f>VLOOKUP(+Z155,'[14]Twr Schedule'!$B$9:$C$611,2,FALSE)</f>
        <v>DA+0</v>
      </c>
      <c r="AA161" s="602"/>
      <c r="AD161" s="602" t="str">
        <f>VLOOKUP(+AD155,'[14]Twr Schedule'!$B$9:$C$611,2,FALSE)</f>
        <v>DA+3</v>
      </c>
      <c r="AE161" s="602"/>
      <c r="AH161" s="602" t="str">
        <f>VLOOKUP(+AH155,'[14]Twr Schedule'!$B$9:$C$611,2,FALSE)</f>
        <v>DA-3</v>
      </c>
      <c r="AI161" s="602"/>
      <c r="AL161" s="602" t="str">
        <f>VLOOKUP(+AL155,'[14]Twr Schedule'!$B$9:$C$611,2,FALSE)</f>
        <v>DA-3</v>
      </c>
      <c r="AM161" s="602"/>
      <c r="AP161" s="602" t="str">
        <f>VLOOKUP(+AP155,'[14]Twr Schedule'!$B$9:$C$611,2,FALSE)</f>
        <v>DA+3</v>
      </c>
      <c r="AQ161" s="602"/>
      <c r="AT161" s="283"/>
      <c r="AV161" s="600"/>
      <c r="AW161" s="600"/>
    </row>
    <row r="162" spans="1:51">
      <c r="A162" s="282"/>
      <c r="AT162" s="283"/>
      <c r="AV162" s="600"/>
      <c r="AW162" s="600"/>
    </row>
    <row r="163" spans="1:51">
      <c r="A163" s="624" t="s">
        <v>841</v>
      </c>
      <c r="B163" s="625"/>
      <c r="C163" s="625"/>
      <c r="D163" s="625"/>
      <c r="E163" s="625"/>
      <c r="F163" s="625"/>
      <c r="G163" s="625"/>
      <c r="H163" s="625"/>
      <c r="I163" s="625"/>
      <c r="J163" s="625"/>
      <c r="K163" s="625"/>
      <c r="L163" s="625"/>
      <c r="M163" s="625"/>
      <c r="N163" s="625"/>
      <c r="O163" s="625"/>
      <c r="P163" s="625"/>
      <c r="Q163" s="625"/>
      <c r="R163" s="625"/>
      <c r="S163" s="625"/>
      <c r="T163" s="625"/>
      <c r="U163" s="625"/>
      <c r="V163" s="626"/>
      <c r="W163" s="627" t="s">
        <v>842</v>
      </c>
      <c r="X163" s="628"/>
      <c r="Y163" s="628"/>
      <c r="Z163" s="628"/>
      <c r="AA163" s="628"/>
      <c r="AB163" s="628"/>
      <c r="AC163" s="628"/>
      <c r="AD163" s="628"/>
      <c r="AE163" s="628"/>
      <c r="AF163" s="628"/>
      <c r="AG163" s="628"/>
      <c r="AH163" s="628"/>
      <c r="AI163" s="628"/>
      <c r="AJ163" s="628"/>
      <c r="AK163" s="628"/>
      <c r="AL163" s="628"/>
      <c r="AM163" s="628"/>
      <c r="AN163" s="628"/>
      <c r="AO163" s="628"/>
      <c r="AP163" s="628"/>
      <c r="AQ163" s="628"/>
      <c r="AR163" s="629"/>
      <c r="AT163" s="283"/>
      <c r="AV163" s="600"/>
      <c r="AW163" s="600"/>
    </row>
    <row r="164" spans="1:51">
      <c r="A164" s="282"/>
      <c r="B164" s="623"/>
      <c r="C164" s="623"/>
      <c r="D164" s="623"/>
      <c r="E164" s="623"/>
      <c r="F164" s="623"/>
      <c r="G164" s="623"/>
      <c r="H164" s="623"/>
      <c r="I164" s="623"/>
      <c r="J164" s="623"/>
      <c r="K164" s="623"/>
      <c r="L164" s="623"/>
      <c r="M164" s="623"/>
      <c r="N164" s="623"/>
      <c r="O164" s="623"/>
      <c r="P164" s="623"/>
      <c r="Q164" s="623"/>
      <c r="R164" s="623"/>
      <c r="S164" s="623"/>
      <c r="V164" s="623"/>
      <c r="W164" s="623"/>
      <c r="X164" s="623"/>
      <c r="Y164" s="623"/>
      <c r="Z164" s="623"/>
      <c r="AA164" s="623"/>
      <c r="AB164" s="623"/>
      <c r="AC164" s="623"/>
      <c r="AD164" s="623"/>
      <c r="AE164" s="623"/>
      <c r="AF164" s="623"/>
      <c r="AG164" s="623"/>
      <c r="AH164" s="623"/>
      <c r="AI164" s="623"/>
      <c r="AJ164" s="623"/>
      <c r="AK164" s="623"/>
      <c r="AL164" s="623"/>
      <c r="AM164" s="623"/>
      <c r="AN164" s="623"/>
      <c r="AO164" s="623"/>
      <c r="AP164" s="623"/>
      <c r="AQ164" s="623"/>
      <c r="AR164" s="623"/>
      <c r="AS164" s="623"/>
      <c r="AT164" s="283"/>
      <c r="AV164" s="600"/>
      <c r="AW164" s="600"/>
    </row>
    <row r="165" spans="1:51">
      <c r="A165" s="282"/>
      <c r="B165" s="600" t="str">
        <f>'[14]Twr Schedule'!B317</f>
        <v>31/7</v>
      </c>
      <c r="C165" s="600"/>
      <c r="F165" s="600" t="str">
        <f>'[14]Twr Schedule'!B319</f>
        <v>31/8</v>
      </c>
      <c r="G165" s="600"/>
      <c r="J165" s="600" t="str">
        <f>'[14]Twr Schedule'!B321</f>
        <v>31/9</v>
      </c>
      <c r="K165" s="600"/>
      <c r="N165" s="600" t="str">
        <f>'[14]Twr Schedule'!B323</f>
        <v>31/10</v>
      </c>
      <c r="O165" s="600"/>
      <c r="R165" s="600" t="str">
        <f>'[14]Twr Schedule'!B325</f>
        <v>32/0</v>
      </c>
      <c r="S165" s="600"/>
      <c r="V165" s="600" t="str">
        <f>'[14]Twr Schedule'!B327</f>
        <v>33/0</v>
      </c>
      <c r="W165" s="600"/>
      <c r="Z165" s="600" t="str">
        <f>'[14]Twr Schedule'!B329</f>
        <v>33/1</v>
      </c>
      <c r="AA165" s="600"/>
      <c r="AD165" s="600" t="str">
        <f>'[14]Twr Schedule'!B331</f>
        <v>33/2</v>
      </c>
      <c r="AE165" s="600"/>
      <c r="AH165" s="600" t="str">
        <f>'[14]Twr Schedule'!B333</f>
        <v>33/3</v>
      </c>
      <c r="AI165" s="600"/>
      <c r="AL165" s="600" t="str">
        <f>'[14]Twr Schedule'!B335</f>
        <v>33/4</v>
      </c>
      <c r="AM165" s="600"/>
      <c r="AP165" s="600" t="str">
        <f>'[14]Twr Schedule'!B337</f>
        <v>33/5</v>
      </c>
      <c r="AQ165" s="600"/>
      <c r="AT165" s="283"/>
      <c r="AV165" s="600"/>
      <c r="AW165" s="600"/>
    </row>
    <row r="166" spans="1:51">
      <c r="A166" s="282"/>
      <c r="AT166" s="283"/>
      <c r="AV166" s="600"/>
      <c r="AW166" s="600"/>
    </row>
    <row r="167" spans="1:51">
      <c r="A167" s="282"/>
      <c r="AT167" s="283"/>
      <c r="AV167" s="600"/>
      <c r="AW167" s="600"/>
    </row>
    <row r="168" spans="1:51">
      <c r="A168" s="282"/>
      <c r="B168" s="296" t="s">
        <v>791</v>
      </c>
      <c r="C168" s="296" t="s">
        <v>792</v>
      </c>
      <c r="D168" s="613">
        <f>VLOOKUP(B165,[14]Progress!$B$9:$D$310,3,FALSE)</f>
        <v>384</v>
      </c>
      <c r="E168" s="614"/>
      <c r="F168" s="296" t="s">
        <v>791</v>
      </c>
      <c r="G168" s="296" t="s">
        <v>792</v>
      </c>
      <c r="H168" s="613">
        <f>VLOOKUP(F165,[14]Progress!$B$9:$D$310,3,FALSE)</f>
        <v>386</v>
      </c>
      <c r="I168" s="614"/>
      <c r="J168" s="296" t="s">
        <v>791</v>
      </c>
      <c r="K168" s="296" t="s">
        <v>792</v>
      </c>
      <c r="L168" s="613">
        <f>VLOOKUP(J165,[14]Progress!$B$9:$D$310,3,FALSE)</f>
        <v>394</v>
      </c>
      <c r="M168" s="614"/>
      <c r="N168" s="296" t="s">
        <v>791</v>
      </c>
      <c r="O168" s="296" t="s">
        <v>792</v>
      </c>
      <c r="P168" s="609">
        <f>VLOOKUP(N165,[14]Progress!$B$9:$D$310,3,FALSE)</f>
        <v>409.666</v>
      </c>
      <c r="Q168" s="610"/>
      <c r="R168" s="314" t="s">
        <v>791</v>
      </c>
      <c r="S168" s="314" t="s">
        <v>792</v>
      </c>
      <c r="T168" s="609">
        <f>VLOOKUP(R165,[14]Progress!$B$9:$D$310,3,FALSE)</f>
        <v>407.17</v>
      </c>
      <c r="U168" s="610"/>
      <c r="V168" s="314" t="s">
        <v>791</v>
      </c>
      <c r="W168" s="314" t="s">
        <v>792</v>
      </c>
      <c r="X168" s="609">
        <f>VLOOKUP(V165,[14]Progress!$B$9:$D$310,3,FALSE)</f>
        <v>365</v>
      </c>
      <c r="Y168" s="610"/>
      <c r="Z168" s="314" t="s">
        <v>791</v>
      </c>
      <c r="AA168" s="314" t="s">
        <v>792</v>
      </c>
      <c r="AB168" s="609">
        <f>VLOOKUP(Z165,[14]Progress!$B$9:$D$310,3,FALSE)</f>
        <v>365</v>
      </c>
      <c r="AC168" s="610"/>
      <c r="AD168" s="314" t="s">
        <v>791</v>
      </c>
      <c r="AE168" s="314" t="s">
        <v>792</v>
      </c>
      <c r="AF168" s="609">
        <f>VLOOKUP(AD165,[14]Progress!$B$9:$D$310,3,FALSE)</f>
        <v>406</v>
      </c>
      <c r="AG168" s="610"/>
      <c r="AH168" s="314" t="s">
        <v>791</v>
      </c>
      <c r="AI168" s="314" t="s">
        <v>792</v>
      </c>
      <c r="AJ168" s="609">
        <f>VLOOKUP(AH165,[14]Progress!$B$9:$D$310,3,FALSE)</f>
        <v>389</v>
      </c>
      <c r="AK168" s="610"/>
      <c r="AL168" s="314" t="s">
        <v>791</v>
      </c>
      <c r="AM168" s="314" t="s">
        <v>792</v>
      </c>
      <c r="AN168" s="609">
        <f>VLOOKUP(AL165,[14]Progress!$B$9:$D$310,3,FALSE)</f>
        <v>395</v>
      </c>
      <c r="AO168" s="610"/>
      <c r="AP168" s="314" t="s">
        <v>791</v>
      </c>
      <c r="AQ168" s="314" t="s">
        <v>792</v>
      </c>
      <c r="AR168" s="609">
        <f>VLOOKUP(AP165,[14]Progress!$B$9:$D$310,3,FALSE)</f>
        <v>430</v>
      </c>
      <c r="AS168" s="611"/>
      <c r="AT168" s="283"/>
      <c r="AV168" s="600">
        <f>D168+H168+L168+P168+T168+X168+AB168+AF168+AJ168+AN168+AR168</f>
        <v>4330.8360000000002</v>
      </c>
      <c r="AW168" s="600"/>
      <c r="AY168">
        <v>11</v>
      </c>
    </row>
    <row r="169" spans="1:51">
      <c r="A169" s="282"/>
      <c r="B169" s="296" t="s">
        <v>794</v>
      </c>
      <c r="C169" s="296" t="s">
        <v>795</v>
      </c>
      <c r="F169" s="296" t="s">
        <v>794</v>
      </c>
      <c r="G169" s="296" t="s">
        <v>795</v>
      </c>
      <c r="J169" s="296" t="s">
        <v>794</v>
      </c>
      <c r="K169" s="296" t="s">
        <v>795</v>
      </c>
      <c r="N169" s="296" t="s">
        <v>794</v>
      </c>
      <c r="O169" s="296" t="s">
        <v>795</v>
      </c>
      <c r="R169" s="296" t="s">
        <v>794</v>
      </c>
      <c r="S169" s="296" t="s">
        <v>795</v>
      </c>
      <c r="V169" s="296" t="s">
        <v>794</v>
      </c>
      <c r="W169" s="296" t="s">
        <v>795</v>
      </c>
      <c r="Z169" s="296" t="s">
        <v>794</v>
      </c>
      <c r="AA169" s="296" t="s">
        <v>795</v>
      </c>
      <c r="AD169" s="296" t="s">
        <v>794</v>
      </c>
      <c r="AE169" s="296" t="s">
        <v>795</v>
      </c>
      <c r="AH169" s="296" t="s">
        <v>794</v>
      </c>
      <c r="AI169" s="296" t="s">
        <v>795</v>
      </c>
      <c r="AL169" s="296" t="s">
        <v>794</v>
      </c>
      <c r="AM169" s="296" t="s">
        <v>795</v>
      </c>
      <c r="AP169" s="296" t="s">
        <v>794</v>
      </c>
      <c r="AQ169" s="296" t="s">
        <v>795</v>
      </c>
      <c r="AT169" s="283"/>
      <c r="AV169" s="600"/>
      <c r="AW169" s="600"/>
    </row>
    <row r="170" spans="1:51" ht="10.5" customHeight="1">
      <c r="A170" s="282"/>
      <c r="B170" s="605"/>
      <c r="C170" s="605"/>
      <c r="F170" s="605"/>
      <c r="G170" s="605"/>
      <c r="J170" s="605"/>
      <c r="K170" s="605"/>
      <c r="N170" s="605"/>
      <c r="O170" s="605"/>
      <c r="R170" s="605"/>
      <c r="S170" s="605"/>
      <c r="V170" s="605"/>
      <c r="W170" s="605"/>
      <c r="Z170" s="605"/>
      <c r="AA170" s="605"/>
      <c r="AD170" s="605"/>
      <c r="AE170" s="605"/>
      <c r="AH170" s="605"/>
      <c r="AI170" s="605"/>
      <c r="AL170" s="605"/>
      <c r="AM170" s="605"/>
      <c r="AP170" s="605"/>
      <c r="AQ170" s="605"/>
      <c r="AT170" s="283"/>
      <c r="AV170" s="600"/>
      <c r="AW170" s="600"/>
    </row>
    <row r="171" spans="1:51">
      <c r="A171" s="282"/>
      <c r="B171" s="602" t="str">
        <f>VLOOKUP(+B165,'[14]Twr Schedule'!$B$9:$C$611,2,FALSE)</f>
        <v>DA+0</v>
      </c>
      <c r="C171" s="602"/>
      <c r="F171" s="602" t="str">
        <f>VLOOKUP(+F165,'[14]Twr Schedule'!$B$9:$C$611,2,FALSE)</f>
        <v>DA-3</v>
      </c>
      <c r="G171" s="602"/>
      <c r="J171" s="602" t="str">
        <f>VLOOKUP(+J165,'[14]Twr Schedule'!$B$9:$C$611,2,FALSE)</f>
        <v>DA+3</v>
      </c>
      <c r="K171" s="602"/>
      <c r="N171" s="602" t="str">
        <f>VLOOKUP(+N165,'[14]Twr Schedule'!$B$9:$C$611,2,FALSE)</f>
        <v>DA-3</v>
      </c>
      <c r="O171" s="602"/>
      <c r="R171" s="602" t="str">
        <f>VLOOKUP(+R165,'[14]Twr Schedule'!$B$9:$C$611,2,FALSE)</f>
        <v>DC1+6</v>
      </c>
      <c r="S171" s="602"/>
      <c r="V171" s="602" t="str">
        <f>VLOOKUP(+V165,'[14]Twr Schedule'!$B$9:$C$611,2,FALSE)</f>
        <v>DC2+6</v>
      </c>
      <c r="W171" s="602"/>
      <c r="Z171" s="602" t="str">
        <f>VLOOKUP(+Z165,'[14]Twr Schedule'!$B$9:$C$611,2,FALSE)</f>
        <v>DA-3</v>
      </c>
      <c r="AA171" s="602"/>
      <c r="AD171" s="602" t="str">
        <f>VLOOKUP(+AD165,'[14]Twr Schedule'!$B$9:$C$611,2,FALSE)</f>
        <v>DA-3</v>
      </c>
      <c r="AE171" s="602"/>
      <c r="AH171" s="602" t="str">
        <f>VLOOKUP(+AH165,'[14]Twr Schedule'!$B$9:$C$611,2,FALSE)</f>
        <v>DA+3</v>
      </c>
      <c r="AI171" s="602"/>
      <c r="AL171" s="602" t="str">
        <f>VLOOKUP(+AL165,'[14]Twr Schedule'!$B$9:$C$611,2,FALSE)</f>
        <v>DA-3</v>
      </c>
      <c r="AM171" s="602"/>
      <c r="AP171" s="602" t="str">
        <f>VLOOKUP(+AP165,'[14]Twr Schedule'!$B$9:$C$611,2,FALSE)</f>
        <v>DA+3</v>
      </c>
      <c r="AQ171" s="602"/>
      <c r="AT171" s="283"/>
      <c r="AV171" s="600"/>
      <c r="AW171" s="600"/>
    </row>
    <row r="172" spans="1:51">
      <c r="A172" s="282"/>
      <c r="B172" s="2"/>
      <c r="C172" s="2"/>
      <c r="F172" s="2"/>
      <c r="G172" s="2"/>
      <c r="J172" s="2"/>
      <c r="K172" s="2"/>
      <c r="N172" s="2"/>
      <c r="O172" s="2"/>
      <c r="R172" s="2"/>
      <c r="T172" s="2"/>
      <c r="V172" s="2"/>
      <c r="W172" s="2"/>
      <c r="Z172" s="2"/>
      <c r="AA172" s="2"/>
      <c r="AD172" s="2"/>
      <c r="AE172" s="2"/>
      <c r="AH172" s="2"/>
      <c r="AI172" s="2"/>
      <c r="AL172" s="2"/>
      <c r="AM172" s="2"/>
      <c r="AP172" s="2"/>
      <c r="AQ172" s="2"/>
      <c r="AT172" s="283"/>
      <c r="AV172" s="600"/>
      <c r="AW172" s="600"/>
    </row>
    <row r="173" spans="1:51">
      <c r="A173" s="622" t="s">
        <v>842</v>
      </c>
      <c r="B173" s="622"/>
      <c r="C173" s="622"/>
      <c r="D173" s="622"/>
      <c r="E173" s="622"/>
      <c r="F173" s="622"/>
      <c r="G173" s="622"/>
      <c r="H173" s="622"/>
      <c r="I173" s="622"/>
      <c r="J173" s="622"/>
      <c r="K173" s="622"/>
      <c r="L173" s="622"/>
      <c r="M173" s="622"/>
      <c r="N173" s="622"/>
      <c r="O173" s="622"/>
      <c r="P173" s="622"/>
      <c r="Q173" s="622"/>
      <c r="R173" s="622"/>
      <c r="S173" s="622"/>
      <c r="T173" s="622"/>
      <c r="U173" s="622"/>
      <c r="V173" s="622"/>
      <c r="W173" s="622"/>
      <c r="X173" s="622"/>
      <c r="Y173" s="622"/>
      <c r="Z173" s="622"/>
      <c r="AA173" s="621" t="s">
        <v>843</v>
      </c>
      <c r="AB173" s="621"/>
      <c r="AC173" s="621"/>
      <c r="AD173" s="621"/>
      <c r="AE173" s="621"/>
      <c r="AF173" s="621"/>
      <c r="AG173" s="621"/>
      <c r="AH173" s="621"/>
      <c r="AI173" s="621"/>
      <c r="AJ173" s="621"/>
      <c r="AK173" s="621"/>
      <c r="AL173" s="621"/>
      <c r="AM173" s="621"/>
      <c r="AN173" s="621"/>
      <c r="AO173" s="621"/>
      <c r="AP173" s="621"/>
      <c r="AQ173" s="621"/>
      <c r="AR173" s="621"/>
      <c r="AT173" s="283"/>
      <c r="AV173" s="600"/>
      <c r="AW173" s="600"/>
    </row>
    <row r="174" spans="1:51">
      <c r="A174" s="282"/>
      <c r="B174" s="623"/>
      <c r="C174" s="623"/>
      <c r="D174" s="623"/>
      <c r="E174" s="623"/>
      <c r="F174" s="623"/>
      <c r="G174" s="623"/>
      <c r="H174" s="623"/>
      <c r="I174" s="623"/>
      <c r="J174" s="623"/>
      <c r="K174" s="623"/>
      <c r="L174" s="623"/>
      <c r="M174" s="623"/>
      <c r="N174" s="623"/>
      <c r="O174" s="623"/>
      <c r="P174" s="623"/>
      <c r="Q174" s="623"/>
      <c r="R174" s="623"/>
      <c r="S174" s="623"/>
      <c r="T174" s="623"/>
      <c r="U174" s="623"/>
      <c r="V174" s="623"/>
      <c r="W174" s="623"/>
      <c r="X174" s="623"/>
      <c r="Y174" s="623"/>
      <c r="Z174" s="623"/>
      <c r="AA174" s="623"/>
      <c r="AT174" s="283"/>
      <c r="AV174" s="600"/>
      <c r="AW174" s="600"/>
    </row>
    <row r="175" spans="1:51">
      <c r="A175" s="282"/>
      <c r="B175" s="600" t="str">
        <f>'[14]Twr Schedule'!B339</f>
        <v>33/6</v>
      </c>
      <c r="C175" s="600"/>
      <c r="F175" s="600" t="str">
        <f>'[14]Twr Schedule'!B341</f>
        <v>33/7</v>
      </c>
      <c r="G175" s="600"/>
      <c r="J175" s="600" t="str">
        <f>'[14]Twr Schedule'!B343</f>
        <v>33/8</v>
      </c>
      <c r="K175" s="600"/>
      <c r="N175" s="600" t="str">
        <f>'[14]Twr Schedule'!B345</f>
        <v>33/9</v>
      </c>
      <c r="O175" s="600"/>
      <c r="R175" s="600" t="str">
        <f>'[14]Twr Schedule'!B347</f>
        <v>33/10</v>
      </c>
      <c r="S175" s="600"/>
      <c r="V175" s="600" t="str">
        <f>'[14]Twr Schedule'!B349</f>
        <v>33/11</v>
      </c>
      <c r="W175" s="600"/>
      <c r="Z175" s="600" t="str">
        <f>'[14]Twr Schedule'!B351</f>
        <v>34/0</v>
      </c>
      <c r="AA175" s="600"/>
      <c r="AD175" s="600" t="str">
        <f>'[14]Twr Schedule'!B353</f>
        <v>34/1</v>
      </c>
      <c r="AE175" s="600"/>
      <c r="AH175" s="600" t="str">
        <f>'[14]Twr Schedule'!B355</f>
        <v>34/2</v>
      </c>
      <c r="AI175" s="600"/>
      <c r="AL175" s="600" t="str">
        <f>'[14]Twr Schedule'!B357</f>
        <v>34/3</v>
      </c>
      <c r="AM175" s="600"/>
      <c r="AP175" s="600" t="str">
        <f>'[14]Twr Schedule'!B359</f>
        <v>34/4</v>
      </c>
      <c r="AQ175" s="600"/>
      <c r="AT175" s="283"/>
      <c r="AV175" s="600"/>
      <c r="AW175" s="600"/>
    </row>
    <row r="176" spans="1:51">
      <c r="A176" s="282"/>
      <c r="AT176" s="283"/>
      <c r="AV176" s="600"/>
      <c r="AW176" s="600"/>
    </row>
    <row r="177" spans="1:51">
      <c r="A177" s="282"/>
      <c r="AT177" s="283"/>
      <c r="AV177" s="600"/>
      <c r="AW177" s="600"/>
    </row>
    <row r="178" spans="1:51">
      <c r="A178" s="282"/>
      <c r="B178" s="296" t="s">
        <v>791</v>
      </c>
      <c r="C178" s="296" t="s">
        <v>792</v>
      </c>
      <c r="D178" s="613">
        <f>VLOOKUP(B175,[14]Progress!$B$9:$D$310,3,FALSE)</f>
        <v>394</v>
      </c>
      <c r="E178" s="614"/>
      <c r="F178" s="296" t="s">
        <v>791</v>
      </c>
      <c r="G178" s="296" t="s">
        <v>792</v>
      </c>
      <c r="H178" s="609">
        <f>VLOOKUP(F175,[14]Progress!$B$9:$D$310,3,FALSE)</f>
        <v>439.95</v>
      </c>
      <c r="I178" s="610"/>
      <c r="J178" s="314" t="s">
        <v>791</v>
      </c>
      <c r="K178" s="314" t="s">
        <v>792</v>
      </c>
      <c r="L178" s="609">
        <f>VLOOKUP(J175,[14]Progress!$B$9:$D$310,3,FALSE)</f>
        <v>355.05</v>
      </c>
      <c r="M178" s="610"/>
      <c r="N178" s="314" t="s">
        <v>791</v>
      </c>
      <c r="O178" s="314" t="s">
        <v>792</v>
      </c>
      <c r="P178" s="609">
        <f>VLOOKUP(N175,[14]Progress!$B$9:$D$310,3,FALSE)</f>
        <v>410</v>
      </c>
      <c r="Q178" s="610"/>
      <c r="R178" s="314" t="s">
        <v>791</v>
      </c>
      <c r="S178" s="314" t="s">
        <v>792</v>
      </c>
      <c r="T178" s="609">
        <f>VLOOKUP(R175,[14]Progress!$B$9:$D$310,3,FALSE)</f>
        <v>410</v>
      </c>
      <c r="U178" s="610"/>
      <c r="V178" s="314" t="s">
        <v>791</v>
      </c>
      <c r="W178" s="314" t="s">
        <v>792</v>
      </c>
      <c r="X178" s="609">
        <f>VLOOKUP(V175,[14]Progress!$B$9:$D$310,3,FALSE)</f>
        <v>421.49599999999998</v>
      </c>
      <c r="Y178" s="610"/>
      <c r="Z178" s="314" t="s">
        <v>791</v>
      </c>
      <c r="AA178" s="314" t="s">
        <v>792</v>
      </c>
      <c r="AB178" s="609">
        <f>VLOOKUP(Z175,[14]Progress!$B$9:$D$310,3,FALSE)</f>
        <v>418</v>
      </c>
      <c r="AC178" s="610"/>
      <c r="AD178" s="314" t="s">
        <v>791</v>
      </c>
      <c r="AE178" s="314" t="s">
        <v>792</v>
      </c>
      <c r="AF178" s="609">
        <f>VLOOKUP(AD175,[14]Progress!$B$9:$D$310,3,FALSE)</f>
        <v>378</v>
      </c>
      <c r="AG178" s="610"/>
      <c r="AH178" s="314" t="s">
        <v>791</v>
      </c>
      <c r="AI178" s="314" t="s">
        <v>792</v>
      </c>
      <c r="AJ178" s="609">
        <f>VLOOKUP(AH175,[14]Progress!$B$9:$D$310,3,FALSE)</f>
        <v>417</v>
      </c>
      <c r="AK178" s="610"/>
      <c r="AL178" s="314" t="s">
        <v>791</v>
      </c>
      <c r="AM178" s="314" t="s">
        <v>792</v>
      </c>
      <c r="AN178" s="609">
        <f>VLOOKUP(AL175,[14]Progress!$B$9:$D$310,3,FALSE)</f>
        <v>395</v>
      </c>
      <c r="AO178" s="610"/>
      <c r="AP178" s="314" t="s">
        <v>791</v>
      </c>
      <c r="AQ178" s="314" t="s">
        <v>792</v>
      </c>
      <c r="AR178" s="609">
        <f>VLOOKUP(AP175,[14]Progress!$B$9:$D$310,3,FALSE)</f>
        <v>364</v>
      </c>
      <c r="AS178" s="611"/>
      <c r="AT178" s="283"/>
      <c r="AV178" s="600">
        <f>D178+H178+L178+P178+T178+X178+AB178+AF178+AJ178+AN178+AR178</f>
        <v>4402.4960000000001</v>
      </c>
      <c r="AW178" s="600"/>
      <c r="AY178">
        <v>11</v>
      </c>
    </row>
    <row r="179" spans="1:51">
      <c r="A179" s="282"/>
      <c r="B179" s="296" t="s">
        <v>794</v>
      </c>
      <c r="C179" s="296" t="s">
        <v>795</v>
      </c>
      <c r="F179" s="296" t="s">
        <v>794</v>
      </c>
      <c r="G179" s="296" t="s">
        <v>795</v>
      </c>
      <c r="J179" s="296" t="s">
        <v>794</v>
      </c>
      <c r="K179" s="296" t="s">
        <v>795</v>
      </c>
      <c r="N179" s="296" t="s">
        <v>794</v>
      </c>
      <c r="O179" s="296" t="s">
        <v>795</v>
      </c>
      <c r="R179" s="296" t="s">
        <v>794</v>
      </c>
      <c r="S179" s="296" t="s">
        <v>795</v>
      </c>
      <c r="V179" s="296" t="s">
        <v>794</v>
      </c>
      <c r="W179" s="296" t="s">
        <v>795</v>
      </c>
      <c r="Z179" s="296" t="s">
        <v>794</v>
      </c>
      <c r="AA179" s="296" t="s">
        <v>795</v>
      </c>
      <c r="AD179" s="296" t="s">
        <v>794</v>
      </c>
      <c r="AE179" s="296" t="s">
        <v>795</v>
      </c>
      <c r="AH179" s="296" t="s">
        <v>794</v>
      </c>
      <c r="AI179" s="296" t="s">
        <v>795</v>
      </c>
      <c r="AL179" s="296" t="s">
        <v>794</v>
      </c>
      <c r="AM179" s="296" t="s">
        <v>795</v>
      </c>
      <c r="AP179" s="296" t="s">
        <v>794</v>
      </c>
      <c r="AQ179" s="296" t="s">
        <v>795</v>
      </c>
      <c r="AT179" s="283"/>
      <c r="AV179" s="600"/>
      <c r="AW179" s="600"/>
    </row>
    <row r="180" spans="1:51" ht="10.5" customHeight="1">
      <c r="A180" s="282"/>
      <c r="B180" s="605"/>
      <c r="C180" s="605"/>
      <c r="F180" s="605"/>
      <c r="G180" s="605"/>
      <c r="J180" s="605"/>
      <c r="K180" s="605"/>
      <c r="N180" s="605"/>
      <c r="O180" s="605"/>
      <c r="R180" s="605"/>
      <c r="S180" s="605"/>
      <c r="V180" s="605"/>
      <c r="W180" s="605"/>
      <c r="Z180" s="605"/>
      <c r="AA180" s="605"/>
      <c r="AD180" s="605"/>
      <c r="AE180" s="605"/>
      <c r="AH180" s="605"/>
      <c r="AI180" s="605"/>
      <c r="AL180" s="605"/>
      <c r="AM180" s="605"/>
      <c r="AP180" s="605"/>
      <c r="AQ180" s="605"/>
      <c r="AT180" s="283"/>
      <c r="AV180" s="600"/>
      <c r="AW180" s="600"/>
    </row>
    <row r="181" spans="1:51">
      <c r="A181" s="282"/>
      <c r="B181" s="602" t="str">
        <f>VLOOKUP(+B175,'[14]Twr Schedule'!$B$9:$C$611,2,FALSE)</f>
        <v>DA+3</v>
      </c>
      <c r="C181" s="602"/>
      <c r="F181" s="602" t="str">
        <f>VLOOKUP(+F175,'[14]Twr Schedule'!$B$9:$C$611,2,FALSE)</f>
        <v>DA+3</v>
      </c>
      <c r="G181" s="602"/>
      <c r="J181" s="602" t="str">
        <f>VLOOKUP(+J175,'[14]Twr Schedule'!$B$9:$C$611,2,FALSE)</f>
        <v>DA+3</v>
      </c>
      <c r="K181" s="602"/>
      <c r="N181" s="602" t="str">
        <f>VLOOKUP(+N175,'[14]Twr Schedule'!$B$9:$C$611,2,FALSE)</f>
        <v>DA+0</v>
      </c>
      <c r="O181" s="602"/>
      <c r="R181" s="602" t="str">
        <f>VLOOKUP(+R175,'[14]Twr Schedule'!$B$9:$C$611,2,FALSE)</f>
        <v>DA+3</v>
      </c>
      <c r="S181" s="602"/>
      <c r="V181" s="602" t="str">
        <f>VLOOKUP(+V175,'[14]Twr Schedule'!$B$9:$C$611,2,FALSE)</f>
        <v>DA+3</v>
      </c>
      <c r="W181" s="602"/>
      <c r="Z181" s="602" t="str">
        <f>VLOOKUP(+Z175,'[14]Twr Schedule'!$B$9:$C$611,2,FALSE)</f>
        <v>DB1+0</v>
      </c>
      <c r="AA181" s="602"/>
      <c r="AD181" s="602" t="str">
        <f>VLOOKUP(+AD175,'[14]Twr Schedule'!$B$9:$C$611,2,FALSE)</f>
        <v>DA+3</v>
      </c>
      <c r="AE181" s="602"/>
      <c r="AH181" s="602" t="str">
        <f>VLOOKUP(+AH175,'[14]Twr Schedule'!$B$9:$C$611,2,FALSE)</f>
        <v>DA+3</v>
      </c>
      <c r="AI181" s="602"/>
      <c r="AL181" s="602" t="str">
        <f>VLOOKUP(+AL175,'[14]Twr Schedule'!$B$9:$C$611,2,FALSE)</f>
        <v>DA+3</v>
      </c>
      <c r="AM181" s="602"/>
      <c r="AP181" s="602" t="str">
        <f>VLOOKUP(+AP175,'[14]Twr Schedule'!$B$9:$C$611,2,FALSE)</f>
        <v>DA-3</v>
      </c>
      <c r="AQ181" s="602"/>
      <c r="AT181" s="283"/>
      <c r="AV181" s="600"/>
      <c r="AW181" s="600"/>
    </row>
    <row r="182" spans="1:51">
      <c r="A182" s="282"/>
      <c r="AT182" s="283"/>
      <c r="AV182" s="600"/>
      <c r="AW182" s="600"/>
    </row>
    <row r="183" spans="1:51">
      <c r="A183" s="621" t="s">
        <v>843</v>
      </c>
      <c r="B183" s="621"/>
      <c r="C183" s="621"/>
      <c r="D183" s="621"/>
      <c r="E183" s="621"/>
      <c r="F183" s="621"/>
      <c r="G183" s="621"/>
      <c r="H183" s="621"/>
      <c r="I183" s="621"/>
      <c r="J183" s="621"/>
      <c r="K183" s="621"/>
      <c r="L183" s="621"/>
      <c r="M183" s="621"/>
      <c r="N183" s="621"/>
      <c r="O183" s="616" t="s">
        <v>844</v>
      </c>
      <c r="P183" s="617"/>
      <c r="Q183" s="617"/>
      <c r="R183" s="617"/>
      <c r="S183" s="617"/>
      <c r="T183" s="617"/>
      <c r="U183" s="617"/>
      <c r="V183" s="617"/>
      <c r="W183" s="617"/>
      <c r="X183" s="617"/>
      <c r="Y183" s="617"/>
      <c r="Z183" s="617"/>
      <c r="AA183" s="617"/>
      <c r="AB183" s="617"/>
      <c r="AC183" s="617"/>
      <c r="AD183" s="617"/>
      <c r="AE183" s="617"/>
      <c r="AF183" s="617"/>
      <c r="AG183" s="617"/>
      <c r="AH183" s="617"/>
      <c r="AI183" s="617"/>
      <c r="AJ183" s="617"/>
      <c r="AK183" s="617"/>
      <c r="AL183" s="617"/>
      <c r="AM183" s="617"/>
      <c r="AN183" s="617"/>
      <c r="AO183" s="617"/>
      <c r="AP183" s="617"/>
      <c r="AQ183" s="617"/>
      <c r="AR183" s="618"/>
      <c r="AT183" s="283"/>
      <c r="AV183" s="600"/>
      <c r="AW183" s="600"/>
    </row>
    <row r="184" spans="1:51">
      <c r="A184" s="282"/>
      <c r="AT184" s="283"/>
      <c r="AV184" s="600"/>
      <c r="AW184" s="600"/>
    </row>
    <row r="185" spans="1:51">
      <c r="A185" s="282"/>
      <c r="B185" s="600" t="str">
        <f>'[14]Twr Schedule'!B361</f>
        <v>34/5</v>
      </c>
      <c r="C185" s="600"/>
      <c r="F185" s="600" t="str">
        <f>'[14]Twr Schedule'!B363</f>
        <v>34/6</v>
      </c>
      <c r="G185" s="600"/>
      <c r="J185" s="600" t="str">
        <f>'[14]Twr Schedule'!B365</f>
        <v>34/7</v>
      </c>
      <c r="K185" s="600"/>
      <c r="N185" s="600" t="str">
        <f>'[14]Twr Schedule'!B367</f>
        <v>35/0</v>
      </c>
      <c r="O185" s="600"/>
      <c r="R185" s="600" t="str">
        <f>'[14]Twr Schedule'!B369</f>
        <v>35/1</v>
      </c>
      <c r="S185" s="600"/>
      <c r="V185" s="600" t="str">
        <f>'[14]Twr Schedule'!B371</f>
        <v>35/2</v>
      </c>
      <c r="W185" s="600"/>
      <c r="Z185" s="600" t="str">
        <f>'[14]Twr Schedule'!B373</f>
        <v>35/3</v>
      </c>
      <c r="AA185" s="600"/>
      <c r="AD185" s="600" t="str">
        <f>'[14]Twr Schedule'!B375</f>
        <v>35/4</v>
      </c>
      <c r="AE185" s="600"/>
      <c r="AH185" s="600" t="str">
        <f>'[14]Twr Schedule'!B377</f>
        <v>35/5</v>
      </c>
      <c r="AI185" s="600"/>
      <c r="AL185" s="600" t="str">
        <f>'[14]Twr Schedule'!B379</f>
        <v>35/6</v>
      </c>
      <c r="AM185" s="600"/>
      <c r="AP185" s="600" t="str">
        <f>'[14]Twr Schedule'!B381</f>
        <v>35/7</v>
      </c>
      <c r="AQ185" s="600"/>
      <c r="AT185" s="283"/>
      <c r="AV185" s="600"/>
      <c r="AW185" s="600"/>
    </row>
    <row r="186" spans="1:51">
      <c r="A186" s="282"/>
      <c r="AT186" s="283"/>
      <c r="AV186" s="600"/>
      <c r="AW186" s="600"/>
    </row>
    <row r="187" spans="1:51">
      <c r="A187" s="282"/>
      <c r="AT187" s="283"/>
      <c r="AV187" s="600"/>
      <c r="AW187" s="600"/>
    </row>
    <row r="188" spans="1:51">
      <c r="A188" s="282"/>
      <c r="B188" s="296" t="s">
        <v>791</v>
      </c>
      <c r="C188" s="296" t="s">
        <v>792</v>
      </c>
      <c r="D188" s="613">
        <f>VLOOKUP(B185,[14]Progress!$B$9:$D$310,3,FALSE)</f>
        <v>397</v>
      </c>
      <c r="E188" s="614"/>
      <c r="F188" s="296" t="s">
        <v>791</v>
      </c>
      <c r="G188" s="296" t="s">
        <v>792</v>
      </c>
      <c r="H188" s="613">
        <f>VLOOKUP(F185,[14]Progress!$B$9:$D$310,3,FALSE)</f>
        <v>419</v>
      </c>
      <c r="I188" s="614"/>
      <c r="J188" s="296" t="s">
        <v>791</v>
      </c>
      <c r="K188" s="296" t="s">
        <v>792</v>
      </c>
      <c r="L188" s="609">
        <f>VLOOKUP(J185,[14]Progress!$B$9:$D$310,3,FALSE)</f>
        <v>405.22800000000001</v>
      </c>
      <c r="M188" s="610"/>
      <c r="N188" s="296" t="s">
        <v>791</v>
      </c>
      <c r="O188" s="296" t="s">
        <v>792</v>
      </c>
      <c r="P188" s="613">
        <f>VLOOKUP(N185,[14]Progress!$B$9:$D$310,3,FALSE)</f>
        <v>383</v>
      </c>
      <c r="Q188" s="614"/>
      <c r="R188" s="296" t="s">
        <v>791</v>
      </c>
      <c r="S188" s="296" t="s">
        <v>792</v>
      </c>
      <c r="T188" s="613">
        <f>VLOOKUP(R185,[14]Progress!$B$9:$D$310,3,FALSE)</f>
        <v>397</v>
      </c>
      <c r="U188" s="614"/>
      <c r="V188" s="296" t="s">
        <v>791</v>
      </c>
      <c r="W188" s="296" t="s">
        <v>792</v>
      </c>
      <c r="X188" s="613">
        <f>VLOOKUP(V185,[14]Progress!$B$9:$D$310,3,FALSE)</f>
        <v>345</v>
      </c>
      <c r="Y188" s="614"/>
      <c r="Z188" s="296" t="s">
        <v>791</v>
      </c>
      <c r="AA188" s="296" t="s">
        <v>792</v>
      </c>
      <c r="AB188" s="619">
        <f>VLOOKUP(Z185,[14]Progress!$B$9:$D$310,3,FALSE)</f>
        <v>389</v>
      </c>
      <c r="AC188" s="620"/>
      <c r="AD188" s="296" t="s">
        <v>791</v>
      </c>
      <c r="AE188" s="296" t="s">
        <v>792</v>
      </c>
      <c r="AF188" s="613">
        <f>VLOOKUP(AD185,[14]Progress!$B$9:$D$310,3,FALSE)</f>
        <v>416</v>
      </c>
      <c r="AG188" s="614"/>
      <c r="AH188" s="296" t="s">
        <v>791</v>
      </c>
      <c r="AI188" s="296" t="s">
        <v>792</v>
      </c>
      <c r="AJ188" s="613">
        <f>VLOOKUP(AH185,[14]Progress!$B$9:$D$310,3,FALSE)</f>
        <v>414</v>
      </c>
      <c r="AK188" s="614"/>
      <c r="AL188" s="296" t="s">
        <v>791</v>
      </c>
      <c r="AM188" s="296" t="s">
        <v>792</v>
      </c>
      <c r="AN188" s="613">
        <f>VLOOKUP(AL185,[14]Progress!$B$9:$D$310,3,FALSE)</f>
        <v>415</v>
      </c>
      <c r="AO188" s="614"/>
      <c r="AP188" s="296" t="s">
        <v>791</v>
      </c>
      <c r="AQ188" s="296" t="s">
        <v>792</v>
      </c>
      <c r="AR188" s="613">
        <f>VLOOKUP(AP185,[14]Progress!$B$9:$D$310,3,FALSE)</f>
        <v>404</v>
      </c>
      <c r="AS188" s="600"/>
      <c r="AT188" s="283"/>
      <c r="AV188" s="600">
        <f>D188+H188+L188+P188+T188+X188+AB188+AF188+AJ188+AN188+AR188</f>
        <v>4384.2280000000001</v>
      </c>
      <c r="AW188" s="600"/>
      <c r="AY188">
        <v>11</v>
      </c>
    </row>
    <row r="189" spans="1:51">
      <c r="A189" s="282"/>
      <c r="B189" s="296" t="s">
        <v>794</v>
      </c>
      <c r="C189" s="296" t="s">
        <v>795</v>
      </c>
      <c r="F189" s="296" t="s">
        <v>794</v>
      </c>
      <c r="G189" s="296" t="s">
        <v>795</v>
      </c>
      <c r="J189" s="296" t="s">
        <v>794</v>
      </c>
      <c r="K189" s="296" t="s">
        <v>795</v>
      </c>
      <c r="N189" s="296" t="s">
        <v>794</v>
      </c>
      <c r="O189" s="296" t="s">
        <v>795</v>
      </c>
      <c r="R189" s="296" t="s">
        <v>794</v>
      </c>
      <c r="S189" s="296" t="s">
        <v>795</v>
      </c>
      <c r="V189" s="296" t="s">
        <v>794</v>
      </c>
      <c r="W189" s="296" t="s">
        <v>795</v>
      </c>
      <c r="Z189" s="296" t="s">
        <v>794</v>
      </c>
      <c r="AA189" s="296" t="s">
        <v>795</v>
      </c>
      <c r="AD189" s="296" t="s">
        <v>794</v>
      </c>
      <c r="AE189" s="296" t="s">
        <v>795</v>
      </c>
      <c r="AH189" s="296" t="s">
        <v>794</v>
      </c>
      <c r="AI189" s="296" t="s">
        <v>795</v>
      </c>
      <c r="AL189" s="296" t="s">
        <v>794</v>
      </c>
      <c r="AM189" s="296" t="s">
        <v>795</v>
      </c>
      <c r="AP189" s="296" t="s">
        <v>794</v>
      </c>
      <c r="AQ189" s="296" t="s">
        <v>795</v>
      </c>
      <c r="AT189" s="283"/>
      <c r="AV189" s="600"/>
      <c r="AW189" s="600"/>
    </row>
    <row r="190" spans="1:51" ht="10.5" customHeight="1">
      <c r="A190" s="282"/>
      <c r="B190" s="605"/>
      <c r="C190" s="605"/>
      <c r="F190" s="605"/>
      <c r="G190" s="605"/>
      <c r="J190" s="605"/>
      <c r="K190" s="605"/>
      <c r="N190" s="605"/>
      <c r="O190" s="605"/>
      <c r="R190" s="605"/>
      <c r="S190" s="605"/>
      <c r="V190" s="605"/>
      <c r="W190" s="605"/>
      <c r="Z190" s="605"/>
      <c r="AA190" s="605"/>
      <c r="AD190" s="605"/>
      <c r="AE190" s="605"/>
      <c r="AH190" s="605"/>
      <c r="AI190" s="605"/>
      <c r="AL190" s="605"/>
      <c r="AM190" s="605"/>
      <c r="AP190" s="605"/>
      <c r="AQ190" s="605"/>
      <c r="AT190" s="283"/>
      <c r="AV190" s="600"/>
      <c r="AW190" s="600"/>
    </row>
    <row r="191" spans="1:51">
      <c r="A191" s="282"/>
      <c r="B191" s="602" t="str">
        <f>VLOOKUP(+B185,'[14]Twr Schedule'!$B$9:$C$611,2,FALSE)</f>
        <v>DA+0</v>
      </c>
      <c r="C191" s="602"/>
      <c r="F191" s="602" t="str">
        <f>VLOOKUP(+F185,'[14]Twr Schedule'!$B$9:$C$611,2,FALSE)</f>
        <v>DA+0</v>
      </c>
      <c r="G191" s="602"/>
      <c r="J191" s="602" t="str">
        <f>VLOOKUP(+J185,'[14]Twr Schedule'!$B$9:$C$611,2,FALSE)</f>
        <v>DA+3</v>
      </c>
      <c r="K191" s="602"/>
      <c r="N191" s="602" t="str">
        <f>VLOOKUP(+N185,'[14]Twr Schedule'!$B$9:$C$611,2,FALSE)</f>
        <v>DC1+0</v>
      </c>
      <c r="O191" s="602"/>
      <c r="R191" s="602" t="str">
        <f>VLOOKUP(+R185,'[14]Twr Schedule'!$B$9:$C$611,2,FALSE)</f>
        <v>DA+3</v>
      </c>
      <c r="S191" s="602"/>
      <c r="V191" s="602" t="str">
        <f>VLOOKUP(+V185,'[14]Twr Schedule'!$B$9:$C$611,2,FALSE)</f>
        <v>DA-3</v>
      </c>
      <c r="W191" s="602"/>
      <c r="Z191" s="602" t="str">
        <f>VLOOKUP(+Z185,'[14]Twr Schedule'!$B$9:$C$611,2,FALSE)</f>
        <v>DA+0</v>
      </c>
      <c r="AA191" s="602"/>
      <c r="AD191" s="602" t="str">
        <f>VLOOKUP(+AD185,'[14]Twr Schedule'!$B$9:$C$611,2,FALSE)</f>
        <v>DA+0</v>
      </c>
      <c r="AE191" s="602"/>
      <c r="AH191" s="602" t="str">
        <f>VLOOKUP(+AH185,'[14]Twr Schedule'!$B$9:$C$611,2,FALSE)</f>
        <v>DA+3</v>
      </c>
      <c r="AI191" s="602"/>
      <c r="AL191" s="602" t="str">
        <f>VLOOKUP(+AL185,'[14]Twr Schedule'!$B$9:$C$611,2,FALSE)</f>
        <v>DA+0</v>
      </c>
      <c r="AM191" s="602"/>
      <c r="AP191" s="602" t="str">
        <f>VLOOKUP(+AP185,'[14]Twr Schedule'!$B$9:$C$611,2,FALSE)</f>
        <v>DA+3</v>
      </c>
      <c r="AQ191" s="602"/>
      <c r="AT191" s="283"/>
      <c r="AV191" s="600"/>
      <c r="AW191" s="600"/>
    </row>
    <row r="192" spans="1:51">
      <c r="A192" s="282"/>
      <c r="AB192" t="s">
        <v>845</v>
      </c>
      <c r="AL192" s="2"/>
      <c r="AM192" s="2"/>
      <c r="AT192" s="283"/>
      <c r="AV192" s="600"/>
      <c r="AW192" s="600"/>
    </row>
    <row r="193" spans="1:51">
      <c r="A193" s="282"/>
      <c r="AA193" t="s">
        <v>846</v>
      </c>
      <c r="AT193" s="283"/>
      <c r="AV193" s="600"/>
      <c r="AW193" s="600"/>
    </row>
    <row r="194" spans="1:51">
      <c r="A194" s="616" t="s">
        <v>844</v>
      </c>
      <c r="B194" s="617"/>
      <c r="C194" s="617"/>
      <c r="D194" s="617"/>
      <c r="E194" s="617"/>
      <c r="F194" s="617"/>
      <c r="G194" s="617"/>
      <c r="H194" s="617"/>
      <c r="I194" s="617"/>
      <c r="J194" s="618"/>
      <c r="K194" s="606" t="s">
        <v>847</v>
      </c>
      <c r="L194" s="606"/>
      <c r="M194" s="606"/>
      <c r="N194" s="606"/>
      <c r="O194" s="606"/>
      <c r="P194" s="606"/>
      <c r="Q194" s="606"/>
      <c r="R194" s="606"/>
      <c r="S194" s="606"/>
      <c r="T194" s="606"/>
      <c r="U194" s="606"/>
      <c r="V194" s="606"/>
      <c r="W194" s="606"/>
      <c r="X194" s="606"/>
      <c r="Y194" s="606"/>
      <c r="Z194" s="606"/>
      <c r="AA194" s="606"/>
      <c r="AB194" s="606"/>
      <c r="AC194" s="606"/>
      <c r="AD194" s="606"/>
      <c r="AE194" s="606"/>
      <c r="AF194" s="606"/>
      <c r="AG194" s="606"/>
      <c r="AH194" s="606"/>
      <c r="AI194" s="606"/>
      <c r="AJ194" s="606"/>
      <c r="AK194" s="606"/>
      <c r="AL194" s="606"/>
      <c r="AM194" s="606"/>
      <c r="AN194" s="606"/>
      <c r="AO194" s="606"/>
      <c r="AP194" s="606"/>
      <c r="AQ194" s="606"/>
      <c r="AR194" s="606"/>
      <c r="AT194" s="283"/>
      <c r="AV194" s="600"/>
      <c r="AW194" s="600"/>
    </row>
    <row r="195" spans="1:51">
      <c r="A195" s="282"/>
      <c r="B195" s="600" t="str">
        <f>'[14]Twr Schedule'!B383</f>
        <v>35/8</v>
      </c>
      <c r="C195" s="600"/>
      <c r="F195" s="600" t="str">
        <f>'[14]Twr Schedule'!B385</f>
        <v>35/9</v>
      </c>
      <c r="G195" s="600"/>
      <c r="J195" s="600" t="str">
        <f>'[14]Twr Schedule'!B387</f>
        <v>36/0</v>
      </c>
      <c r="K195" s="600"/>
      <c r="N195" s="600" t="str">
        <f>'[14]Twr Schedule'!B389</f>
        <v>36/1</v>
      </c>
      <c r="O195" s="600"/>
      <c r="R195" s="600" t="str">
        <f>'[14]Twr Schedule'!B391</f>
        <v>36/2</v>
      </c>
      <c r="S195" s="600"/>
      <c r="V195" s="600" t="str">
        <f>'[14]Twr Schedule'!B393</f>
        <v>36/3</v>
      </c>
      <c r="W195" s="600"/>
      <c r="Z195" s="600" t="str">
        <f>'[14]Twr Schedule'!B395</f>
        <v>36/4</v>
      </c>
      <c r="AA195" s="600"/>
      <c r="AD195" s="600" t="str">
        <f>'[14]Twr Schedule'!B397</f>
        <v>36/5</v>
      </c>
      <c r="AE195" s="600"/>
      <c r="AH195" s="600" t="str">
        <f>'[14]Twr Schedule'!B399</f>
        <v>36/6</v>
      </c>
      <c r="AI195" s="600"/>
      <c r="AL195" s="600" t="str">
        <f>'[14]Twr Schedule'!B401</f>
        <v>36/7</v>
      </c>
      <c r="AM195" s="600"/>
      <c r="AP195" s="600" t="str">
        <f>'[14]Twr Schedule'!B403</f>
        <v>36/8</v>
      </c>
      <c r="AQ195" s="600"/>
      <c r="AT195" s="283"/>
      <c r="AV195" s="600"/>
      <c r="AW195" s="600"/>
    </row>
    <row r="196" spans="1:51">
      <c r="A196" s="282"/>
      <c r="AT196" s="283"/>
      <c r="AV196" s="600"/>
      <c r="AW196" s="600"/>
    </row>
    <row r="197" spans="1:51">
      <c r="A197" s="282"/>
      <c r="AT197" s="283"/>
      <c r="AV197" s="600"/>
      <c r="AW197" s="600"/>
    </row>
    <row r="198" spans="1:51">
      <c r="A198" s="282"/>
      <c r="B198" s="296" t="s">
        <v>791</v>
      </c>
      <c r="C198" s="296" t="s">
        <v>792</v>
      </c>
      <c r="D198" s="613">
        <f>VLOOKUP(B195,[14]Progress!$B$9:$D$310,3,FALSE)</f>
        <v>373</v>
      </c>
      <c r="E198" s="614"/>
      <c r="F198" s="296" t="s">
        <v>791</v>
      </c>
      <c r="G198" s="296" t="s">
        <v>792</v>
      </c>
      <c r="H198" s="609">
        <f>VLOOKUP(F195,[14]Progress!$B$9:$D$310,3,FALSE)</f>
        <v>421.04899999999998</v>
      </c>
      <c r="I198" s="610"/>
      <c r="J198" s="314" t="s">
        <v>791</v>
      </c>
      <c r="K198" s="314" t="s">
        <v>792</v>
      </c>
      <c r="L198" s="609">
        <f>VLOOKUP(J195,[14]Progress!$B$9:$D$310,3,FALSE)</f>
        <v>401</v>
      </c>
      <c r="M198" s="610"/>
      <c r="N198" s="314" t="s">
        <v>791</v>
      </c>
      <c r="O198" s="314" t="s">
        <v>792</v>
      </c>
      <c r="P198" s="609">
        <f>VLOOKUP(N195,[14]Progress!$B$9:$D$310,3,FALSE)</f>
        <v>412</v>
      </c>
      <c r="Q198" s="610"/>
      <c r="R198" s="314" t="s">
        <v>791</v>
      </c>
      <c r="S198" s="314" t="s">
        <v>792</v>
      </c>
      <c r="T198" s="609">
        <f>VLOOKUP(R195,[14]Progress!$B$9:$D$310,3,FALSE)</f>
        <v>415</v>
      </c>
      <c r="U198" s="610"/>
      <c r="V198" s="314" t="s">
        <v>791</v>
      </c>
      <c r="W198" s="314" t="s">
        <v>792</v>
      </c>
      <c r="X198" s="609">
        <f>VLOOKUP(V195,[14]Progress!$B$9:$D$310,3,FALSE)</f>
        <v>411</v>
      </c>
      <c r="Y198" s="610"/>
      <c r="Z198" s="314" t="s">
        <v>791</v>
      </c>
      <c r="AA198" s="314" t="s">
        <v>792</v>
      </c>
      <c r="AB198" s="609">
        <f>VLOOKUP(Z195,[14]Progress!$B$9:$D$310,3,FALSE)</f>
        <v>395</v>
      </c>
      <c r="AC198" s="610"/>
      <c r="AD198" s="314" t="s">
        <v>791</v>
      </c>
      <c r="AE198" s="314" t="s">
        <v>792</v>
      </c>
      <c r="AF198" s="609">
        <f>VLOOKUP(AD195,[14]Progress!$B$9:$D$310,3,FALSE)</f>
        <v>402</v>
      </c>
      <c r="AG198" s="610"/>
      <c r="AH198" s="314" t="s">
        <v>791</v>
      </c>
      <c r="AI198" s="314" t="s">
        <v>792</v>
      </c>
      <c r="AJ198" s="609">
        <f>VLOOKUP(AH195,[14]Progress!$B$9:$D$310,3,FALSE)</f>
        <v>432</v>
      </c>
      <c r="AK198" s="610"/>
      <c r="AL198" s="314" t="s">
        <v>791</v>
      </c>
      <c r="AM198" s="314" t="s">
        <v>792</v>
      </c>
      <c r="AN198" s="609">
        <f>VLOOKUP(AL195,[14]Progress!$B$9:$D$310,3,FALSE)</f>
        <v>392.01100000000002</v>
      </c>
      <c r="AO198" s="610"/>
      <c r="AP198" s="314" t="s">
        <v>791</v>
      </c>
      <c r="AQ198" s="314" t="s">
        <v>792</v>
      </c>
      <c r="AR198" s="609">
        <f>VLOOKUP(AP195,[14]Progress!$B$9:$D$310,3,FALSE)</f>
        <v>352.98899999999998</v>
      </c>
      <c r="AS198" s="611"/>
      <c r="AT198" s="283"/>
      <c r="AV198" s="600">
        <f>D198+H198+L198+P198+T198+X198+AB198+AF198+AJ198+AN198+AR198</f>
        <v>4407.049</v>
      </c>
      <c r="AW198" s="600"/>
      <c r="AY198">
        <v>11</v>
      </c>
    </row>
    <row r="199" spans="1:51">
      <c r="A199" s="282"/>
      <c r="B199" s="296" t="s">
        <v>794</v>
      </c>
      <c r="C199" s="296" t="s">
        <v>795</v>
      </c>
      <c r="F199" s="296" t="s">
        <v>794</v>
      </c>
      <c r="G199" s="296" t="s">
        <v>795</v>
      </c>
      <c r="J199" s="296" t="s">
        <v>794</v>
      </c>
      <c r="K199" s="296" t="s">
        <v>795</v>
      </c>
      <c r="N199" s="296" t="s">
        <v>794</v>
      </c>
      <c r="O199" s="296" t="s">
        <v>795</v>
      </c>
      <c r="R199" s="296" t="s">
        <v>794</v>
      </c>
      <c r="S199" s="296" t="s">
        <v>795</v>
      </c>
      <c r="V199" s="296" t="s">
        <v>794</v>
      </c>
      <c r="W199" s="296" t="s">
        <v>795</v>
      </c>
      <c r="Z199" s="296" t="s">
        <v>794</v>
      </c>
      <c r="AA199" s="296" t="s">
        <v>795</v>
      </c>
      <c r="AD199" s="296" t="s">
        <v>794</v>
      </c>
      <c r="AE199" s="296" t="s">
        <v>795</v>
      </c>
      <c r="AH199" s="296" t="s">
        <v>794</v>
      </c>
      <c r="AI199" s="296" t="s">
        <v>795</v>
      </c>
      <c r="AL199" s="296" t="s">
        <v>794</v>
      </c>
      <c r="AM199" s="296" t="s">
        <v>795</v>
      </c>
      <c r="AP199" s="296" t="s">
        <v>794</v>
      </c>
      <c r="AQ199" s="296" t="s">
        <v>795</v>
      </c>
      <c r="AT199" s="283"/>
      <c r="AV199" s="600"/>
      <c r="AW199" s="600"/>
    </row>
    <row r="200" spans="1:51" ht="10.5" customHeight="1">
      <c r="A200" s="282"/>
      <c r="B200" s="605"/>
      <c r="C200" s="605"/>
      <c r="F200" s="605"/>
      <c r="G200" s="605"/>
      <c r="J200" s="605"/>
      <c r="K200" s="605"/>
      <c r="N200" s="605"/>
      <c r="O200" s="605"/>
      <c r="R200" s="605"/>
      <c r="S200" s="605"/>
      <c r="V200" s="605"/>
      <c r="W200" s="605"/>
      <c r="Z200" s="605"/>
      <c r="AA200" s="605"/>
      <c r="AD200" s="605"/>
      <c r="AE200" s="605"/>
      <c r="AH200" s="605"/>
      <c r="AI200" s="605"/>
      <c r="AL200" s="605"/>
      <c r="AM200" s="605"/>
      <c r="AP200" s="605"/>
      <c r="AQ200" s="605"/>
      <c r="AT200" s="283"/>
      <c r="AV200" s="600"/>
      <c r="AW200" s="600"/>
    </row>
    <row r="201" spans="1:51">
      <c r="A201" s="282"/>
      <c r="B201" s="602" t="str">
        <f>VLOOKUP(+B195,'[14]Twr Schedule'!$B$9:$C$611,2,FALSE)</f>
        <v>DA-3</v>
      </c>
      <c r="C201" s="602"/>
      <c r="F201" s="602" t="str">
        <f>VLOOKUP(+F195,'[14]Twr Schedule'!$B$9:$C$611,2,FALSE)</f>
        <v>DA+3</v>
      </c>
      <c r="G201" s="602"/>
      <c r="J201" s="602" t="str">
        <f>VLOOKUP(+J195,'[14]Twr Schedule'!$B$9:$C$611,2,FALSE)</f>
        <v>DB2+0</v>
      </c>
      <c r="K201" s="602"/>
      <c r="N201" s="602" t="str">
        <f>VLOOKUP(+N195,'[14]Twr Schedule'!$B$9:$C$611,2,FALSE)</f>
        <v>DA+3</v>
      </c>
      <c r="O201" s="602"/>
      <c r="R201" s="602" t="str">
        <f>VLOOKUP(+R195,'[14]Twr Schedule'!$B$9:$C$611,2,FALSE)</f>
        <v>DA+0</v>
      </c>
      <c r="S201" s="602"/>
      <c r="V201" s="602" t="str">
        <f>VLOOKUP(+V195,'[14]Twr Schedule'!$B$9:$C$611,2,FALSE)</f>
        <v>DA+3</v>
      </c>
      <c r="W201" s="602"/>
      <c r="Z201" s="602" t="str">
        <f>VLOOKUP(+Z195,'[14]Twr Schedule'!$B$9:$C$611,2,FALSE)</f>
        <v>DA+0</v>
      </c>
      <c r="AA201" s="602"/>
      <c r="AD201" s="602" t="str">
        <f>VLOOKUP(+AD195,'[14]Twr Schedule'!$B$9:$C$611,2,FALSE)</f>
        <v>DA+0</v>
      </c>
      <c r="AE201" s="602"/>
      <c r="AH201" s="602" t="str">
        <f>VLOOKUP(+AH195,'[14]Twr Schedule'!$B$9:$C$611,2,FALSE)</f>
        <v>DA+3</v>
      </c>
      <c r="AI201" s="602"/>
      <c r="AL201" s="602" t="str">
        <f>VLOOKUP(+AL195,'[14]Twr Schedule'!$B$9:$C$611,2,FALSE)</f>
        <v>DA+3</v>
      </c>
      <c r="AM201" s="602"/>
      <c r="AP201" s="602" t="str">
        <f>VLOOKUP(+AP195,'[14]Twr Schedule'!$B$9:$C$611,2,FALSE)</f>
        <v>DA-3</v>
      </c>
      <c r="AQ201" s="602"/>
      <c r="AT201" s="283"/>
      <c r="AV201" s="600"/>
      <c r="AW201" s="600"/>
    </row>
    <row r="202" spans="1:51">
      <c r="A202" s="282"/>
      <c r="B202" s="2"/>
      <c r="C202" s="2"/>
      <c r="F202" s="2"/>
      <c r="G202" s="2"/>
      <c r="J202" s="2"/>
      <c r="K202" s="2"/>
      <c r="N202" s="2"/>
      <c r="O202" s="2"/>
      <c r="R202" s="2"/>
      <c r="S202" s="2"/>
      <c r="V202" s="2"/>
      <c r="W202" s="2"/>
      <c r="Z202" s="2"/>
      <c r="AA202" s="2"/>
      <c r="AD202" s="2"/>
      <c r="AE202" s="2"/>
      <c r="AH202" s="2"/>
      <c r="AI202" s="2"/>
      <c r="AL202" s="2"/>
      <c r="AM202" s="2"/>
      <c r="AP202" s="2"/>
      <c r="AQ202" s="2"/>
      <c r="AT202" s="283"/>
      <c r="AV202" s="600"/>
      <c r="AW202" s="600"/>
    </row>
    <row r="203" spans="1:51">
      <c r="A203" s="586" t="s">
        <v>847</v>
      </c>
      <c r="B203" s="587"/>
      <c r="C203" s="587"/>
      <c r="D203" s="587"/>
      <c r="E203" s="587"/>
      <c r="F203" s="587"/>
      <c r="G203" s="587"/>
      <c r="H203" s="587"/>
      <c r="I203" s="587"/>
      <c r="J203" s="587"/>
      <c r="K203" s="587"/>
      <c r="L203" s="587"/>
      <c r="M203" s="587"/>
      <c r="N203" s="587"/>
      <c r="O203" s="587"/>
      <c r="P203" s="587"/>
      <c r="Q203" s="587"/>
      <c r="R203" s="588"/>
      <c r="S203" s="606" t="s">
        <v>848</v>
      </c>
      <c r="T203" s="606"/>
      <c r="U203" s="606"/>
      <c r="V203" s="606"/>
      <c r="W203" s="606"/>
      <c r="X203" s="606"/>
      <c r="Y203" s="606"/>
      <c r="Z203" s="606"/>
      <c r="AA203" s="606"/>
      <c r="AB203" s="606"/>
      <c r="AC203" s="606"/>
      <c r="AD203" s="606"/>
      <c r="AE203" s="606"/>
      <c r="AF203" s="606"/>
      <c r="AG203" s="606"/>
      <c r="AH203" s="606"/>
      <c r="AI203" s="606"/>
      <c r="AJ203" s="606"/>
      <c r="AK203" s="606"/>
      <c r="AL203" s="606"/>
      <c r="AM203" s="606"/>
      <c r="AN203" s="606"/>
      <c r="AO203" s="606"/>
      <c r="AP203" s="606"/>
      <c r="AQ203" s="606"/>
      <c r="AR203" s="606"/>
      <c r="AT203" s="283"/>
      <c r="AV203" s="600"/>
      <c r="AW203" s="600"/>
    </row>
    <row r="204" spans="1:51">
      <c r="A204" s="282"/>
      <c r="AT204" s="283"/>
      <c r="AV204" s="600"/>
      <c r="AW204" s="600"/>
    </row>
    <row r="205" spans="1:51">
      <c r="A205" s="282"/>
      <c r="B205" s="600" t="str">
        <f>'[14]Twr Schedule'!B405</f>
        <v>36/9</v>
      </c>
      <c r="C205" s="600"/>
      <c r="F205" s="600" t="str">
        <f>'[14]Twr Schedule'!B407</f>
        <v>36/10</v>
      </c>
      <c r="G205" s="600"/>
      <c r="J205" s="600" t="str">
        <f>'[14]Twr Schedule'!B409</f>
        <v>36/11</v>
      </c>
      <c r="K205" s="600"/>
      <c r="N205" s="600" t="str">
        <f>'[14]Twr Schedule'!B411</f>
        <v>36/12</v>
      </c>
      <c r="O205" s="600"/>
      <c r="R205" s="600" t="str">
        <f>'[14]Twr Schedule'!B413</f>
        <v>37/0</v>
      </c>
      <c r="S205" s="600"/>
      <c r="V205" s="600" t="str">
        <f>'[14]Twr Schedule'!B415</f>
        <v>38/0</v>
      </c>
      <c r="W205" s="600"/>
      <c r="Z205" s="600" t="str">
        <f>'[14]Twr Schedule'!B417</f>
        <v>38/1</v>
      </c>
      <c r="AA205" s="600"/>
      <c r="AD205" s="600" t="str">
        <f>'[14]Twr Schedule'!B419</f>
        <v>38/2</v>
      </c>
      <c r="AE205" s="600"/>
      <c r="AH205" s="600" t="str">
        <f>'[14]Twr Schedule'!B421</f>
        <v>38/3</v>
      </c>
      <c r="AI205" s="600"/>
      <c r="AL205" s="600" t="str">
        <f>'[14]Twr Schedule'!B423</f>
        <v>38/4</v>
      </c>
      <c r="AM205" s="600"/>
      <c r="AP205" s="600" t="str">
        <f>'[14]Twr Schedule'!B425</f>
        <v>38/5</v>
      </c>
      <c r="AQ205" s="600"/>
      <c r="AT205" s="283"/>
      <c r="AV205" s="600"/>
      <c r="AW205" s="600"/>
    </row>
    <row r="206" spans="1:51">
      <c r="A206" s="282"/>
      <c r="AT206" s="283"/>
      <c r="AV206" s="600"/>
      <c r="AW206" s="600"/>
    </row>
    <row r="207" spans="1:51">
      <c r="A207" s="282"/>
      <c r="AT207" s="283"/>
      <c r="AV207" s="600"/>
      <c r="AW207" s="600"/>
    </row>
    <row r="208" spans="1:51">
      <c r="A208" s="282"/>
      <c r="B208" s="296" t="s">
        <v>791</v>
      </c>
      <c r="C208" s="296" t="s">
        <v>792</v>
      </c>
      <c r="D208" s="613">
        <f>VLOOKUP(B205,[14]Progress!$B$9:$D$310,3,FALSE)</f>
        <v>361</v>
      </c>
      <c r="E208" s="614"/>
      <c r="F208" s="296" t="s">
        <v>791</v>
      </c>
      <c r="G208" s="296" t="s">
        <v>792</v>
      </c>
      <c r="H208" s="613">
        <f>VLOOKUP(F205,[14]Progress!$B$9:$D$310,3,FALSE)</f>
        <v>302</v>
      </c>
      <c r="I208" s="614"/>
      <c r="J208" s="296" t="s">
        <v>791</v>
      </c>
      <c r="K208" s="296" t="s">
        <v>792</v>
      </c>
      <c r="L208" s="613">
        <f>VLOOKUP(J205,[14]Progress!$B$9:$D$310,3,FALSE)</f>
        <v>310</v>
      </c>
      <c r="M208" s="614"/>
      <c r="N208" s="296" t="s">
        <v>791</v>
      </c>
      <c r="O208" s="296" t="s">
        <v>792</v>
      </c>
      <c r="P208" s="609">
        <f>VLOOKUP(N205,[14]Progress!$B$9:$D$310,3,FALSE)</f>
        <v>361.31</v>
      </c>
      <c r="Q208" s="610"/>
      <c r="R208" s="314" t="s">
        <v>791</v>
      </c>
      <c r="S208" s="314" t="s">
        <v>792</v>
      </c>
      <c r="T208" s="607">
        <f>VLOOKUP(R205,[14]Progress!$B$9:$D$310,3,FALSE)</f>
        <v>475.95100000000002</v>
      </c>
      <c r="U208" s="608"/>
      <c r="V208" s="314" t="s">
        <v>791</v>
      </c>
      <c r="W208" s="314" t="s">
        <v>792</v>
      </c>
      <c r="X208" s="609">
        <f>VLOOKUP(V205,[14]Progress!$B$9:$D$310,3,FALSE)</f>
        <v>399</v>
      </c>
      <c r="Y208" s="610"/>
      <c r="Z208" s="314" t="s">
        <v>791</v>
      </c>
      <c r="AA208" s="314" t="s">
        <v>792</v>
      </c>
      <c r="AB208" s="609">
        <f>VLOOKUP(Z205,[14]Progress!$B$9:$D$310,3,FALSE)</f>
        <v>426</v>
      </c>
      <c r="AC208" s="610"/>
      <c r="AD208" s="314" t="s">
        <v>791</v>
      </c>
      <c r="AE208" s="314" t="s">
        <v>792</v>
      </c>
      <c r="AF208" s="609">
        <f>VLOOKUP(AD205,[14]Progress!$B$9:$D$310,3,FALSE)</f>
        <v>408</v>
      </c>
      <c r="AG208" s="610"/>
      <c r="AH208" s="314" t="s">
        <v>791</v>
      </c>
      <c r="AI208" s="314" t="s">
        <v>792</v>
      </c>
      <c r="AJ208" s="609">
        <f>VLOOKUP(AH205,[14]Progress!$B$9:$D$310,3,FALSE)</f>
        <v>419</v>
      </c>
      <c r="AK208" s="610"/>
      <c r="AL208" s="314" t="s">
        <v>791</v>
      </c>
      <c r="AM208" s="314" t="s">
        <v>792</v>
      </c>
      <c r="AN208" s="609">
        <f>VLOOKUP(AL205,[14]Progress!$B$9:$D$310,3,FALSE)</f>
        <v>415</v>
      </c>
      <c r="AO208" s="610"/>
      <c r="AP208" s="314" t="s">
        <v>791</v>
      </c>
      <c r="AQ208" s="314" t="s">
        <v>792</v>
      </c>
      <c r="AR208" s="609">
        <f>VLOOKUP(AP205,[14]Progress!$B$9:$D$310,3,FALSE)</f>
        <v>415.11799999999999</v>
      </c>
      <c r="AS208" s="611"/>
      <c r="AT208" s="283"/>
      <c r="AV208" s="600">
        <f>D208+H208+L208+P208+T208+X208+AB208+AF208+AJ208+AN208+AR208</f>
        <v>4292.3789999999999</v>
      </c>
      <c r="AW208" s="600"/>
      <c r="AY208">
        <v>11</v>
      </c>
    </row>
    <row r="209" spans="1:51">
      <c r="A209" s="282"/>
      <c r="B209" s="296" t="s">
        <v>794</v>
      </c>
      <c r="C209" s="296" t="s">
        <v>795</v>
      </c>
      <c r="F209" s="296" t="s">
        <v>794</v>
      </c>
      <c r="G209" s="296" t="s">
        <v>795</v>
      </c>
      <c r="J209" s="296" t="s">
        <v>794</v>
      </c>
      <c r="K209" s="296" t="s">
        <v>795</v>
      </c>
      <c r="N209" s="296" t="s">
        <v>794</v>
      </c>
      <c r="O209" s="296" t="s">
        <v>795</v>
      </c>
      <c r="R209" s="296" t="s">
        <v>794</v>
      </c>
      <c r="S209" s="296" t="s">
        <v>795</v>
      </c>
      <c r="V209" s="296" t="s">
        <v>794</v>
      </c>
      <c r="W209" s="296" t="s">
        <v>795</v>
      </c>
      <c r="Z209" s="296" t="s">
        <v>794</v>
      </c>
      <c r="AA209" s="296" t="s">
        <v>795</v>
      </c>
      <c r="AD209" s="296" t="s">
        <v>794</v>
      </c>
      <c r="AE209" s="296" t="s">
        <v>795</v>
      </c>
      <c r="AH209" s="296" t="s">
        <v>794</v>
      </c>
      <c r="AI209" s="296" t="s">
        <v>795</v>
      </c>
      <c r="AL209" s="296" t="s">
        <v>794</v>
      </c>
      <c r="AM209" s="296" t="s">
        <v>795</v>
      </c>
      <c r="AP209" s="296" t="s">
        <v>794</v>
      </c>
      <c r="AQ209" s="296" t="s">
        <v>795</v>
      </c>
      <c r="AT209" s="283"/>
      <c r="AV209" s="600"/>
      <c r="AW209" s="600"/>
    </row>
    <row r="210" spans="1:51" ht="10.5" customHeight="1">
      <c r="A210" s="282"/>
      <c r="B210" s="605"/>
      <c r="C210" s="605"/>
      <c r="F210" s="605"/>
      <c r="G210" s="605"/>
      <c r="J210" s="605"/>
      <c r="K210" s="605"/>
      <c r="N210" s="605"/>
      <c r="O210" s="605"/>
      <c r="R210" s="605"/>
      <c r="S210" s="605"/>
      <c r="V210" s="605"/>
      <c r="W210" s="605"/>
      <c r="Z210" s="605"/>
      <c r="AA210" s="605"/>
      <c r="AD210" s="605"/>
      <c r="AE210" s="605"/>
      <c r="AH210" s="605"/>
      <c r="AI210" s="605"/>
      <c r="AL210" s="605"/>
      <c r="AM210" s="605"/>
      <c r="AP210" s="605"/>
      <c r="AQ210" s="605"/>
      <c r="AT210" s="283"/>
      <c r="AV210" s="600"/>
      <c r="AW210" s="600"/>
    </row>
    <row r="211" spans="1:51">
      <c r="A211" s="282"/>
      <c r="B211" s="602" t="str">
        <f>VLOOKUP(+B205,'[14]Twr Schedule'!$B$9:$C$611,2,FALSE)</f>
        <v>DA-3</v>
      </c>
      <c r="C211" s="602"/>
      <c r="F211" s="602" t="str">
        <f>VLOOKUP(+F205,'[14]Twr Schedule'!$B$9:$C$611,2,FALSE)</f>
        <v>DA-3</v>
      </c>
      <c r="G211" s="602"/>
      <c r="J211" s="602" t="str">
        <f>VLOOKUP(+J205,'[14]Twr Schedule'!$B$9:$C$611,2,FALSE)</f>
        <v>DA-3</v>
      </c>
      <c r="K211" s="602"/>
      <c r="N211" s="602" t="str">
        <f>VLOOKUP(+N205,'[14]Twr Schedule'!$B$9:$C$611,2,FALSE)</f>
        <v>DA+0</v>
      </c>
      <c r="O211" s="602"/>
      <c r="R211" s="602" t="str">
        <f>VLOOKUP(+R205,'[14]Twr Schedule'!$B$9:$C$611,2,FALSE)</f>
        <v>DC2+18</v>
      </c>
      <c r="S211" s="602"/>
      <c r="V211" s="602" t="str">
        <f>VLOOKUP(+V205,'[14]Twr Schedule'!$B$9:$C$611,2,FALSE)</f>
        <v>DC2+18</v>
      </c>
      <c r="W211" s="602"/>
      <c r="Z211" s="602" t="str">
        <f>VLOOKUP(+Z205,'[14]Twr Schedule'!$B$9:$C$611,2,FALSE)</f>
        <v>DA+3</v>
      </c>
      <c r="AA211" s="602"/>
      <c r="AD211" s="602" t="str">
        <f>VLOOKUP(+AD205,'[14]Twr Schedule'!$B$9:$C$611,2,FALSE)</f>
        <v>DA+3</v>
      </c>
      <c r="AE211" s="602"/>
      <c r="AH211" s="602" t="str">
        <f>VLOOKUP(+AH205,'[14]Twr Schedule'!$B$9:$C$611,2,FALSE)</f>
        <v>DA+3</v>
      </c>
      <c r="AI211" s="602"/>
      <c r="AL211" s="602" t="str">
        <f>VLOOKUP(+AL205,'[14]Twr Schedule'!$B$9:$C$611,2,FALSE)</f>
        <v>DA+3</v>
      </c>
      <c r="AM211" s="602"/>
      <c r="AP211" s="602" t="str">
        <f>VLOOKUP(+AP205,'[14]Twr Schedule'!$B$9:$C$611,2,FALSE)</f>
        <v>DA+3</v>
      </c>
      <c r="AQ211" s="602"/>
      <c r="AT211" s="283"/>
      <c r="AV211" s="600"/>
      <c r="AW211" s="600"/>
    </row>
    <row r="212" spans="1:51">
      <c r="A212" s="282"/>
      <c r="P212" s="306"/>
      <c r="Q212" s="306"/>
      <c r="R212" s="320" t="s">
        <v>849</v>
      </c>
      <c r="S212" s="306"/>
      <c r="T212" s="306"/>
      <c r="U212" s="306"/>
      <c r="V212" s="306"/>
      <c r="W212" s="320" t="s">
        <v>849</v>
      </c>
      <c r="X212" s="306"/>
      <c r="Y212" s="306"/>
      <c r="Z212" s="306"/>
      <c r="AP212" s="2"/>
      <c r="AQ212" s="2"/>
      <c r="AT212" s="283"/>
      <c r="AV212" s="600"/>
      <c r="AW212" s="600"/>
    </row>
    <row r="213" spans="1:51">
      <c r="A213" s="282"/>
      <c r="R213" t="s">
        <v>850</v>
      </c>
      <c r="AT213" s="283"/>
      <c r="AV213" s="600"/>
      <c r="AW213" s="600"/>
    </row>
    <row r="214" spans="1:51">
      <c r="A214" s="606" t="s">
        <v>848</v>
      </c>
      <c r="B214" s="606"/>
      <c r="C214" s="606"/>
      <c r="D214" s="606"/>
      <c r="E214" s="606"/>
      <c r="F214" s="606"/>
      <c r="G214" s="606"/>
      <c r="H214" s="606"/>
      <c r="I214" s="606"/>
      <c r="J214" s="606"/>
      <c r="K214" s="606"/>
      <c r="L214" s="606"/>
      <c r="M214" s="606"/>
      <c r="N214" s="606"/>
      <c r="O214" s="606"/>
      <c r="P214" s="606"/>
      <c r="Q214" s="606"/>
      <c r="R214" s="606"/>
      <c r="S214" s="606"/>
      <c r="T214" s="606"/>
      <c r="U214" s="606"/>
      <c r="V214" s="606"/>
      <c r="W214" s="586" t="s">
        <v>851</v>
      </c>
      <c r="X214" s="587"/>
      <c r="Y214" s="587"/>
      <c r="Z214" s="587"/>
      <c r="AA214" s="587"/>
      <c r="AB214" s="587"/>
      <c r="AC214" s="587"/>
      <c r="AD214" s="587"/>
      <c r="AE214" s="587"/>
      <c r="AF214" s="587"/>
      <c r="AG214" s="587"/>
      <c r="AH214" s="587"/>
      <c r="AI214" s="587"/>
      <c r="AJ214" s="587"/>
      <c r="AK214" s="587"/>
      <c r="AL214" s="587"/>
      <c r="AM214" s="587"/>
      <c r="AN214" s="587"/>
      <c r="AO214" s="587"/>
      <c r="AP214" s="587"/>
      <c r="AQ214" s="587"/>
      <c r="AR214" s="588"/>
      <c r="AT214" s="283"/>
      <c r="AV214" s="600"/>
      <c r="AW214" s="600"/>
    </row>
    <row r="215" spans="1:51">
      <c r="A215" s="282"/>
      <c r="B215" s="600" t="str">
        <f>'[14]Twr Schedule'!B427</f>
        <v>38/6</v>
      </c>
      <c r="C215" s="600"/>
      <c r="F215" s="600" t="str">
        <f>'[14]Twr Schedule'!B429</f>
        <v>38/7</v>
      </c>
      <c r="G215" s="600"/>
      <c r="J215" s="600" t="str">
        <f>'[14]Twr Schedule'!B431</f>
        <v>38/8</v>
      </c>
      <c r="K215" s="600"/>
      <c r="N215" s="600" t="str">
        <f>'[14]Twr Schedule'!B433</f>
        <v>38/9</v>
      </c>
      <c r="O215" s="600"/>
      <c r="R215" s="600" t="str">
        <f>'[14]Twr Schedule'!B435</f>
        <v>38/10</v>
      </c>
      <c r="S215" s="600"/>
      <c r="V215" s="600" t="str">
        <f>'[14]Twr Schedule'!B437</f>
        <v>38/11</v>
      </c>
      <c r="W215" s="600"/>
      <c r="Z215" s="600" t="str">
        <f>'[14]Twr Schedule'!B439</f>
        <v>39/0</v>
      </c>
      <c r="AA215" s="600"/>
      <c r="AD215" s="600" t="str">
        <f>'[14]Twr Schedule'!B441</f>
        <v>39/1</v>
      </c>
      <c r="AE215" s="600"/>
      <c r="AH215" s="600" t="str">
        <f>'[14]Twr Schedule'!B443</f>
        <v>39/2</v>
      </c>
      <c r="AI215" s="600"/>
      <c r="AL215" s="600" t="str">
        <f>'[14]Twr Schedule'!B445</f>
        <v>39/3</v>
      </c>
      <c r="AM215" s="600"/>
      <c r="AP215" s="600" t="str">
        <f>'[14]Twr Schedule'!B447</f>
        <v>39/4</v>
      </c>
      <c r="AQ215" s="600"/>
      <c r="AT215" s="283"/>
      <c r="AV215" s="600"/>
      <c r="AW215" s="600"/>
    </row>
    <row r="216" spans="1:51">
      <c r="A216" s="282"/>
      <c r="AT216" s="283"/>
      <c r="AV216" s="600"/>
      <c r="AW216" s="600"/>
    </row>
    <row r="217" spans="1:51">
      <c r="A217" s="282"/>
      <c r="AT217" s="283"/>
      <c r="AV217" s="600"/>
      <c r="AW217" s="600"/>
    </row>
    <row r="218" spans="1:51">
      <c r="A218" s="282"/>
      <c r="B218" s="296" t="s">
        <v>791</v>
      </c>
      <c r="C218" s="296" t="s">
        <v>792</v>
      </c>
      <c r="D218" s="613">
        <f>VLOOKUP(B215,[14]Progress!$B$9:$D$310,3,FALSE)</f>
        <v>400</v>
      </c>
      <c r="E218" s="614"/>
      <c r="F218" s="296" t="s">
        <v>791</v>
      </c>
      <c r="G218" s="296" t="s">
        <v>792</v>
      </c>
      <c r="H218" s="613">
        <f>VLOOKUP(F215,[14]Progress!$B$9:$D$310,3,FALSE)</f>
        <v>408.00200000000001</v>
      </c>
      <c r="I218" s="614"/>
      <c r="J218" s="296" t="s">
        <v>791</v>
      </c>
      <c r="K218" s="296" t="s">
        <v>792</v>
      </c>
      <c r="L218" s="613">
        <f>VLOOKUP(J215,[14]Progress!$B$9:$D$310,3,FALSE)</f>
        <v>393</v>
      </c>
      <c r="M218" s="614"/>
      <c r="N218" s="296" t="s">
        <v>791</v>
      </c>
      <c r="O218" s="296" t="s">
        <v>792</v>
      </c>
      <c r="P218" s="613">
        <f>VLOOKUP(N215,[14]Progress!$B$9:$D$310,3,FALSE)</f>
        <v>353</v>
      </c>
      <c r="Q218" s="614"/>
      <c r="R218" s="296" t="s">
        <v>791</v>
      </c>
      <c r="S218" s="296" t="s">
        <v>792</v>
      </c>
      <c r="T218" s="613">
        <f>VLOOKUP(R215,[14]Progress!$B$9:$D$310,3,FALSE)</f>
        <v>383</v>
      </c>
      <c r="U218" s="614"/>
      <c r="V218" s="314" t="s">
        <v>791</v>
      </c>
      <c r="W218" s="314" t="s">
        <v>792</v>
      </c>
      <c r="X218" s="609">
        <f>VLOOKUP(V215,[14]Progress!$B$9:$D$310,3,FALSE)</f>
        <v>403.72300000000001</v>
      </c>
      <c r="Y218" s="610"/>
      <c r="Z218" s="314" t="s">
        <v>791</v>
      </c>
      <c r="AA218" s="314" t="s">
        <v>792</v>
      </c>
      <c r="AB218" s="609">
        <f>VLOOKUP(Z215,[14]Progress!$B$9:$D$310,3,FALSE)</f>
        <v>398</v>
      </c>
      <c r="AC218" s="610"/>
      <c r="AD218" s="314" t="s">
        <v>791</v>
      </c>
      <c r="AE218" s="314" t="s">
        <v>792</v>
      </c>
      <c r="AF218" s="609">
        <f>VLOOKUP(AD215,[14]Progress!$B$9:$D$310,3,FALSE)</f>
        <v>402</v>
      </c>
      <c r="AG218" s="610"/>
      <c r="AH218" s="314" t="s">
        <v>791</v>
      </c>
      <c r="AI218" s="314" t="s">
        <v>792</v>
      </c>
      <c r="AJ218" s="609">
        <f>VLOOKUP(AH215,[14]Progress!$B$9:$D$310,3,FALSE)</f>
        <v>393.00299999999999</v>
      </c>
      <c r="AK218" s="610"/>
      <c r="AL218" s="314" t="s">
        <v>791</v>
      </c>
      <c r="AM218" s="314" t="s">
        <v>792</v>
      </c>
      <c r="AN218" s="609">
        <f>VLOOKUP(AL215,[14]Progress!$B$9:$D$310,3,FALSE)</f>
        <v>436.59699999999998</v>
      </c>
      <c r="AO218" s="610"/>
      <c r="AP218" s="314" t="s">
        <v>791</v>
      </c>
      <c r="AQ218" s="314" t="s">
        <v>792</v>
      </c>
      <c r="AR218" s="609">
        <f>VLOOKUP(AP215,[14]Progress!$B$9:$D$310,3,FALSE)</f>
        <v>376.01100000000002</v>
      </c>
      <c r="AS218" s="611"/>
      <c r="AT218" s="283"/>
      <c r="AV218" s="600">
        <f>D218+H218+L218+P218+T218+X218+AB218+AF218+AJ218+AN218+AR218</f>
        <v>4346.3360000000002</v>
      </c>
      <c r="AW218" s="600"/>
      <c r="AY218">
        <v>11</v>
      </c>
    </row>
    <row r="219" spans="1:51">
      <c r="A219" s="282"/>
      <c r="B219" s="296" t="s">
        <v>794</v>
      </c>
      <c r="C219" s="296" t="s">
        <v>795</v>
      </c>
      <c r="F219" s="296" t="s">
        <v>794</v>
      </c>
      <c r="G219" s="296" t="s">
        <v>795</v>
      </c>
      <c r="J219" s="296" t="s">
        <v>794</v>
      </c>
      <c r="K219" s="296" t="s">
        <v>795</v>
      </c>
      <c r="N219" s="296" t="s">
        <v>794</v>
      </c>
      <c r="O219" s="296" t="s">
        <v>795</v>
      </c>
      <c r="R219" s="296" t="s">
        <v>794</v>
      </c>
      <c r="S219" s="296" t="s">
        <v>795</v>
      </c>
      <c r="V219" s="296" t="s">
        <v>794</v>
      </c>
      <c r="W219" s="296" t="s">
        <v>795</v>
      </c>
      <c r="Z219" s="296" t="s">
        <v>794</v>
      </c>
      <c r="AA219" s="296" t="s">
        <v>795</v>
      </c>
      <c r="AD219" s="296" t="s">
        <v>794</v>
      </c>
      <c r="AE219" s="296" t="s">
        <v>795</v>
      </c>
      <c r="AH219" s="296" t="s">
        <v>794</v>
      </c>
      <c r="AI219" s="296" t="s">
        <v>795</v>
      </c>
      <c r="AL219" s="296" t="s">
        <v>794</v>
      </c>
      <c r="AM219" s="296" t="s">
        <v>795</v>
      </c>
      <c r="AP219" s="296" t="s">
        <v>794</v>
      </c>
      <c r="AQ219" s="296" t="s">
        <v>795</v>
      </c>
      <c r="AT219" s="283"/>
      <c r="AV219" s="600"/>
      <c r="AW219" s="600"/>
    </row>
    <row r="220" spans="1:51" ht="10.5" customHeight="1">
      <c r="A220" s="282"/>
      <c r="B220" s="605"/>
      <c r="C220" s="605"/>
      <c r="F220" s="605"/>
      <c r="G220" s="605"/>
      <c r="J220" s="605"/>
      <c r="K220" s="605"/>
      <c r="N220" s="605"/>
      <c r="O220" s="605"/>
      <c r="R220" s="605"/>
      <c r="S220" s="605"/>
      <c r="V220" s="605"/>
      <c r="W220" s="605"/>
      <c r="Z220" s="605"/>
      <c r="AA220" s="605"/>
      <c r="AD220" s="605"/>
      <c r="AE220" s="605"/>
      <c r="AH220" s="605"/>
      <c r="AI220" s="605"/>
      <c r="AL220" s="605"/>
      <c r="AM220" s="605"/>
      <c r="AP220" s="605"/>
      <c r="AQ220" s="605"/>
      <c r="AT220" s="283"/>
      <c r="AV220" s="600"/>
      <c r="AW220" s="600"/>
    </row>
    <row r="221" spans="1:51">
      <c r="A221" s="282"/>
      <c r="B221" s="602" t="str">
        <f>VLOOKUP(+B215,'[14]Twr Schedule'!$B$9:$C$611,2,FALSE)</f>
        <v>DA+3</v>
      </c>
      <c r="C221" s="602"/>
      <c r="F221" s="602" t="str">
        <f>VLOOKUP(+F215,'[14]Twr Schedule'!$B$9:$C$611,2,FALSE)</f>
        <v>DA-3</v>
      </c>
      <c r="G221" s="602"/>
      <c r="J221" s="602" t="str">
        <f>VLOOKUP(+J215,'[14]Twr Schedule'!$B$9:$C$611,2,FALSE)</f>
        <v>DA+3</v>
      </c>
      <c r="K221" s="602"/>
      <c r="N221" s="602" t="str">
        <f>VLOOKUP(+N215,'[14]Twr Schedule'!$B$9:$C$611,2,FALSE)</f>
        <v>DA-3</v>
      </c>
      <c r="O221" s="602"/>
      <c r="R221" s="602" t="str">
        <f>VLOOKUP(+R215,'[14]Twr Schedule'!$B$9:$C$611,2,FALSE)</f>
        <v>DA-3</v>
      </c>
      <c r="S221" s="602"/>
      <c r="V221" s="602" t="str">
        <f>VLOOKUP(+V215,'[14]Twr Schedule'!$B$9:$C$611,2,FALSE)</f>
        <v>DA+3</v>
      </c>
      <c r="W221" s="602"/>
      <c r="Z221" s="602" t="str">
        <f>VLOOKUP(+Z215,'[14]Twr Schedule'!$B$9:$C$611,2,FALSE)</f>
        <v>DB2+0</v>
      </c>
      <c r="AA221" s="602"/>
      <c r="AD221" s="602" t="str">
        <f>VLOOKUP(+AD215,'[14]Twr Schedule'!$B$9:$C$611,2,FALSE)</f>
        <v>DA+3</v>
      </c>
      <c r="AE221" s="602"/>
      <c r="AH221" s="602" t="str">
        <f>VLOOKUP(+AH215,'[14]Twr Schedule'!$B$9:$C$611,2,FALSE)</f>
        <v>DA-3</v>
      </c>
      <c r="AI221" s="602"/>
      <c r="AL221" s="602" t="str">
        <f>VLOOKUP(+AL215,'[14]Twr Schedule'!$B$9:$C$611,2,FALSE)</f>
        <v>DA+3</v>
      </c>
      <c r="AM221" s="602"/>
      <c r="AP221" s="602" t="str">
        <f>VLOOKUP(+AP215,'[14]Twr Schedule'!$B$9:$C$611,2,FALSE)</f>
        <v>DA+3</v>
      </c>
      <c r="AQ221" s="602"/>
      <c r="AT221" s="283"/>
      <c r="AV221" s="600"/>
      <c r="AW221" s="600"/>
    </row>
    <row r="222" spans="1:51">
      <c r="A222" s="282"/>
      <c r="AT222" s="283"/>
      <c r="AV222" s="600"/>
      <c r="AW222" s="600"/>
    </row>
    <row r="223" spans="1:51">
      <c r="A223" s="586" t="s">
        <v>851</v>
      </c>
      <c r="B223" s="587"/>
      <c r="C223" s="587"/>
      <c r="D223" s="587"/>
      <c r="E223" s="587"/>
      <c r="F223" s="587"/>
      <c r="G223" s="587"/>
      <c r="H223" s="587"/>
      <c r="I223" s="587"/>
      <c r="J223" s="587"/>
      <c r="K223" s="587"/>
      <c r="L223" s="587"/>
      <c r="M223" s="587"/>
      <c r="N223" s="587"/>
      <c r="O223" s="587"/>
      <c r="P223" s="587"/>
      <c r="Q223" s="587"/>
      <c r="R223" s="587"/>
      <c r="S223" s="587"/>
      <c r="T223" s="587"/>
      <c r="U223" s="587"/>
      <c r="V223" s="587"/>
      <c r="W223" s="587"/>
      <c r="X223" s="587"/>
      <c r="Y223" s="587"/>
      <c r="Z223" s="588"/>
      <c r="AA223" s="606" t="s">
        <v>852</v>
      </c>
      <c r="AB223" s="606"/>
      <c r="AC223" s="606"/>
      <c r="AD223" s="606"/>
      <c r="AE223" s="606"/>
      <c r="AF223" s="606"/>
      <c r="AG223" s="606"/>
      <c r="AH223" s="606"/>
      <c r="AI223" s="606"/>
      <c r="AJ223" s="606"/>
      <c r="AK223" s="606"/>
      <c r="AL223" s="606"/>
      <c r="AM223" s="606"/>
      <c r="AN223" s="606"/>
      <c r="AO223" s="606"/>
      <c r="AP223" s="606"/>
      <c r="AQ223" s="606"/>
      <c r="AR223" s="606"/>
      <c r="AT223" s="283"/>
      <c r="AV223" s="600"/>
      <c r="AW223" s="600"/>
    </row>
    <row r="224" spans="1:51">
      <c r="A224" s="282"/>
      <c r="AT224" s="283"/>
      <c r="AV224" s="600"/>
      <c r="AW224" s="600"/>
    </row>
    <row r="225" spans="1:51">
      <c r="A225" s="282"/>
      <c r="B225" s="600" t="str">
        <f>'[14]Twr Schedule'!B449</f>
        <v>39/5</v>
      </c>
      <c r="C225" s="600"/>
      <c r="F225" s="600" t="str">
        <f>'[14]Twr Schedule'!B451</f>
        <v>39/6</v>
      </c>
      <c r="G225" s="600"/>
      <c r="J225" s="600" t="str">
        <f>'[14]Twr Schedule'!B453</f>
        <v>39/7</v>
      </c>
      <c r="K225" s="600"/>
      <c r="N225" s="600" t="str">
        <f>'[14]Twr Schedule'!B455</f>
        <v>39/8</v>
      </c>
      <c r="O225" s="600"/>
      <c r="R225" s="600" t="str">
        <f>'[14]Twr Schedule'!B457</f>
        <v>39/9</v>
      </c>
      <c r="S225" s="600"/>
      <c r="V225" s="600" t="str">
        <f>'[14]Twr Schedule'!B459</f>
        <v>39/10</v>
      </c>
      <c r="W225" s="600"/>
      <c r="Z225" s="600" t="str">
        <f>'[14]Twr Schedule'!B461</f>
        <v>40/0</v>
      </c>
      <c r="AA225" s="600"/>
      <c r="AD225" s="600" t="str">
        <f>'[14]Twr Schedule'!B463</f>
        <v>41/0</v>
      </c>
      <c r="AE225" s="600"/>
      <c r="AH225" s="600" t="str">
        <f>'[14]Twr Schedule'!B465</f>
        <v>41/1</v>
      </c>
      <c r="AI225" s="600"/>
      <c r="AL225" s="600" t="str">
        <f>'[14]Twr Schedule'!B467</f>
        <v>41/2</v>
      </c>
      <c r="AM225" s="600"/>
      <c r="AP225" s="600" t="str">
        <f>'[14]Twr Schedule'!B469</f>
        <v>42/0</v>
      </c>
      <c r="AQ225" s="600"/>
      <c r="AT225" s="283"/>
      <c r="AV225" s="600"/>
      <c r="AW225" s="600"/>
    </row>
    <row r="226" spans="1:51">
      <c r="A226" s="282"/>
      <c r="AT226" s="283"/>
      <c r="AV226" s="600"/>
      <c r="AW226" s="600"/>
    </row>
    <row r="227" spans="1:51">
      <c r="A227" s="282"/>
      <c r="AT227" s="283"/>
      <c r="AV227" s="600"/>
      <c r="AW227" s="600"/>
    </row>
    <row r="228" spans="1:51">
      <c r="A228" s="282"/>
      <c r="B228" s="296" t="s">
        <v>791</v>
      </c>
      <c r="C228" s="296" t="s">
        <v>792</v>
      </c>
      <c r="D228" s="609">
        <f>VLOOKUP(B225,[14]Progress!$B$9:$D$310,3,FALSE)</f>
        <v>374.38900000000001</v>
      </c>
      <c r="E228" s="610"/>
      <c r="F228" s="314" t="s">
        <v>791</v>
      </c>
      <c r="G228" s="314" t="s">
        <v>792</v>
      </c>
      <c r="H228" s="609">
        <f>VLOOKUP(F225,[14]Progress!$B$9:$D$310,3,FALSE)</f>
        <v>420.39800000000002</v>
      </c>
      <c r="I228" s="610"/>
      <c r="J228" s="314" t="s">
        <v>791</v>
      </c>
      <c r="K228" s="314" t="s">
        <v>792</v>
      </c>
      <c r="L228" s="609">
        <f>VLOOKUP(J225,[14]Progress!$B$9:$D$310,3,FALSE)</f>
        <v>414.00200000000001</v>
      </c>
      <c r="M228" s="610"/>
      <c r="N228" s="314" t="s">
        <v>791</v>
      </c>
      <c r="O228" s="314" t="s">
        <v>792</v>
      </c>
      <c r="P228" s="609">
        <f>VLOOKUP(N225,[14]Progress!$B$9:$D$310,3,FALSE)</f>
        <v>416.00099999999998</v>
      </c>
      <c r="Q228" s="610"/>
      <c r="R228" s="314" t="s">
        <v>791</v>
      </c>
      <c r="S228" s="314" t="s">
        <v>792</v>
      </c>
      <c r="T228" s="609">
        <f>VLOOKUP(R225,[14]Progress!$B$9:$D$310,3,FALSE)</f>
        <v>408.00200000000001</v>
      </c>
      <c r="U228" s="610"/>
      <c r="V228" s="314" t="s">
        <v>791</v>
      </c>
      <c r="W228" s="314" t="s">
        <v>792</v>
      </c>
      <c r="X228" s="609">
        <f>VLOOKUP(V225,[14]Progress!$B$9:$D$310,3,FALSE)</f>
        <v>422.12400000000002</v>
      </c>
      <c r="Y228" s="610"/>
      <c r="Z228" s="314" t="s">
        <v>791</v>
      </c>
      <c r="AA228" s="314" t="s">
        <v>792</v>
      </c>
      <c r="AB228" s="609">
        <f>VLOOKUP(Z225,[14]Progress!$B$9:$D$310,3,FALSE)</f>
        <v>239.30199999999999</v>
      </c>
      <c r="AC228" s="610"/>
      <c r="AD228" s="314" t="s">
        <v>791</v>
      </c>
      <c r="AE228" s="314" t="s">
        <v>792</v>
      </c>
      <c r="AF228" s="609">
        <f>VLOOKUP(AD225,[14]Progress!$B$9:$D$310,3,FALSE)</f>
        <v>425</v>
      </c>
      <c r="AG228" s="610"/>
      <c r="AH228" s="314" t="s">
        <v>791</v>
      </c>
      <c r="AI228" s="314" t="s">
        <v>792</v>
      </c>
      <c r="AJ228" s="609">
        <f>VLOOKUP(AH225,[14]Progress!$B$9:$D$310,3,FALSE)</f>
        <v>370</v>
      </c>
      <c r="AK228" s="610"/>
      <c r="AL228" s="314" t="s">
        <v>791</v>
      </c>
      <c r="AM228" s="314" t="s">
        <v>792</v>
      </c>
      <c r="AN228" s="609">
        <f>VLOOKUP(AL225,[14]Progress!$B$9:$D$310,3,FALSE)</f>
        <v>346.55599999999998</v>
      </c>
      <c r="AO228" s="610"/>
      <c r="AP228" s="314" t="s">
        <v>791</v>
      </c>
      <c r="AQ228" s="314" t="s">
        <v>792</v>
      </c>
      <c r="AR228" s="607">
        <f>VLOOKUP(AP225,[14]Progress!$B$9:$D$310,3,FALSE)</f>
        <v>309.23</v>
      </c>
      <c r="AS228" s="615"/>
      <c r="AT228" s="283"/>
      <c r="AV228" s="600">
        <f>D228+H228+L228+P228+T228+X228+AB228+AF228+AJ228+AN228+AR228</f>
        <v>4145.0040000000008</v>
      </c>
      <c r="AW228" s="600"/>
      <c r="AY228">
        <v>11</v>
      </c>
    </row>
    <row r="229" spans="1:51">
      <c r="A229" s="282"/>
      <c r="B229" s="296" t="s">
        <v>794</v>
      </c>
      <c r="C229" s="296" t="s">
        <v>795</v>
      </c>
      <c r="F229" s="296" t="s">
        <v>794</v>
      </c>
      <c r="G229" s="296" t="s">
        <v>795</v>
      </c>
      <c r="J229" s="296" t="s">
        <v>794</v>
      </c>
      <c r="K229" s="296" t="s">
        <v>795</v>
      </c>
      <c r="N229" s="296" t="s">
        <v>794</v>
      </c>
      <c r="O229" s="296" t="s">
        <v>795</v>
      </c>
      <c r="R229" s="296" t="s">
        <v>794</v>
      </c>
      <c r="S229" s="296" t="s">
        <v>795</v>
      </c>
      <c r="V229" s="296" t="s">
        <v>794</v>
      </c>
      <c r="W229" s="296" t="s">
        <v>795</v>
      </c>
      <c r="Z229" s="296" t="s">
        <v>794</v>
      </c>
      <c r="AA229" s="296" t="s">
        <v>795</v>
      </c>
      <c r="AD229" s="296" t="s">
        <v>794</v>
      </c>
      <c r="AE229" s="296" t="s">
        <v>795</v>
      </c>
      <c r="AH229" s="296" t="s">
        <v>794</v>
      </c>
      <c r="AI229" s="296" t="s">
        <v>795</v>
      </c>
      <c r="AL229" s="296" t="s">
        <v>794</v>
      </c>
      <c r="AM229" s="296" t="s">
        <v>795</v>
      </c>
      <c r="AP229" s="296" t="s">
        <v>794</v>
      </c>
      <c r="AQ229" s="296" t="s">
        <v>795</v>
      </c>
      <c r="AT229" s="283"/>
      <c r="AV229" s="600"/>
      <c r="AW229" s="600"/>
    </row>
    <row r="230" spans="1:51" ht="10.5" customHeight="1">
      <c r="A230" s="282"/>
      <c r="B230" s="605"/>
      <c r="C230" s="605"/>
      <c r="F230" s="605"/>
      <c r="G230" s="605"/>
      <c r="J230" s="605"/>
      <c r="K230" s="605"/>
      <c r="N230" s="605"/>
      <c r="O230" s="605"/>
      <c r="R230" s="605"/>
      <c r="S230" s="605"/>
      <c r="V230" s="605"/>
      <c r="W230" s="605"/>
      <c r="Z230" s="605"/>
      <c r="AA230" s="605"/>
      <c r="AD230" s="605"/>
      <c r="AE230" s="605"/>
      <c r="AH230" s="605"/>
      <c r="AI230" s="605"/>
      <c r="AL230" s="605"/>
      <c r="AM230" s="605"/>
      <c r="AP230" s="605"/>
      <c r="AQ230" s="605"/>
      <c r="AT230" s="283"/>
      <c r="AV230" s="600"/>
      <c r="AW230" s="600"/>
    </row>
    <row r="231" spans="1:51">
      <c r="A231" s="282"/>
      <c r="B231" s="602" t="str">
        <f>VLOOKUP(+B225,'[14]Twr Schedule'!$B$9:$C$611,2,FALSE)</f>
        <v>DA-3</v>
      </c>
      <c r="C231" s="602"/>
      <c r="F231" s="602" t="str">
        <f>VLOOKUP(+F225,'[14]Twr Schedule'!$B$9:$C$611,2,FALSE)</f>
        <v>DA+3</v>
      </c>
      <c r="G231" s="602"/>
      <c r="J231" s="602" t="str">
        <f>VLOOKUP(+J225,'[14]Twr Schedule'!$B$9:$C$611,2,FALSE)</f>
        <v>DA+3</v>
      </c>
      <c r="K231" s="602"/>
      <c r="N231" s="602" t="str">
        <f>VLOOKUP(+N225,'[14]Twr Schedule'!$B$9:$C$611,2,FALSE)</f>
        <v>DA+0</v>
      </c>
      <c r="O231" s="602"/>
      <c r="R231" s="602" t="str">
        <f>VLOOKUP(+R225,'[14]Twr Schedule'!$B$9:$C$611,2,FALSE)</f>
        <v>DA+3</v>
      </c>
      <c r="S231" s="602"/>
      <c r="V231" s="602" t="str">
        <f>VLOOKUP(+V225,'[14]Twr Schedule'!$B$9:$C$611,2,FALSE)</f>
        <v>DA+0</v>
      </c>
      <c r="W231" s="602"/>
      <c r="Z231" s="612" t="str">
        <f>VLOOKUP(+Z225,'[14]Twr Schedule'!$B$9:$C$611,2,FALSE)</f>
        <v>DD60+25</v>
      </c>
      <c r="AA231" s="612"/>
      <c r="AB231" s="315"/>
      <c r="AC231" s="315"/>
      <c r="AD231" s="612" t="str">
        <f>VLOOKUP(+AD225,'[14]Twr Schedule'!$B$9:$C$611,2,FALSE)</f>
        <v>DD60+18</v>
      </c>
      <c r="AE231" s="612"/>
      <c r="AH231" s="602" t="str">
        <f>VLOOKUP(+AH225,'[14]Twr Schedule'!$B$9:$C$611,2,FALSE)</f>
        <v>DA+0</v>
      </c>
      <c r="AI231" s="602"/>
      <c r="AL231" s="602" t="str">
        <f>VLOOKUP(+AL225,'[14]Twr Schedule'!$B$9:$C$611,2,FALSE)</f>
        <v>DA+3</v>
      </c>
      <c r="AM231" s="602"/>
      <c r="AP231" s="601" t="str">
        <f>VLOOKUP(+AP225,'[14]Twr Schedule'!$B$9:$C$611,2,FALSE)</f>
        <v>DD60+18</v>
      </c>
      <c r="AQ231" s="601"/>
      <c r="AT231" s="283"/>
      <c r="AV231" s="600"/>
      <c r="AW231" s="600"/>
    </row>
    <row r="232" spans="1:51">
      <c r="A232" s="282"/>
      <c r="Z232" s="306" t="s">
        <v>853</v>
      </c>
      <c r="AA232" s="306"/>
      <c r="AB232" s="306"/>
      <c r="AC232" s="306"/>
      <c r="AD232" s="306" t="s">
        <v>853</v>
      </c>
      <c r="AE232" s="306"/>
      <c r="AF232" s="306"/>
      <c r="AP232" s="2" t="s">
        <v>854</v>
      </c>
      <c r="AT232" s="283"/>
      <c r="AV232" s="600"/>
      <c r="AW232" s="600"/>
    </row>
    <row r="233" spans="1:51">
      <c r="A233" s="282"/>
      <c r="Z233" t="s">
        <v>855</v>
      </c>
      <c r="AP233" s="2" t="s">
        <v>856</v>
      </c>
      <c r="AT233" s="283"/>
      <c r="AV233" s="600"/>
      <c r="AW233" s="600"/>
    </row>
    <row r="234" spans="1:51">
      <c r="A234" s="586" t="s">
        <v>852</v>
      </c>
      <c r="B234" s="587"/>
      <c r="C234" s="587"/>
      <c r="D234" s="587"/>
      <c r="E234" s="587"/>
      <c r="F234" s="587"/>
      <c r="G234" s="587"/>
      <c r="H234" s="587"/>
      <c r="I234" s="587"/>
      <c r="J234" s="587"/>
      <c r="K234" s="587"/>
      <c r="L234" s="587"/>
      <c r="M234" s="587"/>
      <c r="N234" s="587"/>
      <c r="O234" s="587"/>
      <c r="P234" s="587"/>
      <c r="Q234" s="587"/>
      <c r="R234" s="587"/>
      <c r="S234" s="587"/>
      <c r="T234" s="587"/>
      <c r="U234" s="587"/>
      <c r="V234" s="587"/>
      <c r="W234" s="587"/>
      <c r="X234" s="587"/>
      <c r="Y234" s="587"/>
      <c r="Z234" s="587"/>
      <c r="AA234" s="587"/>
      <c r="AB234" s="587"/>
      <c r="AC234" s="587"/>
      <c r="AD234" s="587"/>
      <c r="AE234" s="587"/>
      <c r="AF234" s="587"/>
      <c r="AG234" s="587"/>
      <c r="AH234" s="587"/>
      <c r="AI234" s="587"/>
      <c r="AJ234" s="587"/>
      <c r="AK234" s="587"/>
      <c r="AL234" s="588"/>
      <c r="AM234" s="606" t="s">
        <v>857</v>
      </c>
      <c r="AN234" s="606"/>
      <c r="AO234" s="606"/>
      <c r="AP234" s="606"/>
      <c r="AQ234" s="606"/>
      <c r="AR234" s="606"/>
      <c r="AT234" s="283"/>
      <c r="AV234" s="600"/>
      <c r="AW234" s="600"/>
    </row>
    <row r="235" spans="1:51">
      <c r="A235" s="282"/>
      <c r="B235" s="600" t="str">
        <f>'[14]Twr Schedule'!B471</f>
        <v>43/0</v>
      </c>
      <c r="C235" s="600"/>
      <c r="F235" s="600" t="str">
        <f>'[14]Twr Schedule'!B473</f>
        <v>44/0</v>
      </c>
      <c r="G235" s="600"/>
      <c r="J235" s="600" t="str">
        <f>'[14]Twr Schedule'!B475</f>
        <v>45/0</v>
      </c>
      <c r="K235" s="600"/>
      <c r="N235" s="600" t="str">
        <f>'[14]Twr Schedule'!B477</f>
        <v>45/1</v>
      </c>
      <c r="O235" s="600"/>
      <c r="R235" s="600" t="str">
        <f>'[14]Twr Schedule'!B479</f>
        <v>45/2</v>
      </c>
      <c r="S235" s="600"/>
      <c r="V235" s="600" t="str">
        <f>'[14]Twr Schedule'!B481</f>
        <v>45/3</v>
      </c>
      <c r="W235" s="600"/>
      <c r="Z235" s="600" t="str">
        <f>'[14]Twr Schedule'!B483</f>
        <v>46/0</v>
      </c>
      <c r="AA235" s="600"/>
      <c r="AD235" s="600" t="str">
        <f>'[14]Twr Schedule'!B485</f>
        <v>46/1</v>
      </c>
      <c r="AE235" s="600"/>
      <c r="AH235" s="600" t="str">
        <f>'[14]Twr Schedule'!B487</f>
        <v>46/2</v>
      </c>
      <c r="AI235" s="600"/>
      <c r="AL235" s="600" t="str">
        <f>'[14]Twr Schedule'!B489</f>
        <v>47/0</v>
      </c>
      <c r="AM235" s="600"/>
      <c r="AP235" s="600" t="str">
        <f>'[14]Twr Schedule'!B491</f>
        <v>48/0</v>
      </c>
      <c r="AQ235" s="600"/>
      <c r="AT235" s="283"/>
      <c r="AV235" s="600"/>
      <c r="AW235" s="600"/>
    </row>
    <row r="236" spans="1:51">
      <c r="A236" s="282"/>
      <c r="AT236" s="283"/>
      <c r="AV236" s="600"/>
      <c r="AW236" s="600"/>
    </row>
    <row r="237" spans="1:51">
      <c r="A237" s="282"/>
      <c r="AT237" s="283"/>
      <c r="AV237" s="600"/>
      <c r="AW237" s="600"/>
    </row>
    <row r="238" spans="1:51">
      <c r="A238" s="282"/>
      <c r="B238" s="296" t="s">
        <v>791</v>
      </c>
      <c r="C238" s="296" t="s">
        <v>792</v>
      </c>
      <c r="D238" s="609">
        <f>VLOOKUP(B235,[14]Progress!$B$9:$D$310,3,FALSE)</f>
        <v>459.66899999999998</v>
      </c>
      <c r="E238" s="610"/>
      <c r="F238" s="314" t="s">
        <v>791</v>
      </c>
      <c r="G238" s="314" t="s">
        <v>792</v>
      </c>
      <c r="H238" s="607">
        <f>VLOOKUP(F235,[14]Progress!$B$9:$D$310,3,FALSE)</f>
        <v>300.00099999999998</v>
      </c>
      <c r="I238" s="608"/>
      <c r="J238" s="314" t="s">
        <v>791</v>
      </c>
      <c r="K238" s="314" t="s">
        <v>792</v>
      </c>
      <c r="L238" s="609">
        <f>VLOOKUP(J235,[14]Progress!$B$9:$D$310,3,FALSE)</f>
        <v>331</v>
      </c>
      <c r="M238" s="610"/>
      <c r="N238" s="314" t="s">
        <v>791</v>
      </c>
      <c r="O238" s="314" t="s">
        <v>792</v>
      </c>
      <c r="P238" s="609">
        <f>VLOOKUP(N235,[14]Progress!$B$9:$D$310,3,FALSE)</f>
        <v>422</v>
      </c>
      <c r="Q238" s="610"/>
      <c r="R238" s="314" t="s">
        <v>791</v>
      </c>
      <c r="S238" s="314" t="s">
        <v>792</v>
      </c>
      <c r="T238" s="609">
        <f>VLOOKUP(R235,[14]Progress!$B$9:$D$310,3,FALSE)</f>
        <v>395</v>
      </c>
      <c r="U238" s="610"/>
      <c r="V238" s="314" t="s">
        <v>791</v>
      </c>
      <c r="W238" s="314" t="s">
        <v>792</v>
      </c>
      <c r="X238" s="609">
        <f>VLOOKUP(V235,[14]Progress!$B$9:$D$310,3,FALSE)</f>
        <v>309.88099999999997</v>
      </c>
      <c r="Y238" s="610"/>
      <c r="Z238" s="314" t="s">
        <v>791</v>
      </c>
      <c r="AA238" s="314" t="s">
        <v>792</v>
      </c>
      <c r="AB238" s="609">
        <f>VLOOKUP(Z235,[14]Progress!$B$9:$D$310,3,FALSE)</f>
        <v>331</v>
      </c>
      <c r="AC238" s="610"/>
      <c r="AD238" s="314" t="s">
        <v>791</v>
      </c>
      <c r="AE238" s="314" t="s">
        <v>792</v>
      </c>
      <c r="AF238" s="609">
        <f>VLOOKUP(AD235,[14]Progress!$B$9:$D$310,3,FALSE)</f>
        <v>421</v>
      </c>
      <c r="AG238" s="610"/>
      <c r="AH238" s="314" t="s">
        <v>791</v>
      </c>
      <c r="AI238" s="314" t="s">
        <v>792</v>
      </c>
      <c r="AJ238" s="609">
        <f>VLOOKUP(AH235,[14]Progress!$B$9:$D$310,3,FALSE)</f>
        <v>403.60599999999999</v>
      </c>
      <c r="AK238" s="610"/>
      <c r="AL238" s="314" t="s">
        <v>791</v>
      </c>
      <c r="AM238" s="314" t="s">
        <v>792</v>
      </c>
      <c r="AN238" s="607">
        <f>VLOOKUP(AL235,[14]Progress!$B$9:$D$310,3,FALSE)</f>
        <v>358.62599999999998</v>
      </c>
      <c r="AO238" s="608"/>
      <c r="AP238" s="314" t="s">
        <v>791</v>
      </c>
      <c r="AQ238" s="314" t="s">
        <v>792</v>
      </c>
      <c r="AR238" s="609">
        <f>VLOOKUP(AP235,[14]Progress!$B$9:$D$310,3,FALSE)</f>
        <v>388</v>
      </c>
      <c r="AS238" s="611"/>
      <c r="AT238" s="283"/>
      <c r="AV238" s="600">
        <f>D238+H238+L238+P238+T238+X238+AB238+AF238+AJ238+AN238+AR238</f>
        <v>4119.7830000000004</v>
      </c>
      <c r="AW238" s="600"/>
      <c r="AY238">
        <v>11</v>
      </c>
    </row>
    <row r="239" spans="1:51">
      <c r="A239" s="282"/>
      <c r="B239" s="296" t="s">
        <v>794</v>
      </c>
      <c r="C239" s="296" t="s">
        <v>795</v>
      </c>
      <c r="F239" s="296" t="s">
        <v>794</v>
      </c>
      <c r="G239" s="296" t="s">
        <v>795</v>
      </c>
      <c r="J239" s="296" t="s">
        <v>794</v>
      </c>
      <c r="K239" s="296" t="s">
        <v>795</v>
      </c>
      <c r="N239" s="296" t="s">
        <v>794</v>
      </c>
      <c r="O239" s="296" t="s">
        <v>795</v>
      </c>
      <c r="R239" s="296" t="s">
        <v>794</v>
      </c>
      <c r="S239" s="296" t="s">
        <v>795</v>
      </c>
      <c r="V239" s="296" t="s">
        <v>794</v>
      </c>
      <c r="W239" s="296" t="s">
        <v>795</v>
      </c>
      <c r="Z239" s="296" t="s">
        <v>794</v>
      </c>
      <c r="AA239" s="296" t="s">
        <v>795</v>
      </c>
      <c r="AD239" s="296" t="s">
        <v>794</v>
      </c>
      <c r="AE239" s="296" t="s">
        <v>795</v>
      </c>
      <c r="AH239" s="296" t="s">
        <v>794</v>
      </c>
      <c r="AI239" s="296" t="s">
        <v>795</v>
      </c>
      <c r="AL239" s="296" t="s">
        <v>794</v>
      </c>
      <c r="AM239" s="296" t="s">
        <v>795</v>
      </c>
      <c r="AP239" s="296" t="s">
        <v>794</v>
      </c>
      <c r="AQ239" s="296" t="s">
        <v>795</v>
      </c>
      <c r="AT239" s="283"/>
      <c r="AV239" s="600"/>
      <c r="AW239" s="600"/>
    </row>
    <row r="240" spans="1:51" ht="10.5" customHeight="1">
      <c r="A240" s="282"/>
      <c r="B240" s="605"/>
      <c r="C240" s="605"/>
      <c r="F240" s="605"/>
      <c r="G240" s="605"/>
      <c r="J240" s="605"/>
      <c r="K240" s="605"/>
      <c r="N240" s="605"/>
      <c r="O240" s="605"/>
      <c r="R240" s="605"/>
      <c r="S240" s="605"/>
      <c r="V240" s="605"/>
      <c r="W240" s="605"/>
      <c r="Z240" s="605"/>
      <c r="AA240" s="605"/>
      <c r="AD240" s="605"/>
      <c r="AE240" s="605"/>
      <c r="AH240" s="605"/>
      <c r="AI240" s="605"/>
      <c r="AL240" s="605"/>
      <c r="AM240" s="605"/>
      <c r="AP240" s="605"/>
      <c r="AQ240" s="605"/>
      <c r="AT240" s="283"/>
      <c r="AV240" s="600"/>
      <c r="AW240" s="600"/>
    </row>
    <row r="241" spans="1:51">
      <c r="A241" s="282"/>
      <c r="B241" s="602" t="str">
        <f>VLOOKUP(+B235,'[14]Twr Schedule'!$B$9:$C$611,2,FALSE)</f>
        <v>DD60+9</v>
      </c>
      <c r="C241" s="602"/>
      <c r="F241" s="602" t="str">
        <f>VLOOKUP(+F235,'[14]Twr Schedule'!$B$9:$C$611,2,FALSE)</f>
        <v>DD60+3</v>
      </c>
      <c r="G241" s="602"/>
      <c r="J241" s="602" t="str">
        <f>VLOOKUP(+J235,'[14]Twr Schedule'!$B$9:$C$611,2,FALSE)</f>
        <v>DD60+0</v>
      </c>
      <c r="K241" s="602"/>
      <c r="N241" s="602" t="str">
        <f>VLOOKUP(+N235,'[14]Twr Schedule'!$B$9:$C$611,2,FALSE)</f>
        <v>DA+3</v>
      </c>
      <c r="O241" s="602"/>
      <c r="R241" s="602" t="str">
        <f>VLOOKUP(+R235,'[14]Twr Schedule'!$B$9:$C$611,2,FALSE)</f>
        <v>DA+3</v>
      </c>
      <c r="S241" s="602"/>
      <c r="V241" s="602" t="str">
        <f>VLOOKUP(+V235,'[14]Twr Schedule'!$B$9:$C$611,2,FALSE)</f>
        <v>DA-3</v>
      </c>
      <c r="W241" s="602"/>
      <c r="Z241" s="602" t="str">
        <f>VLOOKUP(+Z235,'[14]Twr Schedule'!$B$9:$C$611,2,FALSE)</f>
        <v>DB2+0</v>
      </c>
      <c r="AA241" s="602"/>
      <c r="AD241" s="602" t="str">
        <f>VLOOKUP(+AD235,'[14]Twr Schedule'!$B$9:$C$611,2,FALSE)</f>
        <v>DA+0</v>
      </c>
      <c r="AE241" s="602"/>
      <c r="AH241" s="602" t="str">
        <f>VLOOKUP(+AH235,'[14]Twr Schedule'!$B$9:$C$611,2,FALSE)</f>
        <v>DA+3</v>
      </c>
      <c r="AI241" s="602"/>
      <c r="AL241" s="602" t="str">
        <f>VLOOKUP(+AL235,'[14]Twr Schedule'!$B$9:$C$611,2,FALSE)</f>
        <v>DC2+9</v>
      </c>
      <c r="AM241" s="602"/>
      <c r="AP241" s="602" t="str">
        <f>VLOOKUP(+AP235,'[14]Twr Schedule'!$B$9:$C$611,2,FALSE)</f>
        <v>DD45+9</v>
      </c>
      <c r="AQ241" s="602"/>
      <c r="AT241" s="283"/>
      <c r="AV241" s="600"/>
      <c r="AW241" s="600"/>
    </row>
    <row r="242" spans="1:51">
      <c r="A242" s="282"/>
      <c r="B242" s="306" t="s">
        <v>853</v>
      </c>
      <c r="G242" t="s">
        <v>858</v>
      </c>
      <c r="AM242" t="s">
        <v>859</v>
      </c>
      <c r="AT242" s="283"/>
      <c r="AV242" s="600"/>
      <c r="AW242" s="600"/>
    </row>
    <row r="243" spans="1:51">
      <c r="A243" s="606" t="s">
        <v>857</v>
      </c>
      <c r="B243" s="606"/>
      <c r="C243" s="606"/>
      <c r="D243" s="606"/>
      <c r="E243" s="606"/>
      <c r="F243" s="606"/>
      <c r="G243" s="606"/>
      <c r="H243" s="606"/>
      <c r="I243" s="606"/>
      <c r="J243" s="606"/>
      <c r="K243" s="606"/>
      <c r="L243" s="606"/>
      <c r="M243" s="606"/>
      <c r="N243" s="606"/>
      <c r="O243" s="606"/>
      <c r="P243" s="606"/>
      <c r="Q243" s="606"/>
      <c r="R243" s="606"/>
      <c r="S243" s="606"/>
      <c r="T243" s="606"/>
      <c r="U243" s="606"/>
      <c r="V243" s="606"/>
      <c r="W243" s="606"/>
      <c r="X243" s="606"/>
      <c r="Y243" s="606"/>
      <c r="Z243" s="606"/>
      <c r="AA243" s="606" t="s">
        <v>860</v>
      </c>
      <c r="AB243" s="606"/>
      <c r="AC243" s="606"/>
      <c r="AD243" s="606"/>
      <c r="AE243" s="606"/>
      <c r="AF243" s="606"/>
      <c r="AG243" s="606"/>
      <c r="AH243" s="606"/>
      <c r="AI243" s="606"/>
      <c r="AJ243" s="606"/>
      <c r="AK243" s="606"/>
      <c r="AL243" s="606"/>
      <c r="AM243" s="606"/>
      <c r="AN243" s="606"/>
      <c r="AO243" s="606"/>
      <c r="AP243" s="606"/>
      <c r="AQ243" s="606"/>
      <c r="AR243" s="606"/>
      <c r="AT243" s="283"/>
      <c r="AV243" s="600"/>
      <c r="AW243" s="600"/>
    </row>
    <row r="244" spans="1:51">
      <c r="A244" s="282"/>
      <c r="AT244" s="283"/>
      <c r="AV244" s="600"/>
      <c r="AW244" s="600"/>
    </row>
    <row r="245" spans="1:51">
      <c r="A245" s="282"/>
      <c r="B245" s="600" t="str">
        <f>'[14]Twr Schedule'!B493</f>
        <v>48/1</v>
      </c>
      <c r="C245" s="600"/>
      <c r="F245" s="600" t="str">
        <f>'[14]Twr Schedule'!B495</f>
        <v>49/0</v>
      </c>
      <c r="G245" s="600"/>
      <c r="J245" s="600" t="str">
        <f>'[14]Twr Schedule'!B497</f>
        <v>50/0</v>
      </c>
      <c r="K245" s="600"/>
      <c r="N245" s="600" t="str">
        <f>'[14]Twr Schedule'!B499</f>
        <v>50/1</v>
      </c>
      <c r="O245" s="600"/>
      <c r="R245" s="600" t="str">
        <f>'[14]Twr Schedule'!B501</f>
        <v>51/0</v>
      </c>
      <c r="S245" s="600"/>
      <c r="V245" s="600" t="str">
        <f>'[14]Twr Schedule'!B503</f>
        <v>52/0</v>
      </c>
      <c r="W245" s="600"/>
      <c r="Z245" s="600" t="str">
        <f>'[14]Twr Schedule'!B505</f>
        <v>52/1</v>
      </c>
      <c r="AA245" s="600"/>
      <c r="AD245" s="600" t="str">
        <f>'[14]Twr Schedule'!B507</f>
        <v>52/2</v>
      </c>
      <c r="AE245" s="600"/>
      <c r="AH245" s="600" t="str">
        <f>'[14]Twr Schedule'!B509</f>
        <v>52/3</v>
      </c>
      <c r="AI245" s="600"/>
      <c r="AL245" s="600" t="str">
        <f>'[14]Twr Schedule'!B511</f>
        <v>52/4</v>
      </c>
      <c r="AM245" s="600"/>
      <c r="AP245" s="600" t="str">
        <f>'[14]Twr Schedule'!B513</f>
        <v>52/5</v>
      </c>
      <c r="AQ245" s="600"/>
      <c r="AT245" s="283"/>
      <c r="AV245" s="600"/>
      <c r="AW245" s="600"/>
    </row>
    <row r="246" spans="1:51">
      <c r="A246" s="282"/>
      <c r="AT246" s="283"/>
      <c r="AV246" s="600"/>
      <c r="AW246" s="600"/>
    </row>
    <row r="247" spans="1:51">
      <c r="A247" s="282"/>
      <c r="AT247" s="283"/>
      <c r="AV247" s="600"/>
      <c r="AW247" s="600"/>
    </row>
    <row r="248" spans="1:51">
      <c r="A248" s="282"/>
      <c r="B248" s="296" t="s">
        <v>791</v>
      </c>
      <c r="C248" s="296" t="s">
        <v>792</v>
      </c>
      <c r="D248" s="609">
        <f>VLOOKUP(B245,[14]Progress!$B$9:$D$310,3,FALSE)</f>
        <v>387.94299999999998</v>
      </c>
      <c r="E248" s="610"/>
      <c r="F248" s="314" t="s">
        <v>791</v>
      </c>
      <c r="G248" s="314" t="s">
        <v>792</v>
      </c>
      <c r="H248" s="607">
        <f>VLOOKUP(F245,[14]Progress!$B$9:$D$310,3,FALSE)</f>
        <v>372.02600000000001</v>
      </c>
      <c r="I248" s="608"/>
      <c r="J248" s="314" t="s">
        <v>791</v>
      </c>
      <c r="K248" s="314" t="s">
        <v>792</v>
      </c>
      <c r="L248" s="609">
        <f>VLOOKUP(J245,[14]Progress!$B$9:$D$310,3,FALSE)</f>
        <v>435</v>
      </c>
      <c r="M248" s="610"/>
      <c r="N248" s="314" t="s">
        <v>791</v>
      </c>
      <c r="O248" s="314" t="s">
        <v>792</v>
      </c>
      <c r="P248" s="609">
        <f>VLOOKUP(N245,[14]Progress!$B$9:$D$310,3,FALSE)</f>
        <v>242.99600000000001</v>
      </c>
      <c r="Q248" s="610"/>
      <c r="R248" s="314" t="s">
        <v>791</v>
      </c>
      <c r="S248" s="314" t="s">
        <v>792</v>
      </c>
      <c r="T248" s="607">
        <f>VLOOKUP(R245,[14]Progress!$B$9:$D$310,3,FALSE)</f>
        <v>238.92599999999999</v>
      </c>
      <c r="U248" s="608"/>
      <c r="V248" s="314" t="s">
        <v>791</v>
      </c>
      <c r="W248" s="314" t="s">
        <v>792</v>
      </c>
      <c r="X248" s="609">
        <f>VLOOKUP(V245,[14]Progress!$B$9:$D$310,3,FALSE)</f>
        <v>461</v>
      </c>
      <c r="Y248" s="610"/>
      <c r="Z248" s="314" t="s">
        <v>791</v>
      </c>
      <c r="AA248" s="314" t="s">
        <v>792</v>
      </c>
      <c r="AB248" s="609">
        <f>VLOOKUP(Z245,[14]Progress!$B$9:$D$310,3,FALSE)</f>
        <v>421</v>
      </c>
      <c r="AC248" s="610"/>
      <c r="AD248" s="314" t="s">
        <v>791</v>
      </c>
      <c r="AE248" s="314" t="s">
        <v>792</v>
      </c>
      <c r="AF248" s="609">
        <f>VLOOKUP(AD245,[14]Progress!$B$9:$D$310,3,FALSE)</f>
        <v>375</v>
      </c>
      <c r="AG248" s="610"/>
      <c r="AH248" s="314" t="s">
        <v>791</v>
      </c>
      <c r="AI248" s="314" t="s">
        <v>792</v>
      </c>
      <c r="AJ248" s="609">
        <f>VLOOKUP(AH245,[14]Progress!$B$9:$D$310,3,FALSE)</f>
        <v>346</v>
      </c>
      <c r="AK248" s="610"/>
      <c r="AL248" s="314" t="s">
        <v>791</v>
      </c>
      <c r="AM248" s="314" t="s">
        <v>792</v>
      </c>
      <c r="AN248" s="609">
        <f>VLOOKUP(AL245,[14]Progress!$B$9:$D$310,3,FALSE)</f>
        <v>348</v>
      </c>
      <c r="AO248" s="610"/>
      <c r="AP248" s="314" t="s">
        <v>791</v>
      </c>
      <c r="AQ248" s="314" t="s">
        <v>792</v>
      </c>
      <c r="AR248" s="609">
        <f>VLOOKUP(AP245,[14]Progress!$B$9:$D$310,3,FALSE)</f>
        <v>357</v>
      </c>
      <c r="AS248" s="611"/>
      <c r="AT248" s="283"/>
      <c r="AV248" s="600">
        <f>D248+H248+L248+P248+T248+X248+AB248+AF248+AJ248+AN248+AR248</f>
        <v>3984.8910000000001</v>
      </c>
      <c r="AW248" s="600"/>
      <c r="AY248">
        <v>11</v>
      </c>
    </row>
    <row r="249" spans="1:51">
      <c r="A249" s="282"/>
      <c r="B249" s="296" t="s">
        <v>794</v>
      </c>
      <c r="C249" s="296" t="s">
        <v>795</v>
      </c>
      <c r="F249" s="296" t="s">
        <v>794</v>
      </c>
      <c r="G249" s="296" t="s">
        <v>795</v>
      </c>
      <c r="J249" s="296" t="s">
        <v>794</v>
      </c>
      <c r="K249" s="296" t="s">
        <v>795</v>
      </c>
      <c r="N249" s="296" t="s">
        <v>794</v>
      </c>
      <c r="O249" s="296" t="s">
        <v>795</v>
      </c>
      <c r="R249" s="296" t="s">
        <v>794</v>
      </c>
      <c r="S249" s="296" t="s">
        <v>795</v>
      </c>
      <c r="V249" s="296" t="s">
        <v>794</v>
      </c>
      <c r="W249" s="296" t="s">
        <v>795</v>
      </c>
      <c r="Z249" s="296" t="s">
        <v>794</v>
      </c>
      <c r="AA249" s="296" t="s">
        <v>795</v>
      </c>
      <c r="AD249" s="296" t="s">
        <v>794</v>
      </c>
      <c r="AE249" s="296" t="s">
        <v>795</v>
      </c>
      <c r="AH249" s="296" t="s">
        <v>794</v>
      </c>
      <c r="AI249" s="296" t="s">
        <v>795</v>
      </c>
      <c r="AL249" s="296" t="s">
        <v>794</v>
      </c>
      <c r="AM249" s="296" t="s">
        <v>795</v>
      </c>
      <c r="AP249" s="296" t="s">
        <v>794</v>
      </c>
      <c r="AQ249" s="296" t="s">
        <v>795</v>
      </c>
      <c r="AT249" s="283"/>
      <c r="AV249" s="600"/>
      <c r="AW249" s="600"/>
    </row>
    <row r="250" spans="1:51" ht="10.5" customHeight="1">
      <c r="A250" s="282"/>
      <c r="B250" s="605"/>
      <c r="C250" s="605"/>
      <c r="F250" s="605"/>
      <c r="G250" s="605"/>
      <c r="J250" s="605"/>
      <c r="K250" s="605"/>
      <c r="N250" s="605"/>
      <c r="O250" s="605"/>
      <c r="R250" s="605"/>
      <c r="S250" s="605"/>
      <c r="V250" s="605"/>
      <c r="W250" s="605"/>
      <c r="Z250" s="605"/>
      <c r="AA250" s="605"/>
      <c r="AD250" s="605"/>
      <c r="AE250" s="605"/>
      <c r="AH250" s="605"/>
      <c r="AI250" s="605"/>
      <c r="AL250" s="605"/>
      <c r="AM250" s="605"/>
      <c r="AP250" s="605"/>
      <c r="AQ250" s="605"/>
      <c r="AT250" s="283"/>
      <c r="AV250" s="600"/>
      <c r="AW250" s="600"/>
    </row>
    <row r="251" spans="1:51">
      <c r="A251" s="282"/>
      <c r="B251" s="602" t="str">
        <f>VLOOKUP(+B245,'[14]Twr Schedule'!$B$9:$C$611,2,FALSE)</f>
        <v>DA-3</v>
      </c>
      <c r="C251" s="602"/>
      <c r="F251" s="602" t="str">
        <f>VLOOKUP(+F245,'[14]Twr Schedule'!$B$9:$C$611,2,FALSE)</f>
        <v>DC2+9</v>
      </c>
      <c r="G251" s="602"/>
      <c r="J251" s="602" t="str">
        <f>VLOOKUP(+J245,'[14]Twr Schedule'!$B$9:$C$611,2,FALSE)</f>
        <v>DC1+18</v>
      </c>
      <c r="K251" s="602"/>
      <c r="N251" s="602" t="str">
        <f>VLOOKUP(+N245,'[14]Twr Schedule'!$B$9:$C$611,2,FALSE)</f>
        <v>DA+0</v>
      </c>
      <c r="O251" s="602"/>
      <c r="R251" s="602" t="str">
        <f>VLOOKUP(+R245,'[14]Twr Schedule'!$B$9:$C$611,2,FALSE)</f>
        <v>DD60+0</v>
      </c>
      <c r="S251" s="602"/>
      <c r="V251" s="602" t="str">
        <f>VLOOKUP(+V245,'[14]Twr Schedule'!$B$9:$C$611,2,FALSE)</f>
        <v>DC2+9</v>
      </c>
      <c r="W251" s="602"/>
      <c r="Z251" s="602" t="str">
        <f>VLOOKUP(+Z245,'[14]Twr Schedule'!$B$9:$C$611,2,FALSE)</f>
        <v>DB1+6</v>
      </c>
      <c r="AA251" s="602"/>
      <c r="AD251" s="602" t="str">
        <f>VLOOKUP(+AD245,'[14]Twr Schedule'!$B$9:$C$611,2,FALSE)</f>
        <v>DA+3</v>
      </c>
      <c r="AE251" s="602"/>
      <c r="AH251" s="602" t="str">
        <f>VLOOKUP(+AH245,'[14]Twr Schedule'!$B$9:$C$611,2,FALSE)</f>
        <v>DA-3</v>
      </c>
      <c r="AI251" s="602"/>
      <c r="AL251" s="602" t="str">
        <f>VLOOKUP(+AL245,'[14]Twr Schedule'!$B$9:$C$611,2,FALSE)</f>
        <v>DA-3</v>
      </c>
      <c r="AM251" s="602"/>
      <c r="AP251" s="602" t="str">
        <f>VLOOKUP(+AP245,'[14]Twr Schedule'!$B$9:$C$611,2,FALSE)</f>
        <v>DA-3</v>
      </c>
      <c r="AQ251" s="602"/>
      <c r="AT251" s="283"/>
      <c r="AV251" s="600"/>
      <c r="AW251" s="600"/>
    </row>
    <row r="252" spans="1:51">
      <c r="A252" s="282"/>
      <c r="B252" s="2"/>
      <c r="C252" s="2"/>
      <c r="F252" s="312" t="s">
        <v>861</v>
      </c>
      <c r="G252" s="2"/>
      <c r="J252" s="2"/>
      <c r="K252" s="2"/>
      <c r="N252" s="2"/>
      <c r="O252" s="2"/>
      <c r="R252" s="312" t="s">
        <v>862</v>
      </c>
      <c r="S252" s="2"/>
      <c r="V252" s="2"/>
      <c r="W252" s="2"/>
      <c r="Z252" s="2"/>
      <c r="AA252" s="2"/>
      <c r="AD252" s="2"/>
      <c r="AE252" s="2"/>
      <c r="AH252" s="2"/>
      <c r="AI252" s="2"/>
      <c r="AL252" s="2"/>
      <c r="AM252" s="2"/>
      <c r="AP252" s="2"/>
      <c r="AQ252" s="2"/>
      <c r="AT252" s="283"/>
      <c r="AV252" s="600"/>
      <c r="AW252" s="600"/>
    </row>
    <row r="253" spans="1:51">
      <c r="A253" s="586" t="s">
        <v>860</v>
      </c>
      <c r="B253" s="587"/>
      <c r="C253" s="587"/>
      <c r="D253" s="587"/>
      <c r="E253" s="587"/>
      <c r="F253" s="587"/>
      <c r="G253" s="587"/>
      <c r="H253" s="587"/>
      <c r="I253" s="587"/>
      <c r="J253" s="587"/>
      <c r="K253" s="587"/>
      <c r="L253" s="587"/>
      <c r="M253" s="587"/>
      <c r="N253" s="587"/>
      <c r="O253" s="587"/>
      <c r="P253" s="587"/>
      <c r="Q253" s="587"/>
      <c r="R253" s="587"/>
      <c r="S253" s="587"/>
      <c r="T253" s="587"/>
      <c r="U253" s="587"/>
      <c r="V253" s="588"/>
      <c r="W253" s="606" t="s">
        <v>863</v>
      </c>
      <c r="X253" s="606"/>
      <c r="Y253" s="606"/>
      <c r="Z253" s="606"/>
      <c r="AA253" s="606"/>
      <c r="AB253" s="606"/>
      <c r="AC253" s="606"/>
      <c r="AD253" s="606"/>
      <c r="AE253" s="606"/>
      <c r="AF253" s="606"/>
      <c r="AG253" s="606"/>
      <c r="AH253" s="606"/>
      <c r="AI253" s="606"/>
      <c r="AJ253" s="606"/>
      <c r="AK253" s="606"/>
      <c r="AL253" s="606"/>
      <c r="AM253" s="606"/>
      <c r="AN253" s="606"/>
      <c r="AO253" s="606"/>
      <c r="AP253" s="606"/>
      <c r="AQ253" s="606"/>
      <c r="AR253" s="606"/>
      <c r="AT253" s="283"/>
      <c r="AV253" s="600"/>
      <c r="AW253" s="600"/>
    </row>
    <row r="254" spans="1:51">
      <c r="A254" s="282"/>
      <c r="AT254" s="283"/>
      <c r="AV254" s="600"/>
      <c r="AW254" s="600"/>
    </row>
    <row r="255" spans="1:51">
      <c r="A255" s="282"/>
      <c r="B255" s="600" t="str">
        <f>'[14]Twr Schedule'!B515</f>
        <v>52/6</v>
      </c>
      <c r="C255" s="600"/>
      <c r="F255" s="600" t="str">
        <f>'[14]Twr Schedule'!B517</f>
        <v>52/7</v>
      </c>
      <c r="G255" s="600"/>
      <c r="J255" s="600" t="str">
        <f>'[14]Twr Schedule'!B519</f>
        <v>52/8</v>
      </c>
      <c r="K255" s="600"/>
      <c r="N255" s="600" t="str">
        <f>'[14]Twr Schedule'!B521</f>
        <v>52/9</v>
      </c>
      <c r="O255" s="600"/>
      <c r="R255" s="600" t="str">
        <f>'[14]Twr Schedule'!B523</f>
        <v>52/10</v>
      </c>
      <c r="S255" s="600"/>
      <c r="V255" s="600" t="str">
        <f>'[14]Twr Schedule'!B525</f>
        <v>53/0</v>
      </c>
      <c r="W255" s="600"/>
      <c r="Z255" s="600" t="str">
        <f>'[14]Twr Schedule'!B527</f>
        <v>53/1</v>
      </c>
      <c r="AA255" s="600"/>
      <c r="AD255" s="600" t="str">
        <f>'[14]Twr Schedule'!B529</f>
        <v>53A/0</v>
      </c>
      <c r="AE255" s="600"/>
      <c r="AH255" s="600" t="str">
        <f>'[14]Twr Schedule'!B531</f>
        <v>53A/1</v>
      </c>
      <c r="AI255" s="600"/>
      <c r="AL255" s="600" t="str">
        <f>'[14]Twr Schedule'!B533</f>
        <v>53A/2</v>
      </c>
      <c r="AM255" s="600"/>
      <c r="AP255" s="600" t="str">
        <f>'[14]Twr Schedule'!B535</f>
        <v>53A/3</v>
      </c>
      <c r="AQ255" s="600"/>
      <c r="AT255" s="283"/>
      <c r="AV255" s="600"/>
      <c r="AW255" s="600"/>
    </row>
    <row r="256" spans="1:51">
      <c r="A256" s="282"/>
      <c r="AT256" s="283"/>
      <c r="AV256" s="600"/>
      <c r="AW256" s="600"/>
    </row>
    <row r="257" spans="1:51">
      <c r="A257" s="282"/>
      <c r="AT257" s="283"/>
      <c r="AV257" s="600"/>
      <c r="AW257" s="600"/>
    </row>
    <row r="258" spans="1:51">
      <c r="A258" s="282"/>
      <c r="B258" s="296" t="s">
        <v>791</v>
      </c>
      <c r="C258" s="296" t="s">
        <v>792</v>
      </c>
      <c r="D258" s="613">
        <f>VLOOKUP(B255,[14]Progress!$B$9:$D$310,3,FALSE)</f>
        <v>439</v>
      </c>
      <c r="E258" s="614"/>
      <c r="F258" s="296" t="s">
        <v>791</v>
      </c>
      <c r="G258" s="296" t="s">
        <v>792</v>
      </c>
      <c r="H258" s="613">
        <f>VLOOKUP(F255,[14]Progress!$B$9:$D$310,3,FALSE)</f>
        <v>378</v>
      </c>
      <c r="I258" s="614"/>
      <c r="J258" s="296" t="s">
        <v>791</v>
      </c>
      <c r="K258" s="296" t="s">
        <v>792</v>
      </c>
      <c r="L258" s="613">
        <f>VLOOKUP(J255,[14]Progress!$B$9:$D$310,3,FALSE)</f>
        <v>349</v>
      </c>
      <c r="M258" s="614"/>
      <c r="N258" s="296" t="s">
        <v>791</v>
      </c>
      <c r="O258" s="296" t="s">
        <v>792</v>
      </c>
      <c r="P258" s="613">
        <f>VLOOKUP(N255,[14]Progress!$B$9:$D$310,3,FALSE)</f>
        <v>392</v>
      </c>
      <c r="Q258" s="614"/>
      <c r="R258" s="296" t="s">
        <v>791</v>
      </c>
      <c r="S258" s="296" t="s">
        <v>792</v>
      </c>
      <c r="T258" s="609">
        <f>VLOOKUP(R255,[14]Progress!$B$9:$D$310,3,FALSE)</f>
        <v>409.43</v>
      </c>
      <c r="U258" s="610"/>
      <c r="V258" s="314" t="s">
        <v>791</v>
      </c>
      <c r="W258" s="314" t="s">
        <v>792</v>
      </c>
      <c r="X258" s="609">
        <f>VLOOKUP(V255,[14]Progress!$B$9:$D$310,3,FALSE)</f>
        <v>428</v>
      </c>
      <c r="Y258" s="610"/>
      <c r="Z258" s="314" t="s">
        <v>791</v>
      </c>
      <c r="AA258" s="314" t="s">
        <v>792</v>
      </c>
      <c r="AB258" s="609">
        <f>VLOOKUP(Z255,[14]Progress!$B$9:$D$310,3,FALSE)</f>
        <v>403.77800000000002</v>
      </c>
      <c r="AC258" s="610"/>
      <c r="AD258" s="314" t="s">
        <v>791</v>
      </c>
      <c r="AE258" s="314" t="s">
        <v>792</v>
      </c>
      <c r="AF258" s="609">
        <f>VLOOKUP(AD255,[14]Progress!$B$9:$D$310,3,FALSE)</f>
        <v>370</v>
      </c>
      <c r="AG258" s="610"/>
      <c r="AH258" s="314" t="s">
        <v>791</v>
      </c>
      <c r="AI258" s="314" t="s">
        <v>792</v>
      </c>
      <c r="AJ258" s="609">
        <f>VLOOKUP(AH255,[14]Progress!$B$9:$D$310,3,FALSE)</f>
        <v>441</v>
      </c>
      <c r="AK258" s="610"/>
      <c r="AL258" s="314" t="s">
        <v>791</v>
      </c>
      <c r="AM258" s="314" t="s">
        <v>792</v>
      </c>
      <c r="AN258" s="609">
        <f>VLOOKUP(AL255,[14]Progress!$B$9:$D$310,3,FALSE)</f>
        <v>375</v>
      </c>
      <c r="AO258" s="610"/>
      <c r="AP258" s="314" t="s">
        <v>791</v>
      </c>
      <c r="AQ258" s="314" t="s">
        <v>792</v>
      </c>
      <c r="AR258" s="609">
        <f>VLOOKUP(AP255,[14]Progress!$B$9:$D$310,3,FALSE)</f>
        <v>399</v>
      </c>
      <c r="AS258" s="611"/>
      <c r="AT258" s="283"/>
      <c r="AV258" s="600">
        <f>D258+H258+L258+P258+T258+X258+AB258+AF258+AJ258+AN258+AR258</f>
        <v>4384.2080000000005</v>
      </c>
      <c r="AW258" s="600"/>
      <c r="AY258">
        <v>11</v>
      </c>
    </row>
    <row r="259" spans="1:51">
      <c r="A259" s="282"/>
      <c r="B259" s="296" t="s">
        <v>794</v>
      </c>
      <c r="C259" s="296" t="s">
        <v>795</v>
      </c>
      <c r="F259" s="296" t="s">
        <v>794</v>
      </c>
      <c r="G259" s="296" t="s">
        <v>795</v>
      </c>
      <c r="J259" s="296" t="s">
        <v>794</v>
      </c>
      <c r="K259" s="296" t="s">
        <v>795</v>
      </c>
      <c r="N259" s="296" t="s">
        <v>794</v>
      </c>
      <c r="O259" s="296" t="s">
        <v>795</v>
      </c>
      <c r="R259" s="296" t="s">
        <v>794</v>
      </c>
      <c r="S259" s="296" t="s">
        <v>795</v>
      </c>
      <c r="V259" s="296" t="s">
        <v>794</v>
      </c>
      <c r="W259" s="296" t="s">
        <v>795</v>
      </c>
      <c r="Z259" s="296" t="s">
        <v>794</v>
      </c>
      <c r="AA259" s="296" t="s">
        <v>795</v>
      </c>
      <c r="AD259" s="296" t="s">
        <v>794</v>
      </c>
      <c r="AE259" s="296" t="s">
        <v>795</v>
      </c>
      <c r="AH259" s="296" t="s">
        <v>794</v>
      </c>
      <c r="AI259" s="296" t="s">
        <v>795</v>
      </c>
      <c r="AL259" s="296" t="s">
        <v>794</v>
      </c>
      <c r="AM259" s="296" t="s">
        <v>795</v>
      </c>
      <c r="AP259" s="296" t="s">
        <v>794</v>
      </c>
      <c r="AQ259" s="296" t="s">
        <v>795</v>
      </c>
      <c r="AT259" s="283"/>
      <c r="AV259" s="600"/>
      <c r="AW259" s="600"/>
    </row>
    <row r="260" spans="1:51" ht="10.5" customHeight="1">
      <c r="A260" s="282"/>
      <c r="B260" s="605"/>
      <c r="C260" s="605"/>
      <c r="F260" s="605"/>
      <c r="G260" s="605"/>
      <c r="J260" s="605"/>
      <c r="K260" s="605"/>
      <c r="N260" s="605"/>
      <c r="O260" s="605"/>
      <c r="R260" s="605"/>
      <c r="S260" s="605"/>
      <c r="V260" s="605"/>
      <c r="W260" s="605"/>
      <c r="Z260" s="605"/>
      <c r="AA260" s="605"/>
      <c r="AD260" s="605"/>
      <c r="AE260" s="605"/>
      <c r="AH260" s="605"/>
      <c r="AI260" s="605"/>
      <c r="AL260" s="605"/>
      <c r="AM260" s="605"/>
      <c r="AP260" s="605"/>
      <c r="AQ260" s="605"/>
      <c r="AT260" s="283"/>
      <c r="AV260" s="600"/>
      <c r="AW260" s="600"/>
    </row>
    <row r="261" spans="1:51">
      <c r="A261" s="282"/>
      <c r="B261" s="602" t="str">
        <f>VLOOKUP(+B255,'[14]Twr Schedule'!$B$9:$C$611,2,FALSE)</f>
        <v>DA+3</v>
      </c>
      <c r="C261" s="602"/>
      <c r="F261" s="602" t="str">
        <f>VLOOKUP(+F255,'[14]Twr Schedule'!$B$9:$C$611,2,FALSE)</f>
        <v>DA+6</v>
      </c>
      <c r="G261" s="602"/>
      <c r="J261" s="602" t="str">
        <f>VLOOKUP(+J255,'[14]Twr Schedule'!$B$9:$C$611,2,FALSE)</f>
        <v>DA-3</v>
      </c>
      <c r="K261" s="602"/>
      <c r="N261" s="602" t="str">
        <f>VLOOKUP(+N255,'[14]Twr Schedule'!$B$9:$C$611,2,FALSE)</f>
        <v>DA-3</v>
      </c>
      <c r="O261" s="602"/>
      <c r="R261" s="602" t="str">
        <f>VLOOKUP(+R255,'[14]Twr Schedule'!$B$9:$C$611,2,FALSE)</f>
        <v>DA+3</v>
      </c>
      <c r="S261" s="602"/>
      <c r="V261" s="602" t="str">
        <f>VLOOKUP(+V255,'[14]Twr Schedule'!$B$9:$C$611,2,FALSE)</f>
        <v>DC1+0</v>
      </c>
      <c r="W261" s="602"/>
      <c r="Z261" s="602" t="str">
        <f>VLOOKUP(+Z255,'[14]Twr Schedule'!$B$9:$C$611,2,FALSE)</f>
        <v>DA+6</v>
      </c>
      <c r="AA261" s="602"/>
      <c r="AD261" s="602" t="str">
        <f>VLOOKUP(+AD255,'[14]Twr Schedule'!$B$9:$C$611,2,FALSE)</f>
        <v>DB2+0</v>
      </c>
      <c r="AE261" s="602"/>
      <c r="AH261" s="602" t="str">
        <f>VLOOKUP(+AH255,'[14]Twr Schedule'!$B$9:$C$611,2,FALSE)</f>
        <v>DA+6</v>
      </c>
      <c r="AI261" s="602"/>
      <c r="AL261" s="602" t="str">
        <f>VLOOKUP(+AL255,'[14]Twr Schedule'!$B$9:$C$611,2,FALSE)</f>
        <v>DA+3</v>
      </c>
      <c r="AM261" s="602"/>
      <c r="AP261" s="602" t="str">
        <f>VLOOKUP(+AP255,'[14]Twr Schedule'!$B$9:$C$611,2,FALSE)</f>
        <v>DA-3</v>
      </c>
      <c r="AQ261" s="602"/>
      <c r="AT261" s="283"/>
      <c r="AV261" s="600"/>
      <c r="AW261" s="600"/>
    </row>
    <row r="262" spans="1:51">
      <c r="A262" s="282"/>
      <c r="AT262" s="283"/>
      <c r="AV262" s="600"/>
      <c r="AW262" s="600"/>
    </row>
    <row r="263" spans="1:51">
      <c r="A263" s="586" t="s">
        <v>863</v>
      </c>
      <c r="B263" s="587"/>
      <c r="C263" s="587"/>
      <c r="D263" s="587"/>
      <c r="E263" s="587"/>
      <c r="F263" s="587"/>
      <c r="G263" s="587"/>
      <c r="H263" s="587"/>
      <c r="I263" s="587"/>
      <c r="J263" s="587"/>
      <c r="K263" s="587"/>
      <c r="L263" s="587"/>
      <c r="M263" s="587"/>
      <c r="N263" s="587"/>
      <c r="O263" s="587"/>
      <c r="P263" s="587"/>
      <c r="Q263" s="587"/>
      <c r="R263" s="588"/>
      <c r="S263" s="606" t="s">
        <v>864</v>
      </c>
      <c r="T263" s="606"/>
      <c r="U263" s="606"/>
      <c r="V263" s="606"/>
      <c r="W263" s="606"/>
      <c r="X263" s="606"/>
      <c r="Y263" s="606"/>
      <c r="Z263" s="606"/>
      <c r="AA263" s="606"/>
      <c r="AB263" s="606"/>
      <c r="AC263" s="606"/>
      <c r="AD263" s="606"/>
      <c r="AE263" s="606"/>
      <c r="AF263" s="606"/>
      <c r="AG263" s="606"/>
      <c r="AH263" s="606"/>
      <c r="AI263" s="606"/>
      <c r="AJ263" s="606"/>
      <c r="AK263" s="606"/>
      <c r="AL263" s="606"/>
      <c r="AM263" s="606"/>
      <c r="AN263" s="606"/>
      <c r="AO263" s="606"/>
      <c r="AP263" s="606"/>
      <c r="AQ263" s="606"/>
      <c r="AR263" s="606"/>
      <c r="AT263" s="283"/>
      <c r="AV263" s="600"/>
      <c r="AW263" s="600"/>
    </row>
    <row r="264" spans="1:51">
      <c r="A264" s="282"/>
      <c r="AT264" s="283"/>
      <c r="AV264" s="600"/>
      <c r="AW264" s="600"/>
    </row>
    <row r="265" spans="1:51">
      <c r="A265" s="282"/>
      <c r="B265" s="600" t="str">
        <f>'[14]Twr Schedule'!B537</f>
        <v>53A/4</v>
      </c>
      <c r="C265" s="600"/>
      <c r="F265" s="600" t="str">
        <f>'[14]Twr Schedule'!B539</f>
        <v>53A/5</v>
      </c>
      <c r="G265" s="600"/>
      <c r="J265" s="600" t="str">
        <f>'[14]Twr Schedule'!B541</f>
        <v>53A/6</v>
      </c>
      <c r="K265" s="600"/>
      <c r="N265" s="600" t="str">
        <f>'[14]Twr Schedule'!B543</f>
        <v>53A/7</v>
      </c>
      <c r="O265" s="600"/>
      <c r="R265" s="600" t="str">
        <f>'[14]Twr Schedule'!B545</f>
        <v>54/0</v>
      </c>
      <c r="S265" s="600"/>
      <c r="V265" s="600" t="str">
        <f>'[14]Twr Schedule'!B547</f>
        <v>54/1</v>
      </c>
      <c r="W265" s="600"/>
      <c r="Z265" s="600" t="str">
        <f>'[14]Twr Schedule'!B549</f>
        <v>54/2</v>
      </c>
      <c r="AA265" s="600"/>
      <c r="AD265" s="600" t="str">
        <f>'[14]Twr Schedule'!B551</f>
        <v>55/0</v>
      </c>
      <c r="AE265" s="600"/>
      <c r="AH265" s="600" t="str">
        <f>'[14]Twr Schedule'!B553</f>
        <v>55/1</v>
      </c>
      <c r="AI265" s="600"/>
      <c r="AL265" s="600" t="str">
        <f>'[14]Twr Schedule'!B555</f>
        <v>56/0</v>
      </c>
      <c r="AM265" s="600"/>
      <c r="AP265" s="600" t="str">
        <f>'[14]Twr Schedule'!B557</f>
        <v>56/1</v>
      </c>
      <c r="AQ265" s="600"/>
      <c r="AT265" s="283"/>
      <c r="AV265" s="600"/>
      <c r="AW265" s="600"/>
    </row>
    <row r="266" spans="1:51">
      <c r="A266" s="282"/>
      <c r="AT266" s="283"/>
      <c r="AV266" s="600"/>
      <c r="AW266" s="600"/>
    </row>
    <row r="267" spans="1:51">
      <c r="A267" s="282"/>
      <c r="AT267" s="283"/>
      <c r="AV267" s="600"/>
      <c r="AW267" s="600"/>
    </row>
    <row r="268" spans="1:51">
      <c r="A268" s="282"/>
      <c r="B268" s="296" t="s">
        <v>791</v>
      </c>
      <c r="C268" s="296" t="s">
        <v>792</v>
      </c>
      <c r="D268" s="613">
        <f>VLOOKUP(B265,[14]Progress!$B$9:$D$310,3,FALSE)</f>
        <v>391</v>
      </c>
      <c r="E268" s="614"/>
      <c r="F268" s="296" t="s">
        <v>791</v>
      </c>
      <c r="G268" s="296" t="s">
        <v>792</v>
      </c>
      <c r="H268" s="613">
        <f>VLOOKUP(F265,[14]Progress!$B$9:$D$310,3,FALSE)</f>
        <v>392</v>
      </c>
      <c r="I268" s="614"/>
      <c r="J268" s="296" t="s">
        <v>791</v>
      </c>
      <c r="K268" s="296" t="s">
        <v>792</v>
      </c>
      <c r="L268" s="613">
        <f>VLOOKUP(J265,[14]Progress!$B$9:$D$310,3,FALSE)</f>
        <v>412</v>
      </c>
      <c r="M268" s="614"/>
      <c r="N268" s="296" t="s">
        <v>791</v>
      </c>
      <c r="O268" s="296" t="s">
        <v>792</v>
      </c>
      <c r="P268" s="609">
        <f>VLOOKUP(N265,[14]Progress!$B$9:$D$310,3,FALSE)</f>
        <v>385.995</v>
      </c>
      <c r="Q268" s="610"/>
      <c r="R268" s="314" t="s">
        <v>791</v>
      </c>
      <c r="S268" s="314" t="s">
        <v>792</v>
      </c>
      <c r="T268" s="609">
        <f>VLOOKUP(R265,[14]Progress!$B$9:$D$310,3,FALSE)</f>
        <v>460</v>
      </c>
      <c r="U268" s="610"/>
      <c r="V268" s="314" t="s">
        <v>791</v>
      </c>
      <c r="W268" s="314" t="s">
        <v>792</v>
      </c>
      <c r="X268" s="609">
        <f>VLOOKUP(V265,[14]Progress!$B$9:$D$310,3,FALSE)</f>
        <v>360</v>
      </c>
      <c r="Y268" s="610"/>
      <c r="Z268" s="314" t="s">
        <v>791</v>
      </c>
      <c r="AA268" s="314" t="s">
        <v>792</v>
      </c>
      <c r="AB268" s="609">
        <f>VLOOKUP(Z265,[14]Progress!$B$9:$D$310,3,FALSE)</f>
        <v>366.15699999999998</v>
      </c>
      <c r="AC268" s="610"/>
      <c r="AD268" s="314" t="s">
        <v>791</v>
      </c>
      <c r="AE268" s="314" t="s">
        <v>792</v>
      </c>
      <c r="AF268" s="609">
        <f>VLOOKUP(AD265,[14]Progress!$B$9:$D$310,3,FALSE)</f>
        <v>300</v>
      </c>
      <c r="AG268" s="610"/>
      <c r="AH268" s="314" t="s">
        <v>791</v>
      </c>
      <c r="AI268" s="314" t="s">
        <v>792</v>
      </c>
      <c r="AJ268" s="609">
        <f>VLOOKUP(AH265,[14]Progress!$B$9:$D$310,3,FALSE)</f>
        <v>307.20499999999998</v>
      </c>
      <c r="AK268" s="610"/>
      <c r="AL268" s="314" t="s">
        <v>791</v>
      </c>
      <c r="AM268" s="296" t="s">
        <v>792</v>
      </c>
      <c r="AN268" s="613">
        <f>VLOOKUP(AL265,[14]Progress!$B$9:$D$310,3,FALSE)</f>
        <v>336</v>
      </c>
      <c r="AO268" s="614"/>
      <c r="AP268" s="296" t="s">
        <v>791</v>
      </c>
      <c r="AQ268" s="296" t="s">
        <v>792</v>
      </c>
      <c r="AR268" s="613">
        <f>VLOOKUP(AP265,[14]Progress!$B$9:$D$310,3,FALSE)</f>
        <v>409</v>
      </c>
      <c r="AS268" s="600"/>
      <c r="AT268" s="283"/>
      <c r="AV268" s="600">
        <f>D268+H268+L268+P268+T268+X268+AB268+AF268+AJ268+AN268+AR268</f>
        <v>4119.357</v>
      </c>
      <c r="AW268" s="600"/>
      <c r="AY268">
        <v>11</v>
      </c>
    </row>
    <row r="269" spans="1:51">
      <c r="A269" s="282"/>
      <c r="B269" s="296" t="s">
        <v>794</v>
      </c>
      <c r="C269" s="296" t="s">
        <v>795</v>
      </c>
      <c r="F269" s="296" t="s">
        <v>794</v>
      </c>
      <c r="G269" s="296" t="s">
        <v>795</v>
      </c>
      <c r="J269" s="296" t="s">
        <v>794</v>
      </c>
      <c r="K269" s="296" t="s">
        <v>795</v>
      </c>
      <c r="N269" s="296" t="s">
        <v>794</v>
      </c>
      <c r="O269" s="296" t="s">
        <v>795</v>
      </c>
      <c r="R269" s="296" t="s">
        <v>794</v>
      </c>
      <c r="S269" s="296" t="s">
        <v>795</v>
      </c>
      <c r="V269" s="296" t="s">
        <v>794</v>
      </c>
      <c r="W269" s="296" t="s">
        <v>795</v>
      </c>
      <c r="Z269" s="296" t="s">
        <v>794</v>
      </c>
      <c r="AA269" s="296" t="s">
        <v>795</v>
      </c>
      <c r="AD269" s="296" t="s">
        <v>794</v>
      </c>
      <c r="AE269" s="296" t="s">
        <v>795</v>
      </c>
      <c r="AH269" s="296" t="s">
        <v>794</v>
      </c>
      <c r="AI269" s="296" t="s">
        <v>795</v>
      </c>
      <c r="AL269" s="296" t="s">
        <v>794</v>
      </c>
      <c r="AM269" s="296" t="s">
        <v>795</v>
      </c>
      <c r="AP269" s="296" t="s">
        <v>794</v>
      </c>
      <c r="AQ269" s="296" t="s">
        <v>795</v>
      </c>
      <c r="AT269" s="283"/>
      <c r="AV269" s="600"/>
      <c r="AW269" s="600"/>
    </row>
    <row r="270" spans="1:51" ht="10.5" customHeight="1">
      <c r="A270" s="282"/>
      <c r="B270" s="605"/>
      <c r="C270" s="605"/>
      <c r="F270" s="605"/>
      <c r="G270" s="605"/>
      <c r="J270" s="605"/>
      <c r="K270" s="605"/>
      <c r="N270" s="605"/>
      <c r="O270" s="605"/>
      <c r="R270" s="605"/>
      <c r="S270" s="605"/>
      <c r="V270" s="605"/>
      <c r="W270" s="605"/>
      <c r="Z270" s="605"/>
      <c r="AA270" s="605"/>
      <c r="AD270" s="605"/>
      <c r="AE270" s="605"/>
      <c r="AH270" s="605"/>
      <c r="AI270" s="605"/>
      <c r="AL270" s="605"/>
      <c r="AM270" s="605"/>
      <c r="AP270" s="605"/>
      <c r="AQ270" s="605"/>
      <c r="AT270" s="283"/>
      <c r="AV270" s="600"/>
      <c r="AW270" s="600"/>
    </row>
    <row r="271" spans="1:51">
      <c r="A271" s="282"/>
      <c r="B271" s="602" t="str">
        <f>VLOOKUP(+B265,'[14]Twr Schedule'!$B$9:$C$611,2,FALSE)</f>
        <v>DA+3</v>
      </c>
      <c r="C271" s="602"/>
      <c r="F271" s="602" t="str">
        <f>VLOOKUP(+F265,'[14]Twr Schedule'!$B$9:$C$611,2,FALSE)</f>
        <v>DA-3</v>
      </c>
      <c r="G271" s="602"/>
      <c r="J271" s="602" t="str">
        <f>VLOOKUP(+J265,'[14]Twr Schedule'!$B$9:$C$611,2,FALSE)</f>
        <v>DA+3</v>
      </c>
      <c r="K271" s="602"/>
      <c r="N271" s="602" t="str">
        <f>VLOOKUP(+N265,'[14]Twr Schedule'!$B$9:$C$611,2,FALSE)</f>
        <v>DA+0</v>
      </c>
      <c r="O271" s="602"/>
      <c r="R271" s="602" t="str">
        <f>VLOOKUP(+R265,'[14]Twr Schedule'!$B$9:$C$611,2,FALSE)</f>
        <v>DB1+3</v>
      </c>
      <c r="S271" s="602"/>
      <c r="V271" s="602" t="str">
        <f>VLOOKUP(+V265,'[14]Twr Schedule'!$B$9:$C$611,2,FALSE)</f>
        <v>DA+9</v>
      </c>
      <c r="W271" s="602"/>
      <c r="Z271" s="602" t="str">
        <f>VLOOKUP(+Z265,'[14]Twr Schedule'!$B$9:$C$611,2,FALSE)</f>
        <v>DA-3</v>
      </c>
      <c r="AA271" s="602"/>
      <c r="AD271" s="602" t="str">
        <f>VLOOKUP(+AD265,'[14]Twr Schedule'!$B$9:$C$611,2,FALSE)</f>
        <v>DC1+0</v>
      </c>
      <c r="AE271" s="602"/>
      <c r="AH271" s="602" t="str">
        <f>VLOOKUP(+AH265,'[14]Twr Schedule'!$B$9:$C$611,2,FALSE)</f>
        <v>DA-3</v>
      </c>
      <c r="AI271" s="602"/>
      <c r="AL271" s="602" t="str">
        <f>VLOOKUP(+AL265,'[14]Twr Schedule'!$B$9:$C$611,2,FALSE)</f>
        <v>DD45+0</v>
      </c>
      <c r="AM271" s="602"/>
      <c r="AP271" s="602" t="str">
        <f>VLOOKUP(+AP265,'[14]Twr Schedule'!$B$9:$C$611,2,FALSE)</f>
        <v>DA+0</v>
      </c>
      <c r="AQ271" s="602"/>
      <c r="AT271" s="283"/>
      <c r="AV271" s="600"/>
      <c r="AW271" s="600"/>
    </row>
    <row r="272" spans="1:51">
      <c r="A272" s="282"/>
      <c r="AT272" s="283"/>
      <c r="AV272" s="600"/>
      <c r="AW272" s="600"/>
    </row>
    <row r="273" spans="1:51">
      <c r="A273" s="586" t="s">
        <v>864</v>
      </c>
      <c r="B273" s="587"/>
      <c r="C273" s="587"/>
      <c r="D273" s="587"/>
      <c r="E273" s="587"/>
      <c r="F273" s="587"/>
      <c r="G273" s="587"/>
      <c r="H273" s="587"/>
      <c r="I273" s="587"/>
      <c r="J273" s="587"/>
      <c r="K273" s="587"/>
      <c r="L273" s="587"/>
      <c r="M273" s="587"/>
      <c r="N273" s="587"/>
      <c r="O273" s="587"/>
      <c r="P273" s="587"/>
      <c r="Q273" s="587"/>
      <c r="R273" s="588"/>
      <c r="S273" s="606" t="s">
        <v>865</v>
      </c>
      <c r="T273" s="606"/>
      <c r="U273" s="606"/>
      <c r="V273" s="606"/>
      <c r="W273" s="606"/>
      <c r="X273" s="606"/>
      <c r="Y273" s="606"/>
      <c r="Z273" s="606"/>
      <c r="AA273" s="606"/>
      <c r="AB273" s="606"/>
      <c r="AC273" s="606"/>
      <c r="AD273" s="606"/>
      <c r="AE273" s="606"/>
      <c r="AF273" s="606"/>
      <c r="AG273" s="606"/>
      <c r="AH273" s="606"/>
      <c r="AI273" s="606"/>
      <c r="AJ273" s="606"/>
      <c r="AK273" s="606"/>
      <c r="AL273" s="606"/>
      <c r="AM273" s="606"/>
      <c r="AN273" s="606"/>
      <c r="AO273" s="606"/>
      <c r="AP273" s="606"/>
      <c r="AQ273" s="606"/>
      <c r="AR273" s="606"/>
      <c r="AT273" s="283"/>
      <c r="AV273" s="600"/>
      <c r="AW273" s="600"/>
    </row>
    <row r="274" spans="1:51">
      <c r="A274" s="282"/>
      <c r="AT274" s="283"/>
      <c r="AV274" s="600"/>
      <c r="AW274" s="600"/>
    </row>
    <row r="275" spans="1:51">
      <c r="A275" s="282"/>
      <c r="B275" s="600" t="str">
        <f>'[14]Twr Schedule'!B559</f>
        <v>56/2</v>
      </c>
      <c r="C275" s="600"/>
      <c r="F275" s="600" t="str">
        <f>'[14]Twr Schedule'!B561</f>
        <v>56/3</v>
      </c>
      <c r="G275" s="600"/>
      <c r="J275" s="600" t="str">
        <f>'[14]Twr Schedule'!B563</f>
        <v>56/4</v>
      </c>
      <c r="K275" s="600"/>
      <c r="N275" s="600" t="str">
        <f>'[14]Twr Schedule'!B565</f>
        <v>56/5</v>
      </c>
      <c r="O275" s="600"/>
      <c r="R275" s="600" t="str">
        <f>'[14]Twr Schedule'!B567</f>
        <v>56/6</v>
      </c>
      <c r="S275" s="600"/>
      <c r="V275" s="600" t="str">
        <f>'[14]Twr Schedule'!B569</f>
        <v>56/7</v>
      </c>
      <c r="W275" s="600"/>
      <c r="Z275" s="600" t="str">
        <f>'[14]Twr Schedule'!B571</f>
        <v>56/8</v>
      </c>
      <c r="AA275" s="600"/>
      <c r="AD275" s="600" t="str">
        <f>'[14]Twr Schedule'!B573</f>
        <v>57/0</v>
      </c>
      <c r="AE275" s="600"/>
      <c r="AH275" s="600" t="str">
        <f>'[14]Twr Schedule'!B575</f>
        <v>57/1</v>
      </c>
      <c r="AI275" s="600"/>
      <c r="AL275" s="600" t="str">
        <f>'[14]Twr Schedule'!B577</f>
        <v>58/0</v>
      </c>
      <c r="AM275" s="600"/>
      <c r="AP275" s="600" t="str">
        <f>'[14]Twr Schedule'!B579</f>
        <v>59/0</v>
      </c>
      <c r="AQ275" s="600"/>
      <c r="AT275" s="283"/>
      <c r="AV275" s="600"/>
      <c r="AW275" s="600"/>
    </row>
    <row r="276" spans="1:51">
      <c r="A276" s="282"/>
      <c r="AT276" s="283"/>
      <c r="AV276" s="600"/>
      <c r="AW276" s="600"/>
    </row>
    <row r="277" spans="1:51">
      <c r="A277" s="282"/>
      <c r="AT277" s="283"/>
      <c r="AV277" s="600"/>
      <c r="AW277" s="600"/>
    </row>
    <row r="278" spans="1:51">
      <c r="A278" s="282"/>
      <c r="B278" s="296" t="s">
        <v>791</v>
      </c>
      <c r="C278" s="296" t="s">
        <v>792</v>
      </c>
      <c r="D278" s="613">
        <f>VLOOKUP(B275,[14]Progress!$B$9:$D$310,3,FALSE)</f>
        <v>374</v>
      </c>
      <c r="E278" s="614"/>
      <c r="F278" s="296" t="s">
        <v>791</v>
      </c>
      <c r="G278" s="296" t="s">
        <v>792</v>
      </c>
      <c r="H278" s="613">
        <f>VLOOKUP(F275,[14]Progress!$B$9:$D$310,3,FALSE)</f>
        <v>351</v>
      </c>
      <c r="I278" s="614"/>
      <c r="J278" s="296" t="s">
        <v>791</v>
      </c>
      <c r="K278" s="296" t="s">
        <v>792</v>
      </c>
      <c r="L278" s="613">
        <f>VLOOKUP(J275,[14]Progress!$B$9:$D$310,3,FALSE)</f>
        <v>345</v>
      </c>
      <c r="M278" s="614"/>
      <c r="N278" s="296" t="s">
        <v>791</v>
      </c>
      <c r="O278" s="296" t="s">
        <v>792</v>
      </c>
      <c r="P278" s="613">
        <f>VLOOKUP(N275,[14]Progress!$B$9:$D$310,3,FALSE)</f>
        <v>380.05799999999999</v>
      </c>
      <c r="Q278" s="614"/>
      <c r="R278" s="296" t="s">
        <v>791</v>
      </c>
      <c r="S278" s="296" t="s">
        <v>792</v>
      </c>
      <c r="T278" s="613">
        <f>VLOOKUP(R275,[14]Progress!$B$9:$D$310,3,FALSE)</f>
        <v>422</v>
      </c>
      <c r="U278" s="614"/>
      <c r="V278" s="296" t="s">
        <v>791</v>
      </c>
      <c r="W278" s="296" t="s">
        <v>792</v>
      </c>
      <c r="X278" s="613">
        <f>VLOOKUP(V275,[14]Progress!$B$9:$D$310,3,FALSE)</f>
        <v>387.54</v>
      </c>
      <c r="Y278" s="614"/>
      <c r="Z278" s="296" t="s">
        <v>791</v>
      </c>
      <c r="AA278" s="314" t="s">
        <v>792</v>
      </c>
      <c r="AB278" s="609">
        <f>VLOOKUP(Z275,[14]Progress!$B$9:$D$310,3,FALSE)</f>
        <v>369</v>
      </c>
      <c r="AC278" s="610"/>
      <c r="AD278" s="314" t="s">
        <v>791</v>
      </c>
      <c r="AE278" s="314" t="s">
        <v>792</v>
      </c>
      <c r="AF278" s="609">
        <f>VLOOKUP(AD275,[14]Progress!$B$9:$D$310,3,FALSE)</f>
        <v>291</v>
      </c>
      <c r="AG278" s="610"/>
      <c r="AH278" s="314" t="s">
        <v>791</v>
      </c>
      <c r="AI278" s="314" t="s">
        <v>792</v>
      </c>
      <c r="AJ278" s="609">
        <f>VLOOKUP(AH275,[14]Progress!$B$9:$D$310,3,FALSE)</f>
        <v>386.28</v>
      </c>
      <c r="AK278" s="610"/>
      <c r="AL278" s="314" t="s">
        <v>791</v>
      </c>
      <c r="AM278" s="314" t="s">
        <v>792</v>
      </c>
      <c r="AN278" s="609">
        <f>VLOOKUP(AL275,[14]Progress!$B$9:$D$310,3,FALSE)</f>
        <v>281.56099999999998</v>
      </c>
      <c r="AO278" s="610"/>
      <c r="AP278" s="296" t="s">
        <v>791</v>
      </c>
      <c r="AQ278" s="296" t="s">
        <v>792</v>
      </c>
      <c r="AR278" s="613">
        <f>VLOOKUP(AP275,[14]Progress!$B$9:$D$310,3,FALSE)</f>
        <v>418.00099999999998</v>
      </c>
      <c r="AS278" s="600"/>
      <c r="AT278" s="283"/>
      <c r="AV278" s="600">
        <f>D278+H278+L278+P278+T278+X278+AB278+AF278+AJ278+AN278+AR278</f>
        <v>4005.4399999999996</v>
      </c>
      <c r="AW278" s="600"/>
      <c r="AY278">
        <v>11</v>
      </c>
    </row>
    <row r="279" spans="1:51">
      <c r="A279" s="282"/>
      <c r="B279" s="296" t="s">
        <v>794</v>
      </c>
      <c r="C279" s="296" t="s">
        <v>795</v>
      </c>
      <c r="F279" s="296" t="s">
        <v>794</v>
      </c>
      <c r="G279" s="296" t="s">
        <v>795</v>
      </c>
      <c r="J279" s="296" t="s">
        <v>794</v>
      </c>
      <c r="K279" s="296" t="s">
        <v>795</v>
      </c>
      <c r="N279" s="296" t="s">
        <v>794</v>
      </c>
      <c r="O279" s="296" t="s">
        <v>795</v>
      </c>
      <c r="R279" s="296" t="s">
        <v>794</v>
      </c>
      <c r="S279" s="296" t="s">
        <v>795</v>
      </c>
      <c r="V279" s="296" t="s">
        <v>794</v>
      </c>
      <c r="W279" s="296" t="s">
        <v>795</v>
      </c>
      <c r="Z279" s="296" t="s">
        <v>794</v>
      </c>
      <c r="AA279" s="296" t="s">
        <v>795</v>
      </c>
      <c r="AD279" s="296" t="s">
        <v>794</v>
      </c>
      <c r="AE279" s="296" t="s">
        <v>795</v>
      </c>
      <c r="AH279" s="296" t="s">
        <v>794</v>
      </c>
      <c r="AI279" s="296" t="s">
        <v>795</v>
      </c>
      <c r="AL279" s="296" t="s">
        <v>794</v>
      </c>
      <c r="AM279" s="296" t="s">
        <v>795</v>
      </c>
      <c r="AP279" s="296" t="s">
        <v>794</v>
      </c>
      <c r="AQ279" s="296" t="s">
        <v>795</v>
      </c>
      <c r="AT279" s="283"/>
      <c r="AV279" s="600"/>
      <c r="AW279" s="600"/>
    </row>
    <row r="280" spans="1:51" ht="10.5" customHeight="1">
      <c r="A280" s="282"/>
      <c r="B280" s="605"/>
      <c r="C280" s="605"/>
      <c r="F280" s="605"/>
      <c r="G280" s="605"/>
      <c r="J280" s="605"/>
      <c r="K280" s="605"/>
      <c r="N280" s="605"/>
      <c r="O280" s="605"/>
      <c r="R280" s="605"/>
      <c r="S280" s="605"/>
      <c r="V280" s="605"/>
      <c r="W280" s="605"/>
      <c r="Z280" s="605"/>
      <c r="AA280" s="605"/>
      <c r="AD280" s="605"/>
      <c r="AE280" s="605"/>
      <c r="AH280" s="605"/>
      <c r="AI280" s="605"/>
      <c r="AL280" s="605"/>
      <c r="AM280" s="605"/>
      <c r="AP280" s="605"/>
      <c r="AQ280" s="605"/>
      <c r="AT280" s="283"/>
      <c r="AV280" s="600"/>
      <c r="AW280" s="600"/>
    </row>
    <row r="281" spans="1:51">
      <c r="A281" s="282"/>
      <c r="B281" s="602" t="str">
        <f>VLOOKUP(+B275,'[14]Twr Schedule'!$B$9:$C$611,2,FALSE)</f>
        <v>DA+3</v>
      </c>
      <c r="C281" s="602"/>
      <c r="F281" s="602" t="str">
        <f>VLOOKUP(+F275,'[14]Twr Schedule'!$B$9:$C$611,2,FALSE)</f>
        <v>DA-3</v>
      </c>
      <c r="G281" s="602"/>
      <c r="J281" s="602" t="str">
        <f>VLOOKUP(+J275,'[14]Twr Schedule'!$B$9:$C$611,2,FALSE)</f>
        <v>DA-3</v>
      </c>
      <c r="K281" s="602"/>
      <c r="N281" s="602" t="str">
        <f>VLOOKUP(+N275,'[14]Twr Schedule'!$B$9:$C$611,2,FALSE)</f>
        <v>DA-3</v>
      </c>
      <c r="O281" s="602"/>
      <c r="R281" s="602" t="str">
        <f>VLOOKUP(+R275,'[14]Twr Schedule'!$B$9:$C$611,2,FALSE)</f>
        <v>DA+0</v>
      </c>
      <c r="S281" s="602"/>
      <c r="V281" s="602" t="str">
        <f>VLOOKUP(+V275,'[14]Twr Schedule'!$B$9:$C$611,2,FALSE)</f>
        <v>DA+6</v>
      </c>
      <c r="W281" s="602"/>
      <c r="Z281" s="602" t="str">
        <f>VLOOKUP(+Z275,'[14]Twr Schedule'!$B$9:$C$611,2,FALSE)</f>
        <v>DA-3</v>
      </c>
      <c r="AA281" s="602"/>
      <c r="AD281" s="602" t="str">
        <f>VLOOKUP(+AD275,'[14]Twr Schedule'!$B$9:$C$611,2,FALSE)</f>
        <v>DB2+0</v>
      </c>
      <c r="AE281" s="602"/>
      <c r="AH281" s="602" t="str">
        <f>VLOOKUP(+AH275,'[14]Twr Schedule'!$B$9:$C$611,2,FALSE)</f>
        <v>DA-3</v>
      </c>
      <c r="AI281" s="602"/>
      <c r="AL281" s="612" t="str">
        <f>VLOOKUP(+AL275,'[14]Twr Schedule'!$B$9:$C$611,2,FALSE)</f>
        <v>DD60+18</v>
      </c>
      <c r="AM281" s="612"/>
      <c r="AN281" s="315"/>
      <c r="AO281" s="315"/>
      <c r="AP281" s="612" t="str">
        <f>VLOOKUP(+AP275,'[14]Twr Schedule'!$B$9:$C$611,2,FALSE)</f>
        <v>DD60+6</v>
      </c>
      <c r="AQ281" s="612"/>
      <c r="AT281" s="283"/>
      <c r="AV281" s="600"/>
      <c r="AW281" s="600"/>
    </row>
    <row r="282" spans="1:51">
      <c r="A282" s="282"/>
      <c r="AL282" t="s">
        <v>866</v>
      </c>
      <c r="AT282" s="283"/>
      <c r="AV282" s="600"/>
      <c r="AW282" s="600"/>
    </row>
    <row r="283" spans="1:51">
      <c r="A283" s="606" t="s">
        <v>865</v>
      </c>
      <c r="B283" s="606"/>
      <c r="C283" s="606"/>
      <c r="D283" s="606"/>
      <c r="E283" s="606"/>
      <c r="F283" s="606"/>
      <c r="G283" s="606"/>
      <c r="H283" s="606"/>
      <c r="I283" s="606"/>
      <c r="J283" s="606"/>
      <c r="K283" s="606"/>
      <c r="L283" s="606"/>
      <c r="M283" s="606"/>
      <c r="N283" s="606"/>
      <c r="O283" s="606"/>
      <c r="P283" s="606"/>
      <c r="Q283" s="606"/>
      <c r="R283" s="606"/>
      <c r="S283" s="606" t="s">
        <v>867</v>
      </c>
      <c r="T283" s="606"/>
      <c r="U283" s="606"/>
      <c r="V283" s="606"/>
      <c r="W283" s="606"/>
      <c r="X283" s="606"/>
      <c r="Y283" s="606"/>
      <c r="Z283" s="606"/>
      <c r="AA283" s="606"/>
      <c r="AB283" s="606"/>
      <c r="AC283" s="606"/>
      <c r="AD283" s="606"/>
      <c r="AE283" s="606"/>
      <c r="AF283" s="606"/>
      <c r="AG283" s="606"/>
      <c r="AH283" s="606"/>
      <c r="AI283" s="606"/>
      <c r="AJ283" s="606"/>
      <c r="AK283" s="606"/>
      <c r="AL283" s="606"/>
      <c r="AM283" s="606"/>
      <c r="AN283" s="606"/>
      <c r="AO283" s="606"/>
      <c r="AP283" s="606"/>
      <c r="AQ283" s="606"/>
      <c r="AR283" s="606"/>
      <c r="AT283" s="283"/>
      <c r="AV283" s="600"/>
      <c r="AW283" s="600"/>
    </row>
    <row r="284" spans="1:51" ht="27" customHeight="1">
      <c r="A284" s="282"/>
      <c r="AT284" s="283"/>
      <c r="AV284" s="600"/>
      <c r="AW284" s="600"/>
    </row>
    <row r="285" spans="1:51">
      <c r="A285" s="282"/>
      <c r="B285" s="600" t="str">
        <f>'[14]Twr Schedule'!B581</f>
        <v>60/0</v>
      </c>
      <c r="C285" s="600"/>
      <c r="F285" s="600" t="str">
        <f>'[14]Twr Schedule'!B583</f>
        <v>61/0</v>
      </c>
      <c r="G285" s="600"/>
      <c r="J285" s="600" t="str">
        <f>'[14]Twr Schedule'!B585</f>
        <v>62/0</v>
      </c>
      <c r="K285" s="600"/>
      <c r="N285" s="600" t="str">
        <f>'[14]Twr Schedule'!B587</f>
        <v>63/0</v>
      </c>
      <c r="O285" s="600"/>
      <c r="R285" s="600" t="str">
        <f>'[14]Twr Schedule'!B589</f>
        <v>64/0</v>
      </c>
      <c r="S285" s="600"/>
      <c r="V285" s="600" t="str">
        <f>'[14]Twr Schedule'!B591</f>
        <v>64/1</v>
      </c>
      <c r="W285" s="600"/>
      <c r="Z285" s="600" t="str">
        <f>'[14]Twr Schedule'!B593</f>
        <v>64/2</v>
      </c>
      <c r="AA285" s="600"/>
      <c r="AD285" s="600" t="str">
        <f>'[14]Twr Schedule'!B595</f>
        <v>64/3</v>
      </c>
      <c r="AE285" s="600"/>
      <c r="AH285" s="600" t="str">
        <f>'[14]Twr Schedule'!B597</f>
        <v>65/0</v>
      </c>
      <c r="AI285" s="600"/>
      <c r="AL285" s="600" t="str">
        <f>'[14]Twr Schedule'!B599</f>
        <v>66/0</v>
      </c>
      <c r="AM285" s="600"/>
      <c r="AP285" s="600" t="str">
        <f>'[14]Twr Schedule'!B601</f>
        <v>66/1</v>
      </c>
      <c r="AQ285" s="600"/>
      <c r="AT285" s="283"/>
      <c r="AV285" s="600"/>
      <c r="AW285" s="600"/>
    </row>
    <row r="286" spans="1:51">
      <c r="A286" s="282"/>
      <c r="AT286" s="283"/>
      <c r="AV286" s="600"/>
      <c r="AW286" s="600"/>
    </row>
    <row r="287" spans="1:51">
      <c r="A287" s="282"/>
      <c r="AT287" s="283"/>
      <c r="AV287" s="600"/>
      <c r="AW287" s="600"/>
    </row>
    <row r="288" spans="1:51">
      <c r="A288" s="282"/>
      <c r="B288" s="296" t="s">
        <v>791</v>
      </c>
      <c r="C288" s="296" t="s">
        <v>792</v>
      </c>
      <c r="D288" s="609">
        <f>VLOOKUP(B285,[14]Progress!$B$9:$D$310,3,FALSE)</f>
        <v>467.85700000000003</v>
      </c>
      <c r="E288" s="610"/>
      <c r="F288" s="314" t="s">
        <v>791</v>
      </c>
      <c r="G288" s="314" t="s">
        <v>792</v>
      </c>
      <c r="H288" s="607">
        <f>VLOOKUP(F285,[14]Progress!$B$9:$D$310,3,FALSE)</f>
        <v>478.06700000000001</v>
      </c>
      <c r="I288" s="608"/>
      <c r="J288" s="314" t="s">
        <v>791</v>
      </c>
      <c r="K288" s="314" t="s">
        <v>792</v>
      </c>
      <c r="L288" s="607">
        <f>VLOOKUP(J285,[14]Progress!$B$9:$D$310,3,FALSE)</f>
        <v>349.18900000000002</v>
      </c>
      <c r="M288" s="608"/>
      <c r="N288" s="314" t="s">
        <v>791</v>
      </c>
      <c r="O288" s="314" t="s">
        <v>792</v>
      </c>
      <c r="P288" s="609">
        <f>VLOOKUP(N285,[14]Progress!$B$9:$D$310,3,FALSE)</f>
        <v>285.97800000000001</v>
      </c>
      <c r="Q288" s="610"/>
      <c r="R288" s="314" t="s">
        <v>791</v>
      </c>
      <c r="S288" s="314" t="s">
        <v>792</v>
      </c>
      <c r="T288" s="609">
        <f>VLOOKUP(R285,[14]Progress!$B$9:$D$310,3,FALSE)</f>
        <v>395</v>
      </c>
      <c r="U288" s="610"/>
      <c r="V288" s="314" t="s">
        <v>791</v>
      </c>
      <c r="W288" s="314" t="s">
        <v>792</v>
      </c>
      <c r="X288" s="609">
        <f>VLOOKUP(V285,[14]Progress!$B$9:$D$310,3,FALSE)</f>
        <v>384</v>
      </c>
      <c r="Y288" s="610"/>
      <c r="Z288" s="314" t="s">
        <v>791</v>
      </c>
      <c r="AA288" s="314" t="s">
        <v>792</v>
      </c>
      <c r="AB288" s="609">
        <f>VLOOKUP(Z285,[14]Progress!$B$9:$D$310,3,FALSE)</f>
        <v>409</v>
      </c>
      <c r="AC288" s="610"/>
      <c r="AD288" s="314" t="s">
        <v>791</v>
      </c>
      <c r="AE288" s="314" t="s">
        <v>792</v>
      </c>
      <c r="AF288" s="609">
        <f>VLOOKUP(AD285,[14]Progress!$B$9:$D$310,3,FALSE)</f>
        <v>363.017</v>
      </c>
      <c r="AG288" s="610"/>
      <c r="AH288" s="314" t="s">
        <v>791</v>
      </c>
      <c r="AI288" s="314" t="s">
        <v>792</v>
      </c>
      <c r="AJ288" s="607">
        <f>VLOOKUP(AH285,[14]Progress!$B$9:$D$310,3,FALSE)</f>
        <v>298.04199999999997</v>
      </c>
      <c r="AK288" s="608"/>
      <c r="AL288" s="314" t="s">
        <v>791</v>
      </c>
      <c r="AM288" s="314" t="s">
        <v>792</v>
      </c>
      <c r="AN288" s="609">
        <f>VLOOKUP(AL285,[14]Progress!$B$9:$D$310,3,FALSE)</f>
        <v>387</v>
      </c>
      <c r="AO288" s="610"/>
      <c r="AP288" s="314" t="s">
        <v>791</v>
      </c>
      <c r="AQ288" s="314" t="s">
        <v>792</v>
      </c>
      <c r="AR288" s="609">
        <f>VLOOKUP(AP285,[14]Progress!$B$9:$D$310,3,FALSE)</f>
        <v>425.35899999999998</v>
      </c>
      <c r="AS288" s="611"/>
      <c r="AT288" s="283"/>
      <c r="AV288" s="600">
        <f>D288+H288+L288+P288+T288+X288+AB288+AF288+AJ288+AN288+AR288</f>
        <v>4242.509</v>
      </c>
      <c r="AW288" s="600"/>
      <c r="AY288">
        <v>11</v>
      </c>
    </row>
    <row r="289" spans="1:51">
      <c r="A289" s="282"/>
      <c r="B289" s="296" t="s">
        <v>794</v>
      </c>
      <c r="C289" s="296" t="s">
        <v>795</v>
      </c>
      <c r="F289" s="296" t="s">
        <v>794</v>
      </c>
      <c r="G289" s="296" t="s">
        <v>795</v>
      </c>
      <c r="J289" s="296" t="s">
        <v>794</v>
      </c>
      <c r="K289" s="296" t="s">
        <v>795</v>
      </c>
      <c r="N289" s="296" t="s">
        <v>794</v>
      </c>
      <c r="O289" s="296" t="s">
        <v>795</v>
      </c>
      <c r="R289" s="296" t="s">
        <v>794</v>
      </c>
      <c r="S289" s="296" t="s">
        <v>795</v>
      </c>
      <c r="V289" s="296" t="s">
        <v>794</v>
      </c>
      <c r="W289" s="296" t="s">
        <v>795</v>
      </c>
      <c r="Z289" s="296" t="s">
        <v>794</v>
      </c>
      <c r="AA289" s="296" t="s">
        <v>795</v>
      </c>
      <c r="AD289" s="296" t="s">
        <v>794</v>
      </c>
      <c r="AE289" s="296" t="s">
        <v>795</v>
      </c>
      <c r="AH289" s="296" t="s">
        <v>794</v>
      </c>
      <c r="AI289" s="296" t="s">
        <v>795</v>
      </c>
      <c r="AL289" s="296" t="s">
        <v>794</v>
      </c>
      <c r="AM289" s="296" t="s">
        <v>795</v>
      </c>
      <c r="AP289" s="296" t="s">
        <v>794</v>
      </c>
      <c r="AQ289" s="296" t="s">
        <v>795</v>
      </c>
      <c r="AT289" s="283"/>
      <c r="AV289" s="600"/>
      <c r="AW289" s="600"/>
    </row>
    <row r="290" spans="1:51" ht="10.5" customHeight="1">
      <c r="A290" s="282"/>
      <c r="B290" s="603"/>
      <c r="C290" s="604"/>
      <c r="F290" s="603"/>
      <c r="G290" s="604"/>
      <c r="J290" s="603"/>
      <c r="K290" s="604"/>
      <c r="N290" s="603"/>
      <c r="O290" s="604"/>
      <c r="R290" s="603"/>
      <c r="S290" s="604"/>
      <c r="V290" s="603"/>
      <c r="W290" s="604"/>
      <c r="Z290" s="603"/>
      <c r="AA290" s="604"/>
      <c r="AD290" s="603"/>
      <c r="AE290" s="604"/>
      <c r="AH290" s="603"/>
      <c r="AI290" s="604"/>
      <c r="AL290" s="603"/>
      <c r="AM290" s="604"/>
      <c r="AP290" s="603"/>
      <c r="AQ290" s="604"/>
      <c r="AT290" s="283"/>
      <c r="AV290" s="600"/>
      <c r="AW290" s="600"/>
    </row>
    <row r="291" spans="1:51">
      <c r="A291" s="282"/>
      <c r="B291" s="602" t="str">
        <f>VLOOKUP(+B285,'[14]Twr Schedule'!$B$9:$C$611,2,FALSE)</f>
        <v>DD45+6</v>
      </c>
      <c r="C291" s="602"/>
      <c r="F291" s="602" t="str">
        <f>VLOOKUP(+F285,'[14]Twr Schedule'!$B$9:$C$611,2,FALSE)</f>
        <v>DD60+30</v>
      </c>
      <c r="G291" s="602"/>
      <c r="J291" s="602" t="str">
        <f>VLOOKUP(+J285,'[14]Twr Schedule'!$B$9:$C$611,2,FALSE)</f>
        <v>DC1+25</v>
      </c>
      <c r="K291" s="602"/>
      <c r="N291" s="602" t="str">
        <f>VLOOKUP(+N285,'[14]Twr Schedule'!$B$9:$C$611,2,FALSE)</f>
        <v>DC1+3</v>
      </c>
      <c r="O291" s="602"/>
      <c r="R291" s="602" t="str">
        <f>VLOOKUP(+R285,'[14]Twr Schedule'!$B$9:$C$611,2,FALSE)</f>
        <v>DC1+0</v>
      </c>
      <c r="S291" s="602"/>
      <c r="V291" s="602" t="str">
        <f>VLOOKUP(+V285,'[14]Twr Schedule'!$B$9:$C$611,2,FALSE)</f>
        <v>DA+0</v>
      </c>
      <c r="W291" s="602"/>
      <c r="Z291" s="602" t="str">
        <f>VLOOKUP(+Z285,'[14]Twr Schedule'!$B$9:$C$611,2,FALSE)</f>
        <v>DA+3</v>
      </c>
      <c r="AA291" s="602"/>
      <c r="AD291" s="602" t="str">
        <f>VLOOKUP(+AD285,'[14]Twr Schedule'!$B$9:$C$611,2,FALSE)</f>
        <v>DA-3</v>
      </c>
      <c r="AE291" s="602"/>
      <c r="AH291" s="602" t="str">
        <f>VLOOKUP(+AH285,'[14]Twr Schedule'!$B$9:$C$611,2,FALSE)</f>
        <v>DD60+0</v>
      </c>
      <c r="AI291" s="602"/>
      <c r="AL291" s="602" t="str">
        <f>VLOOKUP(+AL285,'[14]Twr Schedule'!$B$9:$C$611,2,FALSE)</f>
        <v>DD60+0</v>
      </c>
      <c r="AM291" s="602"/>
      <c r="AP291" s="602" t="str">
        <f>VLOOKUP(+AP285,'[14]Twr Schedule'!$B$9:$C$611,2,FALSE)</f>
        <v>DA+0</v>
      </c>
      <c r="AQ291" s="602"/>
      <c r="AT291" s="283"/>
      <c r="AV291" s="600"/>
      <c r="AW291" s="600"/>
    </row>
    <row r="292" spans="1:51">
      <c r="A292" s="282"/>
      <c r="J292" s="321" t="s">
        <v>868</v>
      </c>
      <c r="L292" t="s">
        <v>869</v>
      </c>
      <c r="AL292" s="313" t="s">
        <v>870</v>
      </c>
      <c r="AT292" s="283"/>
      <c r="AV292" s="600"/>
      <c r="AW292" s="600"/>
    </row>
    <row r="293" spans="1:51">
      <c r="A293" s="606" t="s">
        <v>867</v>
      </c>
      <c r="B293" s="606"/>
      <c r="C293" s="606"/>
      <c r="D293" s="606"/>
      <c r="E293" s="606"/>
      <c r="F293" s="606"/>
      <c r="G293" s="606"/>
      <c r="H293" s="606"/>
      <c r="I293" s="606"/>
      <c r="J293" s="606"/>
      <c r="K293" s="606"/>
      <c r="L293" s="606"/>
      <c r="M293" s="606"/>
      <c r="N293" s="606"/>
      <c r="O293" s="606"/>
      <c r="P293" s="606"/>
      <c r="Q293" s="606"/>
      <c r="R293" s="606"/>
      <c r="S293" s="606"/>
      <c r="T293" s="606"/>
      <c r="U293" s="606"/>
      <c r="V293" s="606"/>
      <c r="AI293" t="s">
        <v>871</v>
      </c>
      <c r="AT293" s="283"/>
      <c r="AV293" s="600"/>
      <c r="AW293" s="600"/>
    </row>
    <row r="294" spans="1:51">
      <c r="A294" s="282"/>
      <c r="V294" s="600" t="s">
        <v>872</v>
      </c>
      <c r="W294" s="600"/>
      <c r="AT294" s="283"/>
      <c r="AV294" s="600"/>
      <c r="AW294" s="600"/>
    </row>
    <row r="295" spans="1:51">
      <c r="A295" s="282"/>
      <c r="B295" s="600" t="str">
        <f>'[14]Twr Schedule'!B603</f>
        <v>67/0</v>
      </c>
      <c r="C295" s="600"/>
      <c r="F295" s="600" t="str">
        <f>'[14]Twr Schedule'!B605</f>
        <v>68/0</v>
      </c>
      <c r="G295" s="600"/>
      <c r="J295" s="600" t="str">
        <f>'[14]Twr Schedule'!B607</f>
        <v>69/0</v>
      </c>
      <c r="K295" s="600"/>
      <c r="N295" s="600" t="str">
        <f>'[14]Twr Schedule'!B609</f>
        <v>69A/0</v>
      </c>
      <c r="O295" s="600"/>
      <c r="R295" s="600" t="str">
        <f>'[14]Twr Schedule'!B611</f>
        <v>70/0</v>
      </c>
      <c r="S295" s="600"/>
      <c r="V295" s="600" t="str">
        <f>'[14]Twr Schedule'!B613</f>
        <v>Gantry</v>
      </c>
      <c r="W295" s="600"/>
      <c r="Z295" s="600"/>
      <c r="AA295" s="600"/>
      <c r="AD295" s="600"/>
      <c r="AE295" s="600"/>
      <c r="AP295" s="600"/>
      <c r="AQ295" s="600"/>
      <c r="AT295" s="283"/>
      <c r="AV295" s="600"/>
      <c r="AW295" s="600"/>
    </row>
    <row r="296" spans="1:51">
      <c r="A296" s="282"/>
      <c r="AT296" s="283"/>
      <c r="AV296" s="600"/>
      <c r="AW296" s="600"/>
    </row>
    <row r="297" spans="1:51">
      <c r="A297" s="282"/>
      <c r="AT297" s="283"/>
      <c r="AV297" s="600"/>
      <c r="AW297" s="600"/>
    </row>
    <row r="298" spans="1:51">
      <c r="A298" s="282"/>
      <c r="B298" s="296" t="s">
        <v>791</v>
      </c>
      <c r="C298" s="296" t="s">
        <v>792</v>
      </c>
      <c r="D298" s="607">
        <f>VLOOKUP(B295,[14]Progress!$B$9:$D$310,3,FALSE)</f>
        <v>318.40499999999997</v>
      </c>
      <c r="E298" s="608"/>
      <c r="F298" s="314" t="s">
        <v>791</v>
      </c>
      <c r="G298" s="314" t="s">
        <v>792</v>
      </c>
      <c r="H298" s="609">
        <f>VLOOKUP(F295,[14]Progress!$B$9:$D$310,3,FALSE)</f>
        <v>303.77</v>
      </c>
      <c r="I298" s="610"/>
      <c r="J298" s="314" t="s">
        <v>791</v>
      </c>
      <c r="K298" s="314" t="s">
        <v>792</v>
      </c>
      <c r="L298" s="609">
        <f>VLOOKUP(J295,[14]Progress!$B$9:$D$310,3,FALSE)</f>
        <v>232.6</v>
      </c>
      <c r="M298" s="610"/>
      <c r="N298" s="314" t="s">
        <v>791</v>
      </c>
      <c r="O298" s="314" t="s">
        <v>792</v>
      </c>
      <c r="P298" s="609">
        <f>VLOOKUP(N295,[14]Progress!$B$9:$D$310,3,FALSE)</f>
        <v>202.46</v>
      </c>
      <c r="Q298" s="610"/>
      <c r="R298" s="314" t="s">
        <v>791</v>
      </c>
      <c r="S298" s="314" t="s">
        <v>792</v>
      </c>
      <c r="T298" s="609">
        <f>VLOOKUP(R295,[14]Progress!$B$9:$D$310,3,FALSE)</f>
        <v>127</v>
      </c>
      <c r="U298" s="610"/>
      <c r="V298" s="322"/>
      <c r="W298" s="322"/>
      <c r="X298" s="600"/>
      <c r="Y298" s="600"/>
      <c r="Z298" s="2"/>
      <c r="AA298" s="2"/>
      <c r="AB298" s="600"/>
      <c r="AC298" s="600"/>
      <c r="AD298" s="2"/>
      <c r="AE298" s="2"/>
      <c r="AF298" s="600"/>
      <c r="AG298" s="600"/>
      <c r="AH298" s="2"/>
      <c r="AI298" s="2"/>
      <c r="AM298" s="2"/>
      <c r="AP298" s="2"/>
      <c r="AQ298" s="2"/>
      <c r="AR298" s="600"/>
      <c r="AS298" s="600"/>
      <c r="AT298" s="283"/>
      <c r="AV298" s="600">
        <f>D298+H298+L298+P298+T298+X298+AB298+AF298+AJ298+AN298+AR298</f>
        <v>1184.2349999999999</v>
      </c>
      <c r="AW298" s="600"/>
      <c r="AY298">
        <v>4</v>
      </c>
    </row>
    <row r="299" spans="1:51">
      <c r="A299" s="282"/>
      <c r="B299" s="296" t="s">
        <v>794</v>
      </c>
      <c r="C299" s="296" t="s">
        <v>795</v>
      </c>
      <c r="F299" s="296" t="s">
        <v>794</v>
      </c>
      <c r="G299" s="296" t="s">
        <v>795</v>
      </c>
      <c r="J299" s="296" t="s">
        <v>794</v>
      </c>
      <c r="K299" s="296" t="s">
        <v>795</v>
      </c>
      <c r="N299" s="296" t="s">
        <v>794</v>
      </c>
      <c r="O299" s="296" t="s">
        <v>795</v>
      </c>
      <c r="R299" s="296" t="s">
        <v>794</v>
      </c>
      <c r="S299" s="296" t="s">
        <v>795</v>
      </c>
      <c r="V299" s="322"/>
      <c r="W299" s="322"/>
      <c r="Z299" s="2"/>
      <c r="AA299" s="2"/>
      <c r="AD299" s="2"/>
      <c r="AE299" s="2"/>
      <c r="AH299" s="2"/>
      <c r="AI299" s="2"/>
      <c r="AL299" s="2"/>
      <c r="AM299" s="2"/>
      <c r="AP299" s="2"/>
      <c r="AQ299" s="2"/>
      <c r="AT299" s="283"/>
      <c r="AV299" s="600"/>
      <c r="AW299" s="600"/>
    </row>
    <row r="300" spans="1:51" ht="10.5" customHeight="1">
      <c r="A300" s="282"/>
      <c r="B300" s="603"/>
      <c r="C300" s="604"/>
      <c r="F300" s="603"/>
      <c r="G300" s="604"/>
      <c r="J300" s="603"/>
      <c r="K300" s="604"/>
      <c r="N300" s="603"/>
      <c r="O300" s="604"/>
      <c r="R300" s="605"/>
      <c r="S300" s="605"/>
      <c r="V300" s="606"/>
      <c r="W300" s="606"/>
      <c r="Z300" s="600"/>
      <c r="AA300" s="600"/>
      <c r="AD300" s="600"/>
      <c r="AE300" s="600"/>
      <c r="AP300" s="600"/>
      <c r="AQ300" s="600"/>
      <c r="AT300" s="283"/>
      <c r="AV300" s="600"/>
      <c r="AW300" s="600"/>
    </row>
    <row r="301" spans="1:51">
      <c r="A301" s="282"/>
      <c r="B301" s="601" t="str">
        <f>VLOOKUP(+B295,'[14]Twr Schedule'!$B$9:$C$611,2,FALSE)</f>
        <v>DD60+30</v>
      </c>
      <c r="C301" s="601"/>
      <c r="F301" s="601" t="str">
        <f>VLOOKUP(+F295,'[14]Twr Schedule'!$B$9:$C$611,2,FALSE)</f>
        <v>DD60+30</v>
      </c>
      <c r="G301" s="601"/>
      <c r="J301" s="602" t="str">
        <f>VLOOKUP(+J295,'[14]Twr Schedule'!$B$9:$C$611,2,FALSE)</f>
        <v>DC2+0</v>
      </c>
      <c r="K301" s="602"/>
      <c r="N301" s="602" t="str">
        <f>VLOOKUP(+N295,'[14]Twr Schedule'!$B$9:$C$611,2,FALSE)</f>
        <v>DD60+0</v>
      </c>
      <c r="O301" s="602"/>
      <c r="R301" s="602" t="str">
        <f>VLOOKUP(+R295,'[14]Twr Schedule'!$B$9:$C$611,2,FALSE)</f>
        <v>DD60+0</v>
      </c>
      <c r="S301" s="602"/>
      <c r="V301" s="600" t="s">
        <v>873</v>
      </c>
      <c r="W301" s="600"/>
      <c r="Z301" s="600"/>
      <c r="AA301" s="600"/>
      <c r="AD301" s="600"/>
      <c r="AE301" s="600"/>
      <c r="AH301" s="600"/>
      <c r="AI301" s="600"/>
      <c r="AL301" s="600"/>
      <c r="AM301" s="600"/>
      <c r="AP301" s="600"/>
      <c r="AQ301" s="600"/>
      <c r="AT301" s="283"/>
      <c r="AV301" s="600"/>
      <c r="AW301" s="600"/>
    </row>
    <row r="302" spans="1:51">
      <c r="A302" s="282"/>
      <c r="C302" t="s">
        <v>874</v>
      </c>
      <c r="AT302" s="283"/>
    </row>
    <row r="303" spans="1:51" ht="15" thickBot="1">
      <c r="A303" s="323"/>
      <c r="B303" s="324"/>
      <c r="C303" s="324"/>
      <c r="D303" s="324"/>
      <c r="E303" s="324"/>
      <c r="F303" s="324"/>
      <c r="G303" s="324"/>
      <c r="H303" s="324"/>
      <c r="I303" s="324"/>
      <c r="J303" s="324"/>
      <c r="K303" s="324"/>
      <c r="L303" s="324"/>
      <c r="M303" s="324"/>
      <c r="N303" s="324"/>
      <c r="O303" s="324"/>
      <c r="P303" s="324"/>
      <c r="Q303" s="324"/>
      <c r="R303" s="324"/>
      <c r="S303" s="324"/>
      <c r="T303" s="324"/>
      <c r="U303" s="324"/>
      <c r="V303" s="324"/>
      <c r="W303" s="324"/>
      <c r="X303" s="324"/>
      <c r="Y303" s="324"/>
      <c r="Z303" s="324"/>
      <c r="AA303" s="324"/>
      <c r="AB303" s="324"/>
      <c r="AC303" s="324"/>
      <c r="AD303" s="324"/>
      <c r="AE303" s="324"/>
      <c r="AF303" s="324"/>
      <c r="AG303" s="324"/>
      <c r="AH303" s="324"/>
      <c r="AI303" s="324"/>
      <c r="AJ303" s="324"/>
      <c r="AK303" s="324"/>
      <c r="AL303" s="324"/>
      <c r="AM303" s="324"/>
      <c r="AN303" s="324"/>
      <c r="AO303" s="324"/>
      <c r="AP303" s="324"/>
      <c r="AQ303" s="324"/>
      <c r="AR303" s="324"/>
      <c r="AS303" s="324"/>
      <c r="AT303" s="325"/>
    </row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</sheetData>
  <mergeCells count="1608">
    <mergeCell ref="A1:AT1"/>
    <mergeCell ref="AM3:AN3"/>
    <mergeCell ref="AO3:AT3"/>
    <mergeCell ref="L7:O7"/>
    <mergeCell ref="AA7:AF9"/>
    <mergeCell ref="AG7:AI9"/>
    <mergeCell ref="AJ7:AL9"/>
    <mergeCell ref="AM7:AO9"/>
    <mergeCell ref="AP7:AR9"/>
    <mergeCell ref="O9:P9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K16:P16"/>
    <mergeCell ref="C23:Z23"/>
    <mergeCell ref="AA23:AR23"/>
    <mergeCell ref="AV24:AW24"/>
    <mergeCell ref="AY24:AZ24"/>
    <mergeCell ref="B25:C25"/>
    <mergeCell ref="F25:G25"/>
    <mergeCell ref="J25:K25"/>
    <mergeCell ref="N25:O25"/>
    <mergeCell ref="R25:S25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AB28:AC28"/>
    <mergeCell ref="AF28:AG28"/>
    <mergeCell ref="AJ28:AK28"/>
    <mergeCell ref="AN28:AO28"/>
    <mergeCell ref="AR28:AS28"/>
    <mergeCell ref="AV28:AW28"/>
    <mergeCell ref="D28:E28"/>
    <mergeCell ref="H28:I28"/>
    <mergeCell ref="L28:M28"/>
    <mergeCell ref="P28:Q28"/>
    <mergeCell ref="T28:U28"/>
    <mergeCell ref="X28:Y28"/>
    <mergeCell ref="V25:W25"/>
    <mergeCell ref="Z25:AA25"/>
    <mergeCell ref="AD25:AE25"/>
    <mergeCell ref="AH25:AI25"/>
    <mergeCell ref="AL25:AM25"/>
    <mergeCell ref="AP25:AQ25"/>
    <mergeCell ref="AD31:AE31"/>
    <mergeCell ref="AH31:AI31"/>
    <mergeCell ref="AL31:AM31"/>
    <mergeCell ref="AP31:AQ31"/>
    <mergeCell ref="AV31:AW31"/>
    <mergeCell ref="AV32:AW32"/>
    <mergeCell ref="AL30:AM30"/>
    <mergeCell ref="AP30:AQ30"/>
    <mergeCell ref="AV30:AW30"/>
    <mergeCell ref="B31:C31"/>
    <mergeCell ref="F31:G31"/>
    <mergeCell ref="J31:K31"/>
    <mergeCell ref="N31:O31"/>
    <mergeCell ref="R31:S31"/>
    <mergeCell ref="V31:W31"/>
    <mergeCell ref="Z31:AA31"/>
    <mergeCell ref="AV29:AW29"/>
    <mergeCell ref="B30:C30"/>
    <mergeCell ref="F30:G30"/>
    <mergeCell ref="J30:K30"/>
    <mergeCell ref="N30:O30"/>
    <mergeCell ref="R30:S30"/>
    <mergeCell ref="V30:W30"/>
    <mergeCell ref="Z30:AA30"/>
    <mergeCell ref="AD30:AE30"/>
    <mergeCell ref="AH30:AI30"/>
    <mergeCell ref="AV36:AW36"/>
    <mergeCell ref="AV37:AW37"/>
    <mergeCell ref="D38:E38"/>
    <mergeCell ref="H38:I38"/>
    <mergeCell ref="L38:M38"/>
    <mergeCell ref="P38:Q38"/>
    <mergeCell ref="T38:U38"/>
    <mergeCell ref="X38:Y38"/>
    <mergeCell ref="AB38:AC38"/>
    <mergeCell ref="AF38:AG38"/>
    <mergeCell ref="Z35:AA35"/>
    <mergeCell ref="AD35:AE35"/>
    <mergeCell ref="AH35:AI35"/>
    <mergeCell ref="AL35:AM35"/>
    <mergeCell ref="AP35:AQ35"/>
    <mergeCell ref="AV35:AW35"/>
    <mergeCell ref="B33:V33"/>
    <mergeCell ref="W33:AR33"/>
    <mergeCell ref="AV33:AW33"/>
    <mergeCell ref="AV34:AW34"/>
    <mergeCell ref="B35:C35"/>
    <mergeCell ref="F35:G35"/>
    <mergeCell ref="J35:K35"/>
    <mergeCell ref="N35:O35"/>
    <mergeCell ref="R35:S35"/>
    <mergeCell ref="V35:W35"/>
    <mergeCell ref="AV40:AW40"/>
    <mergeCell ref="B41:C41"/>
    <mergeCell ref="F41:G41"/>
    <mergeCell ref="J41:K41"/>
    <mergeCell ref="N41:O41"/>
    <mergeCell ref="R41:S41"/>
    <mergeCell ref="V41:W41"/>
    <mergeCell ref="Z41:AA41"/>
    <mergeCell ref="AD41:AE41"/>
    <mergeCell ref="AH41:AI41"/>
    <mergeCell ref="V40:W40"/>
    <mergeCell ref="Z40:AA40"/>
    <mergeCell ref="AD40:AE40"/>
    <mergeCell ref="AH40:AI40"/>
    <mergeCell ref="AL40:AM40"/>
    <mergeCell ref="AP40:AQ40"/>
    <mergeCell ref="AJ38:AK38"/>
    <mergeCell ref="AN38:AO38"/>
    <mergeCell ref="AR38:AS38"/>
    <mergeCell ref="AV38:AW38"/>
    <mergeCell ref="AV39:AW39"/>
    <mergeCell ref="B40:C40"/>
    <mergeCell ref="F40:G40"/>
    <mergeCell ref="J40:K40"/>
    <mergeCell ref="N40:O40"/>
    <mergeCell ref="R40:S40"/>
    <mergeCell ref="Z45:AA45"/>
    <mergeCell ref="AD45:AE45"/>
    <mergeCell ref="AH45:AI45"/>
    <mergeCell ref="AL45:AM45"/>
    <mergeCell ref="AP45:AQ45"/>
    <mergeCell ref="AV45:AW45"/>
    <mergeCell ref="B45:C45"/>
    <mergeCell ref="F45:G45"/>
    <mergeCell ref="J45:K45"/>
    <mergeCell ref="N45:O45"/>
    <mergeCell ref="R45:S45"/>
    <mergeCell ref="V45:W45"/>
    <mergeCell ref="AL41:AM41"/>
    <mergeCell ref="AP41:AQ41"/>
    <mergeCell ref="AV41:AW41"/>
    <mergeCell ref="AV42:AW42"/>
    <mergeCell ref="AV43:AW43"/>
    <mergeCell ref="A44:V44"/>
    <mergeCell ref="W44:AR44"/>
    <mergeCell ref="AV44:AW44"/>
    <mergeCell ref="AJ48:AK48"/>
    <mergeCell ref="AN48:AO48"/>
    <mergeCell ref="AR48:AS48"/>
    <mergeCell ref="AV48:AW48"/>
    <mergeCell ref="AV49:AW49"/>
    <mergeCell ref="B50:C50"/>
    <mergeCell ref="F50:G50"/>
    <mergeCell ref="J50:K50"/>
    <mergeCell ref="N50:O50"/>
    <mergeCell ref="R50:S50"/>
    <mergeCell ref="AV46:AW46"/>
    <mergeCell ref="AV47:AW47"/>
    <mergeCell ref="D48:E48"/>
    <mergeCell ref="H48:I48"/>
    <mergeCell ref="L48:M48"/>
    <mergeCell ref="P48:Q48"/>
    <mergeCell ref="T48:U48"/>
    <mergeCell ref="X48:Y48"/>
    <mergeCell ref="AB48:AC48"/>
    <mergeCell ref="AF48:AG48"/>
    <mergeCell ref="AL51:AM51"/>
    <mergeCell ref="AP51:AQ51"/>
    <mergeCell ref="AV51:AW51"/>
    <mergeCell ref="AV52:AW52"/>
    <mergeCell ref="B53:V53"/>
    <mergeCell ref="W53:AR53"/>
    <mergeCell ref="AV53:AW53"/>
    <mergeCell ref="AV50:AW50"/>
    <mergeCell ref="B51:C51"/>
    <mergeCell ref="F51:G51"/>
    <mergeCell ref="J51:K51"/>
    <mergeCell ref="N51:O51"/>
    <mergeCell ref="R51:S51"/>
    <mergeCell ref="V51:W51"/>
    <mergeCell ref="Z51:AA51"/>
    <mergeCell ref="AD51:AE51"/>
    <mergeCell ref="AH51:AI51"/>
    <mergeCell ref="V50:W50"/>
    <mergeCell ref="Z50:AA50"/>
    <mergeCell ref="AD50:AE50"/>
    <mergeCell ref="AH50:AI50"/>
    <mergeCell ref="AL50:AM50"/>
    <mergeCell ref="AP50:AQ50"/>
    <mergeCell ref="AL55:AM55"/>
    <mergeCell ref="AP55:AQ55"/>
    <mergeCell ref="AV55:AW55"/>
    <mergeCell ref="AV56:AW56"/>
    <mergeCell ref="AV57:AW57"/>
    <mergeCell ref="D58:E58"/>
    <mergeCell ref="H58:I58"/>
    <mergeCell ref="L58:M58"/>
    <mergeCell ref="P58:Q58"/>
    <mergeCell ref="T58:U58"/>
    <mergeCell ref="AV54:AW54"/>
    <mergeCell ref="B55:C55"/>
    <mergeCell ref="F55:G55"/>
    <mergeCell ref="J55:K55"/>
    <mergeCell ref="N55:O55"/>
    <mergeCell ref="R55:S55"/>
    <mergeCell ref="V55:W55"/>
    <mergeCell ref="Z55:AA55"/>
    <mergeCell ref="AD55:AE55"/>
    <mergeCell ref="AH55:AI55"/>
    <mergeCell ref="Z61:AA61"/>
    <mergeCell ref="AD61:AE61"/>
    <mergeCell ref="AH61:AI61"/>
    <mergeCell ref="AL61:AM61"/>
    <mergeCell ref="AP61:AQ61"/>
    <mergeCell ref="AV61:AW61"/>
    <mergeCell ref="AH60:AI60"/>
    <mergeCell ref="AL60:AM60"/>
    <mergeCell ref="AP60:AQ60"/>
    <mergeCell ref="AV60:AW60"/>
    <mergeCell ref="B61:C61"/>
    <mergeCell ref="F61:G61"/>
    <mergeCell ref="J61:K61"/>
    <mergeCell ref="N61:O61"/>
    <mergeCell ref="R61:S61"/>
    <mergeCell ref="V61:W61"/>
    <mergeCell ref="AV58:AW58"/>
    <mergeCell ref="AV59:AW59"/>
    <mergeCell ref="B60:C60"/>
    <mergeCell ref="F60:G60"/>
    <mergeCell ref="J60:K60"/>
    <mergeCell ref="N60:O60"/>
    <mergeCell ref="R60:S60"/>
    <mergeCell ref="V60:W60"/>
    <mergeCell ref="Z60:AA60"/>
    <mergeCell ref="AD60:AE60"/>
    <mergeCell ref="X58:Y58"/>
    <mergeCell ref="AB58:AC58"/>
    <mergeCell ref="AF58:AG58"/>
    <mergeCell ref="AJ58:AK58"/>
    <mergeCell ref="AN58:AO58"/>
    <mergeCell ref="AR58:AS58"/>
    <mergeCell ref="AV65:AW65"/>
    <mergeCell ref="AV66:AW66"/>
    <mergeCell ref="AV67:AW67"/>
    <mergeCell ref="D68:E68"/>
    <mergeCell ref="H68:I68"/>
    <mergeCell ref="L68:M68"/>
    <mergeCell ref="P68:Q68"/>
    <mergeCell ref="T68:U68"/>
    <mergeCell ref="X68:Y68"/>
    <mergeCell ref="AB68:AC68"/>
    <mergeCell ref="V65:W65"/>
    <mergeCell ref="Z65:AA65"/>
    <mergeCell ref="AD65:AE65"/>
    <mergeCell ref="AH65:AI65"/>
    <mergeCell ref="AL65:AM65"/>
    <mergeCell ref="AP65:AQ65"/>
    <mergeCell ref="AV62:AW62"/>
    <mergeCell ref="B63:Z63"/>
    <mergeCell ref="AA63:AR63"/>
    <mergeCell ref="AV63:AW63"/>
    <mergeCell ref="AV64:AW64"/>
    <mergeCell ref="B65:C65"/>
    <mergeCell ref="F65:G65"/>
    <mergeCell ref="J65:K65"/>
    <mergeCell ref="N65:O65"/>
    <mergeCell ref="R65:S65"/>
    <mergeCell ref="Z70:AA70"/>
    <mergeCell ref="AD70:AE70"/>
    <mergeCell ref="AH70:AI70"/>
    <mergeCell ref="AL70:AM70"/>
    <mergeCell ref="AP70:AQ70"/>
    <mergeCell ref="AV70:AW70"/>
    <mergeCell ref="B70:C70"/>
    <mergeCell ref="F70:G70"/>
    <mergeCell ref="J70:K70"/>
    <mergeCell ref="N70:O70"/>
    <mergeCell ref="R70:S70"/>
    <mergeCell ref="V70:W70"/>
    <mergeCell ref="AF68:AG68"/>
    <mergeCell ref="AJ68:AK68"/>
    <mergeCell ref="AN68:AO68"/>
    <mergeCell ref="AR68:AS68"/>
    <mergeCell ref="AV68:AW68"/>
    <mergeCell ref="AV69:AW69"/>
    <mergeCell ref="AV72:AW72"/>
    <mergeCell ref="A73:V73"/>
    <mergeCell ref="W73:AR73"/>
    <mergeCell ref="AV73:AW73"/>
    <mergeCell ref="AV74:AW74"/>
    <mergeCell ref="B75:C75"/>
    <mergeCell ref="F75:G75"/>
    <mergeCell ref="J75:K75"/>
    <mergeCell ref="N75:O75"/>
    <mergeCell ref="R75:S75"/>
    <mergeCell ref="Z71:AA71"/>
    <mergeCell ref="AD71:AE71"/>
    <mergeCell ref="AH71:AI71"/>
    <mergeCell ref="AL71:AM71"/>
    <mergeCell ref="AP71:AQ71"/>
    <mergeCell ref="AV71:AW71"/>
    <mergeCell ref="B71:C71"/>
    <mergeCell ref="F71:G71"/>
    <mergeCell ref="J71:K71"/>
    <mergeCell ref="N71:O71"/>
    <mergeCell ref="R71:S71"/>
    <mergeCell ref="V71:W71"/>
    <mergeCell ref="AF78:AG78"/>
    <mergeCell ref="AJ78:AK78"/>
    <mergeCell ref="AN78:AO78"/>
    <mergeCell ref="AR78:AS78"/>
    <mergeCell ref="AV78:AW78"/>
    <mergeCell ref="AV79:AW79"/>
    <mergeCell ref="AV75:AW75"/>
    <mergeCell ref="AV76:AW76"/>
    <mergeCell ref="AV77:AW77"/>
    <mergeCell ref="D78:E78"/>
    <mergeCell ref="H78:I78"/>
    <mergeCell ref="L78:M78"/>
    <mergeCell ref="P78:Q78"/>
    <mergeCell ref="T78:U78"/>
    <mergeCell ref="X78:Y78"/>
    <mergeCell ref="AB78:AC78"/>
    <mergeCell ref="V75:W75"/>
    <mergeCell ref="Z75:AA75"/>
    <mergeCell ref="AD75:AE75"/>
    <mergeCell ref="AH75:AI75"/>
    <mergeCell ref="AL75:AM75"/>
    <mergeCell ref="AP75:AQ75"/>
    <mergeCell ref="Z81:AA81"/>
    <mergeCell ref="AD81:AE81"/>
    <mergeCell ref="AH81:AI81"/>
    <mergeCell ref="AL81:AM81"/>
    <mergeCell ref="AP81:AQ81"/>
    <mergeCell ref="AV81:AW81"/>
    <mergeCell ref="B81:C81"/>
    <mergeCell ref="F81:G81"/>
    <mergeCell ref="J81:K81"/>
    <mergeCell ref="N81:O81"/>
    <mergeCell ref="R81:S81"/>
    <mergeCell ref="V81:W81"/>
    <mergeCell ref="Z80:AA80"/>
    <mergeCell ref="AD80:AE80"/>
    <mergeCell ref="AH80:AI80"/>
    <mergeCell ref="AL80:AM80"/>
    <mergeCell ref="AP80:AQ80"/>
    <mergeCell ref="AV80:AW80"/>
    <mergeCell ref="B80:C80"/>
    <mergeCell ref="F80:G80"/>
    <mergeCell ref="J80:K80"/>
    <mergeCell ref="N80:O80"/>
    <mergeCell ref="R80:S80"/>
    <mergeCell ref="V80:W80"/>
    <mergeCell ref="AV85:AW85"/>
    <mergeCell ref="AV86:AW86"/>
    <mergeCell ref="AV87:AW87"/>
    <mergeCell ref="D88:E88"/>
    <mergeCell ref="H88:I88"/>
    <mergeCell ref="L88:M88"/>
    <mergeCell ref="P88:Q88"/>
    <mergeCell ref="T88:U88"/>
    <mergeCell ref="X88:Y88"/>
    <mergeCell ref="AB88:AC88"/>
    <mergeCell ref="V85:W85"/>
    <mergeCell ref="Z85:AA85"/>
    <mergeCell ref="AD85:AE85"/>
    <mergeCell ref="AH85:AI85"/>
    <mergeCell ref="AL85:AM85"/>
    <mergeCell ref="AP85:AQ85"/>
    <mergeCell ref="AV82:AW82"/>
    <mergeCell ref="AV83:AW83"/>
    <mergeCell ref="A84:V84"/>
    <mergeCell ref="W84:AR84"/>
    <mergeCell ref="AV84:AW84"/>
    <mergeCell ref="B85:C85"/>
    <mergeCell ref="F85:G85"/>
    <mergeCell ref="J85:K85"/>
    <mergeCell ref="N85:O85"/>
    <mergeCell ref="R85:S85"/>
    <mergeCell ref="Z90:AA90"/>
    <mergeCell ref="AD90:AE90"/>
    <mergeCell ref="AH90:AI90"/>
    <mergeCell ref="AL90:AM90"/>
    <mergeCell ref="AP90:AQ90"/>
    <mergeCell ref="AV90:AW90"/>
    <mergeCell ref="B90:C90"/>
    <mergeCell ref="F90:G90"/>
    <mergeCell ref="J90:K90"/>
    <mergeCell ref="N90:O90"/>
    <mergeCell ref="R90:S90"/>
    <mergeCell ref="V90:W90"/>
    <mergeCell ref="AF88:AG88"/>
    <mergeCell ref="AJ88:AK88"/>
    <mergeCell ref="AN88:AO88"/>
    <mergeCell ref="AR88:AS88"/>
    <mergeCell ref="AV88:AW88"/>
    <mergeCell ref="AV89:AW89"/>
    <mergeCell ref="AV92:AW92"/>
    <mergeCell ref="A93:V93"/>
    <mergeCell ref="W93:AR93"/>
    <mergeCell ref="AV93:AW93"/>
    <mergeCell ref="AV94:AW94"/>
    <mergeCell ref="B95:C95"/>
    <mergeCell ref="F95:G95"/>
    <mergeCell ref="J95:K95"/>
    <mergeCell ref="N95:O95"/>
    <mergeCell ref="R95:S95"/>
    <mergeCell ref="Z91:AA91"/>
    <mergeCell ref="AD91:AE91"/>
    <mergeCell ref="AH91:AI91"/>
    <mergeCell ref="AL91:AM91"/>
    <mergeCell ref="AP91:AQ91"/>
    <mergeCell ref="AV91:AW91"/>
    <mergeCell ref="B91:C91"/>
    <mergeCell ref="F91:G91"/>
    <mergeCell ref="J91:K91"/>
    <mergeCell ref="N91:O91"/>
    <mergeCell ref="R91:S91"/>
    <mergeCell ref="V91:W91"/>
    <mergeCell ref="AF98:AG98"/>
    <mergeCell ref="AJ98:AK98"/>
    <mergeCell ref="AN98:AO98"/>
    <mergeCell ref="AR98:AS98"/>
    <mergeCell ref="AV98:AW98"/>
    <mergeCell ref="AV99:AW99"/>
    <mergeCell ref="AV95:AW95"/>
    <mergeCell ref="AV96:AW96"/>
    <mergeCell ref="AV97:AW97"/>
    <mergeCell ref="D98:E98"/>
    <mergeCell ref="H98:I98"/>
    <mergeCell ref="L98:M98"/>
    <mergeCell ref="P98:Q98"/>
    <mergeCell ref="T98:U98"/>
    <mergeCell ref="X98:Y98"/>
    <mergeCell ref="AB98:AC98"/>
    <mergeCell ref="V95:W95"/>
    <mergeCell ref="Z95:AA95"/>
    <mergeCell ref="AD95:AE95"/>
    <mergeCell ref="AH95:AI95"/>
    <mergeCell ref="AL95:AM95"/>
    <mergeCell ref="AP95:AQ95"/>
    <mergeCell ref="Z101:AA101"/>
    <mergeCell ref="AD101:AE101"/>
    <mergeCell ref="AH101:AI101"/>
    <mergeCell ref="AL101:AM101"/>
    <mergeCell ref="AP101:AQ101"/>
    <mergeCell ref="AV101:AW101"/>
    <mergeCell ref="B101:C101"/>
    <mergeCell ref="F101:G101"/>
    <mergeCell ref="J101:K101"/>
    <mergeCell ref="N101:O101"/>
    <mergeCell ref="R101:S101"/>
    <mergeCell ref="V101:W101"/>
    <mergeCell ref="Z100:AA100"/>
    <mergeCell ref="AD100:AE100"/>
    <mergeCell ref="AH100:AI100"/>
    <mergeCell ref="AL100:AM100"/>
    <mergeCell ref="AP100:AQ100"/>
    <mergeCell ref="AV100:AW100"/>
    <mergeCell ref="B100:C100"/>
    <mergeCell ref="F100:G100"/>
    <mergeCell ref="J100:K100"/>
    <mergeCell ref="N100:O100"/>
    <mergeCell ref="R100:S100"/>
    <mergeCell ref="V100:W100"/>
    <mergeCell ref="AV105:AW105"/>
    <mergeCell ref="AV106:AW106"/>
    <mergeCell ref="AV107:AW107"/>
    <mergeCell ref="H108:I108"/>
    <mergeCell ref="L108:M108"/>
    <mergeCell ref="P108:Q108"/>
    <mergeCell ref="T108:U108"/>
    <mergeCell ref="X108:Y108"/>
    <mergeCell ref="AB108:AC108"/>
    <mergeCell ref="AF108:AG108"/>
    <mergeCell ref="V105:W105"/>
    <mergeCell ref="Z105:AA105"/>
    <mergeCell ref="AD105:AE105"/>
    <mergeCell ref="AH105:AI105"/>
    <mergeCell ref="AL105:AM105"/>
    <mergeCell ref="AP105:AQ105"/>
    <mergeCell ref="AV102:AW102"/>
    <mergeCell ref="AV103:AW103"/>
    <mergeCell ref="A104:R104"/>
    <mergeCell ref="S104:AR104"/>
    <mergeCell ref="AV104:AW104"/>
    <mergeCell ref="B105:C105"/>
    <mergeCell ref="F105:G105"/>
    <mergeCell ref="J105:K105"/>
    <mergeCell ref="N105:O105"/>
    <mergeCell ref="R105:S105"/>
    <mergeCell ref="AV110:AW110"/>
    <mergeCell ref="B111:C111"/>
    <mergeCell ref="F111:G111"/>
    <mergeCell ref="J111:K111"/>
    <mergeCell ref="N111:O111"/>
    <mergeCell ref="R111:S111"/>
    <mergeCell ref="V111:W111"/>
    <mergeCell ref="Z111:AA111"/>
    <mergeCell ref="AD111:AE111"/>
    <mergeCell ref="AH111:AI111"/>
    <mergeCell ref="V110:W110"/>
    <mergeCell ref="Z110:AA110"/>
    <mergeCell ref="AD110:AE110"/>
    <mergeCell ref="AH110:AI110"/>
    <mergeCell ref="AL110:AM110"/>
    <mergeCell ref="AP110:AQ110"/>
    <mergeCell ref="AJ108:AK108"/>
    <mergeCell ref="AN108:AO108"/>
    <mergeCell ref="AR108:AS108"/>
    <mergeCell ref="AV108:AW108"/>
    <mergeCell ref="AV109:AW109"/>
    <mergeCell ref="B110:C110"/>
    <mergeCell ref="F110:G110"/>
    <mergeCell ref="J110:K110"/>
    <mergeCell ref="N110:O110"/>
    <mergeCell ref="R110:S110"/>
    <mergeCell ref="Z114:AS114"/>
    <mergeCell ref="AV114:AW114"/>
    <mergeCell ref="B115:C115"/>
    <mergeCell ref="F115:G115"/>
    <mergeCell ref="J115:K115"/>
    <mergeCell ref="N115:O115"/>
    <mergeCell ref="R115:S115"/>
    <mergeCell ref="V115:W115"/>
    <mergeCell ref="Z115:AA115"/>
    <mergeCell ref="AD115:AE115"/>
    <mergeCell ref="AL111:AM111"/>
    <mergeCell ref="AP111:AQ111"/>
    <mergeCell ref="AV111:AW111"/>
    <mergeCell ref="AV112:AW112"/>
    <mergeCell ref="A113:Z113"/>
    <mergeCell ref="AA113:AR113"/>
    <mergeCell ref="AV113:AW113"/>
    <mergeCell ref="AB118:AC118"/>
    <mergeCell ref="AF118:AG118"/>
    <mergeCell ref="AJ118:AK118"/>
    <mergeCell ref="AN118:AO118"/>
    <mergeCell ref="AR118:AS118"/>
    <mergeCell ref="AV118:AW118"/>
    <mergeCell ref="D118:E118"/>
    <mergeCell ref="H118:I118"/>
    <mergeCell ref="L118:M118"/>
    <mergeCell ref="P118:Q118"/>
    <mergeCell ref="T118:U118"/>
    <mergeCell ref="X118:Y118"/>
    <mergeCell ref="AH115:AI115"/>
    <mergeCell ref="AL115:AM115"/>
    <mergeCell ref="AP115:AQ115"/>
    <mergeCell ref="AV115:AW115"/>
    <mergeCell ref="AV116:AW116"/>
    <mergeCell ref="AV117:AW117"/>
    <mergeCell ref="AL120:AM120"/>
    <mergeCell ref="AP120:AQ120"/>
    <mergeCell ref="AV120:AW120"/>
    <mergeCell ref="B121:C121"/>
    <mergeCell ref="F121:G121"/>
    <mergeCell ref="J121:K121"/>
    <mergeCell ref="N121:O121"/>
    <mergeCell ref="R121:S121"/>
    <mergeCell ref="V121:W121"/>
    <mergeCell ref="Z121:AA121"/>
    <mergeCell ref="AV119:AW119"/>
    <mergeCell ref="B120:C120"/>
    <mergeCell ref="F120:G120"/>
    <mergeCell ref="J120:K120"/>
    <mergeCell ref="N120:O120"/>
    <mergeCell ref="R120:S120"/>
    <mergeCell ref="V120:W120"/>
    <mergeCell ref="Z120:AA120"/>
    <mergeCell ref="AD120:AE120"/>
    <mergeCell ref="AH120:AI120"/>
    <mergeCell ref="Z125:AA125"/>
    <mergeCell ref="AD125:AE125"/>
    <mergeCell ref="AH125:AI125"/>
    <mergeCell ref="AL125:AM125"/>
    <mergeCell ref="AP125:AQ125"/>
    <mergeCell ref="AV125:AW125"/>
    <mergeCell ref="A123:AH123"/>
    <mergeCell ref="AI123:AR123"/>
    <mergeCell ref="AV123:AW123"/>
    <mergeCell ref="AV124:AW124"/>
    <mergeCell ref="B125:C125"/>
    <mergeCell ref="F125:G125"/>
    <mergeCell ref="J125:K125"/>
    <mergeCell ref="N125:O125"/>
    <mergeCell ref="R125:S125"/>
    <mergeCell ref="V125:W125"/>
    <mergeCell ref="AD121:AE121"/>
    <mergeCell ref="AH121:AI121"/>
    <mergeCell ref="AL121:AM121"/>
    <mergeCell ref="AP121:AQ121"/>
    <mergeCell ref="AV121:AW121"/>
    <mergeCell ref="AV122:AW122"/>
    <mergeCell ref="AJ128:AK128"/>
    <mergeCell ref="AN128:AO128"/>
    <mergeCell ref="AR128:AS128"/>
    <mergeCell ref="AV128:AW128"/>
    <mergeCell ref="AV129:AW129"/>
    <mergeCell ref="B130:C130"/>
    <mergeCell ref="F130:G130"/>
    <mergeCell ref="J130:K130"/>
    <mergeCell ref="N130:O130"/>
    <mergeCell ref="R130:S130"/>
    <mergeCell ref="AV126:AW126"/>
    <mergeCell ref="AV127:AW127"/>
    <mergeCell ref="D128:E128"/>
    <mergeCell ref="H128:I128"/>
    <mergeCell ref="L128:M128"/>
    <mergeCell ref="P128:Q128"/>
    <mergeCell ref="T128:U128"/>
    <mergeCell ref="X128:Y128"/>
    <mergeCell ref="AB128:AC128"/>
    <mergeCell ref="AF128:AG128"/>
    <mergeCell ref="AL131:AM131"/>
    <mergeCell ref="AP131:AQ131"/>
    <mergeCell ref="AV131:AW131"/>
    <mergeCell ref="AV132:AW132"/>
    <mergeCell ref="A133:AP133"/>
    <mergeCell ref="AV133:AW133"/>
    <mergeCell ref="AV130:AW130"/>
    <mergeCell ref="B131:C131"/>
    <mergeCell ref="F131:G131"/>
    <mergeCell ref="J131:K131"/>
    <mergeCell ref="N131:O131"/>
    <mergeCell ref="R131:S131"/>
    <mergeCell ref="V131:W131"/>
    <mergeCell ref="Z131:AA131"/>
    <mergeCell ref="AD131:AE131"/>
    <mergeCell ref="AH131:AI131"/>
    <mergeCell ref="V130:W130"/>
    <mergeCell ref="Z130:AA130"/>
    <mergeCell ref="AD130:AE130"/>
    <mergeCell ref="AH130:AI130"/>
    <mergeCell ref="AL130:AM130"/>
    <mergeCell ref="AP130:AQ130"/>
    <mergeCell ref="AL135:AM135"/>
    <mergeCell ref="AP135:AQ135"/>
    <mergeCell ref="AV135:AW135"/>
    <mergeCell ref="AV136:AW136"/>
    <mergeCell ref="AV137:AW137"/>
    <mergeCell ref="D138:E138"/>
    <mergeCell ref="H138:I138"/>
    <mergeCell ref="L138:M138"/>
    <mergeCell ref="P138:Q138"/>
    <mergeCell ref="T138:U138"/>
    <mergeCell ref="AV134:AW134"/>
    <mergeCell ref="B135:C135"/>
    <mergeCell ref="F135:G135"/>
    <mergeCell ref="J135:K135"/>
    <mergeCell ref="N135:O135"/>
    <mergeCell ref="R135:S135"/>
    <mergeCell ref="V135:W135"/>
    <mergeCell ref="Z135:AA135"/>
    <mergeCell ref="AD135:AE135"/>
    <mergeCell ref="AH135:AI135"/>
    <mergeCell ref="Z141:AA141"/>
    <mergeCell ref="AD141:AE141"/>
    <mergeCell ref="AH141:AI141"/>
    <mergeCell ref="AL141:AM141"/>
    <mergeCell ref="AP141:AQ141"/>
    <mergeCell ref="AV141:AW141"/>
    <mergeCell ref="AH140:AI140"/>
    <mergeCell ref="AL140:AM140"/>
    <mergeCell ref="AP140:AQ140"/>
    <mergeCell ref="AV140:AW140"/>
    <mergeCell ref="B141:C141"/>
    <mergeCell ref="F141:G141"/>
    <mergeCell ref="J141:K141"/>
    <mergeCell ref="N141:O141"/>
    <mergeCell ref="R141:S141"/>
    <mergeCell ref="V141:W141"/>
    <mergeCell ref="AV138:AW138"/>
    <mergeCell ref="AV139:AW139"/>
    <mergeCell ref="B140:C140"/>
    <mergeCell ref="F140:G140"/>
    <mergeCell ref="J140:K140"/>
    <mergeCell ref="N140:O140"/>
    <mergeCell ref="R140:S140"/>
    <mergeCell ref="V140:W140"/>
    <mergeCell ref="Z140:AA140"/>
    <mergeCell ref="AD140:AE140"/>
    <mergeCell ref="X138:Y138"/>
    <mergeCell ref="AB138:AC138"/>
    <mergeCell ref="AF138:AG138"/>
    <mergeCell ref="AJ138:AK138"/>
    <mergeCell ref="AN138:AO138"/>
    <mergeCell ref="AR138:AS138"/>
    <mergeCell ref="AV145:AW145"/>
    <mergeCell ref="AV146:AW146"/>
    <mergeCell ref="AV147:AW147"/>
    <mergeCell ref="D148:E148"/>
    <mergeCell ref="H148:I148"/>
    <mergeCell ref="L148:M148"/>
    <mergeCell ref="P148:Q148"/>
    <mergeCell ref="T148:U148"/>
    <mergeCell ref="X148:Y148"/>
    <mergeCell ref="AB148:AC148"/>
    <mergeCell ref="V145:W145"/>
    <mergeCell ref="Z145:AA145"/>
    <mergeCell ref="AD145:AE145"/>
    <mergeCell ref="AH145:AI145"/>
    <mergeCell ref="AL145:AM145"/>
    <mergeCell ref="AP145:AQ145"/>
    <mergeCell ref="AV142:AW142"/>
    <mergeCell ref="AV143:AW143"/>
    <mergeCell ref="A144:AH144"/>
    <mergeCell ref="AI144:AR144"/>
    <mergeCell ref="AV144:AW144"/>
    <mergeCell ref="B145:C145"/>
    <mergeCell ref="F145:G145"/>
    <mergeCell ref="J145:K145"/>
    <mergeCell ref="N145:O145"/>
    <mergeCell ref="R145:S145"/>
    <mergeCell ref="Z150:AA150"/>
    <mergeCell ref="AD150:AE150"/>
    <mergeCell ref="AH150:AI150"/>
    <mergeCell ref="AL150:AM150"/>
    <mergeCell ref="AP150:AQ150"/>
    <mergeCell ref="AV150:AW150"/>
    <mergeCell ref="B150:C150"/>
    <mergeCell ref="F150:G150"/>
    <mergeCell ref="J150:K150"/>
    <mergeCell ref="N150:O150"/>
    <mergeCell ref="R150:S150"/>
    <mergeCell ref="V150:W150"/>
    <mergeCell ref="AF148:AG148"/>
    <mergeCell ref="AJ148:AK148"/>
    <mergeCell ref="AN148:AO148"/>
    <mergeCell ref="AR148:AS148"/>
    <mergeCell ref="AV148:AW148"/>
    <mergeCell ref="AV149:AW149"/>
    <mergeCell ref="AV152:AW152"/>
    <mergeCell ref="A153:R153"/>
    <mergeCell ref="S153:AR153"/>
    <mergeCell ref="AV153:AW153"/>
    <mergeCell ref="R154:AS154"/>
    <mergeCell ref="AV154:AW154"/>
    <mergeCell ref="Z151:AA151"/>
    <mergeCell ref="AD151:AE151"/>
    <mergeCell ref="AH151:AI151"/>
    <mergeCell ref="AL151:AM151"/>
    <mergeCell ref="AP151:AQ151"/>
    <mergeCell ref="AV151:AW151"/>
    <mergeCell ref="B151:C151"/>
    <mergeCell ref="F151:G151"/>
    <mergeCell ref="J151:K151"/>
    <mergeCell ref="N151:O151"/>
    <mergeCell ref="R151:S151"/>
    <mergeCell ref="V151:W151"/>
    <mergeCell ref="AV156:AW156"/>
    <mergeCell ref="AV157:AW157"/>
    <mergeCell ref="D158:E158"/>
    <mergeCell ref="H158:I158"/>
    <mergeCell ref="L158:M158"/>
    <mergeCell ref="P158:Q158"/>
    <mergeCell ref="T158:U158"/>
    <mergeCell ref="X158:Y158"/>
    <mergeCell ref="AB158:AC158"/>
    <mergeCell ref="AF158:AG158"/>
    <mergeCell ref="Z155:AA155"/>
    <mergeCell ref="AD155:AE155"/>
    <mergeCell ref="AH155:AI155"/>
    <mergeCell ref="AL155:AM155"/>
    <mergeCell ref="AP155:AQ155"/>
    <mergeCell ref="AV155:AW155"/>
    <mergeCell ref="B155:C155"/>
    <mergeCell ref="F155:G155"/>
    <mergeCell ref="J155:K155"/>
    <mergeCell ref="N155:O155"/>
    <mergeCell ref="R155:S155"/>
    <mergeCell ref="V155:W155"/>
    <mergeCell ref="AV160:AW160"/>
    <mergeCell ref="B161:C161"/>
    <mergeCell ref="F161:G161"/>
    <mergeCell ref="J161:K161"/>
    <mergeCell ref="N161:O161"/>
    <mergeCell ref="R161:S161"/>
    <mergeCell ref="V161:W161"/>
    <mergeCell ref="Z161:AA161"/>
    <mergeCell ref="AD161:AE161"/>
    <mergeCell ref="AH161:AI161"/>
    <mergeCell ref="V160:W160"/>
    <mergeCell ref="Z160:AA160"/>
    <mergeCell ref="AD160:AE160"/>
    <mergeCell ref="AH160:AI160"/>
    <mergeCell ref="AL160:AM160"/>
    <mergeCell ref="AP160:AQ160"/>
    <mergeCell ref="AJ158:AK158"/>
    <mergeCell ref="AN158:AO158"/>
    <mergeCell ref="AR158:AS158"/>
    <mergeCell ref="AV158:AW158"/>
    <mergeCell ref="AV159:AW159"/>
    <mergeCell ref="B160:C160"/>
    <mergeCell ref="F160:G160"/>
    <mergeCell ref="J160:K160"/>
    <mergeCell ref="N160:O160"/>
    <mergeCell ref="R160:S160"/>
    <mergeCell ref="AD165:AE165"/>
    <mergeCell ref="AH165:AI165"/>
    <mergeCell ref="AL165:AM165"/>
    <mergeCell ref="AP165:AQ165"/>
    <mergeCell ref="AV165:AW165"/>
    <mergeCell ref="AV166:AW166"/>
    <mergeCell ref="B164:S164"/>
    <mergeCell ref="V164:AS164"/>
    <mergeCell ref="AV164:AW164"/>
    <mergeCell ref="B165:C165"/>
    <mergeCell ref="F165:G165"/>
    <mergeCell ref="J165:K165"/>
    <mergeCell ref="N165:O165"/>
    <mergeCell ref="R165:S165"/>
    <mergeCell ref="V165:W165"/>
    <mergeCell ref="Z165:AA165"/>
    <mergeCell ref="AL161:AM161"/>
    <mergeCell ref="AP161:AQ161"/>
    <mergeCell ref="AV161:AW161"/>
    <mergeCell ref="AV162:AW162"/>
    <mergeCell ref="A163:V163"/>
    <mergeCell ref="W163:AR163"/>
    <mergeCell ref="AV163:AW163"/>
    <mergeCell ref="AN168:AO168"/>
    <mergeCell ref="AR168:AS168"/>
    <mergeCell ref="AV168:AW168"/>
    <mergeCell ref="AV169:AW169"/>
    <mergeCell ref="B170:C170"/>
    <mergeCell ref="F170:G170"/>
    <mergeCell ref="J170:K170"/>
    <mergeCell ref="N170:O170"/>
    <mergeCell ref="R170:S170"/>
    <mergeCell ref="V170:W170"/>
    <mergeCell ref="AV167:AW167"/>
    <mergeCell ref="D168:E168"/>
    <mergeCell ref="H168:I168"/>
    <mergeCell ref="L168:M168"/>
    <mergeCell ref="P168:Q168"/>
    <mergeCell ref="T168:U168"/>
    <mergeCell ref="X168:Y168"/>
    <mergeCell ref="AB168:AC168"/>
    <mergeCell ref="AF168:AG168"/>
    <mergeCell ref="AJ168:AK168"/>
    <mergeCell ref="Z171:AA171"/>
    <mergeCell ref="AD171:AE171"/>
    <mergeCell ref="AH171:AI171"/>
    <mergeCell ref="AL171:AM171"/>
    <mergeCell ref="AP171:AQ171"/>
    <mergeCell ref="AV171:AW171"/>
    <mergeCell ref="B171:C171"/>
    <mergeCell ref="F171:G171"/>
    <mergeCell ref="J171:K171"/>
    <mergeCell ref="N171:O171"/>
    <mergeCell ref="R171:S171"/>
    <mergeCell ref="V171:W171"/>
    <mergeCell ref="Z170:AA170"/>
    <mergeCell ref="AD170:AE170"/>
    <mergeCell ref="AH170:AI170"/>
    <mergeCell ref="AL170:AM170"/>
    <mergeCell ref="AP170:AQ170"/>
    <mergeCell ref="AV170:AW170"/>
    <mergeCell ref="Z175:AA175"/>
    <mergeCell ref="AD175:AE175"/>
    <mergeCell ref="AH175:AI175"/>
    <mergeCell ref="AL175:AM175"/>
    <mergeCell ref="AP175:AQ175"/>
    <mergeCell ref="AV175:AW175"/>
    <mergeCell ref="B175:C175"/>
    <mergeCell ref="F175:G175"/>
    <mergeCell ref="J175:K175"/>
    <mergeCell ref="N175:O175"/>
    <mergeCell ref="R175:S175"/>
    <mergeCell ref="V175:W175"/>
    <mergeCell ref="AV172:AW172"/>
    <mergeCell ref="A173:Z173"/>
    <mergeCell ref="AA173:AR173"/>
    <mergeCell ref="AV173:AW173"/>
    <mergeCell ref="B174:AA174"/>
    <mergeCell ref="AV174:AW174"/>
    <mergeCell ref="AJ178:AK178"/>
    <mergeCell ref="AN178:AO178"/>
    <mergeCell ref="AR178:AS178"/>
    <mergeCell ref="AV178:AW178"/>
    <mergeCell ref="AV179:AW179"/>
    <mergeCell ref="B180:C180"/>
    <mergeCell ref="F180:G180"/>
    <mergeCell ref="J180:K180"/>
    <mergeCell ref="N180:O180"/>
    <mergeCell ref="R180:S180"/>
    <mergeCell ref="AV176:AW176"/>
    <mergeCell ref="AV177:AW177"/>
    <mergeCell ref="D178:E178"/>
    <mergeCell ref="H178:I178"/>
    <mergeCell ref="L178:M178"/>
    <mergeCell ref="P178:Q178"/>
    <mergeCell ref="T178:U178"/>
    <mergeCell ref="X178:Y178"/>
    <mergeCell ref="AB178:AC178"/>
    <mergeCell ref="AF178:AG178"/>
    <mergeCell ref="AL181:AM181"/>
    <mergeCell ref="AP181:AQ181"/>
    <mergeCell ref="AV181:AW181"/>
    <mergeCell ref="AV182:AW182"/>
    <mergeCell ref="A183:N183"/>
    <mergeCell ref="O183:AR183"/>
    <mergeCell ref="AV183:AW183"/>
    <mergeCell ref="AV180:AW180"/>
    <mergeCell ref="B181:C181"/>
    <mergeCell ref="F181:G181"/>
    <mergeCell ref="J181:K181"/>
    <mergeCell ref="N181:O181"/>
    <mergeCell ref="R181:S181"/>
    <mergeCell ref="V181:W181"/>
    <mergeCell ref="Z181:AA181"/>
    <mergeCell ref="AD181:AE181"/>
    <mergeCell ref="AH181:AI181"/>
    <mergeCell ref="V180:W180"/>
    <mergeCell ref="Z180:AA180"/>
    <mergeCell ref="AD180:AE180"/>
    <mergeCell ref="AH180:AI180"/>
    <mergeCell ref="AL180:AM180"/>
    <mergeCell ref="AP180:AQ180"/>
    <mergeCell ref="AL185:AM185"/>
    <mergeCell ref="AP185:AQ185"/>
    <mergeCell ref="AV185:AW185"/>
    <mergeCell ref="AV186:AW186"/>
    <mergeCell ref="AV187:AW187"/>
    <mergeCell ref="D188:E188"/>
    <mergeCell ref="H188:I188"/>
    <mergeCell ref="L188:M188"/>
    <mergeCell ref="P188:Q188"/>
    <mergeCell ref="T188:U188"/>
    <mergeCell ref="AV184:AW184"/>
    <mergeCell ref="B185:C185"/>
    <mergeCell ref="F185:G185"/>
    <mergeCell ref="J185:K185"/>
    <mergeCell ref="N185:O185"/>
    <mergeCell ref="R185:S185"/>
    <mergeCell ref="V185:W185"/>
    <mergeCell ref="Z185:AA185"/>
    <mergeCell ref="AD185:AE185"/>
    <mergeCell ref="AH185:AI185"/>
    <mergeCell ref="Z191:AA191"/>
    <mergeCell ref="AD191:AE191"/>
    <mergeCell ref="AH191:AI191"/>
    <mergeCell ref="AL191:AM191"/>
    <mergeCell ref="AP191:AQ191"/>
    <mergeCell ref="AV191:AW191"/>
    <mergeCell ref="AH190:AI190"/>
    <mergeCell ref="AL190:AM190"/>
    <mergeCell ref="AP190:AQ190"/>
    <mergeCell ref="AV190:AW190"/>
    <mergeCell ref="B191:C191"/>
    <mergeCell ref="F191:G191"/>
    <mergeCell ref="J191:K191"/>
    <mergeCell ref="N191:O191"/>
    <mergeCell ref="R191:S191"/>
    <mergeCell ref="V191:W191"/>
    <mergeCell ref="AV188:AW188"/>
    <mergeCell ref="AV189:AW189"/>
    <mergeCell ref="B190:C190"/>
    <mergeCell ref="F190:G190"/>
    <mergeCell ref="J190:K190"/>
    <mergeCell ref="N190:O190"/>
    <mergeCell ref="R190:S190"/>
    <mergeCell ref="V190:W190"/>
    <mergeCell ref="Z190:AA190"/>
    <mergeCell ref="AD190:AE190"/>
    <mergeCell ref="X188:Y188"/>
    <mergeCell ref="AB188:AC188"/>
    <mergeCell ref="AF188:AG188"/>
    <mergeCell ref="AJ188:AK188"/>
    <mergeCell ref="AN188:AO188"/>
    <mergeCell ref="AR188:AS188"/>
    <mergeCell ref="AV195:AW195"/>
    <mergeCell ref="AV196:AW196"/>
    <mergeCell ref="AV197:AW197"/>
    <mergeCell ref="D198:E198"/>
    <mergeCell ref="H198:I198"/>
    <mergeCell ref="L198:M198"/>
    <mergeCell ref="P198:Q198"/>
    <mergeCell ref="T198:U198"/>
    <mergeCell ref="X198:Y198"/>
    <mergeCell ref="AB198:AC198"/>
    <mergeCell ref="V195:W195"/>
    <mergeCell ref="Z195:AA195"/>
    <mergeCell ref="AD195:AE195"/>
    <mergeCell ref="AH195:AI195"/>
    <mergeCell ref="AL195:AM195"/>
    <mergeCell ref="AP195:AQ195"/>
    <mergeCell ref="AV192:AW192"/>
    <mergeCell ref="AV193:AW193"/>
    <mergeCell ref="A194:J194"/>
    <mergeCell ref="K194:AR194"/>
    <mergeCell ref="AV194:AW194"/>
    <mergeCell ref="B195:C195"/>
    <mergeCell ref="F195:G195"/>
    <mergeCell ref="J195:K195"/>
    <mergeCell ref="N195:O195"/>
    <mergeCell ref="R195:S195"/>
    <mergeCell ref="Z200:AA200"/>
    <mergeCell ref="AD200:AE200"/>
    <mergeCell ref="AH200:AI200"/>
    <mergeCell ref="AL200:AM200"/>
    <mergeCell ref="AP200:AQ200"/>
    <mergeCell ref="AV200:AW200"/>
    <mergeCell ref="B200:C200"/>
    <mergeCell ref="F200:G200"/>
    <mergeCell ref="J200:K200"/>
    <mergeCell ref="N200:O200"/>
    <mergeCell ref="R200:S200"/>
    <mergeCell ref="V200:W200"/>
    <mergeCell ref="AF198:AG198"/>
    <mergeCell ref="AJ198:AK198"/>
    <mergeCell ref="AN198:AO198"/>
    <mergeCell ref="AR198:AS198"/>
    <mergeCell ref="AV198:AW198"/>
    <mergeCell ref="AV199:AW199"/>
    <mergeCell ref="AV202:AW202"/>
    <mergeCell ref="A203:R203"/>
    <mergeCell ref="S203:AR203"/>
    <mergeCell ref="AV203:AW203"/>
    <mergeCell ref="AV204:AW204"/>
    <mergeCell ref="B205:C205"/>
    <mergeCell ref="F205:G205"/>
    <mergeCell ref="J205:K205"/>
    <mergeCell ref="N205:O205"/>
    <mergeCell ref="R205:S205"/>
    <mergeCell ref="Z201:AA201"/>
    <mergeCell ref="AD201:AE201"/>
    <mergeCell ref="AH201:AI201"/>
    <mergeCell ref="AL201:AM201"/>
    <mergeCell ref="AP201:AQ201"/>
    <mergeCell ref="AV201:AW201"/>
    <mergeCell ref="B201:C201"/>
    <mergeCell ref="F201:G201"/>
    <mergeCell ref="J201:K201"/>
    <mergeCell ref="N201:O201"/>
    <mergeCell ref="R201:S201"/>
    <mergeCell ref="V201:W201"/>
    <mergeCell ref="AF208:AG208"/>
    <mergeCell ref="AJ208:AK208"/>
    <mergeCell ref="AN208:AO208"/>
    <mergeCell ref="AR208:AS208"/>
    <mergeCell ref="AV208:AW208"/>
    <mergeCell ref="AV209:AW209"/>
    <mergeCell ref="AV205:AW205"/>
    <mergeCell ref="AV206:AW206"/>
    <mergeCell ref="AV207:AW207"/>
    <mergeCell ref="D208:E208"/>
    <mergeCell ref="H208:I208"/>
    <mergeCell ref="L208:M208"/>
    <mergeCell ref="P208:Q208"/>
    <mergeCell ref="T208:U208"/>
    <mergeCell ref="X208:Y208"/>
    <mergeCell ref="AB208:AC208"/>
    <mergeCell ref="V205:W205"/>
    <mergeCell ref="Z205:AA205"/>
    <mergeCell ref="AD205:AE205"/>
    <mergeCell ref="AH205:AI205"/>
    <mergeCell ref="AL205:AM205"/>
    <mergeCell ref="AP205:AQ205"/>
    <mergeCell ref="Z211:AA211"/>
    <mergeCell ref="AD211:AE211"/>
    <mergeCell ref="AH211:AI211"/>
    <mergeCell ref="AL211:AM211"/>
    <mergeCell ref="AP211:AQ211"/>
    <mergeCell ref="AV211:AW211"/>
    <mergeCell ref="B211:C211"/>
    <mergeCell ref="F211:G211"/>
    <mergeCell ref="J211:K211"/>
    <mergeCell ref="N211:O211"/>
    <mergeCell ref="R211:S211"/>
    <mergeCell ref="V211:W211"/>
    <mergeCell ref="Z210:AA210"/>
    <mergeCell ref="AD210:AE210"/>
    <mergeCell ref="AH210:AI210"/>
    <mergeCell ref="AL210:AM210"/>
    <mergeCell ref="AP210:AQ210"/>
    <mergeCell ref="AV210:AW210"/>
    <mergeCell ref="B210:C210"/>
    <mergeCell ref="F210:G210"/>
    <mergeCell ref="J210:K210"/>
    <mergeCell ref="N210:O210"/>
    <mergeCell ref="R210:S210"/>
    <mergeCell ref="V210:W210"/>
    <mergeCell ref="AV215:AW215"/>
    <mergeCell ref="AV216:AW216"/>
    <mergeCell ref="AV217:AW217"/>
    <mergeCell ref="D218:E218"/>
    <mergeCell ref="H218:I218"/>
    <mergeCell ref="L218:M218"/>
    <mergeCell ref="P218:Q218"/>
    <mergeCell ref="T218:U218"/>
    <mergeCell ref="X218:Y218"/>
    <mergeCell ref="AB218:AC218"/>
    <mergeCell ref="V215:W215"/>
    <mergeCell ref="Z215:AA215"/>
    <mergeCell ref="AD215:AE215"/>
    <mergeCell ref="AH215:AI215"/>
    <mergeCell ref="AL215:AM215"/>
    <mergeCell ref="AP215:AQ215"/>
    <mergeCell ref="AV212:AW212"/>
    <mergeCell ref="AV213:AW213"/>
    <mergeCell ref="A214:V214"/>
    <mergeCell ref="W214:AR214"/>
    <mergeCell ref="AV214:AW214"/>
    <mergeCell ref="B215:C215"/>
    <mergeCell ref="F215:G215"/>
    <mergeCell ref="J215:K215"/>
    <mergeCell ref="N215:O215"/>
    <mergeCell ref="R215:S215"/>
    <mergeCell ref="Z220:AA220"/>
    <mergeCell ref="AD220:AE220"/>
    <mergeCell ref="AH220:AI220"/>
    <mergeCell ref="AL220:AM220"/>
    <mergeCell ref="AP220:AQ220"/>
    <mergeCell ref="AV220:AW220"/>
    <mergeCell ref="B220:C220"/>
    <mergeCell ref="F220:G220"/>
    <mergeCell ref="J220:K220"/>
    <mergeCell ref="N220:O220"/>
    <mergeCell ref="R220:S220"/>
    <mergeCell ref="V220:W220"/>
    <mergeCell ref="AF218:AG218"/>
    <mergeCell ref="AJ218:AK218"/>
    <mergeCell ref="AN218:AO218"/>
    <mergeCell ref="AR218:AS218"/>
    <mergeCell ref="AV218:AW218"/>
    <mergeCell ref="AV219:AW219"/>
    <mergeCell ref="AV222:AW222"/>
    <mergeCell ref="A223:Z223"/>
    <mergeCell ref="AA223:AR223"/>
    <mergeCell ref="AV223:AW223"/>
    <mergeCell ref="AV224:AW224"/>
    <mergeCell ref="B225:C225"/>
    <mergeCell ref="F225:G225"/>
    <mergeCell ref="J225:K225"/>
    <mergeCell ref="N225:O225"/>
    <mergeCell ref="R225:S225"/>
    <mergeCell ref="Z221:AA221"/>
    <mergeCell ref="AD221:AE221"/>
    <mergeCell ref="AH221:AI221"/>
    <mergeCell ref="AL221:AM221"/>
    <mergeCell ref="AP221:AQ221"/>
    <mergeCell ref="AV221:AW221"/>
    <mergeCell ref="B221:C221"/>
    <mergeCell ref="F221:G221"/>
    <mergeCell ref="J221:K221"/>
    <mergeCell ref="N221:O221"/>
    <mergeCell ref="R221:S221"/>
    <mergeCell ref="V221:W221"/>
    <mergeCell ref="AF228:AG228"/>
    <mergeCell ref="AJ228:AK228"/>
    <mergeCell ref="AN228:AO228"/>
    <mergeCell ref="AR228:AS228"/>
    <mergeCell ref="AV228:AW228"/>
    <mergeCell ref="AV229:AW229"/>
    <mergeCell ref="AV225:AW225"/>
    <mergeCell ref="AV226:AW226"/>
    <mergeCell ref="AV227:AW227"/>
    <mergeCell ref="D228:E228"/>
    <mergeCell ref="H228:I228"/>
    <mergeCell ref="L228:M228"/>
    <mergeCell ref="P228:Q228"/>
    <mergeCell ref="T228:U228"/>
    <mergeCell ref="X228:Y228"/>
    <mergeCell ref="AB228:AC228"/>
    <mergeCell ref="V225:W225"/>
    <mergeCell ref="Z225:AA225"/>
    <mergeCell ref="AD225:AE225"/>
    <mergeCell ref="AH225:AI225"/>
    <mergeCell ref="AL225:AM225"/>
    <mergeCell ref="AP225:AQ225"/>
    <mergeCell ref="Z231:AA231"/>
    <mergeCell ref="AD231:AE231"/>
    <mergeCell ref="AH231:AI231"/>
    <mergeCell ref="AL231:AM231"/>
    <mergeCell ref="AP231:AQ231"/>
    <mergeCell ref="AV231:AW231"/>
    <mergeCell ref="B231:C231"/>
    <mergeCell ref="F231:G231"/>
    <mergeCell ref="J231:K231"/>
    <mergeCell ref="N231:O231"/>
    <mergeCell ref="R231:S231"/>
    <mergeCell ref="V231:W231"/>
    <mergeCell ref="Z230:AA230"/>
    <mergeCell ref="AD230:AE230"/>
    <mergeCell ref="AH230:AI230"/>
    <mergeCell ref="AL230:AM230"/>
    <mergeCell ref="AP230:AQ230"/>
    <mergeCell ref="AV230:AW230"/>
    <mergeCell ref="B230:C230"/>
    <mergeCell ref="F230:G230"/>
    <mergeCell ref="J230:K230"/>
    <mergeCell ref="N230:O230"/>
    <mergeCell ref="R230:S230"/>
    <mergeCell ref="V230:W230"/>
    <mergeCell ref="AV235:AW235"/>
    <mergeCell ref="AV236:AW236"/>
    <mergeCell ref="AV237:AW237"/>
    <mergeCell ref="D238:E238"/>
    <mergeCell ref="H238:I238"/>
    <mergeCell ref="L238:M238"/>
    <mergeCell ref="P238:Q238"/>
    <mergeCell ref="T238:U238"/>
    <mergeCell ref="X238:Y238"/>
    <mergeCell ref="AB238:AC238"/>
    <mergeCell ref="V235:W235"/>
    <mergeCell ref="Z235:AA235"/>
    <mergeCell ref="AD235:AE235"/>
    <mergeCell ref="AH235:AI235"/>
    <mergeCell ref="AL235:AM235"/>
    <mergeCell ref="AP235:AQ235"/>
    <mergeCell ref="AV232:AW232"/>
    <mergeCell ref="AV233:AW233"/>
    <mergeCell ref="A234:AL234"/>
    <mergeCell ref="AM234:AR234"/>
    <mergeCell ref="AV234:AW234"/>
    <mergeCell ref="B235:C235"/>
    <mergeCell ref="F235:G235"/>
    <mergeCell ref="J235:K235"/>
    <mergeCell ref="N235:O235"/>
    <mergeCell ref="R235:S235"/>
    <mergeCell ref="Z240:AA240"/>
    <mergeCell ref="AD240:AE240"/>
    <mergeCell ref="AH240:AI240"/>
    <mergeCell ref="AL240:AM240"/>
    <mergeCell ref="AP240:AQ240"/>
    <mergeCell ref="AV240:AW240"/>
    <mergeCell ref="B240:C240"/>
    <mergeCell ref="F240:G240"/>
    <mergeCell ref="J240:K240"/>
    <mergeCell ref="N240:O240"/>
    <mergeCell ref="R240:S240"/>
    <mergeCell ref="V240:W240"/>
    <mergeCell ref="AF238:AG238"/>
    <mergeCell ref="AJ238:AK238"/>
    <mergeCell ref="AN238:AO238"/>
    <mergeCell ref="AR238:AS238"/>
    <mergeCell ref="AV238:AW238"/>
    <mergeCell ref="AV239:AW239"/>
    <mergeCell ref="AV242:AW242"/>
    <mergeCell ref="A243:Z243"/>
    <mergeCell ref="AA243:AR243"/>
    <mergeCell ref="AV243:AW243"/>
    <mergeCell ref="AV244:AW244"/>
    <mergeCell ref="B245:C245"/>
    <mergeCell ref="F245:G245"/>
    <mergeCell ref="J245:K245"/>
    <mergeCell ref="N245:O245"/>
    <mergeCell ref="R245:S245"/>
    <mergeCell ref="Z241:AA241"/>
    <mergeCell ref="AD241:AE241"/>
    <mergeCell ref="AH241:AI241"/>
    <mergeCell ref="AL241:AM241"/>
    <mergeCell ref="AP241:AQ241"/>
    <mergeCell ref="AV241:AW241"/>
    <mergeCell ref="B241:C241"/>
    <mergeCell ref="F241:G241"/>
    <mergeCell ref="J241:K241"/>
    <mergeCell ref="N241:O241"/>
    <mergeCell ref="R241:S241"/>
    <mergeCell ref="V241:W241"/>
    <mergeCell ref="AF248:AG248"/>
    <mergeCell ref="AJ248:AK248"/>
    <mergeCell ref="AN248:AO248"/>
    <mergeCell ref="AR248:AS248"/>
    <mergeCell ref="AV248:AW248"/>
    <mergeCell ref="AV249:AW249"/>
    <mergeCell ref="AV245:AW245"/>
    <mergeCell ref="AV246:AW246"/>
    <mergeCell ref="AV247:AW247"/>
    <mergeCell ref="D248:E248"/>
    <mergeCell ref="H248:I248"/>
    <mergeCell ref="L248:M248"/>
    <mergeCell ref="P248:Q248"/>
    <mergeCell ref="T248:U248"/>
    <mergeCell ref="X248:Y248"/>
    <mergeCell ref="AB248:AC248"/>
    <mergeCell ref="V245:W245"/>
    <mergeCell ref="Z245:AA245"/>
    <mergeCell ref="AD245:AE245"/>
    <mergeCell ref="AH245:AI245"/>
    <mergeCell ref="AL245:AM245"/>
    <mergeCell ref="AP245:AQ245"/>
    <mergeCell ref="Z251:AA251"/>
    <mergeCell ref="AD251:AE251"/>
    <mergeCell ref="AH251:AI251"/>
    <mergeCell ref="AL251:AM251"/>
    <mergeCell ref="AP251:AQ251"/>
    <mergeCell ref="AV251:AW251"/>
    <mergeCell ref="B251:C251"/>
    <mergeCell ref="F251:G251"/>
    <mergeCell ref="J251:K251"/>
    <mergeCell ref="N251:O251"/>
    <mergeCell ref="R251:S251"/>
    <mergeCell ref="V251:W251"/>
    <mergeCell ref="Z250:AA250"/>
    <mergeCell ref="AD250:AE250"/>
    <mergeCell ref="AH250:AI250"/>
    <mergeCell ref="AL250:AM250"/>
    <mergeCell ref="AP250:AQ250"/>
    <mergeCell ref="AV250:AW250"/>
    <mergeCell ref="B250:C250"/>
    <mergeCell ref="F250:G250"/>
    <mergeCell ref="J250:K250"/>
    <mergeCell ref="N250:O250"/>
    <mergeCell ref="R250:S250"/>
    <mergeCell ref="V250:W250"/>
    <mergeCell ref="AV255:AW255"/>
    <mergeCell ref="AV256:AW256"/>
    <mergeCell ref="AV257:AW257"/>
    <mergeCell ref="D258:E258"/>
    <mergeCell ref="H258:I258"/>
    <mergeCell ref="L258:M258"/>
    <mergeCell ref="P258:Q258"/>
    <mergeCell ref="T258:U258"/>
    <mergeCell ref="X258:Y258"/>
    <mergeCell ref="AB258:AC258"/>
    <mergeCell ref="V255:W255"/>
    <mergeCell ref="Z255:AA255"/>
    <mergeCell ref="AD255:AE255"/>
    <mergeCell ref="AH255:AI255"/>
    <mergeCell ref="AL255:AM255"/>
    <mergeCell ref="AP255:AQ255"/>
    <mergeCell ref="AV252:AW252"/>
    <mergeCell ref="A253:V253"/>
    <mergeCell ref="W253:AR253"/>
    <mergeCell ref="AV253:AW253"/>
    <mergeCell ref="AV254:AW254"/>
    <mergeCell ref="B255:C255"/>
    <mergeCell ref="F255:G255"/>
    <mergeCell ref="J255:K255"/>
    <mergeCell ref="N255:O255"/>
    <mergeCell ref="R255:S255"/>
    <mergeCell ref="Z260:AA260"/>
    <mergeCell ref="AD260:AE260"/>
    <mergeCell ref="AH260:AI260"/>
    <mergeCell ref="AL260:AM260"/>
    <mergeCell ref="AP260:AQ260"/>
    <mergeCell ref="AV260:AW260"/>
    <mergeCell ref="B260:C260"/>
    <mergeCell ref="F260:G260"/>
    <mergeCell ref="J260:K260"/>
    <mergeCell ref="N260:O260"/>
    <mergeCell ref="R260:S260"/>
    <mergeCell ref="V260:W260"/>
    <mergeCell ref="AF258:AG258"/>
    <mergeCell ref="AJ258:AK258"/>
    <mergeCell ref="AN258:AO258"/>
    <mergeCell ref="AR258:AS258"/>
    <mergeCell ref="AV258:AW258"/>
    <mergeCell ref="AV259:AW259"/>
    <mergeCell ref="AV262:AW262"/>
    <mergeCell ref="A263:R263"/>
    <mergeCell ref="S263:AR263"/>
    <mergeCell ref="AV263:AW263"/>
    <mergeCell ref="AV264:AW264"/>
    <mergeCell ref="B265:C265"/>
    <mergeCell ref="F265:G265"/>
    <mergeCell ref="J265:K265"/>
    <mergeCell ref="N265:O265"/>
    <mergeCell ref="R265:S265"/>
    <mergeCell ref="Z261:AA261"/>
    <mergeCell ref="AD261:AE261"/>
    <mergeCell ref="AH261:AI261"/>
    <mergeCell ref="AL261:AM261"/>
    <mergeCell ref="AP261:AQ261"/>
    <mergeCell ref="AV261:AW261"/>
    <mergeCell ref="B261:C261"/>
    <mergeCell ref="F261:G261"/>
    <mergeCell ref="J261:K261"/>
    <mergeCell ref="N261:O261"/>
    <mergeCell ref="R261:S261"/>
    <mergeCell ref="V261:W261"/>
    <mergeCell ref="AF268:AG268"/>
    <mergeCell ref="AJ268:AK268"/>
    <mergeCell ref="AN268:AO268"/>
    <mergeCell ref="AR268:AS268"/>
    <mergeCell ref="AV268:AW268"/>
    <mergeCell ref="AV269:AW269"/>
    <mergeCell ref="AV265:AW265"/>
    <mergeCell ref="AV266:AW266"/>
    <mergeCell ref="AV267:AW267"/>
    <mergeCell ref="D268:E268"/>
    <mergeCell ref="H268:I268"/>
    <mergeCell ref="L268:M268"/>
    <mergeCell ref="P268:Q268"/>
    <mergeCell ref="T268:U268"/>
    <mergeCell ref="X268:Y268"/>
    <mergeCell ref="AB268:AC268"/>
    <mergeCell ref="V265:W265"/>
    <mergeCell ref="Z265:AA265"/>
    <mergeCell ref="AD265:AE265"/>
    <mergeCell ref="AH265:AI265"/>
    <mergeCell ref="AL265:AM265"/>
    <mergeCell ref="AP265:AQ265"/>
    <mergeCell ref="Z271:AA271"/>
    <mergeCell ref="AD271:AE271"/>
    <mergeCell ref="AH271:AI271"/>
    <mergeCell ref="AL271:AM271"/>
    <mergeCell ref="AP271:AQ271"/>
    <mergeCell ref="AV271:AW271"/>
    <mergeCell ref="B271:C271"/>
    <mergeCell ref="F271:G271"/>
    <mergeCell ref="J271:K271"/>
    <mergeCell ref="N271:O271"/>
    <mergeCell ref="R271:S271"/>
    <mergeCell ref="V271:W271"/>
    <mergeCell ref="Z270:AA270"/>
    <mergeCell ref="AD270:AE270"/>
    <mergeCell ref="AH270:AI270"/>
    <mergeCell ref="AL270:AM270"/>
    <mergeCell ref="AP270:AQ270"/>
    <mergeCell ref="AV270:AW270"/>
    <mergeCell ref="B270:C270"/>
    <mergeCell ref="F270:G270"/>
    <mergeCell ref="J270:K270"/>
    <mergeCell ref="N270:O270"/>
    <mergeCell ref="R270:S270"/>
    <mergeCell ref="V270:W270"/>
    <mergeCell ref="AV275:AW275"/>
    <mergeCell ref="AV276:AW276"/>
    <mergeCell ref="AV277:AW277"/>
    <mergeCell ref="D278:E278"/>
    <mergeCell ref="H278:I278"/>
    <mergeCell ref="L278:M278"/>
    <mergeCell ref="P278:Q278"/>
    <mergeCell ref="T278:U278"/>
    <mergeCell ref="X278:Y278"/>
    <mergeCell ref="AB278:AC278"/>
    <mergeCell ref="V275:W275"/>
    <mergeCell ref="Z275:AA275"/>
    <mergeCell ref="AD275:AE275"/>
    <mergeCell ref="AH275:AI275"/>
    <mergeCell ref="AL275:AM275"/>
    <mergeCell ref="AP275:AQ275"/>
    <mergeCell ref="AV272:AW272"/>
    <mergeCell ref="A273:R273"/>
    <mergeCell ref="S273:AR273"/>
    <mergeCell ref="AV273:AW273"/>
    <mergeCell ref="AV274:AW274"/>
    <mergeCell ref="B275:C275"/>
    <mergeCell ref="F275:G275"/>
    <mergeCell ref="J275:K275"/>
    <mergeCell ref="N275:O275"/>
    <mergeCell ref="R275:S275"/>
    <mergeCell ref="Z280:AA280"/>
    <mergeCell ref="AD280:AE280"/>
    <mergeCell ref="AH280:AI280"/>
    <mergeCell ref="AL280:AM280"/>
    <mergeCell ref="AP280:AQ280"/>
    <mergeCell ref="AV280:AW280"/>
    <mergeCell ref="B280:C280"/>
    <mergeCell ref="F280:G280"/>
    <mergeCell ref="J280:K280"/>
    <mergeCell ref="N280:O280"/>
    <mergeCell ref="R280:S280"/>
    <mergeCell ref="V280:W280"/>
    <mergeCell ref="AF278:AG278"/>
    <mergeCell ref="AJ278:AK278"/>
    <mergeCell ref="AN278:AO278"/>
    <mergeCell ref="AR278:AS278"/>
    <mergeCell ref="AV278:AW278"/>
    <mergeCell ref="AV279:AW279"/>
    <mergeCell ref="AV282:AW282"/>
    <mergeCell ref="A283:R283"/>
    <mergeCell ref="S283:AR283"/>
    <mergeCell ref="AV283:AW283"/>
    <mergeCell ref="AV284:AW284"/>
    <mergeCell ref="B285:C285"/>
    <mergeCell ref="F285:G285"/>
    <mergeCell ref="J285:K285"/>
    <mergeCell ref="N285:O285"/>
    <mergeCell ref="R285:S285"/>
    <mergeCell ref="Z281:AA281"/>
    <mergeCell ref="AD281:AE281"/>
    <mergeCell ref="AH281:AI281"/>
    <mergeCell ref="AL281:AM281"/>
    <mergeCell ref="AP281:AQ281"/>
    <mergeCell ref="AV281:AW281"/>
    <mergeCell ref="B281:C281"/>
    <mergeCell ref="F281:G281"/>
    <mergeCell ref="J281:K281"/>
    <mergeCell ref="N281:O281"/>
    <mergeCell ref="R281:S281"/>
    <mergeCell ref="V281:W281"/>
    <mergeCell ref="AF288:AG288"/>
    <mergeCell ref="AJ288:AK288"/>
    <mergeCell ref="AN288:AO288"/>
    <mergeCell ref="AR288:AS288"/>
    <mergeCell ref="AV288:AW288"/>
    <mergeCell ref="AV289:AW289"/>
    <mergeCell ref="AV285:AW285"/>
    <mergeCell ref="AV286:AW286"/>
    <mergeCell ref="AV287:AW287"/>
    <mergeCell ref="D288:E288"/>
    <mergeCell ref="H288:I288"/>
    <mergeCell ref="L288:M288"/>
    <mergeCell ref="P288:Q288"/>
    <mergeCell ref="T288:U288"/>
    <mergeCell ref="X288:Y288"/>
    <mergeCell ref="AB288:AC288"/>
    <mergeCell ref="V285:W285"/>
    <mergeCell ref="Z285:AA285"/>
    <mergeCell ref="AD285:AE285"/>
    <mergeCell ref="AH285:AI285"/>
    <mergeCell ref="AL285:AM285"/>
    <mergeCell ref="AP285:AQ285"/>
    <mergeCell ref="Z291:AA291"/>
    <mergeCell ref="AD291:AE291"/>
    <mergeCell ref="AH291:AI291"/>
    <mergeCell ref="AL291:AM291"/>
    <mergeCell ref="AP291:AQ291"/>
    <mergeCell ref="AV291:AW291"/>
    <mergeCell ref="B291:C291"/>
    <mergeCell ref="F291:G291"/>
    <mergeCell ref="J291:K291"/>
    <mergeCell ref="N291:O291"/>
    <mergeCell ref="R291:S291"/>
    <mergeCell ref="V291:W291"/>
    <mergeCell ref="Z290:AA290"/>
    <mergeCell ref="AD290:AE290"/>
    <mergeCell ref="AH290:AI290"/>
    <mergeCell ref="AL290:AM290"/>
    <mergeCell ref="AP290:AQ290"/>
    <mergeCell ref="AV290:AW290"/>
    <mergeCell ref="B290:C290"/>
    <mergeCell ref="F290:G290"/>
    <mergeCell ref="J290:K290"/>
    <mergeCell ref="N290:O290"/>
    <mergeCell ref="R290:S290"/>
    <mergeCell ref="V290:W290"/>
    <mergeCell ref="AV297:AW297"/>
    <mergeCell ref="D298:E298"/>
    <mergeCell ref="H298:I298"/>
    <mergeCell ref="L298:M298"/>
    <mergeCell ref="P298:Q298"/>
    <mergeCell ref="T298:U298"/>
    <mergeCell ref="X298:Y298"/>
    <mergeCell ref="AB298:AC298"/>
    <mergeCell ref="AF298:AG298"/>
    <mergeCell ref="AR298:AS298"/>
    <mergeCell ref="V295:W295"/>
    <mergeCell ref="Z295:AA295"/>
    <mergeCell ref="AD295:AE295"/>
    <mergeCell ref="AP295:AQ295"/>
    <mergeCell ref="AV295:AW295"/>
    <mergeCell ref="AV296:AW296"/>
    <mergeCell ref="AV292:AW292"/>
    <mergeCell ref="A293:V293"/>
    <mergeCell ref="AV293:AW293"/>
    <mergeCell ref="V294:W294"/>
    <mergeCell ref="AV294:AW294"/>
    <mergeCell ref="B295:C295"/>
    <mergeCell ref="F295:G295"/>
    <mergeCell ref="J295:K295"/>
    <mergeCell ref="N295:O295"/>
    <mergeCell ref="R295:S295"/>
    <mergeCell ref="AH301:AI301"/>
    <mergeCell ref="AL301:AM301"/>
    <mergeCell ref="AP301:AQ301"/>
    <mergeCell ref="AV301:AW301"/>
    <mergeCell ref="AP300:AQ300"/>
    <mergeCell ref="AV300:AW300"/>
    <mergeCell ref="B301:C301"/>
    <mergeCell ref="F301:G301"/>
    <mergeCell ref="J301:K301"/>
    <mergeCell ref="N301:O301"/>
    <mergeCell ref="R301:S301"/>
    <mergeCell ref="V301:W301"/>
    <mergeCell ref="Z301:AA301"/>
    <mergeCell ref="AD301:AE301"/>
    <mergeCell ref="AV298:AW298"/>
    <mergeCell ref="AV299:AW299"/>
    <mergeCell ref="B300:C300"/>
    <mergeCell ref="F300:G300"/>
    <mergeCell ref="J300:K300"/>
    <mergeCell ref="N300:O300"/>
    <mergeCell ref="R300:S300"/>
    <mergeCell ref="V300:W300"/>
    <mergeCell ref="Z300:AA300"/>
    <mergeCell ref="AD300:AE300"/>
  </mergeCells>
  <conditionalFormatting sqref="A1 I3 L3 G4 I4:K4 M4 A5:I6 AA10:AA15 C19:D22 G19:J22 M19:T22">
    <cfRule type="cellIs" dxfId="26" priority="4" operator="equal">
      <formula>"completedw"</formula>
    </cfRule>
    <cfRule type="cellIs" dxfId="25" priority="5" operator="equal">
      <formula>"HOLD"</formula>
    </cfRule>
    <cfRule type="cellIs" dxfId="24" priority="6" operator="equal">
      <formula>"ROW"</formula>
    </cfRule>
  </conditionalFormatting>
  <conditionalFormatting sqref="A3">
    <cfRule type="cellIs" dxfId="23" priority="1" operator="equal">
      <formula>"completedw"</formula>
    </cfRule>
    <cfRule type="cellIs" dxfId="22" priority="2" operator="equal">
      <formula>"HOLD"</formula>
    </cfRule>
    <cfRule type="cellIs" dxfId="21" priority="3" operator="equal">
      <formula>"ROW"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0000"/>
    <pageSetUpPr fitToPage="1"/>
  </sheetPr>
  <dimension ref="A1:H17"/>
  <sheetViews>
    <sheetView zoomScale="80" zoomScaleNormal="80" workbookViewId="0">
      <selection activeCell="F21" sqref="F21"/>
    </sheetView>
  </sheetViews>
  <sheetFormatPr defaultColWidth="9.1796875" defaultRowHeight="15.5"/>
  <cols>
    <col min="1" max="1" width="6.1796875" style="12" customWidth="1"/>
    <col min="2" max="5" width="21" style="139" customWidth="1"/>
    <col min="6" max="7" width="21" style="12" customWidth="1"/>
    <col min="8" max="8" width="32.81640625" style="12" customWidth="1"/>
    <col min="9" max="9" width="7.1796875" style="12" customWidth="1"/>
    <col min="10" max="10" width="15.81640625" style="12" customWidth="1"/>
    <col min="11" max="11" width="12.1796875" style="12" customWidth="1"/>
    <col min="12" max="12" width="15.453125" style="12" customWidth="1"/>
    <col min="13" max="13" width="14.453125" style="12" customWidth="1"/>
    <col min="14" max="15" width="17.81640625" style="12" customWidth="1"/>
    <col min="16" max="16" width="15.1796875" style="12" customWidth="1"/>
    <col min="17" max="16384" width="9.1796875" style="12"/>
  </cols>
  <sheetData>
    <row r="1" spans="1:8" ht="24.75" customHeight="1">
      <c r="A1" s="727" t="s">
        <v>876</v>
      </c>
      <c r="B1" s="728"/>
      <c r="C1" s="728"/>
      <c r="D1" s="728"/>
      <c r="E1" s="728"/>
      <c r="F1" s="728"/>
      <c r="G1" s="728"/>
      <c r="H1" s="728"/>
    </row>
    <row r="2" spans="1:8" s="137" customFormat="1" ht="54" customHeight="1">
      <c r="A2" s="134" t="s">
        <v>222</v>
      </c>
      <c r="B2" s="135" t="s">
        <v>352</v>
      </c>
      <c r="C2" s="134" t="s">
        <v>14</v>
      </c>
      <c r="D2" s="134" t="s">
        <v>356</v>
      </c>
      <c r="E2" s="134" t="s">
        <v>61</v>
      </c>
      <c r="F2" s="136" t="s">
        <v>353</v>
      </c>
      <c r="G2" s="136" t="s">
        <v>354</v>
      </c>
      <c r="H2" s="136" t="s">
        <v>355</v>
      </c>
    </row>
    <row r="3" spans="1:8" ht="18" customHeight="1">
      <c r="A3" s="138"/>
      <c r="B3" s="138"/>
      <c r="C3" s="138"/>
      <c r="D3" s="138"/>
      <c r="E3" s="138"/>
      <c r="F3" s="138"/>
      <c r="G3" s="138"/>
      <c r="H3" s="138"/>
    </row>
    <row r="4" spans="1:8" ht="20.149999999999999" customHeight="1">
      <c r="A4" s="10">
        <v>1</v>
      </c>
      <c r="B4" s="10"/>
      <c r="C4" s="10"/>
      <c r="D4" s="10"/>
      <c r="E4" s="194"/>
      <c r="F4" s="207"/>
      <c r="G4" s="207"/>
      <c r="H4" s="208"/>
    </row>
    <row r="5" spans="1:8" ht="20.149999999999999" hidden="1" customHeight="1">
      <c r="A5" s="10">
        <f>A4+1</f>
        <v>2</v>
      </c>
      <c r="B5" s="194"/>
      <c r="C5" s="194"/>
      <c r="D5" s="194"/>
      <c r="E5" s="194"/>
      <c r="F5" s="10"/>
      <c r="G5" s="207"/>
      <c r="H5" s="208"/>
    </row>
    <row r="6" spans="1:8" ht="20.149999999999999" hidden="1" customHeight="1">
      <c r="A6" s="10">
        <f t="shared" ref="A6:A15" si="0">A5+1</f>
        <v>3</v>
      </c>
      <c r="B6" s="194"/>
      <c r="C6" s="194"/>
      <c r="D6" s="194"/>
      <c r="E6" s="194"/>
      <c r="F6" s="10"/>
      <c r="G6" s="207"/>
      <c r="H6" s="208"/>
    </row>
    <row r="7" spans="1:8" ht="20.149999999999999" hidden="1" customHeight="1">
      <c r="A7" s="10">
        <f t="shared" si="0"/>
        <v>4</v>
      </c>
      <c r="B7" s="194"/>
      <c r="C7" s="194"/>
      <c r="D7" s="194"/>
      <c r="E7" s="194"/>
      <c r="F7" s="10"/>
      <c r="G7" s="207"/>
      <c r="H7" s="208"/>
    </row>
    <row r="8" spans="1:8" ht="20.149999999999999" hidden="1" customHeight="1">
      <c r="A8" s="10">
        <f t="shared" si="0"/>
        <v>5</v>
      </c>
      <c r="B8" s="194"/>
      <c r="C8" s="194"/>
      <c r="D8" s="194"/>
      <c r="E8" s="194"/>
      <c r="F8" s="10"/>
      <c r="G8" s="207"/>
      <c r="H8" s="208"/>
    </row>
    <row r="9" spans="1:8" ht="20.149999999999999" hidden="1" customHeight="1">
      <c r="A9" s="10">
        <f t="shared" si="0"/>
        <v>6</v>
      </c>
      <c r="B9" s="194"/>
      <c r="C9" s="194"/>
      <c r="D9" s="194"/>
      <c r="E9" s="194"/>
      <c r="F9" s="10"/>
      <c r="G9" s="207"/>
      <c r="H9" s="208"/>
    </row>
    <row r="10" spans="1:8" ht="20.149999999999999" hidden="1" customHeight="1">
      <c r="A10" s="10">
        <f t="shared" si="0"/>
        <v>7</v>
      </c>
      <c r="B10" s="194"/>
      <c r="C10" s="194"/>
      <c r="D10" s="194"/>
      <c r="E10" s="194"/>
      <c r="F10" s="10"/>
      <c r="G10" s="207"/>
      <c r="H10" s="208"/>
    </row>
    <row r="11" spans="1:8" ht="20.149999999999999" hidden="1" customHeight="1">
      <c r="A11" s="10">
        <f t="shared" si="0"/>
        <v>8</v>
      </c>
      <c r="B11" s="194"/>
      <c r="C11" s="194"/>
      <c r="D11" s="194"/>
      <c r="E11" s="194"/>
      <c r="F11" s="10"/>
      <c r="G11" s="207"/>
      <c r="H11" s="208"/>
    </row>
    <row r="12" spans="1:8" ht="20.149999999999999" hidden="1" customHeight="1">
      <c r="A12" s="10">
        <f t="shared" si="0"/>
        <v>9</v>
      </c>
      <c r="B12" s="194"/>
      <c r="C12" s="194"/>
      <c r="D12" s="194"/>
      <c r="E12" s="194"/>
      <c r="F12" s="10"/>
      <c r="G12" s="207"/>
      <c r="H12" s="208"/>
    </row>
    <row r="13" spans="1:8" ht="20.149999999999999" hidden="1" customHeight="1">
      <c r="A13" s="10">
        <f t="shared" si="0"/>
        <v>10</v>
      </c>
      <c r="B13" s="194"/>
      <c r="C13" s="194"/>
      <c r="D13" s="194"/>
      <c r="E13" s="194"/>
      <c r="F13" s="10"/>
      <c r="G13" s="207"/>
      <c r="H13" s="208"/>
    </row>
    <row r="14" spans="1:8" ht="20.149999999999999" hidden="1" customHeight="1">
      <c r="A14" s="10">
        <f t="shared" si="0"/>
        <v>11</v>
      </c>
      <c r="B14" s="194"/>
      <c r="C14" s="194"/>
      <c r="D14" s="194"/>
      <c r="E14" s="194"/>
      <c r="F14" s="10"/>
      <c r="G14" s="207"/>
      <c r="H14" s="208"/>
    </row>
    <row r="15" spans="1:8" ht="20.149999999999999" hidden="1" customHeight="1">
      <c r="A15" s="10">
        <f t="shared" si="0"/>
        <v>12</v>
      </c>
      <c r="B15" s="194"/>
      <c r="C15" s="194"/>
      <c r="D15" s="194"/>
      <c r="E15" s="194"/>
      <c r="F15" s="10"/>
      <c r="G15" s="207"/>
      <c r="H15" s="208"/>
    </row>
    <row r="16" spans="1:8" hidden="1">
      <c r="A16" s="10"/>
      <c r="B16" s="209"/>
      <c r="C16" s="209"/>
      <c r="D16" s="194"/>
      <c r="E16" s="194"/>
      <c r="F16" s="10"/>
      <c r="G16" s="10"/>
      <c r="H16" s="10"/>
    </row>
    <row r="17" spans="1:8">
      <c r="A17" s="10"/>
      <c r="B17" s="194"/>
      <c r="C17" s="194"/>
      <c r="D17" s="194"/>
      <c r="E17" s="194"/>
      <c r="F17" s="10"/>
      <c r="G17" s="10"/>
      <c r="H17" s="10"/>
    </row>
  </sheetData>
  <autoFilter ref="A3:AD16" xr:uid="{00000000-0009-0000-0000-000003000000}"/>
  <mergeCells count="1">
    <mergeCell ref="A1:H1"/>
  </mergeCells>
  <conditionalFormatting sqref="H1:H1048576">
    <cfRule type="containsText" dxfId="20" priority="5" operator="containsText" text="Pending">
      <formula>NOT(ISERROR(SEARCH("Pending",H1)))</formula>
    </cfRule>
  </conditionalFormatting>
  <conditionalFormatting sqref="H4:H17 F5:F17">
    <cfRule type="containsText" dxfId="19" priority="19" operator="containsText" text="WIP">
      <formula>NOT(ISERROR(SEARCH("WIP",F4)))</formula>
    </cfRule>
    <cfRule type="containsText" dxfId="18" priority="20" operator="containsText" text="ROW">
      <formula>NOT(ISERROR(SEARCH("ROW",F4)))</formula>
    </cfRule>
    <cfRule type="containsText" dxfId="17" priority="21" operator="containsText" text="Pending">
      <formula>NOT(ISERROR(SEARCH("Pending",F4)))</formula>
    </cfRule>
    <cfRule type="containsText" dxfId="16" priority="22" operator="containsText" text="Completed">
      <formula>NOT(ISERROR(SEARCH("Completed",F4)))</formula>
    </cfRule>
  </conditionalFormatting>
  <pageMargins left="0.7" right="0.7" top="0.75" bottom="0.75" header="0.3" footer="0.3"/>
  <pageSetup paperSize="9" scale="7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C00000"/>
    <pageSetUpPr fitToPage="1"/>
  </sheetPr>
  <dimension ref="A4:G33"/>
  <sheetViews>
    <sheetView workbookViewId="0">
      <selection activeCell="K17" sqref="K17"/>
    </sheetView>
  </sheetViews>
  <sheetFormatPr defaultRowHeight="14.5"/>
  <cols>
    <col min="3" max="3" width="14.1796875" customWidth="1"/>
    <col min="4" max="5" width="17.81640625" customWidth="1"/>
    <col min="6" max="6" width="15.1796875" customWidth="1"/>
    <col min="7" max="7" width="21.54296875" customWidth="1"/>
  </cols>
  <sheetData>
    <row r="4" spans="1:7" ht="15.5">
      <c r="A4" s="134" t="s">
        <v>222</v>
      </c>
      <c r="B4" s="135" t="s">
        <v>352</v>
      </c>
      <c r="C4" s="134" t="s">
        <v>14</v>
      </c>
      <c r="D4" s="136" t="s">
        <v>353</v>
      </c>
      <c r="E4" s="136" t="s">
        <v>379</v>
      </c>
      <c r="F4" s="136" t="s">
        <v>354</v>
      </c>
      <c r="G4" s="136" t="s">
        <v>355</v>
      </c>
    </row>
    <row r="5" spans="1:7">
      <c r="A5" s="138"/>
      <c r="B5" s="138"/>
      <c r="C5" s="138"/>
      <c r="D5" s="138"/>
      <c r="E5" s="138"/>
      <c r="F5" s="138"/>
      <c r="G5" s="138"/>
    </row>
    <row r="6" spans="1:7">
      <c r="A6" s="10">
        <v>1</v>
      </c>
      <c r="B6" s="327" t="s">
        <v>434</v>
      </c>
      <c r="C6" s="328" t="s">
        <v>195</v>
      </c>
      <c r="D6" s="278" t="s">
        <v>55</v>
      </c>
      <c r="E6" s="191" t="s">
        <v>1023</v>
      </c>
      <c r="F6" s="207"/>
      <c r="G6" s="208"/>
    </row>
    <row r="7" spans="1:7">
      <c r="A7" s="10">
        <f>A6+1</f>
        <v>2</v>
      </c>
      <c r="B7" s="328" t="s">
        <v>421</v>
      </c>
      <c r="C7" s="328" t="s">
        <v>709</v>
      </c>
      <c r="D7" s="278" t="s">
        <v>55</v>
      </c>
      <c r="E7" s="191"/>
      <c r="F7" s="326"/>
      <c r="G7" s="326"/>
    </row>
    <row r="8" spans="1:7">
      <c r="A8" s="10">
        <f t="shared" ref="A8:A31" si="0">A7+1</f>
        <v>3</v>
      </c>
      <c r="B8" s="328" t="s">
        <v>435</v>
      </c>
      <c r="C8" s="328" t="s">
        <v>716</v>
      </c>
      <c r="D8" s="278" t="s">
        <v>55</v>
      </c>
      <c r="E8" s="191"/>
      <c r="F8" s="207"/>
      <c r="G8" s="208"/>
    </row>
    <row r="9" spans="1:7">
      <c r="A9" s="10">
        <f t="shared" si="0"/>
        <v>4</v>
      </c>
      <c r="B9" s="75" t="s">
        <v>327</v>
      </c>
      <c r="C9" s="75" t="s">
        <v>704</v>
      </c>
      <c r="D9" s="278" t="s">
        <v>55</v>
      </c>
      <c r="E9" s="191" t="s">
        <v>1023</v>
      </c>
      <c r="F9" s="326"/>
      <c r="G9" s="326"/>
    </row>
    <row r="10" spans="1:7">
      <c r="A10" s="10">
        <f t="shared" si="0"/>
        <v>5</v>
      </c>
      <c r="B10" s="75" t="s">
        <v>438</v>
      </c>
      <c r="C10" s="75" t="s">
        <v>226</v>
      </c>
      <c r="D10" s="278" t="s">
        <v>55</v>
      </c>
      <c r="E10" s="191"/>
      <c r="F10" s="207"/>
      <c r="G10" s="326"/>
    </row>
    <row r="11" spans="1:7">
      <c r="A11" s="10">
        <f t="shared" si="0"/>
        <v>6</v>
      </c>
      <c r="B11" s="75" t="s">
        <v>437</v>
      </c>
      <c r="C11" s="75" t="s">
        <v>318</v>
      </c>
      <c r="D11" s="278" t="s">
        <v>55</v>
      </c>
      <c r="E11" s="191" t="s">
        <v>1023</v>
      </c>
      <c r="F11" s="207"/>
      <c r="G11" s="208"/>
    </row>
    <row r="12" spans="1:7">
      <c r="A12" s="10">
        <f t="shared" si="0"/>
        <v>7</v>
      </c>
      <c r="B12" s="75" t="s">
        <v>692</v>
      </c>
      <c r="C12" s="75" t="s">
        <v>195</v>
      </c>
      <c r="D12" s="278" t="s">
        <v>55</v>
      </c>
      <c r="E12" s="191"/>
      <c r="F12" s="207"/>
      <c r="G12" s="208"/>
    </row>
    <row r="13" spans="1:7">
      <c r="A13" s="10">
        <f t="shared" si="0"/>
        <v>8</v>
      </c>
      <c r="B13" s="75" t="s">
        <v>134</v>
      </c>
      <c r="C13" s="75" t="s">
        <v>225</v>
      </c>
      <c r="D13" s="278" t="s">
        <v>55</v>
      </c>
      <c r="E13" s="191" t="s">
        <v>1023</v>
      </c>
      <c r="F13" s="207"/>
      <c r="G13" s="208"/>
    </row>
    <row r="14" spans="1:7">
      <c r="A14" s="10">
        <f t="shared" si="0"/>
        <v>9</v>
      </c>
      <c r="B14" s="75" t="s">
        <v>431</v>
      </c>
      <c r="C14" s="75" t="s">
        <v>195</v>
      </c>
      <c r="D14" s="278" t="s">
        <v>55</v>
      </c>
      <c r="E14" s="191" t="s">
        <v>1023</v>
      </c>
      <c r="F14" s="207"/>
      <c r="G14" s="208"/>
    </row>
    <row r="15" spans="1:7">
      <c r="A15" s="10">
        <f t="shared" si="0"/>
        <v>10</v>
      </c>
      <c r="B15" s="75" t="s">
        <v>439</v>
      </c>
      <c r="C15" s="75" t="s">
        <v>226</v>
      </c>
      <c r="D15" s="278" t="s">
        <v>55</v>
      </c>
      <c r="E15" s="191"/>
      <c r="F15" s="207"/>
      <c r="G15" s="208"/>
    </row>
    <row r="16" spans="1:7">
      <c r="A16" s="10">
        <f t="shared" si="0"/>
        <v>11</v>
      </c>
      <c r="B16" s="328" t="s">
        <v>289</v>
      </c>
      <c r="C16" s="328" t="s">
        <v>318</v>
      </c>
      <c r="D16" s="278" t="s">
        <v>55</v>
      </c>
      <c r="E16" s="191"/>
      <c r="F16" s="207"/>
      <c r="G16" s="208"/>
    </row>
    <row r="17" spans="1:7">
      <c r="A17" s="10">
        <f t="shared" si="0"/>
        <v>12</v>
      </c>
      <c r="B17" s="75" t="s">
        <v>143</v>
      </c>
      <c r="C17" s="75" t="s">
        <v>225</v>
      </c>
      <c r="D17" s="278" t="s">
        <v>55</v>
      </c>
      <c r="E17" s="191"/>
      <c r="F17" s="207"/>
      <c r="G17" s="208"/>
    </row>
    <row r="18" spans="1:7">
      <c r="A18" s="10">
        <f t="shared" si="0"/>
        <v>13</v>
      </c>
      <c r="B18" s="75" t="s">
        <v>290</v>
      </c>
      <c r="C18" s="75" t="s">
        <v>626</v>
      </c>
      <c r="D18" s="278" t="s">
        <v>55</v>
      </c>
      <c r="E18" s="191"/>
      <c r="F18" s="207"/>
      <c r="G18" s="208"/>
    </row>
    <row r="19" spans="1:7">
      <c r="A19" s="10">
        <f t="shared" si="0"/>
        <v>14</v>
      </c>
      <c r="B19" s="75" t="s">
        <v>292</v>
      </c>
      <c r="C19" s="75" t="s">
        <v>360</v>
      </c>
      <c r="D19" s="278" t="s">
        <v>55</v>
      </c>
      <c r="E19" s="191"/>
      <c r="F19" s="207"/>
      <c r="G19" s="208"/>
    </row>
    <row r="20" spans="1:7">
      <c r="A20" s="10">
        <f t="shared" si="0"/>
        <v>15</v>
      </c>
      <c r="B20" s="75" t="s">
        <v>294</v>
      </c>
      <c r="C20" s="75" t="s">
        <v>717</v>
      </c>
      <c r="D20" s="278" t="s">
        <v>55</v>
      </c>
      <c r="E20" s="191" t="s">
        <v>1023</v>
      </c>
      <c r="F20" s="326"/>
      <c r="G20" s="208"/>
    </row>
    <row r="21" spans="1:7">
      <c r="A21" s="10">
        <f t="shared" si="0"/>
        <v>16</v>
      </c>
      <c r="B21" s="75" t="s">
        <v>299</v>
      </c>
      <c r="C21" s="75" t="s">
        <v>635</v>
      </c>
      <c r="D21" s="278" t="s">
        <v>55</v>
      </c>
      <c r="E21" s="191" t="s">
        <v>1023</v>
      </c>
      <c r="F21" s="326"/>
      <c r="G21" s="208"/>
    </row>
    <row r="22" spans="1:7">
      <c r="A22" s="10">
        <f t="shared" si="0"/>
        <v>17</v>
      </c>
      <c r="B22" s="75" t="s">
        <v>328</v>
      </c>
      <c r="C22" s="75" t="s">
        <v>719</v>
      </c>
      <c r="D22" s="278" t="s">
        <v>55</v>
      </c>
      <c r="E22" s="191" t="s">
        <v>1023</v>
      </c>
      <c r="F22" s="207"/>
      <c r="G22" s="326"/>
    </row>
    <row r="23" spans="1:7">
      <c r="A23" s="10">
        <f t="shared" si="0"/>
        <v>18</v>
      </c>
      <c r="B23" s="75" t="s">
        <v>690</v>
      </c>
      <c r="C23" s="75" t="s">
        <v>195</v>
      </c>
      <c r="D23" s="278" t="s">
        <v>55</v>
      </c>
      <c r="E23" s="191" t="s">
        <v>1023</v>
      </c>
      <c r="F23" s="207"/>
      <c r="G23" s="208"/>
    </row>
    <row r="24" spans="1:7">
      <c r="A24" s="10">
        <f t="shared" si="0"/>
        <v>19</v>
      </c>
      <c r="B24" s="75" t="s">
        <v>691</v>
      </c>
      <c r="C24" s="75" t="s">
        <v>224</v>
      </c>
      <c r="D24" s="278" t="s">
        <v>55</v>
      </c>
      <c r="E24" s="191"/>
      <c r="F24" s="207"/>
      <c r="G24" s="208"/>
    </row>
    <row r="25" spans="1:7">
      <c r="A25" s="10">
        <f t="shared" si="0"/>
        <v>20</v>
      </c>
      <c r="B25" s="75" t="s">
        <v>875</v>
      </c>
      <c r="C25" s="75" t="s">
        <v>380</v>
      </c>
      <c r="D25" s="278" t="s">
        <v>55</v>
      </c>
      <c r="E25" s="191"/>
      <c r="F25" s="207"/>
      <c r="G25" s="208"/>
    </row>
    <row r="26" spans="1:7">
      <c r="A26" s="10">
        <f t="shared" si="0"/>
        <v>21</v>
      </c>
      <c r="B26" s="75" t="s">
        <v>436</v>
      </c>
      <c r="C26" s="75" t="s">
        <v>195</v>
      </c>
      <c r="D26" s="278" t="s">
        <v>55</v>
      </c>
      <c r="E26" s="191"/>
      <c r="F26" s="207"/>
      <c r="G26" s="208"/>
    </row>
    <row r="27" spans="1:7">
      <c r="A27" s="10">
        <f t="shared" si="0"/>
        <v>22</v>
      </c>
      <c r="B27" s="75" t="s">
        <v>693</v>
      </c>
      <c r="C27" s="75" t="s">
        <v>635</v>
      </c>
      <c r="D27" s="278" t="s">
        <v>55</v>
      </c>
      <c r="E27" s="191"/>
      <c r="F27" s="207"/>
      <c r="G27" s="208"/>
    </row>
    <row r="28" spans="1:7">
      <c r="A28" s="10">
        <f t="shared" si="0"/>
        <v>23</v>
      </c>
      <c r="B28" s="75" t="s">
        <v>696</v>
      </c>
      <c r="C28" s="75" t="s">
        <v>635</v>
      </c>
      <c r="D28" s="278" t="s">
        <v>55</v>
      </c>
      <c r="E28" s="191"/>
      <c r="F28" s="207"/>
      <c r="G28" s="208"/>
    </row>
    <row r="29" spans="1:7">
      <c r="A29" s="10">
        <f t="shared" si="0"/>
        <v>24</v>
      </c>
      <c r="B29" s="75" t="s">
        <v>698</v>
      </c>
      <c r="C29" s="75" t="s">
        <v>357</v>
      </c>
      <c r="D29" s="278" t="s">
        <v>55</v>
      </c>
      <c r="E29" s="191"/>
      <c r="F29" s="207"/>
      <c r="G29" s="208"/>
    </row>
    <row r="30" spans="1:7">
      <c r="A30" s="10">
        <f t="shared" si="0"/>
        <v>25</v>
      </c>
      <c r="B30" s="75" t="s">
        <v>440</v>
      </c>
      <c r="C30" s="75" t="s">
        <v>380</v>
      </c>
      <c r="D30" s="278" t="s">
        <v>55</v>
      </c>
      <c r="E30" s="191"/>
      <c r="F30" s="207"/>
      <c r="G30" s="208"/>
    </row>
    <row r="31" spans="1:7">
      <c r="A31" s="10">
        <f t="shared" si="0"/>
        <v>26</v>
      </c>
      <c r="B31" s="75" t="s">
        <v>697</v>
      </c>
      <c r="C31" s="75" t="s">
        <v>380</v>
      </c>
      <c r="D31" s="278" t="s">
        <v>55</v>
      </c>
      <c r="E31" s="191"/>
      <c r="F31" s="207"/>
      <c r="G31" s="208"/>
    </row>
    <row r="32" spans="1:7">
      <c r="A32" s="10"/>
      <c r="B32" s="75"/>
      <c r="C32" s="75"/>
      <c r="D32" s="278"/>
      <c r="E32" s="191"/>
      <c r="F32" s="207"/>
      <c r="G32" s="208"/>
    </row>
    <row r="33" spans="1:7">
      <c r="A33" s="10"/>
      <c r="B33" s="75"/>
      <c r="C33" s="75"/>
      <c r="D33" s="278"/>
      <c r="E33" s="191"/>
      <c r="F33" s="207"/>
      <c r="G33" s="208"/>
    </row>
  </sheetData>
  <autoFilter ref="A5:G33" xr:uid="{00000000-0009-0000-0000-000004000000}"/>
  <conditionalFormatting sqref="B6:B7">
    <cfRule type="duplicateValues" dxfId="15" priority="6675"/>
  </conditionalFormatting>
  <conditionalFormatting sqref="B8 B16:B18">
    <cfRule type="duplicateValues" dxfId="14" priority="5"/>
  </conditionalFormatting>
  <conditionalFormatting sqref="B8">
    <cfRule type="duplicateValues" dxfId="13" priority="1"/>
  </conditionalFormatting>
  <conditionalFormatting sqref="B16:B18">
    <cfRule type="duplicateValues" dxfId="12" priority="3"/>
    <cfRule type="duplicateValues" dxfId="11" priority="4"/>
  </conditionalFormatting>
  <conditionalFormatting sqref="E6:E33">
    <cfRule type="containsText" dxfId="10" priority="6" operator="containsText" text="WIP">
      <formula>NOT(ISERROR(SEARCH("WIP",E6)))</formula>
    </cfRule>
    <cfRule type="containsText" dxfId="9" priority="7" operator="containsText" text="PENDING">
      <formula>NOT(ISERROR(SEARCH("PENDING",E6)))</formula>
    </cfRule>
    <cfRule type="containsText" dxfId="8" priority="8" operator="containsText" text="COMPLETED">
      <formula>NOT(ISERROR(SEARCH("COMPLETED",E6)))</formula>
    </cfRule>
    <cfRule type="cellIs" dxfId="7" priority="9" operator="greaterThan">
      <formula>0</formula>
    </cfRule>
  </conditionalFormatting>
  <conditionalFormatting sqref="G4:G6 G8 G11:G20 G23:G33">
    <cfRule type="containsText" dxfId="6" priority="86" operator="containsText" text="Pending">
      <formula>NOT(ISERROR(SEARCH("Pending",G4)))</formula>
    </cfRule>
  </conditionalFormatting>
  <conditionalFormatting sqref="G6 G8 G11:G20 G23:G33">
    <cfRule type="containsText" dxfId="5" priority="83" operator="containsText" text="Pending">
      <formula>NOT(ISERROR(SEARCH("Pending",G6)))</formula>
    </cfRule>
    <cfRule type="containsText" dxfId="4" priority="84" operator="containsText" text="WIP">
      <formula>NOT(ISERROR(SEARCH("WIP",G6)))</formula>
    </cfRule>
    <cfRule type="containsText" dxfId="3" priority="85" operator="containsText" text="ROW">
      <formula>NOT(ISERROR(SEARCH("ROW",G6)))</formula>
    </cfRule>
    <cfRule type="containsText" dxfId="2" priority="87" operator="containsText" text="Completed">
      <formula>NOT(ISERROR(SEARCH("Completed",G6)))</formula>
    </cfRule>
  </conditionalFormatting>
  <pageMargins left="0.51181102362204722" right="0.51181102362204722" top="0.55118110236220474" bottom="0.55118110236220474" header="0.31496062992125984" footer="0.31496062992125984"/>
  <pageSetup paperSize="9" scale="85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O44"/>
  <sheetViews>
    <sheetView zoomScale="80" zoomScaleNormal="80" workbookViewId="0">
      <selection activeCell="A2" sqref="A2:J2"/>
    </sheetView>
  </sheetViews>
  <sheetFormatPr defaultRowHeight="18.5"/>
  <cols>
    <col min="1" max="1" width="7.81640625" style="98" customWidth="1"/>
    <col min="2" max="4" width="10.453125" style="99" customWidth="1"/>
    <col min="5" max="5" width="12.54296875" style="100" customWidth="1"/>
    <col min="6" max="7" width="12.54296875" style="99" customWidth="1"/>
    <col min="8" max="10" width="12.54296875" style="139" customWidth="1"/>
  </cols>
  <sheetData>
    <row r="1" spans="1:12" ht="8.15" customHeight="1" thickBot="1"/>
    <row r="2" spans="1:12" s="7" customFormat="1" ht="15" customHeight="1">
      <c r="A2" s="731" t="s">
        <v>877</v>
      </c>
      <c r="B2" s="732"/>
      <c r="C2" s="732"/>
      <c r="D2" s="732"/>
      <c r="E2" s="732"/>
      <c r="F2" s="732"/>
      <c r="G2" s="732"/>
      <c r="H2" s="732"/>
      <c r="I2" s="732"/>
      <c r="J2" s="733"/>
    </row>
    <row r="3" spans="1:12" ht="15.5">
      <c r="A3" s="738" t="s">
        <v>283</v>
      </c>
      <c r="B3" s="734" t="s">
        <v>284</v>
      </c>
      <c r="C3" s="734"/>
      <c r="D3" s="729" t="s">
        <v>323</v>
      </c>
      <c r="E3" s="729" t="s">
        <v>324</v>
      </c>
      <c r="F3" s="729" t="s">
        <v>325</v>
      </c>
      <c r="G3" s="729" t="s">
        <v>326</v>
      </c>
      <c r="H3" s="734" t="s">
        <v>69</v>
      </c>
      <c r="I3" s="734" t="s">
        <v>273</v>
      </c>
      <c r="J3" s="735" t="s">
        <v>285</v>
      </c>
    </row>
    <row r="4" spans="1:12" ht="26.5" customHeight="1">
      <c r="A4" s="738"/>
      <c r="B4" s="101" t="s">
        <v>286</v>
      </c>
      <c r="C4" s="101" t="s">
        <v>287</v>
      </c>
      <c r="D4" s="730"/>
      <c r="E4" s="730"/>
      <c r="F4" s="730"/>
      <c r="G4" s="730"/>
      <c r="H4" s="734"/>
      <c r="I4" s="734"/>
      <c r="J4" s="735"/>
    </row>
    <row r="5" spans="1:12" ht="18" customHeight="1">
      <c r="A5" s="102">
        <v>1</v>
      </c>
      <c r="B5" s="103"/>
      <c r="C5" s="103"/>
      <c r="D5" s="104"/>
      <c r="E5" s="105"/>
      <c r="F5" s="106"/>
      <c r="G5" s="107"/>
      <c r="H5" s="166"/>
      <c r="I5" s="166"/>
      <c r="J5" s="167"/>
    </row>
    <row r="6" spans="1:12" ht="18" customHeight="1">
      <c r="A6" s="102">
        <f>A5+1</f>
        <v>2</v>
      </c>
      <c r="B6" s="103"/>
      <c r="C6" s="103"/>
      <c r="D6" s="104"/>
      <c r="E6" s="105"/>
      <c r="F6" s="107"/>
      <c r="G6" s="106"/>
      <c r="H6" s="166"/>
      <c r="I6" s="166"/>
      <c r="J6" s="167"/>
    </row>
    <row r="7" spans="1:12" ht="18" customHeight="1">
      <c r="A7" s="102">
        <f t="shared" ref="A7:A43" si="0">A6+1</f>
        <v>3</v>
      </c>
      <c r="B7" s="103"/>
      <c r="C7" s="103"/>
      <c r="D7" s="104"/>
      <c r="E7" s="105"/>
      <c r="F7" s="106"/>
      <c r="G7" s="107"/>
      <c r="H7" s="166"/>
      <c r="I7" s="166"/>
      <c r="J7" s="167"/>
    </row>
    <row r="8" spans="1:12" ht="18" customHeight="1">
      <c r="A8" s="102">
        <f t="shared" si="0"/>
        <v>4</v>
      </c>
      <c r="B8" s="103"/>
      <c r="C8" s="103"/>
      <c r="D8" s="104"/>
      <c r="E8" s="105"/>
      <c r="F8" s="107"/>
      <c r="G8" s="107"/>
      <c r="H8" s="166"/>
      <c r="I8" s="166"/>
      <c r="J8" s="167"/>
    </row>
    <row r="9" spans="1:12" ht="18" customHeight="1">
      <c r="A9" s="102">
        <f t="shared" si="0"/>
        <v>5</v>
      </c>
      <c r="B9" s="103"/>
      <c r="C9" s="103"/>
      <c r="D9" s="104"/>
      <c r="E9" s="105"/>
      <c r="F9" s="107"/>
      <c r="G9" s="107"/>
      <c r="H9" s="166"/>
      <c r="I9" s="166"/>
      <c r="J9" s="167"/>
      <c r="L9" s="161"/>
    </row>
    <row r="10" spans="1:12" ht="18" customHeight="1">
      <c r="A10" s="102">
        <f t="shared" si="0"/>
        <v>6</v>
      </c>
      <c r="B10" s="103"/>
      <c r="C10" s="103"/>
      <c r="D10" s="104"/>
      <c r="E10" s="105"/>
      <c r="F10" s="107"/>
      <c r="G10" s="107"/>
      <c r="H10" s="166"/>
      <c r="I10" s="166"/>
      <c r="J10" s="167"/>
      <c r="L10" s="161"/>
    </row>
    <row r="11" spans="1:12" ht="18" customHeight="1">
      <c r="A11" s="102">
        <f t="shared" si="0"/>
        <v>7</v>
      </c>
      <c r="B11" s="103"/>
      <c r="C11" s="103"/>
      <c r="D11" s="104"/>
      <c r="E11" s="105"/>
      <c r="F11" s="107"/>
      <c r="G11" s="107"/>
      <c r="H11" s="166"/>
      <c r="I11" s="166"/>
      <c r="J11" s="167"/>
      <c r="L11" s="161"/>
    </row>
    <row r="12" spans="1:12" ht="18" customHeight="1">
      <c r="A12" s="102">
        <f t="shared" si="0"/>
        <v>8</v>
      </c>
      <c r="B12" s="103"/>
      <c r="C12" s="103"/>
      <c r="D12" s="104"/>
      <c r="E12" s="105"/>
      <c r="F12" s="107"/>
      <c r="G12" s="107"/>
      <c r="H12" s="166"/>
      <c r="I12" s="166"/>
      <c r="J12" s="167"/>
      <c r="L12" s="161"/>
    </row>
    <row r="13" spans="1:12" ht="15" customHeight="1">
      <c r="A13" s="102">
        <f t="shared" si="0"/>
        <v>9</v>
      </c>
      <c r="B13" s="103"/>
      <c r="C13" s="103"/>
      <c r="D13" s="104"/>
      <c r="E13" s="105"/>
      <c r="F13" s="107"/>
      <c r="G13" s="107"/>
      <c r="H13" s="166"/>
      <c r="I13" s="166"/>
      <c r="J13" s="167"/>
      <c r="L13" s="161"/>
    </row>
    <row r="14" spans="1:12" ht="15" customHeight="1">
      <c r="A14" s="102">
        <f t="shared" si="0"/>
        <v>10</v>
      </c>
      <c r="B14" s="103"/>
      <c r="C14" s="103"/>
      <c r="D14" s="104"/>
      <c r="E14" s="105"/>
      <c r="F14" s="107"/>
      <c r="G14" s="107"/>
      <c r="H14" s="166"/>
      <c r="I14" s="166"/>
      <c r="J14" s="167"/>
    </row>
    <row r="15" spans="1:12" ht="15" customHeight="1">
      <c r="A15" s="102">
        <f t="shared" si="0"/>
        <v>11</v>
      </c>
      <c r="B15" s="103"/>
      <c r="C15" s="103"/>
      <c r="D15" s="104"/>
      <c r="E15" s="105"/>
      <c r="F15" s="107"/>
      <c r="G15" s="107"/>
      <c r="H15" s="166"/>
      <c r="I15" s="166"/>
      <c r="J15" s="167"/>
    </row>
    <row r="16" spans="1:12" ht="15" customHeight="1">
      <c r="A16" s="102">
        <f t="shared" si="0"/>
        <v>12</v>
      </c>
      <c r="B16" s="103"/>
      <c r="C16" s="103"/>
      <c r="D16" s="104"/>
      <c r="E16" s="105"/>
      <c r="F16" s="107"/>
      <c r="G16" s="107"/>
      <c r="H16" s="166"/>
      <c r="I16" s="166"/>
      <c r="J16" s="167"/>
    </row>
    <row r="17" spans="1:10" ht="15" customHeight="1">
      <c r="A17" s="102">
        <f t="shared" si="0"/>
        <v>13</v>
      </c>
      <c r="B17" s="103"/>
      <c r="C17" s="103"/>
      <c r="D17" s="104"/>
      <c r="E17" s="105"/>
      <c r="F17" s="107"/>
      <c r="G17" s="107"/>
      <c r="H17" s="166"/>
      <c r="I17" s="166"/>
      <c r="J17" s="167"/>
    </row>
    <row r="18" spans="1:10" ht="15" customHeight="1">
      <c r="A18" s="102">
        <f t="shared" si="0"/>
        <v>14</v>
      </c>
      <c r="B18" s="103"/>
      <c r="C18" s="103"/>
      <c r="D18" s="104"/>
      <c r="E18" s="105"/>
      <c r="F18" s="107"/>
      <c r="G18" s="107"/>
      <c r="H18" s="166"/>
      <c r="I18" s="166"/>
      <c r="J18" s="167"/>
    </row>
    <row r="19" spans="1:10" ht="15" customHeight="1">
      <c r="A19" s="102">
        <f t="shared" si="0"/>
        <v>15</v>
      </c>
      <c r="B19" s="103"/>
      <c r="C19" s="103"/>
      <c r="D19" s="104"/>
      <c r="E19" s="105"/>
      <c r="F19" s="107"/>
      <c r="G19" s="107"/>
      <c r="H19" s="166"/>
      <c r="I19" s="166"/>
      <c r="J19" s="167"/>
    </row>
    <row r="20" spans="1:10" ht="15" customHeight="1">
      <c r="A20" s="102">
        <f t="shared" si="0"/>
        <v>16</v>
      </c>
      <c r="B20" s="103"/>
      <c r="C20" s="103"/>
      <c r="D20" s="104"/>
      <c r="E20" s="105"/>
      <c r="F20" s="107"/>
      <c r="G20" s="107"/>
      <c r="H20" s="166"/>
      <c r="I20" s="166"/>
      <c r="J20" s="167"/>
    </row>
    <row r="21" spans="1:10" ht="15" customHeight="1">
      <c r="A21" s="102">
        <f t="shared" si="0"/>
        <v>17</v>
      </c>
      <c r="B21" s="103"/>
      <c r="C21" s="103"/>
      <c r="D21" s="104"/>
      <c r="E21" s="105"/>
      <c r="F21" s="107"/>
      <c r="G21" s="107"/>
      <c r="H21" s="166"/>
      <c r="I21" s="166"/>
      <c r="J21" s="167"/>
    </row>
    <row r="22" spans="1:10" ht="15" customHeight="1">
      <c r="A22" s="102">
        <f t="shared" si="0"/>
        <v>18</v>
      </c>
      <c r="B22" s="103"/>
      <c r="C22" s="103"/>
      <c r="D22" s="104"/>
      <c r="E22" s="105"/>
      <c r="F22" s="107"/>
      <c r="G22" s="107"/>
      <c r="H22" s="166"/>
      <c r="I22" s="166"/>
      <c r="J22" s="167"/>
    </row>
    <row r="23" spans="1:10" ht="15" customHeight="1">
      <c r="A23" s="102">
        <f t="shared" si="0"/>
        <v>19</v>
      </c>
      <c r="B23" s="103"/>
      <c r="C23" s="103"/>
      <c r="D23" s="104"/>
      <c r="E23" s="105"/>
      <c r="F23" s="107"/>
      <c r="G23" s="107"/>
      <c r="H23" s="166"/>
      <c r="I23" s="166"/>
      <c r="J23" s="167"/>
    </row>
    <row r="24" spans="1:10" ht="15" customHeight="1">
      <c r="A24" s="102">
        <f t="shared" si="0"/>
        <v>20</v>
      </c>
      <c r="B24" s="103"/>
      <c r="C24" s="103"/>
      <c r="D24" s="104"/>
      <c r="E24" s="105"/>
      <c r="F24" s="107"/>
      <c r="G24" s="107"/>
      <c r="H24" s="166"/>
      <c r="I24" s="166"/>
      <c r="J24" s="167"/>
    </row>
    <row r="25" spans="1:10" ht="15" customHeight="1">
      <c r="A25" s="102">
        <f>A23+1</f>
        <v>20</v>
      </c>
      <c r="B25" s="103"/>
      <c r="C25" s="103"/>
      <c r="D25" s="104"/>
      <c r="E25" s="105"/>
      <c r="F25" s="107"/>
      <c r="G25" s="107"/>
      <c r="H25" s="166"/>
      <c r="I25" s="166"/>
      <c r="J25" s="167"/>
    </row>
    <row r="26" spans="1:10" ht="15" customHeight="1">
      <c r="A26" s="102">
        <f t="shared" si="0"/>
        <v>21</v>
      </c>
      <c r="B26" s="103"/>
      <c r="C26" s="103"/>
      <c r="D26" s="104"/>
      <c r="E26" s="105"/>
      <c r="F26" s="107"/>
      <c r="G26" s="107"/>
      <c r="H26" s="166"/>
      <c r="I26" s="166"/>
      <c r="J26" s="167"/>
    </row>
    <row r="27" spans="1:10" ht="15" customHeight="1">
      <c r="A27" s="102"/>
      <c r="B27" s="103"/>
      <c r="C27" s="108"/>
      <c r="D27" s="104"/>
      <c r="E27" s="105"/>
      <c r="F27" s="107"/>
      <c r="G27" s="107"/>
      <c r="H27" s="166"/>
      <c r="I27" s="166"/>
      <c r="J27" s="167"/>
    </row>
    <row r="28" spans="1:10" ht="15" customHeight="1">
      <c r="A28" s="102">
        <f>A26+1</f>
        <v>22</v>
      </c>
      <c r="B28" s="103"/>
      <c r="C28" s="103"/>
      <c r="D28" s="104"/>
      <c r="E28" s="105"/>
      <c r="F28" s="107"/>
      <c r="G28" s="107"/>
      <c r="H28" s="166"/>
      <c r="I28" s="166"/>
      <c r="J28" s="167"/>
    </row>
    <row r="29" spans="1:10" ht="15" customHeight="1">
      <c r="A29" s="102">
        <f t="shared" si="0"/>
        <v>23</v>
      </c>
      <c r="B29" s="103"/>
      <c r="C29" s="103"/>
      <c r="D29" s="104"/>
      <c r="E29" s="105"/>
      <c r="F29" s="107"/>
      <c r="G29" s="107"/>
      <c r="H29" s="166"/>
      <c r="I29" s="166"/>
      <c r="J29" s="167"/>
    </row>
    <row r="30" spans="1:10" ht="15" customHeight="1">
      <c r="A30" s="102">
        <f t="shared" si="0"/>
        <v>24</v>
      </c>
      <c r="B30" s="103"/>
      <c r="C30" s="103"/>
      <c r="D30" s="104"/>
      <c r="E30" s="105"/>
      <c r="F30" s="107"/>
      <c r="G30" s="107"/>
      <c r="H30" s="166"/>
      <c r="I30" s="166"/>
      <c r="J30" s="167"/>
    </row>
    <row r="31" spans="1:10" ht="15" customHeight="1">
      <c r="A31" s="102">
        <f t="shared" si="0"/>
        <v>25</v>
      </c>
      <c r="B31" s="103"/>
      <c r="C31" s="103"/>
      <c r="D31" s="104"/>
      <c r="E31" s="105"/>
      <c r="F31" s="107"/>
      <c r="G31" s="107"/>
      <c r="H31" s="166"/>
      <c r="I31" s="166"/>
      <c r="J31" s="167"/>
    </row>
    <row r="32" spans="1:10" ht="15" customHeight="1">
      <c r="A32" s="102">
        <f t="shared" si="0"/>
        <v>26</v>
      </c>
      <c r="B32" s="103"/>
      <c r="C32" s="103"/>
      <c r="D32" s="104"/>
      <c r="E32" s="105"/>
      <c r="F32" s="107"/>
      <c r="G32" s="107"/>
      <c r="H32" s="166"/>
      <c r="I32" s="166"/>
      <c r="J32" s="167"/>
    </row>
    <row r="33" spans="1:15" ht="15" customHeight="1">
      <c r="A33" s="102">
        <f t="shared" si="0"/>
        <v>27</v>
      </c>
      <c r="B33" s="103"/>
      <c r="C33" s="103"/>
      <c r="D33" s="104"/>
      <c r="E33" s="105"/>
      <c r="F33" s="107"/>
      <c r="G33" s="107"/>
      <c r="H33" s="166"/>
      <c r="I33" s="166"/>
      <c r="J33" s="167"/>
    </row>
    <row r="34" spans="1:15" ht="15" customHeight="1">
      <c r="A34" s="102">
        <f t="shared" si="0"/>
        <v>28</v>
      </c>
      <c r="B34" s="103"/>
      <c r="C34" s="103"/>
      <c r="D34" s="104"/>
      <c r="E34" s="105"/>
      <c r="F34" s="107"/>
      <c r="G34" s="107"/>
      <c r="H34" s="166"/>
      <c r="I34" s="166"/>
      <c r="J34" s="167"/>
    </row>
    <row r="35" spans="1:15" ht="15" customHeight="1">
      <c r="A35" s="102">
        <f t="shared" si="0"/>
        <v>29</v>
      </c>
      <c r="B35" s="103"/>
      <c r="C35" s="103"/>
      <c r="D35" s="104"/>
      <c r="E35" s="105"/>
      <c r="F35" s="107"/>
      <c r="G35" s="107"/>
      <c r="H35" s="166"/>
      <c r="I35" s="166"/>
      <c r="J35" s="167"/>
    </row>
    <row r="36" spans="1:15" ht="18" customHeight="1">
      <c r="A36" s="102">
        <f t="shared" si="0"/>
        <v>30</v>
      </c>
      <c r="B36" s="103"/>
      <c r="C36" s="109"/>
      <c r="D36" s="110"/>
      <c r="E36" s="105"/>
      <c r="F36" s="107"/>
      <c r="G36" s="107"/>
      <c r="H36" s="168"/>
      <c r="I36" s="168"/>
      <c r="J36" s="169"/>
    </row>
    <row r="37" spans="1:15" ht="18" customHeight="1">
      <c r="A37" s="102">
        <f t="shared" si="0"/>
        <v>31</v>
      </c>
      <c r="B37" s="103"/>
      <c r="C37" s="111"/>
      <c r="D37" s="112"/>
      <c r="E37" s="105"/>
      <c r="F37" s="107"/>
      <c r="G37" s="107"/>
      <c r="H37" s="168"/>
      <c r="I37" s="168"/>
      <c r="J37" s="169"/>
      <c r="O37" s="2"/>
    </row>
    <row r="38" spans="1:15" ht="18" customHeight="1">
      <c r="A38" s="102">
        <f t="shared" si="0"/>
        <v>32</v>
      </c>
      <c r="B38" s="103"/>
      <c r="C38" s="111"/>
      <c r="D38" s="112"/>
      <c r="E38" s="105"/>
      <c r="F38" s="107"/>
      <c r="G38" s="107"/>
      <c r="H38" s="168"/>
      <c r="I38" s="168"/>
      <c r="J38" s="169"/>
    </row>
    <row r="39" spans="1:15" ht="18" customHeight="1">
      <c r="A39" s="102">
        <f t="shared" si="0"/>
        <v>33</v>
      </c>
      <c r="B39" s="103"/>
      <c r="C39" s="111"/>
      <c r="D39" s="112"/>
      <c r="E39" s="105"/>
      <c r="F39" s="107"/>
      <c r="G39" s="107"/>
      <c r="H39" s="168"/>
      <c r="I39" s="168"/>
      <c r="J39" s="169"/>
    </row>
    <row r="40" spans="1:15" ht="18" customHeight="1">
      <c r="A40" s="102">
        <f t="shared" si="0"/>
        <v>34</v>
      </c>
      <c r="B40" s="103"/>
      <c r="C40" s="111"/>
      <c r="D40" s="112"/>
      <c r="E40" s="105"/>
      <c r="F40" s="107"/>
      <c r="G40" s="107"/>
      <c r="H40" s="168"/>
      <c r="I40" s="168"/>
      <c r="J40" s="169"/>
    </row>
    <row r="41" spans="1:15" ht="18" customHeight="1">
      <c r="A41" s="102">
        <f t="shared" si="0"/>
        <v>35</v>
      </c>
      <c r="B41" s="103"/>
      <c r="C41" s="111"/>
      <c r="D41" s="112"/>
      <c r="E41" s="105"/>
      <c r="F41" s="106"/>
      <c r="G41" s="107"/>
      <c r="H41" s="168"/>
      <c r="I41" s="166"/>
      <c r="J41" s="167"/>
    </row>
    <row r="42" spans="1:15" ht="18" customHeight="1">
      <c r="A42" s="102">
        <f t="shared" si="0"/>
        <v>36</v>
      </c>
      <c r="B42" s="103"/>
      <c r="C42" s="111"/>
      <c r="D42" s="112"/>
      <c r="E42" s="105"/>
      <c r="F42" s="106"/>
      <c r="G42" s="107"/>
      <c r="H42" s="166"/>
      <c r="I42" s="168"/>
      <c r="J42" s="167"/>
    </row>
    <row r="43" spans="1:15" ht="18" customHeight="1">
      <c r="A43" s="102">
        <f t="shared" si="0"/>
        <v>37</v>
      </c>
      <c r="B43" s="103"/>
      <c r="C43" s="111"/>
      <c r="D43" s="112"/>
      <c r="E43" s="105"/>
      <c r="F43" s="106"/>
      <c r="G43" s="107"/>
      <c r="H43" s="166"/>
      <c r="I43" s="168"/>
      <c r="J43" s="167"/>
    </row>
    <row r="44" spans="1:15" s="116" customFormat="1" ht="15" thickBot="1">
      <c r="A44" s="736" t="s">
        <v>56</v>
      </c>
      <c r="B44" s="737"/>
      <c r="C44" s="737"/>
      <c r="D44" s="113">
        <f>SUM(D5:D43)</f>
        <v>0</v>
      </c>
      <c r="E44" s="114">
        <f>SUM(E5:E43)</f>
        <v>0</v>
      </c>
      <c r="F44" s="115">
        <f>SUM(F5:F43)/1000</f>
        <v>0</v>
      </c>
      <c r="G44" s="115">
        <f>SUM(G5:G43)/1000</f>
        <v>0</v>
      </c>
      <c r="H44" s="170">
        <f>SUM(H5:H43)</f>
        <v>0</v>
      </c>
      <c r="I44" s="170">
        <f>SUM(I5:I43)</f>
        <v>0</v>
      </c>
      <c r="J44" s="171">
        <f>SUM(J5:J43)</f>
        <v>0</v>
      </c>
    </row>
  </sheetData>
  <mergeCells count="11">
    <mergeCell ref="A44:C44"/>
    <mergeCell ref="A3:A4"/>
    <mergeCell ref="B3:C3"/>
    <mergeCell ref="D3:D4"/>
    <mergeCell ref="E3:E4"/>
    <mergeCell ref="F3:F4"/>
    <mergeCell ref="A2:J2"/>
    <mergeCell ref="G3:G4"/>
    <mergeCell ref="H3:H4"/>
    <mergeCell ref="I3:I4"/>
    <mergeCell ref="J3:J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L53"/>
  <sheetViews>
    <sheetView view="pageBreakPreview" topLeftCell="A37" zoomScale="60" zoomScaleNormal="80" workbookViewId="0">
      <selection activeCell="K10" sqref="K10"/>
    </sheetView>
  </sheetViews>
  <sheetFormatPr defaultRowHeight="14.5"/>
  <cols>
    <col min="1" max="1" width="35" customWidth="1"/>
    <col min="2" max="2" width="30" customWidth="1"/>
    <col min="3" max="3" width="14.54296875" customWidth="1"/>
    <col min="4" max="4" width="16.453125" hidden="1" customWidth="1"/>
    <col min="5" max="5" width="20.81640625" customWidth="1"/>
    <col min="6" max="6" width="14.7265625" customWidth="1"/>
    <col min="7" max="8" width="15.26953125" customWidth="1"/>
    <col min="9" max="9" width="16.81640625" customWidth="1"/>
    <col min="10" max="10" width="12.26953125" customWidth="1"/>
    <col min="11" max="11" width="26.1796875" customWidth="1"/>
  </cols>
  <sheetData>
    <row r="1" spans="1:12" ht="18.5">
      <c r="A1" s="749" t="s">
        <v>878</v>
      </c>
      <c r="B1" s="749"/>
      <c r="C1" s="749"/>
      <c r="D1" s="749"/>
      <c r="E1" s="749"/>
      <c r="F1" s="749"/>
      <c r="G1" s="749"/>
      <c r="H1" s="749"/>
      <c r="I1" s="749"/>
      <c r="J1" s="329"/>
      <c r="K1" s="329"/>
      <c r="L1" s="329"/>
    </row>
    <row r="2" spans="1:12">
      <c r="A2" s="750" t="s">
        <v>879</v>
      </c>
      <c r="B2" s="750"/>
      <c r="C2" s="750"/>
      <c r="D2" s="750"/>
      <c r="E2" s="750"/>
      <c r="F2" s="750"/>
      <c r="G2" s="750"/>
      <c r="H2" s="750"/>
      <c r="I2" s="750"/>
      <c r="J2" s="330"/>
      <c r="K2" s="330"/>
      <c r="L2" s="330"/>
    </row>
    <row r="3" spans="1:12">
      <c r="A3" s="750" t="s">
        <v>880</v>
      </c>
      <c r="B3" s="750"/>
      <c r="C3" s="750"/>
      <c r="D3" s="750"/>
      <c r="E3" s="750"/>
      <c r="F3" s="750"/>
      <c r="G3" s="750"/>
      <c r="H3" s="750"/>
      <c r="I3" s="750"/>
      <c r="J3" s="330"/>
      <c r="K3" s="330"/>
      <c r="L3" s="330"/>
    </row>
    <row r="4" spans="1:12" ht="36.75" customHeight="1">
      <c r="A4" s="751" t="s">
        <v>881</v>
      </c>
      <c r="B4" s="751"/>
      <c r="C4" s="751"/>
      <c r="D4" s="751"/>
      <c r="E4" s="751"/>
      <c r="F4" s="751"/>
      <c r="G4" s="751"/>
      <c r="H4" s="751"/>
      <c r="I4" s="751"/>
      <c r="J4" s="331"/>
      <c r="K4" s="331"/>
      <c r="L4" s="331"/>
    </row>
    <row r="5" spans="1:12" ht="15.5">
      <c r="A5" s="752" t="s">
        <v>882</v>
      </c>
      <c r="B5" s="752"/>
      <c r="C5" s="752"/>
      <c r="D5" s="752"/>
      <c r="E5" s="752"/>
      <c r="F5" s="752"/>
      <c r="G5" s="752"/>
      <c r="H5" s="752"/>
      <c r="I5" s="752"/>
    </row>
    <row r="6" spans="1:12" ht="18.5">
      <c r="A6" s="332" t="s">
        <v>883</v>
      </c>
      <c r="G6" s="333"/>
      <c r="I6" s="333">
        <v>45930</v>
      </c>
    </row>
    <row r="7" spans="1:12" ht="48" customHeight="1">
      <c r="A7" s="334" t="s">
        <v>884</v>
      </c>
      <c r="B7" s="334" t="s">
        <v>885</v>
      </c>
      <c r="C7" s="334" t="s">
        <v>886</v>
      </c>
      <c r="D7" s="334" t="s">
        <v>887</v>
      </c>
      <c r="E7" s="334" t="s">
        <v>888</v>
      </c>
      <c r="F7" s="335" t="s">
        <v>889</v>
      </c>
      <c r="G7" s="336" t="s">
        <v>71</v>
      </c>
      <c r="H7" s="337" t="s">
        <v>890</v>
      </c>
      <c r="I7" s="336" t="s">
        <v>194</v>
      </c>
    </row>
    <row r="8" spans="1:12" ht="15.5">
      <c r="A8" s="338" t="s">
        <v>891</v>
      </c>
      <c r="B8" s="339" t="s">
        <v>892</v>
      </c>
      <c r="C8" s="340" t="s">
        <v>893</v>
      </c>
      <c r="D8" s="340"/>
      <c r="E8" s="340" t="s">
        <v>894</v>
      </c>
      <c r="F8" s="341">
        <v>45411</v>
      </c>
      <c r="G8" s="342" t="s">
        <v>895</v>
      </c>
      <c r="H8" s="343">
        <v>45492</v>
      </c>
      <c r="I8" s="344"/>
    </row>
    <row r="9" spans="1:12" ht="15.5">
      <c r="A9" s="345" t="s">
        <v>896</v>
      </c>
      <c r="B9" s="339" t="s">
        <v>897</v>
      </c>
      <c r="C9" s="340" t="s">
        <v>893</v>
      </c>
      <c r="D9" s="340"/>
      <c r="E9" s="340" t="s">
        <v>898</v>
      </c>
      <c r="F9" s="341">
        <v>45419</v>
      </c>
      <c r="G9" s="342" t="s">
        <v>895</v>
      </c>
      <c r="H9" s="343">
        <v>45491</v>
      </c>
      <c r="I9" s="344"/>
    </row>
    <row r="10" spans="1:12" ht="31">
      <c r="A10" s="345" t="s">
        <v>899</v>
      </c>
      <c r="B10" s="339" t="s">
        <v>900</v>
      </c>
      <c r="C10" s="340" t="s">
        <v>893</v>
      </c>
      <c r="D10" s="340"/>
      <c r="E10" s="346" t="s">
        <v>901</v>
      </c>
      <c r="F10" s="341">
        <v>45419</v>
      </c>
      <c r="G10" s="342" t="s">
        <v>895</v>
      </c>
      <c r="H10" s="343">
        <v>45492</v>
      </c>
      <c r="I10" s="344"/>
    </row>
    <row r="11" spans="1:12" ht="31">
      <c r="A11" s="345" t="s">
        <v>822</v>
      </c>
      <c r="B11" s="339" t="s">
        <v>902</v>
      </c>
      <c r="C11" s="340" t="s">
        <v>402</v>
      </c>
      <c r="D11" s="340"/>
      <c r="E11" s="346" t="s">
        <v>903</v>
      </c>
      <c r="F11" s="341">
        <v>45419</v>
      </c>
      <c r="G11" s="342" t="s">
        <v>895</v>
      </c>
      <c r="H11" s="343">
        <v>45492</v>
      </c>
      <c r="I11" s="347"/>
    </row>
    <row r="12" spans="1:12" ht="15.5">
      <c r="A12" s="345" t="s">
        <v>904</v>
      </c>
      <c r="B12" s="339" t="s">
        <v>900</v>
      </c>
      <c r="C12" s="340" t="s">
        <v>893</v>
      </c>
      <c r="D12" s="340"/>
      <c r="E12" s="346" t="s">
        <v>905</v>
      </c>
      <c r="F12" s="341">
        <v>45419</v>
      </c>
      <c r="G12" s="342" t="s">
        <v>895</v>
      </c>
      <c r="H12" s="343">
        <v>45565</v>
      </c>
      <c r="I12" s="344"/>
    </row>
    <row r="13" spans="1:12" ht="31">
      <c r="A13" s="345" t="s">
        <v>906</v>
      </c>
      <c r="B13" s="339" t="s">
        <v>907</v>
      </c>
      <c r="C13" s="340" t="s">
        <v>893</v>
      </c>
      <c r="D13" s="340"/>
      <c r="E13" s="346" t="s">
        <v>908</v>
      </c>
      <c r="F13" s="341">
        <v>45411</v>
      </c>
      <c r="G13" s="342" t="s">
        <v>895</v>
      </c>
      <c r="H13" s="343">
        <v>45680</v>
      </c>
      <c r="I13" s="344"/>
    </row>
    <row r="14" spans="1:12" ht="15.5">
      <c r="A14" s="345" t="s">
        <v>909</v>
      </c>
      <c r="B14" s="339" t="s">
        <v>910</v>
      </c>
      <c r="C14" s="340" t="s">
        <v>893</v>
      </c>
      <c r="D14" s="340"/>
      <c r="E14" s="346" t="s">
        <v>911</v>
      </c>
      <c r="F14" s="341">
        <v>45411</v>
      </c>
      <c r="G14" s="342" t="s">
        <v>895</v>
      </c>
      <c r="H14" s="343">
        <v>45545</v>
      </c>
      <c r="I14" s="344"/>
    </row>
    <row r="15" spans="1:12" ht="15.5">
      <c r="A15" s="345" t="s">
        <v>912</v>
      </c>
      <c r="B15" s="339" t="s">
        <v>913</v>
      </c>
      <c r="C15" s="340" t="s">
        <v>402</v>
      </c>
      <c r="D15" s="340"/>
      <c r="E15" s="346" t="s">
        <v>914</v>
      </c>
      <c r="F15" s="341">
        <v>45411</v>
      </c>
      <c r="G15" s="342" t="s">
        <v>895</v>
      </c>
      <c r="H15" s="343">
        <v>45491</v>
      </c>
      <c r="I15" s="344"/>
    </row>
    <row r="16" spans="1:12" ht="15.5">
      <c r="A16" s="345" t="s">
        <v>915</v>
      </c>
      <c r="B16" s="339" t="s">
        <v>913</v>
      </c>
      <c r="C16" s="340" t="s">
        <v>402</v>
      </c>
      <c r="D16" s="340"/>
      <c r="E16" s="346" t="s">
        <v>916</v>
      </c>
      <c r="F16" s="341">
        <v>45411</v>
      </c>
      <c r="G16" s="342" t="s">
        <v>895</v>
      </c>
      <c r="H16" s="343">
        <v>45491</v>
      </c>
      <c r="I16" s="344"/>
    </row>
    <row r="17" spans="1:10" ht="15.5">
      <c r="A17" s="345" t="s">
        <v>917</v>
      </c>
      <c r="B17" s="339" t="s">
        <v>902</v>
      </c>
      <c r="C17" s="340"/>
      <c r="D17" s="340"/>
      <c r="E17" s="346" t="s">
        <v>918</v>
      </c>
      <c r="F17" s="341">
        <v>45511</v>
      </c>
      <c r="G17" s="342" t="s">
        <v>895</v>
      </c>
      <c r="H17" s="343">
        <v>45609</v>
      </c>
      <c r="I17" s="344"/>
    </row>
    <row r="18" spans="1:10" ht="31">
      <c r="A18" s="345" t="s">
        <v>919</v>
      </c>
      <c r="B18" s="339" t="s">
        <v>920</v>
      </c>
      <c r="C18" s="340" t="s">
        <v>921</v>
      </c>
      <c r="D18" s="340"/>
      <c r="E18" s="346" t="s">
        <v>922</v>
      </c>
      <c r="F18" s="341">
        <v>45502</v>
      </c>
      <c r="G18" s="342" t="s">
        <v>895</v>
      </c>
      <c r="H18" s="343">
        <v>45563</v>
      </c>
      <c r="I18" s="344"/>
    </row>
    <row r="19" spans="1:10" ht="15.5">
      <c r="A19" s="345" t="s">
        <v>923</v>
      </c>
      <c r="B19" s="339" t="s">
        <v>897</v>
      </c>
      <c r="C19" s="340" t="s">
        <v>893</v>
      </c>
      <c r="D19" s="340"/>
      <c r="E19" s="346" t="s">
        <v>924</v>
      </c>
      <c r="F19" s="341">
        <v>45511</v>
      </c>
      <c r="G19" s="342" t="s">
        <v>895</v>
      </c>
      <c r="H19" s="343">
        <v>45563</v>
      </c>
      <c r="I19" s="344"/>
    </row>
    <row r="20" spans="1:10" ht="15.5">
      <c r="A20" s="345" t="s">
        <v>923</v>
      </c>
      <c r="B20" s="339" t="s">
        <v>900</v>
      </c>
      <c r="C20" s="340" t="s">
        <v>893</v>
      </c>
      <c r="D20" s="340"/>
      <c r="E20" s="346" t="s">
        <v>925</v>
      </c>
      <c r="F20" s="341">
        <v>45502</v>
      </c>
      <c r="G20" s="342" t="s">
        <v>895</v>
      </c>
      <c r="H20" s="343">
        <v>45563</v>
      </c>
      <c r="I20" s="344"/>
    </row>
    <row r="21" spans="1:10" ht="15.5">
      <c r="A21" s="345" t="s">
        <v>926</v>
      </c>
      <c r="B21" s="339" t="s">
        <v>900</v>
      </c>
      <c r="C21" s="340" t="s">
        <v>893</v>
      </c>
      <c r="D21" s="340"/>
      <c r="E21" s="346" t="s">
        <v>927</v>
      </c>
      <c r="F21" s="341">
        <v>45490</v>
      </c>
      <c r="G21" s="342" t="s">
        <v>895</v>
      </c>
      <c r="H21" s="343">
        <v>45563</v>
      </c>
      <c r="I21" s="344"/>
    </row>
    <row r="22" spans="1:10" ht="15.5">
      <c r="A22" s="345" t="s">
        <v>928</v>
      </c>
      <c r="B22" s="339" t="s">
        <v>929</v>
      </c>
      <c r="C22" s="340" t="s">
        <v>402</v>
      </c>
      <c r="D22" s="340"/>
      <c r="E22" s="346" t="s">
        <v>930</v>
      </c>
      <c r="F22" s="341">
        <v>45490</v>
      </c>
      <c r="G22" s="342" t="s">
        <v>895</v>
      </c>
      <c r="H22" s="343">
        <v>45563</v>
      </c>
      <c r="I22" s="347"/>
    </row>
    <row r="23" spans="1:10" ht="15.5">
      <c r="A23" s="345" t="s">
        <v>931</v>
      </c>
      <c r="B23" s="339" t="s">
        <v>910</v>
      </c>
      <c r="C23" s="340" t="s">
        <v>893</v>
      </c>
      <c r="D23" s="340"/>
      <c r="E23" s="346" t="s">
        <v>932</v>
      </c>
      <c r="F23" s="341">
        <v>45490</v>
      </c>
      <c r="G23" s="342" t="s">
        <v>895</v>
      </c>
      <c r="H23" s="343">
        <v>45563</v>
      </c>
      <c r="I23" s="344"/>
    </row>
    <row r="24" spans="1:10" ht="15.5">
      <c r="A24" s="345" t="s">
        <v>931</v>
      </c>
      <c r="B24" s="339" t="s">
        <v>910</v>
      </c>
      <c r="C24" s="340" t="s">
        <v>893</v>
      </c>
      <c r="D24" s="340"/>
      <c r="E24" s="346" t="s">
        <v>933</v>
      </c>
      <c r="F24" s="341">
        <v>45490</v>
      </c>
      <c r="G24" s="342" t="s">
        <v>895</v>
      </c>
      <c r="H24" s="343">
        <v>45563</v>
      </c>
      <c r="I24" s="344"/>
    </row>
    <row r="25" spans="1:10" ht="15.5">
      <c r="A25" s="345" t="s">
        <v>934</v>
      </c>
      <c r="B25" s="339" t="s">
        <v>902</v>
      </c>
      <c r="C25" s="340" t="s">
        <v>402</v>
      </c>
      <c r="D25" s="340"/>
      <c r="E25" s="346" t="s">
        <v>935</v>
      </c>
      <c r="F25" s="341">
        <v>45490</v>
      </c>
      <c r="G25" s="342" t="s">
        <v>895</v>
      </c>
      <c r="H25" s="343">
        <v>45563</v>
      </c>
      <c r="I25" s="344"/>
    </row>
    <row r="26" spans="1:10" ht="22.5" customHeight="1">
      <c r="A26" s="348" t="s">
        <v>936</v>
      </c>
      <c r="B26" s="349"/>
      <c r="C26" s="349"/>
      <c r="D26" s="349"/>
      <c r="E26" s="349"/>
      <c r="F26" s="349"/>
      <c r="G26" s="350"/>
      <c r="H26" s="350"/>
      <c r="I26" s="351"/>
    </row>
    <row r="27" spans="1:10" ht="49.5" customHeight="1">
      <c r="A27" s="352" t="s">
        <v>937</v>
      </c>
      <c r="B27" s="352" t="s">
        <v>938</v>
      </c>
      <c r="C27" s="352" t="s">
        <v>939</v>
      </c>
      <c r="D27" s="352" t="s">
        <v>940</v>
      </c>
      <c r="E27" s="352" t="s">
        <v>941</v>
      </c>
      <c r="F27" s="353" t="s">
        <v>942</v>
      </c>
      <c r="G27" s="354" t="s">
        <v>71</v>
      </c>
      <c r="H27" s="355"/>
      <c r="I27" s="356"/>
    </row>
    <row r="28" spans="1:10" ht="25.5" customHeight="1">
      <c r="A28" s="357"/>
      <c r="B28" s="358" t="s">
        <v>943</v>
      </c>
      <c r="C28" s="358" t="s">
        <v>944</v>
      </c>
      <c r="D28" s="358" t="s">
        <v>945</v>
      </c>
      <c r="E28" s="359" t="s">
        <v>946</v>
      </c>
      <c r="F28" s="341" t="s">
        <v>947</v>
      </c>
      <c r="G28" s="360" t="s">
        <v>948</v>
      </c>
      <c r="H28" s="361" t="s">
        <v>949</v>
      </c>
      <c r="I28" s="362">
        <v>45663</v>
      </c>
    </row>
    <row r="29" spans="1:10" ht="37.5">
      <c r="A29" s="357"/>
      <c r="B29" s="358" t="s">
        <v>943</v>
      </c>
      <c r="C29" s="358" t="s">
        <v>950</v>
      </c>
      <c r="D29" s="358"/>
      <c r="E29" s="359" t="s">
        <v>951</v>
      </c>
      <c r="F29" s="363" t="s">
        <v>952</v>
      </c>
      <c r="G29" s="360" t="s">
        <v>953</v>
      </c>
      <c r="H29" s="361" t="s">
        <v>949</v>
      </c>
      <c r="I29" s="362">
        <v>45663</v>
      </c>
    </row>
    <row r="30" spans="1:10" ht="37.5">
      <c r="A30" s="357"/>
      <c r="B30" s="358" t="s">
        <v>943</v>
      </c>
      <c r="C30" s="358" t="s">
        <v>944</v>
      </c>
      <c r="D30" s="358" t="s">
        <v>954</v>
      </c>
      <c r="E30" s="359" t="s">
        <v>955</v>
      </c>
      <c r="F30" s="363" t="s">
        <v>956</v>
      </c>
      <c r="G30" s="360" t="s">
        <v>953</v>
      </c>
      <c r="H30" s="361" t="s">
        <v>949</v>
      </c>
      <c r="I30" s="362">
        <v>45695</v>
      </c>
    </row>
    <row r="31" spans="1:10" s="7" customFormat="1" ht="15.5">
      <c r="A31" s="364" t="s">
        <v>957</v>
      </c>
      <c r="B31" s="365"/>
      <c r="C31" s="365"/>
      <c r="D31" s="366"/>
      <c r="E31" s="366"/>
      <c r="F31" s="365"/>
      <c r="G31" s="365"/>
      <c r="H31" s="367"/>
      <c r="I31" s="368"/>
    </row>
    <row r="32" spans="1:10" ht="31.5" thickBot="1">
      <c r="A32" s="352" t="s">
        <v>958</v>
      </c>
      <c r="B32" s="352" t="s">
        <v>959</v>
      </c>
      <c r="C32" s="352" t="s">
        <v>960</v>
      </c>
      <c r="D32" s="352" t="s">
        <v>961</v>
      </c>
      <c r="E32" s="352" t="s">
        <v>941</v>
      </c>
      <c r="F32" s="352" t="s">
        <v>942</v>
      </c>
      <c r="G32" s="369" t="s">
        <v>71</v>
      </c>
      <c r="H32" s="344"/>
      <c r="I32" s="370"/>
      <c r="J32" s="98"/>
    </row>
    <row r="33" spans="1:11" ht="42">
      <c r="A33" s="371"/>
      <c r="B33" s="372" t="s">
        <v>962</v>
      </c>
      <c r="C33" s="373" t="s">
        <v>963</v>
      </c>
      <c r="D33" s="373" t="s">
        <v>964</v>
      </c>
      <c r="E33" s="372" t="s">
        <v>965</v>
      </c>
      <c r="F33" s="374" t="s">
        <v>966</v>
      </c>
      <c r="G33" s="342" t="s">
        <v>895</v>
      </c>
      <c r="H33" s="375">
        <v>45751</v>
      </c>
      <c r="I33" s="376"/>
    </row>
    <row r="34" spans="1:11" ht="42">
      <c r="A34" s="357"/>
      <c r="B34" s="359" t="s">
        <v>967</v>
      </c>
      <c r="C34" s="358" t="s">
        <v>968</v>
      </c>
      <c r="D34" s="358" t="s">
        <v>969</v>
      </c>
      <c r="E34" s="359" t="s">
        <v>970</v>
      </c>
      <c r="F34" s="377" t="s">
        <v>971</v>
      </c>
      <c r="G34" s="342" t="s">
        <v>895</v>
      </c>
      <c r="H34" s="378">
        <v>45498</v>
      </c>
      <c r="I34" s="347"/>
    </row>
    <row r="35" spans="1:11" ht="42">
      <c r="A35" s="357"/>
      <c r="B35" s="359" t="s">
        <v>828</v>
      </c>
      <c r="C35" s="358"/>
      <c r="D35" s="358" t="s">
        <v>972</v>
      </c>
      <c r="E35" s="359" t="s">
        <v>973</v>
      </c>
      <c r="F35" s="379" t="s">
        <v>974</v>
      </c>
      <c r="G35" s="342" t="s">
        <v>895</v>
      </c>
      <c r="H35" s="378">
        <v>45723</v>
      </c>
      <c r="I35" s="344"/>
    </row>
    <row r="36" spans="1:11" ht="29">
      <c r="A36" s="76"/>
      <c r="B36" s="359" t="s">
        <v>975</v>
      </c>
      <c r="C36" s="380" t="s">
        <v>976</v>
      </c>
      <c r="D36" s="76"/>
      <c r="E36" s="359" t="s">
        <v>977</v>
      </c>
      <c r="F36" s="379" t="s">
        <v>330</v>
      </c>
      <c r="G36" s="245" t="s">
        <v>895</v>
      </c>
      <c r="H36" s="378">
        <v>45498</v>
      </c>
      <c r="I36" s="76"/>
    </row>
    <row r="37" spans="1:11" ht="28">
      <c r="A37" s="76"/>
      <c r="B37" s="359" t="s">
        <v>845</v>
      </c>
      <c r="C37" s="76"/>
      <c r="D37" s="76"/>
      <c r="E37" s="359" t="s">
        <v>978</v>
      </c>
      <c r="F37" s="359" t="s">
        <v>979</v>
      </c>
      <c r="G37" s="245" t="s">
        <v>895</v>
      </c>
      <c r="H37" s="381">
        <v>45544</v>
      </c>
      <c r="I37" s="76"/>
    </row>
    <row r="38" spans="1:11" ht="29">
      <c r="A38" s="76"/>
      <c r="B38" s="359" t="s">
        <v>980</v>
      </c>
      <c r="C38" s="76"/>
      <c r="D38" s="76"/>
      <c r="E38" s="359" t="s">
        <v>951</v>
      </c>
      <c r="F38" s="382" t="s">
        <v>981</v>
      </c>
      <c r="G38" s="342" t="s">
        <v>895</v>
      </c>
      <c r="H38" s="383">
        <v>45741</v>
      </c>
      <c r="I38" s="76"/>
    </row>
    <row r="39" spans="1:11" ht="28.5" thickBot="1">
      <c r="A39" s="76"/>
      <c r="B39" s="384" t="s">
        <v>982</v>
      </c>
      <c r="C39" s="76"/>
      <c r="D39" s="76"/>
      <c r="E39" s="359" t="s">
        <v>955</v>
      </c>
      <c r="F39" s="359" t="s">
        <v>983</v>
      </c>
      <c r="G39" s="245" t="s">
        <v>895</v>
      </c>
      <c r="H39" s="381">
        <v>45583</v>
      </c>
      <c r="I39" s="76"/>
    </row>
    <row r="41" spans="1:11" ht="15" thickBot="1">
      <c r="A41" s="385" t="s">
        <v>984</v>
      </c>
      <c r="B41" s="386"/>
      <c r="C41" s="386"/>
      <c r="D41" s="386"/>
      <c r="E41" s="386"/>
      <c r="F41" s="386"/>
      <c r="G41" s="386"/>
      <c r="H41" s="386"/>
      <c r="I41" s="386"/>
      <c r="J41" s="386"/>
      <c r="K41" s="386"/>
    </row>
    <row r="42" spans="1:11" ht="84.5" thickBot="1">
      <c r="A42" s="387" t="s">
        <v>985</v>
      </c>
      <c r="B42" s="388" t="s">
        <v>986</v>
      </c>
      <c r="C42" s="388" t="s">
        <v>987</v>
      </c>
      <c r="D42" s="388" t="s">
        <v>988</v>
      </c>
      <c r="E42" s="388" t="s">
        <v>989</v>
      </c>
      <c r="F42" s="388" t="s">
        <v>990</v>
      </c>
      <c r="G42" s="388" t="s">
        <v>991</v>
      </c>
      <c r="H42" s="388" t="s">
        <v>992</v>
      </c>
      <c r="I42" s="388" t="s">
        <v>993</v>
      </c>
      <c r="J42" s="388" t="s">
        <v>994</v>
      </c>
      <c r="K42" s="389" t="s">
        <v>194</v>
      </c>
    </row>
    <row r="43" spans="1:11" ht="28">
      <c r="A43" s="390">
        <v>1</v>
      </c>
      <c r="B43" s="391" t="s">
        <v>995</v>
      </c>
      <c r="C43" s="392">
        <v>0.17419999999999999</v>
      </c>
      <c r="D43" s="372" t="s">
        <v>996</v>
      </c>
      <c r="E43" s="372" t="s">
        <v>997</v>
      </c>
      <c r="F43" s="372" t="s">
        <v>55</v>
      </c>
      <c r="G43" s="377" t="s">
        <v>998</v>
      </c>
      <c r="H43" s="377"/>
      <c r="I43" s="377"/>
      <c r="J43" s="377"/>
      <c r="K43" s="393" t="s">
        <v>999</v>
      </c>
    </row>
    <row r="44" spans="1:11" ht="28">
      <c r="A44" s="394">
        <v>2</v>
      </c>
      <c r="B44" s="395" t="s">
        <v>1000</v>
      </c>
      <c r="C44" s="396">
        <v>0.25940000000000002</v>
      </c>
      <c r="D44" s="359" t="s">
        <v>996</v>
      </c>
      <c r="E44" s="359" t="s">
        <v>997</v>
      </c>
      <c r="F44" s="359" t="s">
        <v>55</v>
      </c>
      <c r="G44" s="377" t="s">
        <v>998</v>
      </c>
      <c r="H44" s="379"/>
      <c r="I44" s="379"/>
      <c r="J44" s="379"/>
      <c r="K44" s="393" t="s">
        <v>1001</v>
      </c>
    </row>
    <row r="45" spans="1:11" ht="28">
      <c r="A45" s="394">
        <v>3</v>
      </c>
      <c r="B45" s="395" t="s">
        <v>1002</v>
      </c>
      <c r="C45" s="396">
        <f>0.1593+0.0017</f>
        <v>0.161</v>
      </c>
      <c r="D45" s="359" t="s">
        <v>996</v>
      </c>
      <c r="E45" s="359" t="s">
        <v>997</v>
      </c>
      <c r="F45" s="359" t="s">
        <v>55</v>
      </c>
      <c r="G45" s="377" t="s">
        <v>998</v>
      </c>
      <c r="H45" s="379"/>
      <c r="I45" s="379"/>
      <c r="J45" s="379"/>
      <c r="K45" s="739" t="s">
        <v>1003</v>
      </c>
    </row>
    <row r="46" spans="1:11" ht="28">
      <c r="A46" s="394">
        <v>4</v>
      </c>
      <c r="B46" s="395" t="s">
        <v>1004</v>
      </c>
      <c r="C46" s="396">
        <v>0.1245</v>
      </c>
      <c r="D46" s="359" t="s">
        <v>996</v>
      </c>
      <c r="E46" s="359" t="s">
        <v>997</v>
      </c>
      <c r="F46" s="359" t="s">
        <v>55</v>
      </c>
      <c r="G46" s="377" t="s">
        <v>998</v>
      </c>
      <c r="H46" s="379"/>
      <c r="I46" s="379"/>
      <c r="J46" s="379"/>
      <c r="K46" s="740"/>
    </row>
    <row r="47" spans="1:11" ht="28.5" thickBot="1">
      <c r="A47" s="397">
        <v>5</v>
      </c>
      <c r="B47" s="398" t="s">
        <v>1005</v>
      </c>
      <c r="C47" s="399">
        <v>0.1038</v>
      </c>
      <c r="D47" s="359" t="s">
        <v>996</v>
      </c>
      <c r="E47" s="400" t="s">
        <v>997</v>
      </c>
      <c r="F47" s="400" t="s">
        <v>55</v>
      </c>
      <c r="G47" s="377" t="s">
        <v>998</v>
      </c>
      <c r="H47" s="401"/>
      <c r="I47" s="401"/>
      <c r="J47" s="401"/>
      <c r="K47" s="741"/>
    </row>
    <row r="48" spans="1:11" ht="15" thickBot="1">
      <c r="A48" s="742" t="s">
        <v>1006</v>
      </c>
      <c r="B48" s="743"/>
      <c r="C48" s="402">
        <f>SUM(C43:C47)</f>
        <v>0.82290000000000008</v>
      </c>
      <c r="D48" s="388"/>
      <c r="E48" s="388"/>
      <c r="F48" s="388"/>
      <c r="G48" s="403"/>
      <c r="H48" s="403"/>
      <c r="I48" s="403"/>
      <c r="J48" s="403"/>
      <c r="K48" s="389"/>
    </row>
    <row r="49" spans="1:10" ht="15" thickBot="1"/>
    <row r="50" spans="1:10" ht="15" thickBot="1">
      <c r="A50" s="744" t="s">
        <v>1007</v>
      </c>
      <c r="B50" s="745"/>
      <c r="C50" s="745"/>
      <c r="D50" s="745"/>
      <c r="E50" s="745"/>
      <c r="F50" s="745"/>
      <c r="G50" s="746"/>
      <c r="H50" s="330"/>
      <c r="I50" s="330"/>
      <c r="J50" s="330"/>
    </row>
    <row r="51" spans="1:10" ht="52">
      <c r="A51" s="404" t="s">
        <v>985</v>
      </c>
      <c r="B51" s="177" t="s">
        <v>1008</v>
      </c>
      <c r="C51" s="177" t="s">
        <v>1009</v>
      </c>
      <c r="D51" s="177" t="s">
        <v>1008</v>
      </c>
      <c r="E51" s="177" t="s">
        <v>1009</v>
      </c>
      <c r="F51" s="177" t="s">
        <v>1010</v>
      </c>
      <c r="G51" s="177" t="s">
        <v>1011</v>
      </c>
      <c r="H51" s="405" t="s">
        <v>1012</v>
      </c>
      <c r="I51" s="177" t="s">
        <v>1013</v>
      </c>
      <c r="J51" s="406" t="s">
        <v>194</v>
      </c>
    </row>
    <row r="52" spans="1:10">
      <c r="A52" s="407">
        <v>1</v>
      </c>
      <c r="B52" s="237" t="s">
        <v>754</v>
      </c>
      <c r="C52" s="237" t="s">
        <v>380</v>
      </c>
      <c r="D52" s="237" t="s">
        <v>755</v>
      </c>
      <c r="E52" s="237" t="s">
        <v>380</v>
      </c>
      <c r="F52" s="408">
        <v>45512</v>
      </c>
      <c r="G52" s="747" t="s">
        <v>1014</v>
      </c>
      <c r="H52" s="408">
        <v>45684</v>
      </c>
      <c r="I52" s="409" t="s">
        <v>1015</v>
      </c>
      <c r="J52" s="393" t="s">
        <v>1016</v>
      </c>
    </row>
    <row r="53" spans="1:10" ht="15" thickBot="1">
      <c r="A53" s="410">
        <v>2</v>
      </c>
      <c r="B53" s="411" t="s">
        <v>556</v>
      </c>
      <c r="C53" s="412" t="s">
        <v>224</v>
      </c>
      <c r="D53" s="411" t="s">
        <v>547</v>
      </c>
      <c r="E53" s="412" t="s">
        <v>225</v>
      </c>
      <c r="F53" s="413">
        <v>45503</v>
      </c>
      <c r="G53" s="748"/>
      <c r="H53" s="413">
        <v>45782</v>
      </c>
      <c r="I53" s="414" t="s">
        <v>1017</v>
      </c>
      <c r="J53" s="415" t="s">
        <v>1016</v>
      </c>
    </row>
  </sheetData>
  <mergeCells count="9">
    <mergeCell ref="K45:K47"/>
    <mergeCell ref="A48:B48"/>
    <mergeCell ref="A50:G50"/>
    <mergeCell ref="G52:G53"/>
    <mergeCell ref="A1:I1"/>
    <mergeCell ref="A2:I2"/>
    <mergeCell ref="A3:I3"/>
    <mergeCell ref="A4:I4"/>
    <mergeCell ref="A5:I5"/>
  </mergeCells>
  <pageMargins left="0.7" right="0.7" top="0.75" bottom="0.75" header="0.3" footer="0.3"/>
  <pageSetup paperSize="9" scale="3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6:AA264"/>
  <sheetViews>
    <sheetView topLeftCell="A79" zoomScale="83" zoomScaleNormal="80" workbookViewId="0">
      <selection activeCell="C89" sqref="C89"/>
    </sheetView>
  </sheetViews>
  <sheetFormatPr defaultColWidth="9.1796875" defaultRowHeight="14.5"/>
  <cols>
    <col min="1" max="1" width="9.1796875" style="2"/>
    <col min="2" max="2" width="9.81640625" style="2" customWidth="1"/>
    <col min="3" max="3" width="14.54296875" customWidth="1"/>
    <col min="4" max="4" width="10.453125" style="52" bestFit="1" customWidth="1"/>
  </cols>
  <sheetData>
    <row r="6" spans="1:27">
      <c r="A6" s="756" t="s">
        <v>159</v>
      </c>
      <c r="B6" s="756"/>
      <c r="C6" s="756"/>
      <c r="D6" s="756"/>
      <c r="E6" s="756"/>
      <c r="F6" s="756"/>
    </row>
    <row r="7" spans="1:27" ht="15" thickBot="1"/>
    <row r="8" spans="1:27" ht="15" customHeight="1">
      <c r="A8" s="757" t="s">
        <v>12</v>
      </c>
      <c r="B8" s="759" t="s">
        <v>13</v>
      </c>
      <c r="C8" s="761" t="s">
        <v>14</v>
      </c>
      <c r="D8" s="763" t="s">
        <v>15</v>
      </c>
    </row>
    <row r="9" spans="1:27" ht="15" thickBot="1">
      <c r="A9" s="758"/>
      <c r="B9" s="760"/>
      <c r="C9" s="762"/>
      <c r="D9" s="764"/>
    </row>
    <row r="10" spans="1:27" ht="19.399999999999999" customHeight="1" thickBot="1">
      <c r="A10" s="5">
        <v>1</v>
      </c>
      <c r="B10" s="13" t="s">
        <v>23</v>
      </c>
      <c r="C10" s="57" t="s">
        <v>245</v>
      </c>
      <c r="D10" s="120">
        <v>249.63499999999999</v>
      </c>
      <c r="E10" s="16" t="s">
        <v>151</v>
      </c>
      <c r="F10" s="753"/>
      <c r="G10" s="753"/>
      <c r="H10" s="753"/>
      <c r="I10" s="753"/>
      <c r="J10" s="753"/>
      <c r="K10" s="754"/>
      <c r="L10" s="754"/>
      <c r="M10" s="754"/>
      <c r="N10" s="754"/>
      <c r="O10" s="754"/>
      <c r="P10" s="754"/>
      <c r="Q10" s="754"/>
      <c r="R10" s="754"/>
      <c r="S10" s="755"/>
    </row>
    <row r="11" spans="1:27" ht="19.399999999999999" customHeight="1">
      <c r="A11" s="1"/>
      <c r="B11" s="14"/>
      <c r="C11" s="57"/>
      <c r="D11" s="120"/>
      <c r="F11" s="17" t="s">
        <v>154</v>
      </c>
      <c r="G11" s="17" t="s">
        <v>155</v>
      </c>
      <c r="H11" s="17" t="s">
        <v>156</v>
      </c>
      <c r="I11" s="17" t="s">
        <v>157</v>
      </c>
      <c r="J11" s="17" t="s">
        <v>158</v>
      </c>
      <c r="K11" s="17" t="s">
        <v>0</v>
      </c>
      <c r="L11" s="17" t="s">
        <v>152</v>
      </c>
      <c r="M11" s="17" t="s">
        <v>7</v>
      </c>
      <c r="N11" s="17" t="s">
        <v>153</v>
      </c>
      <c r="O11" s="17" t="s">
        <v>3</v>
      </c>
      <c r="P11" s="17" t="s">
        <v>1</v>
      </c>
      <c r="Q11" s="17" t="s">
        <v>9</v>
      </c>
      <c r="R11" s="17"/>
      <c r="S11" s="18" t="s">
        <v>11</v>
      </c>
    </row>
    <row r="12" spans="1:27" ht="19.399999999999999" customHeight="1">
      <c r="A12" s="1">
        <v>2</v>
      </c>
      <c r="B12" s="15" t="s">
        <v>24</v>
      </c>
      <c r="C12" s="57" t="s">
        <v>279</v>
      </c>
      <c r="D12" s="120">
        <v>425</v>
      </c>
      <c r="E12" s="80" t="s">
        <v>307</v>
      </c>
      <c r="F12" s="24">
        <f>COUNTIF($C$10:$C$253,"1DA-0")</f>
        <v>0</v>
      </c>
      <c r="G12" s="24">
        <v>10</v>
      </c>
      <c r="H12" s="24">
        <v>7</v>
      </c>
      <c r="I12" s="24">
        <v>3</v>
      </c>
      <c r="J12" s="24">
        <v>1</v>
      </c>
      <c r="K12" s="24">
        <v>26</v>
      </c>
      <c r="L12" s="24">
        <v>2</v>
      </c>
      <c r="M12" s="24">
        <v>21</v>
      </c>
      <c r="N12" s="24">
        <v>2</v>
      </c>
      <c r="O12" s="24">
        <v>8</v>
      </c>
      <c r="P12" s="24">
        <v>6</v>
      </c>
      <c r="Q12" s="24">
        <f>COUNTIF($C$10:$C$253,"1DA+18")</f>
        <v>0</v>
      </c>
      <c r="R12" s="10"/>
      <c r="S12" s="21">
        <f t="shared" ref="S12:S18" si="0">SUM(F12:R12)</f>
        <v>86</v>
      </c>
      <c r="T12" s="66"/>
    </row>
    <row r="13" spans="1:27" ht="16" thickBot="1">
      <c r="A13" s="1"/>
      <c r="B13" s="14"/>
      <c r="C13" s="57"/>
      <c r="D13" s="120"/>
      <c r="E13" s="80" t="s">
        <v>308</v>
      </c>
      <c r="F13" s="24">
        <f>COUNTIF($C$10:$C$253,"1DB1-0")</f>
        <v>0</v>
      </c>
      <c r="G13" s="24">
        <f>COUNTIF($C$10:$C$253,"1DB1-1.5")</f>
        <v>0</v>
      </c>
      <c r="H13" s="24">
        <v>0</v>
      </c>
      <c r="I13" s="24">
        <f>COUNTIF($C$10:$C$253,"1DB1-4.5")</f>
        <v>0</v>
      </c>
      <c r="J13" s="24">
        <f>COUNTIF($C$10:$C$253,"1DB1-6")</f>
        <v>0</v>
      </c>
      <c r="K13" s="24">
        <v>6</v>
      </c>
      <c r="L13" s="24">
        <f>COUNTIF($C$10:$C$253,"1DB1+1.5")</f>
        <v>0</v>
      </c>
      <c r="M13" s="24">
        <v>2</v>
      </c>
      <c r="N13" s="24">
        <f>COUNTIF($C$10:$C$253,"1DB1+4.5")</f>
        <v>0</v>
      </c>
      <c r="O13" s="24">
        <v>1</v>
      </c>
      <c r="P13" s="24">
        <v>5</v>
      </c>
      <c r="Q13" s="24">
        <f>COUNTIF($C$10:$C$253,"1DB1+18")</f>
        <v>0</v>
      </c>
      <c r="R13" s="10"/>
      <c r="S13" s="21">
        <f t="shared" si="0"/>
        <v>14</v>
      </c>
      <c r="T13" s="66"/>
      <c r="U13" s="6">
        <v>113</v>
      </c>
      <c r="V13" s="15" t="s">
        <v>54</v>
      </c>
      <c r="W13" s="63" t="s">
        <v>245</v>
      </c>
      <c r="Y13" s="57" t="s">
        <v>289</v>
      </c>
      <c r="Z13" s="57" t="s">
        <v>242</v>
      </c>
      <c r="AA13" s="67">
        <v>73.125</v>
      </c>
    </row>
    <row r="14" spans="1:27" ht="15.5">
      <c r="A14" s="1">
        <v>3</v>
      </c>
      <c r="B14" s="14" t="s">
        <v>74</v>
      </c>
      <c r="C14" s="46" t="s">
        <v>231</v>
      </c>
      <c r="D14" s="120">
        <v>425</v>
      </c>
      <c r="E14" s="80" t="s">
        <v>309</v>
      </c>
      <c r="F14" s="24">
        <f>COUNTIF($C$10:$C$253,"1DB2-0")</f>
        <v>0</v>
      </c>
      <c r="G14" s="24">
        <f>COUNTIF($C$10:$C$253,"1DB2-1.5")</f>
        <v>0</v>
      </c>
      <c r="H14" s="24">
        <f>COUNTIF($C$10:$C$253,"1DB2-3")</f>
        <v>0</v>
      </c>
      <c r="I14" s="24">
        <f>COUNTIF($C$10:$C$253,"1DB2-4.5")</f>
        <v>0</v>
      </c>
      <c r="J14" s="24">
        <f>COUNTIF($C$10:$C$253,"1DB2-6")</f>
        <v>0</v>
      </c>
      <c r="K14" s="24">
        <v>1</v>
      </c>
      <c r="L14" s="24">
        <f>COUNTIF($C$10:$C$253,"1DB2+1.5")</f>
        <v>0</v>
      </c>
      <c r="M14" s="24">
        <v>2</v>
      </c>
      <c r="N14" s="24">
        <f>COUNTIF($C$10:$C$253,"1DB2+4.5")</f>
        <v>0</v>
      </c>
      <c r="O14" s="24">
        <v>2</v>
      </c>
      <c r="P14" s="24">
        <v>2</v>
      </c>
      <c r="Q14" s="24">
        <f>COUNTIF($C$10:$C$253,"1DB2+18")</f>
        <v>0</v>
      </c>
      <c r="R14" s="10"/>
      <c r="S14" s="21">
        <f t="shared" si="0"/>
        <v>7</v>
      </c>
      <c r="T14" s="66"/>
      <c r="U14" s="6"/>
      <c r="V14" s="14"/>
      <c r="W14" s="14"/>
      <c r="Y14" s="57"/>
      <c r="Z14" s="57"/>
      <c r="AA14" s="67"/>
    </row>
    <row r="15" spans="1:27" ht="15.5">
      <c r="A15" s="1"/>
      <c r="B15" s="14"/>
      <c r="C15" s="57"/>
      <c r="D15" s="120"/>
      <c r="E15" s="80" t="s">
        <v>310</v>
      </c>
      <c r="F15" s="24">
        <f>COUNTIF($C$10:$C$253,"1DC1-0")</f>
        <v>0</v>
      </c>
      <c r="G15" s="24">
        <f>COUNTIF($C$10:$C$253,"1DC1-1.5")</f>
        <v>0</v>
      </c>
      <c r="H15" s="24">
        <v>0</v>
      </c>
      <c r="I15" s="24">
        <f>COUNTIF($C$10:$C$253,"1DC1-4.5")</f>
        <v>0</v>
      </c>
      <c r="J15" s="24">
        <f>COUNTIF($C$10:$C$253,"1DC1-6")</f>
        <v>0</v>
      </c>
      <c r="K15" s="24">
        <v>3</v>
      </c>
      <c r="L15" s="24">
        <f>COUNTIF($C$10:$C$253,"1DC1+1.5")</f>
        <v>0</v>
      </c>
      <c r="M15" s="24">
        <v>1</v>
      </c>
      <c r="N15" s="24">
        <f>COUNTIF($C$10:$C$253,"1DC1+4.5")</f>
        <v>0</v>
      </c>
      <c r="O15" s="24">
        <v>1</v>
      </c>
      <c r="P15" s="24">
        <v>1</v>
      </c>
      <c r="Q15" s="24">
        <f>COUNTIF($C$10:$C$253,"1DC1+18")</f>
        <v>0</v>
      </c>
      <c r="R15" s="10"/>
      <c r="S15" s="21">
        <f t="shared" si="0"/>
        <v>6</v>
      </c>
      <c r="T15" s="66"/>
      <c r="U15" s="6">
        <f>U13+1</f>
        <v>114</v>
      </c>
      <c r="V15" s="14" t="s">
        <v>143</v>
      </c>
      <c r="W15" s="14" t="s">
        <v>229</v>
      </c>
      <c r="Y15" s="57" t="s">
        <v>143</v>
      </c>
      <c r="Z15" s="57" t="s">
        <v>229</v>
      </c>
      <c r="AA15" s="67">
        <v>71.430000000000007</v>
      </c>
    </row>
    <row r="16" spans="1:27" ht="15.5">
      <c r="A16" s="1">
        <v>4</v>
      </c>
      <c r="B16" s="14" t="s">
        <v>75</v>
      </c>
      <c r="C16" s="46" t="s">
        <v>239</v>
      </c>
      <c r="D16" s="120">
        <v>390</v>
      </c>
      <c r="E16" s="80" t="s">
        <v>311</v>
      </c>
      <c r="F16" s="24">
        <f>COUNTIF($C$10:$C$253,"1DC2-0")</f>
        <v>0</v>
      </c>
      <c r="G16" s="24">
        <f>COUNTIF($C$10:$C$253,"1DC2-1.5")</f>
        <v>0</v>
      </c>
      <c r="H16" s="24">
        <f>COUNTIF($C$10:$C$253,"1DC2-3")</f>
        <v>0</v>
      </c>
      <c r="I16" s="24">
        <f>COUNTIF($C$10:$C$253,"1DC2-4.5")</f>
        <v>0</v>
      </c>
      <c r="J16" s="24">
        <f>COUNTIF($C$10:$C$253,"1DC2-6")</f>
        <v>0</v>
      </c>
      <c r="K16" s="24">
        <v>2</v>
      </c>
      <c r="L16" s="24">
        <f>COUNTIF($C$10:$C$253,"1DC2+1.5")</f>
        <v>0</v>
      </c>
      <c r="M16" s="24">
        <v>2</v>
      </c>
      <c r="N16" s="24">
        <f>COUNTIF($C$10:$C$253,"1DC2+4.5")</f>
        <v>0</v>
      </c>
      <c r="O16" s="24">
        <f>COUNTIF($C$10:$C$253,"1DC2+6")</f>
        <v>2</v>
      </c>
      <c r="P16" s="24">
        <f>COUNTIF($C$10:$C$253,"1DC2+9")</f>
        <v>0</v>
      </c>
      <c r="Q16" s="24">
        <f>COUNTIF($C$10:$C$253,"1DC2+18")</f>
        <v>0</v>
      </c>
      <c r="R16" s="10"/>
      <c r="S16" s="21">
        <f t="shared" si="0"/>
        <v>6</v>
      </c>
      <c r="T16" s="66"/>
      <c r="U16" s="6"/>
      <c r="V16" s="14"/>
      <c r="W16" s="14"/>
      <c r="Y16" s="57"/>
      <c r="Z16" s="57"/>
      <c r="AA16" s="67"/>
    </row>
    <row r="17" spans="1:27" ht="15.5">
      <c r="A17" s="1"/>
      <c r="B17" s="14"/>
      <c r="C17" s="57"/>
      <c r="D17" s="120"/>
      <c r="E17" s="80" t="s">
        <v>312</v>
      </c>
      <c r="F17" s="24">
        <f>COUNTIF($C$10:$C$253,"1DD45-0")</f>
        <v>0</v>
      </c>
      <c r="G17" s="24">
        <f>COUNTIF($C$10:$C$253,"1DD45-1.5")</f>
        <v>0</v>
      </c>
      <c r="H17" s="24">
        <f>COUNTIF($C$10:$C$253,"1DD45-3")</f>
        <v>0</v>
      </c>
      <c r="I17" s="24">
        <f>COUNTIF($C$10:$C$253,"1DD45-4.5")</f>
        <v>0</v>
      </c>
      <c r="J17" s="24">
        <f>COUNTIF($C$10:$C$253,"1DD45-6")</f>
        <v>0</v>
      </c>
      <c r="K17" s="24">
        <v>1</v>
      </c>
      <c r="L17" s="24">
        <f>COUNTIF($C$10:$C$253,"1DD45+1.5")</f>
        <v>0</v>
      </c>
      <c r="M17" s="24">
        <f>COUNTIF($C$10:$C$253,"1DD45+3")</f>
        <v>0</v>
      </c>
      <c r="N17" s="24">
        <f>COUNTIF($C$10:$C$253,"1DD45+4.5")</f>
        <v>0</v>
      </c>
      <c r="O17" s="24">
        <f>COUNTIF($C$10:$C$253,"1DD45+6")</f>
        <v>0</v>
      </c>
      <c r="P17" s="24">
        <f>COUNTIF($C$10:$C$253,"1DD45+9")</f>
        <v>0</v>
      </c>
      <c r="Q17" s="24">
        <v>1</v>
      </c>
      <c r="R17" s="10"/>
      <c r="S17" s="21">
        <f t="shared" si="0"/>
        <v>2</v>
      </c>
      <c r="T17" s="66"/>
      <c r="U17" s="6">
        <f>U15+1</f>
        <v>115</v>
      </c>
      <c r="V17" s="14" t="s">
        <v>144</v>
      </c>
      <c r="W17" s="14" t="s">
        <v>239</v>
      </c>
      <c r="Y17" s="57" t="s">
        <v>144</v>
      </c>
      <c r="Z17" s="57" t="s">
        <v>229</v>
      </c>
      <c r="AA17" s="67">
        <v>71.430000000000007</v>
      </c>
    </row>
    <row r="18" spans="1:27" ht="16" thickBot="1">
      <c r="A18" s="1">
        <v>5</v>
      </c>
      <c r="B18" s="14" t="s">
        <v>76</v>
      </c>
      <c r="C18" s="46" t="s">
        <v>232</v>
      </c>
      <c r="D18" s="120">
        <v>265</v>
      </c>
      <c r="E18" s="80" t="s">
        <v>313</v>
      </c>
      <c r="F18" s="25">
        <f>COUNTIF($C$10:$C$253,"1DD60-0")</f>
        <v>0</v>
      </c>
      <c r="G18" s="25">
        <f>COUNTIF($C$10:$C$253,"1DD60-1.5")</f>
        <v>0</v>
      </c>
      <c r="H18" s="25">
        <f>COUNTIF($C$10:$C$253,"1DD60-3")</f>
        <v>0</v>
      </c>
      <c r="I18" s="25">
        <f>COUNTIF($C$10:$C$253,"1DD60-4.5")</f>
        <v>0</v>
      </c>
      <c r="J18" s="25">
        <f>COUNTIF($C$10:$C$253,"1DD60-6")</f>
        <v>0</v>
      </c>
      <c r="K18" s="25">
        <v>3</v>
      </c>
      <c r="L18" s="25">
        <f>COUNTIF($C$10:$C$253,"1DD60+1.5")</f>
        <v>0</v>
      </c>
      <c r="M18" s="25">
        <f>COUNTIF($C$10:$C$253,"1DD60+3")</f>
        <v>0</v>
      </c>
      <c r="N18" s="25">
        <f>COUNTIF($C$10:$C$253,"1DD60+4.5")</f>
        <v>0</v>
      </c>
      <c r="O18" s="25">
        <v>0</v>
      </c>
      <c r="P18" s="25">
        <f>COUNTIF($C$10:$C$253,"1DD60+9")</f>
        <v>0</v>
      </c>
      <c r="Q18" s="25">
        <f>COUNTIF($C$10:$C$253,"1DD60+18")</f>
        <v>0</v>
      </c>
      <c r="R18" s="11"/>
      <c r="S18" s="22">
        <f t="shared" si="0"/>
        <v>3</v>
      </c>
      <c r="T18" s="66"/>
      <c r="U18" s="6"/>
      <c r="V18" s="14"/>
      <c r="W18" s="14"/>
      <c r="Y18" s="57"/>
      <c r="Z18" s="57"/>
      <c r="AA18" s="67"/>
    </row>
    <row r="19" spans="1:27" ht="16" thickBot="1">
      <c r="A19" s="1"/>
      <c r="B19" s="14"/>
      <c r="C19" s="57"/>
      <c r="D19" s="120"/>
      <c r="F19" s="26">
        <f>SUM(F12:F18)</f>
        <v>0</v>
      </c>
      <c r="G19" s="26">
        <f t="shared" ref="G19:S19" si="1">SUM(G12:G18)</f>
        <v>10</v>
      </c>
      <c r="H19" s="26">
        <f t="shared" si="1"/>
        <v>7</v>
      </c>
      <c r="I19" s="26">
        <f t="shared" si="1"/>
        <v>3</v>
      </c>
      <c r="J19" s="26">
        <f t="shared" si="1"/>
        <v>1</v>
      </c>
      <c r="K19" s="26">
        <f t="shared" si="1"/>
        <v>42</v>
      </c>
      <c r="L19" s="26">
        <f t="shared" si="1"/>
        <v>2</v>
      </c>
      <c r="M19" s="26">
        <f t="shared" si="1"/>
        <v>28</v>
      </c>
      <c r="N19" s="26">
        <f t="shared" si="1"/>
        <v>2</v>
      </c>
      <c r="O19" s="26">
        <f t="shared" si="1"/>
        <v>14</v>
      </c>
      <c r="P19" s="26">
        <f t="shared" si="1"/>
        <v>14</v>
      </c>
      <c r="Q19" s="26">
        <f t="shared" si="1"/>
        <v>1</v>
      </c>
      <c r="R19" s="19"/>
      <c r="S19" s="20">
        <f t="shared" si="1"/>
        <v>124</v>
      </c>
      <c r="U19" s="6">
        <f>U17+1</f>
        <v>116</v>
      </c>
      <c r="V19" s="14" t="s">
        <v>145</v>
      </c>
      <c r="W19" s="14" t="s">
        <v>229</v>
      </c>
      <c r="Y19" s="57" t="s">
        <v>145</v>
      </c>
      <c r="Z19" s="57" t="s">
        <v>231</v>
      </c>
      <c r="AA19" s="67">
        <v>68.430000000000007</v>
      </c>
    </row>
    <row r="20" spans="1:27" ht="15">
      <c r="A20" s="1">
        <v>6</v>
      </c>
      <c r="B20" s="14" t="s">
        <v>77</v>
      </c>
      <c r="C20" s="46" t="s">
        <v>230</v>
      </c>
      <c r="D20" s="120">
        <v>510</v>
      </c>
      <c r="U20" s="6"/>
      <c r="V20" s="14"/>
      <c r="W20" s="14"/>
      <c r="Y20" s="57"/>
      <c r="Z20" s="57"/>
      <c r="AA20" s="67"/>
    </row>
    <row r="21" spans="1:27" ht="15">
      <c r="A21" s="1"/>
      <c r="B21" s="14"/>
      <c r="C21" s="57"/>
      <c r="D21" s="120"/>
      <c r="U21" s="6">
        <f>U19+1</f>
        <v>117</v>
      </c>
      <c r="V21" s="14" t="s">
        <v>146</v>
      </c>
      <c r="W21" s="14" t="s">
        <v>230</v>
      </c>
      <c r="Y21" s="57" t="s">
        <v>290</v>
      </c>
      <c r="Z21" s="57" t="s">
        <v>291</v>
      </c>
      <c r="AA21" s="67">
        <v>76.525000000000006</v>
      </c>
    </row>
    <row r="22" spans="1:27" ht="15">
      <c r="A22" s="1">
        <v>7</v>
      </c>
      <c r="B22" s="14" t="s">
        <v>78</v>
      </c>
      <c r="C22" s="57" t="s">
        <v>234</v>
      </c>
      <c r="D22" s="120">
        <v>380</v>
      </c>
      <c r="U22" s="6"/>
      <c r="V22" s="14"/>
      <c r="W22" s="14"/>
      <c r="Y22" s="57"/>
      <c r="Z22" s="57"/>
      <c r="AA22" s="67"/>
    </row>
    <row r="23" spans="1:27" ht="15">
      <c r="A23" s="1"/>
      <c r="B23" s="14"/>
      <c r="C23" s="57"/>
      <c r="D23" s="120"/>
      <c r="U23" s="6">
        <f>U21+1</f>
        <v>118</v>
      </c>
      <c r="V23" s="15" t="s">
        <v>147</v>
      </c>
      <c r="W23" s="15" t="s">
        <v>280</v>
      </c>
      <c r="Y23" s="57" t="s">
        <v>292</v>
      </c>
      <c r="Z23" s="57" t="s">
        <v>291</v>
      </c>
      <c r="AA23" s="67">
        <v>76.525000000000006</v>
      </c>
    </row>
    <row r="24" spans="1:27" ht="15">
      <c r="A24" s="1">
        <v>8</v>
      </c>
      <c r="B24" s="14" t="s">
        <v>79</v>
      </c>
      <c r="C24" s="57" t="s">
        <v>234</v>
      </c>
      <c r="D24" s="120">
        <v>420</v>
      </c>
      <c r="U24" s="6"/>
      <c r="V24" s="14"/>
      <c r="W24" s="14"/>
      <c r="Y24" s="57"/>
      <c r="Z24" s="57"/>
      <c r="AA24" s="67"/>
    </row>
    <row r="25" spans="1:27" ht="15.5" thickBot="1">
      <c r="A25" s="1"/>
      <c r="B25" s="14"/>
      <c r="C25" s="57"/>
      <c r="D25" s="120"/>
      <c r="U25" s="6">
        <f>U23+1</f>
        <v>119</v>
      </c>
      <c r="V25" s="14" t="s">
        <v>148</v>
      </c>
      <c r="W25" s="14" t="s">
        <v>278</v>
      </c>
      <c r="Y25" s="57" t="s">
        <v>293</v>
      </c>
      <c r="Z25" s="57" t="s">
        <v>231</v>
      </c>
      <c r="AA25" s="67">
        <v>68.430000000000007</v>
      </c>
    </row>
    <row r="26" spans="1:27" ht="16" thickBot="1">
      <c r="A26" s="1">
        <v>9</v>
      </c>
      <c r="B26" s="14" t="s">
        <v>80</v>
      </c>
      <c r="C26" s="46" t="s">
        <v>231</v>
      </c>
      <c r="D26" s="120">
        <v>335</v>
      </c>
      <c r="F26" s="753"/>
      <c r="G26" s="753"/>
      <c r="H26" s="753"/>
      <c r="I26" s="753"/>
      <c r="J26" s="753"/>
      <c r="K26" s="754"/>
      <c r="L26" s="754"/>
      <c r="M26" s="754"/>
      <c r="N26" s="754"/>
      <c r="O26" s="754"/>
      <c r="P26" s="754"/>
      <c r="Q26" s="754"/>
      <c r="R26" s="754"/>
      <c r="S26" s="755"/>
      <c r="U26" s="6"/>
      <c r="V26" s="14"/>
      <c r="W26" s="14"/>
      <c r="Y26" s="57"/>
      <c r="Z26" s="57"/>
      <c r="AA26" s="67"/>
    </row>
    <row r="27" spans="1:27" ht="15.5">
      <c r="A27" s="1"/>
      <c r="B27" s="14"/>
      <c r="C27" s="57"/>
      <c r="D27" s="120"/>
      <c r="F27" s="17" t="s">
        <v>154</v>
      </c>
      <c r="G27" s="17" t="s">
        <v>155</v>
      </c>
      <c r="H27" s="17" t="s">
        <v>156</v>
      </c>
      <c r="I27" s="17" t="s">
        <v>157</v>
      </c>
      <c r="J27" s="17" t="s">
        <v>158</v>
      </c>
      <c r="K27" s="17" t="s">
        <v>0</v>
      </c>
      <c r="L27" s="17" t="s">
        <v>152</v>
      </c>
      <c r="M27" s="17" t="s">
        <v>7</v>
      </c>
      <c r="N27" s="17" t="s">
        <v>153</v>
      </c>
      <c r="O27" s="17" t="s">
        <v>3</v>
      </c>
      <c r="P27" s="17" t="s">
        <v>1</v>
      </c>
      <c r="Q27" s="17" t="s">
        <v>9</v>
      </c>
      <c r="R27" s="17"/>
      <c r="S27" s="18" t="s">
        <v>11</v>
      </c>
      <c r="U27" s="6">
        <f>U25+1</f>
        <v>120</v>
      </c>
      <c r="V27" s="15" t="s">
        <v>149</v>
      </c>
      <c r="W27" s="15" t="s">
        <v>240</v>
      </c>
      <c r="Y27" s="57" t="s">
        <v>294</v>
      </c>
      <c r="Z27" s="57" t="s">
        <v>236</v>
      </c>
      <c r="AA27" s="67">
        <v>70.125</v>
      </c>
    </row>
    <row r="28" spans="1:27" ht="15.5">
      <c r="A28" s="1">
        <v>10</v>
      </c>
      <c r="B28" s="14" t="s">
        <v>81</v>
      </c>
      <c r="C28" s="46" t="s">
        <v>231</v>
      </c>
      <c r="D28" s="120">
        <v>345</v>
      </c>
      <c r="E28" s="80" t="s">
        <v>307</v>
      </c>
      <c r="F28" s="24">
        <v>0</v>
      </c>
      <c r="G28" s="24">
        <v>2</v>
      </c>
      <c r="H28" s="24">
        <v>18</v>
      </c>
      <c r="I28" s="24">
        <v>0</v>
      </c>
      <c r="J28" s="24">
        <v>0</v>
      </c>
      <c r="K28" s="24">
        <v>37</v>
      </c>
      <c r="L28" s="24">
        <v>0</v>
      </c>
      <c r="M28" s="24">
        <v>19</v>
      </c>
      <c r="N28" s="24">
        <v>0</v>
      </c>
      <c r="O28" s="24">
        <v>7</v>
      </c>
      <c r="P28" s="24">
        <v>6</v>
      </c>
      <c r="Q28" s="24">
        <v>0</v>
      </c>
      <c r="R28" s="10"/>
      <c r="S28" s="21">
        <f t="shared" ref="S28:S34" si="2">SUM(F28:R28)</f>
        <v>89</v>
      </c>
      <c r="U28" s="6"/>
      <c r="V28" s="14"/>
      <c r="W28" s="14"/>
      <c r="Y28" s="57"/>
      <c r="Z28" s="57"/>
      <c r="AA28" s="67"/>
    </row>
    <row r="29" spans="1:27" ht="15.5">
      <c r="A29" s="1"/>
      <c r="B29" s="14"/>
      <c r="C29" s="57"/>
      <c r="D29" s="120"/>
      <c r="E29" s="80" t="s">
        <v>308</v>
      </c>
      <c r="F29" s="24">
        <v>0</v>
      </c>
      <c r="G29" s="24">
        <v>0</v>
      </c>
      <c r="H29" s="24">
        <v>1</v>
      </c>
      <c r="I29" s="24">
        <v>0</v>
      </c>
      <c r="J29" s="24">
        <v>0</v>
      </c>
      <c r="K29" s="24">
        <v>7</v>
      </c>
      <c r="L29" s="24">
        <v>0</v>
      </c>
      <c r="M29" s="24">
        <v>1</v>
      </c>
      <c r="N29" s="24">
        <v>0</v>
      </c>
      <c r="O29" s="24">
        <v>2</v>
      </c>
      <c r="P29" s="24">
        <v>4</v>
      </c>
      <c r="Q29" s="24">
        <v>0</v>
      </c>
      <c r="R29" s="10"/>
      <c r="S29" s="21">
        <f t="shared" si="2"/>
        <v>15</v>
      </c>
      <c r="U29" s="6">
        <f>U27+1</f>
        <v>121</v>
      </c>
      <c r="V29" s="15" t="s">
        <v>150</v>
      </c>
      <c r="W29" s="15" t="s">
        <v>281</v>
      </c>
      <c r="Y29" s="57" t="s">
        <v>295</v>
      </c>
      <c r="Z29" s="57" t="s">
        <v>239</v>
      </c>
      <c r="AA29" s="67">
        <v>77.430000000000007</v>
      </c>
    </row>
    <row r="30" spans="1:27" ht="15.5">
      <c r="A30" s="1">
        <v>11</v>
      </c>
      <c r="B30" s="14" t="s">
        <v>82</v>
      </c>
      <c r="C30" s="46" t="s">
        <v>231</v>
      </c>
      <c r="D30" s="120">
        <v>365</v>
      </c>
      <c r="E30" s="80" t="s">
        <v>309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1</v>
      </c>
      <c r="L30" s="24">
        <v>0</v>
      </c>
      <c r="M30" s="24">
        <v>2</v>
      </c>
      <c r="N30" s="24">
        <v>0</v>
      </c>
      <c r="O30" s="24">
        <v>0</v>
      </c>
      <c r="P30" s="24">
        <v>1</v>
      </c>
      <c r="Q30" s="24">
        <v>0</v>
      </c>
      <c r="R30" s="10"/>
      <c r="S30" s="21">
        <f t="shared" si="2"/>
        <v>4</v>
      </c>
      <c r="U30" s="6"/>
      <c r="V30" s="14"/>
      <c r="W30" s="14"/>
      <c r="Y30" s="57"/>
      <c r="Z30" s="57"/>
      <c r="AA30" s="67"/>
    </row>
    <row r="31" spans="1:27" ht="15.5">
      <c r="A31" s="1"/>
      <c r="B31" s="14"/>
      <c r="C31" s="57"/>
      <c r="D31" s="120"/>
      <c r="E31" s="80" t="s">
        <v>310</v>
      </c>
      <c r="F31" s="24">
        <v>0</v>
      </c>
      <c r="G31" s="24">
        <v>0</v>
      </c>
      <c r="H31" s="24">
        <v>1</v>
      </c>
      <c r="I31" s="24">
        <v>0</v>
      </c>
      <c r="J31" s="24">
        <v>0</v>
      </c>
      <c r="K31" s="24">
        <v>2</v>
      </c>
      <c r="L31" s="24">
        <v>0</v>
      </c>
      <c r="M31" s="24">
        <v>3</v>
      </c>
      <c r="N31" s="24">
        <v>0</v>
      </c>
      <c r="O31" s="24">
        <v>1</v>
      </c>
      <c r="P31" s="24">
        <v>0</v>
      </c>
      <c r="Q31" s="24">
        <v>0</v>
      </c>
      <c r="R31" s="10"/>
      <c r="S31" s="21">
        <f t="shared" si="2"/>
        <v>7</v>
      </c>
      <c r="U31" s="6">
        <f>U29+1</f>
        <v>122</v>
      </c>
      <c r="V31" s="15" t="s">
        <v>60</v>
      </c>
      <c r="W31" s="15" t="s">
        <v>60</v>
      </c>
      <c r="Y31" s="57" t="s">
        <v>296</v>
      </c>
      <c r="Z31" s="57" t="s">
        <v>229</v>
      </c>
      <c r="AA31" s="67">
        <v>71.430000000000007</v>
      </c>
    </row>
    <row r="32" spans="1:27" ht="15.5">
      <c r="A32" s="1">
        <v>12</v>
      </c>
      <c r="B32" s="14" t="s">
        <v>83</v>
      </c>
      <c r="C32" s="46" t="s">
        <v>229</v>
      </c>
      <c r="D32" s="120">
        <v>356</v>
      </c>
      <c r="E32" s="80" t="s">
        <v>311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  <c r="K32" s="24">
        <v>3</v>
      </c>
      <c r="L32" s="24">
        <v>0</v>
      </c>
      <c r="M32" s="24">
        <v>1</v>
      </c>
      <c r="N32" s="24">
        <v>0</v>
      </c>
      <c r="O32" s="24">
        <v>2</v>
      </c>
      <c r="P32" s="24">
        <v>0</v>
      </c>
      <c r="Q32" s="24">
        <v>0</v>
      </c>
      <c r="R32" s="10"/>
      <c r="S32" s="21">
        <f t="shared" si="2"/>
        <v>6</v>
      </c>
      <c r="U32" s="6"/>
      <c r="V32" s="8"/>
      <c r="W32" s="8"/>
      <c r="Y32" s="57"/>
      <c r="Z32" s="57"/>
      <c r="AA32" s="67"/>
    </row>
    <row r="33" spans="1:27" ht="15.5">
      <c r="A33" s="1"/>
      <c r="B33" s="14"/>
      <c r="C33" s="57"/>
      <c r="D33" s="120"/>
      <c r="E33" s="80" t="s">
        <v>312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24">
        <v>1</v>
      </c>
      <c r="P33" s="24">
        <v>0</v>
      </c>
      <c r="Q33" s="24">
        <v>1</v>
      </c>
      <c r="R33" s="10"/>
      <c r="S33" s="21">
        <f t="shared" si="2"/>
        <v>2</v>
      </c>
      <c r="U33" s="2"/>
      <c r="V33" s="2"/>
      <c r="Y33" s="57" t="s">
        <v>297</v>
      </c>
      <c r="Z33" s="57" t="s">
        <v>229</v>
      </c>
      <c r="AA33" s="67">
        <v>71.430000000000007</v>
      </c>
    </row>
    <row r="34" spans="1:27" ht="16" thickBot="1">
      <c r="A34" s="1">
        <v>13</v>
      </c>
      <c r="B34" s="14" t="s">
        <v>84</v>
      </c>
      <c r="C34" s="46" t="s">
        <v>231</v>
      </c>
      <c r="D34" s="120">
        <v>332</v>
      </c>
      <c r="E34" s="80" t="s">
        <v>313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25">
        <v>2</v>
      </c>
      <c r="L34" s="25">
        <v>0</v>
      </c>
      <c r="M34" s="25">
        <v>0</v>
      </c>
      <c r="N34" s="25">
        <v>0</v>
      </c>
      <c r="O34" s="25">
        <v>2</v>
      </c>
      <c r="P34" s="25">
        <v>0</v>
      </c>
      <c r="Q34" s="25">
        <v>0</v>
      </c>
      <c r="R34" s="11"/>
      <c r="S34" s="22">
        <f t="shared" si="2"/>
        <v>4</v>
      </c>
      <c r="U34" s="2"/>
      <c r="V34" s="2"/>
      <c r="Y34" s="57"/>
      <c r="Z34" s="57"/>
      <c r="AA34" s="67"/>
    </row>
    <row r="35" spans="1:27" ht="16" thickBot="1">
      <c r="A35" s="1"/>
      <c r="B35" s="14"/>
      <c r="C35" s="57"/>
      <c r="D35" s="120"/>
      <c r="F35" s="26">
        <f>SUM(F28:F34)</f>
        <v>0</v>
      </c>
      <c r="G35" s="26">
        <f t="shared" ref="G35:Q35" si="3">SUM(G28:G34)</f>
        <v>2</v>
      </c>
      <c r="H35" s="26">
        <f t="shared" si="3"/>
        <v>20</v>
      </c>
      <c r="I35" s="26">
        <f t="shared" si="3"/>
        <v>0</v>
      </c>
      <c r="J35" s="26">
        <f t="shared" si="3"/>
        <v>0</v>
      </c>
      <c r="K35" s="26">
        <f t="shared" si="3"/>
        <v>52</v>
      </c>
      <c r="L35" s="26">
        <f t="shared" si="3"/>
        <v>0</v>
      </c>
      <c r="M35" s="26">
        <f t="shared" si="3"/>
        <v>26</v>
      </c>
      <c r="N35" s="26">
        <f t="shared" si="3"/>
        <v>0</v>
      </c>
      <c r="O35" s="26">
        <f t="shared" si="3"/>
        <v>15</v>
      </c>
      <c r="P35" s="26">
        <f t="shared" si="3"/>
        <v>11</v>
      </c>
      <c r="Q35" s="26">
        <f t="shared" si="3"/>
        <v>1</v>
      </c>
      <c r="R35" s="19"/>
      <c r="S35" s="20">
        <f t="shared" ref="S35" si="4">SUM(S28:S34)</f>
        <v>127</v>
      </c>
      <c r="U35" s="2"/>
      <c r="V35" s="2"/>
      <c r="Y35" s="57" t="s">
        <v>298</v>
      </c>
      <c r="Z35" s="57" t="s">
        <v>278</v>
      </c>
      <c r="AA35" s="67">
        <v>69.930000000000007</v>
      </c>
    </row>
    <row r="36" spans="1:27" ht="15">
      <c r="A36" s="1">
        <v>14</v>
      </c>
      <c r="B36" s="14" t="s">
        <v>85</v>
      </c>
      <c r="C36" s="46" t="s">
        <v>229</v>
      </c>
      <c r="D36" s="120">
        <v>384.42399999999998</v>
      </c>
      <c r="U36" s="2"/>
      <c r="V36" s="2"/>
      <c r="Y36" s="57"/>
      <c r="Z36" s="57"/>
      <c r="AA36" s="67"/>
    </row>
    <row r="37" spans="1:27" ht="15">
      <c r="A37" s="1"/>
      <c r="B37" s="14"/>
      <c r="C37" s="14"/>
      <c r="D37" s="120"/>
      <c r="U37" s="2"/>
      <c r="V37" s="2"/>
      <c r="Y37" s="57" t="s">
        <v>299</v>
      </c>
      <c r="Z37" s="57" t="s">
        <v>300</v>
      </c>
      <c r="AA37" s="67">
        <v>76.525000000000006</v>
      </c>
    </row>
    <row r="38" spans="1:27" ht="15">
      <c r="A38" s="1">
        <v>15</v>
      </c>
      <c r="B38" s="15" t="s">
        <v>25</v>
      </c>
      <c r="C38" s="46" t="s">
        <v>228</v>
      </c>
      <c r="D38" s="119">
        <v>385</v>
      </c>
      <c r="U38" s="2"/>
      <c r="V38" s="2"/>
    </row>
    <row r="39" spans="1:27" ht="18.5">
      <c r="A39" s="1"/>
      <c r="B39" s="14"/>
      <c r="C39" s="46"/>
      <c r="D39" s="119"/>
      <c r="U39" s="2"/>
      <c r="V39" s="2"/>
      <c r="Y39" s="68" t="s">
        <v>301</v>
      </c>
      <c r="Z39" s="69" t="s">
        <v>302</v>
      </c>
    </row>
    <row r="40" spans="1:27" ht="18">
      <c r="A40" s="1">
        <v>16</v>
      </c>
      <c r="B40" s="14" t="s">
        <v>16</v>
      </c>
      <c r="C40" s="46" t="s">
        <v>229</v>
      </c>
      <c r="D40" s="119">
        <v>423</v>
      </c>
      <c r="U40" s="2"/>
      <c r="V40" s="2"/>
      <c r="Y40" s="70"/>
      <c r="Z40" s="71"/>
    </row>
    <row r="41" spans="1:27" ht="18.5">
      <c r="A41" s="1"/>
      <c r="B41" s="14"/>
      <c r="C41" s="46"/>
      <c r="D41" s="119"/>
      <c r="U41" s="2"/>
      <c r="V41" s="2"/>
      <c r="Y41" s="68" t="s">
        <v>303</v>
      </c>
      <c r="Z41" s="69" t="s">
        <v>302</v>
      </c>
    </row>
    <row r="42" spans="1:27" ht="15">
      <c r="A42" s="1">
        <v>17</v>
      </c>
      <c r="B42" s="14" t="s">
        <v>17</v>
      </c>
      <c r="C42" s="46" t="s">
        <v>229</v>
      </c>
      <c r="D42" s="119">
        <v>382</v>
      </c>
    </row>
    <row r="43" spans="1:27" ht="15">
      <c r="A43" s="1"/>
      <c r="B43" s="14"/>
      <c r="C43" s="46"/>
      <c r="D43" s="119"/>
    </row>
    <row r="44" spans="1:27" ht="15">
      <c r="A44" s="1">
        <v>18</v>
      </c>
      <c r="B44" s="14" t="s">
        <v>18</v>
      </c>
      <c r="C44" s="46" t="s">
        <v>229</v>
      </c>
      <c r="D44" s="119">
        <v>405</v>
      </c>
    </row>
    <row r="45" spans="1:27" ht="15">
      <c r="A45" s="1"/>
      <c r="B45" s="14"/>
      <c r="C45" s="46"/>
      <c r="D45" s="119"/>
    </row>
    <row r="46" spans="1:27" ht="15">
      <c r="A46" s="1">
        <v>19</v>
      </c>
      <c r="B46" s="14" t="s">
        <v>86</v>
      </c>
      <c r="C46" s="46" t="s">
        <v>230</v>
      </c>
      <c r="D46" s="119">
        <v>388.45800000000003</v>
      </c>
    </row>
    <row r="47" spans="1:27" ht="15">
      <c r="A47" s="1"/>
      <c r="B47" s="14"/>
      <c r="C47" s="46"/>
      <c r="D47" s="119"/>
    </row>
    <row r="48" spans="1:27" ht="15">
      <c r="A48" s="1">
        <v>20</v>
      </c>
      <c r="B48" s="15" t="s">
        <v>26</v>
      </c>
      <c r="C48" s="46" t="s">
        <v>228</v>
      </c>
      <c r="D48" s="119">
        <v>405</v>
      </c>
    </row>
    <row r="49" spans="1:4" ht="15">
      <c r="A49" s="1"/>
      <c r="B49" s="14"/>
      <c r="C49" s="46"/>
      <c r="D49" s="119"/>
    </row>
    <row r="50" spans="1:4" ht="15">
      <c r="A50" s="1">
        <v>21</v>
      </c>
      <c r="B50" s="14" t="s">
        <v>87</v>
      </c>
      <c r="C50" s="46" t="s">
        <v>230</v>
      </c>
      <c r="D50" s="119">
        <v>360</v>
      </c>
    </row>
    <row r="51" spans="1:4" ht="15">
      <c r="A51" s="1"/>
      <c r="B51" s="14"/>
      <c r="C51" s="46"/>
      <c r="D51" s="119"/>
    </row>
    <row r="52" spans="1:4" ht="15">
      <c r="A52" s="1">
        <v>22</v>
      </c>
      <c r="B52" s="14" t="s">
        <v>88</v>
      </c>
      <c r="C52" s="46" t="s">
        <v>230</v>
      </c>
      <c r="D52" s="119">
        <v>390</v>
      </c>
    </row>
    <row r="53" spans="1:4" ht="15">
      <c r="A53" s="1"/>
      <c r="B53" s="14"/>
      <c r="C53" s="46"/>
      <c r="D53" s="119"/>
    </row>
    <row r="54" spans="1:4" ht="15">
      <c r="A54" s="1">
        <v>23</v>
      </c>
      <c r="B54" s="14" t="s">
        <v>89</v>
      </c>
      <c r="C54" s="46" t="s">
        <v>231</v>
      </c>
      <c r="D54" s="119">
        <v>325</v>
      </c>
    </row>
    <row r="55" spans="1:4" ht="15">
      <c r="A55" s="1"/>
      <c r="B55" s="14"/>
      <c r="C55" s="46"/>
      <c r="D55" s="119"/>
    </row>
    <row r="56" spans="1:4" ht="15">
      <c r="A56" s="1">
        <v>24</v>
      </c>
      <c r="B56" s="14" t="s">
        <v>90</v>
      </c>
      <c r="C56" s="46" t="s">
        <v>229</v>
      </c>
      <c r="D56" s="119">
        <v>430</v>
      </c>
    </row>
    <row r="57" spans="1:4" ht="15">
      <c r="A57" s="1"/>
      <c r="B57" s="14"/>
      <c r="C57" s="46"/>
      <c r="D57" s="119"/>
    </row>
    <row r="58" spans="1:4" ht="15">
      <c r="A58" s="1">
        <v>25</v>
      </c>
      <c r="B58" s="14" t="s">
        <v>91</v>
      </c>
      <c r="C58" s="46" t="s">
        <v>229</v>
      </c>
      <c r="D58" s="119">
        <v>298</v>
      </c>
    </row>
    <row r="59" spans="1:4" ht="15">
      <c r="A59" s="1"/>
      <c r="B59" s="14"/>
      <c r="C59" s="46"/>
      <c r="D59" s="119"/>
    </row>
    <row r="60" spans="1:4" ht="15">
      <c r="A60" s="1">
        <v>26</v>
      </c>
      <c r="B60" s="14" t="s">
        <v>92</v>
      </c>
      <c r="C60" s="46" t="s">
        <v>229</v>
      </c>
      <c r="D60" s="119">
        <v>422</v>
      </c>
    </row>
    <row r="61" spans="1:4" ht="15">
      <c r="A61" s="1"/>
      <c r="B61" s="14"/>
      <c r="C61" s="46"/>
      <c r="D61" s="119"/>
    </row>
    <row r="62" spans="1:4" ht="15">
      <c r="A62" s="1">
        <v>27</v>
      </c>
      <c r="B62" s="14" t="s">
        <v>93</v>
      </c>
      <c r="C62" s="46" t="s">
        <v>232</v>
      </c>
      <c r="D62" s="119">
        <v>345</v>
      </c>
    </row>
    <row r="63" spans="1:4" ht="15">
      <c r="A63" s="1"/>
      <c r="B63" s="14"/>
      <c r="C63" s="46"/>
      <c r="D63" s="119"/>
    </row>
    <row r="64" spans="1:4" ht="15">
      <c r="A64" s="1">
        <v>28</v>
      </c>
      <c r="B64" s="14" t="s">
        <v>94</v>
      </c>
      <c r="C64" s="46" t="s">
        <v>230</v>
      </c>
      <c r="D64" s="119">
        <v>370</v>
      </c>
    </row>
    <row r="65" spans="1:4" ht="15">
      <c r="A65" s="1"/>
      <c r="B65" s="14"/>
      <c r="C65" s="46"/>
      <c r="D65" s="119"/>
    </row>
    <row r="66" spans="1:4" ht="15">
      <c r="A66" s="1">
        <v>29</v>
      </c>
      <c r="B66" s="14" t="s">
        <v>95</v>
      </c>
      <c r="C66" s="46" t="s">
        <v>232</v>
      </c>
      <c r="D66" s="119">
        <v>320</v>
      </c>
    </row>
    <row r="67" spans="1:4" ht="15">
      <c r="A67" s="1"/>
      <c r="B67" s="14"/>
      <c r="C67" s="46"/>
      <c r="D67" s="119"/>
    </row>
    <row r="68" spans="1:4" ht="15">
      <c r="A68" s="1">
        <v>30</v>
      </c>
      <c r="B68" s="14" t="s">
        <v>96</v>
      </c>
      <c r="C68" s="46" t="s">
        <v>232</v>
      </c>
      <c r="D68" s="119">
        <v>390</v>
      </c>
    </row>
    <row r="69" spans="1:4" ht="15">
      <c r="A69" s="1"/>
      <c r="B69" s="14"/>
      <c r="C69" s="46"/>
      <c r="D69" s="119"/>
    </row>
    <row r="70" spans="1:4" ht="15">
      <c r="A70" s="1">
        <v>31</v>
      </c>
      <c r="B70" s="14" t="s">
        <v>97</v>
      </c>
      <c r="C70" s="46" t="s">
        <v>230</v>
      </c>
      <c r="D70" s="119">
        <v>425.02</v>
      </c>
    </row>
    <row r="71" spans="1:4" ht="15">
      <c r="A71" s="1"/>
      <c r="B71" s="14"/>
      <c r="C71" s="46"/>
      <c r="D71" s="119"/>
    </row>
    <row r="72" spans="1:4" ht="15">
      <c r="A72" s="1">
        <v>32</v>
      </c>
      <c r="B72" s="15" t="s">
        <v>27</v>
      </c>
      <c r="C72" s="46" t="s">
        <v>233</v>
      </c>
      <c r="D72" s="119">
        <v>480</v>
      </c>
    </row>
    <row r="73" spans="1:4" ht="15">
      <c r="A73" s="1"/>
      <c r="B73" s="14"/>
      <c r="C73" s="46"/>
      <c r="D73" s="119"/>
    </row>
    <row r="74" spans="1:4" ht="15">
      <c r="A74" s="1">
        <v>33</v>
      </c>
      <c r="B74" s="14" t="s">
        <v>19</v>
      </c>
      <c r="C74" s="46" t="s">
        <v>234</v>
      </c>
      <c r="D74" s="119">
        <v>297.315</v>
      </c>
    </row>
    <row r="75" spans="1:4" ht="15">
      <c r="A75" s="1"/>
      <c r="B75" s="14"/>
      <c r="C75" s="46"/>
      <c r="D75" s="119"/>
    </row>
    <row r="76" spans="1:4" ht="15">
      <c r="A76" s="1">
        <v>34</v>
      </c>
      <c r="B76" s="15" t="s">
        <v>28</v>
      </c>
      <c r="C76" s="46" t="s">
        <v>240</v>
      </c>
      <c r="D76" s="119">
        <v>417</v>
      </c>
    </row>
    <row r="77" spans="1:4" ht="15">
      <c r="A77" s="1"/>
      <c r="B77" s="14"/>
      <c r="C77" s="46"/>
      <c r="D77" s="119"/>
    </row>
    <row r="78" spans="1:4" ht="15">
      <c r="A78" s="1">
        <v>35</v>
      </c>
      <c r="B78" s="14" t="s">
        <v>20</v>
      </c>
      <c r="C78" s="46" t="s">
        <v>230</v>
      </c>
      <c r="D78" s="119">
        <v>409</v>
      </c>
    </row>
    <row r="79" spans="1:4" ht="15">
      <c r="A79" s="1"/>
      <c r="B79" s="14"/>
      <c r="C79" s="46"/>
      <c r="D79" s="119"/>
    </row>
    <row r="80" spans="1:4" ht="15">
      <c r="A80" s="1">
        <v>36</v>
      </c>
      <c r="B80" s="14" t="s">
        <v>21</v>
      </c>
      <c r="C80" s="46" t="s">
        <v>229</v>
      </c>
      <c r="D80" s="119">
        <v>432.78199999999998</v>
      </c>
    </row>
    <row r="81" spans="1:4" ht="15">
      <c r="A81" s="1"/>
      <c r="B81" s="14"/>
      <c r="C81" s="46"/>
      <c r="D81" s="119"/>
    </row>
    <row r="82" spans="1:4" ht="15">
      <c r="A82" s="117">
        <v>37</v>
      </c>
      <c r="B82" s="14" t="s">
        <v>22</v>
      </c>
      <c r="C82" s="46" t="s">
        <v>291</v>
      </c>
      <c r="D82" s="119">
        <v>469</v>
      </c>
    </row>
    <row r="83" spans="1:4" ht="15">
      <c r="A83" s="117"/>
      <c r="B83" s="14"/>
      <c r="C83" s="46"/>
      <c r="D83" s="119"/>
    </row>
    <row r="84" spans="1:4" ht="15">
      <c r="A84" s="117">
        <v>38</v>
      </c>
      <c r="B84" s="15" t="s">
        <v>99</v>
      </c>
      <c r="C84" s="46" t="s">
        <v>232</v>
      </c>
      <c r="D84" s="119">
        <v>387</v>
      </c>
    </row>
    <row r="85" spans="1:4" ht="15">
      <c r="A85" s="117"/>
      <c r="B85" s="14"/>
      <c r="C85" s="46"/>
      <c r="D85" s="119"/>
    </row>
    <row r="86" spans="1:4" ht="15">
      <c r="A86" s="117">
        <v>39</v>
      </c>
      <c r="B86" s="14" t="s">
        <v>331</v>
      </c>
      <c r="C86" s="46" t="s">
        <v>229</v>
      </c>
      <c r="D86" s="119">
        <v>428.87599999999998</v>
      </c>
    </row>
    <row r="87" spans="1:4" ht="15">
      <c r="A87" s="1"/>
      <c r="B87" s="14"/>
      <c r="C87" s="46"/>
      <c r="D87" s="119"/>
    </row>
    <row r="88" spans="1:4" ht="15">
      <c r="A88" s="1">
        <v>40</v>
      </c>
      <c r="B88" s="15" t="s">
        <v>29</v>
      </c>
      <c r="C88" s="46" t="s">
        <v>279</v>
      </c>
      <c r="D88" s="119">
        <v>248.03800000000001</v>
      </c>
    </row>
    <row r="89" spans="1:4" ht="15">
      <c r="A89" s="1"/>
      <c r="B89" s="14"/>
      <c r="C89" s="46"/>
      <c r="D89" s="119"/>
    </row>
    <row r="90" spans="1:4" ht="15">
      <c r="A90" s="1">
        <v>41</v>
      </c>
      <c r="B90" s="15" t="s">
        <v>30</v>
      </c>
      <c r="C90" s="46" t="s">
        <v>238</v>
      </c>
      <c r="D90" s="119">
        <v>430</v>
      </c>
    </row>
    <row r="91" spans="1:4" ht="15">
      <c r="A91" s="1"/>
      <c r="B91" s="14"/>
      <c r="C91" s="46"/>
      <c r="D91" s="119"/>
    </row>
    <row r="92" spans="1:4" ht="15">
      <c r="A92" s="1">
        <v>42</v>
      </c>
      <c r="B92" s="14" t="s">
        <v>2</v>
      </c>
      <c r="C92" s="46" t="s">
        <v>229</v>
      </c>
      <c r="D92" s="119">
        <v>400</v>
      </c>
    </row>
    <row r="93" spans="1:4" ht="15">
      <c r="A93" s="1"/>
      <c r="B93" s="14"/>
      <c r="C93" s="46"/>
      <c r="D93" s="119"/>
    </row>
    <row r="94" spans="1:4" ht="15">
      <c r="A94" s="1">
        <v>43</v>
      </c>
      <c r="B94" s="14" t="s">
        <v>49</v>
      </c>
      <c r="C94" s="46" t="s">
        <v>229</v>
      </c>
      <c r="D94" s="119">
        <v>410</v>
      </c>
    </row>
    <row r="95" spans="1:4" ht="15">
      <c r="A95" s="1"/>
      <c r="B95" s="14"/>
      <c r="C95" s="46"/>
      <c r="D95" s="119"/>
    </row>
    <row r="96" spans="1:4" ht="15">
      <c r="A96" s="1">
        <v>44</v>
      </c>
      <c r="B96" s="14" t="s">
        <v>50</v>
      </c>
      <c r="C96" s="46" t="s">
        <v>230</v>
      </c>
      <c r="D96" s="119">
        <v>435</v>
      </c>
    </row>
    <row r="97" spans="1:4" ht="15">
      <c r="A97" s="1"/>
      <c r="B97" s="14"/>
      <c r="C97" s="46"/>
      <c r="D97" s="119"/>
    </row>
    <row r="98" spans="1:4" ht="15">
      <c r="A98" s="1">
        <v>45</v>
      </c>
      <c r="B98" s="14" t="s">
        <v>100</v>
      </c>
      <c r="C98" s="46" t="s">
        <v>229</v>
      </c>
      <c r="D98" s="119">
        <v>360</v>
      </c>
    </row>
    <row r="99" spans="1:4" ht="15">
      <c r="A99" s="1"/>
      <c r="B99" s="14"/>
      <c r="C99" s="46"/>
      <c r="D99" s="119"/>
    </row>
    <row r="100" spans="1:4" ht="15">
      <c r="A100" s="1">
        <v>46</v>
      </c>
      <c r="B100" s="14" t="s">
        <v>101</v>
      </c>
      <c r="C100" s="46" t="s">
        <v>231</v>
      </c>
      <c r="D100" s="119">
        <v>391.45100000000002</v>
      </c>
    </row>
    <row r="101" spans="1:4" ht="15">
      <c r="A101" s="1"/>
      <c r="B101" s="14"/>
      <c r="C101" s="46"/>
      <c r="D101" s="119"/>
    </row>
    <row r="102" spans="1:4" ht="15">
      <c r="A102" s="1">
        <v>47</v>
      </c>
      <c r="B102" s="15" t="s">
        <v>31</v>
      </c>
      <c r="C102" s="46" t="s">
        <v>228</v>
      </c>
      <c r="D102" s="119">
        <v>380</v>
      </c>
    </row>
    <row r="103" spans="1:4" ht="15">
      <c r="A103" s="1"/>
      <c r="B103" s="14"/>
      <c r="C103" s="46"/>
      <c r="D103" s="119"/>
    </row>
    <row r="104" spans="1:4" ht="15">
      <c r="A104" s="1">
        <v>48</v>
      </c>
      <c r="B104" s="14" t="s">
        <v>102</v>
      </c>
      <c r="C104" s="46" t="s">
        <v>239</v>
      </c>
      <c r="D104" s="119">
        <v>475</v>
      </c>
    </row>
    <row r="105" spans="1:4" ht="15">
      <c r="A105" s="1"/>
      <c r="B105" s="14"/>
      <c r="C105" s="46"/>
      <c r="D105" s="119"/>
    </row>
    <row r="106" spans="1:4" ht="15">
      <c r="A106" s="1">
        <v>49</v>
      </c>
      <c r="B106" s="14" t="s">
        <v>103</v>
      </c>
      <c r="C106" s="46" t="s">
        <v>230</v>
      </c>
      <c r="D106" s="119">
        <v>380</v>
      </c>
    </row>
    <row r="107" spans="1:4" ht="15">
      <c r="A107" s="1"/>
      <c r="B107" s="14"/>
      <c r="C107" s="46"/>
      <c r="D107" s="119"/>
    </row>
    <row r="108" spans="1:4" ht="15">
      <c r="A108" s="1">
        <v>50</v>
      </c>
      <c r="B108" s="14" t="s">
        <v>104</v>
      </c>
      <c r="C108" s="46" t="s">
        <v>229</v>
      </c>
      <c r="D108" s="119">
        <v>390</v>
      </c>
    </row>
    <row r="109" spans="1:4" ht="15">
      <c r="A109" s="1"/>
      <c r="B109" s="14"/>
      <c r="C109" s="46"/>
      <c r="D109" s="119"/>
    </row>
    <row r="110" spans="1:4" ht="15">
      <c r="A110" s="1">
        <v>51</v>
      </c>
      <c r="B110" s="14" t="s">
        <v>105</v>
      </c>
      <c r="C110" s="46" t="s">
        <v>230</v>
      </c>
      <c r="D110" s="119">
        <v>465</v>
      </c>
    </row>
    <row r="111" spans="1:4" ht="15">
      <c r="A111" s="1"/>
      <c r="B111" s="14"/>
      <c r="C111" s="46"/>
      <c r="D111" s="119"/>
    </row>
    <row r="112" spans="1:4" ht="15">
      <c r="A112" s="1">
        <v>52</v>
      </c>
      <c r="B112" s="14" t="s">
        <v>106</v>
      </c>
      <c r="C112" s="46" t="s">
        <v>230</v>
      </c>
      <c r="D112" s="119">
        <v>383.20800000000003</v>
      </c>
    </row>
    <row r="113" spans="1:4" ht="15">
      <c r="A113" s="1"/>
      <c r="B113" s="14"/>
      <c r="C113" s="46"/>
      <c r="D113" s="119"/>
    </row>
    <row r="114" spans="1:4" ht="15">
      <c r="A114" s="1">
        <v>53</v>
      </c>
      <c r="B114" s="15" t="s">
        <v>32</v>
      </c>
      <c r="C114" s="46" t="s">
        <v>240</v>
      </c>
      <c r="D114" s="119">
        <v>380</v>
      </c>
    </row>
    <row r="115" spans="1:4" ht="15">
      <c r="A115" s="1"/>
      <c r="B115" s="14"/>
      <c r="C115" s="46"/>
      <c r="D115" s="119"/>
    </row>
    <row r="116" spans="1:4" ht="15">
      <c r="A116" s="1">
        <v>54</v>
      </c>
      <c r="B116" s="14" t="s">
        <v>51</v>
      </c>
      <c r="C116" s="46" t="s">
        <v>229</v>
      </c>
      <c r="D116" s="119">
        <v>348</v>
      </c>
    </row>
    <row r="117" spans="1:4" ht="15">
      <c r="A117" s="1"/>
      <c r="B117" s="14"/>
      <c r="C117" s="46"/>
      <c r="D117" s="119"/>
    </row>
    <row r="118" spans="1:4" ht="15">
      <c r="A118" s="1">
        <v>55</v>
      </c>
      <c r="B118" s="14" t="s">
        <v>52</v>
      </c>
      <c r="C118" s="46" t="s">
        <v>229</v>
      </c>
      <c r="D118" s="119">
        <v>377.78399999999999</v>
      </c>
    </row>
    <row r="119" spans="1:4" ht="15">
      <c r="A119" s="1"/>
      <c r="B119" s="14"/>
      <c r="C119" s="46"/>
      <c r="D119" s="119"/>
    </row>
    <row r="120" spans="1:4" ht="15">
      <c r="A120" s="1">
        <v>56</v>
      </c>
      <c r="B120" s="15" t="s">
        <v>33</v>
      </c>
      <c r="C120" s="46" t="s">
        <v>228</v>
      </c>
      <c r="D120" s="119">
        <v>410</v>
      </c>
    </row>
    <row r="121" spans="1:4" ht="15">
      <c r="A121" s="1"/>
      <c r="B121" s="14"/>
      <c r="C121" s="46"/>
      <c r="D121" s="119"/>
    </row>
    <row r="122" spans="1:4" ht="15">
      <c r="A122" s="1">
        <v>57</v>
      </c>
      <c r="B122" s="14" t="s">
        <v>107</v>
      </c>
      <c r="C122" s="46" t="s">
        <v>229</v>
      </c>
      <c r="D122" s="119">
        <v>380</v>
      </c>
    </row>
    <row r="123" spans="1:4" ht="15">
      <c r="A123" s="1"/>
      <c r="B123" s="14"/>
      <c r="C123" s="46"/>
      <c r="D123" s="119"/>
    </row>
    <row r="124" spans="1:4" ht="15">
      <c r="A124" s="1">
        <v>58</v>
      </c>
      <c r="B124" s="14" t="s">
        <v>108</v>
      </c>
      <c r="C124" s="46" t="s">
        <v>229</v>
      </c>
      <c r="D124" s="119">
        <v>325</v>
      </c>
    </row>
    <row r="125" spans="1:4" ht="15">
      <c r="A125" s="1"/>
      <c r="B125" s="14"/>
      <c r="C125" s="46"/>
      <c r="D125" s="119"/>
    </row>
    <row r="126" spans="1:4" ht="15">
      <c r="A126" s="1">
        <v>59</v>
      </c>
      <c r="B126" s="14" t="s">
        <v>109</v>
      </c>
      <c r="C126" s="46" t="s">
        <v>231</v>
      </c>
      <c r="D126" s="119">
        <v>329.8</v>
      </c>
    </row>
    <row r="127" spans="1:4" ht="15">
      <c r="A127" s="1"/>
      <c r="B127" s="14"/>
      <c r="C127" s="46"/>
      <c r="D127" s="119"/>
    </row>
    <row r="128" spans="1:4" ht="15">
      <c r="A128" s="1">
        <v>60</v>
      </c>
      <c r="B128" s="15" t="s">
        <v>34</v>
      </c>
      <c r="C128" s="46" t="s">
        <v>241</v>
      </c>
      <c r="D128" s="119">
        <v>385</v>
      </c>
    </row>
    <row r="129" spans="1:4" ht="15">
      <c r="A129" s="1"/>
      <c r="B129" s="14"/>
      <c r="C129" s="46"/>
      <c r="D129" s="119"/>
    </row>
    <row r="130" spans="1:4" ht="15">
      <c r="A130" s="1">
        <v>61</v>
      </c>
      <c r="B130" s="14" t="s">
        <v>110</v>
      </c>
      <c r="C130" s="46" t="s">
        <v>229</v>
      </c>
      <c r="D130" s="119">
        <v>312.55799999999999</v>
      </c>
    </row>
    <row r="131" spans="1:4" ht="15">
      <c r="A131" s="1"/>
      <c r="B131" s="14"/>
      <c r="C131" s="46"/>
      <c r="D131" s="119"/>
    </row>
    <row r="132" spans="1:4" ht="15">
      <c r="A132" s="1">
        <v>62</v>
      </c>
      <c r="B132" s="15" t="s">
        <v>35</v>
      </c>
      <c r="C132" s="46" t="s">
        <v>242</v>
      </c>
      <c r="D132" s="119">
        <v>242</v>
      </c>
    </row>
    <row r="133" spans="1:4" ht="15">
      <c r="A133" s="1"/>
      <c r="B133" s="14"/>
      <c r="C133" s="46"/>
      <c r="D133" s="119"/>
    </row>
    <row r="134" spans="1:4" ht="15">
      <c r="A134" s="1">
        <v>63</v>
      </c>
      <c r="B134" s="14" t="s">
        <v>4</v>
      </c>
      <c r="C134" s="46" t="s">
        <v>237</v>
      </c>
      <c r="D134" s="119">
        <v>464</v>
      </c>
    </row>
    <row r="135" spans="1:4" ht="15">
      <c r="A135" s="1"/>
      <c r="B135" s="14"/>
      <c r="C135" s="46"/>
      <c r="D135" s="119"/>
    </row>
    <row r="136" spans="1:4" ht="15">
      <c r="A136" s="1">
        <v>64</v>
      </c>
      <c r="B136" s="14" t="s">
        <v>5</v>
      </c>
      <c r="C136" s="47" t="s">
        <v>229</v>
      </c>
      <c r="D136" s="119">
        <v>391</v>
      </c>
    </row>
    <row r="137" spans="1:4" ht="15">
      <c r="A137" s="1"/>
      <c r="B137" s="14"/>
      <c r="C137" s="46"/>
      <c r="D137" s="119"/>
    </row>
    <row r="138" spans="1:4" ht="15">
      <c r="A138" s="1">
        <v>65</v>
      </c>
      <c r="B138" s="14" t="s">
        <v>111</v>
      </c>
      <c r="C138" s="46" t="s">
        <v>239</v>
      </c>
      <c r="D138" s="119">
        <v>417.51799999999997</v>
      </c>
    </row>
    <row r="139" spans="1:4" ht="15">
      <c r="A139" s="1"/>
      <c r="B139" s="14"/>
      <c r="C139" s="46"/>
      <c r="D139" s="120"/>
    </row>
    <row r="140" spans="1:4" ht="15">
      <c r="A140" s="1">
        <v>66</v>
      </c>
      <c r="B140" s="15" t="s">
        <v>36</v>
      </c>
      <c r="C140" s="48" t="s">
        <v>228</v>
      </c>
      <c r="D140" s="121">
        <v>315</v>
      </c>
    </row>
    <row r="141" spans="1:4">
      <c r="A141" s="1"/>
      <c r="B141" s="14"/>
      <c r="C141" s="14"/>
      <c r="D141" s="121"/>
    </row>
    <row r="142" spans="1:4" ht="15">
      <c r="A142" s="1">
        <v>67</v>
      </c>
      <c r="B142" s="14" t="s">
        <v>6</v>
      </c>
      <c r="C142" s="46" t="s">
        <v>231</v>
      </c>
      <c r="D142" s="121">
        <v>375</v>
      </c>
    </row>
    <row r="143" spans="1:4" ht="15">
      <c r="A143" s="1"/>
      <c r="B143" s="14"/>
      <c r="C143" s="46"/>
      <c r="D143" s="121"/>
    </row>
    <row r="144" spans="1:4" ht="15">
      <c r="A144" s="1">
        <v>68</v>
      </c>
      <c r="B144" s="14" t="s">
        <v>37</v>
      </c>
      <c r="C144" s="46" t="s">
        <v>229</v>
      </c>
      <c r="D144" s="121">
        <v>416</v>
      </c>
    </row>
    <row r="145" spans="1:4" ht="15">
      <c r="A145" s="1"/>
      <c r="B145" s="14"/>
      <c r="C145" s="46"/>
      <c r="D145" s="121"/>
    </row>
    <row r="146" spans="1:4" ht="15">
      <c r="A146" s="1">
        <v>69</v>
      </c>
      <c r="B146" s="14" t="s">
        <v>112</v>
      </c>
      <c r="C146" s="46" t="s">
        <v>229</v>
      </c>
      <c r="D146" s="121">
        <v>422</v>
      </c>
    </row>
    <row r="147" spans="1:4" ht="15">
      <c r="A147" s="1"/>
      <c r="B147" s="14"/>
      <c r="C147" s="46"/>
      <c r="D147" s="121"/>
    </row>
    <row r="148" spans="1:4" ht="15">
      <c r="A148" s="1">
        <v>70</v>
      </c>
      <c r="B148" s="14" t="s">
        <v>113</v>
      </c>
      <c r="C148" s="46" t="s">
        <v>229</v>
      </c>
      <c r="D148" s="121">
        <v>388</v>
      </c>
    </row>
    <row r="149" spans="1:4" ht="15">
      <c r="A149" s="1"/>
      <c r="B149" s="14"/>
      <c r="C149" s="46"/>
      <c r="D149" s="121"/>
    </row>
    <row r="150" spans="1:4" ht="15">
      <c r="A150" s="1">
        <v>71</v>
      </c>
      <c r="B150" s="14" t="s">
        <v>114</v>
      </c>
      <c r="C150" s="46" t="s">
        <v>239</v>
      </c>
      <c r="D150" s="121">
        <v>409</v>
      </c>
    </row>
    <row r="151" spans="1:4" ht="15">
      <c r="A151" s="1"/>
      <c r="B151" s="14"/>
      <c r="C151" s="46"/>
      <c r="D151" s="121"/>
    </row>
    <row r="152" spans="1:4" ht="15">
      <c r="A152" s="1">
        <v>72</v>
      </c>
      <c r="B152" s="14" t="s">
        <v>115</v>
      </c>
      <c r="C152" s="46" t="s">
        <v>229</v>
      </c>
      <c r="D152" s="121">
        <v>420</v>
      </c>
    </row>
    <row r="153" spans="1:4" ht="15">
      <c r="A153" s="1"/>
      <c r="B153" s="14"/>
      <c r="C153" s="46"/>
      <c r="D153" s="121"/>
    </row>
    <row r="154" spans="1:4" ht="15">
      <c r="A154" s="1">
        <v>73</v>
      </c>
      <c r="B154" s="14" t="s">
        <v>116</v>
      </c>
      <c r="C154" s="46" t="s">
        <v>228</v>
      </c>
      <c r="D154" s="121">
        <v>399</v>
      </c>
    </row>
    <row r="155" spans="1:4" ht="15">
      <c r="A155" s="1"/>
      <c r="B155" s="14"/>
      <c r="C155" s="46"/>
      <c r="D155" s="121"/>
    </row>
    <row r="156" spans="1:4" ht="15">
      <c r="A156" s="1">
        <v>74</v>
      </c>
      <c r="B156" s="14" t="s">
        <v>117</v>
      </c>
      <c r="C156" s="46" t="s">
        <v>230</v>
      </c>
      <c r="D156" s="121">
        <v>381</v>
      </c>
    </row>
    <row r="157" spans="1:4" ht="15">
      <c r="A157" s="1"/>
      <c r="B157" s="14"/>
      <c r="C157" s="46"/>
      <c r="D157" s="121"/>
    </row>
    <row r="158" spans="1:4" ht="15">
      <c r="A158" s="1">
        <v>75</v>
      </c>
      <c r="B158" s="14" t="s">
        <v>118</v>
      </c>
      <c r="C158" s="46" t="s">
        <v>229</v>
      </c>
      <c r="D158" s="121">
        <v>382</v>
      </c>
    </row>
    <row r="159" spans="1:4" ht="15">
      <c r="A159" s="1"/>
      <c r="B159" s="14"/>
      <c r="C159" s="46"/>
      <c r="D159" s="121"/>
    </row>
    <row r="160" spans="1:4" ht="15">
      <c r="A160" s="1">
        <v>76</v>
      </c>
      <c r="B160" s="14" t="s">
        <v>119</v>
      </c>
      <c r="C160" s="46" t="s">
        <v>229</v>
      </c>
      <c r="D160" s="121">
        <v>391</v>
      </c>
    </row>
    <row r="161" spans="1:4" ht="15">
      <c r="A161" s="1"/>
      <c r="B161" s="14"/>
      <c r="C161" s="46"/>
      <c r="D161" s="121"/>
    </row>
    <row r="162" spans="1:4" ht="15">
      <c r="A162" s="1">
        <v>77</v>
      </c>
      <c r="B162" s="14" t="s">
        <v>120</v>
      </c>
      <c r="C162" s="46" t="s">
        <v>278</v>
      </c>
      <c r="D162" s="121">
        <v>433</v>
      </c>
    </row>
    <row r="163" spans="1:4" ht="15">
      <c r="A163" s="1"/>
      <c r="B163" s="14"/>
      <c r="C163" s="46"/>
      <c r="D163" s="121"/>
    </row>
    <row r="164" spans="1:4" ht="15">
      <c r="A164" s="1">
        <v>78</v>
      </c>
      <c r="B164" s="14" t="s">
        <v>121</v>
      </c>
      <c r="C164" s="46" t="s">
        <v>229</v>
      </c>
      <c r="D164" s="121">
        <v>415</v>
      </c>
    </row>
    <row r="165" spans="1:4" ht="15">
      <c r="A165" s="1"/>
      <c r="B165" s="14"/>
      <c r="C165" s="46"/>
      <c r="D165" s="121"/>
    </row>
    <row r="166" spans="1:4" ht="15">
      <c r="A166" s="1">
        <v>79</v>
      </c>
      <c r="B166" s="14" t="s">
        <v>122</v>
      </c>
      <c r="C166" s="46" t="s">
        <v>229</v>
      </c>
      <c r="D166" s="121">
        <v>430</v>
      </c>
    </row>
    <row r="167" spans="1:4" ht="15">
      <c r="A167" s="1"/>
      <c r="B167" s="14"/>
      <c r="C167" s="46"/>
      <c r="D167" s="121"/>
    </row>
    <row r="168" spans="1:4" ht="15">
      <c r="A168" s="1">
        <v>80</v>
      </c>
      <c r="B168" s="14" t="s">
        <v>123</v>
      </c>
      <c r="C168" s="46" t="s">
        <v>229</v>
      </c>
      <c r="D168" s="121">
        <v>314</v>
      </c>
    </row>
    <row r="169" spans="1:4" ht="15">
      <c r="A169" s="1"/>
      <c r="B169" s="14"/>
      <c r="C169" s="46"/>
      <c r="D169" s="121"/>
    </row>
    <row r="170" spans="1:4" ht="15">
      <c r="A170" s="1">
        <v>81</v>
      </c>
      <c r="B170" s="14" t="s">
        <v>124</v>
      </c>
      <c r="C170" s="46" t="s">
        <v>232</v>
      </c>
      <c r="D170" s="121">
        <v>402.24900000000002</v>
      </c>
    </row>
    <row r="171" spans="1:4" ht="15">
      <c r="A171" s="1"/>
      <c r="B171" s="14"/>
      <c r="C171" s="46"/>
      <c r="D171" s="122"/>
    </row>
    <row r="172" spans="1:4" ht="15">
      <c r="A172" s="1">
        <v>82</v>
      </c>
      <c r="B172" s="15" t="s">
        <v>38</v>
      </c>
      <c r="C172" s="46" t="s">
        <v>243</v>
      </c>
      <c r="D172" s="122">
        <v>394</v>
      </c>
    </row>
    <row r="173" spans="1:4">
      <c r="A173" s="6"/>
      <c r="B173" s="14"/>
      <c r="C173" s="14"/>
      <c r="D173" s="122"/>
    </row>
    <row r="174" spans="1:4">
      <c r="A174" s="6">
        <f>A172+1</f>
        <v>83</v>
      </c>
      <c r="B174" s="14" t="s">
        <v>125</v>
      </c>
      <c r="C174" s="14" t="s">
        <v>230</v>
      </c>
      <c r="D174" s="122">
        <v>419.44499999999999</v>
      </c>
    </row>
    <row r="175" spans="1:4">
      <c r="A175" s="6"/>
      <c r="B175" s="14"/>
      <c r="C175" s="14"/>
      <c r="D175" s="122"/>
    </row>
    <row r="176" spans="1:4">
      <c r="A176" s="6">
        <f>A174+1</f>
        <v>84</v>
      </c>
      <c r="B176" s="15" t="s">
        <v>39</v>
      </c>
      <c r="C176" s="15" t="s">
        <v>247</v>
      </c>
      <c r="D176" s="122">
        <v>402</v>
      </c>
    </row>
    <row r="177" spans="1:18" ht="15">
      <c r="A177" s="6"/>
      <c r="B177" s="14"/>
      <c r="C177" s="14"/>
      <c r="D177" s="122"/>
      <c r="M177" s="3"/>
      <c r="N177" s="3"/>
      <c r="O177" s="3"/>
      <c r="P177" s="3"/>
      <c r="Q177" s="4"/>
      <c r="R177" s="4"/>
    </row>
    <row r="178" spans="1:18" ht="15">
      <c r="A178" s="6">
        <f>A176+1</f>
        <v>85</v>
      </c>
      <c r="B178" s="14" t="s">
        <v>8</v>
      </c>
      <c r="C178" s="14" t="s">
        <v>239</v>
      </c>
      <c r="D178" s="122">
        <v>426</v>
      </c>
      <c r="M178" s="3"/>
      <c r="N178" s="3"/>
      <c r="O178" s="3"/>
      <c r="P178" s="3"/>
      <c r="Q178" s="4"/>
      <c r="R178" s="4"/>
    </row>
    <row r="179" spans="1:18" ht="15">
      <c r="A179" s="118"/>
      <c r="B179" s="14"/>
      <c r="C179" s="14"/>
      <c r="D179" s="122"/>
      <c r="M179" s="3"/>
      <c r="N179" s="3"/>
      <c r="O179" s="3"/>
      <c r="P179" s="3"/>
      <c r="Q179" s="4"/>
      <c r="R179" s="4"/>
    </row>
    <row r="180" spans="1:18" ht="15">
      <c r="A180" s="118">
        <f>A178+1</f>
        <v>86</v>
      </c>
      <c r="B180" s="14" t="s">
        <v>40</v>
      </c>
      <c r="C180" s="14" t="s">
        <v>230</v>
      </c>
      <c r="D180" s="122">
        <v>429.05900000000003</v>
      </c>
      <c r="M180" s="3"/>
      <c r="N180" s="3"/>
      <c r="O180" s="3"/>
      <c r="P180" s="3"/>
      <c r="Q180" s="4"/>
      <c r="R180" s="4"/>
    </row>
    <row r="181" spans="1:18" ht="15">
      <c r="A181" s="118"/>
      <c r="B181" s="14"/>
      <c r="C181" s="14"/>
      <c r="D181" s="122"/>
      <c r="M181" s="3"/>
      <c r="N181" s="3"/>
      <c r="O181" s="3"/>
      <c r="P181" s="3"/>
      <c r="Q181" s="4"/>
      <c r="R181" s="4"/>
    </row>
    <row r="182" spans="1:18" ht="15">
      <c r="A182" s="118">
        <f>A180+1</f>
        <v>87</v>
      </c>
      <c r="B182" s="14" t="s">
        <v>335</v>
      </c>
      <c r="C182" s="14" t="s">
        <v>243</v>
      </c>
      <c r="D182" s="122">
        <v>336</v>
      </c>
      <c r="M182" s="3"/>
      <c r="N182" s="3"/>
      <c r="O182" s="3"/>
      <c r="P182" s="3"/>
      <c r="Q182" s="4"/>
      <c r="R182" s="4"/>
    </row>
    <row r="183" spans="1:18" ht="15">
      <c r="A183" s="118"/>
      <c r="B183" s="14"/>
      <c r="C183" s="14"/>
      <c r="D183" s="122"/>
      <c r="M183" s="3"/>
      <c r="N183" s="3"/>
      <c r="O183" s="3"/>
      <c r="P183" s="3"/>
      <c r="Q183" s="4"/>
      <c r="R183" s="4"/>
    </row>
    <row r="184" spans="1:18" ht="15">
      <c r="A184" s="118">
        <f>A182+1</f>
        <v>88</v>
      </c>
      <c r="B184" s="14" t="s">
        <v>332</v>
      </c>
      <c r="C184" s="14" t="s">
        <v>232</v>
      </c>
      <c r="D184" s="122">
        <v>441</v>
      </c>
      <c r="M184" s="3"/>
      <c r="N184" s="3"/>
      <c r="O184" s="3"/>
      <c r="P184" s="3"/>
      <c r="Q184" s="4"/>
      <c r="R184" s="4"/>
    </row>
    <row r="185" spans="1:18" ht="15">
      <c r="A185" s="118"/>
      <c r="B185" s="14"/>
      <c r="C185" s="14"/>
      <c r="D185" s="122"/>
      <c r="M185" s="3"/>
      <c r="N185" s="3"/>
      <c r="O185" s="3"/>
      <c r="P185" s="3"/>
      <c r="Q185" s="4"/>
      <c r="R185" s="4"/>
    </row>
    <row r="186" spans="1:18" ht="15">
      <c r="A186" s="118">
        <f>A184+1</f>
        <v>89</v>
      </c>
      <c r="B186" s="14" t="s">
        <v>333</v>
      </c>
      <c r="C186" s="14" t="s">
        <v>278</v>
      </c>
      <c r="D186" s="122">
        <v>324.04899999999998</v>
      </c>
      <c r="M186" s="3"/>
      <c r="N186" s="3"/>
      <c r="O186" s="3"/>
      <c r="P186" s="3"/>
      <c r="Q186" s="4"/>
      <c r="R186" s="4"/>
    </row>
    <row r="187" spans="1:18" ht="15">
      <c r="A187" s="6"/>
      <c r="B187" s="14"/>
      <c r="C187" s="14"/>
      <c r="D187" s="122"/>
      <c r="M187" s="3"/>
      <c r="N187" s="3"/>
      <c r="O187" s="3"/>
      <c r="P187" s="3"/>
      <c r="Q187" s="4"/>
      <c r="R187" s="4"/>
    </row>
    <row r="188" spans="1:18" ht="15">
      <c r="A188" s="6">
        <f>A186+1</f>
        <v>90</v>
      </c>
      <c r="B188" s="15" t="s">
        <v>41</v>
      </c>
      <c r="C188" s="49" t="s">
        <v>242</v>
      </c>
      <c r="D188" s="119">
        <v>417.21899999999999</v>
      </c>
      <c r="M188" s="3"/>
      <c r="N188" s="3"/>
      <c r="O188" s="3"/>
      <c r="P188" s="3"/>
      <c r="Q188" s="4"/>
      <c r="R188" s="4"/>
    </row>
    <row r="189" spans="1:18" ht="15">
      <c r="A189" s="6"/>
      <c r="B189" s="14"/>
      <c r="C189" s="49"/>
      <c r="D189" s="119"/>
      <c r="M189" s="3"/>
      <c r="N189" s="3"/>
      <c r="O189" s="3"/>
      <c r="P189" s="3"/>
      <c r="Q189" s="4"/>
      <c r="R189" s="4"/>
    </row>
    <row r="190" spans="1:18" ht="15">
      <c r="A190" s="6">
        <f>A188+1</f>
        <v>91</v>
      </c>
      <c r="B190" s="15" t="s">
        <v>42</v>
      </c>
      <c r="C190" s="49" t="s">
        <v>243</v>
      </c>
      <c r="D190" s="119">
        <v>249.602</v>
      </c>
      <c r="M190" s="3"/>
      <c r="N190" s="3"/>
      <c r="O190" s="3"/>
      <c r="P190" s="3"/>
      <c r="Q190" s="4"/>
      <c r="R190" s="4"/>
    </row>
    <row r="191" spans="1:18" ht="15">
      <c r="A191" s="6"/>
      <c r="B191" s="14"/>
      <c r="C191" s="49"/>
      <c r="D191" s="119"/>
      <c r="M191" s="3"/>
      <c r="N191" s="3"/>
      <c r="O191" s="3"/>
      <c r="P191" s="3"/>
      <c r="Q191" s="4"/>
      <c r="R191" s="4"/>
    </row>
    <row r="192" spans="1:18" ht="15">
      <c r="A192" s="6">
        <f>A190+1</f>
        <v>92</v>
      </c>
      <c r="B192" s="15" t="s">
        <v>43</v>
      </c>
      <c r="C192" s="50" t="s">
        <v>244</v>
      </c>
      <c r="D192" s="119">
        <v>333.60199999999998</v>
      </c>
      <c r="M192" s="3"/>
      <c r="N192" s="3"/>
      <c r="O192" s="3"/>
      <c r="P192" s="3"/>
      <c r="Q192" s="4"/>
      <c r="R192" s="4"/>
    </row>
    <row r="193" spans="1:18" ht="15">
      <c r="A193" s="6"/>
      <c r="B193" s="14"/>
      <c r="C193" s="49"/>
      <c r="D193" s="119"/>
      <c r="M193" s="3"/>
      <c r="N193" s="3"/>
      <c r="O193" s="3"/>
      <c r="P193" s="3"/>
      <c r="Q193" s="4"/>
      <c r="R193" s="4"/>
    </row>
    <row r="194" spans="1:18" ht="15">
      <c r="A194" s="6">
        <f>A192+1</f>
        <v>93</v>
      </c>
      <c r="B194" s="15" t="s">
        <v>44</v>
      </c>
      <c r="C194" s="49" t="s">
        <v>236</v>
      </c>
      <c r="D194" s="119">
        <v>313</v>
      </c>
      <c r="M194" s="3"/>
      <c r="N194" s="3"/>
      <c r="O194" s="3"/>
      <c r="P194" s="3"/>
      <c r="Q194" s="4"/>
      <c r="R194" s="4"/>
    </row>
    <row r="195" spans="1:18" ht="15">
      <c r="A195" s="6"/>
      <c r="B195" s="14"/>
      <c r="C195" s="49"/>
      <c r="D195" s="119"/>
      <c r="M195" s="3"/>
      <c r="N195" s="3"/>
      <c r="O195" s="3"/>
      <c r="P195" s="3"/>
      <c r="Q195" s="4"/>
      <c r="R195" s="4"/>
    </row>
    <row r="196" spans="1:18" ht="15">
      <c r="A196" s="6">
        <f>A194+1</f>
        <v>94</v>
      </c>
      <c r="B196" s="14" t="s">
        <v>128</v>
      </c>
      <c r="C196" s="49" t="s">
        <v>231</v>
      </c>
      <c r="D196" s="119">
        <v>337</v>
      </c>
      <c r="M196" s="3"/>
      <c r="N196" s="3"/>
      <c r="O196" s="3"/>
      <c r="P196" s="3"/>
      <c r="Q196" s="4"/>
      <c r="R196" s="4"/>
    </row>
    <row r="197" spans="1:18" ht="15">
      <c r="A197" s="6"/>
      <c r="B197" s="14"/>
      <c r="C197" s="49"/>
      <c r="D197" s="119"/>
      <c r="M197" s="3"/>
      <c r="N197" s="3"/>
      <c r="O197" s="3"/>
      <c r="P197" s="3"/>
      <c r="Q197" s="4"/>
      <c r="R197" s="4"/>
    </row>
    <row r="198" spans="1:18" ht="15">
      <c r="A198" s="6">
        <f>A196+1</f>
        <v>95</v>
      </c>
      <c r="B198" s="14" t="s">
        <v>129</v>
      </c>
      <c r="C198" s="49" t="s">
        <v>231</v>
      </c>
      <c r="D198" s="119">
        <v>384.09800000000001</v>
      </c>
      <c r="M198" s="3"/>
      <c r="N198" s="3"/>
      <c r="O198" s="3"/>
      <c r="P198" s="3"/>
      <c r="Q198" s="4"/>
      <c r="R198" s="4"/>
    </row>
    <row r="199" spans="1:18" ht="15">
      <c r="A199" s="6"/>
      <c r="B199" s="14"/>
      <c r="C199" s="49"/>
      <c r="D199" s="119"/>
      <c r="M199" s="3"/>
      <c r="N199" s="3"/>
      <c r="O199" s="3"/>
      <c r="P199" s="3"/>
      <c r="Q199" s="4"/>
      <c r="R199" s="4"/>
    </row>
    <row r="200" spans="1:18" ht="15">
      <c r="A200" s="6">
        <f>A198+1</f>
        <v>96</v>
      </c>
      <c r="B200" s="15" t="s">
        <v>45</v>
      </c>
      <c r="C200" s="49" t="s">
        <v>245</v>
      </c>
      <c r="D200" s="119">
        <v>258.61599999999999</v>
      </c>
      <c r="M200" s="3"/>
      <c r="N200" s="3"/>
      <c r="O200" s="3"/>
      <c r="P200" s="3"/>
      <c r="Q200" s="4"/>
      <c r="R200" s="4"/>
    </row>
    <row r="201" spans="1:18" ht="15">
      <c r="A201" s="6"/>
      <c r="B201" s="14"/>
      <c r="C201" s="49"/>
      <c r="D201" s="119"/>
      <c r="M201" s="3"/>
      <c r="N201" s="3"/>
      <c r="O201" s="3"/>
      <c r="P201" s="3"/>
      <c r="Q201" s="4"/>
      <c r="R201" s="4"/>
    </row>
    <row r="202" spans="1:18" ht="15">
      <c r="A202" s="6">
        <f>A200+1</f>
        <v>97</v>
      </c>
      <c r="B202" s="15" t="s">
        <v>46</v>
      </c>
      <c r="C202" s="49" t="s">
        <v>246</v>
      </c>
      <c r="D202" s="119">
        <v>390</v>
      </c>
      <c r="M202" s="3"/>
      <c r="N202" s="3"/>
      <c r="O202" s="3"/>
      <c r="P202" s="3"/>
      <c r="Q202" s="4"/>
      <c r="R202" s="4"/>
    </row>
    <row r="203" spans="1:18" ht="15">
      <c r="A203" s="6"/>
      <c r="B203" s="14"/>
      <c r="C203" s="49"/>
      <c r="D203" s="119"/>
      <c r="M203" s="3"/>
      <c r="N203" s="3"/>
      <c r="O203" s="3"/>
      <c r="P203" s="3"/>
      <c r="Q203" s="4"/>
      <c r="R203" s="4"/>
    </row>
    <row r="204" spans="1:18" ht="15">
      <c r="A204" s="6">
        <f>A202+1</f>
        <v>98</v>
      </c>
      <c r="B204" s="14" t="s">
        <v>130</v>
      </c>
      <c r="C204" s="49" t="s">
        <v>231</v>
      </c>
      <c r="D204" s="119">
        <v>290</v>
      </c>
      <c r="M204" s="3"/>
      <c r="N204" s="3"/>
      <c r="O204" s="3"/>
      <c r="P204" s="3"/>
      <c r="Q204" s="4"/>
      <c r="R204" s="4"/>
    </row>
    <row r="205" spans="1:18" ht="15">
      <c r="A205" s="6"/>
      <c r="B205" s="14"/>
      <c r="C205" s="49"/>
      <c r="D205" s="119"/>
      <c r="M205" s="3"/>
      <c r="N205" s="3"/>
      <c r="O205" s="3"/>
      <c r="P205" s="3"/>
      <c r="Q205" s="4"/>
      <c r="R205" s="4"/>
    </row>
    <row r="206" spans="1:18" ht="15">
      <c r="A206" s="6">
        <f>A204+1</f>
        <v>99</v>
      </c>
      <c r="B206" s="14" t="s">
        <v>131</v>
      </c>
      <c r="C206" s="49" t="s">
        <v>231</v>
      </c>
      <c r="D206" s="119">
        <v>345</v>
      </c>
      <c r="M206" s="3"/>
      <c r="N206" s="3"/>
      <c r="O206" s="3"/>
      <c r="P206" s="3"/>
      <c r="Q206" s="4"/>
      <c r="R206" s="4"/>
    </row>
    <row r="207" spans="1:18" ht="15">
      <c r="A207" s="6"/>
      <c r="B207" s="14"/>
      <c r="C207" s="49"/>
      <c r="D207" s="119"/>
      <c r="M207" s="3"/>
      <c r="N207" s="3"/>
      <c r="O207" s="3"/>
      <c r="P207" s="3"/>
      <c r="Q207" s="4"/>
      <c r="R207" s="4"/>
    </row>
    <row r="208" spans="1:18" ht="15">
      <c r="A208" s="6">
        <f>A206+1</f>
        <v>100</v>
      </c>
      <c r="B208" s="14" t="s">
        <v>132</v>
      </c>
      <c r="C208" s="49" t="s">
        <v>230</v>
      </c>
      <c r="D208" s="119">
        <v>423</v>
      </c>
      <c r="M208" s="3"/>
      <c r="N208" s="3"/>
      <c r="O208" s="3"/>
      <c r="P208" s="3"/>
      <c r="Q208" s="4"/>
      <c r="R208" s="4"/>
    </row>
    <row r="209" spans="1:18" ht="15">
      <c r="A209" s="6"/>
      <c r="B209" s="14"/>
      <c r="C209" s="49"/>
      <c r="D209" s="119"/>
      <c r="M209" s="3"/>
      <c r="N209" s="3"/>
      <c r="O209" s="3"/>
      <c r="P209" s="3"/>
      <c r="Q209" s="4"/>
      <c r="R209" s="4"/>
    </row>
    <row r="210" spans="1:18" ht="15">
      <c r="A210" s="6">
        <f>A208+1</f>
        <v>101</v>
      </c>
      <c r="B210" s="14" t="s">
        <v>133</v>
      </c>
      <c r="C210" s="49" t="s">
        <v>229</v>
      </c>
      <c r="D210" s="119">
        <v>388.69299999999998</v>
      </c>
      <c r="M210" s="3"/>
      <c r="N210" s="3"/>
      <c r="O210" s="3"/>
      <c r="P210" s="3"/>
      <c r="Q210" s="4"/>
      <c r="R210" s="4"/>
    </row>
    <row r="211" spans="1:18" ht="15">
      <c r="A211" s="6"/>
      <c r="B211" s="14"/>
      <c r="C211" s="49"/>
      <c r="D211" s="119"/>
      <c r="M211" s="3"/>
      <c r="N211" s="3"/>
      <c r="O211" s="3"/>
      <c r="P211" s="3"/>
      <c r="Q211" s="4"/>
      <c r="R211" s="4"/>
    </row>
    <row r="212" spans="1:18" ht="15">
      <c r="A212" s="6">
        <f>A210+1</f>
        <v>102</v>
      </c>
      <c r="B212" s="15" t="s">
        <v>47</v>
      </c>
      <c r="C212" s="49" t="s">
        <v>247</v>
      </c>
      <c r="D212" s="119">
        <v>405</v>
      </c>
      <c r="M212" s="3"/>
      <c r="N212" s="3"/>
      <c r="O212" s="3"/>
      <c r="P212" s="3"/>
      <c r="Q212" s="4"/>
      <c r="R212" s="4"/>
    </row>
    <row r="213" spans="1:18" ht="15">
      <c r="A213" s="6"/>
      <c r="B213" s="14"/>
      <c r="C213" s="49"/>
      <c r="D213" s="119"/>
      <c r="M213" s="3"/>
      <c r="N213" s="3"/>
      <c r="O213" s="3"/>
      <c r="P213" s="3"/>
      <c r="Q213" s="4"/>
      <c r="R213" s="4"/>
    </row>
    <row r="214" spans="1:18" ht="15">
      <c r="A214" s="6">
        <f>A212+1</f>
        <v>103</v>
      </c>
      <c r="B214" s="14" t="s">
        <v>134</v>
      </c>
      <c r="C214" s="49" t="s">
        <v>230</v>
      </c>
      <c r="D214" s="119">
        <v>385</v>
      </c>
      <c r="M214" s="3"/>
      <c r="N214" s="3"/>
      <c r="O214" s="3"/>
      <c r="P214" s="3"/>
      <c r="Q214" s="4"/>
      <c r="R214" s="4"/>
    </row>
    <row r="215" spans="1:18" ht="15">
      <c r="A215" s="6"/>
      <c r="B215" s="14"/>
      <c r="C215" s="49"/>
      <c r="D215" s="119"/>
      <c r="M215" s="3"/>
      <c r="N215" s="3"/>
      <c r="O215" s="3"/>
      <c r="P215" s="3"/>
      <c r="Q215" s="4"/>
      <c r="R215" s="4"/>
    </row>
    <row r="216" spans="1:18" ht="15">
      <c r="A216" s="6">
        <f>A214+1</f>
        <v>104</v>
      </c>
      <c r="B216" s="14" t="s">
        <v>135</v>
      </c>
      <c r="C216" s="49" t="s">
        <v>229</v>
      </c>
      <c r="D216" s="119">
        <v>366</v>
      </c>
      <c r="M216" s="3"/>
      <c r="N216" s="3"/>
      <c r="O216" s="3"/>
      <c r="P216" s="3"/>
      <c r="Q216" s="4"/>
      <c r="R216" s="4"/>
    </row>
    <row r="217" spans="1:18" ht="15">
      <c r="A217" s="6"/>
      <c r="B217" s="14"/>
      <c r="C217" s="49"/>
      <c r="D217" s="119"/>
      <c r="M217" s="3"/>
      <c r="N217" s="3"/>
      <c r="O217" s="3"/>
      <c r="P217" s="3"/>
      <c r="Q217" s="4"/>
      <c r="R217" s="4"/>
    </row>
    <row r="218" spans="1:18" ht="15">
      <c r="A218" s="6">
        <f>A216+1</f>
        <v>105</v>
      </c>
      <c r="B218" s="14" t="s">
        <v>136</v>
      </c>
      <c r="C218" s="49" t="s">
        <v>230</v>
      </c>
      <c r="D218" s="119">
        <v>444</v>
      </c>
      <c r="M218" s="3"/>
      <c r="N218" s="3"/>
      <c r="O218" s="3"/>
      <c r="P218" s="3"/>
      <c r="Q218" s="4"/>
      <c r="R218" s="4"/>
    </row>
    <row r="219" spans="1:18" ht="15">
      <c r="A219" s="6"/>
      <c r="B219" s="14"/>
      <c r="C219" s="49"/>
      <c r="D219" s="119"/>
      <c r="M219" s="3"/>
      <c r="N219" s="3"/>
      <c r="O219" s="3"/>
      <c r="P219" s="3"/>
      <c r="Q219" s="4"/>
      <c r="R219" s="4"/>
    </row>
    <row r="220" spans="1:18" ht="15">
      <c r="A220" s="6">
        <f>A218+1</f>
        <v>106</v>
      </c>
      <c r="B220" s="14" t="s">
        <v>137</v>
      </c>
      <c r="C220" s="49" t="s">
        <v>230</v>
      </c>
      <c r="D220" s="119">
        <v>355</v>
      </c>
      <c r="M220" s="3"/>
      <c r="N220" s="3"/>
      <c r="O220" s="3"/>
      <c r="P220" s="3"/>
      <c r="Q220" s="4"/>
      <c r="R220" s="4"/>
    </row>
    <row r="221" spans="1:18" ht="15">
      <c r="A221" s="6"/>
      <c r="B221" s="14"/>
      <c r="C221" s="49"/>
      <c r="D221" s="119"/>
      <c r="M221" s="3"/>
      <c r="N221" s="3"/>
      <c r="O221" s="3"/>
      <c r="P221" s="3"/>
      <c r="Q221" s="4"/>
      <c r="R221" s="4"/>
    </row>
    <row r="222" spans="1:18" ht="15">
      <c r="A222" s="6">
        <f>A220+1</f>
        <v>107</v>
      </c>
      <c r="B222" s="14" t="s">
        <v>138</v>
      </c>
      <c r="C222" s="49" t="s">
        <v>229</v>
      </c>
      <c r="D222" s="119">
        <v>375</v>
      </c>
      <c r="M222" s="3"/>
      <c r="N222" s="3"/>
      <c r="O222" s="3"/>
      <c r="P222" s="3"/>
      <c r="Q222" s="4"/>
      <c r="R222" s="4"/>
    </row>
    <row r="223" spans="1:18" ht="15">
      <c r="A223" s="6"/>
      <c r="B223" s="14"/>
      <c r="C223" s="49"/>
      <c r="D223" s="119"/>
      <c r="M223" s="3"/>
      <c r="N223" s="3"/>
      <c r="O223" s="3"/>
      <c r="P223" s="3"/>
      <c r="Q223" s="4"/>
      <c r="R223" s="4"/>
    </row>
    <row r="224" spans="1:18" ht="15">
      <c r="A224" s="6">
        <f>A222+1</f>
        <v>108</v>
      </c>
      <c r="B224" s="14" t="s">
        <v>139</v>
      </c>
      <c r="C224" s="49" t="s">
        <v>231</v>
      </c>
      <c r="D224" s="119">
        <v>374.49</v>
      </c>
      <c r="M224" s="3"/>
      <c r="N224" s="3"/>
      <c r="O224" s="3"/>
      <c r="P224" s="3"/>
      <c r="Q224" s="4"/>
      <c r="R224" s="4"/>
    </row>
    <row r="225" spans="1:18" ht="15">
      <c r="A225" s="6"/>
      <c r="B225" s="14"/>
      <c r="C225" s="49"/>
      <c r="D225" s="122"/>
      <c r="M225" s="3"/>
      <c r="N225" s="3"/>
      <c r="O225" s="3"/>
      <c r="P225" s="3"/>
      <c r="Q225" s="4"/>
      <c r="R225" s="4"/>
    </row>
    <row r="226" spans="1:18" ht="15.5" thickBot="1">
      <c r="A226" s="6">
        <f>A224+1</f>
        <v>109</v>
      </c>
      <c r="B226" s="15" t="s">
        <v>48</v>
      </c>
      <c r="C226" s="51" t="s">
        <v>228</v>
      </c>
      <c r="D226" s="123">
        <v>434</v>
      </c>
      <c r="M226" s="3"/>
      <c r="N226" s="3"/>
      <c r="O226" s="3"/>
      <c r="P226" s="3"/>
      <c r="Q226" s="4"/>
      <c r="R226" s="4"/>
    </row>
    <row r="227" spans="1:18" ht="15">
      <c r="A227" s="6"/>
      <c r="B227" s="14"/>
      <c r="C227" s="14"/>
      <c r="D227" s="123"/>
      <c r="M227" s="3"/>
      <c r="N227" s="3"/>
      <c r="O227" s="3"/>
      <c r="P227" s="3"/>
      <c r="Q227" s="4"/>
      <c r="R227" s="4"/>
    </row>
    <row r="228" spans="1:18" ht="15">
      <c r="A228" s="6">
        <f>A226+1</f>
        <v>110</v>
      </c>
      <c r="B228" s="14" t="s">
        <v>140</v>
      </c>
      <c r="C228" s="57" t="s">
        <v>239</v>
      </c>
      <c r="D228" s="123">
        <v>406</v>
      </c>
      <c r="M228" s="3"/>
      <c r="N228" s="3"/>
      <c r="O228" s="3"/>
      <c r="P228" s="3"/>
      <c r="Q228" s="4"/>
      <c r="R228" s="4"/>
    </row>
    <row r="229" spans="1:18" ht="15">
      <c r="A229" s="6"/>
      <c r="B229" s="14"/>
      <c r="C229" s="57"/>
      <c r="D229" s="123"/>
      <c r="M229" s="3"/>
      <c r="N229" s="3"/>
      <c r="O229" s="3"/>
      <c r="P229" s="3"/>
      <c r="Q229" s="4"/>
      <c r="R229" s="4"/>
    </row>
    <row r="230" spans="1:18" ht="15">
      <c r="A230" s="6">
        <f>A228+1</f>
        <v>111</v>
      </c>
      <c r="B230" s="14" t="s">
        <v>141</v>
      </c>
      <c r="C230" s="57" t="s">
        <v>231</v>
      </c>
      <c r="D230" s="123">
        <v>390</v>
      </c>
      <c r="M230" s="3"/>
      <c r="N230" s="3"/>
      <c r="O230" s="3"/>
      <c r="P230" s="3"/>
      <c r="Q230" s="4"/>
      <c r="R230" s="4"/>
    </row>
    <row r="231" spans="1:18" ht="15">
      <c r="A231" s="6"/>
      <c r="B231" s="14"/>
      <c r="C231" s="57"/>
      <c r="D231" s="123"/>
      <c r="M231" s="3"/>
      <c r="N231" s="3"/>
      <c r="O231" s="3"/>
      <c r="P231" s="3"/>
      <c r="Q231" s="4"/>
      <c r="R231" s="4"/>
    </row>
    <row r="232" spans="1:18" ht="15">
      <c r="A232" s="6">
        <f>A230+1</f>
        <v>112</v>
      </c>
      <c r="B232" s="14" t="s">
        <v>142</v>
      </c>
      <c r="C232" s="57" t="s">
        <v>237</v>
      </c>
      <c r="D232" s="123">
        <v>276.49200000000002</v>
      </c>
      <c r="M232" s="3"/>
      <c r="N232" s="3"/>
      <c r="O232" s="3"/>
      <c r="P232" s="3"/>
      <c r="Q232" s="4"/>
      <c r="R232" s="4"/>
    </row>
    <row r="233" spans="1:18" ht="15">
      <c r="A233" s="6"/>
      <c r="B233" s="14"/>
      <c r="C233" s="57"/>
      <c r="D233" s="122"/>
      <c r="M233" s="3"/>
      <c r="N233" s="3"/>
      <c r="O233" s="3"/>
      <c r="P233" s="3"/>
      <c r="Q233" s="4"/>
      <c r="R233" s="4"/>
    </row>
    <row r="234" spans="1:18" ht="15">
      <c r="A234" s="6">
        <v>113</v>
      </c>
      <c r="B234" s="15" t="s">
        <v>54</v>
      </c>
      <c r="C234" s="57" t="s">
        <v>246</v>
      </c>
      <c r="D234" s="124">
        <v>397</v>
      </c>
      <c r="M234" s="3"/>
      <c r="N234" s="3"/>
      <c r="O234" s="3"/>
      <c r="P234" s="3"/>
      <c r="Q234" s="4"/>
      <c r="R234" s="4"/>
    </row>
    <row r="235" spans="1:18" ht="15">
      <c r="A235" s="6"/>
      <c r="B235" s="57"/>
      <c r="C235" s="57"/>
      <c r="D235" s="124"/>
      <c r="M235" s="3"/>
      <c r="N235" s="3"/>
      <c r="O235" s="3"/>
      <c r="P235" s="3"/>
      <c r="Q235" s="4"/>
      <c r="R235" s="4"/>
    </row>
    <row r="236" spans="1:18" ht="15">
      <c r="A236" s="6">
        <f>A234+1</f>
        <v>114</v>
      </c>
      <c r="B236" s="14" t="s">
        <v>143</v>
      </c>
      <c r="C236" s="57" t="s">
        <v>278</v>
      </c>
      <c r="D236" s="124">
        <v>380</v>
      </c>
      <c r="M236" s="3"/>
      <c r="N236" s="3"/>
      <c r="O236" s="3"/>
      <c r="P236" s="3"/>
      <c r="Q236" s="4"/>
      <c r="R236" s="4"/>
    </row>
    <row r="237" spans="1:18" ht="15">
      <c r="A237" s="6"/>
      <c r="B237" s="14"/>
      <c r="C237" s="57"/>
      <c r="D237" s="124"/>
      <c r="M237" s="3"/>
      <c r="N237" s="3"/>
      <c r="O237" s="3"/>
      <c r="P237" s="3"/>
      <c r="Q237" s="4"/>
      <c r="R237" s="4"/>
    </row>
    <row r="238" spans="1:18" ht="15">
      <c r="A238" s="6">
        <f>A236+1</f>
        <v>115</v>
      </c>
      <c r="B238" s="14" t="s">
        <v>144</v>
      </c>
      <c r="C238" s="57" t="s">
        <v>229</v>
      </c>
      <c r="D238" s="124">
        <v>342</v>
      </c>
      <c r="M238" s="3"/>
      <c r="N238" s="3"/>
      <c r="O238" s="3"/>
      <c r="P238" s="3"/>
      <c r="Q238" s="4"/>
      <c r="R238" s="4"/>
    </row>
    <row r="239" spans="1:18" ht="15">
      <c r="A239" s="6"/>
      <c r="B239" s="14"/>
      <c r="C239" s="57"/>
      <c r="D239" s="124"/>
      <c r="M239" s="3"/>
      <c r="N239" s="3"/>
      <c r="O239" s="3"/>
      <c r="P239" s="3"/>
      <c r="Q239" s="4"/>
      <c r="R239" s="4"/>
    </row>
    <row r="240" spans="1:18" ht="15">
      <c r="A240" s="6">
        <f>A238+1</f>
        <v>116</v>
      </c>
      <c r="B240" s="14" t="s">
        <v>145</v>
      </c>
      <c r="C240" s="57" t="s">
        <v>231</v>
      </c>
      <c r="D240" s="124">
        <v>416.81</v>
      </c>
      <c r="M240" s="3"/>
      <c r="N240" s="3"/>
      <c r="O240" s="3"/>
      <c r="P240" s="3"/>
      <c r="Q240" s="4"/>
      <c r="R240" s="4"/>
    </row>
    <row r="241" spans="1:18" ht="15">
      <c r="A241" s="6"/>
      <c r="B241" s="57"/>
      <c r="C241" s="57"/>
      <c r="D241" s="124"/>
      <c r="M241" s="3"/>
      <c r="N241" s="3"/>
      <c r="O241" s="3"/>
      <c r="P241" s="3"/>
      <c r="Q241" s="4"/>
      <c r="R241" s="4"/>
    </row>
    <row r="242" spans="1:18" ht="15">
      <c r="A242" s="6">
        <f>A240+1</f>
        <v>117</v>
      </c>
      <c r="B242" s="15" t="s">
        <v>147</v>
      </c>
      <c r="C242" s="57" t="s">
        <v>291</v>
      </c>
      <c r="D242" s="124">
        <v>203.90199999999999</v>
      </c>
      <c r="M242" s="3"/>
      <c r="N242" s="3"/>
      <c r="O242" s="3"/>
      <c r="P242" s="3"/>
      <c r="Q242" s="4"/>
      <c r="R242" s="4"/>
    </row>
    <row r="243" spans="1:18" ht="15">
      <c r="A243" s="6"/>
      <c r="B243" s="57"/>
      <c r="C243" s="57"/>
      <c r="D243" s="124"/>
      <c r="M243" s="3"/>
      <c r="N243" s="3"/>
      <c r="O243" s="3"/>
      <c r="P243" s="3"/>
      <c r="Q243" s="4"/>
      <c r="R243" s="4"/>
    </row>
    <row r="244" spans="1:18" ht="15">
      <c r="A244" s="6">
        <f>A242+1</f>
        <v>118</v>
      </c>
      <c r="B244" s="15" t="s">
        <v>149</v>
      </c>
      <c r="C244" s="57" t="s">
        <v>291</v>
      </c>
      <c r="D244" s="124">
        <v>382</v>
      </c>
      <c r="M244" s="3"/>
      <c r="N244" s="3"/>
      <c r="O244" s="3"/>
      <c r="P244" s="3"/>
      <c r="Q244" s="4"/>
      <c r="R244" s="4"/>
    </row>
    <row r="245" spans="1:18" ht="15">
      <c r="A245" s="6"/>
      <c r="B245" s="57"/>
      <c r="C245" s="57"/>
      <c r="D245" s="124"/>
      <c r="M245" s="3"/>
      <c r="N245" s="3"/>
      <c r="O245" s="3"/>
      <c r="P245" s="3"/>
      <c r="Q245" s="4"/>
      <c r="R245" s="4"/>
    </row>
    <row r="246" spans="1:18" ht="15">
      <c r="A246" s="6">
        <f>A244+1</f>
        <v>119</v>
      </c>
      <c r="B246" s="74" t="s">
        <v>293</v>
      </c>
      <c r="C246" s="57" t="s">
        <v>231</v>
      </c>
      <c r="D246" s="124">
        <v>320.79599999999999</v>
      </c>
      <c r="M246" s="3"/>
      <c r="N246" s="3"/>
      <c r="O246" s="3"/>
      <c r="P246" s="3"/>
      <c r="Q246" s="4"/>
      <c r="R246" s="4"/>
    </row>
    <row r="247" spans="1:18" ht="15">
      <c r="A247" s="6"/>
      <c r="B247" s="57"/>
      <c r="C247" s="57"/>
      <c r="D247" s="124"/>
      <c r="M247" s="3"/>
      <c r="N247" s="3"/>
      <c r="O247" s="3"/>
      <c r="P247" s="3"/>
      <c r="Q247" s="4"/>
      <c r="R247" s="4"/>
    </row>
    <row r="248" spans="1:18" ht="15">
      <c r="A248" s="6">
        <f>A246+1</f>
        <v>120</v>
      </c>
      <c r="B248" s="15" t="s">
        <v>150</v>
      </c>
      <c r="C248" s="57" t="s">
        <v>236</v>
      </c>
      <c r="D248" s="124">
        <v>414</v>
      </c>
      <c r="M248" s="3"/>
      <c r="N248" s="3"/>
      <c r="O248" s="3"/>
      <c r="P248" s="3"/>
      <c r="Q248" s="4"/>
      <c r="R248" s="4"/>
    </row>
    <row r="249" spans="1:18" ht="15">
      <c r="A249" s="6"/>
      <c r="B249" s="57"/>
      <c r="C249" s="57"/>
      <c r="D249" s="124"/>
      <c r="M249" s="3"/>
      <c r="N249" s="3"/>
      <c r="O249" s="3"/>
      <c r="P249" s="3"/>
      <c r="Q249" s="4"/>
      <c r="R249" s="4"/>
    </row>
    <row r="250" spans="1:18" ht="15">
      <c r="A250" s="6">
        <f>A248+1</f>
        <v>121</v>
      </c>
      <c r="B250" s="74" t="s">
        <v>295</v>
      </c>
      <c r="C250" s="57" t="s">
        <v>239</v>
      </c>
      <c r="D250" s="124">
        <v>425</v>
      </c>
      <c r="M250" s="3"/>
      <c r="N250" s="3"/>
      <c r="O250" s="3"/>
      <c r="P250" s="3"/>
      <c r="Q250" s="4"/>
      <c r="R250" s="4"/>
    </row>
    <row r="251" spans="1:18" ht="15">
      <c r="A251" s="6"/>
      <c r="B251" s="57"/>
      <c r="C251" s="57"/>
      <c r="D251" s="124"/>
      <c r="M251" s="3"/>
      <c r="N251" s="3"/>
      <c r="O251" s="3"/>
      <c r="P251" s="3"/>
      <c r="Q251" s="4"/>
      <c r="R251" s="4"/>
    </row>
    <row r="252" spans="1:18" ht="15">
      <c r="A252" s="75">
        <f>A250+1</f>
        <v>122</v>
      </c>
      <c r="B252" s="74" t="s">
        <v>296</v>
      </c>
      <c r="C252" s="57" t="s">
        <v>229</v>
      </c>
      <c r="D252" s="124">
        <v>373</v>
      </c>
      <c r="M252" s="3"/>
      <c r="N252" s="3"/>
      <c r="O252" s="3"/>
      <c r="P252" s="3"/>
    </row>
    <row r="253" spans="1:18" ht="15">
      <c r="A253" s="6"/>
      <c r="B253" s="57"/>
      <c r="C253" s="57"/>
      <c r="D253" s="124"/>
      <c r="M253" s="3"/>
      <c r="N253" s="3"/>
      <c r="O253" s="3"/>
      <c r="P253" s="3"/>
      <c r="Q253" s="4"/>
      <c r="R253" s="4"/>
    </row>
    <row r="254" spans="1:18" ht="15">
      <c r="A254" s="75">
        <f>A252+1</f>
        <v>123</v>
      </c>
      <c r="B254" s="74" t="s">
        <v>297</v>
      </c>
      <c r="C254" s="57" t="s">
        <v>229</v>
      </c>
      <c r="D254" s="124">
        <v>357</v>
      </c>
    </row>
    <row r="255" spans="1:18" ht="15">
      <c r="A255" s="75"/>
      <c r="B255" s="57"/>
      <c r="C255" s="57"/>
      <c r="D255" s="124"/>
    </row>
    <row r="256" spans="1:18" ht="15">
      <c r="A256" s="75">
        <f>A254+1</f>
        <v>124</v>
      </c>
      <c r="B256" s="74" t="s">
        <v>298</v>
      </c>
      <c r="C256" s="57" t="s">
        <v>229</v>
      </c>
      <c r="D256" s="124">
        <v>372.20100000000002</v>
      </c>
    </row>
    <row r="257" spans="1:4" ht="15">
      <c r="A257" s="75"/>
      <c r="B257" s="57"/>
      <c r="C257" s="57"/>
      <c r="D257" s="124"/>
    </row>
    <row r="258" spans="1:4" ht="15">
      <c r="A258" s="75">
        <f>A256+1</f>
        <v>125</v>
      </c>
      <c r="B258" s="15" t="s">
        <v>304</v>
      </c>
      <c r="C258" s="57" t="s">
        <v>236</v>
      </c>
      <c r="D258" s="124">
        <v>358.08600000000001</v>
      </c>
    </row>
    <row r="259" spans="1:4">
      <c r="A259" s="75"/>
      <c r="B259" s="76"/>
      <c r="C259" s="76"/>
      <c r="D259" s="125"/>
    </row>
    <row r="260" spans="1:4" ht="18.5">
      <c r="A260" s="75">
        <f>A258+1</f>
        <v>126</v>
      </c>
      <c r="B260" s="15" t="s">
        <v>305</v>
      </c>
      <c r="C260" s="77" t="s">
        <v>281</v>
      </c>
      <c r="D260" s="124">
        <v>278.70400000000001</v>
      </c>
    </row>
    <row r="261" spans="1:4" ht="18">
      <c r="A261" s="75"/>
      <c r="B261" s="78"/>
      <c r="C261" s="79"/>
      <c r="D261" s="125"/>
    </row>
    <row r="262" spans="1:4" ht="18.5">
      <c r="A262" s="75">
        <f>A260+1</f>
        <v>127</v>
      </c>
      <c r="B262" s="15" t="s">
        <v>306</v>
      </c>
      <c r="C262" s="77" t="s">
        <v>281</v>
      </c>
      <c r="D262" s="124">
        <v>135.00800000000001</v>
      </c>
    </row>
    <row r="263" spans="1:4">
      <c r="D263" s="52">
        <f>SUM(D10:D262)</f>
        <v>47836.987999999998</v>
      </c>
    </row>
    <row r="264" spans="1:4">
      <c r="B264" s="2" t="s">
        <v>334</v>
      </c>
      <c r="C264" t="s">
        <v>60</v>
      </c>
    </row>
  </sheetData>
  <autoFilter ref="B10:B264" xr:uid="{00000000-0009-0000-0000-000007000000}"/>
  <mergeCells count="7">
    <mergeCell ref="F26:S26"/>
    <mergeCell ref="A6:F6"/>
    <mergeCell ref="F10:S10"/>
    <mergeCell ref="A8:A9"/>
    <mergeCell ref="B8:B9"/>
    <mergeCell ref="C8:C9"/>
    <mergeCell ref="D8:D9"/>
  </mergeCells>
  <conditionalFormatting sqref="D10:D37 D132:D169">
    <cfRule type="cellIs" dxfId="1" priority="1" stopIfTrue="1" operator="greaterThan">
      <formula>600</formula>
    </cfRule>
  </conditionalFormatting>
  <pageMargins left="0.70866141732283472" right="0.70866141732283472" top="0.94488188976377963" bottom="0.15748031496062992" header="0.31496062992125984" footer="0.31496062992125984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6:AA264"/>
  <sheetViews>
    <sheetView topLeftCell="A22" zoomScale="83" zoomScaleNormal="80" workbookViewId="0">
      <selection activeCell="C89" sqref="C89"/>
    </sheetView>
  </sheetViews>
  <sheetFormatPr defaultColWidth="9.1796875" defaultRowHeight="14.5"/>
  <cols>
    <col min="1" max="1" width="9.1796875" style="2"/>
    <col min="2" max="2" width="9.81640625" style="2" customWidth="1"/>
    <col min="3" max="3" width="14.54296875" customWidth="1"/>
    <col min="4" max="4" width="10.453125" style="52" bestFit="1" customWidth="1"/>
  </cols>
  <sheetData>
    <row r="6" spans="1:27">
      <c r="A6" s="756" t="s">
        <v>159</v>
      </c>
      <c r="B6" s="756"/>
      <c r="C6" s="756"/>
      <c r="D6" s="756"/>
      <c r="E6" s="756"/>
      <c r="F6" s="756"/>
    </row>
    <row r="7" spans="1:27" ht="15" thickBot="1"/>
    <row r="8" spans="1:27" ht="15" customHeight="1">
      <c r="A8" s="757" t="s">
        <v>12</v>
      </c>
      <c r="B8" s="759" t="s">
        <v>13</v>
      </c>
      <c r="C8" s="761" t="s">
        <v>14</v>
      </c>
      <c r="D8" s="763" t="s">
        <v>15</v>
      </c>
    </row>
    <row r="9" spans="1:27" ht="15" thickBot="1">
      <c r="A9" s="758"/>
      <c r="B9" s="760"/>
      <c r="C9" s="762"/>
      <c r="D9" s="764"/>
    </row>
    <row r="10" spans="1:27" ht="19.399999999999999" customHeight="1" thickBot="1">
      <c r="A10" s="5">
        <v>1</v>
      </c>
      <c r="B10" s="13" t="s">
        <v>23</v>
      </c>
      <c r="C10" s="57" t="s">
        <v>245</v>
      </c>
      <c r="D10" s="60">
        <v>249.63499999999999</v>
      </c>
      <c r="E10" s="16" t="s">
        <v>151</v>
      </c>
      <c r="F10" s="765"/>
      <c r="G10" s="753"/>
      <c r="H10" s="753"/>
      <c r="I10" s="753"/>
      <c r="J10" s="753"/>
      <c r="K10" s="754"/>
      <c r="L10" s="754"/>
      <c r="M10" s="754"/>
      <c r="N10" s="754"/>
      <c r="O10" s="754"/>
      <c r="P10" s="754"/>
      <c r="Q10" s="754"/>
      <c r="R10" s="754"/>
      <c r="S10" s="755"/>
    </row>
    <row r="11" spans="1:27" ht="19.399999999999999" customHeight="1">
      <c r="A11" s="1"/>
      <c r="B11" s="14"/>
      <c r="C11" s="57"/>
      <c r="D11" s="60"/>
      <c r="F11" s="81" t="s">
        <v>154</v>
      </c>
      <c r="G11" s="17" t="s">
        <v>155</v>
      </c>
      <c r="H11" s="17" t="s">
        <v>156</v>
      </c>
      <c r="I11" s="17" t="s">
        <v>157</v>
      </c>
      <c r="J11" s="17" t="s">
        <v>158</v>
      </c>
      <c r="K11" s="17" t="s">
        <v>0</v>
      </c>
      <c r="L11" s="17" t="s">
        <v>152</v>
      </c>
      <c r="M11" s="17" t="s">
        <v>7</v>
      </c>
      <c r="N11" s="17" t="s">
        <v>153</v>
      </c>
      <c r="O11" s="17" t="s">
        <v>3</v>
      </c>
      <c r="P11" s="17" t="s">
        <v>1</v>
      </c>
      <c r="Q11" s="17" t="s">
        <v>9</v>
      </c>
      <c r="R11" s="17"/>
      <c r="S11" s="18" t="s">
        <v>11</v>
      </c>
    </row>
    <row r="12" spans="1:27" ht="19.399999999999999" customHeight="1">
      <c r="A12" s="1">
        <v>2</v>
      </c>
      <c r="B12" s="15" t="s">
        <v>24</v>
      </c>
      <c r="C12" s="57" t="s">
        <v>279</v>
      </c>
      <c r="D12" s="60">
        <v>425</v>
      </c>
      <c r="E12" s="80" t="s">
        <v>307</v>
      </c>
      <c r="F12" s="82">
        <f>COUNTIF($C$10:$C$253,"1DA-0")</f>
        <v>0</v>
      </c>
      <c r="G12" s="24">
        <f>COUNTIF($C$10:$C$253,"1DA-1.5")</f>
        <v>3</v>
      </c>
      <c r="H12" s="24">
        <f>COUNTIF($C$10:$C$253,"1DA-3")</f>
        <v>18</v>
      </c>
      <c r="I12" s="24">
        <f>COUNTIF($C$10:$C$253,"1DA-4.5")</f>
        <v>0</v>
      </c>
      <c r="J12" s="24">
        <f>COUNTIF($C$10:$C$253,"1DA-6")</f>
        <v>0</v>
      </c>
      <c r="K12" s="24">
        <f>COUNTIF($C$10:$C$253,"1DA+0")</f>
        <v>34</v>
      </c>
      <c r="L12" s="24">
        <f>COUNTIF($C$10:$C$253,"1DA+1.5")</f>
        <v>0</v>
      </c>
      <c r="M12" s="24">
        <f>COUNTIF($C$10:$C$253,"1DA+3")</f>
        <v>19</v>
      </c>
      <c r="N12" s="24">
        <f>COUNTIF($C$10:$C$253,"1DA+4.5")</f>
        <v>0</v>
      </c>
      <c r="O12" s="24">
        <f>COUNTIF($C$10:$C$253,"1DA+6")</f>
        <v>7</v>
      </c>
      <c r="P12" s="24">
        <f>COUNTIF($C$10:$C$253,"1DA+9")</f>
        <v>6</v>
      </c>
      <c r="Q12" s="24">
        <f>COUNTIF($C$10:$C$253,"1DA+18")</f>
        <v>0</v>
      </c>
      <c r="R12" s="10"/>
      <c r="S12" s="21">
        <f t="shared" ref="S12:S18" si="0">SUM(F12:R12)</f>
        <v>87</v>
      </c>
      <c r="T12" s="66">
        <f>S28-S12</f>
        <v>2</v>
      </c>
    </row>
    <row r="13" spans="1:27" ht="16" thickBot="1">
      <c r="A13" s="1"/>
      <c r="B13" s="14"/>
      <c r="C13" s="57"/>
      <c r="D13" s="60"/>
      <c r="E13" s="80" t="s">
        <v>308</v>
      </c>
      <c r="F13" s="82">
        <f>COUNTIF($C$10:$C$253,"1DB1-0")</f>
        <v>0</v>
      </c>
      <c r="G13" s="24">
        <f>COUNTIF($C$10:$C$253,"1DB1-1.5")</f>
        <v>0</v>
      </c>
      <c r="H13" s="24">
        <f>COUNTIF($C$10:$C$253,"1DB1-3")</f>
        <v>1</v>
      </c>
      <c r="I13" s="24">
        <f>COUNTIF($C$10:$C$253,"1DB1-4.5")</f>
        <v>0</v>
      </c>
      <c r="J13" s="24">
        <f>COUNTIF($C$10:$C$253,"1DB1-6")</f>
        <v>0</v>
      </c>
      <c r="K13" s="24">
        <f>COUNTIF($C$10:$C$253,"1DB1+0")</f>
        <v>7</v>
      </c>
      <c r="L13" s="24">
        <f>COUNTIF($C$10:$C$253,"1DB1+1.5")</f>
        <v>0</v>
      </c>
      <c r="M13" s="24">
        <f>COUNTIF($C$10:$C$253,"1DB1+3")</f>
        <v>1</v>
      </c>
      <c r="N13" s="24">
        <f>COUNTIF($C$10:$C$253,"1DB1+4.5")</f>
        <v>0</v>
      </c>
      <c r="O13" s="24">
        <f>COUNTIF($C$10:$C$253,"1DB1+6")</f>
        <v>1</v>
      </c>
      <c r="P13" s="24">
        <f>COUNTIF($C$10:$C$253,"1DB1+9")</f>
        <v>4</v>
      </c>
      <c r="Q13" s="24">
        <f>COUNTIF($C$10:$C$253,"1DB1+18")</f>
        <v>0</v>
      </c>
      <c r="R13" s="10"/>
      <c r="S13" s="21">
        <f t="shared" si="0"/>
        <v>14</v>
      </c>
      <c r="T13" s="66">
        <f t="shared" ref="T13:T18" si="1">S29-S13</f>
        <v>0</v>
      </c>
      <c r="U13" s="6">
        <v>113</v>
      </c>
      <c r="V13" s="15" t="s">
        <v>54</v>
      </c>
      <c r="W13" s="63" t="s">
        <v>245</v>
      </c>
      <c r="Y13" s="57" t="s">
        <v>289</v>
      </c>
      <c r="Z13" s="57" t="s">
        <v>242</v>
      </c>
      <c r="AA13" s="67">
        <v>73.125</v>
      </c>
    </row>
    <row r="14" spans="1:27" ht="15.5">
      <c r="A14" s="1">
        <v>3</v>
      </c>
      <c r="B14" s="14" t="s">
        <v>74</v>
      </c>
      <c r="C14" s="46" t="s">
        <v>231</v>
      </c>
      <c r="D14" s="60">
        <v>425</v>
      </c>
      <c r="E14" s="80" t="s">
        <v>309</v>
      </c>
      <c r="F14" s="82">
        <f>COUNTIF($C$10:$C$253,"1DB2-0")</f>
        <v>0</v>
      </c>
      <c r="G14" s="24">
        <f>COUNTIF($C$10:$C$253,"1DB2-1.5")</f>
        <v>0</v>
      </c>
      <c r="H14" s="24">
        <f>COUNTIF($C$10:$C$253,"1DB2-3")</f>
        <v>0</v>
      </c>
      <c r="I14" s="24">
        <f>COUNTIF($C$10:$C$253,"1DB2-4.5")</f>
        <v>0</v>
      </c>
      <c r="J14" s="24">
        <f>COUNTIF($C$10:$C$253,"1DB2-6")</f>
        <v>0</v>
      </c>
      <c r="K14" s="24">
        <f>COUNTIF($C$10:$C$253,"1DB2+0")</f>
        <v>1</v>
      </c>
      <c r="L14" s="24">
        <f>COUNTIF($C$10:$C$253,"1DB2+1.5")</f>
        <v>0</v>
      </c>
      <c r="M14" s="24">
        <f>COUNTIF($C$10:$C$253,"1DB2+3")</f>
        <v>2</v>
      </c>
      <c r="N14" s="24">
        <f>COUNTIF($C$10:$C$253,"1DB2+4.5")</f>
        <v>0</v>
      </c>
      <c r="O14" s="24">
        <f>COUNTIF($C$10:$C$253,"1DB2+6")</f>
        <v>0</v>
      </c>
      <c r="P14" s="24">
        <f>COUNTIF($C$10:$C$253,"1DB2+9")</f>
        <v>1</v>
      </c>
      <c r="Q14" s="24">
        <f>COUNTIF($C$10:$C$253,"1DB2+18")</f>
        <v>0</v>
      </c>
      <c r="R14" s="10"/>
      <c r="S14" s="21">
        <f t="shared" si="0"/>
        <v>4</v>
      </c>
      <c r="T14" s="66">
        <f t="shared" si="1"/>
        <v>0</v>
      </c>
      <c r="U14" s="6"/>
      <c r="V14" s="14"/>
      <c r="W14" s="14"/>
      <c r="Y14" s="57"/>
      <c r="Z14" s="57"/>
      <c r="AA14" s="67"/>
    </row>
    <row r="15" spans="1:27" ht="15.5">
      <c r="A15" s="1"/>
      <c r="B15" s="14"/>
      <c r="C15" s="57"/>
      <c r="D15" s="60"/>
      <c r="E15" s="80" t="s">
        <v>310</v>
      </c>
      <c r="F15" s="82">
        <f>COUNTIF($C$10:$C$253,"1DC1-0")</f>
        <v>0</v>
      </c>
      <c r="G15" s="24">
        <f>COUNTIF($C$10:$C$253,"1DC1-1.5")</f>
        <v>0</v>
      </c>
      <c r="H15" s="24">
        <f>COUNTIF($C$10:$C$253,"1DC1-3")</f>
        <v>1</v>
      </c>
      <c r="I15" s="24">
        <f>COUNTIF($C$10:$C$253,"1DC1-4.5")</f>
        <v>0</v>
      </c>
      <c r="J15" s="24">
        <f>COUNTIF($C$10:$C$253,"1DC1-6")</f>
        <v>0</v>
      </c>
      <c r="K15" s="24">
        <f>COUNTIF($C$10:$C$253,"1DC1+0")</f>
        <v>2</v>
      </c>
      <c r="L15" s="24">
        <f>COUNTIF($C$10:$C$253,"1DC1+1.5")</f>
        <v>0</v>
      </c>
      <c r="M15" s="24">
        <f>COUNTIF($C$10:$C$253,"1DC1+3")</f>
        <v>2</v>
      </c>
      <c r="N15" s="24">
        <f>COUNTIF($C$10:$C$253,"1DC1+4.5")</f>
        <v>0</v>
      </c>
      <c r="O15" s="24">
        <f>COUNTIF($C$10:$C$253,"1DC1+6")</f>
        <v>2</v>
      </c>
      <c r="P15" s="24">
        <f>COUNTIF($C$10:$C$253,"1DC1+9")</f>
        <v>0</v>
      </c>
      <c r="Q15" s="24">
        <f>COUNTIF($C$10:$C$253,"1DC1+18")</f>
        <v>0</v>
      </c>
      <c r="R15" s="10"/>
      <c r="S15" s="21">
        <f t="shared" si="0"/>
        <v>7</v>
      </c>
      <c r="T15" s="66">
        <f t="shared" si="1"/>
        <v>0</v>
      </c>
      <c r="U15" s="6">
        <f>U13+1</f>
        <v>114</v>
      </c>
      <c r="V15" s="14" t="s">
        <v>143</v>
      </c>
      <c r="W15" s="14" t="s">
        <v>229</v>
      </c>
      <c r="Y15" s="57" t="s">
        <v>143</v>
      </c>
      <c r="Z15" s="57" t="s">
        <v>229</v>
      </c>
      <c r="AA15" s="67">
        <v>71.430000000000007</v>
      </c>
    </row>
    <row r="16" spans="1:27" ht="15.5">
      <c r="A16" s="1">
        <v>4</v>
      </c>
      <c r="B16" s="14" t="s">
        <v>75</v>
      </c>
      <c r="C16" s="46" t="s">
        <v>239</v>
      </c>
      <c r="D16" s="60">
        <v>390</v>
      </c>
      <c r="E16" s="80" t="s">
        <v>311</v>
      </c>
      <c r="F16" s="82">
        <f>COUNTIF($C$10:$C$253,"1DC2-0")</f>
        <v>0</v>
      </c>
      <c r="G16" s="24">
        <f>COUNTIF($C$10:$C$253,"1DC2-1.5")</f>
        <v>0</v>
      </c>
      <c r="H16" s="24">
        <f>COUNTIF($C$10:$C$253,"1DC2-3")</f>
        <v>0</v>
      </c>
      <c r="I16" s="24">
        <f>COUNTIF($C$10:$C$253,"1DC2-4.5")</f>
        <v>0</v>
      </c>
      <c r="J16" s="24">
        <f>COUNTIF($C$10:$C$253,"1DC2-6")</f>
        <v>0</v>
      </c>
      <c r="K16" s="24">
        <f>COUNTIF($C$10:$C$253,"1DC2+0")</f>
        <v>3</v>
      </c>
      <c r="L16" s="24">
        <f>COUNTIF($C$10:$C$253,"1DC2+1.5")</f>
        <v>0</v>
      </c>
      <c r="M16" s="24">
        <f>COUNTIF($C$10:$C$253,"1DC2+3")</f>
        <v>1</v>
      </c>
      <c r="N16" s="24">
        <f>COUNTIF($C$10:$C$253,"1DC2+4.5")</f>
        <v>0</v>
      </c>
      <c r="O16" s="24">
        <f>COUNTIF($C$10:$C$253,"1DC2+6")</f>
        <v>2</v>
      </c>
      <c r="P16" s="24">
        <f>COUNTIF($C$10:$C$253,"1DC2+9")</f>
        <v>0</v>
      </c>
      <c r="Q16" s="24">
        <f>COUNTIF($C$10:$C$253,"1DC2+18")</f>
        <v>0</v>
      </c>
      <c r="R16" s="10"/>
      <c r="S16" s="21">
        <f t="shared" si="0"/>
        <v>6</v>
      </c>
      <c r="T16" s="66">
        <f t="shared" si="1"/>
        <v>1</v>
      </c>
      <c r="U16" s="6"/>
      <c r="V16" s="14"/>
      <c r="W16" s="14"/>
      <c r="Y16" s="57"/>
      <c r="Z16" s="57"/>
      <c r="AA16" s="67"/>
    </row>
    <row r="17" spans="1:27" ht="15.5">
      <c r="A17" s="1"/>
      <c r="B17" s="14"/>
      <c r="C17" s="57"/>
      <c r="D17" s="60"/>
      <c r="E17" s="80" t="s">
        <v>312</v>
      </c>
      <c r="F17" s="82">
        <f>COUNTIF($C$10:$C$253,"1DD45-0")</f>
        <v>0</v>
      </c>
      <c r="G17" s="24">
        <f>COUNTIF($C$10:$C$253,"1DD45-1.5")</f>
        <v>0</v>
      </c>
      <c r="H17" s="24">
        <f>COUNTIF($C$10:$C$253,"1DD45-3")</f>
        <v>0</v>
      </c>
      <c r="I17" s="24">
        <f>COUNTIF($C$10:$C$253,"1DD45-4.5")</f>
        <v>0</v>
      </c>
      <c r="J17" s="24">
        <f>COUNTIF($C$10:$C$253,"1DD45-6")</f>
        <v>0</v>
      </c>
      <c r="K17" s="24">
        <f>COUNTIF($C$10:$C$253,"1DD45+0")</f>
        <v>0</v>
      </c>
      <c r="L17" s="24">
        <f>COUNTIF($C$10:$C$253,"1DD45+1.5")</f>
        <v>0</v>
      </c>
      <c r="M17" s="24">
        <f>COUNTIF($C$10:$C$253,"1DD45+3")</f>
        <v>0</v>
      </c>
      <c r="N17" s="24">
        <f>COUNTIF($C$10:$C$253,"1DD45+4.5")</f>
        <v>0</v>
      </c>
      <c r="O17" s="24">
        <f>COUNTIF($C$10:$C$253,"1DD45+6")</f>
        <v>0</v>
      </c>
      <c r="P17" s="24">
        <f>COUNTIF($C$10:$C$253,"1DD45+9")</f>
        <v>0</v>
      </c>
      <c r="Q17" s="24">
        <f>COUNTIF($C$10:$C$253,"1DD45+18")</f>
        <v>2</v>
      </c>
      <c r="R17" s="10"/>
      <c r="S17" s="21">
        <f t="shared" si="0"/>
        <v>2</v>
      </c>
      <c r="T17" s="66">
        <f t="shared" si="1"/>
        <v>0</v>
      </c>
      <c r="U17" s="6">
        <f>U15+1</f>
        <v>115</v>
      </c>
      <c r="V17" s="14" t="s">
        <v>144</v>
      </c>
      <c r="W17" s="14" t="s">
        <v>239</v>
      </c>
      <c r="Y17" s="57" t="s">
        <v>144</v>
      </c>
      <c r="Z17" s="57" t="s">
        <v>229</v>
      </c>
      <c r="AA17" s="67">
        <v>71.430000000000007</v>
      </c>
    </row>
    <row r="18" spans="1:27" ht="16" thickBot="1">
      <c r="A18" s="1">
        <v>5</v>
      </c>
      <c r="B18" s="14" t="s">
        <v>76</v>
      </c>
      <c r="C18" s="46" t="s">
        <v>232</v>
      </c>
      <c r="D18" s="60">
        <v>265</v>
      </c>
      <c r="E18" s="80" t="s">
        <v>313</v>
      </c>
      <c r="F18" s="83">
        <f>COUNTIF($C$10:$C$253,"1DD60-0")</f>
        <v>0</v>
      </c>
      <c r="G18" s="25">
        <f>COUNTIF($C$10:$C$253,"1DD60-1.5")</f>
        <v>0</v>
      </c>
      <c r="H18" s="25">
        <f>COUNTIF($C$10:$C$253,"1DD60-3")</f>
        <v>0</v>
      </c>
      <c r="I18" s="25">
        <f>COUNTIF($C$10:$C$253,"1DD60-4.5")</f>
        <v>0</v>
      </c>
      <c r="J18" s="25">
        <f>COUNTIF($C$10:$C$253,"1DD60-6")</f>
        <v>0</v>
      </c>
      <c r="K18" s="25">
        <f>COUNTIF($C$10:$C$253,"1DD60+0")</f>
        <v>0</v>
      </c>
      <c r="L18" s="25">
        <f>COUNTIF($C$10:$C$253,"1DD60+1.5")</f>
        <v>0</v>
      </c>
      <c r="M18" s="25">
        <f>COUNTIF($C$10:$C$253,"1DD60+3")</f>
        <v>0</v>
      </c>
      <c r="N18" s="25">
        <f>COUNTIF($C$10:$C$253,"1DD60+4.5")</f>
        <v>0</v>
      </c>
      <c r="O18" s="25">
        <f>COUNTIF($C$10:$C$253,"1DD60+6")</f>
        <v>2</v>
      </c>
      <c r="P18" s="25">
        <f>COUNTIF($C$10:$C$253,"1DD60+9")</f>
        <v>0</v>
      </c>
      <c r="Q18" s="25">
        <f>COUNTIF($C$10:$C$253,"1DD60+18")</f>
        <v>0</v>
      </c>
      <c r="R18" s="11"/>
      <c r="S18" s="22">
        <f t="shared" si="0"/>
        <v>2</v>
      </c>
      <c r="T18" s="66">
        <f t="shared" si="1"/>
        <v>2</v>
      </c>
      <c r="U18" s="6"/>
      <c r="V18" s="14"/>
      <c r="W18" s="14"/>
      <c r="Y18" s="57"/>
      <c r="Z18" s="57"/>
      <c r="AA18" s="67"/>
    </row>
    <row r="19" spans="1:27" ht="16" thickBot="1">
      <c r="A19" s="1"/>
      <c r="B19" s="14"/>
      <c r="C19" s="57"/>
      <c r="D19" s="60"/>
      <c r="E19" s="80"/>
      <c r="F19" s="84">
        <f>SUM(F12:F18)</f>
        <v>0</v>
      </c>
      <c r="G19" s="26">
        <f t="shared" ref="G19:S19" si="2">SUM(G12:G18)</f>
        <v>3</v>
      </c>
      <c r="H19" s="26">
        <f t="shared" si="2"/>
        <v>20</v>
      </c>
      <c r="I19" s="26">
        <f t="shared" si="2"/>
        <v>0</v>
      </c>
      <c r="J19" s="26">
        <f t="shared" si="2"/>
        <v>0</v>
      </c>
      <c r="K19" s="26">
        <f t="shared" si="2"/>
        <v>47</v>
      </c>
      <c r="L19" s="26">
        <f t="shared" si="2"/>
        <v>0</v>
      </c>
      <c r="M19" s="26">
        <f t="shared" si="2"/>
        <v>25</v>
      </c>
      <c r="N19" s="26">
        <f t="shared" si="2"/>
        <v>0</v>
      </c>
      <c r="O19" s="26">
        <f t="shared" si="2"/>
        <v>14</v>
      </c>
      <c r="P19" s="26">
        <f t="shared" si="2"/>
        <v>11</v>
      </c>
      <c r="Q19" s="26">
        <f t="shared" si="2"/>
        <v>2</v>
      </c>
      <c r="R19" s="19"/>
      <c r="S19" s="20">
        <f t="shared" si="2"/>
        <v>122</v>
      </c>
      <c r="U19" s="6">
        <f>U17+1</f>
        <v>116</v>
      </c>
      <c r="V19" s="14" t="s">
        <v>145</v>
      </c>
      <c r="W19" s="14" t="s">
        <v>229</v>
      </c>
      <c r="Y19" s="57" t="s">
        <v>145</v>
      </c>
      <c r="Z19" s="57" t="s">
        <v>231</v>
      </c>
      <c r="AA19" s="67">
        <v>68.430000000000007</v>
      </c>
    </row>
    <row r="20" spans="1:27" ht="15.5">
      <c r="A20" s="1">
        <v>6</v>
      </c>
      <c r="B20" s="14" t="s">
        <v>77</v>
      </c>
      <c r="C20" s="46" t="s">
        <v>230</v>
      </c>
      <c r="D20" s="60">
        <v>510</v>
      </c>
      <c r="E20" s="80"/>
      <c r="U20" s="6"/>
      <c r="V20" s="14"/>
      <c r="W20" s="14"/>
      <c r="Y20" s="57"/>
      <c r="Z20" s="57"/>
      <c r="AA20" s="67"/>
    </row>
    <row r="21" spans="1:27" ht="15.5">
      <c r="A21" s="1"/>
      <c r="B21" s="14"/>
      <c r="C21" s="57"/>
      <c r="D21" s="60"/>
      <c r="E21" s="80"/>
      <c r="U21" s="6">
        <f>U19+1</f>
        <v>117</v>
      </c>
      <c r="V21" s="14" t="s">
        <v>146</v>
      </c>
      <c r="W21" s="14" t="s">
        <v>230</v>
      </c>
      <c r="Y21" s="57" t="s">
        <v>290</v>
      </c>
      <c r="Z21" s="57" t="s">
        <v>291</v>
      </c>
      <c r="AA21" s="67">
        <v>76.525000000000006</v>
      </c>
    </row>
    <row r="22" spans="1:27" ht="15.5">
      <c r="A22" s="1">
        <v>7</v>
      </c>
      <c r="B22" s="14" t="s">
        <v>78</v>
      </c>
      <c r="C22" s="57" t="s">
        <v>234</v>
      </c>
      <c r="D22" s="60">
        <v>380</v>
      </c>
      <c r="E22" s="80"/>
      <c r="U22" s="6"/>
      <c r="V22" s="14"/>
      <c r="W22" s="14"/>
      <c r="Y22" s="57"/>
      <c r="Z22" s="57"/>
      <c r="AA22" s="67"/>
    </row>
    <row r="23" spans="1:27" ht="15.5">
      <c r="A23" s="1"/>
      <c r="B23" s="14"/>
      <c r="C23" s="57"/>
      <c r="D23" s="60"/>
      <c r="E23" s="80"/>
      <c r="U23" s="6">
        <f>U21+1</f>
        <v>118</v>
      </c>
      <c r="V23" s="15" t="s">
        <v>147</v>
      </c>
      <c r="W23" s="15" t="s">
        <v>280</v>
      </c>
      <c r="Y23" s="57" t="s">
        <v>292</v>
      </c>
      <c r="Z23" s="57" t="s">
        <v>291</v>
      </c>
      <c r="AA23" s="67">
        <v>76.525000000000006</v>
      </c>
    </row>
    <row r="24" spans="1:27" ht="15.5">
      <c r="A24" s="1">
        <v>8</v>
      </c>
      <c r="B24" s="14" t="s">
        <v>79</v>
      </c>
      <c r="C24" s="57" t="s">
        <v>234</v>
      </c>
      <c r="D24" s="60">
        <v>420</v>
      </c>
      <c r="E24" s="80"/>
      <c r="U24" s="6"/>
      <c r="V24" s="14"/>
      <c r="W24" s="14"/>
      <c r="Y24" s="57"/>
      <c r="Z24" s="57"/>
      <c r="AA24" s="67"/>
    </row>
    <row r="25" spans="1:27" ht="16" thickBot="1">
      <c r="A25" s="1"/>
      <c r="B25" s="14"/>
      <c r="C25" s="57"/>
      <c r="D25" s="60"/>
      <c r="E25" s="80"/>
      <c r="U25" s="6">
        <f>U23+1</f>
        <v>119</v>
      </c>
      <c r="V25" s="14" t="s">
        <v>148</v>
      </c>
      <c r="W25" s="14" t="s">
        <v>278</v>
      </c>
      <c r="Y25" s="57" t="s">
        <v>293</v>
      </c>
      <c r="Z25" s="57" t="s">
        <v>231</v>
      </c>
      <c r="AA25" s="67">
        <v>68.430000000000007</v>
      </c>
    </row>
    <row r="26" spans="1:27" ht="16" thickBot="1">
      <c r="A26" s="1">
        <v>9</v>
      </c>
      <c r="B26" s="14" t="s">
        <v>80</v>
      </c>
      <c r="C26" s="46" t="s">
        <v>231</v>
      </c>
      <c r="D26" s="60">
        <v>335</v>
      </c>
      <c r="E26" s="80"/>
      <c r="F26" s="753"/>
      <c r="G26" s="753"/>
      <c r="H26" s="753"/>
      <c r="I26" s="753"/>
      <c r="J26" s="753"/>
      <c r="K26" s="754"/>
      <c r="L26" s="754"/>
      <c r="M26" s="754"/>
      <c r="N26" s="754"/>
      <c r="O26" s="754"/>
      <c r="P26" s="754"/>
      <c r="Q26" s="754"/>
      <c r="R26" s="754"/>
      <c r="S26" s="755"/>
      <c r="U26" s="6"/>
      <c r="V26" s="14"/>
      <c r="W26" s="14"/>
      <c r="Y26" s="57"/>
      <c r="Z26" s="57"/>
      <c r="AA26" s="67"/>
    </row>
    <row r="27" spans="1:27" ht="15.5">
      <c r="A27" s="1"/>
      <c r="B27" s="14"/>
      <c r="C27" s="57"/>
      <c r="D27" s="60"/>
      <c r="E27" s="80"/>
      <c r="F27" s="17" t="s">
        <v>154</v>
      </c>
      <c r="G27" s="17" t="s">
        <v>155</v>
      </c>
      <c r="H27" s="17" t="s">
        <v>156</v>
      </c>
      <c r="I27" s="17" t="s">
        <v>157</v>
      </c>
      <c r="J27" s="17" t="s">
        <v>158</v>
      </c>
      <c r="K27" s="17" t="s">
        <v>0</v>
      </c>
      <c r="L27" s="17" t="s">
        <v>152</v>
      </c>
      <c r="M27" s="17" t="s">
        <v>7</v>
      </c>
      <c r="N27" s="17" t="s">
        <v>153</v>
      </c>
      <c r="O27" s="17" t="s">
        <v>3</v>
      </c>
      <c r="P27" s="17" t="s">
        <v>1</v>
      </c>
      <c r="Q27" s="17" t="s">
        <v>9</v>
      </c>
      <c r="R27" s="17"/>
      <c r="S27" s="18" t="s">
        <v>11</v>
      </c>
      <c r="U27" s="6">
        <f>U25+1</f>
        <v>120</v>
      </c>
      <c r="V27" s="15" t="s">
        <v>149</v>
      </c>
      <c r="W27" s="15" t="s">
        <v>240</v>
      </c>
      <c r="Y27" s="57" t="s">
        <v>294</v>
      </c>
      <c r="Z27" s="57" t="s">
        <v>236</v>
      </c>
      <c r="AA27" s="67">
        <v>70.125</v>
      </c>
    </row>
    <row r="28" spans="1:27" ht="15.5">
      <c r="A28" s="1">
        <v>10</v>
      </c>
      <c r="B28" s="14" t="s">
        <v>81</v>
      </c>
      <c r="C28" s="46" t="s">
        <v>231</v>
      </c>
      <c r="D28" s="60">
        <v>345</v>
      </c>
      <c r="E28" s="80" t="s">
        <v>307</v>
      </c>
      <c r="F28" s="24">
        <f>COUNTIF($C$10:$C$253,"1DA-0")</f>
        <v>0</v>
      </c>
      <c r="G28" s="24">
        <f>COUNTIF($C$10:$C$262,"1DA-1.5")</f>
        <v>4</v>
      </c>
      <c r="H28" s="24">
        <f>COUNTIF($C$10:$C$262,"1DA-3")</f>
        <v>18</v>
      </c>
      <c r="I28" s="24">
        <f>COUNTIF($C$10:$C$262,"1DA-4.5")</f>
        <v>0</v>
      </c>
      <c r="J28" s="24">
        <f>COUNTIF($C$10:$C$262,"1DA-6")</f>
        <v>0</v>
      </c>
      <c r="K28" s="24">
        <f>COUNTIF($C$10:$C$262,"1DA+0")</f>
        <v>35</v>
      </c>
      <c r="L28" s="24">
        <f>COUNTIF($C$10:$C$262,"1DA+1.5")</f>
        <v>0</v>
      </c>
      <c r="M28" s="24">
        <f>COUNTIF($C$10:$C$262,"1DA+3")</f>
        <v>19</v>
      </c>
      <c r="N28" s="24">
        <f>COUNTIF($C$10:$C$262,"1DA+4.5")</f>
        <v>0</v>
      </c>
      <c r="O28" s="24">
        <f>COUNTIF($C$10:$C$262,"1DA+6")</f>
        <v>7</v>
      </c>
      <c r="P28" s="24">
        <f>COUNTIF($C$10:$C$262,"1DA+9")</f>
        <v>6</v>
      </c>
      <c r="Q28" s="24">
        <f>COUNTIF($C$10:$C$262,"1DA+18")</f>
        <v>0</v>
      </c>
      <c r="R28" s="10"/>
      <c r="S28" s="21">
        <f t="shared" ref="S28:S34" si="3">SUM(F28:R28)</f>
        <v>89</v>
      </c>
      <c r="U28" s="6"/>
      <c r="V28" s="14"/>
      <c r="W28" s="14"/>
      <c r="Y28" s="57"/>
      <c r="Z28" s="57"/>
      <c r="AA28" s="67"/>
    </row>
    <row r="29" spans="1:27" ht="15.5">
      <c r="A29" s="1"/>
      <c r="B29" s="14"/>
      <c r="C29" s="57"/>
      <c r="D29" s="60"/>
      <c r="E29" s="80" t="s">
        <v>308</v>
      </c>
      <c r="F29" s="24">
        <f>COUNTIF($C$10:$C$262,"1DB1-0")</f>
        <v>0</v>
      </c>
      <c r="G29" s="24">
        <f>COUNTIF($C$10:$C$262,"1DB1-1.5")</f>
        <v>0</v>
      </c>
      <c r="H29" s="24">
        <f>COUNTIF($C$10:$C$262,"1DB1-3")</f>
        <v>1</v>
      </c>
      <c r="I29" s="24">
        <f>COUNTIF($C$10:$C$262,"1DB1-4.5")</f>
        <v>0</v>
      </c>
      <c r="J29" s="24">
        <f>COUNTIF($C$10:$C$262,"1DB1-6")</f>
        <v>0</v>
      </c>
      <c r="K29" s="24">
        <f>COUNTIF($C$10:$C$262,"1DB1+0")</f>
        <v>7</v>
      </c>
      <c r="L29" s="24">
        <f>COUNTIF($C$10:$C$262,"1DB1+1.5")</f>
        <v>0</v>
      </c>
      <c r="M29" s="24">
        <f>COUNTIF($C$10:$C$262,"1DB1+3")</f>
        <v>1</v>
      </c>
      <c r="N29" s="24">
        <f>COUNTIF($C$10:$C$262,"1DB1+4.5")</f>
        <v>0</v>
      </c>
      <c r="O29" s="24">
        <f>COUNTIF($C$10:$C$262,"1DB1+6")</f>
        <v>1</v>
      </c>
      <c r="P29" s="24">
        <f>COUNTIF($C$10:$C$262,"1DB1+9")</f>
        <v>4</v>
      </c>
      <c r="Q29" s="24">
        <f>COUNTIF($C$10:$C$262,"1DB1+18")</f>
        <v>0</v>
      </c>
      <c r="R29" s="10"/>
      <c r="S29" s="21">
        <f t="shared" si="3"/>
        <v>14</v>
      </c>
      <c r="U29" s="6">
        <f>U27+1</f>
        <v>121</v>
      </c>
      <c r="V29" s="15" t="s">
        <v>150</v>
      </c>
      <c r="W29" s="15" t="s">
        <v>281</v>
      </c>
      <c r="Y29" s="57" t="s">
        <v>295</v>
      </c>
      <c r="Z29" s="57" t="s">
        <v>239</v>
      </c>
      <c r="AA29" s="67">
        <v>77.430000000000007</v>
      </c>
    </row>
    <row r="30" spans="1:27" ht="15.5">
      <c r="A30" s="1">
        <v>11</v>
      </c>
      <c r="B30" s="14" t="s">
        <v>82</v>
      </c>
      <c r="C30" s="46" t="s">
        <v>231</v>
      </c>
      <c r="D30" s="60">
        <v>365</v>
      </c>
      <c r="E30" s="80" t="s">
        <v>309</v>
      </c>
      <c r="F30" s="24">
        <f>COUNTIF($C$10:$C$262,"1DB2-0")</f>
        <v>0</v>
      </c>
      <c r="G30" s="24">
        <f>COUNTIF($C$10:$C$262,"1DB2-1.5")</f>
        <v>0</v>
      </c>
      <c r="H30" s="24">
        <f>COUNTIF($C$10:$C$262,"1DB2-3")</f>
        <v>0</v>
      </c>
      <c r="I30" s="24">
        <f>COUNTIF($C$10:$C$262,"1DB2-4.5")</f>
        <v>0</v>
      </c>
      <c r="J30" s="24">
        <f>COUNTIF($C$10:$C$262,"1DB2-6")</f>
        <v>0</v>
      </c>
      <c r="K30" s="24">
        <f>COUNTIF($C$10:$C$262,"1DB2+0")</f>
        <v>1</v>
      </c>
      <c r="L30" s="24">
        <f>COUNTIF($C$10:$C$262,"1DB2+1.5")</f>
        <v>0</v>
      </c>
      <c r="M30" s="24">
        <f>COUNTIF($C$10:$C$262,"1DB2+3")</f>
        <v>2</v>
      </c>
      <c r="N30" s="24">
        <f>COUNTIF($C$10:$C$262,"1DB2+4.5")</f>
        <v>0</v>
      </c>
      <c r="O30" s="24">
        <f>COUNTIF($C$10:$C$262,"1DB2+6")</f>
        <v>0</v>
      </c>
      <c r="P30" s="24">
        <f>COUNTIF($C$10:$C$262,"1DB2+9")</f>
        <v>1</v>
      </c>
      <c r="Q30" s="24">
        <f>COUNTIF($C$10:$C$262,"1DB2+18")</f>
        <v>0</v>
      </c>
      <c r="R30" s="10"/>
      <c r="S30" s="21">
        <f t="shared" si="3"/>
        <v>4</v>
      </c>
      <c r="U30" s="6"/>
      <c r="V30" s="14"/>
      <c r="W30" s="14"/>
      <c r="Y30" s="57"/>
      <c r="Z30" s="57"/>
      <c r="AA30" s="67"/>
    </row>
    <row r="31" spans="1:27" ht="15.5">
      <c r="A31" s="1"/>
      <c r="B31" s="14"/>
      <c r="C31" s="57"/>
      <c r="D31" s="60"/>
      <c r="E31" s="80" t="s">
        <v>310</v>
      </c>
      <c r="F31" s="24">
        <f>COUNTIF($C$10:$C$262,"1DC1-0")</f>
        <v>0</v>
      </c>
      <c r="G31" s="24">
        <f>COUNTIF($C$10:$C$262,"1DC1-1.5")</f>
        <v>0</v>
      </c>
      <c r="H31" s="24">
        <f>COUNTIF($C$10:$C$262,"1DC1-3")</f>
        <v>1</v>
      </c>
      <c r="I31" s="24">
        <f>COUNTIF($C$10:$C$262,"1DC1-4.5")</f>
        <v>0</v>
      </c>
      <c r="J31" s="24">
        <f>COUNTIF($C$10:$C$262,"1DC1-6")</f>
        <v>0</v>
      </c>
      <c r="K31" s="24">
        <f>COUNTIF($C$10:$C$262,"1DC1+0")</f>
        <v>2</v>
      </c>
      <c r="L31" s="24">
        <f>COUNTIF($C$10:$C$262,"1DC1+1.5")</f>
        <v>0</v>
      </c>
      <c r="M31" s="24">
        <f>COUNTIF($C$10:$C$262,"1DC1+3")</f>
        <v>2</v>
      </c>
      <c r="N31" s="24">
        <f>COUNTIF($C$10:$C$262,"1DC1+4.5")</f>
        <v>0</v>
      </c>
      <c r="O31" s="24">
        <f>COUNTIF($C$10:$C$262,"1DC1+6")</f>
        <v>2</v>
      </c>
      <c r="P31" s="24">
        <f>COUNTIF($C$10:$C$262,"1DC1+9")</f>
        <v>0</v>
      </c>
      <c r="Q31" s="24">
        <f>COUNTIF($C$10:$C$262,"1DC1+18")</f>
        <v>0</v>
      </c>
      <c r="R31" s="10"/>
      <c r="S31" s="21">
        <f t="shared" si="3"/>
        <v>7</v>
      </c>
      <c r="U31" s="6">
        <f>U29+1</f>
        <v>122</v>
      </c>
      <c r="V31" s="15" t="s">
        <v>60</v>
      </c>
      <c r="W31" s="15" t="s">
        <v>60</v>
      </c>
      <c r="Y31" s="57" t="s">
        <v>296</v>
      </c>
      <c r="Z31" s="57" t="s">
        <v>229</v>
      </c>
      <c r="AA31" s="67">
        <v>71.430000000000007</v>
      </c>
    </row>
    <row r="32" spans="1:27" ht="15.5">
      <c r="A32" s="1">
        <v>12</v>
      </c>
      <c r="B32" s="14" t="s">
        <v>83</v>
      </c>
      <c r="C32" s="46" t="s">
        <v>229</v>
      </c>
      <c r="D32" s="60">
        <v>356</v>
      </c>
      <c r="E32" s="80" t="s">
        <v>311</v>
      </c>
      <c r="F32" s="24">
        <f>COUNTIF($C$10:$C$262,"1DC2-0")</f>
        <v>0</v>
      </c>
      <c r="G32" s="24">
        <f>COUNTIF($C$10:$C$262,"1DC2-1.5")</f>
        <v>0</v>
      </c>
      <c r="H32" s="24">
        <f>COUNTIF($C$10:$C$262,"1DC2-3")</f>
        <v>0</v>
      </c>
      <c r="I32" s="24">
        <f>COUNTIF($C$10:$C$262,"1DC2-4.5")</f>
        <v>0</v>
      </c>
      <c r="J32" s="24">
        <f>COUNTIF($C$10:$C$262,"1DC2-6")</f>
        <v>0</v>
      </c>
      <c r="K32" s="24">
        <f>COUNTIF($C$10:$C$262,"1DC2+0")</f>
        <v>3</v>
      </c>
      <c r="L32" s="24">
        <f>COUNTIF($C$10:$C$262,"1DC2+1.5")</f>
        <v>0</v>
      </c>
      <c r="M32" s="24">
        <f>COUNTIF($C$10:$C$262,"1DC2+3")</f>
        <v>1</v>
      </c>
      <c r="N32" s="24">
        <f>COUNTIF($C$10:$C$262,"1DC2+4.5")</f>
        <v>0</v>
      </c>
      <c r="O32" s="24">
        <f>COUNTIF($C$10:$C$262,"1DC2+6")</f>
        <v>3</v>
      </c>
      <c r="P32" s="24">
        <f>COUNTIF($C$10:$C$262,"1DC2+9")</f>
        <v>0</v>
      </c>
      <c r="Q32" s="24">
        <f>COUNTIF($C$10:$C$262,"1DC2+18")</f>
        <v>0</v>
      </c>
      <c r="R32" s="10"/>
      <c r="S32" s="21">
        <f t="shared" si="3"/>
        <v>7</v>
      </c>
      <c r="U32" s="6"/>
      <c r="V32" s="8"/>
      <c r="W32" s="8"/>
      <c r="Y32" s="57"/>
      <c r="Z32" s="57"/>
      <c r="AA32" s="67"/>
    </row>
    <row r="33" spans="1:27" ht="15.5">
      <c r="A33" s="1"/>
      <c r="B33" s="14"/>
      <c r="C33" s="57"/>
      <c r="D33" s="60"/>
      <c r="E33" s="80" t="s">
        <v>312</v>
      </c>
      <c r="F33" s="24">
        <f>COUNTIF($C$10:$C$262,"1DD45-0")</f>
        <v>0</v>
      </c>
      <c r="G33" s="24">
        <f>COUNTIF($C$10:$C$262,"1DD45-1.5")</f>
        <v>0</v>
      </c>
      <c r="H33" s="24">
        <f>COUNTIF($C$10:$C$262,"1DD45-3")</f>
        <v>0</v>
      </c>
      <c r="I33" s="24">
        <f>COUNTIF($C$10:$C$262,"1DD45-4.5")</f>
        <v>0</v>
      </c>
      <c r="J33" s="24">
        <f>COUNTIF($C$10:$C$262,"1DD45-6")</f>
        <v>0</v>
      </c>
      <c r="K33" s="24">
        <f>COUNTIF($C$10:$C$262,"1DD45+0")</f>
        <v>0</v>
      </c>
      <c r="L33" s="24">
        <f>COUNTIF($C$10:$C$262,"1DD45+1.5")</f>
        <v>0</v>
      </c>
      <c r="M33" s="24">
        <f>COUNTIF($C$10:$C$262,"1DD45+3")</f>
        <v>0</v>
      </c>
      <c r="N33" s="24">
        <f>COUNTIF($C$10:$C$262,"1DD45+4.5")</f>
        <v>0</v>
      </c>
      <c r="O33" s="24">
        <f>COUNTIF($C$10:$C$262,"1DD45+6")</f>
        <v>0</v>
      </c>
      <c r="P33" s="24">
        <f>COUNTIF($C$10:$C$262,"1DD45+9")</f>
        <v>0</v>
      </c>
      <c r="Q33" s="24">
        <f>COUNTIF($C$10:$C$262,"1DD45+18")</f>
        <v>2</v>
      </c>
      <c r="R33" s="10"/>
      <c r="S33" s="21">
        <f t="shared" si="3"/>
        <v>2</v>
      </c>
      <c r="U33" s="2"/>
      <c r="V33" s="2"/>
      <c r="Y33" s="57" t="s">
        <v>297</v>
      </c>
      <c r="Z33" s="57" t="s">
        <v>229</v>
      </c>
      <c r="AA33" s="67">
        <v>71.430000000000007</v>
      </c>
    </row>
    <row r="34" spans="1:27" ht="16" thickBot="1">
      <c r="A34" s="1">
        <v>13</v>
      </c>
      <c r="B34" s="14" t="s">
        <v>84</v>
      </c>
      <c r="C34" s="46" t="s">
        <v>231</v>
      </c>
      <c r="D34" s="60">
        <v>332</v>
      </c>
      <c r="E34" s="80" t="s">
        <v>313</v>
      </c>
      <c r="F34" s="25">
        <f>COUNTIF($C$10:$C$262,"1DD60-0")</f>
        <v>0</v>
      </c>
      <c r="G34" s="25">
        <f>COUNTIF($C$10:$C$262,"1DD60-1.5")</f>
        <v>0</v>
      </c>
      <c r="H34" s="25">
        <f>COUNTIF($C$10:$C$262,"1DD60-3")</f>
        <v>0</v>
      </c>
      <c r="I34" s="25">
        <f>COUNTIF($C$10:$C$262,"1DD60-4.5")</f>
        <v>0</v>
      </c>
      <c r="J34" s="25">
        <f>COUNTIF($C$10:$C$262,"1DD60-6")</f>
        <v>0</v>
      </c>
      <c r="K34" s="25">
        <f>COUNTIF($C$10:$C$262,"1DD60+0")</f>
        <v>2</v>
      </c>
      <c r="L34" s="25">
        <f>COUNTIF($C$10:$C$262,"1DD60+1.5")</f>
        <v>0</v>
      </c>
      <c r="M34" s="25">
        <f>COUNTIF($C$10:$C$262,"1DD60+3")</f>
        <v>0</v>
      </c>
      <c r="N34" s="25">
        <f>COUNTIF($C$10:$C$262,"1DD60+4.5")</f>
        <v>0</v>
      </c>
      <c r="O34" s="25">
        <f>COUNTIF($C$10:$C$262,"1DD60+6")</f>
        <v>2</v>
      </c>
      <c r="P34" s="25">
        <f>COUNTIF($C$10:$C$262,"1DD60+9")</f>
        <v>0</v>
      </c>
      <c r="Q34" s="25">
        <f>COUNTIF($C$10:$C$262,"1DD60+18")</f>
        <v>0</v>
      </c>
      <c r="R34" s="11"/>
      <c r="S34" s="22">
        <f t="shared" si="3"/>
        <v>4</v>
      </c>
      <c r="U34" s="2"/>
      <c r="V34" s="2"/>
      <c r="Y34" s="57"/>
      <c r="Z34" s="57"/>
      <c r="AA34" s="67"/>
    </row>
    <row r="35" spans="1:27" ht="16" thickBot="1">
      <c r="A35" s="1"/>
      <c r="B35" s="14"/>
      <c r="C35" s="57"/>
      <c r="D35" s="60"/>
      <c r="E35" s="80"/>
      <c r="F35" s="26">
        <f>SUM(F28:F34)</f>
        <v>0</v>
      </c>
      <c r="G35" s="26">
        <f t="shared" ref="G35:Q35" si="4">SUM(G28:G34)</f>
        <v>4</v>
      </c>
      <c r="H35" s="26">
        <f t="shared" si="4"/>
        <v>20</v>
      </c>
      <c r="I35" s="26">
        <f t="shared" si="4"/>
        <v>0</v>
      </c>
      <c r="J35" s="26">
        <f t="shared" si="4"/>
        <v>0</v>
      </c>
      <c r="K35" s="26">
        <f t="shared" si="4"/>
        <v>50</v>
      </c>
      <c r="L35" s="26">
        <f t="shared" si="4"/>
        <v>0</v>
      </c>
      <c r="M35" s="26">
        <f t="shared" si="4"/>
        <v>25</v>
      </c>
      <c r="N35" s="26">
        <f t="shared" si="4"/>
        <v>0</v>
      </c>
      <c r="O35" s="26">
        <f t="shared" si="4"/>
        <v>15</v>
      </c>
      <c r="P35" s="26">
        <f t="shared" si="4"/>
        <v>11</v>
      </c>
      <c r="Q35" s="26">
        <f t="shared" si="4"/>
        <v>2</v>
      </c>
      <c r="R35" s="19"/>
      <c r="S35" s="20">
        <f t="shared" ref="S35" si="5">SUM(S28:S34)</f>
        <v>127</v>
      </c>
      <c r="U35" s="2"/>
      <c r="V35" s="2"/>
      <c r="Y35" s="57" t="s">
        <v>298</v>
      </c>
      <c r="Z35" s="57" t="s">
        <v>278</v>
      </c>
      <c r="AA35" s="67">
        <v>69.930000000000007</v>
      </c>
    </row>
    <row r="36" spans="1:27" ht="15.5">
      <c r="A36" s="1">
        <v>14</v>
      </c>
      <c r="B36" s="14" t="s">
        <v>85</v>
      </c>
      <c r="C36" s="46" t="s">
        <v>229</v>
      </c>
      <c r="D36" s="60">
        <v>384.42399999999998</v>
      </c>
      <c r="E36" s="80"/>
      <c r="U36" s="2"/>
      <c r="V36" s="2"/>
      <c r="Y36" s="57"/>
      <c r="Z36" s="57"/>
      <c r="AA36" s="67"/>
    </row>
    <row r="37" spans="1:27" ht="15.5">
      <c r="A37" s="1"/>
      <c r="B37" s="14"/>
      <c r="C37" s="14"/>
      <c r="D37" s="60"/>
      <c r="E37" s="80"/>
      <c r="U37" s="2"/>
      <c r="V37" s="2"/>
      <c r="Y37" s="57" t="s">
        <v>299</v>
      </c>
      <c r="Z37" s="57" t="s">
        <v>300</v>
      </c>
      <c r="AA37" s="67">
        <v>76.525000000000006</v>
      </c>
    </row>
    <row r="38" spans="1:27" ht="15.5">
      <c r="A38" s="1">
        <v>15</v>
      </c>
      <c r="B38" s="15" t="s">
        <v>25</v>
      </c>
      <c r="C38" s="46" t="s">
        <v>228</v>
      </c>
      <c r="D38" s="61">
        <v>385</v>
      </c>
      <c r="E38" s="80"/>
      <c r="U38" s="2"/>
      <c r="V38" s="2"/>
    </row>
    <row r="39" spans="1:27" ht="18.5">
      <c r="A39" s="1"/>
      <c r="B39" s="14"/>
      <c r="C39" s="46"/>
      <c r="D39" s="61"/>
      <c r="E39" s="80"/>
      <c r="U39" s="2"/>
      <c r="V39" s="2"/>
      <c r="Y39" s="68" t="s">
        <v>301</v>
      </c>
      <c r="Z39" s="69" t="s">
        <v>302</v>
      </c>
    </row>
    <row r="40" spans="1:27" ht="18">
      <c r="A40" s="1">
        <v>16</v>
      </c>
      <c r="B40" s="14" t="s">
        <v>16</v>
      </c>
      <c r="C40" s="46" t="s">
        <v>229</v>
      </c>
      <c r="D40" s="54">
        <v>423</v>
      </c>
      <c r="E40" s="80"/>
      <c r="U40" s="2"/>
      <c r="V40" s="2"/>
      <c r="Y40" s="70"/>
      <c r="Z40" s="71"/>
    </row>
    <row r="41" spans="1:27" ht="18.5">
      <c r="A41" s="1"/>
      <c r="B41" s="14"/>
      <c r="C41" s="46"/>
      <c r="D41" s="54"/>
      <c r="E41" s="80"/>
      <c r="U41" s="2"/>
      <c r="V41" s="2"/>
      <c r="Y41" s="68" t="s">
        <v>303</v>
      </c>
      <c r="Z41" s="69" t="s">
        <v>302</v>
      </c>
    </row>
    <row r="42" spans="1:27" ht="15.5">
      <c r="A42" s="1">
        <v>17</v>
      </c>
      <c r="B42" s="14" t="s">
        <v>17</v>
      </c>
      <c r="C42" s="46" t="s">
        <v>229</v>
      </c>
      <c r="D42" s="54">
        <v>382</v>
      </c>
      <c r="E42" s="80"/>
    </row>
    <row r="43" spans="1:27" ht="15.5">
      <c r="A43" s="1"/>
      <c r="B43" s="14"/>
      <c r="C43" s="46"/>
      <c r="D43" s="54"/>
      <c r="E43" s="80"/>
    </row>
    <row r="44" spans="1:27" ht="15.5">
      <c r="A44" s="1">
        <v>18</v>
      </c>
      <c r="B44" s="14" t="s">
        <v>18</v>
      </c>
      <c r="C44" s="46" t="s">
        <v>229</v>
      </c>
      <c r="D44" s="54">
        <v>405</v>
      </c>
      <c r="E44" s="80"/>
    </row>
    <row r="45" spans="1:27" ht="15.5">
      <c r="A45" s="1"/>
      <c r="B45" s="14"/>
      <c r="C45" s="46"/>
      <c r="D45" s="54"/>
      <c r="E45" s="80"/>
    </row>
    <row r="46" spans="1:27" ht="15.5">
      <c r="A46" s="1">
        <v>19</v>
      </c>
      <c r="B46" s="14" t="s">
        <v>86</v>
      </c>
      <c r="C46" s="46" t="s">
        <v>230</v>
      </c>
      <c r="D46" s="54">
        <v>388.45800000000003</v>
      </c>
      <c r="E46" s="80"/>
    </row>
    <row r="47" spans="1:27" ht="15.5">
      <c r="A47" s="1"/>
      <c r="B47" s="14"/>
      <c r="C47" s="46"/>
      <c r="D47" s="54"/>
      <c r="E47" s="80"/>
    </row>
    <row r="48" spans="1:27" ht="15.5">
      <c r="A48" s="1">
        <v>20</v>
      </c>
      <c r="B48" s="15" t="s">
        <v>26</v>
      </c>
      <c r="C48" s="46" t="s">
        <v>228</v>
      </c>
      <c r="D48" s="54">
        <v>405</v>
      </c>
      <c r="E48" s="80"/>
    </row>
    <row r="49" spans="1:5" ht="15.5">
      <c r="A49" s="1"/>
      <c r="B49" s="14"/>
      <c r="C49" s="46"/>
      <c r="D49" s="54"/>
      <c r="E49" s="80"/>
    </row>
    <row r="50" spans="1:5" ht="15.5">
      <c r="A50" s="1">
        <v>21</v>
      </c>
      <c r="B50" s="14" t="s">
        <v>87</v>
      </c>
      <c r="C50" s="46" t="s">
        <v>230</v>
      </c>
      <c r="D50" s="54">
        <v>360</v>
      </c>
      <c r="E50" s="80"/>
    </row>
    <row r="51" spans="1:5" ht="15.5">
      <c r="A51" s="1"/>
      <c r="B51" s="14"/>
      <c r="C51" s="46"/>
      <c r="D51" s="54"/>
      <c r="E51" s="80"/>
    </row>
    <row r="52" spans="1:5" ht="15.5">
      <c r="A52" s="1">
        <v>22</v>
      </c>
      <c r="B52" s="14" t="s">
        <v>88</v>
      </c>
      <c r="C52" s="46" t="s">
        <v>230</v>
      </c>
      <c r="D52" s="54">
        <v>390</v>
      </c>
      <c r="E52" s="80"/>
    </row>
    <row r="53" spans="1:5" ht="15.5">
      <c r="A53" s="1"/>
      <c r="B53" s="14"/>
      <c r="C53" s="46"/>
      <c r="D53" s="54"/>
      <c r="E53" s="80"/>
    </row>
    <row r="54" spans="1:5" ht="15.5">
      <c r="A54" s="1">
        <v>23</v>
      </c>
      <c r="B54" s="14" t="s">
        <v>89</v>
      </c>
      <c r="C54" s="46" t="s">
        <v>231</v>
      </c>
      <c r="D54" s="54">
        <v>325</v>
      </c>
      <c r="E54" s="80"/>
    </row>
    <row r="55" spans="1:5" ht="15.5">
      <c r="A55" s="1"/>
      <c r="B55" s="14"/>
      <c r="C55" s="46"/>
      <c r="D55" s="54"/>
      <c r="E55" s="80"/>
    </row>
    <row r="56" spans="1:5" ht="15.5">
      <c r="A56" s="1">
        <v>24</v>
      </c>
      <c r="B56" s="14" t="s">
        <v>90</v>
      </c>
      <c r="C56" s="46" t="s">
        <v>229</v>
      </c>
      <c r="D56" s="54">
        <v>430</v>
      </c>
      <c r="E56" s="80"/>
    </row>
    <row r="57" spans="1:5" ht="15.5">
      <c r="A57" s="1"/>
      <c r="B57" s="14"/>
      <c r="C57" s="46"/>
      <c r="D57" s="54"/>
      <c r="E57" s="80"/>
    </row>
    <row r="58" spans="1:5" ht="15.5">
      <c r="A58" s="1">
        <v>25</v>
      </c>
      <c r="B58" s="14" t="s">
        <v>91</v>
      </c>
      <c r="C58" s="46" t="s">
        <v>229</v>
      </c>
      <c r="D58" s="54">
        <v>298</v>
      </c>
      <c r="E58" s="80"/>
    </row>
    <row r="59" spans="1:5" ht="15.5">
      <c r="A59" s="1"/>
      <c r="B59" s="14"/>
      <c r="C59" s="46"/>
      <c r="D59" s="54"/>
      <c r="E59" s="80"/>
    </row>
    <row r="60" spans="1:5" ht="15.5">
      <c r="A60" s="1">
        <v>26</v>
      </c>
      <c r="B60" s="14" t="s">
        <v>92</v>
      </c>
      <c r="C60" s="46" t="s">
        <v>229</v>
      </c>
      <c r="D60" s="54">
        <v>422</v>
      </c>
      <c r="E60" s="80"/>
    </row>
    <row r="61" spans="1:5" ht="15.5">
      <c r="A61" s="1"/>
      <c r="B61" s="14"/>
      <c r="C61" s="46"/>
      <c r="D61" s="54"/>
      <c r="E61" s="80"/>
    </row>
    <row r="62" spans="1:5" ht="15.5">
      <c r="A62" s="1">
        <v>27</v>
      </c>
      <c r="B62" s="14" t="s">
        <v>93</v>
      </c>
      <c r="C62" s="46" t="s">
        <v>232</v>
      </c>
      <c r="D62" s="54">
        <v>345</v>
      </c>
      <c r="E62" s="80"/>
    </row>
    <row r="63" spans="1:5" ht="15.5">
      <c r="A63" s="1"/>
      <c r="B63" s="14"/>
      <c r="C63" s="46"/>
      <c r="D63" s="54"/>
      <c r="E63" s="80"/>
    </row>
    <row r="64" spans="1:5" ht="15.5">
      <c r="A64" s="1">
        <v>28</v>
      </c>
      <c r="B64" s="14" t="s">
        <v>94</v>
      </c>
      <c r="C64" s="46" t="s">
        <v>230</v>
      </c>
      <c r="D64" s="54">
        <v>370</v>
      </c>
      <c r="E64" s="80"/>
    </row>
    <row r="65" spans="1:5" ht="15.5">
      <c r="A65" s="1"/>
      <c r="B65" s="14"/>
      <c r="C65" s="46"/>
      <c r="D65" s="54"/>
      <c r="E65" s="80"/>
    </row>
    <row r="66" spans="1:5" ht="15.5">
      <c r="A66" s="1">
        <v>29</v>
      </c>
      <c r="B66" s="14" t="s">
        <v>95</v>
      </c>
      <c r="C66" s="46" t="s">
        <v>232</v>
      </c>
      <c r="D66" s="54">
        <v>320</v>
      </c>
      <c r="E66" s="80"/>
    </row>
    <row r="67" spans="1:5" ht="15.5">
      <c r="A67" s="1"/>
      <c r="B67" s="14"/>
      <c r="C67" s="46"/>
      <c r="D67" s="54"/>
      <c r="E67" s="80"/>
    </row>
    <row r="68" spans="1:5" ht="15.5">
      <c r="A68" s="1">
        <v>30</v>
      </c>
      <c r="B68" s="14" t="s">
        <v>96</v>
      </c>
      <c r="C68" s="46" t="s">
        <v>232</v>
      </c>
      <c r="D68" s="54">
        <v>390</v>
      </c>
      <c r="E68" s="80"/>
    </row>
    <row r="69" spans="1:5" ht="15.5">
      <c r="A69" s="1"/>
      <c r="B69" s="14"/>
      <c r="C69" s="46"/>
      <c r="D69" s="54"/>
      <c r="E69" s="80"/>
    </row>
    <row r="70" spans="1:5" ht="15.5">
      <c r="A70" s="1">
        <v>31</v>
      </c>
      <c r="B70" s="14" t="s">
        <v>97</v>
      </c>
      <c r="C70" s="46" t="s">
        <v>230</v>
      </c>
      <c r="D70" s="54">
        <v>425.02</v>
      </c>
      <c r="E70" s="80"/>
    </row>
    <row r="71" spans="1:5" ht="15.5">
      <c r="A71" s="1"/>
      <c r="B71" s="14"/>
      <c r="C71" s="46"/>
      <c r="D71" s="54"/>
      <c r="E71" s="80"/>
    </row>
    <row r="72" spans="1:5" ht="15.5">
      <c r="A72" s="1">
        <v>32</v>
      </c>
      <c r="B72" s="15" t="s">
        <v>27</v>
      </c>
      <c r="C72" s="46" t="s">
        <v>233</v>
      </c>
      <c r="D72" s="54">
        <v>480</v>
      </c>
      <c r="E72" s="80"/>
    </row>
    <row r="73" spans="1:5" ht="15.5">
      <c r="A73" s="1"/>
      <c r="B73" s="14"/>
      <c r="C73" s="46"/>
      <c r="D73" s="54"/>
      <c r="E73" s="80"/>
    </row>
    <row r="74" spans="1:5" ht="15.5">
      <c r="A74" s="1">
        <v>33</v>
      </c>
      <c r="B74" s="14" t="s">
        <v>19</v>
      </c>
      <c r="C74" s="46" t="s">
        <v>234</v>
      </c>
      <c r="D74" s="54">
        <v>297.315</v>
      </c>
      <c r="E74" s="80"/>
    </row>
    <row r="75" spans="1:5" ht="15.5">
      <c r="A75" s="1"/>
      <c r="B75" s="14"/>
      <c r="C75" s="46"/>
      <c r="D75" s="54"/>
      <c r="E75" s="80"/>
    </row>
    <row r="76" spans="1:5" ht="15.5">
      <c r="A76" s="1">
        <v>34</v>
      </c>
      <c r="B76" s="15" t="s">
        <v>28</v>
      </c>
      <c r="C76" s="46" t="s">
        <v>235</v>
      </c>
      <c r="D76" s="54">
        <v>415</v>
      </c>
      <c r="E76" s="80"/>
    </row>
    <row r="77" spans="1:5" ht="15.5">
      <c r="A77" s="1"/>
      <c r="B77" s="14"/>
      <c r="C77" s="46"/>
      <c r="D77" s="54"/>
      <c r="E77" s="80"/>
    </row>
    <row r="78" spans="1:5" ht="15.5">
      <c r="A78" s="1">
        <v>35</v>
      </c>
      <c r="B78" s="14" t="s">
        <v>20</v>
      </c>
      <c r="C78" s="46" t="s">
        <v>230</v>
      </c>
      <c r="D78" s="54">
        <v>425</v>
      </c>
      <c r="E78" s="80"/>
    </row>
    <row r="79" spans="1:5" ht="15.5">
      <c r="A79" s="1"/>
      <c r="B79" s="14"/>
      <c r="C79" s="46"/>
      <c r="D79" s="54"/>
      <c r="E79" s="80"/>
    </row>
    <row r="80" spans="1:5" ht="15.5">
      <c r="A80" s="1">
        <v>36</v>
      </c>
      <c r="B80" s="14" t="s">
        <v>21</v>
      </c>
      <c r="C80" s="46" t="s">
        <v>230</v>
      </c>
      <c r="D80" s="54">
        <v>395</v>
      </c>
      <c r="E80" s="80"/>
    </row>
    <row r="81" spans="1:5" ht="15.5">
      <c r="A81" s="1"/>
      <c r="B81" s="14"/>
      <c r="C81" s="46"/>
      <c r="D81" s="54"/>
      <c r="E81" s="80"/>
    </row>
    <row r="82" spans="1:5" ht="15.5">
      <c r="A82" s="1">
        <v>37</v>
      </c>
      <c r="B82" s="14" t="s">
        <v>98</v>
      </c>
      <c r="C82" s="46" t="s">
        <v>231</v>
      </c>
      <c r="D82" s="54">
        <v>329.07400000000001</v>
      </c>
      <c r="E82" s="80"/>
    </row>
    <row r="83" spans="1:5" ht="15.5">
      <c r="A83" s="1"/>
      <c r="B83" s="14"/>
      <c r="C83" s="46"/>
      <c r="D83" s="54"/>
      <c r="E83" s="80"/>
    </row>
    <row r="84" spans="1:5" ht="15.5">
      <c r="A84" s="1">
        <v>38</v>
      </c>
      <c r="B84" s="15" t="s">
        <v>22</v>
      </c>
      <c r="C84" s="46" t="s">
        <v>236</v>
      </c>
      <c r="D84" s="54">
        <v>390</v>
      </c>
      <c r="E84" s="80"/>
    </row>
    <row r="85" spans="1:5" ht="15.5">
      <c r="A85" s="1"/>
      <c r="B85" s="14"/>
      <c r="C85" s="46"/>
      <c r="D85" s="54"/>
      <c r="E85" s="80"/>
    </row>
    <row r="86" spans="1:5" ht="15.5">
      <c r="A86" s="1">
        <v>39</v>
      </c>
      <c r="B86" s="14" t="s">
        <v>99</v>
      </c>
      <c r="C86" s="46" t="s">
        <v>230</v>
      </c>
      <c r="D86" s="54">
        <v>444.77100000000002</v>
      </c>
      <c r="E86" s="80"/>
    </row>
    <row r="87" spans="1:5" ht="15">
      <c r="A87" s="1"/>
      <c r="B87" s="14"/>
      <c r="C87" s="46"/>
      <c r="D87" s="54"/>
    </row>
    <row r="88" spans="1:5" ht="15">
      <c r="A88" s="1">
        <v>40</v>
      </c>
      <c r="B88" s="15" t="s">
        <v>29</v>
      </c>
      <c r="C88" s="46" t="s">
        <v>279</v>
      </c>
      <c r="D88" s="54">
        <v>248.03800000000001</v>
      </c>
    </row>
    <row r="89" spans="1:5" ht="15">
      <c r="A89" s="1"/>
      <c r="B89" s="14"/>
      <c r="C89" s="46"/>
      <c r="D89" s="54"/>
    </row>
    <row r="90" spans="1:5" ht="15">
      <c r="A90" s="1">
        <v>41</v>
      </c>
      <c r="B90" s="15" t="s">
        <v>30</v>
      </c>
      <c r="C90" s="46" t="s">
        <v>238</v>
      </c>
      <c r="D90" s="54">
        <v>430</v>
      </c>
    </row>
    <row r="91" spans="1:5" ht="15">
      <c r="A91" s="1"/>
      <c r="B91" s="14"/>
      <c r="C91" s="46"/>
      <c r="D91" s="54"/>
    </row>
    <row r="92" spans="1:5" ht="15">
      <c r="A92" s="1">
        <v>42</v>
      </c>
      <c r="B92" s="14" t="s">
        <v>2</v>
      </c>
      <c r="C92" s="46" t="s">
        <v>229</v>
      </c>
      <c r="D92" s="54">
        <v>400</v>
      </c>
    </row>
    <row r="93" spans="1:5" ht="15">
      <c r="A93" s="1"/>
      <c r="B93" s="14"/>
      <c r="C93" s="46"/>
      <c r="D93" s="54"/>
    </row>
    <row r="94" spans="1:5" ht="15">
      <c r="A94" s="1">
        <v>43</v>
      </c>
      <c r="B94" s="14" t="s">
        <v>49</v>
      </c>
      <c r="C94" s="46" t="s">
        <v>229</v>
      </c>
      <c r="D94" s="54">
        <v>410</v>
      </c>
    </row>
    <row r="95" spans="1:5" ht="15">
      <c r="A95" s="1"/>
      <c r="B95" s="14"/>
      <c r="C95" s="46"/>
      <c r="D95" s="54"/>
    </row>
    <row r="96" spans="1:5" ht="15">
      <c r="A96" s="1">
        <v>44</v>
      </c>
      <c r="B96" s="14" t="s">
        <v>50</v>
      </c>
      <c r="C96" s="46" t="s">
        <v>230</v>
      </c>
      <c r="D96" s="54">
        <v>435</v>
      </c>
    </row>
    <row r="97" spans="1:4" ht="15">
      <c r="A97" s="1"/>
      <c r="B97" s="14"/>
      <c r="C97" s="46"/>
      <c r="D97" s="54"/>
    </row>
    <row r="98" spans="1:4" ht="15">
      <c r="A98" s="1">
        <v>45</v>
      </c>
      <c r="B98" s="14" t="s">
        <v>100</v>
      </c>
      <c r="C98" s="46" t="s">
        <v>229</v>
      </c>
      <c r="D98" s="54">
        <v>360</v>
      </c>
    </row>
    <row r="99" spans="1:4" ht="15">
      <c r="A99" s="1"/>
      <c r="B99" s="14"/>
      <c r="C99" s="46"/>
      <c r="D99" s="54"/>
    </row>
    <row r="100" spans="1:4" ht="15">
      <c r="A100" s="1">
        <v>46</v>
      </c>
      <c r="B100" s="14" t="s">
        <v>101</v>
      </c>
      <c r="C100" s="46" t="s">
        <v>231</v>
      </c>
      <c r="D100" s="54">
        <v>391.45100000000002</v>
      </c>
    </row>
    <row r="101" spans="1:4" ht="15">
      <c r="A101" s="1"/>
      <c r="B101" s="14"/>
      <c r="C101" s="46"/>
      <c r="D101" s="54"/>
    </row>
    <row r="102" spans="1:4" ht="15">
      <c r="A102" s="1">
        <v>47</v>
      </c>
      <c r="B102" s="15" t="s">
        <v>31</v>
      </c>
      <c r="C102" s="46" t="s">
        <v>228</v>
      </c>
      <c r="D102" s="54">
        <v>380</v>
      </c>
    </row>
    <row r="103" spans="1:4" ht="15">
      <c r="A103" s="1"/>
      <c r="B103" s="14"/>
      <c r="C103" s="46"/>
      <c r="D103" s="54"/>
    </row>
    <row r="104" spans="1:4" ht="15">
      <c r="A104" s="1">
        <v>48</v>
      </c>
      <c r="B104" s="14" t="s">
        <v>102</v>
      </c>
      <c r="C104" s="46" t="s">
        <v>239</v>
      </c>
      <c r="D104" s="54">
        <v>475</v>
      </c>
    </row>
    <row r="105" spans="1:4" ht="15">
      <c r="A105" s="1"/>
      <c r="B105" s="14"/>
      <c r="C105" s="46"/>
      <c r="D105" s="54"/>
    </row>
    <row r="106" spans="1:4" ht="15">
      <c r="A106" s="1">
        <v>49</v>
      </c>
      <c r="B106" s="14" t="s">
        <v>103</v>
      </c>
      <c r="C106" s="46" t="s">
        <v>230</v>
      </c>
      <c r="D106" s="54">
        <v>380</v>
      </c>
    </row>
    <row r="107" spans="1:4" ht="15">
      <c r="A107" s="1"/>
      <c r="B107" s="14"/>
      <c r="C107" s="46"/>
      <c r="D107" s="54"/>
    </row>
    <row r="108" spans="1:4" ht="15">
      <c r="A108" s="1">
        <v>50</v>
      </c>
      <c r="B108" s="14" t="s">
        <v>104</v>
      </c>
      <c r="C108" s="46" t="s">
        <v>229</v>
      </c>
      <c r="D108" s="54">
        <v>390</v>
      </c>
    </row>
    <row r="109" spans="1:4" ht="15">
      <c r="A109" s="1"/>
      <c r="B109" s="14"/>
      <c r="C109" s="46"/>
      <c r="D109" s="54"/>
    </row>
    <row r="110" spans="1:4" ht="15">
      <c r="A110" s="1">
        <v>51</v>
      </c>
      <c r="B110" s="14" t="s">
        <v>105</v>
      </c>
      <c r="C110" s="46" t="s">
        <v>230</v>
      </c>
      <c r="D110" s="54">
        <v>465</v>
      </c>
    </row>
    <row r="111" spans="1:4" ht="15">
      <c r="A111" s="1"/>
      <c r="B111" s="14"/>
      <c r="C111" s="46"/>
      <c r="D111" s="54"/>
    </row>
    <row r="112" spans="1:4" ht="15">
      <c r="A112" s="1">
        <v>52</v>
      </c>
      <c r="B112" s="14" t="s">
        <v>106</v>
      </c>
      <c r="C112" s="46" t="s">
        <v>230</v>
      </c>
      <c r="D112" s="54">
        <v>383.20800000000003</v>
      </c>
    </row>
    <row r="113" spans="1:4" ht="15">
      <c r="A113" s="1"/>
      <c r="B113" s="14"/>
      <c r="C113" s="46"/>
      <c r="D113" s="54"/>
    </row>
    <row r="114" spans="1:4" ht="15">
      <c r="A114" s="1">
        <v>53</v>
      </c>
      <c r="B114" s="15" t="s">
        <v>32</v>
      </c>
      <c r="C114" s="46" t="s">
        <v>240</v>
      </c>
      <c r="D114" s="54">
        <v>380</v>
      </c>
    </row>
    <row r="115" spans="1:4" ht="15">
      <c r="A115" s="1"/>
      <c r="B115" s="14"/>
      <c r="C115" s="46"/>
      <c r="D115" s="54"/>
    </row>
    <row r="116" spans="1:4" ht="15">
      <c r="A116" s="1">
        <v>54</v>
      </c>
      <c r="B116" s="14" t="s">
        <v>51</v>
      </c>
      <c r="C116" s="46" t="s">
        <v>229</v>
      </c>
      <c r="D116" s="54">
        <v>348</v>
      </c>
    </row>
    <row r="117" spans="1:4" ht="15">
      <c r="A117" s="1"/>
      <c r="B117" s="14"/>
      <c r="C117" s="46"/>
      <c r="D117" s="54"/>
    </row>
    <row r="118" spans="1:4" ht="15">
      <c r="A118" s="1">
        <v>55</v>
      </c>
      <c r="B118" s="14" t="s">
        <v>52</v>
      </c>
      <c r="C118" s="46" t="s">
        <v>229</v>
      </c>
      <c r="D118" s="54">
        <v>377.78399999999999</v>
      </c>
    </row>
    <row r="119" spans="1:4" ht="15">
      <c r="A119" s="1"/>
      <c r="B119" s="14"/>
      <c r="C119" s="46"/>
      <c r="D119" s="54"/>
    </row>
    <row r="120" spans="1:4" ht="15">
      <c r="A120" s="1">
        <v>56</v>
      </c>
      <c r="B120" s="15" t="s">
        <v>33</v>
      </c>
      <c r="C120" s="46" t="s">
        <v>228</v>
      </c>
      <c r="D120" s="54">
        <v>410</v>
      </c>
    </row>
    <row r="121" spans="1:4" ht="15">
      <c r="A121" s="1"/>
      <c r="B121" s="14"/>
      <c r="C121" s="46"/>
      <c r="D121" s="54"/>
    </row>
    <row r="122" spans="1:4" ht="15">
      <c r="A122" s="1">
        <v>57</v>
      </c>
      <c r="B122" s="14" t="s">
        <v>107</v>
      </c>
      <c r="C122" s="46" t="s">
        <v>229</v>
      </c>
      <c r="D122" s="54">
        <v>380</v>
      </c>
    </row>
    <row r="123" spans="1:4" ht="15">
      <c r="A123" s="1"/>
      <c r="B123" s="14"/>
      <c r="C123" s="46"/>
      <c r="D123" s="54"/>
    </row>
    <row r="124" spans="1:4" ht="15">
      <c r="A124" s="1">
        <v>58</v>
      </c>
      <c r="B124" s="14" t="s">
        <v>108</v>
      </c>
      <c r="C124" s="46" t="s">
        <v>229</v>
      </c>
      <c r="D124" s="54">
        <v>325</v>
      </c>
    </row>
    <row r="125" spans="1:4" ht="15">
      <c r="A125" s="1"/>
      <c r="B125" s="14"/>
      <c r="C125" s="46"/>
      <c r="D125" s="54"/>
    </row>
    <row r="126" spans="1:4" ht="15">
      <c r="A126" s="1">
        <v>59</v>
      </c>
      <c r="B126" s="14" t="s">
        <v>109</v>
      </c>
      <c r="C126" s="46" t="s">
        <v>231</v>
      </c>
      <c r="D126" s="54">
        <v>329.8</v>
      </c>
    </row>
    <row r="127" spans="1:4" ht="15">
      <c r="A127" s="1"/>
      <c r="B127" s="14"/>
      <c r="C127" s="46"/>
      <c r="D127" s="54"/>
    </row>
    <row r="128" spans="1:4" ht="15">
      <c r="A128" s="1">
        <v>60</v>
      </c>
      <c r="B128" s="15" t="s">
        <v>34</v>
      </c>
      <c r="C128" s="46" t="s">
        <v>241</v>
      </c>
      <c r="D128" s="54">
        <v>385</v>
      </c>
    </row>
    <row r="129" spans="1:4" ht="15">
      <c r="A129" s="1"/>
      <c r="B129" s="14"/>
      <c r="C129" s="46"/>
      <c r="D129" s="54"/>
    </row>
    <row r="130" spans="1:4" ht="15">
      <c r="A130" s="1">
        <v>61</v>
      </c>
      <c r="B130" s="14" t="s">
        <v>110</v>
      </c>
      <c r="C130" s="46" t="s">
        <v>229</v>
      </c>
      <c r="D130" s="54">
        <v>312.55799999999999</v>
      </c>
    </row>
    <row r="131" spans="1:4" ht="15">
      <c r="A131" s="1"/>
      <c r="B131" s="14"/>
      <c r="C131" s="46"/>
      <c r="D131" s="54"/>
    </row>
    <row r="132" spans="1:4" ht="15">
      <c r="A132" s="1">
        <v>62</v>
      </c>
      <c r="B132" s="15" t="s">
        <v>35</v>
      </c>
      <c r="C132" s="46" t="s">
        <v>242</v>
      </c>
      <c r="D132" s="55">
        <v>242</v>
      </c>
    </row>
    <row r="133" spans="1:4" ht="15">
      <c r="A133" s="1"/>
      <c r="B133" s="14"/>
      <c r="C133" s="46"/>
      <c r="D133" s="55"/>
    </row>
    <row r="134" spans="1:4" ht="15">
      <c r="A134" s="1">
        <v>63</v>
      </c>
      <c r="B134" s="14" t="s">
        <v>4</v>
      </c>
      <c r="C134" s="46" t="s">
        <v>237</v>
      </c>
      <c r="D134" s="55">
        <v>464</v>
      </c>
    </row>
    <row r="135" spans="1:4" ht="15">
      <c r="A135" s="1"/>
      <c r="B135" s="14"/>
      <c r="C135" s="46"/>
      <c r="D135" s="55"/>
    </row>
    <row r="136" spans="1:4" ht="15">
      <c r="A136" s="1">
        <v>64</v>
      </c>
      <c r="B136" s="14" t="s">
        <v>5</v>
      </c>
      <c r="C136" s="47" t="s">
        <v>229</v>
      </c>
      <c r="D136" s="55">
        <v>391</v>
      </c>
    </row>
    <row r="137" spans="1:4" ht="15">
      <c r="A137" s="1"/>
      <c r="B137" s="14"/>
      <c r="C137" s="46"/>
      <c r="D137" s="55"/>
    </row>
    <row r="138" spans="1:4" ht="15">
      <c r="A138" s="1">
        <v>65</v>
      </c>
      <c r="B138" s="14" t="s">
        <v>111</v>
      </c>
      <c r="C138" s="46" t="s">
        <v>239</v>
      </c>
      <c r="D138" s="55">
        <v>417.51799999999997</v>
      </c>
    </row>
    <row r="139" spans="1:4" ht="15">
      <c r="A139" s="1"/>
      <c r="B139" s="14"/>
      <c r="C139" s="46"/>
      <c r="D139" s="53"/>
    </row>
    <row r="140" spans="1:4" ht="15">
      <c r="A140" s="1">
        <v>66</v>
      </c>
      <c r="B140" s="15" t="s">
        <v>36</v>
      </c>
      <c r="C140" s="48" t="s">
        <v>228</v>
      </c>
      <c r="D140" s="65">
        <v>315</v>
      </c>
    </row>
    <row r="141" spans="1:4">
      <c r="A141" s="1"/>
      <c r="B141" s="14"/>
      <c r="C141" s="14"/>
      <c r="D141" s="65"/>
    </row>
    <row r="142" spans="1:4" ht="15">
      <c r="A142" s="1">
        <v>67</v>
      </c>
      <c r="B142" s="14" t="s">
        <v>6</v>
      </c>
      <c r="C142" s="46" t="s">
        <v>231</v>
      </c>
      <c r="D142" s="65">
        <v>375</v>
      </c>
    </row>
    <row r="143" spans="1:4" ht="15">
      <c r="A143" s="1"/>
      <c r="B143" s="14"/>
      <c r="C143" s="46"/>
      <c r="D143" s="65"/>
    </row>
    <row r="144" spans="1:4" ht="15">
      <c r="A144" s="1">
        <v>68</v>
      </c>
      <c r="B144" s="14" t="s">
        <v>37</v>
      </c>
      <c r="C144" s="46" t="s">
        <v>229</v>
      </c>
      <c r="D144" s="65">
        <v>416</v>
      </c>
    </row>
    <row r="145" spans="1:4" ht="15">
      <c r="A145" s="1"/>
      <c r="B145" s="14"/>
      <c r="C145" s="46"/>
      <c r="D145" s="65"/>
    </row>
    <row r="146" spans="1:4" ht="15">
      <c r="A146" s="1">
        <v>69</v>
      </c>
      <c r="B146" s="14" t="s">
        <v>112</v>
      </c>
      <c r="C146" s="46" t="s">
        <v>229</v>
      </c>
      <c r="D146" s="65">
        <v>422</v>
      </c>
    </row>
    <row r="147" spans="1:4" ht="15">
      <c r="A147" s="1"/>
      <c r="B147" s="14"/>
      <c r="C147" s="46"/>
      <c r="D147" s="65"/>
    </row>
    <row r="148" spans="1:4" ht="15">
      <c r="A148" s="1">
        <v>70</v>
      </c>
      <c r="B148" s="14" t="s">
        <v>113</v>
      </c>
      <c r="C148" s="46" t="s">
        <v>229</v>
      </c>
      <c r="D148" s="65">
        <v>388</v>
      </c>
    </row>
    <row r="149" spans="1:4" ht="15">
      <c r="A149" s="1"/>
      <c r="B149" s="14"/>
      <c r="C149" s="46"/>
      <c r="D149" s="65"/>
    </row>
    <row r="150" spans="1:4" ht="15">
      <c r="A150" s="1">
        <v>71</v>
      </c>
      <c r="B150" s="14" t="s">
        <v>114</v>
      </c>
      <c r="C150" s="46" t="s">
        <v>239</v>
      </c>
      <c r="D150" s="65">
        <v>409</v>
      </c>
    </row>
    <row r="151" spans="1:4" ht="15">
      <c r="A151" s="1"/>
      <c r="B151" s="14"/>
      <c r="C151" s="46"/>
      <c r="D151" s="65"/>
    </row>
    <row r="152" spans="1:4" ht="15">
      <c r="A152" s="1">
        <v>72</v>
      </c>
      <c r="B152" s="14" t="s">
        <v>115</v>
      </c>
      <c r="C152" s="46" t="s">
        <v>229</v>
      </c>
      <c r="D152" s="65">
        <v>420</v>
      </c>
    </row>
    <row r="153" spans="1:4" ht="15">
      <c r="A153" s="1"/>
      <c r="B153" s="14"/>
      <c r="C153" s="46"/>
      <c r="D153" s="65"/>
    </row>
    <row r="154" spans="1:4" ht="15">
      <c r="A154" s="1">
        <v>73</v>
      </c>
      <c r="B154" s="14" t="s">
        <v>116</v>
      </c>
      <c r="C154" s="46" t="s">
        <v>228</v>
      </c>
      <c r="D154" s="65">
        <v>399</v>
      </c>
    </row>
    <row r="155" spans="1:4" ht="15">
      <c r="A155" s="1"/>
      <c r="B155" s="14"/>
      <c r="C155" s="46"/>
      <c r="D155" s="65"/>
    </row>
    <row r="156" spans="1:4" ht="15">
      <c r="A156" s="1">
        <v>74</v>
      </c>
      <c r="B156" s="14" t="s">
        <v>117</v>
      </c>
      <c r="C156" s="46" t="s">
        <v>230</v>
      </c>
      <c r="D156" s="65">
        <v>381</v>
      </c>
    </row>
    <row r="157" spans="1:4" ht="15">
      <c r="A157" s="1"/>
      <c r="B157" s="14"/>
      <c r="C157" s="46"/>
      <c r="D157" s="65"/>
    </row>
    <row r="158" spans="1:4" ht="15">
      <c r="A158" s="1">
        <v>75</v>
      </c>
      <c r="B158" s="14" t="s">
        <v>118</v>
      </c>
      <c r="C158" s="46" t="s">
        <v>229</v>
      </c>
      <c r="D158" s="65">
        <v>382</v>
      </c>
    </row>
    <row r="159" spans="1:4" ht="15">
      <c r="A159" s="1"/>
      <c r="B159" s="14"/>
      <c r="C159" s="46"/>
      <c r="D159" s="65"/>
    </row>
    <row r="160" spans="1:4" ht="15">
      <c r="A160" s="1">
        <v>76</v>
      </c>
      <c r="B160" s="14" t="s">
        <v>119</v>
      </c>
      <c r="C160" s="46" t="s">
        <v>229</v>
      </c>
      <c r="D160" s="65">
        <v>391</v>
      </c>
    </row>
    <row r="161" spans="1:4" ht="15">
      <c r="A161" s="1"/>
      <c r="B161" s="14"/>
      <c r="C161" s="46"/>
      <c r="D161" s="65"/>
    </row>
    <row r="162" spans="1:4" ht="15">
      <c r="A162" s="1">
        <v>77</v>
      </c>
      <c r="B162" s="14" t="s">
        <v>120</v>
      </c>
      <c r="C162" s="46" t="s">
        <v>278</v>
      </c>
      <c r="D162" s="65">
        <v>433</v>
      </c>
    </row>
    <row r="163" spans="1:4" ht="15">
      <c r="A163" s="1"/>
      <c r="B163" s="14"/>
      <c r="C163" s="46"/>
      <c r="D163" s="65"/>
    </row>
    <row r="164" spans="1:4" ht="15">
      <c r="A164" s="1">
        <v>78</v>
      </c>
      <c r="B164" s="14" t="s">
        <v>121</v>
      </c>
      <c r="C164" s="46" t="s">
        <v>229</v>
      </c>
      <c r="D164" s="65">
        <v>415</v>
      </c>
    </row>
    <row r="165" spans="1:4" ht="15">
      <c r="A165" s="1"/>
      <c r="B165" s="14"/>
      <c r="C165" s="46"/>
      <c r="D165" s="65"/>
    </row>
    <row r="166" spans="1:4" ht="15">
      <c r="A166" s="1">
        <v>79</v>
      </c>
      <c r="B166" s="14" t="s">
        <v>122</v>
      </c>
      <c r="C166" s="46" t="s">
        <v>229</v>
      </c>
      <c r="D166" s="65">
        <v>430</v>
      </c>
    </row>
    <row r="167" spans="1:4" ht="15">
      <c r="A167" s="1"/>
      <c r="B167" s="14"/>
      <c r="C167" s="46"/>
      <c r="D167" s="65"/>
    </row>
    <row r="168" spans="1:4" ht="15">
      <c r="A168" s="1">
        <v>80</v>
      </c>
      <c r="B168" s="14" t="s">
        <v>123</v>
      </c>
      <c r="C168" s="46" t="s">
        <v>229</v>
      </c>
      <c r="D168" s="65">
        <v>314</v>
      </c>
    </row>
    <row r="169" spans="1:4" ht="15">
      <c r="A169" s="1"/>
      <c r="B169" s="14"/>
      <c r="C169" s="46"/>
      <c r="D169" s="65"/>
    </row>
    <row r="170" spans="1:4" ht="15">
      <c r="A170" s="1">
        <v>81</v>
      </c>
      <c r="B170" s="14" t="s">
        <v>124</v>
      </c>
      <c r="C170" s="46" t="s">
        <v>232</v>
      </c>
      <c r="D170" s="65">
        <v>402.24900000000002</v>
      </c>
    </row>
    <row r="171" spans="1:4" ht="15">
      <c r="A171" s="1"/>
      <c r="B171" s="14"/>
      <c r="C171" s="46"/>
      <c r="D171" s="62"/>
    </row>
    <row r="172" spans="1:4" ht="15">
      <c r="A172" s="1">
        <v>82</v>
      </c>
      <c r="B172" s="15" t="s">
        <v>38</v>
      </c>
      <c r="C172" s="46" t="s">
        <v>243</v>
      </c>
      <c r="D172" s="62">
        <v>400</v>
      </c>
    </row>
    <row r="173" spans="1:4">
      <c r="A173" s="6"/>
      <c r="B173" s="14"/>
      <c r="C173" s="14"/>
      <c r="D173" s="56"/>
    </row>
    <row r="174" spans="1:4">
      <c r="A174" s="6">
        <f>A172+1</f>
        <v>83</v>
      </c>
      <c r="B174" s="14" t="s">
        <v>125</v>
      </c>
      <c r="C174" s="14" t="s">
        <v>230</v>
      </c>
      <c r="D174" s="56">
        <v>435</v>
      </c>
    </row>
    <row r="175" spans="1:4">
      <c r="A175" s="6"/>
      <c r="B175" s="14"/>
      <c r="C175" s="14"/>
      <c r="D175" s="56"/>
    </row>
    <row r="176" spans="1:4">
      <c r="A176" s="6">
        <f>A174+1</f>
        <v>84</v>
      </c>
      <c r="B176" s="15" t="s">
        <v>39</v>
      </c>
      <c r="C176" s="15" t="s">
        <v>242</v>
      </c>
      <c r="D176" s="56">
        <v>345</v>
      </c>
    </row>
    <row r="177" spans="1:18" ht="15">
      <c r="A177" s="6"/>
      <c r="B177" s="14"/>
      <c r="C177" s="14"/>
      <c r="D177" s="56"/>
      <c r="M177" s="3"/>
      <c r="N177" s="3"/>
      <c r="O177" s="3"/>
      <c r="P177" s="3"/>
      <c r="Q177" s="4"/>
      <c r="R177" s="4"/>
    </row>
    <row r="178" spans="1:18" ht="15">
      <c r="A178" s="6">
        <f>A176+1</f>
        <v>85</v>
      </c>
      <c r="B178" s="14" t="s">
        <v>8</v>
      </c>
      <c r="C178" s="14" t="s">
        <v>229</v>
      </c>
      <c r="D178" s="56">
        <v>410</v>
      </c>
      <c r="M178" s="3"/>
      <c r="N178" s="3"/>
      <c r="O178" s="3"/>
      <c r="P178" s="3"/>
      <c r="Q178" s="4"/>
      <c r="R178" s="4"/>
    </row>
    <row r="179" spans="1:18" ht="15">
      <c r="A179" s="6"/>
      <c r="B179" s="14"/>
      <c r="C179" s="14"/>
      <c r="D179" s="56"/>
      <c r="M179" s="3"/>
      <c r="N179" s="3"/>
      <c r="O179" s="3"/>
      <c r="P179" s="3"/>
      <c r="Q179" s="4"/>
      <c r="R179" s="4"/>
    </row>
    <row r="180" spans="1:18" ht="15">
      <c r="A180" s="6">
        <f>A178+1</f>
        <v>86</v>
      </c>
      <c r="B180" s="14" t="s">
        <v>40</v>
      </c>
      <c r="C180" s="14" t="s">
        <v>229</v>
      </c>
      <c r="D180" s="56">
        <v>410</v>
      </c>
      <c r="M180" s="3"/>
      <c r="N180" s="3"/>
      <c r="O180" s="3"/>
      <c r="P180" s="3"/>
      <c r="Q180" s="4"/>
      <c r="R180" s="4"/>
    </row>
    <row r="181" spans="1:18" ht="15">
      <c r="A181" s="6"/>
      <c r="B181" s="14"/>
      <c r="C181" s="14"/>
      <c r="D181" s="56"/>
      <c r="M181" s="3"/>
      <c r="N181" s="3"/>
      <c r="O181" s="3"/>
      <c r="P181" s="3"/>
      <c r="Q181" s="4"/>
      <c r="R181" s="4"/>
    </row>
    <row r="182" spans="1:18" ht="15">
      <c r="A182" s="6">
        <f>A180+1</f>
        <v>87</v>
      </c>
      <c r="B182" s="14" t="s">
        <v>53</v>
      </c>
      <c r="C182" s="14" t="s">
        <v>278</v>
      </c>
      <c r="D182" s="56">
        <v>320</v>
      </c>
      <c r="M182" s="3"/>
      <c r="N182" s="3"/>
      <c r="O182" s="3"/>
      <c r="P182" s="3"/>
      <c r="Q182" s="4"/>
      <c r="R182" s="4"/>
    </row>
    <row r="183" spans="1:18" ht="15">
      <c r="A183" s="6"/>
      <c r="B183" s="14"/>
      <c r="C183" s="14"/>
      <c r="D183" s="56"/>
      <c r="M183" s="3"/>
      <c r="N183" s="3"/>
      <c r="O183" s="3"/>
      <c r="P183" s="3"/>
      <c r="Q183" s="4"/>
      <c r="R183" s="4"/>
    </row>
    <row r="184" spans="1:18" ht="15">
      <c r="A184" s="6">
        <f>A182+1</f>
        <v>88</v>
      </c>
      <c r="B184" s="14" t="s">
        <v>126</v>
      </c>
      <c r="C184" s="14" t="s">
        <v>239</v>
      </c>
      <c r="D184" s="56">
        <v>400</v>
      </c>
      <c r="M184" s="3"/>
      <c r="N184" s="3"/>
      <c r="O184" s="3"/>
      <c r="P184" s="3"/>
      <c r="Q184" s="4"/>
      <c r="R184" s="4"/>
    </row>
    <row r="185" spans="1:18" ht="15">
      <c r="A185" s="6"/>
      <c r="B185" s="14"/>
      <c r="C185" s="14"/>
      <c r="D185" s="56"/>
      <c r="M185" s="3"/>
      <c r="N185" s="3"/>
      <c r="O185" s="3"/>
      <c r="P185" s="3"/>
      <c r="Q185" s="4"/>
      <c r="R185" s="4"/>
    </row>
    <row r="186" spans="1:18" ht="15">
      <c r="A186" s="6">
        <f>A184+1</f>
        <v>89</v>
      </c>
      <c r="B186" s="14" t="s">
        <v>127</v>
      </c>
      <c r="C186" s="14" t="s">
        <v>232</v>
      </c>
      <c r="D186" s="56">
        <v>410.1</v>
      </c>
      <c r="M186" s="3"/>
      <c r="N186" s="3"/>
      <c r="O186" s="3"/>
      <c r="P186" s="3"/>
      <c r="Q186" s="4"/>
      <c r="R186" s="4"/>
    </row>
    <row r="187" spans="1:18" ht="15">
      <c r="A187" s="6"/>
      <c r="B187" s="14"/>
      <c r="C187" s="14"/>
      <c r="D187" s="56"/>
      <c r="M187" s="3"/>
      <c r="N187" s="3"/>
      <c r="O187" s="3"/>
      <c r="P187" s="3"/>
      <c r="Q187" s="4"/>
      <c r="R187" s="4"/>
    </row>
    <row r="188" spans="1:18" ht="15">
      <c r="A188" s="6">
        <f>A186+1</f>
        <v>90</v>
      </c>
      <c r="B188" s="15" t="s">
        <v>41</v>
      </c>
      <c r="C188" s="49" t="s">
        <v>240</v>
      </c>
      <c r="D188" s="55">
        <v>417.21899999999999</v>
      </c>
      <c r="M188" s="3"/>
      <c r="N188" s="3"/>
      <c r="O188" s="3"/>
      <c r="P188" s="3"/>
      <c r="Q188" s="4"/>
      <c r="R188" s="4"/>
    </row>
    <row r="189" spans="1:18" ht="15">
      <c r="A189" s="6"/>
      <c r="B189" s="14"/>
      <c r="C189" s="49"/>
      <c r="D189" s="55"/>
      <c r="M189" s="3"/>
      <c r="N189" s="3"/>
      <c r="O189" s="3"/>
      <c r="P189" s="3"/>
      <c r="Q189" s="4"/>
      <c r="R189" s="4"/>
    </row>
    <row r="190" spans="1:18" ht="15">
      <c r="A190" s="6">
        <f>A188+1</f>
        <v>91</v>
      </c>
      <c r="B190" s="15" t="s">
        <v>42</v>
      </c>
      <c r="C190" s="49" t="s">
        <v>243</v>
      </c>
      <c r="D190" s="55">
        <v>249.602</v>
      </c>
      <c r="M190" s="3"/>
      <c r="N190" s="3"/>
      <c r="O190" s="3"/>
      <c r="P190" s="3"/>
      <c r="Q190" s="4"/>
      <c r="R190" s="4"/>
    </row>
    <row r="191" spans="1:18" ht="15">
      <c r="A191" s="6"/>
      <c r="B191" s="14"/>
      <c r="C191" s="49"/>
      <c r="D191" s="55"/>
      <c r="M191" s="3"/>
      <c r="N191" s="3"/>
      <c r="O191" s="3"/>
      <c r="P191" s="3"/>
      <c r="Q191" s="4"/>
      <c r="R191" s="4"/>
    </row>
    <row r="192" spans="1:18" ht="15">
      <c r="A192" s="6">
        <f>A190+1</f>
        <v>92</v>
      </c>
      <c r="B192" s="15" t="s">
        <v>43</v>
      </c>
      <c r="C192" s="50" t="s">
        <v>244</v>
      </c>
      <c r="D192" s="55">
        <v>333.60199999999998</v>
      </c>
      <c r="M192" s="3"/>
      <c r="N192" s="3"/>
      <c r="O192" s="3"/>
      <c r="P192" s="3"/>
      <c r="Q192" s="4"/>
      <c r="R192" s="4"/>
    </row>
    <row r="193" spans="1:18" ht="15">
      <c r="A193" s="6"/>
      <c r="B193" s="14"/>
      <c r="C193" s="49"/>
      <c r="D193" s="55"/>
      <c r="M193" s="3"/>
      <c r="N193" s="3"/>
      <c r="O193" s="3"/>
      <c r="P193" s="3"/>
      <c r="Q193" s="4"/>
      <c r="R193" s="4"/>
    </row>
    <row r="194" spans="1:18" ht="15">
      <c r="A194" s="6">
        <f>A192+1</f>
        <v>93</v>
      </c>
      <c r="B194" s="15" t="s">
        <v>44</v>
      </c>
      <c r="C194" s="49" t="s">
        <v>236</v>
      </c>
      <c r="D194" s="55">
        <v>313</v>
      </c>
      <c r="M194" s="3"/>
      <c r="N194" s="3"/>
      <c r="O194" s="3"/>
      <c r="P194" s="3"/>
      <c r="Q194" s="4"/>
      <c r="R194" s="4"/>
    </row>
    <row r="195" spans="1:18" ht="15">
      <c r="A195" s="6"/>
      <c r="B195" s="14"/>
      <c r="C195" s="49"/>
      <c r="D195" s="55"/>
      <c r="M195" s="3"/>
      <c r="N195" s="3"/>
      <c r="O195" s="3"/>
      <c r="P195" s="3"/>
      <c r="Q195" s="4"/>
      <c r="R195" s="4"/>
    </row>
    <row r="196" spans="1:18" ht="15">
      <c r="A196" s="6">
        <f>A194+1</f>
        <v>94</v>
      </c>
      <c r="B196" s="14" t="s">
        <v>128</v>
      </c>
      <c r="C196" s="49" t="s">
        <v>231</v>
      </c>
      <c r="D196" s="55">
        <v>337</v>
      </c>
      <c r="M196" s="3"/>
      <c r="N196" s="3"/>
      <c r="O196" s="3"/>
      <c r="P196" s="3"/>
      <c r="Q196" s="4"/>
      <c r="R196" s="4"/>
    </row>
    <row r="197" spans="1:18" ht="15">
      <c r="A197" s="6"/>
      <c r="B197" s="14"/>
      <c r="C197" s="49"/>
      <c r="D197" s="55"/>
      <c r="M197" s="3"/>
      <c r="N197" s="3"/>
      <c r="O197" s="3"/>
      <c r="P197" s="3"/>
      <c r="Q197" s="4"/>
      <c r="R197" s="4"/>
    </row>
    <row r="198" spans="1:18" ht="15">
      <c r="A198" s="6">
        <f>A196+1</f>
        <v>95</v>
      </c>
      <c r="B198" s="14" t="s">
        <v>129</v>
      </c>
      <c r="C198" s="49" t="s">
        <v>231</v>
      </c>
      <c r="D198" s="55">
        <v>384.09800000000001</v>
      </c>
      <c r="M198" s="3"/>
      <c r="N198" s="3"/>
      <c r="O198" s="3"/>
      <c r="P198" s="3"/>
      <c r="Q198" s="4"/>
      <c r="R198" s="4"/>
    </row>
    <row r="199" spans="1:18" ht="15">
      <c r="A199" s="6"/>
      <c r="B199" s="14"/>
      <c r="C199" s="49"/>
      <c r="D199" s="55"/>
      <c r="M199" s="3"/>
      <c r="N199" s="3"/>
      <c r="O199" s="3"/>
      <c r="P199" s="3"/>
      <c r="Q199" s="4"/>
      <c r="R199" s="4"/>
    </row>
    <row r="200" spans="1:18" ht="15">
      <c r="A200" s="6">
        <f>A198+1</f>
        <v>96</v>
      </c>
      <c r="B200" s="15" t="s">
        <v>45</v>
      </c>
      <c r="C200" s="49" t="s">
        <v>245</v>
      </c>
      <c r="D200" s="55">
        <v>258.61599999999999</v>
      </c>
      <c r="M200" s="3"/>
      <c r="N200" s="3"/>
      <c r="O200" s="3"/>
      <c r="P200" s="3"/>
      <c r="Q200" s="4"/>
      <c r="R200" s="4"/>
    </row>
    <row r="201" spans="1:18" ht="15">
      <c r="A201" s="6"/>
      <c r="B201" s="14"/>
      <c r="C201" s="49"/>
      <c r="D201" s="55"/>
      <c r="M201" s="3"/>
      <c r="N201" s="3"/>
      <c r="O201" s="3"/>
      <c r="P201" s="3"/>
      <c r="Q201" s="4"/>
      <c r="R201" s="4"/>
    </row>
    <row r="202" spans="1:18" ht="15">
      <c r="A202" s="6">
        <f>A200+1</f>
        <v>97</v>
      </c>
      <c r="B202" s="15" t="s">
        <v>46</v>
      </c>
      <c r="C202" s="49" t="s">
        <v>246</v>
      </c>
      <c r="D202" s="55">
        <v>390</v>
      </c>
      <c r="M202" s="3"/>
      <c r="N202" s="3"/>
      <c r="O202" s="3"/>
      <c r="P202" s="3"/>
      <c r="Q202" s="4"/>
      <c r="R202" s="4"/>
    </row>
    <row r="203" spans="1:18" ht="15">
      <c r="A203" s="6"/>
      <c r="B203" s="14"/>
      <c r="C203" s="49"/>
      <c r="D203" s="55"/>
      <c r="M203" s="3"/>
      <c r="N203" s="3"/>
      <c r="O203" s="3"/>
      <c r="P203" s="3"/>
      <c r="Q203" s="4"/>
      <c r="R203" s="4"/>
    </row>
    <row r="204" spans="1:18" ht="15">
      <c r="A204" s="6">
        <f>A202+1</f>
        <v>98</v>
      </c>
      <c r="B204" s="14" t="s">
        <v>130</v>
      </c>
      <c r="C204" s="49" t="s">
        <v>231</v>
      </c>
      <c r="D204" s="55">
        <v>290</v>
      </c>
      <c r="M204" s="3"/>
      <c r="N204" s="3"/>
      <c r="O204" s="3"/>
      <c r="P204" s="3"/>
      <c r="Q204" s="4"/>
      <c r="R204" s="4"/>
    </row>
    <row r="205" spans="1:18" ht="15">
      <c r="A205" s="6"/>
      <c r="B205" s="14"/>
      <c r="C205" s="49"/>
      <c r="D205" s="55"/>
      <c r="M205" s="3"/>
      <c r="N205" s="3"/>
      <c r="O205" s="3"/>
      <c r="P205" s="3"/>
      <c r="Q205" s="4"/>
      <c r="R205" s="4"/>
    </row>
    <row r="206" spans="1:18" ht="15">
      <c r="A206" s="6">
        <f>A204+1</f>
        <v>99</v>
      </c>
      <c r="B206" s="14" t="s">
        <v>131</v>
      </c>
      <c r="C206" s="49" t="s">
        <v>231</v>
      </c>
      <c r="D206" s="55">
        <v>345</v>
      </c>
      <c r="M206" s="3"/>
      <c r="N206" s="3"/>
      <c r="O206" s="3"/>
      <c r="P206" s="3"/>
      <c r="Q206" s="4"/>
      <c r="R206" s="4"/>
    </row>
    <row r="207" spans="1:18" ht="15">
      <c r="A207" s="6"/>
      <c r="B207" s="14"/>
      <c r="C207" s="49"/>
      <c r="D207" s="55"/>
      <c r="M207" s="3"/>
      <c r="N207" s="3"/>
      <c r="O207" s="3"/>
      <c r="P207" s="3"/>
      <c r="Q207" s="4"/>
      <c r="R207" s="4"/>
    </row>
    <row r="208" spans="1:18" ht="15">
      <c r="A208" s="6">
        <f>A206+1</f>
        <v>100</v>
      </c>
      <c r="B208" s="14" t="s">
        <v>132</v>
      </c>
      <c r="C208" s="49" t="s">
        <v>230</v>
      </c>
      <c r="D208" s="55">
        <v>423</v>
      </c>
      <c r="M208" s="3"/>
      <c r="N208" s="3"/>
      <c r="O208" s="3"/>
      <c r="P208" s="3"/>
      <c r="Q208" s="4"/>
      <c r="R208" s="4"/>
    </row>
    <row r="209" spans="1:18" ht="15">
      <c r="A209" s="6"/>
      <c r="B209" s="14"/>
      <c r="C209" s="49"/>
      <c r="D209" s="55"/>
      <c r="M209" s="3"/>
      <c r="N209" s="3"/>
      <c r="O209" s="3"/>
      <c r="P209" s="3"/>
      <c r="Q209" s="4"/>
      <c r="R209" s="4"/>
    </row>
    <row r="210" spans="1:18" ht="15">
      <c r="A210" s="6">
        <f>A208+1</f>
        <v>101</v>
      </c>
      <c r="B210" s="14" t="s">
        <v>133</v>
      </c>
      <c r="C210" s="49" t="s">
        <v>229</v>
      </c>
      <c r="D210" s="55">
        <v>388.69299999999998</v>
      </c>
      <c r="M210" s="3"/>
      <c r="N210" s="3"/>
      <c r="O210" s="3"/>
      <c r="P210" s="3"/>
      <c r="Q210" s="4"/>
      <c r="R210" s="4"/>
    </row>
    <row r="211" spans="1:18" ht="15">
      <c r="A211" s="6"/>
      <c r="B211" s="14"/>
      <c r="C211" s="49"/>
      <c r="D211" s="55"/>
      <c r="M211" s="3"/>
      <c r="N211" s="3"/>
      <c r="O211" s="3"/>
      <c r="P211" s="3"/>
      <c r="Q211" s="4"/>
      <c r="R211" s="4"/>
    </row>
    <row r="212" spans="1:18" ht="15">
      <c r="A212" s="6">
        <f>A210+1</f>
        <v>102</v>
      </c>
      <c r="B212" s="15" t="s">
        <v>47</v>
      </c>
      <c r="C212" s="49" t="s">
        <v>247</v>
      </c>
      <c r="D212" s="55">
        <v>405</v>
      </c>
      <c r="M212" s="3"/>
      <c r="N212" s="3"/>
      <c r="O212" s="3"/>
      <c r="P212" s="3"/>
      <c r="Q212" s="4"/>
      <c r="R212" s="4"/>
    </row>
    <row r="213" spans="1:18" ht="15">
      <c r="A213" s="6"/>
      <c r="B213" s="14"/>
      <c r="C213" s="49"/>
      <c r="D213" s="55"/>
      <c r="M213" s="3"/>
      <c r="N213" s="3"/>
      <c r="O213" s="3"/>
      <c r="P213" s="3"/>
      <c r="Q213" s="4"/>
      <c r="R213" s="4"/>
    </row>
    <row r="214" spans="1:18" ht="15">
      <c r="A214" s="6">
        <f>A212+1</f>
        <v>103</v>
      </c>
      <c r="B214" s="14" t="s">
        <v>134</v>
      </c>
      <c r="C214" s="49" t="s">
        <v>230</v>
      </c>
      <c r="D214" s="55">
        <v>385</v>
      </c>
      <c r="M214" s="3"/>
      <c r="N214" s="3"/>
      <c r="O214" s="3"/>
      <c r="P214" s="3"/>
      <c r="Q214" s="4"/>
      <c r="R214" s="4"/>
    </row>
    <row r="215" spans="1:18" ht="15">
      <c r="A215" s="6"/>
      <c r="B215" s="14"/>
      <c r="C215" s="49"/>
      <c r="D215" s="55"/>
      <c r="M215" s="3"/>
      <c r="N215" s="3"/>
      <c r="O215" s="3"/>
      <c r="P215" s="3"/>
      <c r="Q215" s="4"/>
      <c r="R215" s="4"/>
    </row>
    <row r="216" spans="1:18" ht="15">
      <c r="A216" s="6">
        <f>A214+1</f>
        <v>104</v>
      </c>
      <c r="B216" s="14" t="s">
        <v>135</v>
      </c>
      <c r="C216" s="49" t="s">
        <v>229</v>
      </c>
      <c r="D216" s="55">
        <v>366</v>
      </c>
      <c r="M216" s="3"/>
      <c r="N216" s="3"/>
      <c r="O216" s="3"/>
      <c r="P216" s="3"/>
      <c r="Q216" s="4"/>
      <c r="R216" s="4"/>
    </row>
    <row r="217" spans="1:18" ht="15">
      <c r="A217" s="6"/>
      <c r="B217" s="14"/>
      <c r="C217" s="49"/>
      <c r="D217" s="55"/>
      <c r="M217" s="3"/>
      <c r="N217" s="3"/>
      <c r="O217" s="3"/>
      <c r="P217" s="3"/>
      <c r="Q217" s="4"/>
      <c r="R217" s="4"/>
    </row>
    <row r="218" spans="1:18" ht="15">
      <c r="A218" s="6">
        <f>A216+1</f>
        <v>105</v>
      </c>
      <c r="B218" s="14" t="s">
        <v>136</v>
      </c>
      <c r="C218" s="49" t="s">
        <v>230</v>
      </c>
      <c r="D218" s="55">
        <v>444</v>
      </c>
      <c r="M218" s="3"/>
      <c r="N218" s="3"/>
      <c r="O218" s="3"/>
      <c r="P218" s="3"/>
      <c r="Q218" s="4"/>
      <c r="R218" s="4"/>
    </row>
    <row r="219" spans="1:18" ht="15">
      <c r="A219" s="6"/>
      <c r="B219" s="14"/>
      <c r="C219" s="49"/>
      <c r="D219" s="55"/>
      <c r="M219" s="3"/>
      <c r="N219" s="3"/>
      <c r="O219" s="3"/>
      <c r="P219" s="3"/>
      <c r="Q219" s="4"/>
      <c r="R219" s="4"/>
    </row>
    <row r="220" spans="1:18" ht="15">
      <c r="A220" s="6">
        <f>A218+1</f>
        <v>106</v>
      </c>
      <c r="B220" s="14" t="s">
        <v>137</v>
      </c>
      <c r="C220" s="49" t="s">
        <v>230</v>
      </c>
      <c r="D220" s="55">
        <v>355</v>
      </c>
      <c r="M220" s="3"/>
      <c r="N220" s="3"/>
      <c r="O220" s="3"/>
      <c r="P220" s="3"/>
      <c r="Q220" s="4"/>
      <c r="R220" s="4"/>
    </row>
    <row r="221" spans="1:18" ht="15">
      <c r="A221" s="6"/>
      <c r="B221" s="14"/>
      <c r="C221" s="49"/>
      <c r="D221" s="55"/>
      <c r="M221" s="3"/>
      <c r="N221" s="3"/>
      <c r="O221" s="3"/>
      <c r="P221" s="3"/>
      <c r="Q221" s="4"/>
      <c r="R221" s="4"/>
    </row>
    <row r="222" spans="1:18" ht="15">
      <c r="A222" s="6">
        <f>A220+1</f>
        <v>107</v>
      </c>
      <c r="B222" s="14" t="s">
        <v>138</v>
      </c>
      <c r="C222" s="49" t="s">
        <v>229</v>
      </c>
      <c r="D222" s="55">
        <v>375</v>
      </c>
      <c r="M222" s="3"/>
      <c r="N222" s="3"/>
      <c r="O222" s="3"/>
      <c r="P222" s="3"/>
      <c r="Q222" s="4"/>
      <c r="R222" s="4"/>
    </row>
    <row r="223" spans="1:18" ht="15">
      <c r="A223" s="6"/>
      <c r="B223" s="14"/>
      <c r="C223" s="49"/>
      <c r="D223" s="55"/>
      <c r="M223" s="3"/>
      <c r="N223" s="3"/>
      <c r="O223" s="3"/>
      <c r="P223" s="3"/>
      <c r="Q223" s="4"/>
      <c r="R223" s="4"/>
    </row>
    <row r="224" spans="1:18" ht="15">
      <c r="A224" s="6">
        <f>A222+1</f>
        <v>108</v>
      </c>
      <c r="B224" s="14" t="s">
        <v>139</v>
      </c>
      <c r="C224" s="49" t="s">
        <v>231</v>
      </c>
      <c r="D224" s="55">
        <v>374.49</v>
      </c>
      <c r="M224" s="3"/>
      <c r="N224" s="3"/>
      <c r="O224" s="3"/>
      <c r="P224" s="3"/>
      <c r="Q224" s="4"/>
      <c r="R224" s="4"/>
    </row>
    <row r="225" spans="1:18" ht="15">
      <c r="A225" s="6"/>
      <c r="B225" s="14"/>
      <c r="C225" s="49"/>
      <c r="D225" s="56"/>
      <c r="M225" s="3"/>
      <c r="N225" s="3"/>
      <c r="O225" s="3"/>
      <c r="P225" s="3"/>
      <c r="Q225" s="4"/>
      <c r="R225" s="4"/>
    </row>
    <row r="226" spans="1:18" ht="15.5" thickBot="1">
      <c r="A226" s="6">
        <f>A224+1</f>
        <v>109</v>
      </c>
      <c r="B226" s="15" t="s">
        <v>48</v>
      </c>
      <c r="C226" s="51" t="s">
        <v>228</v>
      </c>
      <c r="D226" s="64">
        <v>434</v>
      </c>
      <c r="M226" s="3"/>
      <c r="N226" s="3"/>
      <c r="O226" s="3"/>
      <c r="P226" s="3"/>
      <c r="Q226" s="4"/>
      <c r="R226" s="4"/>
    </row>
    <row r="227" spans="1:18" ht="15">
      <c r="A227" s="6"/>
      <c r="B227" s="14"/>
      <c r="C227" s="14"/>
      <c r="D227" s="64"/>
      <c r="M227" s="3"/>
      <c r="N227" s="3"/>
      <c r="O227" s="3"/>
      <c r="P227" s="3"/>
      <c r="Q227" s="4"/>
      <c r="R227" s="4"/>
    </row>
    <row r="228" spans="1:18" ht="15">
      <c r="A228" s="6">
        <f>A226+1</f>
        <v>110</v>
      </c>
      <c r="B228" s="14" t="s">
        <v>140</v>
      </c>
      <c r="C228" s="57" t="s">
        <v>239</v>
      </c>
      <c r="D228" s="64">
        <v>406</v>
      </c>
      <c r="M228" s="3"/>
      <c r="N228" s="3"/>
      <c r="O228" s="3"/>
      <c r="P228" s="3"/>
      <c r="Q228" s="4"/>
      <c r="R228" s="4"/>
    </row>
    <row r="229" spans="1:18" ht="15">
      <c r="A229" s="6"/>
      <c r="B229" s="14"/>
      <c r="C229" s="57"/>
      <c r="D229" s="64"/>
      <c r="M229" s="3"/>
      <c r="N229" s="3"/>
      <c r="O229" s="3"/>
      <c r="P229" s="3"/>
      <c r="Q229" s="4"/>
      <c r="R229" s="4"/>
    </row>
    <row r="230" spans="1:18" ht="15">
      <c r="A230" s="6">
        <f>A228+1</f>
        <v>111</v>
      </c>
      <c r="B230" s="14" t="s">
        <v>141</v>
      </c>
      <c r="C230" s="57" t="s">
        <v>231</v>
      </c>
      <c r="D230" s="64">
        <v>390</v>
      </c>
      <c r="M230" s="3"/>
      <c r="N230" s="3"/>
      <c r="O230" s="3"/>
      <c r="P230" s="3"/>
      <c r="Q230" s="4"/>
      <c r="R230" s="4"/>
    </row>
    <row r="231" spans="1:18" ht="15">
      <c r="A231" s="6"/>
      <c r="B231" s="14"/>
      <c r="C231" s="57"/>
      <c r="D231" s="64"/>
      <c r="M231" s="3"/>
      <c r="N231" s="3"/>
      <c r="O231" s="3"/>
      <c r="P231" s="3"/>
      <c r="Q231" s="4"/>
      <c r="R231" s="4"/>
    </row>
    <row r="232" spans="1:18" ht="15">
      <c r="A232" s="6">
        <f>A230+1</f>
        <v>112</v>
      </c>
      <c r="B232" s="14" t="s">
        <v>142</v>
      </c>
      <c r="C232" s="57" t="s">
        <v>234</v>
      </c>
      <c r="D232" s="64">
        <v>276.49200000000002</v>
      </c>
      <c r="M232" s="3"/>
      <c r="N232" s="3"/>
      <c r="O232" s="3"/>
      <c r="P232" s="3"/>
      <c r="Q232" s="4"/>
      <c r="R232" s="4"/>
    </row>
    <row r="233" spans="1:18" ht="15">
      <c r="A233" s="6"/>
      <c r="B233" s="14"/>
      <c r="C233" s="57"/>
      <c r="D233" s="56"/>
      <c r="M233" s="3"/>
      <c r="N233" s="3"/>
      <c r="O233" s="3"/>
      <c r="P233" s="3"/>
      <c r="Q233" s="4"/>
      <c r="R233" s="4"/>
    </row>
    <row r="234" spans="1:18" ht="15">
      <c r="A234" s="6">
        <v>113</v>
      </c>
      <c r="B234" s="15" t="s">
        <v>54</v>
      </c>
      <c r="C234" s="57" t="s">
        <v>246</v>
      </c>
      <c r="D234" s="67">
        <v>397</v>
      </c>
      <c r="M234" s="3"/>
      <c r="N234" s="3"/>
      <c r="O234" s="3"/>
      <c r="P234" s="3"/>
      <c r="Q234" s="4"/>
      <c r="R234" s="4"/>
    </row>
    <row r="235" spans="1:18" ht="15">
      <c r="A235" s="6"/>
      <c r="B235" s="57"/>
      <c r="C235" s="57"/>
      <c r="D235" s="67"/>
      <c r="M235" s="3"/>
      <c r="N235" s="3"/>
      <c r="O235" s="3"/>
      <c r="P235" s="3"/>
      <c r="Q235" s="4"/>
      <c r="R235" s="4"/>
    </row>
    <row r="236" spans="1:18" ht="15">
      <c r="A236" s="6">
        <f>A234+1</f>
        <v>114</v>
      </c>
      <c r="B236" s="14" t="s">
        <v>143</v>
      </c>
      <c r="C236" s="57" t="s">
        <v>278</v>
      </c>
      <c r="D236" s="67">
        <v>380</v>
      </c>
      <c r="M236" s="3"/>
      <c r="N236" s="3"/>
      <c r="O236" s="3"/>
      <c r="P236" s="3"/>
      <c r="Q236" s="4"/>
      <c r="R236" s="4"/>
    </row>
    <row r="237" spans="1:18" ht="15">
      <c r="A237" s="6"/>
      <c r="B237" s="14"/>
      <c r="C237" s="57"/>
      <c r="D237" s="67"/>
      <c r="M237" s="3"/>
      <c r="N237" s="3"/>
      <c r="O237" s="3"/>
      <c r="P237" s="3"/>
      <c r="Q237" s="4"/>
      <c r="R237" s="4"/>
    </row>
    <row r="238" spans="1:18" ht="15">
      <c r="A238" s="6">
        <f>A236+1</f>
        <v>115</v>
      </c>
      <c r="B238" s="14" t="s">
        <v>144</v>
      </c>
      <c r="C238" s="57" t="s">
        <v>229</v>
      </c>
      <c r="D238" s="67">
        <v>342</v>
      </c>
      <c r="M238" s="3"/>
      <c r="N238" s="3"/>
      <c r="O238" s="3"/>
      <c r="P238" s="3"/>
      <c r="Q238" s="4"/>
      <c r="R238" s="4"/>
    </row>
    <row r="239" spans="1:18" ht="15">
      <c r="A239" s="6"/>
      <c r="B239" s="14"/>
      <c r="C239" s="57"/>
      <c r="D239" s="67"/>
      <c r="M239" s="3"/>
      <c r="N239" s="3"/>
      <c r="O239" s="3"/>
      <c r="P239" s="3"/>
      <c r="Q239" s="4"/>
      <c r="R239" s="4"/>
    </row>
    <row r="240" spans="1:18" ht="15">
      <c r="A240" s="6">
        <f>A238+1</f>
        <v>116</v>
      </c>
      <c r="B240" s="14" t="s">
        <v>145</v>
      </c>
      <c r="C240" s="57" t="s">
        <v>231</v>
      </c>
      <c r="D240" s="67">
        <v>416.81</v>
      </c>
      <c r="M240" s="3"/>
      <c r="N240" s="3"/>
      <c r="O240" s="3"/>
      <c r="P240" s="3"/>
      <c r="Q240" s="4"/>
      <c r="R240" s="4"/>
    </row>
    <row r="241" spans="1:18" ht="15">
      <c r="A241" s="6"/>
      <c r="B241" s="57"/>
      <c r="C241" s="57"/>
      <c r="D241" s="67"/>
      <c r="M241" s="3"/>
      <c r="N241" s="3"/>
      <c r="O241" s="3"/>
      <c r="P241" s="3"/>
      <c r="Q241" s="4"/>
      <c r="R241" s="4"/>
    </row>
    <row r="242" spans="1:18" ht="15">
      <c r="A242" s="6">
        <f>A240+1</f>
        <v>117</v>
      </c>
      <c r="B242" s="15" t="s">
        <v>147</v>
      </c>
      <c r="C242" s="57" t="s">
        <v>291</v>
      </c>
      <c r="D242" s="67">
        <v>203.90199999999999</v>
      </c>
      <c r="M242" s="3"/>
      <c r="N242" s="3"/>
      <c r="O242" s="3"/>
      <c r="P242" s="3"/>
      <c r="Q242" s="4"/>
      <c r="R242" s="4"/>
    </row>
    <row r="243" spans="1:18" ht="15">
      <c r="A243" s="6"/>
      <c r="B243" s="57"/>
      <c r="C243" s="57"/>
      <c r="D243" s="67"/>
      <c r="M243" s="3"/>
      <c r="N243" s="3"/>
      <c r="O243" s="3"/>
      <c r="P243" s="3"/>
      <c r="Q243" s="4"/>
      <c r="R243" s="4"/>
    </row>
    <row r="244" spans="1:18" ht="15">
      <c r="A244" s="6">
        <f>A242+1</f>
        <v>118</v>
      </c>
      <c r="B244" s="15" t="s">
        <v>149</v>
      </c>
      <c r="C244" s="57" t="s">
        <v>291</v>
      </c>
      <c r="D244" s="67">
        <v>382</v>
      </c>
      <c r="M244" s="3"/>
      <c r="N244" s="3"/>
      <c r="O244" s="3"/>
      <c r="P244" s="3"/>
      <c r="Q244" s="4"/>
      <c r="R244" s="4"/>
    </row>
    <row r="245" spans="1:18" ht="15">
      <c r="A245" s="6"/>
      <c r="B245" s="57"/>
      <c r="C245" s="57"/>
      <c r="D245" s="67"/>
      <c r="M245" s="3"/>
      <c r="N245" s="3"/>
      <c r="O245" s="3"/>
      <c r="P245" s="3"/>
      <c r="Q245" s="4"/>
      <c r="R245" s="4"/>
    </row>
    <row r="246" spans="1:18" ht="15">
      <c r="A246" s="6">
        <f>A244+1</f>
        <v>119</v>
      </c>
      <c r="B246" s="74" t="s">
        <v>293</v>
      </c>
      <c r="C246" s="57" t="s">
        <v>231</v>
      </c>
      <c r="D246" s="67">
        <v>320.79599999999999</v>
      </c>
      <c r="M246" s="3"/>
      <c r="N246" s="3"/>
      <c r="O246" s="3"/>
      <c r="P246" s="3"/>
      <c r="Q246" s="4"/>
      <c r="R246" s="4"/>
    </row>
    <row r="247" spans="1:18" ht="15">
      <c r="A247" s="6"/>
      <c r="B247" s="57"/>
      <c r="C247" s="57"/>
      <c r="D247" s="67"/>
      <c r="M247" s="3"/>
      <c r="N247" s="3"/>
      <c r="O247" s="3"/>
      <c r="P247" s="3"/>
      <c r="Q247" s="4"/>
      <c r="R247" s="4"/>
    </row>
    <row r="248" spans="1:18" ht="15">
      <c r="A248" s="6">
        <f>A246+1</f>
        <v>120</v>
      </c>
      <c r="B248" s="15" t="s">
        <v>150</v>
      </c>
      <c r="C248" s="57" t="s">
        <v>236</v>
      </c>
      <c r="D248" s="67">
        <v>414</v>
      </c>
      <c r="M248" s="3"/>
      <c r="N248" s="3"/>
      <c r="O248" s="3"/>
      <c r="P248" s="3"/>
      <c r="Q248" s="4"/>
      <c r="R248" s="4"/>
    </row>
    <row r="249" spans="1:18" ht="15">
      <c r="A249" s="6"/>
      <c r="B249" s="57"/>
      <c r="C249" s="57"/>
      <c r="D249" s="67"/>
      <c r="M249" s="3"/>
      <c r="N249" s="3"/>
      <c r="O249" s="3"/>
      <c r="P249" s="3"/>
      <c r="Q249" s="4"/>
      <c r="R249" s="4"/>
    </row>
    <row r="250" spans="1:18" ht="15">
      <c r="A250" s="6">
        <f>A248+1</f>
        <v>121</v>
      </c>
      <c r="B250" s="74" t="s">
        <v>295</v>
      </c>
      <c r="C250" s="57" t="s">
        <v>239</v>
      </c>
      <c r="D250" s="67">
        <v>425</v>
      </c>
      <c r="M250" s="3"/>
      <c r="N250" s="3"/>
      <c r="O250" s="3"/>
      <c r="P250" s="3"/>
      <c r="Q250" s="4"/>
      <c r="R250" s="4"/>
    </row>
    <row r="251" spans="1:18" ht="15">
      <c r="A251" s="6"/>
      <c r="B251" s="57"/>
      <c r="C251" s="57"/>
      <c r="D251" s="67"/>
      <c r="M251" s="3"/>
      <c r="N251" s="3"/>
      <c r="O251" s="3"/>
      <c r="P251" s="3"/>
      <c r="Q251" s="4"/>
      <c r="R251" s="4"/>
    </row>
    <row r="252" spans="1:18" ht="15">
      <c r="A252" s="75">
        <f>A250+1</f>
        <v>122</v>
      </c>
      <c r="B252" s="74" t="s">
        <v>296</v>
      </c>
      <c r="C252" s="57" t="s">
        <v>229</v>
      </c>
      <c r="D252" s="67">
        <v>373</v>
      </c>
      <c r="M252" s="3"/>
      <c r="N252" s="3"/>
      <c r="O252" s="3"/>
      <c r="P252" s="3"/>
    </row>
    <row r="253" spans="1:18" ht="15">
      <c r="A253" s="6"/>
      <c r="B253" s="57"/>
      <c r="C253" s="57"/>
      <c r="D253" s="67"/>
      <c r="M253" s="3"/>
      <c r="N253" s="3"/>
      <c r="O253" s="3"/>
      <c r="P253" s="3"/>
      <c r="Q253" s="4"/>
      <c r="R253" s="4"/>
    </row>
    <row r="254" spans="1:18" ht="15">
      <c r="A254" s="75">
        <f>A252+1</f>
        <v>123</v>
      </c>
      <c r="B254" s="74" t="s">
        <v>297</v>
      </c>
      <c r="C254" s="57" t="s">
        <v>229</v>
      </c>
      <c r="D254" s="67">
        <v>357</v>
      </c>
    </row>
    <row r="255" spans="1:18" ht="15">
      <c r="A255" s="75"/>
      <c r="B255" s="57"/>
      <c r="C255" s="57"/>
      <c r="D255" s="67"/>
    </row>
    <row r="256" spans="1:18" ht="15">
      <c r="A256" s="75">
        <f>A254+1</f>
        <v>124</v>
      </c>
      <c r="B256" s="74" t="s">
        <v>298</v>
      </c>
      <c r="C256" s="57" t="s">
        <v>278</v>
      </c>
      <c r="D256" s="67">
        <v>402.19900000000001</v>
      </c>
    </row>
    <row r="257" spans="1:4" ht="15">
      <c r="A257" s="75"/>
      <c r="B257" s="57"/>
      <c r="C257" s="57"/>
      <c r="D257" s="67"/>
    </row>
    <row r="258" spans="1:4" ht="15">
      <c r="A258" s="75">
        <f>A256+1</f>
        <v>125</v>
      </c>
      <c r="B258" s="15" t="s">
        <v>304</v>
      </c>
      <c r="C258" s="57" t="s">
        <v>245</v>
      </c>
      <c r="D258" s="67">
        <v>419</v>
      </c>
    </row>
    <row r="259" spans="1:4">
      <c r="A259" s="75"/>
      <c r="B259" s="76"/>
      <c r="C259" s="76"/>
      <c r="D259" s="76"/>
    </row>
    <row r="260" spans="1:4" ht="18.5">
      <c r="A260" s="75">
        <f>A258+1</f>
        <v>126</v>
      </c>
      <c r="B260" s="15" t="s">
        <v>305</v>
      </c>
      <c r="C260" s="77" t="s">
        <v>281</v>
      </c>
      <c r="D260" s="67">
        <v>231</v>
      </c>
    </row>
    <row r="261" spans="1:4" ht="18">
      <c r="A261" s="75"/>
      <c r="B261" s="78"/>
      <c r="C261" s="79"/>
      <c r="D261" s="76"/>
    </row>
    <row r="262" spans="1:4" ht="18.5">
      <c r="A262" s="75">
        <f>A260+1</f>
        <v>127</v>
      </c>
      <c r="B262" s="15" t="s">
        <v>306</v>
      </c>
      <c r="C262" s="77" t="s">
        <v>281</v>
      </c>
      <c r="D262" s="67">
        <v>103</v>
      </c>
    </row>
    <row r="263" spans="1:4">
      <c r="D263" s="52">
        <f>SUM(D10:D262)</f>
        <v>47661.921999999991</v>
      </c>
    </row>
    <row r="264" spans="1:4">
      <c r="B264" s="2" t="s">
        <v>60</v>
      </c>
    </row>
  </sheetData>
  <autoFilter ref="C8:C254" xr:uid="{00000000-0009-0000-0000-000008000000}"/>
  <mergeCells count="7">
    <mergeCell ref="F26:S26"/>
    <mergeCell ref="A6:F6"/>
    <mergeCell ref="A8:A9"/>
    <mergeCell ref="B8:B9"/>
    <mergeCell ref="C8:C9"/>
    <mergeCell ref="D8:D9"/>
    <mergeCell ref="F10:S10"/>
  </mergeCells>
  <conditionalFormatting sqref="D10:D37 D132:D169">
    <cfRule type="cellIs" dxfId="0" priority="1" stopIfTrue="1" operator="greaterThan">
      <formula>600</formula>
    </cfRule>
  </conditionalFormatting>
  <pageMargins left="0.70866141732283472" right="0.70866141732283472" top="0.94488188976377963" bottom="0.1574803149606299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Project Details</vt:lpstr>
      <vt:lpstr>MASTER SHEET</vt:lpstr>
      <vt:lpstr>Erection Compiled </vt:lpstr>
      <vt:lpstr>Stringing compiled</vt:lpstr>
      <vt:lpstr>Progress.</vt:lpstr>
      <vt:lpstr>Visual chart.</vt:lpstr>
      <vt:lpstr>PENDING FDN DETAILS</vt:lpstr>
      <vt:lpstr>PENDING ERE DETAILS</vt:lpstr>
      <vt:lpstr>TSE-MANUAL-LT-11KV-33KV Details</vt:lpstr>
      <vt:lpstr>Crossing Details</vt:lpstr>
      <vt:lpstr>TS</vt:lpstr>
      <vt:lpstr>TS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Bharat Kaushik</cp:lastModifiedBy>
  <cp:lastPrinted>2025-09-15T04:21:31Z</cp:lastPrinted>
  <dcterms:created xsi:type="dcterms:W3CDTF">2016-07-05T06:15:08Z</dcterms:created>
  <dcterms:modified xsi:type="dcterms:W3CDTF">2025-11-11T05:40:45Z</dcterms:modified>
</cp:coreProperties>
</file>